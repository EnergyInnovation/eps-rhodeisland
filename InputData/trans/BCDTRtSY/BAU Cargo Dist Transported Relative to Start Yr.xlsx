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RI\trans\BCDTRtSY\"/>
    </mc:Choice>
  </mc:AlternateContent>
  <xr:revisionPtr revIDLastSave="0" documentId="8_{CC459CE7-61FE-4998-B458-7AF1AB0D9B8B}"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<sst xmlns="http://schemas.openxmlformats.org/spreadsheetml/2006/main" count="6428" uniqueCount="3038">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</sst>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2924</v>
      </c>
      <c r="C1" s="77">
        <v>46248</v>
      </c>
      <c r="H1" t="s">
        <v>2981</v>
      </c>
      <c r="I1" t="s">
        <v>2982</v>
      </c>
    </row>
    <row r="2" spans="1:9">
      <c r="B2" t="str">
        <f>VLOOKUP(B1,H2:I52,2)</f>
        <v>RI</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Rhode Island</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1.0057163767125521</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1.0128606116766889</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1.0169290192900065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1.0205934242922978</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1.0235214592561646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1.0239765634799078</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1.024596384673188</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1.0238325542619622</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1.0236685591306811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1.0226711791448253</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1.0223692292420621</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1.0224976853046781</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1.0226837536718245</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1.0222818105880134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1.0220811617041021</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1.0207431891321082</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1.019287529283839</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1.0175062886210573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1.0159492750873984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1.014182497192446</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1.0121613458330359</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1.0093870801425686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1.0067432707461483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1.0038846201443388</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1.0014145435781716</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1.0175203489126625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1.0292407583654526</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1.0374958097462319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1.0445378438183204</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1.0501755792695431</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1.0522372309536689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1.0538780974894892</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1.0559965474093607</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1.0576499169997606</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1.0596216436839458</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1.0608239024734532</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1.0621551710982406</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1.0629974743634691</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1.0638208722771203</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1.0645950077287376</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1.0642982344101273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1.0639551836201333</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1.0632892804439393</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1.0625087684696222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1.061621528579896</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1.0603658811673953</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1.0590049590099684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1.0572851114061095</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1.0554026062714448</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1.0534579895795453</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1.0309326730879647</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1.0492748924858764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1.0568428509339676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1.0692307014615787</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1.0857491030965272</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1.0992849101700735</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1.1171238273310462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1.1367815146942348</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1.1587057768638502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1.1830781468458464</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1.2005260636050101</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1.2179945975696491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1.2351667205285881</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1.2513173770540778</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1.2678606713172671</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1.2826133579461216</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1.2983649856553772</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1.315344317053468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1.3321758682285509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1.3490677896507917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1.3649111260049713</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1.3787955362452768</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1.3927982910586318</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1.4057246048762027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1.4190693288747147</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1.0632802390856344</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1.1101684839847357</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1.1455288905503893</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1.1760753498433485</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1.2019987785735127</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1.2213495823889269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1.2384571490771832</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1.2563634523246536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1.2692148786438666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1.2819942936514384</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1.2910719810573885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1.3009776885948652</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1.3095804741861319</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1.3155126393085936</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1.3217787309420048</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1.326143518967035</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1.3305148311548602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1.3333568175154289</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1.3369744394520413</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1.3412105106500813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1.3438531218566219</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1.3471814030941713</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1.3482737790081094</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1.3489623453031823</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1.3493531755404555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1.0015382400350754</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0.99600333555036746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0.98452308291948953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0.97548902664799142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0.9687480079008175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0.95975803400750548</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0.95312102503774687</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0.94769461436104463</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0.9435153238756242</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0.94063129469008655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0.9348392763941914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0.92910813667689029</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0.92323996162302879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0.91732690090786351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0.91152838514757983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0.90475017036935068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0.89841000274298455</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0.89238009965129628</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0.88637394796150115</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0.88035992309835054</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0.87391914293544481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0.86688154155105168</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0.85973707470102378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0.85226312765563084</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0.84507788209224277</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1.0054808352929856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1.0131571508764543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1.0179006946219393</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1.0224401731264536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1.0259538387649318</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1.0276488701801594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1.0293925789986569</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1.029612102760056</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1.0301891261349769</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1.0298703650103831</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1.0303521401930413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1.0312809962204363</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1.0321829140095118</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1.0323755802196488</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1.0327977337958716</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1.0323551936622721</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1.0316527803156912</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1.0307251680566754</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1.030128612424648</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1.0294052373079621</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1.0282336002046699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1.0263548764205672</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1.0244324063692845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1.0223657084499307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1.0206919028273065</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0.99568249818044052</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0.99683012449842301</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0.99761171777076951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0.9995658065116686</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1.0063046180956472</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1.0097593986187017</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1.0150128979256248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1.0189756425221101</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1.0248711054913535</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1.0314753138474784</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1.0384208547150491</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1.0466282315321658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1.0560651991475061</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1.0658672790725636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1.076181119872734</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1.085179374062301</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1.0935580051150797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1.0993807339689665</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1.1049317398718908</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1.1118277128893022</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1.1191812306602811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1.1272053776219102</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1.1339600886829972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1.1414789089962176</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1.1482430725390715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1.0103207167762884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1.0248764843217271</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1.0385660993379884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1.0496596380432939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1.063127143499867</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1.0701504101210955</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1.0780797658014989</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1.0838147768368083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1.0907999604355831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1.097644156463397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1.1036833960264723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1.1090225584155899</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1.113350877931973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1.1171102499253809</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1.1210456956558261</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1.1243800774070261</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1.1271809079485715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1.1289662818997754</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1.1310616686290043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1.1350110955350099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1.1391616256301458</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1.1432103287715369</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1.1451505588153441</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1.1470114286067226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1.1483116766865338</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1.0263838907710148</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1.0449959834467268</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1.0571460560358665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1.0729904447103931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1.091811749405952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1.1081709650506857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1.1276002957286428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1.1484505457352645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1.1710232944772263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1.1954287349409141</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1.2153179276772146</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1.2353554729658562</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1.255318150749507</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1.2746967532924609</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1.2944739457473271</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1.3129820109826922</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1.3322735410933817</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1.3525131830946504</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1.3727561507477606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1.393143050337875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1.4129066229588121</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1.4314026009411889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1.4500865219304222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1.468122397767081</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1.4865768415738769</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0.9768461009238566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1.0078928985569671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0.98678701035636895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0.97856862188964511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0.98465635541866336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0.95721117212517104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0.95904074590884003</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0.96101496157525834</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0.95612520717479976</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0.95709248818159331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0.95721279286698291</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0.958694165830833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0.9569536289374877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0.95676198445548466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0.95560268415798122</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0.95235267818864933</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0.94704461261118345</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0.9423792300988223</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0.94013634716644046</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0.93732374287254416</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0.93695970613866775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0.94014995275056223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0.94080135677938714</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0.93581019566082158</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0.93147935228085565</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0.99171097966349842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1.0104073223123964</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1.0311127329955883</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1.0484407598311938</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1.0666791883082118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1.0814432887683703</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1.098189809651404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1.115163158773737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1.1327850682145491</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1.1513385283002695</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1.1658493249343054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1.1769988707864745</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1.1880960315471372</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1.1979853442376105</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1.2079165919775963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1.2170561895345036</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1.2271949727901006</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1.2368724874036381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1.2463572442264317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1.2571143977298029</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1.2679720099062701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1.2789635497075247</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1.2891561287339586</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1.2990013686895288</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1.3101885559114441</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1.0057163767125521</v>
      </c>
      <c r="E2">
        <f>'BCDTRtSY-state-adjusted'!E5</f>
        <v>1.0128606116766889</v>
      </c>
      <c r="F2">
        <f>'BCDTRtSY-state-adjusted'!F5</f>
        <v>1.0169290192900065</v>
      </c>
      <c r="G2">
        <f>'BCDTRtSY-state-adjusted'!G5</f>
        <v>1.0205934242922978</v>
      </c>
      <c r="H2">
        <f>'BCDTRtSY-state-adjusted'!H5</f>
        <v>1.0235214592561646</v>
      </c>
      <c r="I2">
        <f>'BCDTRtSY-state-adjusted'!I5</f>
        <v>1.0239765634799078</v>
      </c>
      <c r="J2">
        <f>'BCDTRtSY-state-adjusted'!J5</f>
        <v>1.024596384673188</v>
      </c>
      <c r="K2">
        <f>'BCDTRtSY-state-adjusted'!K5</f>
        <v>1.0238325542619622</v>
      </c>
      <c r="L2">
        <f>'BCDTRtSY-state-adjusted'!L5</f>
        <v>1.0236685591306811</v>
      </c>
      <c r="M2">
        <f>'BCDTRtSY-state-adjusted'!M5</f>
        <v>1.0226711791448253</v>
      </c>
      <c r="N2">
        <f>'BCDTRtSY-state-adjusted'!N5</f>
        <v>1.0223692292420621</v>
      </c>
      <c r="O2">
        <f>'BCDTRtSY-state-adjusted'!O5</f>
        <v>1.0224976853046781</v>
      </c>
      <c r="P2">
        <f>'BCDTRtSY-state-adjusted'!P5</f>
        <v>1.0226837536718245</v>
      </c>
      <c r="Q2">
        <f>'BCDTRtSY-state-adjusted'!Q5</f>
        <v>1.0222818105880134</v>
      </c>
      <c r="R2">
        <f>'BCDTRtSY-state-adjusted'!R5</f>
        <v>1.0220811617041021</v>
      </c>
      <c r="S2">
        <f>'BCDTRtSY-state-adjusted'!S5</f>
        <v>1.0207431891321082</v>
      </c>
      <c r="T2">
        <f>'BCDTRtSY-state-adjusted'!T5</f>
        <v>1.019287529283839</v>
      </c>
      <c r="U2">
        <f>'BCDTRtSY-state-adjusted'!U5</f>
        <v>1.0175062886210573</v>
      </c>
      <c r="V2">
        <f>'BCDTRtSY-state-adjusted'!V5</f>
        <v>1.0159492750873984</v>
      </c>
      <c r="W2">
        <f>'BCDTRtSY-state-adjusted'!W5</f>
        <v>1.014182497192446</v>
      </c>
      <c r="X2">
        <f>'BCDTRtSY-state-adjusted'!X5</f>
        <v>1.0121613458330359</v>
      </c>
      <c r="Y2">
        <f>'BCDTRtSY-state-adjusted'!Y5</f>
        <v>1.0093870801425686</v>
      </c>
      <c r="Z2">
        <f>'BCDTRtSY-state-adjusted'!Z5</f>
        <v>1.0067432707461483</v>
      </c>
      <c r="AA2">
        <f>'BCDTRtSY-state-adjusted'!AA5</f>
        <v>1.0038846201443388</v>
      </c>
      <c r="AB2">
        <f>'BCDTRtSY-state-adjusted'!AB5</f>
        <v>1.0014145435781716</v>
      </c>
    </row>
    <row r="3" spans="1:28">
      <c r="A3" t="s">
        <v>118</v>
      </c>
      <c r="B3">
        <f>'BCDTRtSY-state-adjusted'!B6</f>
        <v>1</v>
      </c>
      <c r="C3">
        <f>'BCDTRtSY-state-adjusted'!C6</f>
        <v>1</v>
      </c>
      <c r="D3">
        <f>'BCDTRtSY-state-adjusted'!D6</f>
        <v>1.0175203489126625</v>
      </c>
      <c r="E3">
        <f>'BCDTRtSY-state-adjusted'!E6</f>
        <v>1.0292407583654526</v>
      </c>
      <c r="F3">
        <f>'BCDTRtSY-state-adjusted'!F6</f>
        <v>1.0374958097462319</v>
      </c>
      <c r="G3">
        <f>'BCDTRtSY-state-adjusted'!G6</f>
        <v>1.0445378438183204</v>
      </c>
      <c r="H3">
        <f>'BCDTRtSY-state-adjusted'!H6</f>
        <v>1.0501755792695431</v>
      </c>
      <c r="I3">
        <f>'BCDTRtSY-state-adjusted'!I6</f>
        <v>1.0522372309536689</v>
      </c>
      <c r="J3">
        <f>'BCDTRtSY-state-adjusted'!J6</f>
        <v>1.0538780974894892</v>
      </c>
      <c r="K3">
        <f>'BCDTRtSY-state-adjusted'!K6</f>
        <v>1.0559965474093607</v>
      </c>
      <c r="L3">
        <f>'BCDTRtSY-state-adjusted'!L6</f>
        <v>1.0576499169997606</v>
      </c>
      <c r="M3">
        <f>'BCDTRtSY-state-adjusted'!M6</f>
        <v>1.0596216436839458</v>
      </c>
      <c r="N3">
        <f>'BCDTRtSY-state-adjusted'!N6</f>
        <v>1.0608239024734532</v>
      </c>
      <c r="O3">
        <f>'BCDTRtSY-state-adjusted'!O6</f>
        <v>1.0621551710982406</v>
      </c>
      <c r="P3">
        <f>'BCDTRtSY-state-adjusted'!P6</f>
        <v>1.0629974743634691</v>
      </c>
      <c r="Q3">
        <f>'BCDTRtSY-state-adjusted'!Q6</f>
        <v>1.0638208722771203</v>
      </c>
      <c r="R3">
        <f>'BCDTRtSY-state-adjusted'!R6</f>
        <v>1.0645950077287376</v>
      </c>
      <c r="S3">
        <f>'BCDTRtSY-state-adjusted'!S6</f>
        <v>1.0642982344101273</v>
      </c>
      <c r="T3">
        <f>'BCDTRtSY-state-adjusted'!T6</f>
        <v>1.0639551836201333</v>
      </c>
      <c r="U3">
        <f>'BCDTRtSY-state-adjusted'!U6</f>
        <v>1.0632892804439393</v>
      </c>
      <c r="V3">
        <f>'BCDTRtSY-state-adjusted'!V6</f>
        <v>1.0625087684696222</v>
      </c>
      <c r="W3">
        <f>'BCDTRtSY-state-adjusted'!W6</f>
        <v>1.061621528579896</v>
      </c>
      <c r="X3">
        <f>'BCDTRtSY-state-adjusted'!X6</f>
        <v>1.0603658811673953</v>
      </c>
      <c r="Y3">
        <f>'BCDTRtSY-state-adjusted'!Y6</f>
        <v>1.0590049590099684</v>
      </c>
      <c r="Z3">
        <f>'BCDTRtSY-state-adjusted'!Z6</f>
        <v>1.0572851114061095</v>
      </c>
      <c r="AA3">
        <f>'BCDTRtSY-state-adjusted'!AA6</f>
        <v>1.0554026062714448</v>
      </c>
      <c r="AB3">
        <f>'BCDTRtSY-state-adjusted'!AB6</f>
        <v>1.0534579895795453</v>
      </c>
    </row>
    <row r="4" spans="1:28">
      <c r="A4" t="s">
        <v>116</v>
      </c>
      <c r="B4">
        <f>'BCDTRtSY-state-adjusted'!B7</f>
        <v>1</v>
      </c>
      <c r="C4">
        <f>'BCDTRtSY-state-adjusted'!C7</f>
        <v>1</v>
      </c>
      <c r="D4">
        <f>'BCDTRtSY-state-adjusted'!D7</f>
        <v>1.0309326730879647</v>
      </c>
      <c r="E4">
        <f>'BCDTRtSY-state-adjusted'!E7</f>
        <v>1.0492748924858764</v>
      </c>
      <c r="F4">
        <f>'BCDTRtSY-state-adjusted'!F7</f>
        <v>1.0568428509339676</v>
      </c>
      <c r="G4">
        <f>'BCDTRtSY-state-adjusted'!G7</f>
        <v>1.0692307014615787</v>
      </c>
      <c r="H4">
        <f>'BCDTRtSY-state-adjusted'!H7</f>
        <v>1.0857491030965272</v>
      </c>
      <c r="I4">
        <f>'BCDTRtSY-state-adjusted'!I7</f>
        <v>1.0992849101700735</v>
      </c>
      <c r="J4">
        <f>'BCDTRtSY-state-adjusted'!J7</f>
        <v>1.1171238273310462</v>
      </c>
      <c r="K4">
        <f>'BCDTRtSY-state-adjusted'!K7</f>
        <v>1.1367815146942348</v>
      </c>
      <c r="L4">
        <f>'BCDTRtSY-state-adjusted'!L7</f>
        <v>1.1587057768638502</v>
      </c>
      <c r="M4">
        <f>'BCDTRtSY-state-adjusted'!M7</f>
        <v>1.1830781468458464</v>
      </c>
      <c r="N4">
        <f>'BCDTRtSY-state-adjusted'!N7</f>
        <v>1.2005260636050101</v>
      </c>
      <c r="O4">
        <f>'BCDTRtSY-state-adjusted'!O7</f>
        <v>1.2179945975696491</v>
      </c>
      <c r="P4">
        <f>'BCDTRtSY-state-adjusted'!P7</f>
        <v>1.2351667205285881</v>
      </c>
      <c r="Q4">
        <f>'BCDTRtSY-state-adjusted'!Q7</f>
        <v>1.2513173770540778</v>
      </c>
      <c r="R4">
        <f>'BCDTRtSY-state-adjusted'!R7</f>
        <v>1.2678606713172671</v>
      </c>
      <c r="S4">
        <f>'BCDTRtSY-state-adjusted'!S7</f>
        <v>1.2826133579461216</v>
      </c>
      <c r="T4">
        <f>'BCDTRtSY-state-adjusted'!T7</f>
        <v>1.2983649856553772</v>
      </c>
      <c r="U4">
        <f>'BCDTRtSY-state-adjusted'!U7</f>
        <v>1.315344317053468</v>
      </c>
      <c r="V4">
        <f>'BCDTRtSY-state-adjusted'!V7</f>
        <v>1.3321758682285509</v>
      </c>
      <c r="W4">
        <f>'BCDTRtSY-state-adjusted'!W7</f>
        <v>1.3490677896507917</v>
      </c>
      <c r="X4">
        <f>'BCDTRtSY-state-adjusted'!X7</f>
        <v>1.3649111260049713</v>
      </c>
      <c r="Y4">
        <f>'BCDTRtSY-state-adjusted'!Y7</f>
        <v>1.3787955362452768</v>
      </c>
      <c r="Z4">
        <f>'BCDTRtSY-state-adjusted'!Z7</f>
        <v>1.3927982910586318</v>
      </c>
      <c r="AA4">
        <f>'BCDTRtSY-state-adjusted'!AA7</f>
        <v>1.4057246048762027</v>
      </c>
      <c r="AB4">
        <f>'BCDTRtSY-state-adjusted'!AB7</f>
        <v>1.4190693288747147</v>
      </c>
    </row>
    <row r="5" spans="1:28">
      <c r="A5" t="s">
        <v>121</v>
      </c>
      <c r="B5">
        <f>'BCDTRtSY-state-adjusted'!B8</f>
        <v>1</v>
      </c>
      <c r="C5">
        <f>'BCDTRtSY-state-adjusted'!C8</f>
        <v>1</v>
      </c>
      <c r="D5">
        <f>'BCDTRtSY-state-adjusted'!D8</f>
        <v>1.0632802390856344</v>
      </c>
      <c r="E5">
        <f>'BCDTRtSY-state-adjusted'!E8</f>
        <v>1.1101684839847357</v>
      </c>
      <c r="F5">
        <f>'BCDTRtSY-state-adjusted'!F8</f>
        <v>1.1455288905503893</v>
      </c>
      <c r="G5">
        <f>'BCDTRtSY-state-adjusted'!G8</f>
        <v>1.1760753498433485</v>
      </c>
      <c r="H5">
        <f>'BCDTRtSY-state-adjusted'!H8</f>
        <v>1.2019987785735127</v>
      </c>
      <c r="I5">
        <f>'BCDTRtSY-state-adjusted'!I8</f>
        <v>1.2213495823889269</v>
      </c>
      <c r="J5">
        <f>'BCDTRtSY-state-adjusted'!J8</f>
        <v>1.2384571490771832</v>
      </c>
      <c r="K5">
        <f>'BCDTRtSY-state-adjusted'!K8</f>
        <v>1.2563634523246536</v>
      </c>
      <c r="L5">
        <f>'BCDTRtSY-state-adjusted'!L8</f>
        <v>1.2692148786438666</v>
      </c>
      <c r="M5">
        <f>'BCDTRtSY-state-adjusted'!M8</f>
        <v>1.2819942936514384</v>
      </c>
      <c r="N5">
        <f>'BCDTRtSY-state-adjusted'!N8</f>
        <v>1.2910719810573885</v>
      </c>
      <c r="O5">
        <f>'BCDTRtSY-state-adjusted'!O8</f>
        <v>1.3009776885948652</v>
      </c>
      <c r="P5">
        <f>'BCDTRtSY-state-adjusted'!P8</f>
        <v>1.3095804741861319</v>
      </c>
      <c r="Q5">
        <f>'BCDTRtSY-state-adjusted'!Q8</f>
        <v>1.3155126393085936</v>
      </c>
      <c r="R5">
        <f>'BCDTRtSY-state-adjusted'!R8</f>
        <v>1.3217787309420048</v>
      </c>
      <c r="S5">
        <f>'BCDTRtSY-state-adjusted'!S8</f>
        <v>1.326143518967035</v>
      </c>
      <c r="T5">
        <f>'BCDTRtSY-state-adjusted'!T8</f>
        <v>1.3305148311548602</v>
      </c>
      <c r="U5">
        <f>'BCDTRtSY-state-adjusted'!U8</f>
        <v>1.3333568175154289</v>
      </c>
      <c r="V5">
        <f>'BCDTRtSY-state-adjusted'!V8</f>
        <v>1.3369744394520413</v>
      </c>
      <c r="W5">
        <f>'BCDTRtSY-state-adjusted'!W8</f>
        <v>1.3412105106500813</v>
      </c>
      <c r="X5">
        <f>'BCDTRtSY-state-adjusted'!X8</f>
        <v>1.3438531218566219</v>
      </c>
      <c r="Y5">
        <f>'BCDTRtSY-state-adjusted'!Y8</f>
        <v>1.3471814030941713</v>
      </c>
      <c r="Z5">
        <f>'BCDTRtSY-state-adjusted'!Z8</f>
        <v>1.3482737790081094</v>
      </c>
      <c r="AA5">
        <f>'BCDTRtSY-state-adjusted'!AA8</f>
        <v>1.3489623453031823</v>
      </c>
      <c r="AB5">
        <f>'BCDTRtSY-state-adjusted'!AB8</f>
        <v>1.3493531755404555</v>
      </c>
    </row>
    <row r="6" spans="1:28">
      <c r="A6" t="s">
        <v>122</v>
      </c>
      <c r="B6">
        <f>'BCDTRtSY-state-adjusted'!B9</f>
        <v>1</v>
      </c>
      <c r="C6">
        <f>'BCDTRtSY-state-adjusted'!C9</f>
        <v>1</v>
      </c>
      <c r="D6">
        <f>'BCDTRtSY-state-adjusted'!D9</f>
        <v>1.0015382400350754</v>
      </c>
      <c r="E6">
        <f>'BCDTRtSY-state-adjusted'!E9</f>
        <v>0.99600333555036746</v>
      </c>
      <c r="F6">
        <f>'BCDTRtSY-state-adjusted'!F9</f>
        <v>0.98452308291948953</v>
      </c>
      <c r="G6">
        <f>'BCDTRtSY-state-adjusted'!G9</f>
        <v>0.97548902664799142</v>
      </c>
      <c r="H6">
        <f>'BCDTRtSY-state-adjusted'!H9</f>
        <v>0.9687480079008175</v>
      </c>
      <c r="I6">
        <f>'BCDTRtSY-state-adjusted'!I9</f>
        <v>0.95975803400750548</v>
      </c>
      <c r="J6">
        <f>'BCDTRtSY-state-adjusted'!J9</f>
        <v>0.95312102503774687</v>
      </c>
      <c r="K6">
        <f>'BCDTRtSY-state-adjusted'!K9</f>
        <v>0.94769461436104463</v>
      </c>
      <c r="L6">
        <f>'BCDTRtSY-state-adjusted'!L9</f>
        <v>0.9435153238756242</v>
      </c>
      <c r="M6">
        <f>'BCDTRtSY-state-adjusted'!M9</f>
        <v>0.94063129469008655</v>
      </c>
      <c r="N6">
        <f>'BCDTRtSY-state-adjusted'!N9</f>
        <v>0.9348392763941914</v>
      </c>
      <c r="O6">
        <f>'BCDTRtSY-state-adjusted'!O9</f>
        <v>0.92910813667689029</v>
      </c>
      <c r="P6">
        <f>'BCDTRtSY-state-adjusted'!P9</f>
        <v>0.92323996162302879</v>
      </c>
      <c r="Q6">
        <f>'BCDTRtSY-state-adjusted'!Q9</f>
        <v>0.91732690090786351</v>
      </c>
      <c r="R6">
        <f>'BCDTRtSY-state-adjusted'!R9</f>
        <v>0.91152838514757983</v>
      </c>
      <c r="S6">
        <f>'BCDTRtSY-state-adjusted'!S9</f>
        <v>0.90475017036935068</v>
      </c>
      <c r="T6">
        <f>'BCDTRtSY-state-adjusted'!T9</f>
        <v>0.89841000274298455</v>
      </c>
      <c r="U6">
        <f>'BCDTRtSY-state-adjusted'!U9</f>
        <v>0.89238009965129628</v>
      </c>
      <c r="V6">
        <f>'BCDTRtSY-state-adjusted'!V9</f>
        <v>0.88637394796150115</v>
      </c>
      <c r="W6">
        <f>'BCDTRtSY-state-adjusted'!W9</f>
        <v>0.88035992309835054</v>
      </c>
      <c r="X6">
        <f>'BCDTRtSY-state-adjusted'!X9</f>
        <v>0.87391914293544481</v>
      </c>
      <c r="Y6">
        <f>'BCDTRtSY-state-adjusted'!Y9</f>
        <v>0.86688154155105168</v>
      </c>
      <c r="Z6">
        <f>'BCDTRtSY-state-adjusted'!Z9</f>
        <v>0.85973707470102378</v>
      </c>
      <c r="AA6">
        <f>'BCDTRtSY-state-adjusted'!AA9</f>
        <v>0.85226312765563084</v>
      </c>
      <c r="AB6">
        <f>'BCDTRtSY-state-adjusted'!AB9</f>
        <v>0.84507788209224277</v>
      </c>
    </row>
    <row r="7" spans="1:28">
      <c r="A7" t="s">
        <v>123</v>
      </c>
      <c r="B7">
        <f>'BCDTRtSY-state-adjusted'!B10</f>
        <v>1</v>
      </c>
      <c r="C7">
        <f>'BCDTRtSY-state-adjusted'!C10</f>
        <v>1</v>
      </c>
      <c r="D7">
        <f>'BCDTRtSY-state-adjusted'!D10</f>
        <v>1.0054808352929856</v>
      </c>
      <c r="E7">
        <f>'BCDTRtSY-state-adjusted'!E10</f>
        <v>1.0131571508764543</v>
      </c>
      <c r="F7">
        <f>'BCDTRtSY-state-adjusted'!F10</f>
        <v>1.0179006946219393</v>
      </c>
      <c r="G7">
        <f>'BCDTRtSY-state-adjusted'!G10</f>
        <v>1.0224401731264536</v>
      </c>
      <c r="H7">
        <f>'BCDTRtSY-state-adjusted'!H10</f>
        <v>1.0259538387649318</v>
      </c>
      <c r="I7">
        <f>'BCDTRtSY-state-adjusted'!I10</f>
        <v>1.0276488701801594</v>
      </c>
      <c r="J7">
        <f>'BCDTRtSY-state-adjusted'!J10</f>
        <v>1.0293925789986569</v>
      </c>
      <c r="K7">
        <f>'BCDTRtSY-state-adjusted'!K10</f>
        <v>1.029612102760056</v>
      </c>
      <c r="L7">
        <f>'BCDTRtSY-state-adjusted'!L10</f>
        <v>1.0301891261349769</v>
      </c>
      <c r="M7">
        <f>'BCDTRtSY-state-adjusted'!M10</f>
        <v>1.0298703650103831</v>
      </c>
      <c r="N7">
        <f>'BCDTRtSY-state-adjusted'!N10</f>
        <v>1.0303521401930413</v>
      </c>
      <c r="O7">
        <f>'BCDTRtSY-state-adjusted'!O10</f>
        <v>1.0312809962204363</v>
      </c>
      <c r="P7">
        <f>'BCDTRtSY-state-adjusted'!P10</f>
        <v>1.0321829140095118</v>
      </c>
      <c r="Q7">
        <f>'BCDTRtSY-state-adjusted'!Q10</f>
        <v>1.0323755802196488</v>
      </c>
      <c r="R7">
        <f>'BCDTRtSY-state-adjusted'!R10</f>
        <v>1.0327977337958716</v>
      </c>
      <c r="S7">
        <f>'BCDTRtSY-state-adjusted'!S10</f>
        <v>1.0323551936622721</v>
      </c>
      <c r="T7">
        <f>'BCDTRtSY-state-adjusted'!T10</f>
        <v>1.0316527803156912</v>
      </c>
      <c r="U7">
        <f>'BCDTRtSY-state-adjusted'!U10</f>
        <v>1.0307251680566754</v>
      </c>
      <c r="V7">
        <f>'BCDTRtSY-state-adjusted'!V10</f>
        <v>1.030128612424648</v>
      </c>
      <c r="W7">
        <f>'BCDTRtSY-state-adjusted'!W10</f>
        <v>1.0294052373079621</v>
      </c>
      <c r="X7">
        <f>'BCDTRtSY-state-adjusted'!X10</f>
        <v>1.0282336002046699</v>
      </c>
      <c r="Y7">
        <f>'BCDTRtSY-state-adjusted'!Y10</f>
        <v>1.0263548764205672</v>
      </c>
      <c r="Z7">
        <f>'BCDTRtSY-state-adjusted'!Z10</f>
        <v>1.0244324063692845</v>
      </c>
      <c r="AA7">
        <f>'BCDTRtSY-state-adjusted'!AA10</f>
        <v>1.0223657084499307</v>
      </c>
      <c r="AB7">
        <f>'BCDTRtSY-state-adjusted'!AB10</f>
        <v>1.0206919028273065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0.99568249818044052</v>
      </c>
      <c r="E2">
        <f>'BCDTRtSY-state-adjusted'!E13</f>
        <v>0.99683012449842301</v>
      </c>
      <c r="F2">
        <f>'BCDTRtSY-state-adjusted'!F13</f>
        <v>0.99761171777076951</v>
      </c>
      <c r="G2">
        <f>'BCDTRtSY-state-adjusted'!G13</f>
        <v>0.9995658065116686</v>
      </c>
      <c r="H2">
        <f>'BCDTRtSY-state-adjusted'!H13</f>
        <v>1.0063046180956472</v>
      </c>
      <c r="I2">
        <f>'BCDTRtSY-state-adjusted'!I13</f>
        <v>1.0097593986187017</v>
      </c>
      <c r="J2">
        <f>'BCDTRtSY-state-adjusted'!J13</f>
        <v>1.0150128979256248</v>
      </c>
      <c r="K2">
        <f>'BCDTRtSY-state-adjusted'!K13</f>
        <v>1.0189756425221101</v>
      </c>
      <c r="L2">
        <f>'BCDTRtSY-state-adjusted'!L13</f>
        <v>1.0248711054913535</v>
      </c>
      <c r="M2">
        <f>'BCDTRtSY-state-adjusted'!M13</f>
        <v>1.0314753138474784</v>
      </c>
      <c r="N2">
        <f>'BCDTRtSY-state-adjusted'!N13</f>
        <v>1.0384208547150491</v>
      </c>
      <c r="O2">
        <f>'BCDTRtSY-state-adjusted'!O13</f>
        <v>1.0466282315321658</v>
      </c>
      <c r="P2">
        <f>'BCDTRtSY-state-adjusted'!P13</f>
        <v>1.0560651991475061</v>
      </c>
      <c r="Q2">
        <f>'BCDTRtSY-state-adjusted'!Q13</f>
        <v>1.0658672790725636</v>
      </c>
      <c r="R2">
        <f>'BCDTRtSY-state-adjusted'!R13</f>
        <v>1.076181119872734</v>
      </c>
      <c r="S2">
        <f>'BCDTRtSY-state-adjusted'!S13</f>
        <v>1.085179374062301</v>
      </c>
      <c r="T2">
        <f>'BCDTRtSY-state-adjusted'!T13</f>
        <v>1.0935580051150797</v>
      </c>
      <c r="U2">
        <f>'BCDTRtSY-state-adjusted'!U13</f>
        <v>1.0993807339689665</v>
      </c>
      <c r="V2">
        <f>'BCDTRtSY-state-adjusted'!V13</f>
        <v>1.1049317398718908</v>
      </c>
      <c r="W2">
        <f>'BCDTRtSY-state-adjusted'!W13</f>
        <v>1.1118277128893022</v>
      </c>
      <c r="X2">
        <f>'BCDTRtSY-state-adjusted'!X13</f>
        <v>1.1191812306602811</v>
      </c>
      <c r="Y2">
        <f>'BCDTRtSY-state-adjusted'!Y13</f>
        <v>1.1272053776219102</v>
      </c>
      <c r="Z2">
        <f>'BCDTRtSY-state-adjusted'!Z13</f>
        <v>1.1339600886829972</v>
      </c>
      <c r="AA2">
        <f>'BCDTRtSY-state-adjusted'!AA13</f>
        <v>1.1414789089962176</v>
      </c>
      <c r="AB2">
        <f>'BCDTRtSY-state-adjusted'!AB13</f>
        <v>1.1482430725390715</v>
      </c>
    </row>
    <row r="3" spans="1:28">
      <c r="A3" t="s">
        <v>118</v>
      </c>
      <c r="B3">
        <f>'BCDTRtSY-state-adjusted'!B14</f>
        <v>1</v>
      </c>
      <c r="C3">
        <f>'BCDTRtSY-state-adjusted'!C14</f>
        <v>1</v>
      </c>
      <c r="D3">
        <f>'BCDTRtSY-state-adjusted'!D14</f>
        <v>1.0103207167762884</v>
      </c>
      <c r="E3">
        <f>'BCDTRtSY-state-adjusted'!E14</f>
        <v>1.0248764843217271</v>
      </c>
      <c r="F3">
        <f>'BCDTRtSY-state-adjusted'!F14</f>
        <v>1.0385660993379884</v>
      </c>
      <c r="G3">
        <f>'BCDTRtSY-state-adjusted'!G14</f>
        <v>1.0496596380432939</v>
      </c>
      <c r="H3">
        <f>'BCDTRtSY-state-adjusted'!H14</f>
        <v>1.063127143499867</v>
      </c>
      <c r="I3">
        <f>'BCDTRtSY-state-adjusted'!I14</f>
        <v>1.0701504101210955</v>
      </c>
      <c r="J3">
        <f>'BCDTRtSY-state-adjusted'!J14</f>
        <v>1.0780797658014989</v>
      </c>
      <c r="K3">
        <f>'BCDTRtSY-state-adjusted'!K14</f>
        <v>1.0838147768368083</v>
      </c>
      <c r="L3">
        <f>'BCDTRtSY-state-adjusted'!L14</f>
        <v>1.0907999604355831</v>
      </c>
      <c r="M3">
        <f>'BCDTRtSY-state-adjusted'!M14</f>
        <v>1.097644156463397</v>
      </c>
      <c r="N3">
        <f>'BCDTRtSY-state-adjusted'!N14</f>
        <v>1.1036833960264723</v>
      </c>
      <c r="O3">
        <f>'BCDTRtSY-state-adjusted'!O14</f>
        <v>1.1090225584155899</v>
      </c>
      <c r="P3">
        <f>'BCDTRtSY-state-adjusted'!P14</f>
        <v>1.113350877931973</v>
      </c>
      <c r="Q3">
        <f>'BCDTRtSY-state-adjusted'!Q14</f>
        <v>1.1171102499253809</v>
      </c>
      <c r="R3">
        <f>'BCDTRtSY-state-adjusted'!R14</f>
        <v>1.1210456956558261</v>
      </c>
      <c r="S3">
        <f>'BCDTRtSY-state-adjusted'!S14</f>
        <v>1.1243800774070261</v>
      </c>
      <c r="T3">
        <f>'BCDTRtSY-state-adjusted'!T14</f>
        <v>1.1271809079485715</v>
      </c>
      <c r="U3">
        <f>'BCDTRtSY-state-adjusted'!U14</f>
        <v>1.1289662818997754</v>
      </c>
      <c r="V3">
        <f>'BCDTRtSY-state-adjusted'!V14</f>
        <v>1.1310616686290043</v>
      </c>
      <c r="W3">
        <f>'BCDTRtSY-state-adjusted'!W14</f>
        <v>1.1350110955350099</v>
      </c>
      <c r="X3">
        <f>'BCDTRtSY-state-adjusted'!X14</f>
        <v>1.1391616256301458</v>
      </c>
      <c r="Y3">
        <f>'BCDTRtSY-state-adjusted'!Y14</f>
        <v>1.1432103287715369</v>
      </c>
      <c r="Z3">
        <f>'BCDTRtSY-state-adjusted'!Z14</f>
        <v>1.1451505588153441</v>
      </c>
      <c r="AA3">
        <f>'BCDTRtSY-state-adjusted'!AA14</f>
        <v>1.1470114286067226</v>
      </c>
      <c r="AB3">
        <f>'BCDTRtSY-state-adjusted'!AB14</f>
        <v>1.1483116766865338</v>
      </c>
    </row>
    <row r="4" spans="1:28">
      <c r="A4" t="s">
        <v>116</v>
      </c>
      <c r="B4">
        <f>'BCDTRtSY-state-adjusted'!B15</f>
        <v>1</v>
      </c>
      <c r="C4">
        <f>'BCDTRtSY-state-adjusted'!C15</f>
        <v>1</v>
      </c>
      <c r="D4">
        <f>'BCDTRtSY-state-adjusted'!D15</f>
        <v>1.0263838907710148</v>
      </c>
      <c r="E4">
        <f>'BCDTRtSY-state-adjusted'!E15</f>
        <v>1.0449959834467268</v>
      </c>
      <c r="F4">
        <f>'BCDTRtSY-state-adjusted'!F15</f>
        <v>1.0571460560358665</v>
      </c>
      <c r="G4">
        <f>'BCDTRtSY-state-adjusted'!G15</f>
        <v>1.0729904447103931</v>
      </c>
      <c r="H4">
        <f>'BCDTRtSY-state-adjusted'!H15</f>
        <v>1.091811749405952</v>
      </c>
      <c r="I4">
        <f>'BCDTRtSY-state-adjusted'!I15</f>
        <v>1.1081709650506857</v>
      </c>
      <c r="J4">
        <f>'BCDTRtSY-state-adjusted'!J15</f>
        <v>1.1276002957286428</v>
      </c>
      <c r="K4">
        <f>'BCDTRtSY-state-adjusted'!K15</f>
        <v>1.1484505457352645</v>
      </c>
      <c r="L4">
        <f>'BCDTRtSY-state-adjusted'!L15</f>
        <v>1.1710232944772263</v>
      </c>
      <c r="M4">
        <f>'BCDTRtSY-state-adjusted'!M15</f>
        <v>1.1954287349409141</v>
      </c>
      <c r="N4">
        <f>'BCDTRtSY-state-adjusted'!N15</f>
        <v>1.2153179276772146</v>
      </c>
      <c r="O4">
        <f>'BCDTRtSY-state-adjusted'!O15</f>
        <v>1.2353554729658562</v>
      </c>
      <c r="P4">
        <f>'BCDTRtSY-state-adjusted'!P15</f>
        <v>1.255318150749507</v>
      </c>
      <c r="Q4">
        <f>'BCDTRtSY-state-adjusted'!Q15</f>
        <v>1.2746967532924609</v>
      </c>
      <c r="R4">
        <f>'BCDTRtSY-state-adjusted'!R15</f>
        <v>1.2944739457473271</v>
      </c>
      <c r="S4">
        <f>'BCDTRtSY-state-adjusted'!S15</f>
        <v>1.3129820109826922</v>
      </c>
      <c r="T4">
        <f>'BCDTRtSY-state-adjusted'!T15</f>
        <v>1.3322735410933817</v>
      </c>
      <c r="U4">
        <f>'BCDTRtSY-state-adjusted'!U15</f>
        <v>1.3525131830946504</v>
      </c>
      <c r="V4">
        <f>'BCDTRtSY-state-adjusted'!V15</f>
        <v>1.3727561507477606</v>
      </c>
      <c r="W4">
        <f>'BCDTRtSY-state-adjusted'!W15</f>
        <v>1.393143050337875</v>
      </c>
      <c r="X4">
        <f>'BCDTRtSY-state-adjusted'!X15</f>
        <v>1.4129066229588121</v>
      </c>
      <c r="Y4">
        <f>'BCDTRtSY-state-adjusted'!Y15</f>
        <v>1.4314026009411889</v>
      </c>
      <c r="Z4">
        <f>'BCDTRtSY-state-adjusted'!Z15</f>
        <v>1.4500865219304222</v>
      </c>
      <c r="AA4">
        <f>'BCDTRtSY-state-adjusted'!AA15</f>
        <v>1.468122397767081</v>
      </c>
      <c r="AB4">
        <f>'BCDTRtSY-state-adjusted'!AB15</f>
        <v>1.4865768415738769</v>
      </c>
    </row>
    <row r="5" spans="1:28">
      <c r="A5" t="s">
        <v>121</v>
      </c>
      <c r="B5">
        <f>'BCDTRtSY-state-adjusted'!B16</f>
        <v>1</v>
      </c>
      <c r="C5">
        <f>'BCDTRtSY-state-adjusted'!C16</f>
        <v>1</v>
      </c>
      <c r="D5">
        <f>'BCDTRtSY-state-adjusted'!D16</f>
        <v>0.9768461009238566</v>
      </c>
      <c r="E5">
        <f>'BCDTRtSY-state-adjusted'!E16</f>
        <v>1.0078928985569671</v>
      </c>
      <c r="F5">
        <f>'BCDTRtSY-state-adjusted'!F16</f>
        <v>0.98678701035636895</v>
      </c>
      <c r="G5">
        <f>'BCDTRtSY-state-adjusted'!G16</f>
        <v>0.97856862188964511</v>
      </c>
      <c r="H5">
        <f>'BCDTRtSY-state-adjusted'!H16</f>
        <v>0.98465635541866336</v>
      </c>
      <c r="I5">
        <f>'BCDTRtSY-state-adjusted'!I16</f>
        <v>0.95721117212517104</v>
      </c>
      <c r="J5">
        <f>'BCDTRtSY-state-adjusted'!J16</f>
        <v>0.95904074590884003</v>
      </c>
      <c r="K5">
        <f>'BCDTRtSY-state-adjusted'!K16</f>
        <v>0.96101496157525834</v>
      </c>
      <c r="L5">
        <f>'BCDTRtSY-state-adjusted'!L16</f>
        <v>0.95612520717479976</v>
      </c>
      <c r="M5">
        <f>'BCDTRtSY-state-adjusted'!M16</f>
        <v>0.95709248818159331</v>
      </c>
      <c r="N5">
        <f>'BCDTRtSY-state-adjusted'!N16</f>
        <v>0.95721279286698291</v>
      </c>
      <c r="O5">
        <f>'BCDTRtSY-state-adjusted'!O16</f>
        <v>0.958694165830833</v>
      </c>
      <c r="P5">
        <f>'BCDTRtSY-state-adjusted'!P16</f>
        <v>0.9569536289374877</v>
      </c>
      <c r="Q5">
        <f>'BCDTRtSY-state-adjusted'!Q16</f>
        <v>0.95676198445548466</v>
      </c>
      <c r="R5">
        <f>'BCDTRtSY-state-adjusted'!R16</f>
        <v>0.95560268415798122</v>
      </c>
      <c r="S5">
        <f>'BCDTRtSY-state-adjusted'!S16</f>
        <v>0.95235267818864933</v>
      </c>
      <c r="T5">
        <f>'BCDTRtSY-state-adjusted'!T16</f>
        <v>0.94704461261118345</v>
      </c>
      <c r="U5">
        <f>'BCDTRtSY-state-adjusted'!U16</f>
        <v>0.9423792300988223</v>
      </c>
      <c r="V5">
        <f>'BCDTRtSY-state-adjusted'!V16</f>
        <v>0.94013634716644046</v>
      </c>
      <c r="W5">
        <f>'BCDTRtSY-state-adjusted'!W16</f>
        <v>0.93732374287254416</v>
      </c>
      <c r="X5">
        <f>'BCDTRtSY-state-adjusted'!X16</f>
        <v>0.93695970613866775</v>
      </c>
      <c r="Y5">
        <f>'BCDTRtSY-state-adjusted'!Y16</f>
        <v>0.94014995275056223</v>
      </c>
      <c r="Z5">
        <f>'BCDTRtSY-state-adjusted'!Z16</f>
        <v>0.94080135677938714</v>
      </c>
      <c r="AA5">
        <f>'BCDTRtSY-state-adjusted'!AA16</f>
        <v>0.93581019566082158</v>
      </c>
      <c r="AB5">
        <f>'BCDTRtSY-state-adjusted'!AB16</f>
        <v>0.93147935228085565</v>
      </c>
    </row>
    <row r="6" spans="1:28">
      <c r="A6" t="s">
        <v>122</v>
      </c>
      <c r="B6">
        <f>'BCDTRtSY-state-adjusted'!B17</f>
        <v>1</v>
      </c>
      <c r="C6">
        <f>'BCDTRtSY-state-adjusted'!C17</f>
        <v>1</v>
      </c>
      <c r="D6">
        <f>'BCDTRtSY-state-adjusted'!D17</f>
        <v>0.99171097966349842</v>
      </c>
      <c r="E6">
        <f>'BCDTRtSY-state-adjusted'!E17</f>
        <v>1.0104073223123964</v>
      </c>
      <c r="F6">
        <f>'BCDTRtSY-state-adjusted'!F17</f>
        <v>1.0311127329955883</v>
      </c>
      <c r="G6">
        <f>'BCDTRtSY-state-adjusted'!G17</f>
        <v>1.0484407598311938</v>
      </c>
      <c r="H6">
        <f>'BCDTRtSY-state-adjusted'!H17</f>
        <v>1.0666791883082118</v>
      </c>
      <c r="I6">
        <f>'BCDTRtSY-state-adjusted'!I17</f>
        <v>1.0814432887683703</v>
      </c>
      <c r="J6">
        <f>'BCDTRtSY-state-adjusted'!J17</f>
        <v>1.098189809651404</v>
      </c>
      <c r="K6">
        <f>'BCDTRtSY-state-adjusted'!K17</f>
        <v>1.115163158773737</v>
      </c>
      <c r="L6">
        <f>'BCDTRtSY-state-adjusted'!L17</f>
        <v>1.1327850682145491</v>
      </c>
      <c r="M6">
        <f>'BCDTRtSY-state-adjusted'!M17</f>
        <v>1.1513385283002695</v>
      </c>
      <c r="N6">
        <f>'BCDTRtSY-state-adjusted'!N17</f>
        <v>1.1658493249343054</v>
      </c>
      <c r="O6">
        <f>'BCDTRtSY-state-adjusted'!O17</f>
        <v>1.1769988707864745</v>
      </c>
      <c r="P6">
        <f>'BCDTRtSY-state-adjusted'!P17</f>
        <v>1.1880960315471372</v>
      </c>
      <c r="Q6">
        <f>'BCDTRtSY-state-adjusted'!Q17</f>
        <v>1.1979853442376105</v>
      </c>
      <c r="R6">
        <f>'BCDTRtSY-state-adjusted'!R17</f>
        <v>1.2079165919775963</v>
      </c>
      <c r="S6">
        <f>'BCDTRtSY-state-adjusted'!S17</f>
        <v>1.2170561895345036</v>
      </c>
      <c r="T6">
        <f>'BCDTRtSY-state-adjusted'!T17</f>
        <v>1.2271949727901006</v>
      </c>
      <c r="U6">
        <f>'BCDTRtSY-state-adjusted'!U17</f>
        <v>1.2368724874036381</v>
      </c>
      <c r="V6">
        <f>'BCDTRtSY-state-adjusted'!V17</f>
        <v>1.2463572442264317</v>
      </c>
      <c r="W6">
        <f>'BCDTRtSY-state-adjusted'!W17</f>
        <v>1.2571143977298029</v>
      </c>
      <c r="X6">
        <f>'BCDTRtSY-state-adjusted'!X17</f>
        <v>1.2679720099062701</v>
      </c>
      <c r="Y6">
        <f>'BCDTRtSY-state-adjusted'!Y17</f>
        <v>1.2789635497075247</v>
      </c>
      <c r="Z6">
        <f>'BCDTRtSY-state-adjusted'!Z17</f>
        <v>1.2891561287339586</v>
      </c>
      <c r="AA6">
        <f>'BCDTRtSY-state-adjusted'!AA17</f>
        <v>1.2990013686895288</v>
      </c>
      <c r="AB6">
        <f>'BCDTRtSY-state-adjusted'!AB17</f>
        <v>1.3101885559114441</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2026-08-14T21:49:31Z</dcterms:modified>
</cp:coreProperties>
</file>