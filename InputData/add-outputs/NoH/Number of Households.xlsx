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RI\add-outputs\NoH\"/>
    </mc:Choice>
  </mc:AlternateContent>
  <xr:revisionPtr revIDLastSave="0" documentId="8_{462E314E-E282-4DAA-9EEF-2D58A70A0A83}"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AA2" i="3"/>
  <c r="U2" i="3"/>
  <c r="W2" i="3"/>
  <c r="D2" i="3"/>
  <c r="Z2" i="3"/>
  <c r="E2" i="3"/>
  <c r="F2" i="3"/>
  <c r="AB2" i="3"/>
  <c r="V2" i="3"/>
  <c r="G2" i="3"/>
  <c r="AC2" i="3"/>
  <c r="M2" i="3"/>
  <c r="Q2" i="3"/>
  <c r="T2" i="3"/>
  <c r="H2" i="3"/>
  <c r="AD2" i="3"/>
  <c r="B2" i="3"/>
  <c r="N2" i="3"/>
  <c r="I2" i="3"/>
  <c r="AE2" i="3"/>
  <c r="J2" i="3"/>
  <c r="R2" i="3"/>
  <c r="K2" i="3"/>
  <c r="L2" i="3"/>
  <c r="O2" i="3"/>
  <c r="P2" i="3"/>
  <c r="S2" i="3"/>
  <c r="X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<sst xmlns="http://schemas.openxmlformats.org/spreadsheetml/2006/main" count="1069" uniqueCount="448">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</sst>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402</v>
      </c>
      <c r="C1" s="68">
        <v>46185</v>
      </c>
      <c r="H1" t="s">
        <v>324</v>
      </c>
      <c r="I1" t="s">
        <v>325</v>
      </c>
    </row>
    <row r="2" spans="1:9" x14ac:dyDescent="0.25">
      <c r="B2" t="str">
        <f>VLOOKUP(B1,H2:I52,2)</f>
        <v>RI</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426621.79892784113</v>
      </c>
      <c r="C2">
        <f>SUMIFS('state calcs'!C62:C112,'state calcs'!$A$62:$A$112,About!$B$2)</f>
        <v>432300.61384394247</v>
      </c>
      <c r="D2">
        <f>SUMIFS('state calcs'!D62:D112,'state calcs'!$A$62:$A$112,About!$B$2)</f>
        <v>435409.89828670613</v>
      </c>
      <c r="E2">
        <f>SUMIFS('state calcs'!E62:E112,'state calcs'!$A$62:$A$112,About!$B$2)</f>
        <v>438518.53931514517</v>
      </c>
      <c r="F2">
        <f>SUMIFS('state calcs'!F62:F112,'state calcs'!$A$62:$A$112,About!$B$2)</f>
        <v>441710.77944814676</v>
      </c>
      <c r="G2">
        <f>SUMIFS('state calcs'!G62:G112,'state calcs'!$A$62:$A$112,About!$B$2)</f>
        <v>444883.4902038264</v>
      </c>
      <c r="H2">
        <f>SUMIFS('state calcs'!H62:H112,'state calcs'!$A$62:$A$112,About!$B$2)</f>
        <v>448068.60270636127</v>
      </c>
      <c r="I2">
        <f>SUMIFS('state calcs'!I62:I112,'state calcs'!$A$62:$A$112,About!$B$2)</f>
        <v>451274.34948735381</v>
      </c>
      <c r="J2">
        <f>SUMIFS('state calcs'!J62:J112,'state calcs'!$A$62:$A$112,About!$B$2)</f>
        <v>454440.65718226362</v>
      </c>
      <c r="K2">
        <f>SUMIFS('state calcs'!K62:K112,'state calcs'!$A$62:$A$112,About!$B$2)</f>
        <v>457495.09238942823</v>
      </c>
      <c r="L2">
        <f>SUMIFS('state calcs'!L62:L112,'state calcs'!$A$62:$A$112,About!$B$2)</f>
        <v>459920.82477655204</v>
      </c>
      <c r="M2">
        <f>SUMIFS('state calcs'!M62:M112,'state calcs'!$A$62:$A$112,About!$B$2)</f>
        <v>462302.83067933662</v>
      </c>
      <c r="N2">
        <f>SUMIFS('state calcs'!N62:N112,'state calcs'!$A$62:$A$112,About!$B$2)</f>
        <v>464586.51821750007</v>
      </c>
      <c r="O2">
        <f>SUMIFS('state calcs'!O62:O112,'state calcs'!$A$62:$A$112,About!$B$2)</f>
        <v>466738.95221080579</v>
      </c>
      <c r="P2">
        <f>SUMIFS('state calcs'!P62:P112,'state calcs'!$A$62:$A$112,About!$B$2)</f>
        <v>468828.55328173522</v>
      </c>
      <c r="Q2">
        <f>SUMIFS('state calcs'!Q62:Q112,'state calcs'!$A$62:$A$112,About!$B$2)</f>
        <v>470910.24333163747</v>
      </c>
      <c r="R2">
        <f>SUMIFS('state calcs'!R62:R112,'state calcs'!$A$62:$A$112,About!$B$2)</f>
        <v>472956.2407226559</v>
      </c>
      <c r="S2">
        <f>SUMIFS('state calcs'!S62:S112,'state calcs'!$A$62:$A$112,About!$B$2)</f>
        <v>474974.74193849252</v>
      </c>
      <c r="T2">
        <f>SUMIFS('state calcs'!T62:T112,'state calcs'!$A$62:$A$112,About!$B$2)</f>
        <v>476955.21150494309</v>
      </c>
      <c r="U2">
        <f>SUMIFS('state calcs'!U62:U112,'state calcs'!$A$62:$A$112,About!$B$2)</f>
        <v>478962.79950032273</v>
      </c>
      <c r="V2">
        <f>SUMIFS('state calcs'!V62:V112,'state calcs'!$A$62:$A$112,About!$B$2)</f>
        <v>480810.76731901988</v>
      </c>
      <c r="W2">
        <f>SUMIFS('state calcs'!W62:W112,'state calcs'!$A$62:$A$112,About!$B$2)</f>
        <v>482590.31181720609</v>
      </c>
      <c r="X2">
        <f>SUMIFS('state calcs'!X62:X112,'state calcs'!$A$62:$A$112,About!$B$2)</f>
        <v>484328.03707959718</v>
      </c>
      <c r="Y2">
        <f>SUMIFS('state calcs'!Y62:Y112,'state calcs'!$A$62:$A$112,About!$B$2)</f>
        <v>486026.82398666244</v>
      </c>
      <c r="Z2">
        <f>SUMIFS('state calcs'!Z62:Z112,'state calcs'!$A$62:$A$112,About!$B$2)</f>
        <v>487690.50598893862</v>
      </c>
      <c r="AA2">
        <f>SUMIFS('state calcs'!AA62:AA112,'state calcs'!$A$62:$A$112,About!$B$2)</f>
        <v>489307.20064525324</v>
      </c>
      <c r="AB2">
        <f>SUMIFS('state calcs'!AB62:AB112,'state calcs'!$A$62:$A$112,About!$B$2)</f>
        <v>490897.93817190576</v>
      </c>
      <c r="AC2">
        <f>SUMIFS('state calcs'!AC62:AC112,'state calcs'!$A$62:$A$112,About!$B$2)</f>
        <v>492440.02166659327</v>
      </c>
      <c r="AD2">
        <f>SUMIFS('state calcs'!AD62:AD112,'state calcs'!$A$62:$A$112,About!$B$2)</f>
        <v>493930.53983287112</v>
      </c>
      <c r="AE2">
        <f>SUMIFS('state calcs'!AE62:AE112,'state calcs'!$A$62:$A$112,About!$B$2)</f>
        <v>495379.67530661228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2026-06-12T19:29:52Z</dcterms:modified>
</cp:coreProperties>
</file>