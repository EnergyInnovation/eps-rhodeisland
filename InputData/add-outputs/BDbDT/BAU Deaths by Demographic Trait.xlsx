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E127F224-389D-4A7E-9CE8-FCB98A8D2B99}"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M23" i="9"/>
  <c r="L23" i="9"/>
  <c r="K23" i="9"/>
  <c r="J23" i="9"/>
  <c r="I23" i="9"/>
  <c r="H23" i="9"/>
  <c r="G23" i="9"/>
  <c r="F23" i="9"/>
  <c r="E23" i="9"/>
  <c r="D23" i="9"/>
  <c r="C23" i="9"/>
  <c r="B23" i="9"/>
  <c r="AB22" i="9"/>
  <c r="AA22" i="9"/>
  <c r="Z22" i="9"/>
  <c r="Y22" i="9"/>
  <c r="X22" i="9"/>
  <c r="W22" i="9"/>
  <c r="V22" i="9"/>
  <c r="U22" i="9"/>
  <c r="U42" i="9" s="1"/>
  <c r="T22" i="9"/>
  <c r="T42" i="9" s="1"/>
  <c r="S22" i="9"/>
  <c r="R22" i="9"/>
  <c r="Q22" i="9"/>
  <c r="P22" i="9"/>
  <c r="O22" i="9"/>
  <c r="N22" i="9"/>
  <c r="M22" i="9"/>
  <c r="L22" i="9"/>
  <c r="K22" i="9"/>
  <c r="J22" i="9"/>
  <c r="I22" i="9"/>
  <c r="H22" i="9"/>
  <c r="G22" i="9"/>
  <c r="F22" i="9"/>
  <c r="E22" i="9"/>
  <c r="D22" i="9"/>
  <c r="C22" i="9"/>
  <c r="B22" i="9"/>
  <c r="AB21" i="9"/>
  <c r="AA21" i="9"/>
  <c r="Z21" i="9"/>
  <c r="Z41" i="9" s="1"/>
  <c r="Y21" i="9"/>
  <c r="Y41" i="9" s="1"/>
  <c r="X21" i="9"/>
  <c r="W21" i="9"/>
  <c r="V21" i="9"/>
  <c r="U21" i="9"/>
  <c r="T21" i="9"/>
  <c r="S21" i="9"/>
  <c r="R21" i="9"/>
  <c r="Q21" i="9"/>
  <c r="P21" i="9"/>
  <c r="O21" i="9"/>
  <c r="N21" i="9"/>
  <c r="M21" i="9"/>
  <c r="L21" i="9"/>
  <c r="K21" i="9"/>
  <c r="J21" i="9"/>
  <c r="I21" i="9"/>
  <c r="H21" i="9"/>
  <c r="G21" i="9"/>
  <c r="F21" i="9"/>
  <c r="E21" i="9"/>
  <c r="D21" i="9"/>
  <c r="D41" i="9" s="1"/>
  <c r="C21" i="9"/>
  <c r="C41" i="9" s="1"/>
  <c r="B21" i="9"/>
  <c r="AB20" i="9"/>
  <c r="AA20" i="9"/>
  <c r="Z20" i="9"/>
  <c r="Y20" i="9"/>
  <c r="X20" i="9"/>
  <c r="W20" i="9"/>
  <c r="V20" i="9"/>
  <c r="U20" i="9"/>
  <c r="T20" i="9"/>
  <c r="S20" i="9"/>
  <c r="R20" i="9"/>
  <c r="Q20" i="9"/>
  <c r="P20" i="9"/>
  <c r="O20" i="9"/>
  <c r="N20" i="9"/>
  <c r="M20" i="9"/>
  <c r="L20" i="9"/>
  <c r="K20" i="9"/>
  <c r="J20" i="9"/>
  <c r="I20" i="9"/>
  <c r="I40" i="9" s="1"/>
  <c r="H20" i="9"/>
  <c r="G20" i="9"/>
  <c r="F20" i="9"/>
  <c r="E20" i="9"/>
  <c r="D20" i="9"/>
  <c r="C20" i="9"/>
  <c r="B20" i="9"/>
  <c r="AB19" i="9"/>
  <c r="AA19" i="9"/>
  <c r="Z19" i="9"/>
  <c r="Y19" i="9"/>
  <c r="X19" i="9"/>
  <c r="W19" i="9"/>
  <c r="V19" i="9"/>
  <c r="U19" i="9"/>
  <c r="T19" i="9"/>
  <c r="S19" i="9"/>
  <c r="R19" i="9"/>
  <c r="Q19" i="9"/>
  <c r="P19" i="9"/>
  <c r="O19" i="9"/>
  <c r="N19" i="9"/>
  <c r="N39" i="9" s="1"/>
  <c r="M19" i="9"/>
  <c r="M39" i="9" s="1"/>
  <c r="L19" i="9"/>
  <c r="K19" i="9"/>
  <c r="J19" i="9"/>
  <c r="I19" i="9"/>
  <c r="H19" i="9"/>
  <c r="G19" i="9"/>
  <c r="F19" i="9"/>
  <c r="E19" i="9"/>
  <c r="D19" i="9"/>
  <c r="C19" i="9"/>
  <c r="B19" i="9"/>
  <c r="AB18" i="9"/>
  <c r="AA18" i="9"/>
  <c r="Z18" i="9"/>
  <c r="Y18" i="9"/>
  <c r="X18" i="9"/>
  <c r="W18" i="9"/>
  <c r="V18" i="9"/>
  <c r="U18" i="9"/>
  <c r="T18" i="9"/>
  <c r="S18" i="9"/>
  <c r="S38" i="9" s="1"/>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L39" i="9" l="1"/>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M4" i="11" s="1"/>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D4" i="11" s="1"/>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<sst xmlns="http://schemas.openxmlformats.org/spreadsheetml/2006/main" count="5677" uniqueCount="335">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</sst>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156</v>
      </c>
    </row>
    <row r="2" spans="1:2" x14ac:dyDescent="0.25">
      <c r="A2" s="3" t="s">
        <v>2</v>
      </c>
      <c r="B2" s="4" t="str">
        <f>IFERROR(INDEX(Geography!B:B, MATCH($B$1, Geography!C:C, 0)), "")</f>
        <v>RI</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545171</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1112308</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0.98863952356278417</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567137</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1112308</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1.0111693327800944</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907310</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1112308</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1.0854697795159489</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105806</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1112308</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0.69630269563786251</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45061</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1112308</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0.62739447859345865</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54131</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1112308</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1.0278747465375808</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208976</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1112308</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0.96277711829782975</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903332</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1112308</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1.0090247476487573</v>
      </c>
    </row>
    <row r="12" spans="1:28" x14ac:dyDescent="0.25">
      <c r="A12" s="4" t="s">
        <v>319</v>
      </c>
    </row>
    <row r="13" spans="1:28" x14ac:dyDescent="0.25">
      <c r="A13" s="4" t="s">
        <v>320</v>
      </c>
      <c r="B13" s="37">
        <f>INDEX(Census_pop_2020_2025!G:G, MATCH("."&amp;About!$B$1, Census_pop_2020_2025!A:A, 0))</f>
        <v>1110415</v>
      </c>
      <c r="C13" s="37">
        <f>INDEX(Census_pop_2020_2025!H:H, MATCH("."&amp;About!$B$1, Census_pop_2020_2025!A:A, 0))</f>
        <v>1114521</v>
      </c>
      <c r="D13" s="37">
        <f>INDEX(Census_pop_2020_2025!H:H, MATCH("."&amp;About!$B$1, Census_pop_2020_2025!A:A, 0))+0.2*(INDEX(Cooper_pop_2030_2050!D:D, MATCH(About!$B$1, Cooper_pop_2030_2050!B:B, 0))-INDEX(Census_pop_2020_2025!H:H, MATCH("."&amp;About!$B$1, Census_pop_2020_2025!A:A, 0)))</f>
        <v>1118005.1826621965</v>
      </c>
      <c r="E13" s="37">
        <f>INDEX(Census_pop_2020_2025!H:H, MATCH("."&amp;About!$B$1, Census_pop_2020_2025!A:A, 0))+0.4*(INDEX(Cooper_pop_2030_2050!D:D, MATCH(About!$B$1, Cooper_pop_2030_2050!B:B, 0))-INDEX(Census_pop_2020_2025!H:H, MATCH("."&amp;About!$B$1, Census_pop_2020_2025!A:A, 0)))</f>
        <v>1121489.3653243929</v>
      </c>
      <c r="F13" s="37">
        <f>INDEX(Census_pop_2020_2025!H:H, MATCH("."&amp;About!$B$1, Census_pop_2020_2025!A:A, 0))+0.6*(INDEX(Cooper_pop_2030_2050!D:D, MATCH(About!$B$1, Cooper_pop_2030_2050!B:B, 0))-INDEX(Census_pop_2020_2025!H:H, MATCH("."&amp;About!$B$1, Census_pop_2020_2025!A:A, 0)))</f>
        <v>1124973.5479865891</v>
      </c>
      <c r="G13" s="37">
        <f>INDEX(Census_pop_2020_2025!H:H, MATCH("."&amp;About!$B$1, Census_pop_2020_2025!A:A, 0))+0.8*(INDEX(Cooper_pop_2030_2050!D:D, MATCH(About!$B$1, Cooper_pop_2030_2050!B:B, 0))-INDEX(Census_pop_2020_2025!H:H, MATCH("."&amp;About!$B$1, Census_pop_2020_2025!A:A, 0)))</f>
        <v>1128457.7306487856</v>
      </c>
      <c r="H13" s="37">
        <f>INDEX(Cooper_pop_2030_2050!D:D, MATCH(About!$B$1, Cooper_pop_2030_2050!B:B, 0))</f>
        <v>1131941.9133109821</v>
      </c>
      <c r="I13" s="37">
        <f>INDEX(Cooper_pop_2030_2050!D:D, MATCH(About!$B$1, Cooper_pop_2030_2050!B:B, 0))+0.1*(INDEX(Cooper_pop_2030_2050!E:E, MATCH(About!$B$1, Cooper_pop_2030_2050!B:B, 0))-INDEX(Cooper_pop_2030_2050!D:D, MATCH(About!$B$1, Cooper_pop_2030_2050!B:B, 0)))</f>
        <v>1132211.4794184815</v>
      </c>
      <c r="J13" s="37">
        <f>INDEX(Cooper_pop_2030_2050!D:D, MATCH(About!$B$1, Cooper_pop_2030_2050!B:B, 0))+0.2*(INDEX(Cooper_pop_2030_2050!E:E, MATCH(About!$B$1, Cooper_pop_2030_2050!B:B, 0))-INDEX(Cooper_pop_2030_2050!D:D, MATCH(About!$B$1, Cooper_pop_2030_2050!B:B, 0)))</f>
        <v>1132481.0455259811</v>
      </c>
      <c r="K13" s="37">
        <f>INDEX(Cooper_pop_2030_2050!D:D, MATCH(About!$B$1, Cooper_pop_2030_2050!B:B, 0))+0.3*(INDEX(Cooper_pop_2030_2050!E:E, MATCH(About!$B$1, Cooper_pop_2030_2050!B:B, 0))-INDEX(Cooper_pop_2030_2050!D:D, MATCH(About!$B$1, Cooper_pop_2030_2050!B:B, 0)))</f>
        <v>1132750.6116334805</v>
      </c>
      <c r="L13" s="37">
        <f>INDEX(Cooper_pop_2030_2050!D:D, MATCH(About!$B$1, Cooper_pop_2030_2050!B:B, 0))+0.4*(INDEX(Cooper_pop_2030_2050!E:E, MATCH(About!$B$1, Cooper_pop_2030_2050!B:B, 0))-INDEX(Cooper_pop_2030_2050!D:D, MATCH(About!$B$1, Cooper_pop_2030_2050!B:B, 0)))</f>
        <v>1133020.1777409799</v>
      </c>
      <c r="M13" s="37">
        <f>INDEX(Cooper_pop_2030_2050!D:D, MATCH(About!$B$1, Cooper_pop_2030_2050!B:B, 0))+0.5*(INDEX(Cooper_pop_2030_2050!E:E, MATCH(About!$B$1, Cooper_pop_2030_2050!B:B, 0))-INDEX(Cooper_pop_2030_2050!D:D, MATCH(About!$B$1, Cooper_pop_2030_2050!B:B, 0)))</f>
        <v>1133289.7438484794</v>
      </c>
      <c r="N13" s="37">
        <f>INDEX(Cooper_pop_2030_2050!D:D, MATCH(About!$B$1, Cooper_pop_2030_2050!B:B, 0))+0.6*(INDEX(Cooper_pop_2030_2050!E:E, MATCH(About!$B$1, Cooper_pop_2030_2050!B:B, 0))-INDEX(Cooper_pop_2030_2050!D:D, MATCH(About!$B$1, Cooper_pop_2030_2050!B:B, 0)))</f>
        <v>1133559.309955979</v>
      </c>
      <c r="O13" s="37">
        <f>INDEX(Cooper_pop_2030_2050!D:D, MATCH(About!$B$1, Cooper_pop_2030_2050!B:B, 0))+0.7*(INDEX(Cooper_pop_2030_2050!E:E, MATCH(About!$B$1, Cooper_pop_2030_2050!B:B, 0))-INDEX(Cooper_pop_2030_2050!D:D, MATCH(About!$B$1, Cooper_pop_2030_2050!B:B, 0)))</f>
        <v>1133828.8760634784</v>
      </c>
      <c r="P13" s="37">
        <f>INDEX(Cooper_pop_2030_2050!D:D, MATCH(About!$B$1, Cooper_pop_2030_2050!B:B, 0))+0.8*(INDEX(Cooper_pop_2030_2050!E:E, MATCH(About!$B$1, Cooper_pop_2030_2050!B:B, 0))-INDEX(Cooper_pop_2030_2050!D:D, MATCH(About!$B$1, Cooper_pop_2030_2050!B:B, 0)))</f>
        <v>1134098.4421709778</v>
      </c>
      <c r="Q13" s="37">
        <f>INDEX(Cooper_pop_2030_2050!D:D, MATCH(About!$B$1, Cooper_pop_2030_2050!B:B, 0))+0.9*(INDEX(Cooper_pop_2030_2050!E:E, MATCH(About!$B$1, Cooper_pop_2030_2050!B:B, 0))-INDEX(Cooper_pop_2030_2050!D:D, MATCH(About!$B$1, Cooper_pop_2030_2050!B:B, 0)))</f>
        <v>1134368.0082784775</v>
      </c>
      <c r="R13" s="37">
        <f>INDEX(Cooper_pop_2030_2050!E:E, MATCH(About!$B$1, Cooper_pop_2030_2050!B:B, 0))</f>
        <v>1134637.5743859769</v>
      </c>
      <c r="S13" s="37">
        <f>INDEX(Cooper_pop_2030_2050!E:E, MATCH(About!$B$1, Cooper_pop_2030_2050!B:B, 0))+0.1*(INDEX(Cooper_pop_2030_2050!F:F, MATCH(About!$B$1, Cooper_pop_2030_2050!B:B, 0))-INDEX(Cooper_pop_2030_2050!E:E, MATCH(About!$B$1, Cooper_pop_2030_2050!B:B, 0)))</f>
        <v>1133575.0595401202</v>
      </c>
      <c r="T13" s="37">
        <f>INDEX(Cooper_pop_2030_2050!E:E, MATCH(About!$B$1, Cooper_pop_2030_2050!B:B, 0))+0.2*(INDEX(Cooper_pop_2030_2050!F:F, MATCH(About!$B$1, Cooper_pop_2030_2050!B:B, 0))-INDEX(Cooper_pop_2030_2050!E:E, MATCH(About!$B$1, Cooper_pop_2030_2050!B:B, 0)))</f>
        <v>1132512.5446942633</v>
      </c>
      <c r="U13" s="37">
        <f>INDEX(Cooper_pop_2030_2050!E:E, MATCH(About!$B$1, Cooper_pop_2030_2050!B:B, 0))+0.3*(INDEX(Cooper_pop_2030_2050!F:F, MATCH(About!$B$1, Cooper_pop_2030_2050!B:B, 0))-INDEX(Cooper_pop_2030_2050!E:E, MATCH(About!$B$1, Cooper_pop_2030_2050!B:B, 0)))</f>
        <v>1131450.0298484066</v>
      </c>
      <c r="V13" s="37">
        <f>INDEX(Cooper_pop_2030_2050!E:E, MATCH(About!$B$1, Cooper_pop_2030_2050!B:B, 0))+0.4*(INDEX(Cooper_pop_2030_2050!F:F, MATCH(About!$B$1, Cooper_pop_2030_2050!B:B, 0))-INDEX(Cooper_pop_2030_2050!E:E, MATCH(About!$B$1, Cooper_pop_2030_2050!B:B, 0)))</f>
        <v>1130387.5150025496</v>
      </c>
      <c r="W13" s="37">
        <f>INDEX(Cooper_pop_2030_2050!E:E, MATCH(About!$B$1, Cooper_pop_2030_2050!B:B, 0))+0.5*(INDEX(Cooper_pop_2030_2050!F:F, MATCH(About!$B$1, Cooper_pop_2030_2050!B:B, 0))-INDEX(Cooper_pop_2030_2050!E:E, MATCH(About!$B$1, Cooper_pop_2030_2050!B:B, 0)))</f>
        <v>1129325.0001566929</v>
      </c>
      <c r="X13" s="37">
        <f>INDEX(Cooper_pop_2030_2050!E:E, MATCH(About!$B$1, Cooper_pop_2030_2050!B:B, 0))+0.6*(INDEX(Cooper_pop_2030_2050!F:F, MATCH(About!$B$1, Cooper_pop_2030_2050!B:B, 0))-INDEX(Cooper_pop_2030_2050!E:E, MATCH(About!$B$1, Cooper_pop_2030_2050!B:B, 0)))</f>
        <v>1128262.4853108362</v>
      </c>
      <c r="Y13" s="37">
        <f>INDEX(Cooper_pop_2030_2050!E:E, MATCH(About!$B$1, Cooper_pop_2030_2050!B:B, 0))+0.7*(INDEX(Cooper_pop_2030_2050!F:F, MATCH(About!$B$1, Cooper_pop_2030_2050!B:B, 0))-INDEX(Cooper_pop_2030_2050!E:E, MATCH(About!$B$1, Cooper_pop_2030_2050!B:B, 0)))</f>
        <v>1127199.9704649793</v>
      </c>
      <c r="Z13" s="37">
        <f>INDEX(Cooper_pop_2030_2050!E:E, MATCH(About!$B$1, Cooper_pop_2030_2050!B:B, 0))+0.8*(INDEX(Cooper_pop_2030_2050!F:F, MATCH(About!$B$1, Cooper_pop_2030_2050!B:B, 0))-INDEX(Cooper_pop_2030_2050!E:E, MATCH(About!$B$1, Cooper_pop_2030_2050!B:B, 0)))</f>
        <v>1126137.4556191226</v>
      </c>
      <c r="AA13" s="37">
        <f>INDEX(Cooper_pop_2030_2050!E:E, MATCH(About!$B$1, Cooper_pop_2030_2050!B:B, 0))+0.9*(INDEX(Cooper_pop_2030_2050!F:F, MATCH(About!$B$1, Cooper_pop_2030_2050!B:B, 0))-INDEX(Cooper_pop_2030_2050!E:E, MATCH(About!$B$1, Cooper_pop_2030_2050!B:B, 0)))</f>
        <v>1125074.9407732657</v>
      </c>
      <c r="AB13" s="37">
        <f>INDEX(Cooper_pop_2030_2050!F:F, MATCH(About!$B$1, Cooper_pop_2030_2050!B:B, 0))</f>
        <v>1124012.425927409</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3.3000708673512828E-3</v>
      </c>
      <c r="C15" s="39">
        <f t="shared" si="1"/>
        <v>3.2972407992953971E-3</v>
      </c>
      <c r="D15" s="39">
        <f t="shared" si="1"/>
        <v>3.2929667920777433E-3</v>
      </c>
      <c r="E15" s="39">
        <f t="shared" si="1"/>
        <v>3.2891096985834013E-3</v>
      </c>
      <c r="F15" s="39">
        <f t="shared" si="1"/>
        <v>3.2856996676186604E-3</v>
      </c>
      <c r="G15" s="39">
        <f t="shared" si="1"/>
        <v>3.282749922163871E-3</v>
      </c>
      <c r="H15" s="39">
        <f t="shared" si="1"/>
        <v>3.2802915903192469E-3</v>
      </c>
      <c r="I15" s="39">
        <f t="shared" si="1"/>
        <v>3.2690820738663965E-3</v>
      </c>
      <c r="J15" s="39">
        <f t="shared" si="1"/>
        <v>3.2585153755383457E-3</v>
      </c>
      <c r="K15" s="39">
        <f t="shared" si="1"/>
        <v>3.2484792812991765E-3</v>
      </c>
      <c r="L15" s="39">
        <f t="shared" si="1"/>
        <v>3.238980586782255E-3</v>
      </c>
      <c r="M15" s="39">
        <f t="shared" si="1"/>
        <v>3.2300240623108815E-3</v>
      </c>
      <c r="N15" s="39">
        <f t="shared" si="1"/>
        <v>3.2216116317700183E-3</v>
      </c>
      <c r="O15" s="39">
        <f t="shared" si="1"/>
        <v>3.2137455854419593E-3</v>
      </c>
      <c r="P15" s="39">
        <f t="shared" si="1"/>
        <v>3.2064244081508836E-3</v>
      </c>
      <c r="Q15" s="39">
        <f t="shared" si="1"/>
        <v>3.1996403086497695E-3</v>
      </c>
      <c r="R15" s="39">
        <f t="shared" si="1"/>
        <v>3.1933820319673604E-3</v>
      </c>
      <c r="S15" s="39">
        <f t="shared" si="1"/>
        <v>3.1838996123466946E-3</v>
      </c>
      <c r="T15" s="39">
        <f t="shared" si="1"/>
        <v>3.1749237145609044E-3</v>
      </c>
      <c r="U15" s="39">
        <f t="shared" si="1"/>
        <v>3.1664238492502728E-3</v>
      </c>
      <c r="V15" s="39">
        <f t="shared" si="1"/>
        <v>3.1583593057587758E-3</v>
      </c>
      <c r="W15" s="39">
        <f t="shared" si="1"/>
        <v>3.1506845960115196E-3</v>
      </c>
      <c r="X15" s="39">
        <f t="shared" si="1"/>
        <v>3.1433533560265461E-3</v>
      </c>
      <c r="Y15" s="39">
        <f t="shared" si="1"/>
        <v>3.136335423361065E-3</v>
      </c>
      <c r="Z15" s="39">
        <f t="shared" si="1"/>
        <v>3.1295873601622044E-3</v>
      </c>
      <c r="AA15" s="39">
        <f t="shared" si="1"/>
        <v>3.1230654162821524E-3</v>
      </c>
      <c r="AB15" s="39">
        <f t="shared" si="1"/>
        <v>3.1167268514407801E-3</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30.704144991593243</v>
      </c>
      <c r="C48" s="37">
        <f t="shared" si="10"/>
        <v>30.446369230766216</v>
      </c>
      <c r="D48" s="37">
        <f t="shared" si="10"/>
        <v>30.172503392124941</v>
      </c>
      <c r="E48" s="37">
        <f t="shared" si="10"/>
        <v>29.90303640186827</v>
      </c>
      <c r="F48" s="37">
        <f t="shared" si="10"/>
        <v>29.631654437267919</v>
      </c>
      <c r="G48" s="37">
        <f t="shared" si="10"/>
        <v>29.358397861889806</v>
      </c>
      <c r="H48" s="37">
        <f t="shared" si="10"/>
        <v>29.083456405722043</v>
      </c>
      <c r="I48" s="37">
        <f t="shared" si="10"/>
        <v>28.741675715346759</v>
      </c>
      <c r="J48" s="37">
        <f t="shared" si="10"/>
        <v>28.384610845841621</v>
      </c>
      <c r="K48" s="37">
        <f t="shared" si="10"/>
        <v>28.0370498282836</v>
      </c>
      <c r="L48" s="37">
        <f t="shared" si="10"/>
        <v>27.676478249289694</v>
      </c>
      <c r="M48" s="37">
        <f t="shared" si="10"/>
        <v>27.325320104157932</v>
      </c>
      <c r="N48" s="37">
        <f t="shared" si="10"/>
        <v>26.986611664372283</v>
      </c>
      <c r="O48" s="37">
        <f t="shared" si="10"/>
        <v>26.615705171521856</v>
      </c>
      <c r="P48" s="37">
        <f t="shared" si="10"/>
        <v>26.260262597091856</v>
      </c>
      <c r="Q48" s="37">
        <f t="shared" si="10"/>
        <v>25.891535773534724</v>
      </c>
      <c r="R48" s="37">
        <f t="shared" si="10"/>
        <v>25.525183338809576</v>
      </c>
      <c r="S48" s="37">
        <f t="shared" si="10"/>
        <v>25.125172844652557</v>
      </c>
      <c r="T48" s="37">
        <f t="shared" si="10"/>
        <v>24.731039084803506</v>
      </c>
      <c r="U48" s="37">
        <f t="shared" si="10"/>
        <v>24.342392930243594</v>
      </c>
      <c r="V48" s="37">
        <f t="shared" si="10"/>
        <v>23.958780133837195</v>
      </c>
      <c r="W48" s="37">
        <f t="shared" si="10"/>
        <v>23.582842167801459</v>
      </c>
      <c r="X48" s="37">
        <f t="shared" si="10"/>
        <v>23.235849434808021</v>
      </c>
      <c r="Y48" s="37">
        <f t="shared" si="10"/>
        <v>22.89250618656963</v>
      </c>
      <c r="Z48" s="37">
        <f t="shared" si="10"/>
        <v>22.567882221361579</v>
      </c>
      <c r="AA48" s="37">
        <f t="shared" si="10"/>
        <v>22.249144032933138</v>
      </c>
      <c r="AB48" s="37">
        <f t="shared" si="10"/>
        <v>21.932831129625328</v>
      </c>
    </row>
    <row r="49" spans="1:28" x14ac:dyDescent="0.25">
      <c r="A49" s="4" t="s">
        <v>216</v>
      </c>
      <c r="B49" s="37">
        <f t="shared" ref="B49:AB49" si="11">B29*B15*$F$5</f>
        <v>25.040326149827948</v>
      </c>
      <c r="C49" s="37">
        <f t="shared" si="11"/>
        <v>24.882155297966804</v>
      </c>
      <c r="D49" s="37">
        <f t="shared" si="11"/>
        <v>24.713382486438988</v>
      </c>
      <c r="E49" s="37">
        <f t="shared" si="11"/>
        <v>24.544749822055511</v>
      </c>
      <c r="F49" s="37">
        <f t="shared" si="11"/>
        <v>24.373117161201073</v>
      </c>
      <c r="G49" s="37">
        <f t="shared" si="11"/>
        <v>24.205181825504116</v>
      </c>
      <c r="H49" s="37">
        <f t="shared" si="11"/>
        <v>24.037793584851567</v>
      </c>
      <c r="I49" s="37">
        <f t="shared" si="11"/>
        <v>23.790371097312626</v>
      </c>
      <c r="J49" s="37">
        <f t="shared" si="11"/>
        <v>23.558612349678032</v>
      </c>
      <c r="K49" s="37">
        <f t="shared" si="11"/>
        <v>23.311960366808602</v>
      </c>
      <c r="L49" s="37">
        <f t="shared" si="11"/>
        <v>23.076762132355956</v>
      </c>
      <c r="M49" s="37">
        <f t="shared" si="11"/>
        <v>22.82678181761835</v>
      </c>
      <c r="N49" s="37">
        <f t="shared" si="11"/>
        <v>22.565359762669701</v>
      </c>
      <c r="O49" s="37">
        <f t="shared" si="11"/>
        <v>22.325033528177919</v>
      </c>
      <c r="P49" s="37">
        <f t="shared" si="11"/>
        <v>22.056945314006416</v>
      </c>
      <c r="Q49" s="37">
        <f t="shared" si="11"/>
        <v>21.799978015354956</v>
      </c>
      <c r="R49" s="37">
        <f t="shared" si="11"/>
        <v>21.531305257147288</v>
      </c>
      <c r="S49" s="37">
        <f t="shared" si="11"/>
        <v>21.242007944632384</v>
      </c>
      <c r="T49" s="37">
        <f t="shared" si="11"/>
        <v>20.950975734367702</v>
      </c>
      <c r="U49" s="37">
        <f t="shared" si="11"/>
        <v>20.664357119361458</v>
      </c>
      <c r="V49" s="37">
        <f t="shared" si="11"/>
        <v>20.388172682906838</v>
      </c>
      <c r="W49" s="37">
        <f t="shared" si="11"/>
        <v>20.118804671333027</v>
      </c>
      <c r="X49" s="37">
        <f t="shared" si="11"/>
        <v>19.849498410580431</v>
      </c>
      <c r="Y49" s="37">
        <f t="shared" si="11"/>
        <v>19.595871733824708</v>
      </c>
      <c r="Z49" s="37">
        <f t="shared" si="11"/>
        <v>19.341685366552849</v>
      </c>
      <c r="AA49" s="37">
        <f t="shared" si="11"/>
        <v>19.099269341977777</v>
      </c>
      <c r="AB49" s="37">
        <f t="shared" si="11"/>
        <v>18.877716278866775</v>
      </c>
    </row>
    <row r="50" spans="1:28" x14ac:dyDescent="0.25">
      <c r="A50" s="4" t="s">
        <v>217</v>
      </c>
      <c r="B50" s="37">
        <f t="shared" ref="B50:AB50" si="12">B30*B15*$F$6</f>
        <v>35.312609905766578</v>
      </c>
      <c r="C50" s="37">
        <f t="shared" si="12"/>
        <v>35.049687998833271</v>
      </c>
      <c r="D50" s="37">
        <f t="shared" si="12"/>
        <v>34.775492658369451</v>
      </c>
      <c r="E50" s="37">
        <f t="shared" si="12"/>
        <v>34.499124559818384</v>
      </c>
      <c r="F50" s="37">
        <f t="shared" si="12"/>
        <v>34.224399749375216</v>
      </c>
      <c r="G50" s="37">
        <f t="shared" si="12"/>
        <v>33.954931874255848</v>
      </c>
      <c r="H50" s="37">
        <f t="shared" si="12"/>
        <v>33.676697587922362</v>
      </c>
      <c r="I50" s="37">
        <f t="shared" si="12"/>
        <v>33.313222223054133</v>
      </c>
      <c r="J50" s="37">
        <f t="shared" si="12"/>
        <v>32.940266945545972</v>
      </c>
      <c r="K50" s="37">
        <f t="shared" si="12"/>
        <v>32.560248307986249</v>
      </c>
      <c r="L50" s="37">
        <f t="shared" si="12"/>
        <v>32.1697122220274</v>
      </c>
      <c r="M50" s="37">
        <f t="shared" si="12"/>
        <v>31.768713264641836</v>
      </c>
      <c r="N50" s="37">
        <f t="shared" si="12"/>
        <v>31.35725886037919</v>
      </c>
      <c r="O50" s="37">
        <f t="shared" si="12"/>
        <v>30.924876207323585</v>
      </c>
      <c r="P50" s="37">
        <f t="shared" si="12"/>
        <v>30.485496250471499</v>
      </c>
      <c r="Q50" s="37">
        <f t="shared" si="12"/>
        <v>30.035480016396811</v>
      </c>
      <c r="R50" s="37">
        <f t="shared" si="12"/>
        <v>29.574639596358125</v>
      </c>
      <c r="S50" s="37">
        <f t="shared" si="12"/>
        <v>29.075553554337802</v>
      </c>
      <c r="T50" s="37">
        <f t="shared" si="12"/>
        <v>28.583477376255829</v>
      </c>
      <c r="U50" s="37">
        <f t="shared" si="12"/>
        <v>28.097944224560344</v>
      </c>
      <c r="V50" s="37">
        <f t="shared" si="12"/>
        <v>27.621841938050476</v>
      </c>
      <c r="W50" s="37">
        <f t="shared" si="12"/>
        <v>27.161424881057467</v>
      </c>
      <c r="X50" s="37">
        <f t="shared" si="12"/>
        <v>26.719490046896968</v>
      </c>
      <c r="Y50" s="37">
        <f t="shared" si="12"/>
        <v>26.288756108775868</v>
      </c>
      <c r="Z50" s="37">
        <f t="shared" si="12"/>
        <v>25.872104173793861</v>
      </c>
      <c r="AA50" s="37">
        <f t="shared" si="12"/>
        <v>25.475798363124934</v>
      </c>
      <c r="AB50" s="37">
        <f t="shared" si="12"/>
        <v>25.092547698752135</v>
      </c>
    </row>
    <row r="51" spans="1:28" x14ac:dyDescent="0.25">
      <c r="A51" s="4" t="s">
        <v>218</v>
      </c>
      <c r="B51" s="37">
        <f t="shared" ref="B51:AB51" si="13">B31*B15*$F$7</f>
        <v>10.749334070147464</v>
      </c>
      <c r="C51" s="37">
        <f t="shared" si="13"/>
        <v>10.595475385746765</v>
      </c>
      <c r="D51" s="37">
        <f t="shared" si="13"/>
        <v>10.439581230524032</v>
      </c>
      <c r="E51" s="37">
        <f t="shared" si="13"/>
        <v>10.280779396732074</v>
      </c>
      <c r="F51" s="37">
        <f t="shared" si="13"/>
        <v>10.119123112044173</v>
      </c>
      <c r="G51" s="37">
        <f t="shared" si="13"/>
        <v>9.9591766599377909</v>
      </c>
      <c r="H51" s="37">
        <f t="shared" si="13"/>
        <v>9.7941173597934519</v>
      </c>
      <c r="I51" s="37">
        <f t="shared" si="13"/>
        <v>9.6058621864431526</v>
      </c>
      <c r="J51" s="37">
        <f t="shared" si="13"/>
        <v>9.4205269411033328</v>
      </c>
      <c r="K51" s="37">
        <f t="shared" si="13"/>
        <v>9.2377012111140093</v>
      </c>
      <c r="L51" s="37">
        <f t="shared" si="13"/>
        <v>9.0618392512272727</v>
      </c>
      <c r="M51" s="37">
        <f t="shared" si="13"/>
        <v>8.8950894954786026</v>
      </c>
      <c r="N51" s="37">
        <f t="shared" si="13"/>
        <v>8.7306000327410533</v>
      </c>
      <c r="O51" s="37">
        <f t="shared" si="13"/>
        <v>8.5750185849581655</v>
      </c>
      <c r="P51" s="37">
        <f t="shared" si="13"/>
        <v>8.4215254684219669</v>
      </c>
      <c r="Q51" s="37">
        <f t="shared" si="13"/>
        <v>8.2744880907500509</v>
      </c>
      <c r="R51" s="37">
        <f t="shared" si="13"/>
        <v>8.1315608108898392</v>
      </c>
      <c r="S51" s="37">
        <f t="shared" si="13"/>
        <v>7.9810483777824555</v>
      </c>
      <c r="T51" s="37">
        <f t="shared" si="13"/>
        <v>7.8347489425259731</v>
      </c>
      <c r="U51" s="37">
        <f t="shared" si="13"/>
        <v>7.6903056426362566</v>
      </c>
      <c r="V51" s="37">
        <f t="shared" si="13"/>
        <v>7.5519638538807499</v>
      </c>
      <c r="W51" s="37">
        <f t="shared" si="13"/>
        <v>7.4129521691220797</v>
      </c>
      <c r="X51" s="37">
        <f t="shared" si="13"/>
        <v>7.2797007307676331</v>
      </c>
      <c r="Y51" s="37">
        <f t="shared" si="13"/>
        <v>7.1542559406126678</v>
      </c>
      <c r="Z51" s="37">
        <f t="shared" si="13"/>
        <v>7.0299060113613931</v>
      </c>
      <c r="AA51" s="37">
        <f t="shared" si="13"/>
        <v>6.9108752025378326</v>
      </c>
      <c r="AB51" s="37">
        <f t="shared" si="13"/>
        <v>6.7926800147446356</v>
      </c>
    </row>
    <row r="52" spans="1:28" x14ac:dyDescent="0.25">
      <c r="A52" s="4" t="s">
        <v>219</v>
      </c>
      <c r="B52" s="37">
        <f t="shared" ref="B52:AB52" si="14">B32*B15*$F$8</f>
        <v>1.7826542136243992</v>
      </c>
      <c r="C52" s="37">
        <f t="shared" si="14"/>
        <v>1.7873314606693564</v>
      </c>
      <c r="D52" s="37">
        <f t="shared" si="14"/>
        <v>1.7912126221302118</v>
      </c>
      <c r="E52" s="37">
        <f t="shared" si="14"/>
        <v>1.7973688292744758</v>
      </c>
      <c r="F52" s="37">
        <f t="shared" si="14"/>
        <v>1.8037511010577711</v>
      </c>
      <c r="G52" s="37">
        <f t="shared" si="14"/>
        <v>1.8103700955007038</v>
      </c>
      <c r="H52" s="37">
        <f t="shared" si="14"/>
        <v>1.8172465226055377</v>
      </c>
      <c r="I52" s="37">
        <f t="shared" si="14"/>
        <v>1.8192405863296031</v>
      </c>
      <c r="J52" s="37">
        <f t="shared" si="14"/>
        <v>1.8215377285269618</v>
      </c>
      <c r="K52" s="37">
        <f t="shared" si="14"/>
        <v>1.828155934526378</v>
      </c>
      <c r="L52" s="37">
        <f t="shared" si="14"/>
        <v>1.8309388013131476</v>
      </c>
      <c r="M52" s="37">
        <f t="shared" si="14"/>
        <v>1.8339818324881638</v>
      </c>
      <c r="N52" s="37">
        <f t="shared" si="14"/>
        <v>1.8372902070999797</v>
      </c>
      <c r="O52" s="37">
        <f t="shared" si="14"/>
        <v>1.8408693333861839</v>
      </c>
      <c r="P52" s="37">
        <f t="shared" si="14"/>
        <v>1.8427107602462651</v>
      </c>
      <c r="Q52" s="37">
        <f t="shared" si="14"/>
        <v>1.8468417300813806</v>
      </c>
      <c r="R52" s="37">
        <f t="shared" si="14"/>
        <v>1.8472364550140028</v>
      </c>
      <c r="S52" s="37">
        <f t="shared" si="14"/>
        <v>1.847743959393507</v>
      </c>
      <c r="T52" s="37">
        <f t="shared" si="14"/>
        <v>1.8505026062695085</v>
      </c>
      <c r="U52" s="37">
        <f t="shared" si="14"/>
        <v>1.8495216579527347</v>
      </c>
      <c r="V52" s="37">
        <f t="shared" si="14"/>
        <v>1.8507557353174018</v>
      </c>
      <c r="W52" s="37">
        <f t="shared" si="14"/>
        <v>1.8521886258094826</v>
      </c>
      <c r="X52" s="37">
        <f t="shared" si="14"/>
        <v>1.8518230649090777</v>
      </c>
      <c r="Y52" s="37">
        <f t="shared" si="14"/>
        <v>1.8555595145586827</v>
      </c>
      <c r="Z52" s="37">
        <f t="shared" si="14"/>
        <v>1.8554941093893544</v>
      </c>
      <c r="AA52" s="37">
        <f t="shared" si="14"/>
        <v>1.8555461165431391</v>
      </c>
      <c r="AB52" s="37">
        <f t="shared" si="14"/>
        <v>1.8556909397661463</v>
      </c>
    </row>
    <row r="53" spans="1:28" x14ac:dyDescent="0.25">
      <c r="A53" s="4" t="s">
        <v>220</v>
      </c>
      <c r="B53" s="37">
        <f t="shared" ref="B53:AB53" si="15">B33*B15*$F$9</f>
        <v>5.1491463306161576</v>
      </c>
      <c r="C53" s="37">
        <f t="shared" si="15"/>
        <v>5.1887894933500132</v>
      </c>
      <c r="D53" s="37">
        <f t="shared" si="15"/>
        <v>5.2159111638226783</v>
      </c>
      <c r="E53" s="37">
        <f t="shared" si="15"/>
        <v>5.2503712149301514</v>
      </c>
      <c r="F53" s="37">
        <f t="shared" si="15"/>
        <v>5.2820779832135534</v>
      </c>
      <c r="G53" s="37">
        <f t="shared" si="15"/>
        <v>5.3077042856115817</v>
      </c>
      <c r="H53" s="37">
        <f t="shared" si="15"/>
        <v>5.3475620147324436</v>
      </c>
      <c r="I53" s="37">
        <f t="shared" si="15"/>
        <v>5.3595300183971242</v>
      </c>
      <c r="J53" s="37">
        <f t="shared" si="15"/>
        <v>5.3756997934810613</v>
      </c>
      <c r="K53" s="37">
        <f t="shared" si="15"/>
        <v>5.382516066451533</v>
      </c>
      <c r="L53" s="37">
        <f t="shared" si="15"/>
        <v>5.3934114864799074</v>
      </c>
      <c r="M53" s="37">
        <f t="shared" si="15"/>
        <v>5.3950977670818876</v>
      </c>
      <c r="N53" s="37">
        <f t="shared" si="15"/>
        <v>5.4042264067793475</v>
      </c>
      <c r="O53" s="37">
        <f t="shared" si="15"/>
        <v>5.4075478198915574</v>
      </c>
      <c r="P53" s="37">
        <f t="shared" si="15"/>
        <v>5.4051163883448039</v>
      </c>
      <c r="Q53" s="37">
        <f t="shared" si="15"/>
        <v>5.3969691623455507</v>
      </c>
      <c r="R53" s="37">
        <f t="shared" si="15"/>
        <v>5.3896954580914418</v>
      </c>
      <c r="S53" s="37">
        <f t="shared" si="15"/>
        <v>5.373691311562899</v>
      </c>
      <c r="T53" s="37">
        <f t="shared" si="15"/>
        <v>5.3454883619271669</v>
      </c>
      <c r="U53" s="37">
        <f t="shared" si="15"/>
        <v>5.3246681143791124</v>
      </c>
      <c r="V53" s="37">
        <f t="shared" si="15"/>
        <v>5.2981211620784627</v>
      </c>
      <c r="W53" s="37">
        <f t="shared" si="15"/>
        <v>5.2722928645275875</v>
      </c>
      <c r="X53" s="37">
        <f t="shared" si="15"/>
        <v>5.2535629664528445</v>
      </c>
      <c r="Y53" s="37">
        <f t="shared" si="15"/>
        <v>5.2257149248957715</v>
      </c>
      <c r="Z53" s="37">
        <f t="shared" si="15"/>
        <v>5.2080377558275925</v>
      </c>
      <c r="AA53" s="37">
        <f t="shared" si="15"/>
        <v>5.1811337981146215</v>
      </c>
      <c r="AB53" s="37">
        <f t="shared" si="15"/>
        <v>5.1642109737919215</v>
      </c>
    </row>
    <row r="54" spans="1:28" x14ac:dyDescent="0.25">
      <c r="A54" s="4" t="s">
        <v>221</v>
      </c>
      <c r="B54" s="37">
        <f t="shared" ref="B54:AB54" si="16">B34*B15*$F$10</f>
        <v>12.203750876932663</v>
      </c>
      <c r="C54" s="37">
        <f t="shared" si="16"/>
        <v>12.244077337022231</v>
      </c>
      <c r="D54" s="37">
        <f t="shared" si="16"/>
        <v>12.28527318006735</v>
      </c>
      <c r="E54" s="37">
        <f t="shared" si="16"/>
        <v>12.33105019638932</v>
      </c>
      <c r="F54" s="37">
        <f t="shared" si="16"/>
        <v>12.387860527891233</v>
      </c>
      <c r="G54" s="37">
        <f t="shared" si="16"/>
        <v>12.433629310943305</v>
      </c>
      <c r="H54" s="37">
        <f t="shared" si="16"/>
        <v>12.478007443475974</v>
      </c>
      <c r="I54" s="37">
        <f t="shared" si="16"/>
        <v>12.485725559412375</v>
      </c>
      <c r="J54" s="37">
        <f t="shared" si="16"/>
        <v>12.489288915939307</v>
      </c>
      <c r="K54" s="37">
        <f t="shared" si="16"/>
        <v>12.488353154548609</v>
      </c>
      <c r="L54" s="37">
        <f t="shared" si="16"/>
        <v>12.479902415050462</v>
      </c>
      <c r="M54" s="37">
        <f t="shared" si="16"/>
        <v>12.464051381047236</v>
      </c>
      <c r="N54" s="37">
        <f t="shared" si="16"/>
        <v>12.440894486035441</v>
      </c>
      <c r="O54" s="37">
        <f t="shared" si="16"/>
        <v>12.410518182627362</v>
      </c>
      <c r="P54" s="37">
        <f t="shared" si="16"/>
        <v>12.363723567135924</v>
      </c>
      <c r="Q54" s="37">
        <f t="shared" si="16"/>
        <v>12.30983974190181</v>
      </c>
      <c r="R54" s="37">
        <f t="shared" si="16"/>
        <v>12.239644813589543</v>
      </c>
      <c r="S54" s="37">
        <f t="shared" si="16"/>
        <v>12.15731966131227</v>
      </c>
      <c r="T54" s="37">
        <f t="shared" si="16"/>
        <v>12.064968191931374</v>
      </c>
      <c r="U54" s="37">
        <f t="shared" si="16"/>
        <v>11.962551122967104</v>
      </c>
      <c r="V54" s="37">
        <f t="shared" si="16"/>
        <v>11.862145472766464</v>
      </c>
      <c r="W54" s="37">
        <f t="shared" si="16"/>
        <v>11.748385450479638</v>
      </c>
      <c r="X54" s="37">
        <f t="shared" si="16"/>
        <v>11.651442440742143</v>
      </c>
      <c r="Y54" s="37">
        <f t="shared" si="16"/>
        <v>11.55295891899598</v>
      </c>
      <c r="Z54" s="37">
        <f t="shared" si="16"/>
        <v>11.45578757049762</v>
      </c>
      <c r="AA54" s="37">
        <f t="shared" si="16"/>
        <v>11.362757368269603</v>
      </c>
      <c r="AB54" s="37">
        <f t="shared" si="16"/>
        <v>11.276680568440998</v>
      </c>
    </row>
    <row r="55" spans="1:28" x14ac:dyDescent="0.25">
      <c r="A55" s="4" t="s">
        <v>222</v>
      </c>
      <c r="B55" s="37">
        <f t="shared" ref="B55:AB55" si="17">B35*B15*$F$11</f>
        <v>43.53450039886512</v>
      </c>
      <c r="C55" s="37">
        <f t="shared" si="17"/>
        <v>43.071310482266824</v>
      </c>
      <c r="D55" s="37">
        <f t="shared" si="17"/>
        <v>42.580208100613262</v>
      </c>
      <c r="E55" s="37">
        <f t="shared" si="17"/>
        <v>42.088933886243055</v>
      </c>
      <c r="F55" s="37">
        <f t="shared" si="17"/>
        <v>41.581148270281233</v>
      </c>
      <c r="G55" s="37">
        <f t="shared" si="17"/>
        <v>41.0867108100339</v>
      </c>
      <c r="H55" s="37">
        <f t="shared" si="17"/>
        <v>40.592557113686588</v>
      </c>
      <c r="I55" s="37">
        <f t="shared" si="17"/>
        <v>39.988742495412417</v>
      </c>
      <c r="J55" s="37">
        <f t="shared" si="17"/>
        <v>39.389313401055851</v>
      </c>
      <c r="K55" s="37">
        <f t="shared" si="17"/>
        <v>38.789437710810269</v>
      </c>
      <c r="L55" s="37">
        <f t="shared" si="17"/>
        <v>38.19558860944128</v>
      </c>
      <c r="M55" s="37">
        <f t="shared" si="17"/>
        <v>37.60435208543165</v>
      </c>
      <c r="N55" s="37">
        <f t="shared" si="17"/>
        <v>37.022061302465637</v>
      </c>
      <c r="O55" s="37">
        <f t="shared" si="17"/>
        <v>36.435525835429146</v>
      </c>
      <c r="P55" s="37">
        <f t="shared" si="17"/>
        <v>35.854277021683593</v>
      </c>
      <c r="Q55" s="37">
        <f t="shared" si="17"/>
        <v>35.277997118408223</v>
      </c>
      <c r="R55" s="37">
        <f t="shared" si="17"/>
        <v>34.709554546710315</v>
      </c>
      <c r="S55" s="37">
        <f t="shared" si="17"/>
        <v>34.098891999643676</v>
      </c>
      <c r="T55" s="37">
        <f t="shared" si="17"/>
        <v>33.503004081637819</v>
      </c>
      <c r="U55" s="37">
        <f t="shared" si="17"/>
        <v>32.927670262171894</v>
      </c>
      <c r="V55" s="37">
        <f t="shared" si="17"/>
        <v>32.365777596203998</v>
      </c>
      <c r="W55" s="37">
        <f t="shared" si="17"/>
        <v>31.832515837595849</v>
      </c>
      <c r="X55" s="37">
        <f t="shared" si="17"/>
        <v>31.31123293852065</v>
      </c>
      <c r="Y55" s="37">
        <f t="shared" si="17"/>
        <v>30.8109356153855</v>
      </c>
      <c r="Z55" s="37">
        <f t="shared" si="17"/>
        <v>30.327809849176454</v>
      </c>
      <c r="AA55" s="37">
        <f t="shared" si="17"/>
        <v>29.858096531430402</v>
      </c>
      <c r="AB55" s="37">
        <f t="shared" si="17"/>
        <v>29.404389806554047</v>
      </c>
    </row>
    <row r="57" spans="1:28" x14ac:dyDescent="0.25">
      <c r="A57" s="4" t="s">
        <v>327</v>
      </c>
    </row>
    <row r="58" spans="1:28" x14ac:dyDescent="0.25">
      <c r="A58" s="4" t="s">
        <v>215</v>
      </c>
      <c r="B58" s="37">
        <f t="shared" ref="B58:AB58" si="18">B38*B15*$F$4</f>
        <v>4868.8728433178494</v>
      </c>
      <c r="C58" s="37">
        <f t="shared" si="18"/>
        <v>4953.3080749360934</v>
      </c>
      <c r="D58" s="37">
        <f t="shared" si="18"/>
        <v>5034.6507200420792</v>
      </c>
      <c r="E58" s="37">
        <f t="shared" si="18"/>
        <v>5116.056388978056</v>
      </c>
      <c r="F58" s="37">
        <f t="shared" si="18"/>
        <v>5197.9677999133555</v>
      </c>
      <c r="G58" s="37">
        <f t="shared" si="18"/>
        <v>5280.5424220619989</v>
      </c>
      <c r="H58" s="37">
        <f t="shared" si="18"/>
        <v>5363.4232780825723</v>
      </c>
      <c r="I58" s="37">
        <f t="shared" si="18"/>
        <v>5430.8871646466832</v>
      </c>
      <c r="J58" s="37">
        <f t="shared" si="18"/>
        <v>5497.2335045718701</v>
      </c>
      <c r="K58" s="37">
        <f t="shared" si="18"/>
        <v>5562.3804724559914</v>
      </c>
      <c r="L58" s="37">
        <f t="shared" si="18"/>
        <v>5625.8726328221182</v>
      </c>
      <c r="M58" s="37">
        <f t="shared" si="18"/>
        <v>5687.6326968418234</v>
      </c>
      <c r="N58" s="37">
        <f t="shared" si="18"/>
        <v>5747.0972303570134</v>
      </c>
      <c r="O58" s="37">
        <f t="shared" si="18"/>
        <v>5804.0697014522466</v>
      </c>
      <c r="P58" s="37">
        <f t="shared" si="18"/>
        <v>5857.8264379666407</v>
      </c>
      <c r="Q58" s="37">
        <f t="shared" si="18"/>
        <v>5908.2713192318861</v>
      </c>
      <c r="R58" s="37">
        <f t="shared" si="18"/>
        <v>5954.53118621669</v>
      </c>
      <c r="S58" s="37">
        <f t="shared" si="18"/>
        <v>5989.6561197002147</v>
      </c>
      <c r="T58" s="37">
        <f t="shared" si="18"/>
        <v>6020.2957717097806</v>
      </c>
      <c r="U58" s="37">
        <f t="shared" si="18"/>
        <v>6046.7962829247908</v>
      </c>
      <c r="V58" s="37">
        <f t="shared" si="18"/>
        <v>6067.725779653043</v>
      </c>
      <c r="W58" s="37">
        <f t="shared" si="18"/>
        <v>6083.4637310279495</v>
      </c>
      <c r="X58" s="37">
        <f t="shared" si="18"/>
        <v>6093.6939666684902</v>
      </c>
      <c r="Y58" s="37">
        <f t="shared" si="18"/>
        <v>6100.9443695229875</v>
      </c>
      <c r="Z58" s="37">
        <f t="shared" si="18"/>
        <v>6102.9939612235539</v>
      </c>
      <c r="AA58" s="37">
        <f t="shared" si="18"/>
        <v>6100.2299253259671</v>
      </c>
      <c r="AB58" s="37">
        <f t="shared" si="18"/>
        <v>6093.2134927042798</v>
      </c>
    </row>
    <row r="59" spans="1:28" x14ac:dyDescent="0.25">
      <c r="A59" s="4" t="s">
        <v>216</v>
      </c>
      <c r="B59" s="37">
        <f t="shared" ref="B59:AB59" si="19">B39*B15*$F$5</f>
        <v>4679.4376446927536</v>
      </c>
      <c r="C59" s="37">
        <f t="shared" si="19"/>
        <v>4748.2573945622798</v>
      </c>
      <c r="D59" s="37">
        <f t="shared" si="19"/>
        <v>4814.4812364783256</v>
      </c>
      <c r="E59" s="37">
        <f t="shared" si="19"/>
        <v>4883.2644491162873</v>
      </c>
      <c r="F59" s="37">
        <f t="shared" si="19"/>
        <v>4955.9889773980412</v>
      </c>
      <c r="G59" s="37">
        <f t="shared" si="19"/>
        <v>5032.9185291991625</v>
      </c>
      <c r="H59" s="37">
        <f t="shared" si="19"/>
        <v>5114.5207108321192</v>
      </c>
      <c r="I59" s="37">
        <f t="shared" si="19"/>
        <v>5185.6001129597917</v>
      </c>
      <c r="J59" s="37">
        <f t="shared" si="19"/>
        <v>5260.2328636524735</v>
      </c>
      <c r="K59" s="37">
        <f t="shared" si="19"/>
        <v>5337.0593236956538</v>
      </c>
      <c r="L59" s="37">
        <f t="shared" si="19"/>
        <v>5415.9614850139506</v>
      </c>
      <c r="M59" s="37">
        <f t="shared" si="19"/>
        <v>5496.6034898290691</v>
      </c>
      <c r="N59" s="37">
        <f t="shared" si="19"/>
        <v>5577.8103252362744</v>
      </c>
      <c r="O59" s="37">
        <f t="shared" si="19"/>
        <v>5658.4731013549654</v>
      </c>
      <c r="P59" s="37">
        <f t="shared" si="19"/>
        <v>5738.3560322838612</v>
      </c>
      <c r="Q59" s="37">
        <f t="shared" si="19"/>
        <v>5815.8931256390561</v>
      </c>
      <c r="R59" s="37">
        <f t="shared" si="19"/>
        <v>5890.6622334675067</v>
      </c>
      <c r="S59" s="37">
        <f t="shared" si="19"/>
        <v>5954.6293361893831</v>
      </c>
      <c r="T59" s="37">
        <f t="shared" si="19"/>
        <v>6014.2270315031383</v>
      </c>
      <c r="U59" s="37">
        <f t="shared" si="19"/>
        <v>6068.9302188731426</v>
      </c>
      <c r="V59" s="37">
        <f t="shared" si="19"/>
        <v>6117.397121149329</v>
      </c>
      <c r="W59" s="37">
        <f t="shared" si="19"/>
        <v>6158.4314203456752</v>
      </c>
      <c r="X59" s="37">
        <f t="shared" si="19"/>
        <v>6192.3950977478898</v>
      </c>
      <c r="Y59" s="37">
        <f t="shared" si="19"/>
        <v>6222.1982797640303</v>
      </c>
      <c r="Z59" s="37">
        <f t="shared" si="19"/>
        <v>6245.1808388902018</v>
      </c>
      <c r="AA59" s="37">
        <f t="shared" si="19"/>
        <v>6260.4044846359666</v>
      </c>
      <c r="AB59" s="37">
        <f t="shared" si="19"/>
        <v>6268.0005969198273</v>
      </c>
    </row>
    <row r="60" spans="1:28" x14ac:dyDescent="0.25">
      <c r="A60" s="4" t="s">
        <v>217</v>
      </c>
      <c r="B60" s="37">
        <f t="shared" ref="B60:AB60" si="20">B40*B15*$F$6</f>
        <v>8397.2440674332975</v>
      </c>
      <c r="C60" s="37">
        <f t="shared" si="20"/>
        <v>8530.4240597744501</v>
      </c>
      <c r="D60" s="37">
        <f t="shared" si="20"/>
        <v>8657.9002425948474</v>
      </c>
      <c r="E60" s="37">
        <f t="shared" si="20"/>
        <v>8786.8409828625208</v>
      </c>
      <c r="F60" s="37">
        <f t="shared" si="20"/>
        <v>8919.0547611552538</v>
      </c>
      <c r="G60" s="37">
        <f t="shared" si="20"/>
        <v>9054.589111037656</v>
      </c>
      <c r="H60" s="37">
        <f t="shared" si="20"/>
        <v>9193.788290706254</v>
      </c>
      <c r="I60" s="37">
        <f t="shared" si="20"/>
        <v>9309.3529817100116</v>
      </c>
      <c r="J60" s="37">
        <f t="shared" si="20"/>
        <v>9426.3209129345541</v>
      </c>
      <c r="K60" s="37">
        <f t="shared" si="20"/>
        <v>9543.0335992548753</v>
      </c>
      <c r="L60" s="37">
        <f t="shared" si="20"/>
        <v>9659.0035581735647</v>
      </c>
      <c r="M60" s="37">
        <f t="shared" si="20"/>
        <v>9773.8772651712334</v>
      </c>
      <c r="N60" s="37">
        <f t="shared" si="20"/>
        <v>9885.9082682093358</v>
      </c>
      <c r="O60" s="37">
        <f t="shared" si="20"/>
        <v>9994.14904856662</v>
      </c>
      <c r="P60" s="37">
        <f t="shared" si="20"/>
        <v>10097.35045006198</v>
      </c>
      <c r="Q60" s="37">
        <f t="shared" si="20"/>
        <v>10194.197513021221</v>
      </c>
      <c r="R60" s="37">
        <f t="shared" si="20"/>
        <v>10283.433567816099</v>
      </c>
      <c r="S60" s="37">
        <f t="shared" si="20"/>
        <v>10352.075570486541</v>
      </c>
      <c r="T60" s="37">
        <f t="shared" si="20"/>
        <v>10411.557481429269</v>
      </c>
      <c r="U60" s="37">
        <f t="shared" si="20"/>
        <v>10461.907781723956</v>
      </c>
      <c r="V60" s="37">
        <f t="shared" si="20"/>
        <v>10500.383046022074</v>
      </c>
      <c r="W60" s="37">
        <f t="shared" si="20"/>
        <v>10526.242291983755</v>
      </c>
      <c r="X60" s="37">
        <f t="shared" si="20"/>
        <v>10539.755508714761</v>
      </c>
      <c r="Y60" s="37">
        <f t="shared" si="20"/>
        <v>10546.336070041969</v>
      </c>
      <c r="Z60" s="37">
        <f t="shared" si="20"/>
        <v>10541.282429672647</v>
      </c>
      <c r="AA60" s="37">
        <f t="shared" si="20"/>
        <v>10523.976028961511</v>
      </c>
      <c r="AB60" s="37">
        <f t="shared" si="20"/>
        <v>10495.346287197826</v>
      </c>
    </row>
    <row r="61" spans="1:28" x14ac:dyDescent="0.25">
      <c r="A61" s="4" t="s">
        <v>218</v>
      </c>
      <c r="B61" s="37">
        <f t="shared" ref="B61:AB61" si="21">B41*B15*$F$7</f>
        <v>831.04898613634293</v>
      </c>
      <c r="C61" s="37">
        <f t="shared" si="21"/>
        <v>842.86260533377072</v>
      </c>
      <c r="D61" s="37">
        <f t="shared" si="21"/>
        <v>854.25261180956636</v>
      </c>
      <c r="E61" s="37">
        <f t="shared" si="21"/>
        <v>865.75430382954971</v>
      </c>
      <c r="F61" s="37">
        <f t="shared" si="21"/>
        <v>877.65261852813433</v>
      </c>
      <c r="G61" s="37">
        <f t="shared" si="21"/>
        <v>889.97369559867775</v>
      </c>
      <c r="H61" s="37">
        <f t="shared" si="21"/>
        <v>902.69876358055251</v>
      </c>
      <c r="I61" s="37">
        <f t="shared" si="21"/>
        <v>913.2784855114129</v>
      </c>
      <c r="J61" s="37">
        <f t="shared" si="21"/>
        <v>924.19407957434476</v>
      </c>
      <c r="K61" s="37">
        <f t="shared" si="21"/>
        <v>935.38736729658251</v>
      </c>
      <c r="L61" s="37">
        <f t="shared" si="21"/>
        <v>946.86071276213374</v>
      </c>
      <c r="M61" s="37">
        <f t="shared" si="21"/>
        <v>958.56678089012848</v>
      </c>
      <c r="N61" s="37">
        <f t="shared" si="21"/>
        <v>970.55245137866825</v>
      </c>
      <c r="O61" s="37">
        <f t="shared" si="21"/>
        <v>982.57360660397978</v>
      </c>
      <c r="P61" s="37">
        <f t="shared" si="21"/>
        <v>994.74022887131423</v>
      </c>
      <c r="Q61" s="37">
        <f t="shared" si="21"/>
        <v>1006.8519198740486</v>
      </c>
      <c r="R61" s="37">
        <f t="shared" si="21"/>
        <v>1018.8865708089621</v>
      </c>
      <c r="S61" s="37">
        <f t="shared" si="21"/>
        <v>1029.6417020913627</v>
      </c>
      <c r="T61" s="37">
        <f t="shared" si="21"/>
        <v>1040.100504155318</v>
      </c>
      <c r="U61" s="37">
        <f t="shared" si="21"/>
        <v>1050.280122374752</v>
      </c>
      <c r="V61" s="37">
        <f t="shared" si="21"/>
        <v>1060.0590939518704</v>
      </c>
      <c r="W61" s="37">
        <f t="shared" si="21"/>
        <v>1069.2421147971986</v>
      </c>
      <c r="X61" s="37">
        <f t="shared" si="21"/>
        <v>1077.7590365725234</v>
      </c>
      <c r="Y61" s="37">
        <f t="shared" si="21"/>
        <v>1085.8832743853725</v>
      </c>
      <c r="Z61" s="37">
        <f t="shared" si="21"/>
        <v>1093.3159994154455</v>
      </c>
      <c r="AA61" s="37">
        <f t="shared" si="21"/>
        <v>1100.0491071684694</v>
      </c>
      <c r="AB61" s="37">
        <f t="shared" si="21"/>
        <v>1105.9698367776871</v>
      </c>
    </row>
    <row r="62" spans="1:28" x14ac:dyDescent="0.25">
      <c r="A62" s="4" t="s">
        <v>219</v>
      </c>
      <c r="B62" s="37">
        <f t="shared" ref="B62:AB62" si="22">B42*B15*$F$8</f>
        <v>252.2900858220371</v>
      </c>
      <c r="C62" s="37">
        <f t="shared" si="22"/>
        <v>258.0087435620411</v>
      </c>
      <c r="D62" s="37">
        <f t="shared" si="22"/>
        <v>263.78136697617208</v>
      </c>
      <c r="E62" s="37">
        <f t="shared" si="22"/>
        <v>269.95819473538023</v>
      </c>
      <c r="F62" s="37">
        <f t="shared" si="22"/>
        <v>276.61914599856021</v>
      </c>
      <c r="G62" s="37">
        <f t="shared" si="22"/>
        <v>283.76058052071102</v>
      </c>
      <c r="H62" s="37">
        <f t="shared" si="22"/>
        <v>291.40360914528412</v>
      </c>
      <c r="I62" s="37">
        <f t="shared" si="22"/>
        <v>298.70617784944426</v>
      </c>
      <c r="J62" s="37">
        <f t="shared" si="22"/>
        <v>306.32090582667325</v>
      </c>
      <c r="K62" s="37">
        <f t="shared" si="22"/>
        <v>314.18602291495807</v>
      </c>
      <c r="L62" s="37">
        <f t="shared" si="22"/>
        <v>322.38138097305398</v>
      </c>
      <c r="M62" s="37">
        <f t="shared" si="22"/>
        <v>330.84424308307752</v>
      </c>
      <c r="N62" s="37">
        <f t="shared" si="22"/>
        <v>339.53284724915619</v>
      </c>
      <c r="O62" s="37">
        <f t="shared" si="22"/>
        <v>348.38804984424809</v>
      </c>
      <c r="P62" s="37">
        <f t="shared" si="22"/>
        <v>357.37926776038131</v>
      </c>
      <c r="Q62" s="37">
        <f t="shared" si="22"/>
        <v>366.43949592476656</v>
      </c>
      <c r="R62" s="37">
        <f t="shared" si="22"/>
        <v>375.53595866742916</v>
      </c>
      <c r="S62" s="37">
        <f t="shared" si="22"/>
        <v>384.15495818257739</v>
      </c>
      <c r="T62" s="37">
        <f t="shared" si="22"/>
        <v>392.73282546534858</v>
      </c>
      <c r="U62" s="37">
        <f t="shared" si="22"/>
        <v>401.18528543171107</v>
      </c>
      <c r="V62" s="37">
        <f t="shared" si="22"/>
        <v>409.52627256293653</v>
      </c>
      <c r="W62" s="37">
        <f t="shared" si="22"/>
        <v>417.72882514467784</v>
      </c>
      <c r="X62" s="37">
        <f t="shared" si="22"/>
        <v>425.82858729225524</v>
      </c>
      <c r="Y62" s="37">
        <f t="shared" si="22"/>
        <v>433.7975439035668</v>
      </c>
      <c r="Z62" s="37">
        <f t="shared" si="22"/>
        <v>441.64883123709723</v>
      </c>
      <c r="AA62" s="37">
        <f t="shared" si="22"/>
        <v>449.37721657717651</v>
      </c>
      <c r="AB62" s="37">
        <f t="shared" si="22"/>
        <v>456.94971714258395</v>
      </c>
    </row>
    <row r="63" spans="1:28" x14ac:dyDescent="0.25">
      <c r="A63" s="4" t="s">
        <v>220</v>
      </c>
      <c r="B63" s="37">
        <f t="shared" ref="B63:AB63" si="23">B43*B15*$F$9</f>
        <v>227.04071893750412</v>
      </c>
      <c r="C63" s="37">
        <f t="shared" si="23"/>
        <v>231.86195663524131</v>
      </c>
      <c r="D63" s="37">
        <f t="shared" si="23"/>
        <v>236.76716536051924</v>
      </c>
      <c r="E63" s="37">
        <f t="shared" si="23"/>
        <v>242.12561859038479</v>
      </c>
      <c r="F63" s="37">
        <f t="shared" si="23"/>
        <v>247.53830292815692</v>
      </c>
      <c r="G63" s="37">
        <f t="shared" si="23"/>
        <v>253.35936680828428</v>
      </c>
      <c r="H63" s="37">
        <f t="shared" si="23"/>
        <v>259.36012944341047</v>
      </c>
      <c r="I63" s="37">
        <f t="shared" si="23"/>
        <v>264.7406216673694</v>
      </c>
      <c r="J63" s="37">
        <f t="shared" si="23"/>
        <v>270.23525634730993</v>
      </c>
      <c r="K63" s="37">
        <f t="shared" si="23"/>
        <v>276.13442691034453</v>
      </c>
      <c r="L63" s="37">
        <f t="shared" si="23"/>
        <v>282.17196946703984</v>
      </c>
      <c r="M63" s="37">
        <f t="shared" si="23"/>
        <v>288.43354683877294</v>
      </c>
      <c r="N63" s="37">
        <f t="shared" si="23"/>
        <v>294.79194081539089</v>
      </c>
      <c r="O63" s="37">
        <f t="shared" si="23"/>
        <v>301.27011378726309</v>
      </c>
      <c r="P63" s="37">
        <f t="shared" si="23"/>
        <v>307.94661881791768</v>
      </c>
      <c r="Q63" s="37">
        <f t="shared" si="23"/>
        <v>314.78044635369736</v>
      </c>
      <c r="R63" s="37">
        <f t="shared" si="23"/>
        <v>321.71098754141309</v>
      </c>
      <c r="S63" s="37">
        <f t="shared" si="23"/>
        <v>328.25661365632976</v>
      </c>
      <c r="T63" s="37">
        <f t="shared" si="23"/>
        <v>334.8762443584593</v>
      </c>
      <c r="U63" s="37">
        <f t="shared" si="23"/>
        <v>341.48177173634258</v>
      </c>
      <c r="V63" s="37">
        <f t="shared" si="23"/>
        <v>347.97488426523677</v>
      </c>
      <c r="W63" s="37">
        <f t="shared" si="23"/>
        <v>354.56817215774129</v>
      </c>
      <c r="X63" s="37">
        <f t="shared" si="23"/>
        <v>361.09037119791111</v>
      </c>
      <c r="Y63" s="37">
        <f t="shared" si="23"/>
        <v>367.64403545031684</v>
      </c>
      <c r="Z63" s="37">
        <f t="shared" si="23"/>
        <v>374.08765822294419</v>
      </c>
      <c r="AA63" s="37">
        <f t="shared" si="23"/>
        <v>380.47627155374056</v>
      </c>
      <c r="AB63" s="37">
        <f t="shared" si="23"/>
        <v>386.86731835925087</v>
      </c>
    </row>
    <row r="64" spans="1:28" x14ac:dyDescent="0.25">
      <c r="A64" s="4" t="s">
        <v>221</v>
      </c>
      <c r="B64" s="37">
        <f t="shared" ref="B64:AB64" si="24">B44*B15*$F$10</f>
        <v>794.59413090655812</v>
      </c>
      <c r="C64" s="37">
        <f t="shared" si="24"/>
        <v>821.9086904980785</v>
      </c>
      <c r="D64" s="37">
        <f t="shared" si="24"/>
        <v>849.33879461174274</v>
      </c>
      <c r="E64" s="37">
        <f t="shared" si="24"/>
        <v>877.4679052692095</v>
      </c>
      <c r="F64" s="37">
        <f t="shared" si="24"/>
        <v>906.30992170079435</v>
      </c>
      <c r="G64" s="37">
        <f t="shared" si="24"/>
        <v>935.97984714285565</v>
      </c>
      <c r="H64" s="37">
        <f t="shared" si="24"/>
        <v>966.78818441010094</v>
      </c>
      <c r="I64" s="37">
        <f t="shared" si="24"/>
        <v>995.9246703588957</v>
      </c>
      <c r="J64" s="37">
        <f t="shared" si="24"/>
        <v>1025.7969687460863</v>
      </c>
      <c r="K64" s="37">
        <f t="shared" si="24"/>
        <v>1056.6404048479685</v>
      </c>
      <c r="L64" s="37">
        <f t="shared" si="24"/>
        <v>1088.632926858892</v>
      </c>
      <c r="M64" s="37">
        <f t="shared" si="24"/>
        <v>1121.5065114537754</v>
      </c>
      <c r="N64" s="37">
        <f t="shared" si="24"/>
        <v>1155.5515944265605</v>
      </c>
      <c r="O64" s="37">
        <f t="shared" si="24"/>
        <v>1190.5743329395291</v>
      </c>
      <c r="P64" s="37">
        <f t="shared" si="24"/>
        <v>1226.5215097965561</v>
      </c>
      <c r="Q64" s="37">
        <f t="shared" si="24"/>
        <v>1263.4467097257568</v>
      </c>
      <c r="R64" s="37">
        <f t="shared" si="24"/>
        <v>1301.0948429360758</v>
      </c>
      <c r="S64" s="37">
        <f t="shared" si="24"/>
        <v>1337.8937167975448</v>
      </c>
      <c r="T64" s="37">
        <f t="shared" si="24"/>
        <v>1375.2963310996067</v>
      </c>
      <c r="U64" s="37">
        <f t="shared" si="24"/>
        <v>1413.208963779146</v>
      </c>
      <c r="V64" s="37">
        <f t="shared" si="24"/>
        <v>1451.4419029729063</v>
      </c>
      <c r="W64" s="37">
        <f t="shared" si="24"/>
        <v>1489.7941641901923</v>
      </c>
      <c r="X64" s="37">
        <f t="shared" si="24"/>
        <v>1528.445298422612</v>
      </c>
      <c r="Y64" s="37">
        <f t="shared" si="24"/>
        <v>1567.0867091134608</v>
      </c>
      <c r="Z64" s="37">
        <f t="shared" si="24"/>
        <v>1605.6964574023154</v>
      </c>
      <c r="AA64" s="37">
        <f t="shared" si="24"/>
        <v>1643.9134620790346</v>
      </c>
      <c r="AB64" s="37">
        <f t="shared" si="24"/>
        <v>1681.6927534997221</v>
      </c>
    </row>
    <row r="65" spans="1:28" x14ac:dyDescent="0.25">
      <c r="A65" s="4" t="s">
        <v>222</v>
      </c>
      <c r="B65" s="37">
        <f t="shared" ref="B65:AB65" si="25">B45*B15*$F$11</f>
        <v>8806.0164893548372</v>
      </c>
      <c r="C65" s="37">
        <f t="shared" si="25"/>
        <v>8932.2398887708878</v>
      </c>
      <c r="D65" s="37">
        <f t="shared" si="25"/>
        <v>9052.5954370952022</v>
      </c>
      <c r="E65" s="37">
        <f t="shared" si="25"/>
        <v>9174.8366675491088</v>
      </c>
      <c r="F65" s="37">
        <f t="shared" si="25"/>
        <v>9300.7798739877253</v>
      </c>
      <c r="G65" s="37">
        <f t="shared" si="25"/>
        <v>9430.7283936434142</v>
      </c>
      <c r="H65" s="37">
        <f t="shared" si="25"/>
        <v>9564.4590850380882</v>
      </c>
      <c r="I65" s="37">
        <f t="shared" si="25"/>
        <v>9673.7066152285788</v>
      </c>
      <c r="J65" s="37">
        <f t="shared" si="25"/>
        <v>9784.5882101705629</v>
      </c>
      <c r="K65" s="37">
        <f t="shared" si="25"/>
        <v>9895.4169724243857</v>
      </c>
      <c r="L65" s="37">
        <f t="shared" si="25"/>
        <v>10005.423821829561</v>
      </c>
      <c r="M65" s="37">
        <f t="shared" si="25"/>
        <v>10114.475628445085</v>
      </c>
      <c r="N65" s="37">
        <f t="shared" si="25"/>
        <v>10220.520432506615</v>
      </c>
      <c r="O65" s="37">
        <f t="shared" si="25"/>
        <v>10322.454265879596</v>
      </c>
      <c r="P65" s="37">
        <f t="shared" si="25"/>
        <v>10419.359022361052</v>
      </c>
      <c r="Q65" s="37">
        <f t="shared" si="25"/>
        <v>10509.517769542999</v>
      </c>
      <c r="R65" s="37">
        <f t="shared" si="25"/>
        <v>10591.885434891867</v>
      </c>
      <c r="S65" s="37">
        <f t="shared" si="25"/>
        <v>10652.999529202038</v>
      </c>
      <c r="T65" s="37">
        <f t="shared" si="25"/>
        <v>10704.542976049672</v>
      </c>
      <c r="U65" s="37">
        <f t="shared" si="25"/>
        <v>10746.443290563762</v>
      </c>
      <c r="V65" s="37">
        <f t="shared" si="25"/>
        <v>10776.09896799064</v>
      </c>
      <c r="W65" s="37">
        <f t="shared" si="25"/>
        <v>10792.91416010904</v>
      </c>
      <c r="X65" s="37">
        <f t="shared" si="25"/>
        <v>10796.739214991838</v>
      </c>
      <c r="Y65" s="37">
        <f t="shared" si="25"/>
        <v>10793.381513723343</v>
      </c>
      <c r="Z65" s="37">
        <f t="shared" si="25"/>
        <v>10777.942789594603</v>
      </c>
      <c r="AA65" s="37">
        <f t="shared" si="25"/>
        <v>10750.260335190293</v>
      </c>
      <c r="AB65" s="37">
        <f t="shared" si="25"/>
        <v>10711.085184733785</v>
      </c>
    </row>
    <row r="67" spans="1:28" x14ac:dyDescent="0.25">
      <c r="A67" s="4" t="s">
        <v>328</v>
      </c>
    </row>
    <row r="68" spans="1:28" x14ac:dyDescent="0.25">
      <c r="A68" s="4" t="s">
        <v>329</v>
      </c>
      <c r="B68" s="40">
        <f t="shared" ref="B68:AB68" si="26">B48+B49</f>
        <v>55.744471141421187</v>
      </c>
      <c r="C68" s="40">
        <f t="shared" si="26"/>
        <v>55.32852452873302</v>
      </c>
      <c r="D68" s="40">
        <f t="shared" si="26"/>
        <v>54.885885878563926</v>
      </c>
      <c r="E68" s="40">
        <f t="shared" si="26"/>
        <v>54.447786223923785</v>
      </c>
      <c r="F68" s="40">
        <f t="shared" si="26"/>
        <v>54.004771598468992</v>
      </c>
      <c r="G68" s="40">
        <f t="shared" si="26"/>
        <v>53.563579687393926</v>
      </c>
      <c r="H68" s="40">
        <f t="shared" si="26"/>
        <v>53.12124999057361</v>
      </c>
      <c r="I68" s="40">
        <f t="shared" si="26"/>
        <v>52.532046812659388</v>
      </c>
      <c r="J68" s="40">
        <f t="shared" si="26"/>
        <v>51.94322319551965</v>
      </c>
      <c r="K68" s="40">
        <f t="shared" si="26"/>
        <v>51.349010195092205</v>
      </c>
      <c r="L68" s="40">
        <f t="shared" si="26"/>
        <v>50.753240381645654</v>
      </c>
      <c r="M68" s="40">
        <f t="shared" si="26"/>
        <v>50.152101921776278</v>
      </c>
      <c r="N68" s="40">
        <f t="shared" si="26"/>
        <v>49.551971427041984</v>
      </c>
      <c r="O68" s="40">
        <f t="shared" si="26"/>
        <v>48.940738699699779</v>
      </c>
      <c r="P68" s="40">
        <f t="shared" si="26"/>
        <v>48.317207911098272</v>
      </c>
      <c r="Q68" s="40">
        <f t="shared" si="26"/>
        <v>47.691513788889679</v>
      </c>
      <c r="R68" s="40">
        <f t="shared" si="26"/>
        <v>47.056488595956864</v>
      </c>
      <c r="S68" s="40">
        <f t="shared" si="26"/>
        <v>46.367180789284944</v>
      </c>
      <c r="T68" s="40">
        <f t="shared" si="26"/>
        <v>45.682014819171208</v>
      </c>
      <c r="U68" s="40">
        <f t="shared" si="26"/>
        <v>45.006750049605053</v>
      </c>
      <c r="V68" s="40">
        <f t="shared" si="26"/>
        <v>44.346952816744036</v>
      </c>
      <c r="W68" s="40">
        <f t="shared" si="26"/>
        <v>43.701646839134483</v>
      </c>
      <c r="X68" s="40">
        <f t="shared" si="26"/>
        <v>43.085347845388455</v>
      </c>
      <c r="Y68" s="40">
        <f t="shared" si="26"/>
        <v>42.488377920394342</v>
      </c>
      <c r="Z68" s="40">
        <f t="shared" si="26"/>
        <v>41.909567587914424</v>
      </c>
      <c r="AA68" s="40">
        <f t="shared" si="26"/>
        <v>41.348413374910919</v>
      </c>
      <c r="AB68" s="40">
        <f t="shared" si="26"/>
        <v>40.810547408492098</v>
      </c>
    </row>
    <row r="69" spans="1:28" x14ac:dyDescent="0.25">
      <c r="A69" s="4" t="s">
        <v>330</v>
      </c>
      <c r="B69" s="40">
        <f t="shared" ref="B69:AB69" si="27">B50+B51+B52+B53</f>
        <v>52.993744520154593</v>
      </c>
      <c r="C69" s="40">
        <f t="shared" si="27"/>
        <v>52.621284338599409</v>
      </c>
      <c r="D69" s="40">
        <f t="shared" si="27"/>
        <v>52.22219767484637</v>
      </c>
      <c r="E69" s="40">
        <f t="shared" si="27"/>
        <v>51.827644000755086</v>
      </c>
      <c r="F69" s="40">
        <f t="shared" si="27"/>
        <v>51.429351945690712</v>
      </c>
      <c r="G69" s="40">
        <f t="shared" si="27"/>
        <v>51.032182915305924</v>
      </c>
      <c r="H69" s="40">
        <f t="shared" si="27"/>
        <v>50.635623485053799</v>
      </c>
      <c r="I69" s="40">
        <f t="shared" si="27"/>
        <v>50.097855014224017</v>
      </c>
      <c r="J69" s="40">
        <f t="shared" si="27"/>
        <v>49.558031408657328</v>
      </c>
      <c r="K69" s="40">
        <f t="shared" si="27"/>
        <v>49.008621520078165</v>
      </c>
      <c r="L69" s="40">
        <f t="shared" si="27"/>
        <v>48.45590176104772</v>
      </c>
      <c r="M69" s="40">
        <f t="shared" si="27"/>
        <v>47.892882359690489</v>
      </c>
      <c r="N69" s="40">
        <f t="shared" si="27"/>
        <v>47.329375506999568</v>
      </c>
      <c r="O69" s="40">
        <f t="shared" si="27"/>
        <v>46.748311945559486</v>
      </c>
      <c r="P69" s="40">
        <f t="shared" si="27"/>
        <v>46.154848867484532</v>
      </c>
      <c r="Q69" s="40">
        <f t="shared" si="27"/>
        <v>45.553778999573787</v>
      </c>
      <c r="R69" s="40">
        <f t="shared" si="27"/>
        <v>44.943132320353413</v>
      </c>
      <c r="S69" s="40">
        <f t="shared" si="27"/>
        <v>44.278037203076664</v>
      </c>
      <c r="T69" s="40">
        <f t="shared" si="27"/>
        <v>43.61421728697848</v>
      </c>
      <c r="U69" s="40">
        <f t="shared" si="27"/>
        <v>42.962439639528448</v>
      </c>
      <c r="V69" s="40">
        <f t="shared" si="27"/>
        <v>42.322682689327095</v>
      </c>
      <c r="W69" s="40">
        <f t="shared" si="27"/>
        <v>41.698858540516618</v>
      </c>
      <c r="X69" s="40">
        <f t="shared" si="27"/>
        <v>41.104576809026526</v>
      </c>
      <c r="Y69" s="40">
        <f t="shared" si="27"/>
        <v>40.524286488842989</v>
      </c>
      <c r="Z69" s="40">
        <f t="shared" si="27"/>
        <v>39.9655420503722</v>
      </c>
      <c r="AA69" s="40">
        <f t="shared" si="27"/>
        <v>39.423353480320529</v>
      </c>
      <c r="AB69" s="40">
        <f t="shared" si="27"/>
        <v>38.905129627054841</v>
      </c>
    </row>
    <row r="70" spans="1:28" x14ac:dyDescent="0.25">
      <c r="A70" s="4" t="s">
        <v>331</v>
      </c>
      <c r="B70" s="40">
        <f t="shared" ref="B70:AB70" si="28">B54+B55</f>
        <v>55.738251275797779</v>
      </c>
      <c r="C70" s="40">
        <f t="shared" si="28"/>
        <v>55.315387819289057</v>
      </c>
      <c r="D70" s="40">
        <f t="shared" si="28"/>
        <v>54.865481280680612</v>
      </c>
      <c r="E70" s="40">
        <f t="shared" si="28"/>
        <v>54.419984082632375</v>
      </c>
      <c r="F70" s="40">
        <f t="shared" si="28"/>
        <v>53.969008798172467</v>
      </c>
      <c r="G70" s="40">
        <f t="shared" si="28"/>
        <v>53.520340120977203</v>
      </c>
      <c r="H70" s="40">
        <f t="shared" si="28"/>
        <v>53.070564557162562</v>
      </c>
      <c r="I70" s="40">
        <f t="shared" si="28"/>
        <v>52.47446805482479</v>
      </c>
      <c r="J70" s="40">
        <f t="shared" si="28"/>
        <v>51.878602316995156</v>
      </c>
      <c r="K70" s="40">
        <f t="shared" si="28"/>
        <v>51.277790865358881</v>
      </c>
      <c r="L70" s="40">
        <f t="shared" si="28"/>
        <v>50.675491024491741</v>
      </c>
      <c r="M70" s="40">
        <f t="shared" si="28"/>
        <v>50.068403466478884</v>
      </c>
      <c r="N70" s="40">
        <f t="shared" si="28"/>
        <v>49.462955788501077</v>
      </c>
      <c r="O70" s="40">
        <f t="shared" si="28"/>
        <v>48.84604401805651</v>
      </c>
      <c r="P70" s="40">
        <f t="shared" si="28"/>
        <v>48.218000588819521</v>
      </c>
      <c r="Q70" s="40">
        <f t="shared" si="28"/>
        <v>47.587836860310034</v>
      </c>
      <c r="R70" s="40">
        <f t="shared" si="28"/>
        <v>46.949199360299858</v>
      </c>
      <c r="S70" s="40">
        <f t="shared" si="28"/>
        <v>46.256211660955948</v>
      </c>
      <c r="T70" s="40">
        <f t="shared" si="28"/>
        <v>45.567972273569197</v>
      </c>
      <c r="U70" s="40">
        <f t="shared" si="28"/>
        <v>44.890221385139</v>
      </c>
      <c r="V70" s="40">
        <f t="shared" si="28"/>
        <v>44.227923068970462</v>
      </c>
      <c r="W70" s="40">
        <f t="shared" si="28"/>
        <v>43.580901288075488</v>
      </c>
      <c r="X70" s="40">
        <f t="shared" si="28"/>
        <v>42.962675379262791</v>
      </c>
      <c r="Y70" s="40">
        <f t="shared" si="28"/>
        <v>42.36389453438148</v>
      </c>
      <c r="Z70" s="40">
        <f t="shared" si="28"/>
        <v>41.783597419674074</v>
      </c>
      <c r="AA70" s="40">
        <f t="shared" si="28"/>
        <v>41.220853899700003</v>
      </c>
      <c r="AB70" s="40">
        <f t="shared" si="28"/>
        <v>40.681070374995045</v>
      </c>
    </row>
    <row r="71" spans="1:28" x14ac:dyDescent="0.25">
      <c r="A71" s="4" t="s">
        <v>332</v>
      </c>
      <c r="B71" s="40">
        <f t="shared" ref="B71:AB71" si="29">B58+B59</f>
        <v>9548.3104880106039</v>
      </c>
      <c r="C71" s="40">
        <f t="shared" si="29"/>
        <v>9701.5654694983732</v>
      </c>
      <c r="D71" s="40">
        <f t="shared" si="29"/>
        <v>9849.1319565204049</v>
      </c>
      <c r="E71" s="40">
        <f t="shared" si="29"/>
        <v>9999.3208380943433</v>
      </c>
      <c r="F71" s="40">
        <f t="shared" si="29"/>
        <v>10153.956777311396</v>
      </c>
      <c r="G71" s="40">
        <f t="shared" si="29"/>
        <v>10313.460951261161</v>
      </c>
      <c r="H71" s="40">
        <f t="shared" si="29"/>
        <v>10477.943988914692</v>
      </c>
      <c r="I71" s="40">
        <f t="shared" si="29"/>
        <v>10616.487277606475</v>
      </c>
      <c r="J71" s="40">
        <f t="shared" si="29"/>
        <v>10757.466368224344</v>
      </c>
      <c r="K71" s="40">
        <f t="shared" si="29"/>
        <v>10899.439796151644</v>
      </c>
      <c r="L71" s="40">
        <f t="shared" si="29"/>
        <v>11041.834117836068</v>
      </c>
      <c r="M71" s="40">
        <f t="shared" si="29"/>
        <v>11184.236186670892</v>
      </c>
      <c r="N71" s="40">
        <f t="shared" si="29"/>
        <v>11324.907555593287</v>
      </c>
      <c r="O71" s="40">
        <f t="shared" si="29"/>
        <v>11462.542802807213</v>
      </c>
      <c r="P71" s="40">
        <f t="shared" si="29"/>
        <v>11596.182470250502</v>
      </c>
      <c r="Q71" s="40">
        <f t="shared" si="29"/>
        <v>11724.164444870941</v>
      </c>
      <c r="R71" s="40">
        <f t="shared" si="29"/>
        <v>11845.193419684198</v>
      </c>
      <c r="S71" s="40">
        <f t="shared" si="29"/>
        <v>11944.285455889598</v>
      </c>
      <c r="T71" s="40">
        <f t="shared" si="29"/>
        <v>12034.52280321292</v>
      </c>
      <c r="U71" s="40">
        <f t="shared" si="29"/>
        <v>12115.726501797933</v>
      </c>
      <c r="V71" s="40">
        <f t="shared" si="29"/>
        <v>12185.122900802373</v>
      </c>
      <c r="W71" s="40">
        <f t="shared" si="29"/>
        <v>12241.895151373625</v>
      </c>
      <c r="X71" s="40">
        <f t="shared" si="29"/>
        <v>12286.089064416381</v>
      </c>
      <c r="Y71" s="40">
        <f t="shared" si="29"/>
        <v>12323.142649287018</v>
      </c>
      <c r="Z71" s="40">
        <f t="shared" si="29"/>
        <v>12348.174800113757</v>
      </c>
      <c r="AA71" s="40">
        <f t="shared" si="29"/>
        <v>12360.634409961935</v>
      </c>
      <c r="AB71" s="40">
        <f t="shared" si="29"/>
        <v>12361.214089624107</v>
      </c>
    </row>
    <row r="72" spans="1:28" x14ac:dyDescent="0.25">
      <c r="A72" s="4" t="s">
        <v>333</v>
      </c>
      <c r="B72" s="40">
        <f t="shared" ref="B72:AB72" si="30">B60+B61+B62+B63</f>
        <v>9707.6238583291797</v>
      </c>
      <c r="C72" s="40">
        <f t="shared" si="30"/>
        <v>9863.157365305502</v>
      </c>
      <c r="D72" s="40">
        <f t="shared" si="30"/>
        <v>10012.701386741106</v>
      </c>
      <c r="E72" s="40">
        <f t="shared" si="30"/>
        <v>10164.679100017835</v>
      </c>
      <c r="F72" s="40">
        <f t="shared" si="30"/>
        <v>10320.864828610105</v>
      </c>
      <c r="G72" s="40">
        <f t="shared" si="30"/>
        <v>10481.68275396533</v>
      </c>
      <c r="H72" s="40">
        <f t="shared" si="30"/>
        <v>10647.2507928755</v>
      </c>
      <c r="I72" s="40">
        <f t="shared" si="30"/>
        <v>10786.078266738239</v>
      </c>
      <c r="J72" s="40">
        <f t="shared" si="30"/>
        <v>10927.071154682882</v>
      </c>
      <c r="K72" s="40">
        <f t="shared" si="30"/>
        <v>11068.741416376761</v>
      </c>
      <c r="L72" s="40">
        <f t="shared" si="30"/>
        <v>11210.417621375793</v>
      </c>
      <c r="M72" s="40">
        <f t="shared" si="30"/>
        <v>11351.721835983213</v>
      </c>
      <c r="N72" s="40">
        <f t="shared" si="30"/>
        <v>11490.78550765255</v>
      </c>
      <c r="O72" s="40">
        <f t="shared" si="30"/>
        <v>11626.38081880211</v>
      </c>
      <c r="P72" s="40">
        <f t="shared" si="30"/>
        <v>11757.416565511594</v>
      </c>
      <c r="Q72" s="40">
        <f t="shared" si="30"/>
        <v>11882.269375173733</v>
      </c>
      <c r="R72" s="40">
        <f t="shared" si="30"/>
        <v>11999.567084833903</v>
      </c>
      <c r="S72" s="40">
        <f t="shared" si="30"/>
        <v>12094.128844416809</v>
      </c>
      <c r="T72" s="40">
        <f t="shared" si="30"/>
        <v>12179.267055408396</v>
      </c>
      <c r="U72" s="40">
        <f t="shared" si="30"/>
        <v>12254.854961266761</v>
      </c>
      <c r="V72" s="40">
        <f t="shared" si="30"/>
        <v>12317.943296802117</v>
      </c>
      <c r="W72" s="40">
        <f t="shared" si="30"/>
        <v>12367.781404083373</v>
      </c>
      <c r="X72" s="40">
        <f t="shared" si="30"/>
        <v>12404.433503777451</v>
      </c>
      <c r="Y72" s="40">
        <f t="shared" si="30"/>
        <v>12433.660923781226</v>
      </c>
      <c r="Z72" s="40">
        <f t="shared" si="30"/>
        <v>12450.334918548133</v>
      </c>
      <c r="AA72" s="40">
        <f t="shared" si="30"/>
        <v>12453.878624260899</v>
      </c>
      <c r="AB72" s="40">
        <f t="shared" si="30"/>
        <v>12445.133159477349</v>
      </c>
    </row>
    <row r="73" spans="1:28" x14ac:dyDescent="0.25">
      <c r="A73" s="4" t="s">
        <v>334</v>
      </c>
      <c r="B73" s="40">
        <f t="shared" ref="B73:AB73" si="31">B64+B65</f>
        <v>9600.6106202613955</v>
      </c>
      <c r="C73" s="40">
        <f t="shared" si="31"/>
        <v>9754.1485792689655</v>
      </c>
      <c r="D73" s="40">
        <f t="shared" si="31"/>
        <v>9901.9342317069459</v>
      </c>
      <c r="E73" s="40">
        <f t="shared" si="31"/>
        <v>10052.304572818319</v>
      </c>
      <c r="F73" s="40">
        <f t="shared" si="31"/>
        <v>10207.08979568852</v>
      </c>
      <c r="G73" s="40">
        <f t="shared" si="31"/>
        <v>10366.708240786269</v>
      </c>
      <c r="H73" s="40">
        <f t="shared" si="31"/>
        <v>10531.247269448189</v>
      </c>
      <c r="I73" s="40">
        <f t="shared" si="31"/>
        <v>10669.631285587475</v>
      </c>
      <c r="J73" s="40">
        <f t="shared" si="31"/>
        <v>10810.385178916649</v>
      </c>
      <c r="K73" s="40">
        <f t="shared" si="31"/>
        <v>10952.057377272355</v>
      </c>
      <c r="L73" s="40">
        <f t="shared" si="31"/>
        <v>11094.056748688454</v>
      </c>
      <c r="M73" s="40">
        <f t="shared" si="31"/>
        <v>11235.982139898861</v>
      </c>
      <c r="N73" s="40">
        <f t="shared" si="31"/>
        <v>11376.072026933176</v>
      </c>
      <c r="O73" s="40">
        <f t="shared" si="31"/>
        <v>11513.028598819124</v>
      </c>
      <c r="P73" s="40">
        <f t="shared" si="31"/>
        <v>11645.880532157607</v>
      </c>
      <c r="Q73" s="40">
        <f t="shared" si="31"/>
        <v>11772.964479268756</v>
      </c>
      <c r="R73" s="40">
        <f t="shared" si="31"/>
        <v>11892.980277827943</v>
      </c>
      <c r="S73" s="40">
        <f t="shared" si="31"/>
        <v>11990.893245999583</v>
      </c>
      <c r="T73" s="40">
        <f t="shared" si="31"/>
        <v>12079.839307149279</v>
      </c>
      <c r="U73" s="40">
        <f t="shared" si="31"/>
        <v>12159.652254342909</v>
      </c>
      <c r="V73" s="40">
        <f t="shared" si="31"/>
        <v>12227.540870963547</v>
      </c>
      <c r="W73" s="40">
        <f t="shared" si="31"/>
        <v>12282.708324299232</v>
      </c>
      <c r="X73" s="40">
        <f t="shared" si="31"/>
        <v>12325.18451341445</v>
      </c>
      <c r="Y73" s="40">
        <f t="shared" si="31"/>
        <v>12360.468222836804</v>
      </c>
      <c r="Z73" s="40">
        <f t="shared" si="31"/>
        <v>12383.639246996918</v>
      </c>
      <c r="AA73" s="40">
        <f t="shared" si="31"/>
        <v>12394.173797269326</v>
      </c>
      <c r="AB73" s="40">
        <f t="shared" si="31"/>
        <v>12392.777938233507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30.704144991593243</v>
      </c>
      <c r="C2" s="37">
        <f>BDbDT_calcs!C48</f>
        <v>30.446369230766216</v>
      </c>
      <c r="D2" s="37">
        <f>BDbDT_calcs!D48</f>
        <v>30.172503392124941</v>
      </c>
      <c r="E2" s="37">
        <f>BDbDT_calcs!E48</f>
        <v>29.90303640186827</v>
      </c>
      <c r="F2" s="37">
        <f>BDbDT_calcs!F48</f>
        <v>29.631654437267919</v>
      </c>
      <c r="G2" s="37">
        <f>BDbDT_calcs!G48</f>
        <v>29.358397861889806</v>
      </c>
      <c r="H2" s="37">
        <f>BDbDT_calcs!H48</f>
        <v>29.083456405722043</v>
      </c>
      <c r="I2" s="37">
        <f>BDbDT_calcs!I48</f>
        <v>28.741675715346759</v>
      </c>
      <c r="J2" s="37">
        <f>BDbDT_calcs!J48</f>
        <v>28.384610845841621</v>
      </c>
      <c r="K2" s="37">
        <f>BDbDT_calcs!K48</f>
        <v>28.0370498282836</v>
      </c>
      <c r="L2" s="37">
        <f>BDbDT_calcs!L48</f>
        <v>27.676478249289694</v>
      </c>
      <c r="M2" s="37">
        <f>BDbDT_calcs!M48</f>
        <v>27.325320104157932</v>
      </c>
      <c r="N2" s="37">
        <f>BDbDT_calcs!N48</f>
        <v>26.986611664372283</v>
      </c>
      <c r="O2" s="37">
        <f>BDbDT_calcs!O48</f>
        <v>26.615705171521856</v>
      </c>
      <c r="P2" s="37">
        <f>BDbDT_calcs!P48</f>
        <v>26.260262597091856</v>
      </c>
      <c r="Q2" s="37">
        <f>BDbDT_calcs!Q48</f>
        <v>25.891535773534724</v>
      </c>
      <c r="R2" s="37">
        <f>BDbDT_calcs!R48</f>
        <v>25.525183338809576</v>
      </c>
      <c r="S2" s="37">
        <f>BDbDT_calcs!S48</f>
        <v>25.125172844652557</v>
      </c>
      <c r="T2" s="37">
        <f>BDbDT_calcs!T48</f>
        <v>24.731039084803506</v>
      </c>
      <c r="U2" s="37">
        <f>BDbDT_calcs!U48</f>
        <v>24.342392930243594</v>
      </c>
      <c r="V2" s="37">
        <f>BDbDT_calcs!V48</f>
        <v>23.958780133837195</v>
      </c>
      <c r="W2" s="37">
        <f>BDbDT_calcs!W48</f>
        <v>23.582842167801459</v>
      </c>
      <c r="X2" s="37">
        <f>BDbDT_calcs!X48</f>
        <v>23.235849434808021</v>
      </c>
      <c r="Y2" s="37">
        <f>BDbDT_calcs!Y48</f>
        <v>22.89250618656963</v>
      </c>
      <c r="Z2" s="37">
        <f>BDbDT_calcs!Z48</f>
        <v>22.567882221361579</v>
      </c>
      <c r="AA2" s="37">
        <f>BDbDT_calcs!AA48</f>
        <v>22.249144032933138</v>
      </c>
      <c r="AB2" s="37">
        <f>BDbDT_calcs!AB48</f>
        <v>21.932831129625328</v>
      </c>
    </row>
    <row r="3" spans="1:28" x14ac:dyDescent="0.25">
      <c r="A3" s="4" t="s">
        <v>216</v>
      </c>
      <c r="B3" s="37">
        <f>BDbDT_calcs!B49</f>
        <v>25.040326149827948</v>
      </c>
      <c r="C3" s="37">
        <f>BDbDT_calcs!C49</f>
        <v>24.882155297966804</v>
      </c>
      <c r="D3" s="37">
        <f>BDbDT_calcs!D49</f>
        <v>24.713382486438988</v>
      </c>
      <c r="E3" s="37">
        <f>BDbDT_calcs!E49</f>
        <v>24.544749822055511</v>
      </c>
      <c r="F3" s="37">
        <f>BDbDT_calcs!F49</f>
        <v>24.373117161201073</v>
      </c>
      <c r="G3" s="37">
        <f>BDbDT_calcs!G49</f>
        <v>24.205181825504116</v>
      </c>
      <c r="H3" s="37">
        <f>BDbDT_calcs!H49</f>
        <v>24.037793584851567</v>
      </c>
      <c r="I3" s="37">
        <f>BDbDT_calcs!I49</f>
        <v>23.790371097312626</v>
      </c>
      <c r="J3" s="37">
        <f>BDbDT_calcs!J49</f>
        <v>23.558612349678032</v>
      </c>
      <c r="K3" s="37">
        <f>BDbDT_calcs!K49</f>
        <v>23.311960366808602</v>
      </c>
      <c r="L3" s="37">
        <f>BDbDT_calcs!L49</f>
        <v>23.076762132355956</v>
      </c>
      <c r="M3" s="37">
        <f>BDbDT_calcs!M49</f>
        <v>22.82678181761835</v>
      </c>
      <c r="N3" s="37">
        <f>BDbDT_calcs!N49</f>
        <v>22.565359762669701</v>
      </c>
      <c r="O3" s="37">
        <f>BDbDT_calcs!O49</f>
        <v>22.325033528177919</v>
      </c>
      <c r="P3" s="37">
        <f>BDbDT_calcs!P49</f>
        <v>22.056945314006416</v>
      </c>
      <c r="Q3" s="37">
        <f>BDbDT_calcs!Q49</f>
        <v>21.799978015354956</v>
      </c>
      <c r="R3" s="37">
        <f>BDbDT_calcs!R49</f>
        <v>21.531305257147288</v>
      </c>
      <c r="S3" s="37">
        <f>BDbDT_calcs!S49</f>
        <v>21.242007944632384</v>
      </c>
      <c r="T3" s="37">
        <f>BDbDT_calcs!T49</f>
        <v>20.950975734367702</v>
      </c>
      <c r="U3" s="37">
        <f>BDbDT_calcs!U49</f>
        <v>20.664357119361458</v>
      </c>
      <c r="V3" s="37">
        <f>BDbDT_calcs!V49</f>
        <v>20.388172682906838</v>
      </c>
      <c r="W3" s="37">
        <f>BDbDT_calcs!W49</f>
        <v>20.118804671333027</v>
      </c>
      <c r="X3" s="37">
        <f>BDbDT_calcs!X49</f>
        <v>19.849498410580431</v>
      </c>
      <c r="Y3" s="37">
        <f>BDbDT_calcs!Y49</f>
        <v>19.595871733824708</v>
      </c>
      <c r="Z3" s="37">
        <f>BDbDT_calcs!Z49</f>
        <v>19.341685366552849</v>
      </c>
      <c r="AA3" s="37">
        <f>BDbDT_calcs!AA49</f>
        <v>19.099269341977777</v>
      </c>
      <c r="AB3" s="37">
        <f>BDbDT_calcs!AB49</f>
        <v>18.877716278866775</v>
      </c>
    </row>
    <row r="4" spans="1:28" x14ac:dyDescent="0.25">
      <c r="A4" s="4" t="s">
        <v>217</v>
      </c>
      <c r="B4" s="37">
        <f>BDbDT_calcs!B50</f>
        <v>35.312609905766578</v>
      </c>
      <c r="C4" s="37">
        <f>BDbDT_calcs!C50</f>
        <v>35.049687998833271</v>
      </c>
      <c r="D4" s="37">
        <f>BDbDT_calcs!D50</f>
        <v>34.775492658369451</v>
      </c>
      <c r="E4" s="37">
        <f>BDbDT_calcs!E50</f>
        <v>34.499124559818384</v>
      </c>
      <c r="F4" s="37">
        <f>BDbDT_calcs!F50</f>
        <v>34.224399749375216</v>
      </c>
      <c r="G4" s="37">
        <f>BDbDT_calcs!G50</f>
        <v>33.954931874255848</v>
      </c>
      <c r="H4" s="37">
        <f>BDbDT_calcs!H50</f>
        <v>33.676697587922362</v>
      </c>
      <c r="I4" s="37">
        <f>BDbDT_calcs!I50</f>
        <v>33.313222223054133</v>
      </c>
      <c r="J4" s="37">
        <f>BDbDT_calcs!J50</f>
        <v>32.940266945545972</v>
      </c>
      <c r="K4" s="37">
        <f>BDbDT_calcs!K50</f>
        <v>32.560248307986249</v>
      </c>
      <c r="L4" s="37">
        <f>BDbDT_calcs!L50</f>
        <v>32.1697122220274</v>
      </c>
      <c r="M4" s="37">
        <f>BDbDT_calcs!M50</f>
        <v>31.768713264641836</v>
      </c>
      <c r="N4" s="37">
        <f>BDbDT_calcs!N50</f>
        <v>31.35725886037919</v>
      </c>
      <c r="O4" s="37">
        <f>BDbDT_calcs!O50</f>
        <v>30.924876207323585</v>
      </c>
      <c r="P4" s="37">
        <f>BDbDT_calcs!P50</f>
        <v>30.485496250471499</v>
      </c>
      <c r="Q4" s="37">
        <f>BDbDT_calcs!Q50</f>
        <v>30.035480016396811</v>
      </c>
      <c r="R4" s="37">
        <f>BDbDT_calcs!R50</f>
        <v>29.574639596358125</v>
      </c>
      <c r="S4" s="37">
        <f>BDbDT_calcs!S50</f>
        <v>29.075553554337802</v>
      </c>
      <c r="T4" s="37">
        <f>BDbDT_calcs!T50</f>
        <v>28.583477376255829</v>
      </c>
      <c r="U4" s="37">
        <f>BDbDT_calcs!U50</f>
        <v>28.097944224560344</v>
      </c>
      <c r="V4" s="37">
        <f>BDbDT_calcs!V50</f>
        <v>27.621841938050476</v>
      </c>
      <c r="W4" s="37">
        <f>BDbDT_calcs!W50</f>
        <v>27.161424881057467</v>
      </c>
      <c r="X4" s="37">
        <f>BDbDT_calcs!X50</f>
        <v>26.719490046896968</v>
      </c>
      <c r="Y4" s="37">
        <f>BDbDT_calcs!Y50</f>
        <v>26.288756108775868</v>
      </c>
      <c r="Z4" s="37">
        <f>BDbDT_calcs!Z50</f>
        <v>25.872104173793861</v>
      </c>
      <c r="AA4" s="37">
        <f>BDbDT_calcs!AA50</f>
        <v>25.475798363124934</v>
      </c>
      <c r="AB4" s="37">
        <f>BDbDT_calcs!AB50</f>
        <v>25.092547698752135</v>
      </c>
    </row>
    <row r="5" spans="1:28" x14ac:dyDescent="0.25">
      <c r="A5" s="4" t="s">
        <v>218</v>
      </c>
      <c r="B5" s="37">
        <f>BDbDT_calcs!B51</f>
        <v>10.749334070147464</v>
      </c>
      <c r="C5" s="37">
        <f>BDbDT_calcs!C51</f>
        <v>10.595475385746765</v>
      </c>
      <c r="D5" s="37">
        <f>BDbDT_calcs!D51</f>
        <v>10.439581230524032</v>
      </c>
      <c r="E5" s="37">
        <f>BDbDT_calcs!E51</f>
        <v>10.280779396732074</v>
      </c>
      <c r="F5" s="37">
        <f>BDbDT_calcs!F51</f>
        <v>10.119123112044173</v>
      </c>
      <c r="G5" s="37">
        <f>BDbDT_calcs!G51</f>
        <v>9.9591766599377909</v>
      </c>
      <c r="H5" s="37">
        <f>BDbDT_calcs!H51</f>
        <v>9.7941173597934519</v>
      </c>
      <c r="I5" s="37">
        <f>BDbDT_calcs!I51</f>
        <v>9.6058621864431526</v>
      </c>
      <c r="J5" s="37">
        <f>BDbDT_calcs!J51</f>
        <v>9.4205269411033328</v>
      </c>
      <c r="K5" s="37">
        <f>BDbDT_calcs!K51</f>
        <v>9.2377012111140093</v>
      </c>
      <c r="L5" s="37">
        <f>BDbDT_calcs!L51</f>
        <v>9.0618392512272727</v>
      </c>
      <c r="M5" s="37">
        <f>BDbDT_calcs!M51</f>
        <v>8.8950894954786026</v>
      </c>
      <c r="N5" s="37">
        <f>BDbDT_calcs!N51</f>
        <v>8.7306000327410533</v>
      </c>
      <c r="O5" s="37">
        <f>BDbDT_calcs!O51</f>
        <v>8.5750185849581655</v>
      </c>
      <c r="P5" s="37">
        <f>BDbDT_calcs!P51</f>
        <v>8.4215254684219669</v>
      </c>
      <c r="Q5" s="37">
        <f>BDbDT_calcs!Q51</f>
        <v>8.2744880907500509</v>
      </c>
      <c r="R5" s="37">
        <f>BDbDT_calcs!R51</f>
        <v>8.1315608108898392</v>
      </c>
      <c r="S5" s="37">
        <f>BDbDT_calcs!S51</f>
        <v>7.9810483777824555</v>
      </c>
      <c r="T5" s="37">
        <f>BDbDT_calcs!T51</f>
        <v>7.8347489425259731</v>
      </c>
      <c r="U5" s="37">
        <f>BDbDT_calcs!U51</f>
        <v>7.6903056426362566</v>
      </c>
      <c r="V5" s="37">
        <f>BDbDT_calcs!V51</f>
        <v>7.5519638538807499</v>
      </c>
      <c r="W5" s="37">
        <f>BDbDT_calcs!W51</f>
        <v>7.4129521691220797</v>
      </c>
      <c r="X5" s="37">
        <f>BDbDT_calcs!X51</f>
        <v>7.2797007307676331</v>
      </c>
      <c r="Y5" s="37">
        <f>BDbDT_calcs!Y51</f>
        <v>7.1542559406126678</v>
      </c>
      <c r="Z5" s="37">
        <f>BDbDT_calcs!Z51</f>
        <v>7.0299060113613931</v>
      </c>
      <c r="AA5" s="37">
        <f>BDbDT_calcs!AA51</f>
        <v>6.9108752025378326</v>
      </c>
      <c r="AB5" s="37">
        <f>BDbDT_calcs!AB51</f>
        <v>6.7926800147446356</v>
      </c>
    </row>
    <row r="6" spans="1:28" x14ac:dyDescent="0.25">
      <c r="A6" s="4" t="s">
        <v>219</v>
      </c>
      <c r="B6" s="37">
        <f>BDbDT_calcs!B52</f>
        <v>1.7826542136243992</v>
      </c>
      <c r="C6" s="37">
        <f>BDbDT_calcs!C52</f>
        <v>1.7873314606693564</v>
      </c>
      <c r="D6" s="37">
        <f>BDbDT_calcs!D52</f>
        <v>1.7912126221302118</v>
      </c>
      <c r="E6" s="37">
        <f>BDbDT_calcs!E52</f>
        <v>1.7973688292744758</v>
      </c>
      <c r="F6" s="37">
        <f>BDbDT_calcs!F52</f>
        <v>1.8037511010577711</v>
      </c>
      <c r="G6" s="37">
        <f>BDbDT_calcs!G52</f>
        <v>1.8103700955007038</v>
      </c>
      <c r="H6" s="37">
        <f>BDbDT_calcs!H52</f>
        <v>1.8172465226055377</v>
      </c>
      <c r="I6" s="37">
        <f>BDbDT_calcs!I52</f>
        <v>1.8192405863296031</v>
      </c>
      <c r="J6" s="37">
        <f>BDbDT_calcs!J52</f>
        <v>1.8215377285269618</v>
      </c>
      <c r="K6" s="37">
        <f>BDbDT_calcs!K52</f>
        <v>1.828155934526378</v>
      </c>
      <c r="L6" s="37">
        <f>BDbDT_calcs!L52</f>
        <v>1.8309388013131476</v>
      </c>
      <c r="M6" s="37">
        <f>BDbDT_calcs!M52</f>
        <v>1.8339818324881638</v>
      </c>
      <c r="N6" s="37">
        <f>BDbDT_calcs!N52</f>
        <v>1.8372902070999797</v>
      </c>
      <c r="O6" s="37">
        <f>BDbDT_calcs!O52</f>
        <v>1.8408693333861839</v>
      </c>
      <c r="P6" s="37">
        <f>BDbDT_calcs!P52</f>
        <v>1.8427107602462651</v>
      </c>
      <c r="Q6" s="37">
        <f>BDbDT_calcs!Q52</f>
        <v>1.8468417300813806</v>
      </c>
      <c r="R6" s="37">
        <f>BDbDT_calcs!R52</f>
        <v>1.8472364550140028</v>
      </c>
      <c r="S6" s="37">
        <f>BDbDT_calcs!S52</f>
        <v>1.847743959393507</v>
      </c>
      <c r="T6" s="37">
        <f>BDbDT_calcs!T52</f>
        <v>1.8505026062695085</v>
      </c>
      <c r="U6" s="37">
        <f>BDbDT_calcs!U52</f>
        <v>1.8495216579527347</v>
      </c>
      <c r="V6" s="37">
        <f>BDbDT_calcs!V52</f>
        <v>1.8507557353174018</v>
      </c>
      <c r="W6" s="37">
        <f>BDbDT_calcs!W52</f>
        <v>1.8521886258094826</v>
      </c>
      <c r="X6" s="37">
        <f>BDbDT_calcs!X52</f>
        <v>1.8518230649090777</v>
      </c>
      <c r="Y6" s="37">
        <f>BDbDT_calcs!Y52</f>
        <v>1.8555595145586827</v>
      </c>
      <c r="Z6" s="37">
        <f>BDbDT_calcs!Z52</f>
        <v>1.8554941093893544</v>
      </c>
      <c r="AA6" s="37">
        <f>BDbDT_calcs!AA52</f>
        <v>1.8555461165431391</v>
      </c>
      <c r="AB6" s="37">
        <f>BDbDT_calcs!AB52</f>
        <v>1.8556909397661463</v>
      </c>
    </row>
    <row r="7" spans="1:28" x14ac:dyDescent="0.25">
      <c r="A7" s="4" t="s">
        <v>220</v>
      </c>
      <c r="B7" s="37">
        <f>BDbDT_calcs!B53</f>
        <v>5.1491463306161576</v>
      </c>
      <c r="C7" s="37">
        <f>BDbDT_calcs!C53</f>
        <v>5.1887894933500132</v>
      </c>
      <c r="D7" s="37">
        <f>BDbDT_calcs!D53</f>
        <v>5.2159111638226783</v>
      </c>
      <c r="E7" s="37">
        <f>BDbDT_calcs!E53</f>
        <v>5.2503712149301514</v>
      </c>
      <c r="F7" s="37">
        <f>BDbDT_calcs!F53</f>
        <v>5.2820779832135534</v>
      </c>
      <c r="G7" s="37">
        <f>BDbDT_calcs!G53</f>
        <v>5.3077042856115817</v>
      </c>
      <c r="H7" s="37">
        <f>BDbDT_calcs!H53</f>
        <v>5.3475620147324436</v>
      </c>
      <c r="I7" s="37">
        <f>BDbDT_calcs!I53</f>
        <v>5.3595300183971242</v>
      </c>
      <c r="J7" s="37">
        <f>BDbDT_calcs!J53</f>
        <v>5.3756997934810613</v>
      </c>
      <c r="K7" s="37">
        <f>BDbDT_calcs!K53</f>
        <v>5.382516066451533</v>
      </c>
      <c r="L7" s="37">
        <f>BDbDT_calcs!L53</f>
        <v>5.3934114864799074</v>
      </c>
      <c r="M7" s="37">
        <f>BDbDT_calcs!M53</f>
        <v>5.3950977670818876</v>
      </c>
      <c r="N7" s="37">
        <f>BDbDT_calcs!N53</f>
        <v>5.4042264067793475</v>
      </c>
      <c r="O7" s="37">
        <f>BDbDT_calcs!O53</f>
        <v>5.4075478198915574</v>
      </c>
      <c r="P7" s="37">
        <f>BDbDT_calcs!P53</f>
        <v>5.4051163883448039</v>
      </c>
      <c r="Q7" s="37">
        <f>BDbDT_calcs!Q53</f>
        <v>5.3969691623455507</v>
      </c>
      <c r="R7" s="37">
        <f>BDbDT_calcs!R53</f>
        <v>5.3896954580914418</v>
      </c>
      <c r="S7" s="37">
        <f>BDbDT_calcs!S53</f>
        <v>5.373691311562899</v>
      </c>
      <c r="T7" s="37">
        <f>BDbDT_calcs!T53</f>
        <v>5.3454883619271669</v>
      </c>
      <c r="U7" s="37">
        <f>BDbDT_calcs!U53</f>
        <v>5.3246681143791124</v>
      </c>
      <c r="V7" s="37">
        <f>BDbDT_calcs!V53</f>
        <v>5.2981211620784627</v>
      </c>
      <c r="W7" s="37">
        <f>BDbDT_calcs!W53</f>
        <v>5.2722928645275875</v>
      </c>
      <c r="X7" s="37">
        <f>BDbDT_calcs!X53</f>
        <v>5.2535629664528445</v>
      </c>
      <c r="Y7" s="37">
        <f>BDbDT_calcs!Y53</f>
        <v>5.2257149248957715</v>
      </c>
      <c r="Z7" s="37">
        <f>BDbDT_calcs!Z53</f>
        <v>5.2080377558275925</v>
      </c>
      <c r="AA7" s="37">
        <f>BDbDT_calcs!AA53</f>
        <v>5.1811337981146215</v>
      </c>
      <c r="AB7" s="37">
        <f>BDbDT_calcs!AB53</f>
        <v>5.1642109737919215</v>
      </c>
    </row>
    <row r="8" spans="1:28" x14ac:dyDescent="0.25">
      <c r="A8" s="4" t="s">
        <v>221</v>
      </c>
      <c r="B8" s="37">
        <f>BDbDT_calcs!B54</f>
        <v>12.203750876932663</v>
      </c>
      <c r="C8" s="37">
        <f>BDbDT_calcs!C54</f>
        <v>12.244077337022231</v>
      </c>
      <c r="D8" s="37">
        <f>BDbDT_calcs!D54</f>
        <v>12.28527318006735</v>
      </c>
      <c r="E8" s="37">
        <f>BDbDT_calcs!E54</f>
        <v>12.33105019638932</v>
      </c>
      <c r="F8" s="37">
        <f>BDbDT_calcs!F54</f>
        <v>12.387860527891233</v>
      </c>
      <c r="G8" s="37">
        <f>BDbDT_calcs!G54</f>
        <v>12.433629310943305</v>
      </c>
      <c r="H8" s="37">
        <f>BDbDT_calcs!H54</f>
        <v>12.478007443475974</v>
      </c>
      <c r="I8" s="37">
        <f>BDbDT_calcs!I54</f>
        <v>12.485725559412375</v>
      </c>
      <c r="J8" s="37">
        <f>BDbDT_calcs!J54</f>
        <v>12.489288915939307</v>
      </c>
      <c r="K8" s="37">
        <f>BDbDT_calcs!K54</f>
        <v>12.488353154548609</v>
      </c>
      <c r="L8" s="37">
        <f>BDbDT_calcs!L54</f>
        <v>12.479902415050462</v>
      </c>
      <c r="M8" s="37">
        <f>BDbDT_calcs!M54</f>
        <v>12.464051381047236</v>
      </c>
      <c r="N8" s="37">
        <f>BDbDT_calcs!N54</f>
        <v>12.440894486035441</v>
      </c>
      <c r="O8" s="37">
        <f>BDbDT_calcs!O54</f>
        <v>12.410518182627362</v>
      </c>
      <c r="P8" s="37">
        <f>BDbDT_calcs!P54</f>
        <v>12.363723567135924</v>
      </c>
      <c r="Q8" s="37">
        <f>BDbDT_calcs!Q54</f>
        <v>12.30983974190181</v>
      </c>
      <c r="R8" s="37">
        <f>BDbDT_calcs!R54</f>
        <v>12.239644813589543</v>
      </c>
      <c r="S8" s="37">
        <f>BDbDT_calcs!S54</f>
        <v>12.15731966131227</v>
      </c>
      <c r="T8" s="37">
        <f>BDbDT_calcs!T54</f>
        <v>12.064968191931374</v>
      </c>
      <c r="U8" s="37">
        <f>BDbDT_calcs!U54</f>
        <v>11.962551122967104</v>
      </c>
      <c r="V8" s="37">
        <f>BDbDT_calcs!V54</f>
        <v>11.862145472766464</v>
      </c>
      <c r="W8" s="37">
        <f>BDbDT_calcs!W54</f>
        <v>11.748385450479638</v>
      </c>
      <c r="X8" s="37">
        <f>BDbDT_calcs!X54</f>
        <v>11.651442440742143</v>
      </c>
      <c r="Y8" s="37">
        <f>BDbDT_calcs!Y54</f>
        <v>11.55295891899598</v>
      </c>
      <c r="Z8" s="37">
        <f>BDbDT_calcs!Z54</f>
        <v>11.45578757049762</v>
      </c>
      <c r="AA8" s="37">
        <f>BDbDT_calcs!AA54</f>
        <v>11.362757368269603</v>
      </c>
      <c r="AB8" s="37">
        <f>BDbDT_calcs!AB54</f>
        <v>11.276680568440998</v>
      </c>
    </row>
    <row r="9" spans="1:28" x14ac:dyDescent="0.25">
      <c r="A9" s="4" t="s">
        <v>222</v>
      </c>
      <c r="B9" s="37">
        <f>BDbDT_calcs!B55</f>
        <v>43.53450039886512</v>
      </c>
      <c r="C9" s="37">
        <f>BDbDT_calcs!C55</f>
        <v>43.071310482266824</v>
      </c>
      <c r="D9" s="37">
        <f>BDbDT_calcs!D55</f>
        <v>42.580208100613262</v>
      </c>
      <c r="E9" s="37">
        <f>BDbDT_calcs!E55</f>
        <v>42.088933886243055</v>
      </c>
      <c r="F9" s="37">
        <f>BDbDT_calcs!F55</f>
        <v>41.581148270281233</v>
      </c>
      <c r="G9" s="37">
        <f>BDbDT_calcs!G55</f>
        <v>41.0867108100339</v>
      </c>
      <c r="H9" s="37">
        <f>BDbDT_calcs!H55</f>
        <v>40.592557113686588</v>
      </c>
      <c r="I9" s="37">
        <f>BDbDT_calcs!I55</f>
        <v>39.988742495412417</v>
      </c>
      <c r="J9" s="37">
        <f>BDbDT_calcs!J55</f>
        <v>39.389313401055851</v>
      </c>
      <c r="K9" s="37">
        <f>BDbDT_calcs!K55</f>
        <v>38.789437710810269</v>
      </c>
      <c r="L9" s="37">
        <f>BDbDT_calcs!L55</f>
        <v>38.19558860944128</v>
      </c>
      <c r="M9" s="37">
        <f>BDbDT_calcs!M55</f>
        <v>37.60435208543165</v>
      </c>
      <c r="N9" s="37">
        <f>BDbDT_calcs!N55</f>
        <v>37.022061302465637</v>
      </c>
      <c r="O9" s="37">
        <f>BDbDT_calcs!O55</f>
        <v>36.435525835429146</v>
      </c>
      <c r="P9" s="37">
        <f>BDbDT_calcs!P55</f>
        <v>35.854277021683593</v>
      </c>
      <c r="Q9" s="37">
        <f>BDbDT_calcs!Q55</f>
        <v>35.277997118408223</v>
      </c>
      <c r="R9" s="37">
        <f>BDbDT_calcs!R55</f>
        <v>34.709554546710315</v>
      </c>
      <c r="S9" s="37">
        <f>BDbDT_calcs!S55</f>
        <v>34.098891999643676</v>
      </c>
      <c r="T9" s="37">
        <f>BDbDT_calcs!T55</f>
        <v>33.503004081637819</v>
      </c>
      <c r="U9" s="37">
        <f>BDbDT_calcs!U55</f>
        <v>32.927670262171894</v>
      </c>
      <c r="V9" s="37">
        <f>BDbDT_calcs!V55</f>
        <v>32.365777596203998</v>
      </c>
      <c r="W9" s="37">
        <f>BDbDT_calcs!W55</f>
        <v>31.832515837595849</v>
      </c>
      <c r="X9" s="37">
        <f>BDbDT_calcs!X55</f>
        <v>31.31123293852065</v>
      </c>
      <c r="Y9" s="37">
        <f>BDbDT_calcs!Y55</f>
        <v>30.8109356153855</v>
      </c>
      <c r="Z9" s="37">
        <f>BDbDT_calcs!Z55</f>
        <v>30.327809849176454</v>
      </c>
      <c r="AA9" s="37">
        <f>BDbDT_calcs!AA55</f>
        <v>29.858096531430402</v>
      </c>
      <c r="AB9" s="37">
        <f>BDbDT_calcs!AB55</f>
        <v>29.404389806554047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4868.8728433178494</v>
      </c>
      <c r="C2" s="37">
        <f>BDbDT_calcs!C58</f>
        <v>4953.3080749360934</v>
      </c>
      <c r="D2" s="37">
        <f>BDbDT_calcs!D58</f>
        <v>5034.6507200420792</v>
      </c>
      <c r="E2" s="37">
        <f>BDbDT_calcs!E58</f>
        <v>5116.056388978056</v>
      </c>
      <c r="F2" s="37">
        <f>BDbDT_calcs!F58</f>
        <v>5197.9677999133555</v>
      </c>
      <c r="G2" s="37">
        <f>BDbDT_calcs!G58</f>
        <v>5280.5424220619989</v>
      </c>
      <c r="H2" s="37">
        <f>BDbDT_calcs!H58</f>
        <v>5363.4232780825723</v>
      </c>
      <c r="I2" s="37">
        <f>BDbDT_calcs!I58</f>
        <v>5430.8871646466832</v>
      </c>
      <c r="J2" s="37">
        <f>BDbDT_calcs!J58</f>
        <v>5497.2335045718701</v>
      </c>
      <c r="K2" s="37">
        <f>BDbDT_calcs!K58</f>
        <v>5562.3804724559914</v>
      </c>
      <c r="L2" s="37">
        <f>BDbDT_calcs!L58</f>
        <v>5625.8726328221182</v>
      </c>
      <c r="M2" s="37">
        <f>BDbDT_calcs!M58</f>
        <v>5687.6326968418234</v>
      </c>
      <c r="N2" s="37">
        <f>BDbDT_calcs!N58</f>
        <v>5747.0972303570134</v>
      </c>
      <c r="O2" s="37">
        <f>BDbDT_calcs!O58</f>
        <v>5804.0697014522466</v>
      </c>
      <c r="P2" s="37">
        <f>BDbDT_calcs!P58</f>
        <v>5857.8264379666407</v>
      </c>
      <c r="Q2" s="37">
        <f>BDbDT_calcs!Q58</f>
        <v>5908.2713192318861</v>
      </c>
      <c r="R2" s="37">
        <f>BDbDT_calcs!R58</f>
        <v>5954.53118621669</v>
      </c>
      <c r="S2" s="37">
        <f>BDbDT_calcs!S58</f>
        <v>5989.6561197002147</v>
      </c>
      <c r="T2" s="37">
        <f>BDbDT_calcs!T58</f>
        <v>6020.2957717097806</v>
      </c>
      <c r="U2" s="37">
        <f>BDbDT_calcs!U58</f>
        <v>6046.7962829247908</v>
      </c>
      <c r="V2" s="37">
        <f>BDbDT_calcs!V58</f>
        <v>6067.725779653043</v>
      </c>
      <c r="W2" s="37">
        <f>BDbDT_calcs!W58</f>
        <v>6083.4637310279495</v>
      </c>
      <c r="X2" s="37">
        <f>BDbDT_calcs!X58</f>
        <v>6093.6939666684902</v>
      </c>
      <c r="Y2" s="37">
        <f>BDbDT_calcs!Y58</f>
        <v>6100.9443695229875</v>
      </c>
      <c r="Z2" s="37">
        <f>BDbDT_calcs!Z58</f>
        <v>6102.9939612235539</v>
      </c>
      <c r="AA2" s="37">
        <f>BDbDT_calcs!AA58</f>
        <v>6100.2299253259671</v>
      </c>
      <c r="AB2" s="37">
        <f>BDbDT_calcs!AB58</f>
        <v>6093.2134927042798</v>
      </c>
    </row>
    <row r="3" spans="1:28" x14ac:dyDescent="0.25">
      <c r="A3" s="4" t="s">
        <v>216</v>
      </c>
      <c r="B3" s="37">
        <f>BDbDT_calcs!B59</f>
        <v>4679.4376446927536</v>
      </c>
      <c r="C3" s="37">
        <f>BDbDT_calcs!C59</f>
        <v>4748.2573945622798</v>
      </c>
      <c r="D3" s="37">
        <f>BDbDT_calcs!D59</f>
        <v>4814.4812364783256</v>
      </c>
      <c r="E3" s="37">
        <f>BDbDT_calcs!E59</f>
        <v>4883.2644491162873</v>
      </c>
      <c r="F3" s="37">
        <f>BDbDT_calcs!F59</f>
        <v>4955.9889773980412</v>
      </c>
      <c r="G3" s="37">
        <f>BDbDT_calcs!G59</f>
        <v>5032.9185291991625</v>
      </c>
      <c r="H3" s="37">
        <f>BDbDT_calcs!H59</f>
        <v>5114.5207108321192</v>
      </c>
      <c r="I3" s="37">
        <f>BDbDT_calcs!I59</f>
        <v>5185.6001129597917</v>
      </c>
      <c r="J3" s="37">
        <f>BDbDT_calcs!J59</f>
        <v>5260.2328636524735</v>
      </c>
      <c r="K3" s="37">
        <f>BDbDT_calcs!K59</f>
        <v>5337.0593236956538</v>
      </c>
      <c r="L3" s="37">
        <f>BDbDT_calcs!L59</f>
        <v>5415.9614850139506</v>
      </c>
      <c r="M3" s="37">
        <f>BDbDT_calcs!M59</f>
        <v>5496.6034898290691</v>
      </c>
      <c r="N3" s="37">
        <f>BDbDT_calcs!N59</f>
        <v>5577.8103252362744</v>
      </c>
      <c r="O3" s="37">
        <f>BDbDT_calcs!O59</f>
        <v>5658.4731013549654</v>
      </c>
      <c r="P3" s="37">
        <f>BDbDT_calcs!P59</f>
        <v>5738.3560322838612</v>
      </c>
      <c r="Q3" s="37">
        <f>BDbDT_calcs!Q59</f>
        <v>5815.8931256390561</v>
      </c>
      <c r="R3" s="37">
        <f>BDbDT_calcs!R59</f>
        <v>5890.6622334675067</v>
      </c>
      <c r="S3" s="37">
        <f>BDbDT_calcs!S59</f>
        <v>5954.6293361893831</v>
      </c>
      <c r="T3" s="37">
        <f>BDbDT_calcs!T59</f>
        <v>6014.2270315031383</v>
      </c>
      <c r="U3" s="37">
        <f>BDbDT_calcs!U59</f>
        <v>6068.9302188731426</v>
      </c>
      <c r="V3" s="37">
        <f>BDbDT_calcs!V59</f>
        <v>6117.397121149329</v>
      </c>
      <c r="W3" s="37">
        <f>BDbDT_calcs!W59</f>
        <v>6158.4314203456752</v>
      </c>
      <c r="X3" s="37">
        <f>BDbDT_calcs!X59</f>
        <v>6192.3950977478898</v>
      </c>
      <c r="Y3" s="37">
        <f>BDbDT_calcs!Y59</f>
        <v>6222.1982797640303</v>
      </c>
      <c r="Z3" s="37">
        <f>BDbDT_calcs!Z59</f>
        <v>6245.1808388902018</v>
      </c>
      <c r="AA3" s="37">
        <f>BDbDT_calcs!AA59</f>
        <v>6260.4044846359666</v>
      </c>
      <c r="AB3" s="37">
        <f>BDbDT_calcs!AB59</f>
        <v>6268.0005969198273</v>
      </c>
    </row>
    <row r="4" spans="1:28" x14ac:dyDescent="0.25">
      <c r="A4" s="4" t="s">
        <v>217</v>
      </c>
      <c r="B4" s="37">
        <f>BDbDT_calcs!B60</f>
        <v>8397.2440674332975</v>
      </c>
      <c r="C4" s="37">
        <f>BDbDT_calcs!C60</f>
        <v>8530.4240597744501</v>
      </c>
      <c r="D4" s="37">
        <f>BDbDT_calcs!D60</f>
        <v>8657.9002425948474</v>
      </c>
      <c r="E4" s="37">
        <f>BDbDT_calcs!E60</f>
        <v>8786.8409828625208</v>
      </c>
      <c r="F4" s="37">
        <f>BDbDT_calcs!F60</f>
        <v>8919.0547611552538</v>
      </c>
      <c r="G4" s="37">
        <f>BDbDT_calcs!G60</f>
        <v>9054.589111037656</v>
      </c>
      <c r="H4" s="37">
        <f>BDbDT_calcs!H60</f>
        <v>9193.788290706254</v>
      </c>
      <c r="I4" s="37">
        <f>BDbDT_calcs!I60</f>
        <v>9309.3529817100116</v>
      </c>
      <c r="J4" s="37">
        <f>BDbDT_calcs!J60</f>
        <v>9426.3209129345541</v>
      </c>
      <c r="K4" s="37">
        <f>BDbDT_calcs!K60</f>
        <v>9543.0335992548753</v>
      </c>
      <c r="L4" s="37">
        <f>BDbDT_calcs!L60</f>
        <v>9659.0035581735647</v>
      </c>
      <c r="M4" s="37">
        <f>BDbDT_calcs!M60</f>
        <v>9773.8772651712334</v>
      </c>
      <c r="N4" s="37">
        <f>BDbDT_calcs!N60</f>
        <v>9885.9082682093358</v>
      </c>
      <c r="O4" s="37">
        <f>BDbDT_calcs!O60</f>
        <v>9994.14904856662</v>
      </c>
      <c r="P4" s="37">
        <f>BDbDT_calcs!P60</f>
        <v>10097.35045006198</v>
      </c>
      <c r="Q4" s="37">
        <f>BDbDT_calcs!Q60</f>
        <v>10194.197513021221</v>
      </c>
      <c r="R4" s="37">
        <f>BDbDT_calcs!R60</f>
        <v>10283.433567816099</v>
      </c>
      <c r="S4" s="37">
        <f>BDbDT_calcs!S60</f>
        <v>10352.075570486541</v>
      </c>
      <c r="T4" s="37">
        <f>BDbDT_calcs!T60</f>
        <v>10411.557481429269</v>
      </c>
      <c r="U4" s="37">
        <f>BDbDT_calcs!U60</f>
        <v>10461.907781723956</v>
      </c>
      <c r="V4" s="37">
        <f>BDbDT_calcs!V60</f>
        <v>10500.383046022074</v>
      </c>
      <c r="W4" s="37">
        <f>BDbDT_calcs!W60</f>
        <v>10526.242291983755</v>
      </c>
      <c r="X4" s="37">
        <f>BDbDT_calcs!X60</f>
        <v>10539.755508714761</v>
      </c>
      <c r="Y4" s="37">
        <f>BDbDT_calcs!Y60</f>
        <v>10546.336070041969</v>
      </c>
      <c r="Z4" s="37">
        <f>BDbDT_calcs!Z60</f>
        <v>10541.282429672647</v>
      </c>
      <c r="AA4" s="37">
        <f>BDbDT_calcs!AA60</f>
        <v>10523.976028961511</v>
      </c>
      <c r="AB4" s="37">
        <f>BDbDT_calcs!AB60</f>
        <v>10495.346287197826</v>
      </c>
    </row>
    <row r="5" spans="1:28" x14ac:dyDescent="0.25">
      <c r="A5" s="4" t="s">
        <v>218</v>
      </c>
      <c r="B5" s="37">
        <f>BDbDT_calcs!B61</f>
        <v>831.04898613634293</v>
      </c>
      <c r="C5" s="37">
        <f>BDbDT_calcs!C61</f>
        <v>842.86260533377072</v>
      </c>
      <c r="D5" s="37">
        <f>BDbDT_calcs!D61</f>
        <v>854.25261180956636</v>
      </c>
      <c r="E5" s="37">
        <f>BDbDT_calcs!E61</f>
        <v>865.75430382954971</v>
      </c>
      <c r="F5" s="37">
        <f>BDbDT_calcs!F61</f>
        <v>877.65261852813433</v>
      </c>
      <c r="G5" s="37">
        <f>BDbDT_calcs!G61</f>
        <v>889.97369559867775</v>
      </c>
      <c r="H5" s="37">
        <f>BDbDT_calcs!H61</f>
        <v>902.69876358055251</v>
      </c>
      <c r="I5" s="37">
        <f>BDbDT_calcs!I61</f>
        <v>913.2784855114129</v>
      </c>
      <c r="J5" s="37">
        <f>BDbDT_calcs!J61</f>
        <v>924.19407957434476</v>
      </c>
      <c r="K5" s="37">
        <f>BDbDT_calcs!K61</f>
        <v>935.38736729658251</v>
      </c>
      <c r="L5" s="37">
        <f>BDbDT_calcs!L61</f>
        <v>946.86071276213374</v>
      </c>
      <c r="M5" s="37">
        <f>BDbDT_calcs!M61</f>
        <v>958.56678089012848</v>
      </c>
      <c r="N5" s="37">
        <f>BDbDT_calcs!N61</f>
        <v>970.55245137866825</v>
      </c>
      <c r="O5" s="37">
        <f>BDbDT_calcs!O61</f>
        <v>982.57360660397978</v>
      </c>
      <c r="P5" s="37">
        <f>BDbDT_calcs!P61</f>
        <v>994.74022887131423</v>
      </c>
      <c r="Q5" s="37">
        <f>BDbDT_calcs!Q61</f>
        <v>1006.8519198740486</v>
      </c>
      <c r="R5" s="37">
        <f>BDbDT_calcs!R61</f>
        <v>1018.8865708089621</v>
      </c>
      <c r="S5" s="37">
        <f>BDbDT_calcs!S61</f>
        <v>1029.6417020913627</v>
      </c>
      <c r="T5" s="37">
        <f>BDbDT_calcs!T61</f>
        <v>1040.100504155318</v>
      </c>
      <c r="U5" s="37">
        <f>BDbDT_calcs!U61</f>
        <v>1050.280122374752</v>
      </c>
      <c r="V5" s="37">
        <f>BDbDT_calcs!V61</f>
        <v>1060.0590939518704</v>
      </c>
      <c r="W5" s="37">
        <f>BDbDT_calcs!W61</f>
        <v>1069.2421147971986</v>
      </c>
      <c r="X5" s="37">
        <f>BDbDT_calcs!X61</f>
        <v>1077.7590365725234</v>
      </c>
      <c r="Y5" s="37">
        <f>BDbDT_calcs!Y61</f>
        <v>1085.8832743853725</v>
      </c>
      <c r="Z5" s="37">
        <f>BDbDT_calcs!Z61</f>
        <v>1093.3159994154455</v>
      </c>
      <c r="AA5" s="37">
        <f>BDbDT_calcs!AA61</f>
        <v>1100.0491071684694</v>
      </c>
      <c r="AB5" s="37">
        <f>BDbDT_calcs!AB61</f>
        <v>1105.9698367776871</v>
      </c>
    </row>
    <row r="6" spans="1:28" x14ac:dyDescent="0.25">
      <c r="A6" s="4" t="s">
        <v>219</v>
      </c>
      <c r="B6" s="37">
        <f>BDbDT_calcs!B62</f>
        <v>252.2900858220371</v>
      </c>
      <c r="C6" s="37">
        <f>BDbDT_calcs!C62</f>
        <v>258.0087435620411</v>
      </c>
      <c r="D6" s="37">
        <f>BDbDT_calcs!D62</f>
        <v>263.78136697617208</v>
      </c>
      <c r="E6" s="37">
        <f>BDbDT_calcs!E62</f>
        <v>269.95819473538023</v>
      </c>
      <c r="F6" s="37">
        <f>BDbDT_calcs!F62</f>
        <v>276.61914599856021</v>
      </c>
      <c r="G6" s="37">
        <f>BDbDT_calcs!G62</f>
        <v>283.76058052071102</v>
      </c>
      <c r="H6" s="37">
        <f>BDbDT_calcs!H62</f>
        <v>291.40360914528412</v>
      </c>
      <c r="I6" s="37">
        <f>BDbDT_calcs!I62</f>
        <v>298.70617784944426</v>
      </c>
      <c r="J6" s="37">
        <f>BDbDT_calcs!J62</f>
        <v>306.32090582667325</v>
      </c>
      <c r="K6" s="37">
        <f>BDbDT_calcs!K62</f>
        <v>314.18602291495807</v>
      </c>
      <c r="L6" s="37">
        <f>BDbDT_calcs!L62</f>
        <v>322.38138097305398</v>
      </c>
      <c r="M6" s="37">
        <f>BDbDT_calcs!M62</f>
        <v>330.84424308307752</v>
      </c>
      <c r="N6" s="37">
        <f>BDbDT_calcs!N62</f>
        <v>339.53284724915619</v>
      </c>
      <c r="O6" s="37">
        <f>BDbDT_calcs!O62</f>
        <v>348.38804984424809</v>
      </c>
      <c r="P6" s="37">
        <f>BDbDT_calcs!P62</f>
        <v>357.37926776038131</v>
      </c>
      <c r="Q6" s="37">
        <f>BDbDT_calcs!Q62</f>
        <v>366.43949592476656</v>
      </c>
      <c r="R6" s="37">
        <f>BDbDT_calcs!R62</f>
        <v>375.53595866742916</v>
      </c>
      <c r="S6" s="37">
        <f>BDbDT_calcs!S62</f>
        <v>384.15495818257739</v>
      </c>
      <c r="T6" s="37">
        <f>BDbDT_calcs!T62</f>
        <v>392.73282546534858</v>
      </c>
      <c r="U6" s="37">
        <f>BDbDT_calcs!U62</f>
        <v>401.18528543171107</v>
      </c>
      <c r="V6" s="37">
        <f>BDbDT_calcs!V62</f>
        <v>409.52627256293653</v>
      </c>
      <c r="W6" s="37">
        <f>BDbDT_calcs!W62</f>
        <v>417.72882514467784</v>
      </c>
      <c r="X6" s="37">
        <f>BDbDT_calcs!X62</f>
        <v>425.82858729225524</v>
      </c>
      <c r="Y6" s="37">
        <f>BDbDT_calcs!Y62</f>
        <v>433.7975439035668</v>
      </c>
      <c r="Z6" s="37">
        <f>BDbDT_calcs!Z62</f>
        <v>441.64883123709723</v>
      </c>
      <c r="AA6" s="37">
        <f>BDbDT_calcs!AA62</f>
        <v>449.37721657717651</v>
      </c>
      <c r="AB6" s="37">
        <f>BDbDT_calcs!AB62</f>
        <v>456.94971714258395</v>
      </c>
    </row>
    <row r="7" spans="1:28" x14ac:dyDescent="0.25">
      <c r="A7" s="4" t="s">
        <v>220</v>
      </c>
      <c r="B7" s="37">
        <f>BDbDT_calcs!B63</f>
        <v>227.04071893750412</v>
      </c>
      <c r="C7" s="37">
        <f>BDbDT_calcs!C63</f>
        <v>231.86195663524131</v>
      </c>
      <c r="D7" s="37">
        <f>BDbDT_calcs!D63</f>
        <v>236.76716536051924</v>
      </c>
      <c r="E7" s="37">
        <f>BDbDT_calcs!E63</f>
        <v>242.12561859038479</v>
      </c>
      <c r="F7" s="37">
        <f>BDbDT_calcs!F63</f>
        <v>247.53830292815692</v>
      </c>
      <c r="G7" s="37">
        <f>BDbDT_calcs!G63</f>
        <v>253.35936680828428</v>
      </c>
      <c r="H7" s="37">
        <f>BDbDT_calcs!H63</f>
        <v>259.36012944341047</v>
      </c>
      <c r="I7" s="37">
        <f>BDbDT_calcs!I63</f>
        <v>264.7406216673694</v>
      </c>
      <c r="J7" s="37">
        <f>BDbDT_calcs!J63</f>
        <v>270.23525634730993</v>
      </c>
      <c r="K7" s="37">
        <f>BDbDT_calcs!K63</f>
        <v>276.13442691034453</v>
      </c>
      <c r="L7" s="37">
        <f>BDbDT_calcs!L63</f>
        <v>282.17196946703984</v>
      </c>
      <c r="M7" s="37">
        <f>BDbDT_calcs!M63</f>
        <v>288.43354683877294</v>
      </c>
      <c r="N7" s="37">
        <f>BDbDT_calcs!N63</f>
        <v>294.79194081539089</v>
      </c>
      <c r="O7" s="37">
        <f>BDbDT_calcs!O63</f>
        <v>301.27011378726309</v>
      </c>
      <c r="P7" s="37">
        <f>BDbDT_calcs!P63</f>
        <v>307.94661881791768</v>
      </c>
      <c r="Q7" s="37">
        <f>BDbDT_calcs!Q63</f>
        <v>314.78044635369736</v>
      </c>
      <c r="R7" s="37">
        <f>BDbDT_calcs!R63</f>
        <v>321.71098754141309</v>
      </c>
      <c r="S7" s="37">
        <f>BDbDT_calcs!S63</f>
        <v>328.25661365632976</v>
      </c>
      <c r="T7" s="37">
        <f>BDbDT_calcs!T63</f>
        <v>334.8762443584593</v>
      </c>
      <c r="U7" s="37">
        <f>BDbDT_calcs!U63</f>
        <v>341.48177173634258</v>
      </c>
      <c r="V7" s="37">
        <f>BDbDT_calcs!V63</f>
        <v>347.97488426523677</v>
      </c>
      <c r="W7" s="37">
        <f>BDbDT_calcs!W63</f>
        <v>354.56817215774129</v>
      </c>
      <c r="X7" s="37">
        <f>BDbDT_calcs!X63</f>
        <v>361.09037119791111</v>
      </c>
      <c r="Y7" s="37">
        <f>BDbDT_calcs!Y63</f>
        <v>367.64403545031684</v>
      </c>
      <c r="Z7" s="37">
        <f>BDbDT_calcs!Z63</f>
        <v>374.08765822294419</v>
      </c>
      <c r="AA7" s="37">
        <f>BDbDT_calcs!AA63</f>
        <v>380.47627155374056</v>
      </c>
      <c r="AB7" s="37">
        <f>BDbDT_calcs!AB63</f>
        <v>386.86731835925087</v>
      </c>
    </row>
    <row r="8" spans="1:28" x14ac:dyDescent="0.25">
      <c r="A8" s="4" t="s">
        <v>221</v>
      </c>
      <c r="B8" s="37">
        <f>BDbDT_calcs!B64</f>
        <v>794.59413090655812</v>
      </c>
      <c r="C8" s="37">
        <f>BDbDT_calcs!C64</f>
        <v>821.9086904980785</v>
      </c>
      <c r="D8" s="37">
        <f>BDbDT_calcs!D64</f>
        <v>849.33879461174274</v>
      </c>
      <c r="E8" s="37">
        <f>BDbDT_calcs!E64</f>
        <v>877.4679052692095</v>
      </c>
      <c r="F8" s="37">
        <f>BDbDT_calcs!F64</f>
        <v>906.30992170079435</v>
      </c>
      <c r="G8" s="37">
        <f>BDbDT_calcs!G64</f>
        <v>935.97984714285565</v>
      </c>
      <c r="H8" s="37">
        <f>BDbDT_calcs!H64</f>
        <v>966.78818441010094</v>
      </c>
      <c r="I8" s="37">
        <f>BDbDT_calcs!I64</f>
        <v>995.9246703588957</v>
      </c>
      <c r="J8" s="37">
        <f>BDbDT_calcs!J64</f>
        <v>1025.7969687460863</v>
      </c>
      <c r="K8" s="37">
        <f>BDbDT_calcs!K64</f>
        <v>1056.6404048479685</v>
      </c>
      <c r="L8" s="37">
        <f>BDbDT_calcs!L64</f>
        <v>1088.632926858892</v>
      </c>
      <c r="M8" s="37">
        <f>BDbDT_calcs!M64</f>
        <v>1121.5065114537754</v>
      </c>
      <c r="N8" s="37">
        <f>BDbDT_calcs!N64</f>
        <v>1155.5515944265605</v>
      </c>
      <c r="O8" s="37">
        <f>BDbDT_calcs!O64</f>
        <v>1190.5743329395291</v>
      </c>
      <c r="P8" s="37">
        <f>BDbDT_calcs!P64</f>
        <v>1226.5215097965561</v>
      </c>
      <c r="Q8" s="37">
        <f>BDbDT_calcs!Q64</f>
        <v>1263.4467097257568</v>
      </c>
      <c r="R8" s="37">
        <f>BDbDT_calcs!R64</f>
        <v>1301.0948429360758</v>
      </c>
      <c r="S8" s="37">
        <f>BDbDT_calcs!S64</f>
        <v>1337.8937167975448</v>
      </c>
      <c r="T8" s="37">
        <f>BDbDT_calcs!T64</f>
        <v>1375.2963310996067</v>
      </c>
      <c r="U8" s="37">
        <f>BDbDT_calcs!U64</f>
        <v>1413.208963779146</v>
      </c>
      <c r="V8" s="37">
        <f>BDbDT_calcs!V64</f>
        <v>1451.4419029729063</v>
      </c>
      <c r="W8" s="37">
        <f>BDbDT_calcs!W64</f>
        <v>1489.7941641901923</v>
      </c>
      <c r="X8" s="37">
        <f>BDbDT_calcs!X64</f>
        <v>1528.445298422612</v>
      </c>
      <c r="Y8" s="37">
        <f>BDbDT_calcs!Y64</f>
        <v>1567.0867091134608</v>
      </c>
      <c r="Z8" s="37">
        <f>BDbDT_calcs!Z64</f>
        <v>1605.6964574023154</v>
      </c>
      <c r="AA8" s="37">
        <f>BDbDT_calcs!AA64</f>
        <v>1643.9134620790346</v>
      </c>
      <c r="AB8" s="37">
        <f>BDbDT_calcs!AB64</f>
        <v>1681.6927534997221</v>
      </c>
    </row>
    <row r="9" spans="1:28" x14ac:dyDescent="0.25">
      <c r="A9" s="4" t="s">
        <v>222</v>
      </c>
      <c r="B9" s="37">
        <f>BDbDT_calcs!B65</f>
        <v>8806.0164893548372</v>
      </c>
      <c r="C9" s="37">
        <f>BDbDT_calcs!C65</f>
        <v>8932.2398887708878</v>
      </c>
      <c r="D9" s="37">
        <f>BDbDT_calcs!D65</f>
        <v>9052.5954370952022</v>
      </c>
      <c r="E9" s="37">
        <f>BDbDT_calcs!E65</f>
        <v>9174.8366675491088</v>
      </c>
      <c r="F9" s="37">
        <f>BDbDT_calcs!F65</f>
        <v>9300.7798739877253</v>
      </c>
      <c r="G9" s="37">
        <f>BDbDT_calcs!G65</f>
        <v>9430.7283936434142</v>
      </c>
      <c r="H9" s="37">
        <f>BDbDT_calcs!H65</f>
        <v>9564.4590850380882</v>
      </c>
      <c r="I9" s="37">
        <f>BDbDT_calcs!I65</f>
        <v>9673.7066152285788</v>
      </c>
      <c r="J9" s="37">
        <f>BDbDT_calcs!J65</f>
        <v>9784.5882101705629</v>
      </c>
      <c r="K9" s="37">
        <f>BDbDT_calcs!K65</f>
        <v>9895.4169724243857</v>
      </c>
      <c r="L9" s="37">
        <f>BDbDT_calcs!L65</f>
        <v>10005.423821829561</v>
      </c>
      <c r="M9" s="37">
        <f>BDbDT_calcs!M65</f>
        <v>10114.475628445085</v>
      </c>
      <c r="N9" s="37">
        <f>BDbDT_calcs!N65</f>
        <v>10220.520432506615</v>
      </c>
      <c r="O9" s="37">
        <f>BDbDT_calcs!O65</f>
        <v>10322.454265879596</v>
      </c>
      <c r="P9" s="37">
        <f>BDbDT_calcs!P65</f>
        <v>10419.359022361052</v>
      </c>
      <c r="Q9" s="37">
        <f>BDbDT_calcs!Q65</f>
        <v>10509.517769542999</v>
      </c>
      <c r="R9" s="37">
        <f>BDbDT_calcs!R65</f>
        <v>10591.885434891867</v>
      </c>
      <c r="S9" s="37">
        <f>BDbDT_calcs!S65</f>
        <v>10652.999529202038</v>
      </c>
      <c r="T9" s="37">
        <f>BDbDT_calcs!T65</f>
        <v>10704.542976049672</v>
      </c>
      <c r="U9" s="37">
        <f>BDbDT_calcs!U65</f>
        <v>10746.443290563762</v>
      </c>
      <c r="V9" s="37">
        <f>BDbDT_calcs!V65</f>
        <v>10776.09896799064</v>
      </c>
      <c r="W9" s="37">
        <f>BDbDT_calcs!W65</f>
        <v>10792.91416010904</v>
      </c>
      <c r="X9" s="37">
        <f>BDbDT_calcs!X65</f>
        <v>10796.739214991838</v>
      </c>
      <c r="Y9" s="37">
        <f>BDbDT_calcs!Y65</f>
        <v>10793.381513723343</v>
      </c>
      <c r="Z9" s="37">
        <f>BDbDT_calcs!Z65</f>
        <v>10777.942789594603</v>
      </c>
      <c r="AA9" s="37">
        <f>BDbDT_calcs!AA65</f>
        <v>10750.260335190293</v>
      </c>
      <c r="AB9" s="37">
        <f>BDbDT_calcs!AB65</f>
        <v>10711.085184733785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2026-08-17T20:29:32Z</dcterms:modified>
</cp:coreProperties>
</file>