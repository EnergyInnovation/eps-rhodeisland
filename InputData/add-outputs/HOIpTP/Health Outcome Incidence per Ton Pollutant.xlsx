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RI\add-outputs\HOIpTP\"/>
    </mc:Choice>
  </mc:AlternateContent>
  <xr:revisionPtr revIDLastSave="0" documentId="8_{7CCA9742-D7F6-4C8C-9F1E-8BA14DDE2CA4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B15" i="19"/>
  <c r="X15" i="19" s="1"/>
  <c r="B14" i="19"/>
  <c r="AA14" i="19" s="1"/>
  <c r="P13" i="19"/>
  <c r="B13" i="19"/>
  <c r="J13" i="19" s="1"/>
  <c r="H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Q8" i="19"/>
  <c r="K8" i="19"/>
  <c r="F8" i="19"/>
  <c r="B8" i="19"/>
  <c r="L8" i="19" s="1"/>
  <c r="B7" i="19"/>
  <c r="J6" i="19"/>
  <c r="D6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F3" i="19"/>
  <c r="B3" i="19"/>
  <c r="AB2" i="19"/>
  <c r="P2" i="19"/>
  <c r="F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B17" i="18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Q15" i="18"/>
  <c r="D15" i="18"/>
  <c r="B15" i="18"/>
  <c r="C15" i="18" s="1"/>
  <c r="AA14" i="18"/>
  <c r="Y14" i="18"/>
  <c r="U14" i="18"/>
  <c r="R14" i="18"/>
  <c r="H14" i="18"/>
  <c r="B14" i="18"/>
  <c r="AB14" i="18" s="1"/>
  <c r="G13" i="18"/>
  <c r="B13" i="18"/>
  <c r="Q13" i="18" s="1"/>
  <c r="X12" i="18"/>
  <c r="B12" i="18"/>
  <c r="AB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AA8" i="18"/>
  <c r="V8" i="18"/>
  <c r="R8" i="18"/>
  <c r="F8" i="18"/>
  <c r="E8" i="18"/>
  <c r="B8" i="18"/>
  <c r="Y8" i="18" s="1"/>
  <c r="AB7" i="18"/>
  <c r="D7" i="18"/>
  <c r="B7" i="18"/>
  <c r="AA7" i="18" s="1"/>
  <c r="E6" i="18"/>
  <c r="B6" i="18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B3" i="18"/>
  <c r="I3" i="18" s="1"/>
  <c r="V2" i="18"/>
  <c r="J2" i="18"/>
  <c r="B2" i="18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AA17" i="17"/>
  <c r="Y17" i="17"/>
  <c r="E17" i="17"/>
  <c r="B17" i="17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F15" i="17"/>
  <c r="C15" i="17"/>
  <c r="B15" i="17"/>
  <c r="M15" i="17" s="1"/>
  <c r="B14" i="17"/>
  <c r="C14" i="17" s="1"/>
  <c r="AA13" i="17"/>
  <c r="S13" i="17"/>
  <c r="Q13" i="17"/>
  <c r="D13" i="17"/>
  <c r="B13" i="17"/>
  <c r="X13" i="17" s="1"/>
  <c r="R12" i="17"/>
  <c r="P12" i="17"/>
  <c r="H12" i="17"/>
  <c r="F12" i="17"/>
  <c r="D12" i="17"/>
  <c r="B12" i="17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Y8" i="17"/>
  <c r="V8" i="17"/>
  <c r="T8" i="17"/>
  <c r="S8" i="17"/>
  <c r="R8" i="17"/>
  <c r="F8" i="17"/>
  <c r="D8" i="17"/>
  <c r="C8" i="17"/>
  <c r="B8" i="17"/>
  <c r="AB8" i="17" s="1"/>
  <c r="U7" i="17"/>
  <c r="P7" i="17"/>
  <c r="O7" i="17"/>
  <c r="K7" i="17"/>
  <c r="B7" i="17"/>
  <c r="Q6" i="17"/>
  <c r="M6" i="17"/>
  <c r="L6" i="17"/>
  <c r="G6" i="17"/>
  <c r="E6" i="17"/>
  <c r="B6" i="17"/>
  <c r="C6" i="17" s="1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B3" i="17"/>
  <c r="E3" i="17" s="1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AB17" i="16"/>
  <c r="Y17" i="16"/>
  <c r="V17" i="16"/>
  <c r="H17" i="16"/>
  <c r="B17" i="16"/>
  <c r="Z17" i="16" s="1"/>
  <c r="B16" i="16"/>
  <c r="AA15" i="16"/>
  <c r="B15" i="16"/>
  <c r="Y15" i="16" s="1"/>
  <c r="B14" i="16"/>
  <c r="F14" i="16" s="1"/>
  <c r="X13" i="16"/>
  <c r="W13" i="16"/>
  <c r="B13" i="16"/>
  <c r="J13" i="16" s="1"/>
  <c r="Y12" i="16"/>
  <c r="W12" i="16"/>
  <c r="I12" i="16"/>
  <c r="B12" i="16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AB7" i="16"/>
  <c r="Y7" i="16"/>
  <c r="X7" i="16"/>
  <c r="V7" i="16"/>
  <c r="T7" i="16"/>
  <c r="S7" i="16"/>
  <c r="R7" i="16"/>
  <c r="O7" i="16"/>
  <c r="L7" i="16"/>
  <c r="H7" i="16"/>
  <c r="G7" i="16"/>
  <c r="F7" i="16"/>
  <c r="E7" i="16"/>
  <c r="D7" i="16"/>
  <c r="C7" i="16"/>
  <c r="B7" i="16"/>
  <c r="Z7" i="16" s="1"/>
  <c r="B6" i="16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X3" i="16"/>
  <c r="T3" i="16"/>
  <c r="R3" i="16"/>
  <c r="O3" i="16"/>
  <c r="C3" i="16"/>
  <c r="B3" i="16"/>
  <c r="AB3" i="16" s="1"/>
  <c r="X2" i="16"/>
  <c r="T2" i="16"/>
  <c r="Q2" i="16"/>
  <c r="P2" i="16"/>
  <c r="K2" i="16"/>
  <c r="D2" i="16"/>
  <c r="B2" i="16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W17" i="15"/>
  <c r="L17" i="15"/>
  <c r="B17" i="15"/>
  <c r="T17" i="15" s="1"/>
  <c r="AA16" i="15"/>
  <c r="Z16" i="15"/>
  <c r="T16" i="15"/>
  <c r="Q16" i="15"/>
  <c r="K16" i="15"/>
  <c r="E16" i="15"/>
  <c r="C16" i="15"/>
  <c r="B16" i="15"/>
  <c r="Y15" i="15"/>
  <c r="X15" i="15"/>
  <c r="V15" i="15"/>
  <c r="U15" i="15"/>
  <c r="T15" i="15"/>
  <c r="S15" i="15"/>
  <c r="E15" i="15"/>
  <c r="B15" i="15"/>
  <c r="O14" i="15"/>
  <c r="N14" i="15"/>
  <c r="M14" i="15"/>
  <c r="E14" i="15"/>
  <c r="B14" i="15"/>
  <c r="AB14" i="15" s="1"/>
  <c r="L13" i="15"/>
  <c r="J13" i="15"/>
  <c r="H13" i="15"/>
  <c r="E13" i="15"/>
  <c r="B13" i="15"/>
  <c r="AB13" i="15" s="1"/>
  <c r="X12" i="15"/>
  <c r="W12" i="15"/>
  <c r="T12" i="15"/>
  <c r="S12" i="15"/>
  <c r="R12" i="15"/>
  <c r="N12" i="15"/>
  <c r="L12" i="15"/>
  <c r="J12" i="15"/>
  <c r="H12" i="15"/>
  <c r="B12" i="15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N8" i="15"/>
  <c r="L8" i="15"/>
  <c r="K8" i="15"/>
  <c r="F8" i="15"/>
  <c r="B8" i="15"/>
  <c r="AB8" i="15" s="1"/>
  <c r="AB7" i="15"/>
  <c r="AA7" i="15"/>
  <c r="Z7" i="15"/>
  <c r="W7" i="15"/>
  <c r="V7" i="15"/>
  <c r="S7" i="15"/>
  <c r="R7" i="15"/>
  <c r="Q7" i="15"/>
  <c r="P7" i="15"/>
  <c r="O7" i="15"/>
  <c r="N7" i="15"/>
  <c r="L7" i="15"/>
  <c r="K7" i="15"/>
  <c r="J7" i="15"/>
  <c r="H7" i="15"/>
  <c r="F7" i="15"/>
  <c r="E7" i="15"/>
  <c r="D7" i="15"/>
  <c r="C7" i="15"/>
  <c r="B7" i="15"/>
  <c r="X7" i="15" s="1"/>
  <c r="AA6" i="15"/>
  <c r="V6" i="15"/>
  <c r="U6" i="15"/>
  <c r="T6" i="15"/>
  <c r="S6" i="15"/>
  <c r="R6" i="15"/>
  <c r="N6" i="15"/>
  <c r="M6" i="15"/>
  <c r="K6" i="15"/>
  <c r="I6" i="15"/>
  <c r="E6" i="15"/>
  <c r="D6" i="15"/>
  <c r="B6" i="15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U3" i="15"/>
  <c r="Q3" i="15"/>
  <c r="N3" i="15"/>
  <c r="M3" i="15"/>
  <c r="J3" i="15"/>
  <c r="I3" i="15"/>
  <c r="F3" i="15"/>
  <c r="D3" i="15"/>
  <c r="C3" i="15"/>
  <c r="B3" i="15"/>
  <c r="Z3" i="15" s="1"/>
  <c r="AB2" i="15"/>
  <c r="Z2" i="15"/>
  <c r="Y2" i="15"/>
  <c r="S2" i="15"/>
  <c r="R2" i="15"/>
  <c r="Q2" i="15"/>
  <c r="P2" i="15"/>
  <c r="O2" i="15"/>
  <c r="N2" i="15"/>
  <c r="L2" i="15"/>
  <c r="K2" i="15"/>
  <c r="J2" i="15"/>
  <c r="H2" i="15"/>
  <c r="F2" i="15"/>
  <c r="E2" i="15"/>
  <c r="D2" i="15"/>
  <c r="C2" i="15"/>
  <c r="B2" i="15"/>
  <c r="X2" i="15" s="1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C17" i="14"/>
  <c r="B17" i="14"/>
  <c r="M17" i="14" s="1"/>
  <c r="H16" i="14"/>
  <c r="B16" i="14"/>
  <c r="B15" i="14"/>
  <c r="Z15" i="14" s="1"/>
  <c r="AB14" i="14"/>
  <c r="B14" i="14"/>
  <c r="X13" i="14"/>
  <c r="R13" i="14"/>
  <c r="N13" i="14"/>
  <c r="K13" i="14"/>
  <c r="G13" i="14"/>
  <c r="E13" i="14"/>
  <c r="B13" i="14"/>
  <c r="AB13" i="14" s="1"/>
  <c r="E12" i="14"/>
  <c r="B12" i="14"/>
  <c r="F12" i="14" s="1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AB7" i="14"/>
  <c r="Y7" i="14"/>
  <c r="W7" i="14"/>
  <c r="S7" i="14"/>
  <c r="R7" i="14"/>
  <c r="P7" i="14"/>
  <c r="O7" i="14"/>
  <c r="N7" i="14"/>
  <c r="M7" i="14"/>
  <c r="L7" i="14"/>
  <c r="K7" i="14"/>
  <c r="I7" i="14"/>
  <c r="H7" i="14"/>
  <c r="G7" i="14"/>
  <c r="E7" i="14"/>
  <c r="D7" i="14"/>
  <c r="C7" i="14"/>
  <c r="B7" i="14"/>
  <c r="Z7" i="14" s="1"/>
  <c r="Z6" i="14"/>
  <c r="X6" i="14"/>
  <c r="T6" i="14"/>
  <c r="R6" i="14"/>
  <c r="Q6" i="14"/>
  <c r="P6" i="14"/>
  <c r="O6" i="14"/>
  <c r="N6" i="14"/>
  <c r="L6" i="14"/>
  <c r="H6" i="14"/>
  <c r="G6" i="14"/>
  <c r="E6" i="14"/>
  <c r="B6" i="14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Z3" i="14"/>
  <c r="Y3" i="14"/>
  <c r="W3" i="14"/>
  <c r="U3" i="14"/>
  <c r="T3" i="14"/>
  <c r="P3" i="14"/>
  <c r="L3" i="14"/>
  <c r="K3" i="14"/>
  <c r="F3" i="14"/>
  <c r="C3" i="14"/>
  <c r="B3" i="14"/>
  <c r="AA2" i="14"/>
  <c r="Z2" i="14"/>
  <c r="X2" i="14"/>
  <c r="U2" i="14"/>
  <c r="R2" i="14"/>
  <c r="P2" i="14"/>
  <c r="O2" i="14"/>
  <c r="B2" i="14"/>
  <c r="V2" i="14" s="1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F17" i="13"/>
  <c r="E17" i="13"/>
  <c r="C17" i="13"/>
  <c r="B17" i="13"/>
  <c r="U16" i="13"/>
  <c r="T16" i="13"/>
  <c r="H16" i="13"/>
  <c r="G16" i="13"/>
  <c r="B16" i="13"/>
  <c r="AA16" i="13" s="1"/>
  <c r="Y15" i="13"/>
  <c r="B15" i="13"/>
  <c r="AA15" i="13" s="1"/>
  <c r="AA14" i="13"/>
  <c r="T14" i="13"/>
  <c r="S14" i="13"/>
  <c r="P14" i="13"/>
  <c r="B14" i="13"/>
  <c r="Y13" i="13"/>
  <c r="X13" i="13"/>
  <c r="V13" i="13"/>
  <c r="U13" i="13"/>
  <c r="T13" i="13"/>
  <c r="R13" i="13"/>
  <c r="Q13" i="13"/>
  <c r="O13" i="13"/>
  <c r="N13" i="13"/>
  <c r="M13" i="13"/>
  <c r="K13" i="13"/>
  <c r="H13" i="13"/>
  <c r="G13" i="13"/>
  <c r="B13" i="13"/>
  <c r="W13" i="13" s="1"/>
  <c r="X12" i="13"/>
  <c r="B12" i="13"/>
  <c r="R12" i="13" s="1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W8" i="13"/>
  <c r="V8" i="13"/>
  <c r="U8" i="13"/>
  <c r="T8" i="13"/>
  <c r="Q8" i="13"/>
  <c r="K8" i="13"/>
  <c r="J8" i="13"/>
  <c r="I8" i="13"/>
  <c r="G8" i="13"/>
  <c r="F8" i="13"/>
  <c r="E8" i="13"/>
  <c r="D8" i="13"/>
  <c r="B8" i="13"/>
  <c r="AA8" i="13" s="1"/>
  <c r="AB7" i="13"/>
  <c r="AA7" i="13"/>
  <c r="Z7" i="13"/>
  <c r="X7" i="13"/>
  <c r="W7" i="13"/>
  <c r="U7" i="13"/>
  <c r="R7" i="13"/>
  <c r="N7" i="13"/>
  <c r="M7" i="13"/>
  <c r="I7" i="13"/>
  <c r="G7" i="13"/>
  <c r="F7" i="13"/>
  <c r="E7" i="13"/>
  <c r="D7" i="13"/>
  <c r="C7" i="13"/>
  <c r="B7" i="13"/>
  <c r="Y7" i="13" s="1"/>
  <c r="AA6" i="13"/>
  <c r="Z6" i="13"/>
  <c r="O6" i="13"/>
  <c r="M6" i="13"/>
  <c r="K6" i="13"/>
  <c r="J6" i="13"/>
  <c r="H6" i="13"/>
  <c r="G6" i="13"/>
  <c r="B6" i="13"/>
  <c r="AB6" i="13" s="1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AB3" i="13"/>
  <c r="W3" i="13"/>
  <c r="V3" i="13"/>
  <c r="P3" i="13"/>
  <c r="N3" i="13"/>
  <c r="M3" i="13"/>
  <c r="L3" i="13"/>
  <c r="K3" i="13"/>
  <c r="J3" i="13"/>
  <c r="I3" i="13"/>
  <c r="F3" i="13"/>
  <c r="E3" i="13"/>
  <c r="D3" i="13"/>
  <c r="C3" i="13"/>
  <c r="B3" i="13"/>
  <c r="AA3" i="13" s="1"/>
  <c r="AB2" i="13"/>
  <c r="Y2" i="13"/>
  <c r="X2" i="13"/>
  <c r="V2" i="13"/>
  <c r="U2" i="13"/>
  <c r="R2" i="13"/>
  <c r="Q2" i="13"/>
  <c r="P2" i="13"/>
  <c r="O2" i="13"/>
  <c r="N2" i="13"/>
  <c r="M2" i="13"/>
  <c r="L2" i="13"/>
  <c r="J2" i="13"/>
  <c r="I2" i="13"/>
  <c r="H2" i="13"/>
  <c r="G2" i="13"/>
  <c r="F2" i="13"/>
  <c r="E2" i="13"/>
  <c r="D2" i="13"/>
  <c r="C2" i="13"/>
  <c r="B2" i="13"/>
  <c r="S2" i="13" s="1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B17" i="12"/>
  <c r="AB16" i="12"/>
  <c r="AA16" i="12"/>
  <c r="Z16" i="12"/>
  <c r="J16" i="12"/>
  <c r="C16" i="12"/>
  <c r="B16" i="12"/>
  <c r="AB15" i="12"/>
  <c r="O15" i="12"/>
  <c r="M15" i="12"/>
  <c r="K15" i="12"/>
  <c r="I15" i="12"/>
  <c r="H15" i="12"/>
  <c r="G15" i="12"/>
  <c r="F15" i="12"/>
  <c r="B15" i="12"/>
  <c r="Z15" i="12" s="1"/>
  <c r="AB14" i="12"/>
  <c r="Y14" i="12"/>
  <c r="X14" i="12"/>
  <c r="W14" i="12"/>
  <c r="V14" i="12"/>
  <c r="R14" i="12"/>
  <c r="Q14" i="12"/>
  <c r="L14" i="12"/>
  <c r="K14" i="12"/>
  <c r="B14" i="12"/>
  <c r="B13" i="12"/>
  <c r="Z12" i="12"/>
  <c r="H12" i="12"/>
  <c r="B12" i="12"/>
  <c r="AB12" i="12" s="1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AA8" i="12"/>
  <c r="Z8" i="12"/>
  <c r="Y8" i="12"/>
  <c r="X8" i="12"/>
  <c r="W8" i="12"/>
  <c r="V8" i="12"/>
  <c r="U8" i="12"/>
  <c r="S8" i="12"/>
  <c r="R8" i="12"/>
  <c r="Q8" i="12"/>
  <c r="P8" i="12"/>
  <c r="M8" i="12"/>
  <c r="J8" i="12"/>
  <c r="I8" i="12"/>
  <c r="H8" i="12"/>
  <c r="G8" i="12"/>
  <c r="F8" i="12"/>
  <c r="D8" i="12"/>
  <c r="C8" i="12"/>
  <c r="B8" i="12"/>
  <c r="AB7" i="12"/>
  <c r="AA7" i="12"/>
  <c r="Z7" i="12"/>
  <c r="X7" i="12"/>
  <c r="W7" i="12"/>
  <c r="V7" i="12"/>
  <c r="S7" i="12"/>
  <c r="I7" i="12"/>
  <c r="G7" i="12"/>
  <c r="E7" i="12"/>
  <c r="B7" i="12"/>
  <c r="Y7" i="12" s="1"/>
  <c r="W6" i="12"/>
  <c r="F6" i="12"/>
  <c r="B6" i="12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B3" i="12"/>
  <c r="M3" i="12" s="1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B17" i="11"/>
  <c r="C17" i="11" s="1"/>
  <c r="AB16" i="11"/>
  <c r="Y16" i="11"/>
  <c r="W16" i="11"/>
  <c r="V16" i="11"/>
  <c r="D16" i="11"/>
  <c r="B16" i="11"/>
  <c r="AA16" i="11" s="1"/>
  <c r="W15" i="11"/>
  <c r="R15" i="11"/>
  <c r="B15" i="11"/>
  <c r="AB14" i="11"/>
  <c r="X14" i="11"/>
  <c r="J14" i="11"/>
  <c r="I14" i="11"/>
  <c r="G14" i="11"/>
  <c r="F14" i="11"/>
  <c r="E14" i="11"/>
  <c r="B14" i="11"/>
  <c r="AA14" i="11" s="1"/>
  <c r="AB13" i="11"/>
  <c r="AA13" i="11"/>
  <c r="Y13" i="11"/>
  <c r="V13" i="11"/>
  <c r="U13" i="11"/>
  <c r="R13" i="11"/>
  <c r="Q13" i="11"/>
  <c r="M13" i="11"/>
  <c r="L13" i="11"/>
  <c r="K13" i="11"/>
  <c r="J13" i="11"/>
  <c r="B13" i="11"/>
  <c r="Z13" i="11" s="1"/>
  <c r="AB12" i="11"/>
  <c r="Y12" i="11"/>
  <c r="X12" i="11"/>
  <c r="U12" i="11"/>
  <c r="T12" i="11"/>
  <c r="O12" i="11"/>
  <c r="M12" i="11"/>
  <c r="L12" i="11"/>
  <c r="J12" i="11"/>
  <c r="G12" i="11"/>
  <c r="E12" i="11"/>
  <c r="C12" i="11"/>
  <c r="B12" i="11"/>
  <c r="Z12" i="11" s="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E8" i="11"/>
  <c r="B8" i="11"/>
  <c r="X8" i="11" s="1"/>
  <c r="AA7" i="11"/>
  <c r="Z7" i="11"/>
  <c r="X7" i="11"/>
  <c r="U7" i="11"/>
  <c r="T7" i="11"/>
  <c r="R7" i="11"/>
  <c r="O7" i="11"/>
  <c r="I7" i="11"/>
  <c r="G7" i="11"/>
  <c r="E7" i="11"/>
  <c r="C7" i="11"/>
  <c r="B7" i="11"/>
  <c r="X6" i="11"/>
  <c r="U6" i="11"/>
  <c r="T6" i="11"/>
  <c r="R6" i="11"/>
  <c r="Q6" i="11"/>
  <c r="P6" i="11"/>
  <c r="O6" i="11"/>
  <c r="L6" i="11"/>
  <c r="K6" i="11"/>
  <c r="J6" i="11"/>
  <c r="I6" i="11"/>
  <c r="H6" i="11"/>
  <c r="G6" i="11"/>
  <c r="C6" i="11"/>
  <c r="B6" i="1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Y3" i="11"/>
  <c r="U3" i="11"/>
  <c r="S3" i="11"/>
  <c r="R3" i="11"/>
  <c r="Q3" i="11"/>
  <c r="P3" i="11"/>
  <c r="L3" i="11"/>
  <c r="K3" i="11"/>
  <c r="I3" i="11"/>
  <c r="H3" i="11"/>
  <c r="E3" i="11"/>
  <c r="B3" i="11"/>
  <c r="D3" i="11" s="1"/>
  <c r="B2" i="11"/>
  <c r="I2" i="11" s="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T15" i="10"/>
  <c r="B15" i="10"/>
  <c r="B14" i="10"/>
  <c r="O14" i="10" s="1"/>
  <c r="Z13" i="10"/>
  <c r="Y13" i="10"/>
  <c r="H13" i="10"/>
  <c r="D13" i="10"/>
  <c r="B13" i="10"/>
  <c r="AA12" i="10"/>
  <c r="Z12" i="10"/>
  <c r="G12" i="10"/>
  <c r="B12" i="10"/>
  <c r="AB12" i="10" s="1"/>
  <c r="C11" i="10"/>
  <c r="B11" i="10"/>
  <c r="B10" i="10"/>
  <c r="B9" i="10"/>
  <c r="B8" i="10"/>
  <c r="N8" i="10" s="1"/>
  <c r="X7" i="10"/>
  <c r="B7" i="10"/>
  <c r="AA6" i="10"/>
  <c r="O6" i="10"/>
  <c r="L6" i="10"/>
  <c r="J6" i="10"/>
  <c r="H6" i="10"/>
  <c r="E6" i="10"/>
  <c r="C6" i="10"/>
  <c r="B6" i="10"/>
  <c r="Y6" i="10" s="1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Q3" i="10"/>
  <c r="J3" i="10"/>
  <c r="B3" i="10"/>
  <c r="B2" i="10"/>
  <c r="M2" i="10" s="1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W17" i="9"/>
  <c r="S17" i="9"/>
  <c r="R17" i="9"/>
  <c r="P17" i="9"/>
  <c r="M17" i="9"/>
  <c r="K17" i="9"/>
  <c r="J17" i="9"/>
  <c r="G17" i="9"/>
  <c r="F17" i="9"/>
  <c r="E17" i="9"/>
  <c r="B17" i="9"/>
  <c r="AA17" i="9" s="1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B15" i="9"/>
  <c r="AA15" i="9" s="1"/>
  <c r="AA14" i="9"/>
  <c r="P14" i="9"/>
  <c r="O14" i="9"/>
  <c r="N14" i="9"/>
  <c r="L14" i="9"/>
  <c r="K14" i="9"/>
  <c r="J14" i="9"/>
  <c r="I14" i="9"/>
  <c r="F14" i="9"/>
  <c r="E14" i="9"/>
  <c r="C14" i="9"/>
  <c r="B14" i="9"/>
  <c r="Z14" i="9" s="1"/>
  <c r="B13" i="9"/>
  <c r="M13" i="9" s="1"/>
  <c r="AB12" i="9"/>
  <c r="AA12" i="9"/>
  <c r="Y12" i="9"/>
  <c r="X12" i="9"/>
  <c r="W12" i="9"/>
  <c r="U12" i="9"/>
  <c r="J12" i="9"/>
  <c r="H12" i="9"/>
  <c r="C12" i="9"/>
  <c r="B12" i="9"/>
  <c r="E12" i="9" s="1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AB8" i="9"/>
  <c r="Y8" i="9"/>
  <c r="X8" i="9"/>
  <c r="U8" i="9"/>
  <c r="T8" i="9"/>
  <c r="S8" i="9"/>
  <c r="R8" i="9"/>
  <c r="Q8" i="9"/>
  <c r="P8" i="9"/>
  <c r="N8" i="9"/>
  <c r="M8" i="9"/>
  <c r="L8" i="9"/>
  <c r="I8" i="9"/>
  <c r="F8" i="9"/>
  <c r="E8" i="9"/>
  <c r="C8" i="9"/>
  <c r="B8" i="9"/>
  <c r="W7" i="9"/>
  <c r="V7" i="9"/>
  <c r="U7" i="9"/>
  <c r="S7" i="9"/>
  <c r="R7" i="9"/>
  <c r="Q7" i="9"/>
  <c r="P7" i="9"/>
  <c r="J7" i="9"/>
  <c r="G7" i="9"/>
  <c r="C7" i="9"/>
  <c r="B7" i="9"/>
  <c r="AB7" i="9" s="1"/>
  <c r="B6" i="9"/>
  <c r="X5" i="9"/>
  <c r="W5" i="9"/>
  <c r="M5" i="9"/>
  <c r="I5" i="9"/>
  <c r="D5" i="9"/>
  <c r="B5" i="9"/>
  <c r="T5" i="9" s="1"/>
  <c r="Z4" i="9"/>
  <c r="P4" i="9"/>
  <c r="G4" i="9"/>
  <c r="C4" i="9"/>
  <c r="B4" i="9"/>
  <c r="AA3" i="9"/>
  <c r="Z3" i="9"/>
  <c r="Y3" i="9"/>
  <c r="O3" i="9"/>
  <c r="F3" i="9"/>
  <c r="C3" i="9"/>
  <c r="B3" i="9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Y15" i="8"/>
  <c r="B15" i="8"/>
  <c r="AA15" i="8" s="1"/>
  <c r="AA14" i="8"/>
  <c r="Y14" i="8"/>
  <c r="W14" i="8"/>
  <c r="T14" i="8"/>
  <c r="S14" i="8"/>
  <c r="Q14" i="8"/>
  <c r="P14" i="8"/>
  <c r="O14" i="8"/>
  <c r="G14" i="8"/>
  <c r="F14" i="8"/>
  <c r="D14" i="8"/>
  <c r="B14" i="8"/>
  <c r="AA13" i="8"/>
  <c r="X13" i="8"/>
  <c r="S13" i="8"/>
  <c r="Q13" i="8"/>
  <c r="B13" i="8"/>
  <c r="M13" i="8" s="1"/>
  <c r="AB12" i="8"/>
  <c r="AA12" i="8"/>
  <c r="Z12" i="8"/>
  <c r="Y12" i="8"/>
  <c r="X12" i="8"/>
  <c r="W12" i="8"/>
  <c r="V12" i="8"/>
  <c r="U12" i="8"/>
  <c r="T12" i="8"/>
  <c r="S12" i="8"/>
  <c r="R12" i="8"/>
  <c r="Q12" i="8"/>
  <c r="O12" i="8"/>
  <c r="N12" i="8"/>
  <c r="H12" i="8"/>
  <c r="E12" i="8"/>
  <c r="C12" i="8"/>
  <c r="B12" i="8"/>
  <c r="D12" i="8" s="1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L8" i="8"/>
  <c r="H8" i="8"/>
  <c r="B8" i="8"/>
  <c r="T8" i="8" s="1"/>
  <c r="Z7" i="8"/>
  <c r="Y7" i="8"/>
  <c r="W7" i="8"/>
  <c r="U7" i="8"/>
  <c r="T7" i="8"/>
  <c r="S7" i="8"/>
  <c r="Q7" i="8"/>
  <c r="P7" i="8"/>
  <c r="O7" i="8"/>
  <c r="M7" i="8"/>
  <c r="B7" i="8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B3" i="8"/>
  <c r="O3" i="8" s="1"/>
  <c r="AA2" i="8"/>
  <c r="V2" i="8"/>
  <c r="U2" i="8"/>
  <c r="S2" i="8"/>
  <c r="Q2" i="8"/>
  <c r="N2" i="8"/>
  <c r="F2" i="8"/>
  <c r="D2" i="8"/>
  <c r="C2" i="8"/>
  <c r="B2" i="8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Z17" i="7"/>
  <c r="S17" i="7"/>
  <c r="D17" i="7"/>
  <c r="B17" i="7"/>
  <c r="N16" i="7"/>
  <c r="M16" i="7"/>
  <c r="L16" i="7"/>
  <c r="J16" i="7"/>
  <c r="H16" i="7"/>
  <c r="G16" i="7"/>
  <c r="B16" i="7"/>
  <c r="AA16" i="7" s="1"/>
  <c r="Z15" i="7"/>
  <c r="Y15" i="7"/>
  <c r="W15" i="7"/>
  <c r="P15" i="7"/>
  <c r="O15" i="7"/>
  <c r="N15" i="7"/>
  <c r="M15" i="7"/>
  <c r="L15" i="7"/>
  <c r="K15" i="7"/>
  <c r="J15" i="7"/>
  <c r="I15" i="7"/>
  <c r="D15" i="7"/>
  <c r="C15" i="7"/>
  <c r="B15" i="7"/>
  <c r="V15" i="7" s="1"/>
  <c r="AB14" i="7"/>
  <c r="AA14" i="7"/>
  <c r="Y14" i="7"/>
  <c r="Q14" i="7"/>
  <c r="O14" i="7"/>
  <c r="N14" i="7"/>
  <c r="M14" i="7"/>
  <c r="L14" i="7"/>
  <c r="J14" i="7"/>
  <c r="I14" i="7"/>
  <c r="F14" i="7"/>
  <c r="B14" i="7"/>
  <c r="X14" i="7" s="1"/>
  <c r="AB13" i="7"/>
  <c r="AA13" i="7"/>
  <c r="X13" i="7"/>
  <c r="W13" i="7"/>
  <c r="V13" i="7"/>
  <c r="T13" i="7"/>
  <c r="S13" i="7"/>
  <c r="R13" i="7"/>
  <c r="Q13" i="7"/>
  <c r="O13" i="7"/>
  <c r="N13" i="7"/>
  <c r="M13" i="7"/>
  <c r="K13" i="7"/>
  <c r="J13" i="7"/>
  <c r="I13" i="7"/>
  <c r="H13" i="7"/>
  <c r="F13" i="7"/>
  <c r="E13" i="7"/>
  <c r="B13" i="7"/>
  <c r="Z13" i="7" s="1"/>
  <c r="AB12" i="7"/>
  <c r="X12" i="7"/>
  <c r="T12" i="7"/>
  <c r="S12" i="7"/>
  <c r="P12" i="7"/>
  <c r="O12" i="7"/>
  <c r="F12" i="7"/>
  <c r="E12" i="7"/>
  <c r="C12" i="7"/>
  <c r="B12" i="7"/>
  <c r="Y12" i="7" s="1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AA8" i="7"/>
  <c r="Z8" i="7"/>
  <c r="Y8" i="7"/>
  <c r="W8" i="7"/>
  <c r="U8" i="7"/>
  <c r="R8" i="7"/>
  <c r="Q8" i="7"/>
  <c r="P8" i="7"/>
  <c r="N8" i="7"/>
  <c r="L8" i="7"/>
  <c r="K8" i="7"/>
  <c r="J8" i="7"/>
  <c r="I8" i="7"/>
  <c r="H8" i="7"/>
  <c r="G8" i="7"/>
  <c r="B8" i="7"/>
  <c r="C8" i="7" s="1"/>
  <c r="AA7" i="7"/>
  <c r="Z7" i="7"/>
  <c r="W7" i="7"/>
  <c r="U7" i="7"/>
  <c r="S7" i="7"/>
  <c r="R7" i="7"/>
  <c r="Q7" i="7"/>
  <c r="P7" i="7"/>
  <c r="O7" i="7"/>
  <c r="M7" i="7"/>
  <c r="L7" i="7"/>
  <c r="K7" i="7"/>
  <c r="J7" i="7"/>
  <c r="I7" i="7"/>
  <c r="H7" i="7"/>
  <c r="B7" i="7"/>
  <c r="AB7" i="7" s="1"/>
  <c r="B6" i="7"/>
  <c r="N6" i="7" s="1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AB3" i="7"/>
  <c r="Z3" i="7"/>
  <c r="V3" i="7"/>
  <c r="U3" i="7"/>
  <c r="T3" i="7"/>
  <c r="S3" i="7"/>
  <c r="P3" i="7"/>
  <c r="O3" i="7"/>
  <c r="N3" i="7"/>
  <c r="M3" i="7"/>
  <c r="L3" i="7"/>
  <c r="K3" i="7"/>
  <c r="J3" i="7"/>
  <c r="H3" i="7"/>
  <c r="F3" i="7"/>
  <c r="B3" i="7"/>
  <c r="X3" i="7" s="1"/>
  <c r="B2" i="7"/>
  <c r="Y2" i="7" s="1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R17" i="6"/>
  <c r="Q17" i="6"/>
  <c r="O17" i="6"/>
  <c r="M17" i="6"/>
  <c r="L17" i="6"/>
  <c r="K17" i="6"/>
  <c r="G17" i="6"/>
  <c r="F17" i="6"/>
  <c r="D17" i="6"/>
  <c r="C17" i="6"/>
  <c r="B17" i="6"/>
  <c r="AB17" i="6" s="1"/>
  <c r="E16" i="6"/>
  <c r="D16" i="6"/>
  <c r="C16" i="6"/>
  <c r="B16" i="6"/>
  <c r="AB15" i="6"/>
  <c r="Z15" i="6"/>
  <c r="Y15" i="6"/>
  <c r="W15" i="6"/>
  <c r="V15" i="6"/>
  <c r="U15" i="6"/>
  <c r="T15" i="6"/>
  <c r="S15" i="6"/>
  <c r="R15" i="6"/>
  <c r="Q15" i="6"/>
  <c r="P15" i="6"/>
  <c r="O15" i="6"/>
  <c r="N15" i="6"/>
  <c r="M15" i="6"/>
  <c r="L15" i="6"/>
  <c r="K15" i="6"/>
  <c r="J15" i="6"/>
  <c r="I15" i="6"/>
  <c r="G15" i="6"/>
  <c r="C15" i="6"/>
  <c r="B15" i="6"/>
  <c r="AB14" i="6"/>
  <c r="AA14" i="6"/>
  <c r="Y14" i="6"/>
  <c r="X14" i="6"/>
  <c r="W14" i="6"/>
  <c r="T14" i="6"/>
  <c r="S14" i="6"/>
  <c r="R14" i="6"/>
  <c r="Q14" i="6"/>
  <c r="O14" i="6"/>
  <c r="N14" i="6"/>
  <c r="M14" i="6"/>
  <c r="L14" i="6"/>
  <c r="K14" i="6"/>
  <c r="I14" i="6"/>
  <c r="B14" i="6"/>
  <c r="D14" i="6" s="1"/>
  <c r="Y13" i="6"/>
  <c r="V13" i="6"/>
  <c r="T13" i="6"/>
  <c r="S13" i="6"/>
  <c r="R13" i="6"/>
  <c r="Q13" i="6"/>
  <c r="P13" i="6"/>
  <c r="O13" i="6"/>
  <c r="N13" i="6"/>
  <c r="M13" i="6"/>
  <c r="K13" i="6"/>
  <c r="I13" i="6"/>
  <c r="H13" i="6"/>
  <c r="G13" i="6"/>
  <c r="B13" i="6"/>
  <c r="AB13" i="6" s="1"/>
  <c r="B12" i="6"/>
  <c r="AB12" i="6" s="1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U8" i="6"/>
  <c r="I8" i="6"/>
  <c r="G8" i="6"/>
  <c r="E8" i="6"/>
  <c r="D8" i="6"/>
  <c r="B8" i="6"/>
  <c r="B7" i="6"/>
  <c r="J7" i="6" s="1"/>
  <c r="O6" i="6"/>
  <c r="N6" i="6"/>
  <c r="M6" i="6"/>
  <c r="L6" i="6"/>
  <c r="K6" i="6"/>
  <c r="J6" i="6"/>
  <c r="I6" i="6"/>
  <c r="E6" i="6"/>
  <c r="B6" i="6"/>
  <c r="AA6" i="6" s="1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AA3" i="6"/>
  <c r="Y3" i="6"/>
  <c r="X3" i="6"/>
  <c r="W3" i="6"/>
  <c r="U3" i="6"/>
  <c r="Q3" i="6"/>
  <c r="P3" i="6"/>
  <c r="O3" i="6"/>
  <c r="M3" i="6"/>
  <c r="L3" i="6"/>
  <c r="K3" i="6"/>
  <c r="F3" i="6"/>
  <c r="C3" i="6"/>
  <c r="B3" i="6"/>
  <c r="B2" i="6"/>
  <c r="C2" i="6" s="1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V17" i="5"/>
  <c r="T17" i="5"/>
  <c r="B17" i="5"/>
  <c r="X17" i="5" s="1"/>
  <c r="B16" i="5"/>
  <c r="Z15" i="5"/>
  <c r="Y15" i="5"/>
  <c r="V15" i="5"/>
  <c r="Q15" i="5"/>
  <c r="O15" i="5"/>
  <c r="B15" i="5"/>
  <c r="Z14" i="5"/>
  <c r="B14" i="5"/>
  <c r="Y13" i="5"/>
  <c r="B13" i="5"/>
  <c r="AB13" i="5" s="1"/>
  <c r="B12" i="5"/>
  <c r="G12" i="5" s="1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AB7" i="5"/>
  <c r="AA7" i="5"/>
  <c r="V7" i="5"/>
  <c r="N7" i="5"/>
  <c r="B7" i="5"/>
  <c r="D7" i="5" s="1"/>
  <c r="Z6" i="5"/>
  <c r="X6" i="5"/>
  <c r="W6" i="5"/>
  <c r="R6" i="5"/>
  <c r="M6" i="5"/>
  <c r="K6" i="5"/>
  <c r="J6" i="5"/>
  <c r="I6" i="5"/>
  <c r="E6" i="5"/>
  <c r="B6" i="5"/>
  <c r="AB6" i="5" s="1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U3" i="5"/>
  <c r="T3" i="5"/>
  <c r="S3" i="5"/>
  <c r="Q3" i="5"/>
  <c r="N3" i="5"/>
  <c r="M3" i="5"/>
  <c r="B3" i="5"/>
  <c r="W3" i="5" s="1"/>
  <c r="B2" i="5"/>
  <c r="F2" i="5" s="1"/>
  <c r="B2" i="1"/>
  <c r="X15" i="10" l="1"/>
  <c r="U15" i="10"/>
  <c r="P15" i="10"/>
  <c r="N15" i="10"/>
  <c r="X15" i="5"/>
  <c r="W15" i="5"/>
  <c r="U15" i="5"/>
  <c r="J12" i="6"/>
  <c r="P2" i="7"/>
  <c r="R6" i="7"/>
  <c r="AB17" i="7"/>
  <c r="V17" i="7"/>
  <c r="T17" i="7"/>
  <c r="D3" i="8"/>
  <c r="M8" i="8"/>
  <c r="AB13" i="8"/>
  <c r="F2" i="10"/>
  <c r="C8" i="10"/>
  <c r="D14" i="10"/>
  <c r="C15" i="10"/>
  <c r="H12" i="5"/>
  <c r="C15" i="5"/>
  <c r="AB15" i="5"/>
  <c r="K12" i="6"/>
  <c r="P17" i="6"/>
  <c r="Q2" i="7"/>
  <c r="S6" i="7"/>
  <c r="C17" i="7"/>
  <c r="O2" i="8"/>
  <c r="R2" i="8"/>
  <c r="P2" i="8"/>
  <c r="E3" i="8"/>
  <c r="Q8" i="8"/>
  <c r="X14" i="8"/>
  <c r="I14" i="8"/>
  <c r="AB14" i="8"/>
  <c r="E14" i="8"/>
  <c r="Z14" i="8"/>
  <c r="C14" i="8"/>
  <c r="E15" i="8"/>
  <c r="T7" i="9"/>
  <c r="Z12" i="9"/>
  <c r="M14" i="9"/>
  <c r="G2" i="10"/>
  <c r="I8" i="10"/>
  <c r="E14" i="10"/>
  <c r="D15" i="10"/>
  <c r="Q7" i="11"/>
  <c r="J7" i="11"/>
  <c r="F7" i="11"/>
  <c r="AB7" i="11"/>
  <c r="D7" i="11"/>
  <c r="D8" i="11"/>
  <c r="H14" i="11"/>
  <c r="I3" i="12"/>
  <c r="C12" i="12"/>
  <c r="J15" i="12"/>
  <c r="G15" i="13"/>
  <c r="D15" i="14"/>
  <c r="D8" i="15"/>
  <c r="G13" i="15"/>
  <c r="D17" i="16"/>
  <c r="X7" i="17"/>
  <c r="W7" i="17"/>
  <c r="V7" i="17"/>
  <c r="T7" i="17"/>
  <c r="R7" i="17"/>
  <c r="J7" i="17"/>
  <c r="H7" i="17"/>
  <c r="G7" i="17"/>
  <c r="F7" i="17"/>
  <c r="E7" i="17"/>
  <c r="D7" i="17"/>
  <c r="AB17" i="17"/>
  <c r="Z17" i="17"/>
  <c r="X17" i="17"/>
  <c r="W17" i="17"/>
  <c r="U17" i="17"/>
  <c r="R17" i="17"/>
  <c r="Q17" i="17"/>
  <c r="O17" i="17"/>
  <c r="M17" i="17"/>
  <c r="L17" i="17"/>
  <c r="D2" i="10"/>
  <c r="C14" i="10"/>
  <c r="R2" i="7"/>
  <c r="U6" i="7"/>
  <c r="O12" i="6"/>
  <c r="H12" i="13"/>
  <c r="L15" i="13"/>
  <c r="X17" i="18"/>
  <c r="U17" i="18"/>
  <c r="T17" i="18"/>
  <c r="S17" i="18"/>
  <c r="Q17" i="18"/>
  <c r="P17" i="18"/>
  <c r="O17" i="18"/>
  <c r="M17" i="18"/>
  <c r="L17" i="18"/>
  <c r="J17" i="18"/>
  <c r="I17" i="18"/>
  <c r="G17" i="18"/>
  <c r="E17" i="18"/>
  <c r="D17" i="18"/>
  <c r="C17" i="18"/>
  <c r="AB17" i="18"/>
  <c r="AA17" i="18"/>
  <c r="Y17" i="18"/>
  <c r="W17" i="18"/>
  <c r="C2" i="5"/>
  <c r="G13" i="5"/>
  <c r="G15" i="5"/>
  <c r="J17" i="5"/>
  <c r="AA2" i="6"/>
  <c r="P6" i="6"/>
  <c r="P12" i="6"/>
  <c r="X15" i="6"/>
  <c r="H15" i="6"/>
  <c r="F15" i="6"/>
  <c r="AA15" i="6"/>
  <c r="T17" i="6"/>
  <c r="AB6" i="7"/>
  <c r="AB8" i="7"/>
  <c r="G12" i="7"/>
  <c r="R14" i="7"/>
  <c r="Q15" i="7"/>
  <c r="G17" i="7"/>
  <c r="G2" i="8"/>
  <c r="K3" i="8"/>
  <c r="O6" i="8"/>
  <c r="Z8" i="8"/>
  <c r="G13" i="8"/>
  <c r="H14" i="8"/>
  <c r="J15" i="8"/>
  <c r="X7" i="9"/>
  <c r="C13" i="9"/>
  <c r="R14" i="9"/>
  <c r="T17" i="9"/>
  <c r="AB8" i="10"/>
  <c r="I14" i="10"/>
  <c r="H15" i="10"/>
  <c r="H7" i="11"/>
  <c r="N8" i="11"/>
  <c r="M14" i="11"/>
  <c r="D17" i="11"/>
  <c r="P15" i="12"/>
  <c r="I12" i="13"/>
  <c r="M15" i="13"/>
  <c r="N3" i="14"/>
  <c r="M3" i="14"/>
  <c r="J3" i="14"/>
  <c r="G3" i="14"/>
  <c r="AB3" i="14"/>
  <c r="X3" i="14"/>
  <c r="I15" i="14"/>
  <c r="T3" i="15"/>
  <c r="M8" i="15"/>
  <c r="Q13" i="15"/>
  <c r="S7" i="17"/>
  <c r="N17" i="18"/>
  <c r="O3" i="19"/>
  <c r="I3" i="19"/>
  <c r="H3" i="19"/>
  <c r="G3" i="19"/>
  <c r="E3" i="19"/>
  <c r="D3" i="19"/>
  <c r="AB3" i="19"/>
  <c r="C3" i="19"/>
  <c r="Z3" i="19"/>
  <c r="Y3" i="19"/>
  <c r="W3" i="19"/>
  <c r="V3" i="19"/>
  <c r="U3" i="19"/>
  <c r="T3" i="19"/>
  <c r="S3" i="19"/>
  <c r="R3" i="19"/>
  <c r="P3" i="19"/>
  <c r="N3" i="19"/>
  <c r="M3" i="19"/>
  <c r="K3" i="19"/>
  <c r="D12" i="6"/>
  <c r="L12" i="13"/>
  <c r="R13" i="15"/>
  <c r="R17" i="18"/>
  <c r="W2" i="10"/>
  <c r="J2" i="10"/>
  <c r="E2" i="10"/>
  <c r="C2" i="10"/>
  <c r="Z3" i="12"/>
  <c r="U3" i="12"/>
  <c r="G3" i="12"/>
  <c r="R8" i="8"/>
  <c r="K2" i="10"/>
  <c r="F15" i="10"/>
  <c r="I8" i="11"/>
  <c r="D17" i="5"/>
  <c r="Z2" i="6"/>
  <c r="S17" i="6"/>
  <c r="Z2" i="7"/>
  <c r="X6" i="7"/>
  <c r="F17" i="7"/>
  <c r="I3" i="8"/>
  <c r="F6" i="8"/>
  <c r="V8" i="8"/>
  <c r="E13" i="8"/>
  <c r="I15" i="8"/>
  <c r="K8" i="11"/>
  <c r="G7" i="7"/>
  <c r="Y7" i="7"/>
  <c r="V7" i="7"/>
  <c r="R15" i="7"/>
  <c r="H2" i="8"/>
  <c r="L3" i="8"/>
  <c r="P6" i="8"/>
  <c r="I13" i="8"/>
  <c r="J14" i="8"/>
  <c r="K15" i="8"/>
  <c r="AA7" i="9"/>
  <c r="D13" i="9"/>
  <c r="T14" i="9"/>
  <c r="N2" i="10"/>
  <c r="J14" i="10"/>
  <c r="I15" i="10"/>
  <c r="N14" i="11"/>
  <c r="J17" i="11"/>
  <c r="N3" i="12"/>
  <c r="U14" i="13"/>
  <c r="K14" i="13"/>
  <c r="J14" i="13"/>
  <c r="E14" i="13"/>
  <c r="V14" i="13"/>
  <c r="R14" i="13"/>
  <c r="N15" i="13"/>
  <c r="L15" i="14"/>
  <c r="E2" i="5"/>
  <c r="I13" i="5"/>
  <c r="I15" i="5"/>
  <c r="L17" i="5"/>
  <c r="V3" i="6"/>
  <c r="S3" i="6"/>
  <c r="AB6" i="6"/>
  <c r="S12" i="6"/>
  <c r="C14" i="6"/>
  <c r="D15" i="6"/>
  <c r="W17" i="6"/>
  <c r="C7" i="7"/>
  <c r="J12" i="7"/>
  <c r="T14" i="7"/>
  <c r="S15" i="7"/>
  <c r="I17" i="7"/>
  <c r="I2" i="8"/>
  <c r="M3" i="8"/>
  <c r="K7" i="8"/>
  <c r="G7" i="8"/>
  <c r="J13" i="8"/>
  <c r="K14" i="8"/>
  <c r="L15" i="8"/>
  <c r="U14" i="9"/>
  <c r="X17" i="9"/>
  <c r="P2" i="10"/>
  <c r="K14" i="10"/>
  <c r="K15" i="10"/>
  <c r="K7" i="11"/>
  <c r="P8" i="11"/>
  <c r="O14" i="11"/>
  <c r="O17" i="11"/>
  <c r="P3" i="12"/>
  <c r="S15" i="12"/>
  <c r="M12" i="13"/>
  <c r="F14" i="13"/>
  <c r="O15" i="13"/>
  <c r="D3" i="14"/>
  <c r="M15" i="14"/>
  <c r="W3" i="15"/>
  <c r="O8" i="15"/>
  <c r="U12" i="15"/>
  <c r="Q12" i="15"/>
  <c r="P12" i="15"/>
  <c r="O12" i="15"/>
  <c r="M12" i="15"/>
  <c r="K12" i="15"/>
  <c r="D12" i="15"/>
  <c r="C12" i="15"/>
  <c r="AA12" i="15"/>
  <c r="Z12" i="15"/>
  <c r="S13" i="15"/>
  <c r="AB12" i="16"/>
  <c r="X12" i="16"/>
  <c r="K12" i="16"/>
  <c r="Y7" i="17"/>
  <c r="V17" i="18"/>
  <c r="J3" i="19"/>
  <c r="P6" i="7"/>
  <c r="Q8" i="10"/>
  <c r="G8" i="10"/>
  <c r="G3" i="8"/>
  <c r="T2" i="6"/>
  <c r="S2" i="7"/>
  <c r="E6" i="8"/>
  <c r="H15" i="8"/>
  <c r="AA13" i="9"/>
  <c r="W13" i="9"/>
  <c r="Q13" i="9"/>
  <c r="L2" i="10"/>
  <c r="Z8" i="10"/>
  <c r="H14" i="10"/>
  <c r="G15" i="10"/>
  <c r="H15" i="14"/>
  <c r="D2" i="5"/>
  <c r="H13" i="5"/>
  <c r="K17" i="5"/>
  <c r="R12" i="6"/>
  <c r="X8" i="7"/>
  <c r="V8" i="7"/>
  <c r="T8" i="7"/>
  <c r="H12" i="7"/>
  <c r="S14" i="7"/>
  <c r="H17" i="7"/>
  <c r="N2" i="11"/>
  <c r="G2" i="11"/>
  <c r="O8" i="11"/>
  <c r="Q15" i="12"/>
  <c r="J13" i="5"/>
  <c r="J15" i="5"/>
  <c r="O17" i="5"/>
  <c r="T12" i="6"/>
  <c r="E15" i="6"/>
  <c r="Z17" i="6"/>
  <c r="D7" i="7"/>
  <c r="D8" i="7"/>
  <c r="K12" i="7"/>
  <c r="U14" i="7"/>
  <c r="T15" i="7"/>
  <c r="J17" i="7"/>
  <c r="K2" i="8"/>
  <c r="N3" i="8"/>
  <c r="J7" i="8"/>
  <c r="K13" i="8"/>
  <c r="L14" i="8"/>
  <c r="M15" i="8"/>
  <c r="W8" i="9"/>
  <c r="O8" i="9"/>
  <c r="K8" i="9"/>
  <c r="G8" i="9"/>
  <c r="S13" i="9"/>
  <c r="V14" i="9"/>
  <c r="U2" i="10"/>
  <c r="L14" i="10"/>
  <c r="L15" i="10"/>
  <c r="Q2" i="11"/>
  <c r="AA6" i="11"/>
  <c r="E6" i="11"/>
  <c r="L7" i="11"/>
  <c r="Q8" i="11"/>
  <c r="P14" i="11"/>
  <c r="P17" i="11"/>
  <c r="T3" i="12"/>
  <c r="T15" i="12"/>
  <c r="O12" i="13"/>
  <c r="H14" i="13"/>
  <c r="P15" i="13"/>
  <c r="E3" i="14"/>
  <c r="N15" i="14"/>
  <c r="R8" i="15"/>
  <c r="G12" i="15"/>
  <c r="T13" i="15"/>
  <c r="C12" i="16"/>
  <c r="Z2" i="17"/>
  <c r="W2" i="17"/>
  <c r="L2" i="17"/>
  <c r="J2" i="17"/>
  <c r="I2" i="17"/>
  <c r="G2" i="17"/>
  <c r="F2" i="17"/>
  <c r="Z7" i="17"/>
  <c r="Q3" i="19"/>
  <c r="N2" i="7"/>
  <c r="AA15" i="5"/>
  <c r="F15" i="8"/>
  <c r="K3" i="12"/>
  <c r="F13" i="5"/>
  <c r="U14" i="6"/>
  <c r="J14" i="6"/>
  <c r="H14" i="6"/>
  <c r="U17" i="6"/>
  <c r="AB8" i="6"/>
  <c r="J8" i="6"/>
  <c r="H8" i="6"/>
  <c r="U12" i="6"/>
  <c r="E14" i="6"/>
  <c r="E8" i="7"/>
  <c r="L12" i="7"/>
  <c r="V14" i="7"/>
  <c r="U15" i="7"/>
  <c r="K17" i="7"/>
  <c r="L2" i="8"/>
  <c r="M14" i="8"/>
  <c r="N15" i="8"/>
  <c r="X13" i="9"/>
  <c r="Y14" i="9"/>
  <c r="V2" i="10"/>
  <c r="M14" i="10"/>
  <c r="M15" i="10"/>
  <c r="M7" i="11"/>
  <c r="R8" i="11"/>
  <c r="Q14" i="11"/>
  <c r="AB17" i="11"/>
  <c r="Y3" i="12"/>
  <c r="V15" i="12"/>
  <c r="L14" i="13"/>
  <c r="R15" i="13"/>
  <c r="O15" i="14"/>
  <c r="X8" i="15"/>
  <c r="V13" i="15"/>
  <c r="W2" i="18"/>
  <c r="Z2" i="18"/>
  <c r="X2" i="18"/>
  <c r="U2" i="18"/>
  <c r="S2" i="18"/>
  <c r="R2" i="18"/>
  <c r="P2" i="18"/>
  <c r="O2" i="18"/>
  <c r="N2" i="18"/>
  <c r="M2" i="18"/>
  <c r="L2" i="18"/>
  <c r="G2" i="18"/>
  <c r="F2" i="18"/>
  <c r="AA3" i="19"/>
  <c r="J3" i="8"/>
  <c r="R3" i="8"/>
  <c r="P3" i="8"/>
  <c r="T17" i="12"/>
  <c r="G17" i="12"/>
  <c r="O17" i="12"/>
  <c r="D15" i="5"/>
  <c r="L12" i="6"/>
  <c r="L13" i="8"/>
  <c r="H13" i="8"/>
  <c r="F13" i="8"/>
  <c r="H15" i="13"/>
  <c r="V6" i="7"/>
  <c r="AB12" i="13"/>
  <c r="V12" i="13"/>
  <c r="T12" i="13"/>
  <c r="J12" i="13"/>
  <c r="D12" i="13"/>
  <c r="K15" i="13"/>
  <c r="F15" i="5"/>
  <c r="L14" i="11"/>
  <c r="L3" i="12"/>
  <c r="AA12" i="12"/>
  <c r="H15" i="5"/>
  <c r="AB2" i="6"/>
  <c r="K13" i="5"/>
  <c r="K15" i="5"/>
  <c r="P17" i="5"/>
  <c r="AA17" i="6"/>
  <c r="E7" i="7"/>
  <c r="L3" i="5"/>
  <c r="M13" i="5"/>
  <c r="L15" i="5"/>
  <c r="Q17" i="5"/>
  <c r="C8" i="6"/>
  <c r="V12" i="6"/>
  <c r="F14" i="6"/>
  <c r="F7" i="7"/>
  <c r="F8" i="7"/>
  <c r="M12" i="7"/>
  <c r="L17" i="7"/>
  <c r="M2" i="8"/>
  <c r="Q3" i="8"/>
  <c r="N13" i="8"/>
  <c r="N14" i="8"/>
  <c r="O15" i="8"/>
  <c r="Y13" i="9"/>
  <c r="X2" i="10"/>
  <c r="N14" i="10"/>
  <c r="O15" i="10"/>
  <c r="C3" i="11"/>
  <c r="N7" i="11"/>
  <c r="S8" i="11"/>
  <c r="R14" i="11"/>
  <c r="AA3" i="12"/>
  <c r="W15" i="12"/>
  <c r="S12" i="13"/>
  <c r="M14" i="13"/>
  <c r="S15" i="13"/>
  <c r="I3" i="14"/>
  <c r="Q15" i="14"/>
  <c r="G6" i="15"/>
  <c r="P6" i="15"/>
  <c r="O6" i="15"/>
  <c r="L6" i="15"/>
  <c r="J6" i="15"/>
  <c r="AB6" i="15"/>
  <c r="X6" i="15"/>
  <c r="W6" i="15"/>
  <c r="AA8" i="15"/>
  <c r="I12" i="15"/>
  <c r="W13" i="15"/>
  <c r="X12" i="17"/>
  <c r="M12" i="17"/>
  <c r="J12" i="17"/>
  <c r="I12" i="17"/>
  <c r="G12" i="17"/>
  <c r="E12" i="17"/>
  <c r="C12" i="17"/>
  <c r="AB12" i="17"/>
  <c r="Z12" i="17"/>
  <c r="Y12" i="17"/>
  <c r="W12" i="17"/>
  <c r="V12" i="17"/>
  <c r="U12" i="17"/>
  <c r="Q12" i="17"/>
  <c r="D2" i="18"/>
  <c r="O2" i="7"/>
  <c r="Q6" i="7"/>
  <c r="C3" i="8"/>
  <c r="C15" i="13"/>
  <c r="H2" i="10"/>
  <c r="K8" i="10"/>
  <c r="F14" i="10"/>
  <c r="E15" i="10"/>
  <c r="E15" i="14"/>
  <c r="D13" i="5"/>
  <c r="E17" i="7"/>
  <c r="H3" i="8"/>
  <c r="C13" i="8"/>
  <c r="G14" i="10"/>
  <c r="R13" i="5"/>
  <c r="M15" i="5"/>
  <c r="R17" i="5"/>
  <c r="W12" i="6"/>
  <c r="N17" i="6"/>
  <c r="X17" i="6"/>
  <c r="V17" i="6"/>
  <c r="N12" i="7"/>
  <c r="M17" i="7"/>
  <c r="S3" i="8"/>
  <c r="O13" i="8"/>
  <c r="P15" i="8"/>
  <c r="Z13" i="9"/>
  <c r="Y2" i="10"/>
  <c r="Q15" i="10"/>
  <c r="T8" i="11"/>
  <c r="T14" i="11"/>
  <c r="Y15" i="12"/>
  <c r="U12" i="13"/>
  <c r="N14" i="13"/>
  <c r="V15" i="13"/>
  <c r="S15" i="14"/>
  <c r="X14" i="10"/>
  <c r="W14" i="10"/>
  <c r="S14" i="10"/>
  <c r="Q14" i="10"/>
  <c r="AB14" i="10"/>
  <c r="J3" i="12"/>
  <c r="E15" i="5"/>
  <c r="N12" i="6"/>
  <c r="F15" i="14"/>
  <c r="I7" i="5"/>
  <c r="X13" i="5"/>
  <c r="N15" i="5"/>
  <c r="S17" i="5"/>
  <c r="Q17" i="7"/>
  <c r="V3" i="8"/>
  <c r="P13" i="8"/>
  <c r="U15" i="8"/>
  <c r="Y7" i="9"/>
  <c r="N7" i="9"/>
  <c r="I7" i="9"/>
  <c r="F7" i="9"/>
  <c r="X14" i="9"/>
  <c r="W14" i="9"/>
  <c r="S14" i="9"/>
  <c r="Q14" i="9"/>
  <c r="AB14" i="9"/>
  <c r="Z2" i="10"/>
  <c r="P14" i="10"/>
  <c r="R15" i="10"/>
  <c r="P7" i="11"/>
  <c r="V14" i="11"/>
  <c r="D7" i="12"/>
  <c r="P7" i="12"/>
  <c r="W12" i="13"/>
  <c r="O14" i="13"/>
  <c r="W15" i="13"/>
  <c r="U6" i="14"/>
  <c r="AA6" i="14"/>
  <c r="W6" i="14"/>
  <c r="S6" i="14"/>
  <c r="M6" i="14"/>
  <c r="J6" i="14"/>
  <c r="T15" i="14"/>
  <c r="K2" i="18"/>
  <c r="AB6" i="18"/>
  <c r="X6" i="18"/>
  <c r="W6" i="18"/>
  <c r="Q6" i="18"/>
  <c r="P6" i="18"/>
  <c r="O6" i="18"/>
  <c r="K6" i="18"/>
  <c r="J6" i="18"/>
  <c r="I6" i="18"/>
  <c r="W3" i="8"/>
  <c r="W15" i="14"/>
  <c r="Z6" i="16"/>
  <c r="W6" i="16"/>
  <c r="V6" i="16"/>
  <c r="S6" i="16"/>
  <c r="O6" i="16"/>
  <c r="K6" i="16"/>
  <c r="J6" i="16"/>
  <c r="I6" i="16"/>
  <c r="G6" i="16"/>
  <c r="F6" i="16"/>
  <c r="U7" i="5"/>
  <c r="Z13" i="5"/>
  <c r="P15" i="5"/>
  <c r="U17" i="5"/>
  <c r="E17" i="6"/>
  <c r="G2" i="7"/>
  <c r="F6" i="7"/>
  <c r="R12" i="7"/>
  <c r="X15" i="7"/>
  <c r="G15" i="7"/>
  <c r="AB15" i="7"/>
  <c r="E15" i="7"/>
  <c r="AA15" i="7"/>
  <c r="U17" i="7"/>
  <c r="T2" i="8"/>
  <c r="Z3" i="8"/>
  <c r="R13" i="8"/>
  <c r="R14" i="8"/>
  <c r="AB3" i="9"/>
  <c r="S3" i="9"/>
  <c r="K3" i="9"/>
  <c r="D7" i="9"/>
  <c r="D12" i="9"/>
  <c r="D14" i="9"/>
  <c r="K15" i="9"/>
  <c r="AA13" i="10"/>
  <c r="M13" i="10"/>
  <c r="F13" i="10"/>
  <c r="T14" i="10"/>
  <c r="V15" i="10"/>
  <c r="J3" i="11"/>
  <c r="S7" i="11"/>
  <c r="P12" i="11"/>
  <c r="K12" i="11"/>
  <c r="I12" i="11"/>
  <c r="F7" i="12"/>
  <c r="Q14" i="13"/>
  <c r="Z15" i="13"/>
  <c r="S3" i="14"/>
  <c r="F6" i="14"/>
  <c r="Y15" i="14"/>
  <c r="E6" i="16"/>
  <c r="O12" i="17"/>
  <c r="Y2" i="18"/>
  <c r="AA6" i="18"/>
  <c r="AA7" i="19"/>
  <c r="U7" i="19"/>
  <c r="R7" i="19"/>
  <c r="M7" i="19"/>
  <c r="L7" i="19"/>
  <c r="H7" i="19"/>
  <c r="G7" i="19"/>
  <c r="F7" i="19"/>
  <c r="C7" i="19"/>
  <c r="D14" i="5"/>
  <c r="AB14" i="5"/>
  <c r="Q2" i="14"/>
  <c r="M2" i="14"/>
  <c r="L2" i="14"/>
  <c r="E2" i="14"/>
  <c r="AB2" i="14"/>
  <c r="Y2" i="14"/>
  <c r="AA15" i="14"/>
  <c r="L6" i="16"/>
  <c r="C14" i="16"/>
  <c r="AA2" i="10"/>
  <c r="H2" i="7"/>
  <c r="U14" i="10"/>
  <c r="W15" i="10"/>
  <c r="H6" i="16"/>
  <c r="Z3" i="18"/>
  <c r="H3" i="18"/>
  <c r="E3" i="18"/>
  <c r="D3" i="18"/>
  <c r="Y3" i="18"/>
  <c r="W3" i="18"/>
  <c r="V3" i="18"/>
  <c r="S3" i="18"/>
  <c r="R3" i="18"/>
  <c r="Q3" i="18"/>
  <c r="M3" i="18"/>
  <c r="K3" i="18"/>
  <c r="X7" i="5"/>
  <c r="R15" i="5"/>
  <c r="W17" i="5"/>
  <c r="I6" i="7"/>
  <c r="AB3" i="8"/>
  <c r="Y15" i="9"/>
  <c r="V14" i="10"/>
  <c r="Y15" i="10"/>
  <c r="X15" i="12"/>
  <c r="R15" i="12"/>
  <c r="N15" i="12"/>
  <c r="L15" i="12"/>
  <c r="AA15" i="12"/>
  <c r="C15" i="12"/>
  <c r="V3" i="5"/>
  <c r="Y7" i="5"/>
  <c r="V14" i="5"/>
  <c r="S15" i="5"/>
  <c r="Y17" i="5"/>
  <c r="P14" i="6"/>
  <c r="H17" i="6"/>
  <c r="K2" i="7"/>
  <c r="K6" i="7"/>
  <c r="N7" i="7"/>
  <c r="M8" i="7"/>
  <c r="V12" i="7"/>
  <c r="F15" i="7"/>
  <c r="W2" i="8"/>
  <c r="U13" i="8"/>
  <c r="U14" i="8"/>
  <c r="G3" i="9"/>
  <c r="L7" i="9"/>
  <c r="O12" i="9"/>
  <c r="G14" i="9"/>
  <c r="Z15" i="9"/>
  <c r="Z17" i="9"/>
  <c r="U17" i="9"/>
  <c r="Q17" i="9"/>
  <c r="O17" i="9"/>
  <c r="R6" i="10"/>
  <c r="P13" i="10"/>
  <c r="Y14" i="10"/>
  <c r="Z15" i="10"/>
  <c r="M3" i="11"/>
  <c r="V7" i="11"/>
  <c r="F12" i="11"/>
  <c r="J7" i="12"/>
  <c r="D15" i="12"/>
  <c r="W14" i="13"/>
  <c r="F2" i="14"/>
  <c r="V3" i="14"/>
  <c r="K6" i="14"/>
  <c r="AB15" i="14"/>
  <c r="Q6" i="15"/>
  <c r="V12" i="15"/>
  <c r="K15" i="15"/>
  <c r="I15" i="15"/>
  <c r="G15" i="15"/>
  <c r="C15" i="15"/>
  <c r="AA15" i="15"/>
  <c r="M6" i="16"/>
  <c r="S12" i="17"/>
  <c r="J3" i="18"/>
  <c r="H6" i="7"/>
  <c r="AA3" i="8"/>
  <c r="M15" i="9"/>
  <c r="AB14" i="16"/>
  <c r="Y14" i="16"/>
  <c r="J14" i="16"/>
  <c r="O14" i="5"/>
  <c r="I2" i="7"/>
  <c r="AA17" i="7"/>
  <c r="T13" i="8"/>
  <c r="Z7" i="5"/>
  <c r="W14" i="5"/>
  <c r="T15" i="5"/>
  <c r="J17" i="6"/>
  <c r="L2" i="7"/>
  <c r="W12" i="7"/>
  <c r="Z14" i="7"/>
  <c r="H14" i="7"/>
  <c r="D14" i="7"/>
  <c r="H15" i="7"/>
  <c r="Z2" i="8"/>
  <c r="V13" i="8"/>
  <c r="V14" i="8"/>
  <c r="M7" i="9"/>
  <c r="S12" i="9"/>
  <c r="H14" i="9"/>
  <c r="Z14" i="10"/>
  <c r="AA15" i="10"/>
  <c r="W7" i="11"/>
  <c r="K7" i="12"/>
  <c r="E15" i="12"/>
  <c r="Y14" i="13"/>
  <c r="G2" i="14"/>
  <c r="P3" i="15"/>
  <c r="L3" i="15"/>
  <c r="K3" i="15"/>
  <c r="G3" i="15"/>
  <c r="E3" i="15"/>
  <c r="AA3" i="15"/>
  <c r="Y3" i="15"/>
  <c r="X3" i="15"/>
  <c r="AB2" i="16"/>
  <c r="AA2" i="16"/>
  <c r="Y2" i="16"/>
  <c r="W2" i="16"/>
  <c r="U2" i="16"/>
  <c r="N6" i="16"/>
  <c r="G14" i="16"/>
  <c r="T12" i="17"/>
  <c r="N3" i="18"/>
  <c r="AA6" i="7"/>
  <c r="Z6" i="7"/>
  <c r="W6" i="7"/>
  <c r="R14" i="10"/>
  <c r="Y14" i="5"/>
  <c r="M2" i="7"/>
  <c r="O6" i="7"/>
  <c r="W13" i="8"/>
  <c r="AA14" i="10"/>
  <c r="AB15" i="10"/>
  <c r="S14" i="11"/>
  <c r="C14" i="11"/>
  <c r="W14" i="11"/>
  <c r="U14" i="11"/>
  <c r="K14" i="11"/>
  <c r="Y14" i="14"/>
  <c r="S14" i="14"/>
  <c r="R14" i="14"/>
  <c r="Q6" i="16"/>
  <c r="P3" i="18"/>
  <c r="X15" i="13"/>
  <c r="J15" i="13"/>
  <c r="I15" i="13"/>
  <c r="F15" i="13"/>
  <c r="AB15" i="13"/>
  <c r="D15" i="13"/>
  <c r="T15" i="13"/>
  <c r="Q15" i="13"/>
  <c r="P13" i="15"/>
  <c r="O13" i="15"/>
  <c r="N13" i="15"/>
  <c r="M13" i="15"/>
  <c r="K13" i="15"/>
  <c r="I13" i="15"/>
  <c r="D13" i="15"/>
  <c r="C13" i="15"/>
  <c r="AA13" i="15"/>
  <c r="Z13" i="15"/>
  <c r="T6" i="16"/>
  <c r="X15" i="14"/>
  <c r="V15" i="14"/>
  <c r="U15" i="14"/>
  <c r="R15" i="14"/>
  <c r="P15" i="14"/>
  <c r="K15" i="14"/>
  <c r="J15" i="14"/>
  <c r="G15" i="14"/>
  <c r="X12" i="6"/>
  <c r="Y12" i="6"/>
  <c r="AA14" i="5"/>
  <c r="Z15" i="8"/>
  <c r="G15" i="8"/>
  <c r="AB8" i="11"/>
  <c r="J8" i="11"/>
  <c r="C8" i="11"/>
  <c r="F3" i="12"/>
  <c r="E15" i="13"/>
  <c r="C15" i="14"/>
  <c r="J8" i="15"/>
  <c r="H8" i="15"/>
  <c r="G8" i="15"/>
  <c r="E8" i="15"/>
  <c r="C8" i="15"/>
  <c r="Z8" i="15"/>
  <c r="Y8" i="15"/>
  <c r="W8" i="15"/>
  <c r="T8" i="15"/>
  <c r="F13" i="15"/>
  <c r="U17" i="16"/>
  <c r="R17" i="16"/>
  <c r="J17" i="16"/>
  <c r="G17" i="16"/>
  <c r="C17" i="16"/>
  <c r="AB8" i="18"/>
  <c r="Y12" i="18"/>
  <c r="E15" i="18"/>
  <c r="H2" i="19"/>
  <c r="N6" i="19"/>
  <c r="M8" i="19"/>
  <c r="C12" i="19"/>
  <c r="K13" i="19"/>
  <c r="T14" i="19"/>
  <c r="C8" i="18"/>
  <c r="Z12" i="18"/>
  <c r="J15" i="18"/>
  <c r="M2" i="19"/>
  <c r="O6" i="19"/>
  <c r="N8" i="19"/>
  <c r="E12" i="19"/>
  <c r="L13" i="19"/>
  <c r="U14" i="19"/>
  <c r="D8" i="18"/>
  <c r="K15" i="18"/>
  <c r="N2" i="19"/>
  <c r="R6" i="19"/>
  <c r="O8" i="19"/>
  <c r="F12" i="19"/>
  <c r="M13" i="19"/>
  <c r="V14" i="19"/>
  <c r="M15" i="18"/>
  <c r="O2" i="19"/>
  <c r="W6" i="19"/>
  <c r="P8" i="19"/>
  <c r="G12" i="19"/>
  <c r="O13" i="19"/>
  <c r="AB14" i="19"/>
  <c r="P6" i="13"/>
  <c r="P13" i="13"/>
  <c r="J7" i="14"/>
  <c r="U2" i="15"/>
  <c r="T7" i="15"/>
  <c r="I7" i="16"/>
  <c r="H8" i="17"/>
  <c r="H15" i="17"/>
  <c r="G8" i="18"/>
  <c r="H13" i="18"/>
  <c r="S15" i="18"/>
  <c r="R2" i="19"/>
  <c r="R8" i="19"/>
  <c r="I12" i="19"/>
  <c r="Q13" i="19"/>
  <c r="C15" i="19"/>
  <c r="V2" i="15"/>
  <c r="U7" i="15"/>
  <c r="J7" i="16"/>
  <c r="J8" i="17"/>
  <c r="I15" i="17"/>
  <c r="J8" i="18"/>
  <c r="P13" i="18"/>
  <c r="W15" i="18"/>
  <c r="S2" i="19"/>
  <c r="S8" i="19"/>
  <c r="J12" i="19"/>
  <c r="T13" i="19"/>
  <c r="E15" i="19"/>
  <c r="N8" i="17"/>
  <c r="N15" i="17"/>
  <c r="K8" i="18"/>
  <c r="X15" i="18"/>
  <c r="U2" i="19"/>
  <c r="T8" i="19"/>
  <c r="L12" i="19"/>
  <c r="V13" i="19"/>
  <c r="F15" i="19"/>
  <c r="S13" i="13"/>
  <c r="M7" i="16"/>
  <c r="K15" i="16"/>
  <c r="O8" i="17"/>
  <c r="M8" i="18"/>
  <c r="Y15" i="18"/>
  <c r="V2" i="19"/>
  <c r="V8" i="19"/>
  <c r="P12" i="19"/>
  <c r="W13" i="19"/>
  <c r="G15" i="19"/>
  <c r="AA2" i="15"/>
  <c r="Y7" i="15"/>
  <c r="D14" i="15"/>
  <c r="X15" i="16"/>
  <c r="P8" i="17"/>
  <c r="N8" i="18"/>
  <c r="Z15" i="18"/>
  <c r="W2" i="19"/>
  <c r="W8" i="19"/>
  <c r="Q12" i="19"/>
  <c r="Y13" i="19"/>
  <c r="J15" i="19"/>
  <c r="P7" i="16"/>
  <c r="Q8" i="17"/>
  <c r="O8" i="18"/>
  <c r="L14" i="18"/>
  <c r="AA15" i="18"/>
  <c r="X2" i="19"/>
  <c r="Y8" i="19"/>
  <c r="R12" i="19"/>
  <c r="Z13" i="19"/>
  <c r="L15" i="19"/>
  <c r="C17" i="19"/>
  <c r="P8" i="18"/>
  <c r="Q14" i="18"/>
  <c r="AB15" i="18"/>
  <c r="Z2" i="19"/>
  <c r="Z8" i="19"/>
  <c r="T12" i="19"/>
  <c r="AA13" i="19"/>
  <c r="M15" i="19"/>
  <c r="E17" i="19"/>
  <c r="C13" i="17"/>
  <c r="Q8" i="18"/>
  <c r="AA8" i="19"/>
  <c r="U12" i="19"/>
  <c r="O15" i="19"/>
  <c r="F17" i="19"/>
  <c r="AB8" i="19"/>
  <c r="V12" i="19"/>
  <c r="F14" i="19"/>
  <c r="P15" i="19"/>
  <c r="G17" i="19"/>
  <c r="X13" i="11"/>
  <c r="Z2" i="13"/>
  <c r="H7" i="13"/>
  <c r="R8" i="13"/>
  <c r="Z13" i="13"/>
  <c r="V7" i="14"/>
  <c r="Q13" i="14"/>
  <c r="G2" i="15"/>
  <c r="G7" i="15"/>
  <c r="S3" i="16"/>
  <c r="U7" i="16"/>
  <c r="U8" i="17"/>
  <c r="N13" i="17"/>
  <c r="S8" i="18"/>
  <c r="V14" i="18"/>
  <c r="C8" i="19"/>
  <c r="Y12" i="19"/>
  <c r="G14" i="19"/>
  <c r="Q15" i="19"/>
  <c r="M17" i="19"/>
  <c r="T8" i="18"/>
  <c r="X14" i="18"/>
  <c r="D8" i="19"/>
  <c r="AA12" i="19"/>
  <c r="H14" i="19"/>
  <c r="W15" i="19"/>
  <c r="O17" i="19"/>
  <c r="G3" i="7"/>
  <c r="L7" i="13"/>
  <c r="X7" i="14"/>
  <c r="S13" i="14"/>
  <c r="I2" i="15"/>
  <c r="I7" i="15"/>
  <c r="W3" i="16"/>
  <c r="W8" i="17"/>
  <c r="R13" i="17"/>
  <c r="C7" i="18"/>
  <c r="U8" i="18"/>
  <c r="E8" i="19"/>
  <c r="AB12" i="19"/>
  <c r="J14" i="19"/>
  <c r="Y15" i="19"/>
  <c r="Q17" i="19"/>
  <c r="K14" i="19"/>
  <c r="AA15" i="19"/>
  <c r="R17" i="19"/>
  <c r="Z3" i="16"/>
  <c r="AA8" i="17"/>
  <c r="U13" i="17"/>
  <c r="G7" i="18"/>
  <c r="W8" i="18"/>
  <c r="E6" i="19"/>
  <c r="G8" i="19"/>
  <c r="C13" i="19"/>
  <c r="L14" i="19"/>
  <c r="AB15" i="19"/>
  <c r="V17" i="19"/>
  <c r="AA3" i="16"/>
  <c r="D13" i="16"/>
  <c r="W13" i="17"/>
  <c r="H7" i="18"/>
  <c r="X8" i="18"/>
  <c r="G6" i="19"/>
  <c r="H8" i="19"/>
  <c r="D13" i="19"/>
  <c r="O14" i="19"/>
  <c r="Y17" i="19"/>
  <c r="S7" i="13"/>
  <c r="F13" i="13"/>
  <c r="M2" i="15"/>
  <c r="M7" i="15"/>
  <c r="C2" i="19"/>
  <c r="H6" i="19"/>
  <c r="J8" i="19"/>
  <c r="E13" i="19"/>
  <c r="Q14" i="19"/>
  <c r="AA17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<sst xmlns="http://schemas.openxmlformats.org/spreadsheetml/2006/main" count="3113" uniqueCount="587">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</sst>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151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RI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2.8393747685695015E-2</v>
      </c>
      <c r="C2" s="7">
        <f>$B2 * IFERROR(VLOOKUP("transport|PM25|Premature mortality", US_national_yearly!$D:$AM, 11, FALSE) / VLOOKUP("transport|PM25|Premature mortality", US_national_yearly!$D:$AM, 10, FALSE), 1)</f>
        <v>2.8745767932493289E-2</v>
      </c>
      <c r="D2" s="7">
        <f>$B2 * IFERROR(VLOOKUP("transport|PM25|Premature mortality", US_national_yearly!$D:$AM, 12, FALSE) / VLOOKUP("transport|PM25|Premature mortality", US_national_yearly!$D:$AM, 10, FALSE), 1)</f>
        <v>2.9097788179291557E-2</v>
      </c>
      <c r="E2" s="7">
        <f>$B2 * IFERROR(VLOOKUP("transport|PM25|Premature mortality", US_national_yearly!$D:$AM, 13, FALSE) / VLOOKUP("transport|PM25|Premature mortality", US_national_yearly!$D:$AM, 10, FALSE), 1)</f>
        <v>2.9449808426089828E-2</v>
      </c>
      <c r="F2" s="7">
        <f>$B2 * IFERROR(VLOOKUP("transport|PM25|Premature mortality", US_national_yearly!$D:$AM, 14, FALSE) / VLOOKUP("transport|PM25|Premature mortality", US_national_yearly!$D:$AM, 10, FALSE), 1)</f>
        <v>2.9801828672888095E-2</v>
      </c>
      <c r="G2" s="7">
        <f>$B2 * IFERROR(VLOOKUP("transport|PM25|Premature mortality", US_national_yearly!$D:$AM, 15, FALSE) / VLOOKUP("transport|PM25|Premature mortality", US_national_yearly!$D:$AM, 10, FALSE), 1)</f>
        <v>3.048738544865387E-2</v>
      </c>
      <c r="H2" s="7">
        <f>$B2 * IFERROR(VLOOKUP("transport|PM25|Premature mortality", US_national_yearly!$D:$AM, 16, FALSE) / VLOOKUP("transport|PM25|Premature mortality", US_national_yearly!$D:$AM, 10, FALSE), 1)</f>
        <v>3.1172942224419645E-2</v>
      </c>
      <c r="I2" s="7">
        <f>$B2 * IFERROR(VLOOKUP("transport|PM25|Premature mortality", US_national_yearly!$D:$AM, 17, FALSE) / VLOOKUP("transport|PM25|Premature mortality", US_national_yearly!$D:$AM, 10, FALSE), 1)</f>
        <v>3.1623244773347929E-2</v>
      </c>
      <c r="J2" s="7">
        <f>$B2 * IFERROR(VLOOKUP("transport|PM25|Premature mortality", US_national_yearly!$D:$AM, 18, FALSE) / VLOOKUP("transport|PM25|Premature mortality", US_national_yearly!$D:$AM, 10, FALSE), 1)</f>
        <v>3.2073547322276227E-2</v>
      </c>
      <c r="K2" s="7">
        <f>$B2 * IFERROR(VLOOKUP("transport|PM25|Premature mortality", US_national_yearly!$D:$AM, 19, FALSE) / VLOOKUP("transport|PM25|Premature mortality", US_national_yearly!$D:$AM, 10, FALSE), 1)</f>
        <v>3.2523849871204512E-2</v>
      </c>
      <c r="L2" s="7">
        <f>$B2 * IFERROR(VLOOKUP("transport|PM25|Premature mortality", US_national_yearly!$D:$AM, 20, FALSE) / VLOOKUP("transport|PM25|Premature mortality", US_national_yearly!$D:$AM, 10, FALSE), 1)</f>
        <v>3.297415242013281E-2</v>
      </c>
      <c r="M2" s="7">
        <f>$B2 * IFERROR(VLOOKUP("transport|PM25|Premature mortality", US_national_yearly!$D:$AM, 21, FALSE) / VLOOKUP("transport|PM25|Premature mortality", US_national_yearly!$D:$AM, 10, FALSE), 1)</f>
        <v>3.3424454969061101E-2</v>
      </c>
      <c r="N2" s="7">
        <f>$B2 * IFERROR(VLOOKUP("transport|PM25|Premature mortality", US_national_yearly!$D:$AM, 22, FALSE) / VLOOKUP("transport|PM25|Premature mortality", US_national_yearly!$D:$AM, 10, FALSE), 1)</f>
        <v>3.3774086239230748E-2</v>
      </c>
      <c r="O2" s="7">
        <f>$B2 * IFERROR(VLOOKUP("transport|PM25|Premature mortality", US_national_yearly!$D:$AM, 23, FALSE) / VLOOKUP("transport|PM25|Premature mortality", US_national_yearly!$D:$AM, 10, FALSE), 1)</f>
        <v>3.4123717509400395E-2</v>
      </c>
      <c r="P2" s="7">
        <f>$B2 * IFERROR(VLOOKUP("transport|PM25|Premature mortality", US_national_yearly!$D:$AM, 24, FALSE) / VLOOKUP("transport|PM25|Premature mortality", US_national_yearly!$D:$AM, 10, FALSE), 1)</f>
        <v>3.4473348779570041E-2</v>
      </c>
      <c r="Q2" s="7">
        <f>$B2 * IFERROR(VLOOKUP("transport|PM25|Premature mortality", US_national_yearly!$D:$AM, 25, FALSE) / VLOOKUP("transport|PM25|Premature mortality", US_national_yearly!$D:$AM, 10, FALSE), 1)</f>
        <v>3.4822980049739688E-2</v>
      </c>
      <c r="R2" s="7">
        <f>$B2 * IFERROR(VLOOKUP("transport|PM25|Premature mortality", US_national_yearly!$D:$AM, 26, FALSE) / VLOOKUP("transport|PM25|Premature mortality", US_national_yearly!$D:$AM, 10, FALSE), 1)</f>
        <v>3.5172611319909342E-2</v>
      </c>
      <c r="S2" s="7">
        <f>$B2 * IFERROR(VLOOKUP("transport|PM25|Premature mortality", US_national_yearly!$D:$AM, 27, FALSE) / VLOOKUP("transport|PM25|Premature mortality", US_national_yearly!$D:$AM, 10, FALSE), 1)</f>
        <v>3.5357835578953951E-2</v>
      </c>
      <c r="T2" s="7">
        <f>$B2 * IFERROR(VLOOKUP("transport|PM25|Premature mortality", US_national_yearly!$D:$AM, 28, FALSE) / VLOOKUP("transport|PM25|Premature mortality", US_national_yearly!$D:$AM, 10, FALSE), 1)</f>
        <v>3.5543059837998554E-2</v>
      </c>
      <c r="U2" s="7">
        <f>$B2 * IFERROR(VLOOKUP("transport|PM25|Premature mortality", US_national_yearly!$D:$AM, 29, FALSE) / VLOOKUP("transport|PM25|Premature mortality", US_national_yearly!$D:$AM, 10, FALSE), 1)</f>
        <v>3.572828409704315E-2</v>
      </c>
      <c r="V2" s="7">
        <f>$B2 * IFERROR(VLOOKUP("transport|PM25|Premature mortality", US_national_yearly!$D:$AM, 30, FALSE) / VLOOKUP("transport|PM25|Premature mortality", US_national_yearly!$D:$AM, 10, FALSE), 1)</f>
        <v>3.5913508356087753E-2</v>
      </c>
      <c r="W2" s="7">
        <f>$B2 * IFERROR(VLOOKUP("transport|PM25|Premature mortality", US_national_yearly!$D:$AM, 31, FALSE) / VLOOKUP("transport|PM25|Premature mortality", US_national_yearly!$D:$AM, 10, FALSE), 1)</f>
        <v>3.6098732615132356E-2</v>
      </c>
      <c r="X2" s="7">
        <f>$B2 * IFERROR(VLOOKUP("transport|PM25|Premature mortality", US_national_yearly!$D:$AM, 32, FALSE) / VLOOKUP("transport|PM25|Premature mortality", US_national_yearly!$D:$AM, 10, FALSE), 1)</f>
        <v>3.6131120509635205E-2</v>
      </c>
      <c r="Y2" s="7">
        <f>$B2 * IFERROR(VLOOKUP("transport|PM25|Premature mortality", US_national_yearly!$D:$AM, 33, FALSE) / VLOOKUP("transport|PM25|Premature mortality", US_national_yearly!$D:$AM, 10, FALSE), 1)</f>
        <v>3.616350840413806E-2</v>
      </c>
      <c r="Z2" s="7">
        <f>$B2 * IFERROR(VLOOKUP("transport|PM25|Premature mortality", US_national_yearly!$D:$AM, 34, FALSE) / VLOOKUP("transport|PM25|Premature mortality", US_national_yearly!$D:$AM, 10, FALSE), 1)</f>
        <v>3.6195896298640909E-2</v>
      </c>
      <c r="AA2" s="7">
        <f>$B2 * IFERROR(VLOOKUP("transport|PM25|Premature mortality", US_national_yearly!$D:$AM, 35, FALSE) / VLOOKUP("transport|PM25|Premature mortality", US_national_yearly!$D:$AM, 10, FALSE), 1)</f>
        <v>3.6228284193143764E-2</v>
      </c>
      <c r="AB2" s="7">
        <f>$B2 * IFERROR(VLOOKUP("transport|PM25|Premature mortality", US_national_yearly!$D:$AM, 36, FALSE) / VLOOKUP("transport|PM25|Premature mortality", US_national_yearly!$D:$AM, 10, FALSE), 1)</f>
        <v>3.6260672087646613E-2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5.3714506379494571E-5</v>
      </c>
      <c r="C3" s="7">
        <f>$B3 * IFERROR(VLOOKUP("transport|PM25|Infant mortality", US_national_yearly!$D:$AM, 11, FALSE) / VLOOKUP("transport|PM25|Infant mortality", US_national_yearly!$D:$AM, 10, FALSE), 1)</f>
        <v>5.3246164898701822E-5</v>
      </c>
      <c r="D3" s="7">
        <f>$B3 * IFERROR(VLOOKUP("transport|PM25|Infant mortality", US_national_yearly!$D:$AM, 12, FALSE) / VLOOKUP("transport|PM25|Infant mortality", US_national_yearly!$D:$AM, 10, FALSE), 1)</f>
        <v>5.2777823417909059E-5</v>
      </c>
      <c r="E3" s="7">
        <f>$B3 * IFERROR(VLOOKUP("transport|PM25|Infant mortality", US_national_yearly!$D:$AM, 13, FALSE) / VLOOKUP("transport|PM25|Infant mortality", US_national_yearly!$D:$AM, 10, FALSE), 1)</f>
        <v>5.230948193711631E-5</v>
      </c>
      <c r="F3" s="7">
        <f>$B3 * IFERROR(VLOOKUP("transport|PM25|Infant mortality", US_national_yearly!$D:$AM, 14, FALSE) / VLOOKUP("transport|PM25|Infant mortality", US_national_yearly!$D:$AM, 10, FALSE), 1)</f>
        <v>5.1841140456323547E-5</v>
      </c>
      <c r="G3" s="7">
        <f>$B3 * IFERROR(VLOOKUP("transport|PM25|Infant mortality", US_national_yearly!$D:$AM, 15, FALSE) / VLOOKUP("transport|PM25|Infant mortality", US_national_yearly!$D:$AM, 10, FALSE), 1)</f>
        <v>3.4477131487463789E-5</v>
      </c>
      <c r="H3" s="7">
        <f>$B3 * IFERROR(VLOOKUP("transport|PM25|Infant mortality", US_national_yearly!$D:$AM, 16, FALSE) / VLOOKUP("transport|PM25|Infant mortality", US_national_yearly!$D:$AM, 10, FALSE), 1)</f>
        <v>1.711312251860402E-5</v>
      </c>
      <c r="I3" s="7">
        <f>$B3 * IFERROR(VLOOKUP("transport|PM25|Infant mortality", US_national_yearly!$D:$AM, 17, FALSE) / VLOOKUP("transport|PM25|Infant mortality", US_national_yearly!$D:$AM, 10, FALSE), 1)</f>
        <v>1.7001259994587517E-5</v>
      </c>
      <c r="J3" s="7">
        <f>$B3 * IFERROR(VLOOKUP("transport|PM25|Infant mortality", US_national_yearly!$D:$AM, 18, FALSE) / VLOOKUP("transport|PM25|Infant mortality", US_national_yearly!$D:$AM, 10, FALSE), 1)</f>
        <v>1.688939747057101E-5</v>
      </c>
      <c r="K3" s="7">
        <f>$B3 * IFERROR(VLOOKUP("transport|PM25|Infant mortality", US_national_yearly!$D:$AM, 19, FALSE) / VLOOKUP("transport|PM25|Infant mortality", US_national_yearly!$D:$AM, 10, FALSE), 1)</f>
        <v>1.6777534946554504E-5</v>
      </c>
      <c r="L3" s="7">
        <f>$B3 * IFERROR(VLOOKUP("transport|PM25|Infant mortality", US_national_yearly!$D:$AM, 20, FALSE) / VLOOKUP("transport|PM25|Infant mortality", US_national_yearly!$D:$AM, 10, FALSE), 1)</f>
        <v>1.6665672422538E-5</v>
      </c>
      <c r="M3" s="7">
        <f>$B3 * IFERROR(VLOOKUP("transport|PM25|Infant mortality", US_national_yearly!$D:$AM, 21, FALSE) / VLOOKUP("transport|PM25|Infant mortality", US_national_yearly!$D:$AM, 10, FALSE), 1)</f>
        <v>1.6553809898521497E-5</v>
      </c>
      <c r="N3" s="7">
        <f>$B3 * IFERROR(VLOOKUP("transport|PM25|Infant mortality", US_national_yearly!$D:$AM, 22, FALSE) / VLOOKUP("transport|PM25|Infant mortality", US_national_yearly!$D:$AM, 10, FALSE), 1)</f>
        <v>1.6483547849048209E-5</v>
      </c>
      <c r="O3" s="7">
        <f>$B3 * IFERROR(VLOOKUP("transport|PM25|Infant mortality", US_national_yearly!$D:$AM, 23, FALSE) / VLOOKUP("transport|PM25|Infant mortality", US_national_yearly!$D:$AM, 10, FALSE), 1)</f>
        <v>1.6413285799574921E-5</v>
      </c>
      <c r="P3" s="7">
        <f>$B3 * IFERROR(VLOOKUP("transport|PM25|Infant mortality", US_national_yearly!$D:$AM, 24, FALSE) / VLOOKUP("transport|PM25|Infant mortality", US_national_yearly!$D:$AM, 10, FALSE), 1)</f>
        <v>1.634302375010163E-5</v>
      </c>
      <c r="Q3" s="7">
        <f>$B3 * IFERROR(VLOOKUP("transport|PM25|Infant mortality", US_national_yearly!$D:$AM, 25, FALSE) / VLOOKUP("transport|PM25|Infant mortality", US_national_yearly!$D:$AM, 10, FALSE), 1)</f>
        <v>1.6272761700628342E-5</v>
      </c>
      <c r="R3" s="7">
        <f>$B3 * IFERROR(VLOOKUP("transport|PM25|Infant mortality", US_national_yearly!$D:$AM, 26, FALSE) / VLOOKUP("transport|PM25|Infant mortality", US_national_yearly!$D:$AM, 10, FALSE), 1)</f>
        <v>1.6202499651155054E-5</v>
      </c>
      <c r="S3" s="7">
        <f>$B3 * IFERROR(VLOOKUP("transport|PM25|Infant mortality", US_national_yearly!$D:$AM, 27, FALSE) / VLOOKUP("transport|PM25|Infant mortality", US_national_yearly!$D:$AM, 10, FALSE), 1)</f>
        <v>1.6114916569866675E-5</v>
      </c>
      <c r="T3" s="7">
        <f>$B3 * IFERROR(VLOOKUP("transport|PM25|Infant mortality", US_national_yearly!$D:$AM, 28, FALSE) / VLOOKUP("transport|PM25|Infant mortality", US_national_yearly!$D:$AM, 10, FALSE), 1)</f>
        <v>1.6027333488578292E-5</v>
      </c>
      <c r="U3" s="7">
        <f>$B3 * IFERROR(VLOOKUP("transport|PM25|Infant mortality", US_national_yearly!$D:$AM, 29, FALSE) / VLOOKUP("transport|PM25|Infant mortality", US_national_yearly!$D:$AM, 10, FALSE), 1)</f>
        <v>1.5939750407289914E-5</v>
      </c>
      <c r="V3" s="7">
        <f>$B3 * IFERROR(VLOOKUP("transport|PM25|Infant mortality", US_national_yearly!$D:$AM, 30, FALSE) / VLOOKUP("transport|PM25|Infant mortality", US_national_yearly!$D:$AM, 10, FALSE), 1)</f>
        <v>1.5852167326001535E-5</v>
      </c>
      <c r="W3" s="7">
        <f>$B3 * IFERROR(VLOOKUP("transport|PM25|Infant mortality", US_national_yearly!$D:$AM, 31, FALSE) / VLOOKUP("transport|PM25|Infant mortality", US_national_yearly!$D:$AM, 10, FALSE), 1)</f>
        <v>1.5764584244713152E-5</v>
      </c>
      <c r="X3" s="7">
        <f>$B3 * IFERROR(VLOOKUP("transport|PM25|Infant mortality", US_national_yearly!$D:$AM, 32, FALSE) / VLOOKUP("transport|PM25|Infant mortality", US_national_yearly!$D:$AM, 10, FALSE), 1)</f>
        <v>1.5670158675045838E-5</v>
      </c>
      <c r="Y3" s="7">
        <f>$B3 * IFERROR(VLOOKUP("transport|PM25|Infant mortality", US_national_yearly!$D:$AM, 33, FALSE) / VLOOKUP("transport|PM25|Infant mortality", US_national_yearly!$D:$AM, 10, FALSE), 1)</f>
        <v>1.5575733105378516E-5</v>
      </c>
      <c r="Z3" s="7">
        <f>$B3 * IFERROR(VLOOKUP("transport|PM25|Infant mortality", US_national_yearly!$D:$AM, 34, FALSE) / VLOOKUP("transport|PM25|Infant mortality", US_national_yearly!$D:$AM, 10, FALSE), 1)</f>
        <v>1.5481307535711201E-5</v>
      </c>
      <c r="AA3" s="7">
        <f>$B3 * IFERROR(VLOOKUP("transport|PM25|Infant mortality", US_national_yearly!$D:$AM, 35, FALSE) / VLOOKUP("transport|PM25|Infant mortality", US_national_yearly!$D:$AM, 10, FALSE), 1)</f>
        <v>1.5386881966043886E-5</v>
      </c>
      <c r="AB3" s="7">
        <f>$B3 * IFERROR(VLOOKUP("transport|PM25|Infant mortality", US_national_yearly!$D:$AM, 36, FALSE) / VLOOKUP("transport|PM25|Infant mortality", US_national_yearly!$D:$AM, 10, FALSE), 1)</f>
        <v>1.5292456396376572E-5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5.8537078288512116E-2</v>
      </c>
      <c r="C6" s="7">
        <f>$B6 * IFERROR(VLOOKUP("transport|PM25|Asthma symptoms cough", US_national_yearly!$D:$AM, 11, FALSE) / VLOOKUP("transport|PM25|Asthma symptoms cough", US_national_yearly!$D:$AM, 10, FALSE), 1)</f>
        <v>5.8537078288512116E-2</v>
      </c>
      <c r="D6" s="7">
        <f>$B6 * IFERROR(VLOOKUP("transport|PM25|Asthma symptoms cough", US_national_yearly!$D:$AM, 12, FALSE) / VLOOKUP("transport|PM25|Asthma symptoms cough", US_national_yearly!$D:$AM, 10, FALSE), 1)</f>
        <v>5.8537078288512116E-2</v>
      </c>
      <c r="E6" s="7">
        <f>$B6 * IFERROR(VLOOKUP("transport|PM25|Asthma symptoms cough", US_national_yearly!$D:$AM, 13, FALSE) / VLOOKUP("transport|PM25|Asthma symptoms cough", US_national_yearly!$D:$AM, 10, FALSE), 1)</f>
        <v>5.8537078288512116E-2</v>
      </c>
      <c r="F6" s="7">
        <f>$B6 * IFERROR(VLOOKUP("transport|PM25|Asthma symptoms cough", US_national_yearly!$D:$AM, 14, FALSE) / VLOOKUP("transport|PM25|Asthma symptoms cough", US_national_yearly!$D:$AM, 10, FALSE), 1)</f>
        <v>5.8537078288512116E-2</v>
      </c>
      <c r="G6" s="7">
        <f>$B6 * IFERROR(VLOOKUP("transport|PM25|Asthma symptoms cough", US_national_yearly!$D:$AM, 15, FALSE) / VLOOKUP("transport|PM25|Asthma symptoms cough", US_national_yearly!$D:$AM, 10, FALSE), 1)</f>
        <v>5.8537078288512116E-2</v>
      </c>
      <c r="H6" s="7">
        <f>$B6 * IFERROR(VLOOKUP("transport|PM25|Asthma symptoms cough", US_national_yearly!$D:$AM, 16, FALSE) / VLOOKUP("transport|PM25|Asthma symptoms cough", US_national_yearly!$D:$AM, 10, FALSE), 1)</f>
        <v>5.8537078288512116E-2</v>
      </c>
      <c r="I6" s="7">
        <f>$B6 * IFERROR(VLOOKUP("transport|PM25|Asthma symptoms cough", US_national_yearly!$D:$AM, 17, FALSE) / VLOOKUP("transport|PM25|Asthma symptoms cough", US_national_yearly!$D:$AM, 10, FALSE), 1)</f>
        <v>5.8537078288512116E-2</v>
      </c>
      <c r="J6" s="7">
        <f>$B6 * IFERROR(VLOOKUP("transport|PM25|Asthma symptoms cough", US_national_yearly!$D:$AM, 18, FALSE) / VLOOKUP("transport|PM25|Asthma symptoms cough", US_national_yearly!$D:$AM, 10, FALSE), 1)</f>
        <v>5.8537078288512116E-2</v>
      </c>
      <c r="K6" s="7">
        <f>$B6 * IFERROR(VLOOKUP("transport|PM25|Asthma symptoms cough", US_national_yearly!$D:$AM, 19, FALSE) / VLOOKUP("transport|PM25|Asthma symptoms cough", US_national_yearly!$D:$AM, 10, FALSE), 1)</f>
        <v>5.8537078288512116E-2</v>
      </c>
      <c r="L6" s="7">
        <f>$B6 * IFERROR(VLOOKUP("transport|PM25|Asthma symptoms cough", US_national_yearly!$D:$AM, 20, FALSE) / VLOOKUP("transport|PM25|Asthma symptoms cough", US_national_yearly!$D:$AM, 10, FALSE), 1)</f>
        <v>5.8537078288512116E-2</v>
      </c>
      <c r="M6" s="7">
        <f>$B6 * IFERROR(VLOOKUP("transport|PM25|Asthma symptoms cough", US_national_yearly!$D:$AM, 21, FALSE) / VLOOKUP("transport|PM25|Asthma symptoms cough", US_national_yearly!$D:$AM, 10, FALSE), 1)</f>
        <v>5.8537078288512116E-2</v>
      </c>
      <c r="N6" s="7">
        <f>$B6 * IFERROR(VLOOKUP("transport|PM25|Asthma symptoms cough", US_national_yearly!$D:$AM, 22, FALSE) / VLOOKUP("transport|PM25|Asthma symptoms cough", US_national_yearly!$D:$AM, 10, FALSE), 1)</f>
        <v>5.8537078288512116E-2</v>
      </c>
      <c r="O6" s="7">
        <f>$B6 * IFERROR(VLOOKUP("transport|PM25|Asthma symptoms cough", US_national_yearly!$D:$AM, 23, FALSE) / VLOOKUP("transport|PM25|Asthma symptoms cough", US_national_yearly!$D:$AM, 10, FALSE), 1)</f>
        <v>5.8537078288512116E-2</v>
      </c>
      <c r="P6" s="7">
        <f>$B6 * IFERROR(VLOOKUP("transport|PM25|Asthma symptoms cough", US_national_yearly!$D:$AM, 24, FALSE) / VLOOKUP("transport|PM25|Asthma symptoms cough", US_national_yearly!$D:$AM, 10, FALSE), 1)</f>
        <v>5.8537078288512116E-2</v>
      </c>
      <c r="Q6" s="7">
        <f>$B6 * IFERROR(VLOOKUP("transport|PM25|Asthma symptoms cough", US_national_yearly!$D:$AM, 25, FALSE) / VLOOKUP("transport|PM25|Asthma symptoms cough", US_national_yearly!$D:$AM, 10, FALSE), 1)</f>
        <v>5.8537078288512116E-2</v>
      </c>
      <c r="R6" s="7">
        <f>$B6 * IFERROR(VLOOKUP("transport|PM25|Asthma symptoms cough", US_national_yearly!$D:$AM, 26, FALSE) / VLOOKUP("transport|PM25|Asthma symptoms cough", US_national_yearly!$D:$AM, 10, FALSE), 1)</f>
        <v>5.8537078288512116E-2</v>
      </c>
      <c r="S6" s="7">
        <f>$B6 * IFERROR(VLOOKUP("transport|PM25|Asthma symptoms cough", US_national_yearly!$D:$AM, 27, FALSE) / VLOOKUP("transport|PM25|Asthma symptoms cough", US_national_yearly!$D:$AM, 10, FALSE), 1)</f>
        <v>5.8537078288512116E-2</v>
      </c>
      <c r="T6" s="7">
        <f>$B6 * IFERROR(VLOOKUP("transport|PM25|Asthma symptoms cough", US_national_yearly!$D:$AM, 28, FALSE) / VLOOKUP("transport|PM25|Asthma symptoms cough", US_national_yearly!$D:$AM, 10, FALSE), 1)</f>
        <v>5.8537078288512116E-2</v>
      </c>
      <c r="U6" s="7">
        <f>$B6 * IFERROR(VLOOKUP("transport|PM25|Asthma symptoms cough", US_national_yearly!$D:$AM, 29, FALSE) / VLOOKUP("transport|PM25|Asthma symptoms cough", US_national_yearly!$D:$AM, 10, FALSE), 1)</f>
        <v>5.8537078288512116E-2</v>
      </c>
      <c r="V6" s="7">
        <f>$B6 * IFERROR(VLOOKUP("transport|PM25|Asthma symptoms cough", US_national_yearly!$D:$AM, 30, FALSE) / VLOOKUP("transport|PM25|Asthma symptoms cough", US_national_yearly!$D:$AM, 10, FALSE), 1)</f>
        <v>5.8537078288512116E-2</v>
      </c>
      <c r="W6" s="7">
        <f>$B6 * IFERROR(VLOOKUP("transport|PM25|Asthma symptoms cough", US_national_yearly!$D:$AM, 31, FALSE) / VLOOKUP("transport|PM25|Asthma symptoms cough", US_national_yearly!$D:$AM, 10, FALSE), 1)</f>
        <v>5.8537078288512116E-2</v>
      </c>
      <c r="X6" s="7">
        <f>$B6 * IFERROR(VLOOKUP("transport|PM25|Asthma symptoms cough", US_national_yearly!$D:$AM, 32, FALSE) / VLOOKUP("transport|PM25|Asthma symptoms cough", US_national_yearly!$D:$AM, 10, FALSE), 1)</f>
        <v>5.8537078288512116E-2</v>
      </c>
      <c r="Y6" s="7">
        <f>$B6 * IFERROR(VLOOKUP("transport|PM25|Asthma symptoms cough", US_national_yearly!$D:$AM, 33, FALSE) / VLOOKUP("transport|PM25|Asthma symptoms cough", US_national_yearly!$D:$AM, 10, FALSE), 1)</f>
        <v>5.8537078288512116E-2</v>
      </c>
      <c r="Z6" s="7">
        <f>$B6 * IFERROR(VLOOKUP("transport|PM25|Asthma symptoms cough", US_national_yearly!$D:$AM, 34, FALSE) / VLOOKUP("transport|PM25|Asthma symptoms cough", US_national_yearly!$D:$AM, 10, FALSE), 1)</f>
        <v>5.8537078288512116E-2</v>
      </c>
      <c r="AA6" s="7">
        <f>$B6 * IFERROR(VLOOKUP("transport|PM25|Asthma symptoms cough", US_national_yearly!$D:$AM, 35, FALSE) / VLOOKUP("transport|PM25|Asthma symptoms cough", US_national_yearly!$D:$AM, 10, FALSE), 1)</f>
        <v>5.8537078288512116E-2</v>
      </c>
      <c r="AB6" s="7">
        <f>$B6 * IFERROR(VLOOKUP("transport|PM25|Asthma symptoms cough", US_national_yearly!$D:$AM, 36, FALSE) / VLOOKUP("transport|PM25|Asthma symptoms cough", US_national_yearly!$D:$AM, 10, FALSE), 1)</f>
        <v>5.8537078288512116E-2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7.8827844556958224E-2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7.8827844556958224E-2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7.8827844556958224E-2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7.8827844556958224E-2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7.8827844556958224E-2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7.8827844556958224E-2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7.8827844556958224E-2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7.8827844556958224E-2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7.8827844556958224E-2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7.8827844556958224E-2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7.8827844556958224E-2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7.8827844556958224E-2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7.8827844556958224E-2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7.8827844556958224E-2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7.8827844556958224E-2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7.8827844556958224E-2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7.8827844556958224E-2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7.8827844556958224E-2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7.8827844556958224E-2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7.8827844556958224E-2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7.8827844556958224E-2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7.8827844556958224E-2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7.8827844556958224E-2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7.8827844556958224E-2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7.8827844556958224E-2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7.8827844556958224E-2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7.8827844556958224E-2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0.120438530641652</v>
      </c>
      <c r="C8" s="7">
        <f>$B8 * IFERROR(VLOOKUP("transport|PM25|Asthma symptoms wheeze", US_national_yearly!$D:$AM, 11, FALSE) / VLOOKUP("transport|PM25|Asthma symptoms wheeze", US_national_yearly!$D:$AM, 10, FALSE), 1)</f>
        <v>0.120438530641652</v>
      </c>
      <c r="D8" s="7">
        <f>$B8 * IFERROR(VLOOKUP("transport|PM25|Asthma symptoms wheeze", US_national_yearly!$D:$AM, 12, FALSE) / VLOOKUP("transport|PM25|Asthma symptoms wheeze", US_national_yearly!$D:$AM, 10, FALSE), 1)</f>
        <v>0.120438530641652</v>
      </c>
      <c r="E8" s="7">
        <f>$B8 * IFERROR(VLOOKUP("transport|PM25|Asthma symptoms wheeze", US_national_yearly!$D:$AM, 13, FALSE) / VLOOKUP("transport|PM25|Asthma symptoms wheeze", US_national_yearly!$D:$AM, 10, FALSE), 1)</f>
        <v>0.120438530641652</v>
      </c>
      <c r="F8" s="7">
        <f>$B8 * IFERROR(VLOOKUP("transport|PM25|Asthma symptoms wheeze", US_national_yearly!$D:$AM, 14, FALSE) / VLOOKUP("transport|PM25|Asthma symptoms wheeze", US_national_yearly!$D:$AM, 10, FALSE), 1)</f>
        <v>0.120438530641652</v>
      </c>
      <c r="G8" s="7">
        <f>$B8 * IFERROR(VLOOKUP("transport|PM25|Asthma symptoms wheeze", US_national_yearly!$D:$AM, 15, FALSE) / VLOOKUP("transport|PM25|Asthma symptoms wheeze", US_national_yearly!$D:$AM, 10, FALSE), 1)</f>
        <v>0.120438530641652</v>
      </c>
      <c r="H8" s="7">
        <f>$B8 * IFERROR(VLOOKUP("transport|PM25|Asthma symptoms wheeze", US_national_yearly!$D:$AM, 16, FALSE) / VLOOKUP("transport|PM25|Asthma symptoms wheeze", US_national_yearly!$D:$AM, 10, FALSE), 1)</f>
        <v>0.120438530641652</v>
      </c>
      <c r="I8" s="7">
        <f>$B8 * IFERROR(VLOOKUP("transport|PM25|Asthma symptoms wheeze", US_national_yearly!$D:$AM, 17, FALSE) / VLOOKUP("transport|PM25|Asthma symptoms wheeze", US_national_yearly!$D:$AM, 10, FALSE), 1)</f>
        <v>0.120438530641652</v>
      </c>
      <c r="J8" s="7">
        <f>$B8 * IFERROR(VLOOKUP("transport|PM25|Asthma symptoms wheeze", US_national_yearly!$D:$AM, 18, FALSE) / VLOOKUP("transport|PM25|Asthma symptoms wheeze", US_national_yearly!$D:$AM, 10, FALSE), 1)</f>
        <v>0.120438530641652</v>
      </c>
      <c r="K8" s="7">
        <f>$B8 * IFERROR(VLOOKUP("transport|PM25|Asthma symptoms wheeze", US_national_yearly!$D:$AM, 19, FALSE) / VLOOKUP("transport|PM25|Asthma symptoms wheeze", US_national_yearly!$D:$AM, 10, FALSE), 1)</f>
        <v>0.120438530641652</v>
      </c>
      <c r="L8" s="7">
        <f>$B8 * IFERROR(VLOOKUP("transport|PM25|Asthma symptoms wheeze", US_national_yearly!$D:$AM, 20, FALSE) / VLOOKUP("transport|PM25|Asthma symptoms wheeze", US_national_yearly!$D:$AM, 10, FALSE), 1)</f>
        <v>0.120438530641652</v>
      </c>
      <c r="M8" s="7">
        <f>$B8 * IFERROR(VLOOKUP("transport|PM25|Asthma symptoms wheeze", US_national_yearly!$D:$AM, 21, FALSE) / VLOOKUP("transport|PM25|Asthma symptoms wheeze", US_national_yearly!$D:$AM, 10, FALSE), 1)</f>
        <v>0.120438530641652</v>
      </c>
      <c r="N8" s="7">
        <f>$B8 * IFERROR(VLOOKUP("transport|PM25|Asthma symptoms wheeze", US_national_yearly!$D:$AM, 22, FALSE) / VLOOKUP("transport|PM25|Asthma symptoms wheeze", US_national_yearly!$D:$AM, 10, FALSE), 1)</f>
        <v>0.120438530641652</v>
      </c>
      <c r="O8" s="7">
        <f>$B8 * IFERROR(VLOOKUP("transport|PM25|Asthma symptoms wheeze", US_national_yearly!$D:$AM, 23, FALSE) / VLOOKUP("transport|PM25|Asthma symptoms wheeze", US_national_yearly!$D:$AM, 10, FALSE), 1)</f>
        <v>0.120438530641652</v>
      </c>
      <c r="P8" s="7">
        <f>$B8 * IFERROR(VLOOKUP("transport|PM25|Asthma symptoms wheeze", US_national_yearly!$D:$AM, 24, FALSE) / VLOOKUP("transport|PM25|Asthma symptoms wheeze", US_national_yearly!$D:$AM, 10, FALSE), 1)</f>
        <v>0.120438530641652</v>
      </c>
      <c r="Q8" s="7">
        <f>$B8 * IFERROR(VLOOKUP("transport|PM25|Asthma symptoms wheeze", US_national_yearly!$D:$AM, 25, FALSE) / VLOOKUP("transport|PM25|Asthma symptoms wheeze", US_national_yearly!$D:$AM, 10, FALSE), 1)</f>
        <v>0.120438530641652</v>
      </c>
      <c r="R8" s="7">
        <f>$B8 * IFERROR(VLOOKUP("transport|PM25|Asthma symptoms wheeze", US_national_yearly!$D:$AM, 26, FALSE) / VLOOKUP("transport|PM25|Asthma symptoms wheeze", US_national_yearly!$D:$AM, 10, FALSE), 1)</f>
        <v>0.120438530641652</v>
      </c>
      <c r="S8" s="7">
        <f>$B8 * IFERROR(VLOOKUP("transport|PM25|Asthma symptoms wheeze", US_national_yearly!$D:$AM, 27, FALSE) / VLOOKUP("transport|PM25|Asthma symptoms wheeze", US_national_yearly!$D:$AM, 10, FALSE), 1)</f>
        <v>0.120438530641652</v>
      </c>
      <c r="T8" s="7">
        <f>$B8 * IFERROR(VLOOKUP("transport|PM25|Asthma symptoms wheeze", US_national_yearly!$D:$AM, 28, FALSE) / VLOOKUP("transport|PM25|Asthma symptoms wheeze", US_national_yearly!$D:$AM, 10, FALSE), 1)</f>
        <v>0.120438530641652</v>
      </c>
      <c r="U8" s="7">
        <f>$B8 * IFERROR(VLOOKUP("transport|PM25|Asthma symptoms wheeze", US_national_yearly!$D:$AM, 29, FALSE) / VLOOKUP("transport|PM25|Asthma symptoms wheeze", US_national_yearly!$D:$AM, 10, FALSE), 1)</f>
        <v>0.120438530641652</v>
      </c>
      <c r="V8" s="7">
        <f>$B8 * IFERROR(VLOOKUP("transport|PM25|Asthma symptoms wheeze", US_national_yearly!$D:$AM, 30, FALSE) / VLOOKUP("transport|PM25|Asthma symptoms wheeze", US_national_yearly!$D:$AM, 10, FALSE), 1)</f>
        <v>0.120438530641652</v>
      </c>
      <c r="W8" s="7">
        <f>$B8 * IFERROR(VLOOKUP("transport|PM25|Asthma symptoms wheeze", US_national_yearly!$D:$AM, 31, FALSE) / VLOOKUP("transport|PM25|Asthma symptoms wheeze", US_national_yearly!$D:$AM, 10, FALSE), 1)</f>
        <v>0.120438530641652</v>
      </c>
      <c r="X8" s="7">
        <f>$B8 * IFERROR(VLOOKUP("transport|PM25|Asthma symptoms wheeze", US_national_yearly!$D:$AM, 32, FALSE) / VLOOKUP("transport|PM25|Asthma symptoms wheeze", US_national_yearly!$D:$AM, 10, FALSE), 1)</f>
        <v>0.120438530641652</v>
      </c>
      <c r="Y8" s="7">
        <f>$B8 * IFERROR(VLOOKUP("transport|PM25|Asthma symptoms wheeze", US_national_yearly!$D:$AM, 33, FALSE) / VLOOKUP("transport|PM25|Asthma symptoms wheeze", US_national_yearly!$D:$AM, 10, FALSE), 1)</f>
        <v>0.120438530641652</v>
      </c>
      <c r="Z8" s="7">
        <f>$B8 * IFERROR(VLOOKUP("transport|PM25|Asthma symptoms wheeze", US_national_yearly!$D:$AM, 34, FALSE) / VLOOKUP("transport|PM25|Asthma symptoms wheeze", US_national_yearly!$D:$AM, 10, FALSE), 1)</f>
        <v>0.120438530641652</v>
      </c>
      <c r="AA8" s="7">
        <f>$B8 * IFERROR(VLOOKUP("transport|PM25|Asthma symptoms wheeze", US_national_yearly!$D:$AM, 35, FALSE) / VLOOKUP("transport|PM25|Asthma symptoms wheeze", US_national_yearly!$D:$AM, 10, FALSE), 1)</f>
        <v>0.120438530641652</v>
      </c>
      <c r="AB8" s="7">
        <f>$B8 * IFERROR(VLOOKUP("transport|PM25|Asthma symptoms wheeze", US_national_yearly!$D:$AM, 36, FALSE) / VLOOKUP("transport|PM25|Asthma symptoms wheeze", US_national_yearly!$D:$AM, 10, FALSE), 1)</f>
        <v>0.120438530641652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2.0898631990969303E-3</v>
      </c>
      <c r="C12" s="7">
        <f>$B12 * IFERROR(VLOOKUP("transport|PM25|Respiratory hospital admissions", US_national_yearly!$D:$AM, 11, FALSE) / VLOOKUP("transport|PM25|Respiratory hospital admissions", US_national_yearly!$D:$AM, 10, FALSE), 1)</f>
        <v>2.1018414526202621E-3</v>
      </c>
      <c r="D12" s="7">
        <f>$B12 * IFERROR(VLOOKUP("transport|PM25|Respiratory hospital admissions", US_national_yearly!$D:$AM, 12, FALSE) / VLOOKUP("transport|PM25|Respiratory hospital admissions", US_national_yearly!$D:$AM, 10, FALSE), 1)</f>
        <v>2.1138197061435931E-3</v>
      </c>
      <c r="E12" s="7">
        <f>$B12 * IFERROR(VLOOKUP("transport|PM25|Respiratory hospital admissions", US_national_yearly!$D:$AM, 13, FALSE) / VLOOKUP("transport|PM25|Respiratory hospital admissions", US_national_yearly!$D:$AM, 10, FALSE), 1)</f>
        <v>2.1257979596669245E-3</v>
      </c>
      <c r="F12" s="7">
        <f>$B12 * IFERROR(VLOOKUP("transport|PM25|Respiratory hospital admissions", US_national_yearly!$D:$AM, 14, FALSE) / VLOOKUP("transport|PM25|Respiratory hospital admissions", US_national_yearly!$D:$AM, 10, FALSE), 1)</f>
        <v>2.1377762131902559E-3</v>
      </c>
      <c r="G12" s="7">
        <f>$B12 * IFERROR(VLOOKUP("transport|PM25|Respiratory hospital admissions", US_national_yearly!$D:$AM, 15, FALSE) / VLOOKUP("transport|PM25|Respiratory hospital admissions", US_national_yearly!$D:$AM, 10, FALSE), 1)</f>
        <v>2.1507132379311599E-3</v>
      </c>
      <c r="H12" s="7">
        <f>$B12 * IFERROR(VLOOKUP("transport|PM25|Respiratory hospital admissions", US_national_yearly!$D:$AM, 16, FALSE) / VLOOKUP("transport|PM25|Respiratory hospital admissions", US_national_yearly!$D:$AM, 10, FALSE), 1)</f>
        <v>2.1636502626720643E-3</v>
      </c>
      <c r="I12" s="7">
        <f>$B12 * IFERROR(VLOOKUP("transport|PM25|Respiratory hospital admissions", US_national_yearly!$D:$AM, 17, FALSE) / VLOOKUP("transport|PM25|Respiratory hospital admissions", US_national_yearly!$D:$AM, 10, FALSE), 1)</f>
        <v>2.1760110982889935E-3</v>
      </c>
      <c r="J12" s="7">
        <f>$B12 * IFERROR(VLOOKUP("transport|PM25|Respiratory hospital admissions", US_national_yearly!$D:$AM, 18, FALSE) / VLOOKUP("transport|PM25|Respiratory hospital admissions", US_national_yearly!$D:$AM, 10, FALSE), 1)</f>
        <v>2.1883719339059237E-3</v>
      </c>
      <c r="K12" s="7">
        <f>$B12 * IFERROR(VLOOKUP("transport|PM25|Respiratory hospital admissions", US_national_yearly!$D:$AM, 19, FALSE) / VLOOKUP("transport|PM25|Respiratory hospital admissions", US_national_yearly!$D:$AM, 10, FALSE), 1)</f>
        <v>2.2007327695228534E-3</v>
      </c>
      <c r="L12" s="7">
        <f>$B12 * IFERROR(VLOOKUP("transport|PM25|Respiratory hospital admissions", US_national_yearly!$D:$AM, 20, FALSE) / VLOOKUP("transport|PM25|Respiratory hospital admissions", US_national_yearly!$D:$AM, 10, FALSE), 1)</f>
        <v>2.2130936051397839E-3</v>
      </c>
      <c r="M12" s="7">
        <f>$B12 * IFERROR(VLOOKUP("transport|PM25|Respiratory hospital admissions", US_national_yearly!$D:$AM, 21, FALSE) / VLOOKUP("transport|PM25|Respiratory hospital admissions", US_national_yearly!$D:$AM, 10, FALSE), 1)</f>
        <v>2.2254544407567132E-3</v>
      </c>
      <c r="N12" s="7">
        <f>$B12 * IFERROR(VLOOKUP("transport|PM25|Respiratory hospital admissions", US_national_yearly!$D:$AM, 22, FALSE) / VLOOKUP("transport|PM25|Respiratory hospital admissions", US_national_yearly!$D:$AM, 10, FALSE), 1)</f>
        <v>2.2343261731907755E-3</v>
      </c>
      <c r="O12" s="7">
        <f>$B12 * IFERROR(VLOOKUP("transport|PM25|Respiratory hospital admissions", US_national_yearly!$D:$AM, 23, FALSE) / VLOOKUP("transport|PM25|Respiratory hospital admissions", US_national_yearly!$D:$AM, 10, FALSE), 1)</f>
        <v>2.243197905624837E-3</v>
      </c>
      <c r="P12" s="7">
        <f>$B12 * IFERROR(VLOOKUP("transport|PM25|Respiratory hospital admissions", US_national_yearly!$D:$AM, 24, FALSE) / VLOOKUP("transport|PM25|Respiratory hospital admissions", US_national_yearly!$D:$AM, 10, FALSE), 1)</f>
        <v>2.252069638058898E-3</v>
      </c>
      <c r="Q12" s="7">
        <f>$B12 * IFERROR(VLOOKUP("transport|PM25|Respiratory hospital admissions", US_national_yearly!$D:$AM, 25, FALSE) / VLOOKUP("transport|PM25|Respiratory hospital admissions", US_national_yearly!$D:$AM, 10, FALSE), 1)</f>
        <v>2.2609413704929599E-3</v>
      </c>
      <c r="R12" s="7">
        <f>$B12 * IFERROR(VLOOKUP("transport|PM25|Respiratory hospital admissions", US_national_yearly!$D:$AM, 26, FALSE) / VLOOKUP("transport|PM25|Respiratory hospital admissions", US_national_yearly!$D:$AM, 10, FALSE), 1)</f>
        <v>2.2698131029270218E-3</v>
      </c>
      <c r="S12" s="7">
        <f>$B12 * IFERROR(VLOOKUP("transport|PM25|Respiratory hospital admissions", US_national_yearly!$D:$AM, 27, FALSE) / VLOOKUP("transport|PM25|Respiratory hospital admissions", US_national_yearly!$D:$AM, 10, FALSE), 1)</f>
        <v>2.2782601612135358E-3</v>
      </c>
      <c r="T12" s="7">
        <f>$B12 * IFERROR(VLOOKUP("transport|PM25|Respiratory hospital admissions", US_national_yearly!$D:$AM, 28, FALSE) / VLOOKUP("transport|PM25|Respiratory hospital admissions", US_national_yearly!$D:$AM, 10, FALSE), 1)</f>
        <v>2.2867072195000499E-3</v>
      </c>
      <c r="U12" s="7">
        <f>$B12 * IFERROR(VLOOKUP("transport|PM25|Respiratory hospital admissions", US_national_yearly!$D:$AM, 29, FALSE) / VLOOKUP("transport|PM25|Respiratory hospital admissions", US_national_yearly!$D:$AM, 10, FALSE), 1)</f>
        <v>2.2951542777865635E-3</v>
      </c>
      <c r="V12" s="7">
        <f>$B12 * IFERROR(VLOOKUP("transport|PM25|Respiratory hospital admissions", US_national_yearly!$D:$AM, 30, FALSE) / VLOOKUP("transport|PM25|Respiratory hospital admissions", US_national_yearly!$D:$AM, 10, FALSE), 1)</f>
        <v>2.3036013360730771E-3</v>
      </c>
      <c r="W12" s="7">
        <f>$B12 * IFERROR(VLOOKUP("transport|PM25|Respiratory hospital admissions", US_national_yearly!$D:$AM, 31, FALSE) / VLOOKUP("transport|PM25|Respiratory hospital admissions", US_national_yearly!$D:$AM, 10, FALSE), 1)</f>
        <v>2.3120483943595911E-3</v>
      </c>
      <c r="X12" s="7">
        <f>$B12 * IFERROR(VLOOKUP("transport|PM25|Respiratory hospital admissions", US_national_yearly!$D:$AM, 32, FALSE) / VLOOKUP("transport|PM25|Respiratory hospital admissions", US_national_yearly!$D:$AM, 10, FALSE), 1)</f>
        <v>2.3201745721833302E-3</v>
      </c>
      <c r="Y12" s="7">
        <f>$B12 * IFERROR(VLOOKUP("transport|PM25|Respiratory hospital admissions", US_national_yearly!$D:$AM, 33, FALSE) / VLOOKUP("transport|PM25|Respiratory hospital admissions", US_national_yearly!$D:$AM, 10, FALSE), 1)</f>
        <v>2.3283007500070688E-3</v>
      </c>
      <c r="Z12" s="7">
        <f>$B12 * IFERROR(VLOOKUP("transport|PM25|Respiratory hospital admissions", US_national_yearly!$D:$AM, 34, FALSE) / VLOOKUP("transport|PM25|Respiratory hospital admissions", US_national_yearly!$D:$AM, 10, FALSE), 1)</f>
        <v>2.3364269278308078E-3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2.344553105654546E-3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2.352679283478285E-3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1.2996690544521287E-2</v>
      </c>
      <c r="C13" s="7">
        <f>$B13 * IFERROR(VLOOKUP("transport|PM25|Non-fatal heart attacks", US_national_yearly!$D:$AM, 11, FALSE) / VLOOKUP("transport|PM25|Non-fatal heart attacks", US_national_yearly!$D:$AM, 10, FALSE), 1)</f>
        <v>1.3374538827919932E-2</v>
      </c>
      <c r="D13" s="7">
        <f>$B13 * IFERROR(VLOOKUP("transport|PM25|Non-fatal heart attacks", US_national_yearly!$D:$AM, 12, FALSE) / VLOOKUP("transport|PM25|Non-fatal heart attacks", US_national_yearly!$D:$AM, 10, FALSE), 1)</f>
        <v>1.3752387111318577E-2</v>
      </c>
      <c r="E13" s="7">
        <f>$B13 * IFERROR(VLOOKUP("transport|PM25|Non-fatal heart attacks", US_national_yearly!$D:$AM, 13, FALSE) / VLOOKUP("transport|PM25|Non-fatal heart attacks", US_national_yearly!$D:$AM, 10, FALSE), 1)</f>
        <v>1.4130235394717219E-2</v>
      </c>
      <c r="F13" s="7">
        <f>$B13 * IFERROR(VLOOKUP("transport|PM25|Non-fatal heart attacks", US_national_yearly!$D:$AM, 14, FALSE) / VLOOKUP("transport|PM25|Non-fatal heart attacks", US_national_yearly!$D:$AM, 10, FALSE), 1)</f>
        <v>1.4508083678115865E-2</v>
      </c>
      <c r="G13" s="7">
        <f>$B13 * IFERROR(VLOOKUP("transport|PM25|Non-fatal heart attacks", US_national_yearly!$D:$AM, 15, FALSE) / VLOOKUP("transport|PM25|Non-fatal heart attacks", US_national_yearly!$D:$AM, 10, FALSE), 1)</f>
        <v>1.4864418496466161E-2</v>
      </c>
      <c r="H13" s="7">
        <f>$B13 * IFERROR(VLOOKUP("transport|PM25|Non-fatal heart attacks", US_national_yearly!$D:$AM, 16, FALSE) / VLOOKUP("transport|PM25|Non-fatal heart attacks", US_national_yearly!$D:$AM, 10, FALSE), 1)</f>
        <v>1.5220753314816454E-2</v>
      </c>
      <c r="I13" s="7">
        <f>$B13 * IFERROR(VLOOKUP("transport|PM25|Non-fatal heart attacks", US_national_yearly!$D:$AM, 17, FALSE) / VLOOKUP("transport|PM25|Non-fatal heart attacks", US_national_yearly!$D:$AM, 10, FALSE), 1)</f>
        <v>1.5507127936575618E-2</v>
      </c>
      <c r="J13" s="7">
        <f>$B13 * IFERROR(VLOOKUP("transport|PM25|Non-fatal heart attacks", US_national_yearly!$D:$AM, 18, FALSE) / VLOOKUP("transport|PM25|Non-fatal heart attacks", US_national_yearly!$D:$AM, 10, FALSE), 1)</f>
        <v>1.5793502558334782E-2</v>
      </c>
      <c r="K13" s="7">
        <f>$B13 * IFERROR(VLOOKUP("transport|PM25|Non-fatal heart attacks", US_national_yearly!$D:$AM, 19, FALSE) / VLOOKUP("transport|PM25|Non-fatal heart attacks", US_national_yearly!$D:$AM, 10, FALSE), 1)</f>
        <v>1.607987718009395E-2</v>
      </c>
      <c r="L13" s="7">
        <f>$B13 * IFERROR(VLOOKUP("transport|PM25|Non-fatal heart attacks", US_national_yearly!$D:$AM, 20, FALSE) / VLOOKUP("transport|PM25|Non-fatal heart attacks", US_national_yearly!$D:$AM, 10, FALSE), 1)</f>
        <v>1.6366251801853113E-2</v>
      </c>
      <c r="M13" s="7">
        <f>$B13 * IFERROR(VLOOKUP("transport|PM25|Non-fatal heart attacks", US_national_yearly!$D:$AM, 21, FALSE) / VLOOKUP("transport|PM25|Non-fatal heart attacks", US_national_yearly!$D:$AM, 10, FALSE), 1)</f>
        <v>1.6652626423612281E-2</v>
      </c>
      <c r="N13" s="7">
        <f>$B13 * IFERROR(VLOOKUP("transport|PM25|Non-fatal heart attacks", US_national_yearly!$D:$AM, 22, FALSE) / VLOOKUP("transport|PM25|Non-fatal heart attacks", US_national_yearly!$D:$AM, 10, FALSE), 1)</f>
        <v>1.6837309776447547E-2</v>
      </c>
      <c r="O13" s="7">
        <f>$B13 * IFERROR(VLOOKUP("transport|PM25|Non-fatal heart attacks", US_national_yearly!$D:$AM, 23, FALSE) / VLOOKUP("transport|PM25|Non-fatal heart attacks", US_national_yearly!$D:$AM, 10, FALSE), 1)</f>
        <v>1.702199312928282E-2</v>
      </c>
      <c r="P13" s="7">
        <f>$B13 * IFERROR(VLOOKUP("transport|PM25|Non-fatal heart attacks", US_national_yearly!$D:$AM, 24, FALSE) / VLOOKUP("transport|PM25|Non-fatal heart attacks", US_national_yearly!$D:$AM, 10, FALSE), 1)</f>
        <v>1.7206676482118089E-2</v>
      </c>
      <c r="Q13" s="7">
        <f>$B13 * IFERROR(VLOOKUP("transport|PM25|Non-fatal heart attacks", US_national_yearly!$D:$AM, 25, FALSE) / VLOOKUP("transport|PM25|Non-fatal heart attacks", US_national_yearly!$D:$AM, 10, FALSE), 1)</f>
        <v>1.7391359834953359E-2</v>
      </c>
      <c r="R13" s="7">
        <f>$B13 * IFERROR(VLOOKUP("transport|PM25|Non-fatal heart attacks", US_national_yearly!$D:$AM, 26, FALSE) / VLOOKUP("transport|PM25|Non-fatal heart attacks", US_national_yearly!$D:$AM, 10, FALSE), 1)</f>
        <v>1.7576043187788628E-2</v>
      </c>
      <c r="S13" s="7">
        <f>$B13 * IFERROR(VLOOKUP("transport|PM25|Non-fatal heart attacks", US_national_yearly!$D:$AM, 27, FALSE) / VLOOKUP("transport|PM25|Non-fatal heart attacks", US_national_yearly!$D:$AM, 10, FALSE), 1)</f>
        <v>1.7673302717754805E-2</v>
      </c>
      <c r="T13" s="7">
        <f>$B13 * IFERROR(VLOOKUP("transport|PM25|Non-fatal heart attacks", US_national_yearly!$D:$AM, 28, FALSE) / VLOOKUP("transport|PM25|Non-fatal heart attacks", US_national_yearly!$D:$AM, 10, FALSE), 1)</f>
        <v>1.7770562247720986E-2</v>
      </c>
      <c r="U13" s="7">
        <f>$B13 * IFERROR(VLOOKUP("transport|PM25|Non-fatal heart attacks", US_national_yearly!$D:$AM, 29, FALSE) / VLOOKUP("transport|PM25|Non-fatal heart attacks", US_national_yearly!$D:$AM, 10, FALSE), 1)</f>
        <v>1.7867821777687167E-2</v>
      </c>
      <c r="V13" s="7">
        <f>$B13 * IFERROR(VLOOKUP("transport|PM25|Non-fatal heart attacks", US_national_yearly!$D:$AM, 30, FALSE) / VLOOKUP("transport|PM25|Non-fatal heart attacks", US_national_yearly!$D:$AM, 10, FALSE), 1)</f>
        <v>1.7965081307653345E-2</v>
      </c>
      <c r="W13" s="7">
        <f>$B13 * IFERROR(VLOOKUP("transport|PM25|Non-fatal heart attacks", US_national_yearly!$D:$AM, 31, FALSE) / VLOOKUP("transport|PM25|Non-fatal heart attacks", US_national_yearly!$D:$AM, 10, FALSE), 1)</f>
        <v>1.8062340837619522E-2</v>
      </c>
      <c r="X13" s="7">
        <f>$B13 * IFERROR(VLOOKUP("transport|PM25|Non-fatal heart attacks", US_national_yearly!$D:$AM, 32, FALSE) / VLOOKUP("transport|PM25|Non-fatal heart attacks", US_national_yearly!$D:$AM, 10, FALSE), 1)</f>
        <v>1.8136174884302851E-2</v>
      </c>
      <c r="Y13" s="7">
        <f>$B13 * IFERROR(VLOOKUP("transport|PM25|Non-fatal heart attacks", US_national_yearly!$D:$AM, 33, FALSE) / VLOOKUP("transport|PM25|Non-fatal heart attacks", US_national_yearly!$D:$AM, 10, FALSE), 1)</f>
        <v>1.8210008930986187E-2</v>
      </c>
      <c r="Z13" s="7">
        <f>$B13 * IFERROR(VLOOKUP("transport|PM25|Non-fatal heart attacks", US_national_yearly!$D:$AM, 34, FALSE) / VLOOKUP("transport|PM25|Non-fatal heart attacks", US_national_yearly!$D:$AM, 10, FALSE), 1)</f>
        <v>1.8283842977669516E-2</v>
      </c>
      <c r="AA13" s="7">
        <f>$B13 * IFERROR(VLOOKUP("transport|PM25|Non-fatal heart attacks", US_national_yearly!$D:$AM, 35, FALSE) / VLOOKUP("transport|PM25|Non-fatal heart attacks", US_national_yearly!$D:$AM, 10, FALSE), 1)</f>
        <v>1.8357677024352849E-2</v>
      </c>
      <c r="AB13" s="7">
        <f>$B13 * IFERROR(VLOOKUP("transport|PM25|Non-fatal heart attacks", US_national_yearly!$D:$AM, 36, FALSE) / VLOOKUP("transport|PM25|Non-fatal heart attacks", US_national_yearly!$D:$AM, 10, FALSE), 1)</f>
        <v>1.8431511071036178E-2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8.2745932516689287</v>
      </c>
      <c r="C14" s="7">
        <f>$B14 * IFERROR(VLOOKUP("transport|PM25|Minor restricted activity days", US_national_yearly!$D:$AM, 11, FALSE) / VLOOKUP("transport|PM25|Minor restricted activity days", US_national_yearly!$D:$AM, 10, FALSE), 1)</f>
        <v>8.2948007896808313</v>
      </c>
      <c r="D14" s="7">
        <f>$B14 * IFERROR(VLOOKUP("transport|PM25|Minor restricted activity days", US_national_yearly!$D:$AM, 12, FALSE) / VLOOKUP("transport|PM25|Minor restricted activity days", US_national_yearly!$D:$AM, 10, FALSE), 1)</f>
        <v>8.315008327692734</v>
      </c>
      <c r="E14" s="7">
        <f>$B14 * IFERROR(VLOOKUP("transport|PM25|Minor restricted activity days", US_national_yearly!$D:$AM, 13, FALSE) / VLOOKUP("transport|PM25|Minor restricted activity days", US_national_yearly!$D:$AM, 10, FALSE), 1)</f>
        <v>8.3352158657046385</v>
      </c>
      <c r="F14" s="7">
        <f>$B14 * IFERROR(VLOOKUP("transport|PM25|Minor restricted activity days", US_national_yearly!$D:$AM, 14, FALSE) / VLOOKUP("transport|PM25|Minor restricted activity days", US_national_yearly!$D:$AM, 10, FALSE), 1)</f>
        <v>8.3554234037165394</v>
      </c>
      <c r="G14" s="7">
        <f>$B14 * IFERROR(VLOOKUP("transport|PM25|Minor restricted activity days", US_national_yearly!$D:$AM, 15, FALSE) / VLOOKUP("transport|PM25|Minor restricted activity days", US_national_yearly!$D:$AM, 10, FALSE), 1)</f>
        <v>8.3852390212938968</v>
      </c>
      <c r="H14" s="7">
        <f>$B14 * IFERROR(VLOOKUP("transport|PM25|Minor restricted activity days", US_national_yearly!$D:$AM, 16, FALSE) / VLOOKUP("transport|PM25|Minor restricted activity days", US_national_yearly!$D:$AM, 10, FALSE), 1)</f>
        <v>8.4150546388712524</v>
      </c>
      <c r="I14" s="7">
        <f>$B14 * IFERROR(VLOOKUP("transport|PM25|Minor restricted activity days", US_national_yearly!$D:$AM, 17, FALSE) / VLOOKUP("transport|PM25|Minor restricted activity days", US_national_yearly!$D:$AM, 10, FALSE), 1)</f>
        <v>8.4660256914875447</v>
      </c>
      <c r="J14" s="7">
        <f>$B14 * IFERROR(VLOOKUP("transport|PM25|Minor restricted activity days", US_national_yearly!$D:$AM, 18, FALSE) / VLOOKUP("transport|PM25|Minor restricted activity days", US_national_yearly!$D:$AM, 10, FALSE), 1)</f>
        <v>8.5169967441038334</v>
      </c>
      <c r="K14" s="7">
        <f>$B14 * IFERROR(VLOOKUP("transport|PM25|Minor restricted activity days", US_national_yearly!$D:$AM, 19, FALSE) / VLOOKUP("transport|PM25|Minor restricted activity days", US_national_yearly!$D:$AM, 10, FALSE), 1)</f>
        <v>8.5679677967201275</v>
      </c>
      <c r="L14" s="7">
        <f>$B14 * IFERROR(VLOOKUP("transport|PM25|Minor restricted activity days", US_national_yearly!$D:$AM, 20, FALSE) / VLOOKUP("transport|PM25|Minor restricted activity days", US_national_yearly!$D:$AM, 10, FALSE), 1)</f>
        <v>8.6189388493364181</v>
      </c>
      <c r="M14" s="7">
        <f>$B14 * IFERROR(VLOOKUP("transport|PM25|Minor restricted activity days", US_national_yearly!$D:$AM, 21, FALSE) / VLOOKUP("transport|PM25|Minor restricted activity days", US_national_yearly!$D:$AM, 10, FALSE), 1)</f>
        <v>8.6699099019527086</v>
      </c>
      <c r="N14" s="7">
        <f>$B14 * IFERROR(VLOOKUP("transport|PM25|Minor restricted activity days", US_national_yearly!$D:$AM, 22, FALSE) / VLOOKUP("transport|PM25|Minor restricted activity days", US_national_yearly!$D:$AM, 10, FALSE), 1)</f>
        <v>8.7393426239346255</v>
      </c>
      <c r="O14" s="7">
        <f>$B14 * IFERROR(VLOOKUP("transport|PM25|Minor restricted activity days", US_national_yearly!$D:$AM, 23, FALSE) / VLOOKUP("transport|PM25|Minor restricted activity days", US_national_yearly!$D:$AM, 10, FALSE), 1)</f>
        <v>8.8087753459165388</v>
      </c>
      <c r="P14" s="7">
        <f>$B14 * IFERROR(VLOOKUP("transport|PM25|Minor restricted activity days", US_national_yearly!$D:$AM, 24, FALSE) / VLOOKUP("transport|PM25|Minor restricted activity days", US_national_yearly!$D:$AM, 10, FALSE), 1)</f>
        <v>8.8782080678984556</v>
      </c>
      <c r="Q14" s="7">
        <f>$B14 * IFERROR(VLOOKUP("transport|PM25|Minor restricted activity days", US_national_yearly!$D:$AM, 25, FALSE) / VLOOKUP("transport|PM25|Minor restricted activity days", US_national_yearly!$D:$AM, 10, FALSE), 1)</f>
        <v>8.9476407898803707</v>
      </c>
      <c r="R14" s="7">
        <f>$B14 * IFERROR(VLOOKUP("transport|PM25|Minor restricted activity days", US_national_yearly!$D:$AM, 26, FALSE) / VLOOKUP("transport|PM25|Minor restricted activity days", US_national_yearly!$D:$AM, 10, FALSE), 1)</f>
        <v>9.0170735118622858</v>
      </c>
      <c r="S14" s="7">
        <f>$B14 * IFERROR(VLOOKUP("transport|PM25|Minor restricted activity days", US_national_yearly!$D:$AM, 27, FALSE) / VLOOKUP("transport|PM25|Minor restricted activity days", US_national_yearly!$D:$AM, 10, FALSE), 1)</f>
        <v>9.0869843942488178</v>
      </c>
      <c r="T14" s="7">
        <f>$B14 * IFERROR(VLOOKUP("transport|PM25|Minor restricted activity days", US_national_yearly!$D:$AM, 28, FALSE) / VLOOKUP("transport|PM25|Minor restricted activity days", US_national_yearly!$D:$AM, 10, FALSE), 1)</f>
        <v>9.1568952766353497</v>
      </c>
      <c r="U14" s="7">
        <f>$B14 * IFERROR(VLOOKUP("transport|PM25|Minor restricted activity days", US_national_yearly!$D:$AM, 29, FALSE) / VLOOKUP("transport|PM25|Minor restricted activity days", US_national_yearly!$D:$AM, 10, FALSE), 1)</f>
        <v>9.2268061590218835</v>
      </c>
      <c r="V14" s="7">
        <f>$B14 * IFERROR(VLOOKUP("transport|PM25|Minor restricted activity days", US_national_yearly!$D:$AM, 30, FALSE) / VLOOKUP("transport|PM25|Minor restricted activity days", US_national_yearly!$D:$AM, 10, FALSE), 1)</f>
        <v>9.2967170414084155</v>
      </c>
      <c r="W14" s="7">
        <f>$B14 * IFERROR(VLOOKUP("transport|PM25|Minor restricted activity days", US_national_yearly!$D:$AM, 31, FALSE) / VLOOKUP("transport|PM25|Minor restricted activity days", US_national_yearly!$D:$AM, 10, FALSE), 1)</f>
        <v>9.3666279237949475</v>
      </c>
      <c r="X14" s="7">
        <f>$B14 * IFERROR(VLOOKUP("transport|PM25|Minor restricted activity days", US_national_yearly!$D:$AM, 32, FALSE) / VLOOKUP("transport|PM25|Minor restricted activity days", US_national_yearly!$D:$AM, 10, FALSE), 1)</f>
        <v>9.4273176028750409</v>
      </c>
      <c r="Y14" s="7">
        <f>$B14 * IFERROR(VLOOKUP("transport|PM25|Minor restricted activity days", US_national_yearly!$D:$AM, 33, FALSE) / VLOOKUP("transport|PM25|Minor restricted activity days", US_national_yearly!$D:$AM, 10, FALSE), 1)</f>
        <v>9.4880072819551327</v>
      </c>
      <c r="Z14" s="7">
        <f>$B14 * IFERROR(VLOOKUP("transport|PM25|Minor restricted activity days", US_national_yearly!$D:$AM, 34, FALSE) / VLOOKUP("transport|PM25|Minor restricted activity days", US_national_yearly!$D:$AM, 10, FALSE), 1)</f>
        <v>9.5486969610352261</v>
      </c>
      <c r="AA14" s="7">
        <f>$B14 * IFERROR(VLOOKUP("transport|PM25|Minor restricted activity days", US_national_yearly!$D:$AM, 35, FALSE) / VLOOKUP("transport|PM25|Minor restricted activity days", US_national_yearly!$D:$AM, 10, FALSE), 1)</f>
        <v>9.6093866401153161</v>
      </c>
      <c r="AB14" s="7">
        <f>$B14 * IFERROR(VLOOKUP("transport|PM25|Minor restricted activity days", US_national_yearly!$D:$AM, 36, FALSE) / VLOOKUP("transport|PM25|Minor restricted activity days", US_national_yearly!$D:$AM, 10, FALSE), 1)</f>
        <v>9.6700763191954096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1.399528063108278</v>
      </c>
      <c r="C15" s="7">
        <f>$B15 * IFERROR(VLOOKUP("transport|PM25|Work loss days", US_national_yearly!$D:$AM, 11, FALSE) / VLOOKUP("transport|PM25|Work loss days", US_national_yearly!$D:$AM, 10, FALSE), 1)</f>
        <v>1.4038660960347782</v>
      </c>
      <c r="D15" s="7">
        <f>$B15 * IFERROR(VLOOKUP("transport|PM25|Work loss days", US_national_yearly!$D:$AM, 12, FALSE) / VLOOKUP("transport|PM25|Work loss days", US_national_yearly!$D:$AM, 10, FALSE), 1)</f>
        <v>1.4082041289612786</v>
      </c>
      <c r="E15" s="7">
        <f>$B15 * IFERROR(VLOOKUP("transport|PM25|Work loss days", US_national_yearly!$D:$AM, 13, FALSE) / VLOOKUP("transport|PM25|Work loss days", US_national_yearly!$D:$AM, 10, FALSE), 1)</f>
        <v>1.4125421618877787</v>
      </c>
      <c r="F15" s="7">
        <f>$B15 * IFERROR(VLOOKUP("transport|PM25|Work loss days", US_national_yearly!$D:$AM, 14, FALSE) / VLOOKUP("transport|PM25|Work loss days", US_national_yearly!$D:$AM, 10, FALSE), 1)</f>
        <v>1.4168801948142788</v>
      </c>
      <c r="G15" s="7">
        <f>$B15 * IFERROR(VLOOKUP("transport|PM25|Work loss days", US_national_yearly!$D:$AM, 15, FALSE) / VLOOKUP("transport|PM25|Work loss days", US_national_yearly!$D:$AM, 10, FALSE), 1)</f>
        <v>1.4225676327949621</v>
      </c>
      <c r="H15" s="7">
        <f>$B15 * IFERROR(VLOOKUP("transport|PM25|Work loss days", US_national_yearly!$D:$AM, 16, FALSE) / VLOOKUP("transport|PM25|Work loss days", US_national_yearly!$D:$AM, 10, FALSE), 1)</f>
        <v>1.4282550707756458</v>
      </c>
      <c r="I15" s="7">
        <f>$B15 * IFERROR(VLOOKUP("transport|PM25|Work loss days", US_national_yearly!$D:$AM, 17, FALSE) / VLOOKUP("transport|PM25|Work loss days", US_national_yearly!$D:$AM, 10, FALSE), 1)</f>
        <v>1.4366304487345445</v>
      </c>
      <c r="J15" s="7">
        <f>$B15 * IFERROR(VLOOKUP("transport|PM25|Work loss days", US_national_yearly!$D:$AM, 18, FALSE) / VLOOKUP("transport|PM25|Work loss days", US_national_yearly!$D:$AM, 10, FALSE), 1)</f>
        <v>1.4450058266934434</v>
      </c>
      <c r="K15" s="7">
        <f>$B15 * IFERROR(VLOOKUP("transport|PM25|Work loss days", US_national_yearly!$D:$AM, 19, FALSE) / VLOOKUP("transport|PM25|Work loss days", US_national_yearly!$D:$AM, 10, FALSE), 1)</f>
        <v>1.453381204652342</v>
      </c>
      <c r="L15" s="7">
        <f>$B15 * IFERROR(VLOOKUP("transport|PM25|Work loss days", US_national_yearly!$D:$AM, 20, FALSE) / VLOOKUP("transport|PM25|Work loss days", US_national_yearly!$D:$AM, 10, FALSE), 1)</f>
        <v>1.4617565826112406</v>
      </c>
      <c r="M15" s="7">
        <f>$B15 * IFERROR(VLOOKUP("transport|PM25|Work loss days", US_national_yearly!$D:$AM, 21, FALSE) / VLOOKUP("transport|PM25|Work loss days", US_national_yearly!$D:$AM, 10, FALSE), 1)</f>
        <v>1.4701319605701395</v>
      </c>
      <c r="N15" s="7">
        <f>$B15 * IFERROR(VLOOKUP("transport|PM25|Work loss days", US_national_yearly!$D:$AM, 22, FALSE) / VLOOKUP("transport|PM25|Work loss days", US_national_yearly!$D:$AM, 10, FALSE), 1)</f>
        <v>1.4806730076537298</v>
      </c>
      <c r="O15" s="7">
        <f>$B15 * IFERROR(VLOOKUP("transport|PM25|Work loss days", US_national_yearly!$D:$AM, 23, FALSE) / VLOOKUP("transport|PM25|Work loss days", US_national_yearly!$D:$AM, 10, FALSE), 1)</f>
        <v>1.4912140547373198</v>
      </c>
      <c r="P15" s="7">
        <f>$B15 * IFERROR(VLOOKUP("transport|PM25|Work loss days", US_national_yearly!$D:$AM, 24, FALSE) / VLOOKUP("transport|PM25|Work loss days", US_national_yearly!$D:$AM, 10, FALSE), 1)</f>
        <v>1.5017551018209103</v>
      </c>
      <c r="Q15" s="7">
        <f>$B15 * IFERROR(VLOOKUP("transport|PM25|Work loss days", US_national_yearly!$D:$AM, 25, FALSE) / VLOOKUP("transport|PM25|Work loss days", US_national_yearly!$D:$AM, 10, FALSE), 1)</f>
        <v>1.5122961489045004</v>
      </c>
      <c r="R15" s="7">
        <f>$B15 * IFERROR(VLOOKUP("transport|PM25|Work loss days", US_national_yearly!$D:$AM, 26, FALSE) / VLOOKUP("transport|PM25|Work loss days", US_national_yearly!$D:$AM, 10, FALSE), 1)</f>
        <v>1.5228371959880906</v>
      </c>
      <c r="S15" s="7">
        <f>$B15 * IFERROR(VLOOKUP("transport|PM25|Work loss days", US_national_yearly!$D:$AM, 27, FALSE) / VLOOKUP("transport|PM25|Work loss days", US_national_yearly!$D:$AM, 10, FALSE), 1)</f>
        <v>1.5344960440962407</v>
      </c>
      <c r="T15" s="7">
        <f>$B15 * IFERROR(VLOOKUP("transport|PM25|Work loss days", US_national_yearly!$D:$AM, 28, FALSE) / VLOOKUP("transport|PM25|Work loss days", US_national_yearly!$D:$AM, 10, FALSE), 1)</f>
        <v>1.5461548922043911</v>
      </c>
      <c r="U15" s="7">
        <f>$B15 * IFERROR(VLOOKUP("transport|PM25|Work loss days", US_national_yearly!$D:$AM, 29, FALSE) / VLOOKUP("transport|PM25|Work loss days", US_national_yearly!$D:$AM, 10, FALSE), 1)</f>
        <v>1.5578137403125407</v>
      </c>
      <c r="V15" s="7">
        <f>$B15 * IFERROR(VLOOKUP("transport|PM25|Work loss days", US_national_yearly!$D:$AM, 30, FALSE) / VLOOKUP("transport|PM25|Work loss days", US_national_yearly!$D:$AM, 10, FALSE), 1)</f>
        <v>1.569472588420691</v>
      </c>
      <c r="W15" s="7">
        <f>$B15 * IFERROR(VLOOKUP("transport|PM25|Work loss days", US_national_yearly!$D:$AM, 31, FALSE) / VLOOKUP("transport|PM25|Work loss days", US_national_yearly!$D:$AM, 10, FALSE), 1)</f>
        <v>1.5811314365288409</v>
      </c>
      <c r="X15" s="7">
        <f>$B15 * IFERROR(VLOOKUP("transport|PM25|Work loss days", US_national_yearly!$D:$AM, 32, FALSE) / VLOOKUP("transport|PM25|Work loss days", US_national_yearly!$D:$AM, 10, FALSE), 1)</f>
        <v>1.5914759792343378</v>
      </c>
      <c r="Y15" s="7">
        <f>$B15 * IFERROR(VLOOKUP("transport|PM25|Work loss days", US_national_yearly!$D:$AM, 33, FALSE) / VLOOKUP("transport|PM25|Work loss days", US_national_yearly!$D:$AM, 10, FALSE), 1)</f>
        <v>1.6018205219398345</v>
      </c>
      <c r="Z15" s="7">
        <f>$B15 * IFERROR(VLOOKUP("transport|PM25|Work loss days", US_national_yearly!$D:$AM, 34, FALSE) / VLOOKUP("transport|PM25|Work loss days", US_national_yearly!$D:$AM, 10, FALSE), 1)</f>
        <v>1.6121650646453314</v>
      </c>
      <c r="AA15" s="7">
        <f>$B15 * IFERROR(VLOOKUP("transport|PM25|Work loss days", US_national_yearly!$D:$AM, 35, FALSE) / VLOOKUP("transport|PM25|Work loss days", US_national_yearly!$D:$AM, 10, FALSE), 1)</f>
        <v>1.6225096073508285</v>
      </c>
      <c r="AB15" s="7">
        <f>$B15 * IFERROR(VLOOKUP("transport|PM25|Work loss days", US_national_yearly!$D:$AM, 36, FALSE) / VLOOKUP("transport|PM25|Work loss days", US_national_yearly!$D:$AM, 10, FALSE), 1)</f>
        <v>1.6328541500563252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3.0521944727282934E-3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3.143396171920069E-3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3.2345978711118451E-3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3.3257995703036215E-3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3.4170012694953976E-3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3.504356206257951E-3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3.5917111430205056E-3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3.6664218809181262E-3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3.7411326188157464E-3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3.8158433567133661E-3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3.8905540946109875E-3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3.9652648325086077E-3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4.015076187210696E-3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4.0648875419127851E-3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4.1146988966148743E-3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4.1645102513169635E-3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4.2143216060190518E-3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4.2406764630977681E-3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4.2670313201764827E-3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4.2933861772551972E-3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4.3197410343339127E-3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4.3460958914126281E-3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4.3638383278690211E-3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4.381580764325415E-3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4.3993232007818088E-3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4.4170656372382018E-3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4.4348080736945957E-3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7.0273755393017391E-4</v>
      </c>
      <c r="C2" s="7">
        <f>$B2 * IFERROR(VLOOKUP("transport|NOx|Premature mortality", US_national_yearly!$D:$AM, 11, FALSE) / VLOOKUP("transport|NOx|Premature mortality", US_national_yearly!$D:$AM, 10, FALSE), 1)</f>
        <v>7.1305958079295772E-4</v>
      </c>
      <c r="D2" s="7">
        <f>$B2 * IFERROR(VLOOKUP("transport|NOx|Premature mortality", US_national_yearly!$D:$AM, 12, FALSE) / VLOOKUP("transport|NOx|Premature mortality", US_national_yearly!$D:$AM, 10, FALSE), 1)</f>
        <v>7.2338160765574131E-4</v>
      </c>
      <c r="E2" s="7">
        <f>$B2 * IFERROR(VLOOKUP("transport|NOx|Premature mortality", US_national_yearly!$D:$AM, 13, FALSE) / VLOOKUP("transport|NOx|Premature mortality", US_national_yearly!$D:$AM, 10, FALSE), 1)</f>
        <v>7.3370363451852512E-4</v>
      </c>
      <c r="F2" s="7">
        <f>$B2 * IFERROR(VLOOKUP("transport|NOx|Premature mortality", US_national_yearly!$D:$AM, 14, FALSE) / VLOOKUP("transport|NOx|Premature mortality", US_national_yearly!$D:$AM, 10, FALSE), 1)</f>
        <v>7.4402566138130892E-4</v>
      </c>
      <c r="G2" s="7">
        <f>$B2 * IFERROR(VLOOKUP("transport|NOx|Premature mortality", US_national_yearly!$D:$AM, 15, FALSE) / VLOOKUP("transport|NOx|Premature mortality", US_national_yearly!$D:$AM, 10, FALSE), 1)</f>
        <v>7.6256646200385662E-4</v>
      </c>
      <c r="H2" s="7">
        <f>$B2 * IFERROR(VLOOKUP("transport|NOx|Premature mortality", US_national_yearly!$D:$AM, 16, FALSE) / VLOOKUP("transport|NOx|Premature mortality", US_national_yearly!$D:$AM, 10, FALSE), 1)</f>
        <v>7.8110726262640463E-4</v>
      </c>
      <c r="I2" s="7">
        <f>$B2 * IFERROR(VLOOKUP("transport|NOx|Premature mortality", US_national_yearly!$D:$AM, 17, FALSE) / VLOOKUP("transport|NOx|Premature mortality", US_national_yearly!$D:$AM, 10, FALSE), 1)</f>
        <v>7.9307570112193868E-4</v>
      </c>
      <c r="J2" s="7">
        <f>$B2 * IFERROR(VLOOKUP("transport|NOx|Premature mortality", US_national_yearly!$D:$AM, 18, FALSE) / VLOOKUP("transport|NOx|Premature mortality", US_national_yearly!$D:$AM, 10, FALSE), 1)</f>
        <v>8.0504413961747295E-4</v>
      </c>
      <c r="K2" s="7">
        <f>$B2 * IFERROR(VLOOKUP("transport|NOx|Premature mortality", US_national_yearly!$D:$AM, 19, FALSE) / VLOOKUP("transport|NOx|Premature mortality", US_national_yearly!$D:$AM, 10, FALSE), 1)</f>
        <v>8.17012578113007E-4</v>
      </c>
      <c r="L2" s="7">
        <f>$B2 * IFERROR(VLOOKUP("transport|NOx|Premature mortality", US_national_yearly!$D:$AM, 20, FALSE) / VLOOKUP("transport|NOx|Premature mortality", US_national_yearly!$D:$AM, 10, FALSE), 1)</f>
        <v>8.2898101660854116E-4</v>
      </c>
      <c r="M2" s="7">
        <f>$B2 * IFERROR(VLOOKUP("transport|NOx|Premature mortality", US_national_yearly!$D:$AM, 21, FALSE) / VLOOKUP("transport|NOx|Premature mortality", US_national_yearly!$D:$AM, 10, FALSE), 1)</f>
        <v>8.4094945510407532E-4</v>
      </c>
      <c r="N2" s="7">
        <f>$B2 * IFERROR(VLOOKUP("transport|NOx|Premature mortality", US_national_yearly!$D:$AM, 22, FALSE) / VLOOKUP("transport|NOx|Premature mortality", US_national_yearly!$D:$AM, 10, FALSE), 1)</f>
        <v>8.4981562781373933E-4</v>
      </c>
      <c r="O2" s="7">
        <f>$B2 * IFERROR(VLOOKUP("transport|NOx|Premature mortality", US_national_yearly!$D:$AM, 23, FALSE) / VLOOKUP("transport|NOx|Premature mortality", US_national_yearly!$D:$AM, 10, FALSE), 1)</f>
        <v>8.5868180052340334E-4</v>
      </c>
      <c r="P2" s="7">
        <f>$B2 * IFERROR(VLOOKUP("transport|NOx|Premature mortality", US_national_yearly!$D:$AM, 24, FALSE) / VLOOKUP("transport|NOx|Premature mortality", US_national_yearly!$D:$AM, 10, FALSE), 1)</f>
        <v>8.6754797323306736E-4</v>
      </c>
      <c r="Q2" s="7">
        <f>$B2 * IFERROR(VLOOKUP("transport|NOx|Premature mortality", US_national_yearly!$D:$AM, 25, FALSE) / VLOOKUP("transport|NOx|Premature mortality", US_national_yearly!$D:$AM, 10, FALSE), 1)</f>
        <v>8.7641414594273159E-4</v>
      </c>
      <c r="R2" s="7">
        <f>$B2 * IFERROR(VLOOKUP("transport|NOx|Premature mortality", US_national_yearly!$D:$AM, 26, FALSE) / VLOOKUP("transport|NOx|Premature mortality", US_national_yearly!$D:$AM, 10, FALSE), 1)</f>
        <v>8.852803186523956E-4</v>
      </c>
      <c r="S2" s="7">
        <f>$B2 * IFERROR(VLOOKUP("transport|NOx|Premature mortality", US_national_yearly!$D:$AM, 27, FALSE) / VLOOKUP("transport|NOx|Premature mortality", US_national_yearly!$D:$AM, 10, FALSE), 1)</f>
        <v>8.8931008343011062E-4</v>
      </c>
      <c r="T2" s="7">
        <f>$B2 * IFERROR(VLOOKUP("transport|NOx|Premature mortality", US_national_yearly!$D:$AM, 28, FALSE) / VLOOKUP("transport|NOx|Premature mortality", US_national_yearly!$D:$AM, 10, FALSE), 1)</f>
        <v>8.9333984820782575E-4</v>
      </c>
      <c r="U2" s="7">
        <f>$B2 * IFERROR(VLOOKUP("transport|NOx|Premature mortality", US_national_yearly!$D:$AM, 29, FALSE) / VLOOKUP("transport|NOx|Premature mortality", US_national_yearly!$D:$AM, 10, FALSE), 1)</f>
        <v>8.9736961298554076E-4</v>
      </c>
      <c r="V2" s="7">
        <f>$B2 * IFERROR(VLOOKUP("transport|NOx|Premature mortality", US_national_yearly!$D:$AM, 30, FALSE) / VLOOKUP("transport|NOx|Premature mortality", US_national_yearly!$D:$AM, 10, FALSE), 1)</f>
        <v>9.0139937776325578E-4</v>
      </c>
      <c r="W2" s="7">
        <f>$B2 * IFERROR(VLOOKUP("transport|NOx|Premature mortality", US_national_yearly!$D:$AM, 31, FALSE) / VLOOKUP("transport|NOx|Premature mortality", US_national_yearly!$D:$AM, 10, FALSE), 1)</f>
        <v>9.0542914254097091E-4</v>
      </c>
      <c r="X2" s="7">
        <f>$B2 * IFERROR(VLOOKUP("transport|NOx|Premature mortality", US_national_yearly!$D:$AM, 32, FALSE) / VLOOKUP("transport|NOx|Premature mortality", US_national_yearly!$D:$AM, 10, FALSE), 1)</f>
        <v>9.0556873127976747E-4</v>
      </c>
      <c r="Y2" s="7">
        <f>$B2 * IFERROR(VLOOKUP("transport|NOx|Premature mortality", US_national_yearly!$D:$AM, 33, FALSE) / VLOOKUP("transport|NOx|Premature mortality", US_national_yearly!$D:$AM, 10, FALSE), 1)</f>
        <v>9.0570832001856403E-4</v>
      </c>
      <c r="Z2" s="7">
        <f>$B2 * IFERROR(VLOOKUP("transport|NOx|Premature mortality", US_national_yearly!$D:$AM, 34, FALSE) / VLOOKUP("transport|NOx|Premature mortality", US_national_yearly!$D:$AM, 10, FALSE), 1)</f>
        <v>9.0584790875736048E-4</v>
      </c>
      <c r="AA2" s="7">
        <f>$B2 * IFERROR(VLOOKUP("transport|NOx|Premature mortality", US_national_yearly!$D:$AM, 35, FALSE) / VLOOKUP("transport|NOx|Premature mortality", US_national_yearly!$D:$AM, 10, FALSE), 1)</f>
        <v>9.0598749749615725E-4</v>
      </c>
      <c r="AB2" s="7">
        <f>$B2 * IFERROR(VLOOKUP("transport|NOx|Premature mortality", US_national_yearly!$D:$AM, 36, FALSE) / VLOOKUP("transport|NOx|Premature mortality", US_national_yearly!$D:$AM, 10, FALSE), 1)</f>
        <v>9.0612708623495381E-4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1.2947776587205255E-6</v>
      </c>
      <c r="C3" s="7">
        <f>$B3 * IFERROR(VLOOKUP("transport|NOx|Infant mortality", US_national_yearly!$D:$AM, 11, FALSE) / VLOOKUP("transport|NOx|Infant mortality", US_national_yearly!$D:$AM, 10, FALSE), 1)</f>
        <v>1.2824416022173329E-6</v>
      </c>
      <c r="D3" s="7">
        <f>$B3 * IFERROR(VLOOKUP("transport|NOx|Infant mortality", US_national_yearly!$D:$AM, 12, FALSE) / VLOOKUP("transport|NOx|Infant mortality", US_national_yearly!$D:$AM, 10, FALSE), 1)</f>
        <v>1.2701055457141401E-6</v>
      </c>
      <c r="E3" s="7">
        <f>$B3 * IFERROR(VLOOKUP("transport|NOx|Infant mortality", US_national_yearly!$D:$AM, 13, FALSE) / VLOOKUP("transport|NOx|Infant mortality", US_national_yearly!$D:$AM, 10, FALSE), 1)</f>
        <v>1.2577694892109472E-6</v>
      </c>
      <c r="F3" s="7">
        <f>$B3 * IFERROR(VLOOKUP("transport|NOx|Infant mortality", US_national_yearly!$D:$AM, 14, FALSE) / VLOOKUP("transport|NOx|Infant mortality", US_national_yearly!$D:$AM, 10, FALSE), 1)</f>
        <v>1.2454334327077546E-6</v>
      </c>
      <c r="G3" s="7">
        <f>$B3 * IFERROR(VLOOKUP("transport|NOx|Infant mortality", US_national_yearly!$D:$AM, 15, FALSE) / VLOOKUP("transport|NOx|Infant mortality", US_national_yearly!$D:$AM, 10, FALSE), 1)</f>
        <v>8.2678021335813239E-7</v>
      </c>
      <c r="H3" s="7">
        <f>$B3 * IFERROR(VLOOKUP("transport|NOx|Infant mortality", US_national_yearly!$D:$AM, 16, FALSE) / VLOOKUP("transport|NOx|Infant mortality", US_national_yearly!$D:$AM, 10, FALSE), 1)</f>
        <v>4.0812699400851018E-7</v>
      </c>
      <c r="I3" s="7">
        <f>$B3 * IFERROR(VLOOKUP("transport|NOx|Infant mortality", US_national_yearly!$D:$AM, 17, FALSE) / VLOOKUP("transport|NOx|Infant mortality", US_national_yearly!$D:$AM, 10, FALSE), 1)</f>
        <v>4.0524114647962819E-7</v>
      </c>
      <c r="J3" s="7">
        <f>$B3 * IFERROR(VLOOKUP("transport|NOx|Infant mortality", US_national_yearly!$D:$AM, 18, FALSE) / VLOOKUP("transport|NOx|Infant mortality", US_national_yearly!$D:$AM, 10, FALSE), 1)</f>
        <v>4.0235529895074615E-7</v>
      </c>
      <c r="K3" s="7">
        <f>$B3 * IFERROR(VLOOKUP("transport|NOx|Infant mortality", US_national_yearly!$D:$AM, 19, FALSE) / VLOOKUP("transport|NOx|Infant mortality", US_national_yearly!$D:$AM, 10, FALSE), 1)</f>
        <v>3.9946945142186416E-7</v>
      </c>
      <c r="L3" s="7">
        <f>$B3 * IFERROR(VLOOKUP("transport|NOx|Infant mortality", US_national_yearly!$D:$AM, 20, FALSE) / VLOOKUP("transport|NOx|Infant mortality", US_national_yearly!$D:$AM, 10, FALSE), 1)</f>
        <v>3.9658360389298217E-7</v>
      </c>
      <c r="M3" s="7">
        <f>$B3 * IFERROR(VLOOKUP("transport|NOx|Infant mortality", US_national_yearly!$D:$AM, 21, FALSE) / VLOOKUP("transport|NOx|Infant mortality", US_national_yearly!$D:$AM, 10, FALSE), 1)</f>
        <v>3.9369775636410013E-7</v>
      </c>
      <c r="N3" s="7">
        <f>$B3 * IFERROR(VLOOKUP("transport|NOx|Infant mortality", US_national_yearly!$D:$AM, 22, FALSE) / VLOOKUP("transport|NOx|Infant mortality", US_national_yearly!$D:$AM, 10, FALSE), 1)</f>
        <v>3.9178225143888371E-7</v>
      </c>
      <c r="O3" s="7">
        <f>$B3 * IFERROR(VLOOKUP("transport|NOx|Infant mortality", US_national_yearly!$D:$AM, 23, FALSE) / VLOOKUP("transport|NOx|Infant mortality", US_national_yearly!$D:$AM, 10, FALSE), 1)</f>
        <v>3.8986674651366723E-7</v>
      </c>
      <c r="P3" s="7">
        <f>$B3 * IFERROR(VLOOKUP("transport|NOx|Infant mortality", US_national_yearly!$D:$AM, 24, FALSE) / VLOOKUP("transport|NOx|Infant mortality", US_national_yearly!$D:$AM, 10, FALSE), 1)</f>
        <v>3.8795124158845081E-7</v>
      </c>
      <c r="Q3" s="7">
        <f>$B3 * IFERROR(VLOOKUP("transport|NOx|Infant mortality", US_national_yearly!$D:$AM, 25, FALSE) / VLOOKUP("transport|NOx|Infant mortality", US_national_yearly!$D:$AM, 10, FALSE), 1)</f>
        <v>3.8603573666323439E-7</v>
      </c>
      <c r="R3" s="7">
        <f>$B3 * IFERROR(VLOOKUP("transport|NOx|Infant mortality", US_national_yearly!$D:$AM, 26, FALSE) / VLOOKUP("transport|NOx|Infant mortality", US_national_yearly!$D:$AM, 10, FALSE), 1)</f>
        <v>3.8412023173801792E-7</v>
      </c>
      <c r="S3" s="7">
        <f>$B3 * IFERROR(VLOOKUP("transport|NOx|Infant mortality", US_national_yearly!$D:$AM, 27, FALSE) / VLOOKUP("transport|NOx|Infant mortality", US_national_yearly!$D:$AM, 10, FALSE), 1)</f>
        <v>3.8181749020698633E-7</v>
      </c>
      <c r="T3" s="7">
        <f>$B3 * IFERROR(VLOOKUP("transport|NOx|Infant mortality", US_national_yearly!$D:$AM, 28, FALSE) / VLOOKUP("transport|NOx|Infant mortality", US_national_yearly!$D:$AM, 10, FALSE), 1)</f>
        <v>3.7951474867595474E-7</v>
      </c>
      <c r="U3" s="7">
        <f>$B3 * IFERROR(VLOOKUP("transport|NOx|Infant mortality", US_national_yearly!$D:$AM, 29, FALSE) / VLOOKUP("transport|NOx|Infant mortality", US_national_yearly!$D:$AM, 10, FALSE), 1)</f>
        <v>3.772120071449231E-7</v>
      </c>
      <c r="V3" s="7">
        <f>$B3 * IFERROR(VLOOKUP("transport|NOx|Infant mortality", US_national_yearly!$D:$AM, 30, FALSE) / VLOOKUP("transport|NOx|Infant mortality", US_national_yearly!$D:$AM, 10, FALSE), 1)</f>
        <v>3.7490926561389152E-7</v>
      </c>
      <c r="W3" s="7">
        <f>$B3 * IFERROR(VLOOKUP("transport|NOx|Infant mortality", US_national_yearly!$D:$AM, 31, FALSE) / VLOOKUP("transport|NOx|Infant mortality", US_national_yearly!$D:$AM, 10, FALSE), 1)</f>
        <v>3.7260652408285988E-7</v>
      </c>
      <c r="X3" s="7">
        <f>$B3 * IFERROR(VLOOKUP("transport|NOx|Infant mortality", US_national_yearly!$D:$AM, 32, FALSE) / VLOOKUP("transport|NOx|Infant mortality", US_national_yearly!$D:$AM, 10, FALSE), 1)</f>
        <v>3.7016780944546196E-7</v>
      </c>
      <c r="Y3" s="7">
        <f>$B3 * IFERROR(VLOOKUP("transport|NOx|Infant mortality", US_national_yearly!$D:$AM, 33, FALSE) / VLOOKUP("transport|NOx|Infant mortality", US_national_yearly!$D:$AM, 10, FALSE), 1)</f>
        <v>3.6772909480806395E-7</v>
      </c>
      <c r="Z3" s="7">
        <f>$B3 * IFERROR(VLOOKUP("transport|NOx|Infant mortality", US_national_yearly!$D:$AM, 34, FALSE) / VLOOKUP("transport|NOx|Infant mortality", US_national_yearly!$D:$AM, 10, FALSE), 1)</f>
        <v>3.6529038017066593E-7</v>
      </c>
      <c r="AA3" s="7">
        <f>$B3 * IFERROR(VLOOKUP("transport|NOx|Infant mortality", US_national_yearly!$D:$AM, 35, FALSE) / VLOOKUP("transport|NOx|Infant mortality", US_national_yearly!$D:$AM, 10, FALSE), 1)</f>
        <v>3.6285166553326791E-7</v>
      </c>
      <c r="AB3" s="7">
        <f>$B3 * IFERROR(VLOOKUP("transport|NOx|Infant mortality", US_national_yearly!$D:$AM, 36, FALSE) / VLOOKUP("transport|NOx|Infant mortality", US_national_yearly!$D:$AM, 10, FALSE), 1)</f>
        <v>3.6041295089586989E-7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1.4368798412486086E-3</v>
      </c>
      <c r="C6" s="7">
        <f>$B6 * IFERROR(VLOOKUP("transport|NOx|Asthma symptoms cough", US_national_yearly!$D:$AM, 11, FALSE) / VLOOKUP("transport|NOx|Asthma symptoms cough", US_national_yearly!$D:$AM, 10, FALSE), 1)</f>
        <v>1.4565243378840251E-3</v>
      </c>
      <c r="D6" s="7">
        <f>$B6 * IFERROR(VLOOKUP("transport|NOx|Asthma symptoms cough", US_national_yearly!$D:$AM, 12, FALSE) / VLOOKUP("transport|NOx|Asthma symptoms cough", US_national_yearly!$D:$AM, 10, FALSE), 1)</f>
        <v>1.4761688345194415E-3</v>
      </c>
      <c r="E6" s="7">
        <f>$B6 * IFERROR(VLOOKUP("transport|NOx|Asthma symptoms cough", US_national_yearly!$D:$AM, 13, FALSE) / VLOOKUP("transport|NOx|Asthma symptoms cough", US_national_yearly!$D:$AM, 10, FALSE), 1)</f>
        <v>1.495813331154858E-3</v>
      </c>
      <c r="F6" s="7">
        <f>$B6 * IFERROR(VLOOKUP("transport|NOx|Asthma symptoms cough", US_national_yearly!$D:$AM, 14, FALSE) / VLOOKUP("transport|NOx|Asthma symptoms cough", US_national_yearly!$D:$AM, 10, FALSE), 1)</f>
        <v>1.5154578277902745E-3</v>
      </c>
      <c r="G6" s="7">
        <f>$B6 * IFERROR(VLOOKUP("transport|NOx|Asthma symptoms cough", US_national_yearly!$D:$AM, 15, FALSE) / VLOOKUP("transport|NOx|Asthma symptoms cough", US_national_yearly!$D:$AM, 10, FALSE), 1)</f>
        <v>1.5311412132207097E-3</v>
      </c>
      <c r="H6" s="7">
        <f>$B6 * IFERROR(VLOOKUP("transport|NOx|Asthma symptoms cough", US_national_yearly!$D:$AM, 16, FALSE) / VLOOKUP("transport|NOx|Asthma symptoms cough", US_national_yearly!$D:$AM, 10, FALSE), 1)</f>
        <v>1.5468245986511452E-3</v>
      </c>
      <c r="I6" s="7">
        <f>$B6 * IFERROR(VLOOKUP("transport|NOx|Asthma symptoms cough", US_national_yearly!$D:$AM, 17, FALSE) / VLOOKUP("transport|NOx|Asthma symptoms cough", US_national_yearly!$D:$AM, 10, FALSE), 1)</f>
        <v>1.5522225957105232E-3</v>
      </c>
      <c r="J6" s="7">
        <f>$B6 * IFERROR(VLOOKUP("transport|NOx|Asthma symptoms cough", US_national_yearly!$D:$AM, 18, FALSE) / VLOOKUP("transport|NOx|Asthma symptoms cough", US_national_yearly!$D:$AM, 10, FALSE), 1)</f>
        <v>1.5576205927699015E-3</v>
      </c>
      <c r="K6" s="7">
        <f>$B6 * IFERROR(VLOOKUP("transport|NOx|Asthma symptoms cough", US_national_yearly!$D:$AM, 19, FALSE) / VLOOKUP("transport|NOx|Asthma symptoms cough", US_national_yearly!$D:$AM, 10, FALSE), 1)</f>
        <v>1.5630185898292796E-3</v>
      </c>
      <c r="L6" s="7">
        <f>$B6 * IFERROR(VLOOKUP("transport|NOx|Asthma symptoms cough", US_national_yearly!$D:$AM, 20, FALSE) / VLOOKUP("transport|NOx|Asthma symptoms cough", US_national_yearly!$D:$AM, 10, FALSE), 1)</f>
        <v>1.5684165868886575E-3</v>
      </c>
      <c r="M6" s="7">
        <f>$B6 * IFERROR(VLOOKUP("transport|NOx|Asthma symptoms cough", US_national_yearly!$D:$AM, 21, FALSE) / VLOOKUP("transport|NOx|Asthma symptoms cough", US_national_yearly!$D:$AM, 10, FALSE), 1)</f>
        <v>1.573814583948036E-3</v>
      </c>
      <c r="N6" s="7">
        <f>$B6 * IFERROR(VLOOKUP("transport|NOx|Asthma symptoms cough", US_national_yearly!$D:$AM, 22, FALSE) / VLOOKUP("transport|NOx|Asthma symptoms cough", US_national_yearly!$D:$AM, 10, FALSE), 1)</f>
        <v>1.5800739635124872E-3</v>
      </c>
      <c r="O6" s="7">
        <f>$B6 * IFERROR(VLOOKUP("transport|NOx|Asthma symptoms cough", US_national_yearly!$D:$AM, 23, FALSE) / VLOOKUP("transport|NOx|Asthma symptoms cough", US_national_yearly!$D:$AM, 10, FALSE), 1)</f>
        <v>1.5863333430769385E-3</v>
      </c>
      <c r="P6" s="7">
        <f>$B6 * IFERROR(VLOOKUP("transport|NOx|Asthma symptoms cough", US_national_yearly!$D:$AM, 24, FALSE) / VLOOKUP("transport|NOx|Asthma symptoms cough", US_national_yearly!$D:$AM, 10, FALSE), 1)</f>
        <v>1.5925927226413897E-3</v>
      </c>
      <c r="Q6" s="7">
        <f>$B6 * IFERROR(VLOOKUP("transport|NOx|Asthma symptoms cough", US_national_yearly!$D:$AM, 25, FALSE) / VLOOKUP("transport|NOx|Asthma symptoms cough", US_national_yearly!$D:$AM, 10, FALSE), 1)</f>
        <v>1.5988521022058412E-3</v>
      </c>
      <c r="R6" s="7">
        <f>$B6 * IFERROR(VLOOKUP("transport|NOx|Asthma symptoms cough", US_national_yearly!$D:$AM, 26, FALSE) / VLOOKUP("transport|NOx|Asthma symptoms cough", US_national_yearly!$D:$AM, 10, FALSE), 1)</f>
        <v>1.6051114817702927E-3</v>
      </c>
      <c r="S6" s="7">
        <f>$B6 * IFERROR(VLOOKUP("transport|NOx|Asthma symptoms cough", US_national_yearly!$D:$AM, 27, FALSE) / VLOOKUP("transport|NOx|Asthma symptoms cough", US_national_yearly!$D:$AM, 10, FALSE), 1)</f>
        <v>1.613288225079085E-3</v>
      </c>
      <c r="T6" s="7">
        <f>$B6 * IFERROR(VLOOKUP("transport|NOx|Asthma symptoms cough", US_national_yearly!$D:$AM, 28, FALSE) / VLOOKUP("transport|NOx|Asthma symptoms cough", US_national_yearly!$D:$AM, 10, FALSE), 1)</f>
        <v>1.6214649683878768E-3</v>
      </c>
      <c r="U6" s="7">
        <f>$B6 * IFERROR(VLOOKUP("transport|NOx|Asthma symptoms cough", US_national_yearly!$D:$AM, 29, FALSE) / VLOOKUP("transport|NOx|Asthma symptoms cough", US_national_yearly!$D:$AM, 10, FALSE), 1)</f>
        <v>1.6296417116966684E-3</v>
      </c>
      <c r="V6" s="7">
        <f>$B6 * IFERROR(VLOOKUP("transport|NOx|Asthma symptoms cough", US_national_yearly!$D:$AM, 30, FALSE) / VLOOKUP("transport|NOx|Asthma symptoms cough", US_national_yearly!$D:$AM, 10, FALSE), 1)</f>
        <v>1.6378184550054609E-3</v>
      </c>
      <c r="W6" s="7">
        <f>$B6 * IFERROR(VLOOKUP("transport|NOx|Asthma symptoms cough", US_national_yearly!$D:$AM, 31, FALSE) / VLOOKUP("transport|NOx|Asthma symptoms cough", US_national_yearly!$D:$AM, 10, FALSE), 1)</f>
        <v>1.6459951983142527E-3</v>
      </c>
      <c r="X6" s="7">
        <f>$B6 * IFERROR(VLOOKUP("transport|NOx|Asthma symptoms cough", US_national_yearly!$D:$AM, 32, FALSE) / VLOOKUP("transport|NOx|Asthma symptoms cough", US_national_yearly!$D:$AM, 10, FALSE), 1)</f>
        <v>1.6535925677279612E-3</v>
      </c>
      <c r="Y6" s="7">
        <f>$B6 * IFERROR(VLOOKUP("transport|NOx|Asthma symptoms cough", US_national_yearly!$D:$AM, 33, FALSE) / VLOOKUP("transport|NOx|Asthma symptoms cough", US_national_yearly!$D:$AM, 10, FALSE), 1)</f>
        <v>1.6611899371416698E-3</v>
      </c>
      <c r="Z6" s="7">
        <f>$B6 * IFERROR(VLOOKUP("transport|NOx|Asthma symptoms cough", US_national_yearly!$D:$AM, 34, FALSE) / VLOOKUP("transport|NOx|Asthma symptoms cough", US_national_yearly!$D:$AM, 10, FALSE), 1)</f>
        <v>1.6687873065553782E-3</v>
      </c>
      <c r="AA6" s="7">
        <f>$B6 * IFERROR(VLOOKUP("transport|NOx|Asthma symptoms cough", US_national_yearly!$D:$AM, 35, FALSE) / VLOOKUP("transport|NOx|Asthma symptoms cough", US_national_yearly!$D:$AM, 10, FALSE), 1)</f>
        <v>1.6763846759690866E-3</v>
      </c>
      <c r="AB6" s="7">
        <f>$B6 * IFERROR(VLOOKUP("transport|NOx|Asthma symptoms cough", US_national_yearly!$D:$AM, 36, FALSE) / VLOOKUP("transport|NOx|Asthma symptoms cough", US_national_yearly!$D:$AM, 10, FALSE), 1)</f>
        <v>1.6839820453827953E-3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1.9349496451389254E-3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1.9614035702847227E-3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1.9878574954305191E-3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2.0143114205763164E-3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2.0407653457221132E-3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2.0618851082463913E-3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2.0830048707706694E-3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2.0902739910724612E-3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2.0975431113742535E-3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2.1048122316760453E-3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2.1120813519778371E-3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2.1193504722796289E-3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2.1277795586096319E-3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2.1362086449396344E-3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2.1446377312696369E-3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2.1530668175996394E-3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2.1614959039296419E-3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2.1725069753515858E-3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2.1835180467735301E-3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2.1945291181954736E-3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2.205540189617417E-3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2.2165512610393609E-3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2.2267821285154332E-3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2.2370129959915059E-3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2.2472438634675786E-3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2.2574747309436509E-3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2.2677055984197236E-3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2.9563377557436511E-3</v>
      </c>
      <c r="C8" s="7">
        <f>$B8 * IFERROR(VLOOKUP("transport|NOx|Asthma symptoms wheeze", US_national_yearly!$D:$AM, 11, FALSE) / VLOOKUP("transport|NOx|Asthma symptoms wheeze", US_national_yearly!$D:$AM, 10, FALSE), 1)</f>
        <v>2.9967557263413025E-3</v>
      </c>
      <c r="D8" s="7">
        <f>$B8 * IFERROR(VLOOKUP("transport|NOx|Asthma symptoms wheeze", US_national_yearly!$D:$AM, 12, FALSE) / VLOOKUP("transport|NOx|Asthma symptoms wheeze", US_national_yearly!$D:$AM, 10, FALSE), 1)</f>
        <v>3.0371736969389551E-3</v>
      </c>
      <c r="E8" s="7">
        <f>$B8 * IFERROR(VLOOKUP("transport|NOx|Asthma symptoms wheeze", US_national_yearly!$D:$AM, 13, FALSE) / VLOOKUP("transport|NOx|Asthma symptoms wheeze", US_national_yearly!$D:$AM, 10, FALSE), 1)</f>
        <v>3.0775916675366065E-3</v>
      </c>
      <c r="F8" s="7">
        <f>$B8 * IFERROR(VLOOKUP("transport|NOx|Asthma symptoms wheeze", US_national_yearly!$D:$AM, 14, FALSE) / VLOOKUP("transport|NOx|Asthma symptoms wheeze", US_national_yearly!$D:$AM, 10, FALSE), 1)</f>
        <v>3.1180096381342578E-3</v>
      </c>
      <c r="G8" s="7">
        <f>$B8 * IFERROR(VLOOKUP("transport|NOx|Asthma symptoms wheeze", US_national_yearly!$D:$AM, 15, FALSE) / VLOOKUP("transport|NOx|Asthma symptoms wheeze", US_national_yearly!$D:$AM, 10, FALSE), 1)</f>
        <v>3.1502777396507095E-3</v>
      </c>
      <c r="H8" s="7">
        <f>$B8 * IFERROR(VLOOKUP("transport|NOx|Asthma symptoms wheeze", US_national_yearly!$D:$AM, 16, FALSE) / VLOOKUP("transport|NOx|Asthma symptoms wheeze", US_national_yearly!$D:$AM, 10, FALSE), 1)</f>
        <v>3.1825458411671613E-3</v>
      </c>
      <c r="I8" s="7">
        <f>$B8 * IFERROR(VLOOKUP("transport|NOx|Asthma symptoms wheeze", US_national_yearly!$D:$AM, 17, FALSE) / VLOOKUP("transport|NOx|Asthma symptoms wheeze", US_national_yearly!$D:$AM, 10, FALSE), 1)</f>
        <v>3.1936520604533875E-3</v>
      </c>
      <c r="J8" s="7">
        <f>$B8 * IFERROR(VLOOKUP("transport|NOx|Asthma symptoms wheeze", US_national_yearly!$D:$AM, 18, FALSE) / VLOOKUP("transport|NOx|Asthma symptoms wheeze", US_national_yearly!$D:$AM, 10, FALSE), 1)</f>
        <v>3.204758279739615E-3</v>
      </c>
      <c r="K8" s="7">
        <f>$B8 * IFERROR(VLOOKUP("transport|NOx|Asthma symptoms wheeze", US_national_yearly!$D:$AM, 19, FALSE) / VLOOKUP("transport|NOx|Asthma symptoms wheeze", US_national_yearly!$D:$AM, 10, FALSE), 1)</f>
        <v>3.2158644990258408E-3</v>
      </c>
      <c r="L8" s="7">
        <f>$B8 * IFERROR(VLOOKUP("transport|NOx|Asthma symptoms wheeze", US_national_yearly!$D:$AM, 20, FALSE) / VLOOKUP("transport|NOx|Asthma symptoms wheeze", US_national_yearly!$D:$AM, 10, FALSE), 1)</f>
        <v>3.2269707183120678E-3</v>
      </c>
      <c r="M8" s="7">
        <f>$B8 * IFERROR(VLOOKUP("transport|NOx|Asthma symptoms wheeze", US_national_yearly!$D:$AM, 21, FALSE) / VLOOKUP("transport|NOx|Asthma symptoms wheeze", US_national_yearly!$D:$AM, 10, FALSE), 1)</f>
        <v>3.2380769375982945E-3</v>
      </c>
      <c r="N8" s="7">
        <f>$B8 * IFERROR(VLOOKUP("transport|NOx|Asthma symptoms wheeze", US_national_yearly!$D:$AM, 22, FALSE) / VLOOKUP("transport|NOx|Asthma symptoms wheeze", US_national_yearly!$D:$AM, 10, FALSE), 1)</f>
        <v>3.2509554259156385E-3</v>
      </c>
      <c r="O8" s="7">
        <f>$B8 * IFERROR(VLOOKUP("transport|NOx|Asthma symptoms wheeze", US_national_yearly!$D:$AM, 23, FALSE) / VLOOKUP("transport|NOx|Asthma symptoms wheeze", US_national_yearly!$D:$AM, 10, FALSE), 1)</f>
        <v>3.2638339142329834E-3</v>
      </c>
      <c r="P8" s="7">
        <f>$B8 * IFERROR(VLOOKUP("transport|NOx|Asthma symptoms wheeze", US_national_yearly!$D:$AM, 24, FALSE) / VLOOKUP("transport|NOx|Asthma symptoms wheeze", US_national_yearly!$D:$AM, 10, FALSE), 1)</f>
        <v>3.2767124025503275E-3</v>
      </c>
      <c r="Q8" s="7">
        <f>$B8 * IFERROR(VLOOKUP("transport|NOx|Asthma symptoms wheeze", US_national_yearly!$D:$AM, 25, FALSE) / VLOOKUP("transport|NOx|Asthma symptoms wheeze", US_national_yearly!$D:$AM, 10, FALSE), 1)</f>
        <v>3.2895908908676724E-3</v>
      </c>
      <c r="R8" s="7">
        <f>$B8 * IFERROR(VLOOKUP("transport|NOx|Asthma symptoms wheeze", US_national_yearly!$D:$AM, 26, FALSE) / VLOOKUP("transport|NOx|Asthma symptoms wheeze", US_national_yearly!$D:$AM, 10, FALSE), 1)</f>
        <v>3.3024693791850164E-3</v>
      </c>
      <c r="S8" s="7">
        <f>$B8 * IFERROR(VLOOKUP("transport|NOx|Asthma symptoms wheeze", US_national_yearly!$D:$AM, 27, FALSE) / VLOOKUP("transport|NOx|Asthma symptoms wheeze", US_national_yearly!$D:$AM, 10, FALSE), 1)</f>
        <v>3.3192927866856374E-3</v>
      </c>
      <c r="T8" s="7">
        <f>$B8 * IFERROR(VLOOKUP("transport|NOx|Asthma symptoms wheeze", US_national_yearly!$D:$AM, 28, FALSE) / VLOOKUP("transport|NOx|Asthma symptoms wheeze", US_national_yearly!$D:$AM, 10, FALSE), 1)</f>
        <v>3.3361161941862583E-3</v>
      </c>
      <c r="U8" s="7">
        <f>$B8 * IFERROR(VLOOKUP("transport|NOx|Asthma symptoms wheeze", US_national_yearly!$D:$AM, 29, FALSE) / VLOOKUP("transport|NOx|Asthma symptoms wheeze", US_national_yearly!$D:$AM, 10, FALSE), 1)</f>
        <v>3.3529396016868792E-3</v>
      </c>
      <c r="V8" s="7">
        <f>$B8 * IFERROR(VLOOKUP("transport|NOx|Asthma symptoms wheeze", US_national_yearly!$D:$AM, 30, FALSE) / VLOOKUP("transport|NOx|Asthma symptoms wheeze", US_national_yearly!$D:$AM, 10, FALSE), 1)</f>
        <v>3.3697630091875006E-3</v>
      </c>
      <c r="W8" s="7">
        <f>$B8 * IFERROR(VLOOKUP("transport|NOx|Asthma symptoms wheeze", US_national_yearly!$D:$AM, 31, FALSE) / VLOOKUP("transport|NOx|Asthma symptoms wheeze", US_national_yearly!$D:$AM, 10, FALSE), 1)</f>
        <v>3.3865864166881207E-3</v>
      </c>
      <c r="X8" s="7">
        <f>$B8 * IFERROR(VLOOKUP("transport|NOx|Asthma symptoms wheeze", US_national_yearly!$D:$AM, 32, FALSE) / VLOOKUP("transport|NOx|Asthma symptoms wheeze", US_national_yearly!$D:$AM, 10, FALSE), 1)</f>
        <v>3.4022177795314077E-3</v>
      </c>
      <c r="Y8" s="7">
        <f>$B8 * IFERROR(VLOOKUP("transport|NOx|Asthma symptoms wheeze", US_national_yearly!$D:$AM, 33, FALSE) / VLOOKUP("transport|NOx|Asthma symptoms wheeze", US_national_yearly!$D:$AM, 10, FALSE), 1)</f>
        <v>3.4178491423746938E-3</v>
      </c>
      <c r="Z8" s="7">
        <f>$B8 * IFERROR(VLOOKUP("transport|NOx|Asthma symptoms wheeze", US_national_yearly!$D:$AM, 34, FALSE) / VLOOKUP("transport|NOx|Asthma symptoms wheeze", US_national_yearly!$D:$AM, 10, FALSE), 1)</f>
        <v>3.4334805052179808E-3</v>
      </c>
      <c r="AA8" s="7">
        <f>$B8 * IFERROR(VLOOKUP("transport|NOx|Asthma symptoms wheeze", US_national_yearly!$D:$AM, 35, FALSE) / VLOOKUP("transport|NOx|Asthma symptoms wheeze", US_national_yearly!$D:$AM, 10, FALSE), 1)</f>
        <v>3.4491118680612669E-3</v>
      </c>
      <c r="AB8" s="7">
        <f>$B8 * IFERROR(VLOOKUP("transport|NOx|Asthma symptoms wheeze", US_national_yearly!$D:$AM, 36, FALSE) / VLOOKUP("transport|NOx|Asthma symptoms wheeze", US_national_yearly!$D:$AM, 10, FALSE), 1)</f>
        <v>3.4647432309045535E-3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5.1696872327939979E-5</v>
      </c>
      <c r="C12" s="7">
        <f>$B12 * IFERROR(VLOOKUP("transport|NOx|Respiratory hospital admissions", US_national_yearly!$D:$AM, 11, FALSE) / VLOOKUP("transport|NOx|Respiratory hospital admissions", US_national_yearly!$D:$AM, 10, FALSE), 1)</f>
        <v>5.2986433474333167E-5</v>
      </c>
      <c r="D12" s="7">
        <f>$B12 * IFERROR(VLOOKUP("transport|NOx|Respiratory hospital admissions", US_national_yearly!$D:$AM, 12, FALSE) / VLOOKUP("transport|NOx|Respiratory hospital admissions", US_national_yearly!$D:$AM, 10, FALSE), 1)</f>
        <v>5.4275994620726368E-5</v>
      </c>
      <c r="E12" s="7">
        <f>$B12 * IFERROR(VLOOKUP("transport|NOx|Respiratory hospital admissions", US_national_yearly!$D:$AM, 13, FALSE) / VLOOKUP("transport|NOx|Respiratory hospital admissions", US_national_yearly!$D:$AM, 10, FALSE), 1)</f>
        <v>5.5565555767119569E-5</v>
      </c>
      <c r="F12" s="7">
        <f>$B12 * IFERROR(VLOOKUP("transport|NOx|Respiratory hospital admissions", US_national_yearly!$D:$AM, 14, FALSE) / VLOOKUP("transport|NOx|Respiratory hospital admissions", US_national_yearly!$D:$AM, 10, FALSE), 1)</f>
        <v>5.685511691351277E-5</v>
      </c>
      <c r="G12" s="7">
        <f>$B12 * IFERROR(VLOOKUP("transport|NOx|Respiratory hospital admissions", US_national_yearly!$D:$AM, 15, FALSE) / VLOOKUP("transport|NOx|Respiratory hospital admissions", US_national_yearly!$D:$AM, 10, FALSE), 1)</f>
        <v>5.808798126090146E-5</v>
      </c>
      <c r="H12" s="7">
        <f>$B12 * IFERROR(VLOOKUP("transport|NOx|Respiratory hospital admissions", US_national_yearly!$D:$AM, 16, FALSE) / VLOOKUP("transport|NOx|Respiratory hospital admissions", US_national_yearly!$D:$AM, 10, FALSE), 1)</f>
        <v>5.9320845608290144E-5</v>
      </c>
      <c r="I12" s="7">
        <f>$B12 * IFERROR(VLOOKUP("transport|NOx|Respiratory hospital admissions", US_national_yearly!$D:$AM, 17, FALSE) / VLOOKUP("transport|NOx|Respiratory hospital admissions", US_national_yearly!$D:$AM, 10, FALSE), 1)</f>
        <v>6.036757278434918E-5</v>
      </c>
      <c r="J12" s="7">
        <f>$B12 * IFERROR(VLOOKUP("transport|NOx|Respiratory hospital admissions", US_national_yearly!$D:$AM, 18, FALSE) / VLOOKUP("transport|NOx|Respiratory hospital admissions", US_national_yearly!$D:$AM, 10, FALSE), 1)</f>
        <v>6.1414299960408202E-5</v>
      </c>
      <c r="K12" s="7">
        <f>$B12 * IFERROR(VLOOKUP("transport|NOx|Respiratory hospital admissions", US_national_yearly!$D:$AM, 19, FALSE) / VLOOKUP("transport|NOx|Respiratory hospital admissions", US_national_yearly!$D:$AM, 10, FALSE), 1)</f>
        <v>6.2461027136467238E-5</v>
      </c>
      <c r="L12" s="7">
        <f>$B12 * IFERROR(VLOOKUP("transport|NOx|Respiratory hospital admissions", US_national_yearly!$D:$AM, 20, FALSE) / VLOOKUP("transport|NOx|Respiratory hospital admissions", US_national_yearly!$D:$AM, 10, FALSE), 1)</f>
        <v>6.3507754312526273E-5</v>
      </c>
      <c r="M12" s="7">
        <f>$B12 * IFERROR(VLOOKUP("transport|NOx|Respiratory hospital admissions", US_national_yearly!$D:$AM, 21, FALSE) / VLOOKUP("transport|NOx|Respiratory hospital admissions", US_national_yearly!$D:$AM, 10, FALSE), 1)</f>
        <v>6.4554481488585295E-5</v>
      </c>
      <c r="N12" s="7">
        <f>$B12 * IFERROR(VLOOKUP("transport|NOx|Respiratory hospital admissions", US_national_yearly!$D:$AM, 22, FALSE) / VLOOKUP("transport|NOx|Respiratory hospital admissions", US_national_yearly!$D:$AM, 10, FALSE), 1)</f>
        <v>6.5254237451642329E-5</v>
      </c>
      <c r="O12" s="7">
        <f>$B12 * IFERROR(VLOOKUP("transport|NOx|Respiratory hospital admissions", US_national_yearly!$D:$AM, 23, FALSE) / VLOOKUP("transport|NOx|Respiratory hospital admissions", US_national_yearly!$D:$AM, 10, FALSE), 1)</f>
        <v>6.5953993414699376E-5</v>
      </c>
      <c r="P12" s="7">
        <f>$B12 * IFERROR(VLOOKUP("transport|NOx|Respiratory hospital admissions", US_national_yearly!$D:$AM, 24, FALSE) / VLOOKUP("transport|NOx|Respiratory hospital admissions", US_national_yearly!$D:$AM, 10, FALSE), 1)</f>
        <v>6.6653749377756409E-5</v>
      </c>
      <c r="Q12" s="7">
        <f>$B12 * IFERROR(VLOOKUP("transport|NOx|Respiratory hospital admissions", US_national_yearly!$D:$AM, 25, FALSE) / VLOOKUP("transport|NOx|Respiratory hospital admissions", US_national_yearly!$D:$AM, 10, FALSE), 1)</f>
        <v>6.7353505340813456E-5</v>
      </c>
      <c r="R12" s="7">
        <f>$B12 * IFERROR(VLOOKUP("transport|NOx|Respiratory hospital admissions", US_national_yearly!$D:$AM, 26, FALSE) / VLOOKUP("transport|NOx|Respiratory hospital admissions", US_national_yearly!$D:$AM, 10, FALSE), 1)</f>
        <v>6.8053261303870489E-5</v>
      </c>
      <c r="S12" s="7">
        <f>$B12 * IFERROR(VLOOKUP("transport|NOx|Respiratory hospital admissions", US_national_yearly!$D:$AM, 27, FALSE) / VLOOKUP("transport|NOx|Respiratory hospital admissions", US_national_yearly!$D:$AM, 10, FALSE), 1)</f>
        <v>6.8428171587686188E-5</v>
      </c>
      <c r="T12" s="7">
        <f>$B12 * IFERROR(VLOOKUP("transport|NOx|Respiratory hospital admissions", US_national_yearly!$D:$AM, 28, FALSE) / VLOOKUP("transport|NOx|Respiratory hospital admissions", US_national_yearly!$D:$AM, 10, FALSE), 1)</f>
        <v>6.8803081871501886E-5</v>
      </c>
      <c r="U12" s="7">
        <f>$B12 * IFERROR(VLOOKUP("transport|NOx|Respiratory hospital admissions", US_national_yearly!$D:$AM, 29, FALSE) / VLOOKUP("transport|NOx|Respiratory hospital admissions", US_national_yearly!$D:$AM, 10, FALSE), 1)</f>
        <v>6.9177992155317598E-5</v>
      </c>
      <c r="V12" s="7">
        <f>$B12 * IFERROR(VLOOKUP("transport|NOx|Respiratory hospital admissions", US_national_yearly!$D:$AM, 30, FALSE) / VLOOKUP("transport|NOx|Respiratory hospital admissions", US_national_yearly!$D:$AM, 10, FALSE), 1)</f>
        <v>6.9552902439133283E-5</v>
      </c>
      <c r="W12" s="7">
        <f>$B12 * IFERROR(VLOOKUP("transport|NOx|Respiratory hospital admissions", US_national_yearly!$D:$AM, 31, FALSE) / VLOOKUP("transport|NOx|Respiratory hospital admissions", US_national_yearly!$D:$AM, 10, FALSE), 1)</f>
        <v>6.9927812722948995E-5</v>
      </c>
      <c r="X12" s="7">
        <f>$B12 * IFERROR(VLOOKUP("transport|NOx|Respiratory hospital admissions", US_national_yearly!$D:$AM, 32, FALSE) / VLOOKUP("transport|NOx|Respiratory hospital admissions", US_national_yearly!$D:$AM, 10, FALSE), 1)</f>
        <v>7.0184015194910764E-5</v>
      </c>
      <c r="Y12" s="7">
        <f>$B12 * IFERROR(VLOOKUP("transport|NOx|Respiratory hospital admissions", US_national_yearly!$D:$AM, 33, FALSE) / VLOOKUP("transport|NOx|Respiratory hospital admissions", US_national_yearly!$D:$AM, 10, FALSE), 1)</f>
        <v>7.0440217666872546E-5</v>
      </c>
      <c r="Z12" s="7">
        <f>$B12 * IFERROR(VLOOKUP("transport|NOx|Respiratory hospital admissions", US_national_yearly!$D:$AM, 34, FALSE) / VLOOKUP("transport|NOx|Respiratory hospital admissions", US_national_yearly!$D:$AM, 10, FALSE), 1)</f>
        <v>7.0696420138834329E-5</v>
      </c>
      <c r="AA12" s="7">
        <f>$B12 * IFERROR(VLOOKUP("transport|NOx|Respiratory hospital admissions", US_national_yearly!$D:$AM, 35, FALSE) / VLOOKUP("transport|NOx|Respiratory hospital admissions", US_national_yearly!$D:$AM, 10, FALSE), 1)</f>
        <v>7.0952622610796125E-5</v>
      </c>
      <c r="AB12" s="7">
        <f>$B12 * IFERROR(VLOOKUP("transport|NOx|Respiratory hospital admissions", US_national_yearly!$D:$AM, 36, FALSE) / VLOOKUP("transport|NOx|Respiratory hospital admissions", US_national_yearly!$D:$AM, 10, FALSE), 1)</f>
        <v>7.1208825082757894E-5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3.2166682418701689E-4</v>
      </c>
      <c r="C13" s="7">
        <f>$B13 * IFERROR(VLOOKUP("transport|NOx|Non-fatal heart attacks", US_national_yearly!$D:$AM, 11, FALSE) / VLOOKUP("transport|NOx|Non-fatal heart attacks", US_national_yearly!$D:$AM, 10, FALSE), 1)</f>
        <v>3.3086299528396957E-4</v>
      </c>
      <c r="D13" s="7">
        <f>$B13 * IFERROR(VLOOKUP("transport|NOx|Non-fatal heart attacks", US_national_yearly!$D:$AM, 12, FALSE) / VLOOKUP("transport|NOx|Non-fatal heart attacks", US_national_yearly!$D:$AM, 10, FALSE), 1)</f>
        <v>3.4005916638092231E-4</v>
      </c>
      <c r="E13" s="7">
        <f>$B13 * IFERROR(VLOOKUP("transport|NOx|Non-fatal heart attacks", US_national_yearly!$D:$AM, 13, FALSE) / VLOOKUP("transport|NOx|Non-fatal heart attacks", US_national_yearly!$D:$AM, 10, FALSE), 1)</f>
        <v>3.4925533747787494E-4</v>
      </c>
      <c r="F13" s="7">
        <f>$B13 * IFERROR(VLOOKUP("transport|NOx|Non-fatal heart attacks", US_national_yearly!$D:$AM, 14, FALSE) / VLOOKUP("transport|NOx|Non-fatal heart attacks", US_national_yearly!$D:$AM, 10, FALSE), 1)</f>
        <v>3.5845150857482768E-4</v>
      </c>
      <c r="G13" s="7">
        <f>$B13 * IFERROR(VLOOKUP("transport|NOx|Non-fatal heart attacks", US_national_yearly!$D:$AM, 15, FALSE) / VLOOKUP("transport|NOx|Non-fatal heart attacks", US_national_yearly!$D:$AM, 10, FALSE), 1)</f>
        <v>3.6704531135209426E-4</v>
      </c>
      <c r="H13" s="7">
        <f>$B13 * IFERROR(VLOOKUP("transport|NOx|Non-fatal heart attacks", US_national_yearly!$D:$AM, 16, FALSE) / VLOOKUP("transport|NOx|Non-fatal heart attacks", US_national_yearly!$D:$AM, 10, FALSE), 1)</f>
        <v>3.756391141293609E-4</v>
      </c>
      <c r="I13" s="7">
        <f>$B13 * IFERROR(VLOOKUP("transport|NOx|Non-fatal heart attacks", US_national_yearly!$D:$AM, 17, FALSE) / VLOOKUP("transport|NOx|Non-fatal heart attacks", US_national_yearly!$D:$AM, 10, FALSE), 1)</f>
        <v>3.8241434525378062E-4</v>
      </c>
      <c r="J13" s="7">
        <f>$B13 * IFERROR(VLOOKUP("transport|NOx|Non-fatal heart attacks", US_national_yearly!$D:$AM, 18, FALSE) / VLOOKUP("transport|NOx|Non-fatal heart attacks", US_national_yearly!$D:$AM, 10, FALSE), 1)</f>
        <v>3.8918957637820039E-4</v>
      </c>
      <c r="K13" s="7">
        <f>$B13 * IFERROR(VLOOKUP("transport|NOx|Non-fatal heart attacks", US_national_yearly!$D:$AM, 19, FALSE) / VLOOKUP("transport|NOx|Non-fatal heart attacks", US_national_yearly!$D:$AM, 10, FALSE), 1)</f>
        <v>3.959648075026199E-4</v>
      </c>
      <c r="L13" s="7">
        <f>$B13 * IFERROR(VLOOKUP("transport|NOx|Non-fatal heart attacks", US_national_yearly!$D:$AM, 20, FALSE) / VLOOKUP("transport|NOx|Non-fatal heart attacks", US_national_yearly!$D:$AM, 10, FALSE), 1)</f>
        <v>4.0274003862703989E-4</v>
      </c>
      <c r="M13" s="7">
        <f>$B13 * IFERROR(VLOOKUP("transport|NOx|Non-fatal heart attacks", US_national_yearly!$D:$AM, 21, FALSE) / VLOOKUP("transport|NOx|Non-fatal heart attacks", US_national_yearly!$D:$AM, 10, FALSE), 1)</f>
        <v>4.0951526975145956E-4</v>
      </c>
      <c r="N13" s="7">
        <f>$B13 * IFERROR(VLOOKUP("transport|NOx|Non-fatal heart attacks", US_national_yearly!$D:$AM, 22, FALSE) / VLOOKUP("transport|NOx|Non-fatal heart attacks", US_national_yearly!$D:$AM, 10, FALSE), 1)</f>
        <v>4.1359145426548384E-4</v>
      </c>
      <c r="O13" s="7">
        <f>$B13 * IFERROR(VLOOKUP("transport|NOx|Non-fatal heart attacks", US_national_yearly!$D:$AM, 23, FALSE) / VLOOKUP("transport|NOx|Non-fatal heart attacks", US_national_yearly!$D:$AM, 10, FALSE), 1)</f>
        <v>4.1766763877950811E-4</v>
      </c>
      <c r="P13" s="7">
        <f>$B13 * IFERROR(VLOOKUP("transport|NOx|Non-fatal heart attacks", US_national_yearly!$D:$AM, 24, FALSE) / VLOOKUP("transport|NOx|Non-fatal heart attacks", US_national_yearly!$D:$AM, 10, FALSE), 1)</f>
        <v>4.2174382329353234E-4</v>
      </c>
      <c r="Q13" s="7">
        <f>$B13 * IFERROR(VLOOKUP("transport|NOx|Non-fatal heart attacks", US_national_yearly!$D:$AM, 25, FALSE) / VLOOKUP("transport|NOx|Non-fatal heart attacks", US_national_yearly!$D:$AM, 10, FALSE), 1)</f>
        <v>4.2582000780755672E-4</v>
      </c>
      <c r="R13" s="7">
        <f>$B13 * IFERROR(VLOOKUP("transport|NOx|Non-fatal heart attacks", US_national_yearly!$D:$AM, 26, FALSE) / VLOOKUP("transport|NOx|Non-fatal heart attacks", US_national_yearly!$D:$AM, 10, FALSE), 1)</f>
        <v>4.29896192321581E-4</v>
      </c>
      <c r="S13" s="7">
        <f>$B13 * IFERROR(VLOOKUP("transport|NOx|Non-fatal heart attacks", US_national_yearly!$D:$AM, 27, FALSE) / VLOOKUP("transport|NOx|Non-fatal heart attacks", US_national_yearly!$D:$AM, 10, FALSE), 1)</f>
        <v>4.3174517780955092E-4</v>
      </c>
      <c r="T13" s="7">
        <f>$B13 * IFERROR(VLOOKUP("transport|NOx|Non-fatal heart attacks", US_national_yearly!$D:$AM, 28, FALSE) / VLOOKUP("transport|NOx|Non-fatal heart attacks", US_national_yearly!$D:$AM, 10, FALSE), 1)</f>
        <v>4.3359416329752083E-4</v>
      </c>
      <c r="U13" s="7">
        <f>$B13 * IFERROR(VLOOKUP("transport|NOx|Non-fatal heart attacks", US_national_yearly!$D:$AM, 29, FALSE) / VLOOKUP("transport|NOx|Non-fatal heart attacks", US_national_yearly!$D:$AM, 10, FALSE), 1)</f>
        <v>4.3544314878549075E-4</v>
      </c>
      <c r="V13" s="7">
        <f>$B13 * IFERROR(VLOOKUP("transport|NOx|Non-fatal heart attacks", US_national_yearly!$D:$AM, 30, FALSE) / VLOOKUP("transport|NOx|Non-fatal heart attacks", US_national_yearly!$D:$AM, 10, FALSE), 1)</f>
        <v>4.3729213427346066E-4</v>
      </c>
      <c r="W13" s="7">
        <f>$B13 * IFERROR(VLOOKUP("transport|NOx|Non-fatal heart attacks", US_national_yearly!$D:$AM, 31, FALSE) / VLOOKUP("transport|NOx|Non-fatal heart attacks", US_national_yearly!$D:$AM, 10, FALSE), 1)</f>
        <v>4.3914111976143052E-4</v>
      </c>
      <c r="X13" s="7">
        <f>$B13 * IFERROR(VLOOKUP("transport|NOx|Non-fatal heart attacks", US_national_yearly!$D:$AM, 32, FALSE) / VLOOKUP("transport|NOx|Non-fatal heart attacks", US_national_yearly!$D:$AM, 10, FALSE), 1)</f>
        <v>4.4037670915479969E-4</v>
      </c>
      <c r="Y13" s="7">
        <f>$B13 * IFERROR(VLOOKUP("transport|NOx|Non-fatal heart attacks", US_national_yearly!$D:$AM, 33, FALSE) / VLOOKUP("transport|NOx|Non-fatal heart attacks", US_national_yearly!$D:$AM, 10, FALSE), 1)</f>
        <v>4.4161229854816885E-4</v>
      </c>
      <c r="Z13" s="7">
        <f>$B13 * IFERROR(VLOOKUP("transport|NOx|Non-fatal heart attacks", US_national_yearly!$D:$AM, 34, FALSE) / VLOOKUP("transport|NOx|Non-fatal heart attacks", US_national_yearly!$D:$AM, 10, FALSE), 1)</f>
        <v>4.4284788794153791E-4</v>
      </c>
      <c r="AA13" s="7">
        <f>$B13 * IFERROR(VLOOKUP("transport|NOx|Non-fatal heart attacks", US_national_yearly!$D:$AM, 35, FALSE) / VLOOKUP("transport|NOx|Non-fatal heart attacks", US_national_yearly!$D:$AM, 10, FALSE), 1)</f>
        <v>4.4408347733490702E-4</v>
      </c>
      <c r="AB13" s="7">
        <f>$B13 * IFERROR(VLOOKUP("transport|NOx|Non-fatal heart attacks", US_national_yearly!$D:$AM, 36, FALSE) / VLOOKUP("transport|NOx|Non-fatal heart attacks", US_national_yearly!$D:$AM, 10, FALSE), 1)</f>
        <v>4.4531906672827618E-4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0.20359004667948991</v>
      </c>
      <c r="C14" s="7">
        <f>$B14 * IFERROR(VLOOKUP("transport|NOx|Minor restricted activity days", US_national_yearly!$D:$AM, 11, FALSE) / VLOOKUP("transport|NOx|Minor restricted activity days", US_national_yearly!$D:$AM, 10, FALSE), 1)</f>
        <v>0.20390218438725072</v>
      </c>
      <c r="D14" s="7">
        <f>$B14 * IFERROR(VLOOKUP("transport|NOx|Minor restricted activity days", US_national_yearly!$D:$AM, 12, FALSE) / VLOOKUP("transport|NOx|Minor restricted activity days", US_national_yearly!$D:$AM, 10, FALSE), 1)</f>
        <v>0.20421432209501159</v>
      </c>
      <c r="E14" s="7">
        <f>$B14 * IFERROR(VLOOKUP("transport|NOx|Minor restricted activity days", US_national_yearly!$D:$AM, 13, FALSE) / VLOOKUP("transport|NOx|Minor restricted activity days", US_national_yearly!$D:$AM, 10, FALSE), 1)</f>
        <v>0.20452645980277243</v>
      </c>
      <c r="F14" s="7">
        <f>$B14 * IFERROR(VLOOKUP("transport|NOx|Minor restricted activity days", US_national_yearly!$D:$AM, 14, FALSE) / VLOOKUP("transport|NOx|Minor restricted activity days", US_national_yearly!$D:$AM, 10, FALSE), 1)</f>
        <v>0.20483859751053324</v>
      </c>
      <c r="G14" s="7">
        <f>$B14 * IFERROR(VLOOKUP("transport|NOx|Minor restricted activity days", US_national_yearly!$D:$AM, 15, FALSE) / VLOOKUP("transport|NOx|Minor restricted activity days", US_national_yearly!$D:$AM, 10, FALSE), 1)</f>
        <v>0.20540224391559078</v>
      </c>
      <c r="H14" s="7">
        <f>$B14 * IFERROR(VLOOKUP("transport|NOx|Minor restricted activity days", US_national_yearly!$D:$AM, 16, FALSE) / VLOOKUP("transport|NOx|Minor restricted activity days", US_national_yearly!$D:$AM, 10, FALSE), 1)</f>
        <v>0.20596589032064827</v>
      </c>
      <c r="I14" s="7">
        <f>$B14 * IFERROR(VLOOKUP("transport|NOx|Minor restricted activity days", US_national_yearly!$D:$AM, 17, FALSE) / VLOOKUP("transport|NOx|Minor restricted activity days", US_national_yearly!$D:$AM, 10, FALSE), 1)</f>
        <v>0.20706836040005558</v>
      </c>
      <c r="J14" s="7">
        <f>$B14 * IFERROR(VLOOKUP("transport|NOx|Minor restricted activity days", US_national_yearly!$D:$AM, 18, FALSE) / VLOOKUP("transport|NOx|Minor restricted activity days", US_national_yearly!$D:$AM, 10, FALSE), 1)</f>
        <v>0.20817083047946286</v>
      </c>
      <c r="K14" s="7">
        <f>$B14 * IFERROR(VLOOKUP("transport|NOx|Minor restricted activity days", US_national_yearly!$D:$AM, 19, FALSE) / VLOOKUP("transport|NOx|Minor restricted activity days", US_national_yearly!$D:$AM, 10, FALSE), 1)</f>
        <v>0.20927330055887017</v>
      </c>
      <c r="L14" s="7">
        <f>$B14 * IFERROR(VLOOKUP("transport|NOx|Minor restricted activity days", US_national_yearly!$D:$AM, 20, FALSE) / VLOOKUP("transport|NOx|Minor restricted activity days", US_national_yearly!$D:$AM, 10, FALSE), 1)</f>
        <v>0.21037577063827742</v>
      </c>
      <c r="M14" s="7">
        <f>$B14 * IFERROR(VLOOKUP("transport|NOx|Minor restricted activity days", US_national_yearly!$D:$AM, 21, FALSE) / VLOOKUP("transport|NOx|Minor restricted activity days", US_national_yearly!$D:$AM, 10, FALSE), 1)</f>
        <v>0.21147824071768476</v>
      </c>
      <c r="N14" s="7">
        <f>$B14 * IFERROR(VLOOKUP("transport|NOx|Minor restricted activity days", US_national_yearly!$D:$AM, 22, FALSE) / VLOOKUP("transport|NOx|Minor restricted activity days", US_national_yearly!$D:$AM, 10, FALSE), 1)</f>
        <v>0.21305672789171992</v>
      </c>
      <c r="O14" s="7">
        <f>$B14 * IFERROR(VLOOKUP("transport|NOx|Minor restricted activity days", US_national_yearly!$D:$AM, 23, FALSE) / VLOOKUP("transport|NOx|Minor restricted activity days", US_national_yearly!$D:$AM, 10, FALSE), 1)</f>
        <v>0.21463521506575509</v>
      </c>
      <c r="P14" s="7">
        <f>$B14 * IFERROR(VLOOKUP("transport|NOx|Minor restricted activity days", US_national_yearly!$D:$AM, 24, FALSE) / VLOOKUP("transport|NOx|Minor restricted activity days", US_national_yearly!$D:$AM, 10, FALSE), 1)</f>
        <v>0.21621370223979025</v>
      </c>
      <c r="Q14" s="7">
        <f>$B14 * IFERROR(VLOOKUP("transport|NOx|Minor restricted activity days", US_national_yearly!$D:$AM, 25, FALSE) / VLOOKUP("transport|NOx|Minor restricted activity days", US_national_yearly!$D:$AM, 10, FALSE), 1)</f>
        <v>0.21779218941382544</v>
      </c>
      <c r="R14" s="7">
        <f>$B14 * IFERROR(VLOOKUP("transport|NOx|Minor restricted activity days", US_national_yearly!$D:$AM, 26, FALSE) / VLOOKUP("transport|NOx|Minor restricted activity days", US_national_yearly!$D:$AM, 10, FALSE), 1)</f>
        <v>0.21937067658786061</v>
      </c>
      <c r="S14" s="7">
        <f>$B14 * IFERROR(VLOOKUP("transport|NOx|Minor restricted activity days", US_national_yearly!$D:$AM, 27, FALSE) / VLOOKUP("transport|NOx|Minor restricted activity days", US_national_yearly!$D:$AM, 10, FALSE), 1)</f>
        <v>0.22094883188834594</v>
      </c>
      <c r="T14" s="7">
        <f>$B14 * IFERROR(VLOOKUP("transport|NOx|Minor restricted activity days", US_national_yearly!$D:$AM, 28, FALSE) / VLOOKUP("transport|NOx|Minor restricted activity days", US_national_yearly!$D:$AM, 10, FALSE), 1)</f>
        <v>0.22252698718883124</v>
      </c>
      <c r="U14" s="7">
        <f>$B14 * IFERROR(VLOOKUP("transport|NOx|Minor restricted activity days", US_national_yearly!$D:$AM, 29, FALSE) / VLOOKUP("transport|NOx|Minor restricted activity days", US_national_yearly!$D:$AM, 10, FALSE), 1)</f>
        <v>0.22410514248931657</v>
      </c>
      <c r="V14" s="7">
        <f>$B14 * IFERROR(VLOOKUP("transport|NOx|Minor restricted activity days", US_national_yearly!$D:$AM, 30, FALSE) / VLOOKUP("transport|NOx|Minor restricted activity days", US_national_yearly!$D:$AM, 10, FALSE), 1)</f>
        <v>0.2256832977898019</v>
      </c>
      <c r="W14" s="7">
        <f>$B14 * IFERROR(VLOOKUP("transport|NOx|Minor restricted activity days", US_national_yearly!$D:$AM, 31, FALSE) / VLOOKUP("transport|NOx|Minor restricted activity days", US_national_yearly!$D:$AM, 10, FALSE), 1)</f>
        <v>0.2272614530902872</v>
      </c>
      <c r="X14" s="7">
        <f>$B14 * IFERROR(VLOOKUP("transport|NOx|Minor restricted activity days", US_national_yearly!$D:$AM, 32, FALSE) / VLOOKUP("transport|NOx|Minor restricted activity days", US_national_yearly!$D:$AM, 10, FALSE), 1)</f>
        <v>0.2285957232757117</v>
      </c>
      <c r="Y14" s="7">
        <f>$B14 * IFERROR(VLOOKUP("transport|NOx|Minor restricted activity days", US_national_yearly!$D:$AM, 33, FALSE) / VLOOKUP("transport|NOx|Minor restricted activity days", US_national_yearly!$D:$AM, 10, FALSE), 1)</f>
        <v>0.22992999346113621</v>
      </c>
      <c r="Z14" s="7">
        <f>$B14 * IFERROR(VLOOKUP("transport|NOx|Minor restricted activity days", US_national_yearly!$D:$AM, 34, FALSE) / VLOOKUP("transport|NOx|Minor restricted activity days", US_national_yearly!$D:$AM, 10, FALSE), 1)</f>
        <v>0.23126426364656072</v>
      </c>
      <c r="AA14" s="7">
        <f>$B14 * IFERROR(VLOOKUP("transport|NOx|Minor restricted activity days", US_national_yearly!$D:$AM, 35, FALSE) / VLOOKUP("transport|NOx|Minor restricted activity days", US_national_yearly!$D:$AM, 10, FALSE), 1)</f>
        <v>0.23259853383198523</v>
      </c>
      <c r="AB14" s="7">
        <f>$B14 * IFERROR(VLOOKUP("transport|NOx|Minor restricted activity days", US_national_yearly!$D:$AM, 36, FALSE) / VLOOKUP("transport|NOx|Minor restricted activity days", US_national_yearly!$D:$AM, 10, FALSE), 1)</f>
        <v>0.23393280401740973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3.4412650515873132E-2</v>
      </c>
      <c r="C15" s="7">
        <f>$B15 * IFERROR(VLOOKUP("transport|NOx|Work loss days", US_national_yearly!$D:$AM, 11, FALSE) / VLOOKUP("transport|NOx|Work loss days", US_national_yearly!$D:$AM, 10, FALSE), 1)</f>
        <v>3.448919960566204E-2</v>
      </c>
      <c r="D15" s="7">
        <f>$B15 * IFERROR(VLOOKUP("transport|NOx|Work loss days", US_national_yearly!$D:$AM, 12, FALSE) / VLOOKUP("transport|NOx|Work loss days", US_national_yearly!$D:$AM, 10, FALSE), 1)</f>
        <v>3.4565748695450947E-2</v>
      </c>
      <c r="E15" s="7">
        <f>$B15 * IFERROR(VLOOKUP("transport|NOx|Work loss days", US_national_yearly!$D:$AM, 13, FALSE) / VLOOKUP("transport|NOx|Work loss days", US_national_yearly!$D:$AM, 10, FALSE), 1)</f>
        <v>3.4642297785239855E-2</v>
      </c>
      <c r="F15" s="7">
        <f>$B15 * IFERROR(VLOOKUP("transport|NOx|Work loss days", US_national_yearly!$D:$AM, 14, FALSE) / VLOOKUP("transport|NOx|Work loss days", US_national_yearly!$D:$AM, 10, FALSE), 1)</f>
        <v>3.4718846875028762E-2</v>
      </c>
      <c r="G15" s="7">
        <f>$B15 * IFERROR(VLOOKUP("transport|NOx|Work loss days", US_national_yearly!$D:$AM, 15, FALSE) / VLOOKUP("transport|NOx|Work loss days", US_national_yearly!$D:$AM, 10, FALSE), 1)</f>
        <v>3.483060919911829E-2</v>
      </c>
      <c r="H15" s="7">
        <f>$B15 * IFERROR(VLOOKUP("transport|NOx|Work loss days", US_national_yearly!$D:$AM, 16, FALSE) / VLOOKUP("transport|NOx|Work loss days", US_national_yearly!$D:$AM, 10, FALSE), 1)</f>
        <v>3.4942371523207824E-2</v>
      </c>
      <c r="I15" s="7">
        <f>$B15 * IFERROR(VLOOKUP("transport|NOx|Work loss days", US_national_yearly!$D:$AM, 17, FALSE) / VLOOKUP("transport|NOx|Work loss days", US_national_yearly!$D:$AM, 10, FALSE), 1)</f>
        <v>3.5123420431137725E-2</v>
      </c>
      <c r="J15" s="7">
        <f>$B15 * IFERROR(VLOOKUP("transport|NOx|Work loss days", US_national_yearly!$D:$AM, 18, FALSE) / VLOOKUP("transport|NOx|Work loss days", US_national_yearly!$D:$AM, 10, FALSE), 1)</f>
        <v>3.530446933906764E-2</v>
      </c>
      <c r="K15" s="7">
        <f>$B15 * IFERROR(VLOOKUP("transport|NOx|Work loss days", US_national_yearly!$D:$AM, 19, FALSE) / VLOOKUP("transport|NOx|Work loss days", US_national_yearly!$D:$AM, 10, FALSE), 1)</f>
        <v>3.5485518246997541E-2</v>
      </c>
      <c r="L15" s="7">
        <f>$B15 * IFERROR(VLOOKUP("transport|NOx|Work loss days", US_national_yearly!$D:$AM, 20, FALSE) / VLOOKUP("transport|NOx|Work loss days", US_national_yearly!$D:$AM, 10, FALSE), 1)</f>
        <v>3.5666567154927442E-2</v>
      </c>
      <c r="M15" s="7">
        <f>$B15 * IFERROR(VLOOKUP("transport|NOx|Work loss days", US_national_yearly!$D:$AM, 21, FALSE) / VLOOKUP("transport|NOx|Work loss days", US_national_yearly!$D:$AM, 10, FALSE), 1)</f>
        <v>3.584761606285735E-2</v>
      </c>
      <c r="N15" s="7">
        <f>$B15 * IFERROR(VLOOKUP("transport|NOx|Work loss days", US_national_yearly!$D:$AM, 22, FALSE) / VLOOKUP("transport|NOx|Work loss days", US_national_yearly!$D:$AM, 10, FALSE), 1)</f>
        <v>3.6083240106872271E-2</v>
      </c>
      <c r="O15" s="7">
        <f>$B15 * IFERROR(VLOOKUP("transport|NOx|Work loss days", US_national_yearly!$D:$AM, 23, FALSE) / VLOOKUP("transport|NOx|Work loss days", US_national_yearly!$D:$AM, 10, FALSE), 1)</f>
        <v>3.6318864150887191E-2</v>
      </c>
      <c r="P15" s="7">
        <f>$B15 * IFERROR(VLOOKUP("transport|NOx|Work loss days", US_national_yearly!$D:$AM, 24, FALSE) / VLOOKUP("transport|NOx|Work loss days", US_national_yearly!$D:$AM, 10, FALSE), 1)</f>
        <v>3.6554488194902104E-2</v>
      </c>
      <c r="Q15" s="7">
        <f>$B15 * IFERROR(VLOOKUP("transport|NOx|Work loss days", US_national_yearly!$D:$AM, 25, FALSE) / VLOOKUP("transport|NOx|Work loss days", US_national_yearly!$D:$AM, 10, FALSE), 1)</f>
        <v>3.6790112238917018E-2</v>
      </c>
      <c r="R15" s="7">
        <f>$B15 * IFERROR(VLOOKUP("transport|NOx|Work loss days", US_national_yearly!$D:$AM, 26, FALSE) / VLOOKUP("transport|NOx|Work loss days", US_national_yearly!$D:$AM, 10, FALSE), 1)</f>
        <v>3.7025736282931945E-2</v>
      </c>
      <c r="S15" s="7">
        <f>$B15 * IFERROR(VLOOKUP("transport|NOx|Work loss days", US_national_yearly!$D:$AM, 27, FALSE) / VLOOKUP("transport|NOx|Work loss days", US_national_yearly!$D:$AM, 10, FALSE), 1)</f>
        <v>3.728842696464596E-2</v>
      </c>
      <c r="T15" s="7">
        <f>$B15 * IFERROR(VLOOKUP("transport|NOx|Work loss days", US_national_yearly!$D:$AM, 28, FALSE) / VLOOKUP("transport|NOx|Work loss days", US_national_yearly!$D:$AM, 10, FALSE), 1)</f>
        <v>3.7551117646359974E-2</v>
      </c>
      <c r="U15" s="7">
        <f>$B15 * IFERROR(VLOOKUP("transport|NOx|Work loss days", US_national_yearly!$D:$AM, 29, FALSE) / VLOOKUP("transport|NOx|Work loss days", US_national_yearly!$D:$AM, 10, FALSE), 1)</f>
        <v>3.7813808328073989E-2</v>
      </c>
      <c r="V15" s="7">
        <f>$B15 * IFERROR(VLOOKUP("transport|NOx|Work loss days", US_national_yearly!$D:$AM, 30, FALSE) / VLOOKUP("transport|NOx|Work loss days", US_national_yearly!$D:$AM, 10, FALSE), 1)</f>
        <v>3.8076499009788004E-2</v>
      </c>
      <c r="W15" s="7">
        <f>$B15 * IFERROR(VLOOKUP("transport|NOx|Work loss days", US_national_yearly!$D:$AM, 31, FALSE) / VLOOKUP("transport|NOx|Work loss days", US_national_yearly!$D:$AM, 10, FALSE), 1)</f>
        <v>3.8339189691502018E-2</v>
      </c>
      <c r="X15" s="7">
        <f>$B15 * IFERROR(VLOOKUP("transport|NOx|Work loss days", US_national_yearly!$D:$AM, 32, FALSE) / VLOOKUP("transport|NOx|Work loss days", US_national_yearly!$D:$AM, 10, FALSE), 1)</f>
        <v>3.8567191197418853E-2</v>
      </c>
      <c r="Y15" s="7">
        <f>$B15 * IFERROR(VLOOKUP("transport|NOx|Work loss days", US_national_yearly!$D:$AM, 33, FALSE) / VLOOKUP("transport|NOx|Work loss days", US_national_yearly!$D:$AM, 10, FALSE), 1)</f>
        <v>3.8795192703335687E-2</v>
      </c>
      <c r="Z15" s="7">
        <f>$B15 * IFERROR(VLOOKUP("transport|NOx|Work loss days", US_national_yearly!$D:$AM, 34, FALSE) / VLOOKUP("transport|NOx|Work loss days", US_national_yearly!$D:$AM, 10, FALSE), 1)</f>
        <v>3.9023194209252522E-2</v>
      </c>
      <c r="AA15" s="7">
        <f>$B15 * IFERROR(VLOOKUP("transport|NOx|Work loss days", US_national_yearly!$D:$AM, 35, FALSE) / VLOOKUP("transport|NOx|Work loss days", US_national_yearly!$D:$AM, 10, FALSE), 1)</f>
        <v>3.9251195715169364E-2</v>
      </c>
      <c r="AB15" s="7">
        <f>$B15 * IFERROR(VLOOKUP("transport|NOx|Work loss days", US_national_yearly!$D:$AM, 36, FALSE) / VLOOKUP("transport|NOx|Work loss days", US_national_yearly!$D:$AM, 10, FALSE), 1)</f>
        <v>3.9479197221086199E-2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7.5325102090439443E-5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7.7538502474375478E-5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7.9751902858311499E-5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8.1965303242247521E-5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8.4178703626183556E-5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8.6281067950722952E-5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8.8383432275262363E-5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9.0151358483946776E-5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9.191928469263119E-5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9.3687210901315617E-5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9.545513711000003E-5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9.7223063318684457E-5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9.8328606156831107E-5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9.9434148994977757E-5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1.0053969183312439E-4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1.0164523467127104E-4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1.0275077750941769E-4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1.0325520634772623E-4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1.0375963518603479E-4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1.0426406402434331E-4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1.0476849286265185E-4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1.052729217009604E-4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1.0555365383783266E-4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1.0583438597470489E-4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1.0611511811157714E-4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1.0639585024844938E-4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1.0667658238532163E-4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2.6834245115872042E-3</v>
      </c>
      <c r="C2" s="7">
        <f>$B2 * IFERROR(VLOOKUP("transport|SO2|Premature mortality", US_national_yearly!$D:$AM, 11, FALSE) / VLOOKUP("transport|SO2|Premature mortality", US_national_yearly!$D:$AM, 10, FALSE), 1)</f>
        <v>2.7174086311209E-3</v>
      </c>
      <c r="D2" s="7">
        <f>$B2 * IFERROR(VLOOKUP("transport|SO2|Premature mortality", US_national_yearly!$D:$AM, 12, FALSE) / VLOOKUP("transport|SO2|Premature mortality", US_national_yearly!$D:$AM, 10, FALSE), 1)</f>
        <v>2.7513927506545963E-3</v>
      </c>
      <c r="E2" s="7">
        <f>$B2 * IFERROR(VLOOKUP("transport|SO2|Premature mortality", US_national_yearly!$D:$AM, 13, FALSE) / VLOOKUP("transport|SO2|Premature mortality", US_national_yearly!$D:$AM, 10, FALSE), 1)</f>
        <v>2.7853768701882921E-3</v>
      </c>
      <c r="F2" s="7">
        <f>$B2 * IFERROR(VLOOKUP("transport|SO2|Premature mortality", US_national_yearly!$D:$AM, 14, FALSE) / VLOOKUP("transport|SO2|Premature mortality", US_national_yearly!$D:$AM, 10, FALSE), 1)</f>
        <v>2.8193609897219879E-3</v>
      </c>
      <c r="G2" s="7">
        <f>$B2 * IFERROR(VLOOKUP("transport|SO2|Premature mortality", US_national_yearly!$D:$AM, 15, FALSE) / VLOOKUP("transport|SO2|Premature mortality", US_national_yearly!$D:$AM, 10, FALSE), 1)</f>
        <v>2.8848464620524674E-3</v>
      </c>
      <c r="H2" s="7">
        <f>$B2 * IFERROR(VLOOKUP("transport|SO2|Premature mortality", US_national_yearly!$D:$AM, 16, FALSE) / VLOOKUP("transport|SO2|Premature mortality", US_national_yearly!$D:$AM, 10, FALSE), 1)</f>
        <v>2.9503319343829465E-3</v>
      </c>
      <c r="I2" s="7">
        <f>$B2 * IFERROR(VLOOKUP("transport|SO2|Premature mortality", US_national_yearly!$D:$AM, 17, FALSE) / VLOOKUP("transport|SO2|Premature mortality", US_national_yearly!$D:$AM, 10, FALSE), 1)</f>
        <v>2.9936087470570313E-3</v>
      </c>
      <c r="J2" s="7">
        <f>$B2 * IFERROR(VLOOKUP("transport|SO2|Premature mortality", US_national_yearly!$D:$AM, 18, FALSE) / VLOOKUP("transport|SO2|Premature mortality", US_national_yearly!$D:$AM, 10, FALSE), 1)</f>
        <v>3.0368855597311156E-3</v>
      </c>
      <c r="K2" s="7">
        <f>$B2 * IFERROR(VLOOKUP("transport|SO2|Premature mortality", US_national_yearly!$D:$AM, 19, FALSE) / VLOOKUP("transport|SO2|Premature mortality", US_national_yearly!$D:$AM, 10, FALSE), 1)</f>
        <v>3.0801623724051996E-3</v>
      </c>
      <c r="L2" s="7">
        <f>$B2 * IFERROR(VLOOKUP("transport|SO2|Premature mortality", US_national_yearly!$D:$AM, 20, FALSE) / VLOOKUP("transport|SO2|Premature mortality", US_national_yearly!$D:$AM, 10, FALSE), 1)</f>
        <v>3.1234391850792844E-3</v>
      </c>
      <c r="M2" s="7">
        <f>$B2 * IFERROR(VLOOKUP("transport|SO2|Premature mortality", US_national_yearly!$D:$AM, 21, FALSE) / VLOOKUP("transport|SO2|Premature mortality", US_national_yearly!$D:$AM, 10, FALSE), 1)</f>
        <v>3.1667159977533691E-3</v>
      </c>
      <c r="N2" s="7">
        <f>$B2 * IFERROR(VLOOKUP("transport|SO2|Premature mortality", US_national_yearly!$D:$AM, 22, FALSE) / VLOOKUP("transport|SO2|Premature mortality", US_national_yearly!$D:$AM, 10, FALSE), 1)</f>
        <v>3.2005301517245752E-3</v>
      </c>
      <c r="O2" s="7">
        <f>$B2 * IFERROR(VLOOKUP("transport|SO2|Premature mortality", US_national_yearly!$D:$AM, 23, FALSE) / VLOOKUP("transport|SO2|Premature mortality", US_national_yearly!$D:$AM, 10, FALSE), 1)</f>
        <v>3.2343443056957817E-3</v>
      </c>
      <c r="P2" s="7">
        <f>$B2 * IFERROR(VLOOKUP("transport|SO2|Premature mortality", US_national_yearly!$D:$AM, 24, FALSE) / VLOOKUP("transport|SO2|Premature mortality", US_national_yearly!$D:$AM, 10, FALSE), 1)</f>
        <v>3.2681584596669878E-3</v>
      </c>
      <c r="Q2" s="7">
        <f>$B2 * IFERROR(VLOOKUP("transport|SO2|Premature mortality", US_national_yearly!$D:$AM, 25, FALSE) / VLOOKUP("transport|SO2|Premature mortality", US_national_yearly!$D:$AM, 10, FALSE), 1)</f>
        <v>3.3019726136381943E-3</v>
      </c>
      <c r="R2" s="7">
        <f>$B2 * IFERROR(VLOOKUP("transport|SO2|Premature mortality", US_national_yearly!$D:$AM, 26, FALSE) / VLOOKUP("transport|SO2|Premature mortality", US_national_yearly!$D:$AM, 10, FALSE), 1)</f>
        <v>3.3357867676094E-3</v>
      </c>
      <c r="S2" s="7">
        <f>$B2 * IFERROR(VLOOKUP("transport|SO2|Premature mortality", US_national_yearly!$D:$AM, 27, FALSE) / VLOOKUP("transport|SO2|Premature mortality", US_national_yearly!$D:$AM, 10, FALSE), 1)</f>
        <v>3.3538946973031784E-3</v>
      </c>
      <c r="T2" s="7">
        <f>$B2 * IFERROR(VLOOKUP("transport|SO2|Premature mortality", US_national_yearly!$D:$AM, 28, FALSE) / VLOOKUP("transport|SO2|Premature mortality", US_national_yearly!$D:$AM, 10, FALSE), 1)</f>
        <v>3.3720026269969563E-3</v>
      </c>
      <c r="U2" s="7">
        <f>$B2 * IFERROR(VLOOKUP("transport|SO2|Premature mortality", US_national_yearly!$D:$AM, 29, FALSE) / VLOOKUP("transport|SO2|Premature mortality", US_national_yearly!$D:$AM, 10, FALSE), 1)</f>
        <v>3.3901105566907343E-3</v>
      </c>
      <c r="V2" s="7">
        <f>$B2 * IFERROR(VLOOKUP("transport|SO2|Premature mortality", US_national_yearly!$D:$AM, 30, FALSE) / VLOOKUP("transport|SO2|Premature mortality", US_national_yearly!$D:$AM, 10, FALSE), 1)</f>
        <v>3.4082184863845127E-3</v>
      </c>
      <c r="W2" s="7">
        <f>$B2 * IFERROR(VLOOKUP("transport|SO2|Premature mortality", US_national_yearly!$D:$AM, 31, FALSE) / VLOOKUP("transport|SO2|Premature mortality", US_national_yearly!$D:$AM, 10, FALSE), 1)</f>
        <v>3.4263264160782911E-3</v>
      </c>
      <c r="X2" s="7">
        <f>$B2 * IFERROR(VLOOKUP("transport|SO2|Premature mortality", US_national_yearly!$D:$AM, 32, FALSE) / VLOOKUP("transport|SO2|Premature mortality", US_national_yearly!$D:$AM, 10, FALSE), 1)</f>
        <v>3.4300050973835737E-3</v>
      </c>
      <c r="Y2" s="7">
        <f>$B2 * IFERROR(VLOOKUP("transport|SO2|Premature mortality", US_national_yearly!$D:$AM, 33, FALSE) / VLOOKUP("transport|SO2|Premature mortality", US_national_yearly!$D:$AM, 10, FALSE), 1)</f>
        <v>3.4336837786888568E-3</v>
      </c>
      <c r="Z2" s="7">
        <f>$B2 * IFERROR(VLOOKUP("transport|SO2|Premature mortality", US_national_yearly!$D:$AM, 34, FALSE) / VLOOKUP("transport|SO2|Premature mortality", US_national_yearly!$D:$AM, 10, FALSE), 1)</f>
        <v>3.4373624599941398E-3</v>
      </c>
      <c r="AA2" s="7">
        <f>$B2 * IFERROR(VLOOKUP("transport|SO2|Premature mortality", US_national_yearly!$D:$AM, 35, FALSE) / VLOOKUP("transport|SO2|Premature mortality", US_national_yearly!$D:$AM, 10, FALSE), 1)</f>
        <v>3.4410411412994228E-3</v>
      </c>
      <c r="AB2" s="7">
        <f>$B2 * IFERROR(VLOOKUP("transport|SO2|Premature mortality", US_national_yearly!$D:$AM, 36, FALSE) / VLOOKUP("transport|SO2|Premature mortality", US_national_yearly!$D:$AM, 10, FALSE), 1)</f>
        <v>3.4447198226047054E-3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4.184357378192569E-6</v>
      </c>
      <c r="C3" s="7">
        <f>$B3 * IFERROR(VLOOKUP("transport|SO2|Infant mortality", US_national_yearly!$D:$AM, 11, FALSE) / VLOOKUP("transport|SO2|Infant mortality", US_national_yearly!$D:$AM, 10, FALSE), 1)</f>
        <v>4.1484129850637985E-6</v>
      </c>
      <c r="D3" s="7">
        <f>$B3 * IFERROR(VLOOKUP("transport|SO2|Infant mortality", US_national_yearly!$D:$AM, 12, FALSE) / VLOOKUP("transport|SO2|Infant mortality", US_national_yearly!$D:$AM, 10, FALSE), 1)</f>
        <v>4.1124685919350279E-6</v>
      </c>
      <c r="E3" s="7">
        <f>$B3 * IFERROR(VLOOKUP("transport|SO2|Infant mortality", US_national_yearly!$D:$AM, 13, FALSE) / VLOOKUP("transport|SO2|Infant mortality", US_national_yearly!$D:$AM, 10, FALSE), 1)</f>
        <v>4.0765241988062565E-6</v>
      </c>
      <c r="F3" s="7">
        <f>$B3 * IFERROR(VLOOKUP("transport|SO2|Infant mortality", US_national_yearly!$D:$AM, 14, FALSE) / VLOOKUP("transport|SO2|Infant mortality", US_national_yearly!$D:$AM, 10, FALSE), 1)</f>
        <v>4.040579805677486E-6</v>
      </c>
      <c r="G3" s="7">
        <f>$B3 * IFERROR(VLOOKUP("transport|SO2|Infant mortality", US_national_yearly!$D:$AM, 15, FALSE) / VLOOKUP("transport|SO2|Infant mortality", US_national_yearly!$D:$AM, 10, FALSE), 1)</f>
        <v>2.6913515852656628E-6</v>
      </c>
      <c r="H3" s="7">
        <f>$B3 * IFERROR(VLOOKUP("transport|SO2|Infant mortality", US_national_yearly!$D:$AM, 16, FALSE) / VLOOKUP("transport|SO2|Infant mortality", US_national_yearly!$D:$AM, 10, FALSE), 1)</f>
        <v>1.3421233648538419E-6</v>
      </c>
      <c r="I3" s="7">
        <f>$B3 * IFERROR(VLOOKUP("transport|SO2|Infant mortality", US_national_yearly!$D:$AM, 17, FALSE) / VLOOKUP("transport|SO2|Infant mortality", US_national_yearly!$D:$AM, 10, FALSE), 1)</f>
        <v>1.3337038196996543E-6</v>
      </c>
      <c r="J3" s="7">
        <f>$B3 * IFERROR(VLOOKUP("transport|SO2|Infant mortality", US_national_yearly!$D:$AM, 18, FALSE) / VLOOKUP("transport|SO2|Infant mortality", US_national_yearly!$D:$AM, 10, FALSE), 1)</f>
        <v>1.3252842745454667E-6</v>
      </c>
      <c r="K3" s="7">
        <f>$B3 * IFERROR(VLOOKUP("transport|SO2|Infant mortality", US_national_yearly!$D:$AM, 19, FALSE) / VLOOKUP("transport|SO2|Infant mortality", US_national_yearly!$D:$AM, 10, FALSE), 1)</f>
        <v>1.3168647293912794E-6</v>
      </c>
      <c r="L3" s="7">
        <f>$B3 * IFERROR(VLOOKUP("transport|SO2|Infant mortality", US_national_yearly!$D:$AM, 20, FALSE) / VLOOKUP("transport|SO2|Infant mortality", US_national_yearly!$D:$AM, 10, FALSE), 1)</f>
        <v>1.308445184237092E-6</v>
      </c>
      <c r="M3" s="7">
        <f>$B3 * IFERROR(VLOOKUP("transport|SO2|Infant mortality", US_national_yearly!$D:$AM, 21, FALSE) / VLOOKUP("transport|SO2|Infant mortality", US_national_yearly!$D:$AM, 10, FALSE), 1)</f>
        <v>1.3000256390829046E-6</v>
      </c>
      <c r="N3" s="7">
        <f>$B3 * IFERROR(VLOOKUP("transport|SO2|Infant mortality", US_national_yearly!$D:$AM, 22, FALSE) / VLOOKUP("transport|SO2|Infant mortality", US_national_yearly!$D:$AM, 10, FALSE), 1)</f>
        <v>1.2947407536239118E-6</v>
      </c>
      <c r="O3" s="7">
        <f>$B3 * IFERROR(VLOOKUP("transport|SO2|Infant mortality", US_national_yearly!$D:$AM, 23, FALSE) / VLOOKUP("transport|SO2|Infant mortality", US_national_yearly!$D:$AM, 10, FALSE), 1)</f>
        <v>1.2894558681649189E-6</v>
      </c>
      <c r="P3" s="7">
        <f>$B3 * IFERROR(VLOOKUP("transport|SO2|Infant mortality", US_national_yearly!$D:$AM, 24, FALSE) / VLOOKUP("transport|SO2|Infant mortality", US_national_yearly!$D:$AM, 10, FALSE), 1)</f>
        <v>1.2841709827059261E-6</v>
      </c>
      <c r="Q3" s="7">
        <f>$B3 * IFERROR(VLOOKUP("transport|SO2|Infant mortality", US_national_yearly!$D:$AM, 25, FALSE) / VLOOKUP("transport|SO2|Infant mortality", US_national_yearly!$D:$AM, 10, FALSE), 1)</f>
        <v>1.2788860972469332E-6</v>
      </c>
      <c r="R3" s="7">
        <f>$B3 * IFERROR(VLOOKUP("transport|SO2|Infant mortality", US_national_yearly!$D:$AM, 26, FALSE) / VLOOKUP("transport|SO2|Infant mortality", US_national_yearly!$D:$AM, 10, FALSE), 1)</f>
        <v>1.2736012117879401E-6</v>
      </c>
      <c r="S3" s="7">
        <f>$B3 * IFERROR(VLOOKUP("transport|SO2|Infant mortality", US_national_yearly!$D:$AM, 27, FALSE) / VLOOKUP("transport|SO2|Infant mortality", US_national_yearly!$D:$AM, 10, FALSE), 1)</f>
        <v>1.2669657161320607E-6</v>
      </c>
      <c r="T3" s="7">
        <f>$B3 * IFERROR(VLOOKUP("transport|SO2|Infant mortality", US_national_yearly!$D:$AM, 28, FALSE) / VLOOKUP("transport|SO2|Infant mortality", US_national_yearly!$D:$AM, 10, FALSE), 1)</f>
        <v>1.2603302204761811E-6</v>
      </c>
      <c r="U3" s="7">
        <f>$B3 * IFERROR(VLOOKUP("transport|SO2|Infant mortality", US_national_yearly!$D:$AM, 29, FALSE) / VLOOKUP("transport|SO2|Infant mortality", US_national_yearly!$D:$AM, 10, FALSE), 1)</f>
        <v>1.2536947248203011E-6</v>
      </c>
      <c r="V3" s="7">
        <f>$B3 * IFERROR(VLOOKUP("transport|SO2|Infant mortality", US_national_yearly!$D:$AM, 30, FALSE) / VLOOKUP("transport|SO2|Infant mortality", US_national_yearly!$D:$AM, 10, FALSE), 1)</f>
        <v>1.2470592291644219E-6</v>
      </c>
      <c r="W3" s="7">
        <f>$B3 * IFERROR(VLOOKUP("transport|SO2|Infant mortality", US_national_yearly!$D:$AM, 31, FALSE) / VLOOKUP("transport|SO2|Infant mortality", US_national_yearly!$D:$AM, 10, FALSE), 1)</f>
        <v>1.2404237335085421E-6</v>
      </c>
      <c r="X3" s="7">
        <f>$B3 * IFERROR(VLOOKUP("transport|SO2|Infant mortality", US_national_yearly!$D:$AM, 32, FALSE) / VLOOKUP("transport|SO2|Infant mortality", US_national_yearly!$D:$AM, 10, FALSE), 1)</f>
        <v>1.2331690885644744E-6</v>
      </c>
      <c r="Y3" s="7">
        <f>$B3 * IFERROR(VLOOKUP("transport|SO2|Infant mortality", US_national_yearly!$D:$AM, 33, FALSE) / VLOOKUP("transport|SO2|Infant mortality", US_national_yearly!$D:$AM, 10, FALSE), 1)</f>
        <v>1.2259144436204061E-6</v>
      </c>
      <c r="Z3" s="7">
        <f>$B3 * IFERROR(VLOOKUP("transport|SO2|Infant mortality", US_national_yearly!$D:$AM, 34, FALSE) / VLOOKUP("transport|SO2|Infant mortality", US_national_yearly!$D:$AM, 10, FALSE), 1)</f>
        <v>1.2186597986763382E-6</v>
      </c>
      <c r="AA3" s="7">
        <f>$B3 * IFERROR(VLOOKUP("transport|SO2|Infant mortality", US_national_yearly!$D:$AM, 35, FALSE) / VLOOKUP("transport|SO2|Infant mortality", US_national_yearly!$D:$AM, 10, FALSE), 1)</f>
        <v>1.2114051537322701E-6</v>
      </c>
      <c r="AB3" s="7">
        <f>$B3 * IFERROR(VLOOKUP("transport|SO2|Infant mortality", US_national_yearly!$D:$AM, 36, FALSE) / VLOOKUP("transport|SO2|Infant mortality", US_national_yearly!$D:$AM, 10, FALSE), 1)</f>
        <v>1.2041505087882022E-6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5.0910803703928288E-3</v>
      </c>
      <c r="C6" s="7">
        <f>$B6 * IFERROR(VLOOKUP("transport|SO2|Asthma symptoms cough", US_national_yearly!$D:$AM, 11, FALSE) / VLOOKUP("transport|SO2|Asthma symptoms cough", US_national_yearly!$D:$AM, 10, FALSE), 1)</f>
        <v>5.0910803703928288E-3</v>
      </c>
      <c r="D6" s="7">
        <f>$B6 * IFERROR(VLOOKUP("transport|SO2|Asthma symptoms cough", US_national_yearly!$D:$AM, 12, FALSE) / VLOOKUP("transport|SO2|Asthma symptoms cough", US_national_yearly!$D:$AM, 10, FALSE), 1)</f>
        <v>5.0910803703928288E-3</v>
      </c>
      <c r="E6" s="7">
        <f>$B6 * IFERROR(VLOOKUP("transport|SO2|Asthma symptoms cough", US_national_yearly!$D:$AM, 13, FALSE) / VLOOKUP("transport|SO2|Asthma symptoms cough", US_national_yearly!$D:$AM, 10, FALSE), 1)</f>
        <v>5.0910803703928288E-3</v>
      </c>
      <c r="F6" s="7">
        <f>$B6 * IFERROR(VLOOKUP("transport|SO2|Asthma symptoms cough", US_national_yearly!$D:$AM, 14, FALSE) / VLOOKUP("transport|SO2|Asthma symptoms cough", US_national_yearly!$D:$AM, 10, FALSE), 1)</f>
        <v>5.0910803703928288E-3</v>
      </c>
      <c r="G6" s="7">
        <f>$B6 * IFERROR(VLOOKUP("transport|SO2|Asthma symptoms cough", US_national_yearly!$D:$AM, 15, FALSE) / VLOOKUP("transport|SO2|Asthma symptoms cough", US_national_yearly!$D:$AM, 10, FALSE), 1)</f>
        <v>5.0910803703928288E-3</v>
      </c>
      <c r="H6" s="7">
        <f>$B6 * IFERROR(VLOOKUP("transport|SO2|Asthma symptoms cough", US_national_yearly!$D:$AM, 16, FALSE) / VLOOKUP("transport|SO2|Asthma symptoms cough", US_national_yearly!$D:$AM, 10, FALSE), 1)</f>
        <v>5.0910803703928288E-3</v>
      </c>
      <c r="I6" s="7">
        <f>$B6 * IFERROR(VLOOKUP("transport|SO2|Asthma symptoms cough", US_national_yearly!$D:$AM, 17, FALSE) / VLOOKUP("transport|SO2|Asthma symptoms cough", US_national_yearly!$D:$AM, 10, FALSE), 1)</f>
        <v>5.0910803703928288E-3</v>
      </c>
      <c r="J6" s="7">
        <f>$B6 * IFERROR(VLOOKUP("transport|SO2|Asthma symptoms cough", US_national_yearly!$D:$AM, 18, FALSE) / VLOOKUP("transport|SO2|Asthma symptoms cough", US_national_yearly!$D:$AM, 10, FALSE), 1)</f>
        <v>5.0910803703928288E-3</v>
      </c>
      <c r="K6" s="7">
        <f>$B6 * IFERROR(VLOOKUP("transport|SO2|Asthma symptoms cough", US_national_yearly!$D:$AM, 19, FALSE) / VLOOKUP("transport|SO2|Asthma symptoms cough", US_national_yearly!$D:$AM, 10, FALSE), 1)</f>
        <v>5.0910803703928288E-3</v>
      </c>
      <c r="L6" s="7">
        <f>$B6 * IFERROR(VLOOKUP("transport|SO2|Asthma symptoms cough", US_national_yearly!$D:$AM, 20, FALSE) / VLOOKUP("transport|SO2|Asthma symptoms cough", US_national_yearly!$D:$AM, 10, FALSE), 1)</f>
        <v>5.0910803703928288E-3</v>
      </c>
      <c r="M6" s="7">
        <f>$B6 * IFERROR(VLOOKUP("transport|SO2|Asthma symptoms cough", US_national_yearly!$D:$AM, 21, FALSE) / VLOOKUP("transport|SO2|Asthma symptoms cough", US_national_yearly!$D:$AM, 10, FALSE), 1)</f>
        <v>5.0910803703928288E-3</v>
      </c>
      <c r="N6" s="7">
        <f>$B6 * IFERROR(VLOOKUP("transport|SO2|Asthma symptoms cough", US_national_yearly!$D:$AM, 22, FALSE) / VLOOKUP("transport|SO2|Asthma symptoms cough", US_national_yearly!$D:$AM, 10, FALSE), 1)</f>
        <v>5.0910803703928288E-3</v>
      </c>
      <c r="O6" s="7">
        <f>$B6 * IFERROR(VLOOKUP("transport|SO2|Asthma symptoms cough", US_national_yearly!$D:$AM, 23, FALSE) / VLOOKUP("transport|SO2|Asthma symptoms cough", US_national_yearly!$D:$AM, 10, FALSE), 1)</f>
        <v>5.0910803703928288E-3</v>
      </c>
      <c r="P6" s="7">
        <f>$B6 * IFERROR(VLOOKUP("transport|SO2|Asthma symptoms cough", US_national_yearly!$D:$AM, 24, FALSE) / VLOOKUP("transport|SO2|Asthma symptoms cough", US_national_yearly!$D:$AM, 10, FALSE), 1)</f>
        <v>5.0910803703928288E-3</v>
      </c>
      <c r="Q6" s="7">
        <f>$B6 * IFERROR(VLOOKUP("transport|SO2|Asthma symptoms cough", US_national_yearly!$D:$AM, 25, FALSE) / VLOOKUP("transport|SO2|Asthma symptoms cough", US_national_yearly!$D:$AM, 10, FALSE), 1)</f>
        <v>5.0910803703928288E-3</v>
      </c>
      <c r="R6" s="7">
        <f>$B6 * IFERROR(VLOOKUP("transport|SO2|Asthma symptoms cough", US_national_yearly!$D:$AM, 26, FALSE) / VLOOKUP("transport|SO2|Asthma symptoms cough", US_national_yearly!$D:$AM, 10, FALSE), 1)</f>
        <v>5.0910803703928288E-3</v>
      </c>
      <c r="S6" s="7">
        <f>$B6 * IFERROR(VLOOKUP("transport|SO2|Asthma symptoms cough", US_national_yearly!$D:$AM, 27, FALSE) / VLOOKUP("transport|SO2|Asthma symptoms cough", US_national_yearly!$D:$AM, 10, FALSE), 1)</f>
        <v>5.0910803703928288E-3</v>
      </c>
      <c r="T6" s="7">
        <f>$B6 * IFERROR(VLOOKUP("transport|SO2|Asthma symptoms cough", US_national_yearly!$D:$AM, 28, FALSE) / VLOOKUP("transport|SO2|Asthma symptoms cough", US_national_yearly!$D:$AM, 10, FALSE), 1)</f>
        <v>5.0910803703928288E-3</v>
      </c>
      <c r="U6" s="7">
        <f>$B6 * IFERROR(VLOOKUP("transport|SO2|Asthma symptoms cough", US_national_yearly!$D:$AM, 29, FALSE) / VLOOKUP("transport|SO2|Asthma symptoms cough", US_national_yearly!$D:$AM, 10, FALSE), 1)</f>
        <v>5.0910803703928288E-3</v>
      </c>
      <c r="V6" s="7">
        <f>$B6 * IFERROR(VLOOKUP("transport|SO2|Asthma symptoms cough", US_national_yearly!$D:$AM, 30, FALSE) / VLOOKUP("transport|SO2|Asthma symptoms cough", US_national_yearly!$D:$AM, 10, FALSE), 1)</f>
        <v>5.0910803703928288E-3</v>
      </c>
      <c r="W6" s="7">
        <f>$B6 * IFERROR(VLOOKUP("transport|SO2|Asthma symptoms cough", US_national_yearly!$D:$AM, 31, FALSE) / VLOOKUP("transport|SO2|Asthma symptoms cough", US_national_yearly!$D:$AM, 10, FALSE), 1)</f>
        <v>5.0910803703928288E-3</v>
      </c>
      <c r="X6" s="7">
        <f>$B6 * IFERROR(VLOOKUP("transport|SO2|Asthma symptoms cough", US_national_yearly!$D:$AM, 32, FALSE) / VLOOKUP("transport|SO2|Asthma symptoms cough", US_national_yearly!$D:$AM, 10, FALSE), 1)</f>
        <v>5.0910803703928288E-3</v>
      </c>
      <c r="Y6" s="7">
        <f>$B6 * IFERROR(VLOOKUP("transport|SO2|Asthma symptoms cough", US_national_yearly!$D:$AM, 33, FALSE) / VLOOKUP("transport|SO2|Asthma symptoms cough", US_national_yearly!$D:$AM, 10, FALSE), 1)</f>
        <v>5.0910803703928288E-3</v>
      </c>
      <c r="Z6" s="7">
        <f>$B6 * IFERROR(VLOOKUP("transport|SO2|Asthma symptoms cough", US_national_yearly!$D:$AM, 34, FALSE) / VLOOKUP("transport|SO2|Asthma symptoms cough", US_national_yearly!$D:$AM, 10, FALSE), 1)</f>
        <v>5.0910803703928288E-3</v>
      </c>
      <c r="AA6" s="7">
        <f>$B6 * IFERROR(VLOOKUP("transport|SO2|Asthma symptoms cough", US_national_yearly!$D:$AM, 35, FALSE) / VLOOKUP("transport|SO2|Asthma symptoms cough", US_national_yearly!$D:$AM, 10, FALSE), 1)</f>
        <v>5.0910803703928288E-3</v>
      </c>
      <c r="AB6" s="7">
        <f>$B6 * IFERROR(VLOOKUP("transport|SO2|Asthma symptoms cough", US_national_yearly!$D:$AM, 36, FALSE) / VLOOKUP("transport|SO2|Asthma symptoms cough", US_national_yearly!$D:$AM, 10, FALSE), 1)</f>
        <v>5.0910803703928288E-3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6.855885066608473E-3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6.855885066608473E-3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6.855885066608473E-3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6.855885066608473E-3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6.855885066608473E-3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6.855885066608473E-3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6.855885066608473E-3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6.855885066608473E-3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6.855885066608473E-3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6.855885066608473E-3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6.855885066608473E-3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6.855885066608473E-3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6.855885066608473E-3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6.855885066608473E-3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6.855885066608473E-3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6.855885066608473E-3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6.855885066608473E-3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6.855885066608473E-3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6.855885066608473E-3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6.855885066608473E-3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6.855885066608473E-3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6.855885066608473E-3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6.855885066608473E-3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6.855885066608473E-3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6.855885066608473E-3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6.855885066608473E-3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6.855885066608473E-3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1.0474606888248186E-2</v>
      </c>
      <c r="C8" s="7">
        <f>$B8 * IFERROR(VLOOKUP("transport|SO2|Asthma symptoms wheeze", US_national_yearly!$D:$AM, 11, FALSE) / VLOOKUP("transport|SO2|Asthma symptoms wheeze", US_national_yearly!$D:$AM, 10, FALSE), 1)</f>
        <v>1.0474606888248186E-2</v>
      </c>
      <c r="D8" s="7">
        <f>$B8 * IFERROR(VLOOKUP("transport|SO2|Asthma symptoms wheeze", US_national_yearly!$D:$AM, 12, FALSE) / VLOOKUP("transport|SO2|Asthma symptoms wheeze", US_national_yearly!$D:$AM, 10, FALSE), 1)</f>
        <v>1.0474606888248186E-2</v>
      </c>
      <c r="E8" s="7">
        <f>$B8 * IFERROR(VLOOKUP("transport|SO2|Asthma symptoms wheeze", US_national_yearly!$D:$AM, 13, FALSE) / VLOOKUP("transport|SO2|Asthma symptoms wheeze", US_national_yearly!$D:$AM, 10, FALSE), 1)</f>
        <v>1.0474606888248186E-2</v>
      </c>
      <c r="F8" s="7">
        <f>$B8 * IFERROR(VLOOKUP("transport|SO2|Asthma symptoms wheeze", US_national_yearly!$D:$AM, 14, FALSE) / VLOOKUP("transport|SO2|Asthma symptoms wheeze", US_national_yearly!$D:$AM, 10, FALSE), 1)</f>
        <v>1.0474606888248186E-2</v>
      </c>
      <c r="G8" s="7">
        <f>$B8 * IFERROR(VLOOKUP("transport|SO2|Asthma symptoms wheeze", US_national_yearly!$D:$AM, 15, FALSE) / VLOOKUP("transport|SO2|Asthma symptoms wheeze", US_national_yearly!$D:$AM, 10, FALSE), 1)</f>
        <v>1.0474606888248186E-2</v>
      </c>
      <c r="H8" s="7">
        <f>$B8 * IFERROR(VLOOKUP("transport|SO2|Asthma symptoms wheeze", US_national_yearly!$D:$AM, 16, FALSE) / VLOOKUP("transport|SO2|Asthma symptoms wheeze", US_national_yearly!$D:$AM, 10, FALSE), 1)</f>
        <v>1.0474606888248186E-2</v>
      </c>
      <c r="I8" s="7">
        <f>$B8 * IFERROR(VLOOKUP("transport|SO2|Asthma symptoms wheeze", US_national_yearly!$D:$AM, 17, FALSE) / VLOOKUP("transport|SO2|Asthma symptoms wheeze", US_national_yearly!$D:$AM, 10, FALSE), 1)</f>
        <v>1.0474606888248186E-2</v>
      </c>
      <c r="J8" s="7">
        <f>$B8 * IFERROR(VLOOKUP("transport|SO2|Asthma symptoms wheeze", US_national_yearly!$D:$AM, 18, FALSE) / VLOOKUP("transport|SO2|Asthma symptoms wheeze", US_national_yearly!$D:$AM, 10, FALSE), 1)</f>
        <v>1.0474606888248186E-2</v>
      </c>
      <c r="K8" s="7">
        <f>$B8 * IFERROR(VLOOKUP("transport|SO2|Asthma symptoms wheeze", US_national_yearly!$D:$AM, 19, FALSE) / VLOOKUP("transport|SO2|Asthma symptoms wheeze", US_national_yearly!$D:$AM, 10, FALSE), 1)</f>
        <v>1.0474606888248186E-2</v>
      </c>
      <c r="L8" s="7">
        <f>$B8 * IFERROR(VLOOKUP("transport|SO2|Asthma symptoms wheeze", US_national_yearly!$D:$AM, 20, FALSE) / VLOOKUP("transport|SO2|Asthma symptoms wheeze", US_national_yearly!$D:$AM, 10, FALSE), 1)</f>
        <v>1.0474606888248186E-2</v>
      </c>
      <c r="M8" s="7">
        <f>$B8 * IFERROR(VLOOKUP("transport|SO2|Asthma symptoms wheeze", US_national_yearly!$D:$AM, 21, FALSE) / VLOOKUP("transport|SO2|Asthma symptoms wheeze", US_national_yearly!$D:$AM, 10, FALSE), 1)</f>
        <v>1.0474606888248186E-2</v>
      </c>
      <c r="N8" s="7">
        <f>$B8 * IFERROR(VLOOKUP("transport|SO2|Asthma symptoms wheeze", US_national_yearly!$D:$AM, 22, FALSE) / VLOOKUP("transport|SO2|Asthma symptoms wheeze", US_national_yearly!$D:$AM, 10, FALSE), 1)</f>
        <v>1.0474606888248186E-2</v>
      </c>
      <c r="O8" s="7">
        <f>$B8 * IFERROR(VLOOKUP("transport|SO2|Asthma symptoms wheeze", US_national_yearly!$D:$AM, 23, FALSE) / VLOOKUP("transport|SO2|Asthma symptoms wheeze", US_national_yearly!$D:$AM, 10, FALSE), 1)</f>
        <v>1.0474606888248186E-2</v>
      </c>
      <c r="P8" s="7">
        <f>$B8 * IFERROR(VLOOKUP("transport|SO2|Asthma symptoms wheeze", US_national_yearly!$D:$AM, 24, FALSE) / VLOOKUP("transport|SO2|Asthma symptoms wheeze", US_national_yearly!$D:$AM, 10, FALSE), 1)</f>
        <v>1.0474606888248186E-2</v>
      </c>
      <c r="Q8" s="7">
        <f>$B8 * IFERROR(VLOOKUP("transport|SO2|Asthma symptoms wheeze", US_national_yearly!$D:$AM, 25, FALSE) / VLOOKUP("transport|SO2|Asthma symptoms wheeze", US_national_yearly!$D:$AM, 10, FALSE), 1)</f>
        <v>1.0474606888248186E-2</v>
      </c>
      <c r="R8" s="7">
        <f>$B8 * IFERROR(VLOOKUP("transport|SO2|Asthma symptoms wheeze", US_national_yearly!$D:$AM, 26, FALSE) / VLOOKUP("transport|SO2|Asthma symptoms wheeze", US_national_yearly!$D:$AM, 10, FALSE), 1)</f>
        <v>1.0474606888248186E-2</v>
      </c>
      <c r="S8" s="7">
        <f>$B8 * IFERROR(VLOOKUP("transport|SO2|Asthma symptoms wheeze", US_national_yearly!$D:$AM, 27, FALSE) / VLOOKUP("transport|SO2|Asthma symptoms wheeze", US_national_yearly!$D:$AM, 10, FALSE), 1)</f>
        <v>1.0474606888248186E-2</v>
      </c>
      <c r="T8" s="7">
        <f>$B8 * IFERROR(VLOOKUP("transport|SO2|Asthma symptoms wheeze", US_national_yearly!$D:$AM, 28, FALSE) / VLOOKUP("transport|SO2|Asthma symptoms wheeze", US_national_yearly!$D:$AM, 10, FALSE), 1)</f>
        <v>1.0474606888248186E-2</v>
      </c>
      <c r="U8" s="7">
        <f>$B8 * IFERROR(VLOOKUP("transport|SO2|Asthma symptoms wheeze", US_national_yearly!$D:$AM, 29, FALSE) / VLOOKUP("transport|SO2|Asthma symptoms wheeze", US_national_yearly!$D:$AM, 10, FALSE), 1)</f>
        <v>1.0474606888248186E-2</v>
      </c>
      <c r="V8" s="7">
        <f>$B8 * IFERROR(VLOOKUP("transport|SO2|Asthma symptoms wheeze", US_national_yearly!$D:$AM, 30, FALSE) / VLOOKUP("transport|SO2|Asthma symptoms wheeze", US_national_yearly!$D:$AM, 10, FALSE), 1)</f>
        <v>1.0474606888248186E-2</v>
      </c>
      <c r="W8" s="7">
        <f>$B8 * IFERROR(VLOOKUP("transport|SO2|Asthma symptoms wheeze", US_national_yearly!$D:$AM, 31, FALSE) / VLOOKUP("transport|SO2|Asthma symptoms wheeze", US_national_yearly!$D:$AM, 10, FALSE), 1)</f>
        <v>1.0474606888248186E-2</v>
      </c>
      <c r="X8" s="7">
        <f>$B8 * IFERROR(VLOOKUP("transport|SO2|Asthma symptoms wheeze", US_national_yearly!$D:$AM, 32, FALSE) / VLOOKUP("transport|SO2|Asthma symptoms wheeze", US_national_yearly!$D:$AM, 10, FALSE), 1)</f>
        <v>1.0474606888248186E-2</v>
      </c>
      <c r="Y8" s="7">
        <f>$B8 * IFERROR(VLOOKUP("transport|SO2|Asthma symptoms wheeze", US_national_yearly!$D:$AM, 33, FALSE) / VLOOKUP("transport|SO2|Asthma symptoms wheeze", US_national_yearly!$D:$AM, 10, FALSE), 1)</f>
        <v>1.0474606888248186E-2</v>
      </c>
      <c r="Z8" s="7">
        <f>$B8 * IFERROR(VLOOKUP("transport|SO2|Asthma symptoms wheeze", US_national_yearly!$D:$AM, 34, FALSE) / VLOOKUP("transport|SO2|Asthma symptoms wheeze", US_national_yearly!$D:$AM, 10, FALSE), 1)</f>
        <v>1.0474606888248186E-2</v>
      </c>
      <c r="AA8" s="7">
        <f>$B8 * IFERROR(VLOOKUP("transport|SO2|Asthma symptoms wheeze", US_national_yearly!$D:$AM, 35, FALSE) / VLOOKUP("transport|SO2|Asthma symptoms wheeze", US_national_yearly!$D:$AM, 10, FALSE), 1)</f>
        <v>1.0474606888248186E-2</v>
      </c>
      <c r="AB8" s="7">
        <f>$B8 * IFERROR(VLOOKUP("transport|SO2|Asthma symptoms wheeze", US_national_yearly!$D:$AM, 36, FALSE) / VLOOKUP("transport|SO2|Asthma symptoms wheeze", US_national_yearly!$D:$AM, 10, FALSE), 1)</f>
        <v>1.0474606888248186E-2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1.9290750783372226E-4</v>
      </c>
      <c r="C12" s="7">
        <f>$B12 * IFERROR(VLOOKUP("transport|SO2|Respiratory hospital admissions", US_national_yearly!$D:$AM, 11, FALSE) / VLOOKUP("transport|SO2|Respiratory hospital admissions", US_national_yearly!$D:$AM, 10, FALSE), 1)</f>
        <v>1.9404528590144477E-4</v>
      </c>
      <c r="D12" s="7">
        <f>$B12 * IFERROR(VLOOKUP("transport|SO2|Respiratory hospital admissions", US_national_yearly!$D:$AM, 12, FALSE) / VLOOKUP("transport|SO2|Respiratory hospital admissions", US_national_yearly!$D:$AM, 10, FALSE), 1)</f>
        <v>1.9518306396916726E-4</v>
      </c>
      <c r="E12" s="7">
        <f>$B12 * IFERROR(VLOOKUP("transport|SO2|Respiratory hospital admissions", US_national_yearly!$D:$AM, 13, FALSE) / VLOOKUP("transport|SO2|Respiratory hospital admissions", US_national_yearly!$D:$AM, 10, FALSE), 1)</f>
        <v>1.9632084203688978E-4</v>
      </c>
      <c r="F12" s="7">
        <f>$B12 * IFERROR(VLOOKUP("transport|SO2|Respiratory hospital admissions", US_national_yearly!$D:$AM, 14, FALSE) / VLOOKUP("transport|SO2|Respiratory hospital admissions", US_national_yearly!$D:$AM, 10, FALSE), 1)</f>
        <v>1.9745862010461229E-4</v>
      </c>
      <c r="G12" s="7">
        <f>$B12 * IFERROR(VLOOKUP("transport|SO2|Respiratory hospital admissions", US_national_yearly!$D:$AM, 15, FALSE) / VLOOKUP("transport|SO2|Respiratory hospital admissions", US_national_yearly!$D:$AM, 10, FALSE), 1)</f>
        <v>1.9869899010858827E-4</v>
      </c>
      <c r="H12" s="7">
        <f>$B12 * IFERROR(VLOOKUP("transport|SO2|Respiratory hospital admissions", US_national_yearly!$D:$AM, 16, FALSE) / VLOOKUP("transport|SO2|Respiratory hospital admissions", US_national_yearly!$D:$AM, 10, FALSE), 1)</f>
        <v>1.9993936011256428E-4</v>
      </c>
      <c r="I12" s="7">
        <f>$B12 * IFERROR(VLOOKUP("transport|SO2|Respiratory hospital admissions", US_national_yearly!$D:$AM, 17, FALSE) / VLOOKUP("transport|SO2|Respiratory hospital admissions", US_national_yearly!$D:$AM, 10, FALSE), 1)</f>
        <v>2.0116251262006061E-4</v>
      </c>
      <c r="J12" s="7">
        <f>$B12 * IFERROR(VLOOKUP("transport|SO2|Respiratory hospital admissions", US_national_yearly!$D:$AM, 18, FALSE) / VLOOKUP("transport|SO2|Respiratory hospital admissions", US_national_yearly!$D:$AM, 10, FALSE), 1)</f>
        <v>2.02385665127557E-4</v>
      </c>
      <c r="K12" s="7">
        <f>$B12 * IFERROR(VLOOKUP("transport|SO2|Respiratory hospital admissions", US_national_yearly!$D:$AM, 19, FALSE) / VLOOKUP("transport|SO2|Respiratory hospital admissions", US_national_yearly!$D:$AM, 10, FALSE), 1)</f>
        <v>2.0360881763505328E-4</v>
      </c>
      <c r="L12" s="7">
        <f>$B12 * IFERROR(VLOOKUP("transport|SO2|Respiratory hospital admissions", US_national_yearly!$D:$AM, 20, FALSE) / VLOOKUP("transport|SO2|Respiratory hospital admissions", US_national_yearly!$D:$AM, 10, FALSE), 1)</f>
        <v>2.0483197014254967E-4</v>
      </c>
      <c r="M12" s="7">
        <f>$B12 * IFERROR(VLOOKUP("transport|SO2|Respiratory hospital admissions", US_national_yearly!$D:$AM, 21, FALSE) / VLOOKUP("transport|SO2|Respiratory hospital admissions", US_national_yearly!$D:$AM, 10, FALSE), 1)</f>
        <v>2.0605512265004595E-4</v>
      </c>
      <c r="N12" s="7">
        <f>$B12 * IFERROR(VLOOKUP("transport|SO2|Respiratory hospital admissions", US_national_yearly!$D:$AM, 22, FALSE) / VLOOKUP("transport|SO2|Respiratory hospital admissions", US_national_yearly!$D:$AM, 10, FALSE), 1)</f>
        <v>2.0694798622351566E-4</v>
      </c>
      <c r="O12" s="7">
        <f>$B12 * IFERROR(VLOOKUP("transport|SO2|Respiratory hospital admissions", US_national_yearly!$D:$AM, 23, FALSE) / VLOOKUP("transport|SO2|Respiratory hospital admissions", US_national_yearly!$D:$AM, 10, FALSE), 1)</f>
        <v>2.0784084979698532E-4</v>
      </c>
      <c r="P12" s="7">
        <f>$B12 * IFERROR(VLOOKUP("transport|SO2|Respiratory hospital admissions", US_national_yearly!$D:$AM, 24, FALSE) / VLOOKUP("transport|SO2|Respiratory hospital admissions", US_national_yearly!$D:$AM, 10, FALSE), 1)</f>
        <v>2.0873371337045497E-4</v>
      </c>
      <c r="Q12" s="7">
        <f>$B12 * IFERROR(VLOOKUP("transport|SO2|Respiratory hospital admissions", US_national_yearly!$D:$AM, 25, FALSE) / VLOOKUP("transport|SO2|Respiratory hospital admissions", US_national_yearly!$D:$AM, 10, FALSE), 1)</f>
        <v>2.0962657694392468E-4</v>
      </c>
      <c r="R12" s="7">
        <f>$B12 * IFERROR(VLOOKUP("transport|SO2|Respiratory hospital admissions", US_national_yearly!$D:$AM, 26, FALSE) / VLOOKUP("transport|SO2|Respiratory hospital admissions", US_national_yearly!$D:$AM, 10, FALSE), 1)</f>
        <v>2.1051944051739434E-4</v>
      </c>
      <c r="S12" s="7">
        <f>$B12 * IFERROR(VLOOKUP("transport|SO2|Respiratory hospital admissions", US_national_yearly!$D:$AM, 27, FALSE) / VLOOKUP("transport|SO2|Respiratory hospital admissions", US_national_yearly!$D:$AM, 10, FALSE), 1)</f>
        <v>2.1137116423907136E-4</v>
      </c>
      <c r="T12" s="7">
        <f>$B12 * IFERROR(VLOOKUP("transport|SO2|Respiratory hospital admissions", US_national_yearly!$D:$AM, 28, FALSE) / VLOOKUP("transport|SO2|Respiratory hospital admissions", US_national_yearly!$D:$AM, 10, FALSE), 1)</f>
        <v>2.1222288796074834E-4</v>
      </c>
      <c r="U12" s="7">
        <f>$B12 * IFERROR(VLOOKUP("transport|SO2|Respiratory hospital admissions", US_national_yearly!$D:$AM, 29, FALSE) / VLOOKUP("transport|SO2|Respiratory hospital admissions", US_national_yearly!$D:$AM, 10, FALSE), 1)</f>
        <v>2.1307461168242536E-4</v>
      </c>
      <c r="V12" s="7">
        <f>$B12 * IFERROR(VLOOKUP("transport|SO2|Respiratory hospital admissions", US_national_yearly!$D:$AM, 30, FALSE) / VLOOKUP("transport|SO2|Respiratory hospital admissions", US_national_yearly!$D:$AM, 10, FALSE), 1)</f>
        <v>2.1392633540410236E-4</v>
      </c>
      <c r="W12" s="7">
        <f>$B12 * IFERROR(VLOOKUP("transport|SO2|Respiratory hospital admissions", US_national_yearly!$D:$AM, 31, FALSE) / VLOOKUP("transport|SO2|Respiratory hospital admissions", US_national_yearly!$D:$AM, 10, FALSE), 1)</f>
        <v>2.1477805912577938E-4</v>
      </c>
      <c r="X12" s="7">
        <f>$B12 * IFERROR(VLOOKUP("transport|SO2|Respiratory hospital admissions", US_national_yearly!$D:$AM, 32, FALSE) / VLOOKUP("transport|SO2|Respiratory hospital admissions", US_national_yearly!$D:$AM, 10, FALSE), 1)</f>
        <v>2.1558620510123385E-4</v>
      </c>
      <c r="Y12" s="7">
        <f>$B12 * IFERROR(VLOOKUP("transport|SO2|Respiratory hospital admissions", US_national_yearly!$D:$AM, 33, FALSE) / VLOOKUP("transport|SO2|Respiratory hospital admissions", US_national_yearly!$D:$AM, 10, FALSE), 1)</f>
        <v>2.1639435107668833E-4</v>
      </c>
      <c r="Z12" s="7">
        <f>$B12 * IFERROR(VLOOKUP("transport|SO2|Respiratory hospital admissions", US_national_yearly!$D:$AM, 34, FALSE) / VLOOKUP("transport|SO2|Respiratory hospital admissions", US_national_yearly!$D:$AM, 10, FALSE), 1)</f>
        <v>2.172024970521428E-4</v>
      </c>
      <c r="AA12" s="7">
        <f>$B12 * IFERROR(VLOOKUP("transport|SO2|Respiratory hospital admissions", US_national_yearly!$D:$AM, 35, FALSE) / VLOOKUP("transport|SO2|Respiratory hospital admissions", US_national_yearly!$D:$AM, 10, FALSE), 1)</f>
        <v>2.1801064302759727E-4</v>
      </c>
      <c r="AB12" s="7">
        <f>$B12 * IFERROR(VLOOKUP("transport|SO2|Respiratory hospital admissions", US_national_yearly!$D:$AM, 36, FALSE) / VLOOKUP("transport|SO2|Respiratory hospital admissions", US_national_yearly!$D:$AM, 10, FALSE), 1)</f>
        <v>2.1881878900305177E-4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1.188834446247458E-3</v>
      </c>
      <c r="C13" s="7">
        <f>$B13 * IFERROR(VLOOKUP("transport|SO2|Non-fatal heart attacks", US_national_yearly!$D:$AM, 11, FALSE) / VLOOKUP("transport|SO2|Non-fatal heart attacks", US_national_yearly!$D:$AM, 10, FALSE), 1)</f>
        <v>1.2237343075058107E-3</v>
      </c>
      <c r="D13" s="7">
        <f>$B13 * IFERROR(VLOOKUP("transport|SO2|Non-fatal heart attacks", US_national_yearly!$D:$AM, 12, FALSE) / VLOOKUP("transport|SO2|Non-fatal heart attacks", US_national_yearly!$D:$AM, 10, FALSE), 1)</f>
        <v>1.2586341687641635E-3</v>
      </c>
      <c r="E13" s="7">
        <f>$B13 * IFERROR(VLOOKUP("transport|SO2|Non-fatal heart attacks", US_national_yearly!$D:$AM, 13, FALSE) / VLOOKUP("transport|SO2|Non-fatal heart attacks", US_national_yearly!$D:$AM, 10, FALSE), 1)</f>
        <v>1.2935340300225162E-3</v>
      </c>
      <c r="F13" s="7">
        <f>$B13 * IFERROR(VLOOKUP("transport|SO2|Non-fatal heart attacks", US_national_yearly!$D:$AM, 14, FALSE) / VLOOKUP("transport|SO2|Non-fatal heart attacks", US_national_yearly!$D:$AM, 10, FALSE), 1)</f>
        <v>1.3284338912808687E-3</v>
      </c>
      <c r="G13" s="7">
        <f>$B13 * IFERROR(VLOOKUP("transport|SO2|Non-fatal heart attacks", US_national_yearly!$D:$AM, 15, FALSE) / VLOOKUP("transport|SO2|Non-fatal heart attacks", US_national_yearly!$D:$AM, 10, FALSE), 1)</f>
        <v>1.3613476976073848E-3</v>
      </c>
      <c r="H13" s="7">
        <f>$B13 * IFERROR(VLOOKUP("transport|SO2|Non-fatal heart attacks", US_national_yearly!$D:$AM, 16, FALSE) / VLOOKUP("transport|SO2|Non-fatal heart attacks", US_national_yearly!$D:$AM, 10, FALSE), 1)</f>
        <v>1.3942615039339006E-3</v>
      </c>
      <c r="I13" s="7">
        <f>$B13 * IFERROR(VLOOKUP("transport|SO2|Non-fatal heart attacks", US_national_yearly!$D:$AM, 17, FALSE) / VLOOKUP("transport|SO2|Non-fatal heart attacks", US_national_yearly!$D:$AM, 10, FALSE), 1)</f>
        <v>1.4207468000256602E-3</v>
      </c>
      <c r="J13" s="7">
        <f>$B13 * IFERROR(VLOOKUP("transport|SO2|Non-fatal heart attacks", US_national_yearly!$D:$AM, 18, FALSE) / VLOOKUP("transport|SO2|Non-fatal heart attacks", US_national_yearly!$D:$AM, 10, FALSE), 1)</f>
        <v>1.4472320961174201E-3</v>
      </c>
      <c r="K13" s="7">
        <f>$B13 * IFERROR(VLOOKUP("transport|SO2|Non-fatal heart attacks", US_national_yearly!$D:$AM, 19, FALSE) / VLOOKUP("transport|SO2|Non-fatal heart attacks", US_national_yearly!$D:$AM, 10, FALSE), 1)</f>
        <v>1.4737173922091797E-3</v>
      </c>
      <c r="L13" s="7">
        <f>$B13 * IFERROR(VLOOKUP("transport|SO2|Non-fatal heart attacks", US_national_yearly!$D:$AM, 20, FALSE) / VLOOKUP("transport|SO2|Non-fatal heart attacks", US_national_yearly!$D:$AM, 10, FALSE), 1)</f>
        <v>1.5002026883009399E-3</v>
      </c>
      <c r="M13" s="7">
        <f>$B13 * IFERROR(VLOOKUP("transport|SO2|Non-fatal heart attacks", US_national_yearly!$D:$AM, 21, FALSE) / VLOOKUP("transport|SO2|Non-fatal heart attacks", US_national_yearly!$D:$AM, 10, FALSE), 1)</f>
        <v>1.5266879843926998E-3</v>
      </c>
      <c r="N13" s="7">
        <f>$B13 * IFERROR(VLOOKUP("transport|SO2|Non-fatal heart attacks", US_national_yearly!$D:$AM, 22, FALSE) / VLOOKUP("transport|SO2|Non-fatal heart attacks", US_national_yearly!$D:$AM, 10, FALSE), 1)</f>
        <v>1.5438852071299098E-3</v>
      </c>
      <c r="O13" s="7">
        <f>$B13 * IFERROR(VLOOKUP("transport|SO2|Non-fatal heart attacks", US_national_yearly!$D:$AM, 23, FALSE) / VLOOKUP("transport|SO2|Non-fatal heart attacks", US_national_yearly!$D:$AM, 10, FALSE), 1)</f>
        <v>1.5610824298671205E-3</v>
      </c>
      <c r="P13" s="7">
        <f>$B13 * IFERROR(VLOOKUP("transport|SO2|Non-fatal heart attacks", US_national_yearly!$D:$AM, 24, FALSE) / VLOOKUP("transport|SO2|Non-fatal heart attacks", US_national_yearly!$D:$AM, 10, FALSE), 1)</f>
        <v>1.5782796526043312E-3</v>
      </c>
      <c r="Q13" s="7">
        <f>$B13 * IFERROR(VLOOKUP("transport|SO2|Non-fatal heart attacks", US_national_yearly!$D:$AM, 25, FALSE) / VLOOKUP("transport|SO2|Non-fatal heart attacks", US_national_yearly!$D:$AM, 10, FALSE), 1)</f>
        <v>1.5954768753415416E-3</v>
      </c>
      <c r="R13" s="7">
        <f>$B13 * IFERROR(VLOOKUP("transport|SO2|Non-fatal heart attacks", US_national_yearly!$D:$AM, 26, FALSE) / VLOOKUP("transport|SO2|Non-fatal heart attacks", US_national_yearly!$D:$AM, 10, FALSE), 1)</f>
        <v>1.6126740980787521E-3</v>
      </c>
      <c r="S13" s="7">
        <f>$B13 * IFERROR(VLOOKUP("transport|SO2|Non-fatal heart attacks", US_national_yearly!$D:$AM, 27, FALSE) / VLOOKUP("transport|SO2|Non-fatal heart attacks", US_national_yearly!$D:$AM, 10, FALSE), 1)</f>
        <v>1.6216526713390997E-3</v>
      </c>
      <c r="T13" s="7">
        <f>$B13 * IFERROR(VLOOKUP("transport|SO2|Non-fatal heart attacks", US_national_yearly!$D:$AM, 28, FALSE) / VLOOKUP("transport|SO2|Non-fatal heart attacks", US_national_yearly!$D:$AM, 10, FALSE), 1)</f>
        <v>1.6306312445994473E-3</v>
      </c>
      <c r="U13" s="7">
        <f>$B13 * IFERROR(VLOOKUP("transport|SO2|Non-fatal heart attacks", US_national_yearly!$D:$AM, 29, FALSE) / VLOOKUP("transport|SO2|Non-fatal heart attacks", US_national_yearly!$D:$AM, 10, FALSE), 1)</f>
        <v>1.6396098178597944E-3</v>
      </c>
      <c r="V13" s="7">
        <f>$B13 * IFERROR(VLOOKUP("transport|SO2|Non-fatal heart attacks", US_national_yearly!$D:$AM, 30, FALSE) / VLOOKUP("transport|SO2|Non-fatal heart attacks", US_national_yearly!$D:$AM, 10, FALSE), 1)</f>
        <v>1.6485883911201418E-3</v>
      </c>
      <c r="W13" s="7">
        <f>$B13 * IFERROR(VLOOKUP("transport|SO2|Non-fatal heart attacks", US_national_yearly!$D:$AM, 31, FALSE) / VLOOKUP("transport|SO2|Non-fatal heart attacks", US_national_yearly!$D:$AM, 10, FALSE), 1)</f>
        <v>1.6575669643804896E-3</v>
      </c>
      <c r="X13" s="7">
        <f>$B13 * IFERROR(VLOOKUP("transport|SO2|Non-fatal heart attacks", US_national_yearly!$D:$AM, 32, FALSE) / VLOOKUP("transport|SO2|Non-fatal heart attacks", US_national_yearly!$D:$AM, 10, FALSE), 1)</f>
        <v>1.6643450018016708E-3</v>
      </c>
      <c r="Y13" s="7">
        <f>$B13 * IFERROR(VLOOKUP("transport|SO2|Non-fatal heart attacks", US_national_yearly!$D:$AM, 33, FALSE) / VLOOKUP("transport|SO2|Non-fatal heart attacks", US_national_yearly!$D:$AM, 10, FALSE), 1)</f>
        <v>1.671123039222852E-3</v>
      </c>
      <c r="Z13" s="7">
        <f>$B13 * IFERROR(VLOOKUP("transport|SO2|Non-fatal heart attacks", US_national_yearly!$D:$AM, 34, FALSE) / VLOOKUP("transport|SO2|Non-fatal heart attacks", US_national_yearly!$D:$AM, 10, FALSE), 1)</f>
        <v>1.677901076644033E-3</v>
      </c>
      <c r="AA13" s="7">
        <f>$B13 * IFERROR(VLOOKUP("transport|SO2|Non-fatal heart attacks", US_national_yearly!$D:$AM, 35, FALSE) / VLOOKUP("transport|SO2|Non-fatal heart attacks", US_national_yearly!$D:$AM, 10, FALSE), 1)</f>
        <v>1.6846791140652142E-3</v>
      </c>
      <c r="AB13" s="7">
        <f>$B13 * IFERROR(VLOOKUP("transport|SO2|Non-fatal heart attacks", US_national_yearly!$D:$AM, 36, FALSE) / VLOOKUP("transport|SO2|Non-fatal heart attacks", US_national_yearly!$D:$AM, 10, FALSE), 1)</f>
        <v>1.6914571514863952E-3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0.73612177371037246</v>
      </c>
      <c r="C14" s="7">
        <f>$B14 * IFERROR(VLOOKUP("transport|SO2|Minor restricted activity days", US_national_yearly!$D:$AM, 11, FALSE) / VLOOKUP("transport|SO2|Minor restricted activity days", US_national_yearly!$D:$AM, 10, FALSE), 1)</f>
        <v>0.73797729143177293</v>
      </c>
      <c r="D14" s="7">
        <f>$B14 * IFERROR(VLOOKUP("transport|SO2|Minor restricted activity days", US_national_yearly!$D:$AM, 12, FALSE) / VLOOKUP("transport|SO2|Minor restricted activity days", US_national_yearly!$D:$AM, 10, FALSE), 1)</f>
        <v>0.73983280915317329</v>
      </c>
      <c r="E14" s="7">
        <f>$B14 * IFERROR(VLOOKUP("transport|SO2|Minor restricted activity days", US_national_yearly!$D:$AM, 13, FALSE) / VLOOKUP("transport|SO2|Minor restricted activity days", US_national_yearly!$D:$AM, 10, FALSE), 1)</f>
        <v>0.74168832687457376</v>
      </c>
      <c r="F14" s="7">
        <f>$B14 * IFERROR(VLOOKUP("transport|SO2|Minor restricted activity days", US_national_yearly!$D:$AM, 14, FALSE) / VLOOKUP("transport|SO2|Minor restricted activity days", US_national_yearly!$D:$AM, 10, FALSE), 1)</f>
        <v>0.74354384459597411</v>
      </c>
      <c r="G14" s="7">
        <f>$B14 * IFERROR(VLOOKUP("transport|SO2|Minor restricted activity days", US_national_yearly!$D:$AM, 15, FALSE) / VLOOKUP("transport|SO2|Minor restricted activity days", US_national_yearly!$D:$AM, 10, FALSE), 1)</f>
        <v>0.74627498439479667</v>
      </c>
      <c r="H14" s="7">
        <f>$B14 * IFERROR(VLOOKUP("transport|SO2|Minor restricted activity days", US_national_yearly!$D:$AM, 16, FALSE) / VLOOKUP("transport|SO2|Minor restricted activity days", US_national_yearly!$D:$AM, 10, FALSE), 1)</f>
        <v>0.74900612419361934</v>
      </c>
      <c r="I14" s="7">
        <f>$B14 * IFERROR(VLOOKUP("transport|SO2|Minor restricted activity days", US_national_yearly!$D:$AM, 17, FALSE) / VLOOKUP("transport|SO2|Minor restricted activity days", US_national_yearly!$D:$AM, 10, FALSE), 1)</f>
        <v>0.75366382854845548</v>
      </c>
      <c r="J14" s="7">
        <f>$B14 * IFERROR(VLOOKUP("transport|SO2|Minor restricted activity days", US_national_yearly!$D:$AM, 18, FALSE) / VLOOKUP("transport|SO2|Minor restricted activity days", US_national_yearly!$D:$AM, 10, FALSE), 1)</f>
        <v>0.75832153290329163</v>
      </c>
      <c r="K14" s="7">
        <f>$B14 * IFERROR(VLOOKUP("transport|SO2|Minor restricted activity days", US_national_yearly!$D:$AM, 19, FALSE) / VLOOKUP("transport|SO2|Minor restricted activity days", US_national_yearly!$D:$AM, 10, FALSE), 1)</f>
        <v>0.762979237258128</v>
      </c>
      <c r="L14" s="7">
        <f>$B14 * IFERROR(VLOOKUP("transport|SO2|Minor restricted activity days", US_national_yearly!$D:$AM, 20, FALSE) / VLOOKUP("transport|SO2|Minor restricted activity days", US_national_yearly!$D:$AM, 10, FALSE), 1)</f>
        <v>0.76763694161296414</v>
      </c>
      <c r="M14" s="7">
        <f>$B14 * IFERROR(VLOOKUP("transport|SO2|Minor restricted activity days", US_national_yearly!$D:$AM, 21, FALSE) / VLOOKUP("transport|SO2|Minor restricted activity days", US_national_yearly!$D:$AM, 10, FALSE), 1)</f>
        <v>0.77229464596780029</v>
      </c>
      <c r="N14" s="7">
        <f>$B14 * IFERROR(VLOOKUP("transport|SO2|Minor restricted activity days", US_national_yearly!$D:$AM, 22, FALSE) / VLOOKUP("transport|SO2|Minor restricted activity days", US_national_yearly!$D:$AM, 10, FALSE), 1)</f>
        <v>0.77866563815473377</v>
      </c>
      <c r="O14" s="7">
        <f>$B14 * IFERROR(VLOOKUP("transport|SO2|Minor restricted activity days", US_national_yearly!$D:$AM, 23, FALSE) / VLOOKUP("transport|SO2|Minor restricted activity days", US_national_yearly!$D:$AM, 10, FALSE), 1)</f>
        <v>0.78503663034166715</v>
      </c>
      <c r="P14" s="7">
        <f>$B14 * IFERROR(VLOOKUP("transport|SO2|Minor restricted activity days", US_national_yearly!$D:$AM, 24, FALSE) / VLOOKUP("transport|SO2|Minor restricted activity days", US_national_yearly!$D:$AM, 10, FALSE), 1)</f>
        <v>0.79140762252860064</v>
      </c>
      <c r="Q14" s="7">
        <f>$B14 * IFERROR(VLOOKUP("transport|SO2|Minor restricted activity days", US_national_yearly!$D:$AM, 25, FALSE) / VLOOKUP("transport|SO2|Minor restricted activity days", US_national_yearly!$D:$AM, 10, FALSE), 1)</f>
        <v>0.79777861471553402</v>
      </c>
      <c r="R14" s="7">
        <f>$B14 * IFERROR(VLOOKUP("transport|SO2|Minor restricted activity days", US_national_yearly!$D:$AM, 26, FALSE) / VLOOKUP("transport|SO2|Minor restricted activity days", US_national_yearly!$D:$AM, 10, FALSE), 1)</f>
        <v>0.80414960690246751</v>
      </c>
      <c r="S14" s="7">
        <f>$B14 * IFERROR(VLOOKUP("transport|SO2|Minor restricted activity days", US_national_yearly!$D:$AM, 27, FALSE) / VLOOKUP("transport|SO2|Minor restricted activity days", US_national_yearly!$D:$AM, 10, FALSE), 1)</f>
        <v>0.81064545699105683</v>
      </c>
      <c r="T14" s="7">
        <f>$B14 * IFERROR(VLOOKUP("transport|SO2|Minor restricted activity days", US_national_yearly!$D:$AM, 28, FALSE) / VLOOKUP("transport|SO2|Minor restricted activity days", US_national_yearly!$D:$AM, 10, FALSE), 1)</f>
        <v>0.81714130707964616</v>
      </c>
      <c r="U14" s="7">
        <f>$B14 * IFERROR(VLOOKUP("transport|SO2|Minor restricted activity days", US_national_yearly!$D:$AM, 29, FALSE) / VLOOKUP("transport|SO2|Minor restricted activity days", US_national_yearly!$D:$AM, 10, FALSE), 1)</f>
        <v>0.82363715716823549</v>
      </c>
      <c r="V14" s="7">
        <f>$B14 * IFERROR(VLOOKUP("transport|SO2|Minor restricted activity days", US_national_yearly!$D:$AM, 30, FALSE) / VLOOKUP("transport|SO2|Minor restricted activity days", US_national_yearly!$D:$AM, 10, FALSE), 1)</f>
        <v>0.83013300725682482</v>
      </c>
      <c r="W14" s="7">
        <f>$B14 * IFERROR(VLOOKUP("transport|SO2|Minor restricted activity days", US_national_yearly!$D:$AM, 31, FALSE) / VLOOKUP("transport|SO2|Minor restricted activity days", US_national_yearly!$D:$AM, 10, FALSE), 1)</f>
        <v>0.83662885734541437</v>
      </c>
      <c r="X14" s="7">
        <f>$B14 * IFERROR(VLOOKUP("transport|SO2|Minor restricted activity days", US_national_yearly!$D:$AM, 32, FALSE) / VLOOKUP("transport|SO2|Minor restricted activity days", US_national_yearly!$D:$AM, 10, FALSE), 1)</f>
        <v>0.84234143985172361</v>
      </c>
      <c r="Y14" s="7">
        <f>$B14 * IFERROR(VLOOKUP("transport|SO2|Minor restricted activity days", US_national_yearly!$D:$AM, 33, FALSE) / VLOOKUP("transport|SO2|Minor restricted activity days", US_national_yearly!$D:$AM, 10, FALSE), 1)</f>
        <v>0.84805402235803273</v>
      </c>
      <c r="Z14" s="7">
        <f>$B14 * IFERROR(VLOOKUP("transport|SO2|Minor restricted activity days", US_national_yearly!$D:$AM, 34, FALSE) / VLOOKUP("transport|SO2|Minor restricted activity days", US_national_yearly!$D:$AM, 10, FALSE), 1)</f>
        <v>0.85376660486434208</v>
      </c>
      <c r="AA14" s="7">
        <f>$B14 * IFERROR(VLOOKUP("transport|SO2|Minor restricted activity days", US_national_yearly!$D:$AM, 35, FALSE) / VLOOKUP("transport|SO2|Minor restricted activity days", US_national_yearly!$D:$AM, 10, FALSE), 1)</f>
        <v>0.85947918737065132</v>
      </c>
      <c r="AB14" s="7">
        <f>$B14 * IFERROR(VLOOKUP("transport|SO2|Minor restricted activity days", US_national_yearly!$D:$AM, 36, FALSE) / VLOOKUP("transport|SO2|Minor restricted activity days", US_national_yearly!$D:$AM, 10, FALSE), 1)</f>
        <v>0.86519176987696067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0.12406246070165508</v>
      </c>
      <c r="C15" s="7">
        <f>$B15 * IFERROR(VLOOKUP("transport|SO2|Work loss days", US_national_yearly!$D:$AM, 11, FALSE) / VLOOKUP("transport|SO2|Work loss days", US_national_yearly!$D:$AM, 10, FALSE), 1)</f>
        <v>0.12446440335634446</v>
      </c>
      <c r="D15" s="7">
        <f>$B15 * IFERROR(VLOOKUP("transport|SO2|Work loss days", US_national_yearly!$D:$AM, 12, FALSE) / VLOOKUP("transport|SO2|Work loss days", US_national_yearly!$D:$AM, 10, FALSE), 1)</f>
        <v>0.12486634601103384</v>
      </c>
      <c r="E15" s="7">
        <f>$B15 * IFERROR(VLOOKUP("transport|SO2|Work loss days", US_national_yearly!$D:$AM, 13, FALSE) / VLOOKUP("transport|SO2|Work loss days", US_national_yearly!$D:$AM, 10, FALSE), 1)</f>
        <v>0.12526828866572323</v>
      </c>
      <c r="F15" s="7">
        <f>$B15 * IFERROR(VLOOKUP("transport|SO2|Work loss days", US_national_yearly!$D:$AM, 14, FALSE) / VLOOKUP("transport|SO2|Work loss days", US_national_yearly!$D:$AM, 10, FALSE), 1)</f>
        <v>0.12567023132041261</v>
      </c>
      <c r="G15" s="7">
        <f>$B15 * IFERROR(VLOOKUP("transport|SO2|Work loss days", US_national_yearly!$D:$AM, 15, FALSE) / VLOOKUP("transport|SO2|Work loss days", US_national_yearly!$D:$AM, 10, FALSE), 1)</f>
        <v>0.12619541857959152</v>
      </c>
      <c r="H15" s="7">
        <f>$B15 * IFERROR(VLOOKUP("transport|SO2|Work loss days", US_national_yearly!$D:$AM, 16, FALSE) / VLOOKUP("transport|SO2|Work loss days", US_national_yearly!$D:$AM, 10, FALSE), 1)</f>
        <v>0.12672060583877037</v>
      </c>
      <c r="I15" s="7">
        <f>$B15 * IFERROR(VLOOKUP("transport|SO2|Work loss days", US_national_yearly!$D:$AM, 17, FALSE) / VLOOKUP("transport|SO2|Work loss days", US_national_yearly!$D:$AM, 10, FALSE), 1)</f>
        <v>0.12748888429764585</v>
      </c>
      <c r="J15" s="7">
        <f>$B15 * IFERROR(VLOOKUP("transport|SO2|Work loss days", US_national_yearly!$D:$AM, 18, FALSE) / VLOOKUP("transport|SO2|Work loss days", US_national_yearly!$D:$AM, 10, FALSE), 1)</f>
        <v>0.12825716275652127</v>
      </c>
      <c r="K15" s="7">
        <f>$B15 * IFERROR(VLOOKUP("transport|SO2|Work loss days", US_national_yearly!$D:$AM, 19, FALSE) / VLOOKUP("transport|SO2|Work loss days", US_national_yearly!$D:$AM, 10, FALSE), 1)</f>
        <v>0.12902544121539672</v>
      </c>
      <c r="L15" s="7">
        <f>$B15 * IFERROR(VLOOKUP("transport|SO2|Work loss days", US_national_yearly!$D:$AM, 20, FALSE) / VLOOKUP("transport|SO2|Work loss days", US_national_yearly!$D:$AM, 10, FALSE), 1)</f>
        <v>0.1297937196742722</v>
      </c>
      <c r="M15" s="7">
        <f>$B15 * IFERROR(VLOOKUP("transport|SO2|Work loss days", US_national_yearly!$D:$AM, 21, FALSE) / VLOOKUP("transport|SO2|Work loss days", US_national_yearly!$D:$AM, 10, FALSE), 1)</f>
        <v>0.13056199813314764</v>
      </c>
      <c r="N15" s="7">
        <f>$B15 * IFERROR(VLOOKUP("transport|SO2|Work loss days", US_national_yearly!$D:$AM, 22, FALSE) / VLOOKUP("transport|SO2|Work loss days", US_national_yearly!$D:$AM, 10, FALSE), 1)</f>
        <v>0.13152529482060901</v>
      </c>
      <c r="O15" s="7">
        <f>$B15 * IFERROR(VLOOKUP("transport|SO2|Work loss days", US_national_yearly!$D:$AM, 23, FALSE) / VLOOKUP("transport|SO2|Work loss days", US_national_yearly!$D:$AM, 10, FALSE), 1)</f>
        <v>0.13248859150807041</v>
      </c>
      <c r="P15" s="7">
        <f>$B15 * IFERROR(VLOOKUP("transport|SO2|Work loss days", US_national_yearly!$D:$AM, 24, FALSE) / VLOOKUP("transport|SO2|Work loss days", US_national_yearly!$D:$AM, 10, FALSE), 1)</f>
        <v>0.13345188819553175</v>
      </c>
      <c r="Q15" s="7">
        <f>$B15 * IFERROR(VLOOKUP("transport|SO2|Work loss days", US_national_yearly!$D:$AM, 25, FALSE) / VLOOKUP("transport|SO2|Work loss days", US_national_yearly!$D:$AM, 10, FALSE), 1)</f>
        <v>0.13441518488299312</v>
      </c>
      <c r="R15" s="7">
        <f>$B15 * IFERROR(VLOOKUP("transport|SO2|Work loss days", US_national_yearly!$D:$AM, 26, FALSE) / VLOOKUP("transport|SO2|Work loss days", US_national_yearly!$D:$AM, 10, FALSE), 1)</f>
        <v>0.13537848157045451</v>
      </c>
      <c r="S15" s="7">
        <f>$B15 * IFERROR(VLOOKUP("transport|SO2|Work loss days", US_national_yearly!$D:$AM, 27, FALSE) / VLOOKUP("transport|SO2|Work loss days", US_national_yearly!$D:$AM, 10, FALSE), 1)</f>
        <v>0.13645496244274397</v>
      </c>
      <c r="T15" s="7">
        <f>$B15 * IFERROR(VLOOKUP("transport|SO2|Work loss days", US_national_yearly!$D:$AM, 28, FALSE) / VLOOKUP("transport|SO2|Work loss days", US_national_yearly!$D:$AM, 10, FALSE), 1)</f>
        <v>0.13753144331503347</v>
      </c>
      <c r="U15" s="7">
        <f>$B15 * IFERROR(VLOOKUP("transport|SO2|Work loss days", US_national_yearly!$D:$AM, 29, FALSE) / VLOOKUP("transport|SO2|Work loss days", US_national_yearly!$D:$AM, 10, FALSE), 1)</f>
        <v>0.13860792418732296</v>
      </c>
      <c r="V15" s="7">
        <f>$B15 * IFERROR(VLOOKUP("transport|SO2|Work loss days", US_national_yearly!$D:$AM, 30, FALSE) / VLOOKUP("transport|SO2|Work loss days", US_national_yearly!$D:$AM, 10, FALSE), 1)</f>
        <v>0.13968440505961241</v>
      </c>
      <c r="W15" s="7">
        <f>$B15 * IFERROR(VLOOKUP("transport|SO2|Work loss days", US_national_yearly!$D:$AM, 31, FALSE) / VLOOKUP("transport|SO2|Work loss days", US_national_yearly!$D:$AM, 10, FALSE), 1)</f>
        <v>0.14076088593190192</v>
      </c>
      <c r="X15" s="7">
        <f>$B15 * IFERROR(VLOOKUP("transport|SO2|Work loss days", US_national_yearly!$D:$AM, 32, FALSE) / VLOOKUP("transport|SO2|Work loss days", US_national_yearly!$D:$AM, 10, FALSE), 1)</f>
        <v>0.14172741737673791</v>
      </c>
      <c r="Y15" s="7">
        <f>$B15 * IFERROR(VLOOKUP("transport|SO2|Work loss days", US_national_yearly!$D:$AM, 33, FALSE) / VLOOKUP("transport|SO2|Work loss days", US_national_yearly!$D:$AM, 10, FALSE), 1)</f>
        <v>0.14269394882157393</v>
      </c>
      <c r="Z15" s="7">
        <f>$B15 * IFERROR(VLOOKUP("transport|SO2|Work loss days", US_national_yearly!$D:$AM, 34, FALSE) / VLOOKUP("transport|SO2|Work loss days", US_national_yearly!$D:$AM, 10, FALSE), 1)</f>
        <v>0.14366048026640993</v>
      </c>
      <c r="AA15" s="7">
        <f>$B15 * IFERROR(VLOOKUP("transport|SO2|Work loss days", US_national_yearly!$D:$AM, 35, FALSE) / VLOOKUP("transport|SO2|Work loss days", US_national_yearly!$D:$AM, 10, FALSE), 1)</f>
        <v>0.14462701171124595</v>
      </c>
      <c r="AB15" s="7">
        <f>$B15 * IFERROR(VLOOKUP("transport|SO2|Work loss days", US_national_yearly!$D:$AM, 36, FALSE) / VLOOKUP("transport|SO2|Work loss days", US_national_yearly!$D:$AM, 10, FALSE), 1)</f>
        <v>0.14559354315608197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2.8820189664299816E-4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2.9691822564409994E-4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3.0563455464520172E-4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3.1435088364630356E-4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3.230672126474054E-4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3.3141662703711761E-4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3.3976604142682987E-4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3.4691986018481883E-4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3.5407367894280784E-4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3.612274977007968E-4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3.6838131645878575E-4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3.7553513521677466E-4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3.8034087185540277E-4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3.8514660849403083E-4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3.8995234513265888E-4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3.9475808177128694E-4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3.9956381840991506E-4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4.0209129371306519E-4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4.0461876901621527E-4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4.0714624431936541E-4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4.0967371962251549E-4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4.1220119492566557E-4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4.1389797264862032E-4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4.1559475037157508E-4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4.1729152809452978E-4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4.1898830581748458E-4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4.2068508354043923E-4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2.6713194783291448E-2</v>
      </c>
      <c r="C2" s="7">
        <f>$B2 * IFERROR(VLOOKUP("electricity|PM25|Premature mortality", US_national_yearly!$D:$AM, 11, FALSE) / VLOOKUP("electricity|PM25|Premature mortality", US_national_yearly!$D:$AM, 10, FALSE), 1)</f>
        <v>2.7044070764612835E-2</v>
      </c>
      <c r="D2" s="7">
        <f>$B2 * IFERROR(VLOOKUP("electricity|PM25|Premature mortality", US_national_yearly!$D:$AM, 12, FALSE) / VLOOKUP("electricity|PM25|Premature mortality", US_national_yearly!$D:$AM, 10, FALSE), 1)</f>
        <v>2.7374946745934221E-2</v>
      </c>
      <c r="E2" s="7">
        <f>$B2 * IFERROR(VLOOKUP("electricity|PM25|Premature mortality", US_national_yearly!$D:$AM, 13, FALSE) / VLOOKUP("electricity|PM25|Premature mortality", US_national_yearly!$D:$AM, 10, FALSE), 1)</f>
        <v>2.7705822727255608E-2</v>
      </c>
      <c r="F2" s="7">
        <f>$B2 * IFERROR(VLOOKUP("electricity|PM25|Premature mortality", US_national_yearly!$D:$AM, 14, FALSE) / VLOOKUP("electricity|PM25|Premature mortality", US_national_yearly!$D:$AM, 10, FALSE), 1)</f>
        <v>2.8036698708577001E-2</v>
      </c>
      <c r="G2" s="7">
        <f>$B2 * IFERROR(VLOOKUP("electricity|PM25|Premature mortality", US_national_yearly!$D:$AM, 15, FALSE) / VLOOKUP("electricity|PM25|Premature mortality", US_national_yearly!$D:$AM, 10, FALSE), 1)</f>
        <v>2.8686556732431125E-2</v>
      </c>
      <c r="H2" s="7">
        <f>$B2 * IFERROR(VLOOKUP("electricity|PM25|Premature mortality", US_national_yearly!$D:$AM, 16, FALSE) / VLOOKUP("electricity|PM25|Premature mortality", US_national_yearly!$D:$AM, 10, FALSE), 1)</f>
        <v>2.9336414756285255E-2</v>
      </c>
      <c r="I2" s="7">
        <f>$B2 * IFERROR(VLOOKUP("electricity|PM25|Premature mortality", US_national_yearly!$D:$AM, 17, FALSE) / VLOOKUP("electricity|PM25|Premature mortality", US_national_yearly!$D:$AM, 10, FALSE), 1)</f>
        <v>2.9773059882649139E-2</v>
      </c>
      <c r="J2" s="7">
        <f>$B2 * IFERROR(VLOOKUP("electricity|PM25|Premature mortality", US_national_yearly!$D:$AM, 18, FALSE) / VLOOKUP("electricity|PM25|Premature mortality", US_national_yearly!$D:$AM, 10, FALSE), 1)</f>
        <v>3.020970500901303E-2</v>
      </c>
      <c r="K2" s="7">
        <f>$B2 * IFERROR(VLOOKUP("electricity|PM25|Premature mortality", US_national_yearly!$D:$AM, 19, FALSE) / VLOOKUP("electricity|PM25|Premature mortality", US_national_yearly!$D:$AM, 10, FALSE), 1)</f>
        <v>3.0646350135376917E-2</v>
      </c>
      <c r="L2" s="7">
        <f>$B2 * IFERROR(VLOOKUP("electricity|PM25|Premature mortality", US_national_yearly!$D:$AM, 20, FALSE) / VLOOKUP("electricity|PM25|Premature mortality", US_national_yearly!$D:$AM, 10, FALSE), 1)</f>
        <v>3.1082995261740808E-2</v>
      </c>
      <c r="M2" s="7">
        <f>$B2 * IFERROR(VLOOKUP("electricity|PM25|Premature mortality", US_national_yearly!$D:$AM, 21, FALSE) / VLOOKUP("electricity|PM25|Premature mortality", US_national_yearly!$D:$AM, 10, FALSE), 1)</f>
        <v>3.1519640388104696E-2</v>
      </c>
      <c r="N2" s="7">
        <f>$B2 * IFERROR(VLOOKUP("electricity|PM25|Premature mortality", US_national_yearly!$D:$AM, 22, FALSE) / VLOOKUP("electricity|PM25|Premature mortality", US_national_yearly!$D:$AM, 10, FALSE), 1)</f>
        <v>3.1867695989249947E-2</v>
      </c>
      <c r="O2" s="7">
        <f>$B2 * IFERROR(VLOOKUP("electricity|PM25|Premature mortality", US_national_yearly!$D:$AM, 23, FALSE) / VLOOKUP("electricity|PM25|Premature mortality", US_national_yearly!$D:$AM, 10, FALSE), 1)</f>
        <v>3.2215751590395192E-2</v>
      </c>
      <c r="P2" s="7">
        <f>$B2 * IFERROR(VLOOKUP("electricity|PM25|Premature mortality", US_national_yearly!$D:$AM, 24, FALSE) / VLOOKUP("electricity|PM25|Premature mortality", US_national_yearly!$D:$AM, 10, FALSE), 1)</f>
        <v>3.2563807191540443E-2</v>
      </c>
      <c r="Q2" s="7">
        <f>$B2 * IFERROR(VLOOKUP("electricity|PM25|Premature mortality", US_national_yearly!$D:$AM, 25, FALSE) / VLOOKUP("electricity|PM25|Premature mortality", US_national_yearly!$D:$AM, 10, FALSE), 1)</f>
        <v>3.2911862792685695E-2</v>
      </c>
      <c r="R2" s="7">
        <f>$B2 * IFERROR(VLOOKUP("electricity|PM25|Premature mortality", US_national_yearly!$D:$AM, 26, FALSE) / VLOOKUP("electricity|PM25|Premature mortality", US_national_yearly!$D:$AM, 10, FALSE), 1)</f>
        <v>3.3259918393830946E-2</v>
      </c>
      <c r="S2" s="7">
        <f>$B2 * IFERROR(VLOOKUP("electricity|PM25|Premature mortality", US_national_yearly!$D:$AM, 27, FALSE) / VLOOKUP("electricity|PM25|Premature mortality", US_national_yearly!$D:$AM, 10, FALSE), 1)</f>
        <v>3.3459077674296622E-2</v>
      </c>
      <c r="T2" s="7">
        <f>$B2 * IFERROR(VLOOKUP("electricity|PM25|Premature mortality", US_national_yearly!$D:$AM, 28, FALSE) / VLOOKUP("electricity|PM25|Premature mortality", US_national_yearly!$D:$AM, 10, FALSE), 1)</f>
        <v>3.3658236954762298E-2</v>
      </c>
      <c r="U2" s="7">
        <f>$B2 * IFERROR(VLOOKUP("electricity|PM25|Premature mortality", US_national_yearly!$D:$AM, 29, FALSE) / VLOOKUP("electricity|PM25|Premature mortality", US_national_yearly!$D:$AM, 10, FALSE), 1)</f>
        <v>3.3857396235227981E-2</v>
      </c>
      <c r="V2" s="7">
        <f>$B2 * IFERROR(VLOOKUP("electricity|PM25|Premature mortality", US_national_yearly!$D:$AM, 30, FALSE) / VLOOKUP("electricity|PM25|Premature mortality", US_national_yearly!$D:$AM, 10, FALSE), 1)</f>
        <v>3.405655551569365E-2</v>
      </c>
      <c r="W2" s="7">
        <f>$B2 * IFERROR(VLOOKUP("electricity|PM25|Premature mortality", US_national_yearly!$D:$AM, 31, FALSE) / VLOOKUP("electricity|PM25|Premature mortality", US_national_yearly!$D:$AM, 10, FALSE), 1)</f>
        <v>3.4255714796159333E-2</v>
      </c>
      <c r="X2" s="7">
        <f>$B2 * IFERROR(VLOOKUP("electricity|PM25|Premature mortality", US_national_yearly!$D:$AM, 32, FALSE) / VLOOKUP("electricity|PM25|Premature mortality", US_national_yearly!$D:$AM, 10, FALSE), 1)</f>
        <v>3.4311039956589899E-2</v>
      </c>
      <c r="Y2" s="7">
        <f>$B2 * IFERROR(VLOOKUP("electricity|PM25|Premature mortality", US_national_yearly!$D:$AM, 33, FALSE) / VLOOKUP("electricity|PM25|Premature mortality", US_national_yearly!$D:$AM, 10, FALSE), 1)</f>
        <v>3.4366365117020466E-2</v>
      </c>
      <c r="Z2" s="7">
        <f>$B2 * IFERROR(VLOOKUP("electricity|PM25|Premature mortality", US_national_yearly!$D:$AM, 34, FALSE) / VLOOKUP("electricity|PM25|Premature mortality", US_national_yearly!$D:$AM, 10, FALSE), 1)</f>
        <v>3.4421690277451032E-2</v>
      </c>
      <c r="AA2" s="7">
        <f>$B2 * IFERROR(VLOOKUP("electricity|PM25|Premature mortality", US_national_yearly!$D:$AM, 35, FALSE) / VLOOKUP("electricity|PM25|Premature mortality", US_national_yearly!$D:$AM, 10, FALSE), 1)</f>
        <v>3.4477015437881606E-2</v>
      </c>
      <c r="AB2" s="7">
        <f>$B2 * IFERROR(VLOOKUP("electricity|PM25|Premature mortality", US_national_yearly!$D:$AM, 36, FALSE) / VLOOKUP("electricity|PM25|Premature mortality", US_national_yearly!$D:$AM, 10, FALSE), 1)</f>
        <v>3.4532340598312179E-2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5.9578729769692516E-5</v>
      </c>
      <c r="C3" s="7">
        <f>$B3 * IFERROR(VLOOKUP("electricity|PM25|Infant mortality", US_national_yearly!$D:$AM, 11, FALSE) / VLOOKUP("electricity|PM25|Infant mortality", US_national_yearly!$D:$AM, 10, FALSE), 1)</f>
        <v>5.9059620447281515E-5</v>
      </c>
      <c r="D3" s="7">
        <f>$B3 * IFERROR(VLOOKUP("electricity|PM25|Infant mortality", US_national_yearly!$D:$AM, 12, FALSE) / VLOOKUP("electricity|PM25|Infant mortality", US_national_yearly!$D:$AM, 10, FALSE), 1)</f>
        <v>5.8540511124870535E-5</v>
      </c>
      <c r="E3" s="7">
        <f>$B3 * IFERROR(VLOOKUP("electricity|PM25|Infant mortality", US_national_yearly!$D:$AM, 13, FALSE) / VLOOKUP("electricity|PM25|Infant mortality", US_national_yearly!$D:$AM, 10, FALSE), 1)</f>
        <v>5.8021401802459535E-5</v>
      </c>
      <c r="F3" s="7">
        <f>$B3 * IFERROR(VLOOKUP("electricity|PM25|Infant mortality", US_national_yearly!$D:$AM, 14, FALSE) / VLOOKUP("electricity|PM25|Infant mortality", US_national_yearly!$D:$AM, 10, FALSE), 1)</f>
        <v>5.7502292480048542E-5</v>
      </c>
      <c r="G3" s="7">
        <f>$B3 * IFERROR(VLOOKUP("electricity|PM25|Infant mortality", US_national_yearly!$D:$AM, 15, FALSE) / VLOOKUP("electricity|PM25|Infant mortality", US_national_yearly!$D:$AM, 10, FALSE), 1)</f>
        <v>3.8133728117413295E-5</v>
      </c>
      <c r="H3" s="7">
        <f>$B3 * IFERROR(VLOOKUP("electricity|PM25|Infant mortality", US_national_yearly!$D:$AM, 16, FALSE) / VLOOKUP("electricity|PM25|Infant mortality", US_national_yearly!$D:$AM, 10, FALSE), 1)</f>
        <v>1.8765163754778056E-5</v>
      </c>
      <c r="I3" s="7">
        <f>$B3 * IFERROR(VLOOKUP("electricity|PM25|Infant mortality", US_national_yearly!$D:$AM, 17, FALSE) / VLOOKUP("electricity|PM25|Infant mortality", US_national_yearly!$D:$AM, 10, FALSE), 1)</f>
        <v>1.863267310001462E-5</v>
      </c>
      <c r="J3" s="7">
        <f>$B3 * IFERROR(VLOOKUP("electricity|PM25|Infant mortality", US_national_yearly!$D:$AM, 18, FALSE) / VLOOKUP("electricity|PM25|Infant mortality", US_national_yearly!$D:$AM, 10, FALSE), 1)</f>
        <v>1.850018244525119E-5</v>
      </c>
      <c r="K3" s="7">
        <f>$B3 * IFERROR(VLOOKUP("electricity|PM25|Infant mortality", US_national_yearly!$D:$AM, 19, FALSE) / VLOOKUP("electricity|PM25|Infant mortality", US_national_yearly!$D:$AM, 10, FALSE), 1)</f>
        <v>1.8367691790487754E-5</v>
      </c>
      <c r="L3" s="7">
        <f>$B3 * IFERROR(VLOOKUP("electricity|PM25|Infant mortality", US_national_yearly!$D:$AM, 20, FALSE) / VLOOKUP("electricity|PM25|Infant mortality", US_national_yearly!$D:$AM, 10, FALSE), 1)</f>
        <v>1.8235201135724325E-5</v>
      </c>
      <c r="M3" s="7">
        <f>$B3 * IFERROR(VLOOKUP("electricity|PM25|Infant mortality", US_national_yearly!$D:$AM, 21, FALSE) / VLOOKUP("electricity|PM25|Infant mortality", US_national_yearly!$D:$AM, 10, FALSE), 1)</f>
        <v>1.8102710480960892E-5</v>
      </c>
      <c r="N3" s="7">
        <f>$B3 * IFERROR(VLOOKUP("electricity|PM25|Infant mortality", US_national_yearly!$D:$AM, 22, FALSE) / VLOOKUP("electricity|PM25|Infant mortality", US_national_yearly!$D:$AM, 10, FALSE), 1)</f>
        <v>1.8017501399469294E-5</v>
      </c>
      <c r="O3" s="7">
        <f>$B3 * IFERROR(VLOOKUP("electricity|PM25|Infant mortality", US_national_yearly!$D:$AM, 23, FALSE) / VLOOKUP("electricity|PM25|Infant mortality", US_national_yearly!$D:$AM, 10, FALSE), 1)</f>
        <v>1.7932292317977699E-5</v>
      </c>
      <c r="P3" s="7">
        <f>$B3 * IFERROR(VLOOKUP("electricity|PM25|Infant mortality", US_national_yearly!$D:$AM, 24, FALSE) / VLOOKUP("electricity|PM25|Infant mortality", US_national_yearly!$D:$AM, 10, FALSE), 1)</f>
        <v>1.7847083236486101E-5</v>
      </c>
      <c r="Q3" s="7">
        <f>$B3 * IFERROR(VLOOKUP("electricity|PM25|Infant mortality", US_national_yearly!$D:$AM, 25, FALSE) / VLOOKUP("electricity|PM25|Infant mortality", US_national_yearly!$D:$AM, 10, FALSE), 1)</f>
        <v>1.7761874154994502E-5</v>
      </c>
      <c r="R3" s="7">
        <f>$B3 * IFERROR(VLOOKUP("electricity|PM25|Infant mortality", US_national_yearly!$D:$AM, 26, FALSE) / VLOOKUP("electricity|PM25|Infant mortality", US_national_yearly!$D:$AM, 10, FALSE), 1)</f>
        <v>1.7676665073502904E-5</v>
      </c>
      <c r="S3" s="7">
        <f>$B3 * IFERROR(VLOOKUP("electricity|PM25|Infant mortality", US_national_yearly!$D:$AM, 27, FALSE) / VLOOKUP("electricity|PM25|Infant mortality", US_national_yearly!$D:$AM, 10, FALSE), 1)</f>
        <v>1.7574582689749771E-5</v>
      </c>
      <c r="T3" s="7">
        <f>$B3 * IFERROR(VLOOKUP("electricity|PM25|Infant mortality", US_national_yearly!$D:$AM, 28, FALSE) / VLOOKUP("electricity|PM25|Infant mortality", US_national_yearly!$D:$AM, 10, FALSE), 1)</f>
        <v>1.7472500305996638E-5</v>
      </c>
      <c r="U3" s="7">
        <f>$B3 * IFERROR(VLOOKUP("electricity|PM25|Infant mortality", US_national_yearly!$D:$AM, 29, FALSE) / VLOOKUP("electricity|PM25|Infant mortality", US_national_yearly!$D:$AM, 10, FALSE), 1)</f>
        <v>1.7370417922243509E-5</v>
      </c>
      <c r="V3" s="7">
        <f>$B3 * IFERROR(VLOOKUP("electricity|PM25|Infant mortality", US_national_yearly!$D:$AM, 30, FALSE) / VLOOKUP("electricity|PM25|Infant mortality", US_national_yearly!$D:$AM, 10, FALSE), 1)</f>
        <v>1.7268335538490376E-5</v>
      </c>
      <c r="W3" s="7">
        <f>$B3 * IFERROR(VLOOKUP("electricity|PM25|Infant mortality", US_national_yearly!$D:$AM, 31, FALSE) / VLOOKUP("electricity|PM25|Infant mortality", US_national_yearly!$D:$AM, 10, FALSE), 1)</f>
        <v>1.7166253154737243E-5</v>
      </c>
      <c r="X3" s="7">
        <f>$B3 * IFERROR(VLOOKUP("electricity|PM25|Infant mortality", US_national_yearly!$D:$AM, 32, FALSE) / VLOOKUP("electricity|PM25|Infant mortality", US_national_yearly!$D:$AM, 10, FALSE), 1)</f>
        <v>1.7060763756696572E-5</v>
      </c>
      <c r="Y3" s="7">
        <f>$B3 * IFERROR(VLOOKUP("electricity|PM25|Infant mortality", US_national_yearly!$D:$AM, 33, FALSE) / VLOOKUP("electricity|PM25|Infant mortality", US_national_yearly!$D:$AM, 10, FALSE), 1)</f>
        <v>1.69552743586559E-5</v>
      </c>
      <c r="Z3" s="7">
        <f>$B3 * IFERROR(VLOOKUP("electricity|PM25|Infant mortality", US_national_yearly!$D:$AM, 34, FALSE) / VLOOKUP("electricity|PM25|Infant mortality", US_national_yearly!$D:$AM, 10, FALSE), 1)</f>
        <v>1.6849784960615229E-5</v>
      </c>
      <c r="AA3" s="7">
        <f>$B3 * IFERROR(VLOOKUP("electricity|PM25|Infant mortality", US_national_yearly!$D:$AM, 35, FALSE) / VLOOKUP("electricity|PM25|Infant mortality", US_national_yearly!$D:$AM, 10, FALSE), 1)</f>
        <v>1.6744295562574558E-5</v>
      </c>
      <c r="AB3" s="7">
        <f>$B3 * IFERROR(VLOOKUP("electricity|PM25|Infant mortality", US_national_yearly!$D:$AM, 36, FALSE) / VLOOKUP("electricity|PM25|Infant mortality", US_national_yearly!$D:$AM, 10, FALSE), 1)</f>
        <v>1.6638806164533891E-5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5.9337776330508442E-2</v>
      </c>
      <c r="C6" s="7">
        <f>$B6 * IFERROR(VLOOKUP("electricity|PM25|Asthma symptoms cough", US_national_yearly!$D:$AM, 11, FALSE) / VLOOKUP("electricity|PM25|Asthma symptoms cough", US_national_yearly!$D:$AM, 10, FALSE), 1)</f>
        <v>5.9337776330508442E-2</v>
      </c>
      <c r="D6" s="7">
        <f>$B6 * IFERROR(VLOOKUP("electricity|PM25|Asthma symptoms cough", US_national_yearly!$D:$AM, 12, FALSE) / VLOOKUP("electricity|PM25|Asthma symptoms cough", US_national_yearly!$D:$AM, 10, FALSE), 1)</f>
        <v>5.9337776330508442E-2</v>
      </c>
      <c r="E6" s="7">
        <f>$B6 * IFERROR(VLOOKUP("electricity|PM25|Asthma symptoms cough", US_national_yearly!$D:$AM, 13, FALSE) / VLOOKUP("electricity|PM25|Asthma symptoms cough", US_national_yearly!$D:$AM, 10, FALSE), 1)</f>
        <v>5.9337776330508442E-2</v>
      </c>
      <c r="F6" s="7">
        <f>$B6 * IFERROR(VLOOKUP("electricity|PM25|Asthma symptoms cough", US_national_yearly!$D:$AM, 14, FALSE) / VLOOKUP("electricity|PM25|Asthma symptoms cough", US_national_yearly!$D:$AM, 10, FALSE), 1)</f>
        <v>5.9337776330508442E-2</v>
      </c>
      <c r="G6" s="7">
        <f>$B6 * IFERROR(VLOOKUP("electricity|PM25|Asthma symptoms cough", US_national_yearly!$D:$AM, 15, FALSE) / VLOOKUP("electricity|PM25|Asthma symptoms cough", US_national_yearly!$D:$AM, 10, FALSE), 1)</f>
        <v>5.9337776330508442E-2</v>
      </c>
      <c r="H6" s="7">
        <f>$B6 * IFERROR(VLOOKUP("electricity|PM25|Asthma symptoms cough", US_national_yearly!$D:$AM, 16, FALSE) / VLOOKUP("electricity|PM25|Asthma symptoms cough", US_national_yearly!$D:$AM, 10, FALSE), 1)</f>
        <v>5.9337776330508442E-2</v>
      </c>
      <c r="I6" s="7">
        <f>$B6 * IFERROR(VLOOKUP("electricity|PM25|Asthma symptoms cough", US_national_yearly!$D:$AM, 17, FALSE) / VLOOKUP("electricity|PM25|Asthma symptoms cough", US_national_yearly!$D:$AM, 10, FALSE), 1)</f>
        <v>5.9337776330508442E-2</v>
      </c>
      <c r="J6" s="7">
        <f>$B6 * IFERROR(VLOOKUP("electricity|PM25|Asthma symptoms cough", US_national_yearly!$D:$AM, 18, FALSE) / VLOOKUP("electricity|PM25|Asthma symptoms cough", US_national_yearly!$D:$AM, 10, FALSE), 1)</f>
        <v>5.9337776330508442E-2</v>
      </c>
      <c r="K6" s="7">
        <f>$B6 * IFERROR(VLOOKUP("electricity|PM25|Asthma symptoms cough", US_national_yearly!$D:$AM, 19, FALSE) / VLOOKUP("electricity|PM25|Asthma symptoms cough", US_national_yearly!$D:$AM, 10, FALSE), 1)</f>
        <v>5.9337776330508442E-2</v>
      </c>
      <c r="L6" s="7">
        <f>$B6 * IFERROR(VLOOKUP("electricity|PM25|Asthma symptoms cough", US_national_yearly!$D:$AM, 20, FALSE) / VLOOKUP("electricity|PM25|Asthma symptoms cough", US_national_yearly!$D:$AM, 10, FALSE), 1)</f>
        <v>5.9337776330508442E-2</v>
      </c>
      <c r="M6" s="7">
        <f>$B6 * IFERROR(VLOOKUP("electricity|PM25|Asthma symptoms cough", US_national_yearly!$D:$AM, 21, FALSE) / VLOOKUP("electricity|PM25|Asthma symptoms cough", US_national_yearly!$D:$AM, 10, FALSE), 1)</f>
        <v>5.9337776330508442E-2</v>
      </c>
      <c r="N6" s="7">
        <f>$B6 * IFERROR(VLOOKUP("electricity|PM25|Asthma symptoms cough", US_national_yearly!$D:$AM, 22, FALSE) / VLOOKUP("electricity|PM25|Asthma symptoms cough", US_national_yearly!$D:$AM, 10, FALSE), 1)</f>
        <v>5.9337776330508442E-2</v>
      </c>
      <c r="O6" s="7">
        <f>$B6 * IFERROR(VLOOKUP("electricity|PM25|Asthma symptoms cough", US_national_yearly!$D:$AM, 23, FALSE) / VLOOKUP("electricity|PM25|Asthma symptoms cough", US_national_yearly!$D:$AM, 10, FALSE), 1)</f>
        <v>5.9337776330508442E-2</v>
      </c>
      <c r="P6" s="7">
        <f>$B6 * IFERROR(VLOOKUP("electricity|PM25|Asthma symptoms cough", US_national_yearly!$D:$AM, 24, FALSE) / VLOOKUP("electricity|PM25|Asthma symptoms cough", US_national_yearly!$D:$AM, 10, FALSE), 1)</f>
        <v>5.9337776330508442E-2</v>
      </c>
      <c r="Q6" s="7">
        <f>$B6 * IFERROR(VLOOKUP("electricity|PM25|Asthma symptoms cough", US_national_yearly!$D:$AM, 25, FALSE) / VLOOKUP("electricity|PM25|Asthma symptoms cough", US_national_yearly!$D:$AM, 10, FALSE), 1)</f>
        <v>5.9337776330508442E-2</v>
      </c>
      <c r="R6" s="7">
        <f>$B6 * IFERROR(VLOOKUP("electricity|PM25|Asthma symptoms cough", US_national_yearly!$D:$AM, 26, FALSE) / VLOOKUP("electricity|PM25|Asthma symptoms cough", US_national_yearly!$D:$AM, 10, FALSE), 1)</f>
        <v>5.9337776330508442E-2</v>
      </c>
      <c r="S6" s="7">
        <f>$B6 * IFERROR(VLOOKUP("electricity|PM25|Asthma symptoms cough", US_national_yearly!$D:$AM, 27, FALSE) / VLOOKUP("electricity|PM25|Asthma symptoms cough", US_national_yearly!$D:$AM, 10, FALSE), 1)</f>
        <v>5.9337776330508442E-2</v>
      </c>
      <c r="T6" s="7">
        <f>$B6 * IFERROR(VLOOKUP("electricity|PM25|Asthma symptoms cough", US_national_yearly!$D:$AM, 28, FALSE) / VLOOKUP("electricity|PM25|Asthma symptoms cough", US_national_yearly!$D:$AM, 10, FALSE), 1)</f>
        <v>5.9337776330508442E-2</v>
      </c>
      <c r="U6" s="7">
        <f>$B6 * IFERROR(VLOOKUP("electricity|PM25|Asthma symptoms cough", US_national_yearly!$D:$AM, 29, FALSE) / VLOOKUP("electricity|PM25|Asthma symptoms cough", US_national_yearly!$D:$AM, 10, FALSE), 1)</f>
        <v>5.9337776330508442E-2</v>
      </c>
      <c r="V6" s="7">
        <f>$B6 * IFERROR(VLOOKUP("electricity|PM25|Asthma symptoms cough", US_national_yearly!$D:$AM, 30, FALSE) / VLOOKUP("electricity|PM25|Asthma symptoms cough", US_national_yearly!$D:$AM, 10, FALSE), 1)</f>
        <v>5.9337776330508442E-2</v>
      </c>
      <c r="W6" s="7">
        <f>$B6 * IFERROR(VLOOKUP("electricity|PM25|Asthma symptoms cough", US_national_yearly!$D:$AM, 31, FALSE) / VLOOKUP("electricity|PM25|Asthma symptoms cough", US_national_yearly!$D:$AM, 10, FALSE), 1)</f>
        <v>5.9337776330508442E-2</v>
      </c>
      <c r="X6" s="7">
        <f>$B6 * IFERROR(VLOOKUP("electricity|PM25|Asthma symptoms cough", US_national_yearly!$D:$AM, 32, FALSE) / VLOOKUP("electricity|PM25|Asthma symptoms cough", US_national_yearly!$D:$AM, 10, FALSE), 1)</f>
        <v>5.9337776330508442E-2</v>
      </c>
      <c r="Y6" s="7">
        <f>$B6 * IFERROR(VLOOKUP("electricity|PM25|Asthma symptoms cough", US_national_yearly!$D:$AM, 33, FALSE) / VLOOKUP("electricity|PM25|Asthma symptoms cough", US_national_yearly!$D:$AM, 10, FALSE), 1)</f>
        <v>5.9337776330508442E-2</v>
      </c>
      <c r="Z6" s="7">
        <f>$B6 * IFERROR(VLOOKUP("electricity|PM25|Asthma symptoms cough", US_national_yearly!$D:$AM, 34, FALSE) / VLOOKUP("electricity|PM25|Asthma symptoms cough", US_national_yearly!$D:$AM, 10, FALSE), 1)</f>
        <v>5.9337776330508442E-2</v>
      </c>
      <c r="AA6" s="7">
        <f>$B6 * IFERROR(VLOOKUP("electricity|PM25|Asthma symptoms cough", US_national_yearly!$D:$AM, 35, FALSE) / VLOOKUP("electricity|PM25|Asthma symptoms cough", US_national_yearly!$D:$AM, 10, FALSE), 1)</f>
        <v>5.9337776330508442E-2</v>
      </c>
      <c r="AB6" s="7">
        <f>$B6 * IFERROR(VLOOKUP("electricity|PM25|Asthma symptoms cough", US_national_yearly!$D:$AM, 36, FALSE) / VLOOKUP("electricity|PM25|Asthma symptoms cough", US_national_yearly!$D:$AM, 10, FALSE), 1)</f>
        <v>5.9337776330508442E-2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7.9906341198020675E-2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7.9906341198020675E-2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7.9906341198020675E-2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7.9906341198020675E-2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7.9906341198020675E-2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7.9906341198020675E-2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7.9906341198020675E-2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7.9906341198020675E-2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7.9906341198020675E-2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7.9906341198020675E-2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7.9906341198020675E-2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7.9906341198020675E-2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7.9906341198020675E-2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7.9906341198020675E-2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7.9906341198020675E-2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7.9906341198020675E-2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7.9906341198020675E-2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7.9906341198020675E-2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7.9906341198020675E-2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7.9906341198020675E-2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7.9906341198020675E-2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7.9906341198020675E-2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7.9906341198020675E-2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7.9906341198020675E-2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7.9906341198020675E-2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7.9906341198020675E-2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7.9906341198020675E-2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0.12208543302754331</v>
      </c>
      <c r="C8" s="7">
        <f>$B8 * IFERROR(VLOOKUP("electricity|PM25|Asthma symptoms wheeze", US_national_yearly!$D:$AM, 11, FALSE) / VLOOKUP("electricity|PM25|Asthma symptoms wheeze", US_national_yearly!$D:$AM, 10, FALSE), 1)</f>
        <v>0.12208543302754331</v>
      </c>
      <c r="D8" s="7">
        <f>$B8 * IFERROR(VLOOKUP("electricity|PM25|Asthma symptoms wheeze", US_national_yearly!$D:$AM, 12, FALSE) / VLOOKUP("electricity|PM25|Asthma symptoms wheeze", US_national_yearly!$D:$AM, 10, FALSE), 1)</f>
        <v>0.12208543302754331</v>
      </c>
      <c r="E8" s="7">
        <f>$B8 * IFERROR(VLOOKUP("electricity|PM25|Asthma symptoms wheeze", US_national_yearly!$D:$AM, 13, FALSE) / VLOOKUP("electricity|PM25|Asthma symptoms wheeze", US_national_yearly!$D:$AM, 10, FALSE), 1)</f>
        <v>0.12208543302754331</v>
      </c>
      <c r="F8" s="7">
        <f>$B8 * IFERROR(VLOOKUP("electricity|PM25|Asthma symptoms wheeze", US_national_yearly!$D:$AM, 14, FALSE) / VLOOKUP("electricity|PM25|Asthma symptoms wheeze", US_national_yearly!$D:$AM, 10, FALSE), 1)</f>
        <v>0.12208543302754331</v>
      </c>
      <c r="G8" s="7">
        <f>$B8 * IFERROR(VLOOKUP("electricity|PM25|Asthma symptoms wheeze", US_national_yearly!$D:$AM, 15, FALSE) / VLOOKUP("electricity|PM25|Asthma symptoms wheeze", US_national_yearly!$D:$AM, 10, FALSE), 1)</f>
        <v>0.12208543302754331</v>
      </c>
      <c r="H8" s="7">
        <f>$B8 * IFERROR(VLOOKUP("electricity|PM25|Asthma symptoms wheeze", US_national_yearly!$D:$AM, 16, FALSE) / VLOOKUP("electricity|PM25|Asthma symptoms wheeze", US_national_yearly!$D:$AM, 10, FALSE), 1)</f>
        <v>0.12208543302754331</v>
      </c>
      <c r="I8" s="7">
        <f>$B8 * IFERROR(VLOOKUP("electricity|PM25|Asthma symptoms wheeze", US_national_yearly!$D:$AM, 17, FALSE) / VLOOKUP("electricity|PM25|Asthma symptoms wheeze", US_national_yearly!$D:$AM, 10, FALSE), 1)</f>
        <v>0.12208543302754331</v>
      </c>
      <c r="J8" s="7">
        <f>$B8 * IFERROR(VLOOKUP("electricity|PM25|Asthma symptoms wheeze", US_national_yearly!$D:$AM, 18, FALSE) / VLOOKUP("electricity|PM25|Asthma symptoms wheeze", US_national_yearly!$D:$AM, 10, FALSE), 1)</f>
        <v>0.12208543302754331</v>
      </c>
      <c r="K8" s="7">
        <f>$B8 * IFERROR(VLOOKUP("electricity|PM25|Asthma symptoms wheeze", US_national_yearly!$D:$AM, 19, FALSE) / VLOOKUP("electricity|PM25|Asthma symptoms wheeze", US_national_yearly!$D:$AM, 10, FALSE), 1)</f>
        <v>0.12208543302754331</v>
      </c>
      <c r="L8" s="7">
        <f>$B8 * IFERROR(VLOOKUP("electricity|PM25|Asthma symptoms wheeze", US_national_yearly!$D:$AM, 20, FALSE) / VLOOKUP("electricity|PM25|Asthma symptoms wheeze", US_national_yearly!$D:$AM, 10, FALSE), 1)</f>
        <v>0.12208543302754331</v>
      </c>
      <c r="M8" s="7">
        <f>$B8 * IFERROR(VLOOKUP("electricity|PM25|Asthma symptoms wheeze", US_national_yearly!$D:$AM, 21, FALSE) / VLOOKUP("electricity|PM25|Asthma symptoms wheeze", US_national_yearly!$D:$AM, 10, FALSE), 1)</f>
        <v>0.12208543302754331</v>
      </c>
      <c r="N8" s="7">
        <f>$B8 * IFERROR(VLOOKUP("electricity|PM25|Asthma symptoms wheeze", US_national_yearly!$D:$AM, 22, FALSE) / VLOOKUP("electricity|PM25|Asthma symptoms wheeze", US_national_yearly!$D:$AM, 10, FALSE), 1)</f>
        <v>0.12208543302754331</v>
      </c>
      <c r="O8" s="7">
        <f>$B8 * IFERROR(VLOOKUP("electricity|PM25|Asthma symptoms wheeze", US_national_yearly!$D:$AM, 23, FALSE) / VLOOKUP("electricity|PM25|Asthma symptoms wheeze", US_national_yearly!$D:$AM, 10, FALSE), 1)</f>
        <v>0.12208543302754331</v>
      </c>
      <c r="P8" s="7">
        <f>$B8 * IFERROR(VLOOKUP("electricity|PM25|Asthma symptoms wheeze", US_national_yearly!$D:$AM, 24, FALSE) / VLOOKUP("electricity|PM25|Asthma symptoms wheeze", US_national_yearly!$D:$AM, 10, FALSE), 1)</f>
        <v>0.12208543302754331</v>
      </c>
      <c r="Q8" s="7">
        <f>$B8 * IFERROR(VLOOKUP("electricity|PM25|Asthma symptoms wheeze", US_national_yearly!$D:$AM, 25, FALSE) / VLOOKUP("electricity|PM25|Asthma symptoms wheeze", US_national_yearly!$D:$AM, 10, FALSE), 1)</f>
        <v>0.12208543302754331</v>
      </c>
      <c r="R8" s="7">
        <f>$B8 * IFERROR(VLOOKUP("electricity|PM25|Asthma symptoms wheeze", US_national_yearly!$D:$AM, 26, FALSE) / VLOOKUP("electricity|PM25|Asthma symptoms wheeze", US_national_yearly!$D:$AM, 10, FALSE), 1)</f>
        <v>0.12208543302754331</v>
      </c>
      <c r="S8" s="7">
        <f>$B8 * IFERROR(VLOOKUP("electricity|PM25|Asthma symptoms wheeze", US_national_yearly!$D:$AM, 27, FALSE) / VLOOKUP("electricity|PM25|Asthma symptoms wheeze", US_national_yearly!$D:$AM, 10, FALSE), 1)</f>
        <v>0.12208543302754331</v>
      </c>
      <c r="T8" s="7">
        <f>$B8 * IFERROR(VLOOKUP("electricity|PM25|Asthma symptoms wheeze", US_national_yearly!$D:$AM, 28, FALSE) / VLOOKUP("electricity|PM25|Asthma symptoms wheeze", US_national_yearly!$D:$AM, 10, FALSE), 1)</f>
        <v>0.12208543302754331</v>
      </c>
      <c r="U8" s="7">
        <f>$B8 * IFERROR(VLOOKUP("electricity|PM25|Asthma symptoms wheeze", US_national_yearly!$D:$AM, 29, FALSE) / VLOOKUP("electricity|PM25|Asthma symptoms wheeze", US_national_yearly!$D:$AM, 10, FALSE), 1)</f>
        <v>0.12208543302754331</v>
      </c>
      <c r="V8" s="7">
        <f>$B8 * IFERROR(VLOOKUP("electricity|PM25|Asthma symptoms wheeze", US_national_yearly!$D:$AM, 30, FALSE) / VLOOKUP("electricity|PM25|Asthma symptoms wheeze", US_national_yearly!$D:$AM, 10, FALSE), 1)</f>
        <v>0.12208543302754331</v>
      </c>
      <c r="W8" s="7">
        <f>$B8 * IFERROR(VLOOKUP("electricity|PM25|Asthma symptoms wheeze", US_national_yearly!$D:$AM, 31, FALSE) / VLOOKUP("electricity|PM25|Asthma symptoms wheeze", US_national_yearly!$D:$AM, 10, FALSE), 1)</f>
        <v>0.12208543302754331</v>
      </c>
      <c r="X8" s="7">
        <f>$B8 * IFERROR(VLOOKUP("electricity|PM25|Asthma symptoms wheeze", US_national_yearly!$D:$AM, 32, FALSE) / VLOOKUP("electricity|PM25|Asthma symptoms wheeze", US_national_yearly!$D:$AM, 10, FALSE), 1)</f>
        <v>0.12208543302754331</v>
      </c>
      <c r="Y8" s="7">
        <f>$B8 * IFERROR(VLOOKUP("electricity|PM25|Asthma symptoms wheeze", US_national_yearly!$D:$AM, 33, FALSE) / VLOOKUP("electricity|PM25|Asthma symptoms wheeze", US_national_yearly!$D:$AM, 10, FALSE), 1)</f>
        <v>0.12208543302754331</v>
      </c>
      <c r="Z8" s="7">
        <f>$B8 * IFERROR(VLOOKUP("electricity|PM25|Asthma symptoms wheeze", US_national_yearly!$D:$AM, 34, FALSE) / VLOOKUP("electricity|PM25|Asthma symptoms wheeze", US_national_yearly!$D:$AM, 10, FALSE), 1)</f>
        <v>0.12208543302754331</v>
      </c>
      <c r="AA8" s="7">
        <f>$B8 * IFERROR(VLOOKUP("electricity|PM25|Asthma symptoms wheeze", US_national_yearly!$D:$AM, 35, FALSE) / VLOOKUP("electricity|PM25|Asthma symptoms wheeze", US_national_yearly!$D:$AM, 10, FALSE), 1)</f>
        <v>0.12208543302754331</v>
      </c>
      <c r="AB8" s="7">
        <f>$B8 * IFERROR(VLOOKUP("electricity|PM25|Asthma symptoms wheeze", US_national_yearly!$D:$AM, 36, FALSE) / VLOOKUP("electricity|PM25|Asthma symptoms wheeze", US_national_yearly!$D:$AM, 10, FALSE), 1)</f>
        <v>0.12208543302754331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2.0055002387489567E-3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2.0165222239084198E-3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2.027544209067882E-3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2.0385661942273455E-3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2.0495881793868077E-3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2.0614034765494191E-3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2.0732187737120301E-3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2.0837745346888163E-3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2.094330295665602E-3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2.1048860566423877E-3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2.1154418176191733E-3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2.1259975785959595E-3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2.1331178142027993E-3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2.14023804980964E-3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2.1473582854164806E-3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2.1544785210233209E-3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2.1615987566301611E-3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2.1682338204376522E-3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2.1748688842451419E-3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2.1815039480526325E-3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2.1881390118601227E-3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2.1947740756676128E-3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2.201334890221522E-3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2.2078957047754308E-3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2.2144565193293396E-3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2.2210173338832483E-3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2.227578148437158E-3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1.2589610409726728E-2</v>
      </c>
      <c r="C13" s="7">
        <f>$B13 * IFERROR(VLOOKUP("electricity|PM25|Non-fatal heart attacks", US_national_yearly!$D:$AM, 11, FALSE) / VLOOKUP("electricity|PM25|Non-fatal heart attacks", US_national_yearly!$D:$AM, 10, FALSE), 1)</f>
        <v>1.295426623205833E-2</v>
      </c>
      <c r="D13" s="7">
        <f>$B13 * IFERROR(VLOOKUP("electricity|PM25|Non-fatal heart attacks", US_national_yearly!$D:$AM, 12, FALSE) / VLOOKUP("electricity|PM25|Non-fatal heart attacks", US_national_yearly!$D:$AM, 10, FALSE), 1)</f>
        <v>1.331892205438993E-2</v>
      </c>
      <c r="E13" s="7">
        <f>$B13 * IFERROR(VLOOKUP("electricity|PM25|Non-fatal heart attacks", US_national_yearly!$D:$AM, 13, FALSE) / VLOOKUP("electricity|PM25|Non-fatal heart attacks", US_national_yearly!$D:$AM, 10, FALSE), 1)</f>
        <v>1.3683577876721529E-2</v>
      </c>
      <c r="F13" s="7">
        <f>$B13 * IFERROR(VLOOKUP("electricity|PM25|Non-fatal heart attacks", US_national_yearly!$D:$AM, 14, FALSE) / VLOOKUP("electricity|PM25|Non-fatal heart attacks", US_national_yearly!$D:$AM, 10, FALSE), 1)</f>
        <v>1.4048233699053132E-2</v>
      </c>
      <c r="G13" s="7">
        <f>$B13 * IFERROR(VLOOKUP("electricity|PM25|Non-fatal heart attacks", US_national_yearly!$D:$AM, 15, FALSE) / VLOOKUP("electricity|PM25|Non-fatal heart attacks", US_national_yearly!$D:$AM, 10, FALSE), 1)</f>
        <v>1.4394352970446014E-2</v>
      </c>
      <c r="H13" s="7">
        <f>$B13 * IFERROR(VLOOKUP("electricity|PM25|Non-fatal heart attacks", US_national_yearly!$D:$AM, 16, FALSE) / VLOOKUP("electricity|PM25|Non-fatal heart attacks", US_national_yearly!$D:$AM, 10, FALSE), 1)</f>
        <v>1.4740472241838894E-2</v>
      </c>
      <c r="I13" s="7">
        <f>$B13 * IFERROR(VLOOKUP("electricity|PM25|Non-fatal heart attacks", US_national_yearly!$D:$AM, 17, FALSE) / VLOOKUP("electricity|PM25|Non-fatal heart attacks", US_national_yearly!$D:$AM, 10, FALSE), 1)</f>
        <v>1.5022864705980341E-2</v>
      </c>
      <c r="J13" s="7">
        <f>$B13 * IFERROR(VLOOKUP("electricity|PM25|Non-fatal heart attacks", US_national_yearly!$D:$AM, 18, FALSE) / VLOOKUP("electricity|PM25|Non-fatal heart attacks", US_national_yearly!$D:$AM, 10, FALSE), 1)</f>
        <v>1.5305257170121786E-2</v>
      </c>
      <c r="K13" s="7">
        <f>$B13 * IFERROR(VLOOKUP("electricity|PM25|Non-fatal heart attacks", US_national_yearly!$D:$AM, 19, FALSE) / VLOOKUP("electricity|PM25|Non-fatal heart attacks", US_national_yearly!$D:$AM, 10, FALSE), 1)</f>
        <v>1.5587649634263229E-2</v>
      </c>
      <c r="L13" s="7">
        <f>$B13 * IFERROR(VLOOKUP("electricity|PM25|Non-fatal heart attacks", US_national_yearly!$D:$AM, 20, FALSE) / VLOOKUP("electricity|PM25|Non-fatal heart attacks", US_national_yearly!$D:$AM, 10, FALSE), 1)</f>
        <v>1.5870042098404671E-2</v>
      </c>
      <c r="M13" s="7">
        <f>$B13 * IFERROR(VLOOKUP("electricity|PM25|Non-fatal heart attacks", US_national_yearly!$D:$AM, 21, FALSE) / VLOOKUP("electricity|PM25|Non-fatal heart attacks", US_national_yearly!$D:$AM, 10, FALSE), 1)</f>
        <v>1.6152434562546121E-2</v>
      </c>
      <c r="N13" s="7">
        <f>$B13 * IFERROR(VLOOKUP("electricity|PM25|Non-fatal heart attacks", US_national_yearly!$D:$AM, 22, FALSE) / VLOOKUP("electricity|PM25|Non-fatal heart attacks", US_national_yearly!$D:$AM, 10, FALSE), 1)</f>
        <v>1.6335670816930475E-2</v>
      </c>
      <c r="O13" s="7">
        <f>$B13 * IFERROR(VLOOKUP("electricity|PM25|Non-fatal heart attacks", US_national_yearly!$D:$AM, 23, FALSE) / VLOOKUP("electricity|PM25|Non-fatal heart attacks", US_national_yearly!$D:$AM, 10, FALSE), 1)</f>
        <v>1.6518907071314825E-2</v>
      </c>
      <c r="P13" s="7">
        <f>$B13 * IFERROR(VLOOKUP("electricity|PM25|Non-fatal heart attacks", US_national_yearly!$D:$AM, 24, FALSE) / VLOOKUP("electricity|PM25|Non-fatal heart attacks", US_national_yearly!$D:$AM, 10, FALSE), 1)</f>
        <v>1.6702143325699175E-2</v>
      </c>
      <c r="Q13" s="7">
        <f>$B13 * IFERROR(VLOOKUP("electricity|PM25|Non-fatal heart attacks", US_national_yearly!$D:$AM, 25, FALSE) / VLOOKUP("electricity|PM25|Non-fatal heart attacks", US_national_yearly!$D:$AM, 10, FALSE), 1)</f>
        <v>1.6885379580083529E-2</v>
      </c>
      <c r="R13" s="7">
        <f>$B13 * IFERROR(VLOOKUP("electricity|PM25|Non-fatal heart attacks", US_national_yearly!$D:$AM, 26, FALSE) / VLOOKUP("electricity|PM25|Non-fatal heart attacks", US_national_yearly!$D:$AM, 10, FALSE), 1)</f>
        <v>1.7068615834467882E-2</v>
      </c>
      <c r="S13" s="7">
        <f>$B13 * IFERROR(VLOOKUP("electricity|PM25|Non-fatal heart attacks", US_national_yearly!$D:$AM, 27, FALSE) / VLOOKUP("electricity|PM25|Non-fatal heart attacks", US_national_yearly!$D:$AM, 10, FALSE), 1)</f>
        <v>1.7169492099882642E-2</v>
      </c>
      <c r="T13" s="7">
        <f>$B13 * IFERROR(VLOOKUP("electricity|PM25|Non-fatal heart attacks", US_national_yearly!$D:$AM, 28, FALSE) / VLOOKUP("electricity|PM25|Non-fatal heart attacks", US_national_yearly!$D:$AM, 10, FALSE), 1)</f>
        <v>1.7270368365297405E-2</v>
      </c>
      <c r="U13" s="7">
        <f>$B13 * IFERROR(VLOOKUP("electricity|PM25|Non-fatal heart attacks", US_national_yearly!$D:$AM, 29, FALSE) / VLOOKUP("electricity|PM25|Non-fatal heart attacks", US_national_yearly!$D:$AM, 10, FALSE), 1)</f>
        <v>1.7371244630712167E-2</v>
      </c>
      <c r="V13" s="7">
        <f>$B13 * IFERROR(VLOOKUP("electricity|PM25|Non-fatal heart attacks", US_national_yearly!$D:$AM, 30, FALSE) / VLOOKUP("electricity|PM25|Non-fatal heart attacks", US_national_yearly!$D:$AM, 10, FALSE), 1)</f>
        <v>1.7472120896126927E-2</v>
      </c>
      <c r="W13" s="7">
        <f>$B13 * IFERROR(VLOOKUP("electricity|PM25|Non-fatal heart attacks", US_national_yearly!$D:$AM, 31, FALSE) / VLOOKUP("electricity|PM25|Non-fatal heart attacks", US_national_yearly!$D:$AM, 10, FALSE), 1)</f>
        <v>1.757299716154169E-2</v>
      </c>
      <c r="X13" s="7">
        <f>$B13 * IFERROR(VLOOKUP("electricity|PM25|Non-fatal heart attacks", US_national_yearly!$D:$AM, 32, FALSE) / VLOOKUP("electricity|PM25|Non-fatal heart attacks", US_national_yearly!$D:$AM, 10, FALSE), 1)</f>
        <v>1.7651914256365645E-2</v>
      </c>
      <c r="Y13" s="7">
        <f>$B13 * IFERROR(VLOOKUP("electricity|PM25|Non-fatal heart attacks", US_national_yearly!$D:$AM, 33, FALSE) / VLOOKUP("electricity|PM25|Non-fatal heart attacks", US_national_yearly!$D:$AM, 10, FALSE), 1)</f>
        <v>1.7730831351189604E-2</v>
      </c>
      <c r="Z13" s="7">
        <f>$B13 * IFERROR(VLOOKUP("electricity|PM25|Non-fatal heart attacks", US_national_yearly!$D:$AM, 34, FALSE) / VLOOKUP("electricity|PM25|Non-fatal heart attacks", US_national_yearly!$D:$AM, 10, FALSE), 1)</f>
        <v>1.780974844601356E-2</v>
      </c>
      <c r="AA13" s="7">
        <f>$B13 * IFERROR(VLOOKUP("electricity|PM25|Non-fatal heart attacks", US_national_yearly!$D:$AM, 35, FALSE) / VLOOKUP("electricity|PM25|Non-fatal heart attacks", US_national_yearly!$D:$AM, 10, FALSE), 1)</f>
        <v>1.7888665540837519E-2</v>
      </c>
      <c r="AB13" s="7">
        <f>$B13 * IFERROR(VLOOKUP("electricity|PM25|Non-fatal heart attacks", US_national_yearly!$D:$AM, 36, FALSE) / VLOOKUP("electricity|PM25|Non-fatal heart attacks", US_national_yearly!$D:$AM, 10, FALSE), 1)</f>
        <v>1.7967582635661474E-2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8.2348314131363161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8.2531121853478489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8.2713929575593834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8.2896737297709162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8.3079545019824508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8.3350810496809817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8.3622075973795127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8.4101056939762042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8.4580037905728958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8.5059018871695873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8.5537999837662788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8.6016980803629703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8.6681465543415257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8.7345950283200846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8.8010435022986435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8.8674919762772006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8.9339404502557578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9.0009620760157514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9.067983701775745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9.1350053275357368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9.2020269532957304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9.269048579055724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9.3265001017571123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9.3839516244585042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9.441403147159896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9.4988546698612843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9.556306192562678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1.397392584941086</v>
      </c>
      <c r="C15" s="7">
        <f>$B15 * IFERROR(VLOOKUP("electricity|PM25|Work loss days", US_national_yearly!$D:$AM, 11, FALSE) / VLOOKUP("electricity|PM25|Work loss days", US_national_yearly!$D:$AM, 10, FALSE), 1)</f>
        <v>1.4013913045990034</v>
      </c>
      <c r="D15" s="7">
        <f>$B15 * IFERROR(VLOOKUP("electricity|PM25|Work loss days", US_national_yearly!$D:$AM, 12, FALSE) / VLOOKUP("electricity|PM25|Work loss days", US_national_yearly!$D:$AM, 10, FALSE), 1)</f>
        <v>1.4053900242569213</v>
      </c>
      <c r="E15" s="7">
        <f>$B15 * IFERROR(VLOOKUP("electricity|PM25|Work loss days", US_national_yearly!$D:$AM, 13, FALSE) / VLOOKUP("electricity|PM25|Work loss days", US_national_yearly!$D:$AM, 10, FALSE), 1)</f>
        <v>1.4093887439148389</v>
      </c>
      <c r="F15" s="7">
        <f>$B15 * IFERROR(VLOOKUP("electricity|PM25|Work loss days", US_national_yearly!$D:$AM, 14, FALSE) / VLOOKUP("electricity|PM25|Work loss days", US_national_yearly!$D:$AM, 10, FALSE), 1)</f>
        <v>1.4133874635727564</v>
      </c>
      <c r="G15" s="7">
        <f>$B15 * IFERROR(VLOOKUP("electricity|PM25|Work loss days", US_national_yearly!$D:$AM, 15, FALSE) / VLOOKUP("electricity|PM25|Work loss days", US_national_yearly!$D:$AM, 10, FALSE), 1)</f>
        <v>1.4185675996159308</v>
      </c>
      <c r="H15" s="7">
        <f>$B15 * IFERROR(VLOOKUP("electricity|PM25|Work loss days", US_national_yearly!$D:$AM, 16, FALSE) / VLOOKUP("electricity|PM25|Work loss days", US_national_yearly!$D:$AM, 10, FALSE), 1)</f>
        <v>1.4237477356591055</v>
      </c>
      <c r="I15" s="7">
        <f>$B15 * IFERROR(VLOOKUP("electricity|PM25|Work loss days", US_national_yearly!$D:$AM, 17, FALSE) / VLOOKUP("electricity|PM25|Work loss days", US_national_yearly!$D:$AM, 10, FALSE), 1)</f>
        <v>1.4315351856445309</v>
      </c>
      <c r="J15" s="7">
        <f>$B15 * IFERROR(VLOOKUP("electricity|PM25|Work loss days", US_national_yearly!$D:$AM, 18, FALSE) / VLOOKUP("electricity|PM25|Work loss days", US_national_yearly!$D:$AM, 10, FALSE), 1)</f>
        <v>1.439322635629956</v>
      </c>
      <c r="K15" s="7">
        <f>$B15 * IFERROR(VLOOKUP("electricity|PM25|Work loss days", US_national_yearly!$D:$AM, 19, FALSE) / VLOOKUP("electricity|PM25|Work loss days", US_national_yearly!$D:$AM, 10, FALSE), 1)</f>
        <v>1.4471100856153816</v>
      </c>
      <c r="L15" s="7">
        <f>$B15 * IFERROR(VLOOKUP("electricity|PM25|Work loss days", US_national_yearly!$D:$AM, 20, FALSE) / VLOOKUP("electricity|PM25|Work loss days", US_national_yearly!$D:$AM, 10, FALSE), 1)</f>
        <v>1.4548975356008071</v>
      </c>
      <c r="M15" s="7">
        <f>$B15 * IFERROR(VLOOKUP("electricity|PM25|Work loss days", US_national_yearly!$D:$AM, 21, FALSE) / VLOOKUP("electricity|PM25|Work loss days", US_national_yearly!$D:$AM, 10, FALSE), 1)</f>
        <v>1.4626849855862325</v>
      </c>
      <c r="N15" s="7">
        <f>$B15 * IFERROR(VLOOKUP("electricity|PM25|Work loss days", US_national_yearly!$D:$AM, 22, FALSE) / VLOOKUP("electricity|PM25|Work loss days", US_national_yearly!$D:$AM, 10, FALSE), 1)</f>
        <v>1.4727391241414747</v>
      </c>
      <c r="O15" s="7">
        <f>$B15 * IFERROR(VLOOKUP("electricity|PM25|Work loss days", US_national_yearly!$D:$AM, 23, FALSE) / VLOOKUP("electricity|PM25|Work loss days", US_national_yearly!$D:$AM, 10, FALSE), 1)</f>
        <v>1.4827932626967169</v>
      </c>
      <c r="P15" s="7">
        <f>$B15 * IFERROR(VLOOKUP("electricity|PM25|Work loss days", US_national_yearly!$D:$AM, 24, FALSE) / VLOOKUP("electricity|PM25|Work loss days", US_national_yearly!$D:$AM, 10, FALSE), 1)</f>
        <v>1.4928474012519588</v>
      </c>
      <c r="Q15" s="7">
        <f>$B15 * IFERROR(VLOOKUP("electricity|PM25|Work loss days", US_national_yearly!$D:$AM, 25, FALSE) / VLOOKUP("electricity|PM25|Work loss days", US_national_yearly!$D:$AM, 10, FALSE), 1)</f>
        <v>1.5029015398072008</v>
      </c>
      <c r="R15" s="7">
        <f>$B15 * IFERROR(VLOOKUP("electricity|PM25|Work loss days", US_national_yearly!$D:$AM, 26, FALSE) / VLOOKUP("electricity|PM25|Work loss days", US_national_yearly!$D:$AM, 10, FALSE), 1)</f>
        <v>1.5129556783624429</v>
      </c>
      <c r="S15" s="7">
        <f>$B15 * IFERROR(VLOOKUP("electricity|PM25|Work loss days", US_national_yearly!$D:$AM, 27, FALSE) / VLOOKUP("electricity|PM25|Work loss days", US_national_yearly!$D:$AM, 10, FALSE), 1)</f>
        <v>1.5241122218911825</v>
      </c>
      <c r="T15" s="7">
        <f>$B15 * IFERROR(VLOOKUP("electricity|PM25|Work loss days", US_national_yearly!$D:$AM, 28, FALSE) / VLOOKUP("electricity|PM25|Work loss days", US_national_yearly!$D:$AM, 10, FALSE), 1)</f>
        <v>1.5352687654199222</v>
      </c>
      <c r="U15" s="7">
        <f>$B15 * IFERROR(VLOOKUP("electricity|PM25|Work loss days", US_national_yearly!$D:$AM, 29, FALSE) / VLOOKUP("electricity|PM25|Work loss days", US_national_yearly!$D:$AM, 10, FALSE), 1)</f>
        <v>1.5464253089486619</v>
      </c>
      <c r="V15" s="7">
        <f>$B15 * IFERROR(VLOOKUP("electricity|PM25|Work loss days", US_national_yearly!$D:$AM, 30, FALSE) / VLOOKUP("electricity|PM25|Work loss days", US_national_yearly!$D:$AM, 10, FALSE), 1)</f>
        <v>1.5575818524774017</v>
      </c>
      <c r="W15" s="7">
        <f>$B15 * IFERROR(VLOOKUP("electricity|PM25|Work loss days", US_national_yearly!$D:$AM, 31, FALSE) / VLOOKUP("electricity|PM25|Work loss days", US_national_yearly!$D:$AM, 10, FALSE), 1)</f>
        <v>1.5687383960061412</v>
      </c>
      <c r="X15" s="7">
        <f>$B15 * IFERROR(VLOOKUP("electricity|PM25|Work loss days", US_national_yearly!$D:$AM, 32, FALSE) / VLOOKUP("electricity|PM25|Work loss days", US_national_yearly!$D:$AM, 10, FALSE), 1)</f>
        <v>1.5785802980252766</v>
      </c>
      <c r="Y15" s="7">
        <f>$B15 * IFERROR(VLOOKUP("electricity|PM25|Work loss days", US_national_yearly!$D:$AM, 33, FALSE) / VLOOKUP("electricity|PM25|Work loss days", US_national_yearly!$D:$AM, 10, FALSE), 1)</f>
        <v>1.5884222000444113</v>
      </c>
      <c r="Z15" s="7">
        <f>$B15 * IFERROR(VLOOKUP("electricity|PM25|Work loss days", US_national_yearly!$D:$AM, 34, FALSE) / VLOOKUP("electricity|PM25|Work loss days", US_national_yearly!$D:$AM, 10, FALSE), 1)</f>
        <v>1.5982641020635462</v>
      </c>
      <c r="AA15" s="7">
        <f>$B15 * IFERROR(VLOOKUP("electricity|PM25|Work loss days", US_national_yearly!$D:$AM, 35, FALSE) / VLOOKUP("electricity|PM25|Work loss days", US_national_yearly!$D:$AM, 10, FALSE), 1)</f>
        <v>1.6081060040826813</v>
      </c>
      <c r="AB15" s="7">
        <f>$B15 * IFERROR(VLOOKUP("electricity|PM25|Work loss days", US_national_yearly!$D:$AM, 36, FALSE) / VLOOKUP("electricity|PM25|Work loss days", US_national_yearly!$D:$AM, 10, FALSE), 1)</f>
        <v>1.6179479061018165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2.8735651186767119E-3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2.9588379025558866E-3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3.0441106864350612E-3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3.1293834703142358E-3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3.21465625419341E-3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3.2969017219533444E-3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3.3791471897132784E-3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3.4503947504220638E-3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3.5216423111308491E-3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3.5928898718396336E-3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3.6641374325484186E-3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3.7353849932572031E-3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3.7832792366091377E-3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3.831173479961072E-3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3.8790677233130058E-3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3.9269619666649404E-3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3.9748562100168743E-3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4.0012891068528719E-3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4.027722003688867E-3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4.0541549005248638E-3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4.0805877973608606E-3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4.1070206941968565E-3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4.1254617145141071E-3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4.143902734831356E-3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4.1623437551486057E-3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4.1807847754658563E-3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4.199225795783107E-3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8.2110663639442623E-6</v>
      </c>
      <c r="C2" s="7">
        <f>$B2 * IFERROR(VLOOKUP("electricity|NOx|Premature mortality", US_national_yearly!$D:$AM, 11, FALSE) / VLOOKUP("electricity|NOx|Premature mortality", US_national_yearly!$D:$AM, 10, FALSE), 1)</f>
        <v>8.3353050014450907E-6</v>
      </c>
      <c r="D2" s="7">
        <f>$B2 * IFERROR(VLOOKUP("electricity|NOx|Premature mortality", US_national_yearly!$D:$AM, 12, FALSE) / VLOOKUP("electricity|NOx|Premature mortality", US_national_yearly!$D:$AM, 10, FALSE), 1)</f>
        <v>8.4595436389459208E-6</v>
      </c>
      <c r="E2" s="7">
        <f>$B2 * IFERROR(VLOOKUP("electricity|NOx|Premature mortality", US_national_yearly!$D:$AM, 13, FALSE) / VLOOKUP("electricity|NOx|Premature mortality", US_national_yearly!$D:$AM, 10, FALSE), 1)</f>
        <v>8.5837822764467493E-6</v>
      </c>
      <c r="F2" s="7">
        <f>$B2 * IFERROR(VLOOKUP("electricity|NOx|Premature mortality", US_national_yearly!$D:$AM, 14, FALSE) / VLOOKUP("electricity|NOx|Premature mortality", US_national_yearly!$D:$AM, 10, FALSE), 1)</f>
        <v>8.7080209139475777E-6</v>
      </c>
      <c r="G2" s="7">
        <f>$B2 * IFERROR(VLOOKUP("electricity|NOx|Premature mortality", US_national_yearly!$D:$AM, 15, FALSE) / VLOOKUP("electricity|NOx|Premature mortality", US_national_yearly!$D:$AM, 10, FALSE), 1)</f>
        <v>8.9299568765503079E-6</v>
      </c>
      <c r="H2" s="7">
        <f>$B2 * IFERROR(VLOOKUP("electricity|NOx|Premature mortality", US_national_yearly!$D:$AM, 16, FALSE) / VLOOKUP("electricity|NOx|Premature mortality", US_national_yearly!$D:$AM, 10, FALSE), 1)</f>
        <v>9.1518928391530381E-6</v>
      </c>
      <c r="I2" s="7">
        <f>$B2 * IFERROR(VLOOKUP("electricity|NOx|Premature mortality", US_national_yearly!$D:$AM, 17, FALSE) / VLOOKUP("electricity|NOx|Premature mortality", US_national_yearly!$D:$AM, 10, FALSE), 1)</f>
        <v>9.2993784022783669E-6</v>
      </c>
      <c r="J2" s="7">
        <f>$B2 * IFERROR(VLOOKUP("electricity|NOx|Premature mortality", US_national_yearly!$D:$AM, 18, FALSE) / VLOOKUP("electricity|NOx|Premature mortality", US_national_yearly!$D:$AM, 10, FALSE), 1)</f>
        <v>9.4468639654036974E-6</v>
      </c>
      <c r="K2" s="7">
        <f>$B2 * IFERROR(VLOOKUP("electricity|NOx|Premature mortality", US_national_yearly!$D:$AM, 19, FALSE) / VLOOKUP("electricity|NOx|Premature mortality", US_national_yearly!$D:$AM, 10, FALSE), 1)</f>
        <v>9.5943495285290261E-6</v>
      </c>
      <c r="L2" s="7">
        <f>$B2 * IFERROR(VLOOKUP("electricity|NOx|Premature mortality", US_national_yearly!$D:$AM, 20, FALSE) / VLOOKUP("electricity|NOx|Premature mortality", US_national_yearly!$D:$AM, 10, FALSE), 1)</f>
        <v>9.7418350916543549E-6</v>
      </c>
      <c r="M2" s="7">
        <f>$B2 * IFERROR(VLOOKUP("electricity|NOx|Premature mortality", US_national_yearly!$D:$AM, 21, FALSE) / VLOOKUP("electricity|NOx|Premature mortality", US_national_yearly!$D:$AM, 10, FALSE), 1)</f>
        <v>9.8893206547796837E-6</v>
      </c>
      <c r="N2" s="7">
        <f>$B2 * IFERROR(VLOOKUP("electricity|NOx|Premature mortality", US_national_yearly!$D:$AM, 22, FALSE) / VLOOKUP("electricity|NOx|Premature mortality", US_national_yearly!$D:$AM, 10, FALSE), 1)</f>
        <v>1.0003122816782578E-5</v>
      </c>
      <c r="O2" s="7">
        <f>$B2 * IFERROR(VLOOKUP("electricity|NOx|Premature mortality", US_national_yearly!$D:$AM, 23, FALSE) / VLOOKUP("electricity|NOx|Premature mortality", US_national_yearly!$D:$AM, 10, FALSE), 1)</f>
        <v>1.0116924978785477E-5</v>
      </c>
      <c r="P2" s="7">
        <f>$B2 * IFERROR(VLOOKUP("electricity|NOx|Premature mortality", US_national_yearly!$D:$AM, 24, FALSE) / VLOOKUP("electricity|NOx|Premature mortality", US_national_yearly!$D:$AM, 10, FALSE), 1)</f>
        <v>1.0230727140788372E-5</v>
      </c>
      <c r="Q2" s="7">
        <f>$B2 * IFERROR(VLOOKUP("electricity|NOx|Premature mortality", US_national_yearly!$D:$AM, 25, FALSE) / VLOOKUP("electricity|NOx|Premature mortality", US_national_yearly!$D:$AM, 10, FALSE), 1)</f>
        <v>1.034452930279127E-5</v>
      </c>
      <c r="R2" s="7">
        <f>$B2 * IFERROR(VLOOKUP("electricity|NOx|Premature mortality", US_national_yearly!$D:$AM, 26, FALSE) / VLOOKUP("electricity|NOx|Premature mortality", US_national_yearly!$D:$AM, 10, FALSE), 1)</f>
        <v>1.0458331464794164E-5</v>
      </c>
      <c r="S2" s="7">
        <f>$B2 * IFERROR(VLOOKUP("electricity|NOx|Premature mortality", US_national_yearly!$D:$AM, 27, FALSE) / VLOOKUP("electricity|NOx|Premature mortality", US_national_yearly!$D:$AM, 10, FALSE), 1)</f>
        <v>1.0517137806877854E-5</v>
      </c>
      <c r="T2" s="7">
        <f>$B2 * IFERROR(VLOOKUP("electricity|NOx|Premature mortality", US_national_yearly!$D:$AM, 28, FALSE) / VLOOKUP("electricity|NOx|Premature mortality", US_national_yearly!$D:$AM, 10, FALSE), 1)</f>
        <v>1.0575944148961544E-5</v>
      </c>
      <c r="U2" s="7">
        <f>$B2 * IFERROR(VLOOKUP("electricity|NOx|Premature mortality", US_national_yearly!$D:$AM, 29, FALSE) / VLOOKUP("electricity|NOx|Premature mortality", US_national_yearly!$D:$AM, 10, FALSE), 1)</f>
        <v>1.0634750491045237E-5</v>
      </c>
      <c r="V2" s="7">
        <f>$B2 * IFERROR(VLOOKUP("electricity|NOx|Premature mortality", US_national_yearly!$D:$AM, 30, FALSE) / VLOOKUP("electricity|NOx|Premature mortality", US_national_yearly!$D:$AM, 10, FALSE), 1)</f>
        <v>1.0693556833128927E-5</v>
      </c>
      <c r="W2" s="7">
        <f>$B2 * IFERROR(VLOOKUP("electricity|NOx|Premature mortality", US_national_yearly!$D:$AM, 31, FALSE) / VLOOKUP("electricity|NOx|Premature mortality", US_national_yearly!$D:$AM, 10, FALSE), 1)</f>
        <v>1.0752363175212617E-5</v>
      </c>
      <c r="X2" s="7">
        <f>$B2 * IFERROR(VLOOKUP("electricity|NOx|Premature mortality", US_national_yearly!$D:$AM, 32, FALSE) / VLOOKUP("electricity|NOx|Premature mortality", US_national_yearly!$D:$AM, 10, FALSE), 1)</f>
        <v>1.0765666996684931E-5</v>
      </c>
      <c r="Y2" s="7">
        <f>$B2 * IFERROR(VLOOKUP("electricity|NOx|Premature mortality", US_national_yearly!$D:$AM, 33, FALSE) / VLOOKUP("electricity|NOx|Premature mortality", US_national_yearly!$D:$AM, 10, FALSE), 1)</f>
        <v>1.0778970818157244E-5</v>
      </c>
      <c r="Z2" s="7">
        <f>$B2 * IFERROR(VLOOKUP("electricity|NOx|Premature mortality", US_national_yearly!$D:$AM, 34, FALSE) / VLOOKUP("electricity|NOx|Premature mortality", US_national_yearly!$D:$AM, 10, FALSE), 1)</f>
        <v>1.0792274639629556E-5</v>
      </c>
      <c r="AA2" s="7">
        <f>$B2 * IFERROR(VLOOKUP("electricity|NOx|Premature mortality", US_national_yearly!$D:$AM, 35, FALSE) / VLOOKUP("electricity|NOx|Premature mortality", US_national_yearly!$D:$AM, 10, FALSE), 1)</f>
        <v>1.0805578461101868E-5</v>
      </c>
      <c r="AB2" s="7">
        <f>$B2 * IFERROR(VLOOKUP("electricity|NOx|Premature mortality", US_national_yearly!$D:$AM, 36, FALSE) / VLOOKUP("electricity|NOx|Premature mortality", US_national_yearly!$D:$AM, 10, FALSE), 1)</f>
        <v>1.0818882282574182E-5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1.8398626144899608E-8</v>
      </c>
      <c r="C3" s="7">
        <f>$B3 * IFERROR(VLOOKUP("electricity|NOx|Infant mortality", US_national_yearly!$D:$AM, 11, FALSE) / VLOOKUP("electricity|NOx|Infant mortality", US_national_yearly!$D:$AM, 10, FALSE), 1)</f>
        <v>1.8226496485231347E-8</v>
      </c>
      <c r="D3" s="7">
        <f>$B3 * IFERROR(VLOOKUP("electricity|NOx|Infant mortality", US_national_yearly!$D:$AM, 12, FALSE) / VLOOKUP("electricity|NOx|Infant mortality", US_national_yearly!$D:$AM, 10, FALSE), 1)</f>
        <v>1.8054366825563082E-8</v>
      </c>
      <c r="E3" s="7">
        <f>$B3 * IFERROR(VLOOKUP("electricity|NOx|Infant mortality", US_national_yearly!$D:$AM, 13, FALSE) / VLOOKUP("electricity|NOx|Infant mortality", US_national_yearly!$D:$AM, 10, FALSE), 1)</f>
        <v>1.7882237165894821E-8</v>
      </c>
      <c r="F3" s="7">
        <f>$B3 * IFERROR(VLOOKUP("electricity|NOx|Infant mortality", US_national_yearly!$D:$AM, 14, FALSE) / VLOOKUP("electricity|NOx|Infant mortality", US_national_yearly!$D:$AM, 10, FALSE), 1)</f>
        <v>1.7710107506226553E-8</v>
      </c>
      <c r="G3" s="7">
        <f>$B3 * IFERROR(VLOOKUP("electricity|NOx|Infant mortality", US_national_yearly!$D:$AM, 15, FALSE) / VLOOKUP("electricity|NOx|Infant mortality", US_national_yearly!$D:$AM, 10, FALSE), 1)</f>
        <v>1.1733823645616451E-8</v>
      </c>
      <c r="H3" s="7">
        <f>$B3 * IFERROR(VLOOKUP("electricity|NOx|Infant mortality", US_national_yearly!$D:$AM, 16, FALSE) / VLOOKUP("electricity|NOx|Infant mortality", US_national_yearly!$D:$AM, 10, FALSE), 1)</f>
        <v>5.7575397850063471E-9</v>
      </c>
      <c r="I3" s="7">
        <f>$B3 * IFERROR(VLOOKUP("electricity|NOx|Infant mortality", US_national_yearly!$D:$AM, 17, FALSE) / VLOOKUP("electricity|NOx|Infant mortality", US_national_yearly!$D:$AM, 10, FALSE), 1)</f>
        <v>5.715667809435017E-9</v>
      </c>
      <c r="J3" s="7">
        <f>$B3 * IFERROR(VLOOKUP("electricity|NOx|Infant mortality", US_national_yearly!$D:$AM, 18, FALSE) / VLOOKUP("electricity|NOx|Infant mortality", US_national_yearly!$D:$AM, 10, FALSE), 1)</f>
        <v>5.673795833863686E-9</v>
      </c>
      <c r="K3" s="7">
        <f>$B3 * IFERROR(VLOOKUP("electricity|NOx|Infant mortality", US_national_yearly!$D:$AM, 19, FALSE) / VLOOKUP("electricity|NOx|Infant mortality", US_national_yearly!$D:$AM, 10, FALSE), 1)</f>
        <v>5.6319238582923551E-9</v>
      </c>
      <c r="L3" s="7">
        <f>$B3 * IFERROR(VLOOKUP("electricity|NOx|Infant mortality", US_national_yearly!$D:$AM, 20, FALSE) / VLOOKUP("electricity|NOx|Infant mortality", US_national_yearly!$D:$AM, 10, FALSE), 1)</f>
        <v>5.5900518827210241E-9</v>
      </c>
      <c r="M3" s="7">
        <f>$B3 * IFERROR(VLOOKUP("electricity|NOx|Infant mortality", US_national_yearly!$D:$AM, 21, FALSE) / VLOOKUP("electricity|NOx|Infant mortality", US_national_yearly!$D:$AM, 10, FALSE), 1)</f>
        <v>5.5481799071496923E-9</v>
      </c>
      <c r="N3" s="7">
        <f>$B3 * IFERROR(VLOOKUP("electricity|NOx|Infant mortality", US_national_yearly!$D:$AM, 22, FALSE) / VLOOKUP("electricity|NOx|Infant mortality", US_national_yearly!$D:$AM, 10, FALSE), 1)</f>
        <v>5.5200625747699938E-9</v>
      </c>
      <c r="O3" s="7">
        <f>$B3 * IFERROR(VLOOKUP("electricity|NOx|Infant mortality", US_national_yearly!$D:$AM, 23, FALSE) / VLOOKUP("electricity|NOx|Infant mortality", US_national_yearly!$D:$AM, 10, FALSE), 1)</f>
        <v>5.4919452423902944E-9</v>
      </c>
      <c r="P3" s="7">
        <f>$B3 * IFERROR(VLOOKUP("electricity|NOx|Infant mortality", US_national_yearly!$D:$AM, 24, FALSE) / VLOOKUP("electricity|NOx|Infant mortality", US_national_yearly!$D:$AM, 10, FALSE), 1)</f>
        <v>5.4638279100105951E-9</v>
      </c>
      <c r="Q3" s="7">
        <f>$B3 * IFERROR(VLOOKUP("electricity|NOx|Infant mortality", US_national_yearly!$D:$AM, 25, FALSE) / VLOOKUP("electricity|NOx|Infant mortality", US_national_yearly!$D:$AM, 10, FALSE), 1)</f>
        <v>5.4357105776308957E-9</v>
      </c>
      <c r="R3" s="7">
        <f>$B3 * IFERROR(VLOOKUP("electricity|NOx|Infant mortality", US_national_yearly!$D:$AM, 26, FALSE) / VLOOKUP("electricity|NOx|Infant mortality", US_national_yearly!$D:$AM, 10, FALSE), 1)</f>
        <v>5.4075932452511972E-9</v>
      </c>
      <c r="S3" s="7">
        <f>$B3 * IFERROR(VLOOKUP("electricity|NOx|Infant mortality", US_national_yearly!$D:$AM, 27, FALSE) / VLOOKUP("electricity|NOx|Infant mortality", US_national_yearly!$D:$AM, 10, FALSE), 1)</f>
        <v>5.3742130752384914E-9</v>
      </c>
      <c r="T3" s="7">
        <f>$B3 * IFERROR(VLOOKUP("electricity|NOx|Infant mortality", US_national_yearly!$D:$AM, 28, FALSE) / VLOOKUP("electricity|NOx|Infant mortality", US_national_yearly!$D:$AM, 10, FALSE), 1)</f>
        <v>5.3408329052257865E-9</v>
      </c>
      <c r="U3" s="7">
        <f>$B3 * IFERROR(VLOOKUP("electricity|NOx|Infant mortality", US_national_yearly!$D:$AM, 29, FALSE) / VLOOKUP("electricity|NOx|Infant mortality", US_national_yearly!$D:$AM, 10, FALSE), 1)</f>
        <v>5.3074527352130815E-9</v>
      </c>
      <c r="V3" s="7">
        <f>$B3 * IFERROR(VLOOKUP("electricity|NOx|Infant mortality", US_national_yearly!$D:$AM, 30, FALSE) / VLOOKUP("electricity|NOx|Infant mortality", US_national_yearly!$D:$AM, 10, FALSE), 1)</f>
        <v>5.2740725652003766E-9</v>
      </c>
      <c r="W3" s="7">
        <f>$B3 * IFERROR(VLOOKUP("electricity|NOx|Infant mortality", US_national_yearly!$D:$AM, 31, FALSE) / VLOOKUP("electricity|NOx|Infant mortality", US_national_yearly!$D:$AM, 10, FALSE), 1)</f>
        <v>5.2406923951876716E-9</v>
      </c>
      <c r="X3" s="7">
        <f>$B3 * IFERROR(VLOOKUP("electricity|NOx|Infant mortality", US_national_yearly!$D:$AM, 32, FALSE) / VLOOKUP("electricity|NOx|Infant mortality", US_national_yearly!$D:$AM, 10, FALSE), 1)</f>
        <v>5.2063216895885841E-9</v>
      </c>
      <c r="Y3" s="7">
        <f>$B3 * IFERROR(VLOOKUP("electricity|NOx|Infant mortality", US_national_yearly!$D:$AM, 33, FALSE) / VLOOKUP("electricity|NOx|Infant mortality", US_national_yearly!$D:$AM, 10, FALSE), 1)</f>
        <v>5.1719509839894966E-9</v>
      </c>
      <c r="Z3" s="7">
        <f>$B3 * IFERROR(VLOOKUP("electricity|NOx|Infant mortality", US_national_yearly!$D:$AM, 34, FALSE) / VLOOKUP("electricity|NOx|Infant mortality", US_national_yearly!$D:$AM, 10, FALSE), 1)</f>
        <v>5.1375802783904099E-9</v>
      </c>
      <c r="AA3" s="7">
        <f>$B3 * IFERROR(VLOOKUP("electricity|NOx|Infant mortality", US_national_yearly!$D:$AM, 35, FALSE) / VLOOKUP("electricity|NOx|Infant mortality", US_national_yearly!$D:$AM, 10, FALSE), 1)</f>
        <v>5.1032095727913224E-9</v>
      </c>
      <c r="AB3" s="7">
        <f>$B3 * IFERROR(VLOOKUP("electricity|NOx|Infant mortality", US_national_yearly!$D:$AM, 36, FALSE) / VLOOKUP("electricity|NOx|Infant mortality", US_national_yearly!$D:$AM, 10, FALSE), 1)</f>
        <v>5.0688388671922349E-9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1.826546226862152E-5</v>
      </c>
      <c r="C6" s="7">
        <f>$B6 * IFERROR(VLOOKUP("electricity|NOx|Asthma symptoms cough", US_national_yearly!$D:$AM, 11, FALSE) / VLOOKUP("electricity|NOx|Asthma symptoms cough", US_national_yearly!$D:$AM, 10, FALSE), 1)</f>
        <v>1.8516223885712748E-5</v>
      </c>
      <c r="D6" s="7">
        <f>$B6 * IFERROR(VLOOKUP("electricity|NOx|Asthma symptoms cough", US_national_yearly!$D:$AM, 12, FALSE) / VLOOKUP("electricity|NOx|Asthma symptoms cough", US_national_yearly!$D:$AM, 10, FALSE), 1)</f>
        <v>1.8766985502803979E-5</v>
      </c>
      <c r="E6" s="7">
        <f>$B6 * IFERROR(VLOOKUP("electricity|NOx|Asthma symptoms cough", US_national_yearly!$D:$AM, 13, FALSE) / VLOOKUP("electricity|NOx|Asthma symptoms cough", US_national_yearly!$D:$AM, 10, FALSE), 1)</f>
        <v>1.9017747119895207E-5</v>
      </c>
      <c r="F6" s="7">
        <f>$B6 * IFERROR(VLOOKUP("electricity|NOx|Asthma symptoms cough", US_national_yearly!$D:$AM, 14, FALSE) / VLOOKUP("electricity|NOx|Asthma symptoms cough", US_national_yearly!$D:$AM, 10, FALSE), 1)</f>
        <v>1.9268508736986436E-5</v>
      </c>
      <c r="G6" s="7">
        <f>$B6 * IFERROR(VLOOKUP("electricity|NOx|Asthma symptoms cough", US_national_yearly!$D:$AM, 15, FALSE) / VLOOKUP("electricity|NOx|Asthma symptoms cough", US_national_yearly!$D:$AM, 10, FALSE), 1)</f>
        <v>1.9472391227624389E-5</v>
      </c>
      <c r="H6" s="7">
        <f>$B6 * IFERROR(VLOOKUP("electricity|NOx|Asthma symptoms cough", US_national_yearly!$D:$AM, 16, FALSE) / VLOOKUP("electricity|NOx|Asthma symptoms cough", US_national_yearly!$D:$AM, 10, FALSE), 1)</f>
        <v>1.9676273718262343E-5</v>
      </c>
      <c r="I6" s="7">
        <f>$B6 * IFERROR(VLOOKUP("electricity|NOx|Asthma symptoms cough", US_national_yearly!$D:$AM, 17, FALSE) / VLOOKUP("electricity|NOx|Asthma symptoms cough", US_national_yearly!$D:$AM, 10, FALSE), 1)</f>
        <v>1.9752064596230457E-5</v>
      </c>
      <c r="J6" s="7">
        <f>$B6 * IFERROR(VLOOKUP("electricity|NOx|Asthma symptoms cough", US_national_yearly!$D:$AM, 18, FALSE) / VLOOKUP("electricity|NOx|Asthma symptoms cough", US_national_yearly!$D:$AM, 10, FALSE), 1)</f>
        <v>1.9827855474198572E-5</v>
      </c>
      <c r="K6" s="7">
        <f>$B6 * IFERROR(VLOOKUP("electricity|NOx|Asthma symptoms cough", US_national_yearly!$D:$AM, 19, FALSE) / VLOOKUP("electricity|NOx|Asthma symptoms cough", US_national_yearly!$D:$AM, 10, FALSE), 1)</f>
        <v>1.990364635216669E-5</v>
      </c>
      <c r="L6" s="7">
        <f>$B6 * IFERROR(VLOOKUP("electricity|NOx|Asthma symptoms cough", US_national_yearly!$D:$AM, 20, FALSE) / VLOOKUP("electricity|NOx|Asthma symptoms cough", US_national_yearly!$D:$AM, 10, FALSE), 1)</f>
        <v>1.9979437230134801E-5</v>
      </c>
      <c r="M6" s="7">
        <f>$B6 * IFERROR(VLOOKUP("electricity|NOx|Asthma symptoms cough", US_national_yearly!$D:$AM, 21, FALSE) / VLOOKUP("electricity|NOx|Asthma symptoms cough", US_national_yearly!$D:$AM, 10, FALSE), 1)</f>
        <v>2.0055228108102919E-5</v>
      </c>
      <c r="N6" s="7">
        <f>$B6 * IFERROR(VLOOKUP("electricity|NOx|Asthma symptoms cough", US_national_yearly!$D:$AM, 22, FALSE) / VLOOKUP("electricity|NOx|Asthma symptoms cough", US_national_yearly!$D:$AM, 10, FALSE), 1)</f>
        <v>2.013920376958946E-5</v>
      </c>
      <c r="O6" s="7">
        <f>$B6 * IFERROR(VLOOKUP("electricity|NOx|Asthma symptoms cough", US_national_yearly!$D:$AM, 23, FALSE) / VLOOKUP("electricity|NOx|Asthma symptoms cough", US_national_yearly!$D:$AM, 10, FALSE), 1)</f>
        <v>2.0223179431076004E-5</v>
      </c>
      <c r="P6" s="7">
        <f>$B6 * IFERROR(VLOOKUP("electricity|NOx|Asthma symptoms cough", US_national_yearly!$D:$AM, 24, FALSE) / VLOOKUP("electricity|NOx|Asthma symptoms cough", US_national_yearly!$D:$AM, 10, FALSE), 1)</f>
        <v>2.0307155092562542E-5</v>
      </c>
      <c r="Q6" s="7">
        <f>$B6 * IFERROR(VLOOKUP("electricity|NOx|Asthma symptoms cough", US_national_yearly!$D:$AM, 25, FALSE) / VLOOKUP("electricity|NOx|Asthma symptoms cough", US_national_yearly!$D:$AM, 10, FALSE), 1)</f>
        <v>2.0391130754049086E-5</v>
      </c>
      <c r="R6" s="7">
        <f>$B6 * IFERROR(VLOOKUP("electricity|NOx|Asthma symptoms cough", US_national_yearly!$D:$AM, 26, FALSE) / VLOOKUP("electricity|NOx|Asthma symptoms cough", US_national_yearly!$D:$AM, 10, FALSE), 1)</f>
        <v>2.0475106415535627E-5</v>
      </c>
      <c r="S6" s="7">
        <f>$B6 * IFERROR(VLOOKUP("electricity|NOx|Asthma symptoms cough", US_national_yearly!$D:$AM, 27, FALSE) / VLOOKUP("electricity|NOx|Asthma symptoms cough", US_national_yearly!$D:$AM, 10, FALSE), 1)</f>
        <v>2.0579873786382368E-5</v>
      </c>
      <c r="T6" s="7">
        <f>$B6 * IFERROR(VLOOKUP("electricity|NOx|Asthma symptoms cough", US_national_yearly!$D:$AM, 28, FALSE) / VLOOKUP("electricity|NOx|Asthma symptoms cough", US_national_yearly!$D:$AM, 10, FALSE), 1)</f>
        <v>2.0684641157229109E-5</v>
      </c>
      <c r="U6" s="7">
        <f>$B6 * IFERROR(VLOOKUP("electricity|NOx|Asthma symptoms cough", US_national_yearly!$D:$AM, 29, FALSE) / VLOOKUP("electricity|NOx|Asthma symptoms cough", US_national_yearly!$D:$AM, 10, FALSE), 1)</f>
        <v>2.0789408528075857E-5</v>
      </c>
      <c r="V6" s="7">
        <f>$B6 * IFERROR(VLOOKUP("electricity|NOx|Asthma symptoms cough", US_national_yearly!$D:$AM, 30, FALSE) / VLOOKUP("electricity|NOx|Asthma symptoms cough", US_national_yearly!$D:$AM, 10, FALSE), 1)</f>
        <v>2.0894175898922594E-5</v>
      </c>
      <c r="W6" s="7">
        <f>$B6 * IFERROR(VLOOKUP("electricity|NOx|Asthma symptoms cough", US_national_yearly!$D:$AM, 31, FALSE) / VLOOKUP("electricity|NOx|Asthma symptoms cough", US_national_yearly!$D:$AM, 10, FALSE), 1)</f>
        <v>2.0998943269769339E-5</v>
      </c>
      <c r="X6" s="7">
        <f>$B6 * IFERROR(VLOOKUP("electricity|NOx|Asthma symptoms cough", US_national_yearly!$D:$AM, 32, FALSE) / VLOOKUP("electricity|NOx|Asthma symptoms cough", US_national_yearly!$D:$AM, 10, FALSE), 1)</f>
        <v>2.1095466147870945E-5</v>
      </c>
      <c r="Y6" s="7">
        <f>$B6 * IFERROR(VLOOKUP("electricity|NOx|Asthma symptoms cough", US_national_yearly!$D:$AM, 33, FALSE) / VLOOKUP("electricity|NOx|Asthma symptoms cough", US_national_yearly!$D:$AM, 10, FALSE), 1)</f>
        <v>2.1191989025972557E-5</v>
      </c>
      <c r="Z6" s="7">
        <f>$B6 * IFERROR(VLOOKUP("electricity|NOx|Asthma symptoms cough", US_national_yearly!$D:$AM, 34, FALSE) / VLOOKUP("electricity|NOx|Asthma symptoms cough", US_national_yearly!$D:$AM, 10, FALSE), 1)</f>
        <v>2.128851190407417E-5</v>
      </c>
      <c r="AA6" s="7">
        <f>$B6 * IFERROR(VLOOKUP("electricity|NOx|Asthma symptoms cough", US_national_yearly!$D:$AM, 35, FALSE) / VLOOKUP("electricity|NOx|Asthma symptoms cough", US_national_yearly!$D:$AM, 10, FALSE), 1)</f>
        <v>2.1385034782175776E-5</v>
      </c>
      <c r="AB6" s="7">
        <f>$B6 * IFERROR(VLOOKUP("electricity|NOx|Asthma symptoms cough", US_national_yearly!$D:$AM, 36, FALSE) / VLOOKUP("electricity|NOx|Asthma symptoms cough", US_national_yearly!$D:$AM, 10, FALSE), 1)</f>
        <v>2.1481557660277388E-5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2.4597127004948823E-5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2.4934814343015793E-5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2.5272501681082769E-5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2.5610189019149739E-5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2.5947876357216712E-5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2.6222434067654762E-5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2.649699177809281E-5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2.659905532326998E-5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2.670111886844714E-5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2.6803182413624303E-5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2.6905245958801463E-5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2.7007309503978626E-5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2.7120395062105162E-5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2.7233480620231701E-5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2.7346566178358237E-5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2.7459651736484777E-5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2.7572737294611309E-5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2.7713821942548078E-5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2.7854906590484845E-5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2.7995991238421614E-5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2.8137075886358377E-5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2.8278160534295146E-5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2.8408142762125665E-5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2.8538124989956187E-5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2.8668107217786706E-5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2.8798089445617225E-5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2.8928071673447747E-5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3.7580126965099054E-5</v>
      </c>
      <c r="C8" s="7">
        <f>$B8 * IFERROR(VLOOKUP("electricity|NOx|Asthma symptoms wheeze", US_national_yearly!$D:$AM, 11, FALSE) / VLOOKUP("electricity|NOx|Asthma symptoms wheeze", US_national_yearly!$D:$AM, 10, FALSE), 1)</f>
        <v>3.8096054416987588E-5</v>
      </c>
      <c r="D8" s="7">
        <f>$B8 * IFERROR(VLOOKUP("electricity|NOx|Asthma symptoms wheeze", US_national_yearly!$D:$AM, 12, FALSE) / VLOOKUP("electricity|NOx|Asthma symptoms wheeze", US_national_yearly!$D:$AM, 10, FALSE), 1)</f>
        <v>3.8611981868876128E-5</v>
      </c>
      <c r="E8" s="7">
        <f>$B8 * IFERROR(VLOOKUP("electricity|NOx|Asthma symptoms wheeze", US_national_yearly!$D:$AM, 13, FALSE) / VLOOKUP("electricity|NOx|Asthma symptoms wheeze", US_national_yearly!$D:$AM, 10, FALSE), 1)</f>
        <v>3.9127909320764662E-5</v>
      </c>
      <c r="F8" s="7">
        <f>$B8 * IFERROR(VLOOKUP("electricity|NOx|Asthma symptoms wheeze", US_national_yearly!$D:$AM, 14, FALSE) / VLOOKUP("electricity|NOx|Asthma symptoms wheeze", US_national_yearly!$D:$AM, 10, FALSE), 1)</f>
        <v>3.9643836772653202E-5</v>
      </c>
      <c r="G8" s="7">
        <f>$B8 * IFERROR(VLOOKUP("electricity|NOx|Asthma symptoms wheeze", US_national_yearly!$D:$AM, 15, FALSE) / VLOOKUP("electricity|NOx|Asthma symptoms wheeze", US_national_yearly!$D:$AM, 10, FALSE), 1)</f>
        <v>4.006331314657492E-5</v>
      </c>
      <c r="H8" s="7">
        <f>$B8 * IFERROR(VLOOKUP("electricity|NOx|Asthma symptoms wheeze", US_national_yearly!$D:$AM, 16, FALSE) / VLOOKUP("electricity|NOx|Asthma symptoms wheeze", US_national_yearly!$D:$AM, 10, FALSE), 1)</f>
        <v>4.0482789520496645E-5</v>
      </c>
      <c r="I8" s="7">
        <f>$B8 * IFERROR(VLOOKUP("electricity|NOx|Asthma symptoms wheeze", US_national_yearly!$D:$AM, 17, FALSE) / VLOOKUP("electricity|NOx|Asthma symptoms wheeze", US_national_yearly!$D:$AM, 10, FALSE), 1)</f>
        <v>4.0638724846395951E-5</v>
      </c>
      <c r="J8" s="7">
        <f>$B8 * IFERROR(VLOOKUP("electricity|NOx|Asthma symptoms wheeze", US_national_yearly!$D:$AM, 18, FALSE) / VLOOKUP("electricity|NOx|Asthma symptoms wheeze", US_national_yearly!$D:$AM, 10, FALSE), 1)</f>
        <v>4.0794660172295258E-5</v>
      </c>
      <c r="K8" s="7">
        <f>$B8 * IFERROR(VLOOKUP("electricity|NOx|Asthma symptoms wheeze", US_national_yearly!$D:$AM, 19, FALSE) / VLOOKUP("electricity|NOx|Asthma symptoms wheeze", US_national_yearly!$D:$AM, 10, FALSE), 1)</f>
        <v>4.0950595498194578E-5</v>
      </c>
      <c r="L8" s="7">
        <f>$B8 * IFERROR(VLOOKUP("electricity|NOx|Asthma symptoms wheeze", US_national_yearly!$D:$AM, 20, FALSE) / VLOOKUP("electricity|NOx|Asthma symptoms wheeze", US_national_yearly!$D:$AM, 10, FALSE), 1)</f>
        <v>4.1106530824093885E-5</v>
      </c>
      <c r="M8" s="7">
        <f>$B8 * IFERROR(VLOOKUP("electricity|NOx|Asthma symptoms wheeze", US_national_yearly!$D:$AM, 21, FALSE) / VLOOKUP("electricity|NOx|Asthma symptoms wheeze", US_national_yearly!$D:$AM, 10, FALSE), 1)</f>
        <v>4.1262466149993191E-5</v>
      </c>
      <c r="N8" s="7">
        <f>$B8 * IFERROR(VLOOKUP("electricity|NOx|Asthma symptoms wheeze", US_national_yearly!$D:$AM, 22, FALSE) / VLOOKUP("electricity|NOx|Asthma symptoms wheeze", US_national_yearly!$D:$AM, 10, FALSE), 1)</f>
        <v>4.1435241192241688E-5</v>
      </c>
      <c r="O8" s="7">
        <f>$B8 * IFERROR(VLOOKUP("electricity|NOx|Asthma symptoms wheeze", US_national_yearly!$D:$AM, 23, FALSE) / VLOOKUP("electricity|NOx|Asthma symptoms wheeze", US_national_yearly!$D:$AM, 10, FALSE), 1)</f>
        <v>4.1608016234490198E-5</v>
      </c>
      <c r="P8" s="7">
        <f>$B8 * IFERROR(VLOOKUP("electricity|NOx|Asthma symptoms wheeze", US_national_yearly!$D:$AM, 24, FALSE) / VLOOKUP("electricity|NOx|Asthma symptoms wheeze", US_national_yearly!$D:$AM, 10, FALSE), 1)</f>
        <v>4.1780791276738702E-5</v>
      </c>
      <c r="Q8" s="7">
        <f>$B8 * IFERROR(VLOOKUP("electricity|NOx|Asthma symptoms wheeze", US_national_yearly!$D:$AM, 25, FALSE) / VLOOKUP("electricity|NOx|Asthma symptoms wheeze", US_national_yearly!$D:$AM, 10, FALSE), 1)</f>
        <v>4.1953566318987198E-5</v>
      </c>
      <c r="R8" s="7">
        <f>$B8 * IFERROR(VLOOKUP("electricity|NOx|Asthma symptoms wheeze", US_national_yearly!$D:$AM, 26, FALSE) / VLOOKUP("electricity|NOx|Asthma symptoms wheeze", US_national_yearly!$D:$AM, 10, FALSE), 1)</f>
        <v>4.2126341361235702E-5</v>
      </c>
      <c r="S8" s="7">
        <f>$B8 * IFERROR(VLOOKUP("electricity|NOx|Asthma symptoms wheeze", US_national_yearly!$D:$AM, 27, FALSE) / VLOOKUP("electricity|NOx|Asthma symptoms wheeze", US_national_yearly!$D:$AM, 10, FALSE), 1)</f>
        <v>4.2341894136995117E-5</v>
      </c>
      <c r="T8" s="7">
        <f>$B8 * IFERROR(VLOOKUP("electricity|NOx|Asthma symptoms wheeze", US_national_yearly!$D:$AM, 28, FALSE) / VLOOKUP("electricity|NOx|Asthma symptoms wheeze", US_national_yearly!$D:$AM, 10, FALSE), 1)</f>
        <v>4.2557446912754531E-5</v>
      </c>
      <c r="U8" s="7">
        <f>$B8 * IFERROR(VLOOKUP("electricity|NOx|Asthma symptoms wheeze", US_national_yearly!$D:$AM, 29, FALSE) / VLOOKUP("electricity|NOx|Asthma symptoms wheeze", US_national_yearly!$D:$AM, 10, FALSE), 1)</f>
        <v>4.2772999688513939E-5</v>
      </c>
      <c r="V8" s="7">
        <f>$B8 * IFERROR(VLOOKUP("electricity|NOx|Asthma symptoms wheeze", US_national_yearly!$D:$AM, 30, FALSE) / VLOOKUP("electricity|NOx|Asthma symptoms wheeze", US_national_yearly!$D:$AM, 10, FALSE), 1)</f>
        <v>4.2988552464273354E-5</v>
      </c>
      <c r="W8" s="7">
        <f>$B8 * IFERROR(VLOOKUP("electricity|NOx|Asthma symptoms wheeze", US_national_yearly!$D:$AM, 31, FALSE) / VLOOKUP("electricity|NOx|Asthma symptoms wheeze", US_national_yearly!$D:$AM, 10, FALSE), 1)</f>
        <v>4.3204105240032768E-5</v>
      </c>
      <c r="X8" s="7">
        <f>$B8 * IFERROR(VLOOKUP("electricity|NOx|Asthma symptoms wheeze", US_national_yearly!$D:$AM, 32, FALSE) / VLOOKUP("electricity|NOx|Asthma symptoms wheeze", US_national_yearly!$D:$AM, 10, FALSE), 1)</f>
        <v>4.3402695451159431E-5</v>
      </c>
      <c r="Y8" s="7">
        <f>$B8 * IFERROR(VLOOKUP("electricity|NOx|Asthma symptoms wheeze", US_national_yearly!$D:$AM, 33, FALSE) / VLOOKUP("electricity|NOx|Asthma symptoms wheeze", US_national_yearly!$D:$AM, 10, FALSE), 1)</f>
        <v>4.3601285662286101E-5</v>
      </c>
      <c r="Z8" s="7">
        <f>$B8 * IFERROR(VLOOKUP("electricity|NOx|Asthma symptoms wheeze", US_national_yearly!$D:$AM, 34, FALSE) / VLOOKUP("electricity|NOx|Asthma symptoms wheeze", US_national_yearly!$D:$AM, 10, FALSE), 1)</f>
        <v>4.379987587341275E-5</v>
      </c>
      <c r="AA8" s="7">
        <f>$B8 * IFERROR(VLOOKUP("electricity|NOx|Asthma symptoms wheeze", US_national_yearly!$D:$AM, 35, FALSE) / VLOOKUP("electricity|NOx|Asthma symptoms wheeze", US_national_yearly!$D:$AM, 10, FALSE), 1)</f>
        <v>4.3998466084539413E-5</v>
      </c>
      <c r="AB8" s="7">
        <f>$B8 * IFERROR(VLOOKUP("electricity|NOx|Asthma symptoms wheeze", US_national_yearly!$D:$AM, 36, FALSE) / VLOOKUP("electricity|NOx|Asthma symptoms wheeze", US_national_yearly!$D:$AM, 10, FALSE), 1)</f>
        <v>4.4197056295666077E-5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6.2003917773810834E-7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6.3591941669246293E-7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6.5179965564681772E-7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6.6767989460117242E-7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6.835601335555269E-7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6.9884731363000032E-7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7.1413449370447386E-7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7.2728021091698845E-7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7.4042592812950305E-7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7.5357164534201785E-7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7.6671736255453244E-7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7.7986307976704725E-7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7.8887200484475947E-7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7.9788092992247169E-7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8.0688985500018391E-7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8.1589878007789624E-7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8.2490770515560846E-7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8.3003857540082028E-7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8.3516944564603222E-7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8.4030031589124394E-7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8.4543118613645577E-7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8.505620563816676E-7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8.5429397224083176E-7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8.5802588809999571E-7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8.6175780395915997E-7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8.6548971981832403E-7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8.6922163567748808E-7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3.8733945652507706E-6</v>
      </c>
      <c r="C13" s="7">
        <f>$B13 * IFERROR(VLOOKUP("electricity|NOx|Non-fatal heart attacks", US_national_yearly!$D:$AM, 11, FALSE) / VLOOKUP("electricity|NOx|Non-fatal heart attacks", US_national_yearly!$D:$AM, 10, FALSE), 1)</f>
        <v>3.9845503182671901E-6</v>
      </c>
      <c r="D13" s="7">
        <f>$B13 * IFERROR(VLOOKUP("electricity|NOx|Non-fatal heart attacks", US_national_yearly!$D:$AM, 12, FALSE) / VLOOKUP("electricity|NOx|Non-fatal heart attacks", US_national_yearly!$D:$AM, 10, FALSE), 1)</f>
        <v>4.0957060712836096E-6</v>
      </c>
      <c r="E13" s="7">
        <f>$B13 * IFERROR(VLOOKUP("electricity|NOx|Non-fatal heart attacks", US_national_yearly!$D:$AM, 13, FALSE) / VLOOKUP("electricity|NOx|Non-fatal heart attacks", US_national_yearly!$D:$AM, 10, FALSE), 1)</f>
        <v>4.2068618243000291E-6</v>
      </c>
      <c r="F13" s="7">
        <f>$B13 * IFERROR(VLOOKUP("electricity|NOx|Non-fatal heart attacks", US_national_yearly!$D:$AM, 14, FALSE) / VLOOKUP("electricity|NOx|Non-fatal heart attacks", US_national_yearly!$D:$AM, 10, FALSE), 1)</f>
        <v>4.3180175773164487E-6</v>
      </c>
      <c r="G13" s="7">
        <f>$B13 * IFERROR(VLOOKUP("electricity|NOx|Non-fatal heart attacks", US_national_yearly!$D:$AM, 15, FALSE) / VLOOKUP("electricity|NOx|Non-fatal heart attacks", US_national_yearly!$D:$AM, 10, FALSE), 1)</f>
        <v>4.4227305615202775E-6</v>
      </c>
      <c r="H13" s="7">
        <f>$B13 * IFERROR(VLOOKUP("electricity|NOx|Non-fatal heart attacks", US_national_yearly!$D:$AM, 16, FALSE) / VLOOKUP("electricity|NOx|Non-fatal heart attacks", US_national_yearly!$D:$AM, 10, FALSE), 1)</f>
        <v>4.5274435457241072E-6</v>
      </c>
      <c r="I13" s="7">
        <f>$B13 * IFERROR(VLOOKUP("electricity|NOx|Non-fatal heart attacks", US_national_yearly!$D:$AM, 17, FALSE) / VLOOKUP("electricity|NOx|Non-fatal heart attacks", US_national_yearly!$D:$AM, 10, FALSE), 1)</f>
        <v>4.6114127653146897E-6</v>
      </c>
      <c r="J13" s="7">
        <f>$B13 * IFERROR(VLOOKUP("electricity|NOx|Non-fatal heart attacks", US_national_yearly!$D:$AM, 18, FALSE) / VLOOKUP("electricity|NOx|Non-fatal heart attacks", US_national_yearly!$D:$AM, 10, FALSE), 1)</f>
        <v>4.6953819849052714E-6</v>
      </c>
      <c r="K13" s="7">
        <f>$B13 * IFERROR(VLOOKUP("electricity|NOx|Non-fatal heart attacks", US_national_yearly!$D:$AM, 19, FALSE) / VLOOKUP("electricity|NOx|Non-fatal heart attacks", US_national_yearly!$D:$AM, 10, FALSE), 1)</f>
        <v>4.7793512044958497E-6</v>
      </c>
      <c r="L13" s="7">
        <f>$B13 * IFERROR(VLOOKUP("electricity|NOx|Non-fatal heart attacks", US_national_yearly!$D:$AM, 20, FALSE) / VLOOKUP("electricity|NOx|Non-fatal heart attacks", US_national_yearly!$D:$AM, 10, FALSE), 1)</f>
        <v>4.8633204240864322E-6</v>
      </c>
      <c r="M13" s="7">
        <f>$B13 * IFERROR(VLOOKUP("electricity|NOx|Non-fatal heart attacks", US_national_yearly!$D:$AM, 21, FALSE) / VLOOKUP("electricity|NOx|Non-fatal heart attacks", US_national_yearly!$D:$AM, 10, FALSE), 1)</f>
        <v>4.9472896436770155E-6</v>
      </c>
      <c r="N13" s="7">
        <f>$B13 * IFERROR(VLOOKUP("electricity|NOx|Non-fatal heart attacks", US_national_yearly!$D:$AM, 22, FALSE) / VLOOKUP("electricity|NOx|Non-fatal heart attacks", US_national_yearly!$D:$AM, 10, FALSE), 1)</f>
        <v>4.9990752060646737E-6</v>
      </c>
      <c r="O13" s="7">
        <f>$B13 * IFERROR(VLOOKUP("electricity|NOx|Non-fatal heart attacks", US_national_yearly!$D:$AM, 23, FALSE) / VLOOKUP("electricity|NOx|Non-fatal heart attacks", US_national_yearly!$D:$AM, 10, FALSE), 1)</f>
        <v>5.0508607684523336E-6</v>
      </c>
      <c r="P13" s="7">
        <f>$B13 * IFERROR(VLOOKUP("electricity|NOx|Non-fatal heart attacks", US_national_yearly!$D:$AM, 24, FALSE) / VLOOKUP("electricity|NOx|Non-fatal heart attacks", US_national_yearly!$D:$AM, 10, FALSE), 1)</f>
        <v>5.1026463308399926E-6</v>
      </c>
      <c r="Q13" s="7">
        <f>$B13 * IFERROR(VLOOKUP("electricity|NOx|Non-fatal heart attacks", US_national_yearly!$D:$AM, 25, FALSE) / VLOOKUP("electricity|NOx|Non-fatal heart attacks", US_national_yearly!$D:$AM, 10, FALSE), 1)</f>
        <v>5.1544318932276517E-6</v>
      </c>
      <c r="R13" s="7">
        <f>$B13 * IFERROR(VLOOKUP("electricity|NOx|Non-fatal heart attacks", US_national_yearly!$D:$AM, 26, FALSE) / VLOOKUP("electricity|NOx|Non-fatal heart attacks", US_national_yearly!$D:$AM, 10, FALSE), 1)</f>
        <v>5.2062174556153107E-6</v>
      </c>
      <c r="S13" s="7">
        <f>$B13 * IFERROR(VLOOKUP("electricity|NOx|Non-fatal heart attacks", US_national_yearly!$D:$AM, 27, FALSE) / VLOOKUP("electricity|NOx|Non-fatal heart attacks", US_national_yearly!$D:$AM, 10, FALSE), 1)</f>
        <v>5.2315197088734347E-6</v>
      </c>
      <c r="T13" s="7">
        <f>$B13 * IFERROR(VLOOKUP("electricity|NOx|Non-fatal heart attacks", US_national_yearly!$D:$AM, 28, FALSE) / VLOOKUP("electricity|NOx|Non-fatal heart attacks", US_national_yearly!$D:$AM, 10, FALSE), 1)</f>
        <v>5.2568219621315578E-6</v>
      </c>
      <c r="U13" s="7">
        <f>$B13 * IFERROR(VLOOKUP("electricity|NOx|Non-fatal heart attacks", US_national_yearly!$D:$AM, 29, FALSE) / VLOOKUP("electricity|NOx|Non-fatal heart attacks", US_national_yearly!$D:$AM, 10, FALSE), 1)</f>
        <v>5.2821242153896827E-6</v>
      </c>
      <c r="V13" s="7">
        <f>$B13 * IFERROR(VLOOKUP("electricity|NOx|Non-fatal heart attacks", US_national_yearly!$D:$AM, 30, FALSE) / VLOOKUP("electricity|NOx|Non-fatal heart attacks", US_national_yearly!$D:$AM, 10, FALSE), 1)</f>
        <v>5.307426468647805E-6</v>
      </c>
      <c r="W13" s="7">
        <f>$B13 * IFERROR(VLOOKUP("electricity|NOx|Non-fatal heart attacks", US_national_yearly!$D:$AM, 31, FALSE) / VLOOKUP("electricity|NOx|Non-fatal heart attacks", US_national_yearly!$D:$AM, 10, FALSE), 1)</f>
        <v>5.3327287219059298E-6</v>
      </c>
      <c r="X13" s="7">
        <f>$B13 * IFERROR(VLOOKUP("electricity|NOx|Non-fatal heart attacks", US_national_yearly!$D:$AM, 32, FALSE) / VLOOKUP("electricity|NOx|Non-fatal heart attacks", US_national_yearly!$D:$AM, 10, FALSE), 1)</f>
        <v>5.3503890222695105E-6</v>
      </c>
      <c r="Y13" s="7">
        <f>$B13 * IFERROR(VLOOKUP("electricity|NOx|Non-fatal heart attacks", US_national_yearly!$D:$AM, 33, FALSE) / VLOOKUP("electricity|NOx|Non-fatal heart attacks", US_national_yearly!$D:$AM, 10, FALSE), 1)</f>
        <v>5.368049322633092E-6</v>
      </c>
      <c r="Z13" s="7">
        <f>$B13 * IFERROR(VLOOKUP("electricity|NOx|Non-fatal heart attacks", US_national_yearly!$D:$AM, 34, FALSE) / VLOOKUP("electricity|NOx|Non-fatal heart attacks", US_national_yearly!$D:$AM, 10, FALSE), 1)</f>
        <v>5.3857096229966718E-6</v>
      </c>
      <c r="AA13" s="7">
        <f>$B13 * IFERROR(VLOOKUP("electricity|NOx|Non-fatal heart attacks", US_national_yearly!$D:$AM, 35, FALSE) / VLOOKUP("electricity|NOx|Non-fatal heart attacks", US_national_yearly!$D:$AM, 10, FALSE), 1)</f>
        <v>5.4033699233602517E-6</v>
      </c>
      <c r="AB13" s="7">
        <f>$B13 * IFERROR(VLOOKUP("electricity|NOx|Non-fatal heart attacks", US_national_yearly!$D:$AM, 36, FALSE) / VLOOKUP("electricity|NOx|Non-fatal heart attacks", US_national_yearly!$D:$AM, 10, FALSE), 1)</f>
        <v>5.421030223723834E-6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2.5340180660713106E-3</v>
      </c>
      <c r="C14" s="7">
        <f>$B14 * IFERROR(VLOOKUP("electricity|NOx|Minor restricted activity days", US_national_yearly!$D:$AM, 11, FALSE) / VLOOKUP("electricity|NOx|Minor restricted activity days", US_national_yearly!$D:$AM, 10, FALSE), 1)</f>
        <v>2.5379032690450052E-3</v>
      </c>
      <c r="D14" s="7">
        <f>$B14 * IFERROR(VLOOKUP("electricity|NOx|Minor restricted activity days", US_national_yearly!$D:$AM, 12, FALSE) / VLOOKUP("electricity|NOx|Minor restricted activity days", US_national_yearly!$D:$AM, 10, FALSE), 1)</f>
        <v>2.5417884720186999E-3</v>
      </c>
      <c r="E14" s="7">
        <f>$B14 * IFERROR(VLOOKUP("electricity|NOx|Minor restricted activity days", US_national_yearly!$D:$AM, 13, FALSE) / VLOOKUP("electricity|NOx|Minor restricted activity days", US_national_yearly!$D:$AM, 10, FALSE), 1)</f>
        <v>2.5456736749923945E-3</v>
      </c>
      <c r="F14" s="7">
        <f>$B14 * IFERROR(VLOOKUP("electricity|NOx|Minor restricted activity days", US_national_yearly!$D:$AM, 14, FALSE) / VLOOKUP("electricity|NOx|Minor restricted activity days", US_national_yearly!$D:$AM, 10, FALSE), 1)</f>
        <v>2.5495588779660895E-3</v>
      </c>
      <c r="G14" s="7">
        <f>$B14 * IFERROR(VLOOKUP("electricity|NOx|Minor restricted activity days", US_national_yearly!$D:$AM, 15, FALSE) / VLOOKUP("electricity|NOx|Minor restricted activity days", US_national_yearly!$D:$AM, 10, FALSE), 1)</f>
        <v>2.5563360296661391E-3</v>
      </c>
      <c r="H14" s="7">
        <f>$B14 * IFERROR(VLOOKUP("electricity|NOx|Minor restricted activity days", US_national_yearly!$D:$AM, 16, FALSE) / VLOOKUP("electricity|NOx|Minor restricted activity days", US_national_yearly!$D:$AM, 10, FALSE), 1)</f>
        <v>2.5631131813661878E-3</v>
      </c>
      <c r="I14" s="7">
        <f>$B14 * IFERROR(VLOOKUP("electricity|NOx|Minor restricted activity days", US_national_yearly!$D:$AM, 17, FALSE) / VLOOKUP("electricity|NOx|Minor restricted activity days", US_national_yearly!$D:$AM, 10, FALSE), 1)</f>
        <v>2.576521730108854E-3</v>
      </c>
      <c r="J14" s="7">
        <f>$B14 * IFERROR(VLOOKUP("electricity|NOx|Minor restricted activity days", US_national_yearly!$D:$AM, 18, FALSE) / VLOOKUP("electricity|NOx|Minor restricted activity days", US_national_yearly!$D:$AM, 10, FALSE), 1)</f>
        <v>2.589930278851519E-3</v>
      </c>
      <c r="K14" s="7">
        <f>$B14 * IFERROR(VLOOKUP("electricity|NOx|Minor restricted activity days", US_national_yearly!$D:$AM, 19, FALSE) / VLOOKUP("electricity|NOx|Minor restricted activity days", US_national_yearly!$D:$AM, 10, FALSE), 1)</f>
        <v>2.6033388275941852E-3</v>
      </c>
      <c r="L14" s="7">
        <f>$B14 * IFERROR(VLOOKUP("electricity|NOx|Minor restricted activity days", US_national_yearly!$D:$AM, 20, FALSE) / VLOOKUP("electricity|NOx|Minor restricted activity days", US_national_yearly!$D:$AM, 10, FALSE), 1)</f>
        <v>2.6167473763368506E-3</v>
      </c>
      <c r="M14" s="7">
        <f>$B14 * IFERROR(VLOOKUP("electricity|NOx|Minor restricted activity days", US_national_yearly!$D:$AM, 21, FALSE) / VLOOKUP("electricity|NOx|Minor restricted activity days", US_national_yearly!$D:$AM, 10, FALSE), 1)</f>
        <v>2.6301559250795164E-3</v>
      </c>
      <c r="N14" s="7">
        <f>$B14 * IFERROR(VLOOKUP("electricity|NOx|Minor restricted activity days", US_national_yearly!$D:$AM, 22, FALSE) / VLOOKUP("electricity|NOx|Minor restricted activity days", US_national_yearly!$D:$AM, 10, FALSE), 1)</f>
        <v>2.6495458131524136E-3</v>
      </c>
      <c r="O14" s="7">
        <f>$B14 * IFERROR(VLOOKUP("electricity|NOx|Minor restricted activity days", US_national_yearly!$D:$AM, 23, FALSE) / VLOOKUP("electricity|NOx|Minor restricted activity days", US_national_yearly!$D:$AM, 10, FALSE), 1)</f>
        <v>2.6689357012253103E-3</v>
      </c>
      <c r="P14" s="7">
        <f>$B14 * IFERROR(VLOOKUP("electricity|NOx|Minor restricted activity days", US_national_yearly!$D:$AM, 24, FALSE) / VLOOKUP("electricity|NOx|Minor restricted activity days", US_national_yearly!$D:$AM, 10, FALSE), 1)</f>
        <v>2.6883255892982067E-3</v>
      </c>
      <c r="Q14" s="7">
        <f>$B14 * IFERROR(VLOOKUP("electricity|NOx|Minor restricted activity days", US_national_yearly!$D:$AM, 25, FALSE) / VLOOKUP("electricity|NOx|Minor restricted activity days", US_national_yearly!$D:$AM, 10, FALSE), 1)</f>
        <v>2.7077154773711039E-3</v>
      </c>
      <c r="R14" s="7">
        <f>$B14 * IFERROR(VLOOKUP("electricity|NOx|Minor restricted activity days", US_national_yearly!$D:$AM, 26, FALSE) / VLOOKUP("electricity|NOx|Minor restricted activity days", US_national_yearly!$D:$AM, 10, FALSE), 1)</f>
        <v>2.7271053654440011E-3</v>
      </c>
      <c r="S14" s="7">
        <f>$B14 * IFERROR(VLOOKUP("electricity|NOx|Minor restricted activity days", US_national_yearly!$D:$AM, 27, FALSE) / VLOOKUP("electricity|NOx|Minor restricted activity days", US_national_yearly!$D:$AM, 10, FALSE), 1)</f>
        <v>2.7466418861020201E-3</v>
      </c>
      <c r="T14" s="7">
        <f>$B14 * IFERROR(VLOOKUP("electricity|NOx|Minor restricted activity days", US_national_yearly!$D:$AM, 28, FALSE) / VLOOKUP("electricity|NOx|Minor restricted activity days", US_national_yearly!$D:$AM, 10, FALSE), 1)</f>
        <v>2.7661784067600386E-3</v>
      </c>
      <c r="U14" s="7">
        <f>$B14 * IFERROR(VLOOKUP("electricity|NOx|Minor restricted activity days", US_national_yearly!$D:$AM, 29, FALSE) / VLOOKUP("electricity|NOx|Minor restricted activity days", US_national_yearly!$D:$AM, 10, FALSE), 1)</f>
        <v>2.785714927418058E-3</v>
      </c>
      <c r="V14" s="7">
        <f>$B14 * IFERROR(VLOOKUP("electricity|NOx|Minor restricted activity days", US_national_yearly!$D:$AM, 30, FALSE) / VLOOKUP("electricity|NOx|Minor restricted activity days", US_national_yearly!$D:$AM, 10, FALSE), 1)</f>
        <v>2.805251448076077E-3</v>
      </c>
      <c r="W14" s="7">
        <f>$B14 * IFERROR(VLOOKUP("electricity|NOx|Minor restricted activity days", US_national_yearly!$D:$AM, 31, FALSE) / VLOOKUP("electricity|NOx|Minor restricted activity days", US_national_yearly!$D:$AM, 10, FALSE), 1)</f>
        <v>2.8247879687340956E-3</v>
      </c>
      <c r="X14" s="7">
        <f>$B14 * IFERROR(VLOOKUP("electricity|NOx|Minor restricted activity days", US_national_yearly!$D:$AM, 32, FALSE) / VLOOKUP("electricity|NOx|Minor restricted activity days", US_national_yearly!$D:$AM, 10, FALSE), 1)</f>
        <v>2.8413100755215206E-3</v>
      </c>
      <c r="Y14" s="7">
        <f>$B14 * IFERROR(VLOOKUP("electricity|NOx|Minor restricted activity days", US_national_yearly!$D:$AM, 33, FALSE) / VLOOKUP("electricity|NOx|Minor restricted activity days", US_national_yearly!$D:$AM, 10, FALSE), 1)</f>
        <v>2.8578321823089434E-3</v>
      </c>
      <c r="Z14" s="7">
        <f>$B14 * IFERROR(VLOOKUP("electricity|NOx|Minor restricted activity days", US_national_yearly!$D:$AM, 34, FALSE) / VLOOKUP("electricity|NOx|Minor restricted activity days", US_national_yearly!$D:$AM, 10, FALSE), 1)</f>
        <v>2.8743542890963701E-3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2.8908763958837942E-3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2.9073985026712187E-3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4.299223761663587E-4</v>
      </c>
      <c r="C15" s="7">
        <f>$B15 * IFERROR(VLOOKUP("electricity|NOx|Work loss days", US_national_yearly!$D:$AM, 11, FALSE) / VLOOKUP("electricity|NOx|Work loss days", US_national_yearly!$D:$AM, 10, FALSE), 1)</f>
        <v>4.3088125671962265E-4</v>
      </c>
      <c r="D15" s="7">
        <f>$B15 * IFERROR(VLOOKUP("electricity|NOx|Work loss days", US_national_yearly!$D:$AM, 12, FALSE) / VLOOKUP("electricity|NOx|Work loss days", US_national_yearly!$D:$AM, 10, FALSE), 1)</f>
        <v>4.3184013727288654E-4</v>
      </c>
      <c r="E15" s="7">
        <f>$B15 * IFERROR(VLOOKUP("electricity|NOx|Work loss days", US_national_yearly!$D:$AM, 13, FALSE) / VLOOKUP("electricity|NOx|Work loss days", US_national_yearly!$D:$AM, 10, FALSE), 1)</f>
        <v>4.3279901782615048E-4</v>
      </c>
      <c r="F15" s="7">
        <f>$B15 * IFERROR(VLOOKUP("electricity|NOx|Work loss days", US_national_yearly!$D:$AM, 14, FALSE) / VLOOKUP("electricity|NOx|Work loss days", US_national_yearly!$D:$AM, 10, FALSE), 1)</f>
        <v>4.3375789837941437E-4</v>
      </c>
      <c r="G15" s="7">
        <f>$B15 * IFERROR(VLOOKUP("electricity|NOx|Work loss days", US_national_yearly!$D:$AM, 15, FALSE) / VLOOKUP("electricity|NOx|Work loss days", US_national_yearly!$D:$AM, 10, FALSE), 1)</f>
        <v>4.351097001439833E-4</v>
      </c>
      <c r="H15" s="7">
        <f>$B15 * IFERROR(VLOOKUP("electricity|NOx|Work loss days", US_national_yearly!$D:$AM, 16, FALSE) / VLOOKUP("electricity|NOx|Work loss days", US_national_yearly!$D:$AM, 10, FALSE), 1)</f>
        <v>4.3646150190855212E-4</v>
      </c>
      <c r="I15" s="7">
        <f>$B15 * IFERROR(VLOOKUP("electricity|NOx|Work loss days", US_national_yearly!$D:$AM, 17, FALSE) / VLOOKUP("electricity|NOx|Work loss days", US_national_yearly!$D:$AM, 10, FALSE), 1)</f>
        <v>4.386564650863575E-4</v>
      </c>
      <c r="J15" s="7">
        <f>$B15 * IFERROR(VLOOKUP("electricity|NOx|Work loss days", US_national_yearly!$D:$AM, 18, FALSE) / VLOOKUP("electricity|NOx|Work loss days", US_national_yearly!$D:$AM, 10, FALSE), 1)</f>
        <v>4.4085142826416282E-4</v>
      </c>
      <c r="K15" s="7">
        <f>$B15 * IFERROR(VLOOKUP("electricity|NOx|Work loss days", US_national_yearly!$D:$AM, 19, FALSE) / VLOOKUP("electricity|NOx|Work loss days", US_national_yearly!$D:$AM, 10, FALSE), 1)</f>
        <v>4.4304639144196814E-4</v>
      </c>
      <c r="L15" s="7">
        <f>$B15 * IFERROR(VLOOKUP("electricity|NOx|Work loss days", US_national_yearly!$D:$AM, 20, FALSE) / VLOOKUP("electricity|NOx|Work loss days", US_national_yearly!$D:$AM, 10, FALSE), 1)</f>
        <v>4.4524135461977341E-4</v>
      </c>
      <c r="M15" s="7">
        <f>$B15 * IFERROR(VLOOKUP("electricity|NOx|Work loss days", US_national_yearly!$D:$AM, 21, FALSE) / VLOOKUP("electricity|NOx|Work loss days", US_national_yearly!$D:$AM, 10, FALSE), 1)</f>
        <v>4.4743631779757868E-4</v>
      </c>
      <c r="N15" s="7">
        <f>$B15 * IFERROR(VLOOKUP("electricity|NOx|Work loss days", US_national_yearly!$D:$AM, 22, FALSE) / VLOOKUP("electricity|NOx|Work loss days", US_national_yearly!$D:$AM, 10, FALSE), 1)</f>
        <v>4.5033228430786611E-4</v>
      </c>
      <c r="O15" s="7">
        <f>$B15 * IFERROR(VLOOKUP("electricity|NOx|Work loss days", US_national_yearly!$D:$AM, 23, FALSE) / VLOOKUP("electricity|NOx|Work loss days", US_national_yearly!$D:$AM, 10, FALSE), 1)</f>
        <v>4.5322825081815343E-4</v>
      </c>
      <c r="P15" s="7">
        <f>$B15 * IFERROR(VLOOKUP("electricity|NOx|Work loss days", US_national_yearly!$D:$AM, 24, FALSE) / VLOOKUP("electricity|NOx|Work loss days", US_national_yearly!$D:$AM, 10, FALSE), 1)</f>
        <v>4.5612421732844086E-4</v>
      </c>
      <c r="Q15" s="7">
        <f>$B15 * IFERROR(VLOOKUP("electricity|NOx|Work loss days", US_national_yearly!$D:$AM, 25, FALSE) / VLOOKUP("electricity|NOx|Work loss days", US_national_yearly!$D:$AM, 10, FALSE), 1)</f>
        <v>4.5902018383872829E-4</v>
      </c>
      <c r="R15" s="7">
        <f>$B15 * IFERROR(VLOOKUP("electricity|NOx|Work loss days", US_national_yearly!$D:$AM, 26, FALSE) / VLOOKUP("electricity|NOx|Work loss days", US_national_yearly!$D:$AM, 10, FALSE), 1)</f>
        <v>4.6191615034901556E-4</v>
      </c>
      <c r="S15" s="7">
        <f>$B15 * IFERROR(VLOOKUP("electricity|NOx|Work loss days", US_national_yearly!$D:$AM, 27, FALSE) / VLOOKUP("electricity|NOx|Work loss days", US_national_yearly!$D:$AM, 10, FALSE), 1)</f>
        <v>4.6516144959657429E-4</v>
      </c>
      <c r="T15" s="7">
        <f>$B15 * IFERROR(VLOOKUP("electricity|NOx|Work loss days", US_national_yearly!$D:$AM, 28, FALSE) / VLOOKUP("electricity|NOx|Work loss days", US_national_yearly!$D:$AM, 10, FALSE), 1)</f>
        <v>4.6840674884413296E-4</v>
      </c>
      <c r="U15" s="7">
        <f>$B15 * IFERROR(VLOOKUP("electricity|NOx|Work loss days", US_national_yearly!$D:$AM, 29, FALSE) / VLOOKUP("electricity|NOx|Work loss days", US_national_yearly!$D:$AM, 10, FALSE), 1)</f>
        <v>4.7165204809169158E-4</v>
      </c>
      <c r="V15" s="7">
        <f>$B15 * IFERROR(VLOOKUP("electricity|NOx|Work loss days", US_national_yearly!$D:$AM, 30, FALSE) / VLOOKUP("electricity|NOx|Work loss days", US_national_yearly!$D:$AM, 10, FALSE), 1)</f>
        <v>4.7489734733925025E-4</v>
      </c>
      <c r="W15" s="7">
        <f>$B15 * IFERROR(VLOOKUP("electricity|NOx|Work loss days", US_national_yearly!$D:$AM, 31, FALSE) / VLOOKUP("electricity|NOx|Work loss days", US_national_yearly!$D:$AM, 10, FALSE), 1)</f>
        <v>4.7814264658680897E-4</v>
      </c>
      <c r="X15" s="7">
        <f>$B15 * IFERROR(VLOOKUP("electricity|NOx|Work loss days", US_national_yearly!$D:$AM, 32, FALSE) / VLOOKUP("electricity|NOx|Work loss days", US_national_yearly!$D:$AM, 10, FALSE), 1)</f>
        <v>4.8097158799191304E-4</v>
      </c>
      <c r="Y15" s="7">
        <f>$B15 * IFERROR(VLOOKUP("electricity|NOx|Work loss days", US_national_yearly!$D:$AM, 33, FALSE) / VLOOKUP("electricity|NOx|Work loss days", US_national_yearly!$D:$AM, 10, FALSE), 1)</f>
        <v>4.8380052939701705E-4</v>
      </c>
      <c r="Z15" s="7">
        <f>$B15 * IFERROR(VLOOKUP("electricity|NOx|Work loss days", US_national_yearly!$D:$AM, 34, FALSE) / VLOOKUP("electricity|NOx|Work loss days", US_national_yearly!$D:$AM, 10, FALSE), 1)</f>
        <v>4.8662947080212112E-4</v>
      </c>
      <c r="AA15" s="7">
        <f>$B15 * IFERROR(VLOOKUP("electricity|NOx|Work loss days", US_national_yearly!$D:$AM, 35, FALSE) / VLOOKUP("electricity|NOx|Work loss days", US_national_yearly!$D:$AM, 10, FALSE), 1)</f>
        <v>4.8945841220722518E-4</v>
      </c>
      <c r="AB15" s="7">
        <f>$B15 * IFERROR(VLOOKUP("electricity|NOx|Work loss days", US_national_yearly!$D:$AM, 36, FALSE) / VLOOKUP("electricity|NOx|Work loss days", US_national_yearly!$D:$AM, 10, FALSE), 1)</f>
        <v>4.922873536123293E-4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8.8503731977238187E-7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9.1110753965267571E-7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9.3717775953296976E-7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9.6324797941326359E-7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9.8931819929355774E-7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1.0142824590090965E-6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1.0392467187246354E-6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1.0605549959257756E-6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1.0818632731269161E-6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1.1031715503280565E-6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1.1244798275291967E-6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1.1457881047303369E-6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1.1594631630440525E-6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1.173138221357768E-6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1.1868132796714837E-6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1.2004883379851992E-6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1.2141633962989147E-6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1.2208931334933109E-6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1.2276228706877072E-6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1.2343526078821034E-6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1.2410823450764999E-6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1.2478120822708961E-6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1.2518454693913494E-6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1.2558788565118028E-6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1.2599122436322559E-6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1.2639456307527093E-6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1.2679790178731626E-6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0.35294105240261497</v>
      </c>
      <c r="C2" s="7">
        <f>$B2 * IFERROR(VLOOKUP("electricity|SO2|Premature mortality", US_national_yearly!$D:$AM, 11, FALSE) / VLOOKUP("electricity|SO2|Premature mortality", US_national_yearly!$D:$AM, 10, FALSE), 1)</f>
        <v>0.3574658381202156</v>
      </c>
      <c r="D2" s="7">
        <f>$B2 * IFERROR(VLOOKUP("electricity|SO2|Premature mortality", US_national_yearly!$D:$AM, 12, FALSE) / VLOOKUP("electricity|SO2|Premature mortality", US_national_yearly!$D:$AM, 10, FALSE), 1)</f>
        <v>0.36199062383781622</v>
      </c>
      <c r="E2" s="7">
        <f>$B2 * IFERROR(VLOOKUP("electricity|SO2|Premature mortality", US_national_yearly!$D:$AM, 13, FALSE) / VLOOKUP("electricity|SO2|Premature mortality", US_national_yearly!$D:$AM, 10, FALSE), 1)</f>
        <v>0.36651540955541684</v>
      </c>
      <c r="F2" s="7">
        <f>$B2 * IFERROR(VLOOKUP("electricity|SO2|Premature mortality", US_national_yearly!$D:$AM, 14, FALSE) / VLOOKUP("electricity|SO2|Premature mortality", US_national_yearly!$D:$AM, 10, FALSE), 1)</f>
        <v>0.3710401952730174</v>
      </c>
      <c r="G2" s="7">
        <f>$B2 * IFERROR(VLOOKUP("electricity|SO2|Premature mortality", US_national_yearly!$D:$AM, 15, FALSE) / VLOOKUP("electricity|SO2|Premature mortality", US_national_yearly!$D:$AM, 10, FALSE), 1)</f>
        <v>0.37975674743682408</v>
      </c>
      <c r="H2" s="7">
        <f>$B2 * IFERROR(VLOOKUP("electricity|SO2|Premature mortality", US_national_yearly!$D:$AM, 16, FALSE) / VLOOKUP("electricity|SO2|Premature mortality", US_national_yearly!$D:$AM, 10, FALSE), 1)</f>
        <v>0.38847329960063076</v>
      </c>
      <c r="I2" s="7">
        <f>$B2 * IFERROR(VLOOKUP("electricity|SO2|Premature mortality", US_national_yearly!$D:$AM, 17, FALSE) / VLOOKUP("electricity|SO2|Premature mortality", US_national_yearly!$D:$AM, 10, FALSE), 1)</f>
        <v>0.39434074310599254</v>
      </c>
      <c r="J2" s="7">
        <f>$B2 * IFERROR(VLOOKUP("electricity|SO2|Premature mortality", US_national_yearly!$D:$AM, 18, FALSE) / VLOOKUP("electricity|SO2|Premature mortality", US_national_yearly!$D:$AM, 10, FALSE), 1)</f>
        <v>0.40020818661135432</v>
      </c>
      <c r="K2" s="7">
        <f>$B2 * IFERROR(VLOOKUP("electricity|SO2|Premature mortality", US_national_yearly!$D:$AM, 19, FALSE) / VLOOKUP("electricity|SO2|Premature mortality", US_national_yearly!$D:$AM, 10, FALSE), 1)</f>
        <v>0.40607563011671605</v>
      </c>
      <c r="L2" s="7">
        <f>$B2 * IFERROR(VLOOKUP("electricity|SO2|Premature mortality", US_national_yearly!$D:$AM, 20, FALSE) / VLOOKUP("electricity|SO2|Premature mortality", US_national_yearly!$D:$AM, 10, FALSE), 1)</f>
        <v>0.41194307362207788</v>
      </c>
      <c r="M2" s="7">
        <f>$B2 * IFERROR(VLOOKUP("electricity|SO2|Premature mortality", US_national_yearly!$D:$AM, 21, FALSE) / VLOOKUP("electricity|SO2|Premature mortality", US_national_yearly!$D:$AM, 10, FALSE), 1)</f>
        <v>0.41781051712743961</v>
      </c>
      <c r="N2" s="7">
        <f>$B2 * IFERROR(VLOOKUP("electricity|SO2|Premature mortality", US_national_yearly!$D:$AM, 22, FALSE) / VLOOKUP("electricity|SO2|Premature mortality", US_national_yearly!$D:$AM, 10, FALSE), 1)</f>
        <v>0.42251280543615888</v>
      </c>
      <c r="O2" s="7">
        <f>$B2 * IFERROR(VLOOKUP("electricity|SO2|Premature mortality", US_national_yearly!$D:$AM, 23, FALSE) / VLOOKUP("electricity|SO2|Premature mortality", US_national_yearly!$D:$AM, 10, FALSE), 1)</f>
        <v>0.42721509374487826</v>
      </c>
      <c r="P2" s="7">
        <f>$B2 * IFERROR(VLOOKUP("electricity|SO2|Premature mortality", US_national_yearly!$D:$AM, 24, FALSE) / VLOOKUP("electricity|SO2|Premature mortality", US_national_yearly!$D:$AM, 10, FALSE), 1)</f>
        <v>0.43191738205359742</v>
      </c>
      <c r="Q2" s="7">
        <f>$B2 * IFERROR(VLOOKUP("electricity|SO2|Premature mortality", US_national_yearly!$D:$AM, 25, FALSE) / VLOOKUP("electricity|SO2|Premature mortality", US_national_yearly!$D:$AM, 10, FALSE), 1)</f>
        <v>0.43661967036231675</v>
      </c>
      <c r="R2" s="7">
        <f>$B2 * IFERROR(VLOOKUP("electricity|SO2|Premature mortality", US_national_yearly!$D:$AM, 26, FALSE) / VLOOKUP("electricity|SO2|Premature mortality", US_national_yearly!$D:$AM, 10, FALSE), 1)</f>
        <v>0.44132195867103602</v>
      </c>
      <c r="S2" s="7">
        <f>$B2 * IFERROR(VLOOKUP("electricity|SO2|Premature mortality", US_national_yearly!$D:$AM, 27, FALSE) / VLOOKUP("electricity|SO2|Premature mortality", US_national_yearly!$D:$AM, 10, FALSE), 1)</f>
        <v>0.44401791791012929</v>
      </c>
      <c r="T2" s="7">
        <f>$B2 * IFERROR(VLOOKUP("electricity|SO2|Premature mortality", US_national_yearly!$D:$AM, 28, FALSE) / VLOOKUP("electricity|SO2|Premature mortality", US_national_yearly!$D:$AM, 10, FALSE), 1)</f>
        <v>0.44671387714922267</v>
      </c>
      <c r="U2" s="7">
        <f>$B2 * IFERROR(VLOOKUP("electricity|SO2|Premature mortality", US_national_yearly!$D:$AM, 29, FALSE) / VLOOKUP("electricity|SO2|Premature mortality", US_national_yearly!$D:$AM, 10, FALSE), 1)</f>
        <v>0.449409836388316</v>
      </c>
      <c r="V2" s="7">
        <f>$B2 * IFERROR(VLOOKUP("electricity|SO2|Premature mortality", US_national_yearly!$D:$AM, 30, FALSE) / VLOOKUP("electricity|SO2|Premature mortality", US_national_yearly!$D:$AM, 10, FALSE), 1)</f>
        <v>0.45210579562740938</v>
      </c>
      <c r="W2" s="7">
        <f>$B2 * IFERROR(VLOOKUP("electricity|SO2|Premature mortality", US_national_yearly!$D:$AM, 31, FALSE) / VLOOKUP("electricity|SO2|Premature mortality", US_national_yearly!$D:$AM, 10, FALSE), 1)</f>
        <v>0.45480175486650265</v>
      </c>
      <c r="X2" s="7">
        <f>$B2 * IFERROR(VLOOKUP("electricity|SO2|Premature mortality", US_national_yearly!$D:$AM, 32, FALSE) / VLOOKUP("electricity|SO2|Premature mortality", US_national_yearly!$D:$AM, 10, FALSE), 1)</f>
        <v>0.45559610757837071</v>
      </c>
      <c r="Y2" s="7">
        <f>$B2 * IFERROR(VLOOKUP("electricity|SO2|Premature mortality", US_national_yearly!$D:$AM, 33, FALSE) / VLOOKUP("electricity|SO2|Premature mortality", US_national_yearly!$D:$AM, 10, FALSE), 1)</f>
        <v>0.45639046029023872</v>
      </c>
      <c r="Z2" s="7">
        <f>$B2 * IFERROR(VLOOKUP("electricity|SO2|Premature mortality", US_national_yearly!$D:$AM, 34, FALSE) / VLOOKUP("electricity|SO2|Premature mortality", US_national_yearly!$D:$AM, 10, FALSE), 1)</f>
        <v>0.45718481300210667</v>
      </c>
      <c r="AA2" s="7">
        <f>$B2 * IFERROR(VLOOKUP("electricity|SO2|Premature mortality", US_national_yearly!$D:$AM, 35, FALSE) / VLOOKUP("electricity|SO2|Premature mortality", US_national_yearly!$D:$AM, 10, FALSE), 1)</f>
        <v>0.45797916571397473</v>
      </c>
      <c r="AB2" s="7">
        <f>$B2 * IFERROR(VLOOKUP("electricity|SO2|Premature mortality", US_national_yearly!$D:$AM, 36, FALSE) / VLOOKUP("electricity|SO2|Premature mortality", US_national_yearly!$D:$AM, 10, FALSE), 1)</f>
        <v>0.45877351842584274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7.8544676973335797E-4</v>
      </c>
      <c r="C3" s="7">
        <f>$B3 * IFERROR(VLOOKUP("electricity|SO2|Infant mortality", US_national_yearly!$D:$AM, 11, FALSE) / VLOOKUP("electricity|SO2|Infant mortality", US_national_yearly!$D:$AM, 10, FALSE), 1)</f>
        <v>7.7881123795036733E-4</v>
      </c>
      <c r="D3" s="7">
        <f>$B3 * IFERROR(VLOOKUP("electricity|SO2|Infant mortality", US_national_yearly!$D:$AM, 12, FALSE) / VLOOKUP("electricity|SO2|Infant mortality", US_national_yearly!$D:$AM, 10, FALSE), 1)</f>
        <v>7.7217570616737669E-4</v>
      </c>
      <c r="E3" s="7">
        <f>$B3 * IFERROR(VLOOKUP("electricity|SO2|Infant mortality", US_national_yearly!$D:$AM, 13, FALSE) / VLOOKUP("electricity|SO2|Infant mortality", US_national_yearly!$D:$AM, 10, FALSE), 1)</f>
        <v>7.6554017438438594E-4</v>
      </c>
      <c r="F3" s="7">
        <f>$B3 * IFERROR(VLOOKUP("electricity|SO2|Infant mortality", US_national_yearly!$D:$AM, 14, FALSE) / VLOOKUP("electricity|SO2|Infant mortality", US_national_yearly!$D:$AM, 10, FALSE), 1)</f>
        <v>7.5890464260139551E-4</v>
      </c>
      <c r="G3" s="7">
        <f>$B3 * IFERROR(VLOOKUP("electricity|SO2|Infant mortality", US_national_yearly!$D:$AM, 15, FALSE) / VLOOKUP("electricity|SO2|Infant mortality", US_national_yearly!$D:$AM, 10, FALSE), 1)</f>
        <v>5.0471089955177076E-4</v>
      </c>
      <c r="H3" s="7">
        <f>$B3 * IFERROR(VLOOKUP("electricity|SO2|Infant mortality", US_national_yearly!$D:$AM, 16, FALSE) / VLOOKUP("electricity|SO2|Infant mortality", US_national_yearly!$D:$AM, 10, FALSE), 1)</f>
        <v>2.5051715650214595E-4</v>
      </c>
      <c r="I3" s="7">
        <f>$B3 * IFERROR(VLOOKUP("electricity|SO2|Infant mortality", US_national_yearly!$D:$AM, 17, FALSE) / VLOOKUP("electricity|SO2|Infant mortality", US_national_yearly!$D:$AM, 10, FALSE), 1)</f>
        <v>2.4891447784354613E-4</v>
      </c>
      <c r="J3" s="7">
        <f>$B3 * IFERROR(VLOOKUP("electricity|SO2|Infant mortality", US_national_yearly!$D:$AM, 18, FALSE) / VLOOKUP("electricity|SO2|Infant mortality", US_national_yearly!$D:$AM, 10, FALSE), 1)</f>
        <v>2.473117991849462E-4</v>
      </c>
      <c r="K3" s="7">
        <f>$B3 * IFERROR(VLOOKUP("electricity|SO2|Infant mortality", US_national_yearly!$D:$AM, 19, FALSE) / VLOOKUP("electricity|SO2|Infant mortality", US_national_yearly!$D:$AM, 10, FALSE), 1)</f>
        <v>2.4570912052634643E-4</v>
      </c>
      <c r="L3" s="7">
        <f>$B3 * IFERROR(VLOOKUP("electricity|SO2|Infant mortality", US_national_yearly!$D:$AM, 20, FALSE) / VLOOKUP("electricity|SO2|Infant mortality", US_national_yearly!$D:$AM, 10, FALSE), 1)</f>
        <v>2.4410644186774656E-4</v>
      </c>
      <c r="M3" s="7">
        <f>$B3 * IFERROR(VLOOKUP("electricity|SO2|Infant mortality", US_national_yearly!$D:$AM, 21, FALSE) / VLOOKUP("electricity|SO2|Infant mortality", US_national_yearly!$D:$AM, 10, FALSE), 1)</f>
        <v>2.4250376320914671E-4</v>
      </c>
      <c r="N3" s="7">
        <f>$B3 * IFERROR(VLOOKUP("electricity|SO2|Infant mortality", US_national_yearly!$D:$AM, 22, FALSE) / VLOOKUP("electricity|SO2|Infant mortality", US_national_yearly!$D:$AM, 10, FALSE), 1)</f>
        <v>2.4148823499151102E-4</v>
      </c>
      <c r="O3" s="7">
        <f>$B3 * IFERROR(VLOOKUP("electricity|SO2|Infant mortality", US_national_yearly!$D:$AM, 23, FALSE) / VLOOKUP("electricity|SO2|Infant mortality", US_national_yearly!$D:$AM, 10, FALSE), 1)</f>
        <v>2.4047270677387528E-4</v>
      </c>
      <c r="P3" s="7">
        <f>$B3 * IFERROR(VLOOKUP("electricity|SO2|Infant mortality", US_national_yearly!$D:$AM, 24, FALSE) / VLOOKUP("electricity|SO2|Infant mortality", US_national_yearly!$D:$AM, 10, FALSE), 1)</f>
        <v>2.3945717855623953E-4</v>
      </c>
      <c r="Q3" s="7">
        <f>$B3 * IFERROR(VLOOKUP("electricity|SO2|Infant mortality", US_national_yearly!$D:$AM, 25, FALSE) / VLOOKUP("electricity|SO2|Infant mortality", US_national_yearly!$D:$AM, 10, FALSE), 1)</f>
        <v>2.3844165033860384E-4</v>
      </c>
      <c r="R3" s="7">
        <f>$B3 * IFERROR(VLOOKUP("electricity|SO2|Infant mortality", US_national_yearly!$D:$AM, 26, FALSE) / VLOOKUP("electricity|SO2|Infant mortality", US_national_yearly!$D:$AM, 10, FALSE), 1)</f>
        <v>2.3742612212096815E-4</v>
      </c>
      <c r="S3" s="7">
        <f>$B3 * IFERROR(VLOOKUP("electricity|SO2|Infant mortality", US_national_yearly!$D:$AM, 27, FALSE) / VLOOKUP("electricity|SO2|Infant mortality", US_national_yearly!$D:$AM, 10, FALSE), 1)</f>
        <v>2.3616039487609573E-4</v>
      </c>
      <c r="T3" s="7">
        <f>$B3 * IFERROR(VLOOKUP("electricity|SO2|Infant mortality", US_national_yearly!$D:$AM, 28, FALSE) / VLOOKUP("electricity|SO2|Infant mortality", US_national_yearly!$D:$AM, 10, FALSE), 1)</f>
        <v>2.3489466763122337E-4</v>
      </c>
      <c r="U3" s="7">
        <f>$B3 * IFERROR(VLOOKUP("electricity|SO2|Infant mortality", US_national_yearly!$D:$AM, 29, FALSE) / VLOOKUP("electricity|SO2|Infant mortality", US_national_yearly!$D:$AM, 10, FALSE), 1)</f>
        <v>2.3362894038635098E-4</v>
      </c>
      <c r="V3" s="7">
        <f>$B3 * IFERROR(VLOOKUP("electricity|SO2|Infant mortality", US_national_yearly!$D:$AM, 30, FALSE) / VLOOKUP("electricity|SO2|Infant mortality", US_national_yearly!$D:$AM, 10, FALSE), 1)</f>
        <v>2.3236321314147861E-4</v>
      </c>
      <c r="W3" s="7">
        <f>$B3 * IFERROR(VLOOKUP("electricity|SO2|Infant mortality", US_national_yearly!$D:$AM, 31, FALSE) / VLOOKUP("electricity|SO2|Infant mortality", US_national_yearly!$D:$AM, 10, FALSE), 1)</f>
        <v>2.3109748589660619E-4</v>
      </c>
      <c r="X3" s="7">
        <f>$B3 * IFERROR(VLOOKUP("electricity|SO2|Infant mortality", US_national_yearly!$D:$AM, 32, FALSE) / VLOOKUP("electricity|SO2|Infant mortality", US_national_yearly!$D:$AM, 10, FALSE), 1)</f>
        <v>2.2974699199177886E-4</v>
      </c>
      <c r="Y3" s="7">
        <f>$B3 * IFERROR(VLOOKUP("electricity|SO2|Infant mortality", US_national_yearly!$D:$AM, 33, FALSE) / VLOOKUP("electricity|SO2|Infant mortality", US_national_yearly!$D:$AM, 10, FALSE), 1)</f>
        <v>2.2839649808695142E-4</v>
      </c>
      <c r="Z3" s="7">
        <f>$B3 * IFERROR(VLOOKUP("electricity|SO2|Infant mortality", US_national_yearly!$D:$AM, 34, FALSE) / VLOOKUP("electricity|SO2|Infant mortality", US_national_yearly!$D:$AM, 10, FALSE), 1)</f>
        <v>2.2704600418212406E-4</v>
      </c>
      <c r="AA3" s="7">
        <f>$B3 * IFERROR(VLOOKUP("electricity|SO2|Infant mortality", US_national_yearly!$D:$AM, 35, FALSE) / VLOOKUP("electricity|SO2|Infant mortality", US_national_yearly!$D:$AM, 10, FALSE), 1)</f>
        <v>2.2569551027729669E-4</v>
      </c>
      <c r="AB3" s="7">
        <f>$B3 * IFERROR(VLOOKUP("electricity|SO2|Infant mortality", US_national_yearly!$D:$AM, 36, FALSE) / VLOOKUP("electricity|SO2|Infant mortality", US_national_yearly!$D:$AM, 10, FALSE), 1)</f>
        <v>2.2434501637246931E-4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0.78286629443775047</v>
      </c>
      <c r="C6" s="7">
        <f>$B6 * IFERROR(VLOOKUP("electricity|SO2|Asthma symptoms cough", US_national_yearly!$D:$AM, 11, FALSE) / VLOOKUP("electricity|SO2|Asthma symptoms cough", US_national_yearly!$D:$AM, 10, FALSE), 1)</f>
        <v>0.78286629443775047</v>
      </c>
      <c r="D6" s="7">
        <f>$B6 * IFERROR(VLOOKUP("electricity|SO2|Asthma symptoms cough", US_national_yearly!$D:$AM, 12, FALSE) / VLOOKUP("electricity|SO2|Asthma symptoms cough", US_national_yearly!$D:$AM, 10, FALSE), 1)</f>
        <v>0.78286629443775047</v>
      </c>
      <c r="E6" s="7">
        <f>$B6 * IFERROR(VLOOKUP("electricity|SO2|Asthma symptoms cough", US_national_yearly!$D:$AM, 13, FALSE) / VLOOKUP("electricity|SO2|Asthma symptoms cough", US_national_yearly!$D:$AM, 10, FALSE), 1)</f>
        <v>0.78286629443775047</v>
      </c>
      <c r="F6" s="7">
        <f>$B6 * IFERROR(VLOOKUP("electricity|SO2|Asthma symptoms cough", US_national_yearly!$D:$AM, 14, FALSE) / VLOOKUP("electricity|SO2|Asthma symptoms cough", US_national_yearly!$D:$AM, 10, FALSE), 1)</f>
        <v>0.78286629443775047</v>
      </c>
      <c r="G6" s="7">
        <f>$B6 * IFERROR(VLOOKUP("electricity|SO2|Asthma symptoms cough", US_national_yearly!$D:$AM, 15, FALSE) / VLOOKUP("electricity|SO2|Asthma symptoms cough", US_national_yearly!$D:$AM, 10, FALSE), 1)</f>
        <v>0.78286629443775047</v>
      </c>
      <c r="H6" s="7">
        <f>$B6 * IFERROR(VLOOKUP("electricity|SO2|Asthma symptoms cough", US_national_yearly!$D:$AM, 16, FALSE) / VLOOKUP("electricity|SO2|Asthma symptoms cough", US_national_yearly!$D:$AM, 10, FALSE), 1)</f>
        <v>0.78286629443775047</v>
      </c>
      <c r="I6" s="7">
        <f>$B6 * IFERROR(VLOOKUP("electricity|SO2|Asthma symptoms cough", US_national_yearly!$D:$AM, 17, FALSE) / VLOOKUP("electricity|SO2|Asthma symptoms cough", US_national_yearly!$D:$AM, 10, FALSE), 1)</f>
        <v>0.78286629443775047</v>
      </c>
      <c r="J6" s="7">
        <f>$B6 * IFERROR(VLOOKUP("electricity|SO2|Asthma symptoms cough", US_national_yearly!$D:$AM, 18, FALSE) / VLOOKUP("electricity|SO2|Asthma symptoms cough", US_national_yearly!$D:$AM, 10, FALSE), 1)</f>
        <v>0.78286629443775047</v>
      </c>
      <c r="K6" s="7">
        <f>$B6 * IFERROR(VLOOKUP("electricity|SO2|Asthma symptoms cough", US_national_yearly!$D:$AM, 19, FALSE) / VLOOKUP("electricity|SO2|Asthma symptoms cough", US_national_yearly!$D:$AM, 10, FALSE), 1)</f>
        <v>0.78286629443775047</v>
      </c>
      <c r="L6" s="7">
        <f>$B6 * IFERROR(VLOOKUP("electricity|SO2|Asthma symptoms cough", US_national_yearly!$D:$AM, 20, FALSE) / VLOOKUP("electricity|SO2|Asthma symptoms cough", US_national_yearly!$D:$AM, 10, FALSE), 1)</f>
        <v>0.78286629443775047</v>
      </c>
      <c r="M6" s="7">
        <f>$B6 * IFERROR(VLOOKUP("electricity|SO2|Asthma symptoms cough", US_national_yearly!$D:$AM, 21, FALSE) / VLOOKUP("electricity|SO2|Asthma symptoms cough", US_national_yearly!$D:$AM, 10, FALSE), 1)</f>
        <v>0.78286629443775047</v>
      </c>
      <c r="N6" s="7">
        <f>$B6 * IFERROR(VLOOKUP("electricity|SO2|Asthma symptoms cough", US_national_yearly!$D:$AM, 22, FALSE) / VLOOKUP("electricity|SO2|Asthma symptoms cough", US_national_yearly!$D:$AM, 10, FALSE), 1)</f>
        <v>0.78286629443775047</v>
      </c>
      <c r="O6" s="7">
        <f>$B6 * IFERROR(VLOOKUP("electricity|SO2|Asthma symptoms cough", US_national_yearly!$D:$AM, 23, FALSE) / VLOOKUP("electricity|SO2|Asthma symptoms cough", US_national_yearly!$D:$AM, 10, FALSE), 1)</f>
        <v>0.78286629443775047</v>
      </c>
      <c r="P6" s="7">
        <f>$B6 * IFERROR(VLOOKUP("electricity|SO2|Asthma symptoms cough", US_national_yearly!$D:$AM, 24, FALSE) / VLOOKUP("electricity|SO2|Asthma symptoms cough", US_national_yearly!$D:$AM, 10, FALSE), 1)</f>
        <v>0.78286629443775047</v>
      </c>
      <c r="Q6" s="7">
        <f>$B6 * IFERROR(VLOOKUP("electricity|SO2|Asthma symptoms cough", US_national_yearly!$D:$AM, 25, FALSE) / VLOOKUP("electricity|SO2|Asthma symptoms cough", US_national_yearly!$D:$AM, 10, FALSE), 1)</f>
        <v>0.78286629443775047</v>
      </c>
      <c r="R6" s="7">
        <f>$B6 * IFERROR(VLOOKUP("electricity|SO2|Asthma symptoms cough", US_national_yearly!$D:$AM, 26, FALSE) / VLOOKUP("electricity|SO2|Asthma symptoms cough", US_national_yearly!$D:$AM, 10, FALSE), 1)</f>
        <v>0.78286629443775047</v>
      </c>
      <c r="S6" s="7">
        <f>$B6 * IFERROR(VLOOKUP("electricity|SO2|Asthma symptoms cough", US_national_yearly!$D:$AM, 27, FALSE) / VLOOKUP("electricity|SO2|Asthma symptoms cough", US_national_yearly!$D:$AM, 10, FALSE), 1)</f>
        <v>0.78286629443775047</v>
      </c>
      <c r="T6" s="7">
        <f>$B6 * IFERROR(VLOOKUP("electricity|SO2|Asthma symptoms cough", US_national_yearly!$D:$AM, 28, FALSE) / VLOOKUP("electricity|SO2|Asthma symptoms cough", US_national_yearly!$D:$AM, 10, FALSE), 1)</f>
        <v>0.78286629443775047</v>
      </c>
      <c r="U6" s="7">
        <f>$B6 * IFERROR(VLOOKUP("electricity|SO2|Asthma symptoms cough", US_national_yearly!$D:$AM, 29, FALSE) / VLOOKUP("electricity|SO2|Asthma symptoms cough", US_national_yearly!$D:$AM, 10, FALSE), 1)</f>
        <v>0.78286629443775047</v>
      </c>
      <c r="V6" s="7">
        <f>$B6 * IFERROR(VLOOKUP("electricity|SO2|Asthma symptoms cough", US_national_yearly!$D:$AM, 30, FALSE) / VLOOKUP("electricity|SO2|Asthma symptoms cough", US_national_yearly!$D:$AM, 10, FALSE), 1)</f>
        <v>0.78286629443775047</v>
      </c>
      <c r="W6" s="7">
        <f>$B6 * IFERROR(VLOOKUP("electricity|SO2|Asthma symptoms cough", US_national_yearly!$D:$AM, 31, FALSE) / VLOOKUP("electricity|SO2|Asthma symptoms cough", US_national_yearly!$D:$AM, 10, FALSE), 1)</f>
        <v>0.78286629443775047</v>
      </c>
      <c r="X6" s="7">
        <f>$B6 * IFERROR(VLOOKUP("electricity|SO2|Asthma symptoms cough", US_national_yearly!$D:$AM, 32, FALSE) / VLOOKUP("electricity|SO2|Asthma symptoms cough", US_national_yearly!$D:$AM, 10, FALSE), 1)</f>
        <v>0.78286629443775047</v>
      </c>
      <c r="Y6" s="7">
        <f>$B6 * IFERROR(VLOOKUP("electricity|SO2|Asthma symptoms cough", US_national_yearly!$D:$AM, 33, FALSE) / VLOOKUP("electricity|SO2|Asthma symptoms cough", US_national_yearly!$D:$AM, 10, FALSE), 1)</f>
        <v>0.78286629443775047</v>
      </c>
      <c r="Z6" s="7">
        <f>$B6 * IFERROR(VLOOKUP("electricity|SO2|Asthma symptoms cough", US_national_yearly!$D:$AM, 34, FALSE) / VLOOKUP("electricity|SO2|Asthma symptoms cough", US_national_yearly!$D:$AM, 10, FALSE), 1)</f>
        <v>0.78286629443775047</v>
      </c>
      <c r="AA6" s="7">
        <f>$B6 * IFERROR(VLOOKUP("electricity|SO2|Asthma symptoms cough", US_national_yearly!$D:$AM, 35, FALSE) / VLOOKUP("electricity|SO2|Asthma symptoms cough", US_national_yearly!$D:$AM, 10, FALSE), 1)</f>
        <v>0.78286629443775047</v>
      </c>
      <c r="AB6" s="7">
        <f>$B6 * IFERROR(VLOOKUP("electricity|SO2|Asthma symptoms cough", US_national_yearly!$D:$AM, 36, FALSE) / VLOOKUP("electricity|SO2|Asthma symptoms cough", US_national_yearly!$D:$AM, 10, FALSE), 1)</f>
        <v>0.78286629443775047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1.0542426019772382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1.0542426019772382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1.0542426019772382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1.0542426019772382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1.0542426019772382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1.0542426019772382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1.0542426019772382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1.0542426019772382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1.0542426019772382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1.0542426019772382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1.0542426019772382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1.0542426019772382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1.0542426019772382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1.0542426019772382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1.0542426019772382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1.0542426019772382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1.0542426019772382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1.0542426019772382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1.0542426019772382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1.0542426019772382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1.0542426019772382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1.0542426019772382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1.0542426019772382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1.0542426019772382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1.0542426019772382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1.0542426019772382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1.0542426019772382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1.6107056695746709</v>
      </c>
      <c r="C8" s="7">
        <f>$B8 * IFERROR(VLOOKUP("electricity|SO2|Asthma symptoms wheeze", US_national_yearly!$D:$AM, 11, FALSE) / VLOOKUP("electricity|SO2|Asthma symptoms wheeze", US_national_yearly!$D:$AM, 10, FALSE), 1)</f>
        <v>1.6107056695746709</v>
      </c>
      <c r="D8" s="7">
        <f>$B8 * IFERROR(VLOOKUP("electricity|SO2|Asthma symptoms wheeze", US_national_yearly!$D:$AM, 12, FALSE) / VLOOKUP("electricity|SO2|Asthma symptoms wheeze", US_national_yearly!$D:$AM, 10, FALSE), 1)</f>
        <v>1.6107056695746709</v>
      </c>
      <c r="E8" s="7">
        <f>$B8 * IFERROR(VLOOKUP("electricity|SO2|Asthma symptoms wheeze", US_national_yearly!$D:$AM, 13, FALSE) / VLOOKUP("electricity|SO2|Asthma symptoms wheeze", US_national_yearly!$D:$AM, 10, FALSE), 1)</f>
        <v>1.6107056695746709</v>
      </c>
      <c r="F8" s="7">
        <f>$B8 * IFERROR(VLOOKUP("electricity|SO2|Asthma symptoms wheeze", US_national_yearly!$D:$AM, 14, FALSE) / VLOOKUP("electricity|SO2|Asthma symptoms wheeze", US_national_yearly!$D:$AM, 10, FALSE), 1)</f>
        <v>1.6107056695746709</v>
      </c>
      <c r="G8" s="7">
        <f>$B8 * IFERROR(VLOOKUP("electricity|SO2|Asthma symptoms wheeze", US_national_yearly!$D:$AM, 15, FALSE) / VLOOKUP("electricity|SO2|Asthma symptoms wheeze", US_national_yearly!$D:$AM, 10, FALSE), 1)</f>
        <v>1.6107056695746709</v>
      </c>
      <c r="H8" s="7">
        <f>$B8 * IFERROR(VLOOKUP("electricity|SO2|Asthma symptoms wheeze", US_national_yearly!$D:$AM, 16, FALSE) / VLOOKUP("electricity|SO2|Asthma symptoms wheeze", US_national_yearly!$D:$AM, 10, FALSE), 1)</f>
        <v>1.6107056695746709</v>
      </c>
      <c r="I8" s="7">
        <f>$B8 * IFERROR(VLOOKUP("electricity|SO2|Asthma symptoms wheeze", US_national_yearly!$D:$AM, 17, FALSE) / VLOOKUP("electricity|SO2|Asthma symptoms wheeze", US_national_yearly!$D:$AM, 10, FALSE), 1)</f>
        <v>1.6107056695746709</v>
      </c>
      <c r="J8" s="7">
        <f>$B8 * IFERROR(VLOOKUP("electricity|SO2|Asthma symptoms wheeze", US_national_yearly!$D:$AM, 18, FALSE) / VLOOKUP("electricity|SO2|Asthma symptoms wheeze", US_national_yearly!$D:$AM, 10, FALSE), 1)</f>
        <v>1.6107056695746709</v>
      </c>
      <c r="K8" s="7">
        <f>$B8 * IFERROR(VLOOKUP("electricity|SO2|Asthma symptoms wheeze", US_national_yearly!$D:$AM, 19, FALSE) / VLOOKUP("electricity|SO2|Asthma symptoms wheeze", US_national_yearly!$D:$AM, 10, FALSE), 1)</f>
        <v>1.6107056695746709</v>
      </c>
      <c r="L8" s="7">
        <f>$B8 * IFERROR(VLOOKUP("electricity|SO2|Asthma symptoms wheeze", US_national_yearly!$D:$AM, 20, FALSE) / VLOOKUP("electricity|SO2|Asthma symptoms wheeze", US_national_yearly!$D:$AM, 10, FALSE), 1)</f>
        <v>1.6107056695746709</v>
      </c>
      <c r="M8" s="7">
        <f>$B8 * IFERROR(VLOOKUP("electricity|SO2|Asthma symptoms wheeze", US_national_yearly!$D:$AM, 21, FALSE) / VLOOKUP("electricity|SO2|Asthma symptoms wheeze", US_national_yearly!$D:$AM, 10, FALSE), 1)</f>
        <v>1.6107056695746709</v>
      </c>
      <c r="N8" s="7">
        <f>$B8 * IFERROR(VLOOKUP("electricity|SO2|Asthma symptoms wheeze", US_national_yearly!$D:$AM, 22, FALSE) / VLOOKUP("electricity|SO2|Asthma symptoms wheeze", US_national_yearly!$D:$AM, 10, FALSE), 1)</f>
        <v>1.6107056695746709</v>
      </c>
      <c r="O8" s="7">
        <f>$B8 * IFERROR(VLOOKUP("electricity|SO2|Asthma symptoms wheeze", US_national_yearly!$D:$AM, 23, FALSE) / VLOOKUP("electricity|SO2|Asthma symptoms wheeze", US_national_yearly!$D:$AM, 10, FALSE), 1)</f>
        <v>1.6107056695746709</v>
      </c>
      <c r="P8" s="7">
        <f>$B8 * IFERROR(VLOOKUP("electricity|SO2|Asthma symptoms wheeze", US_national_yearly!$D:$AM, 24, FALSE) / VLOOKUP("electricity|SO2|Asthma symptoms wheeze", US_national_yearly!$D:$AM, 10, FALSE), 1)</f>
        <v>1.6107056695746709</v>
      </c>
      <c r="Q8" s="7">
        <f>$B8 * IFERROR(VLOOKUP("electricity|SO2|Asthma symptoms wheeze", US_national_yearly!$D:$AM, 25, FALSE) / VLOOKUP("electricity|SO2|Asthma symptoms wheeze", US_national_yearly!$D:$AM, 10, FALSE), 1)</f>
        <v>1.6107056695746709</v>
      </c>
      <c r="R8" s="7">
        <f>$B8 * IFERROR(VLOOKUP("electricity|SO2|Asthma symptoms wheeze", US_national_yearly!$D:$AM, 26, FALSE) / VLOOKUP("electricity|SO2|Asthma symptoms wheeze", US_national_yearly!$D:$AM, 10, FALSE), 1)</f>
        <v>1.6107056695746709</v>
      </c>
      <c r="S8" s="7">
        <f>$B8 * IFERROR(VLOOKUP("electricity|SO2|Asthma symptoms wheeze", US_national_yearly!$D:$AM, 27, FALSE) / VLOOKUP("electricity|SO2|Asthma symptoms wheeze", US_national_yearly!$D:$AM, 10, FALSE), 1)</f>
        <v>1.6107056695746709</v>
      </c>
      <c r="T8" s="7">
        <f>$B8 * IFERROR(VLOOKUP("electricity|SO2|Asthma symptoms wheeze", US_national_yearly!$D:$AM, 28, FALSE) / VLOOKUP("electricity|SO2|Asthma symptoms wheeze", US_national_yearly!$D:$AM, 10, FALSE), 1)</f>
        <v>1.6107056695746709</v>
      </c>
      <c r="U8" s="7">
        <f>$B8 * IFERROR(VLOOKUP("electricity|SO2|Asthma symptoms wheeze", US_national_yearly!$D:$AM, 29, FALSE) / VLOOKUP("electricity|SO2|Asthma symptoms wheeze", US_national_yearly!$D:$AM, 10, FALSE), 1)</f>
        <v>1.6107056695746709</v>
      </c>
      <c r="V8" s="7">
        <f>$B8 * IFERROR(VLOOKUP("electricity|SO2|Asthma symptoms wheeze", US_national_yearly!$D:$AM, 30, FALSE) / VLOOKUP("electricity|SO2|Asthma symptoms wheeze", US_national_yearly!$D:$AM, 10, FALSE), 1)</f>
        <v>1.6107056695746709</v>
      </c>
      <c r="W8" s="7">
        <f>$B8 * IFERROR(VLOOKUP("electricity|SO2|Asthma symptoms wheeze", US_national_yearly!$D:$AM, 31, FALSE) / VLOOKUP("electricity|SO2|Asthma symptoms wheeze", US_national_yearly!$D:$AM, 10, FALSE), 1)</f>
        <v>1.6107056695746709</v>
      </c>
      <c r="X8" s="7">
        <f>$B8 * IFERROR(VLOOKUP("electricity|SO2|Asthma symptoms wheeze", US_national_yearly!$D:$AM, 32, FALSE) / VLOOKUP("electricity|SO2|Asthma symptoms wheeze", US_national_yearly!$D:$AM, 10, FALSE), 1)</f>
        <v>1.6107056695746709</v>
      </c>
      <c r="Y8" s="7">
        <f>$B8 * IFERROR(VLOOKUP("electricity|SO2|Asthma symptoms wheeze", US_national_yearly!$D:$AM, 33, FALSE) / VLOOKUP("electricity|SO2|Asthma symptoms wheeze", US_national_yearly!$D:$AM, 10, FALSE), 1)</f>
        <v>1.6107056695746709</v>
      </c>
      <c r="Z8" s="7">
        <f>$B8 * IFERROR(VLOOKUP("electricity|SO2|Asthma symptoms wheeze", US_national_yearly!$D:$AM, 34, FALSE) / VLOOKUP("electricity|SO2|Asthma symptoms wheeze", US_national_yearly!$D:$AM, 10, FALSE), 1)</f>
        <v>1.6107056695746709</v>
      </c>
      <c r="AA8" s="7">
        <f>$B8 * IFERROR(VLOOKUP("electricity|SO2|Asthma symptoms wheeze", US_national_yearly!$D:$AM, 35, FALSE) / VLOOKUP("electricity|SO2|Asthma symptoms wheeze", US_national_yearly!$D:$AM, 10, FALSE), 1)</f>
        <v>1.6107056695746709</v>
      </c>
      <c r="AB8" s="7">
        <f>$B8 * IFERROR(VLOOKUP("electricity|SO2|Asthma symptoms wheeze", US_national_yearly!$D:$AM, 36, FALSE) / VLOOKUP("electricity|SO2|Asthma symptoms wheeze", US_national_yearly!$D:$AM, 10, FALSE), 1)</f>
        <v>1.6107056695746709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2.6575436951048744E-2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2.6731956466156521E-2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2.6888475981264304E-2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2.7044995496372081E-2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2.7201515011479865E-2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2.7372073632669788E-2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2.7542632253859719E-2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2.7706712140024715E-2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2.7870792026189719E-2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2.8034871912354719E-2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2.8198951798519716E-2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2.8363031684684719E-2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2.8480719689815599E-2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2.8598407694946485E-2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2.8716095700077365E-2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2.8833783705208244E-2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2.8951471710339131E-2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2.9062551863606359E-2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2.9173632016873594E-2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2.9284712170140826E-2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2.9395792323408061E-2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2.9506872476675296E-2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2.961343466030001E-2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2.9719996843924738E-2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2.9826559027549465E-2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2.9933121211174179E-2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3.0039683394798906E-2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0.16631053153882386</v>
      </c>
      <c r="C13" s="7">
        <f>$B13 * IFERROR(VLOOKUP("electricity|SO2|Non-fatal heart attacks", US_national_yearly!$D:$AM, 11, FALSE) / VLOOKUP("electricity|SO2|Non-fatal heart attacks", US_national_yearly!$D:$AM, 10, FALSE), 1)</f>
        <v>0.17120930296202927</v>
      </c>
      <c r="D13" s="7">
        <f>$B13 * IFERROR(VLOOKUP("electricity|SO2|Non-fatal heart attacks", US_national_yearly!$D:$AM, 12, FALSE) / VLOOKUP("electricity|SO2|Non-fatal heart attacks", US_national_yearly!$D:$AM, 10, FALSE), 1)</f>
        <v>0.1761080743852346</v>
      </c>
      <c r="E13" s="7">
        <f>$B13 * IFERROR(VLOOKUP("electricity|SO2|Non-fatal heart attacks", US_national_yearly!$D:$AM, 13, FALSE) / VLOOKUP("electricity|SO2|Non-fatal heart attacks", US_national_yearly!$D:$AM, 10, FALSE), 1)</f>
        <v>0.18100684580844001</v>
      </c>
      <c r="F13" s="7">
        <f>$B13 * IFERROR(VLOOKUP("electricity|SO2|Non-fatal heart attacks", US_national_yearly!$D:$AM, 14, FALSE) / VLOOKUP("electricity|SO2|Non-fatal heart attacks", US_national_yearly!$D:$AM, 10, FALSE), 1)</f>
        <v>0.18590561723164539</v>
      </c>
      <c r="G13" s="7">
        <f>$B13 * IFERROR(VLOOKUP("electricity|SO2|Non-fatal heart attacks", US_national_yearly!$D:$AM, 15, FALSE) / VLOOKUP("electricity|SO2|Non-fatal heart attacks", US_national_yearly!$D:$AM, 10, FALSE), 1)</f>
        <v>0.19055469829041824</v>
      </c>
      <c r="H13" s="7">
        <f>$B13 * IFERROR(VLOOKUP("electricity|SO2|Non-fatal heart attacks", US_national_yearly!$D:$AM, 16, FALSE) / VLOOKUP("electricity|SO2|Non-fatal heart attacks", US_national_yearly!$D:$AM, 10, FALSE), 1)</f>
        <v>0.19520377934919114</v>
      </c>
      <c r="I13" s="7">
        <f>$B13 * IFERROR(VLOOKUP("electricity|SO2|Non-fatal heart attacks", US_national_yearly!$D:$AM, 17, FALSE) / VLOOKUP("electricity|SO2|Non-fatal heart attacks", US_national_yearly!$D:$AM, 10, FALSE), 1)</f>
        <v>0.1989899237295043</v>
      </c>
      <c r="J13" s="7">
        <f>$B13 * IFERROR(VLOOKUP("electricity|SO2|Non-fatal heart attacks", US_national_yearly!$D:$AM, 18, FALSE) / VLOOKUP("electricity|SO2|Non-fatal heart attacks", US_national_yearly!$D:$AM, 10, FALSE), 1)</f>
        <v>0.20277606810981738</v>
      </c>
      <c r="K13" s="7">
        <f>$B13 * IFERROR(VLOOKUP("electricity|SO2|Non-fatal heart attacks", US_national_yearly!$D:$AM, 19, FALSE) / VLOOKUP("electricity|SO2|Non-fatal heart attacks", US_national_yearly!$D:$AM, 10, FALSE), 1)</f>
        <v>0.20656221249013051</v>
      </c>
      <c r="L13" s="7">
        <f>$B13 * IFERROR(VLOOKUP("electricity|SO2|Non-fatal heart attacks", US_national_yearly!$D:$AM, 20, FALSE) / VLOOKUP("electricity|SO2|Non-fatal heart attacks", US_national_yearly!$D:$AM, 10, FALSE), 1)</f>
        <v>0.21034835687044362</v>
      </c>
      <c r="M13" s="7">
        <f>$B13 * IFERROR(VLOOKUP("electricity|SO2|Non-fatal heart attacks", US_national_yearly!$D:$AM, 21, FALSE) / VLOOKUP("electricity|SO2|Non-fatal heart attacks", US_national_yearly!$D:$AM, 10, FALSE), 1)</f>
        <v>0.21413450125075675</v>
      </c>
      <c r="N13" s="7">
        <f>$B13 * IFERROR(VLOOKUP("electricity|SO2|Non-fatal heart attacks", US_national_yearly!$D:$AM, 22, FALSE) / VLOOKUP("electricity|SO2|Non-fatal heart attacks", US_national_yearly!$D:$AM, 10, FALSE), 1)</f>
        <v>0.21663128522377761</v>
      </c>
      <c r="O13" s="7">
        <f>$B13 * IFERROR(VLOOKUP("electricity|SO2|Non-fatal heart attacks", US_national_yearly!$D:$AM, 23, FALSE) / VLOOKUP("electricity|SO2|Non-fatal heart attacks", US_national_yearly!$D:$AM, 10, FALSE), 1)</f>
        <v>0.21912806919679848</v>
      </c>
      <c r="P13" s="7">
        <f>$B13 * IFERROR(VLOOKUP("electricity|SO2|Non-fatal heart attacks", US_national_yearly!$D:$AM, 24, FALSE) / VLOOKUP("electricity|SO2|Non-fatal heart attacks", US_national_yearly!$D:$AM, 10, FALSE), 1)</f>
        <v>0.22162485316981934</v>
      </c>
      <c r="Q13" s="7">
        <f>$B13 * IFERROR(VLOOKUP("electricity|SO2|Non-fatal heart attacks", US_national_yearly!$D:$AM, 25, FALSE) / VLOOKUP("electricity|SO2|Non-fatal heart attacks", US_national_yearly!$D:$AM, 10, FALSE), 1)</f>
        <v>0.2241216371428402</v>
      </c>
      <c r="R13" s="7">
        <f>$B13 * IFERROR(VLOOKUP("electricity|SO2|Non-fatal heart attacks", US_national_yearly!$D:$AM, 26, FALSE) / VLOOKUP("electricity|SO2|Non-fatal heart attacks", US_national_yearly!$D:$AM, 10, FALSE), 1)</f>
        <v>0.22661842111586109</v>
      </c>
      <c r="S13" s="7">
        <f>$B13 * IFERROR(VLOOKUP("electricity|SO2|Non-fatal heart attacks", US_national_yearly!$D:$AM, 27, FALSE) / VLOOKUP("electricity|SO2|Non-fatal heart attacks", US_national_yearly!$D:$AM, 10, FALSE), 1)</f>
        <v>0.2279771115379482</v>
      </c>
      <c r="T13" s="7">
        <f>$B13 * IFERROR(VLOOKUP("electricity|SO2|Non-fatal heart attacks", US_national_yearly!$D:$AM, 28, FALSE) / VLOOKUP("electricity|SO2|Non-fatal heart attacks", US_national_yearly!$D:$AM, 10, FALSE), 1)</f>
        <v>0.22933580196003536</v>
      </c>
      <c r="U13" s="7">
        <f>$B13 * IFERROR(VLOOKUP("electricity|SO2|Non-fatal heart attacks", US_national_yearly!$D:$AM, 29, FALSE) / VLOOKUP("electricity|SO2|Non-fatal heart attacks", US_national_yearly!$D:$AM, 10, FALSE), 1)</f>
        <v>0.23069449238212253</v>
      </c>
      <c r="V13" s="7">
        <f>$B13 * IFERROR(VLOOKUP("electricity|SO2|Non-fatal heart attacks", US_national_yearly!$D:$AM, 30, FALSE) / VLOOKUP("electricity|SO2|Non-fatal heart attacks", US_national_yearly!$D:$AM, 10, FALSE), 1)</f>
        <v>0.23205318280420961</v>
      </c>
      <c r="W13" s="7">
        <f>$B13 * IFERROR(VLOOKUP("electricity|SO2|Non-fatal heart attacks", US_national_yearly!$D:$AM, 31, FALSE) / VLOOKUP("electricity|SO2|Non-fatal heart attacks", US_national_yearly!$D:$AM, 10, FALSE), 1)</f>
        <v>0.23341187322629678</v>
      </c>
      <c r="X13" s="7">
        <f>$B13 * IFERROR(VLOOKUP("electricity|SO2|Non-fatal heart attacks", US_national_yearly!$D:$AM, 32, FALSE) / VLOOKUP("electricity|SO2|Non-fatal heart attacks", US_national_yearly!$D:$AM, 10, FALSE), 1)</f>
        <v>0.23445557429828109</v>
      </c>
      <c r="Y13" s="7">
        <f>$B13 * IFERROR(VLOOKUP("electricity|SO2|Non-fatal heart attacks", US_national_yearly!$D:$AM, 33, FALSE) / VLOOKUP("electricity|SO2|Non-fatal heart attacks", US_national_yearly!$D:$AM, 10, FALSE), 1)</f>
        <v>0.23549927537026544</v>
      </c>
      <c r="Z13" s="7">
        <f>$B13 * IFERROR(VLOOKUP("electricity|SO2|Non-fatal heart attacks", US_national_yearly!$D:$AM, 34, FALSE) / VLOOKUP("electricity|SO2|Non-fatal heart attacks", US_national_yearly!$D:$AM, 10, FALSE), 1)</f>
        <v>0.2365429764422497</v>
      </c>
      <c r="AA13" s="7">
        <f>$B13 * IFERROR(VLOOKUP("electricity|SO2|Non-fatal heart attacks", US_national_yearly!$D:$AM, 35, FALSE) / VLOOKUP("electricity|SO2|Non-fatal heart attacks", US_national_yearly!$D:$AM, 10, FALSE), 1)</f>
        <v>0.23758667751423401</v>
      </c>
      <c r="AB13" s="7">
        <f>$B13 * IFERROR(VLOOKUP("electricity|SO2|Non-fatal heart attacks", US_national_yearly!$D:$AM, 36, FALSE) / VLOOKUP("electricity|SO2|Non-fatal heart attacks", US_national_yearly!$D:$AM, 10, FALSE), 1)</f>
        <v>0.23863037858621833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108.68825379439411</v>
      </c>
      <c r="C14" s="7">
        <f>$B14 * IFERROR(VLOOKUP("electricity|SO2|Minor restricted activity days", US_national_yearly!$D:$AM, 11, FALSE) / VLOOKUP("electricity|SO2|Minor restricted activity days", US_national_yearly!$D:$AM, 10, FALSE), 1)</f>
        <v>108.96138217680917</v>
      </c>
      <c r="D14" s="7">
        <f>$B14 * IFERROR(VLOOKUP("electricity|SO2|Minor restricted activity days", US_national_yearly!$D:$AM, 12, FALSE) / VLOOKUP("electricity|SO2|Minor restricted activity days", US_national_yearly!$D:$AM, 10, FALSE), 1)</f>
        <v>109.23451055922422</v>
      </c>
      <c r="E14" s="7">
        <f>$B14 * IFERROR(VLOOKUP("electricity|SO2|Minor restricted activity days", US_national_yearly!$D:$AM, 13, FALSE) / VLOOKUP("electricity|SO2|Minor restricted activity days", US_national_yearly!$D:$AM, 10, FALSE), 1)</f>
        <v>109.5076389416393</v>
      </c>
      <c r="F14" s="7">
        <f>$B14 * IFERROR(VLOOKUP("electricity|SO2|Minor restricted activity days", US_national_yearly!$D:$AM, 14, FALSE) / VLOOKUP("electricity|SO2|Minor restricted activity days", US_national_yearly!$D:$AM, 10, FALSE), 1)</f>
        <v>109.78076732405432</v>
      </c>
      <c r="G14" s="7">
        <f>$B14 * IFERROR(VLOOKUP("electricity|SO2|Minor restricted activity days", US_national_yearly!$D:$AM, 15, FALSE) / VLOOKUP("electricity|SO2|Minor restricted activity days", US_national_yearly!$D:$AM, 10, FALSE), 1)</f>
        <v>110.17537878807232</v>
      </c>
      <c r="H14" s="7">
        <f>$B14 * IFERROR(VLOOKUP("electricity|SO2|Minor restricted activity days", US_national_yearly!$D:$AM, 16, FALSE) / VLOOKUP("electricity|SO2|Minor restricted activity days", US_national_yearly!$D:$AM, 10, FALSE), 1)</f>
        <v>110.56999025209034</v>
      </c>
      <c r="I14" s="7">
        <f>$B14 * IFERROR(VLOOKUP("electricity|SO2|Minor restricted activity days", US_national_yearly!$D:$AM, 17, FALSE) / VLOOKUP("electricity|SO2|Minor restricted activity days", US_national_yearly!$D:$AM, 10, FALSE), 1)</f>
        <v>111.24677929448571</v>
      </c>
      <c r="J14" s="7">
        <f>$B14 * IFERROR(VLOOKUP("electricity|SO2|Minor restricted activity days", US_national_yearly!$D:$AM, 18, FALSE) / VLOOKUP("electricity|SO2|Minor restricted activity days", US_national_yearly!$D:$AM, 10, FALSE), 1)</f>
        <v>111.92356833688112</v>
      </c>
      <c r="K14" s="7">
        <f>$B14 * IFERROR(VLOOKUP("electricity|SO2|Minor restricted activity days", US_national_yearly!$D:$AM, 19, FALSE) / VLOOKUP("electricity|SO2|Minor restricted activity days", US_national_yearly!$D:$AM, 10, FALSE), 1)</f>
        <v>112.60035737927649</v>
      </c>
      <c r="L14" s="7">
        <f>$B14 * IFERROR(VLOOKUP("electricity|SO2|Minor restricted activity days", US_national_yearly!$D:$AM, 20, FALSE) / VLOOKUP("electricity|SO2|Minor restricted activity days", US_national_yearly!$D:$AM, 10, FALSE), 1)</f>
        <v>113.27714642167192</v>
      </c>
      <c r="M14" s="7">
        <f>$B14 * IFERROR(VLOOKUP("electricity|SO2|Minor restricted activity days", US_national_yearly!$D:$AM, 21, FALSE) / VLOOKUP("electricity|SO2|Minor restricted activity days", US_national_yearly!$D:$AM, 10, FALSE), 1)</f>
        <v>113.9539354640673</v>
      </c>
      <c r="N14" s="7">
        <f>$B14 * IFERROR(VLOOKUP("electricity|SO2|Minor restricted activity days", US_national_yearly!$D:$AM, 22, FALSE) / VLOOKUP("electricity|SO2|Minor restricted activity days", US_national_yearly!$D:$AM, 10, FALSE), 1)</f>
        <v>114.88597173589289</v>
      </c>
      <c r="O14" s="7">
        <f>$B14 * IFERROR(VLOOKUP("electricity|SO2|Minor restricted activity days", US_national_yearly!$D:$AM, 23, FALSE) / VLOOKUP("electricity|SO2|Minor restricted activity days", US_national_yearly!$D:$AM, 10, FALSE), 1)</f>
        <v>115.81800800771846</v>
      </c>
      <c r="P14" s="7">
        <f>$B14 * IFERROR(VLOOKUP("electricity|SO2|Minor restricted activity days", US_national_yearly!$D:$AM, 24, FALSE) / VLOOKUP("electricity|SO2|Minor restricted activity days", US_national_yearly!$D:$AM, 10, FALSE), 1)</f>
        <v>116.75004427954404</v>
      </c>
      <c r="Q14" s="7">
        <f>$B14 * IFERROR(VLOOKUP("electricity|SO2|Minor restricted activity days", US_national_yearly!$D:$AM, 25, FALSE) / VLOOKUP("electricity|SO2|Minor restricted activity days", US_national_yearly!$D:$AM, 10, FALSE), 1)</f>
        <v>117.68208055136964</v>
      </c>
      <c r="R14" s="7">
        <f>$B14 * IFERROR(VLOOKUP("electricity|SO2|Minor restricted activity days", US_national_yearly!$D:$AM, 26, FALSE) / VLOOKUP("electricity|SO2|Minor restricted activity days", US_national_yearly!$D:$AM, 10, FALSE), 1)</f>
        <v>118.6141168231952</v>
      </c>
      <c r="S14" s="7">
        <f>$B14 * IFERROR(VLOOKUP("electricity|SO2|Minor restricted activity days", US_national_yearly!$D:$AM, 27, FALSE) / VLOOKUP("electricity|SO2|Minor restricted activity days", US_national_yearly!$D:$AM, 10, FALSE), 1)</f>
        <v>119.56960094535218</v>
      </c>
      <c r="T14" s="7">
        <f>$B14 * IFERROR(VLOOKUP("electricity|SO2|Minor restricted activity days", US_national_yearly!$D:$AM, 28, FALSE) / VLOOKUP("electricity|SO2|Minor restricted activity days", US_national_yearly!$D:$AM, 10, FALSE), 1)</f>
        <v>120.52508506750915</v>
      </c>
      <c r="U14" s="7">
        <f>$B14 * IFERROR(VLOOKUP("electricity|SO2|Minor restricted activity days", US_national_yearly!$D:$AM, 29, FALSE) / VLOOKUP("electricity|SO2|Minor restricted activity days", US_national_yearly!$D:$AM, 10, FALSE), 1)</f>
        <v>121.4805691896661</v>
      </c>
      <c r="V14" s="7">
        <f>$B14 * IFERROR(VLOOKUP("electricity|SO2|Minor restricted activity days", US_national_yearly!$D:$AM, 30, FALSE) / VLOOKUP("electricity|SO2|Minor restricted activity days", US_national_yearly!$D:$AM, 10, FALSE), 1)</f>
        <v>122.43605331182306</v>
      </c>
      <c r="W14" s="7">
        <f>$B14 * IFERROR(VLOOKUP("electricity|SO2|Minor restricted activity days", US_national_yearly!$D:$AM, 31, FALSE) / VLOOKUP("electricity|SO2|Minor restricted activity days", US_national_yearly!$D:$AM, 10, FALSE), 1)</f>
        <v>123.39153743398003</v>
      </c>
      <c r="X14" s="7">
        <f>$B14 * IFERROR(VLOOKUP("electricity|SO2|Minor restricted activity days", US_national_yearly!$D:$AM, 32, FALSE) / VLOOKUP("electricity|SO2|Minor restricted activity days", US_national_yearly!$D:$AM, 10, FALSE), 1)</f>
        <v>124.23225874286362</v>
      </c>
      <c r="Y14" s="7">
        <f>$B14 * IFERROR(VLOOKUP("electricity|SO2|Minor restricted activity days", US_national_yearly!$D:$AM, 33, FALSE) / VLOOKUP("electricity|SO2|Minor restricted activity days", US_national_yearly!$D:$AM, 10, FALSE), 1)</f>
        <v>125.07298005174718</v>
      </c>
      <c r="Z14" s="7">
        <f>$B14 * IFERROR(VLOOKUP("electricity|SO2|Minor restricted activity days", US_national_yearly!$D:$AM, 34, FALSE) / VLOOKUP("electricity|SO2|Minor restricted activity days", US_national_yearly!$D:$AM, 10, FALSE), 1)</f>
        <v>125.91370136063074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126.75442266951433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127.5951439783979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18.439337090282731</v>
      </c>
      <c r="C15" s="7">
        <f>$B15 * IFERROR(VLOOKUP("electricity|SO2|Work loss days", US_national_yearly!$D:$AM, 11, FALSE) / VLOOKUP("electricity|SO2|Work loss days", US_national_yearly!$D:$AM, 10, FALSE), 1)</f>
        <v>18.499044221445111</v>
      </c>
      <c r="D15" s="7">
        <f>$B15 * IFERROR(VLOOKUP("electricity|SO2|Work loss days", US_national_yearly!$D:$AM, 12, FALSE) / VLOOKUP("electricity|SO2|Work loss days", US_national_yearly!$D:$AM, 10, FALSE), 1)</f>
        <v>18.558751352607491</v>
      </c>
      <c r="E15" s="7">
        <f>$B15 * IFERROR(VLOOKUP("electricity|SO2|Work loss days", US_national_yearly!$D:$AM, 13, FALSE) / VLOOKUP("electricity|SO2|Work loss days", US_national_yearly!$D:$AM, 10, FALSE), 1)</f>
        <v>18.618458483769874</v>
      </c>
      <c r="F15" s="7">
        <f>$B15 * IFERROR(VLOOKUP("electricity|SO2|Work loss days", US_national_yearly!$D:$AM, 14, FALSE) / VLOOKUP("electricity|SO2|Work loss days", US_national_yearly!$D:$AM, 10, FALSE), 1)</f>
        <v>18.678165614932251</v>
      </c>
      <c r="G15" s="7">
        <f>$B15 * IFERROR(VLOOKUP("electricity|SO2|Work loss days", US_national_yearly!$D:$AM, 15, FALSE) / VLOOKUP("electricity|SO2|Work loss days", US_national_yearly!$D:$AM, 10, FALSE), 1)</f>
        <v>18.75465414964086</v>
      </c>
      <c r="H15" s="7">
        <f>$B15 * IFERROR(VLOOKUP("electricity|SO2|Work loss days", US_national_yearly!$D:$AM, 16, FALSE) / VLOOKUP("electricity|SO2|Work loss days", US_national_yearly!$D:$AM, 10, FALSE), 1)</f>
        <v>18.831142684349466</v>
      </c>
      <c r="I15" s="7">
        <f>$B15 * IFERROR(VLOOKUP("electricity|SO2|Work loss days", US_national_yearly!$D:$AM, 17, FALSE) / VLOOKUP("electricity|SO2|Work loss days", US_national_yearly!$D:$AM, 10, FALSE), 1)</f>
        <v>18.943054407902512</v>
      </c>
      <c r="J15" s="7">
        <f>$B15 * IFERROR(VLOOKUP("electricity|SO2|Work loss days", US_national_yearly!$D:$AM, 18, FALSE) / VLOOKUP("electricity|SO2|Work loss days", US_national_yearly!$D:$AM, 10, FALSE), 1)</f>
        <v>19.054966131455551</v>
      </c>
      <c r="K15" s="7">
        <f>$B15 * IFERROR(VLOOKUP("electricity|SO2|Work loss days", US_national_yearly!$D:$AM, 19, FALSE) / VLOOKUP("electricity|SO2|Work loss days", US_national_yearly!$D:$AM, 10, FALSE), 1)</f>
        <v>19.166877855008597</v>
      </c>
      <c r="L15" s="7">
        <f>$B15 * IFERROR(VLOOKUP("electricity|SO2|Work loss days", US_national_yearly!$D:$AM, 20, FALSE) / VLOOKUP("electricity|SO2|Work loss days", US_national_yearly!$D:$AM, 10, FALSE), 1)</f>
        <v>19.278789578561636</v>
      </c>
      <c r="M15" s="7">
        <f>$B15 * IFERROR(VLOOKUP("electricity|SO2|Work loss days", US_national_yearly!$D:$AM, 21, FALSE) / VLOOKUP("electricity|SO2|Work loss days", US_national_yearly!$D:$AM, 10, FALSE), 1)</f>
        <v>19.390701302114685</v>
      </c>
      <c r="N15" s="7">
        <f>$B15 * IFERROR(VLOOKUP("electricity|SO2|Work loss days", US_national_yearly!$D:$AM, 22, FALSE) / VLOOKUP("electricity|SO2|Work loss days", US_national_yearly!$D:$AM, 10, FALSE), 1)</f>
        <v>19.532297464210426</v>
      </c>
      <c r="O15" s="7">
        <f>$B15 * IFERROR(VLOOKUP("electricity|SO2|Work loss days", US_national_yearly!$D:$AM, 23, FALSE) / VLOOKUP("electricity|SO2|Work loss days", US_national_yearly!$D:$AM, 10, FALSE), 1)</f>
        <v>19.673893626306175</v>
      </c>
      <c r="P15" s="7">
        <f>$B15 * IFERROR(VLOOKUP("electricity|SO2|Work loss days", US_national_yearly!$D:$AM, 24, FALSE) / VLOOKUP("electricity|SO2|Work loss days", US_national_yearly!$D:$AM, 10, FALSE), 1)</f>
        <v>19.815489788401923</v>
      </c>
      <c r="Q15" s="7">
        <f>$B15 * IFERROR(VLOOKUP("electricity|SO2|Work loss days", US_national_yearly!$D:$AM, 25, FALSE) / VLOOKUP("electricity|SO2|Work loss days", US_national_yearly!$D:$AM, 10, FALSE), 1)</f>
        <v>19.957085950497664</v>
      </c>
      <c r="R15" s="7">
        <f>$B15 * IFERROR(VLOOKUP("electricity|SO2|Work loss days", US_national_yearly!$D:$AM, 26, FALSE) / VLOOKUP("electricity|SO2|Work loss days", US_national_yearly!$D:$AM, 10, FALSE), 1)</f>
        <v>20.098682112593412</v>
      </c>
      <c r="S15" s="7">
        <f>$B15 * IFERROR(VLOOKUP("electricity|SO2|Work loss days", US_national_yearly!$D:$AM, 27, FALSE) / VLOOKUP("electricity|SO2|Work loss days", US_national_yearly!$D:$AM, 10, FALSE), 1)</f>
        <v>20.257424623640762</v>
      </c>
      <c r="T15" s="7">
        <f>$B15 * IFERROR(VLOOKUP("electricity|SO2|Work loss days", US_national_yearly!$D:$AM, 28, FALSE) / VLOOKUP("electricity|SO2|Work loss days", US_national_yearly!$D:$AM, 10, FALSE), 1)</f>
        <v>20.41616713468812</v>
      </c>
      <c r="U15" s="7">
        <f>$B15 * IFERROR(VLOOKUP("electricity|SO2|Work loss days", US_national_yearly!$D:$AM, 29, FALSE) / VLOOKUP("electricity|SO2|Work loss days", US_national_yearly!$D:$AM, 10, FALSE), 1)</f>
        <v>20.574909645735474</v>
      </c>
      <c r="V15" s="7">
        <f>$B15 * IFERROR(VLOOKUP("electricity|SO2|Work loss days", US_national_yearly!$D:$AM, 30, FALSE) / VLOOKUP("electricity|SO2|Work loss days", US_national_yearly!$D:$AM, 10, FALSE), 1)</f>
        <v>20.733652156782831</v>
      </c>
      <c r="W15" s="7">
        <f>$B15 * IFERROR(VLOOKUP("electricity|SO2|Work loss days", US_national_yearly!$D:$AM, 31, FALSE) / VLOOKUP("electricity|SO2|Work loss days", US_national_yearly!$D:$AM, 10, FALSE), 1)</f>
        <v>20.892394667830185</v>
      </c>
      <c r="X15" s="7">
        <f>$B15 * IFERROR(VLOOKUP("electricity|SO2|Work loss days", US_national_yearly!$D:$AM, 32, FALSE) / VLOOKUP("electricity|SO2|Work loss days", US_national_yearly!$D:$AM, 10, FALSE), 1)</f>
        <v>21.035405969717107</v>
      </c>
      <c r="Y15" s="7">
        <f>$B15 * IFERROR(VLOOKUP("electricity|SO2|Work loss days", US_national_yearly!$D:$AM, 33, FALSE) / VLOOKUP("electricity|SO2|Work loss days", US_national_yearly!$D:$AM, 10, FALSE), 1)</f>
        <v>21.17841727160403</v>
      </c>
      <c r="Z15" s="7">
        <f>$B15 * IFERROR(VLOOKUP("electricity|SO2|Work loss days", US_national_yearly!$D:$AM, 34, FALSE) / VLOOKUP("electricity|SO2|Work loss days", US_national_yearly!$D:$AM, 10, FALSE), 1)</f>
        <v>21.321428573490948</v>
      </c>
      <c r="AA15" s="7">
        <f>$B15 * IFERROR(VLOOKUP("electricity|SO2|Work loss days", US_national_yearly!$D:$AM, 35, FALSE) / VLOOKUP("electricity|SO2|Work loss days", US_national_yearly!$D:$AM, 10, FALSE), 1)</f>
        <v>21.46443987537787</v>
      </c>
      <c r="AB15" s="7">
        <f>$B15 * IFERROR(VLOOKUP("electricity|SO2|Work loss days", US_national_yearly!$D:$AM, 36, FALSE) / VLOOKUP("electricity|SO2|Work loss days", US_national_yearly!$D:$AM, 10, FALSE), 1)</f>
        <v>21.607451177264796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3.8003723841641912E-2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3.9155342317631459E-2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4.0306960793621012E-2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4.1458579269610565E-2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4.2610197745600119E-2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4.3720284573540109E-2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4.4830371401480107E-2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4.5791418571340767E-2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4.6752465741201427E-2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4.7713512911062086E-2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4.8674560080922739E-2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4.9635607250783399E-2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5.0291519381949701E-2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5.0947431513115995E-2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5.1603343644282318E-2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5.2259255775448613E-2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5.2915167906614921E-2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5.3274750952815815E-2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5.3634333999016709E-2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5.3993917045217603E-2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5.4353500091418497E-2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5.4713083137619384E-2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5.4961298935053506E-2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5.52095147324876E-2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5.5457730529921714E-2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5.5705946327355822E-2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5.595416212478993E-2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2.7775202135314744E-2</v>
      </c>
      <c r="C2" s="7">
        <f>$B2 * IFERROR(VLOOKUP("buildings|PM25|Premature mortality", US_national_yearly!$D:$AM, 11, FALSE) / VLOOKUP("buildings|PM25|Premature mortality", US_national_yearly!$D:$AM, 10, FALSE), 1)</f>
        <v>2.8119803191405588E-2</v>
      </c>
      <c r="D2" s="7">
        <f>$B2 * IFERROR(VLOOKUP("buildings|PM25|Premature mortality", US_national_yearly!$D:$AM, 12, FALSE) / VLOOKUP("buildings|PM25|Premature mortality", US_national_yearly!$D:$AM, 10, FALSE), 1)</f>
        <v>2.8464404247496432E-2</v>
      </c>
      <c r="E2" s="7">
        <f>$B2 * IFERROR(VLOOKUP("buildings|PM25|Premature mortality", US_national_yearly!$D:$AM, 13, FALSE) / VLOOKUP("buildings|PM25|Premature mortality", US_national_yearly!$D:$AM, 10, FALSE), 1)</f>
        <v>2.8809005303587279E-2</v>
      </c>
      <c r="F2" s="7">
        <f>$B2 * IFERROR(VLOOKUP("buildings|PM25|Premature mortality", US_national_yearly!$D:$AM, 14, FALSE) / VLOOKUP("buildings|PM25|Premature mortality", US_national_yearly!$D:$AM, 10, FALSE), 1)</f>
        <v>2.9153606359678123E-2</v>
      </c>
      <c r="G2" s="7">
        <f>$B2 * IFERROR(VLOOKUP("buildings|PM25|Premature mortality", US_national_yearly!$D:$AM, 15, FALSE) / VLOOKUP("buildings|PM25|Premature mortality", US_national_yearly!$D:$AM, 10, FALSE), 1)</f>
        <v>2.9824615283596666E-2</v>
      </c>
      <c r="H2" s="7">
        <f>$B2 * IFERROR(VLOOKUP("buildings|PM25|Premature mortality", US_national_yearly!$D:$AM, 16, FALSE) / VLOOKUP("buildings|PM25|Premature mortality", US_national_yearly!$D:$AM, 10, FALSE), 1)</f>
        <v>3.0495624207515209E-2</v>
      </c>
      <c r="I2" s="7">
        <f>$B2 * IFERROR(VLOOKUP("buildings|PM25|Premature mortality", US_national_yearly!$D:$AM, 17, FALSE) / VLOOKUP("buildings|PM25|Premature mortality", US_national_yearly!$D:$AM, 10, FALSE), 1)</f>
        <v>3.0936935219294883E-2</v>
      </c>
      <c r="J2" s="7">
        <f>$B2 * IFERROR(VLOOKUP("buildings|PM25|Premature mortality", US_national_yearly!$D:$AM, 18, FALSE) / VLOOKUP("buildings|PM25|Premature mortality", US_national_yearly!$D:$AM, 10, FALSE), 1)</f>
        <v>3.1378246231074561E-2</v>
      </c>
      <c r="K2" s="7">
        <f>$B2 * IFERROR(VLOOKUP("buildings|PM25|Premature mortality", US_national_yearly!$D:$AM, 19, FALSE) / VLOOKUP("buildings|PM25|Premature mortality", US_national_yearly!$D:$AM, 10, FALSE), 1)</f>
        <v>3.1819557242854235E-2</v>
      </c>
      <c r="L2" s="7">
        <f>$B2 * IFERROR(VLOOKUP("buildings|PM25|Premature mortality", US_national_yearly!$D:$AM, 20, FALSE) / VLOOKUP("buildings|PM25|Premature mortality", US_national_yearly!$D:$AM, 10, FALSE), 1)</f>
        <v>3.2260868254633909E-2</v>
      </c>
      <c r="M2" s="7">
        <f>$B2 * IFERROR(VLOOKUP("buildings|PM25|Premature mortality", US_national_yearly!$D:$AM, 21, FALSE) / VLOOKUP("buildings|PM25|Premature mortality", US_national_yearly!$D:$AM, 10, FALSE), 1)</f>
        <v>3.2702179266413584E-2</v>
      </c>
      <c r="N2" s="7">
        <f>$B2 * IFERROR(VLOOKUP("buildings|PM25|Premature mortality", US_national_yearly!$D:$AM, 22, FALSE) / VLOOKUP("buildings|PM25|Premature mortality", US_national_yearly!$D:$AM, 10, FALSE), 1)</f>
        <v>3.3045347626177862E-2</v>
      </c>
      <c r="O2" s="7">
        <f>$B2 * IFERROR(VLOOKUP("buildings|PM25|Premature mortality", US_national_yearly!$D:$AM, 23, FALSE) / VLOOKUP("buildings|PM25|Premature mortality", US_national_yearly!$D:$AM, 10, FALSE), 1)</f>
        <v>3.3388515985942148E-2</v>
      </c>
      <c r="P2" s="7">
        <f>$B2 * IFERROR(VLOOKUP("buildings|PM25|Premature mortality", US_national_yearly!$D:$AM, 24, FALSE) / VLOOKUP("buildings|PM25|Premature mortality", US_national_yearly!$D:$AM, 10, FALSE), 1)</f>
        <v>3.3731684345706434E-2</v>
      </c>
      <c r="Q2" s="7">
        <f>$B2 * IFERROR(VLOOKUP("buildings|PM25|Premature mortality", US_national_yearly!$D:$AM, 25, FALSE) / VLOOKUP("buildings|PM25|Premature mortality", US_national_yearly!$D:$AM, 10, FALSE), 1)</f>
        <v>3.4074852705470726E-2</v>
      </c>
      <c r="R2" s="7">
        <f>$B2 * IFERROR(VLOOKUP("buildings|PM25|Premature mortality", US_national_yearly!$D:$AM, 26, FALSE) / VLOOKUP("buildings|PM25|Premature mortality", US_national_yearly!$D:$AM, 10, FALSE), 1)</f>
        <v>3.4418021065235005E-2</v>
      </c>
      <c r="S2" s="7">
        <f>$B2 * IFERROR(VLOOKUP("buildings|PM25|Premature mortality", US_national_yearly!$D:$AM, 27, FALSE) / VLOOKUP("buildings|PM25|Premature mortality", US_national_yearly!$D:$AM, 10, FALSE), 1)</f>
        <v>3.4600418457099089E-2</v>
      </c>
      <c r="T2" s="7">
        <f>$B2 * IFERROR(VLOOKUP("buildings|PM25|Premature mortality", US_national_yearly!$D:$AM, 28, FALSE) / VLOOKUP("buildings|PM25|Premature mortality", US_national_yearly!$D:$AM, 10, FALSE), 1)</f>
        <v>3.4782815848963179E-2</v>
      </c>
      <c r="U2" s="7">
        <f>$B2 * IFERROR(VLOOKUP("buildings|PM25|Premature mortality", US_national_yearly!$D:$AM, 29, FALSE) / VLOOKUP("buildings|PM25|Premature mortality", US_national_yearly!$D:$AM, 10, FALSE), 1)</f>
        <v>3.496521324082727E-2</v>
      </c>
      <c r="V2" s="7">
        <f>$B2 * IFERROR(VLOOKUP("buildings|PM25|Premature mortality", US_national_yearly!$D:$AM, 30, FALSE) / VLOOKUP("buildings|PM25|Premature mortality", US_national_yearly!$D:$AM, 10, FALSE), 1)</f>
        <v>3.5147610632691367E-2</v>
      </c>
      <c r="W2" s="7">
        <f>$B2 * IFERROR(VLOOKUP("buildings|PM25|Premature mortality", US_national_yearly!$D:$AM, 31, FALSE) / VLOOKUP("buildings|PM25|Premature mortality", US_national_yearly!$D:$AM, 10, FALSE), 1)</f>
        <v>3.5330008024555451E-2</v>
      </c>
      <c r="X2" s="7">
        <f>$B2 * IFERROR(VLOOKUP("buildings|PM25|Premature mortality", US_national_yearly!$D:$AM, 32, FALSE) / VLOOKUP("buildings|PM25|Premature mortality", US_national_yearly!$D:$AM, 10, FALSE), 1)</f>
        <v>3.5362746892078641E-2</v>
      </c>
      <c r="Y2" s="7">
        <f>$B2 * IFERROR(VLOOKUP("buildings|PM25|Premature mortality", US_national_yearly!$D:$AM, 33, FALSE) / VLOOKUP("buildings|PM25|Premature mortality", US_national_yearly!$D:$AM, 10, FALSE), 1)</f>
        <v>3.5395485759601823E-2</v>
      </c>
      <c r="Z2" s="7">
        <f>$B2 * IFERROR(VLOOKUP("buildings|PM25|Premature mortality", US_national_yearly!$D:$AM, 34, FALSE) / VLOOKUP("buildings|PM25|Premature mortality", US_national_yearly!$D:$AM, 10, FALSE), 1)</f>
        <v>3.542822462712502E-2</v>
      </c>
      <c r="AA2" s="7">
        <f>$B2 * IFERROR(VLOOKUP("buildings|PM25|Premature mortality", US_national_yearly!$D:$AM, 35, FALSE) / VLOOKUP("buildings|PM25|Premature mortality", US_national_yearly!$D:$AM, 10, FALSE), 1)</f>
        <v>3.5460963494648209E-2</v>
      </c>
      <c r="AB2" s="7">
        <f>$B2 * IFERROR(VLOOKUP("buildings|PM25|Premature mortality", US_national_yearly!$D:$AM, 36, FALSE) / VLOOKUP("buildings|PM25|Premature mortality", US_national_yearly!$D:$AM, 10, FALSE), 1)</f>
        <v>3.5493702362171392E-2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5.4959327803391683E-5</v>
      </c>
      <c r="C3" s="7">
        <f>$B3 * IFERROR(VLOOKUP("buildings|PM25|Infant mortality", US_national_yearly!$D:$AM, 11, FALSE) / VLOOKUP("buildings|PM25|Infant mortality", US_national_yearly!$D:$AM, 10, FALSE), 1)</f>
        <v>5.4483291119560282E-5</v>
      </c>
      <c r="D3" s="7">
        <f>$B3 * IFERROR(VLOOKUP("buildings|PM25|Infant mortality", US_national_yearly!$D:$AM, 12, FALSE) / VLOOKUP("buildings|PM25|Infant mortality", US_national_yearly!$D:$AM, 10, FALSE), 1)</f>
        <v>5.4007254435728888E-5</v>
      </c>
      <c r="E3" s="7">
        <f>$B3 * IFERROR(VLOOKUP("buildings|PM25|Infant mortality", US_national_yearly!$D:$AM, 13, FALSE) / VLOOKUP("buildings|PM25|Infant mortality", US_national_yearly!$D:$AM, 10, FALSE), 1)</f>
        <v>5.3531217751897486E-5</v>
      </c>
      <c r="F3" s="7">
        <f>$B3 * IFERROR(VLOOKUP("buildings|PM25|Infant mortality", US_national_yearly!$D:$AM, 14, FALSE) / VLOOKUP("buildings|PM25|Infant mortality", US_national_yearly!$D:$AM, 10, FALSE), 1)</f>
        <v>5.3055181068066098E-5</v>
      </c>
      <c r="G3" s="7">
        <f>$B3 * IFERROR(VLOOKUP("buildings|PM25|Infant mortality", US_national_yearly!$D:$AM, 15, FALSE) / VLOOKUP("buildings|PM25|Infant mortality", US_national_yearly!$D:$AM, 10, FALSE), 1)</f>
        <v>3.5279770612053545E-5</v>
      </c>
      <c r="H3" s="7">
        <f>$B3 * IFERROR(VLOOKUP("buildings|PM25|Infant mortality", US_national_yearly!$D:$AM, 16, FALSE) / VLOOKUP("buildings|PM25|Infant mortality", US_national_yearly!$D:$AM, 10, FALSE), 1)</f>
        <v>1.7504360156040994E-5</v>
      </c>
      <c r="I3" s="7">
        <f>$B3 * IFERROR(VLOOKUP("buildings|PM25|Infant mortality", US_national_yearly!$D:$AM, 17, FALSE) / VLOOKUP("buildings|PM25|Infant mortality", US_national_yearly!$D:$AM, 10, FALSE), 1)</f>
        <v>1.7390294644955981E-5</v>
      </c>
      <c r="J3" s="7">
        <f>$B3 * IFERROR(VLOOKUP("buildings|PM25|Infant mortality", US_national_yearly!$D:$AM, 18, FALSE) / VLOOKUP("buildings|PM25|Infant mortality", US_national_yearly!$D:$AM, 10, FALSE), 1)</f>
        <v>1.7276229133870967E-5</v>
      </c>
      <c r="K3" s="7">
        <f>$B3 * IFERROR(VLOOKUP("buildings|PM25|Infant mortality", US_national_yearly!$D:$AM, 19, FALSE) / VLOOKUP("buildings|PM25|Infant mortality", US_national_yearly!$D:$AM, 10, FALSE), 1)</f>
        <v>1.7162163622785954E-5</v>
      </c>
      <c r="L3" s="7">
        <f>$B3 * IFERROR(VLOOKUP("buildings|PM25|Infant mortality", US_national_yearly!$D:$AM, 20, FALSE) / VLOOKUP("buildings|PM25|Infant mortality", US_national_yearly!$D:$AM, 10, FALSE), 1)</f>
        <v>1.704809811170094E-5</v>
      </c>
      <c r="M3" s="7">
        <f>$B3 * IFERROR(VLOOKUP("buildings|PM25|Infant mortality", US_national_yearly!$D:$AM, 21, FALSE) / VLOOKUP("buildings|PM25|Infant mortality", US_national_yearly!$D:$AM, 10, FALSE), 1)</f>
        <v>1.6934032600615926E-5</v>
      </c>
      <c r="N3" s="7">
        <f>$B3 * IFERROR(VLOOKUP("buildings|PM25|Infant mortality", US_national_yearly!$D:$AM, 22, FALSE) / VLOOKUP("buildings|PM25|Infant mortality", US_national_yearly!$D:$AM, 10, FALSE), 1)</f>
        <v>1.6862662299856785E-5</v>
      </c>
      <c r="O3" s="7">
        <f>$B3 * IFERROR(VLOOKUP("buildings|PM25|Infant mortality", US_national_yearly!$D:$AM, 23, FALSE) / VLOOKUP("buildings|PM25|Infant mortality", US_national_yearly!$D:$AM, 10, FALSE), 1)</f>
        <v>1.6791291999097647E-5</v>
      </c>
      <c r="P3" s="7">
        <f>$B3 * IFERROR(VLOOKUP("buildings|PM25|Infant mortality", US_national_yearly!$D:$AM, 24, FALSE) / VLOOKUP("buildings|PM25|Infant mortality", US_national_yearly!$D:$AM, 10, FALSE), 1)</f>
        <v>1.6719921698338509E-5</v>
      </c>
      <c r="Q3" s="7">
        <f>$B3 * IFERROR(VLOOKUP("buildings|PM25|Infant mortality", US_national_yearly!$D:$AM, 25, FALSE) / VLOOKUP("buildings|PM25|Infant mortality", US_national_yearly!$D:$AM, 10, FALSE), 1)</f>
        <v>1.6648551397579367E-5</v>
      </c>
      <c r="R3" s="7">
        <f>$B3 * IFERROR(VLOOKUP("buildings|PM25|Infant mortality", US_national_yearly!$D:$AM, 26, FALSE) / VLOOKUP("buildings|PM25|Infant mortality", US_national_yearly!$D:$AM, 10, FALSE), 1)</f>
        <v>1.6577181096820229E-5</v>
      </c>
      <c r="S3" s="7">
        <f>$B3 * IFERROR(VLOOKUP("buildings|PM25|Infant mortality", US_national_yearly!$D:$AM, 27, FALSE) / VLOOKUP("buildings|PM25|Infant mortality", US_national_yearly!$D:$AM, 10, FALSE), 1)</f>
        <v>1.6488070368716295E-5</v>
      </c>
      <c r="T3" s="7">
        <f>$B3 * IFERROR(VLOOKUP("buildings|PM25|Infant mortality", US_national_yearly!$D:$AM, 28, FALSE) / VLOOKUP("buildings|PM25|Infant mortality", US_national_yearly!$D:$AM, 10, FALSE), 1)</f>
        <v>1.6398959640612364E-5</v>
      </c>
      <c r="U3" s="7">
        <f>$B3 * IFERROR(VLOOKUP("buildings|PM25|Infant mortality", US_national_yearly!$D:$AM, 29, FALSE) / VLOOKUP("buildings|PM25|Infant mortality", US_national_yearly!$D:$AM, 10, FALSE), 1)</f>
        <v>1.630984891250843E-5</v>
      </c>
      <c r="V3" s="7">
        <f>$B3 * IFERROR(VLOOKUP("buildings|PM25|Infant mortality", US_national_yearly!$D:$AM, 30, FALSE) / VLOOKUP("buildings|PM25|Infant mortality", US_national_yearly!$D:$AM, 10, FALSE), 1)</f>
        <v>1.62207381844045E-5</v>
      </c>
      <c r="W3" s="7">
        <f>$B3 * IFERROR(VLOOKUP("buildings|PM25|Infant mortality", US_national_yearly!$D:$AM, 31, FALSE) / VLOOKUP("buildings|PM25|Infant mortality", US_national_yearly!$D:$AM, 10, FALSE), 1)</f>
        <v>1.6131627456300566E-5</v>
      </c>
      <c r="X3" s="7">
        <f>$B3 * IFERROR(VLOOKUP("buildings|PM25|Infant mortality", US_national_yearly!$D:$AM, 32, FALSE) / VLOOKUP("buildings|PM25|Infant mortality", US_national_yearly!$D:$AM, 10, FALSE), 1)</f>
        <v>1.6035688284148868E-5</v>
      </c>
      <c r="Y3" s="7">
        <f>$B3 * IFERROR(VLOOKUP("buildings|PM25|Infant mortality", US_national_yearly!$D:$AM, 33, FALSE) / VLOOKUP("buildings|PM25|Infant mortality", US_national_yearly!$D:$AM, 10, FALSE), 1)</f>
        <v>1.5939749111997173E-5</v>
      </c>
      <c r="Z3" s="7">
        <f>$B3 * IFERROR(VLOOKUP("buildings|PM25|Infant mortality", US_national_yearly!$D:$AM, 34, FALSE) / VLOOKUP("buildings|PM25|Infant mortality", US_national_yearly!$D:$AM, 10, FALSE), 1)</f>
        <v>1.5843809939845478E-5</v>
      </c>
      <c r="AA3" s="7">
        <f>$B3 * IFERROR(VLOOKUP("buildings|PM25|Infant mortality", US_national_yearly!$D:$AM, 35, FALSE) / VLOOKUP("buildings|PM25|Infant mortality", US_national_yearly!$D:$AM, 10, FALSE), 1)</f>
        <v>1.574787076769378E-5</v>
      </c>
      <c r="AB3" s="7">
        <f>$B3 * IFERROR(VLOOKUP("buildings|PM25|Infant mortality", US_national_yearly!$D:$AM, 36, FALSE) / VLOOKUP("buildings|PM25|Infant mortality", US_national_yearly!$D:$AM, 10, FALSE), 1)</f>
        <v>1.5651931595542085E-5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5.8418780214403769E-2</v>
      </c>
      <c r="C6" s="7">
        <f>$B6 * IFERROR(VLOOKUP("buildings|PM25|Asthma symptoms cough", US_national_yearly!$D:$AM, 11, FALSE) / VLOOKUP("buildings|PM25|Asthma symptoms cough", US_national_yearly!$D:$AM, 10, FALSE), 1)</f>
        <v>5.8418780214403769E-2</v>
      </c>
      <c r="D6" s="7">
        <f>$B6 * IFERROR(VLOOKUP("buildings|PM25|Asthma symptoms cough", US_national_yearly!$D:$AM, 12, FALSE) / VLOOKUP("buildings|PM25|Asthma symptoms cough", US_national_yearly!$D:$AM, 10, FALSE), 1)</f>
        <v>5.8418780214403769E-2</v>
      </c>
      <c r="E6" s="7">
        <f>$B6 * IFERROR(VLOOKUP("buildings|PM25|Asthma symptoms cough", US_national_yearly!$D:$AM, 13, FALSE) / VLOOKUP("buildings|PM25|Asthma symptoms cough", US_national_yearly!$D:$AM, 10, FALSE), 1)</f>
        <v>5.8418780214403769E-2</v>
      </c>
      <c r="F6" s="7">
        <f>$B6 * IFERROR(VLOOKUP("buildings|PM25|Asthma symptoms cough", US_national_yearly!$D:$AM, 14, FALSE) / VLOOKUP("buildings|PM25|Asthma symptoms cough", US_national_yearly!$D:$AM, 10, FALSE), 1)</f>
        <v>5.8418780214403769E-2</v>
      </c>
      <c r="G6" s="7">
        <f>$B6 * IFERROR(VLOOKUP("buildings|PM25|Asthma symptoms cough", US_national_yearly!$D:$AM, 15, FALSE) / VLOOKUP("buildings|PM25|Asthma symptoms cough", US_national_yearly!$D:$AM, 10, FALSE), 1)</f>
        <v>5.8418780214403769E-2</v>
      </c>
      <c r="H6" s="7">
        <f>$B6 * IFERROR(VLOOKUP("buildings|PM25|Asthma symptoms cough", US_national_yearly!$D:$AM, 16, FALSE) / VLOOKUP("buildings|PM25|Asthma symptoms cough", US_national_yearly!$D:$AM, 10, FALSE), 1)</f>
        <v>5.8418780214403769E-2</v>
      </c>
      <c r="I6" s="7">
        <f>$B6 * IFERROR(VLOOKUP("buildings|PM25|Asthma symptoms cough", US_national_yearly!$D:$AM, 17, FALSE) / VLOOKUP("buildings|PM25|Asthma symptoms cough", US_national_yearly!$D:$AM, 10, FALSE), 1)</f>
        <v>5.8418780214403769E-2</v>
      </c>
      <c r="J6" s="7">
        <f>$B6 * IFERROR(VLOOKUP("buildings|PM25|Asthma symptoms cough", US_national_yearly!$D:$AM, 18, FALSE) / VLOOKUP("buildings|PM25|Asthma symptoms cough", US_national_yearly!$D:$AM, 10, FALSE), 1)</f>
        <v>5.8418780214403769E-2</v>
      </c>
      <c r="K6" s="7">
        <f>$B6 * IFERROR(VLOOKUP("buildings|PM25|Asthma symptoms cough", US_national_yearly!$D:$AM, 19, FALSE) / VLOOKUP("buildings|PM25|Asthma symptoms cough", US_national_yearly!$D:$AM, 10, FALSE), 1)</f>
        <v>5.8418780214403769E-2</v>
      </c>
      <c r="L6" s="7">
        <f>$B6 * IFERROR(VLOOKUP("buildings|PM25|Asthma symptoms cough", US_national_yearly!$D:$AM, 20, FALSE) / VLOOKUP("buildings|PM25|Asthma symptoms cough", US_national_yearly!$D:$AM, 10, FALSE), 1)</f>
        <v>5.8418780214403769E-2</v>
      </c>
      <c r="M6" s="7">
        <f>$B6 * IFERROR(VLOOKUP("buildings|PM25|Asthma symptoms cough", US_national_yearly!$D:$AM, 21, FALSE) / VLOOKUP("buildings|PM25|Asthma symptoms cough", US_national_yearly!$D:$AM, 10, FALSE), 1)</f>
        <v>5.8418780214403769E-2</v>
      </c>
      <c r="N6" s="7">
        <f>$B6 * IFERROR(VLOOKUP("buildings|PM25|Asthma symptoms cough", US_national_yearly!$D:$AM, 22, FALSE) / VLOOKUP("buildings|PM25|Asthma symptoms cough", US_national_yearly!$D:$AM, 10, FALSE), 1)</f>
        <v>5.8418780214403769E-2</v>
      </c>
      <c r="O6" s="7">
        <f>$B6 * IFERROR(VLOOKUP("buildings|PM25|Asthma symptoms cough", US_national_yearly!$D:$AM, 23, FALSE) / VLOOKUP("buildings|PM25|Asthma symptoms cough", US_national_yearly!$D:$AM, 10, FALSE), 1)</f>
        <v>5.8418780214403769E-2</v>
      </c>
      <c r="P6" s="7">
        <f>$B6 * IFERROR(VLOOKUP("buildings|PM25|Asthma symptoms cough", US_national_yearly!$D:$AM, 24, FALSE) / VLOOKUP("buildings|PM25|Asthma symptoms cough", US_national_yearly!$D:$AM, 10, FALSE), 1)</f>
        <v>5.8418780214403769E-2</v>
      </c>
      <c r="Q6" s="7">
        <f>$B6 * IFERROR(VLOOKUP("buildings|PM25|Asthma symptoms cough", US_national_yearly!$D:$AM, 25, FALSE) / VLOOKUP("buildings|PM25|Asthma symptoms cough", US_national_yearly!$D:$AM, 10, FALSE), 1)</f>
        <v>5.8418780214403769E-2</v>
      </c>
      <c r="R6" s="7">
        <f>$B6 * IFERROR(VLOOKUP("buildings|PM25|Asthma symptoms cough", US_national_yearly!$D:$AM, 26, FALSE) / VLOOKUP("buildings|PM25|Asthma symptoms cough", US_national_yearly!$D:$AM, 10, FALSE), 1)</f>
        <v>5.8418780214403769E-2</v>
      </c>
      <c r="S6" s="7">
        <f>$B6 * IFERROR(VLOOKUP("buildings|PM25|Asthma symptoms cough", US_national_yearly!$D:$AM, 27, FALSE) / VLOOKUP("buildings|PM25|Asthma symptoms cough", US_national_yearly!$D:$AM, 10, FALSE), 1)</f>
        <v>5.8418780214403769E-2</v>
      </c>
      <c r="T6" s="7">
        <f>$B6 * IFERROR(VLOOKUP("buildings|PM25|Asthma symptoms cough", US_national_yearly!$D:$AM, 28, FALSE) / VLOOKUP("buildings|PM25|Asthma symptoms cough", US_national_yearly!$D:$AM, 10, FALSE), 1)</f>
        <v>5.8418780214403769E-2</v>
      </c>
      <c r="U6" s="7">
        <f>$B6 * IFERROR(VLOOKUP("buildings|PM25|Asthma symptoms cough", US_national_yearly!$D:$AM, 29, FALSE) / VLOOKUP("buildings|PM25|Asthma symptoms cough", US_national_yearly!$D:$AM, 10, FALSE), 1)</f>
        <v>5.8418780214403769E-2</v>
      </c>
      <c r="V6" s="7">
        <f>$B6 * IFERROR(VLOOKUP("buildings|PM25|Asthma symptoms cough", US_national_yearly!$D:$AM, 30, FALSE) / VLOOKUP("buildings|PM25|Asthma symptoms cough", US_national_yearly!$D:$AM, 10, FALSE), 1)</f>
        <v>5.8418780214403769E-2</v>
      </c>
      <c r="W6" s="7">
        <f>$B6 * IFERROR(VLOOKUP("buildings|PM25|Asthma symptoms cough", US_national_yearly!$D:$AM, 31, FALSE) / VLOOKUP("buildings|PM25|Asthma symptoms cough", US_national_yearly!$D:$AM, 10, FALSE), 1)</f>
        <v>5.8418780214403769E-2</v>
      </c>
      <c r="X6" s="7">
        <f>$B6 * IFERROR(VLOOKUP("buildings|PM25|Asthma symptoms cough", US_national_yearly!$D:$AM, 32, FALSE) / VLOOKUP("buildings|PM25|Asthma symptoms cough", US_national_yearly!$D:$AM, 10, FALSE), 1)</f>
        <v>5.8418780214403769E-2</v>
      </c>
      <c r="Y6" s="7">
        <f>$B6 * IFERROR(VLOOKUP("buildings|PM25|Asthma symptoms cough", US_national_yearly!$D:$AM, 33, FALSE) / VLOOKUP("buildings|PM25|Asthma symptoms cough", US_national_yearly!$D:$AM, 10, FALSE), 1)</f>
        <v>5.8418780214403769E-2</v>
      </c>
      <c r="Z6" s="7">
        <f>$B6 * IFERROR(VLOOKUP("buildings|PM25|Asthma symptoms cough", US_national_yearly!$D:$AM, 34, FALSE) / VLOOKUP("buildings|PM25|Asthma symptoms cough", US_national_yearly!$D:$AM, 10, FALSE), 1)</f>
        <v>5.8418780214403769E-2</v>
      </c>
      <c r="AA6" s="7">
        <f>$B6 * IFERROR(VLOOKUP("buildings|PM25|Asthma symptoms cough", US_national_yearly!$D:$AM, 35, FALSE) / VLOOKUP("buildings|PM25|Asthma symptoms cough", US_national_yearly!$D:$AM, 10, FALSE), 1)</f>
        <v>5.8418780214403769E-2</v>
      </c>
      <c r="AB6" s="7">
        <f>$B6 * IFERROR(VLOOKUP("buildings|PM25|Asthma symptoms cough", US_national_yearly!$D:$AM, 36, FALSE) / VLOOKUP("buildings|PM25|Asthma symptoms cough", US_national_yearly!$D:$AM, 10, FALSE), 1)</f>
        <v>5.8418780214403769E-2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7.8669171035104554E-2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7.8669171035104554E-2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7.8669171035104554E-2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7.8669171035104554E-2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7.8669171035104554E-2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7.8669171035104554E-2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7.8669171035104554E-2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7.8669171035104554E-2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7.8669171035104554E-2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7.8669171035104554E-2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7.8669171035104554E-2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7.8669171035104554E-2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7.8669171035104554E-2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7.8669171035104554E-2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7.8669171035104554E-2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7.8669171035104554E-2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7.8669171035104554E-2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7.8669171035104554E-2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7.8669171035104554E-2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7.8669171035104554E-2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7.8669171035104554E-2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7.8669171035104554E-2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7.8669171035104554E-2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7.8669171035104554E-2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7.8669171035104554E-2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7.8669171035104554E-2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7.8669171035104554E-2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0.12019385052643017</v>
      </c>
      <c r="C8" s="7">
        <f>$B8 * IFERROR(VLOOKUP("buildings|PM25|Asthma symptoms wheeze", US_national_yearly!$D:$AM, 11, FALSE) / VLOOKUP("buildings|PM25|Asthma symptoms wheeze", US_national_yearly!$D:$AM, 10, FALSE), 1)</f>
        <v>0.12019385052643017</v>
      </c>
      <c r="D8" s="7">
        <f>$B8 * IFERROR(VLOOKUP("buildings|PM25|Asthma symptoms wheeze", US_national_yearly!$D:$AM, 12, FALSE) / VLOOKUP("buildings|PM25|Asthma symptoms wheeze", US_national_yearly!$D:$AM, 10, FALSE), 1)</f>
        <v>0.12019385052643017</v>
      </c>
      <c r="E8" s="7">
        <f>$B8 * IFERROR(VLOOKUP("buildings|PM25|Asthma symptoms wheeze", US_national_yearly!$D:$AM, 13, FALSE) / VLOOKUP("buildings|PM25|Asthma symptoms wheeze", US_national_yearly!$D:$AM, 10, FALSE), 1)</f>
        <v>0.12019385052643017</v>
      </c>
      <c r="F8" s="7">
        <f>$B8 * IFERROR(VLOOKUP("buildings|PM25|Asthma symptoms wheeze", US_national_yearly!$D:$AM, 14, FALSE) / VLOOKUP("buildings|PM25|Asthma symptoms wheeze", US_national_yearly!$D:$AM, 10, FALSE), 1)</f>
        <v>0.12019385052643017</v>
      </c>
      <c r="G8" s="7">
        <f>$B8 * IFERROR(VLOOKUP("buildings|PM25|Asthma symptoms wheeze", US_national_yearly!$D:$AM, 15, FALSE) / VLOOKUP("buildings|PM25|Asthma symptoms wheeze", US_national_yearly!$D:$AM, 10, FALSE), 1)</f>
        <v>0.12019385052643017</v>
      </c>
      <c r="H8" s="7">
        <f>$B8 * IFERROR(VLOOKUP("buildings|PM25|Asthma symptoms wheeze", US_national_yearly!$D:$AM, 16, FALSE) / VLOOKUP("buildings|PM25|Asthma symptoms wheeze", US_national_yearly!$D:$AM, 10, FALSE), 1)</f>
        <v>0.12019385052643017</v>
      </c>
      <c r="I8" s="7">
        <f>$B8 * IFERROR(VLOOKUP("buildings|PM25|Asthma symptoms wheeze", US_national_yearly!$D:$AM, 17, FALSE) / VLOOKUP("buildings|PM25|Asthma symptoms wheeze", US_national_yearly!$D:$AM, 10, FALSE), 1)</f>
        <v>0.12019385052643017</v>
      </c>
      <c r="J8" s="7">
        <f>$B8 * IFERROR(VLOOKUP("buildings|PM25|Asthma symptoms wheeze", US_national_yearly!$D:$AM, 18, FALSE) / VLOOKUP("buildings|PM25|Asthma symptoms wheeze", US_national_yearly!$D:$AM, 10, FALSE), 1)</f>
        <v>0.12019385052643017</v>
      </c>
      <c r="K8" s="7">
        <f>$B8 * IFERROR(VLOOKUP("buildings|PM25|Asthma symptoms wheeze", US_national_yearly!$D:$AM, 19, FALSE) / VLOOKUP("buildings|PM25|Asthma symptoms wheeze", US_national_yearly!$D:$AM, 10, FALSE), 1)</f>
        <v>0.12019385052643017</v>
      </c>
      <c r="L8" s="7">
        <f>$B8 * IFERROR(VLOOKUP("buildings|PM25|Asthma symptoms wheeze", US_national_yearly!$D:$AM, 20, FALSE) / VLOOKUP("buildings|PM25|Asthma symptoms wheeze", US_national_yearly!$D:$AM, 10, FALSE), 1)</f>
        <v>0.12019385052643017</v>
      </c>
      <c r="M8" s="7">
        <f>$B8 * IFERROR(VLOOKUP("buildings|PM25|Asthma symptoms wheeze", US_national_yearly!$D:$AM, 21, FALSE) / VLOOKUP("buildings|PM25|Asthma symptoms wheeze", US_national_yearly!$D:$AM, 10, FALSE), 1)</f>
        <v>0.12019385052643017</v>
      </c>
      <c r="N8" s="7">
        <f>$B8 * IFERROR(VLOOKUP("buildings|PM25|Asthma symptoms wheeze", US_national_yearly!$D:$AM, 22, FALSE) / VLOOKUP("buildings|PM25|Asthma symptoms wheeze", US_national_yearly!$D:$AM, 10, FALSE), 1)</f>
        <v>0.12019385052643017</v>
      </c>
      <c r="O8" s="7">
        <f>$B8 * IFERROR(VLOOKUP("buildings|PM25|Asthma symptoms wheeze", US_national_yearly!$D:$AM, 23, FALSE) / VLOOKUP("buildings|PM25|Asthma symptoms wheeze", US_national_yearly!$D:$AM, 10, FALSE), 1)</f>
        <v>0.12019385052643017</v>
      </c>
      <c r="P8" s="7">
        <f>$B8 * IFERROR(VLOOKUP("buildings|PM25|Asthma symptoms wheeze", US_national_yearly!$D:$AM, 24, FALSE) / VLOOKUP("buildings|PM25|Asthma symptoms wheeze", US_national_yearly!$D:$AM, 10, FALSE), 1)</f>
        <v>0.12019385052643017</v>
      </c>
      <c r="Q8" s="7">
        <f>$B8 * IFERROR(VLOOKUP("buildings|PM25|Asthma symptoms wheeze", US_national_yearly!$D:$AM, 25, FALSE) / VLOOKUP("buildings|PM25|Asthma symptoms wheeze", US_national_yearly!$D:$AM, 10, FALSE), 1)</f>
        <v>0.12019385052643017</v>
      </c>
      <c r="R8" s="7">
        <f>$B8 * IFERROR(VLOOKUP("buildings|PM25|Asthma symptoms wheeze", US_national_yearly!$D:$AM, 26, FALSE) / VLOOKUP("buildings|PM25|Asthma symptoms wheeze", US_national_yearly!$D:$AM, 10, FALSE), 1)</f>
        <v>0.12019385052643017</v>
      </c>
      <c r="S8" s="7">
        <f>$B8 * IFERROR(VLOOKUP("buildings|PM25|Asthma symptoms wheeze", US_national_yearly!$D:$AM, 27, FALSE) / VLOOKUP("buildings|PM25|Asthma symptoms wheeze", US_national_yearly!$D:$AM, 10, FALSE), 1)</f>
        <v>0.12019385052643017</v>
      </c>
      <c r="T8" s="7">
        <f>$B8 * IFERROR(VLOOKUP("buildings|PM25|Asthma symptoms wheeze", US_national_yearly!$D:$AM, 28, FALSE) / VLOOKUP("buildings|PM25|Asthma symptoms wheeze", US_national_yearly!$D:$AM, 10, FALSE), 1)</f>
        <v>0.12019385052643017</v>
      </c>
      <c r="U8" s="7">
        <f>$B8 * IFERROR(VLOOKUP("buildings|PM25|Asthma symptoms wheeze", US_national_yearly!$D:$AM, 29, FALSE) / VLOOKUP("buildings|PM25|Asthma symptoms wheeze", US_national_yearly!$D:$AM, 10, FALSE), 1)</f>
        <v>0.12019385052643017</v>
      </c>
      <c r="V8" s="7">
        <f>$B8 * IFERROR(VLOOKUP("buildings|PM25|Asthma symptoms wheeze", US_national_yearly!$D:$AM, 30, FALSE) / VLOOKUP("buildings|PM25|Asthma symptoms wheeze", US_national_yearly!$D:$AM, 10, FALSE), 1)</f>
        <v>0.12019385052643017</v>
      </c>
      <c r="W8" s="7">
        <f>$B8 * IFERROR(VLOOKUP("buildings|PM25|Asthma symptoms wheeze", US_national_yearly!$D:$AM, 31, FALSE) / VLOOKUP("buildings|PM25|Asthma symptoms wheeze", US_national_yearly!$D:$AM, 10, FALSE), 1)</f>
        <v>0.12019385052643017</v>
      </c>
      <c r="X8" s="7">
        <f>$B8 * IFERROR(VLOOKUP("buildings|PM25|Asthma symptoms wheeze", US_national_yearly!$D:$AM, 32, FALSE) / VLOOKUP("buildings|PM25|Asthma symptoms wheeze", US_national_yearly!$D:$AM, 10, FALSE), 1)</f>
        <v>0.12019385052643017</v>
      </c>
      <c r="Y8" s="7">
        <f>$B8 * IFERROR(VLOOKUP("buildings|PM25|Asthma symptoms wheeze", US_national_yearly!$D:$AM, 33, FALSE) / VLOOKUP("buildings|PM25|Asthma symptoms wheeze", US_national_yearly!$D:$AM, 10, FALSE), 1)</f>
        <v>0.12019385052643017</v>
      </c>
      <c r="Z8" s="7">
        <f>$B8 * IFERROR(VLOOKUP("buildings|PM25|Asthma symptoms wheeze", US_national_yearly!$D:$AM, 34, FALSE) / VLOOKUP("buildings|PM25|Asthma symptoms wheeze", US_national_yearly!$D:$AM, 10, FALSE), 1)</f>
        <v>0.12019385052643017</v>
      </c>
      <c r="AA8" s="7">
        <f>$B8 * IFERROR(VLOOKUP("buildings|PM25|Asthma symptoms wheeze", US_national_yearly!$D:$AM, 35, FALSE) / VLOOKUP("buildings|PM25|Asthma symptoms wheeze", US_national_yearly!$D:$AM, 10, FALSE), 1)</f>
        <v>0.12019385052643017</v>
      </c>
      <c r="AB8" s="7">
        <f>$B8 * IFERROR(VLOOKUP("buildings|PM25|Asthma symptoms wheeze", US_national_yearly!$D:$AM, 36, FALSE) / VLOOKUP("buildings|PM25|Asthma symptoms wheeze", US_national_yearly!$D:$AM, 10, FALSE), 1)</f>
        <v>0.12019385052643017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2.0579667590093047E-3</v>
      </c>
      <c r="C12" s="7">
        <f>$B12 * IFERROR(VLOOKUP("buildings|PM25|Respiratory hospital admissions", US_national_yearly!$D:$AM, 11, FALSE) / VLOOKUP("buildings|PM25|Respiratory hospital admissions", US_national_yearly!$D:$AM, 10, FALSE), 1)</f>
        <v>2.0698292215808145E-3</v>
      </c>
      <c r="D12" s="7">
        <f>$B12 * IFERROR(VLOOKUP("buildings|PM25|Respiratory hospital admissions", US_national_yearly!$D:$AM, 12, FALSE) / VLOOKUP("buildings|PM25|Respiratory hospital admissions", US_national_yearly!$D:$AM, 10, FALSE), 1)</f>
        <v>2.0816916841523247E-3</v>
      </c>
      <c r="E12" s="7">
        <f>$B12 * IFERROR(VLOOKUP("buildings|PM25|Respiratory hospital admissions", US_national_yearly!$D:$AM, 13, FALSE) / VLOOKUP("buildings|PM25|Respiratory hospital admissions", US_national_yearly!$D:$AM, 10, FALSE), 1)</f>
        <v>2.093554146723835E-3</v>
      </c>
      <c r="F12" s="7">
        <f>$B12 * IFERROR(VLOOKUP("buildings|PM25|Respiratory hospital admissions", US_national_yearly!$D:$AM, 14, FALSE) / VLOOKUP("buildings|PM25|Respiratory hospital admissions", US_national_yearly!$D:$AM, 10, FALSE), 1)</f>
        <v>2.1054166092953457E-3</v>
      </c>
      <c r="G12" s="7">
        <f>$B12 * IFERROR(VLOOKUP("buildings|PM25|Respiratory hospital admissions", US_national_yearly!$D:$AM, 15, FALSE) / VLOOKUP("buildings|PM25|Respiratory hospital admissions", US_national_yearly!$D:$AM, 10, FALSE), 1)</f>
        <v>2.11821730544736E-3</v>
      </c>
      <c r="H12" s="7">
        <f>$B12 * IFERROR(VLOOKUP("buildings|PM25|Respiratory hospital admissions", US_national_yearly!$D:$AM, 16, FALSE) / VLOOKUP("buildings|PM25|Respiratory hospital admissions", US_national_yearly!$D:$AM, 10, FALSE), 1)</f>
        <v>2.131018001599374E-3</v>
      </c>
      <c r="I12" s="7">
        <f>$B12 * IFERROR(VLOOKUP("buildings|PM25|Respiratory hospital admissions", US_national_yearly!$D:$AM, 17, FALSE) / VLOOKUP("buildings|PM25|Respiratory hospital admissions", US_national_yearly!$D:$AM, 10, FALSE), 1)</f>
        <v>2.1431926211848426E-3</v>
      </c>
      <c r="J12" s="7">
        <f>$B12 * IFERROR(VLOOKUP("buildings|PM25|Respiratory hospital admissions", US_national_yearly!$D:$AM, 18, FALSE) / VLOOKUP("buildings|PM25|Respiratory hospital admissions", US_national_yearly!$D:$AM, 10, FALSE), 1)</f>
        <v>2.1553672407703104E-3</v>
      </c>
      <c r="K12" s="7">
        <f>$B12 * IFERROR(VLOOKUP("buildings|PM25|Respiratory hospital admissions", US_national_yearly!$D:$AM, 19, FALSE) / VLOOKUP("buildings|PM25|Respiratory hospital admissions", US_national_yearly!$D:$AM, 10, FALSE), 1)</f>
        <v>2.1675418603557786E-3</v>
      </c>
      <c r="L12" s="7">
        <f>$B12 * IFERROR(VLOOKUP("buildings|PM25|Respiratory hospital admissions", US_national_yearly!$D:$AM, 20, FALSE) / VLOOKUP("buildings|PM25|Respiratory hospital admissions", US_national_yearly!$D:$AM, 10, FALSE), 1)</f>
        <v>2.1797164799412468E-3</v>
      </c>
      <c r="M12" s="7">
        <f>$B12 * IFERROR(VLOOKUP("buildings|PM25|Respiratory hospital admissions", US_national_yearly!$D:$AM, 21, FALSE) / VLOOKUP("buildings|PM25|Respiratory hospital admissions", US_national_yearly!$D:$AM, 10, FALSE), 1)</f>
        <v>2.1918910995267151E-3</v>
      </c>
      <c r="N12" s="7">
        <f>$B12 * IFERROR(VLOOKUP("buildings|PM25|Respiratory hospital admissions", US_national_yearly!$D:$AM, 22, FALSE) / VLOOKUP("buildings|PM25|Respiratory hospital admissions", US_national_yearly!$D:$AM, 10, FALSE), 1)</f>
        <v>2.2006479490539839E-3</v>
      </c>
      <c r="O12" s="7">
        <f>$B12 * IFERROR(VLOOKUP("buildings|PM25|Respiratory hospital admissions", US_national_yearly!$D:$AM, 23, FALSE) / VLOOKUP("buildings|PM25|Respiratory hospital admissions", US_national_yearly!$D:$AM, 10, FALSE), 1)</f>
        <v>2.2094047985812531E-3</v>
      </c>
      <c r="P12" s="7">
        <f>$B12 * IFERROR(VLOOKUP("buildings|PM25|Respiratory hospital admissions", US_national_yearly!$D:$AM, 24, FALSE) / VLOOKUP("buildings|PM25|Respiratory hospital admissions", US_national_yearly!$D:$AM, 10, FALSE), 1)</f>
        <v>2.2181616481085223E-3</v>
      </c>
      <c r="Q12" s="7">
        <f>$B12 * IFERROR(VLOOKUP("buildings|PM25|Respiratory hospital admissions", US_national_yearly!$D:$AM, 25, FALSE) / VLOOKUP("buildings|PM25|Respiratory hospital admissions", US_national_yearly!$D:$AM, 10, FALSE), 1)</f>
        <v>2.2269184976357907E-3</v>
      </c>
      <c r="R12" s="7">
        <f>$B12 * IFERROR(VLOOKUP("buildings|PM25|Respiratory hospital admissions", US_national_yearly!$D:$AM, 26, FALSE) / VLOOKUP("buildings|PM25|Respiratory hospital admissions", US_national_yearly!$D:$AM, 10, FALSE), 1)</f>
        <v>2.2356753471630599E-3</v>
      </c>
      <c r="S12" s="7">
        <f>$B12 * IFERROR(VLOOKUP("buildings|PM25|Respiratory hospital admissions", US_national_yearly!$D:$AM, 27, FALSE) / VLOOKUP("buildings|PM25|Respiratory hospital admissions", US_national_yearly!$D:$AM, 10, FALSE), 1)</f>
        <v>2.2440186361701868E-3</v>
      </c>
      <c r="T12" s="7">
        <f>$B12 * IFERROR(VLOOKUP("buildings|PM25|Respiratory hospital admissions", US_national_yearly!$D:$AM, 28, FALSE) / VLOOKUP("buildings|PM25|Respiratory hospital admissions", US_national_yearly!$D:$AM, 10, FALSE), 1)</f>
        <v>2.2523619251773146E-3</v>
      </c>
      <c r="U12" s="7">
        <f>$B12 * IFERROR(VLOOKUP("buildings|PM25|Respiratory hospital admissions", US_national_yearly!$D:$AM, 29, FALSE) / VLOOKUP("buildings|PM25|Respiratory hospital admissions", US_national_yearly!$D:$AM, 10, FALSE), 1)</f>
        <v>2.2607052141844415E-3</v>
      </c>
      <c r="V12" s="7">
        <f>$B12 * IFERROR(VLOOKUP("buildings|PM25|Respiratory hospital admissions", US_national_yearly!$D:$AM, 30, FALSE) / VLOOKUP("buildings|PM25|Respiratory hospital admissions", US_national_yearly!$D:$AM, 10, FALSE), 1)</f>
        <v>2.2690485031915683E-3</v>
      </c>
      <c r="W12" s="7">
        <f>$B12 * IFERROR(VLOOKUP("buildings|PM25|Respiratory hospital admissions", US_national_yearly!$D:$AM, 31, FALSE) / VLOOKUP("buildings|PM25|Respiratory hospital admissions", US_national_yearly!$D:$AM, 10, FALSE), 1)</f>
        <v>2.2773917921986961E-3</v>
      </c>
      <c r="X12" s="7">
        <f>$B12 * IFERROR(VLOOKUP("buildings|PM25|Respiratory hospital admissions", US_national_yearly!$D:$AM, 32, FALSE) / VLOOKUP("buildings|PM25|Respiratory hospital admissions", US_national_yearly!$D:$AM, 10, FALSE), 1)</f>
        <v>2.2854500868184145E-3</v>
      </c>
      <c r="Y12" s="7">
        <f>$B12 * IFERROR(VLOOKUP("buildings|PM25|Respiratory hospital admissions", US_national_yearly!$D:$AM, 33, FALSE) / VLOOKUP("buildings|PM25|Respiratory hospital admissions", US_national_yearly!$D:$AM, 10, FALSE), 1)</f>
        <v>2.2935083814381329E-3</v>
      </c>
      <c r="Z12" s="7">
        <f>$B12 * IFERROR(VLOOKUP("buildings|PM25|Respiratory hospital admissions", US_national_yearly!$D:$AM, 34, FALSE) / VLOOKUP("buildings|PM25|Respiratory hospital admissions", US_national_yearly!$D:$AM, 10, FALSE), 1)</f>
        <v>2.3015666760578513E-3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2.3096249706775697E-3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2.3176832652972881E-3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1.2819849261865725E-2</v>
      </c>
      <c r="C13" s="7">
        <f>$B13 * IFERROR(VLOOKUP("buildings|PM25|Non-fatal heart attacks", US_national_yearly!$D:$AM, 11, FALSE) / VLOOKUP("buildings|PM25|Non-fatal heart attacks", US_national_yearly!$D:$AM, 10, FALSE), 1)</f>
        <v>1.3192732718093233E-2</v>
      </c>
      <c r="D13" s="7">
        <f>$B13 * IFERROR(VLOOKUP("buildings|PM25|Non-fatal heart attacks", US_national_yearly!$D:$AM, 12, FALSE) / VLOOKUP("buildings|PM25|Non-fatal heart attacks", US_national_yearly!$D:$AM, 10, FALSE), 1)</f>
        <v>1.3565616174320739E-2</v>
      </c>
      <c r="E13" s="7">
        <f>$B13 * IFERROR(VLOOKUP("buildings|PM25|Non-fatal heart attacks", US_national_yearly!$D:$AM, 13, FALSE) / VLOOKUP("buildings|PM25|Non-fatal heart attacks", US_national_yearly!$D:$AM, 10, FALSE), 1)</f>
        <v>1.3938499630548246E-2</v>
      </c>
      <c r="F13" s="7">
        <f>$B13 * IFERROR(VLOOKUP("buildings|PM25|Non-fatal heart attacks", US_national_yearly!$D:$AM, 14, FALSE) / VLOOKUP("buildings|PM25|Non-fatal heart attacks", US_national_yearly!$D:$AM, 10, FALSE), 1)</f>
        <v>1.4311383086775754E-2</v>
      </c>
      <c r="G13" s="7">
        <f>$B13 * IFERROR(VLOOKUP("buildings|PM25|Non-fatal heart attacks", US_national_yearly!$D:$AM, 15, FALSE) / VLOOKUP("buildings|PM25|Non-fatal heart attacks", US_national_yearly!$D:$AM, 10, FALSE), 1)</f>
        <v>1.466321992502766E-2</v>
      </c>
      <c r="H13" s="7">
        <f>$B13 * IFERROR(VLOOKUP("buildings|PM25|Non-fatal heart attacks", US_national_yearly!$D:$AM, 16, FALSE) / VLOOKUP("buildings|PM25|Non-fatal heart attacks", US_national_yearly!$D:$AM, 10, FALSE), 1)</f>
        <v>1.5015056763279562E-2</v>
      </c>
      <c r="I13" s="7">
        <f>$B13 * IFERROR(VLOOKUP("buildings|PM25|Non-fatal heart attacks", US_national_yearly!$D:$AM, 17, FALSE) / VLOOKUP("buildings|PM25|Non-fatal heart attacks", US_national_yearly!$D:$AM, 10, FALSE), 1)</f>
        <v>1.5298136826412871E-2</v>
      </c>
      <c r="J13" s="7">
        <f>$B13 * IFERROR(VLOOKUP("buildings|PM25|Non-fatal heart attacks", US_national_yearly!$D:$AM, 18, FALSE) / VLOOKUP("buildings|PM25|Non-fatal heart attacks", US_national_yearly!$D:$AM, 10, FALSE), 1)</f>
        <v>1.558121688954618E-2</v>
      </c>
      <c r="K13" s="7">
        <f>$B13 * IFERROR(VLOOKUP("buildings|PM25|Non-fatal heart attacks", US_national_yearly!$D:$AM, 19, FALSE) / VLOOKUP("buildings|PM25|Non-fatal heart attacks", US_national_yearly!$D:$AM, 10, FALSE), 1)</f>
        <v>1.5864296952679487E-2</v>
      </c>
      <c r="L13" s="7">
        <f>$B13 * IFERROR(VLOOKUP("buildings|PM25|Non-fatal heart attacks", US_national_yearly!$D:$AM, 20, FALSE) / VLOOKUP("buildings|PM25|Non-fatal heart attacks", US_national_yearly!$D:$AM, 10, FALSE), 1)</f>
        <v>1.6147377015812793E-2</v>
      </c>
      <c r="M13" s="7">
        <f>$B13 * IFERROR(VLOOKUP("buildings|PM25|Non-fatal heart attacks", US_national_yearly!$D:$AM, 21, FALSE) / VLOOKUP("buildings|PM25|Non-fatal heart attacks", US_national_yearly!$D:$AM, 10, FALSE), 1)</f>
        <v>1.6430457078946099E-2</v>
      </c>
      <c r="N13" s="7">
        <f>$B13 * IFERROR(VLOOKUP("buildings|PM25|Non-fatal heart attacks", US_national_yearly!$D:$AM, 22, FALSE) / VLOOKUP("buildings|PM25|Non-fatal heart attacks", US_national_yearly!$D:$AM, 10, FALSE), 1)</f>
        <v>1.6613331222368993E-2</v>
      </c>
      <c r="O13" s="7">
        <f>$B13 * IFERROR(VLOOKUP("buildings|PM25|Non-fatal heart attacks", US_national_yearly!$D:$AM, 23, FALSE) / VLOOKUP("buildings|PM25|Non-fatal heart attacks", US_national_yearly!$D:$AM, 10, FALSE), 1)</f>
        <v>1.6796205365791888E-2</v>
      </c>
      <c r="P13" s="7">
        <f>$B13 * IFERROR(VLOOKUP("buildings|PM25|Non-fatal heart attacks", US_national_yearly!$D:$AM, 24, FALSE) / VLOOKUP("buildings|PM25|Non-fatal heart attacks", US_national_yearly!$D:$AM, 10, FALSE), 1)</f>
        <v>1.6979079509214779E-2</v>
      </c>
      <c r="Q13" s="7">
        <f>$B13 * IFERROR(VLOOKUP("buildings|PM25|Non-fatal heart attacks", US_national_yearly!$D:$AM, 25, FALSE) / VLOOKUP("buildings|PM25|Non-fatal heart attacks", US_national_yearly!$D:$AM, 10, FALSE), 1)</f>
        <v>1.7161953652637677E-2</v>
      </c>
      <c r="R13" s="7">
        <f>$B13 * IFERROR(VLOOKUP("buildings|PM25|Non-fatal heart attacks", US_national_yearly!$D:$AM, 26, FALSE) / VLOOKUP("buildings|PM25|Non-fatal heart attacks", US_national_yearly!$D:$AM, 10, FALSE), 1)</f>
        <v>1.7344827796060568E-2</v>
      </c>
      <c r="S13" s="7">
        <f>$B13 * IFERROR(VLOOKUP("buildings|PM25|Non-fatal heart attacks", US_national_yearly!$D:$AM, 27, FALSE) / VLOOKUP("buildings|PM25|Non-fatal heart attacks", US_national_yearly!$D:$AM, 10, FALSE), 1)</f>
        <v>1.7441551675481715E-2</v>
      </c>
      <c r="T13" s="7">
        <f>$B13 * IFERROR(VLOOKUP("buildings|PM25|Non-fatal heart attacks", US_national_yearly!$D:$AM, 28, FALSE) / VLOOKUP("buildings|PM25|Non-fatal heart attacks", US_national_yearly!$D:$AM, 10, FALSE), 1)</f>
        <v>1.7538275554902862E-2</v>
      </c>
      <c r="U13" s="7">
        <f>$B13 * IFERROR(VLOOKUP("buildings|PM25|Non-fatal heart attacks", US_national_yearly!$D:$AM, 29, FALSE) / VLOOKUP("buildings|PM25|Non-fatal heart attacks", US_national_yearly!$D:$AM, 10, FALSE), 1)</f>
        <v>1.7634999434324009E-2</v>
      </c>
      <c r="V13" s="7">
        <f>$B13 * IFERROR(VLOOKUP("buildings|PM25|Non-fatal heart attacks", US_national_yearly!$D:$AM, 30, FALSE) / VLOOKUP("buildings|PM25|Non-fatal heart attacks", US_national_yearly!$D:$AM, 10, FALSE), 1)</f>
        <v>1.7731723313745156E-2</v>
      </c>
      <c r="W13" s="7">
        <f>$B13 * IFERROR(VLOOKUP("buildings|PM25|Non-fatal heart attacks", US_national_yearly!$D:$AM, 31, FALSE) / VLOOKUP("buildings|PM25|Non-fatal heart attacks", US_national_yearly!$D:$AM, 10, FALSE), 1)</f>
        <v>1.7828447193166303E-2</v>
      </c>
      <c r="X13" s="7">
        <f>$B13 * IFERROR(VLOOKUP("buildings|PM25|Non-fatal heart attacks", US_national_yearly!$D:$AM, 32, FALSE) / VLOOKUP("buildings|PM25|Non-fatal heart attacks", US_national_yearly!$D:$AM, 10, FALSE), 1)</f>
        <v>1.790206112995572E-2</v>
      </c>
      <c r="Y13" s="7">
        <f>$B13 * IFERROR(VLOOKUP("buildings|PM25|Non-fatal heart attacks", US_national_yearly!$D:$AM, 33, FALSE) / VLOOKUP("buildings|PM25|Non-fatal heart attacks", US_national_yearly!$D:$AM, 10, FALSE), 1)</f>
        <v>1.7975675066745137E-2</v>
      </c>
      <c r="Z13" s="7">
        <f>$B13 * IFERROR(VLOOKUP("buildings|PM25|Non-fatal heart attacks", US_national_yearly!$D:$AM, 34, FALSE) / VLOOKUP("buildings|PM25|Non-fatal heart attacks", US_national_yearly!$D:$AM, 10, FALSE), 1)</f>
        <v>1.8049289003534551E-2</v>
      </c>
      <c r="AA13" s="7">
        <f>$B13 * IFERROR(VLOOKUP("buildings|PM25|Non-fatal heart attacks", US_national_yearly!$D:$AM, 35, FALSE) / VLOOKUP("buildings|PM25|Non-fatal heart attacks", US_national_yearly!$D:$AM, 10, FALSE), 1)</f>
        <v>1.8122902940323964E-2</v>
      </c>
      <c r="AB13" s="7">
        <f>$B13 * IFERROR(VLOOKUP("buildings|PM25|Non-fatal heart attacks", US_national_yearly!$D:$AM, 36, FALSE) / VLOOKUP("buildings|PM25|Non-fatal heart attacks", US_national_yearly!$D:$AM, 10, FALSE), 1)</f>
        <v>1.8196516877113385E-2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8.2161034077334545</v>
      </c>
      <c r="C14" s="7">
        <f>$B14 * IFERROR(VLOOKUP("buildings|PM25|Minor restricted activity days", US_national_yearly!$D:$AM, 11, FALSE) / VLOOKUP("buildings|PM25|Minor restricted activity days", US_national_yearly!$D:$AM, 10, FALSE), 1)</f>
        <v>8.2365373175234264</v>
      </c>
      <c r="D14" s="7">
        <f>$B14 * IFERROR(VLOOKUP("buildings|PM25|Minor restricted activity days", US_national_yearly!$D:$AM, 12, FALSE) / VLOOKUP("buildings|PM25|Minor restricted activity days", US_national_yearly!$D:$AM, 10, FALSE), 1)</f>
        <v>8.2569712273133984</v>
      </c>
      <c r="E14" s="7">
        <f>$B14 * IFERROR(VLOOKUP("buildings|PM25|Minor restricted activity days", US_national_yearly!$D:$AM, 13, FALSE) / VLOOKUP("buildings|PM25|Minor restricted activity days", US_national_yearly!$D:$AM, 10, FALSE), 1)</f>
        <v>8.2774051371033703</v>
      </c>
      <c r="F14" s="7">
        <f>$B14 * IFERROR(VLOOKUP("buildings|PM25|Minor restricted activity days", US_national_yearly!$D:$AM, 14, FALSE) / VLOOKUP("buildings|PM25|Minor restricted activity days", US_national_yearly!$D:$AM, 10, FALSE), 1)</f>
        <v>8.2978390468933405</v>
      </c>
      <c r="G14" s="7">
        <f>$B14 * IFERROR(VLOOKUP("buildings|PM25|Minor restricted activity days", US_national_yearly!$D:$AM, 15, FALSE) / VLOOKUP("buildings|PM25|Minor restricted activity days", US_national_yearly!$D:$AM, 10, FALSE), 1)</f>
        <v>8.3278093883765756</v>
      </c>
      <c r="H14" s="7">
        <f>$B14 * IFERROR(VLOOKUP("buildings|PM25|Minor restricted activity days", US_national_yearly!$D:$AM, 16, FALSE) / VLOOKUP("buildings|PM25|Minor restricted activity days", US_national_yearly!$D:$AM, 10, FALSE), 1)</f>
        <v>8.3577797298598071</v>
      </c>
      <c r="I14" s="7">
        <f>$B14 * IFERROR(VLOOKUP("buildings|PM25|Minor restricted activity days", US_national_yearly!$D:$AM, 17, FALSE) / VLOOKUP("buildings|PM25|Minor restricted activity days", US_national_yearly!$D:$AM, 10, FALSE), 1)</f>
        <v>8.4087427641025876</v>
      </c>
      <c r="J14" s="7">
        <f>$B14 * IFERROR(VLOOKUP("buildings|PM25|Minor restricted activity days", US_national_yearly!$D:$AM, 18, FALSE) / VLOOKUP("buildings|PM25|Minor restricted activity days", US_national_yearly!$D:$AM, 10, FALSE), 1)</f>
        <v>8.4597057983453698</v>
      </c>
      <c r="K14" s="7">
        <f>$B14 * IFERROR(VLOOKUP("buildings|PM25|Minor restricted activity days", US_national_yearly!$D:$AM, 19, FALSE) / VLOOKUP("buildings|PM25|Minor restricted activity days", US_national_yearly!$D:$AM, 10, FALSE), 1)</f>
        <v>8.5106688325881468</v>
      </c>
      <c r="L14" s="7">
        <f>$B14 * IFERROR(VLOOKUP("buildings|PM25|Minor restricted activity days", US_national_yearly!$D:$AM, 20, FALSE) / VLOOKUP("buildings|PM25|Minor restricted activity days", US_national_yearly!$D:$AM, 10, FALSE), 1)</f>
        <v>8.5616318668309255</v>
      </c>
      <c r="M14" s="7">
        <f>$B14 * IFERROR(VLOOKUP("buildings|PM25|Minor restricted activity days", US_national_yearly!$D:$AM, 21, FALSE) / VLOOKUP("buildings|PM25|Minor restricted activity days", US_national_yearly!$D:$AM, 10, FALSE), 1)</f>
        <v>8.6125949010737024</v>
      </c>
      <c r="N14" s="7">
        <f>$B14 * IFERROR(VLOOKUP("buildings|PM25|Minor restricted activity days", US_national_yearly!$D:$AM, 22, FALSE) / VLOOKUP("buildings|PM25|Minor restricted activity days", US_national_yearly!$D:$AM, 10, FALSE), 1)</f>
        <v>8.6818413690796863</v>
      </c>
      <c r="O14" s="7">
        <f>$B14 * IFERROR(VLOOKUP("buildings|PM25|Minor restricted activity days", US_national_yearly!$D:$AM, 23, FALSE) / VLOOKUP("buildings|PM25|Minor restricted activity days", US_national_yearly!$D:$AM, 10, FALSE), 1)</f>
        <v>8.7510878370856684</v>
      </c>
      <c r="P14" s="7">
        <f>$B14 * IFERROR(VLOOKUP("buildings|PM25|Minor restricted activity days", US_national_yearly!$D:$AM, 24, FALSE) / VLOOKUP("buildings|PM25|Minor restricted activity days", US_national_yearly!$D:$AM, 10, FALSE), 1)</f>
        <v>8.8203343050916487</v>
      </c>
      <c r="Q14" s="7">
        <f>$B14 * IFERROR(VLOOKUP("buildings|PM25|Minor restricted activity days", US_national_yearly!$D:$AM, 25, FALSE) / VLOOKUP("buildings|PM25|Minor restricted activity days", US_national_yearly!$D:$AM, 10, FALSE), 1)</f>
        <v>8.8895807730976308</v>
      </c>
      <c r="R14" s="7">
        <f>$B14 * IFERROR(VLOOKUP("buildings|PM25|Minor restricted activity days", US_national_yearly!$D:$AM, 26, FALSE) / VLOOKUP("buildings|PM25|Minor restricted activity days", US_national_yearly!$D:$AM, 10, FALSE), 1)</f>
        <v>8.9588272411036129</v>
      </c>
      <c r="S14" s="7">
        <f>$B14 * IFERROR(VLOOKUP("buildings|PM25|Minor restricted activity days", US_national_yearly!$D:$AM, 27, FALSE) / VLOOKUP("buildings|PM25|Minor restricted activity days", US_national_yearly!$D:$AM, 10, FALSE), 1)</f>
        <v>9.0285028332177291</v>
      </c>
      <c r="T14" s="7">
        <f>$B14 * IFERROR(VLOOKUP("buildings|PM25|Minor restricted activity days", US_national_yearly!$D:$AM, 28, FALSE) / VLOOKUP("buildings|PM25|Minor restricted activity days", US_national_yearly!$D:$AM, 10, FALSE), 1)</f>
        <v>9.0981784253318434</v>
      </c>
      <c r="U14" s="7">
        <f>$B14 * IFERROR(VLOOKUP("buildings|PM25|Minor restricted activity days", US_national_yearly!$D:$AM, 29, FALSE) / VLOOKUP("buildings|PM25|Minor restricted activity days", US_national_yearly!$D:$AM, 10, FALSE), 1)</f>
        <v>9.1678540174459595</v>
      </c>
      <c r="V14" s="7">
        <f>$B14 * IFERROR(VLOOKUP("buildings|PM25|Minor restricted activity days", US_national_yearly!$D:$AM, 30, FALSE) / VLOOKUP("buildings|PM25|Minor restricted activity days", US_national_yearly!$D:$AM, 10, FALSE), 1)</f>
        <v>9.2375296095600739</v>
      </c>
      <c r="W14" s="7">
        <f>$B14 * IFERROR(VLOOKUP("buildings|PM25|Minor restricted activity days", US_national_yearly!$D:$AM, 31, FALSE) / VLOOKUP("buildings|PM25|Minor restricted activity days", US_national_yearly!$D:$AM, 10, FALSE), 1)</f>
        <v>9.3072052016741917</v>
      </c>
      <c r="X14" s="7">
        <f>$B14 * IFERROR(VLOOKUP("buildings|PM25|Minor restricted activity days", US_national_yearly!$D:$AM, 32, FALSE) / VLOOKUP("buildings|PM25|Minor restricted activity days", US_national_yearly!$D:$AM, 10, FALSE), 1)</f>
        <v>9.3677049078184673</v>
      </c>
      <c r="Y14" s="7">
        <f>$B14 * IFERROR(VLOOKUP("buildings|PM25|Minor restricted activity days", US_national_yearly!$D:$AM, 33, FALSE) / VLOOKUP("buildings|PM25|Minor restricted activity days", US_national_yearly!$D:$AM, 10, FALSE), 1)</f>
        <v>9.4282046139627411</v>
      </c>
      <c r="Z14" s="7">
        <f>$B14 * IFERROR(VLOOKUP("buildings|PM25|Minor restricted activity days", US_national_yearly!$D:$AM, 34, FALSE) / VLOOKUP("buildings|PM25|Minor restricted activity days", US_national_yearly!$D:$AM, 10, FALSE), 1)</f>
        <v>9.4887043201070131</v>
      </c>
      <c r="AA14" s="7">
        <f>$B14 * IFERROR(VLOOKUP("buildings|PM25|Minor restricted activity days", US_national_yearly!$D:$AM, 35, FALSE) / VLOOKUP("buildings|PM25|Minor restricted activity days", US_national_yearly!$D:$AM, 10, FALSE), 1)</f>
        <v>9.5492040262512887</v>
      </c>
      <c r="AB14" s="7">
        <f>$B14 * IFERROR(VLOOKUP("buildings|PM25|Minor restricted activity days", US_national_yearly!$D:$AM, 36, FALSE) / VLOOKUP("buildings|PM25|Minor restricted activity days", US_national_yearly!$D:$AM, 10, FALSE), 1)</f>
        <v>9.6097037323955625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1.3907056264933306</v>
      </c>
      <c r="C15" s="7">
        <f>$B15 * IFERROR(VLOOKUP("buildings|PM25|Work loss days", US_national_yearly!$D:$AM, 11, FALSE) / VLOOKUP("buildings|PM25|Work loss days", US_national_yearly!$D:$AM, 10, FALSE), 1)</f>
        <v>1.3950699606690071</v>
      </c>
      <c r="D15" s="7">
        <f>$B15 * IFERROR(VLOOKUP("buildings|PM25|Work loss days", US_national_yearly!$D:$AM, 12, FALSE) / VLOOKUP("buildings|PM25|Work loss days", US_national_yearly!$D:$AM, 10, FALSE), 1)</f>
        <v>1.3994342948446836</v>
      </c>
      <c r="E15" s="7">
        <f>$B15 * IFERROR(VLOOKUP("buildings|PM25|Work loss days", US_national_yearly!$D:$AM, 13, FALSE) / VLOOKUP("buildings|PM25|Work loss days", US_national_yearly!$D:$AM, 10, FALSE), 1)</f>
        <v>1.4037986290203599</v>
      </c>
      <c r="F15" s="7">
        <f>$B15 * IFERROR(VLOOKUP("buildings|PM25|Work loss days", US_national_yearly!$D:$AM, 14, FALSE) / VLOOKUP("buildings|PM25|Work loss days", US_national_yearly!$D:$AM, 10, FALSE), 1)</f>
        <v>1.4081629631960362</v>
      </c>
      <c r="G15" s="7">
        <f>$B15 * IFERROR(VLOOKUP("buildings|PM25|Work loss days", US_national_yearly!$D:$AM, 15, FALSE) / VLOOKUP("buildings|PM25|Work loss days", US_national_yearly!$D:$AM, 10, FALSE), 1)</f>
        <v>1.4138675390696884</v>
      </c>
      <c r="H15" s="7">
        <f>$B15 * IFERROR(VLOOKUP("buildings|PM25|Work loss days", US_national_yearly!$D:$AM, 16, FALSE) / VLOOKUP("buildings|PM25|Work loss days", US_national_yearly!$D:$AM, 10, FALSE), 1)</f>
        <v>1.4195721149433409</v>
      </c>
      <c r="I15" s="7">
        <f>$B15 * IFERROR(VLOOKUP("buildings|PM25|Work loss days", US_national_yearly!$D:$AM, 17, FALSE) / VLOOKUP("buildings|PM25|Work loss days", US_national_yearly!$D:$AM, 10, FALSE), 1)</f>
        <v>1.4279502333146381</v>
      </c>
      <c r="J15" s="7">
        <f>$B15 * IFERROR(VLOOKUP("buildings|PM25|Work loss days", US_national_yearly!$D:$AM, 18, FALSE) / VLOOKUP("buildings|PM25|Work loss days", US_national_yearly!$D:$AM, 10, FALSE), 1)</f>
        <v>1.4363283516859353</v>
      </c>
      <c r="K15" s="7">
        <f>$B15 * IFERROR(VLOOKUP("buildings|PM25|Work loss days", US_national_yearly!$D:$AM, 19, FALSE) / VLOOKUP("buildings|PM25|Work loss days", US_national_yearly!$D:$AM, 10, FALSE), 1)</f>
        <v>1.4447064700572327</v>
      </c>
      <c r="L15" s="7">
        <f>$B15 * IFERROR(VLOOKUP("buildings|PM25|Work loss days", US_national_yearly!$D:$AM, 20, FALSE) / VLOOKUP("buildings|PM25|Work loss days", US_national_yearly!$D:$AM, 10, FALSE), 1)</f>
        <v>1.4530845884285299</v>
      </c>
      <c r="M15" s="7">
        <f>$B15 * IFERROR(VLOOKUP("buildings|PM25|Work loss days", US_national_yearly!$D:$AM, 21, FALSE) / VLOOKUP("buildings|PM25|Work loss days", US_national_yearly!$D:$AM, 10, FALSE), 1)</f>
        <v>1.4614627067998276</v>
      </c>
      <c r="N15" s="7">
        <f>$B15 * IFERROR(VLOOKUP("buildings|PM25|Work loss days", US_national_yearly!$D:$AM, 22, FALSE) / VLOOKUP("buildings|PM25|Work loss days", US_national_yearly!$D:$AM, 10, FALSE), 1)</f>
        <v>1.4719962253834034</v>
      </c>
      <c r="O15" s="7">
        <f>$B15 * IFERROR(VLOOKUP("buildings|PM25|Work loss days", US_national_yearly!$D:$AM, 23, FALSE) / VLOOKUP("buildings|PM25|Work loss days", US_national_yearly!$D:$AM, 10, FALSE), 1)</f>
        <v>1.4825297439669796</v>
      </c>
      <c r="P15" s="7">
        <f>$B15 * IFERROR(VLOOKUP("buildings|PM25|Work loss days", US_national_yearly!$D:$AM, 24, FALSE) / VLOOKUP("buildings|PM25|Work loss days", US_national_yearly!$D:$AM, 10, FALSE), 1)</f>
        <v>1.4930632625505553</v>
      </c>
      <c r="Q15" s="7">
        <f>$B15 * IFERROR(VLOOKUP("buildings|PM25|Work loss days", US_national_yearly!$D:$AM, 25, FALSE) / VLOOKUP("buildings|PM25|Work loss days", US_national_yearly!$D:$AM, 10, FALSE), 1)</f>
        <v>1.5035967811341311</v>
      </c>
      <c r="R15" s="7">
        <f>$B15 * IFERROR(VLOOKUP("buildings|PM25|Work loss days", US_national_yearly!$D:$AM, 26, FALSE) / VLOOKUP("buildings|PM25|Work loss days", US_national_yearly!$D:$AM, 10, FALSE), 1)</f>
        <v>1.5141302997177073</v>
      </c>
      <c r="S15" s="7">
        <f>$B15 * IFERROR(VLOOKUP("buildings|PM25|Work loss days", US_national_yearly!$D:$AM, 27, FALSE) / VLOOKUP("buildings|PM25|Work loss days", US_national_yearly!$D:$AM, 10, FALSE), 1)</f>
        <v>1.5257658801348779</v>
      </c>
      <c r="T15" s="7">
        <f>$B15 * IFERROR(VLOOKUP("buildings|PM25|Work loss days", US_national_yearly!$D:$AM, 28, FALSE) / VLOOKUP("buildings|PM25|Work loss days", US_national_yearly!$D:$AM, 10, FALSE), 1)</f>
        <v>1.5374014605520487</v>
      </c>
      <c r="U15" s="7">
        <f>$B15 * IFERROR(VLOOKUP("buildings|PM25|Work loss days", US_national_yearly!$D:$AM, 29, FALSE) / VLOOKUP("buildings|PM25|Work loss days", US_national_yearly!$D:$AM, 10, FALSE), 1)</f>
        <v>1.5490370409692196</v>
      </c>
      <c r="V15" s="7">
        <f>$B15 * IFERROR(VLOOKUP("buildings|PM25|Work loss days", US_national_yearly!$D:$AM, 30, FALSE) / VLOOKUP("buildings|PM25|Work loss days", US_national_yearly!$D:$AM, 10, FALSE), 1)</f>
        <v>1.5606726213863902</v>
      </c>
      <c r="W15" s="7">
        <f>$B15 * IFERROR(VLOOKUP("buildings|PM25|Work loss days", US_national_yearly!$D:$AM, 31, FALSE) / VLOOKUP("buildings|PM25|Work loss days", US_national_yearly!$D:$AM, 10, FALSE), 1)</f>
        <v>1.572308201803561</v>
      </c>
      <c r="X15" s="7">
        <f>$B15 * IFERROR(VLOOKUP("buildings|PM25|Work loss days", US_national_yearly!$D:$AM, 32, FALSE) / VLOOKUP("buildings|PM25|Work loss days", US_national_yearly!$D:$AM, 10, FALSE), 1)</f>
        <v>1.5826336704434893</v>
      </c>
      <c r="Y15" s="7">
        <f>$B15 * IFERROR(VLOOKUP("buildings|PM25|Work loss days", US_national_yearly!$D:$AM, 33, FALSE) / VLOOKUP("buildings|PM25|Work loss days", US_national_yearly!$D:$AM, 10, FALSE), 1)</f>
        <v>1.5929591390834179</v>
      </c>
      <c r="Z15" s="7">
        <f>$B15 * IFERROR(VLOOKUP("buildings|PM25|Work loss days", US_national_yearly!$D:$AM, 34, FALSE) / VLOOKUP("buildings|PM25|Work loss days", US_national_yearly!$D:$AM, 10, FALSE), 1)</f>
        <v>1.603284607723346</v>
      </c>
      <c r="AA15" s="7">
        <f>$B15 * IFERROR(VLOOKUP("buildings|PM25|Work loss days", US_national_yearly!$D:$AM, 35, FALSE) / VLOOKUP("buildings|PM25|Work loss days", US_national_yearly!$D:$AM, 10, FALSE), 1)</f>
        <v>1.6136100763632746</v>
      </c>
      <c r="AB15" s="7">
        <f>$B15 * IFERROR(VLOOKUP("buildings|PM25|Work loss days", US_national_yearly!$D:$AM, 36, FALSE) / VLOOKUP("buildings|PM25|Work loss days", US_national_yearly!$D:$AM, 10, FALSE), 1)</f>
        <v>1.6239355450032029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2.9865960620086853E-3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3.0758545073839836E-3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3.1651129527592824E-3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3.2543713981345803E-3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3.3436298435098786E-3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3.4291529453430239E-3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3.5146760471761692E-3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3.5878916911641747E-3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3.6611073351521797E-3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3.734322979140186E-3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3.8075386231281919E-3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3.8807542671161978E-3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3.9296440719258207E-3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3.9785338767354432E-3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4.0274236815450656E-3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4.076313486354689E-3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4.1252032911643114E-3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4.1511816927042927E-3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4.1771600942442731E-3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4.2031384957842552E-3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4.2291168973242355E-3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4.2550952988642176E-3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4.2726607638064237E-3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4.2902262287486288E-3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4.3077916936908349E-3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4.32535715863304E-3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4.3429226235752461E-3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7.9828474160133851E-4</v>
      </c>
      <c r="C2" s="7">
        <f>$B2 * IFERROR(VLOOKUP("buildings|NOx|Premature mortality", US_national_yearly!$D:$AM, 11, FALSE) / VLOOKUP("buildings|NOx|Premature mortality", US_national_yearly!$D:$AM, 10, FALSE), 1)</f>
        <v>8.1002645955786294E-4</v>
      </c>
      <c r="D2" s="7">
        <f>$B2 * IFERROR(VLOOKUP("buildings|NOx|Premature mortality", US_national_yearly!$D:$AM, 12, FALSE) / VLOOKUP("buildings|NOx|Premature mortality", US_national_yearly!$D:$AM, 10, FALSE), 1)</f>
        <v>8.2176817751438715E-4</v>
      </c>
      <c r="E2" s="7">
        <f>$B2 * IFERROR(VLOOKUP("buildings|NOx|Premature mortality", US_national_yearly!$D:$AM, 13, FALSE) / VLOOKUP("buildings|NOx|Premature mortality", US_national_yearly!$D:$AM, 10, FALSE), 1)</f>
        <v>8.3350989547091147E-4</v>
      </c>
      <c r="F2" s="7">
        <f>$B2 * IFERROR(VLOOKUP("buildings|NOx|Premature mortality", US_national_yearly!$D:$AM, 14, FALSE) / VLOOKUP("buildings|NOx|Premature mortality", US_national_yearly!$D:$AM, 10, FALSE), 1)</f>
        <v>8.4525161342743568E-4</v>
      </c>
      <c r="G2" s="7">
        <f>$B2 * IFERROR(VLOOKUP("buildings|NOx|Premature mortality", US_national_yearly!$D:$AM, 15, FALSE) / VLOOKUP("buildings|NOx|Premature mortality", US_national_yearly!$D:$AM, 10, FALSE), 1)</f>
        <v>8.6633225200943994E-4</v>
      </c>
      <c r="H2" s="7">
        <f>$B2 * IFERROR(VLOOKUP("buildings|NOx|Premature mortality", US_national_yearly!$D:$AM, 16, FALSE) / VLOOKUP("buildings|NOx|Premature mortality", US_national_yearly!$D:$AM, 10, FALSE), 1)</f>
        <v>8.8741289059144442E-4</v>
      </c>
      <c r="I2" s="7">
        <f>$B2 * IFERROR(VLOOKUP("buildings|NOx|Premature mortality", US_national_yearly!$D:$AM, 17, FALSE) / VLOOKUP("buildings|NOx|Premature mortality", US_national_yearly!$D:$AM, 10, FALSE), 1)</f>
        <v>9.01036334812044E-4</v>
      </c>
      <c r="J2" s="7">
        <f>$B2 * IFERROR(VLOOKUP("buildings|NOx|Premature mortality", US_national_yearly!$D:$AM, 18, FALSE) / VLOOKUP("buildings|NOx|Premature mortality", US_national_yearly!$D:$AM, 10, FALSE), 1)</f>
        <v>9.1465977903264337E-4</v>
      </c>
      <c r="K2" s="7">
        <f>$B2 * IFERROR(VLOOKUP("buildings|NOx|Premature mortality", US_national_yearly!$D:$AM, 19, FALSE) / VLOOKUP("buildings|NOx|Premature mortality", US_national_yearly!$D:$AM, 10, FALSE), 1)</f>
        <v>9.2828322325324284E-4</v>
      </c>
      <c r="L2" s="7">
        <f>$B2 * IFERROR(VLOOKUP("buildings|NOx|Premature mortality", US_national_yearly!$D:$AM, 20, FALSE) / VLOOKUP("buildings|NOx|Premature mortality", US_national_yearly!$D:$AM, 10, FALSE), 1)</f>
        <v>9.4190666747384242E-4</v>
      </c>
      <c r="M2" s="7">
        <f>$B2 * IFERROR(VLOOKUP("buildings|NOx|Premature mortality", US_national_yearly!$D:$AM, 21, FALSE) / VLOOKUP("buildings|NOx|Premature mortality", US_national_yearly!$D:$AM, 10, FALSE), 1)</f>
        <v>9.555301116944419E-4</v>
      </c>
      <c r="N2" s="7">
        <f>$B2 * IFERROR(VLOOKUP("buildings|NOx|Premature mortality", US_national_yearly!$D:$AM, 22, FALSE) / VLOOKUP("buildings|NOx|Premature mortality", US_national_yearly!$D:$AM, 10, FALSE), 1)</f>
        <v>9.6562456381292766E-4</v>
      </c>
      <c r="O2" s="7">
        <f>$B2 * IFERROR(VLOOKUP("buildings|NOx|Premature mortality", US_national_yearly!$D:$AM, 23, FALSE) / VLOOKUP("buildings|NOx|Premature mortality", US_national_yearly!$D:$AM, 10, FALSE), 1)</f>
        <v>9.7571901593141363E-4</v>
      </c>
      <c r="P2" s="7">
        <f>$B2 * IFERROR(VLOOKUP("buildings|NOx|Premature mortality", US_national_yearly!$D:$AM, 24, FALSE) / VLOOKUP("buildings|NOx|Premature mortality", US_national_yearly!$D:$AM, 10, FALSE), 1)</f>
        <v>9.858134680498995E-4</v>
      </c>
      <c r="Q2" s="7">
        <f>$B2 * IFERROR(VLOOKUP("buildings|NOx|Premature mortality", US_national_yearly!$D:$AM, 25, FALSE) / VLOOKUP("buildings|NOx|Premature mortality", US_national_yearly!$D:$AM, 10, FALSE), 1)</f>
        <v>9.9590792016838537E-4</v>
      </c>
      <c r="R2" s="7">
        <f>$B2 * IFERROR(VLOOKUP("buildings|NOx|Premature mortality", US_national_yearly!$D:$AM, 26, FALSE) / VLOOKUP("buildings|NOx|Premature mortality", US_national_yearly!$D:$AM, 10, FALSE), 1)</f>
        <v>1.0060023722868712E-3</v>
      </c>
      <c r="S2" s="7">
        <f>$B2 * IFERROR(VLOOKUP("buildings|NOx|Premature mortality", US_national_yearly!$D:$AM, 27, FALSE) / VLOOKUP("buildings|NOx|Premature mortality", US_national_yearly!$D:$AM, 10, FALSE), 1)</f>
        <v>1.0105917082006255E-3</v>
      </c>
      <c r="T2" s="7">
        <f>$B2 * IFERROR(VLOOKUP("buildings|NOx|Premature mortality", US_national_yearly!$D:$AM, 28, FALSE) / VLOOKUP("buildings|NOx|Premature mortality", US_national_yearly!$D:$AM, 10, FALSE), 1)</f>
        <v>1.0151810441143794E-3</v>
      </c>
      <c r="U2" s="7">
        <f>$B2 * IFERROR(VLOOKUP("buildings|NOx|Premature mortality", US_national_yearly!$D:$AM, 29, FALSE) / VLOOKUP("buildings|NOx|Premature mortality", US_national_yearly!$D:$AM, 10, FALSE), 1)</f>
        <v>1.0197703800281334E-3</v>
      </c>
      <c r="V2" s="7">
        <f>$B2 * IFERROR(VLOOKUP("buildings|NOx|Premature mortality", US_national_yearly!$D:$AM, 30, FALSE) / VLOOKUP("buildings|NOx|Premature mortality", US_national_yearly!$D:$AM, 10, FALSE), 1)</f>
        <v>1.0243597159418877E-3</v>
      </c>
      <c r="W2" s="7">
        <f>$B2 * IFERROR(VLOOKUP("buildings|NOx|Premature mortality", US_national_yearly!$D:$AM, 31, FALSE) / VLOOKUP("buildings|NOx|Premature mortality", US_national_yearly!$D:$AM, 10, FALSE), 1)</f>
        <v>1.0289490518556414E-3</v>
      </c>
      <c r="X2" s="7">
        <f>$B2 * IFERROR(VLOOKUP("buildings|NOx|Premature mortality", US_national_yearly!$D:$AM, 32, FALSE) / VLOOKUP("buildings|NOx|Premature mortality", US_national_yearly!$D:$AM, 10, FALSE), 1)</f>
        <v>1.0291106845254415E-3</v>
      </c>
      <c r="Y2" s="7">
        <f>$B2 * IFERROR(VLOOKUP("buildings|NOx|Premature mortality", US_national_yearly!$D:$AM, 33, FALSE) / VLOOKUP("buildings|NOx|Premature mortality", US_national_yearly!$D:$AM, 10, FALSE), 1)</f>
        <v>1.0292723171952413E-3</v>
      </c>
      <c r="Z2" s="7">
        <f>$B2 * IFERROR(VLOOKUP("buildings|NOx|Premature mortality", US_national_yearly!$D:$AM, 34, FALSE) / VLOOKUP("buildings|NOx|Premature mortality", US_national_yearly!$D:$AM, 10, FALSE), 1)</f>
        <v>1.0294339498650414E-3</v>
      </c>
      <c r="AA2" s="7">
        <f>$B2 * IFERROR(VLOOKUP("buildings|NOx|Premature mortality", US_national_yearly!$D:$AM, 35, FALSE) / VLOOKUP("buildings|NOx|Premature mortality", US_national_yearly!$D:$AM, 10, FALSE), 1)</f>
        <v>1.029595582534841E-3</v>
      </c>
      <c r="AB2" s="7">
        <f>$B2 * IFERROR(VLOOKUP("buildings|NOx|Premature mortality", US_national_yearly!$D:$AM, 36, FALSE) / VLOOKUP("buildings|NOx|Premature mortality", US_national_yearly!$D:$AM, 10, FALSE), 1)</f>
        <v>1.0297572152046411E-3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1.5926743985139274E-6</v>
      </c>
      <c r="C3" s="7">
        <f>$B3 * IFERROR(VLOOKUP("buildings|NOx|Infant mortality", US_national_yearly!$D:$AM, 11, FALSE) / VLOOKUP("buildings|NOx|Infant mortality", US_national_yearly!$D:$AM, 10, FALSE), 1)</f>
        <v>1.5775458609489516E-6</v>
      </c>
      <c r="D3" s="7">
        <f>$B3 * IFERROR(VLOOKUP("buildings|NOx|Infant mortality", US_national_yearly!$D:$AM, 12, FALSE) / VLOOKUP("buildings|NOx|Infant mortality", US_national_yearly!$D:$AM, 10, FALSE), 1)</f>
        <v>1.5624173233839754E-6</v>
      </c>
      <c r="E3" s="7">
        <f>$B3 * IFERROR(VLOOKUP("buildings|NOx|Infant mortality", US_national_yearly!$D:$AM, 13, FALSE) / VLOOKUP("buildings|NOx|Infant mortality", US_national_yearly!$D:$AM, 10, FALSE), 1)</f>
        <v>1.5472887858189996E-6</v>
      </c>
      <c r="F3" s="7">
        <f>$B3 * IFERROR(VLOOKUP("buildings|NOx|Infant mortality", US_national_yearly!$D:$AM, 14, FALSE) / VLOOKUP("buildings|NOx|Infant mortality", US_national_yearly!$D:$AM, 10, FALSE), 1)</f>
        <v>1.5321602482540234E-6</v>
      </c>
      <c r="G3" s="7">
        <f>$B3 * IFERROR(VLOOKUP("buildings|NOx|Infant mortality", US_national_yearly!$D:$AM, 15, FALSE) / VLOOKUP("buildings|NOx|Infant mortality", US_national_yearly!$D:$AM, 10, FALSE), 1)</f>
        <v>1.0169521317075108E-6</v>
      </c>
      <c r="H3" s="7">
        <f>$B3 * IFERROR(VLOOKUP("buildings|NOx|Infant mortality", US_national_yearly!$D:$AM, 16, FALSE) / VLOOKUP("buildings|NOx|Infant mortality", US_national_yearly!$D:$AM, 10, FALSE), 1)</f>
        <v>5.0174401516099841E-7</v>
      </c>
      <c r="I3" s="7">
        <f>$B3 * IFERROR(VLOOKUP("buildings|NOx|Infant mortality", US_national_yearly!$D:$AM, 17, FALSE) / VLOOKUP("buildings|NOx|Infant mortality", US_national_yearly!$D:$AM, 10, FALSE), 1)</f>
        <v>4.981994152758286E-7</v>
      </c>
      <c r="J3" s="7">
        <f>$B3 * IFERROR(VLOOKUP("buildings|NOx|Infant mortality", US_national_yearly!$D:$AM, 18, FALSE) / VLOOKUP("buildings|NOx|Infant mortality", US_national_yearly!$D:$AM, 10, FALSE), 1)</f>
        <v>4.9465481539065868E-7</v>
      </c>
      <c r="K3" s="7">
        <f>$B3 * IFERROR(VLOOKUP("buildings|NOx|Infant mortality", US_national_yearly!$D:$AM, 19, FALSE) / VLOOKUP("buildings|NOx|Infant mortality", US_national_yearly!$D:$AM, 10, FALSE), 1)</f>
        <v>4.9111021550548888E-7</v>
      </c>
      <c r="L3" s="7">
        <f>$B3 * IFERROR(VLOOKUP("buildings|NOx|Infant mortality", US_national_yearly!$D:$AM, 20, FALSE) / VLOOKUP("buildings|NOx|Infant mortality", US_national_yearly!$D:$AM, 10, FALSE), 1)</f>
        <v>4.8756561562031917E-7</v>
      </c>
      <c r="M3" s="7">
        <f>$B3 * IFERROR(VLOOKUP("buildings|NOx|Infant mortality", US_national_yearly!$D:$AM, 21, FALSE) / VLOOKUP("buildings|NOx|Infant mortality", US_national_yearly!$D:$AM, 10, FALSE), 1)</f>
        <v>4.8402101573514926E-7</v>
      </c>
      <c r="N3" s="7">
        <f>$B3 * IFERROR(VLOOKUP("buildings|NOx|Infant mortality", US_national_yearly!$D:$AM, 22, FALSE) / VLOOKUP("buildings|NOx|Infant mortality", US_national_yearly!$D:$AM, 10, FALSE), 1)</f>
        <v>4.8167220785313556E-7</v>
      </c>
      <c r="O3" s="7">
        <f>$B3 * IFERROR(VLOOKUP("buildings|NOx|Infant mortality", US_national_yearly!$D:$AM, 23, FALSE) / VLOOKUP("buildings|NOx|Infant mortality", US_national_yearly!$D:$AM, 10, FALSE), 1)</f>
        <v>4.7932339997112177E-7</v>
      </c>
      <c r="P3" s="7">
        <f>$B3 * IFERROR(VLOOKUP("buildings|NOx|Infant mortality", US_national_yearly!$D:$AM, 24, FALSE) / VLOOKUP("buildings|NOx|Infant mortality", US_national_yearly!$D:$AM, 10, FALSE), 1)</f>
        <v>4.7697459208910807E-7</v>
      </c>
      <c r="Q3" s="7">
        <f>$B3 * IFERROR(VLOOKUP("buildings|NOx|Infant mortality", US_national_yearly!$D:$AM, 25, FALSE) / VLOOKUP("buildings|NOx|Infant mortality", US_national_yearly!$D:$AM, 10, FALSE), 1)</f>
        <v>4.7462578420709444E-7</v>
      </c>
      <c r="R3" s="7">
        <f>$B3 * IFERROR(VLOOKUP("buildings|NOx|Infant mortality", US_national_yearly!$D:$AM, 26, FALSE) / VLOOKUP("buildings|NOx|Infant mortality", US_national_yearly!$D:$AM, 10, FALSE), 1)</f>
        <v>4.7227697632508069E-7</v>
      </c>
      <c r="S3" s="7">
        <f>$B3 * IFERROR(VLOOKUP("buildings|NOx|Infant mortality", US_national_yearly!$D:$AM, 27, FALSE) / VLOOKUP("buildings|NOx|Infant mortality", US_national_yearly!$D:$AM, 10, FALSE), 1)</f>
        <v>4.6945151045627911E-7</v>
      </c>
      <c r="T3" s="7">
        <f>$B3 * IFERROR(VLOOKUP("buildings|NOx|Infant mortality", US_national_yearly!$D:$AM, 28, FALSE) / VLOOKUP("buildings|NOx|Infant mortality", US_national_yearly!$D:$AM, 10, FALSE), 1)</f>
        <v>4.6662604458747763E-7</v>
      </c>
      <c r="U3" s="7">
        <f>$B3 * IFERROR(VLOOKUP("buildings|NOx|Infant mortality", US_national_yearly!$D:$AM, 29, FALSE) / VLOOKUP("buildings|NOx|Infant mortality", US_national_yearly!$D:$AM, 10, FALSE), 1)</f>
        <v>4.6380057871867605E-7</v>
      </c>
      <c r="V3" s="7">
        <f>$B3 * IFERROR(VLOOKUP("buildings|NOx|Infant mortality", US_national_yearly!$D:$AM, 30, FALSE) / VLOOKUP("buildings|NOx|Infant mortality", US_national_yearly!$D:$AM, 10, FALSE), 1)</f>
        <v>4.6097511284987452E-7</v>
      </c>
      <c r="W3" s="7">
        <f>$B3 * IFERROR(VLOOKUP("buildings|NOx|Infant mortality", US_national_yearly!$D:$AM, 31, FALSE) / VLOOKUP("buildings|NOx|Infant mortality", US_national_yearly!$D:$AM, 10, FALSE), 1)</f>
        <v>4.5814964698107305E-7</v>
      </c>
      <c r="X3" s="7">
        <f>$B3 * IFERROR(VLOOKUP("buildings|NOx|Infant mortality", US_national_yearly!$D:$AM, 32, FALSE) / VLOOKUP("buildings|NOx|Infant mortality", US_national_yearly!$D:$AM, 10, FALSE), 1)</f>
        <v>4.5516005645638511E-7</v>
      </c>
      <c r="Y3" s="7">
        <f>$B3 * IFERROR(VLOOKUP("buildings|NOx|Infant mortality", US_national_yearly!$D:$AM, 33, FALSE) / VLOOKUP("buildings|NOx|Infant mortality", US_national_yearly!$D:$AM, 10, FALSE), 1)</f>
        <v>4.5217046593169733E-7</v>
      </c>
      <c r="Z3" s="7">
        <f>$B3 * IFERROR(VLOOKUP("buildings|NOx|Infant mortality", US_national_yearly!$D:$AM, 34, FALSE) / VLOOKUP("buildings|NOx|Infant mortality", US_national_yearly!$D:$AM, 10, FALSE), 1)</f>
        <v>4.4918087540700944E-7</v>
      </c>
      <c r="AA3" s="7">
        <f>$B3 * IFERROR(VLOOKUP("buildings|NOx|Infant mortality", US_national_yearly!$D:$AM, 35, FALSE) / VLOOKUP("buildings|NOx|Infant mortality", US_national_yearly!$D:$AM, 10, FALSE), 1)</f>
        <v>4.4619128488232156E-7</v>
      </c>
      <c r="AB3" s="7">
        <f>$B3 * IFERROR(VLOOKUP("buildings|NOx|Infant mortality", US_national_yearly!$D:$AM, 36, FALSE) / VLOOKUP("buildings|NOx|Infant mortality", US_national_yearly!$D:$AM, 10, FALSE), 1)</f>
        <v>4.4320169435763362E-7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1.6856463147765532E-3</v>
      </c>
      <c r="C6" s="7">
        <f>$B6 * IFERROR(VLOOKUP("buildings|NOx|Asthma symptoms cough", US_national_yearly!$D:$AM, 11, FALSE) / VLOOKUP("buildings|NOx|Asthma symptoms cough", US_national_yearly!$D:$AM, 10, FALSE), 1)</f>
        <v>1.7087148437331596E-3</v>
      </c>
      <c r="D6" s="7">
        <f>$B6 * IFERROR(VLOOKUP("buildings|NOx|Asthma symptoms cough", US_national_yearly!$D:$AM, 12, FALSE) / VLOOKUP("buildings|NOx|Asthma symptoms cough", US_national_yearly!$D:$AM, 10, FALSE), 1)</f>
        <v>1.7317833726897662E-3</v>
      </c>
      <c r="E6" s="7">
        <f>$B6 * IFERROR(VLOOKUP("buildings|NOx|Asthma symptoms cough", US_national_yearly!$D:$AM, 13, FALSE) / VLOOKUP("buildings|NOx|Asthma symptoms cough", US_national_yearly!$D:$AM, 10, FALSE), 1)</f>
        <v>1.7548519016463726E-3</v>
      </c>
      <c r="F6" s="7">
        <f>$B6 * IFERROR(VLOOKUP("buildings|NOx|Asthma symptoms cough", US_national_yearly!$D:$AM, 14, FALSE) / VLOOKUP("buildings|NOx|Asthma symptoms cough", US_national_yearly!$D:$AM, 10, FALSE), 1)</f>
        <v>1.7779204306029789E-3</v>
      </c>
      <c r="G6" s="7">
        <f>$B6 * IFERROR(VLOOKUP("buildings|NOx|Asthma symptoms cough", US_national_yearly!$D:$AM, 15, FALSE) / VLOOKUP("buildings|NOx|Asthma symptoms cough", US_national_yearly!$D:$AM, 10, FALSE), 1)</f>
        <v>1.7963565078113752E-3</v>
      </c>
      <c r="H6" s="7">
        <f>$B6 * IFERROR(VLOOKUP("buildings|NOx|Asthma symptoms cough", US_national_yearly!$D:$AM, 16, FALSE) / VLOOKUP("buildings|NOx|Asthma symptoms cough", US_national_yearly!$D:$AM, 10, FALSE), 1)</f>
        <v>1.8147925850197717E-3</v>
      </c>
      <c r="I6" s="7">
        <f>$B6 * IFERROR(VLOOKUP("buildings|NOx|Asthma symptoms cough", US_national_yearly!$D:$AM, 17, FALSE) / VLOOKUP("buildings|NOx|Asthma symptoms cough", US_national_yearly!$D:$AM, 10, FALSE), 1)</f>
        <v>1.8211727668347043E-3</v>
      </c>
      <c r="J6" s="7">
        <f>$B6 * IFERROR(VLOOKUP("buildings|NOx|Asthma symptoms cough", US_national_yearly!$D:$AM, 18, FALSE) / VLOOKUP("buildings|NOx|Asthma symptoms cough", US_national_yearly!$D:$AM, 10, FALSE), 1)</f>
        <v>1.8275529486496368E-3</v>
      </c>
      <c r="K6" s="7">
        <f>$B6 * IFERROR(VLOOKUP("buildings|NOx|Asthma symptoms cough", US_national_yearly!$D:$AM, 19, FALSE) / VLOOKUP("buildings|NOx|Asthma symptoms cough", US_national_yearly!$D:$AM, 10, FALSE), 1)</f>
        <v>1.8339331304645689E-3</v>
      </c>
      <c r="L6" s="7">
        <f>$B6 * IFERROR(VLOOKUP("buildings|NOx|Asthma symptoms cough", US_national_yearly!$D:$AM, 20, FALSE) / VLOOKUP("buildings|NOx|Asthma symptoms cough", US_national_yearly!$D:$AM, 10, FALSE), 1)</f>
        <v>1.8403133122795014E-3</v>
      </c>
      <c r="M6" s="7">
        <f>$B6 * IFERROR(VLOOKUP("buildings|NOx|Asthma symptoms cough", US_national_yearly!$D:$AM, 21, FALSE) / VLOOKUP("buildings|NOx|Asthma symptoms cough", US_national_yearly!$D:$AM, 10, FALSE), 1)</f>
        <v>1.8466934940944335E-3</v>
      </c>
      <c r="N6" s="7">
        <f>$B6 * IFERROR(VLOOKUP("buildings|NOx|Asthma symptoms cough", US_national_yearly!$D:$AM, 22, FALSE) / VLOOKUP("buildings|NOx|Asthma symptoms cough", US_national_yearly!$D:$AM, 10, FALSE), 1)</f>
        <v>1.8540709768580014E-3</v>
      </c>
      <c r="O6" s="7">
        <f>$B6 * IFERROR(VLOOKUP("buildings|NOx|Asthma symptoms cough", US_national_yearly!$D:$AM, 23, FALSE) / VLOOKUP("buildings|NOx|Asthma symptoms cough", US_national_yearly!$D:$AM, 10, FALSE), 1)</f>
        <v>1.8614484596215688E-3</v>
      </c>
      <c r="P6" s="7">
        <f>$B6 * IFERROR(VLOOKUP("buildings|NOx|Asthma symptoms cough", US_national_yearly!$D:$AM, 24, FALSE) / VLOOKUP("buildings|NOx|Asthma symptoms cough", US_national_yearly!$D:$AM, 10, FALSE), 1)</f>
        <v>1.8688259423851362E-3</v>
      </c>
      <c r="Q6" s="7">
        <f>$B6 * IFERROR(VLOOKUP("buildings|NOx|Asthma symptoms cough", US_national_yearly!$D:$AM, 25, FALSE) / VLOOKUP("buildings|NOx|Asthma symptoms cough", US_national_yearly!$D:$AM, 10, FALSE), 1)</f>
        <v>1.8762034251487041E-3</v>
      </c>
      <c r="R6" s="7">
        <f>$B6 * IFERROR(VLOOKUP("buildings|NOx|Asthma symptoms cough", US_national_yearly!$D:$AM, 26, FALSE) / VLOOKUP("buildings|NOx|Asthma symptoms cough", US_national_yearly!$D:$AM, 10, FALSE), 1)</f>
        <v>1.8835809079122716E-3</v>
      </c>
      <c r="S6" s="7">
        <f>$B6 * IFERROR(VLOOKUP("buildings|NOx|Asthma symptoms cough", US_national_yearly!$D:$AM, 27, FALSE) / VLOOKUP("buildings|NOx|Asthma symptoms cough", US_national_yearly!$D:$AM, 10, FALSE), 1)</f>
        <v>1.8932160567505416E-3</v>
      </c>
      <c r="T6" s="7">
        <f>$B6 * IFERROR(VLOOKUP("buildings|NOx|Asthma symptoms cough", US_national_yearly!$D:$AM, 28, FALSE) / VLOOKUP("buildings|NOx|Asthma symptoms cough", US_national_yearly!$D:$AM, 10, FALSE), 1)</f>
        <v>1.9028512055888113E-3</v>
      </c>
      <c r="U6" s="7">
        <f>$B6 * IFERROR(VLOOKUP("buildings|NOx|Asthma symptoms cough", US_national_yearly!$D:$AM, 29, FALSE) / VLOOKUP("buildings|NOx|Asthma symptoms cough", US_national_yearly!$D:$AM, 10, FALSE), 1)</f>
        <v>1.9124863544270809E-3</v>
      </c>
      <c r="V6" s="7">
        <f>$B6 * IFERROR(VLOOKUP("buildings|NOx|Asthma symptoms cough", US_national_yearly!$D:$AM, 30, FALSE) / VLOOKUP("buildings|NOx|Asthma symptoms cough", US_national_yearly!$D:$AM, 10, FALSE), 1)</f>
        <v>1.9221215032653514E-3</v>
      </c>
      <c r="W6" s="7">
        <f>$B6 * IFERROR(VLOOKUP("buildings|NOx|Asthma symptoms cough", US_national_yearly!$D:$AM, 31, FALSE) / VLOOKUP("buildings|NOx|Asthma symptoms cough", US_national_yearly!$D:$AM, 10, FALSE), 1)</f>
        <v>1.9317566521036211E-3</v>
      </c>
      <c r="X6" s="7">
        <f>$B6 * IFERROR(VLOOKUP("buildings|NOx|Asthma symptoms cough", US_national_yearly!$D:$AM, 32, FALSE) / VLOOKUP("buildings|NOx|Asthma symptoms cough", US_national_yearly!$D:$AM, 10, FALSE), 1)</f>
        <v>1.9407090311965244E-3</v>
      </c>
      <c r="Y6" s="7">
        <f>$B6 * IFERROR(VLOOKUP("buildings|NOx|Asthma symptoms cough", US_national_yearly!$D:$AM, 33, FALSE) / VLOOKUP("buildings|NOx|Asthma symptoms cough", US_national_yearly!$D:$AM, 10, FALSE), 1)</f>
        <v>1.949661410289428E-3</v>
      </c>
      <c r="Z6" s="7">
        <f>$B6 * IFERROR(VLOOKUP("buildings|NOx|Asthma symptoms cough", US_national_yearly!$D:$AM, 34, FALSE) / VLOOKUP("buildings|NOx|Asthma symptoms cough", US_national_yearly!$D:$AM, 10, FALSE), 1)</f>
        <v>1.9586137893823313E-3</v>
      </c>
      <c r="AA6" s="7">
        <f>$B6 * IFERROR(VLOOKUP("buildings|NOx|Asthma symptoms cough", US_national_yearly!$D:$AM, 35, FALSE) / VLOOKUP("buildings|NOx|Asthma symptoms cough", US_national_yearly!$D:$AM, 10, FALSE), 1)</f>
        <v>1.9675661684752351E-3</v>
      </c>
      <c r="AB6" s="7">
        <f>$B6 * IFERROR(VLOOKUP("buildings|NOx|Asthma symptoms cough", US_national_yearly!$D:$AM, 36, FALSE) / VLOOKUP("buildings|NOx|Asthma symptoms cough", US_national_yearly!$D:$AM, 10, FALSE), 1)</f>
        <v>1.9765185475681384E-3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2.269961010942039E-3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2.3010260456106991E-3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2.3320910802793592E-3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2.3631561149480194E-3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2.3942211496166791E-3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2.4190479332224304E-3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2.4438747168281823E-3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2.4524665332939181E-3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2.4610583497596534E-3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2.4696501662253897E-3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2.4782419826911255E-3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2.4868337991568613E-3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2.4967686223242077E-3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2.5067034454915537E-3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2.5166382686589001E-3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2.5265730918262465E-3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2.5365079149935925E-3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2.5494830046620507E-3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2.5624580943305088E-3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2.5754331839989669E-3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2.5884082736674246E-3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2.6013833633358827E-3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2.6134390070372804E-3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2.6254946507386773E-3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2.6375502944400745E-3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2.6496059381414705E-3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2.6616615818428682E-3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3.4681383611861669E-3</v>
      </c>
      <c r="C8" s="7">
        <f>$B8 * IFERROR(VLOOKUP("buildings|NOx|Asthma symptoms wheeze", US_national_yearly!$D:$AM, 11, FALSE) / VLOOKUP("buildings|NOx|Asthma symptoms wheeze", US_national_yearly!$D:$AM, 10, FALSE), 1)</f>
        <v>3.5156007793345156E-3</v>
      </c>
      <c r="D8" s="7">
        <f>$B8 * IFERROR(VLOOKUP("buildings|NOx|Asthma symptoms wheeze", US_national_yearly!$D:$AM, 12, FALSE) / VLOOKUP("buildings|NOx|Asthma symptoms wheeze", US_national_yearly!$D:$AM, 10, FALSE), 1)</f>
        <v>3.5630631974828638E-3</v>
      </c>
      <c r="E8" s="7">
        <f>$B8 * IFERROR(VLOOKUP("buildings|NOx|Asthma symptoms wheeze", US_national_yearly!$D:$AM, 13, FALSE) / VLOOKUP("buildings|NOx|Asthma symptoms wheeze", US_national_yearly!$D:$AM, 10, FALSE), 1)</f>
        <v>3.6105256156312117E-3</v>
      </c>
      <c r="F8" s="7">
        <f>$B8 * IFERROR(VLOOKUP("buildings|NOx|Asthma symptoms wheeze", US_national_yearly!$D:$AM, 14, FALSE) / VLOOKUP("buildings|NOx|Asthma symptoms wheeze", US_national_yearly!$D:$AM, 10, FALSE), 1)</f>
        <v>3.6579880337795608E-3</v>
      </c>
      <c r="G8" s="7">
        <f>$B8 * IFERROR(VLOOKUP("buildings|NOx|Asthma symptoms wheeze", US_national_yearly!$D:$AM, 15, FALSE) / VLOOKUP("buildings|NOx|Asthma symptoms wheeze", US_national_yearly!$D:$AM, 10, FALSE), 1)</f>
        <v>3.695919399370464E-3</v>
      </c>
      <c r="H8" s="7">
        <f>$B8 * IFERROR(VLOOKUP("buildings|NOx|Asthma symptoms wheeze", US_national_yearly!$D:$AM, 16, FALSE) / VLOOKUP("buildings|NOx|Asthma symptoms wheeze", US_national_yearly!$D:$AM, 10, FALSE), 1)</f>
        <v>3.7338507649613663E-3</v>
      </c>
      <c r="I8" s="7">
        <f>$B8 * IFERROR(VLOOKUP("buildings|NOx|Asthma symptoms wheeze", US_national_yearly!$D:$AM, 17, FALSE) / VLOOKUP("buildings|NOx|Asthma symptoms wheeze", US_national_yearly!$D:$AM, 10, FALSE), 1)</f>
        <v>3.7469776902969648E-3</v>
      </c>
      <c r="J8" s="7">
        <f>$B8 * IFERROR(VLOOKUP("buildings|NOx|Asthma symptoms wheeze", US_national_yearly!$D:$AM, 18, FALSE) / VLOOKUP("buildings|NOx|Asthma symptoms wheeze", US_national_yearly!$D:$AM, 10, FALSE), 1)</f>
        <v>3.7601046156325625E-3</v>
      </c>
      <c r="K8" s="7">
        <f>$B8 * IFERROR(VLOOKUP("buildings|NOx|Asthma symptoms wheeze", US_national_yearly!$D:$AM, 19, FALSE) / VLOOKUP("buildings|NOx|Asthma symptoms wheeze", US_national_yearly!$D:$AM, 10, FALSE), 1)</f>
        <v>3.7732315409681602E-3</v>
      </c>
      <c r="L8" s="7">
        <f>$B8 * IFERROR(VLOOKUP("buildings|NOx|Asthma symptoms wheeze", US_national_yearly!$D:$AM, 20, FALSE) / VLOOKUP("buildings|NOx|Asthma symptoms wheeze", US_national_yearly!$D:$AM, 10, FALSE), 1)</f>
        <v>3.7863584663037583E-3</v>
      </c>
      <c r="M8" s="7">
        <f>$B8 * IFERROR(VLOOKUP("buildings|NOx|Asthma symptoms wheeze", US_national_yearly!$D:$AM, 21, FALSE) / VLOOKUP("buildings|NOx|Asthma symptoms wheeze", US_national_yearly!$D:$AM, 10, FALSE), 1)</f>
        <v>3.7994853916393568E-3</v>
      </c>
      <c r="N8" s="7">
        <f>$B8 * IFERROR(VLOOKUP("buildings|NOx|Asthma symptoms wheeze", US_national_yearly!$D:$AM, 22, FALSE) / VLOOKUP("buildings|NOx|Asthma symptoms wheeze", US_national_yearly!$D:$AM, 10, FALSE), 1)</f>
        <v>3.8146642169792459E-3</v>
      </c>
      <c r="O8" s="7">
        <f>$B8 * IFERROR(VLOOKUP("buildings|NOx|Asthma symptoms wheeze", US_national_yearly!$D:$AM, 23, FALSE) / VLOOKUP("buildings|NOx|Asthma symptoms wheeze", US_national_yearly!$D:$AM, 10, FALSE), 1)</f>
        <v>3.8298430423191355E-3</v>
      </c>
      <c r="P8" s="7">
        <f>$B8 * IFERROR(VLOOKUP("buildings|NOx|Asthma symptoms wheeze", US_national_yearly!$D:$AM, 24, FALSE) / VLOOKUP("buildings|NOx|Asthma symptoms wheeze", US_national_yearly!$D:$AM, 10, FALSE), 1)</f>
        <v>3.8450218676590246E-3</v>
      </c>
      <c r="Q8" s="7">
        <f>$B8 * IFERROR(VLOOKUP("buildings|NOx|Asthma symptoms wheeze", US_national_yearly!$D:$AM, 25, FALSE) / VLOOKUP("buildings|NOx|Asthma symptoms wheeze", US_national_yearly!$D:$AM, 10, FALSE), 1)</f>
        <v>3.8602006929989146E-3</v>
      </c>
      <c r="R8" s="7">
        <f>$B8 * IFERROR(VLOOKUP("buildings|NOx|Asthma symptoms wheeze", US_national_yearly!$D:$AM, 26, FALSE) / VLOOKUP("buildings|NOx|Asthma symptoms wheeze", US_national_yearly!$D:$AM, 10, FALSE), 1)</f>
        <v>3.8753795183388037E-3</v>
      </c>
      <c r="S8" s="7">
        <f>$B8 * IFERROR(VLOOKUP("buildings|NOx|Asthma symptoms wheeze", US_national_yearly!$D:$AM, 27, FALSE) / VLOOKUP("buildings|NOx|Asthma symptoms wheeze", US_national_yearly!$D:$AM, 10, FALSE), 1)</f>
        <v>3.8952033859182313E-3</v>
      </c>
      <c r="T8" s="7">
        <f>$B8 * IFERROR(VLOOKUP("buildings|NOx|Asthma symptoms wheeze", US_national_yearly!$D:$AM, 28, FALSE) / VLOOKUP("buildings|NOx|Asthma symptoms wheeze", US_national_yearly!$D:$AM, 10, FALSE), 1)</f>
        <v>3.9150272534976584E-3</v>
      </c>
      <c r="U8" s="7">
        <f>$B8 * IFERROR(VLOOKUP("buildings|NOx|Asthma symptoms wheeze", US_national_yearly!$D:$AM, 29, FALSE) / VLOOKUP("buildings|NOx|Asthma symptoms wheeze", US_national_yearly!$D:$AM, 10, FALSE), 1)</f>
        <v>3.9348511210770855E-3</v>
      </c>
      <c r="V8" s="7">
        <f>$B8 * IFERROR(VLOOKUP("buildings|NOx|Asthma symptoms wheeze", US_national_yearly!$D:$AM, 30, FALSE) / VLOOKUP("buildings|NOx|Asthma symptoms wheeze", US_national_yearly!$D:$AM, 10, FALSE), 1)</f>
        <v>3.9546749886565135E-3</v>
      </c>
      <c r="W8" s="7">
        <f>$B8 * IFERROR(VLOOKUP("buildings|NOx|Asthma symptoms wheeze", US_national_yearly!$D:$AM, 31, FALSE) / VLOOKUP("buildings|NOx|Asthma symptoms wheeze", US_national_yearly!$D:$AM, 10, FALSE), 1)</f>
        <v>3.9744988562359406E-3</v>
      </c>
      <c r="X8" s="7">
        <f>$B8 * IFERROR(VLOOKUP("buildings|NOx|Asthma symptoms wheeze", US_national_yearly!$D:$AM, 32, FALSE) / VLOOKUP("buildings|NOx|Asthma symptoms wheeze", US_national_yearly!$D:$AM, 10, FALSE), 1)</f>
        <v>3.9929179570351702E-3</v>
      </c>
      <c r="Y8" s="7">
        <f>$B8 * IFERROR(VLOOKUP("buildings|NOx|Asthma symptoms wheeze", US_national_yearly!$D:$AM, 33, FALSE) / VLOOKUP("buildings|NOx|Asthma symptoms wheeze", US_national_yearly!$D:$AM, 10, FALSE), 1)</f>
        <v>4.0113370578344007E-3</v>
      </c>
      <c r="Z8" s="7">
        <f>$B8 * IFERROR(VLOOKUP("buildings|NOx|Asthma symptoms wheeze", US_national_yearly!$D:$AM, 34, FALSE) / VLOOKUP("buildings|NOx|Asthma symptoms wheeze", US_national_yearly!$D:$AM, 10, FALSE), 1)</f>
        <v>4.0297561586336312E-3</v>
      </c>
      <c r="AA8" s="7">
        <f>$B8 * IFERROR(VLOOKUP("buildings|NOx|Asthma symptoms wheeze", US_national_yearly!$D:$AM, 35, FALSE) / VLOOKUP("buildings|NOx|Asthma symptoms wheeze", US_national_yearly!$D:$AM, 10, FALSE), 1)</f>
        <v>4.0481752594328617E-3</v>
      </c>
      <c r="AB8" s="7">
        <f>$B8 * IFERROR(VLOOKUP("buildings|NOx|Asthma symptoms wheeze", US_national_yearly!$D:$AM, 36, FALSE) / VLOOKUP("buildings|NOx|Asthma symptoms wheeze", US_national_yearly!$D:$AM, 10, FALSE), 1)</f>
        <v>4.0665943602320922E-3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5.9315459046496768E-5</v>
      </c>
      <c r="C12" s="7">
        <f>$B12 * IFERROR(VLOOKUP("buildings|NOx|Respiratory hospital admissions", US_national_yearly!$D:$AM, 11, FALSE) / VLOOKUP("buildings|NOx|Respiratory hospital admissions", US_national_yearly!$D:$AM, 10, FALSE), 1)</f>
        <v>6.0797417264764415E-5</v>
      </c>
      <c r="D12" s="7">
        <f>$B12 * IFERROR(VLOOKUP("buildings|NOx|Respiratory hospital admissions", US_national_yearly!$D:$AM, 12, FALSE) / VLOOKUP("buildings|NOx|Respiratory hospital admissions", US_national_yearly!$D:$AM, 10, FALSE), 1)</f>
        <v>6.2279375483032055E-5</v>
      </c>
      <c r="E12" s="7">
        <f>$B12 * IFERROR(VLOOKUP("buildings|NOx|Respiratory hospital admissions", US_national_yearly!$D:$AM, 13, FALSE) / VLOOKUP("buildings|NOx|Respiratory hospital admissions", US_national_yearly!$D:$AM, 10, FALSE), 1)</f>
        <v>6.3761333701299695E-5</v>
      </c>
      <c r="F12" s="7">
        <f>$B12 * IFERROR(VLOOKUP("buildings|NOx|Respiratory hospital admissions", US_national_yearly!$D:$AM, 14, FALSE) / VLOOKUP("buildings|NOx|Respiratory hospital admissions", US_national_yearly!$D:$AM, 10, FALSE), 1)</f>
        <v>6.5243291919567348E-5</v>
      </c>
      <c r="G12" s="7">
        <f>$B12 * IFERROR(VLOOKUP("buildings|NOx|Respiratory hospital admissions", US_national_yearly!$D:$AM, 15, FALSE) / VLOOKUP("buildings|NOx|Respiratory hospital admissions", US_national_yearly!$D:$AM, 10, FALSE), 1)</f>
        <v>6.6660089071898107E-5</v>
      </c>
      <c r="H12" s="7">
        <f>$B12 * IFERROR(VLOOKUP("buildings|NOx|Respiratory hospital admissions", US_national_yearly!$D:$AM, 16, FALSE) / VLOOKUP("buildings|NOx|Respiratory hospital admissions", US_national_yearly!$D:$AM, 10, FALSE), 1)</f>
        <v>6.8076886224228853E-5</v>
      </c>
      <c r="I12" s="7">
        <f>$B12 * IFERROR(VLOOKUP("buildings|NOx|Respiratory hospital admissions", US_national_yearly!$D:$AM, 17, FALSE) / VLOOKUP("buildings|NOx|Respiratory hospital admissions", US_national_yearly!$D:$AM, 10, FALSE), 1)</f>
        <v>6.9280422025016835E-5</v>
      </c>
      <c r="J12" s="7">
        <f>$B12 * IFERROR(VLOOKUP("buildings|NOx|Respiratory hospital admissions", US_national_yearly!$D:$AM, 18, FALSE) / VLOOKUP("buildings|NOx|Respiratory hospital admissions", US_national_yearly!$D:$AM, 10, FALSE), 1)</f>
        <v>7.0483957825804832E-5</v>
      </c>
      <c r="K12" s="7">
        <f>$B12 * IFERROR(VLOOKUP("buildings|NOx|Respiratory hospital admissions", US_national_yearly!$D:$AM, 19, FALSE) / VLOOKUP("buildings|NOx|Respiratory hospital admissions", US_national_yearly!$D:$AM, 10, FALSE), 1)</f>
        <v>7.1687493626592828E-5</v>
      </c>
      <c r="L12" s="7">
        <f>$B12 * IFERROR(VLOOKUP("buildings|NOx|Respiratory hospital admissions", US_national_yearly!$D:$AM, 20, FALSE) / VLOOKUP("buildings|NOx|Respiratory hospital admissions", US_national_yearly!$D:$AM, 10, FALSE), 1)</f>
        <v>7.2891029427380811E-5</v>
      </c>
      <c r="M12" s="7">
        <f>$B12 * IFERROR(VLOOKUP("buildings|NOx|Respiratory hospital admissions", US_national_yearly!$D:$AM, 21, FALSE) / VLOOKUP("buildings|NOx|Respiratory hospital admissions", US_national_yearly!$D:$AM, 10, FALSE), 1)</f>
        <v>7.4094565228168807E-5</v>
      </c>
      <c r="N12" s="7">
        <f>$B12 * IFERROR(VLOOKUP("buildings|NOx|Respiratory hospital admissions", US_national_yearly!$D:$AM, 22, FALSE) / VLOOKUP("buildings|NOx|Respiratory hospital admissions", US_national_yearly!$D:$AM, 10, FALSE), 1)</f>
        <v>7.4899122288892217E-5</v>
      </c>
      <c r="O12" s="7">
        <f>$B12 * IFERROR(VLOOKUP("buildings|NOx|Respiratory hospital admissions", US_national_yearly!$D:$AM, 23, FALSE) / VLOOKUP("buildings|NOx|Respiratory hospital admissions", US_national_yearly!$D:$AM, 10, FALSE), 1)</f>
        <v>7.5703679349615628E-5</v>
      </c>
      <c r="P12" s="7">
        <f>$B12 * IFERROR(VLOOKUP("buildings|NOx|Respiratory hospital admissions", US_national_yearly!$D:$AM, 24, FALSE) / VLOOKUP("buildings|NOx|Respiratory hospital admissions", US_national_yearly!$D:$AM, 10, FALSE), 1)</f>
        <v>7.6508236410339039E-5</v>
      </c>
      <c r="Q12" s="7">
        <f>$B12 * IFERROR(VLOOKUP("buildings|NOx|Respiratory hospital admissions", US_national_yearly!$D:$AM, 25, FALSE) / VLOOKUP("buildings|NOx|Respiratory hospital admissions", US_national_yearly!$D:$AM, 10, FALSE), 1)</f>
        <v>7.7312793471062463E-5</v>
      </c>
      <c r="R12" s="7">
        <f>$B12 * IFERROR(VLOOKUP("buildings|NOx|Respiratory hospital admissions", US_national_yearly!$D:$AM, 26, FALSE) / VLOOKUP("buildings|NOx|Respiratory hospital admissions", US_national_yearly!$D:$AM, 10, FALSE), 1)</f>
        <v>7.811735053178586E-5</v>
      </c>
      <c r="S12" s="7">
        <f>$B12 * IFERROR(VLOOKUP("buildings|NOx|Respiratory hospital admissions", US_national_yearly!$D:$AM, 27, FALSE) / VLOOKUP("buildings|NOx|Respiratory hospital admissions", US_national_yearly!$D:$AM, 10, FALSE), 1)</f>
        <v>7.8548729662811231E-5</v>
      </c>
      <c r="T12" s="7">
        <f>$B12 * IFERROR(VLOOKUP("buildings|NOx|Respiratory hospital admissions", US_national_yearly!$D:$AM, 28, FALSE) / VLOOKUP("buildings|NOx|Respiratory hospital admissions", US_national_yearly!$D:$AM, 10, FALSE), 1)</f>
        <v>7.8980108793836603E-5</v>
      </c>
      <c r="U12" s="7">
        <f>$B12 * IFERROR(VLOOKUP("buildings|NOx|Respiratory hospital admissions", US_national_yearly!$D:$AM, 29, FALSE) / VLOOKUP("buildings|NOx|Respiratory hospital admissions", US_national_yearly!$D:$AM, 10, FALSE), 1)</f>
        <v>7.9411487924861975E-5</v>
      </c>
      <c r="V12" s="7">
        <f>$B12 * IFERROR(VLOOKUP("buildings|NOx|Respiratory hospital admissions", US_national_yearly!$D:$AM, 30, FALSE) / VLOOKUP("buildings|NOx|Respiratory hospital admissions", US_national_yearly!$D:$AM, 10, FALSE), 1)</f>
        <v>7.9842867055887346E-5</v>
      </c>
      <c r="W12" s="7">
        <f>$B12 * IFERROR(VLOOKUP("buildings|NOx|Respiratory hospital admissions", US_national_yearly!$D:$AM, 31, FALSE) / VLOOKUP("buildings|NOx|Respiratory hospital admissions", US_national_yearly!$D:$AM, 10, FALSE), 1)</f>
        <v>8.0274246186912704E-5</v>
      </c>
      <c r="X12" s="7">
        <f>$B12 * IFERROR(VLOOKUP("buildings|NOx|Respiratory hospital admissions", US_national_yearly!$D:$AM, 32, FALSE) / VLOOKUP("buildings|NOx|Respiratory hospital admissions", US_national_yearly!$D:$AM, 10, FALSE), 1)</f>
        <v>8.0569545556542237E-5</v>
      </c>
      <c r="Y12" s="7">
        <f>$B12 * IFERROR(VLOOKUP("buildings|NOx|Respiratory hospital admissions", US_national_yearly!$D:$AM, 33, FALSE) / VLOOKUP("buildings|NOx|Respiratory hospital admissions", US_national_yearly!$D:$AM, 10, FALSE), 1)</f>
        <v>8.0864844926171756E-5</v>
      </c>
      <c r="Z12" s="7">
        <f>$B12 * IFERROR(VLOOKUP("buildings|NOx|Respiratory hospital admissions", US_national_yearly!$D:$AM, 34, FALSE) / VLOOKUP("buildings|NOx|Respiratory hospital admissions", US_national_yearly!$D:$AM, 10, FALSE), 1)</f>
        <v>8.1160144295801289E-5</v>
      </c>
      <c r="AA12" s="7">
        <f>$B12 * IFERROR(VLOOKUP("buildings|NOx|Respiratory hospital admissions", US_national_yearly!$D:$AM, 35, FALSE) / VLOOKUP("buildings|NOx|Respiratory hospital admissions", US_national_yearly!$D:$AM, 10, FALSE), 1)</f>
        <v>8.1455443665430808E-5</v>
      </c>
      <c r="AB12" s="7">
        <f>$B12 * IFERROR(VLOOKUP("buildings|NOx|Respiratory hospital admissions", US_national_yearly!$D:$AM, 36, FALSE) / VLOOKUP("buildings|NOx|Respiratory hospital admissions", US_national_yearly!$D:$AM, 10, FALSE), 1)</f>
        <v>8.1750743035060341E-5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3.6923987954868187E-4</v>
      </c>
      <c r="C13" s="7">
        <f>$B13 * IFERROR(VLOOKUP("buildings|NOx|Non-fatal heart attacks", US_national_yearly!$D:$AM, 11, FALSE) / VLOOKUP("buildings|NOx|Non-fatal heart attacks", US_national_yearly!$D:$AM, 10, FALSE), 1)</f>
        <v>3.7980307967302828E-4</v>
      </c>
      <c r="D13" s="7">
        <f>$B13 * IFERROR(VLOOKUP("buildings|NOx|Non-fatal heart attacks", US_national_yearly!$D:$AM, 12, FALSE) / VLOOKUP("buildings|NOx|Non-fatal heart attacks", US_national_yearly!$D:$AM, 10, FALSE), 1)</f>
        <v>3.9036627979737484E-4</v>
      </c>
      <c r="E13" s="7">
        <f>$B13 * IFERROR(VLOOKUP("buildings|NOx|Non-fatal heart attacks", US_national_yearly!$D:$AM, 13, FALSE) / VLOOKUP("buildings|NOx|Non-fatal heart attacks", US_national_yearly!$D:$AM, 10, FALSE), 1)</f>
        <v>4.0092947992172124E-4</v>
      </c>
      <c r="F13" s="7">
        <f>$B13 * IFERROR(VLOOKUP("buildings|NOx|Non-fatal heart attacks", US_national_yearly!$D:$AM, 14, FALSE) / VLOOKUP("buildings|NOx|Non-fatal heart attacks", US_national_yearly!$D:$AM, 10, FALSE), 1)</f>
        <v>4.1149268004606759E-4</v>
      </c>
      <c r="G13" s="7">
        <f>$B13 * IFERROR(VLOOKUP("buildings|NOx|Non-fatal heart attacks", US_national_yearly!$D:$AM, 15, FALSE) / VLOOKUP("buildings|NOx|Non-fatal heart attacks", US_national_yearly!$D:$AM, 10, FALSE), 1)</f>
        <v>4.2136606767360972E-4</v>
      </c>
      <c r="H13" s="7">
        <f>$B13 * IFERROR(VLOOKUP("buildings|NOx|Non-fatal heart attacks", US_national_yearly!$D:$AM, 16, FALSE) / VLOOKUP("buildings|NOx|Non-fatal heart attacks", US_national_yearly!$D:$AM, 10, FALSE), 1)</f>
        <v>4.3123945530115185E-4</v>
      </c>
      <c r="I13" s="7">
        <f>$B13 * IFERROR(VLOOKUP("buildings|NOx|Non-fatal heart attacks", US_national_yearly!$D:$AM, 17, FALSE) / VLOOKUP("buildings|NOx|Non-fatal heart attacks", US_national_yearly!$D:$AM, 10, FALSE), 1)</f>
        <v>4.3902884839526165E-4</v>
      </c>
      <c r="J13" s="7">
        <f>$B13 * IFERROR(VLOOKUP("buildings|NOx|Non-fatal heart attacks", US_national_yearly!$D:$AM, 18, FALSE) / VLOOKUP("buildings|NOx|Non-fatal heart attacks", US_national_yearly!$D:$AM, 10, FALSE), 1)</f>
        <v>4.4681824148937144E-4</v>
      </c>
      <c r="K13" s="7">
        <f>$B13 * IFERROR(VLOOKUP("buildings|NOx|Non-fatal heart attacks", US_national_yearly!$D:$AM, 19, FALSE) / VLOOKUP("buildings|NOx|Non-fatal heart attacks", US_national_yearly!$D:$AM, 10, FALSE), 1)</f>
        <v>4.546076345834814E-4</v>
      </c>
      <c r="L13" s="7">
        <f>$B13 * IFERROR(VLOOKUP("buildings|NOx|Non-fatal heart attacks", US_national_yearly!$D:$AM, 20, FALSE) / VLOOKUP("buildings|NOx|Non-fatal heart attacks", US_national_yearly!$D:$AM, 10, FALSE), 1)</f>
        <v>4.6239702767759093E-4</v>
      </c>
      <c r="M13" s="7">
        <f>$B13 * IFERROR(VLOOKUP("buildings|NOx|Non-fatal heart attacks", US_national_yearly!$D:$AM, 21, FALSE) / VLOOKUP("buildings|NOx|Non-fatal heart attacks", US_national_yearly!$D:$AM, 10, FALSE), 1)</f>
        <v>4.7018642077170084E-4</v>
      </c>
      <c r="N13" s="7">
        <f>$B13 * IFERROR(VLOOKUP("buildings|NOx|Non-fatal heart attacks", US_national_yearly!$D:$AM, 22, FALSE) / VLOOKUP("buildings|NOx|Non-fatal heart attacks", US_national_yearly!$D:$AM, 10, FALSE), 1)</f>
        <v>4.7487431366362564E-4</v>
      </c>
      <c r="O13" s="7">
        <f>$B13 * IFERROR(VLOOKUP("buildings|NOx|Non-fatal heart attacks", US_national_yearly!$D:$AM, 23, FALSE) / VLOOKUP("buildings|NOx|Non-fatal heart attacks", US_national_yearly!$D:$AM, 10, FALSE), 1)</f>
        <v>4.7956220655555033E-4</v>
      </c>
      <c r="P13" s="7">
        <f>$B13 * IFERROR(VLOOKUP("buildings|NOx|Non-fatal heart attacks", US_national_yearly!$D:$AM, 24, FALSE) / VLOOKUP("buildings|NOx|Non-fatal heart attacks", US_national_yearly!$D:$AM, 10, FALSE), 1)</f>
        <v>4.8425009944747508E-4</v>
      </c>
      <c r="Q13" s="7">
        <f>$B13 * IFERROR(VLOOKUP("buildings|NOx|Non-fatal heart attacks", US_national_yearly!$D:$AM, 25, FALSE) / VLOOKUP("buildings|NOx|Non-fatal heart attacks", US_national_yearly!$D:$AM, 10, FALSE), 1)</f>
        <v>4.8893799233939983E-4</v>
      </c>
      <c r="R13" s="7">
        <f>$B13 * IFERROR(VLOOKUP("buildings|NOx|Non-fatal heart attacks", US_national_yearly!$D:$AM, 26, FALSE) / VLOOKUP("buildings|NOx|Non-fatal heart attacks", US_national_yearly!$D:$AM, 10, FALSE), 1)</f>
        <v>4.9362588523132458E-4</v>
      </c>
      <c r="S13" s="7">
        <f>$B13 * IFERROR(VLOOKUP("buildings|NOx|Non-fatal heart attacks", US_national_yearly!$D:$AM, 27, FALSE) / VLOOKUP("buildings|NOx|Non-fatal heart attacks", US_national_yearly!$D:$AM, 10, FALSE), 1)</f>
        <v>4.9575624766817685E-4</v>
      </c>
      <c r="T13" s="7">
        <f>$B13 * IFERROR(VLOOKUP("buildings|NOx|Non-fatal heart attacks", US_national_yearly!$D:$AM, 28, FALSE) / VLOOKUP("buildings|NOx|Non-fatal heart attacks", US_national_yearly!$D:$AM, 10, FALSE), 1)</f>
        <v>4.9788661010502933E-4</v>
      </c>
      <c r="U13" s="7">
        <f>$B13 * IFERROR(VLOOKUP("buildings|NOx|Non-fatal heart attacks", US_national_yearly!$D:$AM, 29, FALSE) / VLOOKUP("buildings|NOx|Non-fatal heart attacks", US_national_yearly!$D:$AM, 10, FALSE), 1)</f>
        <v>5.000169725418816E-4</v>
      </c>
      <c r="V13" s="7">
        <f>$B13 * IFERROR(VLOOKUP("buildings|NOx|Non-fatal heart attacks", US_national_yearly!$D:$AM, 30, FALSE) / VLOOKUP("buildings|NOx|Non-fatal heart attacks", US_national_yearly!$D:$AM, 10, FALSE), 1)</f>
        <v>5.0214733497873387E-4</v>
      </c>
      <c r="W13" s="7">
        <f>$B13 * IFERROR(VLOOKUP("buildings|NOx|Non-fatal heart attacks", US_national_yearly!$D:$AM, 31, FALSE) / VLOOKUP("buildings|NOx|Non-fatal heart attacks", US_national_yearly!$D:$AM, 10, FALSE), 1)</f>
        <v>5.0427769741558624E-4</v>
      </c>
      <c r="X13" s="7">
        <f>$B13 * IFERROR(VLOOKUP("buildings|NOx|Non-fatal heart attacks", US_national_yearly!$D:$AM, 32, FALSE) / VLOOKUP("buildings|NOx|Non-fatal heart attacks", US_national_yearly!$D:$AM, 10, FALSE), 1)</f>
        <v>5.0570273640723447E-4</v>
      </c>
      <c r="Y13" s="7">
        <f>$B13 * IFERROR(VLOOKUP("buildings|NOx|Non-fatal heart attacks", US_national_yearly!$D:$AM, 33, FALSE) / VLOOKUP("buildings|NOx|Non-fatal heart attacks", US_national_yearly!$D:$AM, 10, FALSE), 1)</f>
        <v>5.0712777539888259E-4</v>
      </c>
      <c r="Z13" s="7">
        <f>$B13 * IFERROR(VLOOKUP("buildings|NOx|Non-fatal heart attacks", US_national_yearly!$D:$AM, 34, FALSE) / VLOOKUP("buildings|NOx|Non-fatal heart attacks", US_national_yearly!$D:$AM, 10, FALSE), 1)</f>
        <v>5.0855281439053082E-4</v>
      </c>
      <c r="AA13" s="7">
        <f>$B13 * IFERROR(VLOOKUP("buildings|NOx|Non-fatal heart attacks", US_national_yearly!$D:$AM, 35, FALSE) / VLOOKUP("buildings|NOx|Non-fatal heart attacks", US_national_yearly!$D:$AM, 10, FALSE), 1)</f>
        <v>5.0997785338217894E-4</v>
      </c>
      <c r="AB13" s="7">
        <f>$B13 * IFERROR(VLOOKUP("buildings|NOx|Non-fatal heart attacks", US_national_yearly!$D:$AM, 36, FALSE) / VLOOKUP("buildings|NOx|Non-fatal heart attacks", US_national_yearly!$D:$AM, 10, FALSE), 1)</f>
        <v>5.1140289237382717E-4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0.23686233459788286</v>
      </c>
      <c r="C14" s="7">
        <f>$B14 * IFERROR(VLOOKUP("buildings|NOx|Minor restricted activity days", US_national_yearly!$D:$AM, 11, FALSE) / VLOOKUP("buildings|NOx|Minor restricted activity days", US_national_yearly!$D:$AM, 10, FALSE), 1)</f>
        <v>0.23722988892491645</v>
      </c>
      <c r="D14" s="7">
        <f>$B14 * IFERROR(VLOOKUP("buildings|NOx|Minor restricted activity days", US_national_yearly!$D:$AM, 12, FALSE) / VLOOKUP("buildings|NOx|Minor restricted activity days", US_national_yearly!$D:$AM, 10, FALSE), 1)</f>
        <v>0.23759744325195001</v>
      </c>
      <c r="E14" s="7">
        <f>$B14 * IFERROR(VLOOKUP("buildings|NOx|Minor restricted activity days", US_national_yearly!$D:$AM, 13, FALSE) / VLOOKUP("buildings|NOx|Minor restricted activity days", US_national_yearly!$D:$AM, 10, FALSE), 1)</f>
        <v>0.23796499757898359</v>
      </c>
      <c r="F14" s="7">
        <f>$B14 * IFERROR(VLOOKUP("buildings|NOx|Minor restricted activity days", US_national_yearly!$D:$AM, 14, FALSE) / VLOOKUP("buildings|NOx|Minor restricted activity days", US_national_yearly!$D:$AM, 10, FALSE), 1)</f>
        <v>0.23833255190601715</v>
      </c>
      <c r="G14" s="7">
        <f>$B14 * IFERROR(VLOOKUP("buildings|NOx|Minor restricted activity days", US_national_yearly!$D:$AM, 15, FALSE) / VLOOKUP("buildings|NOx|Minor restricted activity days", US_national_yearly!$D:$AM, 10, FALSE), 1)</f>
        <v>0.23899286389235652</v>
      </c>
      <c r="H14" s="7">
        <f>$B14 * IFERROR(VLOOKUP("buildings|NOx|Minor restricted activity days", US_national_yearly!$D:$AM, 16, FALSE) / VLOOKUP("buildings|NOx|Minor restricted activity days", US_national_yearly!$D:$AM, 10, FALSE), 1)</f>
        <v>0.23965317587869586</v>
      </c>
      <c r="I14" s="7">
        <f>$B14 * IFERROR(VLOOKUP("buildings|NOx|Minor restricted activity days", US_national_yearly!$D:$AM, 17, FALSE) / VLOOKUP("buildings|NOx|Minor restricted activity days", US_national_yearly!$D:$AM, 10, FALSE), 1)</f>
        <v>0.24094059586409694</v>
      </c>
      <c r="J14" s="7">
        <f>$B14 * IFERROR(VLOOKUP("buildings|NOx|Minor restricted activity days", US_national_yearly!$D:$AM, 18, FALSE) / VLOOKUP("buildings|NOx|Minor restricted activity days", US_national_yearly!$D:$AM, 10, FALSE), 1)</f>
        <v>0.24222801584949802</v>
      </c>
      <c r="K14" s="7">
        <f>$B14 * IFERROR(VLOOKUP("buildings|NOx|Minor restricted activity days", US_national_yearly!$D:$AM, 19, FALSE) / VLOOKUP("buildings|NOx|Minor restricted activity days", US_national_yearly!$D:$AM, 10, FALSE), 1)</f>
        <v>0.2435154358348991</v>
      </c>
      <c r="L14" s="7">
        <f>$B14 * IFERROR(VLOOKUP("buildings|NOx|Minor restricted activity days", US_national_yearly!$D:$AM, 20, FALSE) / VLOOKUP("buildings|NOx|Minor restricted activity days", US_national_yearly!$D:$AM, 10, FALSE), 1)</f>
        <v>0.24480285582030017</v>
      </c>
      <c r="M14" s="7">
        <f>$B14 * IFERROR(VLOOKUP("buildings|NOx|Minor restricted activity days", US_national_yearly!$D:$AM, 21, FALSE) / VLOOKUP("buildings|NOx|Minor restricted activity days", US_national_yearly!$D:$AM, 10, FALSE), 1)</f>
        <v>0.24609027580570123</v>
      </c>
      <c r="N14" s="7">
        <f>$B14 * IFERROR(VLOOKUP("buildings|NOx|Minor restricted activity days", US_national_yearly!$D:$AM, 22, FALSE) / VLOOKUP("buildings|NOx|Minor restricted activity days", US_national_yearly!$D:$AM, 10, FALSE), 1)</f>
        <v>0.24793206950316021</v>
      </c>
      <c r="O14" s="7">
        <f>$B14 * IFERROR(VLOOKUP("buildings|NOx|Minor restricted activity days", US_national_yearly!$D:$AM, 23, FALSE) / VLOOKUP("buildings|NOx|Minor restricted activity days", US_national_yearly!$D:$AM, 10, FALSE), 1)</f>
        <v>0.24977386320061912</v>
      </c>
      <c r="P14" s="7">
        <f>$B14 * IFERROR(VLOOKUP("buildings|NOx|Minor restricted activity days", US_national_yearly!$D:$AM, 24, FALSE) / VLOOKUP("buildings|NOx|Minor restricted activity days", US_national_yearly!$D:$AM, 10, FALSE), 1)</f>
        <v>0.25161565689807808</v>
      </c>
      <c r="Q14" s="7">
        <f>$B14 * IFERROR(VLOOKUP("buildings|NOx|Minor restricted activity days", US_national_yearly!$D:$AM, 25, FALSE) / VLOOKUP("buildings|NOx|Minor restricted activity days", US_national_yearly!$D:$AM, 10, FALSE), 1)</f>
        <v>0.25345745059553704</v>
      </c>
      <c r="R14" s="7">
        <f>$B14 * IFERROR(VLOOKUP("buildings|NOx|Minor restricted activity days", US_national_yearly!$D:$AM, 26, FALSE) / VLOOKUP("buildings|NOx|Minor restricted activity days", US_national_yearly!$D:$AM, 10, FALSE), 1)</f>
        <v>0.25529924429299594</v>
      </c>
      <c r="S14" s="7">
        <f>$B14 * IFERROR(VLOOKUP("buildings|NOx|Minor restricted activity days", US_national_yearly!$D:$AM, 27, FALSE) / VLOOKUP("buildings|NOx|Minor restricted activity days", US_national_yearly!$D:$AM, 10, FALSE), 1)</f>
        <v>0.25714050778805653</v>
      </c>
      <c r="T14" s="7">
        <f>$B14 * IFERROR(VLOOKUP("buildings|NOx|Minor restricted activity days", US_national_yearly!$D:$AM, 28, FALSE) / VLOOKUP("buildings|NOx|Minor restricted activity days", US_national_yearly!$D:$AM, 10, FALSE), 1)</f>
        <v>0.25898177128311711</v>
      </c>
      <c r="U14" s="7">
        <f>$B14 * IFERROR(VLOOKUP("buildings|NOx|Minor restricted activity days", US_national_yearly!$D:$AM, 29, FALSE) / VLOOKUP("buildings|NOx|Minor restricted activity days", US_national_yearly!$D:$AM, 10, FALSE), 1)</f>
        <v>0.26082303477817775</v>
      </c>
      <c r="V14" s="7">
        <f>$B14 * IFERROR(VLOOKUP("buildings|NOx|Minor restricted activity days", US_national_yearly!$D:$AM, 30, FALSE) / VLOOKUP("buildings|NOx|Minor restricted activity days", US_national_yearly!$D:$AM, 10, FALSE), 1)</f>
        <v>0.26266429827323834</v>
      </c>
      <c r="W14" s="7">
        <f>$B14 * IFERROR(VLOOKUP("buildings|NOx|Minor restricted activity days", US_national_yearly!$D:$AM, 31, FALSE) / VLOOKUP("buildings|NOx|Minor restricted activity days", US_national_yearly!$D:$AM, 10, FALSE), 1)</f>
        <v>0.26450556176829892</v>
      </c>
      <c r="X14" s="7">
        <f>$B14 * IFERROR(VLOOKUP("buildings|NOx|Minor restricted activity days", US_national_yearly!$D:$AM, 32, FALSE) / VLOOKUP("buildings|NOx|Minor restricted activity days", US_national_yearly!$D:$AM, 10, FALSE), 1)</f>
        <v>0.26606279393943927</v>
      </c>
      <c r="Y14" s="7">
        <f>$B14 * IFERROR(VLOOKUP("buildings|NOx|Minor restricted activity days", US_national_yearly!$D:$AM, 33, FALSE) / VLOOKUP("buildings|NOx|Minor restricted activity days", US_national_yearly!$D:$AM, 10, FALSE), 1)</f>
        <v>0.26762002611057967</v>
      </c>
      <c r="Z14" s="7">
        <f>$B14 * IFERROR(VLOOKUP("buildings|NOx|Minor restricted activity days", US_national_yearly!$D:$AM, 34, FALSE) / VLOOKUP("buildings|NOx|Minor restricted activity days", US_national_yearly!$D:$AM, 10, FALSE), 1)</f>
        <v>0.26917725828171996</v>
      </c>
      <c r="AA14" s="7">
        <f>$B14 * IFERROR(VLOOKUP("buildings|NOx|Minor restricted activity days", US_national_yearly!$D:$AM, 35, FALSE) / VLOOKUP("buildings|NOx|Minor restricted activity days", US_national_yearly!$D:$AM, 10, FALSE), 1)</f>
        <v>0.27073449045286035</v>
      </c>
      <c r="AB14" s="7">
        <f>$B14 * IFERROR(VLOOKUP("buildings|NOx|Minor restricted activity days", US_national_yearly!$D:$AM, 36, FALSE) / VLOOKUP("buildings|NOx|Minor restricted activity days", US_national_yearly!$D:$AM, 10, FALSE), 1)</f>
        <v>0.2722917226240007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4.0095837019045052E-2</v>
      </c>
      <c r="C15" s="7">
        <f>$B15 * IFERROR(VLOOKUP("buildings|NOx|Work loss days", US_national_yearly!$D:$AM, 11, FALSE) / VLOOKUP("buildings|NOx|Work loss days", US_national_yearly!$D:$AM, 10, FALSE), 1)</f>
        <v>4.0185721262708023E-2</v>
      </c>
      <c r="D15" s="7">
        <f>$B15 * IFERROR(VLOOKUP("buildings|NOx|Work loss days", US_national_yearly!$D:$AM, 12, FALSE) / VLOOKUP("buildings|NOx|Work loss days", US_national_yearly!$D:$AM, 10, FALSE), 1)</f>
        <v>4.0275605506370986E-2</v>
      </c>
      <c r="E15" s="7">
        <f>$B15 * IFERROR(VLOOKUP("buildings|NOx|Work loss days", US_national_yearly!$D:$AM, 13, FALSE) / VLOOKUP("buildings|NOx|Work loss days", US_national_yearly!$D:$AM, 10, FALSE), 1)</f>
        <v>4.0365489750033949E-2</v>
      </c>
      <c r="F15" s="7">
        <f>$B15 * IFERROR(VLOOKUP("buildings|NOx|Work loss days", US_national_yearly!$D:$AM, 14, FALSE) / VLOOKUP("buildings|NOx|Work loss days", US_national_yearly!$D:$AM, 10, FALSE), 1)</f>
        <v>4.0455373993696919E-2</v>
      </c>
      <c r="G15" s="7">
        <f>$B15 * IFERROR(VLOOKUP("buildings|NOx|Work loss days", US_national_yearly!$D:$AM, 15, FALSE) / VLOOKUP("buildings|NOx|Work loss days", US_national_yearly!$D:$AM, 10, FALSE), 1)</f>
        <v>4.0586300471971912E-2</v>
      </c>
      <c r="H15" s="7">
        <f>$B15 * IFERROR(VLOOKUP("buildings|NOx|Work loss days", US_national_yearly!$D:$AM, 16, FALSE) / VLOOKUP("buildings|NOx|Work loss days", US_national_yearly!$D:$AM, 10, FALSE), 1)</f>
        <v>4.0717226950246911E-2</v>
      </c>
      <c r="I15" s="7">
        <f>$B15 * IFERROR(VLOOKUP("buildings|NOx|Work loss days", US_national_yearly!$D:$AM, 17, FALSE) / VLOOKUP("buildings|NOx|Work loss days", US_national_yearly!$D:$AM, 10, FALSE), 1)</f>
        <v>4.0928974529213846E-2</v>
      </c>
      <c r="J15" s="7">
        <f>$B15 * IFERROR(VLOOKUP("buildings|NOx|Work loss days", US_national_yearly!$D:$AM, 18, FALSE) / VLOOKUP("buildings|NOx|Work loss days", US_national_yearly!$D:$AM, 10, FALSE), 1)</f>
        <v>4.1140722108180781E-2</v>
      </c>
      <c r="K15" s="7">
        <f>$B15 * IFERROR(VLOOKUP("buildings|NOx|Work loss days", US_national_yearly!$D:$AM, 19, FALSE) / VLOOKUP("buildings|NOx|Work loss days", US_national_yearly!$D:$AM, 10, FALSE), 1)</f>
        <v>4.1352469687147723E-2</v>
      </c>
      <c r="L15" s="7">
        <f>$B15 * IFERROR(VLOOKUP("buildings|NOx|Work loss days", US_national_yearly!$D:$AM, 20, FALSE) / VLOOKUP("buildings|NOx|Work loss days", US_national_yearly!$D:$AM, 10, FALSE), 1)</f>
        <v>4.1564217266114666E-2</v>
      </c>
      <c r="M15" s="7">
        <f>$B15 * IFERROR(VLOOKUP("buildings|NOx|Work loss days", US_national_yearly!$D:$AM, 21, FALSE) / VLOOKUP("buildings|NOx|Work loss days", US_national_yearly!$D:$AM, 10, FALSE), 1)</f>
        <v>4.1775964845081594E-2</v>
      </c>
      <c r="N15" s="7">
        <f>$B15 * IFERROR(VLOOKUP("buildings|NOx|Work loss days", US_national_yearly!$D:$AM, 22, FALSE) / VLOOKUP("buildings|NOx|Work loss days", US_national_yearly!$D:$AM, 10, FALSE), 1)</f>
        <v>4.2051448794591793E-2</v>
      </c>
      <c r="O15" s="7">
        <f>$B15 * IFERROR(VLOOKUP("buildings|NOx|Work loss days", US_national_yearly!$D:$AM, 23, FALSE) / VLOOKUP("buildings|NOx|Work loss days", US_national_yearly!$D:$AM, 10, FALSE), 1)</f>
        <v>4.2326932744101986E-2</v>
      </c>
      <c r="P15" s="7">
        <f>$B15 * IFERROR(VLOOKUP("buildings|NOx|Work loss days", US_national_yearly!$D:$AM, 24, FALSE) / VLOOKUP("buildings|NOx|Work loss days", US_national_yearly!$D:$AM, 10, FALSE), 1)</f>
        <v>4.2602416693612186E-2</v>
      </c>
      <c r="Q15" s="7">
        <f>$B15 * IFERROR(VLOOKUP("buildings|NOx|Work loss days", US_national_yearly!$D:$AM, 25, FALSE) / VLOOKUP("buildings|NOx|Work loss days", US_national_yearly!$D:$AM, 10, FALSE), 1)</f>
        <v>4.2877900643122392E-2</v>
      </c>
      <c r="R15" s="7">
        <f>$B15 * IFERROR(VLOOKUP("buildings|NOx|Work loss days", US_national_yearly!$D:$AM, 26, FALSE) / VLOOKUP("buildings|NOx|Work loss days", US_national_yearly!$D:$AM, 10, FALSE), 1)</f>
        <v>4.3153384592632585E-2</v>
      </c>
      <c r="S15" s="7">
        <f>$B15 * IFERROR(VLOOKUP("buildings|NOx|Work loss days", US_national_yearly!$D:$AM, 27, FALSE) / VLOOKUP("buildings|NOx|Work loss days", US_national_yearly!$D:$AM, 10, FALSE), 1)</f>
        <v>4.3460363176164661E-2</v>
      </c>
      <c r="T15" s="7">
        <f>$B15 * IFERROR(VLOOKUP("buildings|NOx|Work loss days", US_national_yearly!$D:$AM, 28, FALSE) / VLOOKUP("buildings|NOx|Work loss days", US_national_yearly!$D:$AM, 10, FALSE), 1)</f>
        <v>4.3767341759696744E-2</v>
      </c>
      <c r="U15" s="7">
        <f>$B15 * IFERROR(VLOOKUP("buildings|NOx|Work loss days", US_national_yearly!$D:$AM, 29, FALSE) / VLOOKUP("buildings|NOx|Work loss days", US_national_yearly!$D:$AM, 10, FALSE), 1)</f>
        <v>4.4074320343228821E-2</v>
      </c>
      <c r="V15" s="7">
        <f>$B15 * IFERROR(VLOOKUP("buildings|NOx|Work loss days", US_national_yearly!$D:$AM, 30, FALSE) / VLOOKUP("buildings|NOx|Work loss days", US_national_yearly!$D:$AM, 10, FALSE), 1)</f>
        <v>4.4381298926760897E-2</v>
      </c>
      <c r="W15" s="7">
        <f>$B15 * IFERROR(VLOOKUP("buildings|NOx|Work loss days", US_national_yearly!$D:$AM, 31, FALSE) / VLOOKUP("buildings|NOx|Work loss days", US_national_yearly!$D:$AM, 10, FALSE), 1)</f>
        <v>4.4688277510292973E-2</v>
      </c>
      <c r="X15" s="7">
        <f>$B15 * IFERROR(VLOOKUP("buildings|NOx|Work loss days", US_national_yearly!$D:$AM, 32, FALSE) / VLOOKUP("buildings|NOx|Work loss days", US_national_yearly!$D:$AM, 10, FALSE), 1)</f>
        <v>4.495479906005307E-2</v>
      </c>
      <c r="Y15" s="7">
        <f>$B15 * IFERROR(VLOOKUP("buildings|NOx|Work loss days", US_national_yearly!$D:$AM, 33, FALSE) / VLOOKUP("buildings|NOx|Work loss days", US_national_yearly!$D:$AM, 10, FALSE), 1)</f>
        <v>4.5221320609813168E-2</v>
      </c>
      <c r="Z15" s="7">
        <f>$B15 * IFERROR(VLOOKUP("buildings|NOx|Work loss days", US_national_yearly!$D:$AM, 34, FALSE) / VLOOKUP("buildings|NOx|Work loss days", US_national_yearly!$D:$AM, 10, FALSE), 1)</f>
        <v>4.5487842159573265E-2</v>
      </c>
      <c r="AA15" s="7">
        <f>$B15 * IFERROR(VLOOKUP("buildings|NOx|Work loss days", US_national_yearly!$D:$AM, 35, FALSE) / VLOOKUP("buildings|NOx|Work loss days", US_national_yearly!$D:$AM, 10, FALSE), 1)</f>
        <v>4.5754363709333362E-2</v>
      </c>
      <c r="AB15" s="7">
        <f>$B15 * IFERROR(VLOOKUP("buildings|NOx|Work loss days", US_national_yearly!$D:$AM, 36, FALSE) / VLOOKUP("buildings|NOx|Work loss days", US_national_yearly!$D:$AM, 10, FALSE), 1)</f>
        <v>4.6020885259093459E-2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8.5838753548135376E-5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8.8362420530014042E-5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9.0886087511892735E-5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9.3409754493771415E-5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9.593342147565008E-5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9.833085920899047E-5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1.0072829694233086E-4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1.0274550409547988E-4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1.0476271124862889E-4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1.0677991840177789E-4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1.0879712555492688E-4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1.1081433270807587E-4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1.1207616468865448E-4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1.1333799666923305E-4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1.1459982864981164E-4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1.1586166063039023E-4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1.171234926109688E-4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1.1770005954574538E-4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1.1827662648052195E-4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1.1885319341529853E-4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1.194297603500751E-4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1.2000632728485167E-4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1.2032769987279694E-4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1.2064907246074222E-4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1.2097044504868748E-4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1.2129181763663276E-4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1.2161319022457802E-4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3.317912005091482E-3</v>
      </c>
      <c r="C2" s="7">
        <f>$B2 * IFERROR(VLOOKUP("buildings|SO2|Premature mortality", US_national_yearly!$D:$AM, 11, FALSE) / VLOOKUP("buildings|SO2|Premature mortality", US_national_yearly!$D:$AM, 10, FALSE), 1)</f>
        <v>3.3599446808028114E-3</v>
      </c>
      <c r="D2" s="7">
        <f>$B2 * IFERROR(VLOOKUP("buildings|SO2|Premature mortality", US_national_yearly!$D:$AM, 12, FALSE) / VLOOKUP("buildings|SO2|Premature mortality", US_national_yearly!$D:$AM, 10, FALSE), 1)</f>
        <v>3.4019773565141399E-3</v>
      </c>
      <c r="E2" s="7">
        <f>$B2 * IFERROR(VLOOKUP("buildings|SO2|Premature mortality", US_national_yearly!$D:$AM, 13, FALSE) / VLOOKUP("buildings|SO2|Premature mortality", US_national_yearly!$D:$AM, 10, FALSE), 1)</f>
        <v>3.4440100322254692E-3</v>
      </c>
      <c r="F2" s="7">
        <f>$B2 * IFERROR(VLOOKUP("buildings|SO2|Premature mortality", US_national_yearly!$D:$AM, 14, FALSE) / VLOOKUP("buildings|SO2|Premature mortality", US_national_yearly!$D:$AM, 10, FALSE), 1)</f>
        <v>3.4860427079367986E-3</v>
      </c>
      <c r="G2" s="7">
        <f>$B2 * IFERROR(VLOOKUP("buildings|SO2|Premature mortality", US_national_yearly!$D:$AM, 15, FALSE) / VLOOKUP("buildings|SO2|Premature mortality", US_national_yearly!$D:$AM, 10, FALSE), 1)</f>
        <v>3.5670311453020256E-3</v>
      </c>
      <c r="H2" s="7">
        <f>$B2 * IFERROR(VLOOKUP("buildings|SO2|Premature mortality", US_national_yearly!$D:$AM, 16, FALSE) / VLOOKUP("buildings|SO2|Premature mortality", US_national_yearly!$D:$AM, 10, FALSE), 1)</f>
        <v>3.6480195826672536E-3</v>
      </c>
      <c r="I2" s="7">
        <f>$B2 * IFERROR(VLOOKUP("buildings|SO2|Premature mortality", US_national_yearly!$D:$AM, 17, FALSE) / VLOOKUP("buildings|SO2|Premature mortality", US_national_yearly!$D:$AM, 10, FALSE), 1)</f>
        <v>3.7015686722690856E-3</v>
      </c>
      <c r="J2" s="7">
        <f>$B2 * IFERROR(VLOOKUP("buildings|SO2|Premature mortality", US_national_yearly!$D:$AM, 18, FALSE) / VLOOKUP("buildings|SO2|Premature mortality", US_national_yearly!$D:$AM, 10, FALSE), 1)</f>
        <v>3.7551177618709167E-3</v>
      </c>
      <c r="K2" s="7">
        <f>$B2 * IFERROR(VLOOKUP("buildings|SO2|Premature mortality", US_national_yearly!$D:$AM, 19, FALSE) / VLOOKUP("buildings|SO2|Premature mortality", US_national_yearly!$D:$AM, 10, FALSE), 1)</f>
        <v>3.8086668514727487E-3</v>
      </c>
      <c r="L2" s="7">
        <f>$B2 * IFERROR(VLOOKUP("buildings|SO2|Premature mortality", US_national_yearly!$D:$AM, 20, FALSE) / VLOOKUP("buildings|SO2|Premature mortality", US_national_yearly!$D:$AM, 10, FALSE), 1)</f>
        <v>3.8622159410745802E-3</v>
      </c>
      <c r="M2" s="7">
        <f>$B2 * IFERROR(VLOOKUP("buildings|SO2|Premature mortality", US_national_yearly!$D:$AM, 21, FALSE) / VLOOKUP("buildings|SO2|Premature mortality", US_national_yearly!$D:$AM, 10, FALSE), 1)</f>
        <v>3.9157650306764118E-3</v>
      </c>
      <c r="N2" s="7">
        <f>$B2 * IFERROR(VLOOKUP("buildings|SO2|Premature mortality", US_national_yearly!$D:$AM, 22, FALSE) / VLOOKUP("buildings|SO2|Premature mortality", US_national_yearly!$D:$AM, 10, FALSE), 1)</f>
        <v>3.9575956985228658E-3</v>
      </c>
      <c r="O2" s="7">
        <f>$B2 * IFERROR(VLOOKUP("buildings|SO2|Premature mortality", US_national_yearly!$D:$AM, 23, FALSE) / VLOOKUP("buildings|SO2|Premature mortality", US_national_yearly!$D:$AM, 10, FALSE), 1)</f>
        <v>3.9994263663693172E-3</v>
      </c>
      <c r="P2" s="7">
        <f>$B2 * IFERROR(VLOOKUP("buildings|SO2|Premature mortality", US_national_yearly!$D:$AM, 24, FALSE) / VLOOKUP("buildings|SO2|Premature mortality", US_national_yearly!$D:$AM, 10, FALSE), 1)</f>
        <v>4.0412570342157703E-3</v>
      </c>
      <c r="Q2" s="7">
        <f>$B2 * IFERROR(VLOOKUP("buildings|SO2|Premature mortality", US_national_yearly!$D:$AM, 25, FALSE) / VLOOKUP("buildings|SO2|Premature mortality", US_national_yearly!$D:$AM, 10, FALSE), 1)</f>
        <v>4.0830877020622217E-3</v>
      </c>
      <c r="R2" s="7">
        <f>$B2 * IFERROR(VLOOKUP("buildings|SO2|Premature mortality", US_national_yearly!$D:$AM, 26, FALSE) / VLOOKUP("buildings|SO2|Premature mortality", US_national_yearly!$D:$AM, 10, FALSE), 1)</f>
        <v>4.1249183699086749E-3</v>
      </c>
      <c r="S2" s="7">
        <f>$B2 * IFERROR(VLOOKUP("buildings|SO2|Premature mortality", US_national_yearly!$D:$AM, 27, FALSE) / VLOOKUP("buildings|SO2|Premature mortality", US_national_yearly!$D:$AM, 10, FALSE), 1)</f>
        <v>4.1473066208263399E-3</v>
      </c>
      <c r="T2" s="7">
        <f>$B2 * IFERROR(VLOOKUP("buildings|SO2|Premature mortality", US_national_yearly!$D:$AM, 28, FALSE) / VLOOKUP("buildings|SO2|Premature mortality", US_national_yearly!$D:$AM, 10, FALSE), 1)</f>
        <v>4.1696948717440058E-3</v>
      </c>
      <c r="U2" s="7">
        <f>$B2 * IFERROR(VLOOKUP("buildings|SO2|Premature mortality", US_national_yearly!$D:$AM, 29, FALSE) / VLOOKUP("buildings|SO2|Premature mortality", US_national_yearly!$D:$AM, 10, FALSE), 1)</f>
        <v>4.1920831226616708E-3</v>
      </c>
      <c r="V2" s="7">
        <f>$B2 * IFERROR(VLOOKUP("buildings|SO2|Premature mortality", US_national_yearly!$D:$AM, 30, FALSE) / VLOOKUP("buildings|SO2|Premature mortality", US_national_yearly!$D:$AM, 10, FALSE), 1)</f>
        <v>4.2144713735793368E-3</v>
      </c>
      <c r="W2" s="7">
        <f>$B2 * IFERROR(VLOOKUP("buildings|SO2|Premature mortality", US_national_yearly!$D:$AM, 31, FALSE) / VLOOKUP("buildings|SO2|Premature mortality", US_national_yearly!$D:$AM, 10, FALSE), 1)</f>
        <v>4.2368596244970018E-3</v>
      </c>
      <c r="X2" s="7">
        <f>$B2 * IFERROR(VLOOKUP("buildings|SO2|Premature mortality", US_national_yearly!$D:$AM, 32, FALSE) / VLOOKUP("buildings|SO2|Premature mortality", US_national_yearly!$D:$AM, 10, FALSE), 1)</f>
        <v>4.2413835054349704E-3</v>
      </c>
      <c r="Y2" s="7">
        <f>$B2 * IFERROR(VLOOKUP("buildings|SO2|Premature mortality", US_national_yearly!$D:$AM, 33, FALSE) / VLOOKUP("buildings|SO2|Premature mortality", US_national_yearly!$D:$AM, 10, FALSE), 1)</f>
        <v>4.245907386372939E-3</v>
      </c>
      <c r="Z2" s="7">
        <f>$B2 * IFERROR(VLOOKUP("buildings|SO2|Premature mortality", US_national_yearly!$D:$AM, 34, FALSE) / VLOOKUP("buildings|SO2|Premature mortality", US_national_yearly!$D:$AM, 10, FALSE), 1)</f>
        <v>4.2504312673109076E-3</v>
      </c>
      <c r="AA2" s="7">
        <f>$B2 * IFERROR(VLOOKUP("buildings|SO2|Premature mortality", US_national_yearly!$D:$AM, 35, FALSE) / VLOOKUP("buildings|SO2|Premature mortality", US_national_yearly!$D:$AM, 10, FALSE), 1)</f>
        <v>4.2549551482488762E-3</v>
      </c>
      <c r="AB2" s="7">
        <f>$B2 * IFERROR(VLOOKUP("buildings|SO2|Premature mortality", US_national_yearly!$D:$AM, 36, FALSE) / VLOOKUP("buildings|SO2|Premature mortality", US_national_yearly!$D:$AM, 10, FALSE), 1)</f>
        <v>4.2594790291868457E-3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7.078764369503216E-6</v>
      </c>
      <c r="C3" s="7">
        <f>$B3 * IFERROR(VLOOKUP("buildings|SO2|Infant mortality", US_national_yearly!$D:$AM, 11, FALSE) / VLOOKUP("buildings|SO2|Infant mortality", US_national_yearly!$D:$AM, 10, FALSE), 1)</f>
        <v>7.0180893975936813E-6</v>
      </c>
      <c r="D3" s="7">
        <f>$B3 * IFERROR(VLOOKUP("buildings|SO2|Infant mortality", US_national_yearly!$D:$AM, 12, FALSE) / VLOOKUP("buildings|SO2|Infant mortality", US_national_yearly!$D:$AM, 10, FALSE), 1)</f>
        <v>6.9574144256841458E-6</v>
      </c>
      <c r="E3" s="7">
        <f>$B3 * IFERROR(VLOOKUP("buildings|SO2|Infant mortality", US_national_yearly!$D:$AM, 13, FALSE) / VLOOKUP("buildings|SO2|Infant mortality", US_national_yearly!$D:$AM, 10, FALSE), 1)</f>
        <v>6.8967394537746119E-6</v>
      </c>
      <c r="F3" s="7">
        <f>$B3 * IFERROR(VLOOKUP("buildings|SO2|Infant mortality", US_national_yearly!$D:$AM, 14, FALSE) / VLOOKUP("buildings|SO2|Infant mortality", US_national_yearly!$D:$AM, 10, FALSE), 1)</f>
        <v>6.8360644818650772E-6</v>
      </c>
      <c r="G3" s="7">
        <f>$B3 * IFERROR(VLOOKUP("buildings|SO2|Infant mortality", US_national_yearly!$D:$AM, 15, FALSE) / VLOOKUP("buildings|SO2|Infant mortality", US_national_yearly!$D:$AM, 10, FALSE), 1)</f>
        <v>4.552548122309792E-6</v>
      </c>
      <c r="H3" s="7">
        <f>$B3 * IFERROR(VLOOKUP("buildings|SO2|Infant mortality", US_national_yearly!$D:$AM, 16, FALSE) / VLOOKUP("buildings|SO2|Infant mortality", US_national_yearly!$D:$AM, 10, FALSE), 1)</f>
        <v>2.2690317627545077E-6</v>
      </c>
      <c r="I3" s="7">
        <f>$B3 * IFERROR(VLOOKUP("buildings|SO2|Infant mortality", US_national_yearly!$D:$AM, 17, FALSE) / VLOOKUP("buildings|SO2|Infant mortality", US_national_yearly!$D:$AM, 10, FALSE), 1)</f>
        <v>2.2547956069058885E-6</v>
      </c>
      <c r="J3" s="7">
        <f>$B3 * IFERROR(VLOOKUP("buildings|SO2|Infant mortality", US_national_yearly!$D:$AM, 18, FALSE) / VLOOKUP("buildings|SO2|Infant mortality", US_national_yearly!$D:$AM, 10, FALSE), 1)</f>
        <v>2.2405594510572689E-6</v>
      </c>
      <c r="K3" s="7">
        <f>$B3 * IFERROR(VLOOKUP("buildings|SO2|Infant mortality", US_national_yearly!$D:$AM, 19, FALSE) / VLOOKUP("buildings|SO2|Infant mortality", US_national_yearly!$D:$AM, 10, FALSE), 1)</f>
        <v>2.2263232952086497E-6</v>
      </c>
      <c r="L3" s="7">
        <f>$B3 * IFERROR(VLOOKUP("buildings|SO2|Infant mortality", US_national_yearly!$D:$AM, 20, FALSE) / VLOOKUP("buildings|SO2|Infant mortality", US_national_yearly!$D:$AM, 10, FALSE), 1)</f>
        <v>2.2120871393600301E-6</v>
      </c>
      <c r="M3" s="7">
        <f>$B3 * IFERROR(VLOOKUP("buildings|SO2|Infant mortality", US_national_yearly!$D:$AM, 21, FALSE) / VLOOKUP("buildings|SO2|Infant mortality", US_national_yearly!$D:$AM, 10, FALSE), 1)</f>
        <v>2.1978509835114109E-6</v>
      </c>
      <c r="N3" s="7">
        <f>$B3 * IFERROR(VLOOKUP("buildings|SO2|Infant mortality", US_national_yearly!$D:$AM, 22, FALSE) / VLOOKUP("buildings|SO2|Infant mortality", US_national_yearly!$D:$AM, 10, FALSE), 1)</f>
        <v>2.1889264261299737E-6</v>
      </c>
      <c r="O3" s="7">
        <f>$B3 * IFERROR(VLOOKUP("buildings|SO2|Infant mortality", US_national_yearly!$D:$AM, 23, FALSE) / VLOOKUP("buildings|SO2|Infant mortality", US_national_yearly!$D:$AM, 10, FALSE), 1)</f>
        <v>2.180001868748536E-6</v>
      </c>
      <c r="P3" s="7">
        <f>$B3 * IFERROR(VLOOKUP("buildings|SO2|Infant mortality", US_national_yearly!$D:$AM, 24, FALSE) / VLOOKUP("buildings|SO2|Infant mortality", US_national_yearly!$D:$AM, 10, FALSE), 1)</f>
        <v>2.1710773113670984E-6</v>
      </c>
      <c r="Q3" s="7">
        <f>$B3 * IFERROR(VLOOKUP("buildings|SO2|Infant mortality", US_national_yearly!$D:$AM, 25, FALSE) / VLOOKUP("buildings|SO2|Infant mortality", US_national_yearly!$D:$AM, 10, FALSE), 1)</f>
        <v>2.1621527539856607E-6</v>
      </c>
      <c r="R3" s="7">
        <f>$B3 * IFERROR(VLOOKUP("buildings|SO2|Infant mortality", US_national_yearly!$D:$AM, 26, FALSE) / VLOOKUP("buildings|SO2|Infant mortality", US_national_yearly!$D:$AM, 10, FALSE), 1)</f>
        <v>2.1532281966042231E-6</v>
      </c>
      <c r="S3" s="7">
        <f>$B3 * IFERROR(VLOOKUP("buildings|SO2|Infant mortality", US_national_yearly!$D:$AM, 27, FALSE) / VLOOKUP("buildings|SO2|Infant mortality", US_national_yearly!$D:$AM, 10, FALSE), 1)</f>
        <v>2.1420217818944695E-6</v>
      </c>
      <c r="T3" s="7">
        <f>$B3 * IFERROR(VLOOKUP("buildings|SO2|Infant mortality", US_national_yearly!$D:$AM, 28, FALSE) / VLOOKUP("buildings|SO2|Infant mortality", US_national_yearly!$D:$AM, 10, FALSE), 1)</f>
        <v>2.1308153671847154E-6</v>
      </c>
      <c r="U3" s="7">
        <f>$B3 * IFERROR(VLOOKUP("buildings|SO2|Infant mortality", US_national_yearly!$D:$AM, 29, FALSE) / VLOOKUP("buildings|SO2|Infant mortality", US_national_yearly!$D:$AM, 10, FALSE), 1)</f>
        <v>2.1196089524749613E-6</v>
      </c>
      <c r="V3" s="7">
        <f>$B3 * IFERROR(VLOOKUP("buildings|SO2|Infant mortality", US_national_yearly!$D:$AM, 30, FALSE) / VLOOKUP("buildings|SO2|Infant mortality", US_national_yearly!$D:$AM, 10, FALSE), 1)</f>
        <v>2.1084025377652072E-6</v>
      </c>
      <c r="W3" s="7">
        <f>$B3 * IFERROR(VLOOKUP("buildings|SO2|Infant mortality", US_national_yearly!$D:$AM, 31, FALSE) / VLOOKUP("buildings|SO2|Infant mortality", US_national_yearly!$D:$AM, 10, FALSE), 1)</f>
        <v>2.0971961230554532E-6</v>
      </c>
      <c r="X3" s="7">
        <f>$B3 * IFERROR(VLOOKUP("buildings|SO2|Infant mortality", US_national_yearly!$D:$AM, 32, FALSE) / VLOOKUP("buildings|SO2|Infant mortality", US_national_yearly!$D:$AM, 10, FALSE), 1)</f>
        <v>2.0849569425183014E-6</v>
      </c>
      <c r="Y3" s="7">
        <f>$B3 * IFERROR(VLOOKUP("buildings|SO2|Infant mortality", US_national_yearly!$D:$AM, 33, FALSE) / VLOOKUP("buildings|SO2|Infant mortality", US_national_yearly!$D:$AM, 10, FALSE), 1)</f>
        <v>2.0727177619811501E-6</v>
      </c>
      <c r="Z3" s="7">
        <f>$B3 * IFERROR(VLOOKUP("buildings|SO2|Infant mortality", US_national_yearly!$D:$AM, 34, FALSE) / VLOOKUP("buildings|SO2|Infant mortality", US_national_yearly!$D:$AM, 10, FALSE), 1)</f>
        <v>2.0604785814439987E-6</v>
      </c>
      <c r="AA3" s="7">
        <f>$B3 * IFERROR(VLOOKUP("buildings|SO2|Infant mortality", US_national_yearly!$D:$AM, 35, FALSE) / VLOOKUP("buildings|SO2|Infant mortality", US_national_yearly!$D:$AM, 10, FALSE), 1)</f>
        <v>2.0482394009068465E-6</v>
      </c>
      <c r="AB3" s="7">
        <f>$B3 * IFERROR(VLOOKUP("buildings|SO2|Infant mortality", US_national_yearly!$D:$AM, 36, FALSE) / VLOOKUP("buildings|SO2|Infant mortality", US_national_yearly!$D:$AM, 10, FALSE), 1)</f>
        <v>2.0360002203696952E-6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7.2185705563764307E-3</v>
      </c>
      <c r="C6" s="7">
        <f>$B6 * IFERROR(VLOOKUP("buildings|SO2|Asthma symptoms cough", US_national_yearly!$D:$AM, 11, FALSE) / VLOOKUP("buildings|SO2|Asthma symptoms cough", US_national_yearly!$D:$AM, 10, FALSE), 1)</f>
        <v>7.2185705563764307E-3</v>
      </c>
      <c r="D6" s="7">
        <f>$B6 * IFERROR(VLOOKUP("buildings|SO2|Asthma symptoms cough", US_national_yearly!$D:$AM, 12, FALSE) / VLOOKUP("buildings|SO2|Asthma symptoms cough", US_national_yearly!$D:$AM, 10, FALSE), 1)</f>
        <v>7.2185705563764307E-3</v>
      </c>
      <c r="E6" s="7">
        <f>$B6 * IFERROR(VLOOKUP("buildings|SO2|Asthma symptoms cough", US_national_yearly!$D:$AM, 13, FALSE) / VLOOKUP("buildings|SO2|Asthma symptoms cough", US_national_yearly!$D:$AM, 10, FALSE), 1)</f>
        <v>7.2185705563764307E-3</v>
      </c>
      <c r="F6" s="7">
        <f>$B6 * IFERROR(VLOOKUP("buildings|SO2|Asthma symptoms cough", US_national_yearly!$D:$AM, 14, FALSE) / VLOOKUP("buildings|SO2|Asthma symptoms cough", US_national_yearly!$D:$AM, 10, FALSE), 1)</f>
        <v>7.2185705563764307E-3</v>
      </c>
      <c r="G6" s="7">
        <f>$B6 * IFERROR(VLOOKUP("buildings|SO2|Asthma symptoms cough", US_national_yearly!$D:$AM, 15, FALSE) / VLOOKUP("buildings|SO2|Asthma symptoms cough", US_national_yearly!$D:$AM, 10, FALSE), 1)</f>
        <v>7.2185705563764307E-3</v>
      </c>
      <c r="H6" s="7">
        <f>$B6 * IFERROR(VLOOKUP("buildings|SO2|Asthma symptoms cough", US_national_yearly!$D:$AM, 16, FALSE) / VLOOKUP("buildings|SO2|Asthma symptoms cough", US_national_yearly!$D:$AM, 10, FALSE), 1)</f>
        <v>7.2185705563764307E-3</v>
      </c>
      <c r="I6" s="7">
        <f>$B6 * IFERROR(VLOOKUP("buildings|SO2|Asthma symptoms cough", US_national_yearly!$D:$AM, 17, FALSE) / VLOOKUP("buildings|SO2|Asthma symptoms cough", US_national_yearly!$D:$AM, 10, FALSE), 1)</f>
        <v>7.2185705563764307E-3</v>
      </c>
      <c r="J6" s="7">
        <f>$B6 * IFERROR(VLOOKUP("buildings|SO2|Asthma symptoms cough", US_national_yearly!$D:$AM, 18, FALSE) / VLOOKUP("buildings|SO2|Asthma symptoms cough", US_national_yearly!$D:$AM, 10, FALSE), 1)</f>
        <v>7.2185705563764307E-3</v>
      </c>
      <c r="K6" s="7">
        <f>$B6 * IFERROR(VLOOKUP("buildings|SO2|Asthma symptoms cough", US_national_yearly!$D:$AM, 19, FALSE) / VLOOKUP("buildings|SO2|Asthma symptoms cough", US_national_yearly!$D:$AM, 10, FALSE), 1)</f>
        <v>7.2185705563764307E-3</v>
      </c>
      <c r="L6" s="7">
        <f>$B6 * IFERROR(VLOOKUP("buildings|SO2|Asthma symptoms cough", US_national_yearly!$D:$AM, 20, FALSE) / VLOOKUP("buildings|SO2|Asthma symptoms cough", US_national_yearly!$D:$AM, 10, FALSE), 1)</f>
        <v>7.2185705563764307E-3</v>
      </c>
      <c r="M6" s="7">
        <f>$B6 * IFERROR(VLOOKUP("buildings|SO2|Asthma symptoms cough", US_national_yearly!$D:$AM, 21, FALSE) / VLOOKUP("buildings|SO2|Asthma symptoms cough", US_national_yearly!$D:$AM, 10, FALSE), 1)</f>
        <v>7.2185705563764307E-3</v>
      </c>
      <c r="N6" s="7">
        <f>$B6 * IFERROR(VLOOKUP("buildings|SO2|Asthma symptoms cough", US_national_yearly!$D:$AM, 22, FALSE) / VLOOKUP("buildings|SO2|Asthma symptoms cough", US_national_yearly!$D:$AM, 10, FALSE), 1)</f>
        <v>7.2185705563764307E-3</v>
      </c>
      <c r="O6" s="7">
        <f>$B6 * IFERROR(VLOOKUP("buildings|SO2|Asthma symptoms cough", US_national_yearly!$D:$AM, 23, FALSE) / VLOOKUP("buildings|SO2|Asthma symptoms cough", US_national_yearly!$D:$AM, 10, FALSE), 1)</f>
        <v>7.2185705563764307E-3</v>
      </c>
      <c r="P6" s="7">
        <f>$B6 * IFERROR(VLOOKUP("buildings|SO2|Asthma symptoms cough", US_national_yearly!$D:$AM, 24, FALSE) / VLOOKUP("buildings|SO2|Asthma symptoms cough", US_national_yearly!$D:$AM, 10, FALSE), 1)</f>
        <v>7.2185705563764307E-3</v>
      </c>
      <c r="Q6" s="7">
        <f>$B6 * IFERROR(VLOOKUP("buildings|SO2|Asthma symptoms cough", US_national_yearly!$D:$AM, 25, FALSE) / VLOOKUP("buildings|SO2|Asthma symptoms cough", US_national_yearly!$D:$AM, 10, FALSE), 1)</f>
        <v>7.2185705563764307E-3</v>
      </c>
      <c r="R6" s="7">
        <f>$B6 * IFERROR(VLOOKUP("buildings|SO2|Asthma symptoms cough", US_national_yearly!$D:$AM, 26, FALSE) / VLOOKUP("buildings|SO2|Asthma symptoms cough", US_national_yearly!$D:$AM, 10, FALSE), 1)</f>
        <v>7.2185705563764307E-3</v>
      </c>
      <c r="S6" s="7">
        <f>$B6 * IFERROR(VLOOKUP("buildings|SO2|Asthma symptoms cough", US_national_yearly!$D:$AM, 27, FALSE) / VLOOKUP("buildings|SO2|Asthma symptoms cough", US_national_yearly!$D:$AM, 10, FALSE), 1)</f>
        <v>7.2185705563764307E-3</v>
      </c>
      <c r="T6" s="7">
        <f>$B6 * IFERROR(VLOOKUP("buildings|SO2|Asthma symptoms cough", US_national_yearly!$D:$AM, 28, FALSE) / VLOOKUP("buildings|SO2|Asthma symptoms cough", US_national_yearly!$D:$AM, 10, FALSE), 1)</f>
        <v>7.2185705563764307E-3</v>
      </c>
      <c r="U6" s="7">
        <f>$B6 * IFERROR(VLOOKUP("buildings|SO2|Asthma symptoms cough", US_national_yearly!$D:$AM, 29, FALSE) / VLOOKUP("buildings|SO2|Asthma symptoms cough", US_national_yearly!$D:$AM, 10, FALSE), 1)</f>
        <v>7.2185705563764307E-3</v>
      </c>
      <c r="V6" s="7">
        <f>$B6 * IFERROR(VLOOKUP("buildings|SO2|Asthma symptoms cough", US_national_yearly!$D:$AM, 30, FALSE) / VLOOKUP("buildings|SO2|Asthma symptoms cough", US_national_yearly!$D:$AM, 10, FALSE), 1)</f>
        <v>7.2185705563764307E-3</v>
      </c>
      <c r="W6" s="7">
        <f>$B6 * IFERROR(VLOOKUP("buildings|SO2|Asthma symptoms cough", US_national_yearly!$D:$AM, 31, FALSE) / VLOOKUP("buildings|SO2|Asthma symptoms cough", US_national_yearly!$D:$AM, 10, FALSE), 1)</f>
        <v>7.2185705563764307E-3</v>
      </c>
      <c r="X6" s="7">
        <f>$B6 * IFERROR(VLOOKUP("buildings|SO2|Asthma symptoms cough", US_national_yearly!$D:$AM, 32, FALSE) / VLOOKUP("buildings|SO2|Asthma symptoms cough", US_national_yearly!$D:$AM, 10, FALSE), 1)</f>
        <v>7.2185705563764307E-3</v>
      </c>
      <c r="Y6" s="7">
        <f>$B6 * IFERROR(VLOOKUP("buildings|SO2|Asthma symptoms cough", US_national_yearly!$D:$AM, 33, FALSE) / VLOOKUP("buildings|SO2|Asthma symptoms cough", US_national_yearly!$D:$AM, 10, FALSE), 1)</f>
        <v>7.2185705563764307E-3</v>
      </c>
      <c r="Z6" s="7">
        <f>$B6 * IFERROR(VLOOKUP("buildings|SO2|Asthma symptoms cough", US_national_yearly!$D:$AM, 34, FALSE) / VLOOKUP("buildings|SO2|Asthma symptoms cough", US_national_yearly!$D:$AM, 10, FALSE), 1)</f>
        <v>7.2185705563764307E-3</v>
      </c>
      <c r="AA6" s="7">
        <f>$B6 * IFERROR(VLOOKUP("buildings|SO2|Asthma symptoms cough", US_national_yearly!$D:$AM, 35, FALSE) / VLOOKUP("buildings|SO2|Asthma symptoms cough", US_national_yearly!$D:$AM, 10, FALSE), 1)</f>
        <v>7.2185705563764307E-3</v>
      </c>
      <c r="AB6" s="7">
        <f>$B6 * IFERROR(VLOOKUP("buildings|SO2|Asthma symptoms cough", US_national_yearly!$D:$AM, 36, FALSE) / VLOOKUP("buildings|SO2|Asthma symptoms cough", US_national_yearly!$D:$AM, 10, FALSE), 1)</f>
        <v>7.2185705563764307E-3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9.7208612684009724E-3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9.7208612684009724E-3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9.7208612684009724E-3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9.7208612684009724E-3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9.7208612684009724E-3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9.7208612684009724E-3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9.7208612684009724E-3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9.7208612684009724E-3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9.7208612684009724E-3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9.7208612684009724E-3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9.7208612684009724E-3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9.7208612684009724E-3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9.7208612684009724E-3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9.7208612684009724E-3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9.7208612684009724E-3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9.7208612684009724E-3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9.7208612684009724E-3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9.7208612684009724E-3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9.7208612684009724E-3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9.7208612684009724E-3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9.7208612684009724E-3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9.7208612684009724E-3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9.7208612684009724E-3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9.7208612684009724E-3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9.7208612684009724E-3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9.7208612684009724E-3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9.7208612684009724E-3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1.4851797847456749E-2</v>
      </c>
      <c r="C8" s="7">
        <f>$B8 * IFERROR(VLOOKUP("buildings|SO2|Asthma symptoms wheeze", US_national_yearly!$D:$AM, 11, FALSE) / VLOOKUP("buildings|SO2|Asthma symptoms wheeze", US_national_yearly!$D:$AM, 10, FALSE), 1)</f>
        <v>1.4851797847456749E-2</v>
      </c>
      <c r="D8" s="7">
        <f>$B8 * IFERROR(VLOOKUP("buildings|SO2|Asthma symptoms wheeze", US_national_yearly!$D:$AM, 12, FALSE) / VLOOKUP("buildings|SO2|Asthma symptoms wheeze", US_national_yearly!$D:$AM, 10, FALSE), 1)</f>
        <v>1.4851797847456749E-2</v>
      </c>
      <c r="E8" s="7">
        <f>$B8 * IFERROR(VLOOKUP("buildings|SO2|Asthma symptoms wheeze", US_national_yearly!$D:$AM, 13, FALSE) / VLOOKUP("buildings|SO2|Asthma symptoms wheeze", US_national_yearly!$D:$AM, 10, FALSE), 1)</f>
        <v>1.4851797847456749E-2</v>
      </c>
      <c r="F8" s="7">
        <f>$B8 * IFERROR(VLOOKUP("buildings|SO2|Asthma symptoms wheeze", US_national_yearly!$D:$AM, 14, FALSE) / VLOOKUP("buildings|SO2|Asthma symptoms wheeze", US_national_yearly!$D:$AM, 10, FALSE), 1)</f>
        <v>1.4851797847456749E-2</v>
      </c>
      <c r="G8" s="7">
        <f>$B8 * IFERROR(VLOOKUP("buildings|SO2|Asthma symptoms wheeze", US_national_yearly!$D:$AM, 15, FALSE) / VLOOKUP("buildings|SO2|Asthma symptoms wheeze", US_national_yearly!$D:$AM, 10, FALSE), 1)</f>
        <v>1.4851797847456749E-2</v>
      </c>
      <c r="H8" s="7">
        <f>$B8 * IFERROR(VLOOKUP("buildings|SO2|Asthma symptoms wheeze", US_national_yearly!$D:$AM, 16, FALSE) / VLOOKUP("buildings|SO2|Asthma symptoms wheeze", US_national_yearly!$D:$AM, 10, FALSE), 1)</f>
        <v>1.4851797847456749E-2</v>
      </c>
      <c r="I8" s="7">
        <f>$B8 * IFERROR(VLOOKUP("buildings|SO2|Asthma symptoms wheeze", US_national_yearly!$D:$AM, 17, FALSE) / VLOOKUP("buildings|SO2|Asthma symptoms wheeze", US_national_yearly!$D:$AM, 10, FALSE), 1)</f>
        <v>1.4851797847456749E-2</v>
      </c>
      <c r="J8" s="7">
        <f>$B8 * IFERROR(VLOOKUP("buildings|SO2|Asthma symptoms wheeze", US_national_yearly!$D:$AM, 18, FALSE) / VLOOKUP("buildings|SO2|Asthma symptoms wheeze", US_national_yearly!$D:$AM, 10, FALSE), 1)</f>
        <v>1.4851797847456749E-2</v>
      </c>
      <c r="K8" s="7">
        <f>$B8 * IFERROR(VLOOKUP("buildings|SO2|Asthma symptoms wheeze", US_national_yearly!$D:$AM, 19, FALSE) / VLOOKUP("buildings|SO2|Asthma symptoms wheeze", US_national_yearly!$D:$AM, 10, FALSE), 1)</f>
        <v>1.4851797847456749E-2</v>
      </c>
      <c r="L8" s="7">
        <f>$B8 * IFERROR(VLOOKUP("buildings|SO2|Asthma symptoms wheeze", US_national_yearly!$D:$AM, 20, FALSE) / VLOOKUP("buildings|SO2|Asthma symptoms wheeze", US_national_yearly!$D:$AM, 10, FALSE), 1)</f>
        <v>1.4851797847456749E-2</v>
      </c>
      <c r="M8" s="7">
        <f>$B8 * IFERROR(VLOOKUP("buildings|SO2|Asthma symptoms wheeze", US_national_yearly!$D:$AM, 21, FALSE) / VLOOKUP("buildings|SO2|Asthma symptoms wheeze", US_national_yearly!$D:$AM, 10, FALSE), 1)</f>
        <v>1.4851797847456749E-2</v>
      </c>
      <c r="N8" s="7">
        <f>$B8 * IFERROR(VLOOKUP("buildings|SO2|Asthma symptoms wheeze", US_national_yearly!$D:$AM, 22, FALSE) / VLOOKUP("buildings|SO2|Asthma symptoms wheeze", US_national_yearly!$D:$AM, 10, FALSE), 1)</f>
        <v>1.4851797847456749E-2</v>
      </c>
      <c r="O8" s="7">
        <f>$B8 * IFERROR(VLOOKUP("buildings|SO2|Asthma symptoms wheeze", US_national_yearly!$D:$AM, 23, FALSE) / VLOOKUP("buildings|SO2|Asthma symptoms wheeze", US_national_yearly!$D:$AM, 10, FALSE), 1)</f>
        <v>1.4851797847456749E-2</v>
      </c>
      <c r="P8" s="7">
        <f>$B8 * IFERROR(VLOOKUP("buildings|SO2|Asthma symptoms wheeze", US_national_yearly!$D:$AM, 24, FALSE) / VLOOKUP("buildings|SO2|Asthma symptoms wheeze", US_national_yearly!$D:$AM, 10, FALSE), 1)</f>
        <v>1.4851797847456749E-2</v>
      </c>
      <c r="Q8" s="7">
        <f>$B8 * IFERROR(VLOOKUP("buildings|SO2|Asthma symptoms wheeze", US_national_yearly!$D:$AM, 25, FALSE) / VLOOKUP("buildings|SO2|Asthma symptoms wheeze", US_national_yearly!$D:$AM, 10, FALSE), 1)</f>
        <v>1.4851797847456749E-2</v>
      </c>
      <c r="R8" s="7">
        <f>$B8 * IFERROR(VLOOKUP("buildings|SO2|Asthma symptoms wheeze", US_national_yearly!$D:$AM, 26, FALSE) / VLOOKUP("buildings|SO2|Asthma symptoms wheeze", US_national_yearly!$D:$AM, 10, FALSE), 1)</f>
        <v>1.4851797847456749E-2</v>
      </c>
      <c r="S8" s="7">
        <f>$B8 * IFERROR(VLOOKUP("buildings|SO2|Asthma symptoms wheeze", US_national_yearly!$D:$AM, 27, FALSE) / VLOOKUP("buildings|SO2|Asthma symptoms wheeze", US_national_yearly!$D:$AM, 10, FALSE), 1)</f>
        <v>1.4851797847456749E-2</v>
      </c>
      <c r="T8" s="7">
        <f>$B8 * IFERROR(VLOOKUP("buildings|SO2|Asthma symptoms wheeze", US_national_yearly!$D:$AM, 28, FALSE) / VLOOKUP("buildings|SO2|Asthma symptoms wheeze", US_national_yearly!$D:$AM, 10, FALSE), 1)</f>
        <v>1.4851797847456749E-2</v>
      </c>
      <c r="U8" s="7">
        <f>$B8 * IFERROR(VLOOKUP("buildings|SO2|Asthma symptoms wheeze", US_national_yearly!$D:$AM, 29, FALSE) / VLOOKUP("buildings|SO2|Asthma symptoms wheeze", US_national_yearly!$D:$AM, 10, FALSE), 1)</f>
        <v>1.4851797847456749E-2</v>
      </c>
      <c r="V8" s="7">
        <f>$B8 * IFERROR(VLOOKUP("buildings|SO2|Asthma symptoms wheeze", US_national_yearly!$D:$AM, 30, FALSE) / VLOOKUP("buildings|SO2|Asthma symptoms wheeze", US_national_yearly!$D:$AM, 10, FALSE), 1)</f>
        <v>1.4851797847456749E-2</v>
      </c>
      <c r="W8" s="7">
        <f>$B8 * IFERROR(VLOOKUP("buildings|SO2|Asthma symptoms wheeze", US_national_yearly!$D:$AM, 31, FALSE) / VLOOKUP("buildings|SO2|Asthma symptoms wheeze", US_national_yearly!$D:$AM, 10, FALSE), 1)</f>
        <v>1.4851797847456749E-2</v>
      </c>
      <c r="X8" s="7">
        <f>$B8 * IFERROR(VLOOKUP("buildings|SO2|Asthma symptoms wheeze", US_national_yearly!$D:$AM, 32, FALSE) / VLOOKUP("buildings|SO2|Asthma symptoms wheeze", US_national_yearly!$D:$AM, 10, FALSE), 1)</f>
        <v>1.4851797847456749E-2</v>
      </c>
      <c r="Y8" s="7">
        <f>$B8 * IFERROR(VLOOKUP("buildings|SO2|Asthma symptoms wheeze", US_national_yearly!$D:$AM, 33, FALSE) / VLOOKUP("buildings|SO2|Asthma symptoms wheeze", US_national_yearly!$D:$AM, 10, FALSE), 1)</f>
        <v>1.4851797847456749E-2</v>
      </c>
      <c r="Z8" s="7">
        <f>$B8 * IFERROR(VLOOKUP("buildings|SO2|Asthma symptoms wheeze", US_national_yearly!$D:$AM, 34, FALSE) / VLOOKUP("buildings|SO2|Asthma symptoms wheeze", US_national_yearly!$D:$AM, 10, FALSE), 1)</f>
        <v>1.4851797847456749E-2</v>
      </c>
      <c r="AA8" s="7">
        <f>$B8 * IFERROR(VLOOKUP("buildings|SO2|Asthma symptoms wheeze", US_national_yearly!$D:$AM, 35, FALSE) / VLOOKUP("buildings|SO2|Asthma symptoms wheeze", US_national_yearly!$D:$AM, 10, FALSE), 1)</f>
        <v>1.4851797847456749E-2</v>
      </c>
      <c r="AB8" s="7">
        <f>$B8 * IFERROR(VLOOKUP("buildings|SO2|Asthma symptoms wheeze", US_national_yearly!$D:$AM, 36, FALSE) / VLOOKUP("buildings|SO2|Asthma symptoms wheeze", US_national_yearly!$D:$AM, 10, FALSE), 1)</f>
        <v>1.4851797847456749E-2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2.487681871861274E-4</v>
      </c>
      <c r="C12" s="7">
        <f>$B12 * IFERROR(VLOOKUP("buildings|SO2|Respiratory hospital admissions", US_national_yearly!$D:$AM, 11, FALSE) / VLOOKUP("buildings|SO2|Respiratory hospital admissions", US_national_yearly!$D:$AM, 10, FALSE), 1)</f>
        <v>2.5023750738291671E-4</v>
      </c>
      <c r="D12" s="7">
        <f>$B12 * IFERROR(VLOOKUP("buildings|SO2|Respiratory hospital admissions", US_national_yearly!$D:$AM, 12, FALSE) / VLOOKUP("buildings|SO2|Respiratory hospital admissions", US_national_yearly!$D:$AM, 10, FALSE), 1)</f>
        <v>2.5170682757970602E-4</v>
      </c>
      <c r="E12" s="7">
        <f>$B12 * IFERROR(VLOOKUP("buildings|SO2|Respiratory hospital admissions", US_national_yearly!$D:$AM, 13, FALSE) / VLOOKUP("buildings|SO2|Respiratory hospital admissions", US_national_yearly!$D:$AM, 10, FALSE), 1)</f>
        <v>2.5317614777649528E-4</v>
      </c>
      <c r="F12" s="7">
        <f>$B12 * IFERROR(VLOOKUP("buildings|SO2|Respiratory hospital admissions", US_national_yearly!$D:$AM, 14, FALSE) / VLOOKUP("buildings|SO2|Respiratory hospital admissions", US_national_yearly!$D:$AM, 10, FALSE), 1)</f>
        <v>2.5464546797328454E-4</v>
      </c>
      <c r="G12" s="7">
        <f>$B12 * IFERROR(VLOOKUP("buildings|SO2|Respiratory hospital admissions", US_national_yearly!$D:$AM, 15, FALSE) / VLOOKUP("buildings|SO2|Respiratory hospital admissions", US_national_yearly!$D:$AM, 10, FALSE), 1)</f>
        <v>2.5624684187401095E-4</v>
      </c>
      <c r="H12" s="7">
        <f>$B12 * IFERROR(VLOOKUP("buildings|SO2|Respiratory hospital admissions", US_national_yearly!$D:$AM, 16, FALSE) / VLOOKUP("buildings|SO2|Respiratory hospital admissions", US_national_yearly!$D:$AM, 10, FALSE), 1)</f>
        <v>2.578482157747373E-4</v>
      </c>
      <c r="I12" s="7">
        <f>$B12 * IFERROR(VLOOKUP("buildings|SO2|Respiratory hospital admissions", US_national_yearly!$D:$AM, 17, FALSE) / VLOOKUP("buildings|SO2|Respiratory hospital admissions", US_national_yearly!$D:$AM, 10, FALSE), 1)</f>
        <v>2.5942414435695262E-4</v>
      </c>
      <c r="J12" s="7">
        <f>$B12 * IFERROR(VLOOKUP("buildings|SO2|Respiratory hospital admissions", US_national_yearly!$D:$AM, 18, FALSE) / VLOOKUP("buildings|SO2|Respiratory hospital admissions", US_national_yearly!$D:$AM, 10, FALSE), 1)</f>
        <v>2.61000072939168E-4</v>
      </c>
      <c r="K12" s="7">
        <f>$B12 * IFERROR(VLOOKUP("buildings|SO2|Respiratory hospital admissions", US_national_yearly!$D:$AM, 19, FALSE) / VLOOKUP("buildings|SO2|Respiratory hospital admissions", US_national_yearly!$D:$AM, 10, FALSE), 1)</f>
        <v>2.6257600152138332E-4</v>
      </c>
      <c r="L12" s="7">
        <f>$B12 * IFERROR(VLOOKUP("buildings|SO2|Respiratory hospital admissions", US_national_yearly!$D:$AM, 20, FALSE) / VLOOKUP("buildings|SO2|Respiratory hospital admissions", US_national_yearly!$D:$AM, 10, FALSE), 1)</f>
        <v>2.6415193010359864E-4</v>
      </c>
      <c r="M12" s="7">
        <f>$B12 * IFERROR(VLOOKUP("buildings|SO2|Respiratory hospital admissions", US_national_yearly!$D:$AM, 21, FALSE) / VLOOKUP("buildings|SO2|Respiratory hospital admissions", US_national_yearly!$D:$AM, 10, FALSE), 1)</f>
        <v>2.6572785868581402E-4</v>
      </c>
      <c r="N12" s="7">
        <f>$B12 * IFERROR(VLOOKUP("buildings|SO2|Respiratory hospital admissions", US_national_yearly!$D:$AM, 22, FALSE) / VLOOKUP("buildings|SO2|Respiratory hospital admissions", US_national_yearly!$D:$AM, 10, FALSE), 1)</f>
        <v>2.6687854743123127E-4</v>
      </c>
      <c r="O12" s="7">
        <f>$B12 * IFERROR(VLOOKUP("buildings|SO2|Respiratory hospital admissions", US_national_yearly!$D:$AM, 23, FALSE) / VLOOKUP("buildings|SO2|Respiratory hospital admissions", US_national_yearly!$D:$AM, 10, FALSE), 1)</f>
        <v>2.6802923617664853E-4</v>
      </c>
      <c r="P12" s="7">
        <f>$B12 * IFERROR(VLOOKUP("buildings|SO2|Respiratory hospital admissions", US_national_yearly!$D:$AM, 24, FALSE) / VLOOKUP("buildings|SO2|Respiratory hospital admissions", US_national_yearly!$D:$AM, 10, FALSE), 1)</f>
        <v>2.6917992492206578E-4</v>
      </c>
      <c r="Q12" s="7">
        <f>$B12 * IFERROR(VLOOKUP("buildings|SO2|Respiratory hospital admissions", US_national_yearly!$D:$AM, 25, FALSE) / VLOOKUP("buildings|SO2|Respiratory hospital admissions", US_national_yearly!$D:$AM, 10, FALSE), 1)</f>
        <v>2.7033061366748304E-4</v>
      </c>
      <c r="R12" s="7">
        <f>$B12 * IFERROR(VLOOKUP("buildings|SO2|Respiratory hospital admissions", US_national_yearly!$D:$AM, 26, FALSE) / VLOOKUP("buildings|SO2|Respiratory hospital admissions", US_national_yearly!$D:$AM, 10, FALSE), 1)</f>
        <v>2.7148130241290023E-4</v>
      </c>
      <c r="S12" s="7">
        <f>$B12 * IFERROR(VLOOKUP("buildings|SO2|Respiratory hospital admissions", US_national_yearly!$D:$AM, 27, FALSE) / VLOOKUP("buildings|SO2|Respiratory hospital admissions", US_national_yearly!$D:$AM, 10, FALSE), 1)</f>
        <v>2.7257849763877035E-4</v>
      </c>
      <c r="T12" s="7">
        <f>$B12 * IFERROR(VLOOKUP("buildings|SO2|Respiratory hospital admissions", US_national_yearly!$D:$AM, 28, FALSE) / VLOOKUP("buildings|SO2|Respiratory hospital admissions", US_national_yearly!$D:$AM, 10, FALSE), 1)</f>
        <v>2.7367569286464047E-4</v>
      </c>
      <c r="U12" s="7">
        <f>$B12 * IFERROR(VLOOKUP("buildings|SO2|Respiratory hospital admissions", US_national_yearly!$D:$AM, 29, FALSE) / VLOOKUP("buildings|SO2|Respiratory hospital admissions", US_national_yearly!$D:$AM, 10, FALSE), 1)</f>
        <v>2.7477288809051053E-4</v>
      </c>
      <c r="V12" s="7">
        <f>$B12 * IFERROR(VLOOKUP("buildings|SO2|Respiratory hospital admissions", US_national_yearly!$D:$AM, 30, FALSE) / VLOOKUP("buildings|SO2|Respiratory hospital admissions", US_national_yearly!$D:$AM, 10, FALSE), 1)</f>
        <v>2.758700833163806E-4</v>
      </c>
      <c r="W12" s="7">
        <f>$B12 * IFERROR(VLOOKUP("buildings|SO2|Respiratory hospital admissions", US_national_yearly!$D:$AM, 31, FALSE) / VLOOKUP("buildings|SO2|Respiratory hospital admissions", US_national_yearly!$D:$AM, 10, FALSE), 1)</f>
        <v>2.7696727854225071E-4</v>
      </c>
      <c r="X12" s="7">
        <f>$B12 * IFERROR(VLOOKUP("buildings|SO2|Respiratory hospital admissions", US_national_yearly!$D:$AM, 32, FALSE) / VLOOKUP("buildings|SO2|Respiratory hospital admissions", US_national_yearly!$D:$AM, 10, FALSE), 1)</f>
        <v>2.7800990028013897E-4</v>
      </c>
      <c r="Y12" s="7">
        <f>$B12 * IFERROR(VLOOKUP("buildings|SO2|Respiratory hospital admissions", US_national_yearly!$D:$AM, 33, FALSE) / VLOOKUP("buildings|SO2|Respiratory hospital admissions", US_national_yearly!$D:$AM, 10, FALSE), 1)</f>
        <v>2.7905252201802723E-4</v>
      </c>
      <c r="Z12" s="7">
        <f>$B12 * IFERROR(VLOOKUP("buildings|SO2|Respiratory hospital admissions", US_national_yearly!$D:$AM, 34, FALSE) / VLOOKUP("buildings|SO2|Respiratory hospital admissions", US_national_yearly!$D:$AM, 10, FALSE), 1)</f>
        <v>2.8009514375591549E-4</v>
      </c>
      <c r="AA12" s="7">
        <f>$B12 * IFERROR(VLOOKUP("buildings|SO2|Respiratory hospital admissions", US_national_yearly!$D:$AM, 35, FALSE) / VLOOKUP("buildings|SO2|Respiratory hospital admissions", US_national_yearly!$D:$AM, 10, FALSE), 1)</f>
        <v>2.811377654938037E-4</v>
      </c>
      <c r="AB12" s="7">
        <f>$B12 * IFERROR(VLOOKUP("buildings|SO2|Respiratory hospital admissions", US_national_yearly!$D:$AM, 36, FALSE) / VLOOKUP("buildings|SO2|Respiratory hospital admissions", US_national_yearly!$D:$AM, 10, FALSE), 1)</f>
        <v>2.8218038723169201E-4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1.5523585695037224E-3</v>
      </c>
      <c r="C13" s="7">
        <f>$B13 * IFERROR(VLOOKUP("buildings|SO2|Non-fatal heart attacks", US_national_yearly!$D:$AM, 11, FALSE) / VLOOKUP("buildings|SO2|Non-fatal heart attacks", US_national_yearly!$D:$AM, 10, FALSE), 1)</f>
        <v>1.5979449122637322E-3</v>
      </c>
      <c r="D13" s="7">
        <f>$B13 * IFERROR(VLOOKUP("buildings|SO2|Non-fatal heart attacks", US_national_yearly!$D:$AM, 12, FALSE) / VLOOKUP("buildings|SO2|Non-fatal heart attacks", US_national_yearly!$D:$AM, 10, FALSE), 1)</f>
        <v>1.6435312550237419E-3</v>
      </c>
      <c r="E13" s="7">
        <f>$B13 * IFERROR(VLOOKUP("buildings|SO2|Non-fatal heart attacks", US_national_yearly!$D:$AM, 13, FALSE) / VLOOKUP("buildings|SO2|Non-fatal heart attacks", US_national_yearly!$D:$AM, 10, FALSE), 1)</f>
        <v>1.6891175977837515E-3</v>
      </c>
      <c r="F13" s="7">
        <f>$B13 * IFERROR(VLOOKUP("buildings|SO2|Non-fatal heart attacks", US_national_yearly!$D:$AM, 14, FALSE) / VLOOKUP("buildings|SO2|Non-fatal heart attacks", US_national_yearly!$D:$AM, 10, FALSE), 1)</f>
        <v>1.7347039405437613E-3</v>
      </c>
      <c r="G13" s="7">
        <f>$B13 * IFERROR(VLOOKUP("buildings|SO2|Non-fatal heart attacks", US_national_yearly!$D:$AM, 15, FALSE) / VLOOKUP("buildings|SO2|Non-fatal heart attacks", US_national_yearly!$D:$AM, 10, FALSE), 1)</f>
        <v>1.7776992139451277E-3</v>
      </c>
      <c r="H13" s="7">
        <f>$B13 * IFERROR(VLOOKUP("buildings|SO2|Non-fatal heart attacks", US_national_yearly!$D:$AM, 16, FALSE) / VLOOKUP("buildings|SO2|Non-fatal heart attacks", US_national_yearly!$D:$AM, 10, FALSE), 1)</f>
        <v>1.8206944873464944E-3</v>
      </c>
      <c r="I13" s="7">
        <f>$B13 * IFERROR(VLOOKUP("buildings|SO2|Non-fatal heart attacks", US_national_yearly!$D:$AM, 17, FALSE) / VLOOKUP("buildings|SO2|Non-fatal heart attacks", US_national_yearly!$D:$AM, 10, FALSE), 1)</f>
        <v>1.8553028325457963E-3</v>
      </c>
      <c r="J13" s="7">
        <f>$B13 * IFERROR(VLOOKUP("buildings|SO2|Non-fatal heart attacks", US_national_yearly!$D:$AM, 18, FALSE) / VLOOKUP("buildings|SO2|Non-fatal heart attacks", US_national_yearly!$D:$AM, 10, FALSE), 1)</f>
        <v>1.8899111777450986E-3</v>
      </c>
      <c r="K13" s="7">
        <f>$B13 * IFERROR(VLOOKUP("buildings|SO2|Non-fatal heart attacks", US_national_yearly!$D:$AM, 19, FALSE) / VLOOKUP("buildings|SO2|Non-fatal heart attacks", US_national_yearly!$D:$AM, 10, FALSE), 1)</f>
        <v>1.9245195229444009E-3</v>
      </c>
      <c r="L13" s="7">
        <f>$B13 * IFERROR(VLOOKUP("buildings|SO2|Non-fatal heart attacks", US_national_yearly!$D:$AM, 20, FALSE) / VLOOKUP("buildings|SO2|Non-fatal heart attacks", US_national_yearly!$D:$AM, 10, FALSE), 1)</f>
        <v>1.9591278681437034E-3</v>
      </c>
      <c r="M13" s="7">
        <f>$B13 * IFERROR(VLOOKUP("buildings|SO2|Non-fatal heart attacks", US_national_yearly!$D:$AM, 21, FALSE) / VLOOKUP("buildings|SO2|Non-fatal heart attacks", US_national_yearly!$D:$AM, 10, FALSE), 1)</f>
        <v>1.9937362133430054E-3</v>
      </c>
      <c r="N13" s="7">
        <f>$B13 * IFERROR(VLOOKUP("buildings|SO2|Non-fatal heart attacks", US_national_yearly!$D:$AM, 22, FALSE) / VLOOKUP("buildings|SO2|Non-fatal heart attacks", US_national_yearly!$D:$AM, 10, FALSE), 1)</f>
        <v>2.0161986381752031E-3</v>
      </c>
      <c r="O13" s="7">
        <f>$B13 * IFERROR(VLOOKUP("buildings|SO2|Non-fatal heart attacks", US_national_yearly!$D:$AM, 23, FALSE) / VLOOKUP("buildings|SO2|Non-fatal heart attacks", US_national_yearly!$D:$AM, 10, FALSE), 1)</f>
        <v>2.0386610630074007E-3</v>
      </c>
      <c r="P13" s="7">
        <f>$B13 * IFERROR(VLOOKUP("buildings|SO2|Non-fatal heart attacks", US_national_yearly!$D:$AM, 24, FALSE) / VLOOKUP("buildings|SO2|Non-fatal heart attacks", US_national_yearly!$D:$AM, 10, FALSE), 1)</f>
        <v>2.0611234878395979E-3</v>
      </c>
      <c r="Q13" s="7">
        <f>$B13 * IFERROR(VLOOKUP("buildings|SO2|Non-fatal heart attacks", US_national_yearly!$D:$AM, 25, FALSE) / VLOOKUP("buildings|SO2|Non-fatal heart attacks", US_national_yearly!$D:$AM, 10, FALSE), 1)</f>
        <v>2.0835859126717951E-3</v>
      </c>
      <c r="R13" s="7">
        <f>$B13 * IFERROR(VLOOKUP("buildings|SO2|Non-fatal heart attacks", US_national_yearly!$D:$AM, 26, FALSE) / VLOOKUP("buildings|SO2|Non-fatal heart attacks", US_national_yearly!$D:$AM, 10, FALSE), 1)</f>
        <v>2.1060483375039928E-3</v>
      </c>
      <c r="S13" s="7">
        <f>$B13 * IFERROR(VLOOKUP("buildings|SO2|Non-fatal heart attacks", US_national_yearly!$D:$AM, 27, FALSE) / VLOOKUP("buildings|SO2|Non-fatal heart attacks", US_national_yearly!$D:$AM, 10, FALSE), 1)</f>
        <v>2.1177781789719131E-3</v>
      </c>
      <c r="T13" s="7">
        <f>$B13 * IFERROR(VLOOKUP("buildings|SO2|Non-fatal heart attacks", US_national_yearly!$D:$AM, 28, FALSE) / VLOOKUP("buildings|SO2|Non-fatal heart attacks", US_national_yearly!$D:$AM, 10, FALSE), 1)</f>
        <v>2.129508020439833E-3</v>
      </c>
      <c r="U13" s="7">
        <f>$B13 * IFERROR(VLOOKUP("buildings|SO2|Non-fatal heart attacks", US_national_yearly!$D:$AM, 29, FALSE) / VLOOKUP("buildings|SO2|Non-fatal heart attacks", US_national_yearly!$D:$AM, 10, FALSE), 1)</f>
        <v>2.1412378619077525E-3</v>
      </c>
      <c r="V13" s="7">
        <f>$B13 * IFERROR(VLOOKUP("buildings|SO2|Non-fatal heart attacks", US_national_yearly!$D:$AM, 30, FALSE) / VLOOKUP("buildings|SO2|Non-fatal heart attacks", US_national_yearly!$D:$AM, 10, FALSE), 1)</f>
        <v>2.1529677033756728E-3</v>
      </c>
      <c r="W13" s="7">
        <f>$B13 * IFERROR(VLOOKUP("buildings|SO2|Non-fatal heart attacks", US_national_yearly!$D:$AM, 31, FALSE) / VLOOKUP("buildings|SO2|Non-fatal heart attacks", US_national_yearly!$D:$AM, 10, FALSE), 1)</f>
        <v>2.1646975448435923E-3</v>
      </c>
      <c r="X13" s="7">
        <f>$B13 * IFERROR(VLOOKUP("buildings|SO2|Non-fatal heart attacks", US_national_yearly!$D:$AM, 32, FALSE) / VLOOKUP("buildings|SO2|Non-fatal heart attacks", US_national_yearly!$D:$AM, 10, FALSE), 1)</f>
        <v>2.1735567824953343E-3</v>
      </c>
      <c r="Y13" s="7">
        <f>$B13 * IFERROR(VLOOKUP("buildings|SO2|Non-fatal heart attacks", US_national_yearly!$D:$AM, 33, FALSE) / VLOOKUP("buildings|SO2|Non-fatal heart attacks", US_national_yearly!$D:$AM, 10, FALSE), 1)</f>
        <v>2.1824160201470767E-3</v>
      </c>
      <c r="Z13" s="7">
        <f>$B13 * IFERROR(VLOOKUP("buildings|SO2|Non-fatal heart attacks", US_national_yearly!$D:$AM, 34, FALSE) / VLOOKUP("buildings|SO2|Non-fatal heart attacks", US_national_yearly!$D:$AM, 10, FALSE), 1)</f>
        <v>2.1912752577988178E-3</v>
      </c>
      <c r="AA13" s="7">
        <f>$B13 * IFERROR(VLOOKUP("buildings|SO2|Non-fatal heart attacks", US_national_yearly!$D:$AM, 35, FALSE) / VLOOKUP("buildings|SO2|Non-fatal heart attacks", US_national_yearly!$D:$AM, 10, FALSE), 1)</f>
        <v>2.2001344954505598E-3</v>
      </c>
      <c r="AB13" s="7">
        <f>$B13 * IFERROR(VLOOKUP("buildings|SO2|Non-fatal heart attacks", US_national_yearly!$D:$AM, 36, FALSE) / VLOOKUP("buildings|SO2|Non-fatal heart attacks", US_national_yearly!$D:$AM, 10, FALSE), 1)</f>
        <v>2.2089937331023013E-3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1.0069014263545233</v>
      </c>
      <c r="C14" s="7">
        <f>$B14 * IFERROR(VLOOKUP("buildings|SO2|Minor restricted activity days", US_national_yearly!$D:$AM, 11, FALSE) / VLOOKUP("buildings|SO2|Minor restricted activity days", US_national_yearly!$D:$AM, 10, FALSE), 1)</f>
        <v>1.0094503442735014</v>
      </c>
      <c r="D14" s="7">
        <f>$B14 * IFERROR(VLOOKUP("buildings|SO2|Minor restricted activity days", US_national_yearly!$D:$AM, 12, FALSE) / VLOOKUP("buildings|SO2|Minor restricted activity days", US_national_yearly!$D:$AM, 10, FALSE), 1)</f>
        <v>1.01199926219248</v>
      </c>
      <c r="E14" s="7">
        <f>$B14 * IFERROR(VLOOKUP("buildings|SO2|Minor restricted activity days", US_national_yearly!$D:$AM, 13, FALSE) / VLOOKUP("buildings|SO2|Minor restricted activity days", US_national_yearly!$D:$AM, 10, FALSE), 1)</f>
        <v>1.0145481801114584</v>
      </c>
      <c r="F14" s="7">
        <f>$B14 * IFERROR(VLOOKUP("buildings|SO2|Minor restricted activity days", US_national_yearly!$D:$AM, 14, FALSE) / VLOOKUP("buildings|SO2|Minor restricted activity days", US_national_yearly!$D:$AM, 10, FALSE), 1)</f>
        <v>1.0170970980304368</v>
      </c>
      <c r="G14" s="7">
        <f>$B14 * IFERROR(VLOOKUP("buildings|SO2|Minor restricted activity days", US_national_yearly!$D:$AM, 15, FALSE) / VLOOKUP("buildings|SO2|Minor restricted activity days", US_national_yearly!$D:$AM, 10, FALSE), 1)</f>
        <v>1.0208450173134316</v>
      </c>
      <c r="H14" s="7">
        <f>$B14 * IFERROR(VLOOKUP("buildings|SO2|Minor restricted activity days", US_national_yearly!$D:$AM, 16, FALSE) / VLOOKUP("buildings|SO2|Minor restricted activity days", US_national_yearly!$D:$AM, 10, FALSE), 1)</f>
        <v>1.0245929365964264</v>
      </c>
      <c r="I14" s="7">
        <f>$B14 * IFERROR(VLOOKUP("buildings|SO2|Minor restricted activity days", US_national_yearly!$D:$AM, 17, FALSE) / VLOOKUP("buildings|SO2|Minor restricted activity days", US_national_yearly!$D:$AM, 10, FALSE), 1)</f>
        <v>1.0309760203093683</v>
      </c>
      <c r="J14" s="7">
        <f>$B14 * IFERROR(VLOOKUP("buildings|SO2|Minor restricted activity days", US_national_yearly!$D:$AM, 18, FALSE) / VLOOKUP("buildings|SO2|Minor restricted activity days", US_national_yearly!$D:$AM, 10, FALSE), 1)</f>
        <v>1.0373591040223105</v>
      </c>
      <c r="K14" s="7">
        <f>$B14 * IFERROR(VLOOKUP("buildings|SO2|Minor restricted activity days", US_national_yearly!$D:$AM, 19, FALSE) / VLOOKUP("buildings|SO2|Minor restricted activity days", US_national_yearly!$D:$AM, 10, FALSE), 1)</f>
        <v>1.0437421877352526</v>
      </c>
      <c r="L14" s="7">
        <f>$B14 * IFERROR(VLOOKUP("buildings|SO2|Minor restricted activity days", US_national_yearly!$D:$AM, 20, FALSE) / VLOOKUP("buildings|SO2|Minor restricted activity days", US_national_yearly!$D:$AM, 10, FALSE), 1)</f>
        <v>1.0501252714481946</v>
      </c>
      <c r="M14" s="7">
        <f>$B14 * IFERROR(VLOOKUP("buildings|SO2|Minor restricted activity days", US_national_yearly!$D:$AM, 21, FALSE) / VLOOKUP("buildings|SO2|Minor restricted activity days", US_national_yearly!$D:$AM, 10, FALSE), 1)</f>
        <v>1.0565083551611365</v>
      </c>
      <c r="N14" s="7">
        <f>$B14 * IFERROR(VLOOKUP("buildings|SO2|Minor restricted activity days", US_national_yearly!$D:$AM, 22, FALSE) / VLOOKUP("buildings|SO2|Minor restricted activity days", US_national_yearly!$D:$AM, 10, FALSE), 1)</f>
        <v>1.0652368867127191</v>
      </c>
      <c r="O14" s="7">
        <f>$B14 * IFERROR(VLOOKUP("buildings|SO2|Minor restricted activity days", US_national_yearly!$D:$AM, 23, FALSE) / VLOOKUP("buildings|SO2|Minor restricted activity days", US_national_yearly!$D:$AM, 10, FALSE), 1)</f>
        <v>1.0739654182643017</v>
      </c>
      <c r="P14" s="7">
        <f>$B14 * IFERROR(VLOOKUP("buildings|SO2|Minor restricted activity days", US_national_yearly!$D:$AM, 24, FALSE) / VLOOKUP("buildings|SO2|Minor restricted activity days", US_national_yearly!$D:$AM, 10, FALSE), 1)</f>
        <v>1.0826939498158841</v>
      </c>
      <c r="Q14" s="7">
        <f>$B14 * IFERROR(VLOOKUP("buildings|SO2|Minor restricted activity days", US_national_yearly!$D:$AM, 25, FALSE) / VLOOKUP("buildings|SO2|Minor restricted activity days", US_national_yearly!$D:$AM, 10, FALSE), 1)</f>
        <v>1.0914224813674667</v>
      </c>
      <c r="R14" s="7">
        <f>$B14 * IFERROR(VLOOKUP("buildings|SO2|Minor restricted activity days", US_national_yearly!$D:$AM, 26, FALSE) / VLOOKUP("buildings|SO2|Minor restricted activity days", US_national_yearly!$D:$AM, 10, FALSE), 1)</f>
        <v>1.1001510129190493</v>
      </c>
      <c r="S14" s="7">
        <f>$B14 * IFERROR(VLOOKUP("buildings|SO2|Minor restricted activity days", US_national_yearly!$D:$AM, 27, FALSE) / VLOOKUP("buildings|SO2|Minor restricted activity days", US_national_yearly!$D:$AM, 10, FALSE), 1)</f>
        <v>1.1090491841644772</v>
      </c>
      <c r="T14" s="7">
        <f>$B14 * IFERROR(VLOOKUP("buildings|SO2|Minor restricted activity days", US_national_yearly!$D:$AM, 28, FALSE) / VLOOKUP("buildings|SO2|Minor restricted activity days", US_national_yearly!$D:$AM, 10, FALSE), 1)</f>
        <v>1.1179473554099051</v>
      </c>
      <c r="U14" s="7">
        <f>$B14 * IFERROR(VLOOKUP("buildings|SO2|Minor restricted activity days", US_national_yearly!$D:$AM, 29, FALSE) / VLOOKUP("buildings|SO2|Minor restricted activity days", US_national_yearly!$D:$AM, 10, FALSE), 1)</f>
        <v>1.1268455266553332</v>
      </c>
      <c r="V14" s="7">
        <f>$B14 * IFERROR(VLOOKUP("buildings|SO2|Minor restricted activity days", US_national_yearly!$D:$AM, 30, FALSE) / VLOOKUP("buildings|SO2|Minor restricted activity days", US_national_yearly!$D:$AM, 10, FALSE), 1)</f>
        <v>1.1357436979007611</v>
      </c>
      <c r="W14" s="7">
        <f>$B14 * IFERROR(VLOOKUP("buildings|SO2|Minor restricted activity days", US_national_yearly!$D:$AM, 31, FALSE) / VLOOKUP("buildings|SO2|Minor restricted activity days", US_national_yearly!$D:$AM, 10, FALSE), 1)</f>
        <v>1.1446418691461895</v>
      </c>
      <c r="X14" s="7">
        <f>$B14 * IFERROR(VLOOKUP("buildings|SO2|Minor restricted activity days", US_national_yearly!$D:$AM, 32, FALSE) / VLOOKUP("buildings|SO2|Minor restricted activity days", US_national_yearly!$D:$AM, 10, FALSE), 1)</f>
        <v>1.1524672958107043</v>
      </c>
      <c r="Y14" s="7">
        <f>$B14 * IFERROR(VLOOKUP("buildings|SO2|Minor restricted activity days", US_national_yearly!$D:$AM, 33, FALSE) / VLOOKUP("buildings|SO2|Minor restricted activity days", US_national_yearly!$D:$AM, 10, FALSE), 1)</f>
        <v>1.1602927224752193</v>
      </c>
      <c r="Z14" s="7">
        <f>$B14 * IFERROR(VLOOKUP("buildings|SO2|Minor restricted activity days", US_national_yearly!$D:$AM, 34, FALSE) / VLOOKUP("buildings|SO2|Minor restricted activity days", US_national_yearly!$D:$AM, 10, FALSE), 1)</f>
        <v>1.1681181491397341</v>
      </c>
      <c r="AA14" s="7">
        <f>$B14 * IFERROR(VLOOKUP("buildings|SO2|Minor restricted activity days", US_national_yearly!$D:$AM, 35, FALSE) / VLOOKUP("buildings|SO2|Minor restricted activity days", US_national_yearly!$D:$AM, 10, FALSE), 1)</f>
        <v>1.1759435758042491</v>
      </c>
      <c r="AB14" s="7">
        <f>$B14 * IFERROR(VLOOKUP("buildings|SO2|Minor restricted activity days", US_national_yearly!$D:$AM, 36, FALSE) / VLOOKUP("buildings|SO2|Minor restricted activity days", US_national_yearly!$D:$AM, 10, FALSE), 1)</f>
        <v>1.1837690024687642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0.17066686485914193</v>
      </c>
      <c r="C15" s="7">
        <f>$B15 * IFERROR(VLOOKUP("buildings|SO2|Work loss days", US_national_yearly!$D:$AM, 11, FALSE) / VLOOKUP("buildings|SO2|Work loss days", US_national_yearly!$D:$AM, 10, FALSE), 1)</f>
        <v>0.17122135872370398</v>
      </c>
      <c r="D15" s="7">
        <f>$B15 * IFERROR(VLOOKUP("buildings|SO2|Work loss days", US_national_yearly!$D:$AM, 12, FALSE) / VLOOKUP("buildings|SO2|Work loss days", US_national_yearly!$D:$AM, 10, FALSE), 1)</f>
        <v>0.17177585258826605</v>
      </c>
      <c r="E15" s="7">
        <f>$B15 * IFERROR(VLOOKUP("buildings|SO2|Work loss days", US_national_yearly!$D:$AM, 13, FALSE) / VLOOKUP("buildings|SO2|Work loss days", US_national_yearly!$D:$AM, 10, FALSE), 1)</f>
        <v>0.1723303464528281</v>
      </c>
      <c r="F15" s="7">
        <f>$B15 * IFERROR(VLOOKUP("buildings|SO2|Work loss days", US_national_yearly!$D:$AM, 14, FALSE) / VLOOKUP("buildings|SO2|Work loss days", US_national_yearly!$D:$AM, 10, FALSE), 1)</f>
        <v>0.17288484031739013</v>
      </c>
      <c r="G15" s="7">
        <f>$B15 * IFERROR(VLOOKUP("buildings|SO2|Work loss days", US_national_yearly!$D:$AM, 15, FALSE) / VLOOKUP("buildings|SO2|Work loss days", US_national_yearly!$D:$AM, 10, FALSE), 1)</f>
        <v>0.173609039989434</v>
      </c>
      <c r="H15" s="7">
        <f>$B15 * IFERROR(VLOOKUP("buildings|SO2|Work loss days", US_national_yearly!$D:$AM, 16, FALSE) / VLOOKUP("buildings|SO2|Work loss days", US_national_yearly!$D:$AM, 10, FALSE), 1)</f>
        <v>0.1743332396614779</v>
      </c>
      <c r="I15" s="7">
        <f>$B15 * IFERROR(VLOOKUP("buildings|SO2|Work loss days", US_national_yearly!$D:$AM, 17, FALSE) / VLOOKUP("buildings|SO2|Work loss days", US_national_yearly!$D:$AM, 10, FALSE), 1)</f>
        <v>0.17539206011703048</v>
      </c>
      <c r="J15" s="7">
        <f>$B15 * IFERROR(VLOOKUP("buildings|SO2|Work loss days", US_national_yearly!$D:$AM, 18, FALSE) / VLOOKUP("buildings|SO2|Work loss days", US_national_yearly!$D:$AM, 10, FALSE), 1)</f>
        <v>0.17645088057258301</v>
      </c>
      <c r="K15" s="7">
        <f>$B15 * IFERROR(VLOOKUP("buildings|SO2|Work loss days", US_national_yearly!$D:$AM, 19, FALSE) / VLOOKUP("buildings|SO2|Work loss days", US_national_yearly!$D:$AM, 10, FALSE), 1)</f>
        <v>0.1775097010281356</v>
      </c>
      <c r="L15" s="7">
        <f>$B15 * IFERROR(VLOOKUP("buildings|SO2|Work loss days", US_national_yearly!$D:$AM, 20, FALSE) / VLOOKUP("buildings|SO2|Work loss days", US_national_yearly!$D:$AM, 10, FALSE), 1)</f>
        <v>0.17856852148368813</v>
      </c>
      <c r="M15" s="7">
        <f>$B15 * IFERROR(VLOOKUP("buildings|SO2|Work loss days", US_national_yearly!$D:$AM, 21, FALSE) / VLOOKUP("buildings|SO2|Work loss days", US_national_yearly!$D:$AM, 10, FALSE), 1)</f>
        <v>0.17962734193924068</v>
      </c>
      <c r="N15" s="7">
        <f>$B15 * IFERROR(VLOOKUP("buildings|SO2|Work loss days", US_national_yearly!$D:$AM, 22, FALSE) / VLOOKUP("buildings|SO2|Work loss days", US_national_yearly!$D:$AM, 10, FALSE), 1)</f>
        <v>0.18095508544566374</v>
      </c>
      <c r="O15" s="7">
        <f>$B15 * IFERROR(VLOOKUP("buildings|SO2|Work loss days", US_national_yearly!$D:$AM, 23, FALSE) / VLOOKUP("buildings|SO2|Work loss days", US_national_yearly!$D:$AM, 10, FALSE), 1)</f>
        <v>0.18228282895208681</v>
      </c>
      <c r="P15" s="7">
        <f>$B15 * IFERROR(VLOOKUP("buildings|SO2|Work loss days", US_national_yearly!$D:$AM, 24, FALSE) / VLOOKUP("buildings|SO2|Work loss days", US_national_yearly!$D:$AM, 10, FALSE), 1)</f>
        <v>0.18361057245850984</v>
      </c>
      <c r="Q15" s="7">
        <f>$B15 * IFERROR(VLOOKUP("buildings|SO2|Work loss days", US_national_yearly!$D:$AM, 25, FALSE) / VLOOKUP("buildings|SO2|Work loss days", US_national_yearly!$D:$AM, 10, FALSE), 1)</f>
        <v>0.1849383159649329</v>
      </c>
      <c r="R15" s="7">
        <f>$B15 * IFERROR(VLOOKUP("buildings|SO2|Work loss days", US_national_yearly!$D:$AM, 26, FALSE) / VLOOKUP("buildings|SO2|Work loss days", US_national_yearly!$D:$AM, 10, FALSE), 1)</f>
        <v>0.18626605947135591</v>
      </c>
      <c r="S15" s="7">
        <f>$B15 * IFERROR(VLOOKUP("buildings|SO2|Work loss days", US_national_yearly!$D:$AM, 27, FALSE) / VLOOKUP("buildings|SO2|Work loss days", US_national_yearly!$D:$AM, 10, FALSE), 1)</f>
        <v>0.1877492652710924</v>
      </c>
      <c r="T15" s="7">
        <f>$B15 * IFERROR(VLOOKUP("buildings|SO2|Work loss days", US_national_yearly!$D:$AM, 28, FALSE) / VLOOKUP("buildings|SO2|Work loss days", US_national_yearly!$D:$AM, 10, FALSE), 1)</f>
        <v>0.18923247107082888</v>
      </c>
      <c r="U15" s="7">
        <f>$B15 * IFERROR(VLOOKUP("buildings|SO2|Work loss days", US_national_yearly!$D:$AM, 29, FALSE) / VLOOKUP("buildings|SO2|Work loss days", US_national_yearly!$D:$AM, 10, FALSE), 1)</f>
        <v>0.1907156768705654</v>
      </c>
      <c r="V15" s="7">
        <f>$B15 * IFERROR(VLOOKUP("buildings|SO2|Work loss days", US_national_yearly!$D:$AM, 30, FALSE) / VLOOKUP("buildings|SO2|Work loss days", US_national_yearly!$D:$AM, 10, FALSE), 1)</f>
        <v>0.19219888267030183</v>
      </c>
      <c r="W15" s="7">
        <f>$B15 * IFERROR(VLOOKUP("buildings|SO2|Work loss days", US_national_yearly!$D:$AM, 31, FALSE) / VLOOKUP("buildings|SO2|Work loss days", US_national_yearly!$D:$AM, 10, FALSE), 1)</f>
        <v>0.19368208847003832</v>
      </c>
      <c r="X15" s="7">
        <f>$B15 * IFERROR(VLOOKUP("buildings|SO2|Work loss days", US_national_yearly!$D:$AM, 32, FALSE) / VLOOKUP("buildings|SO2|Work loss days", US_national_yearly!$D:$AM, 10, FALSE), 1)</f>
        <v>0.19501383244687592</v>
      </c>
      <c r="Y15" s="7">
        <f>$B15 * IFERROR(VLOOKUP("buildings|SO2|Work loss days", US_national_yearly!$D:$AM, 33, FALSE) / VLOOKUP("buildings|SO2|Work loss days", US_national_yearly!$D:$AM, 10, FALSE), 1)</f>
        <v>0.19634557642371356</v>
      </c>
      <c r="Z15" s="7">
        <f>$B15 * IFERROR(VLOOKUP("buildings|SO2|Work loss days", US_national_yearly!$D:$AM, 34, FALSE) / VLOOKUP("buildings|SO2|Work loss days", US_national_yearly!$D:$AM, 10, FALSE), 1)</f>
        <v>0.19767732040055111</v>
      </c>
      <c r="AA15" s="7">
        <f>$B15 * IFERROR(VLOOKUP("buildings|SO2|Work loss days", US_national_yearly!$D:$AM, 35, FALSE) / VLOOKUP("buildings|SO2|Work loss days", US_national_yearly!$D:$AM, 10, FALSE), 1)</f>
        <v>0.19900906437738872</v>
      </c>
      <c r="AB15" s="7">
        <f>$B15 * IFERROR(VLOOKUP("buildings|SO2|Work loss days", US_national_yearly!$D:$AM, 36, FALSE) / VLOOKUP("buildings|SO2|Work loss days", US_national_yearly!$D:$AM, 10, FALSE), 1)</f>
        <v>0.2003408083542263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3.5713137674185766E-4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3.6793437178690437E-4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3.7873736683195108E-4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3.8954036187699784E-4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4.0034335692204454E-4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4.1069197908976551E-4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4.2104060125748637E-4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4.2990934960819327E-4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4.3877809795890002E-4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4.4764684630960687E-4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4.5651559466031372E-4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4.6538434301102041E-4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4.7133952978893921E-4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4.7729471656685795E-4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4.8324990334477674E-4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4.8920509012269537E-4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4.9516027690061422E-4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4.9829198382546651E-4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5.014236907503189E-4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5.0455539767517118E-4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5.0768710460002357E-4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5.1081881152487585E-4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5.1292175976512544E-4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5.1502470800537502E-4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5.171276562456245E-4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5.1923060448587409E-4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5.2133355272612357E-4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3.0867064184493989E-2</v>
      </c>
      <c r="C2" s="7">
        <f>$B2 * IFERROR(VLOOKUP("industry|PM25|Premature mortality", US_national_yearly!$D:$AM, 11, FALSE) / VLOOKUP("industry|PM25|Premature mortality", US_national_yearly!$D:$AM, 10, FALSE), 1)</f>
        <v>3.1251460003898883E-2</v>
      </c>
      <c r="D2" s="7">
        <f>$B2 * IFERROR(VLOOKUP("industry|PM25|Premature mortality", US_national_yearly!$D:$AM, 12, FALSE) / VLOOKUP("industry|PM25|Premature mortality", US_national_yearly!$D:$AM, 10, FALSE), 1)</f>
        <v>3.163585582330377E-2</v>
      </c>
      <c r="E2" s="7">
        <f>$B2 * IFERROR(VLOOKUP("industry|PM25|Premature mortality", US_national_yearly!$D:$AM, 13, FALSE) / VLOOKUP("industry|PM25|Premature mortality", US_national_yearly!$D:$AM, 10, FALSE), 1)</f>
        <v>3.2020251642708657E-2</v>
      </c>
      <c r="F2" s="7">
        <f>$B2 * IFERROR(VLOOKUP("industry|PM25|Premature mortality", US_national_yearly!$D:$AM, 14, FALSE) / VLOOKUP("industry|PM25|Premature mortality", US_national_yearly!$D:$AM, 10, FALSE), 1)</f>
        <v>3.2404647462113544E-2</v>
      </c>
      <c r="G2" s="7">
        <f>$B2 * IFERROR(VLOOKUP("industry|PM25|Premature mortality", US_national_yearly!$D:$AM, 15, FALSE) / VLOOKUP("industry|PM25|Premature mortality", US_national_yearly!$D:$AM, 10, FALSE), 1)</f>
        <v>3.3152483558158058E-2</v>
      </c>
      <c r="H2" s="7">
        <f>$B2 * IFERROR(VLOOKUP("industry|PM25|Premature mortality", US_national_yearly!$D:$AM, 16, FALSE) / VLOOKUP("industry|PM25|Premature mortality", US_national_yearly!$D:$AM, 10, FALSE), 1)</f>
        <v>3.3900319654202572E-2</v>
      </c>
      <c r="I2" s="7">
        <f>$B2 * IFERROR(VLOOKUP("industry|PM25|Premature mortality", US_national_yearly!$D:$AM, 17, FALSE) / VLOOKUP("industry|PM25|Premature mortality", US_national_yearly!$D:$AM, 10, FALSE), 1)</f>
        <v>3.4394113342371364E-2</v>
      </c>
      <c r="J2" s="7">
        <f>$B2 * IFERROR(VLOOKUP("industry|PM25|Premature mortality", US_national_yearly!$D:$AM, 18, FALSE) / VLOOKUP("industry|PM25|Premature mortality", US_national_yearly!$D:$AM, 10, FALSE), 1)</f>
        <v>3.488790703054015E-2</v>
      </c>
      <c r="K2" s="7">
        <f>$B2 * IFERROR(VLOOKUP("industry|PM25|Premature mortality", US_national_yearly!$D:$AM, 19, FALSE) / VLOOKUP("industry|PM25|Premature mortality", US_national_yearly!$D:$AM, 10, FALSE), 1)</f>
        <v>3.5381700718708928E-2</v>
      </c>
      <c r="L2" s="7">
        <f>$B2 * IFERROR(VLOOKUP("industry|PM25|Premature mortality", US_national_yearly!$D:$AM, 20, FALSE) / VLOOKUP("industry|PM25|Premature mortality", US_national_yearly!$D:$AM, 10, FALSE), 1)</f>
        <v>3.5875494406877713E-2</v>
      </c>
      <c r="M2" s="7">
        <f>$B2 * IFERROR(VLOOKUP("industry|PM25|Premature mortality", US_national_yearly!$D:$AM, 21, FALSE) / VLOOKUP("industry|PM25|Premature mortality", US_national_yearly!$D:$AM, 10, FALSE), 1)</f>
        <v>3.6369288095046505E-2</v>
      </c>
      <c r="N2" s="7">
        <f>$B2 * IFERROR(VLOOKUP("industry|PM25|Premature mortality", US_national_yearly!$D:$AM, 22, FALSE) / VLOOKUP("industry|PM25|Premature mortality", US_national_yearly!$D:$AM, 10, FALSE), 1)</f>
        <v>3.6753995595942522E-2</v>
      </c>
      <c r="O2" s="7">
        <f>$B2 * IFERROR(VLOOKUP("industry|PM25|Premature mortality", US_national_yearly!$D:$AM, 23, FALSE) / VLOOKUP("industry|PM25|Premature mortality", US_national_yearly!$D:$AM, 10, FALSE), 1)</f>
        <v>3.7138703096838539E-2</v>
      </c>
      <c r="P2" s="7">
        <f>$B2 * IFERROR(VLOOKUP("industry|PM25|Premature mortality", US_national_yearly!$D:$AM, 24, FALSE) / VLOOKUP("industry|PM25|Premature mortality", US_national_yearly!$D:$AM, 10, FALSE), 1)</f>
        <v>3.7523410597734556E-2</v>
      </c>
      <c r="Q2" s="7">
        <f>$B2 * IFERROR(VLOOKUP("industry|PM25|Premature mortality", US_national_yearly!$D:$AM, 25, FALSE) / VLOOKUP("industry|PM25|Premature mortality", US_national_yearly!$D:$AM, 10, FALSE), 1)</f>
        <v>3.790811809863058E-2</v>
      </c>
      <c r="R2" s="7">
        <f>$B2 * IFERROR(VLOOKUP("industry|PM25|Premature mortality", US_national_yearly!$D:$AM, 26, FALSE) / VLOOKUP("industry|PM25|Premature mortality", US_national_yearly!$D:$AM, 10, FALSE), 1)</f>
        <v>3.8292825599526591E-2</v>
      </c>
      <c r="S2" s="7">
        <f>$B2 * IFERROR(VLOOKUP("industry|PM25|Premature mortality", US_national_yearly!$D:$AM, 27, FALSE) / VLOOKUP("industry|PM25|Premature mortality", US_national_yearly!$D:$AM, 10, FALSE), 1)</f>
        <v>3.8500553381315646E-2</v>
      </c>
      <c r="T2" s="7">
        <f>$B2 * IFERROR(VLOOKUP("industry|PM25|Premature mortality", US_national_yearly!$D:$AM, 28, FALSE) / VLOOKUP("industry|PM25|Premature mortality", US_national_yearly!$D:$AM, 10, FALSE), 1)</f>
        <v>3.8708281163104707E-2</v>
      </c>
      <c r="U2" s="7">
        <f>$B2 * IFERROR(VLOOKUP("industry|PM25|Premature mortality", US_national_yearly!$D:$AM, 29, FALSE) / VLOOKUP("industry|PM25|Premature mortality", US_national_yearly!$D:$AM, 10, FALSE), 1)</f>
        <v>3.8916008944893776E-2</v>
      </c>
      <c r="V2" s="7">
        <f>$B2 * IFERROR(VLOOKUP("industry|PM25|Premature mortality", US_national_yearly!$D:$AM, 30, FALSE) / VLOOKUP("industry|PM25|Premature mortality", US_national_yearly!$D:$AM, 10, FALSE), 1)</f>
        <v>3.9123736726682831E-2</v>
      </c>
      <c r="W2" s="7">
        <f>$B2 * IFERROR(VLOOKUP("industry|PM25|Premature mortality", US_national_yearly!$D:$AM, 31, FALSE) / VLOOKUP("industry|PM25|Premature mortality", US_national_yearly!$D:$AM, 10, FALSE), 1)</f>
        <v>3.9331464508471893E-2</v>
      </c>
      <c r="X2" s="7">
        <f>$B2 * IFERROR(VLOOKUP("industry|PM25|Premature mortality", US_national_yearly!$D:$AM, 32, FALSE) / VLOOKUP("industry|PM25|Premature mortality", US_national_yearly!$D:$AM, 10, FALSE), 1)</f>
        <v>3.9374353014419057E-2</v>
      </c>
      <c r="Y2" s="7">
        <f>$B2 * IFERROR(VLOOKUP("industry|PM25|Premature mortality", US_national_yearly!$D:$AM, 33, FALSE) / VLOOKUP("industry|PM25|Premature mortality", US_national_yearly!$D:$AM, 10, FALSE), 1)</f>
        <v>3.9417241520366235E-2</v>
      </c>
      <c r="Z2" s="7">
        <f>$B2 * IFERROR(VLOOKUP("industry|PM25|Premature mortality", US_national_yearly!$D:$AM, 34, FALSE) / VLOOKUP("industry|PM25|Premature mortality", US_national_yearly!$D:$AM, 10, FALSE), 1)</f>
        <v>3.9460130026313399E-2</v>
      </c>
      <c r="AA2" s="7">
        <f>$B2 * IFERROR(VLOOKUP("industry|PM25|Premature mortality", US_national_yearly!$D:$AM, 35, FALSE) / VLOOKUP("industry|PM25|Premature mortality", US_national_yearly!$D:$AM, 10, FALSE), 1)</f>
        <v>3.9503018532260577E-2</v>
      </c>
      <c r="AB2" s="7">
        <f>$B2 * IFERROR(VLOOKUP("industry|PM25|Premature mortality", US_national_yearly!$D:$AM, 36, FALSE) / VLOOKUP("industry|PM25|Premature mortality", US_national_yearly!$D:$AM, 10, FALSE), 1)</f>
        <v>3.9545907038207748E-2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6.3544311310934578E-5</v>
      </c>
      <c r="C3" s="7">
        <f>$B3 * IFERROR(VLOOKUP("industry|PM25|Infant mortality", US_national_yearly!$D:$AM, 11, FALSE) / VLOOKUP("industry|PM25|Infant mortality", US_national_yearly!$D:$AM, 10, FALSE), 1)</f>
        <v>6.2991040597129493E-5</v>
      </c>
      <c r="D3" s="7">
        <f>$B3 * IFERROR(VLOOKUP("industry|PM25|Infant mortality", US_national_yearly!$D:$AM, 12, FALSE) / VLOOKUP("industry|PM25|Infant mortality", US_national_yearly!$D:$AM, 10, FALSE), 1)</f>
        <v>6.2437769883324408E-5</v>
      </c>
      <c r="E3" s="7">
        <f>$B3 * IFERROR(VLOOKUP("industry|PM25|Infant mortality", US_national_yearly!$D:$AM, 13, FALSE) / VLOOKUP("industry|PM25|Infant mortality", US_national_yearly!$D:$AM, 10, FALSE), 1)</f>
        <v>6.188449916951931E-5</v>
      </c>
      <c r="F3" s="7">
        <f>$B3 * IFERROR(VLOOKUP("industry|PM25|Infant mortality", US_national_yearly!$D:$AM, 14, FALSE) / VLOOKUP("industry|PM25|Infant mortality", US_national_yearly!$D:$AM, 10, FALSE), 1)</f>
        <v>6.1331228455714225E-5</v>
      </c>
      <c r="G3" s="7">
        <f>$B3 * IFERROR(VLOOKUP("industry|PM25|Infant mortality", US_national_yearly!$D:$AM, 15, FALSE) / VLOOKUP("industry|PM25|Infant mortality", US_national_yearly!$D:$AM, 10, FALSE), 1)</f>
        <v>4.0750614961846516E-5</v>
      </c>
      <c r="H3" s="7">
        <f>$B3 * IFERROR(VLOOKUP("industry|PM25|Infant mortality", US_national_yearly!$D:$AM, 16, FALSE) / VLOOKUP("industry|PM25|Infant mortality", US_national_yearly!$D:$AM, 10, FALSE), 1)</f>
        <v>2.017000146797881E-5</v>
      </c>
      <c r="I3" s="7">
        <f>$B3 * IFERROR(VLOOKUP("industry|PM25|Infant mortality", US_national_yearly!$D:$AM, 17, FALSE) / VLOOKUP("industry|PM25|Infant mortality", US_national_yearly!$D:$AM, 10, FALSE), 1)</f>
        <v>2.0035750214267154E-5</v>
      </c>
      <c r="J3" s="7">
        <f>$B3 * IFERROR(VLOOKUP("industry|PM25|Infant mortality", US_national_yearly!$D:$AM, 18, FALSE) / VLOOKUP("industry|PM25|Infant mortality", US_national_yearly!$D:$AM, 10, FALSE), 1)</f>
        <v>1.9901498960555498E-5</v>
      </c>
      <c r="K3" s="7">
        <f>$B3 * IFERROR(VLOOKUP("industry|PM25|Infant mortality", US_national_yearly!$D:$AM, 19, FALSE) / VLOOKUP("industry|PM25|Infant mortality", US_national_yearly!$D:$AM, 10, FALSE), 1)</f>
        <v>1.9767247706843839E-5</v>
      </c>
      <c r="L3" s="7">
        <f>$B3 * IFERROR(VLOOKUP("industry|PM25|Infant mortality", US_national_yearly!$D:$AM, 20, FALSE) / VLOOKUP("industry|PM25|Infant mortality", US_national_yearly!$D:$AM, 10, FALSE), 1)</f>
        <v>1.963299645313218E-5</v>
      </c>
      <c r="M3" s="7">
        <f>$B3 * IFERROR(VLOOKUP("industry|PM25|Infant mortality", US_national_yearly!$D:$AM, 21, FALSE) / VLOOKUP("industry|PM25|Infant mortality", US_national_yearly!$D:$AM, 10, FALSE), 1)</f>
        <v>1.9498745199420524E-5</v>
      </c>
      <c r="N3" s="7">
        <f>$B3 * IFERROR(VLOOKUP("industry|PM25|Infant mortality", US_national_yearly!$D:$AM, 22, FALSE) / VLOOKUP("industry|PM25|Infant mortality", US_national_yearly!$D:$AM, 10, FALSE), 1)</f>
        <v>1.9413079826281573E-5</v>
      </c>
      <c r="O3" s="7">
        <f>$B3 * IFERROR(VLOOKUP("industry|PM25|Infant mortality", US_national_yearly!$D:$AM, 23, FALSE) / VLOOKUP("industry|PM25|Infant mortality", US_national_yearly!$D:$AM, 10, FALSE), 1)</f>
        <v>1.9327414453142629E-5</v>
      </c>
      <c r="P3" s="7">
        <f>$B3 * IFERROR(VLOOKUP("industry|PM25|Infant mortality", US_national_yearly!$D:$AM, 24, FALSE) / VLOOKUP("industry|PM25|Infant mortality", US_national_yearly!$D:$AM, 10, FALSE), 1)</f>
        <v>1.9241749080003685E-5</v>
      </c>
      <c r="Q3" s="7">
        <f>$B3 * IFERROR(VLOOKUP("industry|PM25|Infant mortality", US_national_yearly!$D:$AM, 25, FALSE) / VLOOKUP("industry|PM25|Infant mortality", US_national_yearly!$D:$AM, 10, FALSE), 1)</f>
        <v>1.9156083706864737E-5</v>
      </c>
      <c r="R3" s="7">
        <f>$B3 * IFERROR(VLOOKUP("industry|PM25|Infant mortality", US_national_yearly!$D:$AM, 26, FALSE) / VLOOKUP("industry|PM25|Infant mortality", US_national_yearly!$D:$AM, 10, FALSE), 1)</f>
        <v>1.9070418333725789E-5</v>
      </c>
      <c r="S3" s="7">
        <f>$B3 * IFERROR(VLOOKUP("industry|PM25|Infant mortality", US_national_yearly!$D:$AM, 27, FALSE) / VLOOKUP("industry|PM25|Infant mortality", US_national_yearly!$D:$AM, 10, FALSE), 1)</f>
        <v>1.896505765952309E-5</v>
      </c>
      <c r="T3" s="7">
        <f>$B3 * IFERROR(VLOOKUP("industry|PM25|Infant mortality", US_national_yearly!$D:$AM, 28, FALSE) / VLOOKUP("industry|PM25|Infant mortality", US_national_yearly!$D:$AM, 10, FALSE), 1)</f>
        <v>1.8859696985320394E-5</v>
      </c>
      <c r="U3" s="7">
        <f>$B3 * IFERROR(VLOOKUP("industry|PM25|Infant mortality", US_national_yearly!$D:$AM, 29, FALSE) / VLOOKUP("industry|PM25|Infant mortality", US_national_yearly!$D:$AM, 10, FALSE), 1)</f>
        <v>1.8754336311117691E-5</v>
      </c>
      <c r="V3" s="7">
        <f>$B3 * IFERROR(VLOOKUP("industry|PM25|Infant mortality", US_national_yearly!$D:$AM, 30, FALSE) / VLOOKUP("industry|PM25|Infant mortality", US_national_yearly!$D:$AM, 10, FALSE), 1)</f>
        <v>1.8648975636914995E-5</v>
      </c>
      <c r="W3" s="7">
        <f>$B3 * IFERROR(VLOOKUP("industry|PM25|Infant mortality", US_national_yearly!$D:$AM, 31, FALSE) / VLOOKUP("industry|PM25|Infant mortality", US_national_yearly!$D:$AM, 10, FALSE), 1)</f>
        <v>1.8543614962712296E-5</v>
      </c>
      <c r="X3" s="7">
        <f>$B3 * IFERROR(VLOOKUP("industry|PM25|Infant mortality", US_national_yearly!$D:$AM, 32, FALSE) / VLOOKUP("industry|PM25|Infant mortality", US_national_yearly!$D:$AM, 10, FALSE), 1)</f>
        <v>1.8431023880268504E-5</v>
      </c>
      <c r="Y3" s="7">
        <f>$B3 * IFERROR(VLOOKUP("industry|PM25|Infant mortality", US_national_yearly!$D:$AM, 33, FALSE) / VLOOKUP("industry|PM25|Infant mortality", US_national_yearly!$D:$AM, 10, FALSE), 1)</f>
        <v>1.8318432797824709E-5</v>
      </c>
      <c r="Z3" s="7">
        <f>$B3 * IFERROR(VLOOKUP("industry|PM25|Infant mortality", US_national_yearly!$D:$AM, 34, FALSE) / VLOOKUP("industry|PM25|Infant mortality", US_national_yearly!$D:$AM, 10, FALSE), 1)</f>
        <v>1.8205841715380913E-5</v>
      </c>
      <c r="AA3" s="7">
        <f>$B3 * IFERROR(VLOOKUP("industry|PM25|Infant mortality", US_national_yearly!$D:$AM, 35, FALSE) / VLOOKUP("industry|PM25|Infant mortality", US_national_yearly!$D:$AM, 10, FALSE), 1)</f>
        <v>1.8093250632937121E-5</v>
      </c>
      <c r="AB3" s="7">
        <f>$B3 * IFERROR(VLOOKUP("industry|PM25|Infant mortality", US_national_yearly!$D:$AM, 36, FALSE) / VLOOKUP("industry|PM25|Infant mortality", US_national_yearly!$D:$AM, 10, FALSE), 1)</f>
        <v>1.7980659550493326E-5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6.6080862138728769E-2</v>
      </c>
      <c r="C6" s="7">
        <f>$B6 * IFERROR(VLOOKUP("industry|PM25|Asthma symptoms cough", US_national_yearly!$D:$AM, 11, FALSE) / VLOOKUP("industry|PM25|Asthma symptoms cough", US_national_yearly!$D:$AM, 10, FALSE), 1)</f>
        <v>6.6080862138728769E-2</v>
      </c>
      <c r="D6" s="7">
        <f>$B6 * IFERROR(VLOOKUP("industry|PM25|Asthma symptoms cough", US_national_yearly!$D:$AM, 12, FALSE) / VLOOKUP("industry|PM25|Asthma symptoms cough", US_national_yearly!$D:$AM, 10, FALSE), 1)</f>
        <v>6.6080862138728769E-2</v>
      </c>
      <c r="E6" s="7">
        <f>$B6 * IFERROR(VLOOKUP("industry|PM25|Asthma symptoms cough", US_national_yearly!$D:$AM, 13, FALSE) / VLOOKUP("industry|PM25|Asthma symptoms cough", US_national_yearly!$D:$AM, 10, FALSE), 1)</f>
        <v>6.6080862138728769E-2</v>
      </c>
      <c r="F6" s="7">
        <f>$B6 * IFERROR(VLOOKUP("industry|PM25|Asthma symptoms cough", US_national_yearly!$D:$AM, 14, FALSE) / VLOOKUP("industry|PM25|Asthma symptoms cough", US_national_yearly!$D:$AM, 10, FALSE), 1)</f>
        <v>6.6080862138728769E-2</v>
      </c>
      <c r="G6" s="7">
        <f>$B6 * IFERROR(VLOOKUP("industry|PM25|Asthma symptoms cough", US_national_yearly!$D:$AM, 15, FALSE) / VLOOKUP("industry|PM25|Asthma symptoms cough", US_national_yearly!$D:$AM, 10, FALSE), 1)</f>
        <v>6.6080862138728769E-2</v>
      </c>
      <c r="H6" s="7">
        <f>$B6 * IFERROR(VLOOKUP("industry|PM25|Asthma symptoms cough", US_national_yearly!$D:$AM, 16, FALSE) / VLOOKUP("industry|PM25|Asthma symptoms cough", US_national_yearly!$D:$AM, 10, FALSE), 1)</f>
        <v>6.6080862138728769E-2</v>
      </c>
      <c r="I6" s="7">
        <f>$B6 * IFERROR(VLOOKUP("industry|PM25|Asthma symptoms cough", US_national_yearly!$D:$AM, 17, FALSE) / VLOOKUP("industry|PM25|Asthma symptoms cough", US_national_yearly!$D:$AM, 10, FALSE), 1)</f>
        <v>6.6080862138728769E-2</v>
      </c>
      <c r="J6" s="7">
        <f>$B6 * IFERROR(VLOOKUP("industry|PM25|Asthma symptoms cough", US_national_yearly!$D:$AM, 18, FALSE) / VLOOKUP("industry|PM25|Asthma symptoms cough", US_national_yearly!$D:$AM, 10, FALSE), 1)</f>
        <v>6.6080862138728769E-2</v>
      </c>
      <c r="K6" s="7">
        <f>$B6 * IFERROR(VLOOKUP("industry|PM25|Asthma symptoms cough", US_national_yearly!$D:$AM, 19, FALSE) / VLOOKUP("industry|PM25|Asthma symptoms cough", US_national_yearly!$D:$AM, 10, FALSE), 1)</f>
        <v>6.6080862138728769E-2</v>
      </c>
      <c r="L6" s="7">
        <f>$B6 * IFERROR(VLOOKUP("industry|PM25|Asthma symptoms cough", US_national_yearly!$D:$AM, 20, FALSE) / VLOOKUP("industry|PM25|Asthma symptoms cough", US_national_yearly!$D:$AM, 10, FALSE), 1)</f>
        <v>6.6080862138728769E-2</v>
      </c>
      <c r="M6" s="7">
        <f>$B6 * IFERROR(VLOOKUP("industry|PM25|Asthma symptoms cough", US_national_yearly!$D:$AM, 21, FALSE) / VLOOKUP("industry|PM25|Asthma symptoms cough", US_national_yearly!$D:$AM, 10, FALSE), 1)</f>
        <v>6.6080862138728769E-2</v>
      </c>
      <c r="N6" s="7">
        <f>$B6 * IFERROR(VLOOKUP("industry|PM25|Asthma symptoms cough", US_national_yearly!$D:$AM, 22, FALSE) / VLOOKUP("industry|PM25|Asthma symptoms cough", US_national_yearly!$D:$AM, 10, FALSE), 1)</f>
        <v>6.6080862138728769E-2</v>
      </c>
      <c r="O6" s="7">
        <f>$B6 * IFERROR(VLOOKUP("industry|PM25|Asthma symptoms cough", US_national_yearly!$D:$AM, 23, FALSE) / VLOOKUP("industry|PM25|Asthma symptoms cough", US_national_yearly!$D:$AM, 10, FALSE), 1)</f>
        <v>6.6080862138728769E-2</v>
      </c>
      <c r="P6" s="7">
        <f>$B6 * IFERROR(VLOOKUP("industry|PM25|Asthma symptoms cough", US_national_yearly!$D:$AM, 24, FALSE) / VLOOKUP("industry|PM25|Asthma symptoms cough", US_national_yearly!$D:$AM, 10, FALSE), 1)</f>
        <v>6.6080862138728769E-2</v>
      </c>
      <c r="Q6" s="7">
        <f>$B6 * IFERROR(VLOOKUP("industry|PM25|Asthma symptoms cough", US_national_yearly!$D:$AM, 25, FALSE) / VLOOKUP("industry|PM25|Asthma symptoms cough", US_national_yearly!$D:$AM, 10, FALSE), 1)</f>
        <v>6.6080862138728769E-2</v>
      </c>
      <c r="R6" s="7">
        <f>$B6 * IFERROR(VLOOKUP("industry|PM25|Asthma symptoms cough", US_national_yearly!$D:$AM, 26, FALSE) / VLOOKUP("industry|PM25|Asthma symptoms cough", US_national_yearly!$D:$AM, 10, FALSE), 1)</f>
        <v>6.6080862138728769E-2</v>
      </c>
      <c r="S6" s="7">
        <f>$B6 * IFERROR(VLOOKUP("industry|PM25|Asthma symptoms cough", US_national_yearly!$D:$AM, 27, FALSE) / VLOOKUP("industry|PM25|Asthma symptoms cough", US_national_yearly!$D:$AM, 10, FALSE), 1)</f>
        <v>6.6080862138728769E-2</v>
      </c>
      <c r="T6" s="7">
        <f>$B6 * IFERROR(VLOOKUP("industry|PM25|Asthma symptoms cough", US_national_yearly!$D:$AM, 28, FALSE) / VLOOKUP("industry|PM25|Asthma symptoms cough", US_national_yearly!$D:$AM, 10, FALSE), 1)</f>
        <v>6.6080862138728769E-2</v>
      </c>
      <c r="U6" s="7">
        <f>$B6 * IFERROR(VLOOKUP("industry|PM25|Asthma symptoms cough", US_national_yearly!$D:$AM, 29, FALSE) / VLOOKUP("industry|PM25|Asthma symptoms cough", US_national_yearly!$D:$AM, 10, FALSE), 1)</f>
        <v>6.6080862138728769E-2</v>
      </c>
      <c r="V6" s="7">
        <f>$B6 * IFERROR(VLOOKUP("industry|PM25|Asthma symptoms cough", US_national_yearly!$D:$AM, 30, FALSE) / VLOOKUP("industry|PM25|Asthma symptoms cough", US_national_yearly!$D:$AM, 10, FALSE), 1)</f>
        <v>6.6080862138728769E-2</v>
      </c>
      <c r="W6" s="7">
        <f>$B6 * IFERROR(VLOOKUP("industry|PM25|Asthma symptoms cough", US_national_yearly!$D:$AM, 31, FALSE) / VLOOKUP("industry|PM25|Asthma symptoms cough", US_national_yearly!$D:$AM, 10, FALSE), 1)</f>
        <v>6.6080862138728769E-2</v>
      </c>
      <c r="X6" s="7">
        <f>$B6 * IFERROR(VLOOKUP("industry|PM25|Asthma symptoms cough", US_national_yearly!$D:$AM, 32, FALSE) / VLOOKUP("industry|PM25|Asthma symptoms cough", US_national_yearly!$D:$AM, 10, FALSE), 1)</f>
        <v>6.6080862138728769E-2</v>
      </c>
      <c r="Y6" s="7">
        <f>$B6 * IFERROR(VLOOKUP("industry|PM25|Asthma symptoms cough", US_national_yearly!$D:$AM, 33, FALSE) / VLOOKUP("industry|PM25|Asthma symptoms cough", US_national_yearly!$D:$AM, 10, FALSE), 1)</f>
        <v>6.6080862138728769E-2</v>
      </c>
      <c r="Z6" s="7">
        <f>$B6 * IFERROR(VLOOKUP("industry|PM25|Asthma symptoms cough", US_national_yearly!$D:$AM, 34, FALSE) / VLOOKUP("industry|PM25|Asthma symptoms cough", US_national_yearly!$D:$AM, 10, FALSE), 1)</f>
        <v>6.6080862138728769E-2</v>
      </c>
      <c r="AA6" s="7">
        <f>$B6 * IFERROR(VLOOKUP("industry|PM25|Asthma symptoms cough", US_national_yearly!$D:$AM, 35, FALSE) / VLOOKUP("industry|PM25|Asthma symptoms cough", US_national_yearly!$D:$AM, 10, FALSE), 1)</f>
        <v>6.6080862138728769E-2</v>
      </c>
      <c r="AB6" s="7">
        <f>$B6 * IFERROR(VLOOKUP("industry|PM25|Asthma symptoms cough", US_national_yearly!$D:$AM, 36, FALSE) / VLOOKUP("industry|PM25|Asthma symptoms cough", US_national_yearly!$D:$AM, 10, FALSE), 1)</f>
        <v>6.6080862138728769E-2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8.8982945044645434E-2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8.8982945044645434E-2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8.8982945044645434E-2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8.8982945044645434E-2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8.8982945044645434E-2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8.8982945044645434E-2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8.8982945044645434E-2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8.8982945044645434E-2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8.8982945044645434E-2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8.8982945044645434E-2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8.8982945044645434E-2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8.8982945044645434E-2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8.8982945044645434E-2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8.8982945044645434E-2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8.8982945044645434E-2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8.8982945044645434E-2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8.8982945044645434E-2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8.8982945044645434E-2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8.8982945044645434E-2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8.8982945044645434E-2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8.8982945044645434E-2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8.8982945044645434E-2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8.8982945044645434E-2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8.8982945044645434E-2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8.8982945044645434E-2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8.8982945044645434E-2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8.8982945044645434E-2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0.13596698813246638</v>
      </c>
      <c r="C8" s="7">
        <f>$B8 * IFERROR(VLOOKUP("industry|PM25|Asthma symptoms wheeze", US_national_yearly!$D:$AM, 11, FALSE) / VLOOKUP("industry|PM25|Asthma symptoms wheeze", US_national_yearly!$D:$AM, 10, FALSE), 1)</f>
        <v>0.13596698813246638</v>
      </c>
      <c r="D8" s="7">
        <f>$B8 * IFERROR(VLOOKUP("industry|PM25|Asthma symptoms wheeze", US_national_yearly!$D:$AM, 12, FALSE) / VLOOKUP("industry|PM25|Asthma symptoms wheeze", US_national_yearly!$D:$AM, 10, FALSE), 1)</f>
        <v>0.13596698813246638</v>
      </c>
      <c r="E8" s="7">
        <f>$B8 * IFERROR(VLOOKUP("industry|PM25|Asthma symptoms wheeze", US_national_yearly!$D:$AM, 13, FALSE) / VLOOKUP("industry|PM25|Asthma symptoms wheeze", US_national_yearly!$D:$AM, 10, FALSE), 1)</f>
        <v>0.13596698813246638</v>
      </c>
      <c r="F8" s="7">
        <f>$B8 * IFERROR(VLOOKUP("industry|PM25|Asthma symptoms wheeze", US_national_yearly!$D:$AM, 14, FALSE) / VLOOKUP("industry|PM25|Asthma symptoms wheeze", US_national_yearly!$D:$AM, 10, FALSE), 1)</f>
        <v>0.13596698813246638</v>
      </c>
      <c r="G8" s="7">
        <f>$B8 * IFERROR(VLOOKUP("industry|PM25|Asthma symptoms wheeze", US_national_yearly!$D:$AM, 15, FALSE) / VLOOKUP("industry|PM25|Asthma symptoms wheeze", US_national_yearly!$D:$AM, 10, FALSE), 1)</f>
        <v>0.13596698813246638</v>
      </c>
      <c r="H8" s="7">
        <f>$B8 * IFERROR(VLOOKUP("industry|PM25|Asthma symptoms wheeze", US_national_yearly!$D:$AM, 16, FALSE) / VLOOKUP("industry|PM25|Asthma symptoms wheeze", US_national_yearly!$D:$AM, 10, FALSE), 1)</f>
        <v>0.13596698813246638</v>
      </c>
      <c r="I8" s="7">
        <f>$B8 * IFERROR(VLOOKUP("industry|PM25|Asthma symptoms wheeze", US_national_yearly!$D:$AM, 17, FALSE) / VLOOKUP("industry|PM25|Asthma symptoms wheeze", US_national_yearly!$D:$AM, 10, FALSE), 1)</f>
        <v>0.13596698813246638</v>
      </c>
      <c r="J8" s="7">
        <f>$B8 * IFERROR(VLOOKUP("industry|PM25|Asthma symptoms wheeze", US_national_yearly!$D:$AM, 18, FALSE) / VLOOKUP("industry|PM25|Asthma symptoms wheeze", US_national_yearly!$D:$AM, 10, FALSE), 1)</f>
        <v>0.13596698813246638</v>
      </c>
      <c r="K8" s="7">
        <f>$B8 * IFERROR(VLOOKUP("industry|PM25|Asthma symptoms wheeze", US_national_yearly!$D:$AM, 19, FALSE) / VLOOKUP("industry|PM25|Asthma symptoms wheeze", US_national_yearly!$D:$AM, 10, FALSE), 1)</f>
        <v>0.13596698813246638</v>
      </c>
      <c r="L8" s="7">
        <f>$B8 * IFERROR(VLOOKUP("industry|PM25|Asthma symptoms wheeze", US_national_yearly!$D:$AM, 20, FALSE) / VLOOKUP("industry|PM25|Asthma symptoms wheeze", US_national_yearly!$D:$AM, 10, FALSE), 1)</f>
        <v>0.13596698813246638</v>
      </c>
      <c r="M8" s="7">
        <f>$B8 * IFERROR(VLOOKUP("industry|PM25|Asthma symptoms wheeze", US_national_yearly!$D:$AM, 21, FALSE) / VLOOKUP("industry|PM25|Asthma symptoms wheeze", US_national_yearly!$D:$AM, 10, FALSE), 1)</f>
        <v>0.13596698813246638</v>
      </c>
      <c r="N8" s="7">
        <f>$B8 * IFERROR(VLOOKUP("industry|PM25|Asthma symptoms wheeze", US_national_yearly!$D:$AM, 22, FALSE) / VLOOKUP("industry|PM25|Asthma symptoms wheeze", US_national_yearly!$D:$AM, 10, FALSE), 1)</f>
        <v>0.13596698813246638</v>
      </c>
      <c r="O8" s="7">
        <f>$B8 * IFERROR(VLOOKUP("industry|PM25|Asthma symptoms wheeze", US_national_yearly!$D:$AM, 23, FALSE) / VLOOKUP("industry|PM25|Asthma symptoms wheeze", US_national_yearly!$D:$AM, 10, FALSE), 1)</f>
        <v>0.13596698813246638</v>
      </c>
      <c r="P8" s="7">
        <f>$B8 * IFERROR(VLOOKUP("industry|PM25|Asthma symptoms wheeze", US_national_yearly!$D:$AM, 24, FALSE) / VLOOKUP("industry|PM25|Asthma symptoms wheeze", US_national_yearly!$D:$AM, 10, FALSE), 1)</f>
        <v>0.13596698813246638</v>
      </c>
      <c r="Q8" s="7">
        <f>$B8 * IFERROR(VLOOKUP("industry|PM25|Asthma symptoms wheeze", US_national_yearly!$D:$AM, 25, FALSE) / VLOOKUP("industry|PM25|Asthma symptoms wheeze", US_national_yearly!$D:$AM, 10, FALSE), 1)</f>
        <v>0.13596698813246638</v>
      </c>
      <c r="R8" s="7">
        <f>$B8 * IFERROR(VLOOKUP("industry|PM25|Asthma symptoms wheeze", US_national_yearly!$D:$AM, 26, FALSE) / VLOOKUP("industry|PM25|Asthma symptoms wheeze", US_national_yearly!$D:$AM, 10, FALSE), 1)</f>
        <v>0.13596698813246638</v>
      </c>
      <c r="S8" s="7">
        <f>$B8 * IFERROR(VLOOKUP("industry|PM25|Asthma symptoms wheeze", US_national_yearly!$D:$AM, 27, FALSE) / VLOOKUP("industry|PM25|Asthma symptoms wheeze", US_national_yearly!$D:$AM, 10, FALSE), 1)</f>
        <v>0.13596698813246638</v>
      </c>
      <c r="T8" s="7">
        <f>$B8 * IFERROR(VLOOKUP("industry|PM25|Asthma symptoms wheeze", US_national_yearly!$D:$AM, 28, FALSE) / VLOOKUP("industry|PM25|Asthma symptoms wheeze", US_national_yearly!$D:$AM, 10, FALSE), 1)</f>
        <v>0.13596698813246638</v>
      </c>
      <c r="U8" s="7">
        <f>$B8 * IFERROR(VLOOKUP("industry|PM25|Asthma symptoms wheeze", US_national_yearly!$D:$AM, 29, FALSE) / VLOOKUP("industry|PM25|Asthma symptoms wheeze", US_national_yearly!$D:$AM, 10, FALSE), 1)</f>
        <v>0.13596698813246638</v>
      </c>
      <c r="V8" s="7">
        <f>$B8 * IFERROR(VLOOKUP("industry|PM25|Asthma symptoms wheeze", US_national_yearly!$D:$AM, 30, FALSE) / VLOOKUP("industry|PM25|Asthma symptoms wheeze", US_national_yearly!$D:$AM, 10, FALSE), 1)</f>
        <v>0.13596698813246638</v>
      </c>
      <c r="W8" s="7">
        <f>$B8 * IFERROR(VLOOKUP("industry|PM25|Asthma symptoms wheeze", US_national_yearly!$D:$AM, 31, FALSE) / VLOOKUP("industry|PM25|Asthma symptoms wheeze", US_national_yearly!$D:$AM, 10, FALSE), 1)</f>
        <v>0.13596698813246638</v>
      </c>
      <c r="X8" s="7">
        <f>$B8 * IFERROR(VLOOKUP("industry|PM25|Asthma symptoms wheeze", US_national_yearly!$D:$AM, 32, FALSE) / VLOOKUP("industry|PM25|Asthma symptoms wheeze", US_national_yearly!$D:$AM, 10, FALSE), 1)</f>
        <v>0.13596698813246638</v>
      </c>
      <c r="Y8" s="7">
        <f>$B8 * IFERROR(VLOOKUP("industry|PM25|Asthma symptoms wheeze", US_national_yearly!$D:$AM, 33, FALSE) / VLOOKUP("industry|PM25|Asthma symptoms wheeze", US_national_yearly!$D:$AM, 10, FALSE), 1)</f>
        <v>0.13596698813246638</v>
      </c>
      <c r="Z8" s="7">
        <f>$B8 * IFERROR(VLOOKUP("industry|PM25|Asthma symptoms wheeze", US_national_yearly!$D:$AM, 34, FALSE) / VLOOKUP("industry|PM25|Asthma symptoms wheeze", US_national_yearly!$D:$AM, 10, FALSE), 1)</f>
        <v>0.13596698813246638</v>
      </c>
      <c r="AA8" s="7">
        <f>$B8 * IFERROR(VLOOKUP("industry|PM25|Asthma symptoms wheeze", US_national_yearly!$D:$AM, 35, FALSE) / VLOOKUP("industry|PM25|Asthma symptoms wheeze", US_national_yearly!$D:$AM, 10, FALSE), 1)</f>
        <v>0.13596698813246638</v>
      </c>
      <c r="AB8" s="7">
        <f>$B8 * IFERROR(VLOOKUP("industry|PM25|Asthma symptoms wheeze", US_national_yearly!$D:$AM, 36, FALSE) / VLOOKUP("industry|PM25|Asthma symptoms wheeze", US_national_yearly!$D:$AM, 10, FALSE), 1)</f>
        <v>0.13596698813246638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2.3031609264017689E-3</v>
      </c>
      <c r="C12" s="7">
        <f>$B12 * IFERROR(VLOOKUP("industry|PM25|Respiratory hospital admissions", US_national_yearly!$D:$AM, 11, FALSE) / VLOOKUP("industry|PM25|Respiratory hospital admissions", US_national_yearly!$D:$AM, 10, FALSE), 1)</f>
        <v>2.3162372691773654E-3</v>
      </c>
      <c r="D12" s="7">
        <f>$B12 * IFERROR(VLOOKUP("industry|PM25|Respiratory hospital admissions", US_national_yearly!$D:$AM, 12, FALSE) / VLOOKUP("industry|PM25|Respiratory hospital admissions", US_national_yearly!$D:$AM, 10, FALSE), 1)</f>
        <v>2.3293136119529618E-3</v>
      </c>
      <c r="E12" s="7">
        <f>$B12 * IFERROR(VLOOKUP("industry|PM25|Respiratory hospital admissions", US_national_yearly!$D:$AM, 13, FALSE) / VLOOKUP("industry|PM25|Respiratory hospital admissions", US_national_yearly!$D:$AM, 10, FALSE), 1)</f>
        <v>2.3423899547285582E-3</v>
      </c>
      <c r="F12" s="7">
        <f>$B12 * IFERROR(VLOOKUP("industry|PM25|Respiratory hospital admissions", US_national_yearly!$D:$AM, 14, FALSE) / VLOOKUP("industry|PM25|Respiratory hospital admissions", US_national_yearly!$D:$AM, 10, FALSE), 1)</f>
        <v>2.3554662975041555E-3</v>
      </c>
      <c r="G12" s="7">
        <f>$B12 * IFERROR(VLOOKUP("industry|PM25|Respiratory hospital admissions", US_national_yearly!$D:$AM, 15, FALSE) / VLOOKUP("industry|PM25|Respiratory hospital admissions", US_national_yearly!$D:$AM, 10, FALSE), 1)</f>
        <v>2.3696042905274185E-3</v>
      </c>
      <c r="H12" s="7">
        <f>$B12 * IFERROR(VLOOKUP("industry|PM25|Respiratory hospital admissions", US_national_yearly!$D:$AM, 16, FALSE) / VLOOKUP("industry|PM25|Respiratory hospital admissions", US_national_yearly!$D:$AM, 10, FALSE), 1)</f>
        <v>2.383742283550682E-3</v>
      </c>
      <c r="I12" s="7">
        <f>$B12 * IFERROR(VLOOKUP("industry|PM25|Respiratory hospital admissions", US_national_yearly!$D:$AM, 17, FALSE) / VLOOKUP("industry|PM25|Respiratory hospital admissions", US_national_yearly!$D:$AM, 10, FALSE), 1)</f>
        <v>2.3971539485839596E-3</v>
      </c>
      <c r="J12" s="7">
        <f>$B12 * IFERROR(VLOOKUP("industry|PM25|Respiratory hospital admissions", US_national_yearly!$D:$AM, 18, FALSE) / VLOOKUP("industry|PM25|Respiratory hospital admissions", US_national_yearly!$D:$AM, 10, FALSE), 1)</f>
        <v>2.4105656136172372E-3</v>
      </c>
      <c r="K12" s="7">
        <f>$B12 * IFERROR(VLOOKUP("industry|PM25|Respiratory hospital admissions", US_national_yearly!$D:$AM, 19, FALSE) / VLOOKUP("industry|PM25|Respiratory hospital admissions", US_national_yearly!$D:$AM, 10, FALSE), 1)</f>
        <v>2.4239772786505145E-3</v>
      </c>
      <c r="L12" s="7">
        <f>$B12 * IFERROR(VLOOKUP("industry|PM25|Respiratory hospital admissions", US_national_yearly!$D:$AM, 20, FALSE) / VLOOKUP("industry|PM25|Respiratory hospital admissions", US_national_yearly!$D:$AM, 10, FALSE), 1)</f>
        <v>2.4373889436837921E-3</v>
      </c>
      <c r="M12" s="7">
        <f>$B12 * IFERROR(VLOOKUP("industry|PM25|Respiratory hospital admissions", US_national_yearly!$D:$AM, 21, FALSE) / VLOOKUP("industry|PM25|Respiratory hospital admissions", US_national_yearly!$D:$AM, 10, FALSE), 1)</f>
        <v>2.4508006087170702E-3</v>
      </c>
      <c r="N12" s="7">
        <f>$B12 * IFERROR(VLOOKUP("industry|PM25|Respiratory hospital admissions", US_national_yearly!$D:$AM, 22, FALSE) / VLOOKUP("industry|PM25|Respiratory hospital admissions", US_national_yearly!$D:$AM, 10, FALSE), 1)</f>
        <v>2.4602863037024446E-3</v>
      </c>
      <c r="O12" s="7">
        <f>$B12 * IFERROR(VLOOKUP("industry|PM25|Respiratory hospital admissions", US_national_yearly!$D:$AM, 23, FALSE) / VLOOKUP("industry|PM25|Respiratory hospital admissions", US_national_yearly!$D:$AM, 10, FALSE), 1)</f>
        <v>2.4697719986878186E-3</v>
      </c>
      <c r="P12" s="7">
        <f>$B12 * IFERROR(VLOOKUP("industry|PM25|Respiratory hospital admissions", US_national_yearly!$D:$AM, 24, FALSE) / VLOOKUP("industry|PM25|Respiratory hospital admissions", US_national_yearly!$D:$AM, 10, FALSE), 1)</f>
        <v>2.479257693673193E-3</v>
      </c>
      <c r="Q12" s="7">
        <f>$B12 * IFERROR(VLOOKUP("industry|PM25|Respiratory hospital admissions", US_national_yearly!$D:$AM, 25, FALSE) / VLOOKUP("industry|PM25|Respiratory hospital admissions", US_national_yearly!$D:$AM, 10, FALSE), 1)</f>
        <v>2.4887433886585674E-3</v>
      </c>
      <c r="R12" s="7">
        <f>$B12 * IFERROR(VLOOKUP("industry|PM25|Respiratory hospital admissions", US_national_yearly!$D:$AM, 26, FALSE) / VLOOKUP("industry|PM25|Respiratory hospital admissions", US_national_yearly!$D:$AM, 10, FALSE), 1)</f>
        <v>2.4982290836439418E-3</v>
      </c>
      <c r="S12" s="7">
        <f>$B12 * IFERROR(VLOOKUP("industry|PM25|Respiratory hospital admissions", US_national_yearly!$D:$AM, 27, FALSE) / VLOOKUP("industry|PM25|Respiratory hospital admissions", US_national_yearly!$D:$AM, 10, FALSE), 1)</f>
        <v>2.5071757710615787E-3</v>
      </c>
      <c r="T12" s="7">
        <f>$B12 * IFERROR(VLOOKUP("industry|PM25|Respiratory hospital admissions", US_national_yearly!$D:$AM, 28, FALSE) / VLOOKUP("industry|PM25|Respiratory hospital admissions", US_national_yearly!$D:$AM, 10, FALSE), 1)</f>
        <v>2.5161224584792151E-3</v>
      </c>
      <c r="U12" s="7">
        <f>$B12 * IFERROR(VLOOKUP("industry|PM25|Respiratory hospital admissions", US_national_yearly!$D:$AM, 29, FALSE) / VLOOKUP("industry|PM25|Respiratory hospital admissions", US_national_yearly!$D:$AM, 10, FALSE), 1)</f>
        <v>2.5250691458968523E-3</v>
      </c>
      <c r="V12" s="7">
        <f>$B12 * IFERROR(VLOOKUP("industry|PM25|Respiratory hospital admissions", US_national_yearly!$D:$AM, 30, FALSE) / VLOOKUP("industry|PM25|Respiratory hospital admissions", US_national_yearly!$D:$AM, 10, FALSE), 1)</f>
        <v>2.5340158333144887E-3</v>
      </c>
      <c r="W12" s="7">
        <f>$B12 * IFERROR(VLOOKUP("industry|PM25|Respiratory hospital admissions", US_national_yearly!$D:$AM, 31, FALSE) / VLOOKUP("industry|PM25|Respiratory hospital admissions", US_national_yearly!$D:$AM, 10, FALSE), 1)</f>
        <v>2.542962520732126E-3</v>
      </c>
      <c r="X12" s="7">
        <f>$B12 * IFERROR(VLOOKUP("industry|PM25|Respiratory hospital admissions", US_national_yearly!$D:$AM, 32, FALSE) / VLOOKUP("industry|PM25|Respiratory hospital admissions", US_national_yearly!$D:$AM, 10, FALSE), 1)</f>
        <v>2.5515768799900351E-3</v>
      </c>
      <c r="Y12" s="7">
        <f>$B12 * IFERROR(VLOOKUP("industry|PM25|Respiratory hospital admissions", US_national_yearly!$D:$AM, 33, FALSE) / VLOOKUP("industry|PM25|Respiratory hospital admissions", US_national_yearly!$D:$AM, 10, FALSE), 1)</f>
        <v>2.5601912392479438E-3</v>
      </c>
      <c r="Z12" s="7">
        <f>$B12 * IFERROR(VLOOKUP("industry|PM25|Respiratory hospital admissions", US_national_yearly!$D:$AM, 34, FALSE) / VLOOKUP("industry|PM25|Respiratory hospital admissions", US_national_yearly!$D:$AM, 10, FALSE), 1)</f>
        <v>2.5688055985058533E-3</v>
      </c>
      <c r="AA12" s="7">
        <f>$B12 * IFERROR(VLOOKUP("industry|PM25|Respiratory hospital admissions", US_national_yearly!$D:$AM, 35, FALSE) / VLOOKUP("industry|PM25|Respiratory hospital admissions", US_national_yearly!$D:$AM, 10, FALSE), 1)</f>
        <v>2.5774199577637629E-3</v>
      </c>
      <c r="AB12" s="7">
        <f>$B12 * IFERROR(VLOOKUP("industry|PM25|Respiratory hospital admissions", US_national_yearly!$D:$AM, 36, FALSE) / VLOOKUP("industry|PM25|Respiratory hospital admissions", US_national_yearly!$D:$AM, 10, FALSE), 1)</f>
        <v>2.586034317021672E-3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1.4323272117523201E-2</v>
      </c>
      <c r="C13" s="7">
        <f>$B13 * IFERROR(VLOOKUP("industry|PM25|Non-fatal heart attacks", US_national_yearly!$D:$AM, 11, FALSE) / VLOOKUP("industry|PM25|Non-fatal heart attacks", US_national_yearly!$D:$AM, 10, FALSE), 1)</f>
        <v>1.4740226324510934E-2</v>
      </c>
      <c r="D13" s="7">
        <f>$B13 * IFERROR(VLOOKUP("industry|PM25|Non-fatal heart attacks", US_national_yearly!$D:$AM, 12, FALSE) / VLOOKUP("industry|PM25|Non-fatal heart attacks", US_national_yearly!$D:$AM, 10, FALSE), 1)</f>
        <v>1.5157180531498664E-2</v>
      </c>
      <c r="E13" s="7">
        <f>$B13 * IFERROR(VLOOKUP("industry|PM25|Non-fatal heart attacks", US_national_yearly!$D:$AM, 13, FALSE) / VLOOKUP("industry|PM25|Non-fatal heart attacks", US_national_yearly!$D:$AM, 10, FALSE), 1)</f>
        <v>1.5574134738486397E-2</v>
      </c>
      <c r="F13" s="7">
        <f>$B13 * IFERROR(VLOOKUP("industry|PM25|Non-fatal heart attacks", US_national_yearly!$D:$AM, 14, FALSE) / VLOOKUP("industry|PM25|Non-fatal heart attacks", US_national_yearly!$D:$AM, 10, FALSE), 1)</f>
        <v>1.599108894547413E-2</v>
      </c>
      <c r="G13" s="7">
        <f>$B13 * IFERROR(VLOOKUP("industry|PM25|Non-fatal heart attacks", US_national_yearly!$D:$AM, 15, FALSE) / VLOOKUP("industry|PM25|Non-fatal heart attacks", US_national_yearly!$D:$AM, 10, FALSE), 1)</f>
        <v>1.6384723034266892E-2</v>
      </c>
      <c r="H13" s="7">
        <f>$B13 * IFERROR(VLOOKUP("industry|PM25|Non-fatal heart attacks", US_national_yearly!$D:$AM, 16, FALSE) / VLOOKUP("industry|PM25|Non-fatal heart attacks", US_national_yearly!$D:$AM, 10, FALSE), 1)</f>
        <v>1.677835712305966E-2</v>
      </c>
      <c r="I13" s="7">
        <f>$B13 * IFERROR(VLOOKUP("industry|PM25|Non-fatal heart attacks", US_national_yearly!$D:$AM, 17, FALSE) / VLOOKUP("industry|PM25|Non-fatal heart attacks", US_national_yearly!$D:$AM, 10, FALSE), 1)</f>
        <v>1.7096220285062091E-2</v>
      </c>
      <c r="J13" s="7">
        <f>$B13 * IFERROR(VLOOKUP("industry|PM25|Non-fatal heart attacks", US_national_yearly!$D:$AM, 18, FALSE) / VLOOKUP("industry|PM25|Non-fatal heart attacks", US_national_yearly!$D:$AM, 10, FALSE), 1)</f>
        <v>1.7414083447064521E-2</v>
      </c>
      <c r="K13" s="7">
        <f>$B13 * IFERROR(VLOOKUP("industry|PM25|Non-fatal heart attacks", US_national_yearly!$D:$AM, 19, FALSE) / VLOOKUP("industry|PM25|Non-fatal heart attacks", US_national_yearly!$D:$AM, 10, FALSE), 1)</f>
        <v>1.7731946609066948E-2</v>
      </c>
      <c r="L13" s="7">
        <f>$B13 * IFERROR(VLOOKUP("industry|PM25|Non-fatal heart attacks", US_national_yearly!$D:$AM, 20, FALSE) / VLOOKUP("industry|PM25|Non-fatal heart attacks", US_national_yearly!$D:$AM, 10, FALSE), 1)</f>
        <v>1.8049809771069378E-2</v>
      </c>
      <c r="M13" s="7">
        <f>$B13 * IFERROR(VLOOKUP("industry|PM25|Non-fatal heart attacks", US_national_yearly!$D:$AM, 21, FALSE) / VLOOKUP("industry|PM25|Non-fatal heart attacks", US_national_yearly!$D:$AM, 10, FALSE), 1)</f>
        <v>1.8367672933071805E-2</v>
      </c>
      <c r="N13" s="7">
        <f>$B13 * IFERROR(VLOOKUP("industry|PM25|Non-fatal heart attacks", US_national_yearly!$D:$AM, 22, FALSE) / VLOOKUP("industry|PM25|Non-fatal heart attacks", US_national_yearly!$D:$AM, 10, FALSE), 1)</f>
        <v>1.8573189169400223E-2</v>
      </c>
      <c r="O13" s="7">
        <f>$B13 * IFERROR(VLOOKUP("industry|PM25|Non-fatal heart attacks", US_national_yearly!$D:$AM, 23, FALSE) / VLOOKUP("industry|PM25|Non-fatal heart attacks", US_national_yearly!$D:$AM, 10, FALSE), 1)</f>
        <v>1.8778705405728641E-2</v>
      </c>
      <c r="P13" s="7">
        <f>$B13 * IFERROR(VLOOKUP("industry|PM25|Non-fatal heart attacks", US_national_yearly!$D:$AM, 24, FALSE) / VLOOKUP("industry|PM25|Non-fatal heart attacks", US_national_yearly!$D:$AM, 10, FALSE), 1)</f>
        <v>1.8984221642057056E-2</v>
      </c>
      <c r="Q13" s="7">
        <f>$B13 * IFERROR(VLOOKUP("industry|PM25|Non-fatal heart attacks", US_national_yearly!$D:$AM, 25, FALSE) / VLOOKUP("industry|PM25|Non-fatal heart attacks", US_national_yearly!$D:$AM, 10, FALSE), 1)</f>
        <v>1.918973787838547E-2</v>
      </c>
      <c r="R13" s="7">
        <f>$B13 * IFERROR(VLOOKUP("industry|PM25|Non-fatal heart attacks", US_national_yearly!$D:$AM, 26, FALSE) / VLOOKUP("industry|PM25|Non-fatal heart attacks", US_national_yearly!$D:$AM, 10, FALSE), 1)</f>
        <v>1.9395254114713885E-2</v>
      </c>
      <c r="S13" s="7">
        <f>$B13 * IFERROR(VLOOKUP("industry|PM25|Non-fatal heart attacks", US_national_yearly!$D:$AM, 27, FALSE) / VLOOKUP("industry|PM25|Non-fatal heart attacks", US_national_yearly!$D:$AM, 10, FALSE), 1)</f>
        <v>1.9505021115371349E-2</v>
      </c>
      <c r="T13" s="7">
        <f>$B13 * IFERROR(VLOOKUP("industry|PM25|Non-fatal heart attacks", US_national_yearly!$D:$AM, 28, FALSE) / VLOOKUP("industry|PM25|Non-fatal heart attacks", US_national_yearly!$D:$AM, 10, FALSE), 1)</f>
        <v>1.9614788116028816E-2</v>
      </c>
      <c r="U13" s="7">
        <f>$B13 * IFERROR(VLOOKUP("industry|PM25|Non-fatal heart attacks", US_national_yearly!$D:$AM, 29, FALSE) / VLOOKUP("industry|PM25|Non-fatal heart attacks", US_national_yearly!$D:$AM, 10, FALSE), 1)</f>
        <v>1.972455511668628E-2</v>
      </c>
      <c r="V13" s="7">
        <f>$B13 * IFERROR(VLOOKUP("industry|PM25|Non-fatal heart attacks", US_national_yearly!$D:$AM, 30, FALSE) / VLOOKUP("industry|PM25|Non-fatal heart attacks", US_national_yearly!$D:$AM, 10, FALSE), 1)</f>
        <v>1.9834322117343744E-2</v>
      </c>
      <c r="W13" s="7">
        <f>$B13 * IFERROR(VLOOKUP("industry|PM25|Non-fatal heart attacks", US_national_yearly!$D:$AM, 31, FALSE) / VLOOKUP("industry|PM25|Non-fatal heart attacks", US_national_yearly!$D:$AM, 10, FALSE), 1)</f>
        <v>1.9944089118001211E-2</v>
      </c>
      <c r="X13" s="7">
        <f>$B13 * IFERROR(VLOOKUP("industry|PM25|Non-fatal heart attacks", US_national_yearly!$D:$AM, 32, FALSE) / VLOOKUP("industry|PM25|Non-fatal heart attacks", US_national_yearly!$D:$AM, 10, FALSE), 1)</f>
        <v>2.0028806580761466E-2</v>
      </c>
      <c r="Y13" s="7">
        <f>$B13 * IFERROR(VLOOKUP("industry|PM25|Non-fatal heart attacks", US_national_yearly!$D:$AM, 33, FALSE) / VLOOKUP("industry|PM25|Non-fatal heart attacks", US_national_yearly!$D:$AM, 10, FALSE), 1)</f>
        <v>2.0113524043521722E-2</v>
      </c>
      <c r="Z13" s="7">
        <f>$B13 * IFERROR(VLOOKUP("industry|PM25|Non-fatal heart attacks", US_national_yearly!$D:$AM, 34, FALSE) / VLOOKUP("industry|PM25|Non-fatal heart attacks", US_national_yearly!$D:$AM, 10, FALSE), 1)</f>
        <v>2.0198241506281977E-2</v>
      </c>
      <c r="AA13" s="7">
        <f>$B13 * IFERROR(VLOOKUP("industry|PM25|Non-fatal heart attacks", US_national_yearly!$D:$AM, 35, FALSE) / VLOOKUP("industry|PM25|Non-fatal heart attacks", US_national_yearly!$D:$AM, 10, FALSE), 1)</f>
        <v>2.0282958969042232E-2</v>
      </c>
      <c r="AB13" s="7">
        <f>$B13 * IFERROR(VLOOKUP("industry|PM25|Non-fatal heart attacks", US_national_yearly!$D:$AM, 36, FALSE) / VLOOKUP("industry|PM25|Non-fatal heart attacks", US_national_yearly!$D:$AM, 10, FALSE), 1)</f>
        <v>2.0367676431802491E-2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9.2517292774495772</v>
      </c>
      <c r="C14" s="7">
        <f>$B14 * IFERROR(VLOOKUP("industry|PM25|Minor restricted activity days", US_national_yearly!$D:$AM, 11, FALSE) / VLOOKUP("industry|PM25|Minor restricted activity days", US_national_yearly!$D:$AM, 10, FALSE), 1)</f>
        <v>9.2743882959776798</v>
      </c>
      <c r="D14" s="7">
        <f>$B14 * IFERROR(VLOOKUP("industry|PM25|Minor restricted activity days", US_national_yearly!$D:$AM, 12, FALSE) / VLOOKUP("industry|PM25|Minor restricted activity days", US_national_yearly!$D:$AM, 10, FALSE), 1)</f>
        <v>9.2970473145057841</v>
      </c>
      <c r="E14" s="7">
        <f>$B14 * IFERROR(VLOOKUP("industry|PM25|Minor restricted activity days", US_national_yearly!$D:$AM, 13, FALSE) / VLOOKUP("industry|PM25|Minor restricted activity days", US_national_yearly!$D:$AM, 10, FALSE), 1)</f>
        <v>9.3197063330338867</v>
      </c>
      <c r="F14" s="7">
        <f>$B14 * IFERROR(VLOOKUP("industry|PM25|Minor restricted activity days", US_national_yearly!$D:$AM, 14, FALSE) / VLOOKUP("industry|PM25|Minor restricted activity days", US_national_yearly!$D:$AM, 10, FALSE), 1)</f>
        <v>9.3423653515619893</v>
      </c>
      <c r="G14" s="7">
        <f>$B14 * IFERROR(VLOOKUP("industry|PM25|Minor restricted activity days", US_national_yearly!$D:$AM, 15, FALSE) / VLOOKUP("industry|PM25|Minor restricted activity days", US_national_yearly!$D:$AM, 10, FALSE), 1)</f>
        <v>9.3756251080211257</v>
      </c>
      <c r="H14" s="7">
        <f>$B14 * IFERROR(VLOOKUP("industry|PM25|Minor restricted activity days", US_national_yearly!$D:$AM, 16, FALSE) / VLOOKUP("industry|PM25|Minor restricted activity days", US_national_yearly!$D:$AM, 10, FALSE), 1)</f>
        <v>9.4088848644802603</v>
      </c>
      <c r="I14" s="7">
        <f>$B14 * IFERROR(VLOOKUP("industry|PM25|Minor restricted activity days", US_national_yearly!$D:$AM, 17, FALSE) / VLOOKUP("industry|PM25|Minor restricted activity days", US_national_yearly!$D:$AM, 10, FALSE), 1)</f>
        <v>9.4653846387092262</v>
      </c>
      <c r="J14" s="7">
        <f>$B14 * IFERROR(VLOOKUP("industry|PM25|Minor restricted activity days", US_national_yearly!$D:$AM, 18, FALSE) / VLOOKUP("industry|PM25|Minor restricted activity days", US_national_yearly!$D:$AM, 10, FALSE), 1)</f>
        <v>9.5218844129381939</v>
      </c>
      <c r="K14" s="7">
        <f>$B14 * IFERROR(VLOOKUP("industry|PM25|Minor restricted activity days", US_national_yearly!$D:$AM, 19, FALSE) / VLOOKUP("industry|PM25|Minor restricted activity days", US_national_yearly!$D:$AM, 10, FALSE), 1)</f>
        <v>9.578384187167158</v>
      </c>
      <c r="L14" s="7">
        <f>$B14 * IFERROR(VLOOKUP("industry|PM25|Minor restricted activity days", US_national_yearly!$D:$AM, 20, FALSE) / VLOOKUP("industry|PM25|Minor restricted activity days", US_national_yearly!$D:$AM, 10, FALSE), 1)</f>
        <v>9.6348839613961239</v>
      </c>
      <c r="M14" s="7">
        <f>$B14 * IFERROR(VLOOKUP("industry|PM25|Minor restricted activity days", US_national_yearly!$D:$AM, 21, FALSE) / VLOOKUP("industry|PM25|Minor restricted activity days", US_national_yearly!$D:$AM, 10, FALSE), 1)</f>
        <v>9.6913837356250898</v>
      </c>
      <c r="N14" s="7">
        <f>$B14 * IFERROR(VLOOKUP("industry|PM25|Minor restricted activity days", US_national_yearly!$D:$AM, 22, FALSE) / VLOOKUP("industry|PM25|Minor restricted activity days", US_national_yearly!$D:$AM, 10, FALSE), 1)</f>
        <v>9.7685680060621181</v>
      </c>
      <c r="O14" s="7">
        <f>$B14 * IFERROR(VLOOKUP("industry|PM25|Minor restricted activity days", US_national_yearly!$D:$AM, 23, FALSE) / VLOOKUP("industry|PM25|Minor restricted activity days", US_national_yearly!$D:$AM, 10, FALSE), 1)</f>
        <v>9.8457522764991552</v>
      </c>
      <c r="P14" s="7">
        <f>$B14 * IFERROR(VLOOKUP("industry|PM25|Minor restricted activity days", US_national_yearly!$D:$AM, 24, FALSE) / VLOOKUP("industry|PM25|Minor restricted activity days", US_national_yearly!$D:$AM, 10, FALSE), 1)</f>
        <v>9.9229365469361834</v>
      </c>
      <c r="Q14" s="7">
        <f>$B14 * IFERROR(VLOOKUP("industry|PM25|Minor restricted activity days", US_national_yearly!$D:$AM, 25, FALSE) / VLOOKUP("industry|PM25|Minor restricted activity days", US_national_yearly!$D:$AM, 10, FALSE), 1)</f>
        <v>10.000120817373222</v>
      </c>
      <c r="R14" s="7">
        <f>$B14 * IFERROR(VLOOKUP("industry|PM25|Minor restricted activity days", US_national_yearly!$D:$AM, 26, FALSE) / VLOOKUP("industry|PM25|Minor restricted activity days", US_national_yearly!$D:$AM, 10, FALSE), 1)</f>
        <v>10.077305087810252</v>
      </c>
      <c r="S14" s="7">
        <f>$B14 * IFERROR(VLOOKUP("industry|PM25|Minor restricted activity days", US_national_yearly!$D:$AM, 27, FALSE) / VLOOKUP("industry|PM25|Minor restricted activity days", US_national_yearly!$D:$AM, 10, FALSE), 1)</f>
        <v>10.155230357430016</v>
      </c>
      <c r="T14" s="7">
        <f>$B14 * IFERROR(VLOOKUP("industry|PM25|Minor restricted activity days", US_national_yearly!$D:$AM, 28, FALSE) / VLOOKUP("industry|PM25|Minor restricted activity days", US_national_yearly!$D:$AM, 10, FALSE), 1)</f>
        <v>10.233155627049781</v>
      </c>
      <c r="U14" s="7">
        <f>$B14 * IFERROR(VLOOKUP("industry|PM25|Minor restricted activity days", US_national_yearly!$D:$AM, 29, FALSE) / VLOOKUP("industry|PM25|Minor restricted activity days", US_national_yearly!$D:$AM, 10, FALSE), 1)</f>
        <v>10.311080896669544</v>
      </c>
      <c r="V14" s="7">
        <f>$B14 * IFERROR(VLOOKUP("industry|PM25|Minor restricted activity days", US_national_yearly!$D:$AM, 30, FALSE) / VLOOKUP("industry|PM25|Minor restricted activity days", US_national_yearly!$D:$AM, 10, FALSE), 1)</f>
        <v>10.389006166289308</v>
      </c>
      <c r="W14" s="7">
        <f>$B14 * IFERROR(VLOOKUP("industry|PM25|Minor restricted activity days", US_national_yearly!$D:$AM, 31, FALSE) / VLOOKUP("industry|PM25|Minor restricted activity days", US_national_yearly!$D:$AM, 10, FALSE), 1)</f>
        <v>10.466931435909073</v>
      </c>
      <c r="X14" s="7">
        <f>$B14 * IFERROR(VLOOKUP("industry|PM25|Minor restricted activity days", US_national_yearly!$D:$AM, 32, FALSE) / VLOOKUP("industry|PM25|Minor restricted activity days", US_national_yearly!$D:$AM, 10, FALSE), 1)</f>
        <v>10.534645641353116</v>
      </c>
      <c r="Y14" s="7">
        <f>$B14 * IFERROR(VLOOKUP("industry|PM25|Minor restricted activity days", US_national_yearly!$D:$AM, 33, FALSE) / VLOOKUP("industry|PM25|Minor restricted activity days", US_national_yearly!$D:$AM, 10, FALSE), 1)</f>
        <v>10.602359846797162</v>
      </c>
      <c r="Z14" s="7">
        <f>$B14 * IFERROR(VLOOKUP("industry|PM25|Minor restricted activity days", US_national_yearly!$D:$AM, 34, FALSE) / VLOOKUP("industry|PM25|Minor restricted activity days", US_national_yearly!$D:$AM, 10, FALSE), 1)</f>
        <v>10.670074052241208</v>
      </c>
      <c r="AA14" s="7">
        <f>$B14 * IFERROR(VLOOKUP("industry|PM25|Minor restricted activity days", US_national_yearly!$D:$AM, 35, FALSE) / VLOOKUP("industry|PM25|Minor restricted activity days", US_national_yearly!$D:$AM, 10, FALSE), 1)</f>
        <v>10.737788257685255</v>
      </c>
      <c r="AB14" s="7">
        <f>$B14 * IFERROR(VLOOKUP("industry|PM25|Minor restricted activity days", US_national_yearly!$D:$AM, 36, FALSE) / VLOOKUP("industry|PM25|Minor restricted activity days", US_national_yearly!$D:$AM, 10, FALSE), 1)</f>
        <v>10.805502463129301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1.5674984244059309</v>
      </c>
      <c r="C15" s="7">
        <f>$B15 * IFERROR(VLOOKUP("industry|PM25|Work loss days", US_national_yearly!$D:$AM, 11, FALSE) / VLOOKUP("industry|PM25|Work loss days", US_national_yearly!$D:$AM, 10, FALSE), 1)</f>
        <v>1.5723582988714475</v>
      </c>
      <c r="D15" s="7">
        <f>$B15 * IFERROR(VLOOKUP("industry|PM25|Work loss days", US_national_yearly!$D:$AM, 12, FALSE) / VLOOKUP("industry|PM25|Work loss days", US_national_yearly!$D:$AM, 10, FALSE), 1)</f>
        <v>1.5772181733369643</v>
      </c>
      <c r="E15" s="7">
        <f>$B15 * IFERROR(VLOOKUP("industry|PM25|Work loss days", US_national_yearly!$D:$AM, 13, FALSE) / VLOOKUP("industry|PM25|Work loss days", US_national_yearly!$D:$AM, 10, FALSE), 1)</f>
        <v>1.5820780478024807</v>
      </c>
      <c r="F15" s="7">
        <f>$B15 * IFERROR(VLOOKUP("industry|PM25|Work loss days", US_national_yearly!$D:$AM, 14, FALSE) / VLOOKUP("industry|PM25|Work loss days", US_national_yearly!$D:$AM, 10, FALSE), 1)</f>
        <v>1.5869379222679973</v>
      </c>
      <c r="G15" s="7">
        <f>$B15 * IFERROR(VLOOKUP("industry|PM25|Work loss days", US_national_yearly!$D:$AM, 15, FALSE) / VLOOKUP("industry|PM25|Work loss days", US_national_yearly!$D:$AM, 10, FALSE), 1)</f>
        <v>1.5932827011715642</v>
      </c>
      <c r="H15" s="7">
        <f>$B15 * IFERROR(VLOOKUP("industry|PM25|Work loss days", US_national_yearly!$D:$AM, 16, FALSE) / VLOOKUP("industry|PM25|Work loss days", US_national_yearly!$D:$AM, 10, FALSE), 1)</f>
        <v>1.5996274800751309</v>
      </c>
      <c r="I15" s="7">
        <f>$B15 * IFERROR(VLOOKUP("industry|PM25|Work loss days", US_national_yearly!$D:$AM, 17, FALSE) / VLOOKUP("industry|PM25|Work loss days", US_national_yearly!$D:$AM, 10, FALSE), 1)</f>
        <v>1.608918255703506</v>
      </c>
      <c r="J15" s="7">
        <f>$B15 * IFERROR(VLOOKUP("industry|PM25|Work loss days", US_national_yearly!$D:$AM, 18, FALSE) / VLOOKUP("industry|PM25|Work loss days", US_national_yearly!$D:$AM, 10, FALSE), 1)</f>
        <v>1.6182090313318811</v>
      </c>
      <c r="K15" s="7">
        <f>$B15 * IFERROR(VLOOKUP("industry|PM25|Work loss days", US_national_yearly!$D:$AM, 19, FALSE) / VLOOKUP("industry|PM25|Work loss days", US_national_yearly!$D:$AM, 10, FALSE), 1)</f>
        <v>1.627499806960256</v>
      </c>
      <c r="L15" s="7">
        <f>$B15 * IFERROR(VLOOKUP("industry|PM25|Work loss days", US_national_yearly!$D:$AM, 20, FALSE) / VLOOKUP("industry|PM25|Work loss days", US_national_yearly!$D:$AM, 10, FALSE), 1)</f>
        <v>1.6367905825886311</v>
      </c>
      <c r="M15" s="7">
        <f>$B15 * IFERROR(VLOOKUP("industry|PM25|Work loss days", US_national_yearly!$D:$AM, 21, FALSE) / VLOOKUP("industry|PM25|Work loss days", US_national_yearly!$D:$AM, 10, FALSE), 1)</f>
        <v>1.6460813582170062</v>
      </c>
      <c r="N15" s="7">
        <f>$B15 * IFERROR(VLOOKUP("industry|PM25|Work loss days", US_national_yearly!$D:$AM, 22, FALSE) / VLOOKUP("industry|PM25|Work loss days", US_national_yearly!$D:$AM, 10, FALSE), 1)</f>
        <v>1.6578050975724461</v>
      </c>
      <c r="O15" s="7">
        <f>$B15 * IFERROR(VLOOKUP("industry|PM25|Work loss days", US_national_yearly!$D:$AM, 23, FALSE) / VLOOKUP("industry|PM25|Work loss days", US_national_yearly!$D:$AM, 10, FALSE), 1)</f>
        <v>1.6695288369278862</v>
      </c>
      <c r="P15" s="7">
        <f>$B15 * IFERROR(VLOOKUP("industry|PM25|Work loss days", US_national_yearly!$D:$AM, 24, FALSE) / VLOOKUP("industry|PM25|Work loss days", US_national_yearly!$D:$AM, 10, FALSE), 1)</f>
        <v>1.6812525762833259</v>
      </c>
      <c r="Q15" s="7">
        <f>$B15 * IFERROR(VLOOKUP("industry|PM25|Work loss days", US_national_yearly!$D:$AM, 25, FALSE) / VLOOKUP("industry|PM25|Work loss days", US_national_yearly!$D:$AM, 10, FALSE), 1)</f>
        <v>1.692976315638766</v>
      </c>
      <c r="R15" s="7">
        <f>$B15 * IFERROR(VLOOKUP("industry|PM25|Work loss days", US_national_yearly!$D:$AM, 26, FALSE) / VLOOKUP("industry|PM25|Work loss days", US_national_yearly!$D:$AM, 10, FALSE), 1)</f>
        <v>1.7047000549942057</v>
      </c>
      <c r="S15" s="7">
        <f>$B15 * IFERROR(VLOOKUP("industry|PM25|Work loss days", US_national_yearly!$D:$AM, 27, FALSE) / VLOOKUP("industry|PM25|Work loss days", US_national_yearly!$D:$AM, 10, FALSE), 1)</f>
        <v>1.7177000198827337</v>
      </c>
      <c r="T15" s="7">
        <f>$B15 * IFERROR(VLOOKUP("industry|PM25|Work loss days", US_national_yearly!$D:$AM, 28, FALSE) / VLOOKUP("industry|PM25|Work loss days", US_national_yearly!$D:$AM, 10, FALSE), 1)</f>
        <v>1.7306999847712612</v>
      </c>
      <c r="U15" s="7">
        <f>$B15 * IFERROR(VLOOKUP("industry|PM25|Work loss days", US_national_yearly!$D:$AM, 29, FALSE) / VLOOKUP("industry|PM25|Work loss days", US_national_yearly!$D:$AM, 10, FALSE), 1)</f>
        <v>1.7436999496597889</v>
      </c>
      <c r="V15" s="7">
        <f>$B15 * IFERROR(VLOOKUP("industry|PM25|Work loss days", US_national_yearly!$D:$AM, 30, FALSE) / VLOOKUP("industry|PM25|Work loss days", US_national_yearly!$D:$AM, 10, FALSE), 1)</f>
        <v>1.7566999145483164</v>
      </c>
      <c r="W15" s="7">
        <f>$B15 * IFERROR(VLOOKUP("industry|PM25|Work loss days", US_national_yearly!$D:$AM, 31, FALSE) / VLOOKUP("industry|PM25|Work loss days", US_national_yearly!$D:$AM, 10, FALSE), 1)</f>
        <v>1.7696998794368444</v>
      </c>
      <c r="X15" s="7">
        <f>$B15 * IFERROR(VLOOKUP("industry|PM25|Work loss days", US_national_yearly!$D:$AM, 32, FALSE) / VLOOKUP("industry|PM25|Work loss days", US_national_yearly!$D:$AM, 10, FALSE), 1)</f>
        <v>1.7812520576061863</v>
      </c>
      <c r="Y15" s="7">
        <f>$B15 * IFERROR(VLOOKUP("industry|PM25|Work loss days", US_national_yearly!$D:$AM, 33, FALSE) / VLOOKUP("industry|PM25|Work loss days", US_national_yearly!$D:$AM, 10, FALSE), 1)</f>
        <v>1.7928042357755285</v>
      </c>
      <c r="Z15" s="7">
        <f>$B15 * IFERROR(VLOOKUP("industry|PM25|Work loss days", US_national_yearly!$D:$AM, 34, FALSE) / VLOOKUP("industry|PM25|Work loss days", US_national_yearly!$D:$AM, 10, FALSE), 1)</f>
        <v>1.8043564139448709</v>
      </c>
      <c r="AA15" s="7">
        <f>$B15 * IFERROR(VLOOKUP("industry|PM25|Work loss days", US_national_yearly!$D:$AM, 35, FALSE) / VLOOKUP("industry|PM25|Work loss days", US_national_yearly!$D:$AM, 10, FALSE), 1)</f>
        <v>1.8159085921142128</v>
      </c>
      <c r="AB15" s="7">
        <f>$B15 * IFERROR(VLOOKUP("industry|PM25|Work loss days", US_national_yearly!$D:$AM, 36, FALSE) / VLOOKUP("industry|PM25|Work loss days", US_national_yearly!$D:$AM, 10, FALSE), 1)</f>
        <v>1.8274607702835552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3.3252743601516932E-3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3.4247354481654222E-3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3.5241965361791513E-3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3.6236576241928803E-3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3.7231187122066084E-3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3.8184449960404604E-3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3.913771279874312E-3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3.9956172484057481E-3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4.0774632169371843E-3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4.1593091854686222E-3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4.2411551540000592E-3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4.3230011225314962E-3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4.3776745380818948E-3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4.4323479536322917E-3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4.4870213691826904E-3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4.5416947847330882E-3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4.596368200283486E-3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4.6256608904755104E-3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4.6549535806675348E-3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4.68424627085956E-3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4.7135389610515836E-3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4.742831651243608E-3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4.7629467821242218E-3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4.7830619130048348E-3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4.8031770438854478E-3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4.8232921747660609E-3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4.8434073056466739E-3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3.4230004473976005E-4</v>
      </c>
      <c r="C2" s="7">
        <f>$B2 * IFERROR(VLOOKUP("industry|NOx|Premature mortality", US_national_yearly!$D:$AM, 11, FALSE) / VLOOKUP("industry|NOx|Premature mortality", US_national_yearly!$D:$AM, 10, FALSE), 1)</f>
        <v>3.4736154565493261E-4</v>
      </c>
      <c r="D2" s="7">
        <f>$B2 * IFERROR(VLOOKUP("industry|NOx|Premature mortality", US_national_yearly!$D:$AM, 12, FALSE) / VLOOKUP("industry|NOx|Premature mortality", US_national_yearly!$D:$AM, 10, FALSE), 1)</f>
        <v>3.5242304657010518E-4</v>
      </c>
      <c r="E2" s="7">
        <f>$B2 * IFERROR(VLOOKUP("industry|NOx|Premature mortality", US_national_yearly!$D:$AM, 13, FALSE) / VLOOKUP("industry|NOx|Premature mortality", US_national_yearly!$D:$AM, 10, FALSE), 1)</f>
        <v>3.5748454748527774E-4</v>
      </c>
      <c r="F2" s="7">
        <f>$B2 * IFERROR(VLOOKUP("industry|NOx|Premature mortality", US_national_yearly!$D:$AM, 14, FALSE) / VLOOKUP("industry|NOx|Premature mortality", US_national_yearly!$D:$AM, 10, FALSE), 1)</f>
        <v>3.6254604840045036E-4</v>
      </c>
      <c r="G2" s="7">
        <f>$B2 * IFERROR(VLOOKUP("industry|NOx|Premature mortality", US_national_yearly!$D:$AM, 15, FALSE) / VLOOKUP("industry|NOx|Premature mortality", US_national_yearly!$D:$AM, 10, FALSE), 1)</f>
        <v>3.7162321498482537E-4</v>
      </c>
      <c r="H2" s="7">
        <f>$B2 * IFERROR(VLOOKUP("industry|NOx|Premature mortality", US_national_yearly!$D:$AM, 16, FALSE) / VLOOKUP("industry|NOx|Premature mortality", US_national_yearly!$D:$AM, 10, FALSE), 1)</f>
        <v>3.8070038156920037E-4</v>
      </c>
      <c r="I2" s="7">
        <f>$B2 * IFERROR(VLOOKUP("industry|NOx|Premature mortality", US_national_yearly!$D:$AM, 17, FALSE) / VLOOKUP("industry|NOx|Premature mortality", US_national_yearly!$D:$AM, 10, FALSE), 1)</f>
        <v>3.8658904496532281E-4</v>
      </c>
      <c r="J2" s="7">
        <f>$B2 * IFERROR(VLOOKUP("industry|NOx|Premature mortality", US_national_yearly!$D:$AM, 18, FALSE) / VLOOKUP("industry|NOx|Premature mortality", US_national_yearly!$D:$AM, 10, FALSE), 1)</f>
        <v>3.9247770836144526E-4</v>
      </c>
      <c r="K2" s="7">
        <f>$B2 * IFERROR(VLOOKUP("industry|NOx|Premature mortality", US_national_yearly!$D:$AM, 19, FALSE) / VLOOKUP("industry|NOx|Premature mortality", US_national_yearly!$D:$AM, 10, FALSE), 1)</f>
        <v>3.983663717575678E-4</v>
      </c>
      <c r="L2" s="7">
        <f>$B2 * IFERROR(VLOOKUP("industry|NOx|Premature mortality", US_national_yearly!$D:$AM, 20, FALSE) / VLOOKUP("industry|NOx|Premature mortality", US_national_yearly!$D:$AM, 10, FALSE), 1)</f>
        <v>4.0425503515369025E-4</v>
      </c>
      <c r="M2" s="7">
        <f>$B2 * IFERROR(VLOOKUP("industry|NOx|Premature mortality", US_national_yearly!$D:$AM, 21, FALSE) / VLOOKUP("industry|NOx|Premature mortality", US_national_yearly!$D:$AM, 10, FALSE), 1)</f>
        <v>4.1014369854981269E-4</v>
      </c>
      <c r="N2" s="7">
        <f>$B2 * IFERROR(VLOOKUP("industry|NOx|Premature mortality", US_national_yearly!$D:$AM, 22, FALSE) / VLOOKUP("industry|NOx|Premature mortality", US_national_yearly!$D:$AM, 10, FALSE), 1)</f>
        <v>4.1452563253084645E-4</v>
      </c>
      <c r="O2" s="7">
        <f>$B2 * IFERROR(VLOOKUP("industry|NOx|Premature mortality", US_national_yearly!$D:$AM, 23, FALSE) / VLOOKUP("industry|NOx|Premature mortality", US_national_yearly!$D:$AM, 10, FALSE), 1)</f>
        <v>4.189075665118801E-4</v>
      </c>
      <c r="P2" s="7">
        <f>$B2 * IFERROR(VLOOKUP("industry|NOx|Premature mortality", US_national_yearly!$D:$AM, 24, FALSE) / VLOOKUP("industry|NOx|Premature mortality", US_national_yearly!$D:$AM, 10, FALSE), 1)</f>
        <v>4.2328950049291369E-4</v>
      </c>
      <c r="Q2" s="7">
        <f>$B2 * IFERROR(VLOOKUP("industry|NOx|Premature mortality", US_national_yearly!$D:$AM, 25, FALSE) / VLOOKUP("industry|NOx|Premature mortality", US_national_yearly!$D:$AM, 10, FALSE), 1)</f>
        <v>4.2767143447394734E-4</v>
      </c>
      <c r="R2" s="7">
        <f>$B2 * IFERROR(VLOOKUP("industry|NOx|Premature mortality", US_national_yearly!$D:$AM, 26, FALSE) / VLOOKUP("industry|NOx|Premature mortality", US_national_yearly!$D:$AM, 10, FALSE), 1)</f>
        <v>4.3205336845498099E-4</v>
      </c>
      <c r="S2" s="7">
        <f>$B2 * IFERROR(VLOOKUP("industry|NOx|Premature mortality", US_national_yearly!$D:$AM, 27, FALSE) / VLOOKUP("industry|NOx|Premature mortality", US_national_yearly!$D:$AM, 10, FALSE), 1)</f>
        <v>4.3409386147346085E-4</v>
      </c>
      <c r="T2" s="7">
        <f>$B2 * IFERROR(VLOOKUP("industry|NOx|Premature mortality", US_national_yearly!$D:$AM, 28, FALSE) / VLOOKUP("industry|NOx|Premature mortality", US_national_yearly!$D:$AM, 10, FALSE), 1)</f>
        <v>4.3613435449194065E-4</v>
      </c>
      <c r="U2" s="7">
        <f>$B2 * IFERROR(VLOOKUP("industry|NOx|Premature mortality", US_national_yearly!$D:$AM, 29, FALSE) / VLOOKUP("industry|NOx|Premature mortality", US_national_yearly!$D:$AM, 10, FALSE), 1)</f>
        <v>4.3817484751042051E-4</v>
      </c>
      <c r="V2" s="7">
        <f>$B2 * IFERROR(VLOOKUP("industry|NOx|Premature mortality", US_national_yearly!$D:$AM, 30, FALSE) / VLOOKUP("industry|NOx|Premature mortality", US_national_yearly!$D:$AM, 10, FALSE), 1)</f>
        <v>4.4021534052890031E-4</v>
      </c>
      <c r="W2" s="7">
        <f>$B2 * IFERROR(VLOOKUP("industry|NOx|Premature mortality", US_national_yearly!$D:$AM, 31, FALSE) / VLOOKUP("industry|NOx|Premature mortality", US_national_yearly!$D:$AM, 10, FALSE), 1)</f>
        <v>4.4225583354738006E-4</v>
      </c>
      <c r="X2" s="7">
        <f>$B2 * IFERROR(VLOOKUP("industry|NOx|Premature mortality", US_national_yearly!$D:$AM, 32, FALSE) / VLOOKUP("industry|NOx|Premature mortality", US_national_yearly!$D:$AM, 10, FALSE), 1)</f>
        <v>4.4241177454970858E-4</v>
      </c>
      <c r="Y2" s="7">
        <f>$B2 * IFERROR(VLOOKUP("industry|NOx|Premature mortality", US_national_yearly!$D:$AM, 33, FALSE) / VLOOKUP("industry|NOx|Premature mortality", US_national_yearly!$D:$AM, 10, FALSE), 1)</f>
        <v>4.4256771555203716E-4</v>
      </c>
      <c r="Z2" s="7">
        <f>$B2 * IFERROR(VLOOKUP("industry|NOx|Premature mortality", US_national_yearly!$D:$AM, 34, FALSE) / VLOOKUP("industry|NOx|Premature mortality", US_national_yearly!$D:$AM, 10, FALSE), 1)</f>
        <v>4.4272365655436568E-4</v>
      </c>
      <c r="AA2" s="7">
        <f>$B2 * IFERROR(VLOOKUP("industry|NOx|Premature mortality", US_national_yearly!$D:$AM, 35, FALSE) / VLOOKUP("industry|NOx|Premature mortality", US_national_yearly!$D:$AM, 10, FALSE), 1)</f>
        <v>4.4287959755669426E-4</v>
      </c>
      <c r="AB2" s="7">
        <f>$B2 * IFERROR(VLOOKUP("industry|NOx|Premature mortality", US_national_yearly!$D:$AM, 36, FALSE) / VLOOKUP("industry|NOx|Premature mortality", US_national_yearly!$D:$AM, 10, FALSE), 1)</f>
        <v>4.4303553855902278E-4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7.2075001851763624E-7</v>
      </c>
      <c r="C3" s="7">
        <f>$B3 * IFERROR(VLOOKUP("industry|NOx|Infant mortality", US_national_yearly!$D:$AM, 11, FALSE) / VLOOKUP("industry|NOx|Infant mortality", US_national_yearly!$D:$AM, 10, FALSE), 1)</f>
        <v>7.1384751637513315E-7</v>
      </c>
      <c r="D3" s="7">
        <f>$B3 * IFERROR(VLOOKUP("industry|NOx|Infant mortality", US_national_yearly!$D:$AM, 12, FALSE) / VLOOKUP("industry|NOx|Infant mortality", US_national_yearly!$D:$AM, 10, FALSE), 1)</f>
        <v>7.0694501423262985E-7</v>
      </c>
      <c r="E3" s="7">
        <f>$B3 * IFERROR(VLOOKUP("industry|NOx|Infant mortality", US_national_yearly!$D:$AM, 13, FALSE) / VLOOKUP("industry|NOx|Infant mortality", US_national_yearly!$D:$AM, 10, FALSE), 1)</f>
        <v>7.0004251209012676E-7</v>
      </c>
      <c r="F3" s="7">
        <f>$B3 * IFERROR(VLOOKUP("industry|NOx|Infant mortality", US_national_yearly!$D:$AM, 14, FALSE) / VLOOKUP("industry|NOx|Infant mortality", US_national_yearly!$D:$AM, 10, FALSE), 1)</f>
        <v>6.9314000994762357E-7</v>
      </c>
      <c r="G3" s="7">
        <f>$B3 * IFERROR(VLOOKUP("industry|NOx|Infant mortality", US_national_yearly!$D:$AM, 15, FALSE) / VLOOKUP("industry|NOx|Infant mortality", US_national_yearly!$D:$AM, 10, FALSE), 1)</f>
        <v>4.5975161421957191E-7</v>
      </c>
      <c r="H3" s="7">
        <f>$B3 * IFERROR(VLOOKUP("industry|NOx|Infant mortality", US_national_yearly!$D:$AM, 16, FALSE) / VLOOKUP("industry|NOx|Infant mortality", US_national_yearly!$D:$AM, 10, FALSE), 1)</f>
        <v>2.2636321849152027E-7</v>
      </c>
      <c r="I3" s="7">
        <f>$B3 * IFERROR(VLOOKUP("industry|NOx|Infant mortality", US_national_yearly!$D:$AM, 17, FALSE) / VLOOKUP("industry|NOx|Infant mortality", US_national_yearly!$D:$AM, 10, FALSE), 1)</f>
        <v>2.2473123742146812E-7</v>
      </c>
      <c r="J3" s="7">
        <f>$B3 * IFERROR(VLOOKUP("industry|NOx|Infant mortality", US_national_yearly!$D:$AM, 18, FALSE) / VLOOKUP("industry|NOx|Infant mortality", US_national_yearly!$D:$AM, 10, FALSE), 1)</f>
        <v>2.2309925635141598E-7</v>
      </c>
      <c r="K3" s="7">
        <f>$B3 * IFERROR(VLOOKUP("industry|NOx|Infant mortality", US_national_yearly!$D:$AM, 19, FALSE) / VLOOKUP("industry|NOx|Infant mortality", US_national_yearly!$D:$AM, 10, FALSE), 1)</f>
        <v>2.2146727528136383E-7</v>
      </c>
      <c r="L3" s="7">
        <f>$B3 * IFERROR(VLOOKUP("industry|NOx|Infant mortality", US_national_yearly!$D:$AM, 20, FALSE) / VLOOKUP("industry|NOx|Infant mortality", US_national_yearly!$D:$AM, 10, FALSE), 1)</f>
        <v>2.1983529421131163E-7</v>
      </c>
      <c r="M3" s="7">
        <f>$B3 * IFERROR(VLOOKUP("industry|NOx|Infant mortality", US_national_yearly!$D:$AM, 21, FALSE) / VLOOKUP("industry|NOx|Infant mortality", US_national_yearly!$D:$AM, 10, FALSE), 1)</f>
        <v>2.1820331314125946E-7</v>
      </c>
      <c r="N3" s="7">
        <f>$B3 * IFERROR(VLOOKUP("industry|NOx|Infant mortality", US_national_yearly!$D:$AM, 22, FALSE) / VLOOKUP("industry|NOx|Infant mortality", US_national_yearly!$D:$AM, 10, FALSE), 1)</f>
        <v>2.171037579099658E-7</v>
      </c>
      <c r="O3" s="7">
        <f>$B3 * IFERROR(VLOOKUP("industry|NOx|Infant mortality", US_national_yearly!$D:$AM, 23, FALSE) / VLOOKUP("industry|NOx|Infant mortality", US_national_yearly!$D:$AM, 10, FALSE), 1)</f>
        <v>2.160042026786721E-7</v>
      </c>
      <c r="P3" s="7">
        <f>$B3 * IFERROR(VLOOKUP("industry|NOx|Infant mortality", US_national_yearly!$D:$AM, 24, FALSE) / VLOOKUP("industry|NOx|Infant mortality", US_national_yearly!$D:$AM, 10, FALSE), 1)</f>
        <v>2.1490464744737844E-7</v>
      </c>
      <c r="Q3" s="7">
        <f>$B3 * IFERROR(VLOOKUP("industry|NOx|Infant mortality", US_national_yearly!$D:$AM, 25, FALSE) / VLOOKUP("industry|NOx|Infant mortality", US_national_yearly!$D:$AM, 10, FALSE), 1)</f>
        <v>2.1380509221608479E-7</v>
      </c>
      <c r="R3" s="7">
        <f>$B3 * IFERROR(VLOOKUP("industry|NOx|Infant mortality", US_national_yearly!$D:$AM, 26, FALSE) / VLOOKUP("industry|NOx|Infant mortality", US_national_yearly!$D:$AM, 10, FALSE), 1)</f>
        <v>2.1270553698479114E-7</v>
      </c>
      <c r="S3" s="7">
        <f>$B3 * IFERROR(VLOOKUP("industry|NOx|Infant mortality", US_national_yearly!$D:$AM, 27, FALSE) / VLOOKUP("industry|NOx|Infant mortality", US_national_yearly!$D:$AM, 10, FALSE), 1)</f>
        <v>2.1139983480556148E-7</v>
      </c>
      <c r="T3" s="7">
        <f>$B3 * IFERROR(VLOOKUP("industry|NOx|Infant mortality", US_national_yearly!$D:$AM, 28, FALSE) / VLOOKUP("industry|NOx|Infant mortality", US_national_yearly!$D:$AM, 10, FALSE), 1)</f>
        <v>2.1009413262633182E-7</v>
      </c>
      <c r="U3" s="7">
        <f>$B3 * IFERROR(VLOOKUP("industry|NOx|Infant mortality", US_national_yearly!$D:$AM, 29, FALSE) / VLOOKUP("industry|NOx|Infant mortality", US_national_yearly!$D:$AM, 10, FALSE), 1)</f>
        <v>2.0878843044710216E-7</v>
      </c>
      <c r="V3" s="7">
        <f>$B3 * IFERROR(VLOOKUP("industry|NOx|Infant mortality", US_national_yearly!$D:$AM, 30, FALSE) / VLOOKUP("industry|NOx|Infant mortality", US_national_yearly!$D:$AM, 10, FALSE), 1)</f>
        <v>2.074827282678725E-7</v>
      </c>
      <c r="W3" s="7">
        <f>$B3 * IFERROR(VLOOKUP("industry|NOx|Infant mortality", US_national_yearly!$D:$AM, 31, FALSE) / VLOOKUP("industry|NOx|Infant mortality", US_national_yearly!$D:$AM, 10, FALSE), 1)</f>
        <v>2.0617702608864289E-7</v>
      </c>
      <c r="X3" s="7">
        <f>$B3 * IFERROR(VLOOKUP("industry|NOx|Infant mortality", US_national_yearly!$D:$AM, 32, FALSE) / VLOOKUP("industry|NOx|Infant mortality", US_national_yearly!$D:$AM, 10, FALSE), 1)</f>
        <v>2.0480589422256767E-7</v>
      </c>
      <c r="Y3" s="7">
        <f>$B3 * IFERROR(VLOOKUP("industry|NOx|Infant mortality", US_national_yearly!$D:$AM, 33, FALSE) / VLOOKUP("industry|NOx|Infant mortality", US_national_yearly!$D:$AM, 10, FALSE), 1)</f>
        <v>2.0343476235649248E-7</v>
      </c>
      <c r="Z3" s="7">
        <f>$B3 * IFERROR(VLOOKUP("industry|NOx|Infant mortality", US_national_yearly!$D:$AM, 34, FALSE) / VLOOKUP("industry|NOx|Infant mortality", US_national_yearly!$D:$AM, 10, FALSE), 1)</f>
        <v>2.0206363049041732E-7</v>
      </c>
      <c r="AA3" s="7">
        <f>$B3 * IFERROR(VLOOKUP("industry|NOx|Infant mortality", US_national_yearly!$D:$AM, 35, FALSE) / VLOOKUP("industry|NOx|Infant mortality", US_national_yearly!$D:$AM, 10, FALSE), 1)</f>
        <v>2.0069249862434212E-7</v>
      </c>
      <c r="AB3" s="7">
        <f>$B3 * IFERROR(VLOOKUP("industry|NOx|Infant mortality", US_national_yearly!$D:$AM, 36, FALSE) / VLOOKUP("industry|NOx|Infant mortality", US_national_yearly!$D:$AM, 10, FALSE), 1)</f>
        <v>1.9932136675826696E-7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7.4103139273772457E-4</v>
      </c>
      <c r="C6" s="7">
        <f>$B6 * IFERROR(VLOOKUP("industry|NOx|Asthma symptoms cough", US_national_yearly!$D:$AM, 11, FALSE) / VLOOKUP("industry|NOx|Asthma symptoms cough", US_national_yearly!$D:$AM, 10, FALSE), 1)</f>
        <v>7.5116895363569263E-4</v>
      </c>
      <c r="D6" s="7">
        <f>$B6 * IFERROR(VLOOKUP("industry|NOx|Asthma symptoms cough", US_national_yearly!$D:$AM, 12, FALSE) / VLOOKUP("industry|NOx|Asthma symptoms cough", US_national_yearly!$D:$AM, 10, FALSE), 1)</f>
        <v>7.6130651453366069E-4</v>
      </c>
      <c r="E6" s="7">
        <f>$B6 * IFERROR(VLOOKUP("industry|NOx|Asthma symptoms cough", US_national_yearly!$D:$AM, 13, FALSE) / VLOOKUP("industry|NOx|Asthma symptoms cough", US_national_yearly!$D:$AM, 10, FALSE), 1)</f>
        <v>7.7144407543162875E-4</v>
      </c>
      <c r="F6" s="7">
        <f>$B6 * IFERROR(VLOOKUP("industry|NOx|Asthma symptoms cough", US_national_yearly!$D:$AM, 14, FALSE) / VLOOKUP("industry|NOx|Asthma symptoms cough", US_national_yearly!$D:$AM, 10, FALSE), 1)</f>
        <v>7.8158163632959681E-4</v>
      </c>
      <c r="G6" s="7">
        <f>$B6 * IFERROR(VLOOKUP("industry|NOx|Asthma symptoms cough", US_national_yearly!$D:$AM, 15, FALSE) / VLOOKUP("industry|NOx|Asthma symptoms cough", US_national_yearly!$D:$AM, 10, FALSE), 1)</f>
        <v>7.8971038745443442E-4</v>
      </c>
      <c r="H6" s="7">
        <f>$B6 * IFERROR(VLOOKUP("industry|NOx|Asthma symptoms cough", US_national_yearly!$D:$AM, 16, FALSE) / VLOOKUP("industry|NOx|Asthma symptoms cough", US_national_yearly!$D:$AM, 10, FALSE), 1)</f>
        <v>7.9783913857927214E-4</v>
      </c>
      <c r="I6" s="7">
        <f>$B6 * IFERROR(VLOOKUP("industry|NOx|Asthma symptoms cough", US_national_yearly!$D:$AM, 17, FALSE) / VLOOKUP("industry|NOx|Asthma symptoms cough", US_national_yearly!$D:$AM, 10, FALSE), 1)</f>
        <v>8.0066801603263804E-4</v>
      </c>
      <c r="J6" s="7">
        <f>$B6 * IFERROR(VLOOKUP("industry|NOx|Asthma symptoms cough", US_national_yearly!$D:$AM, 18, FALSE) / VLOOKUP("industry|NOx|Asthma symptoms cough", US_national_yearly!$D:$AM, 10, FALSE), 1)</f>
        <v>8.0349689348600416E-4</v>
      </c>
      <c r="K6" s="7">
        <f>$B6 * IFERROR(VLOOKUP("industry|NOx|Asthma symptoms cough", US_national_yearly!$D:$AM, 19, FALSE) / VLOOKUP("industry|NOx|Asthma symptoms cough", US_national_yearly!$D:$AM, 10, FALSE), 1)</f>
        <v>8.0632577093937006E-4</v>
      </c>
      <c r="L6" s="7">
        <f>$B6 * IFERROR(VLOOKUP("industry|NOx|Asthma symptoms cough", US_national_yearly!$D:$AM, 20, FALSE) / VLOOKUP("industry|NOx|Asthma symptoms cough", US_national_yearly!$D:$AM, 10, FALSE), 1)</f>
        <v>8.0915464839273617E-4</v>
      </c>
      <c r="M6" s="7">
        <f>$B6 * IFERROR(VLOOKUP("industry|NOx|Asthma symptoms cough", US_national_yearly!$D:$AM, 21, FALSE) / VLOOKUP("industry|NOx|Asthma symptoms cough", US_national_yearly!$D:$AM, 10, FALSE), 1)</f>
        <v>8.1198352584610218E-4</v>
      </c>
      <c r="N6" s="7">
        <f>$B6 * IFERROR(VLOOKUP("industry|NOx|Asthma symptoms cough", US_national_yearly!$D:$AM, 22, FALSE) / VLOOKUP("industry|NOx|Asthma symptoms cough", US_national_yearly!$D:$AM, 10, FALSE), 1)</f>
        <v>8.152127666837196E-4</v>
      </c>
      <c r="O6" s="7">
        <f>$B6 * IFERROR(VLOOKUP("industry|NOx|Asthma symptoms cough", US_national_yearly!$D:$AM, 23, FALSE) / VLOOKUP("industry|NOx|Asthma symptoms cough", US_national_yearly!$D:$AM, 10, FALSE), 1)</f>
        <v>8.184420075213367E-4</v>
      </c>
      <c r="P6" s="7">
        <f>$B6 * IFERROR(VLOOKUP("industry|NOx|Asthma symptoms cough", US_national_yearly!$D:$AM, 24, FALSE) / VLOOKUP("industry|NOx|Asthma symptoms cough", US_national_yearly!$D:$AM, 10, FALSE), 1)</f>
        <v>8.2167124835895401E-4</v>
      </c>
      <c r="Q6" s="7">
        <f>$B6 * IFERROR(VLOOKUP("industry|NOx|Asthma symptoms cough", US_national_yearly!$D:$AM, 25, FALSE) / VLOOKUP("industry|NOx|Asthma symptoms cough", US_national_yearly!$D:$AM, 10, FALSE), 1)</f>
        <v>8.2490048919657143E-4</v>
      </c>
      <c r="R6" s="7">
        <f>$B6 * IFERROR(VLOOKUP("industry|NOx|Asthma symptoms cough", US_national_yearly!$D:$AM, 26, FALSE) / VLOOKUP("industry|NOx|Asthma symptoms cough", US_national_yearly!$D:$AM, 10, FALSE), 1)</f>
        <v>8.2812973003418874E-4</v>
      </c>
      <c r="S6" s="7">
        <f>$B6 * IFERROR(VLOOKUP("industry|NOx|Asthma symptoms cough", US_national_yearly!$D:$AM, 27, FALSE) / VLOOKUP("industry|NOx|Asthma symptoms cough", US_national_yearly!$D:$AM, 10, FALSE), 1)</f>
        <v>8.3229530783369423E-4</v>
      </c>
      <c r="T6" s="7">
        <f>$B6 * IFERROR(VLOOKUP("industry|NOx|Asthma symptoms cough", US_national_yearly!$D:$AM, 28, FALSE) / VLOOKUP("industry|NOx|Asthma symptoms cough", US_national_yearly!$D:$AM, 10, FALSE), 1)</f>
        <v>8.3646088563319961E-4</v>
      </c>
      <c r="U6" s="7">
        <f>$B6 * IFERROR(VLOOKUP("industry|NOx|Asthma symptoms cough", US_national_yearly!$D:$AM, 29, FALSE) / VLOOKUP("industry|NOx|Asthma symptoms cough", US_national_yearly!$D:$AM, 10, FALSE), 1)</f>
        <v>8.4062646343270511E-4</v>
      </c>
      <c r="V6" s="7">
        <f>$B6 * IFERROR(VLOOKUP("industry|NOx|Asthma symptoms cough", US_national_yearly!$D:$AM, 30, FALSE) / VLOOKUP("industry|NOx|Asthma symptoms cough", US_national_yearly!$D:$AM, 10, FALSE), 1)</f>
        <v>8.4479204123221049E-4</v>
      </c>
      <c r="W6" s="7">
        <f>$B6 * IFERROR(VLOOKUP("industry|NOx|Asthma symptoms cough", US_national_yearly!$D:$AM, 31, FALSE) / VLOOKUP("industry|NOx|Asthma symptoms cough", US_national_yearly!$D:$AM, 10, FALSE), 1)</f>
        <v>8.4895761903171609E-4</v>
      </c>
      <c r="X6" s="7">
        <f>$B6 * IFERROR(VLOOKUP("industry|NOx|Asthma symptoms cough", US_national_yearly!$D:$AM, 32, FALSE) / VLOOKUP("industry|NOx|Asthma symptoms cough", US_national_yearly!$D:$AM, 10, FALSE), 1)</f>
        <v>8.5281942997903143E-4</v>
      </c>
      <c r="Y6" s="7">
        <f>$B6 * IFERROR(VLOOKUP("industry|NOx|Asthma symptoms cough", US_national_yearly!$D:$AM, 33, FALSE) / VLOOKUP("industry|NOx|Asthma symptoms cough", US_national_yearly!$D:$AM, 10, FALSE), 1)</f>
        <v>8.5668124092634667E-4</v>
      </c>
      <c r="Z6" s="7">
        <f>$B6 * IFERROR(VLOOKUP("industry|NOx|Asthma symptoms cough", US_national_yearly!$D:$AM, 34, FALSE) / VLOOKUP("industry|NOx|Asthma symptoms cough", US_national_yearly!$D:$AM, 10, FALSE), 1)</f>
        <v>8.6054305187366201E-4</v>
      </c>
      <c r="AA6" s="7">
        <f>$B6 * IFERROR(VLOOKUP("industry|NOx|Asthma symptoms cough", US_national_yearly!$D:$AM, 35, FALSE) / VLOOKUP("industry|NOx|Asthma symptoms cough", US_national_yearly!$D:$AM, 10, FALSE), 1)</f>
        <v>8.6440486282097714E-4</v>
      </c>
      <c r="AB6" s="7">
        <f>$B6 * IFERROR(VLOOKUP("industry|NOx|Asthma symptoms cough", US_national_yearly!$D:$AM, 36, FALSE) / VLOOKUP("industry|NOx|Asthma symptoms cough", US_national_yearly!$D:$AM, 10, FALSE), 1)</f>
        <v>8.6826667376829259E-4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9.9790683881702865E-4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1.0115585429508935E-3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1.0252102470847584E-3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1.0388619512186233E-3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1.0525136553524884E-3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1.0634602041600101E-3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1.0744067529675318E-3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1.078216248958346E-3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1.08202574494916E-3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1.085835240939974E-3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1.0896447369307884E-3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1.0934542329216024E-3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1.097802876601378E-3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1.1021515202811539E-3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1.1065001639609297E-3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1.1108488076407058E-3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1.1151974513204815E-3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1.1208070092804229E-3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1.1264165672403644E-3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1.1320261252003058E-3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1.1376356831602472E-3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1.1432452411201885E-3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1.1484457327100856E-3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1.1536462242999826E-3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1.1588467158898793E-3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1.1640472074797763E-3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1.1692476990696732E-3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1.524630596813775E-3</v>
      </c>
      <c r="C8" s="7">
        <f>$B8 * IFERROR(VLOOKUP("industry|NOx|Asthma symptoms wheeze", US_national_yearly!$D:$AM, 11, FALSE) / VLOOKUP("industry|NOx|Asthma symptoms wheeze", US_national_yearly!$D:$AM, 10, FALSE), 1)</f>
        <v>1.5454880607269205E-3</v>
      </c>
      <c r="D8" s="7">
        <f>$B8 * IFERROR(VLOOKUP("industry|NOx|Asthma symptoms wheeze", US_national_yearly!$D:$AM, 12, FALSE) / VLOOKUP("industry|NOx|Asthma symptoms wheeze", US_national_yearly!$D:$AM, 10, FALSE), 1)</f>
        <v>1.566345524640066E-3</v>
      </c>
      <c r="E8" s="7">
        <f>$B8 * IFERROR(VLOOKUP("industry|NOx|Asthma symptoms wheeze", US_national_yearly!$D:$AM, 13, FALSE) / VLOOKUP("industry|NOx|Asthma symptoms wheeze", US_national_yearly!$D:$AM, 10, FALSE), 1)</f>
        <v>1.5872029885532115E-3</v>
      </c>
      <c r="F8" s="7">
        <f>$B8 * IFERROR(VLOOKUP("industry|NOx|Asthma symptoms wheeze", US_national_yearly!$D:$AM, 14, FALSE) / VLOOKUP("industry|NOx|Asthma symptoms wheeze", US_national_yearly!$D:$AM, 10, FALSE), 1)</f>
        <v>1.6080604524663566E-3</v>
      </c>
      <c r="G8" s="7">
        <f>$B8 * IFERROR(VLOOKUP("industry|NOx|Asthma symptoms wheeze", US_national_yearly!$D:$AM, 15, FALSE) / VLOOKUP("industry|NOx|Asthma symptoms wheeze", US_national_yearly!$D:$AM, 10, FALSE), 1)</f>
        <v>1.6247849027551987E-3</v>
      </c>
      <c r="H8" s="7">
        <f>$B8 * IFERROR(VLOOKUP("industry|NOx|Asthma symptoms wheeze", US_national_yearly!$D:$AM, 16, FALSE) / VLOOKUP("industry|NOx|Asthma symptoms wheeze", US_national_yearly!$D:$AM, 10, FALSE), 1)</f>
        <v>1.6415093530440399E-3</v>
      </c>
      <c r="I8" s="7">
        <f>$B8 * IFERROR(VLOOKUP("industry|NOx|Asthma symptoms wheeze", US_national_yearly!$D:$AM, 17, FALSE) / VLOOKUP("industry|NOx|Asthma symptoms wheeze", US_national_yearly!$D:$AM, 10, FALSE), 1)</f>
        <v>1.647329610012821E-3</v>
      </c>
      <c r="J8" s="7">
        <f>$B8 * IFERROR(VLOOKUP("industry|NOx|Asthma symptoms wheeze", US_national_yearly!$D:$AM, 18, FALSE) / VLOOKUP("industry|NOx|Asthma symptoms wheeze", US_national_yearly!$D:$AM, 10, FALSE), 1)</f>
        <v>1.6531498669816013E-3</v>
      </c>
      <c r="K8" s="7">
        <f>$B8 * IFERROR(VLOOKUP("industry|NOx|Asthma symptoms wheeze", US_national_yearly!$D:$AM, 19, FALSE) / VLOOKUP("industry|NOx|Asthma symptoms wheeze", US_national_yearly!$D:$AM, 10, FALSE), 1)</f>
        <v>1.6589701239503824E-3</v>
      </c>
      <c r="L8" s="7">
        <f>$B8 * IFERROR(VLOOKUP("industry|NOx|Asthma symptoms wheeze", US_national_yearly!$D:$AM, 20, FALSE) / VLOOKUP("industry|NOx|Asthma symptoms wheeze", US_national_yearly!$D:$AM, 10, FALSE), 1)</f>
        <v>1.6647903809191625E-3</v>
      </c>
      <c r="M8" s="7">
        <f>$B8 * IFERROR(VLOOKUP("industry|NOx|Asthma symptoms wheeze", US_national_yearly!$D:$AM, 21, FALSE) / VLOOKUP("industry|NOx|Asthma symptoms wheeze", US_national_yearly!$D:$AM, 10, FALSE), 1)</f>
        <v>1.6706106378879433E-3</v>
      </c>
      <c r="N8" s="7">
        <f>$B8 * IFERROR(VLOOKUP("industry|NOx|Asthma symptoms wheeze", US_national_yearly!$D:$AM, 22, FALSE) / VLOOKUP("industry|NOx|Asthma symptoms wheeze", US_national_yearly!$D:$AM, 10, FALSE), 1)</f>
        <v>1.67725462010171E-3</v>
      </c>
      <c r="O8" s="7">
        <f>$B8 * IFERROR(VLOOKUP("industry|NOx|Asthma symptoms wheeze", US_national_yearly!$D:$AM, 23, FALSE) / VLOOKUP("industry|NOx|Asthma symptoms wheeze", US_national_yearly!$D:$AM, 10, FALSE), 1)</f>
        <v>1.6838986023154767E-3</v>
      </c>
      <c r="P8" s="7">
        <f>$B8 * IFERROR(VLOOKUP("industry|NOx|Asthma symptoms wheeze", US_national_yearly!$D:$AM, 24, FALSE) / VLOOKUP("industry|NOx|Asthma symptoms wheeze", US_national_yearly!$D:$AM, 10, FALSE), 1)</f>
        <v>1.6905425845292431E-3</v>
      </c>
      <c r="Q8" s="7">
        <f>$B8 * IFERROR(VLOOKUP("industry|NOx|Asthma symptoms wheeze", US_national_yearly!$D:$AM, 25, FALSE) / VLOOKUP("industry|NOx|Asthma symptoms wheeze", US_national_yearly!$D:$AM, 10, FALSE), 1)</f>
        <v>1.6971865667430098E-3</v>
      </c>
      <c r="R8" s="7">
        <f>$B8 * IFERROR(VLOOKUP("industry|NOx|Asthma symptoms wheeze", US_national_yearly!$D:$AM, 26, FALSE) / VLOOKUP("industry|NOx|Asthma symptoms wheeze", US_national_yearly!$D:$AM, 10, FALSE), 1)</f>
        <v>1.7038305489567762E-3</v>
      </c>
      <c r="S8" s="7">
        <f>$B8 * IFERROR(VLOOKUP("industry|NOx|Asthma symptoms wheeze", US_national_yearly!$D:$AM, 27, FALSE) / VLOOKUP("industry|NOx|Asthma symptoms wheeze", US_national_yearly!$D:$AM, 10, FALSE), 1)</f>
        <v>1.7124009920399729E-3</v>
      </c>
      <c r="T8" s="7">
        <f>$B8 * IFERROR(VLOOKUP("industry|NOx|Asthma symptoms wheeze", US_national_yearly!$D:$AM, 28, FALSE) / VLOOKUP("industry|NOx|Asthma symptoms wheeze", US_national_yearly!$D:$AM, 10, FALSE), 1)</f>
        <v>1.7209714351231692E-3</v>
      </c>
      <c r="U8" s="7">
        <f>$B8 * IFERROR(VLOOKUP("industry|NOx|Asthma symptoms wheeze", US_national_yearly!$D:$AM, 29, FALSE) / VLOOKUP("industry|NOx|Asthma symptoms wheeze", US_national_yearly!$D:$AM, 10, FALSE), 1)</f>
        <v>1.7295418782063655E-3</v>
      </c>
      <c r="V8" s="7">
        <f>$B8 * IFERROR(VLOOKUP("industry|NOx|Asthma symptoms wheeze", US_national_yearly!$D:$AM, 30, FALSE) / VLOOKUP("industry|NOx|Asthma symptoms wheeze", US_national_yearly!$D:$AM, 10, FALSE), 1)</f>
        <v>1.738112321289562E-3</v>
      </c>
      <c r="W8" s="7">
        <f>$B8 * IFERROR(VLOOKUP("industry|NOx|Asthma symptoms wheeze", US_national_yearly!$D:$AM, 31, FALSE) / VLOOKUP("industry|NOx|Asthma symptoms wheeze", US_national_yearly!$D:$AM, 10, FALSE), 1)</f>
        <v>1.7466827643727583E-3</v>
      </c>
      <c r="X8" s="7">
        <f>$B8 * IFERROR(VLOOKUP("industry|NOx|Asthma symptoms wheeze", US_national_yearly!$D:$AM, 32, FALSE) / VLOOKUP("industry|NOx|Asthma symptoms wheeze", US_national_yearly!$D:$AM, 10, FALSE), 1)</f>
        <v>1.7546282241659833E-3</v>
      </c>
      <c r="Y8" s="7">
        <f>$B8 * IFERROR(VLOOKUP("industry|NOx|Asthma symptoms wheeze", US_national_yearly!$D:$AM, 33, FALSE) / VLOOKUP("industry|NOx|Asthma symptoms wheeze", US_national_yearly!$D:$AM, 10, FALSE), 1)</f>
        <v>1.7625736839592082E-3</v>
      </c>
      <c r="Z8" s="7">
        <f>$B8 * IFERROR(VLOOKUP("industry|NOx|Asthma symptoms wheeze", US_national_yearly!$D:$AM, 34, FALSE) / VLOOKUP("industry|NOx|Asthma symptoms wheeze", US_national_yearly!$D:$AM, 10, FALSE), 1)</f>
        <v>1.770519143752433E-3</v>
      </c>
      <c r="AA8" s="7">
        <f>$B8 * IFERROR(VLOOKUP("industry|NOx|Asthma symptoms wheeze", US_national_yearly!$D:$AM, 35, FALSE) / VLOOKUP("industry|NOx|Asthma symptoms wheeze", US_national_yearly!$D:$AM, 10, FALSE), 1)</f>
        <v>1.7784646035456575E-3</v>
      </c>
      <c r="AB8" s="7">
        <f>$B8 * IFERROR(VLOOKUP("industry|NOx|Asthma symptoms wheeze", US_national_yearly!$D:$AM, 36, FALSE) / VLOOKUP("industry|NOx|Asthma symptoms wheeze", US_national_yearly!$D:$AM, 10, FALSE), 1)</f>
        <v>1.7864100633388838E-3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2.568436681782133E-5</v>
      </c>
      <c r="C12" s="7">
        <f>$B12 * IFERROR(VLOOKUP("industry|NOx|Respiratory hospital admissions", US_national_yearly!$D:$AM, 11, FALSE) / VLOOKUP("industry|NOx|Respiratory hospital admissions", US_national_yearly!$D:$AM, 10, FALSE), 1)</f>
        <v>2.6329643204947981E-5</v>
      </c>
      <c r="D12" s="7">
        <f>$B12 * IFERROR(VLOOKUP("industry|NOx|Respiratory hospital admissions", US_national_yearly!$D:$AM, 12, FALSE) / VLOOKUP("industry|NOx|Respiratory hospital admissions", US_national_yearly!$D:$AM, 10, FALSE), 1)</f>
        <v>2.6974919592074628E-5</v>
      </c>
      <c r="E12" s="7">
        <f>$B12 * IFERROR(VLOOKUP("industry|NOx|Respiratory hospital admissions", US_national_yearly!$D:$AM, 13, FALSE) / VLOOKUP("industry|NOx|Respiratory hospital admissions", US_national_yearly!$D:$AM, 10, FALSE), 1)</f>
        <v>2.7620195979201285E-5</v>
      </c>
      <c r="F12" s="7">
        <f>$B12 * IFERROR(VLOOKUP("industry|NOx|Respiratory hospital admissions", US_national_yearly!$D:$AM, 14, FALSE) / VLOOKUP("industry|NOx|Respiratory hospital admissions", US_national_yearly!$D:$AM, 10, FALSE), 1)</f>
        <v>2.8265472366327929E-5</v>
      </c>
      <c r="G12" s="7">
        <f>$B12 * IFERROR(VLOOKUP("industry|NOx|Respiratory hospital admissions", US_national_yearly!$D:$AM, 15, FALSE) / VLOOKUP("industry|NOx|Respiratory hospital admissions", US_national_yearly!$D:$AM, 10, FALSE), 1)</f>
        <v>2.8882707924278394E-5</v>
      </c>
      <c r="H12" s="7">
        <f>$B12 * IFERROR(VLOOKUP("industry|NOx|Respiratory hospital admissions", US_national_yearly!$D:$AM, 16, FALSE) / VLOOKUP("industry|NOx|Respiratory hospital admissions", US_national_yearly!$D:$AM, 10, FALSE), 1)</f>
        <v>2.9499943482228863E-5</v>
      </c>
      <c r="I12" s="7">
        <f>$B12 * IFERROR(VLOOKUP("industry|NOx|Respiratory hospital admissions", US_national_yearly!$D:$AM, 17, FALSE) / VLOOKUP("industry|NOx|Respiratory hospital admissions", US_national_yearly!$D:$AM, 10, FALSE), 1)</f>
        <v>3.0025603375548274E-5</v>
      </c>
      <c r="J12" s="7">
        <f>$B12 * IFERROR(VLOOKUP("industry|NOx|Respiratory hospital admissions", US_national_yearly!$D:$AM, 18, FALSE) / VLOOKUP("industry|NOx|Respiratory hospital admissions", US_national_yearly!$D:$AM, 10, FALSE), 1)</f>
        <v>3.0551263268867684E-5</v>
      </c>
      <c r="K12" s="7">
        <f>$B12 * IFERROR(VLOOKUP("industry|NOx|Respiratory hospital admissions", US_national_yearly!$D:$AM, 19, FALSE) / VLOOKUP("industry|NOx|Respiratory hospital admissions", US_national_yearly!$D:$AM, 10, FALSE), 1)</f>
        <v>3.1076923162187101E-5</v>
      </c>
      <c r="L12" s="7">
        <f>$B12 * IFERROR(VLOOKUP("industry|NOx|Respiratory hospital admissions", US_national_yearly!$D:$AM, 20, FALSE) / VLOOKUP("industry|NOx|Respiratory hospital admissions", US_national_yearly!$D:$AM, 10, FALSE), 1)</f>
        <v>3.1602583055506518E-5</v>
      </c>
      <c r="M12" s="7">
        <f>$B12 * IFERROR(VLOOKUP("industry|NOx|Respiratory hospital admissions", US_national_yearly!$D:$AM, 21, FALSE) / VLOOKUP("industry|NOx|Respiratory hospital admissions", US_national_yearly!$D:$AM, 10, FALSE), 1)</f>
        <v>3.2128242948825928E-5</v>
      </c>
      <c r="N12" s="7">
        <f>$B12 * IFERROR(VLOOKUP("industry|NOx|Respiratory hospital admissions", US_national_yearly!$D:$AM, 22, FALSE) / VLOOKUP("industry|NOx|Respiratory hospital admissions", US_national_yearly!$D:$AM, 10, FALSE), 1)</f>
        <v>3.2480549139669542E-5</v>
      </c>
      <c r="O12" s="7">
        <f>$B12 * IFERROR(VLOOKUP("industry|NOx|Respiratory hospital admissions", US_national_yearly!$D:$AM, 23, FALSE) / VLOOKUP("industry|NOx|Respiratory hospital admissions", US_national_yearly!$D:$AM, 10, FALSE), 1)</f>
        <v>3.2832855330513156E-5</v>
      </c>
      <c r="P12" s="7">
        <f>$B12 * IFERROR(VLOOKUP("industry|NOx|Respiratory hospital admissions", US_national_yearly!$D:$AM, 24, FALSE) / VLOOKUP("industry|NOx|Respiratory hospital admissions", US_national_yearly!$D:$AM, 10, FALSE), 1)</f>
        <v>3.3185161521356777E-5</v>
      </c>
      <c r="Q12" s="7">
        <f>$B12 * IFERROR(VLOOKUP("industry|NOx|Respiratory hospital admissions", US_national_yearly!$D:$AM, 25, FALSE) / VLOOKUP("industry|NOx|Respiratory hospital admissions", US_national_yearly!$D:$AM, 10, FALSE), 1)</f>
        <v>3.3537467712200391E-5</v>
      </c>
      <c r="R12" s="7">
        <f>$B12 * IFERROR(VLOOKUP("industry|NOx|Respiratory hospital admissions", US_national_yearly!$D:$AM, 26, FALSE) / VLOOKUP("industry|NOx|Respiratory hospital admissions", US_national_yearly!$D:$AM, 10, FALSE), 1)</f>
        <v>3.3889773903044012E-5</v>
      </c>
      <c r="S12" s="7">
        <f>$B12 * IFERROR(VLOOKUP("industry|NOx|Respiratory hospital admissions", US_national_yearly!$D:$AM, 27, FALSE) / VLOOKUP("industry|NOx|Respiratory hospital admissions", US_national_yearly!$D:$AM, 10, FALSE), 1)</f>
        <v>3.4081045553803251E-5</v>
      </c>
      <c r="T12" s="7">
        <f>$B12 * IFERROR(VLOOKUP("industry|NOx|Respiratory hospital admissions", US_national_yearly!$D:$AM, 28, FALSE) / VLOOKUP("industry|NOx|Respiratory hospital admissions", US_national_yearly!$D:$AM, 10, FALSE), 1)</f>
        <v>3.4272317204562503E-5</v>
      </c>
      <c r="U12" s="7">
        <f>$B12 * IFERROR(VLOOKUP("industry|NOx|Respiratory hospital admissions", US_national_yearly!$D:$AM, 29, FALSE) / VLOOKUP("industry|NOx|Respiratory hospital admissions", US_national_yearly!$D:$AM, 10, FALSE), 1)</f>
        <v>3.4463588855321741E-5</v>
      </c>
      <c r="V12" s="7">
        <f>$B12 * IFERROR(VLOOKUP("industry|NOx|Respiratory hospital admissions", US_national_yearly!$D:$AM, 30, FALSE) / VLOOKUP("industry|NOx|Respiratory hospital admissions", US_national_yearly!$D:$AM, 10, FALSE), 1)</f>
        <v>3.4654860506080979E-5</v>
      </c>
      <c r="W12" s="7">
        <f>$B12 * IFERROR(VLOOKUP("industry|NOx|Respiratory hospital admissions", US_national_yearly!$D:$AM, 31, FALSE) / VLOOKUP("industry|NOx|Respiratory hospital admissions", US_national_yearly!$D:$AM, 10, FALSE), 1)</f>
        <v>3.4846132156840225E-5</v>
      </c>
      <c r="X12" s="7">
        <f>$B12 * IFERROR(VLOOKUP("industry|NOx|Respiratory hospital admissions", US_national_yearly!$D:$AM, 32, FALSE) / VLOOKUP("industry|NOx|Respiratory hospital admissions", US_national_yearly!$D:$AM, 10, FALSE), 1)</f>
        <v>3.4979498534308845E-5</v>
      </c>
      <c r="Y12" s="7">
        <f>$B12 * IFERROR(VLOOKUP("industry|NOx|Respiratory hospital admissions", US_national_yearly!$D:$AM, 33, FALSE) / VLOOKUP("industry|NOx|Respiratory hospital admissions", US_national_yearly!$D:$AM, 10, FALSE), 1)</f>
        <v>3.5112864911777464E-5</v>
      </c>
      <c r="Z12" s="7">
        <f>$B12 * IFERROR(VLOOKUP("industry|NOx|Respiratory hospital admissions", US_national_yearly!$D:$AM, 34, FALSE) / VLOOKUP("industry|NOx|Respiratory hospital admissions", US_national_yearly!$D:$AM, 10, FALSE), 1)</f>
        <v>3.5246231289246098E-5</v>
      </c>
      <c r="AA12" s="7">
        <f>$B12 * IFERROR(VLOOKUP("industry|NOx|Respiratory hospital admissions", US_national_yearly!$D:$AM, 35, FALSE) / VLOOKUP("industry|NOx|Respiratory hospital admissions", US_national_yearly!$D:$AM, 10, FALSE), 1)</f>
        <v>3.5379597666714718E-5</v>
      </c>
      <c r="AB12" s="7">
        <f>$B12 * IFERROR(VLOOKUP("industry|NOx|Respiratory hospital admissions", US_national_yearly!$D:$AM, 36, FALSE) / VLOOKUP("industry|NOx|Respiratory hospital admissions", US_national_yearly!$D:$AM, 10, FALSE), 1)</f>
        <v>3.5512964044183338E-5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1.6005999418890697E-4</v>
      </c>
      <c r="C13" s="7">
        <f>$B13 * IFERROR(VLOOKUP("industry|NOx|Non-fatal heart attacks", US_national_yearly!$D:$AM, 11, FALSE) / VLOOKUP("industry|NOx|Non-fatal heart attacks", US_national_yearly!$D:$AM, 10, FALSE), 1)</f>
        <v>1.6463306160518351E-4</v>
      </c>
      <c r="D13" s="7">
        <f>$B13 * IFERROR(VLOOKUP("industry|NOx|Non-fatal heart attacks", US_national_yearly!$D:$AM, 12, FALSE) / VLOOKUP("industry|NOx|Non-fatal heart attacks", US_national_yearly!$D:$AM, 10, FALSE), 1)</f>
        <v>1.6920612902146008E-4</v>
      </c>
      <c r="E13" s="7">
        <f>$B13 * IFERROR(VLOOKUP("industry|NOx|Non-fatal heart attacks", US_national_yearly!$D:$AM, 13, FALSE) / VLOOKUP("industry|NOx|Non-fatal heart attacks", US_national_yearly!$D:$AM, 10, FALSE), 1)</f>
        <v>1.7377919643773662E-4</v>
      </c>
      <c r="F13" s="7">
        <f>$B13 * IFERROR(VLOOKUP("industry|NOx|Non-fatal heart attacks", US_national_yearly!$D:$AM, 14, FALSE) / VLOOKUP("industry|NOx|Non-fatal heart attacks", US_national_yearly!$D:$AM, 10, FALSE), 1)</f>
        <v>1.7835226385401319E-4</v>
      </c>
      <c r="G13" s="7">
        <f>$B13 * IFERROR(VLOOKUP("industry|NOx|Non-fatal heart attacks", US_national_yearly!$D:$AM, 15, FALSE) / VLOOKUP("industry|NOx|Non-fatal heart attacks", US_national_yearly!$D:$AM, 10, FALSE), 1)</f>
        <v>1.8262941404666408E-4</v>
      </c>
      <c r="H13" s="7">
        <f>$B13 * IFERROR(VLOOKUP("industry|NOx|Non-fatal heart attacks", US_national_yearly!$D:$AM, 16, FALSE) / VLOOKUP("industry|NOx|Non-fatal heart attacks", US_national_yearly!$D:$AM, 10, FALSE), 1)</f>
        <v>1.8690656423931494E-4</v>
      </c>
      <c r="I13" s="7">
        <f>$B13 * IFERROR(VLOOKUP("industry|NOx|Non-fatal heart attacks", US_national_yearly!$D:$AM, 17, FALSE) / VLOOKUP("industry|NOx|Non-fatal heart attacks", US_national_yearly!$D:$AM, 10, FALSE), 1)</f>
        <v>1.9028934043124039E-4</v>
      </c>
      <c r="J13" s="7">
        <f>$B13 * IFERROR(VLOOKUP("industry|NOx|Non-fatal heart attacks", US_national_yearly!$D:$AM, 18, FALSE) / VLOOKUP("industry|NOx|Non-fatal heart attacks", US_national_yearly!$D:$AM, 10, FALSE), 1)</f>
        <v>1.9367211662316583E-4</v>
      </c>
      <c r="K13" s="7">
        <f>$B13 * IFERROR(VLOOKUP("industry|NOx|Non-fatal heart attacks", US_national_yearly!$D:$AM, 19, FALSE) / VLOOKUP("industry|NOx|Non-fatal heart attacks", US_national_yearly!$D:$AM, 10, FALSE), 1)</f>
        <v>1.970548928150912E-4</v>
      </c>
      <c r="L13" s="7">
        <f>$B13 * IFERROR(VLOOKUP("industry|NOx|Non-fatal heart attacks", US_national_yearly!$D:$AM, 20, FALSE) / VLOOKUP("industry|NOx|Non-fatal heart attacks", US_national_yearly!$D:$AM, 10, FALSE), 1)</f>
        <v>2.0043766900701673E-4</v>
      </c>
      <c r="M13" s="7">
        <f>$B13 * IFERROR(VLOOKUP("industry|NOx|Non-fatal heart attacks", US_national_yearly!$D:$AM, 21, FALSE) / VLOOKUP("industry|NOx|Non-fatal heart attacks", US_national_yearly!$D:$AM, 10, FALSE), 1)</f>
        <v>2.038204451989422E-4</v>
      </c>
      <c r="N13" s="7">
        <f>$B13 * IFERROR(VLOOKUP("industry|NOx|Non-fatal heart attacks", US_national_yearly!$D:$AM, 22, FALSE) / VLOOKUP("industry|NOx|Non-fatal heart attacks", US_national_yearly!$D:$AM, 10, FALSE), 1)</f>
        <v>2.0585840549682121E-4</v>
      </c>
      <c r="O13" s="7">
        <f>$B13 * IFERROR(VLOOKUP("industry|NOx|Non-fatal heart attacks", US_national_yearly!$D:$AM, 23, FALSE) / VLOOKUP("industry|NOx|Non-fatal heart attacks", US_national_yearly!$D:$AM, 10, FALSE), 1)</f>
        <v>2.0789636579470017E-4</v>
      </c>
      <c r="P13" s="7">
        <f>$B13 * IFERROR(VLOOKUP("industry|NOx|Non-fatal heart attacks", US_national_yearly!$D:$AM, 24, FALSE) / VLOOKUP("industry|NOx|Non-fatal heart attacks", US_national_yearly!$D:$AM, 10, FALSE), 1)</f>
        <v>2.0993432609257913E-4</v>
      </c>
      <c r="Q13" s="7">
        <f>$B13 * IFERROR(VLOOKUP("industry|NOx|Non-fatal heart attacks", US_national_yearly!$D:$AM, 25, FALSE) / VLOOKUP("industry|NOx|Non-fatal heart attacks", US_national_yearly!$D:$AM, 10, FALSE), 1)</f>
        <v>2.1197228639045808E-4</v>
      </c>
      <c r="R13" s="7">
        <f>$B13 * IFERROR(VLOOKUP("industry|NOx|Non-fatal heart attacks", US_national_yearly!$D:$AM, 26, FALSE) / VLOOKUP("industry|NOx|Non-fatal heart attacks", US_national_yearly!$D:$AM, 10, FALSE), 1)</f>
        <v>2.1401024668833704E-4</v>
      </c>
      <c r="S13" s="7">
        <f>$B13 * IFERROR(VLOOKUP("industry|NOx|Non-fatal heart attacks", US_national_yearly!$D:$AM, 27, FALSE) / VLOOKUP("industry|NOx|Non-fatal heart attacks", US_national_yearly!$D:$AM, 10, FALSE), 1)</f>
        <v>2.149453035230097E-4</v>
      </c>
      <c r="T13" s="7">
        <f>$B13 * IFERROR(VLOOKUP("industry|NOx|Non-fatal heart attacks", US_national_yearly!$D:$AM, 28, FALSE) / VLOOKUP("industry|NOx|Non-fatal heart attacks", US_national_yearly!$D:$AM, 10, FALSE), 1)</f>
        <v>2.1588036035768231E-4</v>
      </c>
      <c r="U13" s="7">
        <f>$B13 * IFERROR(VLOOKUP("industry|NOx|Non-fatal heart attacks", US_national_yearly!$D:$AM, 29, FALSE) / VLOOKUP("industry|NOx|Non-fatal heart attacks", US_national_yearly!$D:$AM, 10, FALSE), 1)</f>
        <v>2.1681541719235494E-4</v>
      </c>
      <c r="V13" s="7">
        <f>$B13 * IFERROR(VLOOKUP("industry|NOx|Non-fatal heart attacks", US_national_yearly!$D:$AM, 30, FALSE) / VLOOKUP("industry|NOx|Non-fatal heart attacks", US_national_yearly!$D:$AM, 10, FALSE), 1)</f>
        <v>2.1775047402702757E-4</v>
      </c>
      <c r="W13" s="7">
        <f>$B13 * IFERROR(VLOOKUP("industry|NOx|Non-fatal heart attacks", US_national_yearly!$D:$AM, 31, FALSE) / VLOOKUP("industry|NOx|Non-fatal heart attacks", US_national_yearly!$D:$AM, 10, FALSE), 1)</f>
        <v>2.186855308617002E-4</v>
      </c>
      <c r="X13" s="7">
        <f>$B13 * IFERROR(VLOOKUP("industry|NOx|Non-fatal heart attacks", US_national_yearly!$D:$AM, 32, FALSE) / VLOOKUP("industry|NOx|Non-fatal heart attacks", US_national_yearly!$D:$AM, 10, FALSE), 1)</f>
        <v>2.1931659178531761E-4</v>
      </c>
      <c r="Y13" s="7">
        <f>$B13 * IFERROR(VLOOKUP("industry|NOx|Non-fatal heart attacks", US_national_yearly!$D:$AM, 33, FALSE) / VLOOKUP("industry|NOx|Non-fatal heart attacks", US_national_yearly!$D:$AM, 10, FALSE), 1)</f>
        <v>2.1994765270893504E-4</v>
      </c>
      <c r="Z13" s="7">
        <f>$B13 * IFERROR(VLOOKUP("industry|NOx|Non-fatal heart attacks", US_national_yearly!$D:$AM, 34, FALSE) / VLOOKUP("industry|NOx|Non-fatal heart attacks", US_national_yearly!$D:$AM, 10, FALSE), 1)</f>
        <v>2.2057871363255247E-4</v>
      </c>
      <c r="AA13" s="7">
        <f>$B13 * IFERROR(VLOOKUP("industry|NOx|Non-fatal heart attacks", US_national_yearly!$D:$AM, 35, FALSE) / VLOOKUP("industry|NOx|Non-fatal heart attacks", US_national_yearly!$D:$AM, 10, FALSE), 1)</f>
        <v>2.2120977455616987E-4</v>
      </c>
      <c r="AB13" s="7">
        <f>$B13 * IFERROR(VLOOKUP("industry|NOx|Non-fatal heart attacks", US_national_yearly!$D:$AM, 36, FALSE) / VLOOKUP("industry|NOx|Non-fatal heart attacks", US_national_yearly!$D:$AM, 10, FALSE), 1)</f>
        <v>2.218408354797873E-4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0.10350251928240399</v>
      </c>
      <c r="C14" s="7">
        <f>$B14 * IFERROR(VLOOKUP("industry|NOx|Minor restricted activity days", US_national_yearly!$D:$AM, 11, FALSE) / VLOOKUP("industry|NOx|Minor restricted activity days", US_national_yearly!$D:$AM, 10, FALSE), 1)</f>
        <v>0.1036558662514427</v>
      </c>
      <c r="D14" s="7">
        <f>$B14 * IFERROR(VLOOKUP("industry|NOx|Minor restricted activity days", US_national_yearly!$D:$AM, 12, FALSE) / VLOOKUP("industry|NOx|Minor restricted activity days", US_national_yearly!$D:$AM, 10, FALSE), 1)</f>
        <v>0.10380921322048139</v>
      </c>
      <c r="E14" s="7">
        <f>$B14 * IFERROR(VLOOKUP("industry|NOx|Minor restricted activity days", US_national_yearly!$D:$AM, 13, FALSE) / VLOOKUP("industry|NOx|Minor restricted activity days", US_national_yearly!$D:$AM, 10, FALSE), 1)</f>
        <v>0.1039625601895201</v>
      </c>
      <c r="F14" s="7">
        <f>$B14 * IFERROR(VLOOKUP("industry|NOx|Minor restricted activity days", US_national_yearly!$D:$AM, 14, FALSE) / VLOOKUP("industry|NOx|Minor restricted activity days", US_national_yearly!$D:$AM, 10, FALSE), 1)</f>
        <v>0.1041159071585588</v>
      </c>
      <c r="G14" s="7">
        <f>$B14 * IFERROR(VLOOKUP("industry|NOx|Minor restricted activity days", US_national_yearly!$D:$AM, 15, FALSE) / VLOOKUP("industry|NOx|Minor restricted activity days", US_national_yearly!$D:$AM, 10, FALSE), 1)</f>
        <v>0.1043950609749535</v>
      </c>
      <c r="H14" s="7">
        <f>$B14 * IFERROR(VLOOKUP("industry|NOx|Minor restricted activity days", US_national_yearly!$D:$AM, 16, FALSE) / VLOOKUP("industry|NOx|Minor restricted activity days", US_national_yearly!$D:$AM, 10, FALSE), 1)</f>
        <v>0.10467421479134821</v>
      </c>
      <c r="I14" s="7">
        <f>$B14 * IFERROR(VLOOKUP("industry|NOx|Minor restricted activity days", US_national_yearly!$D:$AM, 17, FALSE) / VLOOKUP("industry|NOx|Minor restricted activity days", US_national_yearly!$D:$AM, 10, FALSE), 1)</f>
        <v>0.10522376881577981</v>
      </c>
      <c r="J14" s="7">
        <f>$B14 * IFERROR(VLOOKUP("industry|NOx|Minor restricted activity days", US_national_yearly!$D:$AM, 18, FALSE) / VLOOKUP("industry|NOx|Minor restricted activity days", US_national_yearly!$D:$AM, 10, FALSE), 1)</f>
        <v>0.10577332284021139</v>
      </c>
      <c r="K14" s="7">
        <f>$B14 * IFERROR(VLOOKUP("industry|NOx|Minor restricted activity days", US_national_yearly!$D:$AM, 19, FALSE) / VLOOKUP("industry|NOx|Minor restricted activity days", US_national_yearly!$D:$AM, 10, FALSE), 1)</f>
        <v>0.10632287686464295</v>
      </c>
      <c r="L14" s="7">
        <f>$B14 * IFERROR(VLOOKUP("industry|NOx|Minor restricted activity days", US_national_yearly!$D:$AM, 20, FALSE) / VLOOKUP("industry|NOx|Minor restricted activity days", US_national_yearly!$D:$AM, 10, FALSE), 1)</f>
        <v>0.10687243088907455</v>
      </c>
      <c r="M14" s="7">
        <f>$B14 * IFERROR(VLOOKUP("industry|NOx|Minor restricted activity days", US_national_yearly!$D:$AM, 21, FALSE) / VLOOKUP("industry|NOx|Minor restricted activity days", US_national_yearly!$D:$AM, 10, FALSE), 1)</f>
        <v>0.10742198491350614</v>
      </c>
      <c r="N14" s="7">
        <f>$B14 * IFERROR(VLOOKUP("industry|NOx|Minor restricted activity days", US_national_yearly!$D:$AM, 22, FALSE) / VLOOKUP("industry|NOx|Minor restricted activity days", US_national_yearly!$D:$AM, 10, FALSE), 1)</f>
        <v>0.10821337944750947</v>
      </c>
      <c r="O14" s="7">
        <f>$B14 * IFERROR(VLOOKUP("industry|NOx|Minor restricted activity days", US_national_yearly!$D:$AM, 23, FALSE) / VLOOKUP("industry|NOx|Minor restricted activity days", US_national_yearly!$D:$AM, 10, FALSE), 1)</f>
        <v>0.10900477398151281</v>
      </c>
      <c r="P14" s="7">
        <f>$B14 * IFERROR(VLOOKUP("industry|NOx|Minor restricted activity days", US_national_yearly!$D:$AM, 24, FALSE) / VLOOKUP("industry|NOx|Minor restricted activity days", US_national_yearly!$D:$AM, 10, FALSE), 1)</f>
        <v>0.10979616851551617</v>
      </c>
      <c r="Q14" s="7">
        <f>$B14 * IFERROR(VLOOKUP("industry|NOx|Minor restricted activity days", US_national_yearly!$D:$AM, 25, FALSE) / VLOOKUP("industry|NOx|Minor restricted activity days", US_national_yearly!$D:$AM, 10, FALSE), 1)</f>
        <v>0.1105875630495195</v>
      </c>
      <c r="R14" s="7">
        <f>$B14 * IFERROR(VLOOKUP("industry|NOx|Minor restricted activity days", US_national_yearly!$D:$AM, 26, FALSE) / VLOOKUP("industry|NOx|Minor restricted activity days", US_national_yearly!$D:$AM, 10, FALSE), 1)</f>
        <v>0.11137895758352286</v>
      </c>
      <c r="S14" s="7">
        <f>$B14 * IFERROR(VLOOKUP("industry|NOx|Minor restricted activity days", US_national_yearly!$D:$AM, 27, FALSE) / VLOOKUP("industry|NOx|Minor restricted activity days", US_national_yearly!$D:$AM, 10, FALSE), 1)</f>
        <v>0.11217119941128276</v>
      </c>
      <c r="T14" s="7">
        <f>$B14 * IFERROR(VLOOKUP("industry|NOx|Minor restricted activity days", US_national_yearly!$D:$AM, 28, FALSE) / VLOOKUP("industry|NOx|Minor restricted activity days", US_national_yearly!$D:$AM, 10, FALSE), 1)</f>
        <v>0.11296344123904269</v>
      </c>
      <c r="U14" s="7">
        <f>$B14 * IFERROR(VLOOKUP("industry|NOx|Minor restricted activity days", US_national_yearly!$D:$AM, 29, FALSE) / VLOOKUP("industry|NOx|Minor restricted activity days", US_national_yearly!$D:$AM, 10, FALSE), 1)</f>
        <v>0.11375568306680262</v>
      </c>
      <c r="V14" s="7">
        <f>$B14 * IFERROR(VLOOKUP("industry|NOx|Minor restricted activity days", US_national_yearly!$D:$AM, 30, FALSE) / VLOOKUP("industry|NOx|Minor restricted activity days", US_national_yearly!$D:$AM, 10, FALSE), 1)</f>
        <v>0.11454792489456253</v>
      </c>
      <c r="W14" s="7">
        <f>$B14 * IFERROR(VLOOKUP("industry|NOx|Minor restricted activity days", US_national_yearly!$D:$AM, 31, FALSE) / VLOOKUP("industry|NOx|Minor restricted activity days", US_national_yearly!$D:$AM, 10, FALSE), 1)</f>
        <v>0.11534016672232246</v>
      </c>
      <c r="X14" s="7">
        <f>$B14 * IFERROR(VLOOKUP("industry|NOx|Minor restricted activity days", US_national_yearly!$D:$AM, 32, FALSE) / VLOOKUP("industry|NOx|Minor restricted activity days", US_national_yearly!$D:$AM, 10, FALSE), 1)</f>
        <v>0.11600904493512378</v>
      </c>
      <c r="Y14" s="7">
        <f>$B14 * IFERROR(VLOOKUP("industry|NOx|Minor restricted activity days", US_national_yearly!$D:$AM, 33, FALSE) / VLOOKUP("industry|NOx|Minor restricted activity days", US_national_yearly!$D:$AM, 10, FALSE), 1)</f>
        <v>0.11667792314792506</v>
      </c>
      <c r="Z14" s="7">
        <f>$B14 * IFERROR(VLOOKUP("industry|NOx|Minor restricted activity days", US_national_yearly!$D:$AM, 34, FALSE) / VLOOKUP("industry|NOx|Minor restricted activity days", US_national_yearly!$D:$AM, 10, FALSE), 1)</f>
        <v>0.11734680136072635</v>
      </c>
      <c r="AA14" s="7">
        <f>$B14 * IFERROR(VLOOKUP("industry|NOx|Minor restricted activity days", US_national_yearly!$D:$AM, 35, FALSE) / VLOOKUP("industry|NOx|Minor restricted activity days", US_national_yearly!$D:$AM, 10, FALSE), 1)</f>
        <v>0.11801567957352765</v>
      </c>
      <c r="AB14" s="7">
        <f>$B14 * IFERROR(VLOOKUP("industry|NOx|Minor restricted activity days", US_national_yearly!$D:$AM, 36, FALSE) / VLOOKUP("industry|NOx|Minor restricted activity days", US_national_yearly!$D:$AM, 10, FALSE), 1)</f>
        <v>0.11868455778632897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1.753676589122986E-2</v>
      </c>
      <c r="C15" s="7">
        <f>$B15 * IFERROR(VLOOKUP("industry|NOx|Work loss days", US_national_yearly!$D:$AM, 11, FALSE) / VLOOKUP("industry|NOx|Work loss days", US_national_yearly!$D:$AM, 10, FALSE), 1)</f>
        <v>1.757476239644341E-2</v>
      </c>
      <c r="D15" s="7">
        <f>$B15 * IFERROR(VLOOKUP("industry|NOx|Work loss days", US_national_yearly!$D:$AM, 12, FALSE) / VLOOKUP("industry|NOx|Work loss days", US_national_yearly!$D:$AM, 10, FALSE), 1)</f>
        <v>1.7612758901656953E-2</v>
      </c>
      <c r="E15" s="7">
        <f>$B15 * IFERROR(VLOOKUP("industry|NOx|Work loss days", US_national_yearly!$D:$AM, 13, FALSE) / VLOOKUP("industry|NOx|Work loss days", US_national_yearly!$D:$AM, 10, FALSE), 1)</f>
        <v>1.7650755406870507E-2</v>
      </c>
      <c r="F15" s="7">
        <f>$B15 * IFERROR(VLOOKUP("industry|NOx|Work loss days", US_national_yearly!$D:$AM, 14, FALSE) / VLOOKUP("industry|NOx|Work loss days", US_national_yearly!$D:$AM, 10, FALSE), 1)</f>
        <v>1.7688751912084053E-2</v>
      </c>
      <c r="G15" s="7">
        <f>$B15 * IFERROR(VLOOKUP("industry|NOx|Work loss days", US_national_yearly!$D:$AM, 15, FALSE) / VLOOKUP("industry|NOx|Work loss days", US_national_yearly!$D:$AM, 10, FALSE), 1)</f>
        <v>1.7744331269410777E-2</v>
      </c>
      <c r="H15" s="7">
        <f>$B15 * IFERROR(VLOOKUP("industry|NOx|Work loss days", US_national_yearly!$D:$AM, 16, FALSE) / VLOOKUP("industry|NOx|Work loss days", US_national_yearly!$D:$AM, 10, FALSE), 1)</f>
        <v>1.7799910626737501E-2</v>
      </c>
      <c r="I15" s="7">
        <f>$B15 * IFERROR(VLOOKUP("industry|NOx|Work loss days", US_national_yearly!$D:$AM, 17, FALSE) / VLOOKUP("industry|NOx|Work loss days", US_national_yearly!$D:$AM, 10, FALSE), 1)</f>
        <v>1.7890212989991525E-2</v>
      </c>
      <c r="J15" s="7">
        <f>$B15 * IFERROR(VLOOKUP("industry|NOx|Work loss days", US_national_yearly!$D:$AM, 18, FALSE) / VLOOKUP("industry|NOx|Work loss days", US_national_yearly!$D:$AM, 10, FALSE), 1)</f>
        <v>1.7980515353245539E-2</v>
      </c>
      <c r="K15" s="7">
        <f>$B15 * IFERROR(VLOOKUP("industry|NOx|Work loss days", US_national_yearly!$D:$AM, 19, FALSE) / VLOOKUP("industry|NOx|Work loss days", US_national_yearly!$D:$AM, 10, FALSE), 1)</f>
        <v>1.8070817716499564E-2</v>
      </c>
      <c r="L15" s="7">
        <f>$B15 * IFERROR(VLOOKUP("industry|NOx|Work loss days", US_national_yearly!$D:$AM, 20, FALSE) / VLOOKUP("industry|NOx|Work loss days", US_national_yearly!$D:$AM, 10, FALSE), 1)</f>
        <v>1.8161120079753578E-2</v>
      </c>
      <c r="M15" s="7">
        <f>$B15 * IFERROR(VLOOKUP("industry|NOx|Work loss days", US_national_yearly!$D:$AM, 21, FALSE) / VLOOKUP("industry|NOx|Work loss days", US_national_yearly!$D:$AM, 10, FALSE), 1)</f>
        <v>1.8251422443007599E-2</v>
      </c>
      <c r="N15" s="7">
        <f>$B15 * IFERROR(VLOOKUP("industry|NOx|Work loss days", US_national_yearly!$D:$AM, 22, FALSE) / VLOOKUP("industry|NOx|Work loss days", US_national_yearly!$D:$AM, 10, FALSE), 1)</f>
        <v>1.8369517455666763E-2</v>
      </c>
      <c r="O15" s="7">
        <f>$B15 * IFERROR(VLOOKUP("industry|NOx|Work loss days", US_national_yearly!$D:$AM, 23, FALSE) / VLOOKUP("industry|NOx|Work loss days", US_national_yearly!$D:$AM, 10, FALSE), 1)</f>
        <v>1.8487612468325931E-2</v>
      </c>
      <c r="P15" s="7">
        <f>$B15 * IFERROR(VLOOKUP("industry|NOx|Work loss days", US_national_yearly!$D:$AM, 24, FALSE) / VLOOKUP("industry|NOx|Work loss days", US_national_yearly!$D:$AM, 10, FALSE), 1)</f>
        <v>1.8605707480985091E-2</v>
      </c>
      <c r="Q15" s="7">
        <f>$B15 * IFERROR(VLOOKUP("industry|NOx|Work loss days", US_national_yearly!$D:$AM, 25, FALSE) / VLOOKUP("industry|NOx|Work loss days", US_national_yearly!$D:$AM, 10, FALSE), 1)</f>
        <v>1.8723802493644255E-2</v>
      </c>
      <c r="R15" s="7">
        <f>$B15 * IFERROR(VLOOKUP("industry|NOx|Work loss days", US_national_yearly!$D:$AM, 26, FALSE) / VLOOKUP("industry|NOx|Work loss days", US_national_yearly!$D:$AM, 10, FALSE), 1)</f>
        <v>1.8841897506303423E-2</v>
      </c>
      <c r="S15" s="7">
        <f>$B15 * IFERROR(VLOOKUP("industry|NOx|Work loss days", US_national_yearly!$D:$AM, 27, FALSE) / VLOOKUP("industry|NOx|Work loss days", US_national_yearly!$D:$AM, 10, FALSE), 1)</f>
        <v>1.8973920577216145E-2</v>
      </c>
      <c r="T15" s="7">
        <f>$B15 * IFERROR(VLOOKUP("industry|NOx|Work loss days", US_national_yearly!$D:$AM, 28, FALSE) / VLOOKUP("industry|NOx|Work loss days", US_national_yearly!$D:$AM, 10, FALSE), 1)</f>
        <v>1.910594364812887E-2</v>
      </c>
      <c r="U15" s="7">
        <f>$B15 * IFERROR(VLOOKUP("industry|NOx|Work loss days", US_national_yearly!$D:$AM, 29, FALSE) / VLOOKUP("industry|NOx|Work loss days", US_national_yearly!$D:$AM, 10, FALSE), 1)</f>
        <v>1.9237966719041596E-2</v>
      </c>
      <c r="V15" s="7">
        <f>$B15 * IFERROR(VLOOKUP("industry|NOx|Work loss days", US_national_yearly!$D:$AM, 30, FALSE) / VLOOKUP("industry|NOx|Work loss days", US_national_yearly!$D:$AM, 10, FALSE), 1)</f>
        <v>1.9369989789954318E-2</v>
      </c>
      <c r="W15" s="7">
        <f>$B15 * IFERROR(VLOOKUP("industry|NOx|Work loss days", US_national_yearly!$D:$AM, 31, FALSE) / VLOOKUP("industry|NOx|Work loss days", US_national_yearly!$D:$AM, 10, FALSE), 1)</f>
        <v>1.9502012860867043E-2</v>
      </c>
      <c r="X15" s="7">
        <f>$B15 * IFERROR(VLOOKUP("industry|NOx|Work loss days", US_national_yearly!$D:$AM, 32, FALSE) / VLOOKUP("industry|NOx|Work loss days", US_national_yearly!$D:$AM, 10, FALSE), 1)</f>
        <v>1.9616547479187962E-2</v>
      </c>
      <c r="Y15" s="7">
        <f>$B15 * IFERROR(VLOOKUP("industry|NOx|Work loss days", US_national_yearly!$D:$AM, 33, FALSE) / VLOOKUP("industry|NOx|Work loss days", US_national_yearly!$D:$AM, 10, FALSE), 1)</f>
        <v>1.9731082097508876E-2</v>
      </c>
      <c r="Z15" s="7">
        <f>$B15 * IFERROR(VLOOKUP("industry|NOx|Work loss days", US_national_yearly!$D:$AM, 34, FALSE) / VLOOKUP("industry|NOx|Work loss days", US_national_yearly!$D:$AM, 10, FALSE), 1)</f>
        <v>1.9845616715829795E-2</v>
      </c>
      <c r="AA15" s="7">
        <f>$B15 * IFERROR(VLOOKUP("industry|NOx|Work loss days", US_national_yearly!$D:$AM, 35, FALSE) / VLOOKUP("industry|NOx|Work loss days", US_national_yearly!$D:$AM, 10, FALSE), 1)</f>
        <v>1.9960151334150713E-2</v>
      </c>
      <c r="AB15" s="7">
        <f>$B15 * IFERROR(VLOOKUP("industry|NOx|Work loss days", US_national_yearly!$D:$AM, 36, FALSE) / VLOOKUP("industry|NOx|Work loss days", US_national_yearly!$D:$AM, 10, FALSE), 1)</f>
        <v>2.0074685952471628E-2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3.6816069805670109E-5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3.7897087956540299E-5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3.8978106107410481E-5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4.0059124258280671E-5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4.1140142409150867E-5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4.2167568165497456E-5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4.3194993921844052E-5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4.4061188175993712E-5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4.4927382430143372E-5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4.5793576684293025E-5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4.6659770938442678E-5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4.752596519259233E-5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4.8068238440196848E-5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4.8610511687801353E-5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4.9152784935405857E-5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4.9695058183010369E-5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5.0237331430614873E-5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5.0487492744936595E-5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5.0737654059258325E-5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5.0987815373580047E-5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5.1237976687901776E-5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5.1488138002223499E-5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5.1629477396502433E-5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5.1770816790781367E-5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5.1912156185060301E-5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5.2053495579339221E-5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5.2194834973618162E-5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7.2125146375922721E-3</v>
      </c>
      <c r="C2" s="7">
        <f>$B2 * IFERROR(VLOOKUP("industry|SO2|Premature mortality", US_national_yearly!$D:$AM, 11, FALSE) / VLOOKUP("industry|SO2|Premature mortality", US_national_yearly!$D:$AM, 10, FALSE), 1)</f>
        <v>7.3039469838466304E-3</v>
      </c>
      <c r="D2" s="7">
        <f>$B2 * IFERROR(VLOOKUP("industry|SO2|Premature mortality", US_national_yearly!$D:$AM, 12, FALSE) / VLOOKUP("industry|SO2|Premature mortality", US_national_yearly!$D:$AM, 10, FALSE), 1)</f>
        <v>7.395379330100987E-3</v>
      </c>
      <c r="E2" s="7">
        <f>$B2 * IFERROR(VLOOKUP("industry|SO2|Premature mortality", US_national_yearly!$D:$AM, 13, FALSE) / VLOOKUP("industry|SO2|Premature mortality", US_national_yearly!$D:$AM, 10, FALSE), 1)</f>
        <v>7.4868116763553445E-3</v>
      </c>
      <c r="F2" s="7">
        <f>$B2 * IFERROR(VLOOKUP("industry|SO2|Premature mortality", US_national_yearly!$D:$AM, 14, FALSE) / VLOOKUP("industry|SO2|Premature mortality", US_national_yearly!$D:$AM, 10, FALSE), 1)</f>
        <v>7.5782440226097028E-3</v>
      </c>
      <c r="G2" s="7">
        <f>$B2 * IFERROR(VLOOKUP("industry|SO2|Premature mortality", US_national_yearly!$D:$AM, 15, FALSE) / VLOOKUP("industry|SO2|Premature mortality", US_national_yearly!$D:$AM, 10, FALSE), 1)</f>
        <v>7.7544765433003281E-3</v>
      </c>
      <c r="H2" s="7">
        <f>$B2 * IFERROR(VLOOKUP("industry|SO2|Premature mortality", US_national_yearly!$D:$AM, 16, FALSE) / VLOOKUP("industry|SO2|Premature mortality", US_national_yearly!$D:$AM, 10, FALSE), 1)</f>
        <v>7.9307090639909525E-3</v>
      </c>
      <c r="I2" s="7">
        <f>$B2 * IFERROR(VLOOKUP("industry|SO2|Premature mortality", US_national_yearly!$D:$AM, 17, FALSE) / VLOOKUP("industry|SO2|Premature mortality", US_national_yearly!$D:$AM, 10, FALSE), 1)</f>
        <v>8.0474050810507135E-3</v>
      </c>
      <c r="J2" s="7">
        <f>$B2 * IFERROR(VLOOKUP("industry|SO2|Premature mortality", US_national_yearly!$D:$AM, 18, FALSE) / VLOOKUP("industry|SO2|Premature mortality", US_national_yearly!$D:$AM, 10, FALSE), 1)</f>
        <v>8.1641010981104729E-3</v>
      </c>
      <c r="K2" s="7">
        <f>$B2 * IFERROR(VLOOKUP("industry|SO2|Premature mortality", US_national_yearly!$D:$AM, 19, FALSE) / VLOOKUP("industry|SO2|Premature mortality", US_national_yearly!$D:$AM, 10, FALSE), 1)</f>
        <v>8.2807971151702322E-3</v>
      </c>
      <c r="L2" s="7">
        <f>$B2 * IFERROR(VLOOKUP("industry|SO2|Premature mortality", US_national_yearly!$D:$AM, 20, FALSE) / VLOOKUP("industry|SO2|Premature mortality", US_national_yearly!$D:$AM, 10, FALSE), 1)</f>
        <v>8.3974931322299915E-3</v>
      </c>
      <c r="M2" s="7">
        <f>$B2 * IFERROR(VLOOKUP("industry|SO2|Premature mortality", US_national_yearly!$D:$AM, 21, FALSE) / VLOOKUP("industry|SO2|Premature mortality", US_national_yearly!$D:$AM, 10, FALSE), 1)</f>
        <v>8.5141891492897508E-3</v>
      </c>
      <c r="N2" s="7">
        <f>$B2 * IFERROR(VLOOKUP("industry|SO2|Premature mortality", US_national_yearly!$D:$AM, 22, FALSE) / VLOOKUP("industry|SO2|Premature mortality", US_national_yearly!$D:$AM, 10, FALSE), 1)</f>
        <v>8.6054731804343677E-3</v>
      </c>
      <c r="O2" s="7">
        <f>$B2 * IFERROR(VLOOKUP("industry|SO2|Premature mortality", US_national_yearly!$D:$AM, 23, FALSE) / VLOOKUP("industry|SO2|Premature mortality", US_national_yearly!$D:$AM, 10, FALSE), 1)</f>
        <v>8.6967572115789829E-3</v>
      </c>
      <c r="P2" s="7">
        <f>$B2 * IFERROR(VLOOKUP("industry|SO2|Premature mortality", US_national_yearly!$D:$AM, 24, FALSE) / VLOOKUP("industry|SO2|Premature mortality", US_national_yearly!$D:$AM, 10, FALSE), 1)</f>
        <v>8.7880412427235981E-3</v>
      </c>
      <c r="Q2" s="7">
        <f>$B2 * IFERROR(VLOOKUP("industry|SO2|Premature mortality", US_national_yearly!$D:$AM, 25, FALSE) / VLOOKUP("industry|SO2|Premature mortality", US_national_yearly!$D:$AM, 10, FALSE), 1)</f>
        <v>8.879325273868215E-3</v>
      </c>
      <c r="R2" s="7">
        <f>$B2 * IFERROR(VLOOKUP("industry|SO2|Premature mortality", US_national_yearly!$D:$AM, 26, FALSE) / VLOOKUP("industry|SO2|Premature mortality", US_national_yearly!$D:$AM, 10, FALSE), 1)</f>
        <v>8.9706093050128301E-3</v>
      </c>
      <c r="S2" s="7">
        <f>$B2 * IFERROR(VLOOKUP("industry|SO2|Premature mortality", US_national_yearly!$D:$AM, 27, FALSE) / VLOOKUP("industry|SO2|Premature mortality", US_national_yearly!$D:$AM, 10, FALSE), 1)</f>
        <v>9.0198976529312341E-3</v>
      </c>
      <c r="T2" s="7">
        <f>$B2 * IFERROR(VLOOKUP("industry|SO2|Premature mortality", US_national_yearly!$D:$AM, 28, FALSE) / VLOOKUP("industry|SO2|Premature mortality", US_national_yearly!$D:$AM, 10, FALSE), 1)</f>
        <v>9.0691860008496397E-3</v>
      </c>
      <c r="U2" s="7">
        <f>$B2 * IFERROR(VLOOKUP("industry|SO2|Premature mortality", US_national_yearly!$D:$AM, 29, FALSE) / VLOOKUP("industry|SO2|Premature mortality", US_national_yearly!$D:$AM, 10, FALSE), 1)</f>
        <v>9.1184743487680488E-3</v>
      </c>
      <c r="V2" s="7">
        <f>$B2 * IFERROR(VLOOKUP("industry|SO2|Premature mortality", US_national_yearly!$D:$AM, 30, FALSE) / VLOOKUP("industry|SO2|Premature mortality", US_national_yearly!$D:$AM, 10, FALSE), 1)</f>
        <v>9.1677626966864545E-3</v>
      </c>
      <c r="W2" s="7">
        <f>$B2 * IFERROR(VLOOKUP("industry|SO2|Premature mortality", US_national_yearly!$D:$AM, 31, FALSE) / VLOOKUP("industry|SO2|Premature mortality", US_national_yearly!$D:$AM, 10, FALSE), 1)</f>
        <v>9.2170510446048601E-3</v>
      </c>
      <c r="X2" s="7">
        <f>$B2 * IFERROR(VLOOKUP("industry|SO2|Premature mortality", US_national_yearly!$D:$AM, 32, FALSE) / VLOOKUP("industry|SO2|Premature mortality", US_national_yearly!$D:$AM, 10, FALSE), 1)</f>
        <v>9.2276594010569681E-3</v>
      </c>
      <c r="Y2" s="7">
        <f>$B2 * IFERROR(VLOOKUP("industry|SO2|Premature mortality", US_national_yearly!$D:$AM, 33, FALSE) / VLOOKUP("industry|SO2|Premature mortality", US_national_yearly!$D:$AM, 10, FALSE), 1)</f>
        <v>9.2382677575090742E-3</v>
      </c>
      <c r="Z2" s="7">
        <f>$B2 * IFERROR(VLOOKUP("industry|SO2|Premature mortality", US_national_yearly!$D:$AM, 34, FALSE) / VLOOKUP("industry|SO2|Premature mortality", US_national_yearly!$D:$AM, 10, FALSE), 1)</f>
        <v>9.2488761139611839E-3</v>
      </c>
      <c r="AA2" s="7">
        <f>$B2 * IFERROR(VLOOKUP("industry|SO2|Premature mortality", US_national_yearly!$D:$AM, 35, FALSE) / VLOOKUP("industry|SO2|Premature mortality", US_national_yearly!$D:$AM, 10, FALSE), 1)</f>
        <v>9.2594844704132918E-3</v>
      </c>
      <c r="AB2" s="7">
        <f>$B2 * IFERROR(VLOOKUP("industry|SO2|Premature mortality", US_national_yearly!$D:$AM, 36, FALSE) / VLOOKUP("industry|SO2|Premature mortality", US_national_yearly!$D:$AM, 10, FALSE), 1)</f>
        <v>9.2700928268653997E-3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1.4334506288355864E-5</v>
      </c>
      <c r="C3" s="7">
        <f>$B3 * IFERROR(VLOOKUP("industry|SO2|Infant mortality", US_national_yearly!$D:$AM, 11, FALSE) / VLOOKUP("industry|SO2|Infant mortality", US_national_yearly!$D:$AM, 10, FALSE), 1)</f>
        <v>1.4211185425326462E-5</v>
      </c>
      <c r="D3" s="7">
        <f>$B3 * IFERROR(VLOOKUP("industry|SO2|Infant mortality", US_national_yearly!$D:$AM, 12, FALSE) / VLOOKUP("industry|SO2|Infant mortality", US_national_yearly!$D:$AM, 10, FALSE), 1)</f>
        <v>1.4087864562297061E-5</v>
      </c>
      <c r="E3" s="7">
        <f>$B3 * IFERROR(VLOOKUP("industry|SO2|Infant mortality", US_national_yearly!$D:$AM, 13, FALSE) / VLOOKUP("industry|SO2|Infant mortality", US_national_yearly!$D:$AM, 10, FALSE), 1)</f>
        <v>1.3964543699267661E-5</v>
      </c>
      <c r="F3" s="7">
        <f>$B3 * IFERROR(VLOOKUP("industry|SO2|Infant mortality", US_national_yearly!$D:$AM, 14, FALSE) / VLOOKUP("industry|SO2|Infant mortality", US_national_yearly!$D:$AM, 10, FALSE), 1)</f>
        <v>1.384122283623826E-5</v>
      </c>
      <c r="G3" s="7">
        <f>$B3 * IFERROR(VLOOKUP("industry|SO2|Infant mortality", US_national_yearly!$D:$AM, 15, FALSE) / VLOOKUP("industry|SO2|Infant mortality", US_national_yearly!$D:$AM, 10, FALSE), 1)</f>
        <v>9.214079152400607E-6</v>
      </c>
      <c r="H3" s="7">
        <f>$B3 * IFERROR(VLOOKUP("industry|SO2|Infant mortality", US_national_yearly!$D:$AM, 16, FALSE) / VLOOKUP("industry|SO2|Infant mortality", US_national_yearly!$D:$AM, 10, FALSE), 1)</f>
        <v>4.5869354685629555E-6</v>
      </c>
      <c r="I3" s="7">
        <f>$B3 * IFERROR(VLOOKUP("industry|SO2|Infant mortality", US_national_yearly!$D:$AM, 17, FALSE) / VLOOKUP("industry|SO2|Infant mortality", US_national_yearly!$D:$AM, 10, FALSE), 1)</f>
        <v>4.5578088195606652E-6</v>
      </c>
      <c r="J3" s="7">
        <f>$B3 * IFERROR(VLOOKUP("industry|SO2|Infant mortality", US_national_yearly!$D:$AM, 18, FALSE) / VLOOKUP("industry|SO2|Infant mortality", US_national_yearly!$D:$AM, 10, FALSE), 1)</f>
        <v>4.5286821705583758E-6</v>
      </c>
      <c r="K3" s="7">
        <f>$B3 * IFERROR(VLOOKUP("industry|SO2|Infant mortality", US_national_yearly!$D:$AM, 19, FALSE) / VLOOKUP("industry|SO2|Infant mortality", US_national_yearly!$D:$AM, 10, FALSE), 1)</f>
        <v>4.4995555215560864E-6</v>
      </c>
      <c r="L3" s="7">
        <f>$B3 * IFERROR(VLOOKUP("industry|SO2|Infant mortality", US_national_yearly!$D:$AM, 20, FALSE) / VLOOKUP("industry|SO2|Infant mortality", US_national_yearly!$D:$AM, 10, FALSE), 1)</f>
        <v>4.4704288725537962E-6</v>
      </c>
      <c r="M3" s="7">
        <f>$B3 * IFERROR(VLOOKUP("industry|SO2|Infant mortality", US_national_yearly!$D:$AM, 21, FALSE) / VLOOKUP("industry|SO2|Infant mortality", US_national_yearly!$D:$AM, 10, FALSE), 1)</f>
        <v>4.4413022235515068E-6</v>
      </c>
      <c r="N3" s="7">
        <f>$B3 * IFERROR(VLOOKUP("industry|SO2|Infant mortality", US_national_yearly!$D:$AM, 22, FALSE) / VLOOKUP("industry|SO2|Infant mortality", US_national_yearly!$D:$AM, 10, FALSE), 1)</f>
        <v>4.4228416165783825E-6</v>
      </c>
      <c r="O3" s="7">
        <f>$B3 * IFERROR(VLOOKUP("industry|SO2|Infant mortality", US_national_yearly!$D:$AM, 23, FALSE) / VLOOKUP("industry|SO2|Infant mortality", US_national_yearly!$D:$AM, 10, FALSE), 1)</f>
        <v>4.4043810096052581E-6</v>
      </c>
      <c r="P3" s="7">
        <f>$B3 * IFERROR(VLOOKUP("industry|SO2|Infant mortality", US_national_yearly!$D:$AM, 24, FALSE) / VLOOKUP("industry|SO2|Infant mortality", US_national_yearly!$D:$AM, 10, FALSE), 1)</f>
        <v>4.3859204026321338E-6</v>
      </c>
      <c r="Q3" s="7">
        <f>$B3 * IFERROR(VLOOKUP("industry|SO2|Infant mortality", US_national_yearly!$D:$AM, 25, FALSE) / VLOOKUP("industry|SO2|Infant mortality", US_national_yearly!$D:$AM, 10, FALSE), 1)</f>
        <v>4.3674597956590103E-6</v>
      </c>
      <c r="R3" s="7">
        <f>$B3 * IFERROR(VLOOKUP("industry|SO2|Infant mortality", US_national_yearly!$D:$AM, 26, FALSE) / VLOOKUP("industry|SO2|Infant mortality", US_national_yearly!$D:$AM, 10, FALSE), 1)</f>
        <v>4.348999188685886E-6</v>
      </c>
      <c r="S3" s="7">
        <f>$B3 * IFERROR(VLOOKUP("industry|SO2|Infant mortality", US_national_yearly!$D:$AM, 27, FALSE) / VLOOKUP("industry|SO2|Infant mortality", US_national_yearly!$D:$AM, 10, FALSE), 1)</f>
        <v>4.3260251739006064E-6</v>
      </c>
      <c r="T3" s="7">
        <f>$B3 * IFERROR(VLOOKUP("industry|SO2|Infant mortality", US_national_yearly!$D:$AM, 28, FALSE) / VLOOKUP("industry|SO2|Infant mortality", US_national_yearly!$D:$AM, 10, FALSE), 1)</f>
        <v>4.3030511591153268E-6</v>
      </c>
      <c r="U3" s="7">
        <f>$B3 * IFERROR(VLOOKUP("industry|SO2|Infant mortality", US_national_yearly!$D:$AM, 29, FALSE) / VLOOKUP("industry|SO2|Infant mortality", US_national_yearly!$D:$AM, 10, FALSE), 1)</f>
        <v>4.2800771443300472E-6</v>
      </c>
      <c r="V3" s="7">
        <f>$B3 * IFERROR(VLOOKUP("industry|SO2|Infant mortality", US_national_yearly!$D:$AM, 30, FALSE) / VLOOKUP("industry|SO2|Infant mortality", US_national_yearly!$D:$AM, 10, FALSE), 1)</f>
        <v>4.2571031295447676E-6</v>
      </c>
      <c r="W3" s="7">
        <f>$B3 * IFERROR(VLOOKUP("industry|SO2|Infant mortality", US_national_yearly!$D:$AM, 31, FALSE) / VLOOKUP("industry|SO2|Infant mortality", US_national_yearly!$D:$AM, 10, FALSE), 1)</f>
        <v>4.2341291147594881E-6</v>
      </c>
      <c r="X3" s="7">
        <f>$B3 * IFERROR(VLOOKUP("industry|SO2|Infant mortality", US_national_yearly!$D:$AM, 32, FALSE) / VLOOKUP("industry|SO2|Infant mortality", US_national_yearly!$D:$AM, 10, FALSE), 1)</f>
        <v>4.209163216618472E-6</v>
      </c>
      <c r="Y3" s="7">
        <f>$B3 * IFERROR(VLOOKUP("industry|SO2|Infant mortality", US_national_yearly!$D:$AM, 33, FALSE) / VLOOKUP("industry|SO2|Infant mortality", US_national_yearly!$D:$AM, 10, FALSE), 1)</f>
        <v>4.1841973184774559E-6</v>
      </c>
      <c r="Z3" s="7">
        <f>$B3 * IFERROR(VLOOKUP("industry|SO2|Infant mortality", US_national_yearly!$D:$AM, 34, FALSE) / VLOOKUP("industry|SO2|Infant mortality", US_national_yearly!$D:$AM, 10, FALSE), 1)</f>
        <v>4.1592314203364398E-6</v>
      </c>
      <c r="AA3" s="7">
        <f>$B3 * IFERROR(VLOOKUP("industry|SO2|Infant mortality", US_national_yearly!$D:$AM, 35, FALSE) / VLOOKUP("industry|SO2|Infant mortality", US_national_yearly!$D:$AM, 10, FALSE), 1)</f>
        <v>4.1342655221954228E-6</v>
      </c>
      <c r="AB3" s="7">
        <f>$B3 * IFERROR(VLOOKUP("industry|SO2|Infant mortality", US_national_yearly!$D:$AM, 36, FALSE) / VLOOKUP("industry|SO2|Infant mortality", US_national_yearly!$D:$AM, 10, FALSE), 1)</f>
        <v>4.1092996240544067E-6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1.5248290453724568E-2</v>
      </c>
      <c r="C6" s="7">
        <f>$B6 * IFERROR(VLOOKUP("industry|SO2|Asthma symptoms cough", US_national_yearly!$D:$AM, 11, FALSE) / VLOOKUP("industry|SO2|Asthma symptoms cough", US_national_yearly!$D:$AM, 10, FALSE), 1)</f>
        <v>1.5248290453724568E-2</v>
      </c>
      <c r="D6" s="7">
        <f>$B6 * IFERROR(VLOOKUP("industry|SO2|Asthma symptoms cough", US_national_yearly!$D:$AM, 12, FALSE) / VLOOKUP("industry|SO2|Asthma symptoms cough", US_national_yearly!$D:$AM, 10, FALSE), 1)</f>
        <v>1.5248290453724568E-2</v>
      </c>
      <c r="E6" s="7">
        <f>$B6 * IFERROR(VLOOKUP("industry|SO2|Asthma symptoms cough", US_national_yearly!$D:$AM, 13, FALSE) / VLOOKUP("industry|SO2|Asthma symptoms cough", US_national_yearly!$D:$AM, 10, FALSE), 1)</f>
        <v>1.5248290453724568E-2</v>
      </c>
      <c r="F6" s="7">
        <f>$B6 * IFERROR(VLOOKUP("industry|SO2|Asthma symptoms cough", US_national_yearly!$D:$AM, 14, FALSE) / VLOOKUP("industry|SO2|Asthma symptoms cough", US_national_yearly!$D:$AM, 10, FALSE), 1)</f>
        <v>1.5248290453724568E-2</v>
      </c>
      <c r="G6" s="7">
        <f>$B6 * IFERROR(VLOOKUP("industry|SO2|Asthma symptoms cough", US_national_yearly!$D:$AM, 15, FALSE) / VLOOKUP("industry|SO2|Asthma symptoms cough", US_national_yearly!$D:$AM, 10, FALSE), 1)</f>
        <v>1.5248290453724568E-2</v>
      </c>
      <c r="H6" s="7">
        <f>$B6 * IFERROR(VLOOKUP("industry|SO2|Asthma symptoms cough", US_national_yearly!$D:$AM, 16, FALSE) / VLOOKUP("industry|SO2|Asthma symptoms cough", US_national_yearly!$D:$AM, 10, FALSE), 1)</f>
        <v>1.5248290453724568E-2</v>
      </c>
      <c r="I6" s="7">
        <f>$B6 * IFERROR(VLOOKUP("industry|SO2|Asthma symptoms cough", US_national_yearly!$D:$AM, 17, FALSE) / VLOOKUP("industry|SO2|Asthma symptoms cough", US_national_yearly!$D:$AM, 10, FALSE), 1)</f>
        <v>1.5248290453724568E-2</v>
      </c>
      <c r="J6" s="7">
        <f>$B6 * IFERROR(VLOOKUP("industry|SO2|Asthma symptoms cough", US_national_yearly!$D:$AM, 18, FALSE) / VLOOKUP("industry|SO2|Asthma symptoms cough", US_national_yearly!$D:$AM, 10, FALSE), 1)</f>
        <v>1.5248290453724568E-2</v>
      </c>
      <c r="K6" s="7">
        <f>$B6 * IFERROR(VLOOKUP("industry|SO2|Asthma symptoms cough", US_national_yearly!$D:$AM, 19, FALSE) / VLOOKUP("industry|SO2|Asthma symptoms cough", US_national_yearly!$D:$AM, 10, FALSE), 1)</f>
        <v>1.5248290453724568E-2</v>
      </c>
      <c r="L6" s="7">
        <f>$B6 * IFERROR(VLOOKUP("industry|SO2|Asthma symptoms cough", US_national_yearly!$D:$AM, 20, FALSE) / VLOOKUP("industry|SO2|Asthma symptoms cough", US_national_yearly!$D:$AM, 10, FALSE), 1)</f>
        <v>1.5248290453724568E-2</v>
      </c>
      <c r="M6" s="7">
        <f>$B6 * IFERROR(VLOOKUP("industry|SO2|Asthma symptoms cough", US_national_yearly!$D:$AM, 21, FALSE) / VLOOKUP("industry|SO2|Asthma symptoms cough", US_national_yearly!$D:$AM, 10, FALSE), 1)</f>
        <v>1.5248290453724568E-2</v>
      </c>
      <c r="N6" s="7">
        <f>$B6 * IFERROR(VLOOKUP("industry|SO2|Asthma symptoms cough", US_national_yearly!$D:$AM, 22, FALSE) / VLOOKUP("industry|SO2|Asthma symptoms cough", US_national_yearly!$D:$AM, 10, FALSE), 1)</f>
        <v>1.5248290453724568E-2</v>
      </c>
      <c r="O6" s="7">
        <f>$B6 * IFERROR(VLOOKUP("industry|SO2|Asthma symptoms cough", US_national_yearly!$D:$AM, 23, FALSE) / VLOOKUP("industry|SO2|Asthma symptoms cough", US_national_yearly!$D:$AM, 10, FALSE), 1)</f>
        <v>1.5248290453724568E-2</v>
      </c>
      <c r="P6" s="7">
        <f>$B6 * IFERROR(VLOOKUP("industry|SO2|Asthma symptoms cough", US_national_yearly!$D:$AM, 24, FALSE) / VLOOKUP("industry|SO2|Asthma symptoms cough", US_national_yearly!$D:$AM, 10, FALSE), 1)</f>
        <v>1.5248290453724568E-2</v>
      </c>
      <c r="Q6" s="7">
        <f>$B6 * IFERROR(VLOOKUP("industry|SO2|Asthma symptoms cough", US_national_yearly!$D:$AM, 25, FALSE) / VLOOKUP("industry|SO2|Asthma symptoms cough", US_national_yearly!$D:$AM, 10, FALSE), 1)</f>
        <v>1.5248290453724568E-2</v>
      </c>
      <c r="R6" s="7">
        <f>$B6 * IFERROR(VLOOKUP("industry|SO2|Asthma symptoms cough", US_national_yearly!$D:$AM, 26, FALSE) / VLOOKUP("industry|SO2|Asthma symptoms cough", US_national_yearly!$D:$AM, 10, FALSE), 1)</f>
        <v>1.5248290453724568E-2</v>
      </c>
      <c r="S6" s="7">
        <f>$B6 * IFERROR(VLOOKUP("industry|SO2|Asthma symptoms cough", US_national_yearly!$D:$AM, 27, FALSE) / VLOOKUP("industry|SO2|Asthma symptoms cough", US_national_yearly!$D:$AM, 10, FALSE), 1)</f>
        <v>1.5248290453724568E-2</v>
      </c>
      <c r="T6" s="7">
        <f>$B6 * IFERROR(VLOOKUP("industry|SO2|Asthma symptoms cough", US_national_yearly!$D:$AM, 28, FALSE) / VLOOKUP("industry|SO2|Asthma symptoms cough", US_national_yearly!$D:$AM, 10, FALSE), 1)</f>
        <v>1.5248290453724568E-2</v>
      </c>
      <c r="U6" s="7">
        <f>$B6 * IFERROR(VLOOKUP("industry|SO2|Asthma symptoms cough", US_national_yearly!$D:$AM, 29, FALSE) / VLOOKUP("industry|SO2|Asthma symptoms cough", US_national_yearly!$D:$AM, 10, FALSE), 1)</f>
        <v>1.5248290453724568E-2</v>
      </c>
      <c r="V6" s="7">
        <f>$B6 * IFERROR(VLOOKUP("industry|SO2|Asthma symptoms cough", US_national_yearly!$D:$AM, 30, FALSE) / VLOOKUP("industry|SO2|Asthma symptoms cough", US_national_yearly!$D:$AM, 10, FALSE), 1)</f>
        <v>1.5248290453724568E-2</v>
      </c>
      <c r="W6" s="7">
        <f>$B6 * IFERROR(VLOOKUP("industry|SO2|Asthma symptoms cough", US_national_yearly!$D:$AM, 31, FALSE) / VLOOKUP("industry|SO2|Asthma symptoms cough", US_national_yearly!$D:$AM, 10, FALSE), 1)</f>
        <v>1.5248290453724568E-2</v>
      </c>
      <c r="X6" s="7">
        <f>$B6 * IFERROR(VLOOKUP("industry|SO2|Asthma symptoms cough", US_national_yearly!$D:$AM, 32, FALSE) / VLOOKUP("industry|SO2|Asthma symptoms cough", US_national_yearly!$D:$AM, 10, FALSE), 1)</f>
        <v>1.5248290453724568E-2</v>
      </c>
      <c r="Y6" s="7">
        <f>$B6 * IFERROR(VLOOKUP("industry|SO2|Asthma symptoms cough", US_national_yearly!$D:$AM, 33, FALSE) / VLOOKUP("industry|SO2|Asthma symptoms cough", US_national_yearly!$D:$AM, 10, FALSE), 1)</f>
        <v>1.5248290453724568E-2</v>
      </c>
      <c r="Z6" s="7">
        <f>$B6 * IFERROR(VLOOKUP("industry|SO2|Asthma symptoms cough", US_national_yearly!$D:$AM, 34, FALSE) / VLOOKUP("industry|SO2|Asthma symptoms cough", US_national_yearly!$D:$AM, 10, FALSE), 1)</f>
        <v>1.5248290453724568E-2</v>
      </c>
      <c r="AA6" s="7">
        <f>$B6 * IFERROR(VLOOKUP("industry|SO2|Asthma symptoms cough", US_national_yearly!$D:$AM, 35, FALSE) / VLOOKUP("industry|SO2|Asthma symptoms cough", US_national_yearly!$D:$AM, 10, FALSE), 1)</f>
        <v>1.5248290453724568E-2</v>
      </c>
      <c r="AB6" s="7">
        <f>$B6 * IFERROR(VLOOKUP("industry|SO2|Asthma symptoms cough", US_national_yearly!$D:$AM, 36, FALSE) / VLOOKUP("industry|SO2|Asthma symptoms cough", US_national_yearly!$D:$AM, 10, FALSE), 1)</f>
        <v>1.5248290453724568E-2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2.0534032058098891E-2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2.0534032058098891E-2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2.0534032058098891E-2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2.0534032058098891E-2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2.0534032058098891E-2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2.0534032058098891E-2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2.0534032058098891E-2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2.0534032058098891E-2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2.0534032058098891E-2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2.0534032058098891E-2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2.0534032058098891E-2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2.0534032058098891E-2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2.0534032058098891E-2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2.0534032058098891E-2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2.0534032058098891E-2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2.0534032058098891E-2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2.0534032058098891E-2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2.0534032058098891E-2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2.0534032058098891E-2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2.0534032058098891E-2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2.0534032058098891E-2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2.0534032058098891E-2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2.0534032058098891E-2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2.0534032058098891E-2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2.0534032058098891E-2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2.0534032058098891E-2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2.0534032058098891E-2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3.1372533986062552E-2</v>
      </c>
      <c r="C8" s="7">
        <f>$B8 * IFERROR(VLOOKUP("industry|SO2|Asthma symptoms wheeze", US_national_yearly!$D:$AM, 11, FALSE) / VLOOKUP("industry|SO2|Asthma symptoms wheeze", US_national_yearly!$D:$AM, 10, FALSE), 1)</f>
        <v>3.1372533986062552E-2</v>
      </c>
      <c r="D8" s="7">
        <f>$B8 * IFERROR(VLOOKUP("industry|SO2|Asthma symptoms wheeze", US_national_yearly!$D:$AM, 12, FALSE) / VLOOKUP("industry|SO2|Asthma symptoms wheeze", US_national_yearly!$D:$AM, 10, FALSE), 1)</f>
        <v>3.1372533986062552E-2</v>
      </c>
      <c r="E8" s="7">
        <f>$B8 * IFERROR(VLOOKUP("industry|SO2|Asthma symptoms wheeze", US_national_yearly!$D:$AM, 13, FALSE) / VLOOKUP("industry|SO2|Asthma symptoms wheeze", US_national_yearly!$D:$AM, 10, FALSE), 1)</f>
        <v>3.1372533986062552E-2</v>
      </c>
      <c r="F8" s="7">
        <f>$B8 * IFERROR(VLOOKUP("industry|SO2|Asthma symptoms wheeze", US_national_yearly!$D:$AM, 14, FALSE) / VLOOKUP("industry|SO2|Asthma symptoms wheeze", US_national_yearly!$D:$AM, 10, FALSE), 1)</f>
        <v>3.1372533986062552E-2</v>
      </c>
      <c r="G8" s="7">
        <f>$B8 * IFERROR(VLOOKUP("industry|SO2|Asthma symptoms wheeze", US_national_yearly!$D:$AM, 15, FALSE) / VLOOKUP("industry|SO2|Asthma symptoms wheeze", US_national_yearly!$D:$AM, 10, FALSE), 1)</f>
        <v>3.1372533986062552E-2</v>
      </c>
      <c r="H8" s="7">
        <f>$B8 * IFERROR(VLOOKUP("industry|SO2|Asthma symptoms wheeze", US_national_yearly!$D:$AM, 16, FALSE) / VLOOKUP("industry|SO2|Asthma symptoms wheeze", US_national_yearly!$D:$AM, 10, FALSE), 1)</f>
        <v>3.1372533986062552E-2</v>
      </c>
      <c r="I8" s="7">
        <f>$B8 * IFERROR(VLOOKUP("industry|SO2|Asthma symptoms wheeze", US_national_yearly!$D:$AM, 17, FALSE) / VLOOKUP("industry|SO2|Asthma symptoms wheeze", US_national_yearly!$D:$AM, 10, FALSE), 1)</f>
        <v>3.1372533986062552E-2</v>
      </c>
      <c r="J8" s="7">
        <f>$B8 * IFERROR(VLOOKUP("industry|SO2|Asthma symptoms wheeze", US_national_yearly!$D:$AM, 18, FALSE) / VLOOKUP("industry|SO2|Asthma symptoms wheeze", US_national_yearly!$D:$AM, 10, FALSE), 1)</f>
        <v>3.1372533986062552E-2</v>
      </c>
      <c r="K8" s="7">
        <f>$B8 * IFERROR(VLOOKUP("industry|SO2|Asthma symptoms wheeze", US_national_yearly!$D:$AM, 19, FALSE) / VLOOKUP("industry|SO2|Asthma symptoms wheeze", US_national_yearly!$D:$AM, 10, FALSE), 1)</f>
        <v>3.1372533986062552E-2</v>
      </c>
      <c r="L8" s="7">
        <f>$B8 * IFERROR(VLOOKUP("industry|SO2|Asthma symptoms wheeze", US_national_yearly!$D:$AM, 20, FALSE) / VLOOKUP("industry|SO2|Asthma symptoms wheeze", US_national_yearly!$D:$AM, 10, FALSE), 1)</f>
        <v>3.1372533986062552E-2</v>
      </c>
      <c r="M8" s="7">
        <f>$B8 * IFERROR(VLOOKUP("industry|SO2|Asthma symptoms wheeze", US_national_yearly!$D:$AM, 21, FALSE) / VLOOKUP("industry|SO2|Asthma symptoms wheeze", US_national_yearly!$D:$AM, 10, FALSE), 1)</f>
        <v>3.1372533986062552E-2</v>
      </c>
      <c r="N8" s="7">
        <f>$B8 * IFERROR(VLOOKUP("industry|SO2|Asthma symptoms wheeze", US_national_yearly!$D:$AM, 22, FALSE) / VLOOKUP("industry|SO2|Asthma symptoms wheeze", US_national_yearly!$D:$AM, 10, FALSE), 1)</f>
        <v>3.1372533986062552E-2</v>
      </c>
      <c r="O8" s="7">
        <f>$B8 * IFERROR(VLOOKUP("industry|SO2|Asthma symptoms wheeze", US_national_yearly!$D:$AM, 23, FALSE) / VLOOKUP("industry|SO2|Asthma symptoms wheeze", US_national_yearly!$D:$AM, 10, FALSE), 1)</f>
        <v>3.1372533986062552E-2</v>
      </c>
      <c r="P8" s="7">
        <f>$B8 * IFERROR(VLOOKUP("industry|SO2|Asthma symptoms wheeze", US_national_yearly!$D:$AM, 24, FALSE) / VLOOKUP("industry|SO2|Asthma symptoms wheeze", US_national_yearly!$D:$AM, 10, FALSE), 1)</f>
        <v>3.1372533986062552E-2</v>
      </c>
      <c r="Q8" s="7">
        <f>$B8 * IFERROR(VLOOKUP("industry|SO2|Asthma symptoms wheeze", US_national_yearly!$D:$AM, 25, FALSE) / VLOOKUP("industry|SO2|Asthma symptoms wheeze", US_national_yearly!$D:$AM, 10, FALSE), 1)</f>
        <v>3.1372533986062552E-2</v>
      </c>
      <c r="R8" s="7">
        <f>$B8 * IFERROR(VLOOKUP("industry|SO2|Asthma symptoms wheeze", US_national_yearly!$D:$AM, 26, FALSE) / VLOOKUP("industry|SO2|Asthma symptoms wheeze", US_national_yearly!$D:$AM, 10, FALSE), 1)</f>
        <v>3.1372533986062552E-2</v>
      </c>
      <c r="S8" s="7">
        <f>$B8 * IFERROR(VLOOKUP("industry|SO2|Asthma symptoms wheeze", US_national_yearly!$D:$AM, 27, FALSE) / VLOOKUP("industry|SO2|Asthma symptoms wheeze", US_national_yearly!$D:$AM, 10, FALSE), 1)</f>
        <v>3.1372533986062552E-2</v>
      </c>
      <c r="T8" s="7">
        <f>$B8 * IFERROR(VLOOKUP("industry|SO2|Asthma symptoms wheeze", US_national_yearly!$D:$AM, 28, FALSE) / VLOOKUP("industry|SO2|Asthma symptoms wheeze", US_national_yearly!$D:$AM, 10, FALSE), 1)</f>
        <v>3.1372533986062552E-2</v>
      </c>
      <c r="U8" s="7">
        <f>$B8 * IFERROR(VLOOKUP("industry|SO2|Asthma symptoms wheeze", US_national_yearly!$D:$AM, 29, FALSE) / VLOOKUP("industry|SO2|Asthma symptoms wheeze", US_national_yearly!$D:$AM, 10, FALSE), 1)</f>
        <v>3.1372533986062552E-2</v>
      </c>
      <c r="V8" s="7">
        <f>$B8 * IFERROR(VLOOKUP("industry|SO2|Asthma symptoms wheeze", US_national_yearly!$D:$AM, 30, FALSE) / VLOOKUP("industry|SO2|Asthma symptoms wheeze", US_national_yearly!$D:$AM, 10, FALSE), 1)</f>
        <v>3.1372533986062552E-2</v>
      </c>
      <c r="W8" s="7">
        <f>$B8 * IFERROR(VLOOKUP("industry|SO2|Asthma symptoms wheeze", US_national_yearly!$D:$AM, 31, FALSE) / VLOOKUP("industry|SO2|Asthma symptoms wheeze", US_national_yearly!$D:$AM, 10, FALSE), 1)</f>
        <v>3.1372533986062552E-2</v>
      </c>
      <c r="X8" s="7">
        <f>$B8 * IFERROR(VLOOKUP("industry|SO2|Asthma symptoms wheeze", US_national_yearly!$D:$AM, 32, FALSE) / VLOOKUP("industry|SO2|Asthma symptoms wheeze", US_national_yearly!$D:$AM, 10, FALSE), 1)</f>
        <v>3.1372533986062552E-2</v>
      </c>
      <c r="Y8" s="7">
        <f>$B8 * IFERROR(VLOOKUP("industry|SO2|Asthma symptoms wheeze", US_national_yearly!$D:$AM, 33, FALSE) / VLOOKUP("industry|SO2|Asthma symptoms wheeze", US_national_yearly!$D:$AM, 10, FALSE), 1)</f>
        <v>3.1372533986062552E-2</v>
      </c>
      <c r="Z8" s="7">
        <f>$B8 * IFERROR(VLOOKUP("industry|SO2|Asthma symptoms wheeze", US_national_yearly!$D:$AM, 34, FALSE) / VLOOKUP("industry|SO2|Asthma symptoms wheeze", US_national_yearly!$D:$AM, 10, FALSE), 1)</f>
        <v>3.1372533986062552E-2</v>
      </c>
      <c r="AA8" s="7">
        <f>$B8 * IFERROR(VLOOKUP("industry|SO2|Asthma symptoms wheeze", US_national_yearly!$D:$AM, 35, FALSE) / VLOOKUP("industry|SO2|Asthma symptoms wheeze", US_national_yearly!$D:$AM, 10, FALSE), 1)</f>
        <v>3.1372533986062552E-2</v>
      </c>
      <c r="AB8" s="7">
        <f>$B8 * IFERROR(VLOOKUP("industry|SO2|Asthma symptoms wheeze", US_national_yearly!$D:$AM, 36, FALSE) / VLOOKUP("industry|SO2|Asthma symptoms wheeze", US_national_yearly!$D:$AM, 10, FALSE), 1)</f>
        <v>3.1372533986062552E-2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5.3934646921937192E-4</v>
      </c>
      <c r="C12" s="7">
        <f>$B12 * IFERROR(VLOOKUP("industry|SO2|Respiratory hospital admissions", US_national_yearly!$D:$AM, 11, FALSE) / VLOOKUP("industry|SO2|Respiratory hospital admissions", US_national_yearly!$D:$AM, 10, FALSE), 1)</f>
        <v>5.4250600988876667E-4</v>
      </c>
      <c r="D12" s="7">
        <f>$B12 * IFERROR(VLOOKUP("industry|SO2|Respiratory hospital admissions", US_national_yearly!$D:$AM, 12, FALSE) / VLOOKUP("industry|SO2|Respiratory hospital admissions", US_national_yearly!$D:$AM, 10, FALSE), 1)</f>
        <v>5.4566555055816143E-4</v>
      </c>
      <c r="E12" s="7">
        <f>$B12 * IFERROR(VLOOKUP("industry|SO2|Respiratory hospital admissions", US_national_yearly!$D:$AM, 13, FALSE) / VLOOKUP("industry|SO2|Respiratory hospital admissions", US_national_yearly!$D:$AM, 10, FALSE), 1)</f>
        <v>5.4882509122755618E-4</v>
      </c>
      <c r="F12" s="7">
        <f>$B12 * IFERROR(VLOOKUP("industry|SO2|Respiratory hospital admissions", US_national_yearly!$D:$AM, 14, FALSE) / VLOOKUP("industry|SO2|Respiratory hospital admissions", US_national_yearly!$D:$AM, 10, FALSE), 1)</f>
        <v>5.5198463189695104E-4</v>
      </c>
      <c r="G12" s="7">
        <f>$B12 * IFERROR(VLOOKUP("industry|SO2|Respiratory hospital admissions", US_national_yearly!$D:$AM, 15, FALSE) / VLOOKUP("industry|SO2|Respiratory hospital admissions", US_national_yearly!$D:$AM, 10, FALSE), 1)</f>
        <v>5.5542914241502939E-4</v>
      </c>
      <c r="H12" s="7">
        <f>$B12 * IFERROR(VLOOKUP("industry|SO2|Respiratory hospital admissions", US_national_yearly!$D:$AM, 16, FALSE) / VLOOKUP("industry|SO2|Respiratory hospital admissions", US_national_yearly!$D:$AM, 10, FALSE), 1)</f>
        <v>5.5887365293310774E-4</v>
      </c>
      <c r="I12" s="7">
        <f>$B12 * IFERROR(VLOOKUP("industry|SO2|Respiratory hospital admissions", US_national_yearly!$D:$AM, 17, FALSE) / VLOOKUP("industry|SO2|Respiratory hospital admissions", US_national_yearly!$D:$AM, 10, FALSE), 1)</f>
        <v>5.6225672706211355E-4</v>
      </c>
      <c r="J12" s="7">
        <f>$B12 * IFERROR(VLOOKUP("industry|SO2|Respiratory hospital admissions", US_national_yearly!$D:$AM, 18, FALSE) / VLOOKUP("industry|SO2|Respiratory hospital admissions", US_national_yearly!$D:$AM, 10, FALSE), 1)</f>
        <v>5.6563980119111947E-4</v>
      </c>
      <c r="K12" s="7">
        <f>$B12 * IFERROR(VLOOKUP("industry|SO2|Respiratory hospital admissions", US_national_yearly!$D:$AM, 19, FALSE) / VLOOKUP("industry|SO2|Respiratory hospital admissions", US_national_yearly!$D:$AM, 10, FALSE), 1)</f>
        <v>5.6902287532012517E-4</v>
      </c>
      <c r="L12" s="7">
        <f>$B12 * IFERROR(VLOOKUP("industry|SO2|Respiratory hospital admissions", US_national_yearly!$D:$AM, 20, FALSE) / VLOOKUP("industry|SO2|Respiratory hospital admissions", US_national_yearly!$D:$AM, 10, FALSE), 1)</f>
        <v>5.7240594944913108E-4</v>
      </c>
      <c r="M12" s="7">
        <f>$B12 * IFERROR(VLOOKUP("industry|SO2|Respiratory hospital admissions", US_national_yearly!$D:$AM, 21, FALSE) / VLOOKUP("industry|SO2|Respiratory hospital admissions", US_national_yearly!$D:$AM, 10, FALSE), 1)</f>
        <v>5.7578902357813689E-4</v>
      </c>
      <c r="N12" s="7">
        <f>$B12 * IFERROR(VLOOKUP("industry|SO2|Respiratory hospital admissions", US_national_yearly!$D:$AM, 22, FALSE) / VLOOKUP("industry|SO2|Respiratory hospital admissions", US_national_yearly!$D:$AM, 10, FALSE), 1)</f>
        <v>5.7823706363509524E-4</v>
      </c>
      <c r="O12" s="7">
        <f>$B12 * IFERROR(VLOOKUP("industry|SO2|Respiratory hospital admissions", US_national_yearly!$D:$AM, 23, FALSE) / VLOOKUP("industry|SO2|Respiratory hospital admissions", US_national_yearly!$D:$AM, 10, FALSE), 1)</f>
        <v>5.8068510369205359E-4</v>
      </c>
      <c r="P12" s="7">
        <f>$B12 * IFERROR(VLOOKUP("industry|SO2|Respiratory hospital admissions", US_national_yearly!$D:$AM, 24, FALSE) / VLOOKUP("industry|SO2|Respiratory hospital admissions", US_national_yearly!$D:$AM, 10, FALSE), 1)</f>
        <v>5.8313314374901172E-4</v>
      </c>
      <c r="Q12" s="7">
        <f>$B12 * IFERROR(VLOOKUP("industry|SO2|Respiratory hospital admissions", US_national_yearly!$D:$AM, 25, FALSE) / VLOOKUP("industry|SO2|Respiratory hospital admissions", US_national_yearly!$D:$AM, 10, FALSE), 1)</f>
        <v>5.8558118380597007E-4</v>
      </c>
      <c r="R12" s="7">
        <f>$B12 * IFERROR(VLOOKUP("industry|SO2|Respiratory hospital admissions", US_national_yearly!$D:$AM, 26, FALSE) / VLOOKUP("industry|SO2|Respiratory hospital admissions", US_national_yearly!$D:$AM, 10, FALSE), 1)</f>
        <v>5.880292238629282E-4</v>
      </c>
      <c r="S12" s="7">
        <f>$B12 * IFERROR(VLOOKUP("industry|SO2|Respiratory hospital admissions", US_national_yearly!$D:$AM, 27, FALSE) / VLOOKUP("industry|SO2|Respiratory hospital admissions", US_national_yearly!$D:$AM, 10, FALSE), 1)</f>
        <v>5.9035571173572297E-4</v>
      </c>
      <c r="T12" s="7">
        <f>$B12 * IFERROR(VLOOKUP("industry|SO2|Respiratory hospital admissions", US_national_yearly!$D:$AM, 28, FALSE) / VLOOKUP("industry|SO2|Respiratory hospital admissions", US_national_yearly!$D:$AM, 10, FALSE), 1)</f>
        <v>5.9268219960851762E-4</v>
      </c>
      <c r="U12" s="7">
        <f>$B12 * IFERROR(VLOOKUP("industry|SO2|Respiratory hospital admissions", US_national_yearly!$D:$AM, 29, FALSE) / VLOOKUP("industry|SO2|Respiratory hospital admissions", US_national_yearly!$D:$AM, 10, FALSE), 1)</f>
        <v>5.9500868748131228E-4</v>
      </c>
      <c r="V12" s="7">
        <f>$B12 * IFERROR(VLOOKUP("industry|SO2|Respiratory hospital admissions", US_national_yearly!$D:$AM, 30, FALSE) / VLOOKUP("industry|SO2|Respiratory hospital admissions", US_national_yearly!$D:$AM, 10, FALSE), 1)</f>
        <v>5.9733517535410705E-4</v>
      </c>
      <c r="W12" s="7">
        <f>$B12 * IFERROR(VLOOKUP("industry|SO2|Respiratory hospital admissions", US_national_yearly!$D:$AM, 31, FALSE) / VLOOKUP("industry|SO2|Respiratory hospital admissions", US_national_yearly!$D:$AM, 10, FALSE), 1)</f>
        <v>5.996616632269016E-4</v>
      </c>
      <c r="X12" s="7">
        <f>$B12 * IFERROR(VLOOKUP("industry|SO2|Respiratory hospital admissions", US_national_yearly!$D:$AM, 32, FALSE) / VLOOKUP("industry|SO2|Respiratory hospital admissions", US_national_yearly!$D:$AM, 10, FALSE), 1)</f>
        <v>6.0187093105914624E-4</v>
      </c>
      <c r="Y12" s="7">
        <f>$B12 * IFERROR(VLOOKUP("industry|SO2|Respiratory hospital admissions", US_national_yearly!$D:$AM, 33, FALSE) / VLOOKUP("industry|SO2|Respiratory hospital admissions", US_national_yearly!$D:$AM, 10, FALSE), 1)</f>
        <v>6.0408019889139088E-4</v>
      </c>
      <c r="Z12" s="7">
        <f>$B12 * IFERROR(VLOOKUP("industry|SO2|Respiratory hospital admissions", US_national_yearly!$D:$AM, 34, FALSE) / VLOOKUP("industry|SO2|Respiratory hospital admissions", US_national_yearly!$D:$AM, 10, FALSE), 1)</f>
        <v>6.0628946672363542E-4</v>
      </c>
      <c r="AA12" s="7">
        <f>$B12 * IFERROR(VLOOKUP("industry|SO2|Respiratory hospital admissions", US_national_yearly!$D:$AM, 35, FALSE) / VLOOKUP("industry|SO2|Respiratory hospital admissions", US_national_yearly!$D:$AM, 10, FALSE), 1)</f>
        <v>6.0849873455587995E-4</v>
      </c>
      <c r="AB12" s="7">
        <f>$B12 * IFERROR(VLOOKUP("industry|SO2|Respiratory hospital admissions", US_national_yearly!$D:$AM, 36, FALSE) / VLOOKUP("industry|SO2|Respiratory hospital admissions", US_national_yearly!$D:$AM, 10, FALSE), 1)</f>
        <v>6.107080023881247E-4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3.3492627877386039E-3</v>
      </c>
      <c r="C13" s="7">
        <f>$B13 * IFERROR(VLOOKUP("industry|SO2|Non-fatal heart attacks", US_national_yearly!$D:$AM, 11, FALSE) / VLOOKUP("industry|SO2|Non-fatal heart attacks", US_national_yearly!$D:$AM, 10, FALSE), 1)</f>
        <v>3.4475845836670388E-3</v>
      </c>
      <c r="D13" s="7">
        <f>$B13 * IFERROR(VLOOKUP("industry|SO2|Non-fatal heart attacks", US_national_yearly!$D:$AM, 12, FALSE) / VLOOKUP("industry|SO2|Non-fatal heart attacks", US_national_yearly!$D:$AM, 10, FALSE), 1)</f>
        <v>3.5459063795954741E-3</v>
      </c>
      <c r="E13" s="7">
        <f>$B13 * IFERROR(VLOOKUP("industry|SO2|Non-fatal heart attacks", US_national_yearly!$D:$AM, 13, FALSE) / VLOOKUP("industry|SO2|Non-fatal heart attacks", US_national_yearly!$D:$AM, 10, FALSE), 1)</f>
        <v>3.6442281755239086E-3</v>
      </c>
      <c r="F13" s="7">
        <f>$B13 * IFERROR(VLOOKUP("industry|SO2|Non-fatal heart attacks", US_national_yearly!$D:$AM, 14, FALSE) / VLOOKUP("industry|SO2|Non-fatal heart attacks", US_national_yearly!$D:$AM, 10, FALSE), 1)</f>
        <v>3.7425499714523443E-3</v>
      </c>
      <c r="G13" s="7">
        <f>$B13 * IFERROR(VLOOKUP("industry|SO2|Non-fatal heart attacks", US_national_yearly!$D:$AM, 15, FALSE) / VLOOKUP("industry|SO2|Non-fatal heart attacks", US_national_yearly!$D:$AM, 10, FALSE), 1)</f>
        <v>3.8353382031274729E-3</v>
      </c>
      <c r="H13" s="7">
        <f>$B13 * IFERROR(VLOOKUP("industry|SO2|Non-fatal heart attacks", US_national_yearly!$D:$AM, 16, FALSE) / VLOOKUP("industry|SO2|Non-fatal heart attacks", US_national_yearly!$D:$AM, 10, FALSE), 1)</f>
        <v>3.9281264348026024E-3</v>
      </c>
      <c r="I13" s="7">
        <f>$B13 * IFERROR(VLOOKUP("industry|SO2|Non-fatal heart attacks", US_national_yearly!$D:$AM, 17, FALSE) / VLOOKUP("industry|SO2|Non-fatal heart attacks", US_national_yearly!$D:$AM, 10, FALSE), 1)</f>
        <v>4.0029298106232991E-3</v>
      </c>
      <c r="J13" s="7">
        <f>$B13 * IFERROR(VLOOKUP("industry|SO2|Non-fatal heart attacks", US_national_yearly!$D:$AM, 18, FALSE) / VLOOKUP("industry|SO2|Non-fatal heart attacks", US_national_yearly!$D:$AM, 10, FALSE), 1)</f>
        <v>4.0777331864439974E-3</v>
      </c>
      <c r="K13" s="7">
        <f>$B13 * IFERROR(VLOOKUP("industry|SO2|Non-fatal heart attacks", US_national_yearly!$D:$AM, 19, FALSE) / VLOOKUP("industry|SO2|Non-fatal heart attacks", US_national_yearly!$D:$AM, 10, FALSE), 1)</f>
        <v>4.1525365622646941E-3</v>
      </c>
      <c r="L13" s="7">
        <f>$B13 * IFERROR(VLOOKUP("industry|SO2|Non-fatal heart attacks", US_national_yearly!$D:$AM, 20, FALSE) / VLOOKUP("industry|SO2|Non-fatal heart attacks", US_national_yearly!$D:$AM, 10, FALSE), 1)</f>
        <v>4.2273399380853916E-3</v>
      </c>
      <c r="M13" s="7">
        <f>$B13 * IFERROR(VLOOKUP("industry|SO2|Non-fatal heart attacks", US_national_yearly!$D:$AM, 21, FALSE) / VLOOKUP("industry|SO2|Non-fatal heart attacks", US_national_yearly!$D:$AM, 10, FALSE), 1)</f>
        <v>4.3021433139060891E-3</v>
      </c>
      <c r="N13" s="7">
        <f>$B13 * IFERROR(VLOOKUP("industry|SO2|Non-fatal heart attacks", US_national_yearly!$D:$AM, 22, FALSE) / VLOOKUP("industry|SO2|Non-fatal heart attacks", US_national_yearly!$D:$AM, 10, FALSE), 1)</f>
        <v>4.350739572057844E-3</v>
      </c>
      <c r="O13" s="7">
        <f>$B13 * IFERROR(VLOOKUP("industry|SO2|Non-fatal heart attacks", US_national_yearly!$D:$AM, 23, FALSE) / VLOOKUP("industry|SO2|Non-fatal heart attacks", US_national_yearly!$D:$AM, 10, FALSE), 1)</f>
        <v>4.3993358302095997E-3</v>
      </c>
      <c r="P13" s="7">
        <f>$B13 * IFERROR(VLOOKUP("industry|SO2|Non-fatal heart attacks", US_national_yearly!$D:$AM, 24, FALSE) / VLOOKUP("industry|SO2|Non-fatal heart attacks", US_national_yearly!$D:$AM, 10, FALSE), 1)</f>
        <v>4.4479320883613546E-3</v>
      </c>
      <c r="Q13" s="7">
        <f>$B13 * IFERROR(VLOOKUP("industry|SO2|Non-fatal heart attacks", US_national_yearly!$D:$AM, 25, FALSE) / VLOOKUP("industry|SO2|Non-fatal heart attacks", US_national_yearly!$D:$AM, 10, FALSE), 1)</f>
        <v>4.4965283465131095E-3</v>
      </c>
      <c r="R13" s="7">
        <f>$B13 * IFERROR(VLOOKUP("industry|SO2|Non-fatal heart attacks", US_national_yearly!$D:$AM, 26, FALSE) / VLOOKUP("industry|SO2|Non-fatal heart attacks", US_national_yearly!$D:$AM, 10, FALSE), 1)</f>
        <v>4.5451246046648644E-3</v>
      </c>
      <c r="S13" s="7">
        <f>$B13 * IFERROR(VLOOKUP("industry|SO2|Non-fatal heart attacks", US_national_yearly!$D:$AM, 27, FALSE) / VLOOKUP("industry|SO2|Non-fatal heart attacks", US_national_yearly!$D:$AM, 10, FALSE), 1)</f>
        <v>4.5706480739553679E-3</v>
      </c>
      <c r="T13" s="7">
        <f>$B13 * IFERROR(VLOOKUP("industry|SO2|Non-fatal heart attacks", US_national_yearly!$D:$AM, 28, FALSE) / VLOOKUP("industry|SO2|Non-fatal heart attacks", US_national_yearly!$D:$AM, 10, FALSE), 1)</f>
        <v>4.5961715432458715E-3</v>
      </c>
      <c r="U13" s="7">
        <f>$B13 * IFERROR(VLOOKUP("industry|SO2|Non-fatal heart attacks", US_national_yearly!$D:$AM, 29, FALSE) / VLOOKUP("industry|SO2|Non-fatal heart attacks", US_national_yearly!$D:$AM, 10, FALSE), 1)</f>
        <v>4.621695012536375E-3</v>
      </c>
      <c r="V13" s="7">
        <f>$B13 * IFERROR(VLOOKUP("industry|SO2|Non-fatal heart attacks", US_national_yearly!$D:$AM, 30, FALSE) / VLOOKUP("industry|SO2|Non-fatal heart attacks", US_national_yearly!$D:$AM, 10, FALSE), 1)</f>
        <v>4.6472184818268786E-3</v>
      </c>
      <c r="W13" s="7">
        <f>$B13 * IFERROR(VLOOKUP("industry|SO2|Non-fatal heart attacks", US_national_yearly!$D:$AM, 31, FALSE) / VLOOKUP("industry|SO2|Non-fatal heart attacks", US_national_yearly!$D:$AM, 10, FALSE), 1)</f>
        <v>4.6727419511173821E-3</v>
      </c>
      <c r="X13" s="7">
        <f>$B13 * IFERROR(VLOOKUP("industry|SO2|Non-fatal heart attacks", US_national_yearly!$D:$AM, 32, FALSE) / VLOOKUP("industry|SO2|Non-fatal heart attacks", US_national_yearly!$D:$AM, 10, FALSE), 1)</f>
        <v>4.6921262895102634E-3</v>
      </c>
      <c r="Y13" s="7">
        <f>$B13 * IFERROR(VLOOKUP("industry|SO2|Non-fatal heart attacks", US_national_yearly!$D:$AM, 33, FALSE) / VLOOKUP("industry|SO2|Non-fatal heart attacks", US_national_yearly!$D:$AM, 10, FALSE), 1)</f>
        <v>4.7115106279031456E-3</v>
      </c>
      <c r="Z13" s="7">
        <f>$B13 * IFERROR(VLOOKUP("industry|SO2|Non-fatal heart attacks", US_national_yearly!$D:$AM, 34, FALSE) / VLOOKUP("industry|SO2|Non-fatal heart attacks", US_national_yearly!$D:$AM, 10, FALSE), 1)</f>
        <v>4.7308949662960278E-3</v>
      </c>
      <c r="AA13" s="7">
        <f>$B13 * IFERROR(VLOOKUP("industry|SO2|Non-fatal heart attacks", US_national_yearly!$D:$AM, 35, FALSE) / VLOOKUP("industry|SO2|Non-fatal heart attacks", US_national_yearly!$D:$AM, 10, FALSE), 1)</f>
        <v>4.75027930468891E-3</v>
      </c>
      <c r="AB13" s="7">
        <f>$B13 * IFERROR(VLOOKUP("industry|SO2|Non-fatal heart attacks", US_national_yearly!$D:$AM, 36, FALSE) / VLOOKUP("industry|SO2|Non-fatal heart attacks", US_national_yearly!$D:$AM, 10, FALSE), 1)</f>
        <v>4.7696636430817922E-3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2.1422392704533659</v>
      </c>
      <c r="C14" s="7">
        <f>$B14 * IFERROR(VLOOKUP("industry|SO2|Minor restricted activity days", US_national_yearly!$D:$AM, 11, FALSE) / VLOOKUP("industry|SO2|Minor restricted activity days", US_national_yearly!$D:$AM, 10, FALSE), 1)</f>
        <v>2.1475978442979038</v>
      </c>
      <c r="D14" s="7">
        <f>$B14 * IFERROR(VLOOKUP("industry|SO2|Minor restricted activity days", US_national_yearly!$D:$AM, 12, FALSE) / VLOOKUP("industry|SO2|Minor restricted activity days", US_national_yearly!$D:$AM, 10, FALSE), 1)</f>
        <v>2.1529564181424412</v>
      </c>
      <c r="E14" s="7">
        <f>$B14 * IFERROR(VLOOKUP("industry|SO2|Minor restricted activity days", US_national_yearly!$D:$AM, 13, FALSE) / VLOOKUP("industry|SO2|Minor restricted activity days", US_national_yearly!$D:$AM, 10, FALSE), 1)</f>
        <v>2.1583149919869786</v>
      </c>
      <c r="F14" s="7">
        <f>$B14 * IFERROR(VLOOKUP("industry|SO2|Minor restricted activity days", US_national_yearly!$D:$AM, 14, FALSE) / VLOOKUP("industry|SO2|Minor restricted activity days", US_national_yearly!$D:$AM, 10, FALSE), 1)</f>
        <v>2.1636735658315165</v>
      </c>
      <c r="G14" s="7">
        <f>$B14 * IFERROR(VLOOKUP("industry|SO2|Minor restricted activity days", US_national_yearly!$D:$AM, 15, FALSE) / VLOOKUP("industry|SO2|Minor restricted activity days", US_national_yearly!$D:$AM, 10, FALSE), 1)</f>
        <v>2.1715565385607931</v>
      </c>
      <c r="H14" s="7">
        <f>$B14 * IFERROR(VLOOKUP("industry|SO2|Minor restricted activity days", US_national_yearly!$D:$AM, 16, FALSE) / VLOOKUP("industry|SO2|Minor restricted activity days", US_national_yearly!$D:$AM, 10, FALSE), 1)</f>
        <v>2.1794395112900693</v>
      </c>
      <c r="I14" s="7">
        <f>$B14 * IFERROR(VLOOKUP("industry|SO2|Minor restricted activity days", US_national_yearly!$D:$AM, 17, FALSE) / VLOOKUP("industry|SO2|Minor restricted activity days", US_national_yearly!$D:$AM, 10, FALSE), 1)</f>
        <v>2.1928823642129567</v>
      </c>
      <c r="J14" s="7">
        <f>$B14 * IFERROR(VLOOKUP("industry|SO2|Minor restricted activity days", US_national_yearly!$D:$AM, 18, FALSE) / VLOOKUP("industry|SO2|Minor restricted activity days", US_national_yearly!$D:$AM, 10, FALSE), 1)</f>
        <v>2.2063252171358441</v>
      </c>
      <c r="K14" s="7">
        <f>$B14 * IFERROR(VLOOKUP("industry|SO2|Minor restricted activity days", US_national_yearly!$D:$AM, 19, FALSE) / VLOOKUP("industry|SO2|Minor restricted activity days", US_national_yearly!$D:$AM, 10, FALSE), 1)</f>
        <v>2.2197680700587314</v>
      </c>
      <c r="L14" s="7">
        <f>$B14 * IFERROR(VLOOKUP("industry|SO2|Minor restricted activity days", US_national_yearly!$D:$AM, 20, FALSE) / VLOOKUP("industry|SO2|Minor restricted activity days", US_national_yearly!$D:$AM, 10, FALSE), 1)</f>
        <v>2.2332109229816188</v>
      </c>
      <c r="M14" s="7">
        <f>$B14 * IFERROR(VLOOKUP("industry|SO2|Minor restricted activity days", US_national_yearly!$D:$AM, 21, FALSE) / VLOOKUP("industry|SO2|Minor restricted activity days", US_national_yearly!$D:$AM, 10, FALSE), 1)</f>
        <v>2.2466537759045062</v>
      </c>
      <c r="N14" s="7">
        <f>$B14 * IFERROR(VLOOKUP("industry|SO2|Minor restricted activity days", US_national_yearly!$D:$AM, 22, FALSE) / VLOOKUP("industry|SO2|Minor restricted activity days", US_national_yearly!$D:$AM, 10, FALSE), 1)</f>
        <v>2.265085543996312</v>
      </c>
      <c r="O14" s="7">
        <f>$B14 * IFERROR(VLOOKUP("industry|SO2|Minor restricted activity days", US_national_yearly!$D:$AM, 23, FALSE) / VLOOKUP("industry|SO2|Minor restricted activity days", US_national_yearly!$D:$AM, 10, FALSE), 1)</f>
        <v>2.2835173120881183</v>
      </c>
      <c r="P14" s="7">
        <f>$B14 * IFERROR(VLOOKUP("industry|SO2|Minor restricted activity days", US_national_yearly!$D:$AM, 24, FALSE) / VLOOKUP("industry|SO2|Minor restricted activity days", US_national_yearly!$D:$AM, 10, FALSE), 1)</f>
        <v>2.3019490801799241</v>
      </c>
      <c r="Q14" s="7">
        <f>$B14 * IFERROR(VLOOKUP("industry|SO2|Minor restricted activity days", US_national_yearly!$D:$AM, 25, FALSE) / VLOOKUP("industry|SO2|Minor restricted activity days", US_national_yearly!$D:$AM, 10, FALSE), 1)</f>
        <v>2.3203808482717303</v>
      </c>
      <c r="R14" s="7">
        <f>$B14 * IFERROR(VLOOKUP("industry|SO2|Minor restricted activity days", US_national_yearly!$D:$AM, 26, FALSE) / VLOOKUP("industry|SO2|Minor restricted activity days", US_national_yearly!$D:$AM, 10, FALSE), 1)</f>
        <v>2.3388126163635361</v>
      </c>
      <c r="S14" s="7">
        <f>$B14 * IFERROR(VLOOKUP("industry|SO2|Minor restricted activity days", US_national_yearly!$D:$AM, 27, FALSE) / VLOOKUP("industry|SO2|Minor restricted activity days", US_national_yearly!$D:$AM, 10, FALSE), 1)</f>
        <v>2.357623724287385</v>
      </c>
      <c r="T14" s="7">
        <f>$B14 * IFERROR(VLOOKUP("industry|SO2|Minor restricted activity days", US_national_yearly!$D:$AM, 28, FALSE) / VLOOKUP("industry|SO2|Minor restricted activity days", US_national_yearly!$D:$AM, 10, FALSE), 1)</f>
        <v>2.3764348322112339</v>
      </c>
      <c r="U14" s="7">
        <f>$B14 * IFERROR(VLOOKUP("industry|SO2|Minor restricted activity days", US_national_yearly!$D:$AM, 29, FALSE) / VLOOKUP("industry|SO2|Minor restricted activity days", US_national_yearly!$D:$AM, 10, FALSE), 1)</f>
        <v>2.3952459401350827</v>
      </c>
      <c r="V14" s="7">
        <f>$B14 * IFERROR(VLOOKUP("industry|SO2|Minor restricted activity days", US_national_yearly!$D:$AM, 30, FALSE) / VLOOKUP("industry|SO2|Minor restricted activity days", US_national_yearly!$D:$AM, 10, FALSE), 1)</f>
        <v>2.4140570480589316</v>
      </c>
      <c r="W14" s="7">
        <f>$B14 * IFERROR(VLOOKUP("industry|SO2|Minor restricted activity days", US_national_yearly!$D:$AM, 31, FALSE) / VLOOKUP("industry|SO2|Minor restricted activity days", US_national_yearly!$D:$AM, 10, FALSE), 1)</f>
        <v>2.4328681559827805</v>
      </c>
      <c r="X14" s="7">
        <f>$B14 * IFERROR(VLOOKUP("industry|SO2|Minor restricted activity days", US_national_yearly!$D:$AM, 32, FALSE) / VLOOKUP("industry|SO2|Minor restricted activity days", US_national_yearly!$D:$AM, 10, FALSE), 1)</f>
        <v>2.4494086147121794</v>
      </c>
      <c r="Y14" s="7">
        <f>$B14 * IFERROR(VLOOKUP("industry|SO2|Minor restricted activity days", US_national_yearly!$D:$AM, 33, FALSE) / VLOOKUP("industry|SO2|Minor restricted activity days", US_national_yearly!$D:$AM, 10, FALSE), 1)</f>
        <v>2.4659490734415779</v>
      </c>
      <c r="Z14" s="7">
        <f>$B14 * IFERROR(VLOOKUP("industry|SO2|Minor restricted activity days", US_national_yearly!$D:$AM, 34, FALSE) / VLOOKUP("industry|SO2|Minor restricted activity days", US_national_yearly!$D:$AM, 10, FALSE), 1)</f>
        <v>2.4824895321709763</v>
      </c>
      <c r="AA14" s="7">
        <f>$B14 * IFERROR(VLOOKUP("industry|SO2|Minor restricted activity days", US_national_yearly!$D:$AM, 35, FALSE) / VLOOKUP("industry|SO2|Minor restricted activity days", US_national_yearly!$D:$AM, 10, FALSE), 1)</f>
        <v>2.4990299909003744</v>
      </c>
      <c r="AB14" s="7">
        <f>$B14 * IFERROR(VLOOKUP("industry|SO2|Minor restricted activity days", US_national_yearly!$D:$AM, 36, FALSE) / VLOOKUP("industry|SO2|Minor restricted activity days", US_national_yearly!$D:$AM, 10, FALSE), 1)</f>
        <v>2.5155704496297733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0.36248759145643095</v>
      </c>
      <c r="C15" s="7">
        <f>$B15 * IFERROR(VLOOKUP("industry|SO2|Work loss days", US_national_yearly!$D:$AM, 11, FALSE) / VLOOKUP("industry|SO2|Work loss days", US_national_yearly!$D:$AM, 10, FALSE), 1)</f>
        <v>0.36365331059784112</v>
      </c>
      <c r="D15" s="7">
        <f>$B15 * IFERROR(VLOOKUP("industry|SO2|Work loss days", US_national_yearly!$D:$AM, 12, FALSE) / VLOOKUP("industry|SO2|Work loss days", US_national_yearly!$D:$AM, 10, FALSE), 1)</f>
        <v>0.3648190297392514</v>
      </c>
      <c r="E15" s="7">
        <f>$B15 * IFERROR(VLOOKUP("industry|SO2|Work loss days", US_national_yearly!$D:$AM, 13, FALSE) / VLOOKUP("industry|SO2|Work loss days", US_national_yearly!$D:$AM, 10, FALSE), 1)</f>
        <v>0.36598474888066157</v>
      </c>
      <c r="F15" s="7">
        <f>$B15 * IFERROR(VLOOKUP("industry|SO2|Work loss days", US_national_yearly!$D:$AM, 14, FALSE) / VLOOKUP("industry|SO2|Work loss days", US_national_yearly!$D:$AM, 10, FALSE), 1)</f>
        <v>0.36715046802207191</v>
      </c>
      <c r="G15" s="7">
        <f>$B15 * IFERROR(VLOOKUP("industry|SO2|Work loss days", US_national_yearly!$D:$AM, 15, FALSE) / VLOOKUP("industry|SO2|Work loss days", US_national_yearly!$D:$AM, 10, FALSE), 1)</f>
        <v>0.36867204652346502</v>
      </c>
      <c r="H15" s="7">
        <f>$B15 * IFERROR(VLOOKUP("industry|SO2|Work loss days", US_national_yearly!$D:$AM, 16, FALSE) / VLOOKUP("industry|SO2|Work loss days", US_national_yearly!$D:$AM, 10, FALSE), 1)</f>
        <v>0.3701936250248582</v>
      </c>
      <c r="I15" s="7">
        <f>$B15 * IFERROR(VLOOKUP("industry|SO2|Work loss days", US_national_yearly!$D:$AM, 17, FALSE) / VLOOKUP("industry|SO2|Work loss days", US_national_yearly!$D:$AM, 10, FALSE), 1)</f>
        <v>0.37241774403457456</v>
      </c>
      <c r="J15" s="7">
        <f>$B15 * IFERROR(VLOOKUP("industry|SO2|Work loss days", US_national_yearly!$D:$AM, 18, FALSE) / VLOOKUP("industry|SO2|Work loss days", US_national_yearly!$D:$AM, 10, FALSE), 1)</f>
        <v>0.37464186304429081</v>
      </c>
      <c r="K15" s="7">
        <f>$B15 * IFERROR(VLOOKUP("industry|SO2|Work loss days", US_national_yearly!$D:$AM, 19, FALSE) / VLOOKUP("industry|SO2|Work loss days", US_national_yearly!$D:$AM, 10, FALSE), 1)</f>
        <v>0.37686598205400706</v>
      </c>
      <c r="L15" s="7">
        <f>$B15 * IFERROR(VLOOKUP("industry|SO2|Work loss days", US_national_yearly!$D:$AM, 20, FALSE) / VLOOKUP("industry|SO2|Work loss days", US_national_yearly!$D:$AM, 10, FALSE), 1)</f>
        <v>0.37909010106372343</v>
      </c>
      <c r="M15" s="7">
        <f>$B15 * IFERROR(VLOOKUP("industry|SO2|Work loss days", US_national_yearly!$D:$AM, 21, FALSE) / VLOOKUP("industry|SO2|Work loss days", US_national_yearly!$D:$AM, 10, FALSE), 1)</f>
        <v>0.38131422007343968</v>
      </c>
      <c r="N15" s="7">
        <f>$B15 * IFERROR(VLOOKUP("industry|SO2|Work loss days", US_national_yearly!$D:$AM, 22, FALSE) / VLOOKUP("industry|SO2|Work loss days", US_national_yearly!$D:$AM, 10, FALSE), 1)</f>
        <v>0.38410961023533674</v>
      </c>
      <c r="O15" s="7">
        <f>$B15 * IFERROR(VLOOKUP("industry|SO2|Work loss days", US_national_yearly!$D:$AM, 23, FALSE) / VLOOKUP("industry|SO2|Work loss days", US_national_yearly!$D:$AM, 10, FALSE), 1)</f>
        <v>0.3869050003972338</v>
      </c>
      <c r="P15" s="7">
        <f>$B15 * IFERROR(VLOOKUP("industry|SO2|Work loss days", US_national_yearly!$D:$AM, 24, FALSE) / VLOOKUP("industry|SO2|Work loss days", US_national_yearly!$D:$AM, 10, FALSE), 1)</f>
        <v>0.38970039055913086</v>
      </c>
      <c r="Q15" s="7">
        <f>$B15 * IFERROR(VLOOKUP("industry|SO2|Work loss days", US_national_yearly!$D:$AM, 25, FALSE) / VLOOKUP("industry|SO2|Work loss days", US_national_yearly!$D:$AM, 10, FALSE), 1)</f>
        <v>0.39249578072102798</v>
      </c>
      <c r="R15" s="7">
        <f>$B15 * IFERROR(VLOOKUP("industry|SO2|Work loss days", US_national_yearly!$D:$AM, 26, FALSE) / VLOOKUP("industry|SO2|Work loss days", US_national_yearly!$D:$AM, 10, FALSE), 1)</f>
        <v>0.39529117088292504</v>
      </c>
      <c r="S15" s="7">
        <f>$B15 * IFERROR(VLOOKUP("industry|SO2|Work loss days", US_national_yearly!$D:$AM, 27, FALSE) / VLOOKUP("industry|SO2|Work loss days", US_national_yearly!$D:$AM, 10, FALSE), 1)</f>
        <v>0.39841909726873664</v>
      </c>
      <c r="T15" s="7">
        <f>$B15 * IFERROR(VLOOKUP("industry|SO2|Work loss days", US_national_yearly!$D:$AM, 28, FALSE) / VLOOKUP("industry|SO2|Work loss days", US_national_yearly!$D:$AM, 10, FALSE), 1)</f>
        <v>0.40154702365454836</v>
      </c>
      <c r="U15" s="7">
        <f>$B15 * IFERROR(VLOOKUP("industry|SO2|Work loss days", US_national_yearly!$D:$AM, 29, FALSE) / VLOOKUP("industry|SO2|Work loss days", US_national_yearly!$D:$AM, 10, FALSE), 1)</f>
        <v>0.40467495004036014</v>
      </c>
      <c r="V15" s="7">
        <f>$B15 * IFERROR(VLOOKUP("industry|SO2|Work loss days", US_national_yearly!$D:$AM, 30, FALSE) / VLOOKUP("industry|SO2|Work loss days", US_national_yearly!$D:$AM, 10, FALSE), 1)</f>
        <v>0.40780287642617175</v>
      </c>
      <c r="W15" s="7">
        <f>$B15 * IFERROR(VLOOKUP("industry|SO2|Work loss days", US_national_yearly!$D:$AM, 31, FALSE) / VLOOKUP("industry|SO2|Work loss days", US_national_yearly!$D:$AM, 10, FALSE), 1)</f>
        <v>0.41093080281198346</v>
      </c>
      <c r="X15" s="7">
        <f>$B15 * IFERROR(VLOOKUP("industry|SO2|Work loss days", US_national_yearly!$D:$AM, 32, FALSE) / VLOOKUP("industry|SO2|Work loss days", US_national_yearly!$D:$AM, 10, FALSE), 1)</f>
        <v>0.41374022150506751</v>
      </c>
      <c r="Y15" s="7">
        <f>$B15 * IFERROR(VLOOKUP("industry|SO2|Work loss days", US_national_yearly!$D:$AM, 33, FALSE) / VLOOKUP("industry|SO2|Work loss days", US_national_yearly!$D:$AM, 10, FALSE), 1)</f>
        <v>0.41654964019815161</v>
      </c>
      <c r="Z15" s="7">
        <f>$B15 * IFERROR(VLOOKUP("industry|SO2|Work loss days", US_national_yearly!$D:$AM, 34, FALSE) / VLOOKUP("industry|SO2|Work loss days", US_national_yearly!$D:$AM, 10, FALSE), 1)</f>
        <v>0.41935905889123559</v>
      </c>
      <c r="AA15" s="7">
        <f>$B15 * IFERROR(VLOOKUP("industry|SO2|Work loss days", US_national_yearly!$D:$AM, 35, FALSE) / VLOOKUP("industry|SO2|Work loss days", US_national_yearly!$D:$AM, 10, FALSE), 1)</f>
        <v>0.42216847758431975</v>
      </c>
      <c r="AB15" s="7">
        <f>$B15 * IFERROR(VLOOKUP("industry|SO2|Work loss days", US_national_yearly!$D:$AM, 36, FALSE) / VLOOKUP("industry|SO2|Work loss days", US_national_yearly!$D:$AM, 10, FALSE), 1)</f>
        <v>0.42497789627740379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7.7464956090296576E-4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7.9807279190666767E-4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8.2149602291036979E-4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8.4491925391407181E-4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8.6834248491777393E-4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8.9079038876549508E-4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9.1323829261321624E-4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9.3249938016223138E-4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9.5176046771124664E-4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9.710215552602619E-4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9.9028264280927726E-4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1.0095437303582924E-3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1.0224843730554283E-3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1.0354250157525644E-3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1.0483656584497002E-3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1.0613063011468361E-3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1.0742469438439722E-3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1.081089454014091E-3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1.0879319641842104E-3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1.0947744743543292E-3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1.1016169845244484E-3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1.1084594946945674E-3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1.1130868457743517E-3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1.117714196854136E-3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1.1223415479339205E-3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1.1269688990137047E-3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1.131596250093489E-3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3.4230004473976005E-4</v>
      </c>
      <c r="C2" s="7">
        <f>$B2 * IFERROR(VLOOKUP("LULUCF|PM25|Premature mortality", US_national_yearly!$D:$AM, 11, FALSE) / VLOOKUP("LULUCF|PM25|Premature mortality", US_national_yearly!$D:$AM, 10, FALSE), 1)</f>
        <v>3.4654381514873138E-4</v>
      </c>
      <c r="D2" s="7">
        <f>$B2 * IFERROR(VLOOKUP("LULUCF|PM25|Premature mortality", US_national_yearly!$D:$AM, 12, FALSE) / VLOOKUP("LULUCF|PM25|Premature mortality", US_national_yearly!$D:$AM, 10, FALSE), 1)</f>
        <v>3.5078758555770261E-4</v>
      </c>
      <c r="E2" s="7">
        <f>$B2 * IFERROR(VLOOKUP("LULUCF|PM25|Premature mortality", US_national_yearly!$D:$AM, 13, FALSE) / VLOOKUP("LULUCF|PM25|Premature mortality", US_national_yearly!$D:$AM, 10, FALSE), 1)</f>
        <v>3.550313559666739E-4</v>
      </c>
      <c r="F2" s="7">
        <f>$B2 * IFERROR(VLOOKUP("LULUCF|PM25|Premature mortality", US_national_yearly!$D:$AM, 14, FALSE) / VLOOKUP("LULUCF|PM25|Premature mortality", US_national_yearly!$D:$AM, 10, FALSE), 1)</f>
        <v>3.5927512637564513E-4</v>
      </c>
      <c r="G2" s="7">
        <f>$B2 * IFERROR(VLOOKUP("LULUCF|PM25|Premature mortality", US_national_yearly!$D:$AM, 15, FALSE) / VLOOKUP("LULUCF|PM25|Premature mortality", US_national_yearly!$D:$AM, 10, FALSE), 1)</f>
        <v>3.6753983724135795E-4</v>
      </c>
      <c r="H2" s="7">
        <f>$B2 * IFERROR(VLOOKUP("LULUCF|PM25|Premature mortality", US_national_yearly!$D:$AM, 16, FALSE) / VLOOKUP("LULUCF|PM25|Premature mortality", US_national_yearly!$D:$AM, 10, FALSE), 1)</f>
        <v>3.7580454810707073E-4</v>
      </c>
      <c r="I2" s="7">
        <f>$B2 * IFERROR(VLOOKUP("LULUCF|PM25|Premature mortality", US_national_yearly!$D:$AM, 17, FALSE) / VLOOKUP("LULUCF|PM25|Premature mortality", US_national_yearly!$D:$AM, 10, FALSE), 1)</f>
        <v>3.8123315810779408E-4</v>
      </c>
      <c r="J2" s="7">
        <f>$B2 * IFERROR(VLOOKUP("LULUCF|PM25|Premature mortality", US_national_yearly!$D:$AM, 18, FALSE) / VLOOKUP("LULUCF|PM25|Premature mortality", US_national_yearly!$D:$AM, 10, FALSE), 1)</f>
        <v>3.8666176810851755E-4</v>
      </c>
      <c r="K2" s="7">
        <f>$B2 * IFERROR(VLOOKUP("LULUCF|PM25|Premature mortality", US_national_yearly!$D:$AM, 19, FALSE) / VLOOKUP("LULUCF|PM25|Premature mortality", US_national_yearly!$D:$AM, 10, FALSE), 1)</f>
        <v>3.9209037810924096E-4</v>
      </c>
      <c r="L2" s="7">
        <f>$B2 * IFERROR(VLOOKUP("LULUCF|PM25|Premature mortality", US_national_yearly!$D:$AM, 20, FALSE) / VLOOKUP("LULUCF|PM25|Premature mortality", US_national_yearly!$D:$AM, 10, FALSE), 1)</f>
        <v>3.9751898810996448E-4</v>
      </c>
      <c r="M2" s="7">
        <f>$B2 * IFERROR(VLOOKUP("LULUCF|PM25|Premature mortality", US_national_yearly!$D:$AM, 21, FALSE) / VLOOKUP("LULUCF|PM25|Premature mortality", US_national_yearly!$D:$AM, 10, FALSE), 1)</f>
        <v>4.0294759811068789E-4</v>
      </c>
      <c r="N2" s="7">
        <f>$B2 * IFERROR(VLOOKUP("LULUCF|PM25|Premature mortality", US_national_yearly!$D:$AM, 22, FALSE) / VLOOKUP("LULUCF|PM25|Premature mortality", US_national_yearly!$D:$AM, 10, FALSE), 1)</f>
        <v>4.0716256827758084E-4</v>
      </c>
      <c r="O2" s="7">
        <f>$B2 * IFERROR(VLOOKUP("LULUCF|PM25|Premature mortality", US_national_yearly!$D:$AM, 23, FALSE) / VLOOKUP("LULUCF|PM25|Premature mortality", US_national_yearly!$D:$AM, 10, FALSE), 1)</f>
        <v>4.1137753844447373E-4</v>
      </c>
      <c r="P2" s="7">
        <f>$B2 * IFERROR(VLOOKUP("LULUCF|PM25|Premature mortality", US_national_yearly!$D:$AM, 24, FALSE) / VLOOKUP("LULUCF|PM25|Premature mortality", US_national_yearly!$D:$AM, 10, FALSE), 1)</f>
        <v>4.1559250861136667E-4</v>
      </c>
      <c r="Q2" s="7">
        <f>$B2 * IFERROR(VLOOKUP("LULUCF|PM25|Premature mortality", US_national_yearly!$D:$AM, 25, FALSE) / VLOOKUP("LULUCF|PM25|Premature mortality", US_national_yearly!$D:$AM, 10, FALSE), 1)</f>
        <v>4.1980747877825957E-4</v>
      </c>
      <c r="R2" s="7">
        <f>$B2 * IFERROR(VLOOKUP("LULUCF|PM25|Premature mortality", US_national_yearly!$D:$AM, 26, FALSE) / VLOOKUP("LULUCF|PM25|Premature mortality", US_national_yearly!$D:$AM, 10, FALSE), 1)</f>
        <v>4.2402244894515257E-4</v>
      </c>
      <c r="S2" s="7">
        <f>$B2 * IFERROR(VLOOKUP("LULUCF|PM25|Premature mortality", US_national_yearly!$D:$AM, 27, FALSE) / VLOOKUP("LULUCF|PM25|Premature mortality", US_national_yearly!$D:$AM, 10, FALSE), 1)</f>
        <v>4.2625541490863474E-4</v>
      </c>
      <c r="T2" s="7">
        <f>$B2 * IFERROR(VLOOKUP("LULUCF|PM25|Premature mortality", US_national_yearly!$D:$AM, 28, FALSE) / VLOOKUP("LULUCF|PM25|Premature mortality", US_national_yearly!$D:$AM, 10, FALSE), 1)</f>
        <v>4.2848838087211687E-4</v>
      </c>
      <c r="U2" s="7">
        <f>$B2 * IFERROR(VLOOKUP("LULUCF|PM25|Premature mortality", US_national_yearly!$D:$AM, 29, FALSE) / VLOOKUP("LULUCF|PM25|Premature mortality", US_national_yearly!$D:$AM, 10, FALSE), 1)</f>
        <v>4.3072134683559899E-4</v>
      </c>
      <c r="V2" s="7">
        <f>$B2 * IFERROR(VLOOKUP("LULUCF|PM25|Premature mortality", US_national_yearly!$D:$AM, 30, FALSE) / VLOOKUP("LULUCF|PM25|Premature mortality", US_national_yearly!$D:$AM, 10, FALSE), 1)</f>
        <v>4.3295431279908111E-4</v>
      </c>
      <c r="W2" s="7">
        <f>$B2 * IFERROR(VLOOKUP("LULUCF|PM25|Premature mortality", US_national_yearly!$D:$AM, 31, FALSE) / VLOOKUP("LULUCF|PM25|Premature mortality", US_national_yearly!$D:$AM, 10, FALSE), 1)</f>
        <v>4.3518727876256324E-4</v>
      </c>
      <c r="X2" s="7">
        <f>$B2 * IFERROR(VLOOKUP("LULUCF|PM25|Premature mortality", US_national_yearly!$D:$AM, 32, FALSE) / VLOOKUP("LULUCF|PM25|Premature mortality", US_national_yearly!$D:$AM, 10, FALSE), 1)</f>
        <v>4.3557773013446638E-4</v>
      </c>
      <c r="Y2" s="7">
        <f>$B2 * IFERROR(VLOOKUP("LULUCF|PM25|Premature mortality", US_national_yearly!$D:$AM, 33, FALSE) / VLOOKUP("LULUCF|PM25|Premature mortality", US_national_yearly!$D:$AM, 10, FALSE), 1)</f>
        <v>4.3596818150636962E-4</v>
      </c>
      <c r="Z2" s="7">
        <f>$B2 * IFERROR(VLOOKUP("LULUCF|PM25|Premature mortality", US_national_yearly!$D:$AM, 34, FALSE) / VLOOKUP("LULUCF|PM25|Premature mortality", US_national_yearly!$D:$AM, 10, FALSE), 1)</f>
        <v>4.3635863287827282E-4</v>
      </c>
      <c r="AA2" s="7">
        <f>$B2 * IFERROR(VLOOKUP("LULUCF|PM25|Premature mortality", US_national_yearly!$D:$AM, 35, FALSE) / VLOOKUP("LULUCF|PM25|Premature mortality", US_national_yearly!$D:$AM, 10, FALSE), 1)</f>
        <v>4.3674908425017601E-4</v>
      </c>
      <c r="AB2" s="7">
        <f>$B2 * IFERROR(VLOOKUP("LULUCF|PM25|Premature mortality", US_national_yearly!$D:$AM, 36, FALSE) / VLOOKUP("LULUCF|PM25|Premature mortality", US_national_yearly!$D:$AM, 10, FALSE), 1)</f>
        <v>4.371395356220792E-4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7.2075001851763624E-7</v>
      </c>
      <c r="C3" s="7">
        <f>$B3 * IFERROR(VLOOKUP("LULUCF|PM25|Infant mortality", US_national_yearly!$D:$AM, 11, FALSE) / VLOOKUP("LULUCF|PM25|Infant mortality", US_national_yearly!$D:$AM, 10, FALSE), 1)</f>
        <v>7.1446573604524226E-7</v>
      </c>
      <c r="D3" s="7">
        <f>$B3 * IFERROR(VLOOKUP("LULUCF|PM25|Infant mortality", US_national_yearly!$D:$AM, 12, FALSE) / VLOOKUP("LULUCF|PM25|Infant mortality", US_national_yearly!$D:$AM, 10, FALSE), 1)</f>
        <v>7.0818145357284818E-7</v>
      </c>
      <c r="E3" s="7">
        <f>$B3 * IFERROR(VLOOKUP("LULUCF|PM25|Infant mortality", US_national_yearly!$D:$AM, 13, FALSE) / VLOOKUP("LULUCF|PM25|Infant mortality", US_national_yearly!$D:$AM, 10, FALSE), 1)</f>
        <v>7.018971711004542E-7</v>
      </c>
      <c r="F3" s="7">
        <f>$B3 * IFERROR(VLOOKUP("LULUCF|PM25|Infant mortality", US_national_yearly!$D:$AM, 14, FALSE) / VLOOKUP("LULUCF|PM25|Infant mortality", US_national_yearly!$D:$AM, 10, FALSE), 1)</f>
        <v>6.9561288862806002E-7</v>
      </c>
      <c r="G3" s="7">
        <f>$B3 * IFERROR(VLOOKUP("LULUCF|PM25|Infant mortality", US_national_yearly!$D:$AM, 15, FALSE) / VLOOKUP("LULUCF|PM25|Infant mortality", US_national_yearly!$D:$AM, 10, FALSE), 1)</f>
        <v>4.6261978063174983E-7</v>
      </c>
      <c r="H3" s="7">
        <f>$B3 * IFERROR(VLOOKUP("LULUCF|PM25|Infant mortality", US_national_yearly!$D:$AM, 16, FALSE) / VLOOKUP("LULUCF|PM25|Infant mortality", US_national_yearly!$D:$AM, 10, FALSE), 1)</f>
        <v>2.2962667263543951E-7</v>
      </c>
      <c r="I3" s="7">
        <f>$B3 * IFERROR(VLOOKUP("LULUCF|PM25|Infant mortality", US_national_yearly!$D:$AM, 17, FALSE) / VLOOKUP("LULUCF|PM25|Infant mortality", US_national_yearly!$D:$AM, 10, FALSE), 1)</f>
        <v>2.2812568302033054E-7</v>
      </c>
      <c r="J3" s="7">
        <f>$B3 * IFERROR(VLOOKUP("LULUCF|PM25|Infant mortality", US_national_yearly!$D:$AM, 18, FALSE) / VLOOKUP("LULUCF|PM25|Infant mortality", US_national_yearly!$D:$AM, 10, FALSE), 1)</f>
        <v>2.2662469340522157E-7</v>
      </c>
      <c r="K3" s="7">
        <f>$B3 * IFERROR(VLOOKUP("LULUCF|PM25|Infant mortality", US_national_yearly!$D:$AM, 19, FALSE) / VLOOKUP("LULUCF|PM25|Infant mortality", US_national_yearly!$D:$AM, 10, FALSE), 1)</f>
        <v>2.2512370379011258E-7</v>
      </c>
      <c r="L3" s="7">
        <f>$B3 * IFERROR(VLOOKUP("LULUCF|PM25|Infant mortality", US_national_yearly!$D:$AM, 20, FALSE) / VLOOKUP("LULUCF|PM25|Infant mortality", US_national_yearly!$D:$AM, 10, FALSE), 1)</f>
        <v>2.2362271417500364E-7</v>
      </c>
      <c r="M3" s="7">
        <f>$B3 * IFERROR(VLOOKUP("LULUCF|PM25|Infant mortality", US_national_yearly!$D:$AM, 21, FALSE) / VLOOKUP("LULUCF|PM25|Infant mortality", US_national_yearly!$D:$AM, 10, FALSE), 1)</f>
        <v>2.2212172455989469E-7</v>
      </c>
      <c r="N3" s="7">
        <f>$B3 * IFERROR(VLOOKUP("LULUCF|PM25|Infant mortality", US_national_yearly!$D:$AM, 22, FALSE) / VLOOKUP("LULUCF|PM25|Infant mortality", US_national_yearly!$D:$AM, 10, FALSE), 1)</f>
        <v>2.2117893690582638E-7</v>
      </c>
      <c r="O3" s="7">
        <f>$B3 * IFERROR(VLOOKUP("LULUCF|PM25|Infant mortality", US_national_yearly!$D:$AM, 23, FALSE) / VLOOKUP("LULUCF|PM25|Infant mortality", US_national_yearly!$D:$AM, 10, FALSE), 1)</f>
        <v>2.2023614925175812E-7</v>
      </c>
      <c r="P3" s="7">
        <f>$B3 * IFERROR(VLOOKUP("LULUCF|PM25|Infant mortality", US_national_yearly!$D:$AM, 24, FALSE) / VLOOKUP("LULUCF|PM25|Infant mortality", US_national_yearly!$D:$AM, 10, FALSE), 1)</f>
        <v>2.1929336159768978E-7</v>
      </c>
      <c r="Q3" s="7">
        <f>$B3 * IFERROR(VLOOKUP("LULUCF|PM25|Infant mortality", US_national_yearly!$D:$AM, 25, FALSE) / VLOOKUP("LULUCF|PM25|Infant mortality", US_national_yearly!$D:$AM, 10, FALSE), 1)</f>
        <v>2.1835057394362152E-7</v>
      </c>
      <c r="R3" s="7">
        <f>$B3 * IFERROR(VLOOKUP("LULUCF|PM25|Infant mortality", US_national_yearly!$D:$AM, 26, FALSE) / VLOOKUP("LULUCF|PM25|Infant mortality", US_national_yearly!$D:$AM, 10, FALSE), 1)</f>
        <v>2.1740778628955324E-7</v>
      </c>
      <c r="S3" s="7">
        <f>$B3 * IFERROR(VLOOKUP("LULUCF|PM25|Infant mortality", US_national_yearly!$D:$AM, 27, FALSE) / VLOOKUP("LULUCF|PM25|Infant mortality", US_national_yearly!$D:$AM, 10, FALSE), 1)</f>
        <v>2.1623258220195637E-7</v>
      </c>
      <c r="T3" s="7">
        <f>$B3 * IFERROR(VLOOKUP("LULUCF|PM25|Infant mortality", US_national_yearly!$D:$AM, 28, FALSE) / VLOOKUP("LULUCF|PM25|Infant mortality", US_national_yearly!$D:$AM, 10, FALSE), 1)</f>
        <v>2.1505737811435944E-7</v>
      </c>
      <c r="U3" s="7">
        <f>$B3 * IFERROR(VLOOKUP("LULUCF|PM25|Infant mortality", US_national_yearly!$D:$AM, 29, FALSE) / VLOOKUP("LULUCF|PM25|Infant mortality", US_national_yearly!$D:$AM, 10, FALSE), 1)</f>
        <v>2.1388217402676254E-7</v>
      </c>
      <c r="V3" s="7">
        <f>$B3 * IFERROR(VLOOKUP("LULUCF|PM25|Infant mortality", US_national_yearly!$D:$AM, 30, FALSE) / VLOOKUP("LULUCF|PM25|Infant mortality", US_national_yearly!$D:$AM, 10, FALSE), 1)</f>
        <v>2.1270696993916567E-7</v>
      </c>
      <c r="W3" s="7">
        <f>$B3 * IFERROR(VLOOKUP("LULUCF|PM25|Infant mortality", US_national_yearly!$D:$AM, 31, FALSE) / VLOOKUP("LULUCF|PM25|Infant mortality", US_national_yearly!$D:$AM, 10, FALSE), 1)</f>
        <v>2.1153176585156874E-7</v>
      </c>
      <c r="X3" s="7">
        <f>$B3 * IFERROR(VLOOKUP("LULUCF|PM25|Infant mortality", US_national_yearly!$D:$AM, 32, FALSE) / VLOOKUP("LULUCF|PM25|Infant mortality", US_national_yearly!$D:$AM, 10, FALSE), 1)</f>
        <v>2.1026474813748181E-7</v>
      </c>
      <c r="Y3" s="7">
        <f>$B3 * IFERROR(VLOOKUP("LULUCF|PM25|Infant mortality", US_national_yearly!$D:$AM, 33, FALSE) / VLOOKUP("LULUCF|PM25|Infant mortality", US_national_yearly!$D:$AM, 10, FALSE), 1)</f>
        <v>2.089977304233948E-7</v>
      </c>
      <c r="Z3" s="7">
        <f>$B3 * IFERROR(VLOOKUP("LULUCF|PM25|Infant mortality", US_national_yearly!$D:$AM, 34, FALSE) / VLOOKUP("LULUCF|PM25|Infant mortality", US_national_yearly!$D:$AM, 10, FALSE), 1)</f>
        <v>2.0773071270930786E-7</v>
      </c>
      <c r="AA3" s="7">
        <f>$B3 * IFERROR(VLOOKUP("LULUCF|PM25|Infant mortality", US_national_yearly!$D:$AM, 35, FALSE) / VLOOKUP("LULUCF|PM25|Infant mortality", US_national_yearly!$D:$AM, 10, FALSE), 1)</f>
        <v>2.0646369499522088E-7</v>
      </c>
      <c r="AB3" s="7">
        <f>$B3 * IFERROR(VLOOKUP("LULUCF|PM25|Infant mortality", US_national_yearly!$D:$AM, 36, FALSE) / VLOOKUP("LULUCF|PM25|Infant mortality", US_national_yearly!$D:$AM, 10, FALSE), 1)</f>
        <v>2.0519667728113394E-7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7.4103139273772457E-4</v>
      </c>
      <c r="C6" s="7">
        <f>$B6 * IFERROR(VLOOKUP("LULUCF|PM25|Asthma symptoms cough", US_national_yearly!$D:$AM, 11, FALSE) / VLOOKUP("LULUCF|PM25|Asthma symptoms cough", US_national_yearly!$D:$AM, 10, FALSE), 1)</f>
        <v>7.4103139273772457E-4</v>
      </c>
      <c r="D6" s="7">
        <f>$B6 * IFERROR(VLOOKUP("LULUCF|PM25|Asthma symptoms cough", US_national_yearly!$D:$AM, 12, FALSE) / VLOOKUP("LULUCF|PM25|Asthma symptoms cough", US_national_yearly!$D:$AM, 10, FALSE), 1)</f>
        <v>7.4103139273772457E-4</v>
      </c>
      <c r="E6" s="7">
        <f>$B6 * IFERROR(VLOOKUP("LULUCF|PM25|Asthma symptoms cough", US_national_yearly!$D:$AM, 13, FALSE) / VLOOKUP("LULUCF|PM25|Asthma symptoms cough", US_national_yearly!$D:$AM, 10, FALSE), 1)</f>
        <v>7.4103139273772457E-4</v>
      </c>
      <c r="F6" s="7">
        <f>$B6 * IFERROR(VLOOKUP("LULUCF|PM25|Asthma symptoms cough", US_national_yearly!$D:$AM, 14, FALSE) / VLOOKUP("LULUCF|PM25|Asthma symptoms cough", US_national_yearly!$D:$AM, 10, FALSE), 1)</f>
        <v>7.4103139273772457E-4</v>
      </c>
      <c r="G6" s="7">
        <f>$B6 * IFERROR(VLOOKUP("LULUCF|PM25|Asthma symptoms cough", US_national_yearly!$D:$AM, 15, FALSE) / VLOOKUP("LULUCF|PM25|Asthma symptoms cough", US_national_yearly!$D:$AM, 10, FALSE), 1)</f>
        <v>7.4103139273772457E-4</v>
      </c>
      <c r="H6" s="7">
        <f>$B6 * IFERROR(VLOOKUP("LULUCF|PM25|Asthma symptoms cough", US_national_yearly!$D:$AM, 16, FALSE) / VLOOKUP("LULUCF|PM25|Asthma symptoms cough", US_national_yearly!$D:$AM, 10, FALSE), 1)</f>
        <v>7.4103139273772457E-4</v>
      </c>
      <c r="I6" s="7">
        <f>$B6 * IFERROR(VLOOKUP("LULUCF|PM25|Asthma symptoms cough", US_national_yearly!$D:$AM, 17, FALSE) / VLOOKUP("LULUCF|PM25|Asthma symptoms cough", US_national_yearly!$D:$AM, 10, FALSE), 1)</f>
        <v>7.4103139273772457E-4</v>
      </c>
      <c r="J6" s="7">
        <f>$B6 * IFERROR(VLOOKUP("LULUCF|PM25|Asthma symptoms cough", US_national_yearly!$D:$AM, 18, FALSE) / VLOOKUP("LULUCF|PM25|Asthma symptoms cough", US_national_yearly!$D:$AM, 10, FALSE), 1)</f>
        <v>7.4103139273772457E-4</v>
      </c>
      <c r="K6" s="7">
        <f>$B6 * IFERROR(VLOOKUP("LULUCF|PM25|Asthma symptoms cough", US_national_yearly!$D:$AM, 19, FALSE) / VLOOKUP("LULUCF|PM25|Asthma symptoms cough", US_national_yearly!$D:$AM, 10, FALSE), 1)</f>
        <v>7.4103139273772457E-4</v>
      </c>
      <c r="L6" s="7">
        <f>$B6 * IFERROR(VLOOKUP("LULUCF|PM25|Asthma symptoms cough", US_national_yearly!$D:$AM, 20, FALSE) / VLOOKUP("LULUCF|PM25|Asthma symptoms cough", US_national_yearly!$D:$AM, 10, FALSE), 1)</f>
        <v>7.4103139273772457E-4</v>
      </c>
      <c r="M6" s="7">
        <f>$B6 * IFERROR(VLOOKUP("LULUCF|PM25|Asthma symptoms cough", US_national_yearly!$D:$AM, 21, FALSE) / VLOOKUP("LULUCF|PM25|Asthma symptoms cough", US_national_yearly!$D:$AM, 10, FALSE), 1)</f>
        <v>7.4103139273772457E-4</v>
      </c>
      <c r="N6" s="7">
        <f>$B6 * IFERROR(VLOOKUP("LULUCF|PM25|Asthma symptoms cough", US_national_yearly!$D:$AM, 22, FALSE) / VLOOKUP("LULUCF|PM25|Asthma symptoms cough", US_national_yearly!$D:$AM, 10, FALSE), 1)</f>
        <v>7.4103139273772457E-4</v>
      </c>
      <c r="O6" s="7">
        <f>$B6 * IFERROR(VLOOKUP("LULUCF|PM25|Asthma symptoms cough", US_national_yearly!$D:$AM, 23, FALSE) / VLOOKUP("LULUCF|PM25|Asthma symptoms cough", US_national_yearly!$D:$AM, 10, FALSE), 1)</f>
        <v>7.4103139273772457E-4</v>
      </c>
      <c r="P6" s="7">
        <f>$B6 * IFERROR(VLOOKUP("LULUCF|PM25|Asthma symptoms cough", US_national_yearly!$D:$AM, 24, FALSE) / VLOOKUP("LULUCF|PM25|Asthma symptoms cough", US_national_yearly!$D:$AM, 10, FALSE), 1)</f>
        <v>7.4103139273772457E-4</v>
      </c>
      <c r="Q6" s="7">
        <f>$B6 * IFERROR(VLOOKUP("LULUCF|PM25|Asthma symptoms cough", US_national_yearly!$D:$AM, 25, FALSE) / VLOOKUP("LULUCF|PM25|Asthma symptoms cough", US_national_yearly!$D:$AM, 10, FALSE), 1)</f>
        <v>7.4103139273772457E-4</v>
      </c>
      <c r="R6" s="7">
        <f>$B6 * IFERROR(VLOOKUP("LULUCF|PM25|Asthma symptoms cough", US_national_yearly!$D:$AM, 26, FALSE) / VLOOKUP("LULUCF|PM25|Asthma symptoms cough", US_national_yearly!$D:$AM, 10, FALSE), 1)</f>
        <v>7.4103139273772457E-4</v>
      </c>
      <c r="S6" s="7">
        <f>$B6 * IFERROR(VLOOKUP("LULUCF|PM25|Asthma symptoms cough", US_national_yearly!$D:$AM, 27, FALSE) / VLOOKUP("LULUCF|PM25|Asthma symptoms cough", US_national_yearly!$D:$AM, 10, FALSE), 1)</f>
        <v>7.4103139273772457E-4</v>
      </c>
      <c r="T6" s="7">
        <f>$B6 * IFERROR(VLOOKUP("LULUCF|PM25|Asthma symptoms cough", US_national_yearly!$D:$AM, 28, FALSE) / VLOOKUP("LULUCF|PM25|Asthma symptoms cough", US_national_yearly!$D:$AM, 10, FALSE), 1)</f>
        <v>7.4103139273772457E-4</v>
      </c>
      <c r="U6" s="7">
        <f>$B6 * IFERROR(VLOOKUP("LULUCF|PM25|Asthma symptoms cough", US_national_yearly!$D:$AM, 29, FALSE) / VLOOKUP("LULUCF|PM25|Asthma symptoms cough", US_national_yearly!$D:$AM, 10, FALSE), 1)</f>
        <v>7.4103139273772457E-4</v>
      </c>
      <c r="V6" s="7">
        <f>$B6 * IFERROR(VLOOKUP("LULUCF|PM25|Asthma symptoms cough", US_national_yearly!$D:$AM, 30, FALSE) / VLOOKUP("LULUCF|PM25|Asthma symptoms cough", US_national_yearly!$D:$AM, 10, FALSE), 1)</f>
        <v>7.4103139273772457E-4</v>
      </c>
      <c r="W6" s="7">
        <f>$B6 * IFERROR(VLOOKUP("LULUCF|PM25|Asthma symptoms cough", US_national_yearly!$D:$AM, 31, FALSE) / VLOOKUP("LULUCF|PM25|Asthma symptoms cough", US_national_yearly!$D:$AM, 10, FALSE), 1)</f>
        <v>7.4103139273772457E-4</v>
      </c>
      <c r="X6" s="7">
        <f>$B6 * IFERROR(VLOOKUP("LULUCF|PM25|Asthma symptoms cough", US_national_yearly!$D:$AM, 32, FALSE) / VLOOKUP("LULUCF|PM25|Asthma symptoms cough", US_national_yearly!$D:$AM, 10, FALSE), 1)</f>
        <v>7.4103139273772457E-4</v>
      </c>
      <c r="Y6" s="7">
        <f>$B6 * IFERROR(VLOOKUP("LULUCF|PM25|Asthma symptoms cough", US_national_yearly!$D:$AM, 33, FALSE) / VLOOKUP("LULUCF|PM25|Asthma symptoms cough", US_national_yearly!$D:$AM, 10, FALSE), 1)</f>
        <v>7.4103139273772457E-4</v>
      </c>
      <c r="Z6" s="7">
        <f>$B6 * IFERROR(VLOOKUP("LULUCF|PM25|Asthma symptoms cough", US_national_yearly!$D:$AM, 34, FALSE) / VLOOKUP("LULUCF|PM25|Asthma symptoms cough", US_national_yearly!$D:$AM, 10, FALSE), 1)</f>
        <v>7.4103139273772457E-4</v>
      </c>
      <c r="AA6" s="7">
        <f>$B6 * IFERROR(VLOOKUP("LULUCF|PM25|Asthma symptoms cough", US_national_yearly!$D:$AM, 35, FALSE) / VLOOKUP("LULUCF|PM25|Asthma symptoms cough", US_national_yearly!$D:$AM, 10, FALSE), 1)</f>
        <v>7.4103139273772457E-4</v>
      </c>
      <c r="AB6" s="7">
        <f>$B6 * IFERROR(VLOOKUP("LULUCF|PM25|Asthma symptoms cough", US_national_yearly!$D:$AM, 36, FALSE) / VLOOKUP("LULUCF|PM25|Asthma symptoms cough", US_national_yearly!$D:$AM, 10, FALSE), 1)</f>
        <v>7.4103139273772457E-4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9.9790683881702865E-4</v>
      </c>
      <c r="C7" s="7">
        <f>$B7 * IFERROR(VLOOKUP("LULUCF|PM25|Asthma symptoms shortness of breath", US_national_yearly!$D:$AM, 11, FALSE) / VLOOKUP("LULUCF|PM25|Asthma symptoms shortness of breath", US_national_yearly!$D:$AM, 10, FALSE), 1)</f>
        <v>9.9790683881702865E-4</v>
      </c>
      <c r="D7" s="7">
        <f>$B7 * IFERROR(VLOOKUP("LULUCF|PM25|Asthma symptoms shortness of breath", US_national_yearly!$D:$AM, 12, FALSE) / VLOOKUP("LULUCF|PM25|Asthma symptoms shortness of breath", US_national_yearly!$D:$AM, 10, FALSE), 1)</f>
        <v>9.9790683881702865E-4</v>
      </c>
      <c r="E7" s="7">
        <f>$B7 * IFERROR(VLOOKUP("LULUCF|PM25|Asthma symptoms shortness of breath", US_national_yearly!$D:$AM, 13, FALSE) / VLOOKUP("LULUCF|PM25|Asthma symptoms shortness of breath", US_national_yearly!$D:$AM, 10, FALSE), 1)</f>
        <v>9.9790683881702865E-4</v>
      </c>
      <c r="F7" s="7">
        <f>$B7 * IFERROR(VLOOKUP("LULUCF|PM25|Asthma symptoms shortness of breath", US_national_yearly!$D:$AM, 14, FALSE) / VLOOKUP("LULUCF|PM25|Asthma symptoms shortness of breath", US_national_yearly!$D:$AM, 10, FALSE), 1)</f>
        <v>9.9790683881702865E-4</v>
      </c>
      <c r="G7" s="7">
        <f>$B7 * IFERROR(VLOOKUP("LULUCF|PM25|Asthma symptoms shortness of breath", US_national_yearly!$D:$AM, 15, FALSE) / VLOOKUP("LULUCF|PM25|Asthma symptoms shortness of breath", US_national_yearly!$D:$AM, 10, FALSE), 1)</f>
        <v>9.9790683881702865E-4</v>
      </c>
      <c r="H7" s="7">
        <f>$B7 * IFERROR(VLOOKUP("LULUCF|PM25|Asthma symptoms shortness of breath", US_national_yearly!$D:$AM, 16, FALSE) / VLOOKUP("LULUCF|PM25|Asthma symptoms shortness of breath", US_national_yearly!$D:$AM, 10, FALSE), 1)</f>
        <v>9.9790683881702865E-4</v>
      </c>
      <c r="I7" s="7">
        <f>$B7 * IFERROR(VLOOKUP("LULUCF|PM25|Asthma symptoms shortness of breath", US_national_yearly!$D:$AM, 17, FALSE) / VLOOKUP("LULUCF|PM25|Asthma symptoms shortness of breath", US_national_yearly!$D:$AM, 10, FALSE), 1)</f>
        <v>9.9790683881702865E-4</v>
      </c>
      <c r="J7" s="7">
        <f>$B7 * IFERROR(VLOOKUP("LULUCF|PM25|Asthma symptoms shortness of breath", US_national_yearly!$D:$AM, 18, FALSE) / VLOOKUP("LULUCF|PM25|Asthma symptoms shortness of breath", US_national_yearly!$D:$AM, 10, FALSE), 1)</f>
        <v>9.9790683881702865E-4</v>
      </c>
      <c r="K7" s="7">
        <f>$B7 * IFERROR(VLOOKUP("LULUCF|PM25|Asthma symptoms shortness of breath", US_national_yearly!$D:$AM, 19, FALSE) / VLOOKUP("LULUCF|PM25|Asthma symptoms shortness of breath", US_national_yearly!$D:$AM, 10, FALSE), 1)</f>
        <v>9.9790683881702865E-4</v>
      </c>
      <c r="L7" s="7">
        <f>$B7 * IFERROR(VLOOKUP("LULUCF|PM25|Asthma symptoms shortness of breath", US_national_yearly!$D:$AM, 20, FALSE) / VLOOKUP("LULUCF|PM25|Asthma symptoms shortness of breath", US_national_yearly!$D:$AM, 10, FALSE), 1)</f>
        <v>9.9790683881702865E-4</v>
      </c>
      <c r="M7" s="7">
        <f>$B7 * IFERROR(VLOOKUP("LULUCF|PM25|Asthma symptoms shortness of breath", US_national_yearly!$D:$AM, 21, FALSE) / VLOOKUP("LULUCF|PM25|Asthma symptoms shortness of breath", US_national_yearly!$D:$AM, 10, FALSE), 1)</f>
        <v>9.9790683881702865E-4</v>
      </c>
      <c r="N7" s="7">
        <f>$B7 * IFERROR(VLOOKUP("LULUCF|PM25|Asthma symptoms shortness of breath", US_national_yearly!$D:$AM, 22, FALSE) / VLOOKUP("LULUCF|PM25|Asthma symptoms shortness of breath", US_national_yearly!$D:$AM, 10, FALSE), 1)</f>
        <v>9.9790683881702865E-4</v>
      </c>
      <c r="O7" s="7">
        <f>$B7 * IFERROR(VLOOKUP("LULUCF|PM25|Asthma symptoms shortness of breath", US_national_yearly!$D:$AM, 23, FALSE) / VLOOKUP("LULUCF|PM25|Asthma symptoms shortness of breath", US_national_yearly!$D:$AM, 10, FALSE), 1)</f>
        <v>9.9790683881702865E-4</v>
      </c>
      <c r="P7" s="7">
        <f>$B7 * IFERROR(VLOOKUP("LULUCF|PM25|Asthma symptoms shortness of breath", US_national_yearly!$D:$AM, 24, FALSE) / VLOOKUP("LULUCF|PM25|Asthma symptoms shortness of breath", US_national_yearly!$D:$AM, 10, FALSE), 1)</f>
        <v>9.9790683881702865E-4</v>
      </c>
      <c r="Q7" s="7">
        <f>$B7 * IFERROR(VLOOKUP("LULUCF|PM25|Asthma symptoms shortness of breath", US_national_yearly!$D:$AM, 25, FALSE) / VLOOKUP("LULUCF|PM25|Asthma symptoms shortness of breath", US_national_yearly!$D:$AM, 10, FALSE), 1)</f>
        <v>9.9790683881702865E-4</v>
      </c>
      <c r="R7" s="7">
        <f>$B7 * IFERROR(VLOOKUP("LULUCF|PM25|Asthma symptoms shortness of breath", US_national_yearly!$D:$AM, 26, FALSE) / VLOOKUP("LULUCF|PM25|Asthma symptoms shortness of breath", US_national_yearly!$D:$AM, 10, FALSE), 1)</f>
        <v>9.9790683881702865E-4</v>
      </c>
      <c r="S7" s="7">
        <f>$B7 * IFERROR(VLOOKUP("LULUCF|PM25|Asthma symptoms shortness of breath", US_national_yearly!$D:$AM, 27, FALSE) / VLOOKUP("LULUCF|PM25|Asthma symptoms shortness of breath", US_national_yearly!$D:$AM, 10, FALSE), 1)</f>
        <v>9.9790683881702865E-4</v>
      </c>
      <c r="T7" s="7">
        <f>$B7 * IFERROR(VLOOKUP("LULUCF|PM25|Asthma symptoms shortness of breath", US_national_yearly!$D:$AM, 28, FALSE) / VLOOKUP("LULUCF|PM25|Asthma symptoms shortness of breath", US_national_yearly!$D:$AM, 10, FALSE), 1)</f>
        <v>9.9790683881702865E-4</v>
      </c>
      <c r="U7" s="7">
        <f>$B7 * IFERROR(VLOOKUP("LULUCF|PM25|Asthma symptoms shortness of breath", US_national_yearly!$D:$AM, 29, FALSE) / VLOOKUP("LULUCF|PM25|Asthma symptoms shortness of breath", US_national_yearly!$D:$AM, 10, FALSE), 1)</f>
        <v>9.9790683881702865E-4</v>
      </c>
      <c r="V7" s="7">
        <f>$B7 * IFERROR(VLOOKUP("LULUCF|PM25|Asthma symptoms shortness of breath", US_national_yearly!$D:$AM, 30, FALSE) / VLOOKUP("LULUCF|PM25|Asthma symptoms shortness of breath", US_national_yearly!$D:$AM, 10, FALSE), 1)</f>
        <v>9.9790683881702865E-4</v>
      </c>
      <c r="W7" s="7">
        <f>$B7 * IFERROR(VLOOKUP("LULUCF|PM25|Asthma symptoms shortness of breath", US_national_yearly!$D:$AM, 31, FALSE) / VLOOKUP("LULUCF|PM25|Asthma symptoms shortness of breath", US_national_yearly!$D:$AM, 10, FALSE), 1)</f>
        <v>9.9790683881702865E-4</v>
      </c>
      <c r="X7" s="7">
        <f>$B7 * IFERROR(VLOOKUP("LULUCF|PM25|Asthma symptoms shortness of breath", US_national_yearly!$D:$AM, 32, FALSE) / VLOOKUP("LULUCF|PM25|Asthma symptoms shortness of breath", US_national_yearly!$D:$AM, 10, FALSE), 1)</f>
        <v>9.9790683881702865E-4</v>
      </c>
      <c r="Y7" s="7">
        <f>$B7 * IFERROR(VLOOKUP("LULUCF|PM25|Asthma symptoms shortness of breath", US_national_yearly!$D:$AM, 33, FALSE) / VLOOKUP("LULUCF|PM25|Asthma symptoms shortness of breath", US_national_yearly!$D:$AM, 10, FALSE), 1)</f>
        <v>9.9790683881702865E-4</v>
      </c>
      <c r="Z7" s="7">
        <f>$B7 * IFERROR(VLOOKUP("LULUCF|PM25|Asthma symptoms shortness of breath", US_national_yearly!$D:$AM, 34, FALSE) / VLOOKUP("LULUCF|PM25|Asthma symptoms shortness of breath", US_national_yearly!$D:$AM, 10, FALSE), 1)</f>
        <v>9.9790683881702865E-4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9.9790683881702865E-4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9.9790683881702865E-4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1.524630596813775E-3</v>
      </c>
      <c r="C8" s="7">
        <f>$B8 * IFERROR(VLOOKUP("LULUCF|PM25|Asthma symptoms wheeze", US_national_yearly!$D:$AM, 11, FALSE) / VLOOKUP("LULUCF|PM25|Asthma symptoms wheeze", US_national_yearly!$D:$AM, 10, FALSE), 1)</f>
        <v>1.524630596813775E-3</v>
      </c>
      <c r="D8" s="7">
        <f>$B8 * IFERROR(VLOOKUP("LULUCF|PM25|Asthma symptoms wheeze", US_national_yearly!$D:$AM, 12, FALSE) / VLOOKUP("LULUCF|PM25|Asthma symptoms wheeze", US_national_yearly!$D:$AM, 10, FALSE), 1)</f>
        <v>1.524630596813775E-3</v>
      </c>
      <c r="E8" s="7">
        <f>$B8 * IFERROR(VLOOKUP("LULUCF|PM25|Asthma symptoms wheeze", US_national_yearly!$D:$AM, 13, FALSE) / VLOOKUP("LULUCF|PM25|Asthma symptoms wheeze", US_national_yearly!$D:$AM, 10, FALSE), 1)</f>
        <v>1.524630596813775E-3</v>
      </c>
      <c r="F8" s="7">
        <f>$B8 * IFERROR(VLOOKUP("LULUCF|PM25|Asthma symptoms wheeze", US_national_yearly!$D:$AM, 14, FALSE) / VLOOKUP("LULUCF|PM25|Asthma symptoms wheeze", US_national_yearly!$D:$AM, 10, FALSE), 1)</f>
        <v>1.524630596813775E-3</v>
      </c>
      <c r="G8" s="7">
        <f>$B8 * IFERROR(VLOOKUP("LULUCF|PM25|Asthma symptoms wheeze", US_national_yearly!$D:$AM, 15, FALSE) / VLOOKUP("LULUCF|PM25|Asthma symptoms wheeze", US_national_yearly!$D:$AM, 10, FALSE), 1)</f>
        <v>1.524630596813775E-3</v>
      </c>
      <c r="H8" s="7">
        <f>$B8 * IFERROR(VLOOKUP("LULUCF|PM25|Asthma symptoms wheeze", US_national_yearly!$D:$AM, 16, FALSE) / VLOOKUP("LULUCF|PM25|Asthma symptoms wheeze", US_national_yearly!$D:$AM, 10, FALSE), 1)</f>
        <v>1.524630596813775E-3</v>
      </c>
      <c r="I8" s="7">
        <f>$B8 * IFERROR(VLOOKUP("LULUCF|PM25|Asthma symptoms wheeze", US_national_yearly!$D:$AM, 17, FALSE) / VLOOKUP("LULUCF|PM25|Asthma symptoms wheeze", US_national_yearly!$D:$AM, 10, FALSE), 1)</f>
        <v>1.524630596813775E-3</v>
      </c>
      <c r="J8" s="7">
        <f>$B8 * IFERROR(VLOOKUP("LULUCF|PM25|Asthma symptoms wheeze", US_national_yearly!$D:$AM, 18, FALSE) / VLOOKUP("LULUCF|PM25|Asthma symptoms wheeze", US_national_yearly!$D:$AM, 10, FALSE), 1)</f>
        <v>1.524630596813775E-3</v>
      </c>
      <c r="K8" s="7">
        <f>$B8 * IFERROR(VLOOKUP("LULUCF|PM25|Asthma symptoms wheeze", US_national_yearly!$D:$AM, 19, FALSE) / VLOOKUP("LULUCF|PM25|Asthma symptoms wheeze", US_national_yearly!$D:$AM, 10, FALSE), 1)</f>
        <v>1.524630596813775E-3</v>
      </c>
      <c r="L8" s="7">
        <f>$B8 * IFERROR(VLOOKUP("LULUCF|PM25|Asthma symptoms wheeze", US_national_yearly!$D:$AM, 20, FALSE) / VLOOKUP("LULUCF|PM25|Asthma symptoms wheeze", US_national_yearly!$D:$AM, 10, FALSE), 1)</f>
        <v>1.524630596813775E-3</v>
      </c>
      <c r="M8" s="7">
        <f>$B8 * IFERROR(VLOOKUP("LULUCF|PM25|Asthma symptoms wheeze", US_national_yearly!$D:$AM, 21, FALSE) / VLOOKUP("LULUCF|PM25|Asthma symptoms wheeze", US_national_yearly!$D:$AM, 10, FALSE), 1)</f>
        <v>1.524630596813775E-3</v>
      </c>
      <c r="N8" s="7">
        <f>$B8 * IFERROR(VLOOKUP("LULUCF|PM25|Asthma symptoms wheeze", US_national_yearly!$D:$AM, 22, FALSE) / VLOOKUP("LULUCF|PM25|Asthma symptoms wheeze", US_national_yearly!$D:$AM, 10, FALSE), 1)</f>
        <v>1.524630596813775E-3</v>
      </c>
      <c r="O8" s="7">
        <f>$B8 * IFERROR(VLOOKUP("LULUCF|PM25|Asthma symptoms wheeze", US_national_yearly!$D:$AM, 23, FALSE) / VLOOKUP("LULUCF|PM25|Asthma symptoms wheeze", US_national_yearly!$D:$AM, 10, FALSE), 1)</f>
        <v>1.524630596813775E-3</v>
      </c>
      <c r="P8" s="7">
        <f>$B8 * IFERROR(VLOOKUP("LULUCF|PM25|Asthma symptoms wheeze", US_national_yearly!$D:$AM, 24, FALSE) / VLOOKUP("LULUCF|PM25|Asthma symptoms wheeze", US_national_yearly!$D:$AM, 10, FALSE), 1)</f>
        <v>1.524630596813775E-3</v>
      </c>
      <c r="Q8" s="7">
        <f>$B8 * IFERROR(VLOOKUP("LULUCF|PM25|Asthma symptoms wheeze", US_national_yearly!$D:$AM, 25, FALSE) / VLOOKUP("LULUCF|PM25|Asthma symptoms wheeze", US_national_yearly!$D:$AM, 10, FALSE), 1)</f>
        <v>1.524630596813775E-3</v>
      </c>
      <c r="R8" s="7">
        <f>$B8 * IFERROR(VLOOKUP("LULUCF|PM25|Asthma symptoms wheeze", US_national_yearly!$D:$AM, 26, FALSE) / VLOOKUP("LULUCF|PM25|Asthma symptoms wheeze", US_national_yearly!$D:$AM, 10, FALSE), 1)</f>
        <v>1.524630596813775E-3</v>
      </c>
      <c r="S8" s="7">
        <f>$B8 * IFERROR(VLOOKUP("LULUCF|PM25|Asthma symptoms wheeze", US_national_yearly!$D:$AM, 27, FALSE) / VLOOKUP("LULUCF|PM25|Asthma symptoms wheeze", US_national_yearly!$D:$AM, 10, FALSE), 1)</f>
        <v>1.524630596813775E-3</v>
      </c>
      <c r="T8" s="7">
        <f>$B8 * IFERROR(VLOOKUP("LULUCF|PM25|Asthma symptoms wheeze", US_national_yearly!$D:$AM, 28, FALSE) / VLOOKUP("LULUCF|PM25|Asthma symptoms wheeze", US_national_yearly!$D:$AM, 10, FALSE), 1)</f>
        <v>1.524630596813775E-3</v>
      </c>
      <c r="U8" s="7">
        <f>$B8 * IFERROR(VLOOKUP("LULUCF|PM25|Asthma symptoms wheeze", US_national_yearly!$D:$AM, 29, FALSE) / VLOOKUP("LULUCF|PM25|Asthma symptoms wheeze", US_national_yearly!$D:$AM, 10, FALSE), 1)</f>
        <v>1.524630596813775E-3</v>
      </c>
      <c r="V8" s="7">
        <f>$B8 * IFERROR(VLOOKUP("LULUCF|PM25|Asthma symptoms wheeze", US_national_yearly!$D:$AM, 30, FALSE) / VLOOKUP("LULUCF|PM25|Asthma symptoms wheeze", US_national_yearly!$D:$AM, 10, FALSE), 1)</f>
        <v>1.524630596813775E-3</v>
      </c>
      <c r="W8" s="7">
        <f>$B8 * IFERROR(VLOOKUP("LULUCF|PM25|Asthma symptoms wheeze", US_national_yearly!$D:$AM, 31, FALSE) / VLOOKUP("LULUCF|PM25|Asthma symptoms wheeze", US_national_yearly!$D:$AM, 10, FALSE), 1)</f>
        <v>1.524630596813775E-3</v>
      </c>
      <c r="X8" s="7">
        <f>$B8 * IFERROR(VLOOKUP("LULUCF|PM25|Asthma symptoms wheeze", US_national_yearly!$D:$AM, 32, FALSE) / VLOOKUP("LULUCF|PM25|Asthma symptoms wheeze", US_national_yearly!$D:$AM, 10, FALSE), 1)</f>
        <v>1.524630596813775E-3</v>
      </c>
      <c r="Y8" s="7">
        <f>$B8 * IFERROR(VLOOKUP("LULUCF|PM25|Asthma symptoms wheeze", US_national_yearly!$D:$AM, 33, FALSE) / VLOOKUP("LULUCF|PM25|Asthma symptoms wheeze", US_national_yearly!$D:$AM, 10, FALSE), 1)</f>
        <v>1.524630596813775E-3</v>
      </c>
      <c r="Z8" s="7">
        <f>$B8 * IFERROR(VLOOKUP("LULUCF|PM25|Asthma symptoms wheeze", US_national_yearly!$D:$AM, 34, FALSE) / VLOOKUP("LULUCF|PM25|Asthma symptoms wheeze", US_national_yearly!$D:$AM, 10, FALSE), 1)</f>
        <v>1.524630596813775E-3</v>
      </c>
      <c r="AA8" s="7">
        <f>$B8 * IFERROR(VLOOKUP("LULUCF|PM25|Asthma symptoms wheeze", US_national_yearly!$D:$AM, 35, FALSE) / VLOOKUP("LULUCF|PM25|Asthma symptoms wheeze", US_national_yearly!$D:$AM, 10, FALSE), 1)</f>
        <v>1.524630596813775E-3</v>
      </c>
      <c r="AB8" s="7">
        <f>$B8 * IFERROR(VLOOKUP("LULUCF|PM25|Asthma symptoms wheeze", US_national_yearly!$D:$AM, 36, FALSE) / VLOOKUP("LULUCF|PM25|Asthma symptoms wheeze", US_national_yearly!$D:$AM, 10, FALSE), 1)</f>
        <v>1.524630596813775E-3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2.568436681782133E-5</v>
      </c>
      <c r="C12" s="7">
        <f>$B12 * IFERROR(VLOOKUP("LULUCF|PM25|Respiratory hospital admissions", US_national_yearly!$D:$AM, 11, FALSE) / VLOOKUP("LULUCF|PM25|Respiratory hospital admissions", US_national_yearly!$D:$AM, 10, FALSE), 1)</f>
        <v>2.5831579256158468E-5</v>
      </c>
      <c r="D12" s="7">
        <f>$B12 * IFERROR(VLOOKUP("LULUCF|PM25|Respiratory hospital admissions", US_national_yearly!$D:$AM, 12, FALSE) / VLOOKUP("LULUCF|PM25|Respiratory hospital admissions", US_national_yearly!$D:$AM, 10, FALSE), 1)</f>
        <v>2.59787916944956E-5</v>
      </c>
      <c r="E12" s="7">
        <f>$B12 * IFERROR(VLOOKUP("LULUCF|PM25|Respiratory hospital admissions", US_national_yearly!$D:$AM, 13, FALSE) / VLOOKUP("LULUCF|PM25|Respiratory hospital admissions", US_national_yearly!$D:$AM, 10, FALSE), 1)</f>
        <v>2.6126004132832738E-5</v>
      </c>
      <c r="F12" s="7">
        <f>$B12 * IFERROR(VLOOKUP("LULUCF|PM25|Respiratory hospital admissions", US_national_yearly!$D:$AM, 14, FALSE) / VLOOKUP("LULUCF|PM25|Respiratory hospital admissions", US_national_yearly!$D:$AM, 10, FALSE), 1)</f>
        <v>2.6273216571169869E-5</v>
      </c>
      <c r="G12" s="7">
        <f>$B12 * IFERROR(VLOOKUP("LULUCF|PM25|Respiratory hospital admissions", US_national_yearly!$D:$AM, 15, FALSE) / VLOOKUP("LULUCF|PM25|Respiratory hospital admissions", US_national_yearly!$D:$AM, 10, FALSE), 1)</f>
        <v>2.6432212283961114E-5</v>
      </c>
      <c r="H12" s="7">
        <f>$B12 * IFERROR(VLOOKUP("LULUCF|PM25|Respiratory hospital admissions", US_national_yearly!$D:$AM, 16, FALSE) / VLOOKUP("LULUCF|PM25|Respiratory hospital admissions", US_national_yearly!$D:$AM, 10, FALSE), 1)</f>
        <v>2.6591207996752363E-5</v>
      </c>
      <c r="I12" s="7">
        <f>$B12 * IFERROR(VLOOKUP("LULUCF|PM25|Respiratory hospital admissions", US_national_yearly!$D:$AM, 17, FALSE) / VLOOKUP("LULUCF|PM25|Respiratory hospital admissions", US_national_yearly!$D:$AM, 10, FALSE), 1)</f>
        <v>2.6743122359518881E-5</v>
      </c>
      <c r="J12" s="7">
        <f>$B12 * IFERROR(VLOOKUP("LULUCF|PM25|Respiratory hospital admissions", US_national_yearly!$D:$AM, 18, FALSE) / VLOOKUP("LULUCF|PM25|Respiratory hospital admissions", US_national_yearly!$D:$AM, 10, FALSE), 1)</f>
        <v>2.6895036722285409E-5</v>
      </c>
      <c r="K12" s="7">
        <f>$B12 * IFERROR(VLOOKUP("LULUCF|PM25|Respiratory hospital admissions", US_national_yearly!$D:$AM, 19, FALSE) / VLOOKUP("LULUCF|PM25|Respiratory hospital admissions", US_national_yearly!$D:$AM, 10, FALSE), 1)</f>
        <v>2.704695108505193E-5</v>
      </c>
      <c r="L12" s="7">
        <f>$B12 * IFERROR(VLOOKUP("LULUCF|PM25|Respiratory hospital admissions", US_national_yearly!$D:$AM, 20, FALSE) / VLOOKUP("LULUCF|PM25|Respiratory hospital admissions", US_national_yearly!$D:$AM, 10, FALSE), 1)</f>
        <v>2.7198865447818458E-5</v>
      </c>
      <c r="M12" s="7">
        <f>$B12 * IFERROR(VLOOKUP("LULUCF|PM25|Respiratory hospital admissions", US_national_yearly!$D:$AM, 21, FALSE) / VLOOKUP("LULUCF|PM25|Respiratory hospital admissions", US_national_yearly!$D:$AM, 10, FALSE), 1)</f>
        <v>2.7350779810584976E-5</v>
      </c>
      <c r="N12" s="7">
        <f>$B12 * IFERROR(VLOOKUP("LULUCF|PM25|Respiratory hospital admissions", US_national_yearly!$D:$AM, 22, FALSE) / VLOOKUP("LULUCF|PM25|Respiratory hospital admissions", US_national_yearly!$D:$AM, 10, FALSE), 1)</f>
        <v>2.745981318188147E-5</v>
      </c>
      <c r="O12" s="7">
        <f>$B12 * IFERROR(VLOOKUP("LULUCF|PM25|Respiratory hospital admissions", US_national_yearly!$D:$AM, 23, FALSE) / VLOOKUP("LULUCF|PM25|Respiratory hospital admissions", US_national_yearly!$D:$AM, 10, FALSE), 1)</f>
        <v>2.7568846553177958E-5</v>
      </c>
      <c r="P12" s="7">
        <f>$B12 * IFERROR(VLOOKUP("LULUCF|PM25|Respiratory hospital admissions", US_national_yearly!$D:$AM, 24, FALSE) / VLOOKUP("LULUCF|PM25|Respiratory hospital admissions", US_national_yearly!$D:$AM, 10, FALSE), 1)</f>
        <v>2.7677879924474439E-5</v>
      </c>
      <c r="Q12" s="7">
        <f>$B12 * IFERROR(VLOOKUP("LULUCF|PM25|Respiratory hospital admissions", US_national_yearly!$D:$AM, 25, FALSE) / VLOOKUP("LULUCF|PM25|Respiratory hospital admissions", US_national_yearly!$D:$AM, 10, FALSE), 1)</f>
        <v>2.7786913295770927E-5</v>
      </c>
      <c r="R12" s="7">
        <f>$B12 * IFERROR(VLOOKUP("LULUCF|PM25|Respiratory hospital admissions", US_national_yearly!$D:$AM, 26, FALSE) / VLOOKUP("LULUCF|PM25|Respiratory hospital admissions", US_national_yearly!$D:$AM, 10, FALSE), 1)</f>
        <v>2.7895946667067422E-5</v>
      </c>
      <c r="S12" s="7">
        <f>$B12 * IFERROR(VLOOKUP("LULUCF|PM25|Respiratory hospital admissions", US_national_yearly!$D:$AM, 27, FALSE) / VLOOKUP("LULUCF|PM25|Respiratory hospital admissions", US_national_yearly!$D:$AM, 10, FALSE), 1)</f>
        <v>2.7999760803636786E-5</v>
      </c>
      <c r="T12" s="7">
        <f>$B12 * IFERROR(VLOOKUP("LULUCF|PM25|Respiratory hospital admissions", US_national_yearly!$D:$AM, 28, FALSE) / VLOOKUP("LULUCF|PM25|Respiratory hospital admissions", US_national_yearly!$D:$AM, 10, FALSE), 1)</f>
        <v>2.8103574940206157E-5</v>
      </c>
      <c r="U12" s="7">
        <f>$B12 * IFERROR(VLOOKUP("LULUCF|PM25|Respiratory hospital admissions", US_national_yearly!$D:$AM, 29, FALSE) / VLOOKUP("LULUCF|PM25|Respiratory hospital admissions", US_national_yearly!$D:$AM, 10, FALSE), 1)</f>
        <v>2.8207389076775517E-5</v>
      </c>
      <c r="V12" s="7">
        <f>$B12 * IFERROR(VLOOKUP("LULUCF|PM25|Respiratory hospital admissions", US_national_yearly!$D:$AM, 30, FALSE) / VLOOKUP("LULUCF|PM25|Respiratory hospital admissions", US_national_yearly!$D:$AM, 10, FALSE), 1)</f>
        <v>2.8311203213344881E-5</v>
      </c>
      <c r="W12" s="7">
        <f>$B12 * IFERROR(VLOOKUP("LULUCF|PM25|Respiratory hospital admissions", US_national_yearly!$D:$AM, 31, FALSE) / VLOOKUP("LULUCF|PM25|Respiratory hospital admissions", US_national_yearly!$D:$AM, 10, FALSE), 1)</f>
        <v>2.8415017349914245E-5</v>
      </c>
      <c r="X12" s="7">
        <f>$B12 * IFERROR(VLOOKUP("LULUCF|PM25|Respiratory hospital admissions", US_national_yearly!$D:$AM, 32, FALSE) / VLOOKUP("LULUCF|PM25|Respiratory hospital admissions", US_national_yearly!$D:$AM, 10, FALSE), 1)</f>
        <v>2.8514887873564768E-5</v>
      </c>
      <c r="Y12" s="7">
        <f>$B12 * IFERROR(VLOOKUP("LULUCF|PM25|Respiratory hospital admissions", US_national_yearly!$D:$AM, 33, FALSE) / VLOOKUP("LULUCF|PM25|Respiratory hospital admissions", US_national_yearly!$D:$AM, 10, FALSE), 1)</f>
        <v>2.8614758397215278E-5</v>
      </c>
      <c r="Z12" s="7">
        <f>$B12 * IFERROR(VLOOKUP("LULUCF|PM25|Respiratory hospital admissions", US_national_yearly!$D:$AM, 34, FALSE) / VLOOKUP("LULUCF|PM25|Respiratory hospital admissions", US_national_yearly!$D:$AM, 10, FALSE), 1)</f>
        <v>2.8714628920865795E-5</v>
      </c>
      <c r="AA12" s="7">
        <f>$B12 * IFERROR(VLOOKUP("LULUCF|PM25|Respiratory hospital admissions", US_national_yearly!$D:$AM, 35, FALSE) / VLOOKUP("LULUCF|PM25|Respiratory hospital admissions", US_national_yearly!$D:$AM, 10, FALSE), 1)</f>
        <v>2.8814499444516305E-5</v>
      </c>
      <c r="AB12" s="7">
        <f>$B12 * IFERROR(VLOOKUP("LULUCF|PM25|Respiratory hospital admissions", US_national_yearly!$D:$AM, 36, FALSE) / VLOOKUP("LULUCF|PM25|Respiratory hospital admissions", US_national_yearly!$D:$AM, 10, FALSE), 1)</f>
        <v>2.8914369968166821E-5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1.6005999418890697E-4</v>
      </c>
      <c r="C13" s="7">
        <f>$B13 * IFERROR(VLOOKUP("LULUCF|PM25|Non-fatal heart attacks", US_national_yearly!$D:$AM, 11, FALSE) / VLOOKUP("LULUCF|PM25|Non-fatal heart attacks", US_national_yearly!$D:$AM, 10, FALSE), 1)</f>
        <v>1.6471336297059041E-4</v>
      </c>
      <c r="D13" s="7">
        <f>$B13 * IFERROR(VLOOKUP("LULUCF|PM25|Non-fatal heart attacks", US_national_yearly!$D:$AM, 12, FALSE) / VLOOKUP("LULUCF|PM25|Non-fatal heart attacks", US_national_yearly!$D:$AM, 10, FALSE), 1)</f>
        <v>1.6936673175227382E-4</v>
      </c>
      <c r="E13" s="7">
        <f>$B13 * IFERROR(VLOOKUP("LULUCF|PM25|Non-fatal heart attacks", US_national_yearly!$D:$AM, 13, FALSE) / VLOOKUP("LULUCF|PM25|Non-fatal heart attacks", US_national_yearly!$D:$AM, 10, FALSE), 1)</f>
        <v>1.7402010053395721E-4</v>
      </c>
      <c r="F13" s="7">
        <f>$B13 * IFERROR(VLOOKUP("LULUCF|PM25|Non-fatal heart attacks", US_national_yearly!$D:$AM, 14, FALSE) / VLOOKUP("LULUCF|PM25|Non-fatal heart attacks", US_national_yearly!$D:$AM, 10, FALSE), 1)</f>
        <v>1.7867346931564067E-4</v>
      </c>
      <c r="G13" s="7">
        <f>$B13 * IFERROR(VLOOKUP("LULUCF|PM25|Non-fatal heart attacks", US_national_yearly!$D:$AM, 15, FALSE) / VLOOKUP("LULUCF|PM25|Non-fatal heart attacks", US_national_yearly!$D:$AM, 10, FALSE), 1)</f>
        <v>1.8306189025703922E-4</v>
      </c>
      <c r="H13" s="7">
        <f>$B13 * IFERROR(VLOOKUP("LULUCF|PM25|Non-fatal heart attacks", US_national_yearly!$D:$AM, 16, FALSE) / VLOOKUP("LULUCF|PM25|Non-fatal heart attacks", US_national_yearly!$D:$AM, 10, FALSE), 1)</f>
        <v>1.8745031119843771E-4</v>
      </c>
      <c r="I13" s="7">
        <f>$B13 * IFERROR(VLOOKUP("LULUCF|PM25|Non-fatal heart attacks", US_national_yearly!$D:$AM, 17, FALSE) / VLOOKUP("LULUCF|PM25|Non-fatal heart attacks", US_national_yearly!$D:$AM, 10, FALSE), 1)</f>
        <v>1.9097714136628722E-4</v>
      </c>
      <c r="J13" s="7">
        <f>$B13 * IFERROR(VLOOKUP("LULUCF|PM25|Non-fatal heart attacks", US_national_yearly!$D:$AM, 18, FALSE) / VLOOKUP("LULUCF|PM25|Non-fatal heart attacks", US_national_yearly!$D:$AM, 10, FALSE), 1)</f>
        <v>1.9450397153413675E-4</v>
      </c>
      <c r="K13" s="7">
        <f>$B13 * IFERROR(VLOOKUP("LULUCF|PM25|Non-fatal heart attacks", US_national_yearly!$D:$AM, 19, FALSE) / VLOOKUP("LULUCF|PM25|Non-fatal heart attacks", US_national_yearly!$D:$AM, 10, FALSE), 1)</f>
        <v>1.9803080170198629E-4</v>
      </c>
      <c r="L13" s="7">
        <f>$B13 * IFERROR(VLOOKUP("LULUCF|PM25|Non-fatal heart attacks", US_national_yearly!$D:$AM, 20, FALSE) / VLOOKUP("LULUCF|PM25|Non-fatal heart attacks", US_national_yearly!$D:$AM, 10, FALSE), 1)</f>
        <v>2.015576318698358E-4</v>
      </c>
      <c r="M13" s="7">
        <f>$B13 * IFERROR(VLOOKUP("LULUCF|PM25|Non-fatal heart attacks", US_national_yearly!$D:$AM, 21, FALSE) / VLOOKUP("LULUCF|PM25|Non-fatal heart attacks", US_national_yearly!$D:$AM, 10, FALSE), 1)</f>
        <v>2.0508446203768536E-4</v>
      </c>
      <c r="N13" s="7">
        <f>$B13 * IFERROR(VLOOKUP("LULUCF|PM25|Non-fatal heart attacks", US_national_yearly!$D:$AM, 22, FALSE) / VLOOKUP("LULUCF|PM25|Non-fatal heart attacks", US_national_yearly!$D:$AM, 10, FALSE), 1)</f>
        <v>2.0735891923741163E-4</v>
      </c>
      <c r="O13" s="7">
        <f>$B13 * IFERROR(VLOOKUP("LULUCF|PM25|Non-fatal heart attacks", US_national_yearly!$D:$AM, 23, FALSE) / VLOOKUP("LULUCF|PM25|Non-fatal heart attacks", US_national_yearly!$D:$AM, 10, FALSE), 1)</f>
        <v>2.0963337643713795E-4</v>
      </c>
      <c r="P13" s="7">
        <f>$B13 * IFERROR(VLOOKUP("LULUCF|PM25|Non-fatal heart attacks", US_national_yearly!$D:$AM, 24, FALSE) / VLOOKUP("LULUCF|PM25|Non-fatal heart attacks", US_national_yearly!$D:$AM, 10, FALSE), 1)</f>
        <v>2.1190783363686427E-4</v>
      </c>
      <c r="Q13" s="7">
        <f>$B13 * IFERROR(VLOOKUP("LULUCF|PM25|Non-fatal heart attacks", US_national_yearly!$D:$AM, 25, FALSE) / VLOOKUP("LULUCF|PM25|Non-fatal heart attacks", US_national_yearly!$D:$AM, 10, FALSE), 1)</f>
        <v>2.1418229083659053E-4</v>
      </c>
      <c r="R13" s="7">
        <f>$B13 * IFERROR(VLOOKUP("LULUCF|PM25|Non-fatal heart attacks", US_national_yearly!$D:$AM, 26, FALSE) / VLOOKUP("LULUCF|PM25|Non-fatal heart attacks", US_national_yearly!$D:$AM, 10, FALSE), 1)</f>
        <v>2.1645674803631685E-4</v>
      </c>
      <c r="S13" s="7">
        <f>$B13 * IFERROR(VLOOKUP("LULUCF|PM25|Non-fatal heart attacks", US_national_yearly!$D:$AM, 27, FALSE) / VLOOKUP("LULUCF|PM25|Non-fatal heart attacks", US_national_yearly!$D:$AM, 10, FALSE), 1)</f>
        <v>2.1765454217843899E-4</v>
      </c>
      <c r="T13" s="7">
        <f>$B13 * IFERROR(VLOOKUP("LULUCF|PM25|Non-fatal heart attacks", US_national_yearly!$D:$AM, 28, FALSE) / VLOOKUP("LULUCF|PM25|Non-fatal heart attacks", US_national_yearly!$D:$AM, 10, FALSE), 1)</f>
        <v>2.188523363205612E-4</v>
      </c>
      <c r="U13" s="7">
        <f>$B13 * IFERROR(VLOOKUP("LULUCF|PM25|Non-fatal heart attacks", US_national_yearly!$D:$AM, 29, FALSE) / VLOOKUP("LULUCF|PM25|Non-fatal heart attacks", US_national_yearly!$D:$AM, 10, FALSE), 1)</f>
        <v>2.2005013046268342E-4</v>
      </c>
      <c r="V13" s="7">
        <f>$B13 * IFERROR(VLOOKUP("LULUCF|PM25|Non-fatal heart attacks", US_national_yearly!$D:$AM, 30, FALSE) / VLOOKUP("LULUCF|PM25|Non-fatal heart attacks", US_national_yearly!$D:$AM, 10, FALSE), 1)</f>
        <v>2.2124792460480558E-4</v>
      </c>
      <c r="W13" s="7">
        <f>$B13 * IFERROR(VLOOKUP("LULUCF|PM25|Non-fatal heart attacks", US_national_yearly!$D:$AM, 31, FALSE) / VLOOKUP("LULUCF|PM25|Non-fatal heart attacks", US_national_yearly!$D:$AM, 10, FALSE), 1)</f>
        <v>2.2244571874692777E-4</v>
      </c>
      <c r="X13" s="7">
        <f>$B13 * IFERROR(VLOOKUP("LULUCF|PM25|Non-fatal heart attacks", US_national_yearly!$D:$AM, 32, FALSE) / VLOOKUP("LULUCF|PM25|Non-fatal heart attacks", US_national_yearly!$D:$AM, 10, FALSE), 1)</f>
        <v>2.2335501769827189E-4</v>
      </c>
      <c r="Y13" s="7">
        <f>$B13 * IFERROR(VLOOKUP("LULUCF|PM25|Non-fatal heart attacks", US_national_yearly!$D:$AM, 33, FALSE) / VLOOKUP("LULUCF|PM25|Non-fatal heart attacks", US_national_yearly!$D:$AM, 10, FALSE), 1)</f>
        <v>2.2426431664961607E-4</v>
      </c>
      <c r="Z13" s="7">
        <f>$B13 * IFERROR(VLOOKUP("LULUCF|PM25|Non-fatal heart attacks", US_national_yearly!$D:$AM, 34, FALSE) / VLOOKUP("LULUCF|PM25|Non-fatal heart attacks", US_national_yearly!$D:$AM, 10, FALSE), 1)</f>
        <v>2.2517361560096019E-4</v>
      </c>
      <c r="AA13" s="7">
        <f>$B13 * IFERROR(VLOOKUP("LULUCF|PM25|Non-fatal heart attacks", US_national_yearly!$D:$AM, 35, FALSE) / VLOOKUP("LULUCF|PM25|Non-fatal heart attacks", US_national_yearly!$D:$AM, 10, FALSE), 1)</f>
        <v>2.2608291455230434E-4</v>
      </c>
      <c r="AB13" s="7">
        <f>$B13 * IFERROR(VLOOKUP("LULUCF|PM25|Non-fatal heart attacks", US_national_yearly!$D:$AM, 36, FALSE) / VLOOKUP("LULUCF|PM25|Non-fatal heart attacks", US_national_yearly!$D:$AM, 10, FALSE), 1)</f>
        <v>2.2699221350364849E-4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0.10350251928240399</v>
      </c>
      <c r="C14" s="7">
        <f>$B14 * IFERROR(VLOOKUP("LULUCF|PM25|Minor restricted activity days", US_national_yearly!$D:$AM, 11, FALSE) / VLOOKUP("LULUCF|PM25|Minor restricted activity days", US_national_yearly!$D:$AM, 10, FALSE), 1)</f>
        <v>0.10375528470894686</v>
      </c>
      <c r="D14" s="7">
        <f>$B14 * IFERROR(VLOOKUP("LULUCF|PM25|Minor restricted activity days", US_national_yearly!$D:$AM, 12, FALSE) / VLOOKUP("LULUCF|PM25|Minor restricted activity days", US_national_yearly!$D:$AM, 10, FALSE), 1)</f>
        <v>0.10400805013548974</v>
      </c>
      <c r="E14" s="7">
        <f>$B14 * IFERROR(VLOOKUP("LULUCF|PM25|Minor restricted activity days", US_national_yearly!$D:$AM, 13, FALSE) / VLOOKUP("LULUCF|PM25|Minor restricted activity days", US_national_yearly!$D:$AM, 10, FALSE), 1)</f>
        <v>0.10426081556203262</v>
      </c>
      <c r="F14" s="7">
        <f>$B14 * IFERROR(VLOOKUP("LULUCF|PM25|Minor restricted activity days", US_national_yearly!$D:$AM, 14, FALSE) / VLOOKUP("LULUCF|PM25|Minor restricted activity days", US_national_yearly!$D:$AM, 10, FALSE), 1)</f>
        <v>0.10451358098857548</v>
      </c>
      <c r="G14" s="7">
        <f>$B14 * IFERROR(VLOOKUP("LULUCF|PM25|Minor restricted activity days", US_national_yearly!$D:$AM, 15, FALSE) / VLOOKUP("LULUCF|PM25|Minor restricted activity days", US_national_yearly!$D:$AM, 10, FALSE), 1)</f>
        <v>0.1048865288108258</v>
      </c>
      <c r="H14" s="7">
        <f>$B14 * IFERROR(VLOOKUP("LULUCF|PM25|Minor restricted activity days", US_national_yearly!$D:$AM, 16, FALSE) / VLOOKUP("LULUCF|PM25|Minor restricted activity days", US_national_yearly!$D:$AM, 10, FALSE), 1)</f>
        <v>0.10525947663307612</v>
      </c>
      <c r="I14" s="7">
        <f>$B14 * IFERROR(VLOOKUP("LULUCF|PM25|Minor restricted activity days", US_national_yearly!$D:$AM, 17, FALSE) / VLOOKUP("LULUCF|PM25|Minor restricted activity days", US_national_yearly!$D:$AM, 10, FALSE), 1)</f>
        <v>0.10589704662543777</v>
      </c>
      <c r="J14" s="7">
        <f>$B14 * IFERROR(VLOOKUP("LULUCF|PM25|Minor restricted activity days", US_national_yearly!$D:$AM, 18, FALSE) / VLOOKUP("LULUCF|PM25|Minor restricted activity days", US_national_yearly!$D:$AM, 10, FALSE), 1)</f>
        <v>0.10653461661779937</v>
      </c>
      <c r="K14" s="7">
        <f>$B14 * IFERROR(VLOOKUP("LULUCF|PM25|Minor restricted activity days", US_national_yearly!$D:$AM, 19, FALSE) / VLOOKUP("LULUCF|PM25|Minor restricted activity days", US_national_yearly!$D:$AM, 10, FALSE), 1)</f>
        <v>0.10717218661016101</v>
      </c>
      <c r="L14" s="7">
        <f>$B14 * IFERROR(VLOOKUP("LULUCF|PM25|Minor restricted activity days", US_national_yearly!$D:$AM, 20, FALSE) / VLOOKUP("LULUCF|PM25|Minor restricted activity days", US_national_yearly!$D:$AM, 10, FALSE), 1)</f>
        <v>0.10780975660252262</v>
      </c>
      <c r="M14" s="7">
        <f>$B14 * IFERROR(VLOOKUP("LULUCF|PM25|Minor restricted activity days", US_national_yearly!$D:$AM, 21, FALSE) / VLOOKUP("LULUCF|PM25|Minor restricted activity days", US_national_yearly!$D:$AM, 10, FALSE), 1)</f>
        <v>0.10844732659488424</v>
      </c>
      <c r="N14" s="7">
        <f>$B14 * IFERROR(VLOOKUP("LULUCF|PM25|Minor restricted activity days", US_national_yearly!$D:$AM, 22, FALSE) / VLOOKUP("LULUCF|PM25|Minor restricted activity days", US_national_yearly!$D:$AM, 10, FALSE), 1)</f>
        <v>0.1093158238644405</v>
      </c>
      <c r="O14" s="7">
        <f>$B14 * IFERROR(VLOOKUP("LULUCF|PM25|Minor restricted activity days", US_national_yearly!$D:$AM, 23, FALSE) / VLOOKUP("LULUCF|PM25|Minor restricted activity days", US_national_yearly!$D:$AM, 10, FALSE), 1)</f>
        <v>0.11018432113399673</v>
      </c>
      <c r="P14" s="7">
        <f>$B14 * IFERROR(VLOOKUP("LULUCF|PM25|Minor restricted activity days", US_national_yearly!$D:$AM, 24, FALSE) / VLOOKUP("LULUCF|PM25|Minor restricted activity days", US_national_yearly!$D:$AM, 10, FALSE), 1)</f>
        <v>0.11105281840355299</v>
      </c>
      <c r="Q14" s="7">
        <f>$B14 * IFERROR(VLOOKUP("LULUCF|PM25|Minor restricted activity days", US_national_yearly!$D:$AM, 25, FALSE) / VLOOKUP("LULUCF|PM25|Minor restricted activity days", US_national_yearly!$D:$AM, 10, FALSE), 1)</f>
        <v>0.11192131567310923</v>
      </c>
      <c r="R14" s="7">
        <f>$B14 * IFERROR(VLOOKUP("LULUCF|PM25|Minor restricted activity days", US_national_yearly!$D:$AM, 26, FALSE) / VLOOKUP("LULUCF|PM25|Minor restricted activity days", US_national_yearly!$D:$AM, 10, FALSE), 1)</f>
        <v>0.11278981294266546</v>
      </c>
      <c r="S14" s="7">
        <f>$B14 * IFERROR(VLOOKUP("LULUCF|PM25|Minor restricted activity days", US_national_yearly!$D:$AM, 27, FALSE) / VLOOKUP("LULUCF|PM25|Minor restricted activity days", US_national_yearly!$D:$AM, 10, FALSE), 1)</f>
        <v>0.11366429126832849</v>
      </c>
      <c r="T14" s="7">
        <f>$B14 * IFERROR(VLOOKUP("LULUCF|PM25|Minor restricted activity days", US_national_yearly!$D:$AM, 28, FALSE) / VLOOKUP("LULUCF|PM25|Minor restricted activity days", US_national_yearly!$D:$AM, 10, FALSE), 1)</f>
        <v>0.11453876959399151</v>
      </c>
      <c r="U14" s="7">
        <f>$B14 * IFERROR(VLOOKUP("LULUCF|PM25|Minor restricted activity days", US_national_yearly!$D:$AM, 29, FALSE) / VLOOKUP("LULUCF|PM25|Minor restricted activity days", US_national_yearly!$D:$AM, 10, FALSE), 1)</f>
        <v>0.11541324791965452</v>
      </c>
      <c r="V14" s="7">
        <f>$B14 * IFERROR(VLOOKUP("LULUCF|PM25|Minor restricted activity days", US_national_yearly!$D:$AM, 30, FALSE) / VLOOKUP("LULUCF|PM25|Minor restricted activity days", US_national_yearly!$D:$AM, 10, FALSE), 1)</f>
        <v>0.11628772624531754</v>
      </c>
      <c r="W14" s="7">
        <f>$B14 * IFERROR(VLOOKUP("LULUCF|PM25|Minor restricted activity days", US_national_yearly!$D:$AM, 31, FALSE) / VLOOKUP("LULUCF|PM25|Minor restricted activity days", US_national_yearly!$D:$AM, 10, FALSE), 1)</f>
        <v>0.11716220457098056</v>
      </c>
      <c r="X14" s="7">
        <f>$B14 * IFERROR(VLOOKUP("LULUCF|PM25|Minor restricted activity days", US_national_yearly!$D:$AM, 32, FALSE) / VLOOKUP("LULUCF|PM25|Minor restricted activity days", US_national_yearly!$D:$AM, 10, FALSE), 1)</f>
        <v>0.11792133973184943</v>
      </c>
      <c r="Y14" s="7">
        <f>$B14 * IFERROR(VLOOKUP("LULUCF|PM25|Minor restricted activity days", US_national_yearly!$D:$AM, 33, FALSE) / VLOOKUP("LULUCF|PM25|Minor restricted activity days", US_national_yearly!$D:$AM, 10, FALSE), 1)</f>
        <v>0.11868047489271831</v>
      </c>
      <c r="Z14" s="7">
        <f>$B14 * IFERROR(VLOOKUP("LULUCF|PM25|Minor restricted activity days", US_national_yearly!$D:$AM, 34, FALSE) / VLOOKUP("LULUCF|PM25|Minor restricted activity days", US_national_yearly!$D:$AM, 10, FALSE), 1)</f>
        <v>0.11943961005358718</v>
      </c>
      <c r="AA14" s="7">
        <f>$B14 * IFERROR(VLOOKUP("LULUCF|PM25|Minor restricted activity days", US_national_yearly!$D:$AM, 35, FALSE) / VLOOKUP("LULUCF|PM25|Minor restricted activity days", US_national_yearly!$D:$AM, 10, FALSE), 1)</f>
        <v>0.12019874521445603</v>
      </c>
      <c r="AB14" s="7">
        <f>$B14 * IFERROR(VLOOKUP("LULUCF|PM25|Minor restricted activity days", US_national_yearly!$D:$AM, 36, FALSE) / VLOOKUP("LULUCF|PM25|Minor restricted activity days", US_national_yearly!$D:$AM, 10, FALSE), 1)</f>
        <v>0.1209578803753249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1.753676589122986E-2</v>
      </c>
      <c r="C15" s="7">
        <f>$B15 * IFERROR(VLOOKUP("LULUCF|PM25|Work loss days", US_national_yearly!$D:$AM, 11, FALSE) / VLOOKUP("LULUCF|PM25|Work loss days", US_national_yearly!$D:$AM, 10, FALSE), 1)</f>
        <v>1.7591123549261754E-2</v>
      </c>
      <c r="D15" s="7">
        <f>$B15 * IFERROR(VLOOKUP("LULUCF|PM25|Work loss days", US_national_yearly!$D:$AM, 12, FALSE) / VLOOKUP("LULUCF|PM25|Work loss days", US_national_yearly!$D:$AM, 10, FALSE), 1)</f>
        <v>1.7645481207293652E-2</v>
      </c>
      <c r="E15" s="7">
        <f>$B15 * IFERROR(VLOOKUP("LULUCF|PM25|Work loss days", US_national_yearly!$D:$AM, 13, FALSE) / VLOOKUP("LULUCF|PM25|Work loss days", US_national_yearly!$D:$AM, 10, FALSE), 1)</f>
        <v>1.7699838865325546E-2</v>
      </c>
      <c r="F15" s="7">
        <f>$B15 * IFERROR(VLOOKUP("LULUCF|PM25|Work loss days", US_national_yearly!$D:$AM, 14, FALSE) / VLOOKUP("LULUCF|PM25|Work loss days", US_national_yearly!$D:$AM, 10, FALSE), 1)</f>
        <v>1.7754196523357441E-2</v>
      </c>
      <c r="G15" s="7">
        <f>$B15 * IFERROR(VLOOKUP("LULUCF|PM25|Work loss days", US_national_yearly!$D:$AM, 15, FALSE) / VLOOKUP("LULUCF|PM25|Work loss days", US_national_yearly!$D:$AM, 10, FALSE), 1)</f>
        <v>1.7825462881651551E-2</v>
      </c>
      <c r="H15" s="7">
        <f>$B15 * IFERROR(VLOOKUP("LULUCF|PM25|Work loss days", US_national_yearly!$D:$AM, 16, FALSE) / VLOOKUP("LULUCF|PM25|Work loss days", US_national_yearly!$D:$AM, 10, FALSE), 1)</f>
        <v>1.7896729239945661E-2</v>
      </c>
      <c r="I15" s="7">
        <f>$B15 * IFERROR(VLOOKUP("LULUCF|PM25|Work loss days", US_national_yearly!$D:$AM, 17, FALSE) / VLOOKUP("LULUCF|PM25|Work loss days", US_national_yearly!$D:$AM, 10, FALSE), 1)</f>
        <v>1.8001676790757586E-2</v>
      </c>
      <c r="J15" s="7">
        <f>$B15 * IFERROR(VLOOKUP("LULUCF|PM25|Work loss days", US_national_yearly!$D:$AM, 18, FALSE) / VLOOKUP("LULUCF|PM25|Work loss days", US_national_yearly!$D:$AM, 10, FALSE), 1)</f>
        <v>1.8106624341569514E-2</v>
      </c>
      <c r="K15" s="7">
        <f>$B15 * IFERROR(VLOOKUP("LULUCF|PM25|Work loss days", US_national_yearly!$D:$AM, 19, FALSE) / VLOOKUP("LULUCF|PM25|Work loss days", US_national_yearly!$D:$AM, 10, FALSE), 1)</f>
        <v>1.8211571892381442E-2</v>
      </c>
      <c r="L15" s="7">
        <f>$B15 * IFERROR(VLOOKUP("LULUCF|PM25|Work loss days", US_national_yearly!$D:$AM, 20, FALSE) / VLOOKUP("LULUCF|PM25|Work loss days", US_national_yearly!$D:$AM, 10, FALSE), 1)</f>
        <v>1.8316519443193367E-2</v>
      </c>
      <c r="M15" s="7">
        <f>$B15 * IFERROR(VLOOKUP("LULUCF|PM25|Work loss days", US_national_yearly!$D:$AM, 21, FALSE) / VLOOKUP("LULUCF|PM25|Work loss days", US_national_yearly!$D:$AM, 10, FALSE), 1)</f>
        <v>1.8421466994005296E-2</v>
      </c>
      <c r="N15" s="7">
        <f>$B15 * IFERROR(VLOOKUP("LULUCF|PM25|Work loss days", US_national_yearly!$D:$AM, 22, FALSE) / VLOOKUP("LULUCF|PM25|Work loss days", US_national_yearly!$D:$AM, 10, FALSE), 1)</f>
        <v>1.8553551430056402E-2</v>
      </c>
      <c r="O15" s="7">
        <f>$B15 * IFERROR(VLOOKUP("LULUCF|PM25|Work loss days", US_national_yearly!$D:$AM, 23, FALSE) / VLOOKUP("LULUCF|PM25|Work loss days", US_national_yearly!$D:$AM, 10, FALSE), 1)</f>
        <v>1.8685635866107504E-2</v>
      </c>
      <c r="P15" s="7">
        <f>$B15 * IFERROR(VLOOKUP("LULUCF|PM25|Work loss days", US_national_yearly!$D:$AM, 24, FALSE) / VLOOKUP("LULUCF|PM25|Work loss days", US_national_yearly!$D:$AM, 10, FALSE), 1)</f>
        <v>1.8817720302158614E-2</v>
      </c>
      <c r="Q15" s="7">
        <f>$B15 * IFERROR(VLOOKUP("LULUCF|PM25|Work loss days", US_national_yearly!$D:$AM, 25, FALSE) / VLOOKUP("LULUCF|PM25|Work loss days", US_national_yearly!$D:$AM, 10, FALSE), 1)</f>
        <v>1.8949804738209716E-2</v>
      </c>
      <c r="R15" s="7">
        <f>$B15 * IFERROR(VLOOKUP("LULUCF|PM25|Work loss days", US_national_yearly!$D:$AM, 26, FALSE) / VLOOKUP("LULUCF|PM25|Work loss days", US_national_yearly!$D:$AM, 10, FALSE), 1)</f>
        <v>1.9081889174260822E-2</v>
      </c>
      <c r="S15" s="7">
        <f>$B15 * IFERROR(VLOOKUP("LULUCF|PM25|Work loss days", US_national_yearly!$D:$AM, 27, FALSE) / VLOOKUP("LULUCF|PM25|Work loss days", US_national_yearly!$D:$AM, 10, FALSE), 1)</f>
        <v>1.9227980199674023E-2</v>
      </c>
      <c r="T15" s="7">
        <f>$B15 * IFERROR(VLOOKUP("LULUCF|PM25|Work loss days", US_national_yearly!$D:$AM, 28, FALSE) / VLOOKUP("LULUCF|PM25|Work loss days", US_national_yearly!$D:$AM, 10, FALSE), 1)</f>
        <v>1.9374071225087223E-2</v>
      </c>
      <c r="U15" s="7">
        <f>$B15 * IFERROR(VLOOKUP("LULUCF|PM25|Work loss days", US_national_yearly!$D:$AM, 29, FALSE) / VLOOKUP("LULUCF|PM25|Work loss days", US_national_yearly!$D:$AM, 10, FALSE), 1)</f>
        <v>1.9520162250500416E-2</v>
      </c>
      <c r="V15" s="7">
        <f>$B15 * IFERROR(VLOOKUP("LULUCF|PM25|Work loss days", US_national_yearly!$D:$AM, 30, FALSE) / VLOOKUP("LULUCF|PM25|Work loss days", US_national_yearly!$D:$AM, 10, FALSE), 1)</f>
        <v>1.966625327591362E-2</v>
      </c>
      <c r="W15" s="7">
        <f>$B15 * IFERROR(VLOOKUP("LULUCF|PM25|Work loss days", US_national_yearly!$D:$AM, 31, FALSE) / VLOOKUP("LULUCF|PM25|Work loss days", US_national_yearly!$D:$AM, 10, FALSE), 1)</f>
        <v>1.9812344301326817E-2</v>
      </c>
      <c r="X15" s="7">
        <f>$B15 * IFERROR(VLOOKUP("LULUCF|PM25|Work loss days", US_national_yearly!$D:$AM, 32, FALSE) / VLOOKUP("LULUCF|PM25|Work loss days", US_national_yearly!$D:$AM, 10, FALSE), 1)</f>
        <v>1.9941966442147074E-2</v>
      </c>
      <c r="Y15" s="7">
        <f>$B15 * IFERROR(VLOOKUP("LULUCF|PM25|Work loss days", US_national_yearly!$D:$AM, 33, FALSE) / VLOOKUP("LULUCF|PM25|Work loss days", US_national_yearly!$D:$AM, 10, FALSE), 1)</f>
        <v>2.0071588582967335E-2</v>
      </c>
      <c r="Z15" s="7">
        <f>$B15 * IFERROR(VLOOKUP("LULUCF|PM25|Work loss days", US_national_yearly!$D:$AM, 34, FALSE) / VLOOKUP("LULUCF|PM25|Work loss days", US_national_yearly!$D:$AM, 10, FALSE), 1)</f>
        <v>2.0201210723787597E-2</v>
      </c>
      <c r="AA15" s="7">
        <f>$B15 * IFERROR(VLOOKUP("LULUCF|PM25|Work loss days", US_national_yearly!$D:$AM, 35, FALSE) / VLOOKUP("LULUCF|PM25|Work loss days", US_national_yearly!$D:$AM, 10, FALSE), 1)</f>
        <v>2.0330832864607858E-2</v>
      </c>
      <c r="AB15" s="7">
        <f>$B15 * IFERROR(VLOOKUP("LULUCF|PM25|Work loss days", US_national_yearly!$D:$AM, 36, FALSE) / VLOOKUP("LULUCF|PM25|Work loss days", US_national_yearly!$D:$AM, 10, FALSE), 1)</f>
        <v>2.0460455005428119E-2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3.6816069805670109E-5</v>
      </c>
      <c r="C17" s="7">
        <f>$B17 * IFERROR(VLOOKUP("LULUCF|PM25|Cardiovascular hospital admissions", US_national_yearly!$D:$AM, 11, FALSE) / VLOOKUP("LULUCF|PM25|Cardiovascular hospital admissions", US_national_yearly!$D:$AM, 10, FALSE), 1)</f>
        <v>3.7916159643929587E-5</v>
      </c>
      <c r="D17" s="7">
        <f>$B17 * IFERROR(VLOOKUP("LULUCF|PM25|Cardiovascular hospital admissions", US_national_yearly!$D:$AM, 12, FALSE) / VLOOKUP("LULUCF|PM25|Cardiovascular hospital admissions", US_national_yearly!$D:$AM, 10, FALSE), 1)</f>
        <v>3.9016249482189072E-5</v>
      </c>
      <c r="E17" s="7">
        <f>$B17 * IFERROR(VLOOKUP("LULUCF|PM25|Cardiovascular hospital admissions", US_national_yearly!$D:$AM, 13, FALSE) / VLOOKUP("LULUCF|PM25|Cardiovascular hospital admissions", US_national_yearly!$D:$AM, 10, FALSE), 1)</f>
        <v>4.0116339320448557E-5</v>
      </c>
      <c r="F17" s="7">
        <f>$B17 * IFERROR(VLOOKUP("LULUCF|PM25|Cardiovascular hospital admissions", US_national_yearly!$D:$AM, 14, FALSE) / VLOOKUP("LULUCF|PM25|Cardiovascular hospital admissions", US_national_yearly!$D:$AM, 10, FALSE), 1)</f>
        <v>4.1216429158708035E-5</v>
      </c>
      <c r="G17" s="7">
        <f>$B17 * IFERROR(VLOOKUP("LULUCF|PM25|Cardiovascular hospital admissions", US_national_yearly!$D:$AM, 15, FALSE) / VLOOKUP("LULUCF|PM25|Cardiovascular hospital admissions", US_national_yearly!$D:$AM, 10, FALSE), 1)</f>
        <v>4.227011871828754E-5</v>
      </c>
      <c r="H17" s="7">
        <f>$B17 * IFERROR(VLOOKUP("LULUCF|PM25|Cardiovascular hospital admissions", US_national_yearly!$D:$AM, 16, FALSE) / VLOOKUP("LULUCF|PM25|Cardiovascular hospital admissions", US_national_yearly!$D:$AM, 10, FALSE), 1)</f>
        <v>4.3323808277867053E-5</v>
      </c>
      <c r="I17" s="7">
        <f>$B17 * IFERROR(VLOOKUP("LULUCF|PM25|Cardiovascular hospital admissions", US_national_yearly!$D:$AM, 17, FALSE) / VLOOKUP("LULUCF|PM25|Cardiovascular hospital admissions", US_national_yearly!$D:$AM, 10, FALSE), 1)</f>
        <v>4.4224981439095299E-5</v>
      </c>
      <c r="J17" s="7">
        <f>$B17 * IFERROR(VLOOKUP("LULUCF|PM25|Cardiovascular hospital admissions", US_national_yearly!$D:$AM, 18, FALSE) / VLOOKUP("LULUCF|PM25|Cardiovascular hospital admissions", US_national_yearly!$D:$AM, 10, FALSE), 1)</f>
        <v>4.5126154600323532E-5</v>
      </c>
      <c r="K17" s="7">
        <f>$B17 * IFERROR(VLOOKUP("LULUCF|PM25|Cardiovascular hospital admissions", US_national_yearly!$D:$AM, 19, FALSE) / VLOOKUP("LULUCF|PM25|Cardiovascular hospital admissions", US_national_yearly!$D:$AM, 10, FALSE), 1)</f>
        <v>4.6027327761551764E-5</v>
      </c>
      <c r="L17" s="7">
        <f>$B17 * IFERROR(VLOOKUP("LULUCF|PM25|Cardiovascular hospital admissions", US_national_yearly!$D:$AM, 20, FALSE) / VLOOKUP("LULUCF|PM25|Cardiovascular hospital admissions", US_national_yearly!$D:$AM, 10, FALSE), 1)</f>
        <v>4.6928500922780017E-5</v>
      </c>
      <c r="M17" s="7">
        <f>$B17 * IFERROR(VLOOKUP("LULUCF|PM25|Cardiovascular hospital admissions", US_national_yearly!$D:$AM, 21, FALSE) / VLOOKUP("LULUCF|PM25|Cardiovascular hospital admissions", US_national_yearly!$D:$AM, 10, FALSE), 1)</f>
        <v>4.7829674084008249E-5</v>
      </c>
      <c r="N17" s="7">
        <f>$B17 * IFERROR(VLOOKUP("LULUCF|PM25|Cardiovascular hospital admissions", US_national_yearly!$D:$AM, 22, FALSE) / VLOOKUP("LULUCF|PM25|Cardiovascular hospital admissions", US_national_yearly!$D:$AM, 10, FALSE), 1)</f>
        <v>4.8430506805583769E-5</v>
      </c>
      <c r="O17" s="7">
        <f>$B17 * IFERROR(VLOOKUP("LULUCF|PM25|Cardiovascular hospital admissions", US_national_yearly!$D:$AM, 23, FALSE) / VLOOKUP("LULUCF|PM25|Cardiovascular hospital admissions", US_national_yearly!$D:$AM, 10, FALSE), 1)</f>
        <v>4.9031339527159296E-5</v>
      </c>
      <c r="P17" s="7">
        <f>$B17 * IFERROR(VLOOKUP("LULUCF|PM25|Cardiovascular hospital admissions", US_national_yearly!$D:$AM, 24, FALSE) / VLOOKUP("LULUCF|PM25|Cardiovascular hospital admissions", US_national_yearly!$D:$AM, 10, FALSE), 1)</f>
        <v>4.9632172248734809E-5</v>
      </c>
      <c r="Q17" s="7">
        <f>$B17 * IFERROR(VLOOKUP("LULUCF|PM25|Cardiovascular hospital admissions", US_national_yearly!$D:$AM, 25, FALSE) / VLOOKUP("LULUCF|PM25|Cardiovascular hospital admissions", US_national_yearly!$D:$AM, 10, FALSE), 1)</f>
        <v>5.0233004970310335E-5</v>
      </c>
      <c r="R17" s="7">
        <f>$B17 * IFERROR(VLOOKUP("LULUCF|PM25|Cardiovascular hospital admissions", US_national_yearly!$D:$AM, 26, FALSE) / VLOOKUP("LULUCF|PM25|Cardiovascular hospital admissions", US_national_yearly!$D:$AM, 10, FALSE), 1)</f>
        <v>5.0833837691885848E-5</v>
      </c>
      <c r="S17" s="7">
        <f>$B17 * IFERROR(VLOOKUP("LULUCF|PM25|Cardiovascular hospital admissions", US_national_yearly!$D:$AM, 27, FALSE) / VLOOKUP("LULUCF|PM25|Cardiovascular hospital admissions", US_national_yearly!$D:$AM, 10, FALSE), 1)</f>
        <v>5.1151734295984327E-5</v>
      </c>
      <c r="T17" s="7">
        <f>$B17 * IFERROR(VLOOKUP("LULUCF|PM25|Cardiovascular hospital admissions", US_national_yearly!$D:$AM, 28, FALSE) / VLOOKUP("LULUCF|PM25|Cardiovascular hospital admissions", US_national_yearly!$D:$AM, 10, FALSE), 1)</f>
        <v>5.1469630900082792E-5</v>
      </c>
      <c r="U17" s="7">
        <f>$B17 * IFERROR(VLOOKUP("LULUCF|PM25|Cardiovascular hospital admissions", US_national_yearly!$D:$AM, 29, FALSE) / VLOOKUP("LULUCF|PM25|Cardiovascular hospital admissions", US_national_yearly!$D:$AM, 10, FALSE), 1)</f>
        <v>5.178752750418125E-5</v>
      </c>
      <c r="V17" s="7">
        <f>$B17 * IFERROR(VLOOKUP("LULUCF|PM25|Cardiovascular hospital admissions", US_national_yearly!$D:$AM, 30, FALSE) / VLOOKUP("LULUCF|PM25|Cardiovascular hospital admissions", US_national_yearly!$D:$AM, 10, FALSE), 1)</f>
        <v>5.2105424108279721E-5</v>
      </c>
      <c r="W17" s="7">
        <f>$B17 * IFERROR(VLOOKUP("LULUCF|PM25|Cardiovascular hospital admissions", US_national_yearly!$D:$AM, 31, FALSE) / VLOOKUP("LULUCF|PM25|Cardiovascular hospital admissions", US_national_yearly!$D:$AM, 10, FALSE), 1)</f>
        <v>5.2423320712378186E-5</v>
      </c>
      <c r="X17" s="7">
        <f>$B17 * IFERROR(VLOOKUP("LULUCF|PM25|Cardiovascular hospital admissions", US_national_yearly!$D:$AM, 32, FALSE) / VLOOKUP("LULUCF|PM25|Cardiovascular hospital admissions", US_national_yearly!$D:$AM, 10, FALSE), 1)</f>
        <v>5.2637332887859704E-5</v>
      </c>
      <c r="Y17" s="7">
        <f>$B17 * IFERROR(VLOOKUP("LULUCF|PM25|Cardiovascular hospital admissions", US_national_yearly!$D:$AM, 33, FALSE) / VLOOKUP("LULUCF|PM25|Cardiovascular hospital admissions", US_national_yearly!$D:$AM, 10, FALSE), 1)</f>
        <v>5.2851345063341229E-5</v>
      </c>
      <c r="Z17" s="7">
        <f>$B17 * IFERROR(VLOOKUP("LULUCF|PM25|Cardiovascular hospital admissions", US_national_yearly!$D:$AM, 34, FALSE) / VLOOKUP("LULUCF|PM25|Cardiovascular hospital admissions", US_national_yearly!$D:$AM, 10, FALSE), 1)</f>
        <v>5.3065357238822746E-5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5.3279369414304264E-5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5.3493381589785788E-5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3.4230004473976005E-4</v>
      </c>
      <c r="C2" s="7">
        <f>$B2 * IFERROR(VLOOKUP("LULUCF|NOx|Premature mortality", US_national_yearly!$D:$AM, 11, FALSE) / VLOOKUP("LULUCF|NOx|Premature mortality", US_national_yearly!$D:$AM, 10, FALSE), 1)</f>
        <v>3.4732785382321621E-4</v>
      </c>
      <c r="D2" s="7">
        <f>$B2 * IFERROR(VLOOKUP("LULUCF|NOx|Premature mortality", US_national_yearly!$D:$AM, 12, FALSE) / VLOOKUP("LULUCF|NOx|Premature mortality", US_national_yearly!$D:$AM, 10, FALSE), 1)</f>
        <v>3.5235566290667231E-4</v>
      </c>
      <c r="E2" s="7">
        <f>$B2 * IFERROR(VLOOKUP("LULUCF|NOx|Premature mortality", US_national_yearly!$D:$AM, 13, FALSE) / VLOOKUP("LULUCF|NOx|Premature mortality", US_national_yearly!$D:$AM, 10, FALSE), 1)</f>
        <v>3.5738347199012848E-4</v>
      </c>
      <c r="F2" s="7">
        <f>$B2 * IFERROR(VLOOKUP("LULUCF|NOx|Premature mortality", US_national_yearly!$D:$AM, 14, FALSE) / VLOOKUP("LULUCF|NOx|Premature mortality", US_national_yearly!$D:$AM, 10, FALSE), 1)</f>
        <v>3.6241128107358464E-4</v>
      </c>
      <c r="G2" s="7">
        <f>$B2 * IFERROR(VLOOKUP("LULUCF|NOx|Premature mortality", US_national_yearly!$D:$AM, 15, FALSE) / VLOOKUP("LULUCF|NOx|Premature mortality", US_national_yearly!$D:$AM, 10, FALSE), 1)</f>
        <v>3.7144241488323393E-4</v>
      </c>
      <c r="H2" s="7">
        <f>$B2 * IFERROR(VLOOKUP("LULUCF|NOx|Premature mortality", US_national_yearly!$D:$AM, 16, FALSE) / VLOOKUP("LULUCF|NOx|Premature mortality", US_national_yearly!$D:$AM, 10, FALSE), 1)</f>
        <v>3.8047354869288338E-4</v>
      </c>
      <c r="I2" s="7">
        <f>$B2 * IFERROR(VLOOKUP("LULUCF|NOx|Premature mortality", US_national_yearly!$D:$AM, 17, FALSE) / VLOOKUP("LULUCF|NOx|Premature mortality", US_national_yearly!$D:$AM, 10, FALSE), 1)</f>
        <v>3.8630331687529288E-4</v>
      </c>
      <c r="J2" s="7">
        <f>$B2 * IFERROR(VLOOKUP("LULUCF|NOx|Premature mortality", US_national_yearly!$D:$AM, 18, FALSE) / VLOOKUP("LULUCF|NOx|Premature mortality", US_national_yearly!$D:$AM, 10, FALSE), 1)</f>
        <v>3.9213308505770239E-4</v>
      </c>
      <c r="K2" s="7">
        <f>$B2 * IFERROR(VLOOKUP("LULUCF|NOx|Premature mortality", US_national_yearly!$D:$AM, 19, FALSE) / VLOOKUP("LULUCF|NOx|Premature mortality", US_national_yearly!$D:$AM, 10, FALSE), 1)</f>
        <v>3.9796285324011189E-4</v>
      </c>
      <c r="L2" s="7">
        <f>$B2 * IFERROR(VLOOKUP("LULUCF|NOx|Premature mortality", US_national_yearly!$D:$AM, 20, FALSE) / VLOOKUP("LULUCF|NOx|Premature mortality", US_national_yearly!$D:$AM, 10, FALSE), 1)</f>
        <v>4.0379262142252134E-4</v>
      </c>
      <c r="M2" s="7">
        <f>$B2 * IFERROR(VLOOKUP("LULUCF|NOx|Premature mortality", US_national_yearly!$D:$AM, 21, FALSE) / VLOOKUP("LULUCF|NOx|Premature mortality", US_national_yearly!$D:$AM, 10, FALSE), 1)</f>
        <v>4.0962238960493089E-4</v>
      </c>
      <c r="N2" s="7">
        <f>$B2 * IFERROR(VLOOKUP("LULUCF|NOx|Premature mortality", US_national_yearly!$D:$AM, 22, FALSE) / VLOOKUP("LULUCF|NOx|Premature mortality", US_national_yearly!$D:$AM, 10, FALSE), 1)</f>
        <v>4.1394105921098125E-4</v>
      </c>
      <c r="O2" s="7">
        <f>$B2 * IFERROR(VLOOKUP("LULUCF|NOx|Premature mortality", US_national_yearly!$D:$AM, 23, FALSE) / VLOOKUP("LULUCF|NOx|Premature mortality", US_national_yearly!$D:$AM, 10, FALSE), 1)</f>
        <v>4.1825972881703166E-4</v>
      </c>
      <c r="P2" s="7">
        <f>$B2 * IFERROR(VLOOKUP("LULUCF|NOx|Premature mortality", US_national_yearly!$D:$AM, 24, FALSE) / VLOOKUP("LULUCF|NOx|Premature mortality", US_national_yearly!$D:$AM, 10, FALSE), 1)</f>
        <v>4.2257839842308202E-4</v>
      </c>
      <c r="Q2" s="7">
        <f>$B2 * IFERROR(VLOOKUP("LULUCF|NOx|Premature mortality", US_national_yearly!$D:$AM, 25, FALSE) / VLOOKUP("LULUCF|NOx|Premature mortality", US_national_yearly!$D:$AM, 10, FALSE), 1)</f>
        <v>4.2689706802913249E-4</v>
      </c>
      <c r="R2" s="7">
        <f>$B2 * IFERROR(VLOOKUP("LULUCF|NOx|Premature mortality", US_national_yearly!$D:$AM, 26, FALSE) / VLOOKUP("LULUCF|NOx|Premature mortality", US_national_yearly!$D:$AM, 10, FALSE), 1)</f>
        <v>4.3121573763518284E-4</v>
      </c>
      <c r="S2" s="7">
        <f>$B2 * IFERROR(VLOOKUP("LULUCF|NOx|Premature mortality", US_national_yearly!$D:$AM, 27, FALSE) / VLOOKUP("LULUCF|NOx|Premature mortality", US_national_yearly!$D:$AM, 10, FALSE), 1)</f>
        <v>4.3317861645955776E-4</v>
      </c>
      <c r="T2" s="7">
        <f>$B2 * IFERROR(VLOOKUP("LULUCF|NOx|Premature mortality", US_national_yearly!$D:$AM, 28, FALSE) / VLOOKUP("LULUCF|NOx|Premature mortality", US_national_yearly!$D:$AM, 10, FALSE), 1)</f>
        <v>4.3514149528393274E-4</v>
      </c>
      <c r="U2" s="7">
        <f>$B2 * IFERROR(VLOOKUP("LULUCF|NOx|Premature mortality", US_national_yearly!$D:$AM, 29, FALSE) / VLOOKUP("LULUCF|NOx|Premature mortality", US_national_yearly!$D:$AM, 10, FALSE), 1)</f>
        <v>4.3710437410830765E-4</v>
      </c>
      <c r="V2" s="7">
        <f>$B2 * IFERROR(VLOOKUP("LULUCF|NOx|Premature mortality", US_national_yearly!$D:$AM, 30, FALSE) / VLOOKUP("LULUCF|NOx|Premature mortality", US_national_yearly!$D:$AM, 10, FALSE), 1)</f>
        <v>4.3906725293268257E-4</v>
      </c>
      <c r="W2" s="7">
        <f>$B2 * IFERROR(VLOOKUP("LULUCF|NOx|Premature mortality", US_national_yearly!$D:$AM, 31, FALSE) / VLOOKUP("LULUCF|NOx|Premature mortality", US_national_yearly!$D:$AM, 10, FALSE), 1)</f>
        <v>4.4103013175705755E-4</v>
      </c>
      <c r="X2" s="7">
        <f>$B2 * IFERROR(VLOOKUP("LULUCF|NOx|Premature mortality", US_national_yearly!$D:$AM, 32, FALSE) / VLOOKUP("LULUCF|NOx|Premature mortality", US_national_yearly!$D:$AM, 10, FALSE), 1)</f>
        <v>4.4109812475283242E-4</v>
      </c>
      <c r="Y2" s="7">
        <f>$B2 * IFERROR(VLOOKUP("LULUCF|NOx|Premature mortality", US_national_yearly!$D:$AM, 33, FALSE) / VLOOKUP("LULUCF|NOx|Premature mortality", US_national_yearly!$D:$AM, 10, FALSE), 1)</f>
        <v>4.411661177486073E-4</v>
      </c>
      <c r="Z2" s="7">
        <f>$B2 * IFERROR(VLOOKUP("LULUCF|NOx|Premature mortality", US_national_yearly!$D:$AM, 34, FALSE) / VLOOKUP("LULUCF|NOx|Premature mortality", US_national_yearly!$D:$AM, 10, FALSE), 1)</f>
        <v>4.4123411074438213E-4</v>
      </c>
      <c r="AA2" s="7">
        <f>$B2 * IFERROR(VLOOKUP("LULUCF|NOx|Premature mortality", US_national_yearly!$D:$AM, 35, FALSE) / VLOOKUP("LULUCF|NOx|Premature mortality", US_national_yearly!$D:$AM, 10, FALSE), 1)</f>
        <v>4.4130210374015711E-4</v>
      </c>
      <c r="AB2" s="7">
        <f>$B2 * IFERROR(VLOOKUP("LULUCF|NOx|Premature mortality", US_national_yearly!$D:$AM, 36, FALSE) / VLOOKUP("LULUCF|NOx|Premature mortality", US_national_yearly!$D:$AM, 10, FALSE), 1)</f>
        <v>4.4137009673593199E-4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7.2075001851763624E-7</v>
      </c>
      <c r="C3" s="7">
        <f>$B3 * IFERROR(VLOOKUP("LULUCF|NOx|Infant mortality", US_national_yearly!$D:$AM, 11, FALSE) / VLOOKUP("LULUCF|NOx|Infant mortality", US_national_yearly!$D:$AM, 10, FALSE), 1)</f>
        <v>7.1388303800308452E-7</v>
      </c>
      <c r="D3" s="7">
        <f>$B3 * IFERROR(VLOOKUP("LULUCF|NOx|Infant mortality", US_national_yearly!$D:$AM, 12, FALSE) / VLOOKUP("LULUCF|NOx|Infant mortality", US_national_yearly!$D:$AM, 10, FALSE), 1)</f>
        <v>7.0701605748853269E-7</v>
      </c>
      <c r="E3" s="7">
        <f>$B3 * IFERROR(VLOOKUP("LULUCF|NOx|Infant mortality", US_national_yearly!$D:$AM, 13, FALSE) / VLOOKUP("LULUCF|NOx|Infant mortality", US_national_yearly!$D:$AM, 10, FALSE), 1)</f>
        <v>7.0014907697398097E-7</v>
      </c>
      <c r="F3" s="7">
        <f>$B3 * IFERROR(VLOOKUP("LULUCF|NOx|Infant mortality", US_national_yearly!$D:$AM, 14, FALSE) / VLOOKUP("LULUCF|NOx|Infant mortality", US_national_yearly!$D:$AM, 10, FALSE), 1)</f>
        <v>6.9328209645942935E-7</v>
      </c>
      <c r="G3" s="7">
        <f>$B3 * IFERROR(VLOOKUP("LULUCF|NOx|Infant mortality", US_national_yearly!$D:$AM, 15, FALSE) / VLOOKUP("LULUCF|NOx|Infant mortality", US_national_yearly!$D:$AM, 10, FALSE), 1)</f>
        <v>4.6023489058094188E-7</v>
      </c>
      <c r="H3" s="7">
        <f>$B3 * IFERROR(VLOOKUP("LULUCF|NOx|Infant mortality", US_national_yearly!$D:$AM, 16, FALSE) / VLOOKUP("LULUCF|NOx|Infant mortality", US_national_yearly!$D:$AM, 10, FALSE), 1)</f>
        <v>2.2718768470245446E-7</v>
      </c>
      <c r="I3" s="7">
        <f>$B3 * IFERROR(VLOOKUP("LULUCF|NOx|Infant mortality", US_national_yearly!$D:$AM, 17, FALSE) / VLOOKUP("LULUCF|NOx|Infant mortality", US_national_yearly!$D:$AM, 10, FALSE), 1)</f>
        <v>2.2558125085192281E-7</v>
      </c>
      <c r="J3" s="7">
        <f>$B3 * IFERROR(VLOOKUP("LULUCF|NOx|Infant mortality", US_national_yearly!$D:$AM, 18, FALSE) / VLOOKUP("LULUCF|NOx|Infant mortality", US_national_yearly!$D:$AM, 10, FALSE), 1)</f>
        <v>2.2397481700139111E-7</v>
      </c>
      <c r="K3" s="7">
        <f>$B3 * IFERROR(VLOOKUP("LULUCF|NOx|Infant mortality", US_national_yearly!$D:$AM, 19, FALSE) / VLOOKUP("LULUCF|NOx|Infant mortality", US_national_yearly!$D:$AM, 10, FALSE), 1)</f>
        <v>2.2236838315085946E-7</v>
      </c>
      <c r="L3" s="7">
        <f>$B3 * IFERROR(VLOOKUP("LULUCF|NOx|Infant mortality", US_national_yearly!$D:$AM, 20, FALSE) / VLOOKUP("LULUCF|NOx|Infant mortality", US_national_yearly!$D:$AM, 10, FALSE), 1)</f>
        <v>2.2076194930032782E-7</v>
      </c>
      <c r="M3" s="7">
        <f>$B3 * IFERROR(VLOOKUP("LULUCF|NOx|Infant mortality", US_national_yearly!$D:$AM, 21, FALSE) / VLOOKUP("LULUCF|NOx|Infant mortality", US_national_yearly!$D:$AM, 10, FALSE), 1)</f>
        <v>2.1915551544979614E-7</v>
      </c>
      <c r="N3" s="7">
        <f>$B3 * IFERROR(VLOOKUP("LULUCF|NOx|Infant mortality", US_national_yearly!$D:$AM, 22, FALSE) / VLOOKUP("LULUCF|NOx|Infant mortality", US_national_yearly!$D:$AM, 10, FALSE), 1)</f>
        <v>2.180892318288039E-7</v>
      </c>
      <c r="O3" s="7">
        <f>$B3 * IFERROR(VLOOKUP("LULUCF|NOx|Infant mortality", US_national_yearly!$D:$AM, 23, FALSE) / VLOOKUP("LULUCF|NOx|Infant mortality", US_national_yearly!$D:$AM, 10, FALSE), 1)</f>
        <v>2.1702294820781167E-7</v>
      </c>
      <c r="P3" s="7">
        <f>$B3 * IFERROR(VLOOKUP("LULUCF|NOx|Infant mortality", US_national_yearly!$D:$AM, 24, FALSE) / VLOOKUP("LULUCF|NOx|Infant mortality", US_national_yearly!$D:$AM, 10, FALSE), 1)</f>
        <v>2.1595666458681943E-7</v>
      </c>
      <c r="Q3" s="7">
        <f>$B3 * IFERROR(VLOOKUP("LULUCF|NOx|Infant mortality", US_national_yearly!$D:$AM, 25, FALSE) / VLOOKUP("LULUCF|NOx|Infant mortality", US_national_yearly!$D:$AM, 10, FALSE), 1)</f>
        <v>2.1489038096582719E-7</v>
      </c>
      <c r="R3" s="7">
        <f>$B3 * IFERROR(VLOOKUP("LULUCF|NOx|Infant mortality", US_national_yearly!$D:$AM, 26, FALSE) / VLOOKUP("LULUCF|NOx|Infant mortality", US_national_yearly!$D:$AM, 10, FALSE), 1)</f>
        <v>2.1382409734483495E-7</v>
      </c>
      <c r="S3" s="7">
        <f>$B3 * IFERROR(VLOOKUP("LULUCF|NOx|Infant mortality", US_national_yearly!$D:$AM, 27, FALSE) / VLOOKUP("LULUCF|NOx|Infant mortality", US_national_yearly!$D:$AM, 10, FALSE), 1)</f>
        <v>2.1254225486790156E-7</v>
      </c>
      <c r="T3" s="7">
        <f>$B3 * IFERROR(VLOOKUP("LULUCF|NOx|Infant mortality", US_national_yearly!$D:$AM, 28, FALSE) / VLOOKUP("LULUCF|NOx|Infant mortality", US_national_yearly!$D:$AM, 10, FALSE), 1)</f>
        <v>2.1126041239096813E-7</v>
      </c>
      <c r="U3" s="7">
        <f>$B3 * IFERROR(VLOOKUP("LULUCF|NOx|Infant mortality", US_national_yearly!$D:$AM, 29, FALSE) / VLOOKUP("LULUCF|NOx|Infant mortality", US_national_yearly!$D:$AM, 10, FALSE), 1)</f>
        <v>2.0997856991403474E-7</v>
      </c>
      <c r="V3" s="7">
        <f>$B3 * IFERROR(VLOOKUP("LULUCF|NOx|Infant mortality", US_national_yearly!$D:$AM, 30, FALSE) / VLOOKUP("LULUCF|NOx|Infant mortality", US_national_yearly!$D:$AM, 10, FALSE), 1)</f>
        <v>2.0869672743710132E-7</v>
      </c>
      <c r="W3" s="7">
        <f>$B3 * IFERROR(VLOOKUP("LULUCF|NOx|Infant mortality", US_national_yearly!$D:$AM, 31, FALSE) / VLOOKUP("LULUCF|NOx|Infant mortality", US_national_yearly!$D:$AM, 10, FALSE), 1)</f>
        <v>2.0741488496016789E-7</v>
      </c>
      <c r="X3" s="7">
        <f>$B3 * IFERROR(VLOOKUP("LULUCF|NOx|Infant mortality", US_national_yearly!$D:$AM, 32, FALSE) / VLOOKUP("LULUCF|NOx|Infant mortality", US_national_yearly!$D:$AM, 10, FALSE), 1)</f>
        <v>2.0605735178972323E-7</v>
      </c>
      <c r="Y3" s="7">
        <f>$B3 * IFERROR(VLOOKUP("LULUCF|NOx|Infant mortality", US_national_yearly!$D:$AM, 33, FALSE) / VLOOKUP("LULUCF|NOx|Infant mortality", US_national_yearly!$D:$AM, 10, FALSE), 1)</f>
        <v>2.0469981861927852E-7</v>
      </c>
      <c r="Z3" s="7">
        <f>$B3 * IFERROR(VLOOKUP("LULUCF|NOx|Infant mortality", US_national_yearly!$D:$AM, 34, FALSE) / VLOOKUP("LULUCF|NOx|Infant mortality", US_national_yearly!$D:$AM, 10, FALSE), 1)</f>
        <v>2.0334228544883381E-7</v>
      </c>
      <c r="AA3" s="7">
        <f>$B3 * IFERROR(VLOOKUP("LULUCF|NOx|Infant mortality", US_national_yearly!$D:$AM, 35, FALSE) / VLOOKUP("LULUCF|NOx|Infant mortality", US_national_yearly!$D:$AM, 10, FALSE), 1)</f>
        <v>2.019847522783891E-7</v>
      </c>
      <c r="AB3" s="7">
        <f>$B3 * IFERROR(VLOOKUP("LULUCF|NOx|Infant mortality", US_national_yearly!$D:$AM, 36, FALSE) / VLOOKUP("LULUCF|NOx|Infant mortality", US_national_yearly!$D:$AM, 10, FALSE), 1)</f>
        <v>2.0062721910794441E-7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7.4103139273772457E-4</v>
      </c>
      <c r="C6" s="7">
        <f>$B6 * IFERROR(VLOOKUP("LULUCF|NOx|Asthma symptoms cough", US_national_yearly!$D:$AM, 11, FALSE) / VLOOKUP("LULUCF|NOx|Asthma symptoms cough", US_national_yearly!$D:$AM, 10, FALSE), 1)</f>
        <v>7.5116250341481807E-4</v>
      </c>
      <c r="D6" s="7">
        <f>$B6 * IFERROR(VLOOKUP("LULUCF|NOx|Asthma symptoms cough", US_national_yearly!$D:$AM, 12, FALSE) / VLOOKUP("LULUCF|NOx|Asthma symptoms cough", US_national_yearly!$D:$AM, 10, FALSE), 1)</f>
        <v>7.6129361409191156E-4</v>
      </c>
      <c r="E6" s="7">
        <f>$B6 * IFERROR(VLOOKUP("LULUCF|NOx|Asthma symptoms cough", US_national_yearly!$D:$AM, 13, FALSE) / VLOOKUP("LULUCF|NOx|Asthma symptoms cough", US_national_yearly!$D:$AM, 10, FALSE), 1)</f>
        <v>7.7142472476900506E-4</v>
      </c>
      <c r="F6" s="7">
        <f>$B6 * IFERROR(VLOOKUP("LULUCF|NOx|Asthma symptoms cough", US_national_yearly!$D:$AM, 14, FALSE) / VLOOKUP("LULUCF|NOx|Asthma symptoms cough", US_national_yearly!$D:$AM, 10, FALSE), 1)</f>
        <v>7.8155583544609866E-4</v>
      </c>
      <c r="G6" s="7">
        <f>$B6 * IFERROR(VLOOKUP("LULUCF|NOx|Asthma symptoms cough", US_national_yearly!$D:$AM, 15, FALSE) / VLOOKUP("LULUCF|NOx|Asthma symptoms cough", US_national_yearly!$D:$AM, 10, FALSE), 1)</f>
        <v>7.8964411159468655E-4</v>
      </c>
      <c r="H6" s="7">
        <f>$B6 * IFERROR(VLOOKUP("LULUCF|NOx|Asthma symptoms cough", US_national_yearly!$D:$AM, 16, FALSE) / VLOOKUP("LULUCF|NOx|Asthma symptoms cough", US_national_yearly!$D:$AM, 10, FALSE), 1)</f>
        <v>7.9773238774327466E-4</v>
      </c>
      <c r="I6" s="7">
        <f>$B6 * IFERROR(VLOOKUP("LULUCF|NOx|Asthma symptoms cough", US_national_yearly!$D:$AM, 17, FALSE) / VLOOKUP("LULUCF|NOx|Asthma symptoms cough", US_national_yearly!$D:$AM, 10, FALSE), 1)</f>
        <v>8.0051625676563428E-4</v>
      </c>
      <c r="J6" s="7">
        <f>$B6 * IFERROR(VLOOKUP("LULUCF|NOx|Asthma symptoms cough", US_national_yearly!$D:$AM, 18, FALSE) / VLOOKUP("LULUCF|NOx|Asthma symptoms cough", US_national_yearly!$D:$AM, 10, FALSE), 1)</f>
        <v>8.0330012578799413E-4</v>
      </c>
      <c r="K6" s="7">
        <f>$B6 * IFERROR(VLOOKUP("LULUCF|NOx|Asthma symptoms cough", US_national_yearly!$D:$AM, 19, FALSE) / VLOOKUP("LULUCF|NOx|Asthma symptoms cough", US_national_yearly!$D:$AM, 10, FALSE), 1)</f>
        <v>8.0608399481035375E-4</v>
      </c>
      <c r="L6" s="7">
        <f>$B6 * IFERROR(VLOOKUP("LULUCF|NOx|Asthma symptoms cough", US_national_yearly!$D:$AM, 20, FALSE) / VLOOKUP("LULUCF|NOx|Asthma symptoms cough", US_national_yearly!$D:$AM, 10, FALSE), 1)</f>
        <v>8.0886786383271337E-4</v>
      </c>
      <c r="M6" s="7">
        <f>$B6 * IFERROR(VLOOKUP("LULUCF|NOx|Asthma symptoms cough", US_national_yearly!$D:$AM, 21, FALSE) / VLOOKUP("LULUCF|NOx|Asthma symptoms cough", US_national_yearly!$D:$AM, 10, FALSE), 1)</f>
        <v>8.1165173285507311E-4</v>
      </c>
      <c r="N6" s="7">
        <f>$B6 * IFERROR(VLOOKUP("LULUCF|NOx|Asthma symptoms cough", US_national_yearly!$D:$AM, 22, FALSE) / VLOOKUP("LULUCF|NOx|Asthma symptoms cough", US_national_yearly!$D:$AM, 10, FALSE), 1)</f>
        <v>8.1487983629362421E-4</v>
      </c>
      <c r="O6" s="7">
        <f>$B6 * IFERROR(VLOOKUP("LULUCF|NOx|Asthma symptoms cough", US_national_yearly!$D:$AM, 23, FALSE) / VLOOKUP("LULUCF|NOx|Asthma symptoms cough", US_national_yearly!$D:$AM, 10, FALSE), 1)</f>
        <v>8.1810793973217531E-4</v>
      </c>
      <c r="P6" s="7">
        <f>$B6 * IFERROR(VLOOKUP("LULUCF|NOx|Asthma symptoms cough", US_national_yearly!$D:$AM, 24, FALSE) / VLOOKUP("LULUCF|NOx|Asthma symptoms cough", US_national_yearly!$D:$AM, 10, FALSE), 1)</f>
        <v>8.2133604317072642E-4</v>
      </c>
      <c r="Q6" s="7">
        <f>$B6 * IFERROR(VLOOKUP("LULUCF|NOx|Asthma symptoms cough", US_national_yearly!$D:$AM, 25, FALSE) / VLOOKUP("LULUCF|NOx|Asthma symptoms cough", US_national_yearly!$D:$AM, 10, FALSE), 1)</f>
        <v>8.2456414660927774E-4</v>
      </c>
      <c r="R6" s="7">
        <f>$B6 * IFERROR(VLOOKUP("LULUCF|NOx|Asthma symptoms cough", US_national_yearly!$D:$AM, 26, FALSE) / VLOOKUP("LULUCF|NOx|Asthma symptoms cough", US_national_yearly!$D:$AM, 10, FALSE), 1)</f>
        <v>8.2779225004782873E-4</v>
      </c>
      <c r="S6" s="7">
        <f>$B6 * IFERROR(VLOOKUP("LULUCF|NOx|Asthma symptoms cough", US_national_yearly!$D:$AM, 27, FALSE) / VLOOKUP("LULUCF|NOx|Asthma symptoms cough", US_national_yearly!$D:$AM, 10, FALSE), 1)</f>
        <v>8.3200918128190321E-4</v>
      </c>
      <c r="T6" s="7">
        <f>$B6 * IFERROR(VLOOKUP("LULUCF|NOx|Asthma symptoms cough", US_national_yearly!$D:$AM, 28, FALSE) / VLOOKUP("LULUCF|NOx|Asthma symptoms cough", US_national_yearly!$D:$AM, 10, FALSE), 1)</f>
        <v>8.3622611251597757E-4</v>
      </c>
      <c r="U6" s="7">
        <f>$B6 * IFERROR(VLOOKUP("LULUCF|NOx|Asthma symptoms cough", US_national_yearly!$D:$AM, 29, FALSE) / VLOOKUP("LULUCF|NOx|Asthma symptoms cough", US_national_yearly!$D:$AM, 10, FALSE), 1)</f>
        <v>8.4044304375005172E-4</v>
      </c>
      <c r="V6" s="7">
        <f>$B6 * IFERROR(VLOOKUP("LULUCF|NOx|Asthma symptoms cough", US_national_yearly!$D:$AM, 30, FALSE) / VLOOKUP("LULUCF|NOx|Asthma symptoms cough", US_national_yearly!$D:$AM, 10, FALSE), 1)</f>
        <v>8.4465997498412619E-4</v>
      </c>
      <c r="W6" s="7">
        <f>$B6 * IFERROR(VLOOKUP("LULUCF|NOx|Asthma symptoms cough", US_national_yearly!$D:$AM, 31, FALSE) / VLOOKUP("LULUCF|NOx|Asthma symptoms cough", US_national_yearly!$D:$AM, 10, FALSE), 1)</f>
        <v>8.4887690621820045E-4</v>
      </c>
      <c r="X6" s="7">
        <f>$B6 * IFERROR(VLOOKUP("LULUCF|NOx|Asthma symptoms cough", US_national_yearly!$D:$AM, 32, FALSE) / VLOOKUP("LULUCF|NOx|Asthma symptoms cough", US_national_yearly!$D:$AM, 10, FALSE), 1)</f>
        <v>8.527950412467295E-4</v>
      </c>
      <c r="Y6" s="7">
        <f>$B6 * IFERROR(VLOOKUP("LULUCF|NOx|Asthma symptoms cough", US_national_yearly!$D:$AM, 33, FALSE) / VLOOKUP("LULUCF|NOx|Asthma symptoms cough", US_national_yearly!$D:$AM, 10, FALSE), 1)</f>
        <v>8.5671317627525844E-4</v>
      </c>
      <c r="Z6" s="7">
        <f>$B6 * IFERROR(VLOOKUP("LULUCF|NOx|Asthma symptoms cough", US_national_yearly!$D:$AM, 34, FALSE) / VLOOKUP("LULUCF|NOx|Asthma symptoms cough", US_national_yearly!$D:$AM, 10, FALSE), 1)</f>
        <v>8.6063131130378748E-4</v>
      </c>
      <c r="AA6" s="7">
        <f>$B6 * IFERROR(VLOOKUP("LULUCF|NOx|Asthma symptoms cough", US_national_yearly!$D:$AM, 35, FALSE) / VLOOKUP("LULUCF|NOx|Asthma symptoms cough", US_national_yearly!$D:$AM, 10, FALSE), 1)</f>
        <v>8.6454944633231653E-4</v>
      </c>
      <c r="AB6" s="7">
        <f>$B6 * IFERROR(VLOOKUP("LULUCF|NOx|Asthma symptoms cough", US_national_yearly!$D:$AM, 36, FALSE) / VLOOKUP("LULUCF|NOx|Asthma symptoms cough", US_national_yearly!$D:$AM, 10, FALSE), 1)</f>
        <v>8.6846758136084569E-4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9.9790683881702865E-4</v>
      </c>
      <c r="C7" s="7">
        <f>$B7 * IFERROR(VLOOKUP("LULUCF|NOx|Asthma symptoms shortness of breath", US_national_yearly!$D:$AM, 11, FALSE) / VLOOKUP("LULUCF|NOx|Asthma symptoms shortness of breath", US_national_yearly!$D:$AM, 10, FALSE), 1)</f>
        <v>1.0115498568060829E-3</v>
      </c>
      <c r="D7" s="7">
        <f>$B7 * IFERROR(VLOOKUP("LULUCF|NOx|Asthma symptoms shortness of breath", US_national_yearly!$D:$AM, 12, FALSE) / VLOOKUP("LULUCF|NOx|Asthma symptoms shortness of breath", US_national_yearly!$D:$AM, 10, FALSE), 1)</f>
        <v>1.025192874795137E-3</v>
      </c>
      <c r="E7" s="7">
        <f>$B7 * IFERROR(VLOOKUP("LULUCF|NOx|Asthma symptoms shortness of breath", US_national_yearly!$D:$AM, 13, FALSE) / VLOOKUP("LULUCF|NOx|Asthma symptoms shortness of breath", US_national_yearly!$D:$AM, 10, FALSE), 1)</f>
        <v>1.0388358927841915E-3</v>
      </c>
      <c r="F7" s="7">
        <f>$B7 * IFERROR(VLOOKUP("LULUCF|NOx|Asthma symptoms shortness of breath", US_national_yearly!$D:$AM, 14, FALSE) / VLOOKUP("LULUCF|NOx|Asthma symptoms shortness of breath", US_national_yearly!$D:$AM, 10, FALSE), 1)</f>
        <v>1.0524789107732458E-3</v>
      </c>
      <c r="G7" s="7">
        <f>$B7 * IFERROR(VLOOKUP("LULUCF|NOx|Asthma symptoms shortness of breath", US_national_yearly!$D:$AM, 15, FALSE) / VLOOKUP("LULUCF|NOx|Asthma symptoms shortness of breath", US_national_yearly!$D:$AM, 10, FALSE), 1)</f>
        <v>1.0633709541450801E-3</v>
      </c>
      <c r="H7" s="7">
        <f>$B7 * IFERROR(VLOOKUP("LULUCF|NOx|Asthma symptoms shortness of breath", US_national_yearly!$D:$AM, 16, FALSE) / VLOOKUP("LULUCF|NOx|Asthma symptoms shortness of breath", US_national_yearly!$D:$AM, 10, FALSE), 1)</f>
        <v>1.0742629975169144E-3</v>
      </c>
      <c r="I7" s="7">
        <f>$B7 * IFERROR(VLOOKUP("LULUCF|NOx|Asthma symptoms shortness of breath", US_national_yearly!$D:$AM, 17, FALSE) / VLOOKUP("LULUCF|NOx|Asthma symptoms shortness of breath", US_national_yearly!$D:$AM, 10, FALSE), 1)</f>
        <v>1.0780118831168915E-3</v>
      </c>
      <c r="J7" s="7">
        <f>$B7 * IFERROR(VLOOKUP("LULUCF|NOx|Asthma symptoms shortness of breath", US_national_yearly!$D:$AM, 18, FALSE) / VLOOKUP("LULUCF|NOx|Asthma symptoms shortness of breath", US_national_yearly!$D:$AM, 10, FALSE), 1)</f>
        <v>1.0817607687168686E-3</v>
      </c>
      <c r="K7" s="7">
        <f>$B7 * IFERROR(VLOOKUP("LULUCF|NOx|Asthma symptoms shortness of breath", US_national_yearly!$D:$AM, 19, FALSE) / VLOOKUP("LULUCF|NOx|Asthma symptoms shortness of breath", US_national_yearly!$D:$AM, 10, FALSE), 1)</f>
        <v>1.0855096543168454E-3</v>
      </c>
      <c r="L7" s="7">
        <f>$B7 * IFERROR(VLOOKUP("LULUCF|NOx|Asthma symptoms shortness of breath", US_national_yearly!$D:$AM, 20, FALSE) / VLOOKUP("LULUCF|NOx|Asthma symptoms shortness of breath", US_national_yearly!$D:$AM, 10, FALSE), 1)</f>
        <v>1.0892585399168225E-3</v>
      </c>
      <c r="M7" s="7">
        <f>$B7 * IFERROR(VLOOKUP("LULUCF|NOx|Asthma symptoms shortness of breath", US_national_yearly!$D:$AM, 21, FALSE) / VLOOKUP("LULUCF|NOx|Asthma symptoms shortness of breath", US_national_yearly!$D:$AM, 10, FALSE), 1)</f>
        <v>1.0930074255167993E-3</v>
      </c>
      <c r="N7" s="7">
        <f>$B7 * IFERROR(VLOOKUP("LULUCF|NOx|Asthma symptoms shortness of breath", US_national_yearly!$D:$AM, 22, FALSE) / VLOOKUP("LULUCF|NOx|Asthma symptoms shortness of breath", US_national_yearly!$D:$AM, 10, FALSE), 1)</f>
        <v>1.097354537553963E-3</v>
      </c>
      <c r="O7" s="7">
        <f>$B7 * IFERROR(VLOOKUP("LULUCF|NOx|Asthma symptoms shortness of breath", US_national_yearly!$D:$AM, 23, FALSE) / VLOOKUP("LULUCF|NOx|Asthma symptoms shortness of breath", US_national_yearly!$D:$AM, 10, FALSE), 1)</f>
        <v>1.1017016495911266E-3</v>
      </c>
      <c r="P7" s="7">
        <f>$B7 * IFERROR(VLOOKUP("LULUCF|NOx|Asthma symptoms shortness of breath", US_national_yearly!$D:$AM, 24, FALSE) / VLOOKUP("LULUCF|NOx|Asthma symptoms shortness of breath", US_national_yearly!$D:$AM, 10, FALSE), 1)</f>
        <v>1.1060487616282898E-3</v>
      </c>
      <c r="Q7" s="7">
        <f>$B7 * IFERROR(VLOOKUP("LULUCF|NOx|Asthma symptoms shortness of breath", US_national_yearly!$D:$AM, 25, FALSE) / VLOOKUP("LULUCF|NOx|Asthma symptoms shortness of breath", US_national_yearly!$D:$AM, 10, FALSE), 1)</f>
        <v>1.1103958736654535E-3</v>
      </c>
      <c r="R7" s="7">
        <f>$B7 * IFERROR(VLOOKUP("LULUCF|NOx|Asthma symptoms shortness of breath", US_national_yearly!$D:$AM, 26, FALSE) / VLOOKUP("LULUCF|NOx|Asthma symptoms shortness of breath", US_national_yearly!$D:$AM, 10, FALSE), 1)</f>
        <v>1.1147429857026169E-3</v>
      </c>
      <c r="S7" s="7">
        <f>$B7 * IFERROR(VLOOKUP("LULUCF|NOx|Asthma symptoms shortness of breath", US_national_yearly!$D:$AM, 27, FALSE) / VLOOKUP("LULUCF|NOx|Asthma symptoms shortness of breath", US_national_yearly!$D:$AM, 10, FALSE), 1)</f>
        <v>1.1204216985839909E-3</v>
      </c>
      <c r="T7" s="7">
        <f>$B7 * IFERROR(VLOOKUP("LULUCF|NOx|Asthma symptoms shortness of breath", US_national_yearly!$D:$AM, 28, FALSE) / VLOOKUP("LULUCF|NOx|Asthma symptoms shortness of breath", US_national_yearly!$D:$AM, 10, FALSE), 1)</f>
        <v>1.1261004114653651E-3</v>
      </c>
      <c r="U7" s="7">
        <f>$B7 * IFERROR(VLOOKUP("LULUCF|NOx|Asthma symptoms shortness of breath", US_national_yearly!$D:$AM, 29, FALSE) / VLOOKUP("LULUCF|NOx|Asthma symptoms shortness of breath", US_national_yearly!$D:$AM, 10, FALSE), 1)</f>
        <v>1.1317791243467391E-3</v>
      </c>
      <c r="V7" s="7">
        <f>$B7 * IFERROR(VLOOKUP("LULUCF|NOx|Asthma symptoms shortness of breath", US_national_yearly!$D:$AM, 30, FALSE) / VLOOKUP("LULUCF|NOx|Asthma symptoms shortness of breath", US_national_yearly!$D:$AM, 10, FALSE), 1)</f>
        <v>1.1374578372281129E-3</v>
      </c>
      <c r="W7" s="7">
        <f>$B7 * IFERROR(VLOOKUP("LULUCF|NOx|Asthma symptoms shortness of breath", US_national_yearly!$D:$AM, 31, FALSE) / VLOOKUP("LULUCF|NOx|Asthma symptoms shortness of breath", US_national_yearly!$D:$AM, 10, FALSE), 1)</f>
        <v>1.1431365501094869E-3</v>
      </c>
      <c r="X7" s="7">
        <f>$B7 * IFERROR(VLOOKUP("LULUCF|NOx|Asthma symptoms shortness of breath", US_national_yearly!$D:$AM, 32, FALSE) / VLOOKUP("LULUCF|NOx|Asthma symptoms shortness of breath", US_national_yearly!$D:$AM, 10, FALSE), 1)</f>
        <v>1.1484128903217772E-3</v>
      </c>
      <c r="Y7" s="7">
        <f>$B7 * IFERROR(VLOOKUP("LULUCF|NOx|Asthma symptoms shortness of breath", US_national_yearly!$D:$AM, 33, FALSE) / VLOOKUP("LULUCF|NOx|Asthma symptoms shortness of breath", US_national_yearly!$D:$AM, 10, FALSE), 1)</f>
        <v>1.1536892305340676E-3</v>
      </c>
      <c r="Z7" s="7">
        <f>$B7 * IFERROR(VLOOKUP("LULUCF|NOx|Asthma symptoms shortness of breath", US_national_yearly!$D:$AM, 34, FALSE) / VLOOKUP("LULUCF|NOx|Asthma symptoms shortness of breath", US_national_yearly!$D:$AM, 10, FALSE), 1)</f>
        <v>1.158965570746358E-3</v>
      </c>
      <c r="AA7" s="7">
        <f>$B7 * IFERROR(VLOOKUP("LULUCF|NOx|Asthma symptoms shortness of breath", US_national_yearly!$D:$AM, 35, FALSE) / VLOOKUP("LULUCF|NOx|Asthma symptoms shortness of breath", US_national_yearly!$D:$AM, 10, FALSE), 1)</f>
        <v>1.1642419109586485E-3</v>
      </c>
      <c r="AB7" s="7">
        <f>$B7 * IFERROR(VLOOKUP("LULUCF|NOx|Asthma symptoms shortness of breath", US_national_yearly!$D:$AM, 36, FALSE) / VLOOKUP("LULUCF|NOx|Asthma symptoms shortness of breath", US_national_yearly!$D:$AM, 10, FALSE), 1)</f>
        <v>1.1695182511709387E-3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1.524630596813775E-3</v>
      </c>
      <c r="C8" s="7">
        <f>$B8 * IFERROR(VLOOKUP("LULUCF|NOx|Asthma symptoms wheeze", US_national_yearly!$D:$AM, 11, FALSE) / VLOOKUP("LULUCF|NOx|Asthma symptoms wheeze", US_national_yearly!$D:$AM, 10, FALSE), 1)</f>
        <v>1.5454747897733166E-3</v>
      </c>
      <c r="D8" s="7">
        <f>$B8 * IFERROR(VLOOKUP("LULUCF|NOx|Asthma symptoms wheeze", US_national_yearly!$D:$AM, 12, FALSE) / VLOOKUP("LULUCF|NOx|Asthma symptoms wheeze", US_national_yearly!$D:$AM, 10, FALSE), 1)</f>
        <v>1.5663189827328588E-3</v>
      </c>
      <c r="E8" s="7">
        <f>$B8 * IFERROR(VLOOKUP("LULUCF|NOx|Asthma symptoms wheeze", US_national_yearly!$D:$AM, 13, FALSE) / VLOOKUP("LULUCF|NOx|Asthma symptoms wheeze", US_national_yearly!$D:$AM, 10, FALSE), 1)</f>
        <v>1.5871631756924005E-3</v>
      </c>
      <c r="F8" s="7">
        <f>$B8 * IFERROR(VLOOKUP("LULUCF|NOx|Asthma symptoms wheeze", US_national_yearly!$D:$AM, 14, FALSE) / VLOOKUP("LULUCF|NOx|Asthma symptoms wheeze", US_national_yearly!$D:$AM, 10, FALSE), 1)</f>
        <v>1.6080073686519421E-3</v>
      </c>
      <c r="G8" s="7">
        <f>$B8 * IFERROR(VLOOKUP("LULUCF|NOx|Asthma symptoms wheeze", US_national_yearly!$D:$AM, 15, FALSE) / VLOOKUP("LULUCF|NOx|Asthma symptoms wheeze", US_national_yearly!$D:$AM, 10, FALSE), 1)</f>
        <v>1.6246485439633535E-3</v>
      </c>
      <c r="H8" s="7">
        <f>$B8 * IFERROR(VLOOKUP("LULUCF|NOx|Asthma symptoms wheeze", US_national_yearly!$D:$AM, 16, FALSE) / VLOOKUP("LULUCF|NOx|Asthma symptoms wheeze", US_national_yearly!$D:$AM, 10, FALSE), 1)</f>
        <v>1.6412897192747652E-3</v>
      </c>
      <c r="I8" s="7">
        <f>$B8 * IFERROR(VLOOKUP("LULUCF|NOx|Asthma symptoms wheeze", US_national_yearly!$D:$AM, 17, FALSE) / VLOOKUP("LULUCF|NOx|Asthma symptoms wheeze", US_national_yearly!$D:$AM, 10, FALSE), 1)</f>
        <v>1.6470173739400031E-3</v>
      </c>
      <c r="J8" s="7">
        <f>$B8 * IFERROR(VLOOKUP("LULUCF|NOx|Asthma symptoms wheeze", US_national_yearly!$D:$AM, 18, FALSE) / VLOOKUP("LULUCF|NOx|Asthma symptoms wheeze", US_national_yearly!$D:$AM, 10, FALSE), 1)</f>
        <v>1.6527450286052414E-3</v>
      </c>
      <c r="K8" s="7">
        <f>$B8 * IFERROR(VLOOKUP("LULUCF|NOx|Asthma symptoms wheeze", US_national_yearly!$D:$AM, 19, FALSE) / VLOOKUP("LULUCF|NOx|Asthma symptoms wheeze", US_national_yearly!$D:$AM, 10, FALSE), 1)</f>
        <v>1.6584726832704791E-3</v>
      </c>
      <c r="L8" s="7">
        <f>$B8 * IFERROR(VLOOKUP("LULUCF|NOx|Asthma symptoms wheeze", US_national_yearly!$D:$AM, 20, FALSE) / VLOOKUP("LULUCF|NOx|Asthma symptoms wheeze", US_national_yearly!$D:$AM, 10, FALSE), 1)</f>
        <v>1.6642003379357172E-3</v>
      </c>
      <c r="M8" s="7">
        <f>$B8 * IFERROR(VLOOKUP("LULUCF|NOx|Asthma symptoms wheeze", US_national_yearly!$D:$AM, 21, FALSE) / VLOOKUP("LULUCF|NOx|Asthma symptoms wheeze", US_national_yearly!$D:$AM, 10, FALSE), 1)</f>
        <v>1.6699279926009553E-3</v>
      </c>
      <c r="N8" s="7">
        <f>$B8 * IFERROR(VLOOKUP("LULUCF|NOx|Asthma symptoms wheeze", US_national_yearly!$D:$AM, 22, FALSE) / VLOOKUP("LULUCF|NOx|Asthma symptoms wheeze", US_national_yearly!$D:$AM, 10, FALSE), 1)</f>
        <v>1.6765696347107529E-3</v>
      </c>
      <c r="O8" s="7">
        <f>$B8 * IFERROR(VLOOKUP("LULUCF|NOx|Asthma symptoms wheeze", US_national_yearly!$D:$AM, 23, FALSE) / VLOOKUP("LULUCF|NOx|Asthma symptoms wheeze", US_national_yearly!$D:$AM, 10, FALSE), 1)</f>
        <v>1.6832112768205509E-3</v>
      </c>
      <c r="P8" s="7">
        <f>$B8 * IFERROR(VLOOKUP("LULUCF|NOx|Asthma symptoms wheeze", US_national_yearly!$D:$AM, 24, FALSE) / VLOOKUP("LULUCF|NOx|Asthma symptoms wheeze", US_national_yearly!$D:$AM, 10, FALSE), 1)</f>
        <v>1.6898529189303484E-3</v>
      </c>
      <c r="Q8" s="7">
        <f>$B8 * IFERROR(VLOOKUP("LULUCF|NOx|Asthma symptoms wheeze", US_national_yearly!$D:$AM, 25, FALSE) / VLOOKUP("LULUCF|NOx|Asthma symptoms wheeze", US_national_yearly!$D:$AM, 10, FALSE), 1)</f>
        <v>1.6964945610401464E-3</v>
      </c>
      <c r="R8" s="7">
        <f>$B8 * IFERROR(VLOOKUP("LULUCF|NOx|Asthma symptoms wheeze", US_national_yearly!$D:$AM, 26, FALSE) / VLOOKUP("LULUCF|NOx|Asthma symptoms wheeze", US_national_yearly!$D:$AM, 10, FALSE), 1)</f>
        <v>1.703136203149944E-3</v>
      </c>
      <c r="S8" s="7">
        <f>$B8 * IFERROR(VLOOKUP("LULUCF|NOx|Asthma symptoms wheeze", US_national_yearly!$D:$AM, 27, FALSE) / VLOOKUP("LULUCF|NOx|Asthma symptoms wheeze", US_national_yearly!$D:$AM, 10, FALSE), 1)</f>
        <v>1.7118123030875375E-3</v>
      </c>
      <c r="T8" s="7">
        <f>$B8 * IFERROR(VLOOKUP("LULUCF|NOx|Asthma symptoms wheeze", US_national_yearly!$D:$AM, 28, FALSE) / VLOOKUP("LULUCF|NOx|Asthma symptoms wheeze", US_national_yearly!$D:$AM, 10, FALSE), 1)</f>
        <v>1.7204884030251311E-3</v>
      </c>
      <c r="U8" s="7">
        <f>$B8 * IFERROR(VLOOKUP("LULUCF|NOx|Asthma symptoms wheeze", US_national_yearly!$D:$AM, 29, FALSE) / VLOOKUP("LULUCF|NOx|Asthma symptoms wheeze", US_national_yearly!$D:$AM, 10, FALSE), 1)</f>
        <v>1.7291645029627247E-3</v>
      </c>
      <c r="V8" s="7">
        <f>$B8 * IFERROR(VLOOKUP("LULUCF|NOx|Asthma symptoms wheeze", US_national_yearly!$D:$AM, 30, FALSE) / VLOOKUP("LULUCF|NOx|Asthma symptoms wheeze", US_national_yearly!$D:$AM, 10, FALSE), 1)</f>
        <v>1.7378406029003185E-3</v>
      </c>
      <c r="W8" s="7">
        <f>$B8 * IFERROR(VLOOKUP("LULUCF|NOx|Asthma symptoms wheeze", US_national_yearly!$D:$AM, 31, FALSE) / VLOOKUP("LULUCF|NOx|Asthma symptoms wheeze", US_national_yearly!$D:$AM, 10, FALSE), 1)</f>
        <v>1.7465167028379118E-3</v>
      </c>
      <c r="X8" s="7">
        <f>$B8 * IFERROR(VLOOKUP("LULUCF|NOx|Asthma symptoms wheeze", US_national_yearly!$D:$AM, 32, FALSE) / VLOOKUP("LULUCF|NOx|Asthma symptoms wheeze", US_national_yearly!$D:$AM, 10, FALSE), 1)</f>
        <v>1.7545780463073687E-3</v>
      </c>
      <c r="Y8" s="7">
        <f>$B8 * IFERROR(VLOOKUP("LULUCF|NOx|Asthma symptoms wheeze", US_national_yearly!$D:$AM, 33, FALSE) / VLOOKUP("LULUCF|NOx|Asthma symptoms wheeze", US_national_yearly!$D:$AM, 10, FALSE), 1)</f>
        <v>1.7626393897768253E-3</v>
      </c>
      <c r="Z8" s="7">
        <f>$B8 * IFERROR(VLOOKUP("LULUCF|NOx|Asthma symptoms wheeze", US_national_yearly!$D:$AM, 34, FALSE) / VLOOKUP("LULUCF|NOx|Asthma symptoms wheeze", US_national_yearly!$D:$AM, 10, FALSE), 1)</f>
        <v>1.7707007332462821E-3</v>
      </c>
      <c r="AA8" s="7">
        <f>$B8 * IFERROR(VLOOKUP("LULUCF|NOx|Asthma symptoms wheeze", US_national_yearly!$D:$AM, 35, FALSE) / VLOOKUP("LULUCF|NOx|Asthma symptoms wheeze", US_national_yearly!$D:$AM, 10, FALSE), 1)</f>
        <v>1.7787620767157387E-3</v>
      </c>
      <c r="AB8" s="7">
        <f>$B8 * IFERROR(VLOOKUP("LULUCF|NOx|Asthma symptoms wheeze", US_national_yearly!$D:$AM, 36, FALSE) / VLOOKUP("LULUCF|NOx|Asthma symptoms wheeze", US_national_yearly!$D:$AM, 10, FALSE), 1)</f>
        <v>1.7868234201851958E-3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2.568436681782133E-5</v>
      </c>
      <c r="C12" s="7">
        <f>$B12 * IFERROR(VLOOKUP("LULUCF|NOx|Respiratory hospital admissions", US_national_yearly!$D:$AM, 11, FALSE) / VLOOKUP("LULUCF|NOx|Respiratory hospital admissions", US_national_yearly!$D:$AM, 10, FALSE), 1)</f>
        <v>2.6325054736190274E-5</v>
      </c>
      <c r="D12" s="7">
        <f>$B12 * IFERROR(VLOOKUP("LULUCF|NOx|Respiratory hospital admissions", US_national_yearly!$D:$AM, 12, FALSE) / VLOOKUP("LULUCF|NOx|Respiratory hospital admissions", US_national_yearly!$D:$AM, 10, FALSE), 1)</f>
        <v>2.6965742654559221E-5</v>
      </c>
      <c r="E12" s="7">
        <f>$B12 * IFERROR(VLOOKUP("LULUCF|NOx|Respiratory hospital admissions", US_national_yearly!$D:$AM, 13, FALSE) / VLOOKUP("LULUCF|NOx|Respiratory hospital admissions", US_national_yearly!$D:$AM, 10, FALSE), 1)</f>
        <v>2.7606430572928169E-5</v>
      </c>
      <c r="F12" s="7">
        <f>$B12 * IFERROR(VLOOKUP("LULUCF|NOx|Respiratory hospital admissions", US_national_yearly!$D:$AM, 14, FALSE) / VLOOKUP("LULUCF|NOx|Respiratory hospital admissions", US_national_yearly!$D:$AM, 10, FALSE), 1)</f>
        <v>2.8247118491297119E-5</v>
      </c>
      <c r="G12" s="7">
        <f>$B12 * IFERROR(VLOOKUP("LULUCF|NOx|Respiratory hospital admissions", US_national_yearly!$D:$AM, 15, FALSE) / VLOOKUP("LULUCF|NOx|Respiratory hospital admissions", US_national_yearly!$D:$AM, 10, FALSE), 1)</f>
        <v>2.8859637947678837E-5</v>
      </c>
      <c r="H12" s="7">
        <f>$B12 * IFERROR(VLOOKUP("LULUCF|NOx|Respiratory hospital admissions", US_national_yearly!$D:$AM, 16, FALSE) / VLOOKUP("LULUCF|NOx|Respiratory hospital admissions", US_national_yearly!$D:$AM, 10, FALSE), 1)</f>
        <v>2.9472157404060558E-5</v>
      </c>
      <c r="I12" s="7">
        <f>$B12 * IFERROR(VLOOKUP("LULUCF|NOx|Respiratory hospital admissions", US_national_yearly!$D:$AM, 17, FALSE) / VLOOKUP("LULUCF|NOx|Respiratory hospital admissions", US_national_yearly!$D:$AM, 10, FALSE), 1)</f>
        <v>2.9992199014654328E-5</v>
      </c>
      <c r="J12" s="7">
        <f>$B12 * IFERROR(VLOOKUP("LULUCF|NOx|Respiratory hospital admissions", US_national_yearly!$D:$AM, 18, FALSE) / VLOOKUP("LULUCF|NOx|Respiratory hospital admissions", US_national_yearly!$D:$AM, 10, FALSE), 1)</f>
        <v>3.0512240625248095E-5</v>
      </c>
      <c r="K12" s="7">
        <f>$B12 * IFERROR(VLOOKUP("LULUCF|NOx|Respiratory hospital admissions", US_national_yearly!$D:$AM, 19, FALSE) / VLOOKUP("LULUCF|NOx|Respiratory hospital admissions", US_national_yearly!$D:$AM, 10, FALSE), 1)</f>
        <v>3.1032282235841865E-5</v>
      </c>
      <c r="L12" s="7">
        <f>$B12 * IFERROR(VLOOKUP("LULUCF|NOx|Respiratory hospital admissions", US_national_yearly!$D:$AM, 20, FALSE) / VLOOKUP("LULUCF|NOx|Respiratory hospital admissions", US_national_yearly!$D:$AM, 10, FALSE), 1)</f>
        <v>3.1552323846435636E-5</v>
      </c>
      <c r="M12" s="7">
        <f>$B12 * IFERROR(VLOOKUP("LULUCF|NOx|Respiratory hospital admissions", US_national_yearly!$D:$AM, 21, FALSE) / VLOOKUP("LULUCF|NOx|Respiratory hospital admissions", US_national_yearly!$D:$AM, 10, FALSE), 1)</f>
        <v>3.2072365457029406E-5</v>
      </c>
      <c r="N12" s="7">
        <f>$B12 * IFERROR(VLOOKUP("LULUCF|NOx|Respiratory hospital admissions", US_national_yearly!$D:$AM, 22, FALSE) / VLOOKUP("LULUCF|NOx|Respiratory hospital admissions", US_national_yearly!$D:$AM, 10, FALSE), 1)</f>
        <v>3.2420022636831386E-5</v>
      </c>
      <c r="O12" s="7">
        <f>$B12 * IFERROR(VLOOKUP("LULUCF|NOx|Respiratory hospital admissions", US_national_yearly!$D:$AM, 23, FALSE) / VLOOKUP("LULUCF|NOx|Respiratory hospital admissions", US_national_yearly!$D:$AM, 10, FALSE), 1)</f>
        <v>3.2767679816633372E-5</v>
      </c>
      <c r="P12" s="7">
        <f>$B12 * IFERROR(VLOOKUP("LULUCF|NOx|Respiratory hospital admissions", US_national_yearly!$D:$AM, 24, FALSE) / VLOOKUP("LULUCF|NOx|Respiratory hospital admissions", US_national_yearly!$D:$AM, 10, FALSE), 1)</f>
        <v>3.3115336996435352E-5</v>
      </c>
      <c r="Q12" s="7">
        <f>$B12 * IFERROR(VLOOKUP("LULUCF|NOx|Respiratory hospital admissions", US_national_yearly!$D:$AM, 25, FALSE) / VLOOKUP("LULUCF|NOx|Respiratory hospital admissions", US_national_yearly!$D:$AM, 10, FALSE), 1)</f>
        <v>3.3462994176237339E-5</v>
      </c>
      <c r="R12" s="7">
        <f>$B12 * IFERROR(VLOOKUP("LULUCF|NOx|Respiratory hospital admissions", US_national_yearly!$D:$AM, 26, FALSE) / VLOOKUP("LULUCF|NOx|Respiratory hospital admissions", US_national_yearly!$D:$AM, 10, FALSE), 1)</f>
        <v>3.3810651356039326E-5</v>
      </c>
      <c r="S12" s="7">
        <f>$B12 * IFERROR(VLOOKUP("LULUCF|NOx|Respiratory hospital admissions", US_national_yearly!$D:$AM, 27, FALSE) / VLOOKUP("LULUCF|NOx|Respiratory hospital admissions", US_national_yearly!$D:$AM, 10, FALSE), 1)</f>
        <v>3.3996916652558848E-5</v>
      </c>
      <c r="T12" s="7">
        <f>$B12 * IFERROR(VLOOKUP("LULUCF|NOx|Respiratory hospital admissions", US_national_yearly!$D:$AM, 28, FALSE) / VLOOKUP("LULUCF|NOx|Respiratory hospital admissions", US_national_yearly!$D:$AM, 10, FALSE), 1)</f>
        <v>3.4183181949078377E-5</v>
      </c>
      <c r="U12" s="7">
        <f>$B12 * IFERROR(VLOOKUP("LULUCF|NOx|Respiratory hospital admissions", US_national_yearly!$D:$AM, 29, FALSE) / VLOOKUP("LULUCF|NOx|Respiratory hospital admissions", US_national_yearly!$D:$AM, 10, FALSE), 1)</f>
        <v>3.4369447245597906E-5</v>
      </c>
      <c r="V12" s="7">
        <f>$B12 * IFERROR(VLOOKUP("LULUCF|NOx|Respiratory hospital admissions", US_national_yearly!$D:$AM, 30, FALSE) / VLOOKUP("LULUCF|NOx|Respiratory hospital admissions", US_national_yearly!$D:$AM, 10, FALSE), 1)</f>
        <v>3.4555712542117429E-5</v>
      </c>
      <c r="W12" s="7">
        <f>$B12 * IFERROR(VLOOKUP("LULUCF|NOx|Respiratory hospital admissions", US_national_yearly!$D:$AM, 31, FALSE) / VLOOKUP("LULUCF|NOx|Respiratory hospital admissions", US_national_yearly!$D:$AM, 10, FALSE), 1)</f>
        <v>3.4741977838636964E-5</v>
      </c>
      <c r="X12" s="7">
        <f>$B12 * IFERROR(VLOOKUP("LULUCF|NOx|Respiratory hospital admissions", US_national_yearly!$D:$AM, 32, FALSE) / VLOOKUP("LULUCF|NOx|Respiratory hospital admissions", US_national_yearly!$D:$AM, 10, FALSE), 1)</f>
        <v>3.4869265969875465E-5</v>
      </c>
      <c r="Y12" s="7">
        <f>$B12 * IFERROR(VLOOKUP("LULUCF|NOx|Respiratory hospital admissions", US_national_yearly!$D:$AM, 33, FALSE) / VLOOKUP("LULUCF|NOx|Respiratory hospital admissions", US_national_yearly!$D:$AM, 10, FALSE), 1)</f>
        <v>3.4996554101113966E-5</v>
      </c>
      <c r="Z12" s="7">
        <f>$B12 * IFERROR(VLOOKUP("LULUCF|NOx|Respiratory hospital admissions", US_national_yearly!$D:$AM, 34, FALSE) / VLOOKUP("LULUCF|NOx|Respiratory hospital admissions", US_national_yearly!$D:$AM, 10, FALSE), 1)</f>
        <v>3.5123842232352473E-5</v>
      </c>
      <c r="AA12" s="7">
        <f>$B12 * IFERROR(VLOOKUP("LULUCF|NOx|Respiratory hospital admissions", US_national_yearly!$D:$AM, 35, FALSE) / VLOOKUP("LULUCF|NOx|Respiratory hospital admissions", US_national_yearly!$D:$AM, 10, FALSE), 1)</f>
        <v>3.525113036359098E-5</v>
      </c>
      <c r="AB12" s="7">
        <f>$B12 * IFERROR(VLOOKUP("LULUCF|NOx|Respiratory hospital admissions", US_national_yearly!$D:$AM, 36, FALSE) / VLOOKUP("LULUCF|NOx|Respiratory hospital admissions", US_national_yearly!$D:$AM, 10, FALSE), 1)</f>
        <v>3.5378418494829481E-5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1.6005999418890697E-4</v>
      </c>
      <c r="C13" s="7">
        <f>$B13 * IFERROR(VLOOKUP("LULUCF|NOx|Non-fatal heart attacks", US_national_yearly!$D:$AM, 11, FALSE) / VLOOKUP("LULUCF|NOx|Non-fatal heart attacks", US_national_yearly!$D:$AM, 10, FALSE), 1)</f>
        <v>1.6463596840091542E-4</v>
      </c>
      <c r="D13" s="7">
        <f>$B13 * IFERROR(VLOOKUP("LULUCF|NOx|Non-fatal heart attacks", US_national_yearly!$D:$AM, 12, FALSE) / VLOOKUP("LULUCF|NOx|Non-fatal heart attacks", US_national_yearly!$D:$AM, 10, FALSE), 1)</f>
        <v>1.6921194261292386E-4</v>
      </c>
      <c r="E13" s="7">
        <f>$B13 * IFERROR(VLOOKUP("LULUCF|NOx|Non-fatal heart attacks", US_national_yearly!$D:$AM, 13, FALSE) / VLOOKUP("LULUCF|NOx|Non-fatal heart attacks", US_national_yearly!$D:$AM, 10, FALSE), 1)</f>
        <v>1.7378791682493228E-4</v>
      </c>
      <c r="F13" s="7">
        <f>$B13 * IFERROR(VLOOKUP("LULUCF|NOx|Non-fatal heart attacks", US_national_yearly!$D:$AM, 14, FALSE) / VLOOKUP("LULUCF|NOx|Non-fatal heart attacks", US_national_yearly!$D:$AM, 10, FALSE), 1)</f>
        <v>1.7836389103694072E-4</v>
      </c>
      <c r="G13" s="7">
        <f>$B13 * IFERROR(VLOOKUP("LULUCF|NOx|Non-fatal heart attacks", US_national_yearly!$D:$AM, 15, FALSE) / VLOOKUP("LULUCF|NOx|Non-fatal heart attacks", US_national_yearly!$D:$AM, 10, FALSE), 1)</f>
        <v>1.8264012942759982E-4</v>
      </c>
      <c r="H13" s="7">
        <f>$B13 * IFERROR(VLOOKUP("LULUCF|NOx|Non-fatal heart attacks", US_national_yearly!$D:$AM, 16, FALSE) / VLOOKUP("LULUCF|NOx|Non-fatal heart attacks", US_national_yearly!$D:$AM, 10, FALSE), 1)</f>
        <v>1.8691636781825892E-4</v>
      </c>
      <c r="I13" s="7">
        <f>$B13 * IFERROR(VLOOKUP("LULUCF|NOx|Non-fatal heart attacks", US_national_yearly!$D:$AM, 17, FALSE) / VLOOKUP("LULUCF|NOx|Non-fatal heart attacks", US_national_yearly!$D:$AM, 10, FALSE), 1)</f>
        <v>1.9028769296857228E-4</v>
      </c>
      <c r="J13" s="7">
        <f>$B13 * IFERROR(VLOOKUP("LULUCF|NOx|Non-fatal heart attacks", US_national_yearly!$D:$AM, 18, FALSE) / VLOOKUP("LULUCF|NOx|Non-fatal heart attacks", US_national_yearly!$D:$AM, 10, FALSE), 1)</f>
        <v>1.936590181188857E-4</v>
      </c>
      <c r="K13" s="7">
        <f>$B13 * IFERROR(VLOOKUP("LULUCF|NOx|Non-fatal heart attacks", US_national_yearly!$D:$AM, 19, FALSE) / VLOOKUP("LULUCF|NOx|Non-fatal heart attacks", US_national_yearly!$D:$AM, 10, FALSE), 1)</f>
        <v>1.9703034326919896E-4</v>
      </c>
      <c r="L13" s="7">
        <f>$B13 * IFERROR(VLOOKUP("LULUCF|NOx|Non-fatal heart attacks", US_national_yearly!$D:$AM, 20, FALSE) / VLOOKUP("LULUCF|NOx|Non-fatal heart attacks", US_national_yearly!$D:$AM, 10, FALSE), 1)</f>
        <v>2.0040166841951248E-4</v>
      </c>
      <c r="M13" s="7">
        <f>$B13 * IFERROR(VLOOKUP("LULUCF|NOx|Non-fatal heart attacks", US_national_yearly!$D:$AM, 21, FALSE) / VLOOKUP("LULUCF|NOx|Non-fatal heart attacks", US_national_yearly!$D:$AM, 10, FALSE), 1)</f>
        <v>2.0377299356982582E-4</v>
      </c>
      <c r="N13" s="7">
        <f>$B13 * IFERROR(VLOOKUP("LULUCF|NOx|Non-fatal heart attacks", US_national_yearly!$D:$AM, 22, FALSE) / VLOOKUP("LULUCF|NOx|Non-fatal heart attacks", US_national_yearly!$D:$AM, 10, FALSE), 1)</f>
        <v>2.0580128502100862E-4</v>
      </c>
      <c r="O13" s="7">
        <f>$B13 * IFERROR(VLOOKUP("LULUCF|NOx|Non-fatal heart attacks", US_national_yearly!$D:$AM, 23, FALSE) / VLOOKUP("LULUCF|NOx|Non-fatal heart attacks", US_national_yearly!$D:$AM, 10, FALSE), 1)</f>
        <v>2.0782957647219139E-4</v>
      </c>
      <c r="P13" s="7">
        <f>$B13 * IFERROR(VLOOKUP("LULUCF|NOx|Non-fatal heart attacks", US_national_yearly!$D:$AM, 24, FALSE) / VLOOKUP("LULUCF|NOx|Non-fatal heart attacks", US_national_yearly!$D:$AM, 10, FALSE), 1)</f>
        <v>2.0985786792337413E-4</v>
      </c>
      <c r="Q13" s="7">
        <f>$B13 * IFERROR(VLOOKUP("LULUCF|NOx|Non-fatal heart attacks", US_national_yearly!$D:$AM, 25, FALSE) / VLOOKUP("LULUCF|NOx|Non-fatal heart attacks", US_national_yearly!$D:$AM, 10, FALSE), 1)</f>
        <v>2.1188615937455695E-4</v>
      </c>
      <c r="R13" s="7">
        <f>$B13 * IFERROR(VLOOKUP("LULUCF|NOx|Non-fatal heart attacks", US_national_yearly!$D:$AM, 26, FALSE) / VLOOKUP("LULUCF|NOx|Non-fatal heart attacks", US_national_yearly!$D:$AM, 10, FALSE), 1)</f>
        <v>2.1391445082573972E-4</v>
      </c>
      <c r="S13" s="7">
        <f>$B13 * IFERROR(VLOOKUP("LULUCF|NOx|Non-fatal heart attacks", US_national_yearly!$D:$AM, 27, FALSE) / VLOOKUP("LULUCF|NOx|Non-fatal heart attacks", US_national_yearly!$D:$AM, 10, FALSE), 1)</f>
        <v>2.1483449785641447E-4</v>
      </c>
      <c r="T13" s="7">
        <f>$B13 * IFERROR(VLOOKUP("LULUCF|NOx|Non-fatal heart attacks", US_national_yearly!$D:$AM, 28, FALSE) / VLOOKUP("LULUCF|NOx|Non-fatal heart attacks", US_national_yearly!$D:$AM, 10, FALSE), 1)</f>
        <v>2.1575454488708919E-4</v>
      </c>
      <c r="U13" s="7">
        <f>$B13 * IFERROR(VLOOKUP("LULUCF|NOx|Non-fatal heart attacks", US_national_yearly!$D:$AM, 29, FALSE) / VLOOKUP("LULUCF|NOx|Non-fatal heart attacks", US_national_yearly!$D:$AM, 10, FALSE), 1)</f>
        <v>2.1667459191776394E-4</v>
      </c>
      <c r="V13" s="7">
        <f>$B13 * IFERROR(VLOOKUP("LULUCF|NOx|Non-fatal heart attacks", US_national_yearly!$D:$AM, 30, FALSE) / VLOOKUP("LULUCF|NOx|Non-fatal heart attacks", US_national_yearly!$D:$AM, 10, FALSE), 1)</f>
        <v>2.1759463894843866E-4</v>
      </c>
      <c r="W13" s="7">
        <f>$B13 * IFERROR(VLOOKUP("LULUCF|NOx|Non-fatal heart attacks", US_national_yearly!$D:$AM, 31, FALSE) / VLOOKUP("LULUCF|NOx|Non-fatal heart attacks", US_national_yearly!$D:$AM, 10, FALSE), 1)</f>
        <v>2.1851468597911341E-4</v>
      </c>
      <c r="X13" s="7">
        <f>$B13 * IFERROR(VLOOKUP("LULUCF|NOx|Non-fatal heart attacks", US_national_yearly!$D:$AM, 32, FALSE) / VLOOKUP("LULUCF|NOx|Non-fatal heart attacks", US_national_yearly!$D:$AM, 10, FALSE), 1)</f>
        <v>2.191295098162386E-4</v>
      </c>
      <c r="Y13" s="7">
        <f>$B13 * IFERROR(VLOOKUP("LULUCF|NOx|Non-fatal heart attacks", US_national_yearly!$D:$AM, 33, FALSE) / VLOOKUP("LULUCF|NOx|Non-fatal heart attacks", US_national_yearly!$D:$AM, 10, FALSE), 1)</f>
        <v>2.1974433365336382E-4</v>
      </c>
      <c r="Z13" s="7">
        <f>$B13 * IFERROR(VLOOKUP("LULUCF|NOx|Non-fatal heart attacks", US_national_yearly!$D:$AM, 34, FALSE) / VLOOKUP("LULUCF|NOx|Non-fatal heart attacks", US_national_yearly!$D:$AM, 10, FALSE), 1)</f>
        <v>2.2035915749048899E-4</v>
      </c>
      <c r="AA13" s="7">
        <f>$B13 * IFERROR(VLOOKUP("LULUCF|NOx|Non-fatal heart attacks", US_national_yearly!$D:$AM, 35, FALSE) / VLOOKUP("LULUCF|NOx|Non-fatal heart attacks", US_national_yearly!$D:$AM, 10, FALSE), 1)</f>
        <v>2.2097398132761418E-4</v>
      </c>
      <c r="AB13" s="7">
        <f>$B13 * IFERROR(VLOOKUP("LULUCF|NOx|Non-fatal heart attacks", US_national_yearly!$D:$AM, 36, FALSE) / VLOOKUP("LULUCF|NOx|Non-fatal heart attacks", US_national_yearly!$D:$AM, 10, FALSE), 1)</f>
        <v>2.215888051647394E-4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0.10350251928240399</v>
      </c>
      <c r="C14" s="7">
        <f>$B14 * IFERROR(VLOOKUP("LULUCF|NOx|Minor restricted activity days", US_national_yearly!$D:$AM, 11, FALSE) / VLOOKUP("LULUCF|NOx|Minor restricted activity days", US_national_yearly!$D:$AM, 10, FALSE), 1)</f>
        <v>0.1036612060141141</v>
      </c>
      <c r="D14" s="7">
        <f>$B14 * IFERROR(VLOOKUP("LULUCF|NOx|Minor restricted activity days", US_national_yearly!$D:$AM, 12, FALSE) / VLOOKUP("LULUCF|NOx|Minor restricted activity days", US_national_yearly!$D:$AM, 10, FALSE), 1)</f>
        <v>0.10381989274582425</v>
      </c>
      <c r="E14" s="7">
        <f>$B14 * IFERROR(VLOOKUP("LULUCF|NOx|Minor restricted activity days", US_national_yearly!$D:$AM, 13, FALSE) / VLOOKUP("LULUCF|NOx|Minor restricted activity days", US_national_yearly!$D:$AM, 10, FALSE), 1)</f>
        <v>0.1039785794775344</v>
      </c>
      <c r="F14" s="7">
        <f>$B14 * IFERROR(VLOOKUP("LULUCF|NOx|Minor restricted activity days", US_national_yearly!$D:$AM, 14, FALSE) / VLOOKUP("LULUCF|NOx|Minor restricted activity days", US_national_yearly!$D:$AM, 10, FALSE), 1)</f>
        <v>0.10413726620924452</v>
      </c>
      <c r="G14" s="7">
        <f>$B14 * IFERROR(VLOOKUP("LULUCF|NOx|Minor restricted activity days", US_national_yearly!$D:$AM, 15, FALSE) / VLOOKUP("LULUCF|NOx|Minor restricted activity days", US_national_yearly!$D:$AM, 10, FALSE), 1)</f>
        <v>0.10442381667602528</v>
      </c>
      <c r="H14" s="7">
        <f>$B14 * IFERROR(VLOOKUP("LULUCF|NOx|Minor restricted activity days", US_national_yearly!$D:$AM, 16, FALSE) / VLOOKUP("LULUCF|NOx|Minor restricted activity days", US_national_yearly!$D:$AM, 10, FALSE), 1)</f>
        <v>0.10471036714280602</v>
      </c>
      <c r="I14" s="7">
        <f>$B14 * IFERROR(VLOOKUP("LULUCF|NOx|Minor restricted activity days", US_national_yearly!$D:$AM, 17, FALSE) / VLOOKUP("LULUCF|NOx|Minor restricted activity days", US_national_yearly!$D:$AM, 10, FALSE), 1)</f>
        <v>0.1052708485244512</v>
      </c>
      <c r="J14" s="7">
        <f>$B14 * IFERROR(VLOOKUP("LULUCF|NOx|Minor restricted activity days", US_national_yearly!$D:$AM, 18, FALSE) / VLOOKUP("LULUCF|NOx|Minor restricted activity days", US_national_yearly!$D:$AM, 10, FALSE), 1)</f>
        <v>0.10583132990609637</v>
      </c>
      <c r="K14" s="7">
        <f>$B14 * IFERROR(VLOOKUP("LULUCF|NOx|Minor restricted activity days", US_national_yearly!$D:$AM, 19, FALSE) / VLOOKUP("LULUCF|NOx|Minor restricted activity days", US_national_yearly!$D:$AM, 10, FALSE), 1)</f>
        <v>0.10639181128774156</v>
      </c>
      <c r="L14" s="7">
        <f>$B14 * IFERROR(VLOOKUP("LULUCF|NOx|Minor restricted activity days", US_national_yearly!$D:$AM, 20, FALSE) / VLOOKUP("LULUCF|NOx|Minor restricted activity days", US_national_yearly!$D:$AM, 10, FALSE), 1)</f>
        <v>0.10695229266938672</v>
      </c>
      <c r="M14" s="7">
        <f>$B14 * IFERROR(VLOOKUP("LULUCF|NOx|Minor restricted activity days", US_national_yearly!$D:$AM, 21, FALSE) / VLOOKUP("LULUCF|NOx|Minor restricted activity days", US_national_yearly!$D:$AM, 10, FALSE), 1)</f>
        <v>0.10751277405103191</v>
      </c>
      <c r="N14" s="7">
        <f>$B14 * IFERROR(VLOOKUP("LULUCF|NOx|Minor restricted activity days", US_national_yearly!$D:$AM, 22, FALSE) / VLOOKUP("LULUCF|NOx|Minor restricted activity days", US_national_yearly!$D:$AM, 10, FALSE), 1)</f>
        <v>0.10831525630314714</v>
      </c>
      <c r="O14" s="7">
        <f>$B14 * IFERROR(VLOOKUP("LULUCF|NOx|Minor restricted activity days", US_national_yearly!$D:$AM, 23, FALSE) / VLOOKUP("LULUCF|NOx|Minor restricted activity days", US_national_yearly!$D:$AM, 10, FALSE), 1)</f>
        <v>0.10911773855526238</v>
      </c>
      <c r="P14" s="7">
        <f>$B14 * IFERROR(VLOOKUP("LULUCF|NOx|Minor restricted activity days", US_national_yearly!$D:$AM, 24, FALSE) / VLOOKUP("LULUCF|NOx|Minor restricted activity days", US_national_yearly!$D:$AM, 10, FALSE), 1)</f>
        <v>0.10992022080737762</v>
      </c>
      <c r="Q14" s="7">
        <f>$B14 * IFERROR(VLOOKUP("LULUCF|NOx|Minor restricted activity days", US_national_yearly!$D:$AM, 25, FALSE) / VLOOKUP("LULUCF|NOx|Minor restricted activity days", US_national_yearly!$D:$AM, 10, FALSE), 1)</f>
        <v>0.11072270305949285</v>
      </c>
      <c r="R14" s="7">
        <f>$B14 * IFERROR(VLOOKUP("LULUCF|NOx|Minor restricted activity days", US_national_yearly!$D:$AM, 26, FALSE) / VLOOKUP("LULUCF|NOx|Minor restricted activity days", US_national_yearly!$D:$AM, 10, FALSE), 1)</f>
        <v>0.11152518531160809</v>
      </c>
      <c r="S14" s="7">
        <f>$B14 * IFERROR(VLOOKUP("LULUCF|NOx|Minor restricted activity days", US_national_yearly!$D:$AM, 27, FALSE) / VLOOKUP("LULUCF|NOx|Minor restricted activity days", US_national_yearly!$D:$AM, 10, FALSE), 1)</f>
        <v>0.1123274988435474</v>
      </c>
      <c r="T14" s="7">
        <f>$B14 * IFERROR(VLOOKUP("LULUCF|NOx|Minor restricted activity days", US_national_yearly!$D:$AM, 28, FALSE) / VLOOKUP("LULUCF|NOx|Minor restricted activity days", US_national_yearly!$D:$AM, 10, FALSE), 1)</f>
        <v>0.11312981237548669</v>
      </c>
      <c r="U14" s="7">
        <f>$B14 * IFERROR(VLOOKUP("LULUCF|NOx|Minor restricted activity days", US_national_yearly!$D:$AM, 29, FALSE) / VLOOKUP("LULUCF|NOx|Minor restricted activity days", US_national_yearly!$D:$AM, 10, FALSE), 1)</f>
        <v>0.113932125907426</v>
      </c>
      <c r="V14" s="7">
        <f>$B14 * IFERROR(VLOOKUP("LULUCF|NOx|Minor restricted activity days", US_national_yearly!$D:$AM, 30, FALSE) / VLOOKUP("LULUCF|NOx|Minor restricted activity days", US_national_yearly!$D:$AM, 10, FALSE), 1)</f>
        <v>0.11473443943936533</v>
      </c>
      <c r="W14" s="7">
        <f>$B14 * IFERROR(VLOOKUP("LULUCF|NOx|Minor restricted activity days", US_national_yearly!$D:$AM, 31, FALSE) / VLOOKUP("LULUCF|NOx|Minor restricted activity days", US_national_yearly!$D:$AM, 10, FALSE), 1)</f>
        <v>0.11553675297130461</v>
      </c>
      <c r="X14" s="7">
        <f>$B14 * IFERROR(VLOOKUP("LULUCF|NOx|Minor restricted activity days", US_national_yearly!$D:$AM, 32, FALSE) / VLOOKUP("LULUCF|NOx|Minor restricted activity days", US_national_yearly!$D:$AM, 10, FALSE), 1)</f>
        <v>0.11621507849775949</v>
      </c>
      <c r="Y14" s="7">
        <f>$B14 * IFERROR(VLOOKUP("LULUCF|NOx|Minor restricted activity days", US_national_yearly!$D:$AM, 33, FALSE) / VLOOKUP("LULUCF|NOx|Minor restricted activity days", US_national_yearly!$D:$AM, 10, FALSE), 1)</f>
        <v>0.11689340402421436</v>
      </c>
      <c r="Z14" s="7">
        <f>$B14 * IFERROR(VLOOKUP("LULUCF|NOx|Minor restricted activity days", US_national_yearly!$D:$AM, 34, FALSE) / VLOOKUP("LULUCF|NOx|Minor restricted activity days", US_national_yearly!$D:$AM, 10, FALSE), 1)</f>
        <v>0.11757172955066923</v>
      </c>
      <c r="AA14" s="7">
        <f>$B14 * IFERROR(VLOOKUP("LULUCF|NOx|Minor restricted activity days", US_national_yearly!$D:$AM, 35, FALSE) / VLOOKUP("LULUCF|NOx|Minor restricted activity days", US_national_yearly!$D:$AM, 10, FALSE), 1)</f>
        <v>0.11825005507712411</v>
      </c>
      <c r="AB14" s="7">
        <f>$B14 * IFERROR(VLOOKUP("LULUCF|NOx|Minor restricted activity days", US_national_yearly!$D:$AM, 36, FALSE) / VLOOKUP("LULUCF|NOx|Minor restricted activity days", US_national_yearly!$D:$AM, 10, FALSE), 1)</f>
        <v>0.11892838060357898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1.753676589122986E-2</v>
      </c>
      <c r="C15" s="7">
        <f>$B15 * IFERROR(VLOOKUP("LULUCF|NOx|Work loss days", US_national_yearly!$D:$AM, 11, FALSE) / VLOOKUP("LULUCF|NOx|Work loss days", US_national_yearly!$D:$AM, 10, FALSE), 1)</f>
        <v>1.757577548353649E-2</v>
      </c>
      <c r="D15" s="7">
        <f>$B15 * IFERROR(VLOOKUP("LULUCF|NOx|Work loss days", US_national_yearly!$D:$AM, 12, FALSE) / VLOOKUP("LULUCF|NOx|Work loss days", US_national_yearly!$D:$AM, 10, FALSE), 1)</f>
        <v>1.7614785075843124E-2</v>
      </c>
      <c r="E15" s="7">
        <f>$B15 * IFERROR(VLOOKUP("LULUCF|NOx|Work loss days", US_national_yearly!$D:$AM, 13, FALSE) / VLOOKUP("LULUCF|NOx|Work loss days", US_national_yearly!$D:$AM, 10, FALSE), 1)</f>
        <v>1.7653794668149755E-2</v>
      </c>
      <c r="F15" s="7">
        <f>$B15 * IFERROR(VLOOKUP("LULUCF|NOx|Work loss days", US_national_yearly!$D:$AM, 14, FALSE) / VLOOKUP("LULUCF|NOx|Work loss days", US_national_yearly!$D:$AM, 10, FALSE), 1)</f>
        <v>1.7692804260456389E-2</v>
      </c>
      <c r="G15" s="7">
        <f>$B15 * IFERROR(VLOOKUP("LULUCF|NOx|Work loss days", US_national_yearly!$D:$AM, 15, FALSE) / VLOOKUP("LULUCF|NOx|Work loss days", US_national_yearly!$D:$AM, 10, FALSE), 1)</f>
        <v>1.7749758597993211E-2</v>
      </c>
      <c r="H15" s="7">
        <f>$B15 * IFERROR(VLOOKUP("LULUCF|NOx|Work loss days", US_national_yearly!$D:$AM, 16, FALSE) / VLOOKUP("LULUCF|NOx|Work loss days", US_national_yearly!$D:$AM, 10, FALSE), 1)</f>
        <v>1.7806712935530041E-2</v>
      </c>
      <c r="I15" s="7">
        <f>$B15 * IFERROR(VLOOKUP("LULUCF|NOx|Work loss days", US_national_yearly!$D:$AM, 17, FALSE) / VLOOKUP("LULUCF|NOx|Work loss days", US_national_yearly!$D:$AM, 10, FALSE), 1)</f>
        <v>1.7898975875630076E-2</v>
      </c>
      <c r="J15" s="7">
        <f>$B15 * IFERROR(VLOOKUP("LULUCF|NOx|Work loss days", US_national_yearly!$D:$AM, 18, FALSE) / VLOOKUP("LULUCF|NOx|Work loss days", US_national_yearly!$D:$AM, 10, FALSE), 1)</f>
        <v>1.7991238815730119E-2</v>
      </c>
      <c r="K15" s="7">
        <f>$B15 * IFERROR(VLOOKUP("LULUCF|NOx|Work loss days", US_national_yearly!$D:$AM, 19, FALSE) / VLOOKUP("LULUCF|NOx|Work loss days", US_national_yearly!$D:$AM, 10, FALSE), 1)</f>
        <v>1.8083501755830154E-2</v>
      </c>
      <c r="L15" s="7">
        <f>$B15 * IFERROR(VLOOKUP("LULUCF|NOx|Work loss days", US_national_yearly!$D:$AM, 20, FALSE) / VLOOKUP("LULUCF|NOx|Work loss days", US_national_yearly!$D:$AM, 10, FALSE), 1)</f>
        <v>1.8175764695930192E-2</v>
      </c>
      <c r="M15" s="7">
        <f>$B15 * IFERROR(VLOOKUP("LULUCF|NOx|Work loss days", US_national_yearly!$D:$AM, 21, FALSE) / VLOOKUP("LULUCF|NOx|Work loss days", US_national_yearly!$D:$AM, 10, FALSE), 1)</f>
        <v>1.8268027636030231E-2</v>
      </c>
      <c r="N15" s="7">
        <f>$B15 * IFERROR(VLOOKUP("LULUCF|NOx|Work loss days", US_national_yearly!$D:$AM, 22, FALSE) / VLOOKUP("LULUCF|NOx|Work loss days", US_national_yearly!$D:$AM, 10, FALSE), 1)</f>
        <v>1.8388102191064244E-2</v>
      </c>
      <c r="O15" s="7">
        <f>$B15 * IFERROR(VLOOKUP("LULUCF|NOx|Work loss days", US_national_yearly!$D:$AM, 23, FALSE) / VLOOKUP("LULUCF|NOx|Work loss days", US_national_yearly!$D:$AM, 10, FALSE), 1)</f>
        <v>1.8508176746098261E-2</v>
      </c>
      <c r="P15" s="7">
        <f>$B15 * IFERROR(VLOOKUP("LULUCF|NOx|Work loss days", US_national_yearly!$D:$AM, 24, FALSE) / VLOOKUP("LULUCF|NOx|Work loss days", US_national_yearly!$D:$AM, 10, FALSE), 1)</f>
        <v>1.8628251301132274E-2</v>
      </c>
      <c r="Q15" s="7">
        <f>$B15 * IFERROR(VLOOKUP("LULUCF|NOx|Work loss days", US_national_yearly!$D:$AM, 25, FALSE) / VLOOKUP("LULUCF|NOx|Work loss days", US_national_yearly!$D:$AM, 10, FALSE), 1)</f>
        <v>1.8748325856166283E-2</v>
      </c>
      <c r="R15" s="7">
        <f>$B15 * IFERROR(VLOOKUP("LULUCF|NOx|Work loss days", US_national_yearly!$D:$AM, 26, FALSE) / VLOOKUP("LULUCF|NOx|Work loss days", US_national_yearly!$D:$AM, 10, FALSE), 1)</f>
        <v>1.88684004112003E-2</v>
      </c>
      <c r="S15" s="7">
        <f>$B15 * IFERROR(VLOOKUP("LULUCF|NOx|Work loss days", US_national_yearly!$D:$AM, 27, FALSE) / VLOOKUP("LULUCF|NOx|Work loss days", US_national_yearly!$D:$AM, 10, FALSE), 1)</f>
        <v>1.9002268187089909E-2</v>
      </c>
      <c r="T15" s="7">
        <f>$B15 * IFERROR(VLOOKUP("LULUCF|NOx|Work loss days", US_national_yearly!$D:$AM, 28, FALSE) / VLOOKUP("LULUCF|NOx|Work loss days", US_national_yearly!$D:$AM, 10, FALSE), 1)</f>
        <v>1.9136135962979514E-2</v>
      </c>
      <c r="U15" s="7">
        <f>$B15 * IFERROR(VLOOKUP("LULUCF|NOx|Work loss days", US_national_yearly!$D:$AM, 29, FALSE) / VLOOKUP("LULUCF|NOx|Work loss days", US_national_yearly!$D:$AM, 10, FALSE), 1)</f>
        <v>1.9270003738869116E-2</v>
      </c>
      <c r="V15" s="7">
        <f>$B15 * IFERROR(VLOOKUP("LULUCF|NOx|Work loss days", US_national_yearly!$D:$AM, 30, FALSE) / VLOOKUP("LULUCF|NOx|Work loss days", US_national_yearly!$D:$AM, 10, FALSE), 1)</f>
        <v>1.9403871514758725E-2</v>
      </c>
      <c r="W15" s="7">
        <f>$B15 * IFERROR(VLOOKUP("LULUCF|NOx|Work loss days", US_national_yearly!$D:$AM, 31, FALSE) / VLOOKUP("LULUCF|NOx|Work loss days", US_national_yearly!$D:$AM, 10, FALSE), 1)</f>
        <v>1.953773929064833E-2</v>
      </c>
      <c r="X15" s="7">
        <f>$B15 * IFERROR(VLOOKUP("LULUCF|NOx|Work loss days", US_national_yearly!$D:$AM, 32, FALSE) / VLOOKUP("LULUCF|NOx|Work loss days", US_national_yearly!$D:$AM, 10, FALSE), 1)</f>
        <v>1.9653929382727031E-2</v>
      </c>
      <c r="Y15" s="7">
        <f>$B15 * IFERROR(VLOOKUP("LULUCF|NOx|Work loss days", US_national_yearly!$D:$AM, 33, FALSE) / VLOOKUP("LULUCF|NOx|Work loss days", US_national_yearly!$D:$AM, 10, FALSE), 1)</f>
        <v>1.9770119474805729E-2</v>
      </c>
      <c r="Z15" s="7">
        <f>$B15 * IFERROR(VLOOKUP("LULUCF|NOx|Work loss days", US_national_yearly!$D:$AM, 34, FALSE) / VLOOKUP("LULUCF|NOx|Work loss days", US_national_yearly!$D:$AM, 10, FALSE), 1)</f>
        <v>1.988630956688443E-2</v>
      </c>
      <c r="AA15" s="7">
        <f>$B15 * IFERROR(VLOOKUP("LULUCF|NOx|Work loss days", US_national_yearly!$D:$AM, 35, FALSE) / VLOOKUP("LULUCF|NOx|Work loss days", US_national_yearly!$D:$AM, 10, FALSE), 1)</f>
        <v>2.0002499658963131E-2</v>
      </c>
      <c r="AB15" s="7">
        <f>$B15 * IFERROR(VLOOKUP("LULUCF|NOx|Work loss days", US_national_yearly!$D:$AM, 36, FALSE) / VLOOKUP("LULUCF|NOx|Work loss days", US_national_yearly!$D:$AM, 10, FALSE), 1)</f>
        <v>2.0118689751041828E-2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3.6816069805670109E-5</v>
      </c>
      <c r="C17" s="7">
        <f>$B17 * IFERROR(VLOOKUP("LULUCF|NOx|Cardiovascular hospital admissions", US_national_yearly!$D:$AM, 11, FALSE) / VLOOKUP("LULUCF|NOx|Cardiovascular hospital admissions", US_national_yearly!$D:$AM, 10, FALSE), 1)</f>
        <v>3.7897896458159028E-5</v>
      </c>
      <c r="D17" s="7">
        <f>$B17 * IFERROR(VLOOKUP("LULUCF|NOx|Cardiovascular hospital admissions", US_national_yearly!$D:$AM, 12, FALSE) / VLOOKUP("LULUCF|NOx|Cardiovascular hospital admissions", US_national_yearly!$D:$AM, 10, FALSE), 1)</f>
        <v>3.8979723110647939E-5</v>
      </c>
      <c r="E17" s="7">
        <f>$B17 * IFERROR(VLOOKUP("LULUCF|NOx|Cardiovascular hospital admissions", US_national_yearly!$D:$AM, 13, FALSE) / VLOOKUP("LULUCF|NOx|Cardiovascular hospital admissions", US_national_yearly!$D:$AM, 10, FALSE), 1)</f>
        <v>4.0061549763136844E-5</v>
      </c>
      <c r="F17" s="7">
        <f>$B17 * IFERROR(VLOOKUP("LULUCF|NOx|Cardiovascular hospital admissions", US_national_yearly!$D:$AM, 14, FALSE) / VLOOKUP("LULUCF|NOx|Cardiovascular hospital admissions", US_national_yearly!$D:$AM, 10, FALSE), 1)</f>
        <v>4.1143376415625763E-5</v>
      </c>
      <c r="G17" s="7">
        <f>$B17 * IFERROR(VLOOKUP("LULUCF|NOx|Cardiovascular hospital admissions", US_national_yearly!$D:$AM, 15, FALSE) / VLOOKUP("LULUCF|NOx|Cardiovascular hospital admissions", US_national_yearly!$D:$AM, 10, FALSE), 1)</f>
        <v>4.2170932828841926E-5</v>
      </c>
      <c r="H17" s="7">
        <f>$B17 * IFERROR(VLOOKUP("LULUCF|NOx|Cardiovascular hospital admissions", US_national_yearly!$D:$AM, 16, FALSE) / VLOOKUP("LULUCF|NOx|Cardiovascular hospital admissions", US_national_yearly!$D:$AM, 10, FALSE), 1)</f>
        <v>4.3198489242058089E-5</v>
      </c>
      <c r="I17" s="7">
        <f>$B17 * IFERROR(VLOOKUP("LULUCF|NOx|Cardiovascular hospital admissions", US_national_yearly!$D:$AM, 17, FALSE) / VLOOKUP("LULUCF|NOx|Cardiovascular hospital admissions", US_national_yearly!$D:$AM, 10, FALSE), 1)</f>
        <v>4.4062584914069937E-5</v>
      </c>
      <c r="J17" s="7">
        <f>$B17 * IFERROR(VLOOKUP("LULUCF|NOx|Cardiovascular hospital admissions", US_national_yearly!$D:$AM, 18, FALSE) / VLOOKUP("LULUCF|NOx|Cardiovascular hospital admissions", US_national_yearly!$D:$AM, 10, FALSE), 1)</f>
        <v>4.4926680586081785E-5</v>
      </c>
      <c r="K17" s="7">
        <f>$B17 * IFERROR(VLOOKUP("LULUCF|NOx|Cardiovascular hospital admissions", US_national_yearly!$D:$AM, 19, FALSE) / VLOOKUP("LULUCF|NOx|Cardiovascular hospital admissions", US_national_yearly!$D:$AM, 10, FALSE), 1)</f>
        <v>4.5790776258093632E-5</v>
      </c>
      <c r="L17" s="7">
        <f>$B17 * IFERROR(VLOOKUP("LULUCF|NOx|Cardiovascular hospital admissions", US_national_yearly!$D:$AM, 20, FALSE) / VLOOKUP("LULUCF|NOx|Cardiovascular hospital admissions", US_national_yearly!$D:$AM, 10, FALSE), 1)</f>
        <v>4.6654871930105473E-5</v>
      </c>
      <c r="M17" s="7">
        <f>$B17 * IFERROR(VLOOKUP("LULUCF|NOx|Cardiovascular hospital admissions", US_national_yearly!$D:$AM, 21, FALSE) / VLOOKUP("LULUCF|NOx|Cardiovascular hospital admissions", US_national_yearly!$D:$AM, 10, FALSE), 1)</f>
        <v>4.7518967602117328E-5</v>
      </c>
      <c r="N17" s="7">
        <f>$B17 * IFERROR(VLOOKUP("LULUCF|NOx|Cardiovascular hospital admissions", US_national_yearly!$D:$AM, 22, FALSE) / VLOOKUP("LULUCF|NOx|Cardiovascular hospital admissions", US_national_yearly!$D:$AM, 10, FALSE), 1)</f>
        <v>4.8059315257451358E-5</v>
      </c>
      <c r="O17" s="7">
        <f>$B17 * IFERROR(VLOOKUP("LULUCF|NOx|Cardiovascular hospital admissions", US_national_yearly!$D:$AM, 23, FALSE) / VLOOKUP("LULUCF|NOx|Cardiovascular hospital admissions", US_national_yearly!$D:$AM, 10, FALSE), 1)</f>
        <v>4.8599662912785395E-5</v>
      </c>
      <c r="P17" s="7">
        <f>$B17 * IFERROR(VLOOKUP("LULUCF|NOx|Cardiovascular hospital admissions", US_national_yearly!$D:$AM, 24, FALSE) / VLOOKUP("LULUCF|NOx|Cardiovascular hospital admissions", US_national_yearly!$D:$AM, 10, FALSE), 1)</f>
        <v>4.9140010568119426E-5</v>
      </c>
      <c r="Q17" s="7">
        <f>$B17 * IFERROR(VLOOKUP("LULUCF|NOx|Cardiovascular hospital admissions", US_national_yearly!$D:$AM, 25, FALSE) / VLOOKUP("LULUCF|NOx|Cardiovascular hospital admissions", US_national_yearly!$D:$AM, 10, FALSE), 1)</f>
        <v>4.9680358223453463E-5</v>
      </c>
      <c r="R17" s="7">
        <f>$B17 * IFERROR(VLOOKUP("LULUCF|NOx|Cardiovascular hospital admissions", US_national_yearly!$D:$AM, 26, FALSE) / VLOOKUP("LULUCF|NOx|Cardiovascular hospital admissions", US_national_yearly!$D:$AM, 10, FALSE), 1)</f>
        <v>5.0220705878787486E-5</v>
      </c>
      <c r="S17" s="7">
        <f>$B17 * IFERROR(VLOOKUP("LULUCF|NOx|Cardiovascular hospital admissions", US_national_yearly!$D:$AM, 27, FALSE) / VLOOKUP("LULUCF|NOx|Cardiovascular hospital admissions", US_national_yearly!$D:$AM, 10, FALSE), 1)</f>
        <v>5.0467251675710047E-5</v>
      </c>
      <c r="T17" s="7">
        <f>$B17 * IFERROR(VLOOKUP("LULUCF|NOx|Cardiovascular hospital admissions", US_national_yearly!$D:$AM, 28, FALSE) / VLOOKUP("LULUCF|NOx|Cardiovascular hospital admissions", US_national_yearly!$D:$AM, 10, FALSE), 1)</f>
        <v>5.0713797472632608E-5</v>
      </c>
      <c r="U17" s="7">
        <f>$B17 * IFERROR(VLOOKUP("LULUCF|NOx|Cardiovascular hospital admissions", US_national_yearly!$D:$AM, 29, FALSE) / VLOOKUP("LULUCF|NOx|Cardiovascular hospital admissions", US_national_yearly!$D:$AM, 10, FALSE), 1)</f>
        <v>5.0960343269555156E-5</v>
      </c>
      <c r="V17" s="7">
        <f>$B17 * IFERROR(VLOOKUP("LULUCF|NOx|Cardiovascular hospital admissions", US_national_yearly!$D:$AM, 30, FALSE) / VLOOKUP("LULUCF|NOx|Cardiovascular hospital admissions", US_national_yearly!$D:$AM, 10, FALSE), 1)</f>
        <v>5.1206889066477716E-5</v>
      </c>
      <c r="W17" s="7">
        <f>$B17 * IFERROR(VLOOKUP("LULUCF|NOx|Cardiovascular hospital admissions", US_national_yearly!$D:$AM, 31, FALSE) / VLOOKUP("LULUCF|NOx|Cardiovascular hospital admissions", US_national_yearly!$D:$AM, 10, FALSE), 1)</f>
        <v>5.1453434863400277E-5</v>
      </c>
      <c r="X17" s="7">
        <f>$B17 * IFERROR(VLOOKUP("LULUCF|NOx|Cardiovascular hospital admissions", US_national_yearly!$D:$AM, 32, FALSE) / VLOOKUP("LULUCF|NOx|Cardiovascular hospital admissions", US_national_yearly!$D:$AM, 10, FALSE), 1)</f>
        <v>5.15906461470355E-5</v>
      </c>
      <c r="Y17" s="7">
        <f>$B17 * IFERROR(VLOOKUP("LULUCF|NOx|Cardiovascular hospital admissions", US_national_yearly!$D:$AM, 33, FALSE) / VLOOKUP("LULUCF|NOx|Cardiovascular hospital admissions", US_national_yearly!$D:$AM, 10, FALSE), 1)</f>
        <v>5.1727857430670723E-5</v>
      </c>
      <c r="Z17" s="7">
        <f>$B17 * IFERROR(VLOOKUP("LULUCF|NOx|Cardiovascular hospital admissions", US_national_yearly!$D:$AM, 34, FALSE) / VLOOKUP("LULUCF|NOx|Cardiovascular hospital admissions", US_national_yearly!$D:$AM, 10, FALSE), 1)</f>
        <v>5.1865068714305952E-5</v>
      </c>
      <c r="AA17" s="7">
        <f>$B17 * IFERROR(VLOOKUP("LULUCF|NOx|Cardiovascular hospital admissions", US_national_yearly!$D:$AM, 35, FALSE) / VLOOKUP("LULUCF|NOx|Cardiovascular hospital admissions", US_national_yearly!$D:$AM, 10, FALSE), 1)</f>
        <v>5.2002279997941175E-5</v>
      </c>
      <c r="AB17" s="7">
        <f>$B17 * IFERROR(VLOOKUP("LULUCF|NOx|Cardiovascular hospital admissions", US_national_yearly!$D:$AM, 36, FALSE) / VLOOKUP("LULUCF|NOx|Cardiovascular hospital admissions", US_national_yearly!$D:$AM, 10, FALSE), 1)</f>
        <v>5.2139491281576398E-5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3.4230004473976005E-4</v>
      </c>
      <c r="C2" s="7">
        <f>$B2 * IFERROR(VLOOKUP("LULUCF|SO2|Premature mortality", US_national_yearly!$D:$AM, 11, FALSE) / VLOOKUP("LULUCF|SO2|Premature mortality", US_national_yearly!$D:$AM, 10, FALSE), 1)</f>
        <v>3.4663508960001022E-4</v>
      </c>
      <c r="D2" s="7">
        <f>$B2 * IFERROR(VLOOKUP("LULUCF|SO2|Premature mortality", US_national_yearly!$D:$AM, 12, FALSE) / VLOOKUP("LULUCF|SO2|Premature mortality", US_national_yearly!$D:$AM, 10, FALSE), 1)</f>
        <v>3.5097013446026045E-4</v>
      </c>
      <c r="E2" s="7">
        <f>$B2 * IFERROR(VLOOKUP("LULUCF|SO2|Premature mortality", US_national_yearly!$D:$AM, 13, FALSE) / VLOOKUP("LULUCF|SO2|Premature mortality", US_national_yearly!$D:$AM, 10, FALSE), 1)</f>
        <v>3.5530517932051063E-4</v>
      </c>
      <c r="F2" s="7">
        <f>$B2 * IFERROR(VLOOKUP("LULUCF|SO2|Premature mortality", US_national_yearly!$D:$AM, 14, FALSE) / VLOOKUP("LULUCF|SO2|Premature mortality", US_national_yearly!$D:$AM, 10, FALSE), 1)</f>
        <v>3.5964022418076075E-4</v>
      </c>
      <c r="G2" s="7">
        <f>$B2 * IFERROR(VLOOKUP("LULUCF|SO2|Premature mortality", US_national_yearly!$D:$AM, 15, FALSE) / VLOOKUP("LULUCF|SO2|Premature mortality", US_national_yearly!$D:$AM, 10, FALSE), 1)</f>
        <v>3.679936099427731E-4</v>
      </c>
      <c r="H2" s="7">
        <f>$B2 * IFERROR(VLOOKUP("LULUCF|SO2|Premature mortality", US_national_yearly!$D:$AM, 16, FALSE) / VLOOKUP("LULUCF|SO2|Premature mortality", US_national_yearly!$D:$AM, 10, FALSE), 1)</f>
        <v>3.7634699570478539E-4</v>
      </c>
      <c r="I2" s="7">
        <f>$B2 * IFERROR(VLOOKUP("LULUCF|SO2|Premature mortality", US_national_yearly!$D:$AM, 17, FALSE) / VLOOKUP("LULUCF|SO2|Premature mortality", US_national_yearly!$D:$AM, 10, FALSE), 1)</f>
        <v>3.8186742486184458E-4</v>
      </c>
      <c r="J2" s="7">
        <f>$B2 * IFERROR(VLOOKUP("LULUCF|SO2|Premature mortality", US_national_yearly!$D:$AM, 18, FALSE) / VLOOKUP("LULUCF|SO2|Premature mortality", US_national_yearly!$D:$AM, 10, FALSE), 1)</f>
        <v>3.8738785401890382E-4</v>
      </c>
      <c r="K2" s="7">
        <f>$B2 * IFERROR(VLOOKUP("LULUCF|SO2|Premature mortality", US_national_yearly!$D:$AM, 19, FALSE) / VLOOKUP("LULUCF|SO2|Premature mortality", US_national_yearly!$D:$AM, 10, FALSE), 1)</f>
        <v>3.9290828317596296E-4</v>
      </c>
      <c r="L2" s="7">
        <f>$B2 * IFERROR(VLOOKUP("LULUCF|SO2|Premature mortality", US_national_yearly!$D:$AM, 20, FALSE) / VLOOKUP("LULUCF|SO2|Premature mortality", US_national_yearly!$D:$AM, 10, FALSE), 1)</f>
        <v>3.9842871233302215E-4</v>
      </c>
      <c r="M2" s="7">
        <f>$B2 * IFERROR(VLOOKUP("LULUCF|SO2|Premature mortality", US_national_yearly!$D:$AM, 21, FALSE) / VLOOKUP("LULUCF|SO2|Premature mortality", US_national_yearly!$D:$AM, 10, FALSE), 1)</f>
        <v>4.0394914149008139E-4</v>
      </c>
      <c r="N2" s="7">
        <f>$B2 * IFERROR(VLOOKUP("LULUCF|SO2|Premature mortality", US_national_yearly!$D:$AM, 22, FALSE) / VLOOKUP("LULUCF|SO2|Premature mortality", US_national_yearly!$D:$AM, 10, FALSE), 1)</f>
        <v>4.0826250539027726E-4</v>
      </c>
      <c r="O2" s="7">
        <f>$B2 * IFERROR(VLOOKUP("LULUCF|SO2|Premature mortality", US_national_yearly!$D:$AM, 23, FALSE) / VLOOKUP("LULUCF|SO2|Premature mortality", US_national_yearly!$D:$AM, 10, FALSE), 1)</f>
        <v>4.1257586929047314E-4</v>
      </c>
      <c r="P2" s="7">
        <f>$B2 * IFERROR(VLOOKUP("LULUCF|SO2|Premature mortality", US_national_yearly!$D:$AM, 24, FALSE) / VLOOKUP("LULUCF|SO2|Premature mortality", US_national_yearly!$D:$AM, 10, FALSE), 1)</f>
        <v>4.1688923319066907E-4</v>
      </c>
      <c r="Q2" s="7">
        <f>$B2 * IFERROR(VLOOKUP("LULUCF|SO2|Premature mortality", US_national_yearly!$D:$AM, 25, FALSE) / VLOOKUP("LULUCF|SO2|Premature mortality", US_national_yearly!$D:$AM, 10, FALSE), 1)</f>
        <v>4.2120259709086495E-4</v>
      </c>
      <c r="R2" s="7">
        <f>$B2 * IFERROR(VLOOKUP("LULUCF|SO2|Premature mortality", US_national_yearly!$D:$AM, 26, FALSE) / VLOOKUP("LULUCF|SO2|Premature mortality", US_national_yearly!$D:$AM, 10, FALSE), 1)</f>
        <v>4.2551596099106077E-4</v>
      </c>
      <c r="S2" s="7">
        <f>$B2 * IFERROR(VLOOKUP("LULUCF|SO2|Premature mortality", US_national_yearly!$D:$AM, 27, FALSE) / VLOOKUP("LULUCF|SO2|Premature mortality", US_national_yearly!$D:$AM, 10, FALSE), 1)</f>
        <v>4.2782582479291545E-4</v>
      </c>
      <c r="T2" s="7">
        <f>$B2 * IFERROR(VLOOKUP("LULUCF|SO2|Premature mortality", US_national_yearly!$D:$AM, 28, FALSE) / VLOOKUP("LULUCF|SO2|Premature mortality", US_national_yearly!$D:$AM, 10, FALSE), 1)</f>
        <v>4.3013568859477007E-4</v>
      </c>
      <c r="U2" s="7">
        <f>$B2 * IFERROR(VLOOKUP("LULUCF|SO2|Premature mortality", US_national_yearly!$D:$AM, 29, FALSE) / VLOOKUP("LULUCF|SO2|Premature mortality", US_national_yearly!$D:$AM, 10, FALSE), 1)</f>
        <v>4.3244555239662464E-4</v>
      </c>
      <c r="V2" s="7">
        <f>$B2 * IFERROR(VLOOKUP("LULUCF|SO2|Premature mortality", US_national_yearly!$D:$AM, 30, FALSE) / VLOOKUP("LULUCF|SO2|Premature mortality", US_national_yearly!$D:$AM, 10, FALSE), 1)</f>
        <v>4.3475541619847927E-4</v>
      </c>
      <c r="W2" s="7">
        <f>$B2 * IFERROR(VLOOKUP("LULUCF|SO2|Premature mortality", US_national_yearly!$D:$AM, 31, FALSE) / VLOOKUP("LULUCF|SO2|Premature mortality", US_national_yearly!$D:$AM, 10, FALSE), 1)</f>
        <v>4.3706528000033394E-4</v>
      </c>
      <c r="X2" s="7">
        <f>$B2 * IFERROR(VLOOKUP("LULUCF|SO2|Premature mortality", US_national_yearly!$D:$AM, 32, FALSE) / VLOOKUP("LULUCF|SO2|Premature mortality", US_national_yearly!$D:$AM, 10, FALSE), 1)</f>
        <v>4.3753453589702272E-4</v>
      </c>
      <c r="Y2" s="7">
        <f>$B2 * IFERROR(VLOOKUP("LULUCF|SO2|Premature mortality", US_national_yearly!$D:$AM, 33, FALSE) / VLOOKUP("LULUCF|SO2|Premature mortality", US_national_yearly!$D:$AM, 10, FALSE), 1)</f>
        <v>4.3800379179371156E-4</v>
      </c>
      <c r="Z2" s="7">
        <f>$B2 * IFERROR(VLOOKUP("LULUCF|SO2|Premature mortality", US_national_yearly!$D:$AM, 34, FALSE) / VLOOKUP("LULUCF|SO2|Premature mortality", US_national_yearly!$D:$AM, 10, FALSE), 1)</f>
        <v>4.3847304769040044E-4</v>
      </c>
      <c r="AA2" s="7">
        <f>$B2 * IFERROR(VLOOKUP("LULUCF|SO2|Premature mortality", US_national_yearly!$D:$AM, 35, FALSE) / VLOOKUP("LULUCF|SO2|Premature mortality", US_national_yearly!$D:$AM, 10, FALSE), 1)</f>
        <v>4.3894230358708928E-4</v>
      </c>
      <c r="AB2" s="7">
        <f>$B2 * IFERROR(VLOOKUP("LULUCF|SO2|Premature mortality", US_national_yearly!$D:$AM, 36, FALSE) / VLOOKUP("LULUCF|SO2|Premature mortality", US_national_yearly!$D:$AM, 10, FALSE), 1)</f>
        <v>4.3941155948377806E-4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7.2075001851763624E-7</v>
      </c>
      <c r="C3" s="7">
        <f>$B3 * IFERROR(VLOOKUP("LULUCF|SO2|Infant mortality", US_national_yearly!$D:$AM, 11, FALSE) / VLOOKUP("LULUCF|SO2|Infant mortality", US_national_yearly!$D:$AM, 10, FALSE), 1)</f>
        <v>7.1455864438975111E-7</v>
      </c>
      <c r="D3" s="7">
        <f>$B3 * IFERROR(VLOOKUP("LULUCF|SO2|Infant mortality", US_national_yearly!$D:$AM, 12, FALSE) / VLOOKUP("LULUCF|SO2|Infant mortality", US_national_yearly!$D:$AM, 10, FALSE), 1)</f>
        <v>7.0836727026186599E-7</v>
      </c>
      <c r="E3" s="7">
        <f>$B3 * IFERROR(VLOOKUP("LULUCF|SO2|Infant mortality", US_national_yearly!$D:$AM, 13, FALSE) / VLOOKUP("LULUCF|SO2|Infant mortality", US_national_yearly!$D:$AM, 10, FALSE), 1)</f>
        <v>7.0217589613398075E-7</v>
      </c>
      <c r="F3" s="7">
        <f>$B3 * IFERROR(VLOOKUP("LULUCF|SO2|Infant mortality", US_national_yearly!$D:$AM, 14, FALSE) / VLOOKUP("LULUCF|SO2|Infant mortality", US_national_yearly!$D:$AM, 10, FALSE), 1)</f>
        <v>6.9598452200609573E-7</v>
      </c>
      <c r="G3" s="7">
        <f>$B3 * IFERROR(VLOOKUP("LULUCF|SO2|Infant mortality", US_national_yearly!$D:$AM, 15, FALSE) / VLOOKUP("LULUCF|SO2|Infant mortality", US_national_yearly!$D:$AM, 10, FALSE), 1)</f>
        <v>4.6358174734959857E-7</v>
      </c>
      <c r="H3" s="7">
        <f>$B3 * IFERROR(VLOOKUP("LULUCF|SO2|Infant mortality", US_national_yearly!$D:$AM, 16, FALSE) / VLOOKUP("LULUCF|SO2|Infant mortality", US_national_yearly!$D:$AM, 10, FALSE), 1)</f>
        <v>2.3117897269310174E-7</v>
      </c>
      <c r="I3" s="7">
        <f>$B3 * IFERROR(VLOOKUP("LULUCF|SO2|Infant mortality", US_national_yearly!$D:$AM, 17, FALSE) / VLOOKUP("LULUCF|SO2|Infant mortality", US_national_yearly!$D:$AM, 10, FALSE), 1)</f>
        <v>2.2972871718734189E-7</v>
      </c>
      <c r="J3" s="7">
        <f>$B3 * IFERROR(VLOOKUP("LULUCF|SO2|Infant mortality", US_national_yearly!$D:$AM, 18, FALSE) / VLOOKUP("LULUCF|SO2|Infant mortality", US_national_yearly!$D:$AM, 10, FALSE), 1)</f>
        <v>2.2827846168158201E-7</v>
      </c>
      <c r="K3" s="7">
        <f>$B3 * IFERROR(VLOOKUP("LULUCF|SO2|Infant mortality", US_national_yearly!$D:$AM, 19, FALSE) / VLOOKUP("LULUCF|SO2|Infant mortality", US_national_yearly!$D:$AM, 10, FALSE), 1)</f>
        <v>2.2682820617582213E-7</v>
      </c>
      <c r="L3" s="7">
        <f>$B3 * IFERROR(VLOOKUP("LULUCF|SO2|Infant mortality", US_national_yearly!$D:$AM, 20, FALSE) / VLOOKUP("LULUCF|SO2|Infant mortality", US_national_yearly!$D:$AM, 10, FALSE), 1)</f>
        <v>2.253779506700623E-7</v>
      </c>
      <c r="M3" s="7">
        <f>$B3 * IFERROR(VLOOKUP("LULUCF|SO2|Infant mortality", US_national_yearly!$D:$AM, 21, FALSE) / VLOOKUP("LULUCF|SO2|Infant mortality", US_national_yearly!$D:$AM, 10, FALSE), 1)</f>
        <v>2.2392769516430245E-7</v>
      </c>
      <c r="N3" s="7">
        <f>$B3 * IFERROR(VLOOKUP("LULUCF|SO2|Infant mortality", US_national_yearly!$D:$AM, 22, FALSE) / VLOOKUP("LULUCF|SO2|Infant mortality", US_national_yearly!$D:$AM, 10, FALSE), 1)</f>
        <v>2.2301738064091009E-7</v>
      </c>
      <c r="O3" s="7">
        <f>$B3 * IFERROR(VLOOKUP("LULUCF|SO2|Infant mortality", US_national_yearly!$D:$AM, 23, FALSE) / VLOOKUP("LULUCF|SO2|Infant mortality", US_national_yearly!$D:$AM, 10, FALSE), 1)</f>
        <v>2.2210706611751774E-7</v>
      </c>
      <c r="P3" s="7">
        <f>$B3 * IFERROR(VLOOKUP("LULUCF|SO2|Infant mortality", US_national_yearly!$D:$AM, 24, FALSE) / VLOOKUP("LULUCF|SO2|Infant mortality", US_national_yearly!$D:$AM, 10, FALSE), 1)</f>
        <v>2.2119675159412534E-7</v>
      </c>
      <c r="Q3" s="7">
        <f>$B3 * IFERROR(VLOOKUP("LULUCF|SO2|Infant mortality", US_national_yearly!$D:$AM, 25, FALSE) / VLOOKUP("LULUCF|SO2|Infant mortality", US_national_yearly!$D:$AM, 10, FALSE), 1)</f>
        <v>2.2028643707073298E-7</v>
      </c>
      <c r="R3" s="7">
        <f>$B3 * IFERROR(VLOOKUP("LULUCF|SO2|Infant mortality", US_national_yearly!$D:$AM, 26, FALSE) / VLOOKUP("LULUCF|SO2|Infant mortality", US_national_yearly!$D:$AM, 10, FALSE), 1)</f>
        <v>2.193761225473406E-7</v>
      </c>
      <c r="S3" s="7">
        <f>$B3 * IFERROR(VLOOKUP("LULUCF|SO2|Infant mortality", US_national_yearly!$D:$AM, 27, FALSE) / VLOOKUP("LULUCF|SO2|Infant mortality", US_national_yearly!$D:$AM, 10, FALSE), 1)</f>
        <v>2.1823316720567362E-7</v>
      </c>
      <c r="T3" s="7">
        <f>$B3 * IFERROR(VLOOKUP("LULUCF|SO2|Infant mortality", US_national_yearly!$D:$AM, 28, FALSE) / VLOOKUP("LULUCF|SO2|Infant mortality", US_national_yearly!$D:$AM, 10, FALSE), 1)</f>
        <v>2.1709021186400663E-7</v>
      </c>
      <c r="U3" s="7">
        <f>$B3 * IFERROR(VLOOKUP("LULUCF|SO2|Infant mortality", US_national_yearly!$D:$AM, 29, FALSE) / VLOOKUP("LULUCF|SO2|Infant mortality", US_national_yearly!$D:$AM, 10, FALSE), 1)</f>
        <v>2.1594725652233957E-7</v>
      </c>
      <c r="V3" s="7">
        <f>$B3 * IFERROR(VLOOKUP("LULUCF|SO2|Infant mortality", US_national_yearly!$D:$AM, 30, FALSE) / VLOOKUP("LULUCF|SO2|Infant mortality", US_national_yearly!$D:$AM, 10, FALSE), 1)</f>
        <v>2.1480430118067261E-7</v>
      </c>
      <c r="W3" s="7">
        <f>$B3 * IFERROR(VLOOKUP("LULUCF|SO2|Infant mortality", US_national_yearly!$D:$AM, 31, FALSE) / VLOOKUP("LULUCF|SO2|Infant mortality", US_national_yearly!$D:$AM, 10, FALSE), 1)</f>
        <v>2.1366134583900559E-7</v>
      </c>
      <c r="X3" s="7">
        <f>$B3 * IFERROR(VLOOKUP("LULUCF|SO2|Infant mortality", US_national_yearly!$D:$AM, 32, FALSE) / VLOOKUP("LULUCF|SO2|Infant mortality", US_national_yearly!$D:$AM, 10, FALSE), 1)</f>
        <v>2.1241174285217028E-7</v>
      </c>
      <c r="Y3" s="7">
        <f>$B3 * IFERROR(VLOOKUP("LULUCF|SO2|Infant mortality", US_national_yearly!$D:$AM, 33, FALSE) / VLOOKUP("LULUCF|SO2|Infant mortality", US_national_yearly!$D:$AM, 10, FALSE), 1)</f>
        <v>2.1116213986533492E-7</v>
      </c>
      <c r="Z3" s="7">
        <f>$B3 * IFERROR(VLOOKUP("LULUCF|SO2|Infant mortality", US_national_yearly!$D:$AM, 34, FALSE) / VLOOKUP("LULUCF|SO2|Infant mortality", US_national_yearly!$D:$AM, 10, FALSE), 1)</f>
        <v>2.0991253687849963E-7</v>
      </c>
      <c r="AA3" s="7">
        <f>$B3 * IFERROR(VLOOKUP("LULUCF|SO2|Infant mortality", US_national_yearly!$D:$AM, 35, FALSE) / VLOOKUP("LULUCF|SO2|Infant mortality", US_national_yearly!$D:$AM, 10, FALSE), 1)</f>
        <v>2.0866293389166424E-7</v>
      </c>
      <c r="AB3" s="7">
        <f>$B3 * IFERROR(VLOOKUP("LULUCF|SO2|Infant mortality", US_national_yearly!$D:$AM, 36, FALSE) / VLOOKUP("LULUCF|SO2|Infant mortality", US_national_yearly!$D:$AM, 10, FALSE), 1)</f>
        <v>2.0741333090482896E-7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7.4103139273772457E-4</v>
      </c>
      <c r="C6" s="7">
        <f>$B6 * IFERROR(VLOOKUP("LULUCF|SO2|Asthma symptoms cough", US_national_yearly!$D:$AM, 11, FALSE) / VLOOKUP("LULUCF|SO2|Asthma symptoms cough", US_national_yearly!$D:$AM, 10, FALSE), 1)</f>
        <v>7.4103139273772457E-4</v>
      </c>
      <c r="D6" s="7">
        <f>$B6 * IFERROR(VLOOKUP("LULUCF|SO2|Asthma symptoms cough", US_national_yearly!$D:$AM, 12, FALSE) / VLOOKUP("LULUCF|SO2|Asthma symptoms cough", US_national_yearly!$D:$AM, 10, FALSE), 1)</f>
        <v>7.4103139273772457E-4</v>
      </c>
      <c r="E6" s="7">
        <f>$B6 * IFERROR(VLOOKUP("LULUCF|SO2|Asthma symptoms cough", US_national_yearly!$D:$AM, 13, FALSE) / VLOOKUP("LULUCF|SO2|Asthma symptoms cough", US_national_yearly!$D:$AM, 10, FALSE), 1)</f>
        <v>7.4103139273772457E-4</v>
      </c>
      <c r="F6" s="7">
        <f>$B6 * IFERROR(VLOOKUP("LULUCF|SO2|Asthma symptoms cough", US_national_yearly!$D:$AM, 14, FALSE) / VLOOKUP("LULUCF|SO2|Asthma symptoms cough", US_national_yearly!$D:$AM, 10, FALSE), 1)</f>
        <v>7.4103139273772457E-4</v>
      </c>
      <c r="G6" s="7">
        <f>$B6 * IFERROR(VLOOKUP("LULUCF|SO2|Asthma symptoms cough", US_national_yearly!$D:$AM, 15, FALSE) / VLOOKUP("LULUCF|SO2|Asthma symptoms cough", US_national_yearly!$D:$AM, 10, FALSE), 1)</f>
        <v>7.4103139273772457E-4</v>
      </c>
      <c r="H6" s="7">
        <f>$B6 * IFERROR(VLOOKUP("LULUCF|SO2|Asthma symptoms cough", US_national_yearly!$D:$AM, 16, FALSE) / VLOOKUP("LULUCF|SO2|Asthma symptoms cough", US_national_yearly!$D:$AM, 10, FALSE), 1)</f>
        <v>7.4103139273772457E-4</v>
      </c>
      <c r="I6" s="7">
        <f>$B6 * IFERROR(VLOOKUP("LULUCF|SO2|Asthma symptoms cough", US_national_yearly!$D:$AM, 17, FALSE) / VLOOKUP("LULUCF|SO2|Asthma symptoms cough", US_national_yearly!$D:$AM, 10, FALSE), 1)</f>
        <v>7.4103139273772457E-4</v>
      </c>
      <c r="J6" s="7">
        <f>$B6 * IFERROR(VLOOKUP("LULUCF|SO2|Asthma symptoms cough", US_national_yearly!$D:$AM, 18, FALSE) / VLOOKUP("LULUCF|SO2|Asthma symptoms cough", US_national_yearly!$D:$AM, 10, FALSE), 1)</f>
        <v>7.4103139273772457E-4</v>
      </c>
      <c r="K6" s="7">
        <f>$B6 * IFERROR(VLOOKUP("LULUCF|SO2|Asthma symptoms cough", US_national_yearly!$D:$AM, 19, FALSE) / VLOOKUP("LULUCF|SO2|Asthma symptoms cough", US_national_yearly!$D:$AM, 10, FALSE), 1)</f>
        <v>7.4103139273772457E-4</v>
      </c>
      <c r="L6" s="7">
        <f>$B6 * IFERROR(VLOOKUP("LULUCF|SO2|Asthma symptoms cough", US_national_yearly!$D:$AM, 20, FALSE) / VLOOKUP("LULUCF|SO2|Asthma symptoms cough", US_national_yearly!$D:$AM, 10, FALSE), 1)</f>
        <v>7.4103139273772457E-4</v>
      </c>
      <c r="M6" s="7">
        <f>$B6 * IFERROR(VLOOKUP("LULUCF|SO2|Asthma symptoms cough", US_national_yearly!$D:$AM, 21, FALSE) / VLOOKUP("LULUCF|SO2|Asthma symptoms cough", US_national_yearly!$D:$AM, 10, FALSE), 1)</f>
        <v>7.4103139273772457E-4</v>
      </c>
      <c r="N6" s="7">
        <f>$B6 * IFERROR(VLOOKUP("LULUCF|SO2|Asthma symptoms cough", US_national_yearly!$D:$AM, 22, FALSE) / VLOOKUP("LULUCF|SO2|Asthma symptoms cough", US_national_yearly!$D:$AM, 10, FALSE), 1)</f>
        <v>7.4103139273772457E-4</v>
      </c>
      <c r="O6" s="7">
        <f>$B6 * IFERROR(VLOOKUP("LULUCF|SO2|Asthma symptoms cough", US_national_yearly!$D:$AM, 23, FALSE) / VLOOKUP("LULUCF|SO2|Asthma symptoms cough", US_national_yearly!$D:$AM, 10, FALSE), 1)</f>
        <v>7.4103139273772457E-4</v>
      </c>
      <c r="P6" s="7">
        <f>$B6 * IFERROR(VLOOKUP("LULUCF|SO2|Asthma symptoms cough", US_national_yearly!$D:$AM, 24, FALSE) / VLOOKUP("LULUCF|SO2|Asthma symptoms cough", US_national_yearly!$D:$AM, 10, FALSE), 1)</f>
        <v>7.4103139273772457E-4</v>
      </c>
      <c r="Q6" s="7">
        <f>$B6 * IFERROR(VLOOKUP("LULUCF|SO2|Asthma symptoms cough", US_national_yearly!$D:$AM, 25, FALSE) / VLOOKUP("LULUCF|SO2|Asthma symptoms cough", US_national_yearly!$D:$AM, 10, FALSE), 1)</f>
        <v>7.4103139273772457E-4</v>
      </c>
      <c r="R6" s="7">
        <f>$B6 * IFERROR(VLOOKUP("LULUCF|SO2|Asthma symptoms cough", US_national_yearly!$D:$AM, 26, FALSE) / VLOOKUP("LULUCF|SO2|Asthma symptoms cough", US_national_yearly!$D:$AM, 10, FALSE), 1)</f>
        <v>7.4103139273772457E-4</v>
      </c>
      <c r="S6" s="7">
        <f>$B6 * IFERROR(VLOOKUP("LULUCF|SO2|Asthma symptoms cough", US_national_yearly!$D:$AM, 27, FALSE) / VLOOKUP("LULUCF|SO2|Asthma symptoms cough", US_national_yearly!$D:$AM, 10, FALSE), 1)</f>
        <v>7.4103139273772457E-4</v>
      </c>
      <c r="T6" s="7">
        <f>$B6 * IFERROR(VLOOKUP("LULUCF|SO2|Asthma symptoms cough", US_national_yearly!$D:$AM, 28, FALSE) / VLOOKUP("LULUCF|SO2|Asthma symptoms cough", US_national_yearly!$D:$AM, 10, FALSE), 1)</f>
        <v>7.4103139273772457E-4</v>
      </c>
      <c r="U6" s="7">
        <f>$B6 * IFERROR(VLOOKUP("LULUCF|SO2|Asthma symptoms cough", US_national_yearly!$D:$AM, 29, FALSE) / VLOOKUP("LULUCF|SO2|Asthma symptoms cough", US_national_yearly!$D:$AM, 10, FALSE), 1)</f>
        <v>7.4103139273772457E-4</v>
      </c>
      <c r="V6" s="7">
        <f>$B6 * IFERROR(VLOOKUP("LULUCF|SO2|Asthma symptoms cough", US_national_yearly!$D:$AM, 30, FALSE) / VLOOKUP("LULUCF|SO2|Asthma symptoms cough", US_national_yearly!$D:$AM, 10, FALSE), 1)</f>
        <v>7.4103139273772457E-4</v>
      </c>
      <c r="W6" s="7">
        <f>$B6 * IFERROR(VLOOKUP("LULUCF|SO2|Asthma symptoms cough", US_national_yearly!$D:$AM, 31, FALSE) / VLOOKUP("LULUCF|SO2|Asthma symptoms cough", US_national_yearly!$D:$AM, 10, FALSE), 1)</f>
        <v>7.4103139273772457E-4</v>
      </c>
      <c r="X6" s="7">
        <f>$B6 * IFERROR(VLOOKUP("LULUCF|SO2|Asthma symptoms cough", US_national_yearly!$D:$AM, 32, FALSE) / VLOOKUP("LULUCF|SO2|Asthma symptoms cough", US_national_yearly!$D:$AM, 10, FALSE), 1)</f>
        <v>7.4103139273772457E-4</v>
      </c>
      <c r="Y6" s="7">
        <f>$B6 * IFERROR(VLOOKUP("LULUCF|SO2|Asthma symptoms cough", US_national_yearly!$D:$AM, 33, FALSE) / VLOOKUP("LULUCF|SO2|Asthma symptoms cough", US_national_yearly!$D:$AM, 10, FALSE), 1)</f>
        <v>7.4103139273772457E-4</v>
      </c>
      <c r="Z6" s="7">
        <f>$B6 * IFERROR(VLOOKUP("LULUCF|SO2|Asthma symptoms cough", US_national_yearly!$D:$AM, 34, FALSE) / VLOOKUP("LULUCF|SO2|Asthma symptoms cough", US_national_yearly!$D:$AM, 10, FALSE), 1)</f>
        <v>7.4103139273772457E-4</v>
      </c>
      <c r="AA6" s="7">
        <f>$B6 * IFERROR(VLOOKUP("LULUCF|SO2|Asthma symptoms cough", US_national_yearly!$D:$AM, 35, FALSE) / VLOOKUP("LULUCF|SO2|Asthma symptoms cough", US_national_yearly!$D:$AM, 10, FALSE), 1)</f>
        <v>7.4103139273772457E-4</v>
      </c>
      <c r="AB6" s="7">
        <f>$B6 * IFERROR(VLOOKUP("LULUCF|SO2|Asthma symptoms cough", US_national_yearly!$D:$AM, 36, FALSE) / VLOOKUP("LULUCF|SO2|Asthma symptoms cough", US_national_yearly!$D:$AM, 10, FALSE), 1)</f>
        <v>7.4103139273772457E-4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9.9790683881702865E-4</v>
      </c>
      <c r="C7" s="7">
        <f>$B7 * IFERROR(VLOOKUP("LULUCF|SO2|Asthma symptoms shortness of breath", US_national_yearly!$D:$AM, 11, FALSE) / VLOOKUP("LULUCF|SO2|Asthma symptoms shortness of breath", US_national_yearly!$D:$AM, 10, FALSE), 1)</f>
        <v>9.9790683881702865E-4</v>
      </c>
      <c r="D7" s="7">
        <f>$B7 * IFERROR(VLOOKUP("LULUCF|SO2|Asthma symptoms shortness of breath", US_national_yearly!$D:$AM, 12, FALSE) / VLOOKUP("LULUCF|SO2|Asthma symptoms shortness of breath", US_national_yearly!$D:$AM, 10, FALSE), 1)</f>
        <v>9.9790683881702865E-4</v>
      </c>
      <c r="E7" s="7">
        <f>$B7 * IFERROR(VLOOKUP("LULUCF|SO2|Asthma symptoms shortness of breath", US_national_yearly!$D:$AM, 13, FALSE) / VLOOKUP("LULUCF|SO2|Asthma symptoms shortness of breath", US_national_yearly!$D:$AM, 10, FALSE), 1)</f>
        <v>9.9790683881702865E-4</v>
      </c>
      <c r="F7" s="7">
        <f>$B7 * IFERROR(VLOOKUP("LULUCF|SO2|Asthma symptoms shortness of breath", US_national_yearly!$D:$AM, 14, FALSE) / VLOOKUP("LULUCF|SO2|Asthma symptoms shortness of breath", US_national_yearly!$D:$AM, 10, FALSE), 1)</f>
        <v>9.9790683881702865E-4</v>
      </c>
      <c r="G7" s="7">
        <f>$B7 * IFERROR(VLOOKUP("LULUCF|SO2|Asthma symptoms shortness of breath", US_national_yearly!$D:$AM, 15, FALSE) / VLOOKUP("LULUCF|SO2|Asthma symptoms shortness of breath", US_national_yearly!$D:$AM, 10, FALSE), 1)</f>
        <v>9.9790683881702865E-4</v>
      </c>
      <c r="H7" s="7">
        <f>$B7 * IFERROR(VLOOKUP("LULUCF|SO2|Asthma symptoms shortness of breath", US_national_yearly!$D:$AM, 16, FALSE) / VLOOKUP("LULUCF|SO2|Asthma symptoms shortness of breath", US_national_yearly!$D:$AM, 10, FALSE), 1)</f>
        <v>9.9790683881702865E-4</v>
      </c>
      <c r="I7" s="7">
        <f>$B7 * IFERROR(VLOOKUP("LULUCF|SO2|Asthma symptoms shortness of breath", US_national_yearly!$D:$AM, 17, FALSE) / VLOOKUP("LULUCF|SO2|Asthma symptoms shortness of breath", US_national_yearly!$D:$AM, 10, FALSE), 1)</f>
        <v>9.9790683881702865E-4</v>
      </c>
      <c r="J7" s="7">
        <f>$B7 * IFERROR(VLOOKUP("LULUCF|SO2|Asthma symptoms shortness of breath", US_national_yearly!$D:$AM, 18, FALSE) / VLOOKUP("LULUCF|SO2|Asthma symptoms shortness of breath", US_national_yearly!$D:$AM, 10, FALSE), 1)</f>
        <v>9.9790683881702865E-4</v>
      </c>
      <c r="K7" s="7">
        <f>$B7 * IFERROR(VLOOKUP("LULUCF|SO2|Asthma symptoms shortness of breath", US_national_yearly!$D:$AM, 19, FALSE) / VLOOKUP("LULUCF|SO2|Asthma symptoms shortness of breath", US_national_yearly!$D:$AM, 10, FALSE), 1)</f>
        <v>9.9790683881702865E-4</v>
      </c>
      <c r="L7" s="7">
        <f>$B7 * IFERROR(VLOOKUP("LULUCF|SO2|Asthma symptoms shortness of breath", US_national_yearly!$D:$AM, 20, FALSE) / VLOOKUP("LULUCF|SO2|Asthma symptoms shortness of breath", US_national_yearly!$D:$AM, 10, FALSE), 1)</f>
        <v>9.9790683881702865E-4</v>
      </c>
      <c r="M7" s="7">
        <f>$B7 * IFERROR(VLOOKUP("LULUCF|SO2|Asthma symptoms shortness of breath", US_national_yearly!$D:$AM, 21, FALSE) / VLOOKUP("LULUCF|SO2|Asthma symptoms shortness of breath", US_national_yearly!$D:$AM, 10, FALSE), 1)</f>
        <v>9.9790683881702865E-4</v>
      </c>
      <c r="N7" s="7">
        <f>$B7 * IFERROR(VLOOKUP("LULUCF|SO2|Asthma symptoms shortness of breath", US_national_yearly!$D:$AM, 22, FALSE) / VLOOKUP("LULUCF|SO2|Asthma symptoms shortness of breath", US_national_yearly!$D:$AM, 10, FALSE), 1)</f>
        <v>9.9790683881702865E-4</v>
      </c>
      <c r="O7" s="7">
        <f>$B7 * IFERROR(VLOOKUP("LULUCF|SO2|Asthma symptoms shortness of breath", US_national_yearly!$D:$AM, 23, FALSE) / VLOOKUP("LULUCF|SO2|Asthma symptoms shortness of breath", US_national_yearly!$D:$AM, 10, FALSE), 1)</f>
        <v>9.9790683881702865E-4</v>
      </c>
      <c r="P7" s="7">
        <f>$B7 * IFERROR(VLOOKUP("LULUCF|SO2|Asthma symptoms shortness of breath", US_national_yearly!$D:$AM, 24, FALSE) / VLOOKUP("LULUCF|SO2|Asthma symptoms shortness of breath", US_national_yearly!$D:$AM, 10, FALSE), 1)</f>
        <v>9.9790683881702865E-4</v>
      </c>
      <c r="Q7" s="7">
        <f>$B7 * IFERROR(VLOOKUP("LULUCF|SO2|Asthma symptoms shortness of breath", US_national_yearly!$D:$AM, 25, FALSE) / VLOOKUP("LULUCF|SO2|Asthma symptoms shortness of breath", US_national_yearly!$D:$AM, 10, FALSE), 1)</f>
        <v>9.9790683881702865E-4</v>
      </c>
      <c r="R7" s="7">
        <f>$B7 * IFERROR(VLOOKUP("LULUCF|SO2|Asthma symptoms shortness of breath", US_national_yearly!$D:$AM, 26, FALSE) / VLOOKUP("LULUCF|SO2|Asthma symptoms shortness of breath", US_national_yearly!$D:$AM, 10, FALSE), 1)</f>
        <v>9.9790683881702865E-4</v>
      </c>
      <c r="S7" s="7">
        <f>$B7 * IFERROR(VLOOKUP("LULUCF|SO2|Asthma symptoms shortness of breath", US_national_yearly!$D:$AM, 27, FALSE) / VLOOKUP("LULUCF|SO2|Asthma symptoms shortness of breath", US_national_yearly!$D:$AM, 10, FALSE), 1)</f>
        <v>9.9790683881702865E-4</v>
      </c>
      <c r="T7" s="7">
        <f>$B7 * IFERROR(VLOOKUP("LULUCF|SO2|Asthma symptoms shortness of breath", US_national_yearly!$D:$AM, 28, FALSE) / VLOOKUP("LULUCF|SO2|Asthma symptoms shortness of breath", US_national_yearly!$D:$AM, 10, FALSE), 1)</f>
        <v>9.9790683881702865E-4</v>
      </c>
      <c r="U7" s="7">
        <f>$B7 * IFERROR(VLOOKUP("LULUCF|SO2|Asthma symptoms shortness of breath", US_national_yearly!$D:$AM, 29, FALSE) / VLOOKUP("LULUCF|SO2|Asthma symptoms shortness of breath", US_national_yearly!$D:$AM, 10, FALSE), 1)</f>
        <v>9.9790683881702865E-4</v>
      </c>
      <c r="V7" s="7">
        <f>$B7 * IFERROR(VLOOKUP("LULUCF|SO2|Asthma symptoms shortness of breath", US_national_yearly!$D:$AM, 30, FALSE) / VLOOKUP("LULUCF|SO2|Asthma symptoms shortness of breath", US_national_yearly!$D:$AM, 10, FALSE), 1)</f>
        <v>9.9790683881702865E-4</v>
      </c>
      <c r="W7" s="7">
        <f>$B7 * IFERROR(VLOOKUP("LULUCF|SO2|Asthma symptoms shortness of breath", US_national_yearly!$D:$AM, 31, FALSE) / VLOOKUP("LULUCF|SO2|Asthma symptoms shortness of breath", US_national_yearly!$D:$AM, 10, FALSE), 1)</f>
        <v>9.9790683881702865E-4</v>
      </c>
      <c r="X7" s="7">
        <f>$B7 * IFERROR(VLOOKUP("LULUCF|SO2|Asthma symptoms shortness of breath", US_national_yearly!$D:$AM, 32, FALSE) / VLOOKUP("LULUCF|SO2|Asthma symptoms shortness of breath", US_national_yearly!$D:$AM, 10, FALSE), 1)</f>
        <v>9.9790683881702865E-4</v>
      </c>
      <c r="Y7" s="7">
        <f>$B7 * IFERROR(VLOOKUP("LULUCF|SO2|Asthma symptoms shortness of breath", US_national_yearly!$D:$AM, 33, FALSE) / VLOOKUP("LULUCF|SO2|Asthma symptoms shortness of breath", US_national_yearly!$D:$AM, 10, FALSE), 1)</f>
        <v>9.9790683881702865E-4</v>
      </c>
      <c r="Z7" s="7">
        <f>$B7 * IFERROR(VLOOKUP("LULUCF|SO2|Asthma symptoms shortness of breath", US_national_yearly!$D:$AM, 34, FALSE) / VLOOKUP("LULUCF|SO2|Asthma symptoms shortness of breath", US_national_yearly!$D:$AM, 10, FALSE), 1)</f>
        <v>9.9790683881702865E-4</v>
      </c>
      <c r="AA7" s="7">
        <f>$B7 * IFERROR(VLOOKUP("LULUCF|SO2|Asthma symptoms shortness of breath", US_national_yearly!$D:$AM, 35, FALSE) / VLOOKUP("LULUCF|SO2|Asthma symptoms shortness of breath", US_national_yearly!$D:$AM, 10, FALSE), 1)</f>
        <v>9.9790683881702865E-4</v>
      </c>
      <c r="AB7" s="7">
        <f>$B7 * IFERROR(VLOOKUP("LULUCF|SO2|Asthma symptoms shortness of breath", US_national_yearly!$D:$AM, 36, FALSE) / VLOOKUP("LULUCF|SO2|Asthma symptoms shortness of breath", US_national_yearly!$D:$AM, 10, FALSE), 1)</f>
        <v>9.9790683881702865E-4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1.524630596813775E-3</v>
      </c>
      <c r="C8" s="7">
        <f>$B8 * IFERROR(VLOOKUP("LULUCF|SO2|Asthma symptoms wheeze", US_national_yearly!$D:$AM, 11, FALSE) / VLOOKUP("LULUCF|SO2|Asthma symptoms wheeze", US_national_yearly!$D:$AM, 10, FALSE), 1)</f>
        <v>1.524630596813775E-3</v>
      </c>
      <c r="D8" s="7">
        <f>$B8 * IFERROR(VLOOKUP("LULUCF|SO2|Asthma symptoms wheeze", US_national_yearly!$D:$AM, 12, FALSE) / VLOOKUP("LULUCF|SO2|Asthma symptoms wheeze", US_national_yearly!$D:$AM, 10, FALSE), 1)</f>
        <v>1.524630596813775E-3</v>
      </c>
      <c r="E8" s="7">
        <f>$B8 * IFERROR(VLOOKUP("LULUCF|SO2|Asthma symptoms wheeze", US_national_yearly!$D:$AM, 13, FALSE) / VLOOKUP("LULUCF|SO2|Asthma symptoms wheeze", US_national_yearly!$D:$AM, 10, FALSE), 1)</f>
        <v>1.524630596813775E-3</v>
      </c>
      <c r="F8" s="7">
        <f>$B8 * IFERROR(VLOOKUP("LULUCF|SO2|Asthma symptoms wheeze", US_national_yearly!$D:$AM, 14, FALSE) / VLOOKUP("LULUCF|SO2|Asthma symptoms wheeze", US_national_yearly!$D:$AM, 10, FALSE), 1)</f>
        <v>1.524630596813775E-3</v>
      </c>
      <c r="G8" s="7">
        <f>$B8 * IFERROR(VLOOKUP("LULUCF|SO2|Asthma symptoms wheeze", US_national_yearly!$D:$AM, 15, FALSE) / VLOOKUP("LULUCF|SO2|Asthma symptoms wheeze", US_national_yearly!$D:$AM, 10, FALSE), 1)</f>
        <v>1.524630596813775E-3</v>
      </c>
      <c r="H8" s="7">
        <f>$B8 * IFERROR(VLOOKUP("LULUCF|SO2|Asthma symptoms wheeze", US_national_yearly!$D:$AM, 16, FALSE) / VLOOKUP("LULUCF|SO2|Asthma symptoms wheeze", US_national_yearly!$D:$AM, 10, FALSE), 1)</f>
        <v>1.524630596813775E-3</v>
      </c>
      <c r="I8" s="7">
        <f>$B8 * IFERROR(VLOOKUP("LULUCF|SO2|Asthma symptoms wheeze", US_national_yearly!$D:$AM, 17, FALSE) / VLOOKUP("LULUCF|SO2|Asthma symptoms wheeze", US_national_yearly!$D:$AM, 10, FALSE), 1)</f>
        <v>1.524630596813775E-3</v>
      </c>
      <c r="J8" s="7">
        <f>$B8 * IFERROR(VLOOKUP("LULUCF|SO2|Asthma symptoms wheeze", US_national_yearly!$D:$AM, 18, FALSE) / VLOOKUP("LULUCF|SO2|Asthma symptoms wheeze", US_national_yearly!$D:$AM, 10, FALSE), 1)</f>
        <v>1.524630596813775E-3</v>
      </c>
      <c r="K8" s="7">
        <f>$B8 * IFERROR(VLOOKUP("LULUCF|SO2|Asthma symptoms wheeze", US_national_yearly!$D:$AM, 19, FALSE) / VLOOKUP("LULUCF|SO2|Asthma symptoms wheeze", US_national_yearly!$D:$AM, 10, FALSE), 1)</f>
        <v>1.524630596813775E-3</v>
      </c>
      <c r="L8" s="7">
        <f>$B8 * IFERROR(VLOOKUP("LULUCF|SO2|Asthma symptoms wheeze", US_national_yearly!$D:$AM, 20, FALSE) / VLOOKUP("LULUCF|SO2|Asthma symptoms wheeze", US_national_yearly!$D:$AM, 10, FALSE), 1)</f>
        <v>1.524630596813775E-3</v>
      </c>
      <c r="M8" s="7">
        <f>$B8 * IFERROR(VLOOKUP("LULUCF|SO2|Asthma symptoms wheeze", US_national_yearly!$D:$AM, 21, FALSE) / VLOOKUP("LULUCF|SO2|Asthma symptoms wheeze", US_national_yearly!$D:$AM, 10, FALSE), 1)</f>
        <v>1.524630596813775E-3</v>
      </c>
      <c r="N8" s="7">
        <f>$B8 * IFERROR(VLOOKUP("LULUCF|SO2|Asthma symptoms wheeze", US_national_yearly!$D:$AM, 22, FALSE) / VLOOKUP("LULUCF|SO2|Asthma symptoms wheeze", US_national_yearly!$D:$AM, 10, FALSE), 1)</f>
        <v>1.524630596813775E-3</v>
      </c>
      <c r="O8" s="7">
        <f>$B8 * IFERROR(VLOOKUP("LULUCF|SO2|Asthma symptoms wheeze", US_national_yearly!$D:$AM, 23, FALSE) / VLOOKUP("LULUCF|SO2|Asthma symptoms wheeze", US_national_yearly!$D:$AM, 10, FALSE), 1)</f>
        <v>1.524630596813775E-3</v>
      </c>
      <c r="P8" s="7">
        <f>$B8 * IFERROR(VLOOKUP("LULUCF|SO2|Asthma symptoms wheeze", US_national_yearly!$D:$AM, 24, FALSE) / VLOOKUP("LULUCF|SO2|Asthma symptoms wheeze", US_national_yearly!$D:$AM, 10, FALSE), 1)</f>
        <v>1.524630596813775E-3</v>
      </c>
      <c r="Q8" s="7">
        <f>$B8 * IFERROR(VLOOKUP("LULUCF|SO2|Asthma symptoms wheeze", US_national_yearly!$D:$AM, 25, FALSE) / VLOOKUP("LULUCF|SO2|Asthma symptoms wheeze", US_national_yearly!$D:$AM, 10, FALSE), 1)</f>
        <v>1.524630596813775E-3</v>
      </c>
      <c r="R8" s="7">
        <f>$B8 * IFERROR(VLOOKUP("LULUCF|SO2|Asthma symptoms wheeze", US_national_yearly!$D:$AM, 26, FALSE) / VLOOKUP("LULUCF|SO2|Asthma symptoms wheeze", US_national_yearly!$D:$AM, 10, FALSE), 1)</f>
        <v>1.524630596813775E-3</v>
      </c>
      <c r="S8" s="7">
        <f>$B8 * IFERROR(VLOOKUP("LULUCF|SO2|Asthma symptoms wheeze", US_national_yearly!$D:$AM, 27, FALSE) / VLOOKUP("LULUCF|SO2|Asthma symptoms wheeze", US_national_yearly!$D:$AM, 10, FALSE), 1)</f>
        <v>1.524630596813775E-3</v>
      </c>
      <c r="T8" s="7">
        <f>$B8 * IFERROR(VLOOKUP("LULUCF|SO2|Asthma symptoms wheeze", US_national_yearly!$D:$AM, 28, FALSE) / VLOOKUP("LULUCF|SO2|Asthma symptoms wheeze", US_national_yearly!$D:$AM, 10, FALSE), 1)</f>
        <v>1.524630596813775E-3</v>
      </c>
      <c r="U8" s="7">
        <f>$B8 * IFERROR(VLOOKUP("LULUCF|SO2|Asthma symptoms wheeze", US_national_yearly!$D:$AM, 29, FALSE) / VLOOKUP("LULUCF|SO2|Asthma symptoms wheeze", US_national_yearly!$D:$AM, 10, FALSE), 1)</f>
        <v>1.524630596813775E-3</v>
      </c>
      <c r="V8" s="7">
        <f>$B8 * IFERROR(VLOOKUP("LULUCF|SO2|Asthma symptoms wheeze", US_national_yearly!$D:$AM, 30, FALSE) / VLOOKUP("LULUCF|SO2|Asthma symptoms wheeze", US_national_yearly!$D:$AM, 10, FALSE), 1)</f>
        <v>1.524630596813775E-3</v>
      </c>
      <c r="W8" s="7">
        <f>$B8 * IFERROR(VLOOKUP("LULUCF|SO2|Asthma symptoms wheeze", US_national_yearly!$D:$AM, 31, FALSE) / VLOOKUP("LULUCF|SO2|Asthma symptoms wheeze", US_national_yearly!$D:$AM, 10, FALSE), 1)</f>
        <v>1.524630596813775E-3</v>
      </c>
      <c r="X8" s="7">
        <f>$B8 * IFERROR(VLOOKUP("LULUCF|SO2|Asthma symptoms wheeze", US_national_yearly!$D:$AM, 32, FALSE) / VLOOKUP("LULUCF|SO2|Asthma symptoms wheeze", US_national_yearly!$D:$AM, 10, FALSE), 1)</f>
        <v>1.524630596813775E-3</v>
      </c>
      <c r="Y8" s="7">
        <f>$B8 * IFERROR(VLOOKUP("LULUCF|SO2|Asthma symptoms wheeze", US_national_yearly!$D:$AM, 33, FALSE) / VLOOKUP("LULUCF|SO2|Asthma symptoms wheeze", US_national_yearly!$D:$AM, 10, FALSE), 1)</f>
        <v>1.524630596813775E-3</v>
      </c>
      <c r="Z8" s="7">
        <f>$B8 * IFERROR(VLOOKUP("LULUCF|SO2|Asthma symptoms wheeze", US_national_yearly!$D:$AM, 34, FALSE) / VLOOKUP("LULUCF|SO2|Asthma symptoms wheeze", US_national_yearly!$D:$AM, 10, FALSE), 1)</f>
        <v>1.524630596813775E-3</v>
      </c>
      <c r="AA8" s="7">
        <f>$B8 * IFERROR(VLOOKUP("LULUCF|SO2|Asthma symptoms wheeze", US_national_yearly!$D:$AM, 35, FALSE) / VLOOKUP("LULUCF|SO2|Asthma symptoms wheeze", US_national_yearly!$D:$AM, 10, FALSE), 1)</f>
        <v>1.524630596813775E-3</v>
      </c>
      <c r="AB8" s="7">
        <f>$B8 * IFERROR(VLOOKUP("LULUCF|SO2|Asthma symptoms wheeze", US_national_yearly!$D:$AM, 36, FALSE) / VLOOKUP("LULUCF|SO2|Asthma symptoms wheeze", US_national_yearly!$D:$AM, 10, FALSE), 1)</f>
        <v>1.524630596813775E-3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2.568436681782133E-5</v>
      </c>
      <c r="C12" s="7">
        <f>$B12 * IFERROR(VLOOKUP("LULUCF|SO2|Respiratory hospital admissions", US_national_yearly!$D:$AM, 11, FALSE) / VLOOKUP("LULUCF|SO2|Respiratory hospital admissions", US_national_yearly!$D:$AM, 10, FALSE), 1)</f>
        <v>2.5835854489694868E-5</v>
      </c>
      <c r="D12" s="7">
        <f>$B12 * IFERROR(VLOOKUP("LULUCF|SO2|Respiratory hospital admissions", US_national_yearly!$D:$AM, 12, FALSE) / VLOOKUP("LULUCF|SO2|Respiratory hospital admissions", US_national_yearly!$D:$AM, 10, FALSE), 1)</f>
        <v>2.5987342161568407E-5</v>
      </c>
      <c r="E12" s="7">
        <f>$B12 * IFERROR(VLOOKUP("LULUCF|SO2|Respiratory hospital admissions", US_national_yearly!$D:$AM, 13, FALSE) / VLOOKUP("LULUCF|SO2|Respiratory hospital admissions", US_national_yearly!$D:$AM, 10, FALSE), 1)</f>
        <v>2.6138829833441942E-5</v>
      </c>
      <c r="F12" s="7">
        <f>$B12 * IFERROR(VLOOKUP("LULUCF|SO2|Respiratory hospital admissions", US_national_yearly!$D:$AM, 14, FALSE) / VLOOKUP("LULUCF|SO2|Respiratory hospital admissions", US_national_yearly!$D:$AM, 10, FALSE), 1)</f>
        <v>2.629031750531548E-5</v>
      </c>
      <c r="G12" s="7">
        <f>$B12 * IFERROR(VLOOKUP("LULUCF|SO2|Respiratory hospital admissions", US_national_yearly!$D:$AM, 15, FALSE) / VLOOKUP("LULUCF|SO2|Respiratory hospital admissions", US_national_yearly!$D:$AM, 10, FALSE), 1)</f>
        <v>2.6455464619233942E-5</v>
      </c>
      <c r="H12" s="7">
        <f>$B12 * IFERROR(VLOOKUP("LULUCF|SO2|Respiratory hospital admissions", US_national_yearly!$D:$AM, 16, FALSE) / VLOOKUP("LULUCF|SO2|Respiratory hospital admissions", US_national_yearly!$D:$AM, 10, FALSE), 1)</f>
        <v>2.6620611733152401E-5</v>
      </c>
      <c r="I12" s="7">
        <f>$B12 * IFERROR(VLOOKUP("LULUCF|SO2|Respiratory hospital admissions", US_national_yearly!$D:$AM, 17, FALSE) / VLOOKUP("LULUCF|SO2|Respiratory hospital admissions", US_national_yearly!$D:$AM, 10, FALSE), 1)</f>
        <v>2.6783466450573524E-5</v>
      </c>
      <c r="J12" s="7">
        <f>$B12 * IFERROR(VLOOKUP("LULUCF|SO2|Respiratory hospital admissions", US_national_yearly!$D:$AM, 18, FALSE) / VLOOKUP("LULUCF|SO2|Respiratory hospital admissions", US_national_yearly!$D:$AM, 10, FALSE), 1)</f>
        <v>2.6946321167994651E-5</v>
      </c>
      <c r="K12" s="7">
        <f>$B12 * IFERROR(VLOOKUP("LULUCF|SO2|Respiratory hospital admissions", US_national_yearly!$D:$AM, 19, FALSE) / VLOOKUP("LULUCF|SO2|Respiratory hospital admissions", US_national_yearly!$D:$AM, 10, FALSE), 1)</f>
        <v>2.710917588541577E-5</v>
      </c>
      <c r="L12" s="7">
        <f>$B12 * IFERROR(VLOOKUP("LULUCF|SO2|Respiratory hospital admissions", US_national_yearly!$D:$AM, 20, FALSE) / VLOOKUP("LULUCF|SO2|Respiratory hospital admissions", US_national_yearly!$D:$AM, 10, FALSE), 1)</f>
        <v>2.7272030602836897E-5</v>
      </c>
      <c r="M12" s="7">
        <f>$B12 * IFERROR(VLOOKUP("LULUCF|SO2|Respiratory hospital admissions", US_national_yearly!$D:$AM, 21, FALSE) / VLOOKUP("LULUCF|SO2|Respiratory hospital admissions", US_national_yearly!$D:$AM, 10, FALSE), 1)</f>
        <v>2.7434885320258014E-5</v>
      </c>
      <c r="N12" s="7">
        <f>$B12 * IFERROR(VLOOKUP("LULUCF|SO2|Respiratory hospital admissions", US_national_yearly!$D:$AM, 22, FALSE) / VLOOKUP("LULUCF|SO2|Respiratory hospital admissions", US_national_yearly!$D:$AM, 10, FALSE), 1)</f>
        <v>2.7553764236878688E-5</v>
      </c>
      <c r="O12" s="7">
        <f>$B12 * IFERROR(VLOOKUP("LULUCF|SO2|Respiratory hospital admissions", US_national_yearly!$D:$AM, 23, FALSE) / VLOOKUP("LULUCF|SO2|Respiratory hospital admissions", US_national_yearly!$D:$AM, 10, FALSE), 1)</f>
        <v>2.7672643153499352E-5</v>
      </c>
      <c r="P12" s="7">
        <f>$B12 * IFERROR(VLOOKUP("LULUCF|SO2|Respiratory hospital admissions", US_national_yearly!$D:$AM, 24, FALSE) / VLOOKUP("LULUCF|SO2|Respiratory hospital admissions", US_national_yearly!$D:$AM, 10, FALSE), 1)</f>
        <v>2.779152207012002E-5</v>
      </c>
      <c r="Q12" s="7">
        <f>$B12 * IFERROR(VLOOKUP("LULUCF|SO2|Respiratory hospital admissions", US_national_yearly!$D:$AM, 25, FALSE) / VLOOKUP("LULUCF|SO2|Respiratory hospital admissions", US_national_yearly!$D:$AM, 10, FALSE), 1)</f>
        <v>2.7910400986740691E-5</v>
      </c>
      <c r="R12" s="7">
        <f>$B12 * IFERROR(VLOOKUP("LULUCF|SO2|Respiratory hospital admissions", US_national_yearly!$D:$AM, 26, FALSE) / VLOOKUP("LULUCF|SO2|Respiratory hospital admissions", US_national_yearly!$D:$AM, 10, FALSE), 1)</f>
        <v>2.8029279903361355E-5</v>
      </c>
      <c r="S12" s="7">
        <f>$B12 * IFERROR(VLOOKUP("LULUCF|SO2|Respiratory hospital admissions", US_national_yearly!$D:$AM, 27, FALSE) / VLOOKUP("LULUCF|SO2|Respiratory hospital admissions", US_national_yearly!$D:$AM, 10, FALSE), 1)</f>
        <v>2.814268131910018E-5</v>
      </c>
      <c r="T12" s="7">
        <f>$B12 * IFERROR(VLOOKUP("LULUCF|SO2|Respiratory hospital admissions", US_national_yearly!$D:$AM, 28, FALSE) / VLOOKUP("LULUCF|SO2|Respiratory hospital admissions", US_national_yearly!$D:$AM, 10, FALSE), 1)</f>
        <v>2.8256082734838998E-5</v>
      </c>
      <c r="U12" s="7">
        <f>$B12 * IFERROR(VLOOKUP("LULUCF|SO2|Respiratory hospital admissions", US_national_yearly!$D:$AM, 29, FALSE) / VLOOKUP("LULUCF|SO2|Respiratory hospital admissions", US_national_yearly!$D:$AM, 10, FALSE), 1)</f>
        <v>2.8369484150577822E-5</v>
      </c>
      <c r="V12" s="7">
        <f>$B12 * IFERROR(VLOOKUP("LULUCF|SO2|Respiratory hospital admissions", US_national_yearly!$D:$AM, 30, FALSE) / VLOOKUP("LULUCF|SO2|Respiratory hospital admissions", US_national_yearly!$D:$AM, 10, FALSE), 1)</f>
        <v>2.8482885566316647E-5</v>
      </c>
      <c r="W12" s="7">
        <f>$B12 * IFERROR(VLOOKUP("LULUCF|SO2|Respiratory hospital admissions", US_national_yearly!$D:$AM, 31, FALSE) / VLOOKUP("LULUCF|SO2|Respiratory hospital admissions", US_national_yearly!$D:$AM, 10, FALSE), 1)</f>
        <v>2.8596286982055472E-5</v>
      </c>
      <c r="X12" s="7">
        <f>$B12 * IFERROR(VLOOKUP("LULUCF|SO2|Respiratory hospital admissions", US_national_yearly!$D:$AM, 32, FALSE) / VLOOKUP("LULUCF|SO2|Respiratory hospital admissions", US_national_yearly!$D:$AM, 10, FALSE), 1)</f>
        <v>2.8703886307291739E-5</v>
      </c>
      <c r="Y12" s="7">
        <f>$B12 * IFERROR(VLOOKUP("LULUCF|SO2|Respiratory hospital admissions", US_national_yearly!$D:$AM, 33, FALSE) / VLOOKUP("LULUCF|SO2|Respiratory hospital admissions", US_national_yearly!$D:$AM, 10, FALSE), 1)</f>
        <v>2.8811485632528009E-5</v>
      </c>
      <c r="Z12" s="7">
        <f>$B12 * IFERROR(VLOOKUP("LULUCF|SO2|Respiratory hospital admissions", US_national_yearly!$D:$AM, 34, FALSE) / VLOOKUP("LULUCF|SO2|Respiratory hospital admissions", US_national_yearly!$D:$AM, 10, FALSE), 1)</f>
        <v>2.8919084957764275E-5</v>
      </c>
      <c r="AA12" s="7">
        <f>$B12 * IFERROR(VLOOKUP("LULUCF|SO2|Respiratory hospital admissions", US_national_yearly!$D:$AM, 35, FALSE) / VLOOKUP("LULUCF|SO2|Respiratory hospital admissions", US_national_yearly!$D:$AM, 10, FALSE), 1)</f>
        <v>2.9026684283000542E-5</v>
      </c>
      <c r="AB12" s="7">
        <f>$B12 * IFERROR(VLOOKUP("LULUCF|SO2|Respiratory hospital admissions", US_national_yearly!$D:$AM, 36, FALSE) / VLOOKUP("LULUCF|SO2|Respiratory hospital admissions", US_national_yearly!$D:$AM, 10, FALSE), 1)</f>
        <v>2.9134283608236819E-5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1.6005999418890697E-4</v>
      </c>
      <c r="C13" s="7">
        <f>$B13 * IFERROR(VLOOKUP("LULUCF|SO2|Non-fatal heart attacks", US_national_yearly!$D:$AM, 11, FALSE) / VLOOKUP("LULUCF|SO2|Non-fatal heart attacks", US_national_yearly!$D:$AM, 10, FALSE), 1)</f>
        <v>1.6475877424851744E-4</v>
      </c>
      <c r="D13" s="7">
        <f>$B13 * IFERROR(VLOOKUP("LULUCF|SO2|Non-fatal heart attacks", US_national_yearly!$D:$AM, 12, FALSE) / VLOOKUP("LULUCF|SO2|Non-fatal heart attacks", US_national_yearly!$D:$AM, 10, FALSE), 1)</f>
        <v>1.6945755430812791E-4</v>
      </c>
      <c r="E13" s="7">
        <f>$B13 * IFERROR(VLOOKUP("LULUCF|SO2|Non-fatal heart attacks", US_national_yearly!$D:$AM, 13, FALSE) / VLOOKUP("LULUCF|SO2|Non-fatal heart attacks", US_national_yearly!$D:$AM, 10, FALSE), 1)</f>
        <v>1.7415633436773835E-4</v>
      </c>
      <c r="F13" s="7">
        <f>$B13 * IFERROR(VLOOKUP("LULUCF|SO2|Non-fatal heart attacks", US_national_yearly!$D:$AM, 14, FALSE) / VLOOKUP("LULUCF|SO2|Non-fatal heart attacks", US_national_yearly!$D:$AM, 10, FALSE), 1)</f>
        <v>1.7885511442734879E-4</v>
      </c>
      <c r="G13" s="7">
        <f>$B13 * IFERROR(VLOOKUP("LULUCF|SO2|Non-fatal heart attacks", US_national_yearly!$D:$AM, 15, FALSE) / VLOOKUP("LULUCF|SO2|Non-fatal heart attacks", US_national_yearly!$D:$AM, 10, FALSE), 1)</f>
        <v>1.8328649986203729E-4</v>
      </c>
      <c r="H13" s="7">
        <f>$B13 * IFERROR(VLOOKUP("LULUCF|SO2|Non-fatal heart attacks", US_national_yearly!$D:$AM, 16, FALSE) / VLOOKUP("LULUCF|SO2|Non-fatal heart attacks", US_national_yearly!$D:$AM, 10, FALSE), 1)</f>
        <v>1.877178852967258E-4</v>
      </c>
      <c r="I13" s="7">
        <f>$B13 * IFERROR(VLOOKUP("LULUCF|SO2|Non-fatal heart attacks", US_national_yearly!$D:$AM, 17, FALSE) / VLOOKUP("LULUCF|SO2|Non-fatal heart attacks", US_national_yearly!$D:$AM, 10, FALSE), 1)</f>
        <v>1.9128376139656428E-4</v>
      </c>
      <c r="J13" s="7">
        <f>$B13 * IFERROR(VLOOKUP("LULUCF|SO2|Non-fatal heart attacks", US_national_yearly!$D:$AM, 18, FALSE) / VLOOKUP("LULUCF|SO2|Non-fatal heart attacks", US_national_yearly!$D:$AM, 10, FALSE), 1)</f>
        <v>1.9484963749640278E-4</v>
      </c>
      <c r="K13" s="7">
        <f>$B13 * IFERROR(VLOOKUP("LULUCF|SO2|Non-fatal heart attacks", US_national_yearly!$D:$AM, 19, FALSE) / VLOOKUP("LULUCF|SO2|Non-fatal heart attacks", US_national_yearly!$D:$AM, 10, FALSE), 1)</f>
        <v>1.9841551359624126E-4</v>
      </c>
      <c r="L13" s="7">
        <f>$B13 * IFERROR(VLOOKUP("LULUCF|SO2|Non-fatal heart attacks", US_national_yearly!$D:$AM, 20, FALSE) / VLOOKUP("LULUCF|SO2|Non-fatal heart attacks", US_national_yearly!$D:$AM, 10, FALSE), 1)</f>
        <v>2.019813896960798E-4</v>
      </c>
      <c r="M13" s="7">
        <f>$B13 * IFERROR(VLOOKUP("LULUCF|SO2|Non-fatal heart attacks", US_national_yearly!$D:$AM, 21, FALSE) / VLOOKUP("LULUCF|SO2|Non-fatal heart attacks", US_national_yearly!$D:$AM, 10, FALSE), 1)</f>
        <v>2.0554726579591833E-4</v>
      </c>
      <c r="N13" s="7">
        <f>$B13 * IFERROR(VLOOKUP("LULUCF|SO2|Non-fatal heart attacks", US_national_yearly!$D:$AM, 22, FALSE) / VLOOKUP("LULUCF|SO2|Non-fatal heart attacks", US_national_yearly!$D:$AM, 10, FALSE), 1)</f>
        <v>2.0786263222904257E-4</v>
      </c>
      <c r="O13" s="7">
        <f>$B13 * IFERROR(VLOOKUP("LULUCF|SO2|Non-fatal heart attacks", US_national_yearly!$D:$AM, 23, FALSE) / VLOOKUP("LULUCF|SO2|Non-fatal heart attacks", US_national_yearly!$D:$AM, 10, FALSE), 1)</f>
        <v>2.1017799866216685E-4</v>
      </c>
      <c r="P13" s="7">
        <f>$B13 * IFERROR(VLOOKUP("LULUCF|SO2|Non-fatal heart attacks", US_national_yearly!$D:$AM, 24, FALSE) / VLOOKUP("LULUCF|SO2|Non-fatal heart attacks", US_national_yearly!$D:$AM, 10, FALSE), 1)</f>
        <v>2.1249336509529114E-4</v>
      </c>
      <c r="Q13" s="7">
        <f>$B13 * IFERROR(VLOOKUP("LULUCF|SO2|Non-fatal heart attacks", US_national_yearly!$D:$AM, 25, FALSE) / VLOOKUP("LULUCF|SO2|Non-fatal heart attacks", US_national_yearly!$D:$AM, 10, FALSE), 1)</f>
        <v>2.1480873152841541E-4</v>
      </c>
      <c r="R13" s="7">
        <f>$B13 * IFERROR(VLOOKUP("LULUCF|SO2|Non-fatal heart attacks", US_national_yearly!$D:$AM, 26, FALSE) / VLOOKUP("LULUCF|SO2|Non-fatal heart attacks", US_national_yearly!$D:$AM, 10, FALSE), 1)</f>
        <v>2.1712409796153967E-4</v>
      </c>
      <c r="S13" s="7">
        <f>$B13 * IFERROR(VLOOKUP("LULUCF|SO2|Non-fatal heart attacks", US_national_yearly!$D:$AM, 27, FALSE) / VLOOKUP("LULUCF|SO2|Non-fatal heart attacks", US_national_yearly!$D:$AM, 10, FALSE), 1)</f>
        <v>2.1833293775282611E-4</v>
      </c>
      <c r="T13" s="7">
        <f>$B13 * IFERROR(VLOOKUP("LULUCF|SO2|Non-fatal heart attacks", US_national_yearly!$D:$AM, 28, FALSE) / VLOOKUP("LULUCF|SO2|Non-fatal heart attacks", US_national_yearly!$D:$AM, 10, FALSE), 1)</f>
        <v>2.1954177754411256E-4</v>
      </c>
      <c r="U13" s="7">
        <f>$B13 * IFERROR(VLOOKUP("LULUCF|SO2|Non-fatal heart attacks", US_national_yearly!$D:$AM, 29, FALSE) / VLOOKUP("LULUCF|SO2|Non-fatal heart attacks", US_national_yearly!$D:$AM, 10, FALSE), 1)</f>
        <v>2.2075061733539897E-4</v>
      </c>
      <c r="V13" s="7">
        <f>$B13 * IFERROR(VLOOKUP("LULUCF|SO2|Non-fatal heart attacks", US_national_yearly!$D:$AM, 30, FALSE) / VLOOKUP("LULUCF|SO2|Non-fatal heart attacks", US_national_yearly!$D:$AM, 10, FALSE), 1)</f>
        <v>2.2195945712668536E-4</v>
      </c>
      <c r="W13" s="7">
        <f>$B13 * IFERROR(VLOOKUP("LULUCF|SO2|Non-fatal heart attacks", US_national_yearly!$D:$AM, 31, FALSE) / VLOOKUP("LULUCF|SO2|Non-fatal heart attacks", US_national_yearly!$D:$AM, 10, FALSE), 1)</f>
        <v>2.2316829691797186E-4</v>
      </c>
      <c r="X13" s="7">
        <f>$B13 * IFERROR(VLOOKUP("LULUCF|SO2|Non-fatal heart attacks", US_national_yearly!$D:$AM, 32, FALSE) / VLOOKUP("LULUCF|SO2|Non-fatal heart attacks", US_national_yearly!$D:$AM, 10, FALSE), 1)</f>
        <v>2.2408086521852111E-4</v>
      </c>
      <c r="Y13" s="7">
        <f>$B13 * IFERROR(VLOOKUP("LULUCF|SO2|Non-fatal heart attacks", US_national_yearly!$D:$AM, 33, FALSE) / VLOOKUP("LULUCF|SO2|Non-fatal heart attacks", US_national_yearly!$D:$AM, 10, FALSE), 1)</f>
        <v>2.2499343351907035E-4</v>
      </c>
      <c r="Z13" s="7">
        <f>$B13 * IFERROR(VLOOKUP("LULUCF|SO2|Non-fatal heart attacks", US_national_yearly!$D:$AM, 34, FALSE) / VLOOKUP("LULUCF|SO2|Non-fatal heart attacks", US_national_yearly!$D:$AM, 10, FALSE), 1)</f>
        <v>2.259060018196196E-4</v>
      </c>
      <c r="AA13" s="7">
        <f>$B13 * IFERROR(VLOOKUP("LULUCF|SO2|Non-fatal heart attacks", US_national_yearly!$D:$AM, 35, FALSE) / VLOOKUP("LULUCF|SO2|Non-fatal heart attacks", US_national_yearly!$D:$AM, 10, FALSE), 1)</f>
        <v>2.2681857012016882E-4</v>
      </c>
      <c r="AB13" s="7">
        <f>$B13 * IFERROR(VLOOKUP("LULUCF|SO2|Non-fatal heart attacks", US_national_yearly!$D:$AM, 36, FALSE) / VLOOKUP("LULUCF|SO2|Non-fatal heart attacks", US_national_yearly!$D:$AM, 10, FALSE), 1)</f>
        <v>2.2773113842071806E-4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0.10350251928240399</v>
      </c>
      <c r="C14" s="7">
        <f>$B14 * IFERROR(VLOOKUP("LULUCF|SO2|Minor restricted activity days", US_national_yearly!$D:$AM, 11, FALSE) / VLOOKUP("LULUCF|SO2|Minor restricted activity days", US_national_yearly!$D:$AM, 10, FALSE), 1)</f>
        <v>0.10376341464727015</v>
      </c>
      <c r="D14" s="7">
        <f>$B14 * IFERROR(VLOOKUP("LULUCF|SO2|Minor restricted activity days", US_national_yearly!$D:$AM, 12, FALSE) / VLOOKUP("LULUCF|SO2|Minor restricted activity days", US_national_yearly!$D:$AM, 10, FALSE), 1)</f>
        <v>0.1040243100121363</v>
      </c>
      <c r="E14" s="7">
        <f>$B14 * IFERROR(VLOOKUP("LULUCF|SO2|Minor restricted activity days", US_national_yearly!$D:$AM, 13, FALSE) / VLOOKUP("LULUCF|SO2|Minor restricted activity days", US_national_yearly!$D:$AM, 10, FALSE), 1)</f>
        <v>0.10428520537700246</v>
      </c>
      <c r="F14" s="7">
        <f>$B14 * IFERROR(VLOOKUP("LULUCF|SO2|Minor restricted activity days", US_national_yearly!$D:$AM, 14, FALSE) / VLOOKUP("LULUCF|SO2|Minor restricted activity days", US_national_yearly!$D:$AM, 10, FALSE), 1)</f>
        <v>0.10454610074186861</v>
      </c>
      <c r="G14" s="7">
        <f>$B14 * IFERROR(VLOOKUP("LULUCF|SO2|Minor restricted activity days", US_national_yearly!$D:$AM, 15, FALSE) / VLOOKUP("LULUCF|SO2|Minor restricted activity days", US_national_yearly!$D:$AM, 10, FALSE), 1)</f>
        <v>0.10493011308844782</v>
      </c>
      <c r="H14" s="7">
        <f>$B14 * IFERROR(VLOOKUP("LULUCF|SO2|Minor restricted activity days", US_national_yearly!$D:$AM, 16, FALSE) / VLOOKUP("LULUCF|SO2|Minor restricted activity days", US_national_yearly!$D:$AM, 10, FALSE), 1)</f>
        <v>0.10531412543502705</v>
      </c>
      <c r="I14" s="7">
        <f>$B14 * IFERROR(VLOOKUP("LULUCF|SO2|Minor restricted activity days", US_national_yearly!$D:$AM, 17, FALSE) / VLOOKUP("LULUCF|SO2|Minor restricted activity days", US_national_yearly!$D:$AM, 10, FALSE), 1)</f>
        <v>0.10596902269797344</v>
      </c>
      <c r="J14" s="7">
        <f>$B14 * IFERROR(VLOOKUP("LULUCF|SO2|Minor restricted activity days", US_national_yearly!$D:$AM, 18, FALSE) / VLOOKUP("LULUCF|SO2|Minor restricted activity days", US_national_yearly!$D:$AM, 10, FALSE), 1)</f>
        <v>0.10662391996091984</v>
      </c>
      <c r="K14" s="7">
        <f>$B14 * IFERROR(VLOOKUP("LULUCF|SO2|Minor restricted activity days", US_national_yearly!$D:$AM, 19, FALSE) / VLOOKUP("LULUCF|SO2|Minor restricted activity days", US_national_yearly!$D:$AM, 10, FALSE), 1)</f>
        <v>0.10727881722386626</v>
      </c>
      <c r="L14" s="7">
        <f>$B14 * IFERROR(VLOOKUP("LULUCF|SO2|Minor restricted activity days", US_national_yearly!$D:$AM, 20, FALSE) / VLOOKUP("LULUCF|SO2|Minor restricted activity days", US_national_yearly!$D:$AM, 10, FALSE), 1)</f>
        <v>0.10793371448681265</v>
      </c>
      <c r="M14" s="7">
        <f>$B14 * IFERROR(VLOOKUP("LULUCF|SO2|Minor restricted activity days", US_national_yearly!$D:$AM, 21, FALSE) / VLOOKUP("LULUCF|SO2|Minor restricted activity days", US_national_yearly!$D:$AM, 10, FALSE), 1)</f>
        <v>0.10858861174975903</v>
      </c>
      <c r="N14" s="7">
        <f>$B14 * IFERROR(VLOOKUP("LULUCF|SO2|Minor restricted activity days", US_national_yearly!$D:$AM, 22, FALSE) / VLOOKUP("LULUCF|SO2|Minor restricted activity days", US_national_yearly!$D:$AM, 10, FALSE), 1)</f>
        <v>0.10948440612132394</v>
      </c>
      <c r="O14" s="7">
        <f>$B14 * IFERROR(VLOOKUP("LULUCF|SO2|Minor restricted activity days", US_national_yearly!$D:$AM, 23, FALSE) / VLOOKUP("LULUCF|SO2|Minor restricted activity days", US_national_yearly!$D:$AM, 10, FALSE), 1)</f>
        <v>0.11038020049288884</v>
      </c>
      <c r="P14" s="7">
        <f>$B14 * IFERROR(VLOOKUP("LULUCF|SO2|Minor restricted activity days", US_national_yearly!$D:$AM, 24, FALSE) / VLOOKUP("LULUCF|SO2|Minor restricted activity days", US_national_yearly!$D:$AM, 10, FALSE), 1)</f>
        <v>0.11127599486445373</v>
      </c>
      <c r="Q14" s="7">
        <f>$B14 * IFERROR(VLOOKUP("LULUCF|SO2|Minor restricted activity days", US_national_yearly!$D:$AM, 25, FALSE) / VLOOKUP("LULUCF|SO2|Minor restricted activity days", US_national_yearly!$D:$AM, 10, FALSE), 1)</f>
        <v>0.11217178923601864</v>
      </c>
      <c r="R14" s="7">
        <f>$B14 * IFERROR(VLOOKUP("LULUCF|SO2|Minor restricted activity days", US_national_yearly!$D:$AM, 26, FALSE) / VLOOKUP("LULUCF|SO2|Minor restricted activity days", US_national_yearly!$D:$AM, 10, FALSE), 1)</f>
        <v>0.11306758360758354</v>
      </c>
      <c r="S14" s="7">
        <f>$B14 * IFERROR(VLOOKUP("LULUCF|SO2|Minor restricted activity days", US_national_yearly!$D:$AM, 27, FALSE) / VLOOKUP("LULUCF|SO2|Minor restricted activity days", US_national_yearly!$D:$AM, 10, FALSE), 1)</f>
        <v>0.11398093364430499</v>
      </c>
      <c r="T14" s="7">
        <f>$B14 * IFERROR(VLOOKUP("LULUCF|SO2|Minor restricted activity days", US_national_yearly!$D:$AM, 28, FALSE) / VLOOKUP("LULUCF|SO2|Minor restricted activity days", US_national_yearly!$D:$AM, 10, FALSE), 1)</f>
        <v>0.11489428368102643</v>
      </c>
      <c r="U14" s="7">
        <f>$B14 * IFERROR(VLOOKUP("LULUCF|SO2|Minor restricted activity days", US_national_yearly!$D:$AM, 29, FALSE) / VLOOKUP("LULUCF|SO2|Minor restricted activity days", US_national_yearly!$D:$AM, 10, FALSE), 1)</f>
        <v>0.11580763371774788</v>
      </c>
      <c r="V14" s="7">
        <f>$B14 * IFERROR(VLOOKUP("LULUCF|SO2|Minor restricted activity days", US_national_yearly!$D:$AM, 30, FALSE) / VLOOKUP("LULUCF|SO2|Minor restricted activity days", US_national_yearly!$D:$AM, 10, FALSE), 1)</f>
        <v>0.11672098375446932</v>
      </c>
      <c r="W14" s="7">
        <f>$B14 * IFERROR(VLOOKUP("LULUCF|SO2|Minor restricted activity days", US_national_yearly!$D:$AM, 31, FALSE) / VLOOKUP("LULUCF|SO2|Minor restricted activity days", US_national_yearly!$D:$AM, 10, FALSE), 1)</f>
        <v>0.11763433379119079</v>
      </c>
      <c r="X14" s="7">
        <f>$B14 * IFERROR(VLOOKUP("LULUCF|SO2|Minor restricted activity days", US_national_yearly!$D:$AM, 32, FALSE) / VLOOKUP("LULUCF|SO2|Minor restricted activity days", US_national_yearly!$D:$AM, 10, FALSE), 1)</f>
        <v>0.11843755236470391</v>
      </c>
      <c r="Y14" s="7">
        <f>$B14 * IFERROR(VLOOKUP("LULUCF|SO2|Minor restricted activity days", US_national_yearly!$D:$AM, 33, FALSE) / VLOOKUP("LULUCF|SO2|Minor restricted activity days", US_national_yearly!$D:$AM, 10, FALSE), 1)</f>
        <v>0.11924077093821703</v>
      </c>
      <c r="Z14" s="7">
        <f>$B14 * IFERROR(VLOOKUP("LULUCF|SO2|Minor restricted activity days", US_national_yearly!$D:$AM, 34, FALSE) / VLOOKUP("LULUCF|SO2|Minor restricted activity days", US_national_yearly!$D:$AM, 10, FALSE), 1)</f>
        <v>0.12004398951173016</v>
      </c>
      <c r="AA14" s="7">
        <f>$B14 * IFERROR(VLOOKUP("LULUCF|SO2|Minor restricted activity days", US_national_yearly!$D:$AM, 35, FALSE) / VLOOKUP("LULUCF|SO2|Minor restricted activity days", US_national_yearly!$D:$AM, 10, FALSE), 1)</f>
        <v>0.12084720808524328</v>
      </c>
      <c r="AB14" s="7">
        <f>$B14 * IFERROR(VLOOKUP("LULUCF|SO2|Minor restricted activity days", US_national_yearly!$D:$AM, 36, FALSE) / VLOOKUP("LULUCF|SO2|Minor restricted activity days", US_national_yearly!$D:$AM, 10, FALSE), 1)</f>
        <v>0.12165042665875642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1.753676589122986E-2</v>
      </c>
      <c r="C15" s="7">
        <f>$B15 * IFERROR(VLOOKUP("LULUCF|SO2|Work loss days", US_national_yearly!$D:$AM, 11, FALSE) / VLOOKUP("LULUCF|SO2|Work loss days", US_national_yearly!$D:$AM, 10, FALSE), 1)</f>
        <v>1.759358222549505E-2</v>
      </c>
      <c r="D15" s="7">
        <f>$B15 * IFERROR(VLOOKUP("LULUCF|SO2|Work loss days", US_national_yearly!$D:$AM, 12, FALSE) / VLOOKUP("LULUCF|SO2|Work loss days", US_national_yearly!$D:$AM, 10, FALSE), 1)</f>
        <v>1.7650398559760239E-2</v>
      </c>
      <c r="E15" s="7">
        <f>$B15 * IFERROR(VLOOKUP("LULUCF|SO2|Work loss days", US_national_yearly!$D:$AM, 13, FALSE) / VLOOKUP("LULUCF|SO2|Work loss days", US_national_yearly!$D:$AM, 10, FALSE), 1)</f>
        <v>1.7707214894025426E-2</v>
      </c>
      <c r="F15" s="7">
        <f>$B15 * IFERROR(VLOOKUP("LULUCF|SO2|Work loss days", US_national_yearly!$D:$AM, 14, FALSE) / VLOOKUP("LULUCF|SO2|Work loss days", US_national_yearly!$D:$AM, 10, FALSE), 1)</f>
        <v>1.7764031228290615E-2</v>
      </c>
      <c r="G15" s="7">
        <f>$B15 * IFERROR(VLOOKUP("LULUCF|SO2|Work loss days", US_national_yearly!$D:$AM, 15, FALSE) / VLOOKUP("LULUCF|SO2|Work loss days", US_national_yearly!$D:$AM, 10, FALSE), 1)</f>
        <v>1.783826872093092E-2</v>
      </c>
      <c r="H15" s="7">
        <f>$B15 * IFERROR(VLOOKUP("LULUCF|SO2|Work loss days", US_national_yearly!$D:$AM, 16, FALSE) / VLOOKUP("LULUCF|SO2|Work loss days", US_national_yearly!$D:$AM, 10, FALSE), 1)</f>
        <v>1.7912506213571221E-2</v>
      </c>
      <c r="I15" s="7">
        <f>$B15 * IFERROR(VLOOKUP("LULUCF|SO2|Work loss days", US_national_yearly!$D:$AM, 17, FALSE) / VLOOKUP("LULUCF|SO2|Work loss days", US_national_yearly!$D:$AM, 10, FALSE), 1)</f>
        <v>1.8021105699639564E-2</v>
      </c>
      <c r="J15" s="7">
        <f>$B15 * IFERROR(VLOOKUP("LULUCF|SO2|Work loss days", US_national_yearly!$D:$AM, 18, FALSE) / VLOOKUP("LULUCF|SO2|Work loss days", US_national_yearly!$D:$AM, 10, FALSE), 1)</f>
        <v>1.8129705185707903E-2</v>
      </c>
      <c r="K15" s="7">
        <f>$B15 * IFERROR(VLOOKUP("LULUCF|SO2|Work loss days", US_national_yearly!$D:$AM, 19, FALSE) / VLOOKUP("LULUCF|SO2|Work loss days", US_national_yearly!$D:$AM, 10, FALSE), 1)</f>
        <v>1.8238304671776246E-2</v>
      </c>
      <c r="L15" s="7">
        <f>$B15 * IFERROR(VLOOKUP("LULUCF|SO2|Work loss days", US_national_yearly!$D:$AM, 20, FALSE) / VLOOKUP("LULUCF|SO2|Work loss days", US_national_yearly!$D:$AM, 10, FALSE), 1)</f>
        <v>1.8346904157844589E-2</v>
      </c>
      <c r="M15" s="7">
        <f>$B15 * IFERROR(VLOOKUP("LULUCF|SO2|Work loss days", US_national_yearly!$D:$AM, 21, FALSE) / VLOOKUP("LULUCF|SO2|Work loss days", US_national_yearly!$D:$AM, 10, FALSE), 1)</f>
        <v>1.8455503643912931E-2</v>
      </c>
      <c r="N15" s="7">
        <f>$B15 * IFERROR(VLOOKUP("LULUCF|SO2|Work loss days", US_national_yearly!$D:$AM, 22, FALSE) / VLOOKUP("LULUCF|SO2|Work loss days", US_national_yearly!$D:$AM, 10, FALSE), 1)</f>
        <v>1.8591669800833131E-2</v>
      </c>
      <c r="O15" s="7">
        <f>$B15 * IFERROR(VLOOKUP("LULUCF|SO2|Work loss days", US_national_yearly!$D:$AM, 23, FALSE) / VLOOKUP("LULUCF|SO2|Work loss days", US_national_yearly!$D:$AM, 10, FALSE), 1)</f>
        <v>1.8727835957753326E-2</v>
      </c>
      <c r="P15" s="7">
        <f>$B15 * IFERROR(VLOOKUP("LULUCF|SO2|Work loss days", US_national_yearly!$D:$AM, 24, FALSE) / VLOOKUP("LULUCF|SO2|Work loss days", US_national_yearly!$D:$AM, 10, FALSE), 1)</f>
        <v>1.8864002114673522E-2</v>
      </c>
      <c r="Q15" s="7">
        <f>$B15 * IFERROR(VLOOKUP("LULUCF|SO2|Work loss days", US_national_yearly!$D:$AM, 25, FALSE) / VLOOKUP("LULUCF|SO2|Work loss days", US_national_yearly!$D:$AM, 10, FALSE), 1)</f>
        <v>1.9000168271593718E-2</v>
      </c>
      <c r="R15" s="7">
        <f>$B15 * IFERROR(VLOOKUP("LULUCF|SO2|Work loss days", US_national_yearly!$D:$AM, 26, FALSE) / VLOOKUP("LULUCF|SO2|Work loss days", US_national_yearly!$D:$AM, 10, FALSE), 1)</f>
        <v>1.9136334428513917E-2</v>
      </c>
      <c r="S15" s="7">
        <f>$B15 * IFERROR(VLOOKUP("LULUCF|SO2|Work loss days", US_national_yearly!$D:$AM, 27, FALSE) / VLOOKUP("LULUCF|SO2|Work loss days", US_national_yearly!$D:$AM, 10, FALSE), 1)</f>
        <v>1.928849965993815E-2</v>
      </c>
      <c r="T15" s="7">
        <f>$B15 * IFERROR(VLOOKUP("LULUCF|SO2|Work loss days", US_national_yearly!$D:$AM, 28, FALSE) / VLOOKUP("LULUCF|SO2|Work loss days", US_national_yearly!$D:$AM, 10, FALSE), 1)</f>
        <v>1.944066489136239E-2</v>
      </c>
      <c r="U15" s="7">
        <f>$B15 * IFERROR(VLOOKUP("LULUCF|SO2|Work loss days", US_national_yearly!$D:$AM, 29, FALSE) / VLOOKUP("LULUCF|SO2|Work loss days", US_national_yearly!$D:$AM, 10, FALSE), 1)</f>
        <v>1.9592830122786623E-2</v>
      </c>
      <c r="V15" s="7">
        <f>$B15 * IFERROR(VLOOKUP("LULUCF|SO2|Work loss days", US_national_yearly!$D:$AM, 30, FALSE) / VLOOKUP("LULUCF|SO2|Work loss days", US_national_yearly!$D:$AM, 10, FALSE), 1)</f>
        <v>1.9744995354210856E-2</v>
      </c>
      <c r="W15" s="7">
        <f>$B15 * IFERROR(VLOOKUP("LULUCF|SO2|Work loss days", US_national_yearly!$D:$AM, 31, FALSE) / VLOOKUP("LULUCF|SO2|Work loss days", US_national_yearly!$D:$AM, 10, FALSE), 1)</f>
        <v>1.9897160585635097E-2</v>
      </c>
      <c r="X15" s="7">
        <f>$B15 * IFERROR(VLOOKUP("LULUCF|SO2|Work loss days", US_national_yearly!$D:$AM, 32, FALSE) / VLOOKUP("LULUCF|SO2|Work loss days", US_national_yearly!$D:$AM, 10, FALSE), 1)</f>
        <v>2.0033783989513582E-2</v>
      </c>
      <c r="Y15" s="7">
        <f>$B15 * IFERROR(VLOOKUP("LULUCF|SO2|Work loss days", US_national_yearly!$D:$AM, 33, FALSE) / VLOOKUP("LULUCF|SO2|Work loss days", US_national_yearly!$D:$AM, 10, FALSE), 1)</f>
        <v>2.017040739339207E-2</v>
      </c>
      <c r="Z15" s="7">
        <f>$B15 * IFERROR(VLOOKUP("LULUCF|SO2|Work loss days", US_national_yearly!$D:$AM, 34, FALSE) / VLOOKUP("LULUCF|SO2|Work loss days", US_national_yearly!$D:$AM, 10, FALSE), 1)</f>
        <v>2.0307030797270559E-2</v>
      </c>
      <c r="AA15" s="7">
        <f>$B15 * IFERROR(VLOOKUP("LULUCF|SO2|Work loss days", US_national_yearly!$D:$AM, 35, FALSE) / VLOOKUP("LULUCF|SO2|Work loss days", US_national_yearly!$D:$AM, 10, FALSE), 1)</f>
        <v>2.0443654201149047E-2</v>
      </c>
      <c r="AB15" s="7">
        <f>$B15 * IFERROR(VLOOKUP("LULUCF|SO2|Work loss days", US_national_yearly!$D:$AM, 36, FALSE) / VLOOKUP("LULUCF|SO2|Work loss days", US_national_yearly!$D:$AM, 10, FALSE), 1)</f>
        <v>2.0580277605027539E-2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3.6816069805670109E-5</v>
      </c>
      <c r="C17" s="7">
        <f>$B17 * IFERROR(VLOOKUP("LULUCF|SO2|Cardiovascular hospital admissions", US_national_yearly!$D:$AM, 11, FALSE) / VLOOKUP("LULUCF|SO2|Cardiovascular hospital admissions", US_national_yearly!$D:$AM, 10, FALSE), 1)</f>
        <v>3.792952874085282E-5</v>
      </c>
      <c r="D17" s="7">
        <f>$B17 * IFERROR(VLOOKUP("LULUCF|SO2|Cardiovascular hospital admissions", US_national_yearly!$D:$AM, 12, FALSE) / VLOOKUP("LULUCF|SO2|Cardiovascular hospital admissions", US_national_yearly!$D:$AM, 10, FALSE), 1)</f>
        <v>3.9042987676035532E-5</v>
      </c>
      <c r="E17" s="7">
        <f>$B17 * IFERROR(VLOOKUP("LULUCF|SO2|Cardiovascular hospital admissions", US_national_yearly!$D:$AM, 13, FALSE) / VLOOKUP("LULUCF|SO2|Cardiovascular hospital admissions", US_national_yearly!$D:$AM, 10, FALSE), 1)</f>
        <v>4.0156446611218243E-5</v>
      </c>
      <c r="F17" s="7">
        <f>$B17 * IFERROR(VLOOKUP("LULUCF|SO2|Cardiovascular hospital admissions", US_national_yearly!$D:$AM, 14, FALSE) / VLOOKUP("LULUCF|SO2|Cardiovascular hospital admissions", US_national_yearly!$D:$AM, 10, FALSE), 1)</f>
        <v>4.1269905546400961E-5</v>
      </c>
      <c r="G17" s="7">
        <f>$B17 * IFERROR(VLOOKUP("LULUCF|SO2|Cardiovascular hospital admissions", US_national_yearly!$D:$AM, 15, FALSE) / VLOOKUP("LULUCF|SO2|Cardiovascular hospital admissions", US_national_yearly!$D:$AM, 10, FALSE), 1)</f>
        <v>4.2336493332909825E-5</v>
      </c>
      <c r="H17" s="7">
        <f>$B17 * IFERROR(VLOOKUP("LULUCF|SO2|Cardiovascular hospital admissions", US_national_yearly!$D:$AM, 16, FALSE) / VLOOKUP("LULUCF|SO2|Cardiovascular hospital admissions", US_national_yearly!$D:$AM, 10, FALSE), 1)</f>
        <v>4.3403081119418695E-5</v>
      </c>
      <c r="I17" s="7">
        <f>$B17 * IFERROR(VLOOKUP("LULUCF|SO2|Cardiovascular hospital admissions", US_national_yearly!$D:$AM, 17, FALSE) / VLOOKUP("LULUCF|SO2|Cardiovascular hospital admissions", US_national_yearly!$D:$AM, 10, FALSE), 1)</f>
        <v>4.4316938709667249E-5</v>
      </c>
      <c r="J17" s="7">
        <f>$B17 * IFERROR(VLOOKUP("LULUCF|SO2|Cardiovascular hospital admissions", US_national_yearly!$D:$AM, 18, FALSE) / VLOOKUP("LULUCF|SO2|Cardiovascular hospital admissions", US_national_yearly!$D:$AM, 10, FALSE), 1)</f>
        <v>4.523079629991581E-5</v>
      </c>
      <c r="K17" s="7">
        <f>$B17 * IFERROR(VLOOKUP("LULUCF|SO2|Cardiovascular hospital admissions", US_national_yearly!$D:$AM, 19, FALSE) / VLOOKUP("LULUCF|SO2|Cardiovascular hospital admissions", US_national_yearly!$D:$AM, 10, FALSE), 1)</f>
        <v>4.6144653890164363E-5</v>
      </c>
      <c r="L17" s="7">
        <f>$B17 * IFERROR(VLOOKUP("LULUCF|SO2|Cardiovascular hospital admissions", US_national_yearly!$D:$AM, 20, FALSE) / VLOOKUP("LULUCF|SO2|Cardiovascular hospital admissions", US_national_yearly!$D:$AM, 10, FALSE), 1)</f>
        <v>4.7058511480412924E-5</v>
      </c>
      <c r="M17" s="7">
        <f>$B17 * IFERROR(VLOOKUP("LULUCF|SO2|Cardiovascular hospital admissions", US_national_yearly!$D:$AM, 21, FALSE) / VLOOKUP("LULUCF|SO2|Cardiovascular hospital admissions", US_national_yearly!$D:$AM, 10, FALSE), 1)</f>
        <v>4.7972369070661471E-5</v>
      </c>
      <c r="N17" s="7">
        <f>$B17 * IFERROR(VLOOKUP("LULUCF|SO2|Cardiovascular hospital admissions", US_national_yearly!$D:$AM, 22, FALSE) / VLOOKUP("LULUCF|SO2|Cardiovascular hospital admissions", US_national_yearly!$D:$AM, 10, FALSE), 1)</f>
        <v>4.8586273203896808E-5</v>
      </c>
      <c r="O17" s="7">
        <f>$B17 * IFERROR(VLOOKUP("LULUCF|SO2|Cardiovascular hospital admissions", US_national_yearly!$D:$AM, 23, FALSE) / VLOOKUP("LULUCF|SO2|Cardiovascular hospital admissions", US_national_yearly!$D:$AM, 10, FALSE), 1)</f>
        <v>4.9200177337132131E-5</v>
      </c>
      <c r="P17" s="7">
        <f>$B17 * IFERROR(VLOOKUP("LULUCF|SO2|Cardiovascular hospital admissions", US_national_yearly!$D:$AM, 24, FALSE) / VLOOKUP("LULUCF|SO2|Cardiovascular hospital admissions", US_national_yearly!$D:$AM, 10, FALSE), 1)</f>
        <v>4.9814081470367461E-5</v>
      </c>
      <c r="Q17" s="7">
        <f>$B17 * IFERROR(VLOOKUP("LULUCF|SO2|Cardiovascular hospital admissions", US_national_yearly!$D:$AM, 25, FALSE) / VLOOKUP("LULUCF|SO2|Cardiovascular hospital admissions", US_national_yearly!$D:$AM, 10, FALSE), 1)</f>
        <v>5.0427985603602784E-5</v>
      </c>
      <c r="R17" s="7">
        <f>$B17 * IFERROR(VLOOKUP("LULUCF|SO2|Cardiovascular hospital admissions", US_national_yearly!$D:$AM, 26, FALSE) / VLOOKUP("LULUCF|SO2|Cardiovascular hospital admissions", US_national_yearly!$D:$AM, 10, FALSE), 1)</f>
        <v>5.1041889736838121E-5</v>
      </c>
      <c r="S17" s="7">
        <f>$B17 * IFERROR(VLOOKUP("LULUCF|SO2|Cardiovascular hospital admissions", US_national_yearly!$D:$AM, 27, FALSE) / VLOOKUP("LULUCF|SO2|Cardiovascular hospital admissions", US_national_yearly!$D:$AM, 10, FALSE), 1)</f>
        <v>5.1364759600904791E-5</v>
      </c>
      <c r="T17" s="7">
        <f>$B17 * IFERROR(VLOOKUP("LULUCF|SO2|Cardiovascular hospital admissions", US_national_yearly!$D:$AM, 28, FALSE) / VLOOKUP("LULUCF|SO2|Cardiovascular hospital admissions", US_national_yearly!$D:$AM, 10, FALSE), 1)</f>
        <v>5.1687629464971461E-5</v>
      </c>
      <c r="U17" s="7">
        <f>$B17 * IFERROR(VLOOKUP("LULUCF|SO2|Cardiovascular hospital admissions", US_national_yearly!$D:$AM, 29, FALSE) / VLOOKUP("LULUCF|SO2|Cardiovascular hospital admissions", US_national_yearly!$D:$AM, 10, FALSE), 1)</f>
        <v>5.2010499329038131E-5</v>
      </c>
      <c r="V17" s="7">
        <f>$B17 * IFERROR(VLOOKUP("LULUCF|SO2|Cardiovascular hospital admissions", US_national_yearly!$D:$AM, 30, FALSE) / VLOOKUP("LULUCF|SO2|Cardiovascular hospital admissions", US_national_yearly!$D:$AM, 10, FALSE), 1)</f>
        <v>5.2333369193104801E-5</v>
      </c>
      <c r="W17" s="7">
        <f>$B17 * IFERROR(VLOOKUP("LULUCF|SO2|Cardiovascular hospital admissions", US_national_yearly!$D:$AM, 31, FALSE) / VLOOKUP("LULUCF|SO2|Cardiovascular hospital admissions", US_national_yearly!$D:$AM, 10, FALSE), 1)</f>
        <v>5.2656239057171477E-5</v>
      </c>
      <c r="X17" s="7">
        <f>$B17 * IFERROR(VLOOKUP("LULUCF|SO2|Cardiovascular hospital admissions", US_national_yearly!$D:$AM, 32, FALSE) / VLOOKUP("LULUCF|SO2|Cardiovascular hospital admissions", US_national_yearly!$D:$AM, 10, FALSE), 1)</f>
        <v>5.2872992270181689E-5</v>
      </c>
      <c r="Y17" s="7">
        <f>$B17 * IFERROR(VLOOKUP("LULUCF|SO2|Cardiovascular hospital admissions", US_national_yearly!$D:$AM, 33, FALSE) / VLOOKUP("LULUCF|SO2|Cardiovascular hospital admissions", US_national_yearly!$D:$AM, 10, FALSE), 1)</f>
        <v>5.30897454831919E-5</v>
      </c>
      <c r="Z17" s="7">
        <f>$B17 * IFERROR(VLOOKUP("LULUCF|SO2|Cardiovascular hospital admissions", US_national_yearly!$D:$AM, 34, FALSE) / VLOOKUP("LULUCF|SO2|Cardiovascular hospital admissions", US_national_yearly!$D:$AM, 10, FALSE), 1)</f>
        <v>5.3306498696202112E-5</v>
      </c>
      <c r="AA17" s="7">
        <f>$B17 * IFERROR(VLOOKUP("LULUCF|SO2|Cardiovascular hospital admissions", US_national_yearly!$D:$AM, 35, FALSE) / VLOOKUP("LULUCF|SO2|Cardiovascular hospital admissions", US_national_yearly!$D:$AM, 10, FALSE), 1)</f>
        <v>5.3523251909212337E-5</v>
      </c>
      <c r="AB17" s="7">
        <f>$B17 * IFERROR(VLOOKUP("LULUCF|SO2|Cardiovascular hospital admissions", US_national_yearly!$D:$AM, 36, FALSE) / VLOOKUP("LULUCF|SO2|Cardiovascular hospital admissions", US_national_yearly!$D:$AM, 10, FALSE), 1)</f>
        <v>5.3740005122222542E-5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2026-06-15T17:17:03Z</dcterms:modified>
</cp:coreProperties>
</file>