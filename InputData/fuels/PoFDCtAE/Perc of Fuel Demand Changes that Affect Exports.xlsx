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OliviaAshmoore\Documents\Github Repos\state-eps-data\RI\fuels\PoFDCtAE\"/>
    </mc:Choice>
  </mc:AlternateContent>
  <xr:revisionPtr revIDLastSave="0" documentId="8_{A985C565-F381-480B-A875-68AD4ACB8659}" xr6:coauthVersionLast="47" xr6:coauthVersionMax="47" xr10:uidLastSave="{00000000-0000-0000-0000-000000000000}"/>
  <bookViews>
    <workbookView xWindow="6855" yWindow="270" windowWidth="21600" windowHeight="12405" xr2:uid="{00000000-000D-0000-FFFF-FFFF00000000}"/>
  </bookViews>
  <sheets>
    <sheet name="About" sheetId="1" r:id="rId1"/>
    <sheet name="Keys" sheetId="2" r:id="rId2"/>
    <sheet name="Methodology" sheetId="3" r:id="rId3"/>
    <sheet name="Raw_BFPIaE" sheetId="4" r:id="rId4"/>
    <sheet name="Balanced_2025" sheetId="5" r:id="rId5"/>
    <sheet name="Calcs" sheetId="6" r:id="rId6"/>
    <sheet name="Checks" sheetId="7" r:id="rId7"/>
    <sheet name="PoFDCtAE" sheetId="8"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22" i="8" l="1"/>
  <c r="T22" i="8"/>
  <c r="S22" i="8"/>
  <c r="R22" i="8"/>
  <c r="Q22" i="8"/>
  <c r="P22" i="8"/>
  <c r="O22" i="8"/>
  <c r="N22" i="8"/>
  <c r="M22" i="8"/>
  <c r="L22" i="8"/>
  <c r="K22" i="8"/>
  <c r="J22" i="8"/>
  <c r="I22" i="8"/>
  <c r="H22" i="8"/>
  <c r="G22" i="8"/>
  <c r="F22" i="8"/>
  <c r="E22" i="8"/>
  <c r="D22" i="8"/>
  <c r="C22" i="8"/>
  <c r="B22" i="8"/>
  <c r="A22" i="8"/>
  <c r="G24" i="7" s="1"/>
  <c r="V21" i="8"/>
  <c r="T21" i="8"/>
  <c r="S21" i="8"/>
  <c r="R21" i="8"/>
  <c r="Q21" i="8"/>
  <c r="P21" i="8"/>
  <c r="O21" i="8"/>
  <c r="N21" i="8"/>
  <c r="M21" i="8"/>
  <c r="L21" i="8"/>
  <c r="K21" i="8"/>
  <c r="J21" i="8"/>
  <c r="I21" i="8"/>
  <c r="H21" i="8"/>
  <c r="G21" i="8"/>
  <c r="F21" i="8"/>
  <c r="E21" i="8"/>
  <c r="D21" i="8"/>
  <c r="C21" i="8"/>
  <c r="B21" i="8"/>
  <c r="A21" i="8"/>
  <c r="G23" i="7" s="1"/>
  <c r="V20" i="8"/>
  <c r="U20" i="8"/>
  <c r="S20" i="8"/>
  <c r="R20" i="8"/>
  <c r="Q20" i="8"/>
  <c r="P20" i="8"/>
  <c r="O20" i="8"/>
  <c r="N20" i="8"/>
  <c r="M20" i="8"/>
  <c r="L20" i="8"/>
  <c r="K20" i="8"/>
  <c r="J20" i="8"/>
  <c r="I20" i="8"/>
  <c r="H20" i="8"/>
  <c r="G20" i="8"/>
  <c r="F20" i="8"/>
  <c r="E20" i="8"/>
  <c r="D20" i="8"/>
  <c r="C20" i="8"/>
  <c r="B20" i="8"/>
  <c r="A20" i="8"/>
  <c r="G22" i="7" s="1"/>
  <c r="V19" i="8"/>
  <c r="U19" i="8"/>
  <c r="T19" i="8"/>
  <c r="R19" i="8"/>
  <c r="Q19" i="8"/>
  <c r="P19" i="8"/>
  <c r="O19" i="8"/>
  <c r="N19" i="8"/>
  <c r="M19" i="8"/>
  <c r="L19" i="8"/>
  <c r="K19" i="8"/>
  <c r="J19" i="8"/>
  <c r="I19" i="8"/>
  <c r="H19" i="8"/>
  <c r="G19" i="8"/>
  <c r="F19" i="8"/>
  <c r="E19" i="8"/>
  <c r="D19" i="8"/>
  <c r="C19" i="8"/>
  <c r="B19" i="8"/>
  <c r="A19" i="8"/>
  <c r="G21" i="7" s="1"/>
  <c r="V18" i="8"/>
  <c r="U18" i="8"/>
  <c r="T18" i="8"/>
  <c r="S18" i="8"/>
  <c r="Q18" i="8"/>
  <c r="P18" i="8"/>
  <c r="O18" i="8"/>
  <c r="N18" i="8"/>
  <c r="M18" i="8"/>
  <c r="L18" i="8"/>
  <c r="K18" i="8"/>
  <c r="J18" i="8"/>
  <c r="I18" i="8"/>
  <c r="H18" i="8"/>
  <c r="G18" i="8"/>
  <c r="F18" i="8"/>
  <c r="E18" i="8"/>
  <c r="D18" i="8"/>
  <c r="C18" i="8"/>
  <c r="B18" i="8"/>
  <c r="A18" i="8"/>
  <c r="G20" i="7" s="1"/>
  <c r="V17" i="8"/>
  <c r="U17" i="8"/>
  <c r="T17" i="8"/>
  <c r="S17" i="8"/>
  <c r="R17" i="8"/>
  <c r="P17" i="8"/>
  <c r="O17" i="8"/>
  <c r="N17" i="8"/>
  <c r="M17" i="8"/>
  <c r="L17" i="8"/>
  <c r="K17" i="8"/>
  <c r="J17" i="8"/>
  <c r="I17" i="8"/>
  <c r="H17" i="8"/>
  <c r="G17" i="8"/>
  <c r="F17" i="8"/>
  <c r="E17" i="8"/>
  <c r="D17" i="8"/>
  <c r="C17" i="8"/>
  <c r="B17" i="8"/>
  <c r="A17" i="8"/>
  <c r="V16" i="8"/>
  <c r="U16" i="8"/>
  <c r="T16" i="8"/>
  <c r="S16" i="8"/>
  <c r="R16" i="8"/>
  <c r="Q16" i="8"/>
  <c r="O16" i="8"/>
  <c r="N16" i="8"/>
  <c r="M16" i="8"/>
  <c r="L16" i="8"/>
  <c r="K16" i="8"/>
  <c r="J16" i="8"/>
  <c r="I16" i="8"/>
  <c r="H16" i="8"/>
  <c r="G16" i="8"/>
  <c r="F16" i="8"/>
  <c r="E16" i="8"/>
  <c r="D16" i="8"/>
  <c r="C16" i="8"/>
  <c r="B16" i="8"/>
  <c r="A16" i="8"/>
  <c r="V15" i="8"/>
  <c r="U15" i="8"/>
  <c r="T15" i="8"/>
  <c r="S15" i="8"/>
  <c r="R15" i="8"/>
  <c r="Q15" i="8"/>
  <c r="P15" i="8"/>
  <c r="N15" i="8"/>
  <c r="M15" i="8"/>
  <c r="L15" i="8"/>
  <c r="K15" i="8"/>
  <c r="J15" i="8"/>
  <c r="I15" i="8"/>
  <c r="H15" i="8"/>
  <c r="G15" i="8"/>
  <c r="F15" i="8"/>
  <c r="E15" i="8"/>
  <c r="D15" i="8"/>
  <c r="C15" i="8"/>
  <c r="B15" i="8"/>
  <c r="A15" i="8"/>
  <c r="G17" i="7" s="1"/>
  <c r="V14" i="8"/>
  <c r="U14" i="8"/>
  <c r="T14" i="8"/>
  <c r="S14" i="8"/>
  <c r="R14" i="8"/>
  <c r="Q14" i="8"/>
  <c r="P14" i="8"/>
  <c r="O14" i="8"/>
  <c r="M14" i="8"/>
  <c r="L14" i="8"/>
  <c r="K14" i="8"/>
  <c r="J14" i="8"/>
  <c r="I14" i="8"/>
  <c r="H14" i="8"/>
  <c r="G14" i="8"/>
  <c r="F14" i="8"/>
  <c r="E14" i="8"/>
  <c r="D14" i="8"/>
  <c r="C14" i="8"/>
  <c r="B14" i="8"/>
  <c r="A14" i="8"/>
  <c r="G16" i="7" s="1"/>
  <c r="V13" i="8"/>
  <c r="U13" i="8"/>
  <c r="T13" i="8"/>
  <c r="S13" i="8"/>
  <c r="R13" i="8"/>
  <c r="Q13" i="8"/>
  <c r="P13" i="8"/>
  <c r="O13" i="8"/>
  <c r="N13" i="8"/>
  <c r="L13" i="8"/>
  <c r="K13" i="8"/>
  <c r="J13" i="8"/>
  <c r="I13" i="8"/>
  <c r="H13" i="8"/>
  <c r="G13" i="8"/>
  <c r="F13" i="8"/>
  <c r="E13" i="8"/>
  <c r="D13" i="8"/>
  <c r="C13" i="8"/>
  <c r="B13" i="8"/>
  <c r="A13" i="8"/>
  <c r="V12" i="8"/>
  <c r="U12" i="8"/>
  <c r="T12" i="8"/>
  <c r="S12" i="8"/>
  <c r="R12" i="8"/>
  <c r="Q12" i="8"/>
  <c r="P12" i="8"/>
  <c r="O12" i="8"/>
  <c r="N12" i="8"/>
  <c r="M12" i="8"/>
  <c r="K12" i="8"/>
  <c r="J12" i="8"/>
  <c r="I12" i="8"/>
  <c r="H12" i="8"/>
  <c r="G12" i="8"/>
  <c r="F12" i="8"/>
  <c r="E12" i="8"/>
  <c r="D12" i="8"/>
  <c r="C12" i="8"/>
  <c r="B12" i="8"/>
  <c r="A12" i="8"/>
  <c r="G14" i="7" s="1"/>
  <c r="V11" i="8"/>
  <c r="U11" i="8"/>
  <c r="T11" i="8"/>
  <c r="S11" i="8"/>
  <c r="R11" i="8"/>
  <c r="Q11" i="8"/>
  <c r="P11" i="8"/>
  <c r="O11" i="8"/>
  <c r="N11" i="8"/>
  <c r="M11" i="8"/>
  <c r="L11" i="8"/>
  <c r="J11" i="8"/>
  <c r="I11" i="8"/>
  <c r="H11" i="8"/>
  <c r="G11" i="8"/>
  <c r="F11" i="8"/>
  <c r="E11" i="8"/>
  <c r="D11" i="8"/>
  <c r="C11" i="8"/>
  <c r="B11" i="8"/>
  <c r="A11" i="8"/>
  <c r="G13" i="7" s="1"/>
  <c r="V10" i="8"/>
  <c r="U10" i="8"/>
  <c r="T10" i="8"/>
  <c r="S10" i="8"/>
  <c r="R10" i="8"/>
  <c r="Q10" i="8"/>
  <c r="P10" i="8"/>
  <c r="O10" i="8"/>
  <c r="N10" i="8"/>
  <c r="M10" i="8"/>
  <c r="L10" i="8"/>
  <c r="K10" i="8"/>
  <c r="I10" i="8"/>
  <c r="H10" i="8"/>
  <c r="G10" i="8"/>
  <c r="F10" i="8"/>
  <c r="E10" i="8"/>
  <c r="D10" i="8"/>
  <c r="C10" i="8"/>
  <c r="B10" i="8"/>
  <c r="A10" i="8"/>
  <c r="V9" i="8"/>
  <c r="U9" i="8"/>
  <c r="T9" i="8"/>
  <c r="S9" i="8"/>
  <c r="R9" i="8"/>
  <c r="Q9" i="8"/>
  <c r="P9" i="8"/>
  <c r="O9" i="8"/>
  <c r="N9" i="8"/>
  <c r="M9" i="8"/>
  <c r="L9" i="8"/>
  <c r="K9" i="8"/>
  <c r="J9" i="8"/>
  <c r="H9" i="8"/>
  <c r="G9" i="8"/>
  <c r="F9" i="8"/>
  <c r="E9" i="8"/>
  <c r="D9" i="8"/>
  <c r="C9" i="8"/>
  <c r="B9" i="8"/>
  <c r="A9" i="8"/>
  <c r="G11" i="7" s="1"/>
  <c r="V8" i="8"/>
  <c r="U8" i="8"/>
  <c r="T8" i="8"/>
  <c r="S8" i="8"/>
  <c r="R8" i="8"/>
  <c r="Q8" i="8"/>
  <c r="P8" i="8"/>
  <c r="O8" i="8"/>
  <c r="N8" i="8"/>
  <c r="M8" i="8"/>
  <c r="L8" i="8"/>
  <c r="K8" i="8"/>
  <c r="J8" i="8"/>
  <c r="I8" i="8"/>
  <c r="G8" i="8"/>
  <c r="F8" i="8"/>
  <c r="E8" i="8"/>
  <c r="D8" i="8"/>
  <c r="C8" i="8"/>
  <c r="B8" i="8"/>
  <c r="A8" i="8"/>
  <c r="G10" i="7" s="1"/>
  <c r="V7" i="8"/>
  <c r="U7" i="8"/>
  <c r="T7" i="8"/>
  <c r="S7" i="8"/>
  <c r="R7" i="8"/>
  <c r="Q7" i="8"/>
  <c r="P7" i="8"/>
  <c r="O7" i="8"/>
  <c r="N7" i="8"/>
  <c r="M7" i="8"/>
  <c r="L7" i="8"/>
  <c r="K7" i="8"/>
  <c r="J7" i="8"/>
  <c r="I7" i="8"/>
  <c r="H7" i="8"/>
  <c r="F7" i="8"/>
  <c r="E7" i="8"/>
  <c r="D7" i="8"/>
  <c r="C7" i="8"/>
  <c r="B7" i="8"/>
  <c r="A7" i="8"/>
  <c r="V6" i="8"/>
  <c r="U6" i="8"/>
  <c r="T6" i="8"/>
  <c r="S6" i="8"/>
  <c r="R6" i="8"/>
  <c r="Q6" i="8"/>
  <c r="P6" i="8"/>
  <c r="O6" i="8"/>
  <c r="N6" i="8"/>
  <c r="M6" i="8"/>
  <c r="L6" i="8"/>
  <c r="K6" i="8"/>
  <c r="J6" i="8"/>
  <c r="I6" i="8"/>
  <c r="H6" i="8"/>
  <c r="G6" i="8"/>
  <c r="E6" i="8"/>
  <c r="D6" i="8"/>
  <c r="C6" i="8"/>
  <c r="B6" i="8"/>
  <c r="A6" i="8"/>
  <c r="G8" i="7" s="1"/>
  <c r="V5" i="8"/>
  <c r="U5" i="8"/>
  <c r="T5" i="8"/>
  <c r="S5" i="8"/>
  <c r="R5" i="8"/>
  <c r="Q5" i="8"/>
  <c r="P5" i="8"/>
  <c r="O5" i="8"/>
  <c r="N5" i="8"/>
  <c r="M5" i="8"/>
  <c r="L5" i="8"/>
  <c r="K5" i="8"/>
  <c r="J5" i="8"/>
  <c r="I5" i="8"/>
  <c r="H5" i="8"/>
  <c r="G5" i="8"/>
  <c r="F5" i="8"/>
  <c r="D5" i="8"/>
  <c r="C5" i="8"/>
  <c r="B5" i="8"/>
  <c r="A5" i="8"/>
  <c r="V4" i="8"/>
  <c r="U4" i="8"/>
  <c r="T4" i="8"/>
  <c r="S4" i="8"/>
  <c r="R4" i="8"/>
  <c r="Q4" i="8"/>
  <c r="P4" i="8"/>
  <c r="O4" i="8"/>
  <c r="N4" i="8"/>
  <c r="M4" i="8"/>
  <c r="L4" i="8"/>
  <c r="K4" i="8"/>
  <c r="J4" i="8"/>
  <c r="I4" i="8"/>
  <c r="H4" i="8"/>
  <c r="G4" i="8"/>
  <c r="F4" i="8"/>
  <c r="E4" i="8"/>
  <c r="C4" i="8"/>
  <c r="B4" i="8"/>
  <c r="A4" i="8"/>
  <c r="V3" i="8"/>
  <c r="U3" i="8"/>
  <c r="T3" i="8"/>
  <c r="S3" i="8"/>
  <c r="R3" i="8"/>
  <c r="Q3" i="8"/>
  <c r="P3" i="8"/>
  <c r="O3" i="8"/>
  <c r="N3" i="8"/>
  <c r="M3" i="8"/>
  <c r="L3" i="8"/>
  <c r="K3" i="8"/>
  <c r="J3" i="8"/>
  <c r="I3" i="8"/>
  <c r="H3" i="8"/>
  <c r="G3" i="8"/>
  <c r="F3" i="8"/>
  <c r="E3" i="8"/>
  <c r="D3" i="8"/>
  <c r="B3" i="8"/>
  <c r="A3" i="8"/>
  <c r="G5" i="7" s="1"/>
  <c r="V2" i="8"/>
  <c r="U2" i="8"/>
  <c r="T2" i="8"/>
  <c r="S2" i="8"/>
  <c r="R2" i="8"/>
  <c r="Q2" i="8"/>
  <c r="P2" i="8"/>
  <c r="O2" i="8"/>
  <c r="N2" i="8"/>
  <c r="M2" i="8"/>
  <c r="L2" i="8"/>
  <c r="K2" i="8"/>
  <c r="J2" i="8"/>
  <c r="I2" i="8"/>
  <c r="H2" i="8"/>
  <c r="G2" i="8"/>
  <c r="F2" i="8"/>
  <c r="E2" i="8"/>
  <c r="D2" i="8"/>
  <c r="C2" i="8"/>
  <c r="A2" i="8"/>
  <c r="G4" i="7" s="1"/>
  <c r="V1" i="8"/>
  <c r="U1" i="8"/>
  <c r="T1" i="8"/>
  <c r="S1" i="8"/>
  <c r="R1" i="8"/>
  <c r="Q1" i="8"/>
  <c r="P1" i="8"/>
  <c r="O1" i="8"/>
  <c r="H17" i="7" s="1"/>
  <c r="N1" i="8"/>
  <c r="H16" i="7" s="1"/>
  <c r="M1" i="8"/>
  <c r="L1" i="8"/>
  <c r="K1" i="8"/>
  <c r="J1" i="8"/>
  <c r="I1" i="8"/>
  <c r="H1" i="8"/>
  <c r="G1" i="8"/>
  <c r="F1" i="8"/>
  <c r="E1" i="8"/>
  <c r="D1" i="8"/>
  <c r="C1" i="8"/>
  <c r="B1" i="8"/>
  <c r="A1" i="8"/>
  <c r="F24" i="7"/>
  <c r="H24" i="7" s="1"/>
  <c r="H23" i="7"/>
  <c r="F23" i="7"/>
  <c r="F22" i="7"/>
  <c r="F21" i="7"/>
  <c r="H21" i="7" s="1"/>
  <c r="H20" i="7"/>
  <c r="F20" i="7"/>
  <c r="H19" i="7"/>
  <c r="G19" i="7"/>
  <c r="F19" i="7"/>
  <c r="H18" i="7"/>
  <c r="G18" i="7"/>
  <c r="F18" i="7"/>
  <c r="F17" i="7"/>
  <c r="F16" i="7"/>
  <c r="C16" i="7"/>
  <c r="F15" i="7"/>
  <c r="G15" i="7" s="1"/>
  <c r="C15" i="7"/>
  <c r="H14" i="7"/>
  <c r="F14" i="7"/>
  <c r="C14" i="7"/>
  <c r="F13" i="7"/>
  <c r="H13" i="7" s="1"/>
  <c r="C13" i="7"/>
  <c r="F12" i="7"/>
  <c r="C12" i="7"/>
  <c r="H11" i="7"/>
  <c r="F11" i="7"/>
  <c r="D11" i="7"/>
  <c r="C11" i="7"/>
  <c r="B11" i="7"/>
  <c r="H10" i="7"/>
  <c r="F10" i="7"/>
  <c r="C10" i="7"/>
  <c r="B10" i="7"/>
  <c r="F9" i="7"/>
  <c r="D9" i="7"/>
  <c r="C9" i="7"/>
  <c r="B9" i="7"/>
  <c r="F8" i="7"/>
  <c r="C8" i="7"/>
  <c r="H7" i="7"/>
  <c r="G7" i="7"/>
  <c r="F7" i="7"/>
  <c r="C7" i="7"/>
  <c r="F6" i="7"/>
  <c r="H6" i="7" s="1"/>
  <c r="C6" i="7"/>
  <c r="H5" i="7"/>
  <c r="F5" i="7"/>
  <c r="C5" i="7"/>
  <c r="F4" i="7"/>
  <c r="C4" i="7"/>
  <c r="C1037" i="6"/>
  <c r="A1037" i="6"/>
  <c r="C1036" i="6"/>
  <c r="A1036" i="6"/>
  <c r="C1035" i="6"/>
  <c r="A1035" i="6"/>
  <c r="C1034" i="6"/>
  <c r="A1034" i="6"/>
  <c r="C1033" i="6"/>
  <c r="A1033" i="6"/>
  <c r="C1032" i="6"/>
  <c r="A1032" i="6"/>
  <c r="C1031" i="6"/>
  <c r="A1031" i="6"/>
  <c r="C1030" i="6"/>
  <c r="A1030" i="6"/>
  <c r="C1029" i="6"/>
  <c r="A1029" i="6"/>
  <c r="C1028" i="6"/>
  <c r="A1028" i="6"/>
  <c r="C1027" i="6"/>
  <c r="A1027" i="6"/>
  <c r="C1026" i="6"/>
  <c r="A1026" i="6"/>
  <c r="C1025" i="6"/>
  <c r="A1025" i="6"/>
  <c r="C1024" i="6"/>
  <c r="A1024" i="6"/>
  <c r="C1023" i="6"/>
  <c r="A1023" i="6"/>
  <c r="C1022" i="6"/>
  <c r="A1022" i="6"/>
  <c r="C1021" i="6"/>
  <c r="A1021" i="6"/>
  <c r="C1020" i="6"/>
  <c r="A1020" i="6"/>
  <c r="C1019" i="6"/>
  <c r="A1019" i="6"/>
  <c r="C1018" i="6"/>
  <c r="A1018" i="6"/>
  <c r="C1017" i="6"/>
  <c r="A1017" i="6"/>
  <c r="S1011" i="6"/>
  <c r="R1011" i="6"/>
  <c r="Q1011" i="6"/>
  <c r="O1011" i="6"/>
  <c r="N1011" i="6"/>
  <c r="I1011" i="6"/>
  <c r="H1011" i="6"/>
  <c r="K1011" i="6" s="1"/>
  <c r="G1011" i="6"/>
  <c r="F1011" i="6"/>
  <c r="E1011" i="6"/>
  <c r="P1011" i="6" s="1"/>
  <c r="D1011" i="6"/>
  <c r="C1011" i="6"/>
  <c r="G1010" i="6"/>
  <c r="F1010" i="6"/>
  <c r="E1010" i="6"/>
  <c r="D1010" i="6"/>
  <c r="C1010" i="6"/>
  <c r="F1009" i="6"/>
  <c r="E1009" i="6"/>
  <c r="D1009" i="6"/>
  <c r="C1009" i="6"/>
  <c r="F1008" i="6"/>
  <c r="E1008" i="6"/>
  <c r="D1008" i="6"/>
  <c r="C1008" i="6"/>
  <c r="F1007" i="6"/>
  <c r="E1007" i="6"/>
  <c r="D1007" i="6"/>
  <c r="C1007" i="6"/>
  <c r="F1006" i="6"/>
  <c r="E1006" i="6"/>
  <c r="D1006" i="6"/>
  <c r="C1006" i="6"/>
  <c r="R1005" i="6"/>
  <c r="Q1005" i="6"/>
  <c r="N1005" i="6"/>
  <c r="U1005" i="6" s="1"/>
  <c r="K1005" i="6"/>
  <c r="L1005" i="6" s="1"/>
  <c r="J1005" i="6"/>
  <c r="I1005" i="6"/>
  <c r="H1005" i="6"/>
  <c r="G1005" i="6"/>
  <c r="F1005" i="6"/>
  <c r="E1005" i="6"/>
  <c r="D1005" i="6"/>
  <c r="O1005" i="6" s="1"/>
  <c r="C1005" i="6"/>
  <c r="V1004" i="6"/>
  <c r="R1004" i="6"/>
  <c r="Q1004" i="6"/>
  <c r="S1004" i="6" s="1"/>
  <c r="N1004" i="6"/>
  <c r="U1004" i="6" s="1"/>
  <c r="K1004" i="6"/>
  <c r="L1004" i="6" s="1"/>
  <c r="I1004" i="6"/>
  <c r="H1004" i="6"/>
  <c r="G1004" i="6"/>
  <c r="J1004" i="6" s="1"/>
  <c r="F1004" i="6"/>
  <c r="E1004" i="6"/>
  <c r="P1004" i="6" s="1"/>
  <c r="D1004" i="6"/>
  <c r="C1004" i="6"/>
  <c r="F1003" i="6"/>
  <c r="E1003" i="6"/>
  <c r="D1003" i="6"/>
  <c r="C1003" i="6"/>
  <c r="F1002" i="6"/>
  <c r="E1002" i="6"/>
  <c r="D1002" i="6"/>
  <c r="C1002" i="6"/>
  <c r="F1001" i="6"/>
  <c r="E1001" i="6"/>
  <c r="D1001" i="6"/>
  <c r="C1001" i="6"/>
  <c r="F1000" i="6"/>
  <c r="E1000" i="6"/>
  <c r="D1000" i="6"/>
  <c r="C1000" i="6"/>
  <c r="F999" i="6"/>
  <c r="E999" i="6"/>
  <c r="D999" i="6"/>
  <c r="C999" i="6"/>
  <c r="F998" i="6"/>
  <c r="E998" i="6"/>
  <c r="D998" i="6"/>
  <c r="C998" i="6"/>
  <c r="H997" i="6"/>
  <c r="G997" i="6"/>
  <c r="F997" i="6"/>
  <c r="E997" i="6"/>
  <c r="D997" i="6"/>
  <c r="C997" i="6"/>
  <c r="R996" i="6"/>
  <c r="N996" i="6"/>
  <c r="G996" i="6"/>
  <c r="F996" i="6"/>
  <c r="E996" i="6"/>
  <c r="D996" i="6"/>
  <c r="C996" i="6"/>
  <c r="R995" i="6"/>
  <c r="Q995" i="6"/>
  <c r="F995" i="6"/>
  <c r="E995" i="6"/>
  <c r="D995" i="6"/>
  <c r="C995" i="6"/>
  <c r="F994" i="6"/>
  <c r="E994" i="6"/>
  <c r="D994" i="6"/>
  <c r="C994" i="6"/>
  <c r="F993" i="6"/>
  <c r="E993" i="6"/>
  <c r="D993" i="6"/>
  <c r="C993" i="6"/>
  <c r="F992" i="6"/>
  <c r="E992" i="6"/>
  <c r="D992" i="6"/>
  <c r="C992" i="6"/>
  <c r="S991" i="6"/>
  <c r="R991" i="6"/>
  <c r="Q991" i="6"/>
  <c r="I991" i="6"/>
  <c r="H991" i="6"/>
  <c r="G991" i="6"/>
  <c r="F991" i="6"/>
  <c r="E991" i="6"/>
  <c r="P991" i="6" s="1"/>
  <c r="D991" i="6"/>
  <c r="C991" i="6"/>
  <c r="V990" i="6"/>
  <c r="U990" i="6"/>
  <c r="R990" i="6"/>
  <c r="Q990" i="6"/>
  <c r="S990" i="6" s="1"/>
  <c r="O990" i="6"/>
  <c r="N990" i="6"/>
  <c r="I990" i="6"/>
  <c r="K990" i="6" s="1"/>
  <c r="H990" i="6"/>
  <c r="G990" i="6"/>
  <c r="F990" i="6"/>
  <c r="E990" i="6"/>
  <c r="P990" i="6" s="1"/>
  <c r="D990" i="6"/>
  <c r="C990" i="6"/>
  <c r="R989" i="6"/>
  <c r="Q989" i="6"/>
  <c r="O989" i="6"/>
  <c r="N989" i="6"/>
  <c r="V989" i="6" s="1"/>
  <c r="I989" i="6"/>
  <c r="H989" i="6"/>
  <c r="G989" i="6"/>
  <c r="F989" i="6"/>
  <c r="E989" i="6"/>
  <c r="P989" i="6" s="1"/>
  <c r="D989" i="6"/>
  <c r="C989" i="6"/>
  <c r="F988" i="6"/>
  <c r="E988" i="6"/>
  <c r="D988" i="6"/>
  <c r="C988" i="6"/>
  <c r="F987" i="6"/>
  <c r="E987" i="6"/>
  <c r="D987" i="6"/>
  <c r="C987" i="6"/>
  <c r="F986" i="6"/>
  <c r="E986" i="6"/>
  <c r="D986" i="6"/>
  <c r="C986" i="6"/>
  <c r="F985" i="6"/>
  <c r="E985" i="6"/>
  <c r="D985" i="6"/>
  <c r="C985" i="6"/>
  <c r="R984" i="6"/>
  <c r="Q984" i="6"/>
  <c r="N984" i="6"/>
  <c r="F984" i="6"/>
  <c r="E984" i="6"/>
  <c r="D984" i="6"/>
  <c r="C984" i="6"/>
  <c r="V983" i="6"/>
  <c r="R983" i="6"/>
  <c r="Q983" i="6"/>
  <c r="O983" i="6"/>
  <c r="N983" i="6"/>
  <c r="U983" i="6" s="1"/>
  <c r="I983" i="6"/>
  <c r="H983" i="6"/>
  <c r="F983" i="6"/>
  <c r="E983" i="6"/>
  <c r="D983" i="6"/>
  <c r="C983" i="6"/>
  <c r="F982" i="6"/>
  <c r="E982" i="6"/>
  <c r="D982" i="6"/>
  <c r="C982" i="6"/>
  <c r="F981" i="6"/>
  <c r="E981" i="6"/>
  <c r="D981" i="6"/>
  <c r="C981" i="6"/>
  <c r="F980" i="6"/>
  <c r="E980" i="6"/>
  <c r="D980" i="6"/>
  <c r="C980" i="6"/>
  <c r="F979" i="6"/>
  <c r="E979" i="6"/>
  <c r="D979" i="6"/>
  <c r="C979" i="6"/>
  <c r="F978" i="6"/>
  <c r="E978" i="6"/>
  <c r="D978" i="6"/>
  <c r="C978" i="6"/>
  <c r="F977" i="6"/>
  <c r="E977" i="6"/>
  <c r="D977" i="6"/>
  <c r="C977" i="6"/>
  <c r="R976" i="6"/>
  <c r="Q976" i="6"/>
  <c r="N976" i="6"/>
  <c r="O976" i="6" s="1"/>
  <c r="F976" i="6"/>
  <c r="E976" i="6"/>
  <c r="D976" i="6"/>
  <c r="C976" i="6"/>
  <c r="R975" i="6"/>
  <c r="Q975" i="6"/>
  <c r="I975" i="6"/>
  <c r="H975" i="6"/>
  <c r="F975" i="6"/>
  <c r="E975" i="6"/>
  <c r="D975" i="6"/>
  <c r="C975" i="6"/>
  <c r="G974" i="6"/>
  <c r="F974" i="6"/>
  <c r="E974" i="6"/>
  <c r="D974" i="6"/>
  <c r="C974" i="6"/>
  <c r="V973" i="6"/>
  <c r="U973" i="6"/>
  <c r="R973" i="6"/>
  <c r="Q973" i="6"/>
  <c r="N973" i="6"/>
  <c r="G973" i="6"/>
  <c r="F973" i="6"/>
  <c r="E973" i="6"/>
  <c r="D973" i="6"/>
  <c r="C973" i="6"/>
  <c r="F972" i="6"/>
  <c r="E972" i="6"/>
  <c r="D972" i="6"/>
  <c r="C972" i="6"/>
  <c r="F971" i="6"/>
  <c r="E971" i="6"/>
  <c r="D971" i="6"/>
  <c r="C971" i="6"/>
  <c r="R970" i="6"/>
  <c r="Q970" i="6"/>
  <c r="S970" i="6" s="1"/>
  <c r="N970" i="6"/>
  <c r="K970" i="6"/>
  <c r="I970" i="6"/>
  <c r="H970" i="6"/>
  <c r="F970" i="6"/>
  <c r="E970" i="6"/>
  <c r="P970" i="6" s="1"/>
  <c r="D970" i="6"/>
  <c r="C970" i="6"/>
  <c r="R969" i="6"/>
  <c r="Q969" i="6"/>
  <c r="S969" i="6" s="1"/>
  <c r="K969" i="6"/>
  <c r="L969" i="6" s="1"/>
  <c r="J969" i="6"/>
  <c r="I969" i="6"/>
  <c r="H969" i="6"/>
  <c r="G969" i="6"/>
  <c r="F969" i="6"/>
  <c r="E969" i="6"/>
  <c r="P969" i="6" s="1"/>
  <c r="D969" i="6"/>
  <c r="C969" i="6"/>
  <c r="V968" i="6"/>
  <c r="U968" i="6"/>
  <c r="S968" i="6"/>
  <c r="R968" i="6"/>
  <c r="Q968" i="6"/>
  <c r="N968" i="6"/>
  <c r="O968" i="6" s="1"/>
  <c r="I968" i="6"/>
  <c r="H968" i="6"/>
  <c r="G968" i="6"/>
  <c r="J968" i="6" s="1"/>
  <c r="F968" i="6"/>
  <c r="E968" i="6"/>
  <c r="P968" i="6" s="1"/>
  <c r="D968" i="6"/>
  <c r="C968" i="6"/>
  <c r="F967" i="6"/>
  <c r="E967" i="6"/>
  <c r="D967" i="6"/>
  <c r="C967" i="6"/>
  <c r="F966" i="6"/>
  <c r="E966" i="6"/>
  <c r="D966" i="6"/>
  <c r="C966" i="6"/>
  <c r="F965" i="6"/>
  <c r="E965" i="6"/>
  <c r="D965" i="6"/>
  <c r="C965" i="6"/>
  <c r="F964" i="6"/>
  <c r="E964" i="6"/>
  <c r="D964" i="6"/>
  <c r="C964" i="6"/>
  <c r="Q963" i="6"/>
  <c r="N963" i="6"/>
  <c r="F963" i="6"/>
  <c r="E963" i="6"/>
  <c r="D963" i="6"/>
  <c r="C963" i="6"/>
  <c r="R962" i="6"/>
  <c r="Q962" i="6"/>
  <c r="O962" i="6"/>
  <c r="K962" i="6"/>
  <c r="I962" i="6"/>
  <c r="H962" i="6"/>
  <c r="F962" i="6"/>
  <c r="E962" i="6"/>
  <c r="N962" i="6" s="1"/>
  <c r="U962" i="6" s="1"/>
  <c r="D962" i="6"/>
  <c r="C962" i="6"/>
  <c r="F961" i="6"/>
  <c r="E961" i="6"/>
  <c r="D961" i="6"/>
  <c r="C961" i="6"/>
  <c r="F960" i="6"/>
  <c r="E960" i="6"/>
  <c r="D960" i="6"/>
  <c r="C960" i="6"/>
  <c r="F959" i="6"/>
  <c r="E959" i="6"/>
  <c r="D959" i="6"/>
  <c r="C959" i="6"/>
  <c r="F958" i="6"/>
  <c r="E958" i="6"/>
  <c r="D958" i="6"/>
  <c r="C958" i="6"/>
  <c r="F957" i="6"/>
  <c r="E957" i="6"/>
  <c r="D957" i="6"/>
  <c r="C957" i="6"/>
  <c r="F956" i="6"/>
  <c r="E956" i="6"/>
  <c r="D956" i="6"/>
  <c r="C956" i="6"/>
  <c r="Q955" i="6"/>
  <c r="I955" i="6"/>
  <c r="G955" i="6"/>
  <c r="F955" i="6"/>
  <c r="E955" i="6"/>
  <c r="D955" i="6"/>
  <c r="C955" i="6"/>
  <c r="R954" i="6"/>
  <c r="F954" i="6"/>
  <c r="E954" i="6"/>
  <c r="D954" i="6"/>
  <c r="C954" i="6"/>
  <c r="F953" i="6"/>
  <c r="E953" i="6"/>
  <c r="D953" i="6"/>
  <c r="C953" i="6"/>
  <c r="F952" i="6"/>
  <c r="E952" i="6"/>
  <c r="D952" i="6"/>
  <c r="C952" i="6"/>
  <c r="F951" i="6"/>
  <c r="E951" i="6"/>
  <c r="D951" i="6"/>
  <c r="C951" i="6"/>
  <c r="F950" i="6"/>
  <c r="E950" i="6"/>
  <c r="D950" i="6"/>
  <c r="C950" i="6"/>
  <c r="V949" i="6"/>
  <c r="U949" i="6"/>
  <c r="R949" i="6"/>
  <c r="N949" i="6"/>
  <c r="F949" i="6"/>
  <c r="E949" i="6"/>
  <c r="D949" i="6"/>
  <c r="O949" i="6" s="1"/>
  <c r="C949" i="6"/>
  <c r="F948" i="6"/>
  <c r="E948" i="6"/>
  <c r="D948" i="6"/>
  <c r="C948" i="6"/>
  <c r="S947" i="6"/>
  <c r="R947" i="6"/>
  <c r="Q947" i="6"/>
  <c r="I947" i="6"/>
  <c r="H947" i="6"/>
  <c r="K947" i="6" s="1"/>
  <c r="G947" i="6"/>
  <c r="F947" i="6"/>
  <c r="E947" i="6"/>
  <c r="P947" i="6" s="1"/>
  <c r="D947" i="6"/>
  <c r="C947" i="6"/>
  <c r="F946" i="6"/>
  <c r="E946" i="6"/>
  <c r="D946" i="6"/>
  <c r="C946" i="6"/>
  <c r="F945" i="6"/>
  <c r="E945" i="6"/>
  <c r="D945" i="6"/>
  <c r="C945" i="6"/>
  <c r="F944" i="6"/>
  <c r="E944" i="6"/>
  <c r="D944" i="6"/>
  <c r="C944" i="6"/>
  <c r="F943" i="6"/>
  <c r="E943" i="6"/>
  <c r="D943" i="6"/>
  <c r="C943" i="6"/>
  <c r="Q942" i="6"/>
  <c r="N942" i="6"/>
  <c r="U942" i="6" s="1"/>
  <c r="H942" i="6"/>
  <c r="F942" i="6"/>
  <c r="E942" i="6"/>
  <c r="D942" i="6"/>
  <c r="C942" i="6"/>
  <c r="R941" i="6"/>
  <c r="N941" i="6"/>
  <c r="F941" i="6"/>
  <c r="E941" i="6"/>
  <c r="D941" i="6"/>
  <c r="C941" i="6"/>
  <c r="F940" i="6"/>
  <c r="E940" i="6"/>
  <c r="D940" i="6"/>
  <c r="C940" i="6"/>
  <c r="F939" i="6"/>
  <c r="E939" i="6"/>
  <c r="D939" i="6"/>
  <c r="C939" i="6"/>
  <c r="F938" i="6"/>
  <c r="E938" i="6"/>
  <c r="D938" i="6"/>
  <c r="C938" i="6"/>
  <c r="F937" i="6"/>
  <c r="E937" i="6"/>
  <c r="D937" i="6"/>
  <c r="C937" i="6"/>
  <c r="F936" i="6"/>
  <c r="E936" i="6"/>
  <c r="D936" i="6"/>
  <c r="C936" i="6"/>
  <c r="F935" i="6"/>
  <c r="E935" i="6"/>
  <c r="D935" i="6"/>
  <c r="C935" i="6"/>
  <c r="F934" i="6"/>
  <c r="E934" i="6"/>
  <c r="D934" i="6"/>
  <c r="C934" i="6"/>
  <c r="R933" i="6"/>
  <c r="Q933" i="6"/>
  <c r="K933" i="6"/>
  <c r="I933" i="6"/>
  <c r="H933" i="6"/>
  <c r="G933" i="6"/>
  <c r="J933" i="6" s="1"/>
  <c r="F933" i="6"/>
  <c r="E933" i="6"/>
  <c r="D933" i="6"/>
  <c r="C933" i="6"/>
  <c r="R932" i="6"/>
  <c r="Q932" i="6"/>
  <c r="P932" i="6"/>
  <c r="S932" i="6" s="1"/>
  <c r="H932" i="6"/>
  <c r="F932" i="6"/>
  <c r="E932" i="6"/>
  <c r="D932" i="6"/>
  <c r="C932" i="6"/>
  <c r="R931" i="6"/>
  <c r="Q931" i="6"/>
  <c r="P931" i="6"/>
  <c r="S931" i="6" s="1"/>
  <c r="I931" i="6"/>
  <c r="G931" i="6"/>
  <c r="F931" i="6"/>
  <c r="E931" i="6"/>
  <c r="D931" i="6"/>
  <c r="C931" i="6"/>
  <c r="F930" i="6"/>
  <c r="E930" i="6"/>
  <c r="D930" i="6"/>
  <c r="C930" i="6"/>
  <c r="F929" i="6"/>
  <c r="E929" i="6"/>
  <c r="D929" i="6"/>
  <c r="C929" i="6"/>
  <c r="F928" i="6"/>
  <c r="E928" i="6"/>
  <c r="D928" i="6"/>
  <c r="C928" i="6"/>
  <c r="F927" i="6"/>
  <c r="E927" i="6"/>
  <c r="D927" i="6"/>
  <c r="C927" i="6"/>
  <c r="R926" i="6"/>
  <c r="Q926" i="6"/>
  <c r="P926" i="6"/>
  <c r="I926" i="6"/>
  <c r="G926" i="6"/>
  <c r="F926" i="6"/>
  <c r="E926" i="6"/>
  <c r="D926" i="6"/>
  <c r="C926" i="6"/>
  <c r="F925" i="6"/>
  <c r="E925" i="6"/>
  <c r="D925" i="6"/>
  <c r="C925" i="6"/>
  <c r="F924" i="6"/>
  <c r="E924" i="6"/>
  <c r="D924" i="6"/>
  <c r="C924" i="6"/>
  <c r="F923" i="6"/>
  <c r="E923" i="6"/>
  <c r="D923" i="6"/>
  <c r="C923" i="6"/>
  <c r="F922" i="6"/>
  <c r="E922" i="6"/>
  <c r="D922" i="6"/>
  <c r="C922" i="6"/>
  <c r="P921" i="6"/>
  <c r="I921" i="6"/>
  <c r="G921" i="6"/>
  <c r="F921" i="6"/>
  <c r="E921" i="6"/>
  <c r="D921" i="6"/>
  <c r="C921" i="6"/>
  <c r="Q920" i="6"/>
  <c r="P920" i="6"/>
  <c r="F920" i="6"/>
  <c r="E920" i="6"/>
  <c r="D920" i="6"/>
  <c r="C920" i="6"/>
  <c r="F919" i="6"/>
  <c r="E919" i="6"/>
  <c r="D919" i="6"/>
  <c r="C919" i="6"/>
  <c r="F918" i="6"/>
  <c r="E918" i="6"/>
  <c r="D918" i="6"/>
  <c r="C918" i="6"/>
  <c r="F917" i="6"/>
  <c r="E917" i="6"/>
  <c r="D917" i="6"/>
  <c r="C917" i="6"/>
  <c r="F916" i="6"/>
  <c r="E916" i="6"/>
  <c r="D916" i="6"/>
  <c r="C916" i="6"/>
  <c r="F915" i="6"/>
  <c r="E915" i="6"/>
  <c r="D915" i="6"/>
  <c r="C915" i="6"/>
  <c r="F914" i="6"/>
  <c r="E914" i="6"/>
  <c r="D914" i="6"/>
  <c r="C914" i="6"/>
  <c r="F913" i="6"/>
  <c r="E913" i="6"/>
  <c r="D913" i="6"/>
  <c r="C913" i="6"/>
  <c r="R912" i="6"/>
  <c r="O912" i="6"/>
  <c r="N912" i="6"/>
  <c r="H912" i="6"/>
  <c r="F912" i="6"/>
  <c r="E912" i="6"/>
  <c r="P912" i="6" s="1"/>
  <c r="D912" i="6"/>
  <c r="C912" i="6"/>
  <c r="V911" i="6"/>
  <c r="U911" i="6"/>
  <c r="R911" i="6"/>
  <c r="P911" i="6"/>
  <c r="N911" i="6"/>
  <c r="H911" i="6"/>
  <c r="G911" i="6"/>
  <c r="F911" i="6"/>
  <c r="E911" i="6"/>
  <c r="D911" i="6"/>
  <c r="O911" i="6" s="1"/>
  <c r="C911" i="6"/>
  <c r="V910" i="6"/>
  <c r="U910" i="6"/>
  <c r="R910" i="6"/>
  <c r="Q910" i="6"/>
  <c r="P910" i="6"/>
  <c r="N910" i="6"/>
  <c r="O910" i="6" s="1"/>
  <c r="K910" i="6"/>
  <c r="H910" i="6"/>
  <c r="G910" i="6"/>
  <c r="J910" i="6" s="1"/>
  <c r="F910" i="6"/>
  <c r="E910" i="6"/>
  <c r="I910" i="6" s="1"/>
  <c r="D910" i="6"/>
  <c r="C910" i="6"/>
  <c r="F909" i="6"/>
  <c r="E909" i="6"/>
  <c r="D909" i="6"/>
  <c r="C909" i="6"/>
  <c r="F908" i="6"/>
  <c r="E908" i="6"/>
  <c r="D908" i="6"/>
  <c r="C908" i="6"/>
  <c r="N907" i="6"/>
  <c r="H907" i="6"/>
  <c r="G907" i="6"/>
  <c r="F907" i="6"/>
  <c r="E907" i="6"/>
  <c r="D907" i="6"/>
  <c r="C907" i="6"/>
  <c r="R906" i="6"/>
  <c r="Q906" i="6"/>
  <c r="P906" i="6"/>
  <c r="S906" i="6" s="1"/>
  <c r="N906" i="6"/>
  <c r="G906" i="6"/>
  <c r="F906" i="6"/>
  <c r="E906" i="6"/>
  <c r="D906" i="6"/>
  <c r="C906" i="6"/>
  <c r="F905" i="6"/>
  <c r="E905" i="6"/>
  <c r="D905" i="6"/>
  <c r="C905" i="6"/>
  <c r="F904" i="6"/>
  <c r="E904" i="6"/>
  <c r="D904" i="6"/>
  <c r="C904" i="6"/>
  <c r="F903" i="6"/>
  <c r="E903" i="6"/>
  <c r="D903" i="6"/>
  <c r="C903" i="6"/>
  <c r="V902" i="6"/>
  <c r="U902" i="6"/>
  <c r="O902" i="6"/>
  <c r="N902" i="6"/>
  <c r="F902" i="6"/>
  <c r="E902" i="6"/>
  <c r="D902" i="6"/>
  <c r="C902" i="6"/>
  <c r="F901" i="6"/>
  <c r="E901" i="6"/>
  <c r="D901" i="6"/>
  <c r="C901" i="6"/>
  <c r="R900" i="6"/>
  <c r="F900" i="6"/>
  <c r="E900" i="6"/>
  <c r="D900" i="6"/>
  <c r="C900" i="6"/>
  <c r="Q899" i="6"/>
  <c r="H899" i="6"/>
  <c r="F899" i="6"/>
  <c r="E899" i="6"/>
  <c r="D899" i="6"/>
  <c r="C899" i="6"/>
  <c r="F898" i="6"/>
  <c r="E898" i="6"/>
  <c r="D898" i="6"/>
  <c r="C898" i="6"/>
  <c r="F897" i="6"/>
  <c r="E897" i="6"/>
  <c r="D897" i="6"/>
  <c r="C897" i="6"/>
  <c r="F896" i="6"/>
  <c r="E896" i="6"/>
  <c r="D896" i="6"/>
  <c r="C896" i="6"/>
  <c r="F895" i="6"/>
  <c r="E895" i="6"/>
  <c r="D895" i="6"/>
  <c r="C895" i="6"/>
  <c r="F894" i="6"/>
  <c r="E894" i="6"/>
  <c r="D894" i="6"/>
  <c r="C894" i="6"/>
  <c r="F893" i="6"/>
  <c r="E893" i="6"/>
  <c r="D893" i="6"/>
  <c r="C893" i="6"/>
  <c r="R892" i="6"/>
  <c r="N892" i="6"/>
  <c r="G892" i="6"/>
  <c r="F892" i="6"/>
  <c r="E892" i="6"/>
  <c r="D892" i="6"/>
  <c r="C892" i="6"/>
  <c r="R891" i="6"/>
  <c r="Q891" i="6"/>
  <c r="N891" i="6"/>
  <c r="K891" i="6"/>
  <c r="H891" i="6"/>
  <c r="F891" i="6"/>
  <c r="E891" i="6"/>
  <c r="I891" i="6" s="1"/>
  <c r="D891" i="6"/>
  <c r="C891" i="6"/>
  <c r="V890" i="6"/>
  <c r="N890" i="6"/>
  <c r="F890" i="6"/>
  <c r="E890" i="6"/>
  <c r="D890" i="6"/>
  <c r="C890" i="6"/>
  <c r="V889" i="6"/>
  <c r="U889" i="6"/>
  <c r="R889" i="6"/>
  <c r="S889" i="6" s="1"/>
  <c r="Q889" i="6"/>
  <c r="P889" i="6"/>
  <c r="N889" i="6"/>
  <c r="K889" i="6"/>
  <c r="H889" i="6"/>
  <c r="G889" i="6"/>
  <c r="J889" i="6" s="1"/>
  <c r="F889" i="6"/>
  <c r="E889" i="6"/>
  <c r="I889" i="6" s="1"/>
  <c r="D889" i="6"/>
  <c r="O889" i="6" s="1"/>
  <c r="C889" i="6"/>
  <c r="F888" i="6"/>
  <c r="E888" i="6"/>
  <c r="D888" i="6"/>
  <c r="C888" i="6"/>
  <c r="F887" i="6"/>
  <c r="E887" i="6"/>
  <c r="D887" i="6"/>
  <c r="C887" i="6"/>
  <c r="V886" i="6"/>
  <c r="U886" i="6"/>
  <c r="R886" i="6"/>
  <c r="Q886" i="6"/>
  <c r="P886" i="6"/>
  <c r="S886" i="6" s="1"/>
  <c r="N886" i="6"/>
  <c r="O886" i="6" s="1"/>
  <c r="H886" i="6"/>
  <c r="G886" i="6"/>
  <c r="J886" i="6" s="1"/>
  <c r="F886" i="6"/>
  <c r="E886" i="6"/>
  <c r="I886" i="6" s="1"/>
  <c r="D886" i="6"/>
  <c r="C886" i="6"/>
  <c r="R885" i="6"/>
  <c r="Q885" i="6"/>
  <c r="P885" i="6"/>
  <c r="S885" i="6" s="1"/>
  <c r="O885" i="6"/>
  <c r="N885" i="6"/>
  <c r="U885" i="6" s="1"/>
  <c r="H885" i="6"/>
  <c r="G885" i="6"/>
  <c r="F885" i="6"/>
  <c r="E885" i="6"/>
  <c r="D885" i="6"/>
  <c r="C885" i="6"/>
  <c r="U884" i="6"/>
  <c r="R884" i="6"/>
  <c r="Q884" i="6"/>
  <c r="P884" i="6"/>
  <c r="S884" i="6" s="1"/>
  <c r="O884" i="6"/>
  <c r="N884" i="6"/>
  <c r="G884" i="6"/>
  <c r="F884" i="6"/>
  <c r="E884" i="6"/>
  <c r="D884" i="6"/>
  <c r="C884" i="6"/>
  <c r="F883" i="6"/>
  <c r="E883" i="6"/>
  <c r="D883" i="6"/>
  <c r="C883" i="6"/>
  <c r="F882" i="6"/>
  <c r="E882" i="6"/>
  <c r="D882" i="6"/>
  <c r="C882" i="6"/>
  <c r="V881" i="6"/>
  <c r="U881" i="6"/>
  <c r="O881" i="6"/>
  <c r="F881" i="6"/>
  <c r="E881" i="6"/>
  <c r="D881" i="6"/>
  <c r="N881" i="6" s="1"/>
  <c r="C881" i="6"/>
  <c r="F880" i="6"/>
  <c r="E880" i="6"/>
  <c r="D880" i="6"/>
  <c r="C880" i="6"/>
  <c r="F879" i="6"/>
  <c r="E879" i="6"/>
  <c r="D879" i="6"/>
  <c r="C879" i="6"/>
  <c r="R878" i="6"/>
  <c r="P878" i="6"/>
  <c r="F878" i="6"/>
  <c r="E878" i="6"/>
  <c r="D878" i="6"/>
  <c r="C878" i="6"/>
  <c r="F877" i="6"/>
  <c r="E877" i="6"/>
  <c r="D877" i="6"/>
  <c r="C877" i="6"/>
  <c r="F876" i="6"/>
  <c r="E876" i="6"/>
  <c r="D876" i="6"/>
  <c r="C876" i="6"/>
  <c r="F875" i="6"/>
  <c r="E875" i="6"/>
  <c r="D875" i="6"/>
  <c r="C875" i="6"/>
  <c r="F874" i="6"/>
  <c r="E874" i="6"/>
  <c r="D874" i="6"/>
  <c r="C874" i="6"/>
  <c r="F873" i="6"/>
  <c r="E873" i="6"/>
  <c r="D873" i="6"/>
  <c r="C873" i="6"/>
  <c r="F872" i="6"/>
  <c r="E872" i="6"/>
  <c r="D872" i="6"/>
  <c r="C872" i="6"/>
  <c r="Q871" i="6"/>
  <c r="P871" i="6"/>
  <c r="O871" i="6"/>
  <c r="N871" i="6"/>
  <c r="U871" i="6" s="1"/>
  <c r="G871" i="6"/>
  <c r="F871" i="6"/>
  <c r="E871" i="6"/>
  <c r="D871" i="6"/>
  <c r="C871" i="6"/>
  <c r="R870" i="6"/>
  <c r="P870" i="6"/>
  <c r="N870" i="6"/>
  <c r="G870" i="6"/>
  <c r="F870" i="6"/>
  <c r="E870" i="6"/>
  <c r="D870" i="6"/>
  <c r="C870" i="6"/>
  <c r="Q869" i="6"/>
  <c r="H869" i="6"/>
  <c r="F869" i="6"/>
  <c r="E869" i="6"/>
  <c r="D869" i="6"/>
  <c r="C869" i="6"/>
  <c r="R868" i="6"/>
  <c r="Q868" i="6"/>
  <c r="P868" i="6"/>
  <c r="S868" i="6" s="1"/>
  <c r="N868" i="6"/>
  <c r="F868" i="6"/>
  <c r="E868" i="6"/>
  <c r="D868" i="6"/>
  <c r="C868" i="6"/>
  <c r="F867" i="6"/>
  <c r="E867" i="6"/>
  <c r="D867" i="6"/>
  <c r="C867" i="6"/>
  <c r="F866" i="6"/>
  <c r="E866" i="6"/>
  <c r="D866" i="6"/>
  <c r="C866" i="6"/>
  <c r="Q865" i="6"/>
  <c r="F865" i="6"/>
  <c r="E865" i="6"/>
  <c r="D865" i="6"/>
  <c r="C865" i="6"/>
  <c r="V864" i="6"/>
  <c r="R864" i="6"/>
  <c r="Q864" i="6"/>
  <c r="O864" i="6"/>
  <c r="N864" i="6"/>
  <c r="U864" i="6" s="1"/>
  <c r="H864" i="6"/>
  <c r="G864" i="6"/>
  <c r="F864" i="6"/>
  <c r="E864" i="6"/>
  <c r="D864" i="6"/>
  <c r="C864" i="6"/>
  <c r="U863" i="6"/>
  <c r="R863" i="6"/>
  <c r="P863" i="6"/>
  <c r="O863" i="6"/>
  <c r="N863" i="6"/>
  <c r="H863" i="6"/>
  <c r="F863" i="6"/>
  <c r="E863" i="6"/>
  <c r="D863" i="6"/>
  <c r="C863" i="6"/>
  <c r="F862" i="6"/>
  <c r="E862" i="6"/>
  <c r="D862" i="6"/>
  <c r="C862" i="6"/>
  <c r="F861" i="6"/>
  <c r="E861" i="6"/>
  <c r="D861" i="6"/>
  <c r="C861" i="6"/>
  <c r="N860" i="6"/>
  <c r="F860" i="6"/>
  <c r="E860" i="6"/>
  <c r="D860" i="6"/>
  <c r="C860" i="6"/>
  <c r="F859" i="6"/>
  <c r="E859" i="6"/>
  <c r="D859" i="6"/>
  <c r="C859" i="6"/>
  <c r="F858" i="6"/>
  <c r="E858" i="6"/>
  <c r="D858" i="6"/>
  <c r="C858" i="6"/>
  <c r="Q857" i="6"/>
  <c r="P857" i="6"/>
  <c r="O857" i="6"/>
  <c r="N857" i="6"/>
  <c r="U857" i="6" s="1"/>
  <c r="H857" i="6"/>
  <c r="F857" i="6"/>
  <c r="E857" i="6"/>
  <c r="D857" i="6"/>
  <c r="C857" i="6"/>
  <c r="F856" i="6"/>
  <c r="E856" i="6"/>
  <c r="D856" i="6"/>
  <c r="C856" i="6"/>
  <c r="F855" i="6"/>
  <c r="E855" i="6"/>
  <c r="D855" i="6"/>
  <c r="C855" i="6"/>
  <c r="F854" i="6"/>
  <c r="E854" i="6"/>
  <c r="D854" i="6"/>
  <c r="C854" i="6"/>
  <c r="F853" i="6"/>
  <c r="E853" i="6"/>
  <c r="D853" i="6"/>
  <c r="C853" i="6"/>
  <c r="F852" i="6"/>
  <c r="E852" i="6"/>
  <c r="D852" i="6"/>
  <c r="C852" i="6"/>
  <c r="F851" i="6"/>
  <c r="E851" i="6"/>
  <c r="D851" i="6"/>
  <c r="C851" i="6"/>
  <c r="F850" i="6"/>
  <c r="E850" i="6"/>
  <c r="D850" i="6"/>
  <c r="C850" i="6"/>
  <c r="Q849" i="6"/>
  <c r="P849" i="6"/>
  <c r="H849" i="6"/>
  <c r="G849" i="6"/>
  <c r="F849" i="6"/>
  <c r="E849" i="6"/>
  <c r="D849" i="6"/>
  <c r="C849" i="6"/>
  <c r="O848" i="6"/>
  <c r="N848" i="6"/>
  <c r="U848" i="6" s="1"/>
  <c r="F848" i="6"/>
  <c r="E848" i="6"/>
  <c r="D848" i="6"/>
  <c r="C848" i="6"/>
  <c r="F847" i="6"/>
  <c r="E847" i="6"/>
  <c r="D847" i="6"/>
  <c r="C847" i="6"/>
  <c r="F846" i="6"/>
  <c r="E846" i="6"/>
  <c r="D846" i="6"/>
  <c r="C846" i="6"/>
  <c r="F845" i="6"/>
  <c r="E845" i="6"/>
  <c r="D845" i="6"/>
  <c r="C845" i="6"/>
  <c r="U844" i="6"/>
  <c r="R844" i="6"/>
  <c r="Q844" i="6"/>
  <c r="P844" i="6"/>
  <c r="N844" i="6"/>
  <c r="L844" i="6"/>
  <c r="K844" i="6"/>
  <c r="J844" i="6"/>
  <c r="H844" i="6"/>
  <c r="G844" i="6"/>
  <c r="F844" i="6"/>
  <c r="E844" i="6"/>
  <c r="I844" i="6" s="1"/>
  <c r="D844" i="6"/>
  <c r="C844" i="6"/>
  <c r="Q843" i="6"/>
  <c r="P843" i="6"/>
  <c r="N843" i="6"/>
  <c r="H843" i="6"/>
  <c r="G843" i="6"/>
  <c r="F843" i="6"/>
  <c r="E843" i="6"/>
  <c r="D843" i="6"/>
  <c r="C843" i="6"/>
  <c r="F842" i="6"/>
  <c r="E842" i="6"/>
  <c r="D842" i="6"/>
  <c r="C842" i="6"/>
  <c r="F841" i="6"/>
  <c r="E841" i="6"/>
  <c r="D841" i="6"/>
  <c r="C841" i="6"/>
  <c r="F840" i="6"/>
  <c r="E840" i="6"/>
  <c r="D840" i="6"/>
  <c r="C840" i="6"/>
  <c r="F839" i="6"/>
  <c r="E839" i="6"/>
  <c r="D839" i="6"/>
  <c r="N839" i="6" s="1"/>
  <c r="C839" i="6"/>
  <c r="F838" i="6"/>
  <c r="E838" i="6"/>
  <c r="D838" i="6"/>
  <c r="C838" i="6"/>
  <c r="R837" i="6"/>
  <c r="Q837" i="6"/>
  <c r="P837" i="6"/>
  <c r="S837" i="6" s="1"/>
  <c r="O837" i="6"/>
  <c r="N837" i="6"/>
  <c r="H837" i="6"/>
  <c r="K837" i="6" s="1"/>
  <c r="G837" i="6"/>
  <c r="J837" i="6" s="1"/>
  <c r="F837" i="6"/>
  <c r="E837" i="6"/>
  <c r="I837" i="6" s="1"/>
  <c r="D837" i="6"/>
  <c r="C837" i="6"/>
  <c r="R836" i="6"/>
  <c r="Q836" i="6"/>
  <c r="P836" i="6"/>
  <c r="N836" i="6"/>
  <c r="G836" i="6"/>
  <c r="F836" i="6"/>
  <c r="E836" i="6"/>
  <c r="D836" i="6"/>
  <c r="C836" i="6"/>
  <c r="F835" i="6"/>
  <c r="E835" i="6"/>
  <c r="D835" i="6"/>
  <c r="C835" i="6"/>
  <c r="F834" i="6"/>
  <c r="E834" i="6"/>
  <c r="D834" i="6"/>
  <c r="C834" i="6"/>
  <c r="F833" i="6"/>
  <c r="E833" i="6"/>
  <c r="D833" i="6"/>
  <c r="C833" i="6"/>
  <c r="F832" i="6"/>
  <c r="E832" i="6"/>
  <c r="D832" i="6"/>
  <c r="C832" i="6"/>
  <c r="F831" i="6"/>
  <c r="E831" i="6"/>
  <c r="D831" i="6"/>
  <c r="C831" i="6"/>
  <c r="F830" i="6"/>
  <c r="E830" i="6"/>
  <c r="D830" i="6"/>
  <c r="C830" i="6"/>
  <c r="V829" i="6"/>
  <c r="U829" i="6"/>
  <c r="R829" i="6"/>
  <c r="Q829" i="6"/>
  <c r="P829" i="6"/>
  <c r="N829" i="6"/>
  <c r="G829" i="6"/>
  <c r="F829" i="6"/>
  <c r="E829" i="6"/>
  <c r="I829" i="6" s="1"/>
  <c r="D829" i="6"/>
  <c r="C829" i="6"/>
  <c r="R828" i="6"/>
  <c r="F828" i="6"/>
  <c r="E828" i="6"/>
  <c r="D828" i="6"/>
  <c r="C828" i="6"/>
  <c r="Q827" i="6"/>
  <c r="P827" i="6"/>
  <c r="N827" i="6"/>
  <c r="H827" i="6"/>
  <c r="G827" i="6"/>
  <c r="F827" i="6"/>
  <c r="E827" i="6"/>
  <c r="D827" i="6"/>
  <c r="C827" i="6"/>
  <c r="G826" i="6"/>
  <c r="F826" i="6"/>
  <c r="E826" i="6"/>
  <c r="D826" i="6"/>
  <c r="C826" i="6"/>
  <c r="F825" i="6"/>
  <c r="E825" i="6"/>
  <c r="D825" i="6"/>
  <c r="C825" i="6"/>
  <c r="F824" i="6"/>
  <c r="E824" i="6"/>
  <c r="D824" i="6"/>
  <c r="C824" i="6"/>
  <c r="V823" i="6"/>
  <c r="U823" i="6"/>
  <c r="T823" i="6"/>
  <c r="R823" i="6"/>
  <c r="Q823" i="6"/>
  <c r="P823" i="6"/>
  <c r="N823" i="6"/>
  <c r="M823" i="6"/>
  <c r="L823" i="6"/>
  <c r="W823" i="6" s="1"/>
  <c r="H823" i="6"/>
  <c r="K823" i="6" s="1"/>
  <c r="G823" i="6"/>
  <c r="J823" i="6" s="1"/>
  <c r="F823" i="6"/>
  <c r="E823" i="6"/>
  <c r="I823" i="6" s="1"/>
  <c r="D823" i="6"/>
  <c r="O823" i="6" s="1"/>
  <c r="C823" i="6"/>
  <c r="Q822" i="6"/>
  <c r="P822" i="6"/>
  <c r="N822" i="6"/>
  <c r="H822" i="6"/>
  <c r="F822" i="6"/>
  <c r="E822" i="6"/>
  <c r="D822" i="6"/>
  <c r="C822" i="6"/>
  <c r="V821" i="6"/>
  <c r="S821" i="6"/>
  <c r="R821" i="6"/>
  <c r="Q821" i="6"/>
  <c r="P821" i="6"/>
  <c r="N821" i="6"/>
  <c r="J821" i="6"/>
  <c r="H821" i="6"/>
  <c r="K821" i="6" s="1"/>
  <c r="G821" i="6"/>
  <c r="F821" i="6"/>
  <c r="E821" i="6"/>
  <c r="I821" i="6" s="1"/>
  <c r="D821" i="6"/>
  <c r="C821" i="6"/>
  <c r="F820" i="6"/>
  <c r="E820" i="6"/>
  <c r="D820" i="6"/>
  <c r="C820" i="6"/>
  <c r="F819" i="6"/>
  <c r="E819" i="6"/>
  <c r="D819" i="6"/>
  <c r="C819" i="6"/>
  <c r="F818" i="6"/>
  <c r="E818" i="6"/>
  <c r="D818" i="6"/>
  <c r="C818" i="6"/>
  <c r="F817" i="6"/>
  <c r="E817" i="6"/>
  <c r="D817" i="6"/>
  <c r="C817" i="6"/>
  <c r="F816" i="6"/>
  <c r="E816" i="6"/>
  <c r="D816" i="6"/>
  <c r="C816" i="6"/>
  <c r="R815" i="6"/>
  <c r="Q815" i="6"/>
  <c r="P815" i="6"/>
  <c r="N815" i="6"/>
  <c r="L815" i="6"/>
  <c r="K815" i="6"/>
  <c r="J815" i="6"/>
  <c r="H815" i="6"/>
  <c r="G815" i="6"/>
  <c r="F815" i="6"/>
  <c r="E815" i="6"/>
  <c r="I815" i="6" s="1"/>
  <c r="T815" i="6" s="1"/>
  <c r="D815" i="6"/>
  <c r="C815" i="6"/>
  <c r="F814" i="6"/>
  <c r="E814" i="6"/>
  <c r="D814" i="6"/>
  <c r="C814" i="6"/>
  <c r="F813" i="6"/>
  <c r="E813" i="6"/>
  <c r="D813" i="6"/>
  <c r="C813" i="6"/>
  <c r="F812" i="6"/>
  <c r="E812" i="6"/>
  <c r="D812" i="6"/>
  <c r="C812" i="6"/>
  <c r="F811" i="6"/>
  <c r="E811" i="6"/>
  <c r="D811" i="6"/>
  <c r="C811" i="6"/>
  <c r="F810" i="6"/>
  <c r="E810" i="6"/>
  <c r="D810" i="6"/>
  <c r="C810" i="6"/>
  <c r="F809" i="6"/>
  <c r="E809" i="6"/>
  <c r="D809" i="6"/>
  <c r="C809" i="6"/>
  <c r="G808" i="6"/>
  <c r="F808" i="6"/>
  <c r="E808" i="6"/>
  <c r="D808" i="6"/>
  <c r="C808" i="6"/>
  <c r="P807" i="6"/>
  <c r="G807" i="6"/>
  <c r="F807" i="6"/>
  <c r="E807" i="6"/>
  <c r="D807" i="6"/>
  <c r="C807" i="6"/>
  <c r="V806" i="6"/>
  <c r="U806" i="6"/>
  <c r="R806" i="6"/>
  <c r="P806" i="6"/>
  <c r="S806" i="6" s="1"/>
  <c r="N806" i="6"/>
  <c r="I806" i="6"/>
  <c r="H806" i="6"/>
  <c r="G806" i="6"/>
  <c r="J806" i="6" s="1"/>
  <c r="F806" i="6"/>
  <c r="E806" i="6"/>
  <c r="Q806" i="6" s="1"/>
  <c r="D806" i="6"/>
  <c r="O806" i="6" s="1"/>
  <c r="C806" i="6"/>
  <c r="R805" i="6"/>
  <c r="P805" i="6"/>
  <c r="G805" i="6"/>
  <c r="F805" i="6"/>
  <c r="E805" i="6"/>
  <c r="D805" i="6"/>
  <c r="C805" i="6"/>
  <c r="F804" i="6"/>
  <c r="E804" i="6"/>
  <c r="D804" i="6"/>
  <c r="C804" i="6"/>
  <c r="F803" i="6"/>
  <c r="E803" i="6"/>
  <c r="D803" i="6"/>
  <c r="C803" i="6"/>
  <c r="F802" i="6"/>
  <c r="E802" i="6"/>
  <c r="D802" i="6"/>
  <c r="C802" i="6"/>
  <c r="V801" i="6"/>
  <c r="U801" i="6"/>
  <c r="R801" i="6"/>
  <c r="P801" i="6"/>
  <c r="S801" i="6" s="1"/>
  <c r="O801" i="6"/>
  <c r="N801" i="6"/>
  <c r="I801" i="6"/>
  <c r="H801" i="6"/>
  <c r="G801" i="6"/>
  <c r="F801" i="6"/>
  <c r="E801" i="6"/>
  <c r="Q801" i="6" s="1"/>
  <c r="D801" i="6"/>
  <c r="C801" i="6"/>
  <c r="I800" i="6"/>
  <c r="H800" i="6"/>
  <c r="F800" i="6"/>
  <c r="E800" i="6"/>
  <c r="D800" i="6"/>
  <c r="C800" i="6"/>
  <c r="F799" i="6"/>
  <c r="E799" i="6"/>
  <c r="D799" i="6"/>
  <c r="C799" i="6"/>
  <c r="F798" i="6"/>
  <c r="E798" i="6"/>
  <c r="D798" i="6"/>
  <c r="C798" i="6"/>
  <c r="F797" i="6"/>
  <c r="E797" i="6"/>
  <c r="D797" i="6"/>
  <c r="C797" i="6"/>
  <c r="F796" i="6"/>
  <c r="E796" i="6"/>
  <c r="D796" i="6"/>
  <c r="C796" i="6"/>
  <c r="P795" i="6"/>
  <c r="K795" i="6"/>
  <c r="I795" i="6"/>
  <c r="H795" i="6"/>
  <c r="F795" i="6"/>
  <c r="E795" i="6"/>
  <c r="D795" i="6"/>
  <c r="C795" i="6"/>
  <c r="F794" i="6"/>
  <c r="E794" i="6"/>
  <c r="D794" i="6"/>
  <c r="C794" i="6"/>
  <c r="F793" i="6"/>
  <c r="E793" i="6"/>
  <c r="D793" i="6"/>
  <c r="C793" i="6"/>
  <c r="F792" i="6"/>
  <c r="E792" i="6"/>
  <c r="D792" i="6"/>
  <c r="C792" i="6"/>
  <c r="F791" i="6"/>
  <c r="E791" i="6"/>
  <c r="D791" i="6"/>
  <c r="C791" i="6"/>
  <c r="F790" i="6"/>
  <c r="E790" i="6"/>
  <c r="D790" i="6"/>
  <c r="C790" i="6"/>
  <c r="F789" i="6"/>
  <c r="E789" i="6"/>
  <c r="D789" i="6"/>
  <c r="C789" i="6"/>
  <c r="F788" i="6"/>
  <c r="E788" i="6"/>
  <c r="D788" i="6"/>
  <c r="C788" i="6"/>
  <c r="H787" i="6"/>
  <c r="G787" i="6"/>
  <c r="F787" i="6"/>
  <c r="E787" i="6"/>
  <c r="D787" i="6"/>
  <c r="C787" i="6"/>
  <c r="R786" i="6"/>
  <c r="P786" i="6"/>
  <c r="H786" i="6"/>
  <c r="G786" i="6"/>
  <c r="F786" i="6"/>
  <c r="E786" i="6"/>
  <c r="D786" i="6"/>
  <c r="C786" i="6"/>
  <c r="F785" i="6"/>
  <c r="E785" i="6"/>
  <c r="D785" i="6"/>
  <c r="C785" i="6"/>
  <c r="V784" i="6"/>
  <c r="U784" i="6"/>
  <c r="N784" i="6"/>
  <c r="O784" i="6" s="1"/>
  <c r="K784" i="6"/>
  <c r="I784" i="6"/>
  <c r="H784" i="6"/>
  <c r="F784" i="6"/>
  <c r="E784" i="6"/>
  <c r="R784" i="6" s="1"/>
  <c r="D784" i="6"/>
  <c r="C784" i="6"/>
  <c r="F783" i="6"/>
  <c r="E783" i="6"/>
  <c r="D783" i="6"/>
  <c r="C783" i="6"/>
  <c r="F782" i="6"/>
  <c r="E782" i="6"/>
  <c r="D782" i="6"/>
  <c r="C782" i="6"/>
  <c r="R781" i="6"/>
  <c r="P781" i="6"/>
  <c r="N781" i="6"/>
  <c r="I781" i="6"/>
  <c r="G781" i="6"/>
  <c r="F781" i="6"/>
  <c r="E781" i="6"/>
  <c r="D781" i="6"/>
  <c r="C781" i="6"/>
  <c r="F780" i="6"/>
  <c r="E780" i="6"/>
  <c r="D780" i="6"/>
  <c r="C780" i="6"/>
  <c r="R779" i="6"/>
  <c r="P779" i="6"/>
  <c r="J779" i="6"/>
  <c r="I779" i="6"/>
  <c r="K779" i="6" s="1"/>
  <c r="L779" i="6" s="1"/>
  <c r="H779" i="6"/>
  <c r="G779" i="6"/>
  <c r="F779" i="6"/>
  <c r="E779" i="6"/>
  <c r="D779" i="6"/>
  <c r="C779" i="6"/>
  <c r="F778" i="6"/>
  <c r="E778" i="6"/>
  <c r="D778" i="6"/>
  <c r="C778" i="6"/>
  <c r="F777" i="6"/>
  <c r="E777" i="6"/>
  <c r="D777" i="6"/>
  <c r="C777" i="6"/>
  <c r="F776" i="6"/>
  <c r="E776" i="6"/>
  <c r="D776" i="6"/>
  <c r="N776" i="6" s="1"/>
  <c r="C776" i="6"/>
  <c r="F775" i="6"/>
  <c r="E775" i="6"/>
  <c r="D775" i="6"/>
  <c r="C775" i="6"/>
  <c r="P774" i="6"/>
  <c r="H774" i="6"/>
  <c r="G774" i="6"/>
  <c r="F774" i="6"/>
  <c r="E774" i="6"/>
  <c r="D774" i="6"/>
  <c r="C774" i="6"/>
  <c r="F773" i="6"/>
  <c r="E773" i="6"/>
  <c r="D773" i="6"/>
  <c r="C773" i="6"/>
  <c r="F772" i="6"/>
  <c r="E772" i="6"/>
  <c r="D772" i="6"/>
  <c r="C772" i="6"/>
  <c r="F771" i="6"/>
  <c r="E771" i="6"/>
  <c r="D771" i="6"/>
  <c r="C771" i="6"/>
  <c r="F770" i="6"/>
  <c r="E770" i="6"/>
  <c r="D770" i="6"/>
  <c r="C770" i="6"/>
  <c r="F769" i="6"/>
  <c r="E769" i="6"/>
  <c r="D769" i="6"/>
  <c r="C769" i="6"/>
  <c r="F768" i="6"/>
  <c r="E768" i="6"/>
  <c r="D768" i="6"/>
  <c r="C768" i="6"/>
  <c r="F767" i="6"/>
  <c r="E767" i="6"/>
  <c r="D767" i="6"/>
  <c r="C767" i="6"/>
  <c r="V766" i="6"/>
  <c r="R766" i="6"/>
  <c r="P766" i="6"/>
  <c r="S766" i="6" s="1"/>
  <c r="O766" i="6"/>
  <c r="N766" i="6"/>
  <c r="U766" i="6" s="1"/>
  <c r="L766" i="6"/>
  <c r="K766" i="6"/>
  <c r="J766" i="6"/>
  <c r="I766" i="6"/>
  <c r="H766" i="6"/>
  <c r="G766" i="6"/>
  <c r="F766" i="6"/>
  <c r="E766" i="6"/>
  <c r="Q766" i="6" s="1"/>
  <c r="D766" i="6"/>
  <c r="C766" i="6"/>
  <c r="I765" i="6"/>
  <c r="H765" i="6"/>
  <c r="F765" i="6"/>
  <c r="E765" i="6"/>
  <c r="D765" i="6"/>
  <c r="C765" i="6"/>
  <c r="F764" i="6"/>
  <c r="E764" i="6"/>
  <c r="D764" i="6"/>
  <c r="C764" i="6"/>
  <c r="V763" i="6"/>
  <c r="O763" i="6"/>
  <c r="N763" i="6"/>
  <c r="U763" i="6" s="1"/>
  <c r="H763" i="6"/>
  <c r="G763" i="6"/>
  <c r="F763" i="6"/>
  <c r="E763" i="6"/>
  <c r="D763" i="6"/>
  <c r="C763" i="6"/>
  <c r="F762" i="6"/>
  <c r="E762" i="6"/>
  <c r="D762" i="6"/>
  <c r="C762" i="6"/>
  <c r="F761" i="6"/>
  <c r="E761" i="6"/>
  <c r="D761" i="6"/>
  <c r="C761" i="6"/>
  <c r="U760" i="6"/>
  <c r="P760" i="6"/>
  <c r="N760" i="6"/>
  <c r="O760" i="6" s="1"/>
  <c r="I760" i="6"/>
  <c r="G760" i="6"/>
  <c r="F760" i="6"/>
  <c r="E760" i="6"/>
  <c r="D760" i="6"/>
  <c r="C760" i="6"/>
  <c r="N759" i="6"/>
  <c r="H759" i="6"/>
  <c r="F759" i="6"/>
  <c r="E759" i="6"/>
  <c r="D759" i="6"/>
  <c r="C759" i="6"/>
  <c r="G758" i="6"/>
  <c r="F758" i="6"/>
  <c r="E758" i="6"/>
  <c r="D758" i="6"/>
  <c r="C758" i="6"/>
  <c r="F757" i="6"/>
  <c r="E757" i="6"/>
  <c r="D757" i="6"/>
  <c r="C757" i="6"/>
  <c r="F756" i="6"/>
  <c r="E756" i="6"/>
  <c r="D756" i="6"/>
  <c r="C756" i="6"/>
  <c r="V755" i="6"/>
  <c r="O755" i="6"/>
  <c r="N755" i="6"/>
  <c r="U755" i="6" s="1"/>
  <c r="F755" i="6"/>
  <c r="E755" i="6"/>
  <c r="D755" i="6"/>
  <c r="C755" i="6"/>
  <c r="F754" i="6"/>
  <c r="E754" i="6"/>
  <c r="D754" i="6"/>
  <c r="C754" i="6"/>
  <c r="R753" i="6"/>
  <c r="P753" i="6"/>
  <c r="K753" i="6"/>
  <c r="L753" i="6" s="1"/>
  <c r="I753" i="6"/>
  <c r="H753" i="6"/>
  <c r="G753" i="6"/>
  <c r="J753" i="6" s="1"/>
  <c r="F753" i="6"/>
  <c r="E753" i="6"/>
  <c r="D753" i="6"/>
  <c r="C753" i="6"/>
  <c r="I752" i="6"/>
  <c r="F752" i="6"/>
  <c r="E752" i="6"/>
  <c r="D752" i="6"/>
  <c r="C752" i="6"/>
  <c r="F751" i="6"/>
  <c r="E751" i="6"/>
  <c r="D751" i="6"/>
  <c r="C751" i="6"/>
  <c r="F750" i="6"/>
  <c r="E750" i="6"/>
  <c r="D750" i="6"/>
  <c r="C750" i="6"/>
  <c r="F749" i="6"/>
  <c r="E749" i="6"/>
  <c r="D749" i="6"/>
  <c r="C749" i="6"/>
  <c r="F748" i="6"/>
  <c r="E748" i="6"/>
  <c r="D748" i="6"/>
  <c r="C748" i="6"/>
  <c r="F747" i="6"/>
  <c r="E747" i="6"/>
  <c r="D747" i="6"/>
  <c r="C747" i="6"/>
  <c r="F746" i="6"/>
  <c r="E746" i="6"/>
  <c r="D746" i="6"/>
  <c r="C746" i="6"/>
  <c r="R745" i="6"/>
  <c r="F745" i="6"/>
  <c r="E745" i="6"/>
  <c r="D745" i="6"/>
  <c r="C745" i="6"/>
  <c r="V744" i="6"/>
  <c r="U744" i="6"/>
  <c r="R744" i="6"/>
  <c r="P744" i="6"/>
  <c r="S744" i="6" s="1"/>
  <c r="O744" i="6"/>
  <c r="N744" i="6"/>
  <c r="I744" i="6"/>
  <c r="K744" i="6" s="1"/>
  <c r="H744" i="6"/>
  <c r="G744" i="6"/>
  <c r="F744" i="6"/>
  <c r="E744" i="6"/>
  <c r="Q744" i="6" s="1"/>
  <c r="D744" i="6"/>
  <c r="C744" i="6"/>
  <c r="N743" i="6"/>
  <c r="G743" i="6"/>
  <c r="F743" i="6"/>
  <c r="E743" i="6"/>
  <c r="D743" i="6"/>
  <c r="C743" i="6"/>
  <c r="I742" i="6"/>
  <c r="G742" i="6"/>
  <c r="F742" i="6"/>
  <c r="E742" i="6"/>
  <c r="D742" i="6"/>
  <c r="C742" i="6"/>
  <c r="F741" i="6"/>
  <c r="E741" i="6"/>
  <c r="D741" i="6"/>
  <c r="C741" i="6"/>
  <c r="F740" i="6"/>
  <c r="E740" i="6"/>
  <c r="D740" i="6"/>
  <c r="C740" i="6"/>
  <c r="P739" i="6"/>
  <c r="F739" i="6"/>
  <c r="E739" i="6"/>
  <c r="D739" i="6"/>
  <c r="C739" i="6"/>
  <c r="R738" i="6"/>
  <c r="P738" i="6"/>
  <c r="N738" i="6"/>
  <c r="U738" i="6" s="1"/>
  <c r="I738" i="6"/>
  <c r="H738" i="6"/>
  <c r="G738" i="6"/>
  <c r="F738" i="6"/>
  <c r="E738" i="6"/>
  <c r="D738" i="6"/>
  <c r="O738" i="6" s="1"/>
  <c r="C738" i="6"/>
  <c r="N737" i="6"/>
  <c r="F737" i="6"/>
  <c r="E737" i="6"/>
  <c r="D737" i="6"/>
  <c r="C737" i="6"/>
  <c r="F736" i="6"/>
  <c r="E736" i="6"/>
  <c r="D736" i="6"/>
  <c r="C736" i="6"/>
  <c r="F735" i="6"/>
  <c r="E735" i="6"/>
  <c r="D735" i="6"/>
  <c r="C735" i="6"/>
  <c r="N734" i="6"/>
  <c r="F734" i="6"/>
  <c r="E734" i="6"/>
  <c r="D734" i="6"/>
  <c r="C734" i="6"/>
  <c r="F733" i="6"/>
  <c r="E733" i="6"/>
  <c r="D733" i="6"/>
  <c r="C733" i="6"/>
  <c r="V732" i="6"/>
  <c r="U732" i="6"/>
  <c r="R732" i="6"/>
  <c r="P732" i="6"/>
  <c r="N732" i="6"/>
  <c r="H732" i="6"/>
  <c r="G732" i="6"/>
  <c r="F732" i="6"/>
  <c r="E732" i="6"/>
  <c r="Q732" i="6" s="1"/>
  <c r="S732" i="6" s="1"/>
  <c r="D732" i="6"/>
  <c r="C732" i="6"/>
  <c r="R731" i="6"/>
  <c r="P731" i="6"/>
  <c r="H731" i="6"/>
  <c r="G731" i="6"/>
  <c r="F731" i="6"/>
  <c r="E731" i="6"/>
  <c r="D731" i="6"/>
  <c r="C731" i="6"/>
  <c r="F730" i="6"/>
  <c r="E730" i="6"/>
  <c r="D730" i="6"/>
  <c r="C730" i="6"/>
  <c r="F729" i="6"/>
  <c r="E729" i="6"/>
  <c r="D729" i="6"/>
  <c r="C729" i="6"/>
  <c r="F728" i="6"/>
  <c r="E728" i="6"/>
  <c r="D728" i="6"/>
  <c r="C728" i="6"/>
  <c r="F727" i="6"/>
  <c r="E727" i="6"/>
  <c r="D727" i="6"/>
  <c r="C727" i="6"/>
  <c r="F726" i="6"/>
  <c r="E726" i="6"/>
  <c r="D726" i="6"/>
  <c r="C726" i="6"/>
  <c r="F725" i="6"/>
  <c r="E725" i="6"/>
  <c r="D725" i="6"/>
  <c r="C725" i="6"/>
  <c r="U724" i="6"/>
  <c r="N724" i="6"/>
  <c r="O724" i="6" s="1"/>
  <c r="H724" i="6"/>
  <c r="F724" i="6"/>
  <c r="E724" i="6"/>
  <c r="D724" i="6"/>
  <c r="C724" i="6"/>
  <c r="H723" i="6"/>
  <c r="F723" i="6"/>
  <c r="E723" i="6"/>
  <c r="D723" i="6"/>
  <c r="C723" i="6"/>
  <c r="F722" i="6"/>
  <c r="E722" i="6"/>
  <c r="D722" i="6"/>
  <c r="C722" i="6"/>
  <c r="U721" i="6"/>
  <c r="P721" i="6"/>
  <c r="O721" i="6"/>
  <c r="N721" i="6"/>
  <c r="F721" i="6"/>
  <c r="E721" i="6"/>
  <c r="D721" i="6"/>
  <c r="C721" i="6"/>
  <c r="F720" i="6"/>
  <c r="E720" i="6"/>
  <c r="D720" i="6"/>
  <c r="C720" i="6"/>
  <c r="F719" i="6"/>
  <c r="E719" i="6"/>
  <c r="D719" i="6"/>
  <c r="C719" i="6"/>
  <c r="P718" i="6"/>
  <c r="I718" i="6"/>
  <c r="F718" i="6"/>
  <c r="E718" i="6"/>
  <c r="D718" i="6"/>
  <c r="C718" i="6"/>
  <c r="P717" i="6"/>
  <c r="N717" i="6"/>
  <c r="V717" i="6" s="1"/>
  <c r="I717" i="6"/>
  <c r="H717" i="6"/>
  <c r="G717" i="6"/>
  <c r="F717" i="6"/>
  <c r="E717" i="6"/>
  <c r="D717" i="6"/>
  <c r="C717" i="6"/>
  <c r="N716" i="6"/>
  <c r="H716" i="6"/>
  <c r="F716" i="6"/>
  <c r="E716" i="6"/>
  <c r="D716" i="6"/>
  <c r="C716" i="6"/>
  <c r="F715" i="6"/>
  <c r="E715" i="6"/>
  <c r="D715" i="6"/>
  <c r="C715" i="6"/>
  <c r="F714" i="6"/>
  <c r="E714" i="6"/>
  <c r="D714" i="6"/>
  <c r="C714" i="6"/>
  <c r="N713" i="6"/>
  <c r="F713" i="6"/>
  <c r="E713" i="6"/>
  <c r="D713" i="6"/>
  <c r="C713" i="6"/>
  <c r="F712" i="6"/>
  <c r="E712" i="6"/>
  <c r="D712" i="6"/>
  <c r="C712" i="6"/>
  <c r="N711" i="6"/>
  <c r="H711" i="6"/>
  <c r="G711" i="6"/>
  <c r="F711" i="6"/>
  <c r="E711" i="6"/>
  <c r="D711" i="6"/>
  <c r="C711" i="6"/>
  <c r="R710" i="6"/>
  <c r="I710" i="6"/>
  <c r="G710" i="6"/>
  <c r="F710" i="6"/>
  <c r="E710" i="6"/>
  <c r="D710" i="6"/>
  <c r="C710" i="6"/>
  <c r="F709" i="6"/>
  <c r="E709" i="6"/>
  <c r="D709" i="6"/>
  <c r="C709" i="6"/>
  <c r="F708" i="6"/>
  <c r="E708" i="6"/>
  <c r="D708" i="6"/>
  <c r="C708" i="6"/>
  <c r="F707" i="6"/>
  <c r="E707" i="6"/>
  <c r="D707" i="6"/>
  <c r="C707" i="6"/>
  <c r="F706" i="6"/>
  <c r="E706" i="6"/>
  <c r="D706" i="6"/>
  <c r="C706" i="6"/>
  <c r="F705" i="6"/>
  <c r="E705" i="6"/>
  <c r="D705" i="6"/>
  <c r="C705" i="6"/>
  <c r="F704" i="6"/>
  <c r="E704" i="6"/>
  <c r="D704" i="6"/>
  <c r="C704" i="6"/>
  <c r="V703" i="6"/>
  <c r="U703" i="6"/>
  <c r="P703" i="6"/>
  <c r="O703" i="6"/>
  <c r="N703" i="6"/>
  <c r="H703" i="6"/>
  <c r="G703" i="6"/>
  <c r="F703" i="6"/>
  <c r="E703" i="6"/>
  <c r="Q703" i="6" s="1"/>
  <c r="D703" i="6"/>
  <c r="C703" i="6"/>
  <c r="V702" i="6"/>
  <c r="U702" i="6"/>
  <c r="R702" i="6"/>
  <c r="N702" i="6"/>
  <c r="O702" i="6" s="1"/>
  <c r="F702" i="6"/>
  <c r="E702" i="6"/>
  <c r="D702" i="6"/>
  <c r="C702" i="6"/>
  <c r="S701" i="6"/>
  <c r="R701" i="6"/>
  <c r="P701" i="6"/>
  <c r="N701" i="6"/>
  <c r="J701" i="6"/>
  <c r="I701" i="6"/>
  <c r="H701" i="6"/>
  <c r="G701" i="6"/>
  <c r="F701" i="6"/>
  <c r="E701" i="6"/>
  <c r="Q701" i="6" s="1"/>
  <c r="D701" i="6"/>
  <c r="C701" i="6"/>
  <c r="F700" i="6"/>
  <c r="E700" i="6"/>
  <c r="D700" i="6"/>
  <c r="C700" i="6"/>
  <c r="F699" i="6"/>
  <c r="E699" i="6"/>
  <c r="D699" i="6"/>
  <c r="C699" i="6"/>
  <c r="F698" i="6"/>
  <c r="E698" i="6"/>
  <c r="D698" i="6"/>
  <c r="C698" i="6"/>
  <c r="I697" i="6"/>
  <c r="H697" i="6"/>
  <c r="J697" i="6" s="1"/>
  <c r="G697" i="6"/>
  <c r="F697" i="6"/>
  <c r="E697" i="6"/>
  <c r="D697" i="6"/>
  <c r="C697" i="6"/>
  <c r="R696" i="6"/>
  <c r="I696" i="6"/>
  <c r="G696" i="6"/>
  <c r="F696" i="6"/>
  <c r="E696" i="6"/>
  <c r="D696" i="6"/>
  <c r="C696" i="6"/>
  <c r="V695" i="6"/>
  <c r="U695" i="6"/>
  <c r="P695" i="6"/>
  <c r="N695" i="6"/>
  <c r="H695" i="6"/>
  <c r="G695" i="6"/>
  <c r="F695" i="6"/>
  <c r="E695" i="6"/>
  <c r="D695" i="6"/>
  <c r="O695" i="6" s="1"/>
  <c r="C695" i="6"/>
  <c r="F694" i="6"/>
  <c r="E694" i="6"/>
  <c r="D694" i="6"/>
  <c r="C694" i="6"/>
  <c r="F693" i="6"/>
  <c r="E693" i="6"/>
  <c r="D693" i="6"/>
  <c r="C693" i="6"/>
  <c r="F692" i="6"/>
  <c r="E692" i="6"/>
  <c r="D692" i="6"/>
  <c r="C692" i="6"/>
  <c r="F691" i="6"/>
  <c r="E691" i="6"/>
  <c r="D691" i="6"/>
  <c r="C691" i="6"/>
  <c r="R690" i="6"/>
  <c r="S690" i="6" s="1"/>
  <c r="P690" i="6"/>
  <c r="N690" i="6"/>
  <c r="K690" i="6"/>
  <c r="I690" i="6"/>
  <c r="H690" i="6"/>
  <c r="G690" i="6"/>
  <c r="J690" i="6" s="1"/>
  <c r="F690" i="6"/>
  <c r="E690" i="6"/>
  <c r="Q690" i="6" s="1"/>
  <c r="D690" i="6"/>
  <c r="C690" i="6"/>
  <c r="P689" i="6"/>
  <c r="G689" i="6"/>
  <c r="F689" i="6"/>
  <c r="E689" i="6"/>
  <c r="D689" i="6"/>
  <c r="C689" i="6"/>
  <c r="F688" i="6"/>
  <c r="E688" i="6"/>
  <c r="D688" i="6"/>
  <c r="C688" i="6"/>
  <c r="F687" i="6"/>
  <c r="E687" i="6"/>
  <c r="D687" i="6"/>
  <c r="C687" i="6"/>
  <c r="F686" i="6"/>
  <c r="E686" i="6"/>
  <c r="D686" i="6"/>
  <c r="C686" i="6"/>
  <c r="F685" i="6"/>
  <c r="E685" i="6"/>
  <c r="D685" i="6"/>
  <c r="C685" i="6"/>
  <c r="F684" i="6"/>
  <c r="E684" i="6"/>
  <c r="D684" i="6"/>
  <c r="C684" i="6"/>
  <c r="F683" i="6"/>
  <c r="E683" i="6"/>
  <c r="D683" i="6"/>
  <c r="C683" i="6"/>
  <c r="U682" i="6"/>
  <c r="N682" i="6"/>
  <c r="O682" i="6" s="1"/>
  <c r="H682" i="6"/>
  <c r="F682" i="6"/>
  <c r="E682" i="6"/>
  <c r="D682" i="6"/>
  <c r="C682" i="6"/>
  <c r="O681" i="6"/>
  <c r="N681" i="6"/>
  <c r="I681" i="6"/>
  <c r="F681" i="6"/>
  <c r="E681" i="6"/>
  <c r="D681" i="6"/>
  <c r="C681" i="6"/>
  <c r="F680" i="6"/>
  <c r="E680" i="6"/>
  <c r="D680" i="6"/>
  <c r="C680" i="6"/>
  <c r="V679" i="6"/>
  <c r="U679" i="6"/>
  <c r="R679" i="6"/>
  <c r="P679" i="6"/>
  <c r="S679" i="6" s="1"/>
  <c r="N679" i="6"/>
  <c r="I679" i="6"/>
  <c r="H679" i="6"/>
  <c r="K679" i="6" s="1"/>
  <c r="G679" i="6"/>
  <c r="J679" i="6" s="1"/>
  <c r="F679" i="6"/>
  <c r="E679" i="6"/>
  <c r="Q679" i="6" s="1"/>
  <c r="D679" i="6"/>
  <c r="O679" i="6" s="1"/>
  <c r="C679" i="6"/>
  <c r="F678" i="6"/>
  <c r="E678" i="6"/>
  <c r="D678" i="6"/>
  <c r="C678" i="6"/>
  <c r="F677" i="6"/>
  <c r="E677" i="6"/>
  <c r="D677" i="6"/>
  <c r="C677" i="6"/>
  <c r="N676" i="6"/>
  <c r="I676" i="6"/>
  <c r="F676" i="6"/>
  <c r="E676" i="6"/>
  <c r="D676" i="6"/>
  <c r="C676" i="6"/>
  <c r="F675" i="6"/>
  <c r="E675" i="6"/>
  <c r="D675" i="6"/>
  <c r="C675" i="6"/>
  <c r="H674" i="6"/>
  <c r="F674" i="6"/>
  <c r="E674" i="6"/>
  <c r="D674" i="6"/>
  <c r="C674" i="6"/>
  <c r="F673" i="6"/>
  <c r="E673" i="6"/>
  <c r="D673" i="6"/>
  <c r="C673" i="6"/>
  <c r="F672" i="6"/>
  <c r="E672" i="6"/>
  <c r="D672" i="6"/>
  <c r="C672" i="6"/>
  <c r="N671" i="6"/>
  <c r="F671" i="6"/>
  <c r="E671" i="6"/>
  <c r="D671" i="6"/>
  <c r="C671" i="6"/>
  <c r="F670" i="6"/>
  <c r="E670" i="6"/>
  <c r="D670" i="6"/>
  <c r="C670" i="6"/>
  <c r="V669" i="6"/>
  <c r="U669" i="6"/>
  <c r="R669" i="6"/>
  <c r="O669" i="6"/>
  <c r="N669" i="6"/>
  <c r="F669" i="6"/>
  <c r="E669" i="6"/>
  <c r="D669" i="6"/>
  <c r="C669" i="6"/>
  <c r="V668" i="6"/>
  <c r="U668" i="6"/>
  <c r="R668" i="6"/>
  <c r="P668" i="6"/>
  <c r="S668" i="6" s="1"/>
  <c r="N668" i="6"/>
  <c r="O668" i="6" s="1"/>
  <c r="I668" i="6"/>
  <c r="H668" i="6"/>
  <c r="G668" i="6"/>
  <c r="J668" i="6" s="1"/>
  <c r="F668" i="6"/>
  <c r="E668" i="6"/>
  <c r="Q668" i="6" s="1"/>
  <c r="D668" i="6"/>
  <c r="C668" i="6"/>
  <c r="F667" i="6"/>
  <c r="E667" i="6"/>
  <c r="D667" i="6"/>
  <c r="C667" i="6"/>
  <c r="F666" i="6"/>
  <c r="E666" i="6"/>
  <c r="D666" i="6"/>
  <c r="C666" i="6"/>
  <c r="F665" i="6"/>
  <c r="E665" i="6"/>
  <c r="D665" i="6"/>
  <c r="C665" i="6"/>
  <c r="F664" i="6"/>
  <c r="E664" i="6"/>
  <c r="D664" i="6"/>
  <c r="C664" i="6"/>
  <c r="F663" i="6"/>
  <c r="E663" i="6"/>
  <c r="D663" i="6"/>
  <c r="C663" i="6"/>
  <c r="F662" i="6"/>
  <c r="E662" i="6"/>
  <c r="D662" i="6"/>
  <c r="C662" i="6"/>
  <c r="R661" i="6"/>
  <c r="P661" i="6"/>
  <c r="S661" i="6" s="1"/>
  <c r="N661" i="6"/>
  <c r="I661" i="6"/>
  <c r="H661" i="6"/>
  <c r="G661" i="6"/>
  <c r="F661" i="6"/>
  <c r="E661" i="6"/>
  <c r="Q661" i="6" s="1"/>
  <c r="D661" i="6"/>
  <c r="C661" i="6"/>
  <c r="R660" i="6"/>
  <c r="F660" i="6"/>
  <c r="E660" i="6"/>
  <c r="D660" i="6"/>
  <c r="C660" i="6"/>
  <c r="V659" i="6"/>
  <c r="U659" i="6"/>
  <c r="R659" i="6"/>
  <c r="N659" i="6"/>
  <c r="I659" i="6"/>
  <c r="F659" i="6"/>
  <c r="E659" i="6"/>
  <c r="D659" i="6"/>
  <c r="C659" i="6"/>
  <c r="V658" i="6"/>
  <c r="U658" i="6"/>
  <c r="R658" i="6"/>
  <c r="P658" i="6"/>
  <c r="S658" i="6" s="1"/>
  <c r="O658" i="6"/>
  <c r="N658" i="6"/>
  <c r="I658" i="6"/>
  <c r="H658" i="6"/>
  <c r="G658" i="6"/>
  <c r="J658" i="6" s="1"/>
  <c r="F658" i="6"/>
  <c r="E658" i="6"/>
  <c r="Q658" i="6" s="1"/>
  <c r="D658" i="6"/>
  <c r="C658" i="6"/>
  <c r="F657" i="6"/>
  <c r="E657" i="6"/>
  <c r="D657" i="6"/>
  <c r="C657" i="6"/>
  <c r="F656" i="6"/>
  <c r="E656" i="6"/>
  <c r="D656" i="6"/>
  <c r="C656" i="6"/>
  <c r="U655" i="6"/>
  <c r="S655" i="6"/>
  <c r="R655" i="6"/>
  <c r="Q655" i="6"/>
  <c r="P655" i="6"/>
  <c r="N655" i="6"/>
  <c r="I655" i="6"/>
  <c r="H655" i="6"/>
  <c r="F655" i="6"/>
  <c r="E655" i="6"/>
  <c r="D655" i="6"/>
  <c r="C655" i="6"/>
  <c r="U654" i="6"/>
  <c r="Q654" i="6"/>
  <c r="P654" i="6"/>
  <c r="O654" i="6"/>
  <c r="N654" i="6"/>
  <c r="I654" i="6"/>
  <c r="H654" i="6"/>
  <c r="G654" i="6"/>
  <c r="F654" i="6"/>
  <c r="E654" i="6"/>
  <c r="D654" i="6"/>
  <c r="C654" i="6"/>
  <c r="R653" i="6"/>
  <c r="Q653" i="6"/>
  <c r="P653" i="6"/>
  <c r="S653" i="6" s="1"/>
  <c r="N653" i="6"/>
  <c r="U653" i="6" s="1"/>
  <c r="J653" i="6"/>
  <c r="I653" i="6"/>
  <c r="H653" i="6"/>
  <c r="K653" i="6" s="1"/>
  <c r="G653" i="6"/>
  <c r="F653" i="6"/>
  <c r="E653" i="6"/>
  <c r="D653" i="6"/>
  <c r="C653" i="6"/>
  <c r="F652" i="6"/>
  <c r="E652" i="6"/>
  <c r="D652" i="6"/>
  <c r="C652" i="6"/>
  <c r="F651" i="6"/>
  <c r="E651" i="6"/>
  <c r="D651" i="6"/>
  <c r="C651" i="6"/>
  <c r="F650" i="6"/>
  <c r="E650" i="6"/>
  <c r="D650" i="6"/>
  <c r="C650" i="6"/>
  <c r="F649" i="6"/>
  <c r="E649" i="6"/>
  <c r="D649" i="6"/>
  <c r="C649" i="6"/>
  <c r="Q648" i="6"/>
  <c r="I648" i="6"/>
  <c r="G648" i="6"/>
  <c r="F648" i="6"/>
  <c r="E648" i="6"/>
  <c r="D648" i="6"/>
  <c r="C648" i="6"/>
  <c r="R647" i="6"/>
  <c r="Q647" i="6"/>
  <c r="N647" i="6"/>
  <c r="U647" i="6" s="1"/>
  <c r="I647" i="6"/>
  <c r="G647" i="6"/>
  <c r="F647" i="6"/>
  <c r="E647" i="6"/>
  <c r="D647" i="6"/>
  <c r="C647" i="6"/>
  <c r="F646" i="6"/>
  <c r="E646" i="6"/>
  <c r="D646" i="6"/>
  <c r="C646" i="6"/>
  <c r="F645" i="6"/>
  <c r="E645" i="6"/>
  <c r="D645" i="6"/>
  <c r="C645" i="6"/>
  <c r="F644" i="6"/>
  <c r="E644" i="6"/>
  <c r="D644" i="6"/>
  <c r="C644" i="6"/>
  <c r="F643" i="6"/>
  <c r="E643" i="6"/>
  <c r="D643" i="6"/>
  <c r="C643" i="6"/>
  <c r="F642" i="6"/>
  <c r="E642" i="6"/>
  <c r="D642" i="6"/>
  <c r="C642" i="6"/>
  <c r="F641" i="6"/>
  <c r="E641" i="6"/>
  <c r="D641" i="6"/>
  <c r="C641" i="6"/>
  <c r="G640" i="6"/>
  <c r="F640" i="6"/>
  <c r="E640" i="6"/>
  <c r="D640" i="6"/>
  <c r="C640" i="6"/>
  <c r="U639" i="6"/>
  <c r="R639" i="6"/>
  <c r="Q639" i="6"/>
  <c r="S639" i="6" s="1"/>
  <c r="P639" i="6"/>
  <c r="N639" i="6"/>
  <c r="O639" i="6" s="1"/>
  <c r="I639" i="6"/>
  <c r="H639" i="6"/>
  <c r="G639" i="6"/>
  <c r="F639" i="6"/>
  <c r="E639" i="6"/>
  <c r="D639" i="6"/>
  <c r="C639" i="6"/>
  <c r="S638" i="6"/>
  <c r="R638" i="6"/>
  <c r="Q638" i="6"/>
  <c r="P638" i="6"/>
  <c r="K638" i="6"/>
  <c r="J638" i="6"/>
  <c r="I638" i="6"/>
  <c r="H638" i="6"/>
  <c r="G638" i="6"/>
  <c r="F638" i="6"/>
  <c r="E638" i="6"/>
  <c r="N638" i="6" s="1"/>
  <c r="U638" i="6" s="1"/>
  <c r="D638" i="6"/>
  <c r="C638" i="6"/>
  <c r="Q637" i="6"/>
  <c r="O637" i="6"/>
  <c r="N637" i="6"/>
  <c r="U637" i="6" s="1"/>
  <c r="I637" i="6"/>
  <c r="K637" i="6" s="1"/>
  <c r="H637" i="6"/>
  <c r="G637" i="6"/>
  <c r="F637" i="6"/>
  <c r="E637" i="6"/>
  <c r="D637" i="6"/>
  <c r="C637" i="6"/>
  <c r="F636" i="6"/>
  <c r="E636" i="6"/>
  <c r="D636" i="6"/>
  <c r="C636" i="6"/>
  <c r="F635" i="6"/>
  <c r="E635" i="6"/>
  <c r="D635" i="6"/>
  <c r="C635" i="6"/>
  <c r="F634" i="6"/>
  <c r="E634" i="6"/>
  <c r="D634" i="6"/>
  <c r="C634" i="6"/>
  <c r="R633" i="6"/>
  <c r="F633" i="6"/>
  <c r="E633" i="6"/>
  <c r="D633" i="6"/>
  <c r="C633" i="6"/>
  <c r="R632" i="6"/>
  <c r="Q632" i="6"/>
  <c r="N632" i="6"/>
  <c r="H632" i="6"/>
  <c r="G632" i="6"/>
  <c r="F632" i="6"/>
  <c r="E632" i="6"/>
  <c r="D632" i="6"/>
  <c r="C632" i="6"/>
  <c r="F631" i="6"/>
  <c r="E631" i="6"/>
  <c r="D631" i="6"/>
  <c r="C631" i="6"/>
  <c r="F630" i="6"/>
  <c r="E630" i="6"/>
  <c r="D630" i="6"/>
  <c r="C630" i="6"/>
  <c r="F629" i="6"/>
  <c r="E629" i="6"/>
  <c r="D629" i="6"/>
  <c r="C629" i="6"/>
  <c r="F628" i="6"/>
  <c r="E628" i="6"/>
  <c r="D628" i="6"/>
  <c r="C628" i="6"/>
  <c r="P627" i="6"/>
  <c r="F627" i="6"/>
  <c r="E627" i="6"/>
  <c r="D627" i="6"/>
  <c r="C627" i="6"/>
  <c r="R626" i="6"/>
  <c r="I626" i="6"/>
  <c r="K626" i="6" s="1"/>
  <c r="L626" i="6" s="1"/>
  <c r="H626" i="6"/>
  <c r="G626" i="6"/>
  <c r="J626" i="6" s="1"/>
  <c r="F626" i="6"/>
  <c r="E626" i="6"/>
  <c r="Q626" i="6" s="1"/>
  <c r="D626" i="6"/>
  <c r="C626" i="6"/>
  <c r="F625" i="6"/>
  <c r="E625" i="6"/>
  <c r="D625" i="6"/>
  <c r="C625" i="6"/>
  <c r="F624" i="6"/>
  <c r="E624" i="6"/>
  <c r="D624" i="6"/>
  <c r="C624" i="6"/>
  <c r="F623" i="6"/>
  <c r="E623" i="6"/>
  <c r="D623" i="6"/>
  <c r="C623" i="6"/>
  <c r="F622" i="6"/>
  <c r="E622" i="6"/>
  <c r="D622" i="6"/>
  <c r="C622" i="6"/>
  <c r="F621" i="6"/>
  <c r="E621" i="6"/>
  <c r="D621" i="6"/>
  <c r="C621" i="6"/>
  <c r="F620" i="6"/>
  <c r="E620" i="6"/>
  <c r="D620" i="6"/>
  <c r="C620" i="6"/>
  <c r="U619" i="6"/>
  <c r="S619" i="6"/>
  <c r="R619" i="6"/>
  <c r="Q619" i="6"/>
  <c r="P619" i="6"/>
  <c r="N619" i="6"/>
  <c r="O619" i="6" s="1"/>
  <c r="F619" i="6"/>
  <c r="E619" i="6"/>
  <c r="D619" i="6"/>
  <c r="C619" i="6"/>
  <c r="H618" i="6"/>
  <c r="F618" i="6"/>
  <c r="E618" i="6"/>
  <c r="D618" i="6"/>
  <c r="C618" i="6"/>
  <c r="R617" i="6"/>
  <c r="Q617" i="6"/>
  <c r="P617" i="6"/>
  <c r="S617" i="6" s="1"/>
  <c r="N617" i="6"/>
  <c r="U617" i="6" s="1"/>
  <c r="K617" i="6"/>
  <c r="I617" i="6"/>
  <c r="H617" i="6"/>
  <c r="G617" i="6"/>
  <c r="F617" i="6"/>
  <c r="E617" i="6"/>
  <c r="D617" i="6"/>
  <c r="C617" i="6"/>
  <c r="R616" i="6"/>
  <c r="O616" i="6"/>
  <c r="N616" i="6"/>
  <c r="U616" i="6" s="1"/>
  <c r="F616" i="6"/>
  <c r="E616" i="6"/>
  <c r="D616" i="6"/>
  <c r="C616" i="6"/>
  <c r="F615" i="6"/>
  <c r="E615" i="6"/>
  <c r="D615" i="6"/>
  <c r="C615" i="6"/>
  <c r="F614" i="6"/>
  <c r="E614" i="6"/>
  <c r="D614" i="6"/>
  <c r="C614" i="6"/>
  <c r="R613" i="6"/>
  <c r="Q613" i="6"/>
  <c r="F613" i="6"/>
  <c r="E613" i="6"/>
  <c r="D613" i="6"/>
  <c r="C613" i="6"/>
  <c r="V612" i="6"/>
  <c r="U612" i="6"/>
  <c r="R612" i="6"/>
  <c r="Q612" i="6"/>
  <c r="P612" i="6"/>
  <c r="S612" i="6" s="1"/>
  <c r="N612" i="6"/>
  <c r="I612" i="6"/>
  <c r="H612" i="6"/>
  <c r="J612" i="6" s="1"/>
  <c r="G612" i="6"/>
  <c r="F612" i="6"/>
  <c r="E612" i="6"/>
  <c r="D612" i="6"/>
  <c r="C612" i="6"/>
  <c r="R611" i="6"/>
  <c r="G611" i="6"/>
  <c r="F611" i="6"/>
  <c r="E611" i="6"/>
  <c r="D611" i="6"/>
  <c r="C611" i="6"/>
  <c r="F610" i="6"/>
  <c r="E610" i="6"/>
  <c r="D610" i="6"/>
  <c r="C610" i="6"/>
  <c r="F609" i="6"/>
  <c r="E609" i="6"/>
  <c r="D609" i="6"/>
  <c r="C609" i="6"/>
  <c r="F608" i="6"/>
  <c r="E608" i="6"/>
  <c r="D608" i="6"/>
  <c r="C608" i="6"/>
  <c r="F607" i="6"/>
  <c r="E607" i="6"/>
  <c r="D607" i="6"/>
  <c r="C607" i="6"/>
  <c r="U606" i="6"/>
  <c r="R606" i="6"/>
  <c r="P606" i="6"/>
  <c r="N606" i="6"/>
  <c r="I606" i="6"/>
  <c r="G606" i="6"/>
  <c r="F606" i="6"/>
  <c r="E606" i="6"/>
  <c r="D606" i="6"/>
  <c r="C606" i="6"/>
  <c r="F605" i="6"/>
  <c r="E605" i="6"/>
  <c r="D605" i="6"/>
  <c r="C605" i="6"/>
  <c r="F604" i="6"/>
  <c r="E604" i="6"/>
  <c r="D604" i="6"/>
  <c r="C604" i="6"/>
  <c r="F603" i="6"/>
  <c r="E603" i="6"/>
  <c r="D603" i="6"/>
  <c r="C603" i="6"/>
  <c r="F602" i="6"/>
  <c r="E602" i="6"/>
  <c r="D602" i="6"/>
  <c r="C602" i="6"/>
  <c r="F601" i="6"/>
  <c r="E601" i="6"/>
  <c r="D601" i="6"/>
  <c r="C601" i="6"/>
  <c r="F600" i="6"/>
  <c r="E600" i="6"/>
  <c r="D600" i="6"/>
  <c r="C600" i="6"/>
  <c r="F599" i="6"/>
  <c r="E599" i="6"/>
  <c r="D599" i="6"/>
  <c r="C599" i="6"/>
  <c r="Q598" i="6"/>
  <c r="P598" i="6"/>
  <c r="N598" i="6"/>
  <c r="I598" i="6"/>
  <c r="G598" i="6"/>
  <c r="F598" i="6"/>
  <c r="E598" i="6"/>
  <c r="D598" i="6"/>
  <c r="O598" i="6" s="1"/>
  <c r="C598" i="6"/>
  <c r="I597" i="6"/>
  <c r="F597" i="6"/>
  <c r="E597" i="6"/>
  <c r="D597" i="6"/>
  <c r="C597" i="6"/>
  <c r="P596" i="6"/>
  <c r="N596" i="6"/>
  <c r="F596" i="6"/>
  <c r="E596" i="6"/>
  <c r="D596" i="6"/>
  <c r="C596" i="6"/>
  <c r="R595" i="6"/>
  <c r="Q595" i="6"/>
  <c r="P595" i="6"/>
  <c r="N595" i="6"/>
  <c r="I595" i="6"/>
  <c r="H595" i="6"/>
  <c r="K595" i="6" s="1"/>
  <c r="G595" i="6"/>
  <c r="F595" i="6"/>
  <c r="E595" i="6"/>
  <c r="D595" i="6"/>
  <c r="C595" i="6"/>
  <c r="F594" i="6"/>
  <c r="E594" i="6"/>
  <c r="D594" i="6"/>
  <c r="C594" i="6"/>
  <c r="F593" i="6"/>
  <c r="E593" i="6"/>
  <c r="D593" i="6"/>
  <c r="C593" i="6"/>
  <c r="N592" i="6"/>
  <c r="I592" i="6"/>
  <c r="F592" i="6"/>
  <c r="E592" i="6"/>
  <c r="D592" i="6"/>
  <c r="C592" i="6"/>
  <c r="F591" i="6"/>
  <c r="E591" i="6"/>
  <c r="D591" i="6"/>
  <c r="C591" i="6"/>
  <c r="R590" i="6"/>
  <c r="P590" i="6"/>
  <c r="N590" i="6"/>
  <c r="K590" i="6"/>
  <c r="I590" i="6"/>
  <c r="J590" i="6" s="1"/>
  <c r="H590" i="6"/>
  <c r="G590" i="6"/>
  <c r="F590" i="6"/>
  <c r="E590" i="6"/>
  <c r="Q590" i="6" s="1"/>
  <c r="D590" i="6"/>
  <c r="C590" i="6"/>
  <c r="F589" i="6"/>
  <c r="E589" i="6"/>
  <c r="D589" i="6"/>
  <c r="C589" i="6"/>
  <c r="F588" i="6"/>
  <c r="E588" i="6"/>
  <c r="D588" i="6"/>
  <c r="C588" i="6"/>
  <c r="N587" i="6"/>
  <c r="F587" i="6"/>
  <c r="E587" i="6"/>
  <c r="D587" i="6"/>
  <c r="C587" i="6"/>
  <c r="F586" i="6"/>
  <c r="E586" i="6"/>
  <c r="D586" i="6"/>
  <c r="C586" i="6"/>
  <c r="Q585" i="6"/>
  <c r="P585" i="6"/>
  <c r="N585" i="6"/>
  <c r="H585" i="6"/>
  <c r="G585" i="6"/>
  <c r="F585" i="6"/>
  <c r="E585" i="6"/>
  <c r="D585" i="6"/>
  <c r="C585" i="6"/>
  <c r="V584" i="6"/>
  <c r="R584" i="6"/>
  <c r="P584" i="6"/>
  <c r="N584" i="6"/>
  <c r="U584" i="6" s="1"/>
  <c r="I584" i="6"/>
  <c r="F584" i="6"/>
  <c r="E584" i="6"/>
  <c r="D584" i="6"/>
  <c r="C584" i="6"/>
  <c r="F583" i="6"/>
  <c r="E583" i="6"/>
  <c r="D583" i="6"/>
  <c r="C583" i="6"/>
  <c r="F582" i="6"/>
  <c r="E582" i="6"/>
  <c r="D582" i="6"/>
  <c r="C582" i="6"/>
  <c r="F581" i="6"/>
  <c r="E581" i="6"/>
  <c r="D581" i="6"/>
  <c r="C581" i="6"/>
  <c r="F580" i="6"/>
  <c r="E580" i="6"/>
  <c r="D580" i="6"/>
  <c r="C580" i="6"/>
  <c r="F579" i="6"/>
  <c r="E579" i="6"/>
  <c r="D579" i="6"/>
  <c r="C579" i="6"/>
  <c r="F578" i="6"/>
  <c r="E578" i="6"/>
  <c r="D578" i="6"/>
  <c r="C578" i="6"/>
  <c r="H577" i="6"/>
  <c r="G577" i="6"/>
  <c r="F577" i="6"/>
  <c r="E577" i="6"/>
  <c r="D577" i="6"/>
  <c r="C577" i="6"/>
  <c r="R576" i="6"/>
  <c r="F576" i="6"/>
  <c r="E576" i="6"/>
  <c r="D576" i="6"/>
  <c r="C576" i="6"/>
  <c r="N575" i="6"/>
  <c r="G575" i="6"/>
  <c r="F575" i="6"/>
  <c r="E575" i="6"/>
  <c r="D575" i="6"/>
  <c r="C575" i="6"/>
  <c r="R574" i="6"/>
  <c r="S574" i="6" s="1"/>
  <c r="P574" i="6"/>
  <c r="N574" i="6"/>
  <c r="K574" i="6"/>
  <c r="L574" i="6" s="1"/>
  <c r="I574" i="6"/>
  <c r="H574" i="6"/>
  <c r="G574" i="6"/>
  <c r="J574" i="6" s="1"/>
  <c r="F574" i="6"/>
  <c r="E574" i="6"/>
  <c r="Q574" i="6" s="1"/>
  <c r="D574" i="6"/>
  <c r="C574" i="6"/>
  <c r="F573" i="6"/>
  <c r="E573" i="6"/>
  <c r="D573" i="6"/>
  <c r="C573" i="6"/>
  <c r="F572" i="6"/>
  <c r="E572" i="6"/>
  <c r="D572" i="6"/>
  <c r="C572" i="6"/>
  <c r="U571" i="6"/>
  <c r="Q571" i="6"/>
  <c r="P571" i="6"/>
  <c r="N571" i="6"/>
  <c r="O571" i="6" s="1"/>
  <c r="I571" i="6"/>
  <c r="H571" i="6"/>
  <c r="G571" i="6"/>
  <c r="F571" i="6"/>
  <c r="E571" i="6"/>
  <c r="D571" i="6"/>
  <c r="C571" i="6"/>
  <c r="N570" i="6"/>
  <c r="I570" i="6"/>
  <c r="H570" i="6"/>
  <c r="G570" i="6"/>
  <c r="F570" i="6"/>
  <c r="E570" i="6"/>
  <c r="D570" i="6"/>
  <c r="C570" i="6"/>
  <c r="V569" i="6"/>
  <c r="U569" i="6"/>
  <c r="N569" i="6"/>
  <c r="O569" i="6" s="1"/>
  <c r="I569" i="6"/>
  <c r="H569" i="6"/>
  <c r="G569" i="6"/>
  <c r="F569" i="6"/>
  <c r="E569" i="6"/>
  <c r="Q569" i="6" s="1"/>
  <c r="D569" i="6"/>
  <c r="C569" i="6"/>
  <c r="F568" i="6"/>
  <c r="E568" i="6"/>
  <c r="D568" i="6"/>
  <c r="C568" i="6"/>
  <c r="F567" i="6"/>
  <c r="E567" i="6"/>
  <c r="D567" i="6"/>
  <c r="C567" i="6"/>
  <c r="N566" i="6"/>
  <c r="F566" i="6"/>
  <c r="E566" i="6"/>
  <c r="D566" i="6"/>
  <c r="C566" i="6"/>
  <c r="F565" i="6"/>
  <c r="E565" i="6"/>
  <c r="D565" i="6"/>
  <c r="C565" i="6"/>
  <c r="V564" i="6"/>
  <c r="N564" i="6"/>
  <c r="F564" i="6"/>
  <c r="E564" i="6"/>
  <c r="D564" i="6"/>
  <c r="C564" i="6"/>
  <c r="R563" i="6"/>
  <c r="P563" i="6"/>
  <c r="F563" i="6"/>
  <c r="E563" i="6"/>
  <c r="D563" i="6"/>
  <c r="C563" i="6"/>
  <c r="F562" i="6"/>
  <c r="E562" i="6"/>
  <c r="D562" i="6"/>
  <c r="C562" i="6"/>
  <c r="F561" i="6"/>
  <c r="E561" i="6"/>
  <c r="D561" i="6"/>
  <c r="C561" i="6"/>
  <c r="F560" i="6"/>
  <c r="E560" i="6"/>
  <c r="D560" i="6"/>
  <c r="C560" i="6"/>
  <c r="F559" i="6"/>
  <c r="E559" i="6"/>
  <c r="D559" i="6"/>
  <c r="C559" i="6"/>
  <c r="F558" i="6"/>
  <c r="E558" i="6"/>
  <c r="D558" i="6"/>
  <c r="C558" i="6"/>
  <c r="F557" i="6"/>
  <c r="E557" i="6"/>
  <c r="D557" i="6"/>
  <c r="C557" i="6"/>
  <c r="P556" i="6"/>
  <c r="K556" i="6"/>
  <c r="I556" i="6"/>
  <c r="H556" i="6"/>
  <c r="G556" i="6"/>
  <c r="F556" i="6"/>
  <c r="E556" i="6"/>
  <c r="D556" i="6"/>
  <c r="C556" i="6"/>
  <c r="V555" i="6"/>
  <c r="P555" i="6"/>
  <c r="N555" i="6"/>
  <c r="I555" i="6"/>
  <c r="G555" i="6"/>
  <c r="F555" i="6"/>
  <c r="E555" i="6"/>
  <c r="D555" i="6"/>
  <c r="C555" i="6"/>
  <c r="Q554" i="6"/>
  <c r="H554" i="6"/>
  <c r="G554" i="6"/>
  <c r="F554" i="6"/>
  <c r="E554" i="6"/>
  <c r="R554" i="6" s="1"/>
  <c r="D554" i="6"/>
  <c r="C554" i="6"/>
  <c r="R553" i="6"/>
  <c r="N553" i="6"/>
  <c r="K553" i="6"/>
  <c r="I553" i="6"/>
  <c r="G553" i="6"/>
  <c r="F553" i="6"/>
  <c r="E553" i="6"/>
  <c r="H553" i="6" s="1"/>
  <c r="D553" i="6"/>
  <c r="C553" i="6"/>
  <c r="F552" i="6"/>
  <c r="E552" i="6"/>
  <c r="D552" i="6"/>
  <c r="C552" i="6"/>
  <c r="F551" i="6"/>
  <c r="E551" i="6"/>
  <c r="D551" i="6"/>
  <c r="C551" i="6"/>
  <c r="F550" i="6"/>
  <c r="E550" i="6"/>
  <c r="D550" i="6"/>
  <c r="C550" i="6"/>
  <c r="V549" i="6"/>
  <c r="R549" i="6"/>
  <c r="Q549" i="6"/>
  <c r="P549" i="6"/>
  <c r="S549" i="6" s="1"/>
  <c r="O549" i="6"/>
  <c r="N549" i="6"/>
  <c r="U549" i="6" s="1"/>
  <c r="L549" i="6"/>
  <c r="K549" i="6"/>
  <c r="I549" i="6"/>
  <c r="H549" i="6"/>
  <c r="G549" i="6"/>
  <c r="J549" i="6" s="1"/>
  <c r="F549" i="6"/>
  <c r="E549" i="6"/>
  <c r="D549" i="6"/>
  <c r="C549" i="6"/>
  <c r="G548" i="6"/>
  <c r="F548" i="6"/>
  <c r="E548" i="6"/>
  <c r="D548" i="6"/>
  <c r="C548" i="6"/>
  <c r="F547" i="6"/>
  <c r="E547" i="6"/>
  <c r="D547" i="6"/>
  <c r="C547" i="6"/>
  <c r="F546" i="6"/>
  <c r="E546" i="6"/>
  <c r="D546" i="6"/>
  <c r="C546" i="6"/>
  <c r="F545" i="6"/>
  <c r="E545" i="6"/>
  <c r="D545" i="6"/>
  <c r="C545" i="6"/>
  <c r="F544" i="6"/>
  <c r="E544" i="6"/>
  <c r="D544" i="6"/>
  <c r="C544" i="6"/>
  <c r="R543" i="6"/>
  <c r="Q543" i="6"/>
  <c r="P543" i="6"/>
  <c r="S543" i="6" s="1"/>
  <c r="J543" i="6"/>
  <c r="I543" i="6"/>
  <c r="H543" i="6"/>
  <c r="G543" i="6"/>
  <c r="F543" i="6"/>
  <c r="E543" i="6"/>
  <c r="N543" i="6" s="1"/>
  <c r="D543" i="6"/>
  <c r="C543" i="6"/>
  <c r="Q542" i="6"/>
  <c r="G542" i="6"/>
  <c r="F542" i="6"/>
  <c r="E542" i="6"/>
  <c r="D542" i="6"/>
  <c r="C542" i="6"/>
  <c r="F541" i="6"/>
  <c r="E541" i="6"/>
  <c r="D541" i="6"/>
  <c r="C541" i="6"/>
  <c r="F540" i="6"/>
  <c r="E540" i="6"/>
  <c r="D540" i="6"/>
  <c r="C540" i="6"/>
  <c r="F539" i="6"/>
  <c r="E539" i="6"/>
  <c r="D539" i="6"/>
  <c r="C539" i="6"/>
  <c r="F538" i="6"/>
  <c r="E538" i="6"/>
  <c r="D538" i="6"/>
  <c r="C538" i="6"/>
  <c r="F537" i="6"/>
  <c r="E537" i="6"/>
  <c r="D537" i="6"/>
  <c r="C537" i="6"/>
  <c r="F536" i="6"/>
  <c r="E536" i="6"/>
  <c r="D536" i="6"/>
  <c r="C536" i="6"/>
  <c r="U535" i="6"/>
  <c r="R535" i="6"/>
  <c r="Q535" i="6"/>
  <c r="O535" i="6"/>
  <c r="N535" i="6"/>
  <c r="V535" i="6" s="1"/>
  <c r="I535" i="6"/>
  <c r="G535" i="6"/>
  <c r="F535" i="6"/>
  <c r="E535" i="6"/>
  <c r="D535" i="6"/>
  <c r="C535" i="6"/>
  <c r="Q534" i="6"/>
  <c r="F534" i="6"/>
  <c r="E534" i="6"/>
  <c r="D534" i="6"/>
  <c r="C534" i="6"/>
  <c r="H533" i="6"/>
  <c r="F533" i="6"/>
  <c r="E533" i="6"/>
  <c r="D533" i="6"/>
  <c r="C533" i="6"/>
  <c r="R532" i="6"/>
  <c r="Q532" i="6"/>
  <c r="I532" i="6"/>
  <c r="G532" i="6"/>
  <c r="F532" i="6"/>
  <c r="E532" i="6"/>
  <c r="D532" i="6"/>
  <c r="C532" i="6"/>
  <c r="F531" i="6"/>
  <c r="E531" i="6"/>
  <c r="D531" i="6"/>
  <c r="C531" i="6"/>
  <c r="F530" i="6"/>
  <c r="E530" i="6"/>
  <c r="D530" i="6"/>
  <c r="C530" i="6"/>
  <c r="Q529" i="6"/>
  <c r="P529" i="6"/>
  <c r="N529" i="6"/>
  <c r="I529" i="6"/>
  <c r="G529" i="6"/>
  <c r="F529" i="6"/>
  <c r="E529" i="6"/>
  <c r="D529" i="6"/>
  <c r="C529" i="6"/>
  <c r="R528" i="6"/>
  <c r="Q528" i="6"/>
  <c r="N528" i="6"/>
  <c r="O528" i="6" s="1"/>
  <c r="K528" i="6"/>
  <c r="I528" i="6"/>
  <c r="H528" i="6"/>
  <c r="J528" i="6" s="1"/>
  <c r="G528" i="6"/>
  <c r="F528" i="6"/>
  <c r="E528" i="6"/>
  <c r="P528" i="6" s="1"/>
  <c r="S528" i="6" s="1"/>
  <c r="D528" i="6"/>
  <c r="C528" i="6"/>
  <c r="Q527" i="6"/>
  <c r="F527" i="6"/>
  <c r="E527" i="6"/>
  <c r="D527" i="6"/>
  <c r="C527" i="6"/>
  <c r="F526" i="6"/>
  <c r="E526" i="6"/>
  <c r="D526" i="6"/>
  <c r="C526" i="6"/>
  <c r="F525" i="6"/>
  <c r="E525" i="6"/>
  <c r="D525" i="6"/>
  <c r="C525" i="6"/>
  <c r="F524" i="6"/>
  <c r="E524" i="6"/>
  <c r="D524" i="6"/>
  <c r="C524" i="6"/>
  <c r="F523" i="6"/>
  <c r="E523" i="6"/>
  <c r="D523" i="6"/>
  <c r="C523" i="6"/>
  <c r="P522" i="6"/>
  <c r="F522" i="6"/>
  <c r="E522" i="6"/>
  <c r="D522" i="6"/>
  <c r="C522" i="6"/>
  <c r="F521" i="6"/>
  <c r="E521" i="6"/>
  <c r="D521" i="6"/>
  <c r="C521" i="6"/>
  <c r="F520" i="6"/>
  <c r="E520" i="6"/>
  <c r="D520" i="6"/>
  <c r="C520" i="6"/>
  <c r="F519" i="6"/>
  <c r="E519" i="6"/>
  <c r="D519" i="6"/>
  <c r="C519" i="6"/>
  <c r="F518" i="6"/>
  <c r="E518" i="6"/>
  <c r="D518" i="6"/>
  <c r="C518" i="6"/>
  <c r="F517" i="6"/>
  <c r="E517" i="6"/>
  <c r="D517" i="6"/>
  <c r="C517" i="6"/>
  <c r="F516" i="6"/>
  <c r="E516" i="6"/>
  <c r="D516" i="6"/>
  <c r="C516" i="6"/>
  <c r="F515" i="6"/>
  <c r="E515" i="6"/>
  <c r="D515" i="6"/>
  <c r="C515" i="6"/>
  <c r="F514" i="6"/>
  <c r="E514" i="6"/>
  <c r="D514" i="6"/>
  <c r="C514" i="6"/>
  <c r="Q513" i="6"/>
  <c r="P513" i="6"/>
  <c r="I513" i="6"/>
  <c r="F513" i="6"/>
  <c r="E513" i="6"/>
  <c r="D513" i="6"/>
  <c r="C513" i="6"/>
  <c r="R512" i="6"/>
  <c r="Q512" i="6"/>
  <c r="P512" i="6"/>
  <c r="S512" i="6" s="1"/>
  <c r="N512" i="6"/>
  <c r="J512" i="6"/>
  <c r="I512" i="6"/>
  <c r="K512" i="6" s="1"/>
  <c r="H512" i="6"/>
  <c r="G512" i="6"/>
  <c r="F512" i="6"/>
  <c r="E512" i="6"/>
  <c r="D512" i="6"/>
  <c r="C512" i="6"/>
  <c r="R511" i="6"/>
  <c r="Q511" i="6"/>
  <c r="P511" i="6"/>
  <c r="S511" i="6" s="1"/>
  <c r="N511" i="6"/>
  <c r="I511" i="6"/>
  <c r="H511" i="6"/>
  <c r="G511" i="6"/>
  <c r="J511" i="6" s="1"/>
  <c r="F511" i="6"/>
  <c r="E511" i="6"/>
  <c r="D511" i="6"/>
  <c r="C511" i="6"/>
  <c r="F510" i="6"/>
  <c r="E510" i="6"/>
  <c r="D510" i="6"/>
  <c r="C510" i="6"/>
  <c r="F509" i="6"/>
  <c r="E509" i="6"/>
  <c r="D509" i="6"/>
  <c r="C509" i="6"/>
  <c r="F508" i="6"/>
  <c r="E508" i="6"/>
  <c r="D508" i="6"/>
  <c r="C508" i="6"/>
  <c r="U507" i="6"/>
  <c r="P507" i="6"/>
  <c r="N507" i="6"/>
  <c r="O507" i="6" s="1"/>
  <c r="F507" i="6"/>
  <c r="E507" i="6"/>
  <c r="V507" i="6" s="1"/>
  <c r="D507" i="6"/>
  <c r="C507" i="6"/>
  <c r="R506" i="6"/>
  <c r="Q506" i="6"/>
  <c r="N506" i="6"/>
  <c r="I506" i="6"/>
  <c r="H506" i="6"/>
  <c r="F506" i="6"/>
  <c r="E506" i="6"/>
  <c r="D506" i="6"/>
  <c r="C506" i="6"/>
  <c r="F505" i="6"/>
  <c r="E505" i="6"/>
  <c r="D505" i="6"/>
  <c r="C505" i="6"/>
  <c r="F504" i="6"/>
  <c r="E504" i="6"/>
  <c r="D504" i="6"/>
  <c r="C504" i="6"/>
  <c r="F503" i="6"/>
  <c r="E503" i="6"/>
  <c r="D503" i="6"/>
  <c r="C503" i="6"/>
  <c r="F502" i="6"/>
  <c r="E502" i="6"/>
  <c r="D502" i="6"/>
  <c r="C502" i="6"/>
  <c r="V501" i="6"/>
  <c r="U501" i="6"/>
  <c r="S501" i="6"/>
  <c r="R501" i="6"/>
  <c r="Q501" i="6"/>
  <c r="P501" i="6"/>
  <c r="N501" i="6"/>
  <c r="O501" i="6" s="1"/>
  <c r="I501" i="6"/>
  <c r="H501" i="6"/>
  <c r="G501" i="6"/>
  <c r="J501" i="6" s="1"/>
  <c r="F501" i="6"/>
  <c r="E501" i="6"/>
  <c r="D501" i="6"/>
  <c r="C501" i="6"/>
  <c r="R500" i="6"/>
  <c r="Q500" i="6"/>
  <c r="P500" i="6"/>
  <c r="S500" i="6" s="1"/>
  <c r="N500" i="6"/>
  <c r="I500" i="6"/>
  <c r="H500" i="6"/>
  <c r="F500" i="6"/>
  <c r="E500" i="6"/>
  <c r="G500" i="6" s="1"/>
  <c r="D500" i="6"/>
  <c r="C500" i="6"/>
  <c r="F499" i="6"/>
  <c r="E499" i="6"/>
  <c r="D499" i="6"/>
  <c r="C499" i="6"/>
  <c r="F498" i="6"/>
  <c r="E498" i="6"/>
  <c r="D498" i="6"/>
  <c r="C498" i="6"/>
  <c r="F497" i="6"/>
  <c r="E497" i="6"/>
  <c r="D497" i="6"/>
  <c r="C497" i="6"/>
  <c r="I496" i="6"/>
  <c r="F496" i="6"/>
  <c r="E496" i="6"/>
  <c r="D496" i="6"/>
  <c r="C496" i="6"/>
  <c r="F495" i="6"/>
  <c r="E495" i="6"/>
  <c r="D495" i="6"/>
  <c r="C495" i="6"/>
  <c r="F494" i="6"/>
  <c r="E494" i="6"/>
  <c r="D494" i="6"/>
  <c r="C494" i="6"/>
  <c r="F493" i="6"/>
  <c r="E493" i="6"/>
  <c r="D493" i="6"/>
  <c r="C493" i="6"/>
  <c r="P492" i="6"/>
  <c r="N492" i="6"/>
  <c r="F492" i="6"/>
  <c r="E492" i="6"/>
  <c r="D492" i="6"/>
  <c r="C492" i="6"/>
  <c r="F491" i="6"/>
  <c r="E491" i="6"/>
  <c r="D491" i="6"/>
  <c r="C491" i="6"/>
  <c r="V490" i="6"/>
  <c r="U490" i="6"/>
  <c r="R490" i="6"/>
  <c r="S490" i="6" s="1"/>
  <c r="Q490" i="6"/>
  <c r="P490" i="6"/>
  <c r="N490" i="6"/>
  <c r="O490" i="6" s="1"/>
  <c r="I490" i="6"/>
  <c r="H490" i="6"/>
  <c r="G490" i="6"/>
  <c r="F490" i="6"/>
  <c r="E490" i="6"/>
  <c r="D490" i="6"/>
  <c r="C490" i="6"/>
  <c r="F489" i="6"/>
  <c r="E489" i="6"/>
  <c r="D489" i="6"/>
  <c r="C489" i="6"/>
  <c r="F488" i="6"/>
  <c r="E488" i="6"/>
  <c r="D488" i="6"/>
  <c r="C488" i="6"/>
  <c r="Q487" i="6"/>
  <c r="P487" i="6"/>
  <c r="K487" i="6"/>
  <c r="L487" i="6" s="1"/>
  <c r="I487" i="6"/>
  <c r="H487" i="6"/>
  <c r="G487" i="6"/>
  <c r="J487" i="6" s="1"/>
  <c r="F487" i="6"/>
  <c r="E487" i="6"/>
  <c r="D487" i="6"/>
  <c r="C487" i="6"/>
  <c r="F486" i="6"/>
  <c r="E486" i="6"/>
  <c r="D486" i="6"/>
  <c r="C486" i="6"/>
  <c r="V485" i="6"/>
  <c r="U485" i="6"/>
  <c r="Q485" i="6"/>
  <c r="N485" i="6"/>
  <c r="O485" i="6" s="1"/>
  <c r="I485" i="6"/>
  <c r="F485" i="6"/>
  <c r="E485" i="6"/>
  <c r="D485" i="6"/>
  <c r="C485" i="6"/>
  <c r="F484" i="6"/>
  <c r="E484" i="6"/>
  <c r="D484" i="6"/>
  <c r="C484" i="6"/>
  <c r="F483" i="6"/>
  <c r="E483" i="6"/>
  <c r="D483" i="6"/>
  <c r="C483" i="6"/>
  <c r="N482" i="6"/>
  <c r="F482" i="6"/>
  <c r="E482" i="6"/>
  <c r="D482" i="6"/>
  <c r="C482" i="6"/>
  <c r="F481" i="6"/>
  <c r="E481" i="6"/>
  <c r="D481" i="6"/>
  <c r="C481" i="6"/>
  <c r="R480" i="6"/>
  <c r="P480" i="6"/>
  <c r="S480" i="6" s="1"/>
  <c r="K480" i="6"/>
  <c r="L480" i="6" s="1"/>
  <c r="I480" i="6"/>
  <c r="H480" i="6"/>
  <c r="G480" i="6"/>
  <c r="J480" i="6" s="1"/>
  <c r="F480" i="6"/>
  <c r="E480" i="6"/>
  <c r="Q480" i="6" s="1"/>
  <c r="D480" i="6"/>
  <c r="C480" i="6"/>
  <c r="F479" i="6"/>
  <c r="E479" i="6"/>
  <c r="D479" i="6"/>
  <c r="C479" i="6"/>
  <c r="F478" i="6"/>
  <c r="E478" i="6"/>
  <c r="D478" i="6"/>
  <c r="C478" i="6"/>
  <c r="F477" i="6"/>
  <c r="E477" i="6"/>
  <c r="D477" i="6"/>
  <c r="C477" i="6"/>
  <c r="F476" i="6"/>
  <c r="E476" i="6"/>
  <c r="D476" i="6"/>
  <c r="C476" i="6"/>
  <c r="F475" i="6"/>
  <c r="E475" i="6"/>
  <c r="D475" i="6"/>
  <c r="C475" i="6"/>
  <c r="F474" i="6"/>
  <c r="E474" i="6"/>
  <c r="D474" i="6"/>
  <c r="C474" i="6"/>
  <c r="F473" i="6"/>
  <c r="E473" i="6"/>
  <c r="D473" i="6"/>
  <c r="C473" i="6"/>
  <c r="G472" i="6"/>
  <c r="F472" i="6"/>
  <c r="E472" i="6"/>
  <c r="D472" i="6"/>
  <c r="C472" i="6"/>
  <c r="P471" i="6"/>
  <c r="F471" i="6"/>
  <c r="E471" i="6"/>
  <c r="D471" i="6"/>
  <c r="C471" i="6"/>
  <c r="V470" i="6"/>
  <c r="R470" i="6"/>
  <c r="N470" i="6"/>
  <c r="O470" i="6" s="1"/>
  <c r="I470" i="6"/>
  <c r="H470" i="6"/>
  <c r="F470" i="6"/>
  <c r="E470" i="6"/>
  <c r="D470" i="6"/>
  <c r="C470" i="6"/>
  <c r="T469" i="6"/>
  <c r="R469" i="6"/>
  <c r="P469" i="6"/>
  <c r="S469" i="6" s="1"/>
  <c r="L469" i="6"/>
  <c r="K469" i="6"/>
  <c r="I469" i="6"/>
  <c r="H469" i="6"/>
  <c r="G469" i="6"/>
  <c r="J469" i="6" s="1"/>
  <c r="F469" i="6"/>
  <c r="E469" i="6"/>
  <c r="Q469" i="6" s="1"/>
  <c r="D469" i="6"/>
  <c r="C469" i="6"/>
  <c r="F468" i="6"/>
  <c r="E468" i="6"/>
  <c r="D468" i="6"/>
  <c r="C468" i="6"/>
  <c r="F467" i="6"/>
  <c r="E467" i="6"/>
  <c r="D467" i="6"/>
  <c r="C467" i="6"/>
  <c r="U466" i="6"/>
  <c r="R466" i="6"/>
  <c r="P466" i="6"/>
  <c r="N466" i="6"/>
  <c r="I466" i="6"/>
  <c r="K466" i="6" s="1"/>
  <c r="H466" i="6"/>
  <c r="F466" i="6"/>
  <c r="E466" i="6"/>
  <c r="D466" i="6"/>
  <c r="C466" i="6"/>
  <c r="S465" i="6"/>
  <c r="R465" i="6"/>
  <c r="P465" i="6"/>
  <c r="N465" i="6"/>
  <c r="I465" i="6"/>
  <c r="H465" i="6"/>
  <c r="G465" i="6"/>
  <c r="F465" i="6"/>
  <c r="E465" i="6"/>
  <c r="Q465" i="6" s="1"/>
  <c r="D465" i="6"/>
  <c r="C465" i="6"/>
  <c r="O464" i="6"/>
  <c r="N464" i="6"/>
  <c r="U464" i="6" s="1"/>
  <c r="I464" i="6"/>
  <c r="H464" i="6"/>
  <c r="G464" i="6"/>
  <c r="J464" i="6" s="1"/>
  <c r="F464" i="6"/>
  <c r="E464" i="6"/>
  <c r="D464" i="6"/>
  <c r="C464" i="6"/>
  <c r="F463" i="6"/>
  <c r="E463" i="6"/>
  <c r="D463" i="6"/>
  <c r="C463" i="6"/>
  <c r="F462" i="6"/>
  <c r="E462" i="6"/>
  <c r="D462" i="6"/>
  <c r="C462" i="6"/>
  <c r="G461" i="6"/>
  <c r="F461" i="6"/>
  <c r="E461" i="6"/>
  <c r="D461" i="6"/>
  <c r="C461" i="6"/>
  <c r="F460" i="6"/>
  <c r="E460" i="6"/>
  <c r="D460" i="6"/>
  <c r="C460" i="6"/>
  <c r="G459" i="6"/>
  <c r="F459" i="6"/>
  <c r="E459" i="6"/>
  <c r="D459" i="6"/>
  <c r="C459" i="6"/>
  <c r="Q458" i="6"/>
  <c r="P458" i="6"/>
  <c r="F458" i="6"/>
  <c r="E458" i="6"/>
  <c r="D458" i="6"/>
  <c r="C458" i="6"/>
  <c r="F457" i="6"/>
  <c r="E457" i="6"/>
  <c r="D457" i="6"/>
  <c r="C457" i="6"/>
  <c r="F456" i="6"/>
  <c r="E456" i="6"/>
  <c r="D456" i="6"/>
  <c r="C456" i="6"/>
  <c r="F455" i="6"/>
  <c r="E455" i="6"/>
  <c r="D455" i="6"/>
  <c r="C455" i="6"/>
  <c r="F454" i="6"/>
  <c r="E454" i="6"/>
  <c r="D454" i="6"/>
  <c r="C454" i="6"/>
  <c r="F453" i="6"/>
  <c r="E453" i="6"/>
  <c r="D453" i="6"/>
  <c r="C453" i="6"/>
  <c r="H452" i="6"/>
  <c r="F452" i="6"/>
  <c r="E452" i="6"/>
  <c r="D452" i="6"/>
  <c r="C452" i="6"/>
  <c r="N451" i="6"/>
  <c r="I451" i="6"/>
  <c r="H451" i="6"/>
  <c r="G451" i="6"/>
  <c r="J451" i="6" s="1"/>
  <c r="F451" i="6"/>
  <c r="E451" i="6"/>
  <c r="D451" i="6"/>
  <c r="C451" i="6"/>
  <c r="H450" i="6"/>
  <c r="G450" i="6"/>
  <c r="F450" i="6"/>
  <c r="E450" i="6"/>
  <c r="D450" i="6"/>
  <c r="C450" i="6"/>
  <c r="R449" i="6"/>
  <c r="P449" i="6"/>
  <c r="N449" i="6"/>
  <c r="O449" i="6" s="1"/>
  <c r="F449" i="6"/>
  <c r="E449" i="6"/>
  <c r="D449" i="6"/>
  <c r="C449" i="6"/>
  <c r="R448" i="6"/>
  <c r="F448" i="6"/>
  <c r="E448" i="6"/>
  <c r="D448" i="6"/>
  <c r="C448" i="6"/>
  <c r="F447" i="6"/>
  <c r="E447" i="6"/>
  <c r="D447" i="6"/>
  <c r="C447" i="6"/>
  <c r="F446" i="6"/>
  <c r="E446" i="6"/>
  <c r="D446" i="6"/>
  <c r="C446" i="6"/>
  <c r="V445" i="6"/>
  <c r="U445" i="6"/>
  <c r="S445" i="6"/>
  <c r="R445" i="6"/>
  <c r="Q445" i="6"/>
  <c r="P445" i="6"/>
  <c r="O445" i="6"/>
  <c r="N445" i="6"/>
  <c r="I445" i="6"/>
  <c r="H445" i="6"/>
  <c r="G445" i="6"/>
  <c r="F445" i="6"/>
  <c r="E445" i="6"/>
  <c r="D445" i="6"/>
  <c r="C445" i="6"/>
  <c r="U444" i="6"/>
  <c r="R444" i="6"/>
  <c r="Q444" i="6"/>
  <c r="P444" i="6"/>
  <c r="S444" i="6" s="1"/>
  <c r="N444" i="6"/>
  <c r="V444" i="6" s="1"/>
  <c r="F444" i="6"/>
  <c r="E444" i="6"/>
  <c r="G444" i="6" s="1"/>
  <c r="D444" i="6"/>
  <c r="C444" i="6"/>
  <c r="V443" i="6"/>
  <c r="U443" i="6"/>
  <c r="Q443" i="6"/>
  <c r="P443" i="6"/>
  <c r="O443" i="6"/>
  <c r="N443" i="6"/>
  <c r="I443" i="6"/>
  <c r="H443" i="6"/>
  <c r="F443" i="6"/>
  <c r="E443" i="6"/>
  <c r="D443" i="6"/>
  <c r="C443" i="6"/>
  <c r="F442" i="6"/>
  <c r="E442" i="6"/>
  <c r="D442" i="6"/>
  <c r="C442" i="6"/>
  <c r="F441" i="6"/>
  <c r="E441" i="6"/>
  <c r="D441" i="6"/>
  <c r="C441" i="6"/>
  <c r="N440" i="6"/>
  <c r="F440" i="6"/>
  <c r="E440" i="6"/>
  <c r="D440" i="6"/>
  <c r="C440" i="6"/>
  <c r="F439" i="6"/>
  <c r="E439" i="6"/>
  <c r="D439" i="6"/>
  <c r="C439" i="6"/>
  <c r="Q438" i="6"/>
  <c r="P438" i="6"/>
  <c r="F438" i="6"/>
  <c r="E438" i="6"/>
  <c r="D438" i="6"/>
  <c r="C438" i="6"/>
  <c r="V437" i="6"/>
  <c r="U437" i="6"/>
  <c r="Q437" i="6"/>
  <c r="P437" i="6"/>
  <c r="N437" i="6"/>
  <c r="O437" i="6" s="1"/>
  <c r="F437" i="6"/>
  <c r="E437" i="6"/>
  <c r="D437" i="6"/>
  <c r="C437" i="6"/>
  <c r="F436" i="6"/>
  <c r="E436" i="6"/>
  <c r="D436" i="6"/>
  <c r="C436" i="6"/>
  <c r="F435" i="6"/>
  <c r="E435" i="6"/>
  <c r="D435" i="6"/>
  <c r="C435" i="6"/>
  <c r="F434" i="6"/>
  <c r="E434" i="6"/>
  <c r="D434" i="6"/>
  <c r="C434" i="6"/>
  <c r="F433" i="6"/>
  <c r="E433" i="6"/>
  <c r="D433" i="6"/>
  <c r="C433" i="6"/>
  <c r="F432" i="6"/>
  <c r="E432" i="6"/>
  <c r="D432" i="6"/>
  <c r="C432" i="6"/>
  <c r="F431" i="6"/>
  <c r="E431" i="6"/>
  <c r="D431" i="6"/>
  <c r="C431" i="6"/>
  <c r="V430" i="6"/>
  <c r="U430" i="6"/>
  <c r="Q430" i="6"/>
  <c r="P430" i="6"/>
  <c r="O430" i="6"/>
  <c r="N430" i="6"/>
  <c r="H430" i="6"/>
  <c r="F430" i="6"/>
  <c r="E430" i="6"/>
  <c r="D430" i="6"/>
  <c r="C430" i="6"/>
  <c r="Q429" i="6"/>
  <c r="P429" i="6"/>
  <c r="O429" i="6"/>
  <c r="N429" i="6"/>
  <c r="I429" i="6"/>
  <c r="F429" i="6"/>
  <c r="E429" i="6"/>
  <c r="D429" i="6"/>
  <c r="C429" i="6"/>
  <c r="N428" i="6"/>
  <c r="I428" i="6"/>
  <c r="H428" i="6"/>
  <c r="F428" i="6"/>
  <c r="E428" i="6"/>
  <c r="D428" i="6"/>
  <c r="C428" i="6"/>
  <c r="P427" i="6"/>
  <c r="N427" i="6"/>
  <c r="H427" i="6"/>
  <c r="F427" i="6"/>
  <c r="E427" i="6"/>
  <c r="Q427" i="6" s="1"/>
  <c r="D427" i="6"/>
  <c r="C427" i="6"/>
  <c r="F426" i="6"/>
  <c r="E426" i="6"/>
  <c r="D426" i="6"/>
  <c r="C426" i="6"/>
  <c r="F425" i="6"/>
  <c r="E425" i="6"/>
  <c r="D425" i="6"/>
  <c r="C425" i="6"/>
  <c r="F424" i="6"/>
  <c r="E424" i="6"/>
  <c r="D424" i="6"/>
  <c r="C424" i="6"/>
  <c r="F423" i="6"/>
  <c r="E423" i="6"/>
  <c r="D423" i="6"/>
  <c r="C423" i="6"/>
  <c r="P422" i="6"/>
  <c r="N422" i="6"/>
  <c r="F422" i="6"/>
  <c r="E422" i="6"/>
  <c r="Q422" i="6" s="1"/>
  <c r="D422" i="6"/>
  <c r="C422" i="6"/>
  <c r="F421" i="6"/>
  <c r="E421" i="6"/>
  <c r="D421" i="6"/>
  <c r="C421" i="6"/>
  <c r="F420" i="6"/>
  <c r="E420" i="6"/>
  <c r="D420" i="6"/>
  <c r="C420" i="6"/>
  <c r="F419" i="6"/>
  <c r="E419" i="6"/>
  <c r="D419" i="6"/>
  <c r="C419" i="6"/>
  <c r="F418" i="6"/>
  <c r="E418" i="6"/>
  <c r="D418" i="6"/>
  <c r="C418" i="6"/>
  <c r="I417" i="6"/>
  <c r="H417" i="6"/>
  <c r="F417" i="6"/>
  <c r="E417" i="6"/>
  <c r="D417" i="6"/>
  <c r="C417" i="6"/>
  <c r="Q416" i="6"/>
  <c r="P416" i="6"/>
  <c r="F416" i="6"/>
  <c r="E416" i="6"/>
  <c r="D416" i="6"/>
  <c r="C416" i="6"/>
  <c r="F415" i="6"/>
  <c r="E415" i="6"/>
  <c r="D415" i="6"/>
  <c r="C415" i="6"/>
  <c r="F414" i="6"/>
  <c r="E414" i="6"/>
  <c r="D414" i="6"/>
  <c r="C414" i="6"/>
  <c r="F413" i="6"/>
  <c r="E413" i="6"/>
  <c r="D413" i="6"/>
  <c r="C413" i="6"/>
  <c r="F412" i="6"/>
  <c r="E412" i="6"/>
  <c r="D412" i="6"/>
  <c r="C412" i="6"/>
  <c r="F411" i="6"/>
  <c r="E411" i="6"/>
  <c r="D411" i="6"/>
  <c r="C411" i="6"/>
  <c r="F410" i="6"/>
  <c r="E410" i="6"/>
  <c r="D410" i="6"/>
  <c r="C410" i="6"/>
  <c r="N409" i="6"/>
  <c r="I409" i="6"/>
  <c r="H409" i="6"/>
  <c r="K409" i="6" s="1"/>
  <c r="F409" i="6"/>
  <c r="E409" i="6"/>
  <c r="D409" i="6"/>
  <c r="C409" i="6"/>
  <c r="K408" i="6"/>
  <c r="I408" i="6"/>
  <c r="H408" i="6"/>
  <c r="F408" i="6"/>
  <c r="E408" i="6"/>
  <c r="D408" i="6"/>
  <c r="C408" i="6"/>
  <c r="F407" i="6"/>
  <c r="E407" i="6"/>
  <c r="D407" i="6"/>
  <c r="C407" i="6"/>
  <c r="Q406" i="6"/>
  <c r="H406" i="6"/>
  <c r="F406" i="6"/>
  <c r="E406" i="6"/>
  <c r="D406" i="6"/>
  <c r="C406" i="6"/>
  <c r="F405" i="6"/>
  <c r="E405" i="6"/>
  <c r="D405" i="6"/>
  <c r="C405" i="6"/>
  <c r="F404" i="6"/>
  <c r="E404" i="6"/>
  <c r="D404" i="6"/>
  <c r="C404" i="6"/>
  <c r="Q403" i="6"/>
  <c r="N403" i="6"/>
  <c r="F403" i="6"/>
  <c r="E403" i="6"/>
  <c r="P403" i="6" s="1"/>
  <c r="D403" i="6"/>
  <c r="C403" i="6"/>
  <c r="V402" i="6"/>
  <c r="U402" i="6"/>
  <c r="Q402" i="6"/>
  <c r="P402" i="6"/>
  <c r="O402" i="6"/>
  <c r="N402" i="6"/>
  <c r="K402" i="6"/>
  <c r="I402" i="6"/>
  <c r="H402" i="6"/>
  <c r="F402" i="6"/>
  <c r="E402" i="6"/>
  <c r="D402" i="6"/>
  <c r="C402" i="6"/>
  <c r="O401" i="6"/>
  <c r="N401" i="6"/>
  <c r="U401" i="6" s="1"/>
  <c r="F401" i="6"/>
  <c r="E401" i="6"/>
  <c r="D401" i="6"/>
  <c r="C401" i="6"/>
  <c r="F400" i="6"/>
  <c r="E400" i="6"/>
  <c r="D400" i="6"/>
  <c r="C400" i="6"/>
  <c r="F399" i="6"/>
  <c r="E399" i="6"/>
  <c r="D399" i="6"/>
  <c r="C399" i="6"/>
  <c r="O398" i="6"/>
  <c r="N398" i="6"/>
  <c r="U398" i="6" s="1"/>
  <c r="F398" i="6"/>
  <c r="E398" i="6"/>
  <c r="D398" i="6"/>
  <c r="C398" i="6"/>
  <c r="F397" i="6"/>
  <c r="E397" i="6"/>
  <c r="D397" i="6"/>
  <c r="C397" i="6"/>
  <c r="I396" i="6"/>
  <c r="F396" i="6"/>
  <c r="E396" i="6"/>
  <c r="D396" i="6"/>
  <c r="C396" i="6"/>
  <c r="F395" i="6"/>
  <c r="E395" i="6"/>
  <c r="D395" i="6"/>
  <c r="C395" i="6"/>
  <c r="F394" i="6"/>
  <c r="E394" i="6"/>
  <c r="D394" i="6"/>
  <c r="C394" i="6"/>
  <c r="F393" i="6"/>
  <c r="E393" i="6"/>
  <c r="D393" i="6"/>
  <c r="C393" i="6"/>
  <c r="F392" i="6"/>
  <c r="E392" i="6"/>
  <c r="D392" i="6"/>
  <c r="C392" i="6"/>
  <c r="F391" i="6"/>
  <c r="E391" i="6"/>
  <c r="D391" i="6"/>
  <c r="C391" i="6"/>
  <c r="F390" i="6"/>
  <c r="E390" i="6"/>
  <c r="D390" i="6"/>
  <c r="C390" i="6"/>
  <c r="F389" i="6"/>
  <c r="E389" i="6"/>
  <c r="D389" i="6"/>
  <c r="C389" i="6"/>
  <c r="P388" i="6"/>
  <c r="L388" i="6"/>
  <c r="I388" i="6"/>
  <c r="H388" i="6"/>
  <c r="K388" i="6" s="1"/>
  <c r="G388" i="6"/>
  <c r="J388" i="6" s="1"/>
  <c r="F388" i="6"/>
  <c r="E388" i="6"/>
  <c r="N388" i="6" s="1"/>
  <c r="D388" i="6"/>
  <c r="C388" i="6"/>
  <c r="H387" i="6"/>
  <c r="F387" i="6"/>
  <c r="E387" i="6"/>
  <c r="D387" i="6"/>
  <c r="C387" i="6"/>
  <c r="Q386" i="6"/>
  <c r="P386" i="6"/>
  <c r="I386" i="6"/>
  <c r="G386" i="6"/>
  <c r="F386" i="6"/>
  <c r="E386" i="6"/>
  <c r="D386" i="6"/>
  <c r="C386" i="6"/>
  <c r="N385" i="6"/>
  <c r="I385" i="6"/>
  <c r="H385" i="6"/>
  <c r="F385" i="6"/>
  <c r="E385" i="6"/>
  <c r="D385" i="6"/>
  <c r="C385" i="6"/>
  <c r="F384" i="6"/>
  <c r="E384" i="6"/>
  <c r="D384" i="6"/>
  <c r="C384" i="6"/>
  <c r="F383" i="6"/>
  <c r="E383" i="6"/>
  <c r="D383" i="6"/>
  <c r="C383" i="6"/>
  <c r="F382" i="6"/>
  <c r="E382" i="6"/>
  <c r="D382" i="6"/>
  <c r="C382" i="6"/>
  <c r="I381" i="6"/>
  <c r="H381" i="6"/>
  <c r="G381" i="6"/>
  <c r="J381" i="6" s="1"/>
  <c r="F381" i="6"/>
  <c r="E381" i="6"/>
  <c r="D381" i="6"/>
  <c r="C381" i="6"/>
  <c r="I380" i="6"/>
  <c r="H380" i="6"/>
  <c r="G380" i="6"/>
  <c r="F380" i="6"/>
  <c r="E380" i="6"/>
  <c r="D380" i="6"/>
  <c r="C380" i="6"/>
  <c r="F379" i="6"/>
  <c r="E379" i="6"/>
  <c r="D379" i="6"/>
  <c r="C379" i="6"/>
  <c r="F378" i="6"/>
  <c r="E378" i="6"/>
  <c r="D378" i="6"/>
  <c r="C378" i="6"/>
  <c r="F377" i="6"/>
  <c r="E377" i="6"/>
  <c r="D377" i="6"/>
  <c r="C377" i="6"/>
  <c r="F376" i="6"/>
  <c r="E376" i="6"/>
  <c r="D376" i="6"/>
  <c r="C376" i="6"/>
  <c r="F375" i="6"/>
  <c r="E375" i="6"/>
  <c r="D375" i="6"/>
  <c r="C375" i="6"/>
  <c r="Q374" i="6"/>
  <c r="F374" i="6"/>
  <c r="E374" i="6"/>
  <c r="D374" i="6"/>
  <c r="C374" i="6"/>
  <c r="F373" i="6"/>
  <c r="E373" i="6"/>
  <c r="D373" i="6"/>
  <c r="C373" i="6"/>
  <c r="F372" i="6"/>
  <c r="E372" i="6"/>
  <c r="D372" i="6"/>
  <c r="C372" i="6"/>
  <c r="F371" i="6"/>
  <c r="E371" i="6"/>
  <c r="D371" i="6"/>
  <c r="C371" i="6"/>
  <c r="F370" i="6"/>
  <c r="E370" i="6"/>
  <c r="D370" i="6"/>
  <c r="C370" i="6"/>
  <c r="F369" i="6"/>
  <c r="E369" i="6"/>
  <c r="D369" i="6"/>
  <c r="C369" i="6"/>
  <c r="F368" i="6"/>
  <c r="E368" i="6"/>
  <c r="D368" i="6"/>
  <c r="C368" i="6"/>
  <c r="Q367" i="6"/>
  <c r="P367" i="6"/>
  <c r="H367" i="6"/>
  <c r="F367" i="6"/>
  <c r="E367" i="6"/>
  <c r="D367" i="6"/>
  <c r="C367" i="6"/>
  <c r="Q366" i="6"/>
  <c r="P366" i="6"/>
  <c r="N366" i="6"/>
  <c r="I366" i="6"/>
  <c r="H366" i="6"/>
  <c r="G366" i="6"/>
  <c r="J366" i="6" s="1"/>
  <c r="F366" i="6"/>
  <c r="E366" i="6"/>
  <c r="D366" i="6"/>
  <c r="C366" i="6"/>
  <c r="Q365" i="6"/>
  <c r="P365" i="6"/>
  <c r="H365" i="6"/>
  <c r="G365" i="6"/>
  <c r="F365" i="6"/>
  <c r="E365" i="6"/>
  <c r="D365" i="6"/>
  <c r="C365" i="6"/>
  <c r="N364" i="6"/>
  <c r="U364" i="6" s="1"/>
  <c r="F364" i="6"/>
  <c r="E364" i="6"/>
  <c r="D364" i="6"/>
  <c r="C364" i="6"/>
  <c r="H363" i="6"/>
  <c r="F363" i="6"/>
  <c r="E363" i="6"/>
  <c r="D363" i="6"/>
  <c r="C363" i="6"/>
  <c r="F362" i="6"/>
  <c r="E362" i="6"/>
  <c r="D362" i="6"/>
  <c r="C362" i="6"/>
  <c r="Q361" i="6"/>
  <c r="N361" i="6"/>
  <c r="F361" i="6"/>
  <c r="E361" i="6"/>
  <c r="D361" i="6"/>
  <c r="C361" i="6"/>
  <c r="U360" i="6"/>
  <c r="N360" i="6"/>
  <c r="O360" i="6" s="1"/>
  <c r="I360" i="6"/>
  <c r="F360" i="6"/>
  <c r="E360" i="6"/>
  <c r="P360" i="6" s="1"/>
  <c r="D360" i="6"/>
  <c r="C360" i="6"/>
  <c r="I359" i="6"/>
  <c r="G359" i="6"/>
  <c r="F359" i="6"/>
  <c r="E359" i="6"/>
  <c r="D359" i="6"/>
  <c r="C359" i="6"/>
  <c r="F358" i="6"/>
  <c r="E358" i="6"/>
  <c r="D358" i="6"/>
  <c r="C358" i="6"/>
  <c r="F357" i="6"/>
  <c r="E357" i="6"/>
  <c r="D357" i="6"/>
  <c r="C357" i="6"/>
  <c r="F356" i="6"/>
  <c r="E356" i="6"/>
  <c r="D356" i="6"/>
  <c r="C356" i="6"/>
  <c r="F355" i="6"/>
  <c r="E355" i="6"/>
  <c r="D355" i="6"/>
  <c r="C355" i="6"/>
  <c r="F354" i="6"/>
  <c r="E354" i="6"/>
  <c r="D354" i="6"/>
  <c r="C354" i="6"/>
  <c r="Q353" i="6"/>
  <c r="N353" i="6"/>
  <c r="I353" i="6"/>
  <c r="F353" i="6"/>
  <c r="E353" i="6"/>
  <c r="D353" i="6"/>
  <c r="C353" i="6"/>
  <c r="F352" i="6"/>
  <c r="E352" i="6"/>
  <c r="D352" i="6"/>
  <c r="C352" i="6"/>
  <c r="F351" i="6"/>
  <c r="E351" i="6"/>
  <c r="D351" i="6"/>
  <c r="C351" i="6"/>
  <c r="F350" i="6"/>
  <c r="E350" i="6"/>
  <c r="D350" i="6"/>
  <c r="C350" i="6"/>
  <c r="F349" i="6"/>
  <c r="E349" i="6"/>
  <c r="D349" i="6"/>
  <c r="C349" i="6"/>
  <c r="F348" i="6"/>
  <c r="E348" i="6"/>
  <c r="D348" i="6"/>
  <c r="C348" i="6"/>
  <c r="I347" i="6"/>
  <c r="F347" i="6"/>
  <c r="E347" i="6"/>
  <c r="D347" i="6"/>
  <c r="C347" i="6"/>
  <c r="S346" i="6"/>
  <c r="Q346" i="6"/>
  <c r="P346" i="6"/>
  <c r="N346" i="6"/>
  <c r="I346" i="6"/>
  <c r="H346" i="6"/>
  <c r="G346" i="6"/>
  <c r="J346" i="6" s="1"/>
  <c r="F346" i="6"/>
  <c r="E346" i="6"/>
  <c r="R346" i="6" s="1"/>
  <c r="D346" i="6"/>
  <c r="C346" i="6"/>
  <c r="F345" i="6"/>
  <c r="E345" i="6"/>
  <c r="D345" i="6"/>
  <c r="C345" i="6"/>
  <c r="Q344" i="6"/>
  <c r="P344" i="6"/>
  <c r="I344" i="6"/>
  <c r="G344" i="6"/>
  <c r="F344" i="6"/>
  <c r="E344" i="6"/>
  <c r="D344" i="6"/>
  <c r="C344" i="6"/>
  <c r="F343" i="6"/>
  <c r="E343" i="6"/>
  <c r="D343" i="6"/>
  <c r="C343" i="6"/>
  <c r="F342" i="6"/>
  <c r="E342" i="6"/>
  <c r="D342" i="6"/>
  <c r="C342" i="6"/>
  <c r="F341" i="6"/>
  <c r="E341" i="6"/>
  <c r="D341" i="6"/>
  <c r="C341" i="6"/>
  <c r="H340" i="6"/>
  <c r="F340" i="6"/>
  <c r="E340" i="6"/>
  <c r="D340" i="6"/>
  <c r="C340" i="6"/>
  <c r="N339" i="6"/>
  <c r="V339" i="6" s="1"/>
  <c r="G339" i="6"/>
  <c r="F339" i="6"/>
  <c r="E339" i="6"/>
  <c r="Q339" i="6" s="1"/>
  <c r="D339" i="6"/>
  <c r="C339" i="6"/>
  <c r="V338" i="6"/>
  <c r="U338" i="6"/>
  <c r="P338" i="6"/>
  <c r="N338" i="6"/>
  <c r="O338" i="6" s="1"/>
  <c r="I338" i="6"/>
  <c r="H338" i="6"/>
  <c r="G338" i="6"/>
  <c r="F338" i="6"/>
  <c r="E338" i="6"/>
  <c r="D338" i="6"/>
  <c r="C338" i="6"/>
  <c r="F337" i="6"/>
  <c r="E337" i="6"/>
  <c r="D337" i="6"/>
  <c r="C337" i="6"/>
  <c r="F336" i="6"/>
  <c r="E336" i="6"/>
  <c r="D336" i="6"/>
  <c r="C336" i="6"/>
  <c r="F335" i="6"/>
  <c r="E335" i="6"/>
  <c r="D335" i="6"/>
  <c r="C335" i="6"/>
  <c r="F334" i="6"/>
  <c r="E334" i="6"/>
  <c r="D334" i="6"/>
  <c r="C334" i="6"/>
  <c r="F333" i="6"/>
  <c r="E333" i="6"/>
  <c r="D333" i="6"/>
  <c r="C333" i="6"/>
  <c r="Q332" i="6"/>
  <c r="P332" i="6"/>
  <c r="N332" i="6"/>
  <c r="H332" i="6"/>
  <c r="G332" i="6"/>
  <c r="F332" i="6"/>
  <c r="E332" i="6"/>
  <c r="D332" i="6"/>
  <c r="C332" i="6"/>
  <c r="F331" i="6"/>
  <c r="E331" i="6"/>
  <c r="D331" i="6"/>
  <c r="C331" i="6"/>
  <c r="F330" i="6"/>
  <c r="E330" i="6"/>
  <c r="D330" i="6"/>
  <c r="C330" i="6"/>
  <c r="Q329" i="6"/>
  <c r="G329" i="6"/>
  <c r="F329" i="6"/>
  <c r="E329" i="6"/>
  <c r="D329" i="6"/>
  <c r="C329" i="6"/>
  <c r="F328" i="6"/>
  <c r="E328" i="6"/>
  <c r="D328" i="6"/>
  <c r="C328" i="6"/>
  <c r="F327" i="6"/>
  <c r="E327" i="6"/>
  <c r="D327" i="6"/>
  <c r="C327" i="6"/>
  <c r="F326" i="6"/>
  <c r="E326" i="6"/>
  <c r="D326" i="6"/>
  <c r="C326" i="6"/>
  <c r="S325" i="6"/>
  <c r="Q325" i="6"/>
  <c r="P325" i="6"/>
  <c r="N325" i="6"/>
  <c r="I325" i="6"/>
  <c r="H325" i="6"/>
  <c r="G325" i="6"/>
  <c r="F325" i="6"/>
  <c r="E325" i="6"/>
  <c r="R325" i="6" s="1"/>
  <c r="D325" i="6"/>
  <c r="C325" i="6"/>
  <c r="V324" i="6"/>
  <c r="U324" i="6"/>
  <c r="Q324" i="6"/>
  <c r="S324" i="6" s="1"/>
  <c r="P324" i="6"/>
  <c r="N324" i="6"/>
  <c r="O324" i="6" s="1"/>
  <c r="I324" i="6"/>
  <c r="H324" i="6"/>
  <c r="G324" i="6"/>
  <c r="F324" i="6"/>
  <c r="E324" i="6"/>
  <c r="R324" i="6" s="1"/>
  <c r="D324" i="6"/>
  <c r="C324" i="6"/>
  <c r="Q323" i="6"/>
  <c r="P323" i="6"/>
  <c r="F323" i="6"/>
  <c r="E323" i="6"/>
  <c r="D323" i="6"/>
  <c r="C323" i="6"/>
  <c r="Q322" i="6"/>
  <c r="P322" i="6"/>
  <c r="F322" i="6"/>
  <c r="E322" i="6"/>
  <c r="D322" i="6"/>
  <c r="C322" i="6"/>
  <c r="I321" i="6"/>
  <c r="F321" i="6"/>
  <c r="E321" i="6"/>
  <c r="D321" i="6"/>
  <c r="C321" i="6"/>
  <c r="F320" i="6"/>
  <c r="E320" i="6"/>
  <c r="D320" i="6"/>
  <c r="C320" i="6"/>
  <c r="F319" i="6"/>
  <c r="E319" i="6"/>
  <c r="D319" i="6"/>
  <c r="C319" i="6"/>
  <c r="P318" i="6"/>
  <c r="F318" i="6"/>
  <c r="E318" i="6"/>
  <c r="D318" i="6"/>
  <c r="C318" i="6"/>
  <c r="F317" i="6"/>
  <c r="E317" i="6"/>
  <c r="D317" i="6"/>
  <c r="C317" i="6"/>
  <c r="F316" i="6"/>
  <c r="E316" i="6"/>
  <c r="D316" i="6"/>
  <c r="C316" i="6"/>
  <c r="F315" i="6"/>
  <c r="E315" i="6"/>
  <c r="D315" i="6"/>
  <c r="C315" i="6"/>
  <c r="F314" i="6"/>
  <c r="E314" i="6"/>
  <c r="D314" i="6"/>
  <c r="C314" i="6"/>
  <c r="F313" i="6"/>
  <c r="E313" i="6"/>
  <c r="D313" i="6"/>
  <c r="C313" i="6"/>
  <c r="Q312" i="6"/>
  <c r="P312" i="6"/>
  <c r="J312" i="6"/>
  <c r="I312" i="6"/>
  <c r="H312" i="6"/>
  <c r="G312" i="6"/>
  <c r="F312" i="6"/>
  <c r="E312" i="6"/>
  <c r="D312" i="6"/>
  <c r="C312" i="6"/>
  <c r="F311" i="6"/>
  <c r="E311" i="6"/>
  <c r="D311" i="6"/>
  <c r="C311" i="6"/>
  <c r="F310" i="6"/>
  <c r="E310" i="6"/>
  <c r="D310" i="6"/>
  <c r="C310" i="6"/>
  <c r="F309" i="6"/>
  <c r="E309" i="6"/>
  <c r="D309" i="6"/>
  <c r="C309" i="6"/>
  <c r="F308" i="6"/>
  <c r="E308" i="6"/>
  <c r="D308" i="6"/>
  <c r="C308" i="6"/>
  <c r="F307" i="6"/>
  <c r="E307" i="6"/>
  <c r="D307" i="6"/>
  <c r="C307" i="6"/>
  <c r="F306" i="6"/>
  <c r="E306" i="6"/>
  <c r="D306" i="6"/>
  <c r="C306" i="6"/>
  <c r="F305" i="6"/>
  <c r="E305" i="6"/>
  <c r="D305" i="6"/>
  <c r="C305" i="6"/>
  <c r="S304" i="6"/>
  <c r="Q304" i="6"/>
  <c r="P304" i="6"/>
  <c r="N304" i="6"/>
  <c r="I304" i="6"/>
  <c r="H304" i="6"/>
  <c r="K304" i="6" s="1"/>
  <c r="F304" i="6"/>
  <c r="E304" i="6"/>
  <c r="R304" i="6" s="1"/>
  <c r="D304" i="6"/>
  <c r="C304" i="6"/>
  <c r="V303" i="6"/>
  <c r="U303" i="6"/>
  <c r="Q303" i="6"/>
  <c r="S303" i="6" s="1"/>
  <c r="P303" i="6"/>
  <c r="O303" i="6"/>
  <c r="N303" i="6"/>
  <c r="I303" i="6"/>
  <c r="H303" i="6"/>
  <c r="G303" i="6"/>
  <c r="J303" i="6" s="1"/>
  <c r="F303" i="6"/>
  <c r="E303" i="6"/>
  <c r="R303" i="6" s="1"/>
  <c r="D303" i="6"/>
  <c r="C303" i="6"/>
  <c r="U302" i="6"/>
  <c r="S302" i="6"/>
  <c r="Q302" i="6"/>
  <c r="P302" i="6"/>
  <c r="O302" i="6"/>
  <c r="N302" i="6"/>
  <c r="V302" i="6" s="1"/>
  <c r="I302" i="6"/>
  <c r="H302" i="6"/>
  <c r="K302" i="6" s="1"/>
  <c r="G302" i="6"/>
  <c r="F302" i="6"/>
  <c r="E302" i="6"/>
  <c r="R302" i="6" s="1"/>
  <c r="D302" i="6"/>
  <c r="C302" i="6"/>
  <c r="P301" i="6"/>
  <c r="N301" i="6"/>
  <c r="H301" i="6"/>
  <c r="F301" i="6"/>
  <c r="E301" i="6"/>
  <c r="Q301" i="6" s="1"/>
  <c r="D301" i="6"/>
  <c r="C301" i="6"/>
  <c r="F300" i="6"/>
  <c r="E300" i="6"/>
  <c r="D300" i="6"/>
  <c r="C300" i="6"/>
  <c r="F299" i="6"/>
  <c r="E299" i="6"/>
  <c r="D299" i="6"/>
  <c r="C299" i="6"/>
  <c r="N298" i="6"/>
  <c r="K298" i="6"/>
  <c r="I298" i="6"/>
  <c r="H298" i="6"/>
  <c r="F298" i="6"/>
  <c r="E298" i="6"/>
  <c r="P298" i="6" s="1"/>
  <c r="D298" i="6"/>
  <c r="C298" i="6"/>
  <c r="K297" i="6"/>
  <c r="I297" i="6"/>
  <c r="H297" i="6"/>
  <c r="G297" i="6"/>
  <c r="J297" i="6" s="1"/>
  <c r="F297" i="6"/>
  <c r="E297" i="6"/>
  <c r="D297" i="6"/>
  <c r="C297" i="6"/>
  <c r="P296" i="6"/>
  <c r="N296" i="6"/>
  <c r="U296" i="6" s="1"/>
  <c r="H296" i="6"/>
  <c r="F296" i="6"/>
  <c r="E296" i="6"/>
  <c r="D296" i="6"/>
  <c r="O296" i="6" s="1"/>
  <c r="C296" i="6"/>
  <c r="F295" i="6"/>
  <c r="E295" i="6"/>
  <c r="D295" i="6"/>
  <c r="C295" i="6"/>
  <c r="F294" i="6"/>
  <c r="E294" i="6"/>
  <c r="D294" i="6"/>
  <c r="C294" i="6"/>
  <c r="F293" i="6"/>
  <c r="E293" i="6"/>
  <c r="D293" i="6"/>
  <c r="C293" i="6"/>
  <c r="F292" i="6"/>
  <c r="E292" i="6"/>
  <c r="D292" i="6"/>
  <c r="C292" i="6"/>
  <c r="F291" i="6"/>
  <c r="E291" i="6"/>
  <c r="D291" i="6"/>
  <c r="C291" i="6"/>
  <c r="F290" i="6"/>
  <c r="E290" i="6"/>
  <c r="D290" i="6"/>
  <c r="C290" i="6"/>
  <c r="I289" i="6"/>
  <c r="K289" i="6" s="1"/>
  <c r="H289" i="6"/>
  <c r="F289" i="6"/>
  <c r="E289" i="6"/>
  <c r="D289" i="6"/>
  <c r="C289" i="6"/>
  <c r="F288" i="6"/>
  <c r="E288" i="6"/>
  <c r="D288" i="6"/>
  <c r="C288" i="6"/>
  <c r="F287" i="6"/>
  <c r="E287" i="6"/>
  <c r="D287" i="6"/>
  <c r="C287" i="6"/>
  <c r="F286" i="6"/>
  <c r="E286" i="6"/>
  <c r="D286" i="6"/>
  <c r="C286" i="6"/>
  <c r="F285" i="6"/>
  <c r="E285" i="6"/>
  <c r="D285" i="6"/>
  <c r="C285" i="6"/>
  <c r="F284" i="6"/>
  <c r="E284" i="6"/>
  <c r="D284" i="6"/>
  <c r="C284" i="6"/>
  <c r="I283" i="6"/>
  <c r="F283" i="6"/>
  <c r="E283" i="6"/>
  <c r="D283" i="6"/>
  <c r="C283" i="6"/>
  <c r="V282" i="6"/>
  <c r="U282" i="6"/>
  <c r="Q282" i="6"/>
  <c r="S282" i="6" s="1"/>
  <c r="P282" i="6"/>
  <c r="N282" i="6"/>
  <c r="O282" i="6" s="1"/>
  <c r="I282" i="6"/>
  <c r="K282" i="6" s="1"/>
  <c r="H282" i="6"/>
  <c r="F282" i="6"/>
  <c r="E282" i="6"/>
  <c r="R282" i="6" s="1"/>
  <c r="D282" i="6"/>
  <c r="C282" i="6"/>
  <c r="U281" i="6"/>
  <c r="Q281" i="6"/>
  <c r="P281" i="6"/>
  <c r="S281" i="6" s="1"/>
  <c r="O281" i="6"/>
  <c r="N281" i="6"/>
  <c r="V281" i="6" s="1"/>
  <c r="I281" i="6"/>
  <c r="H281" i="6"/>
  <c r="K281" i="6" s="1"/>
  <c r="G281" i="6"/>
  <c r="J281" i="6" s="1"/>
  <c r="F281" i="6"/>
  <c r="E281" i="6"/>
  <c r="R281" i="6" s="1"/>
  <c r="D281" i="6"/>
  <c r="C281" i="6"/>
  <c r="Q280" i="6"/>
  <c r="P280" i="6"/>
  <c r="S280" i="6" s="1"/>
  <c r="N280" i="6"/>
  <c r="I280" i="6"/>
  <c r="K280" i="6" s="1"/>
  <c r="H280" i="6"/>
  <c r="G280" i="6"/>
  <c r="F280" i="6"/>
  <c r="E280" i="6"/>
  <c r="R280" i="6" s="1"/>
  <c r="D280" i="6"/>
  <c r="C280" i="6"/>
  <c r="F279" i="6"/>
  <c r="E279" i="6"/>
  <c r="D279" i="6"/>
  <c r="C279" i="6"/>
  <c r="F278" i="6"/>
  <c r="E278" i="6"/>
  <c r="D278" i="6"/>
  <c r="C278" i="6"/>
  <c r="F277" i="6"/>
  <c r="E277" i="6"/>
  <c r="D277" i="6"/>
  <c r="C277" i="6"/>
  <c r="Q276" i="6"/>
  <c r="P276" i="6"/>
  <c r="N276" i="6"/>
  <c r="I276" i="6"/>
  <c r="H276" i="6"/>
  <c r="G276" i="6"/>
  <c r="F276" i="6"/>
  <c r="E276" i="6"/>
  <c r="D276" i="6"/>
  <c r="C276" i="6"/>
  <c r="Q275" i="6"/>
  <c r="F275" i="6"/>
  <c r="E275" i="6"/>
  <c r="D275" i="6"/>
  <c r="C275" i="6"/>
  <c r="F274" i="6"/>
  <c r="E274" i="6"/>
  <c r="D274" i="6"/>
  <c r="C274" i="6"/>
  <c r="F273" i="6"/>
  <c r="E273" i="6"/>
  <c r="D273" i="6"/>
  <c r="C273" i="6"/>
  <c r="F272" i="6"/>
  <c r="E272" i="6"/>
  <c r="D272" i="6"/>
  <c r="C272" i="6"/>
  <c r="F271" i="6"/>
  <c r="E271" i="6"/>
  <c r="D271" i="6"/>
  <c r="C271" i="6"/>
  <c r="F270" i="6"/>
  <c r="E270" i="6"/>
  <c r="D270" i="6"/>
  <c r="C270" i="6"/>
  <c r="Q269" i="6"/>
  <c r="I269" i="6"/>
  <c r="H269" i="6"/>
  <c r="J269" i="6" s="1"/>
  <c r="G269" i="6"/>
  <c r="F269" i="6"/>
  <c r="E269" i="6"/>
  <c r="D269" i="6"/>
  <c r="C269" i="6"/>
  <c r="F268" i="6"/>
  <c r="E268" i="6"/>
  <c r="D268" i="6"/>
  <c r="C268" i="6"/>
  <c r="F267" i="6"/>
  <c r="E267" i="6"/>
  <c r="D267" i="6"/>
  <c r="C267" i="6"/>
  <c r="F266" i="6"/>
  <c r="E266" i="6"/>
  <c r="D266" i="6"/>
  <c r="C266" i="6"/>
  <c r="F265" i="6"/>
  <c r="E265" i="6"/>
  <c r="D265" i="6"/>
  <c r="C265" i="6"/>
  <c r="F264" i="6"/>
  <c r="E264" i="6"/>
  <c r="D264" i="6"/>
  <c r="C264" i="6"/>
  <c r="F263" i="6"/>
  <c r="E263" i="6"/>
  <c r="D263" i="6"/>
  <c r="C263" i="6"/>
  <c r="F262" i="6"/>
  <c r="E262" i="6"/>
  <c r="D262" i="6"/>
  <c r="C262" i="6"/>
  <c r="I261" i="6"/>
  <c r="F261" i="6"/>
  <c r="E261" i="6"/>
  <c r="D261" i="6"/>
  <c r="C261" i="6"/>
  <c r="I260" i="6"/>
  <c r="H260" i="6"/>
  <c r="G260" i="6"/>
  <c r="J260" i="6" s="1"/>
  <c r="F260" i="6"/>
  <c r="E260" i="6"/>
  <c r="D260" i="6"/>
  <c r="C260" i="6"/>
  <c r="R259" i="6"/>
  <c r="Q259" i="6"/>
  <c r="G259" i="6"/>
  <c r="F259" i="6"/>
  <c r="E259" i="6"/>
  <c r="D259" i="6"/>
  <c r="C259" i="6"/>
  <c r="F258" i="6"/>
  <c r="E258" i="6"/>
  <c r="D258" i="6"/>
  <c r="C258" i="6"/>
  <c r="H257" i="6"/>
  <c r="F257" i="6"/>
  <c r="E257" i="6"/>
  <c r="D257" i="6"/>
  <c r="C257" i="6"/>
  <c r="H256" i="6"/>
  <c r="F256" i="6"/>
  <c r="E256" i="6"/>
  <c r="D256" i="6"/>
  <c r="C256" i="6"/>
  <c r="Q255" i="6"/>
  <c r="I255" i="6"/>
  <c r="H255" i="6"/>
  <c r="G255" i="6"/>
  <c r="J255" i="6" s="1"/>
  <c r="F255" i="6"/>
  <c r="E255" i="6"/>
  <c r="D255" i="6"/>
  <c r="C255" i="6"/>
  <c r="F254" i="6"/>
  <c r="E254" i="6"/>
  <c r="D254" i="6"/>
  <c r="C254" i="6"/>
  <c r="F253" i="6"/>
  <c r="E253" i="6"/>
  <c r="D253" i="6"/>
  <c r="C253" i="6"/>
  <c r="F252" i="6"/>
  <c r="E252" i="6"/>
  <c r="D252" i="6"/>
  <c r="C252" i="6"/>
  <c r="F251" i="6"/>
  <c r="E251" i="6"/>
  <c r="D251" i="6"/>
  <c r="C251" i="6"/>
  <c r="F250" i="6"/>
  <c r="E250" i="6"/>
  <c r="D250" i="6"/>
  <c r="C250" i="6"/>
  <c r="I249" i="6"/>
  <c r="H249" i="6"/>
  <c r="G249" i="6"/>
  <c r="F249" i="6"/>
  <c r="E249" i="6"/>
  <c r="D249" i="6"/>
  <c r="C249" i="6"/>
  <c r="F248" i="6"/>
  <c r="E248" i="6"/>
  <c r="D248" i="6"/>
  <c r="C248" i="6"/>
  <c r="F247" i="6"/>
  <c r="E247" i="6"/>
  <c r="D247" i="6"/>
  <c r="C247" i="6"/>
  <c r="F246" i="6"/>
  <c r="E246" i="6"/>
  <c r="D246" i="6"/>
  <c r="C246" i="6"/>
  <c r="F245" i="6"/>
  <c r="E245" i="6"/>
  <c r="D245" i="6"/>
  <c r="C245" i="6"/>
  <c r="F244" i="6"/>
  <c r="E244" i="6"/>
  <c r="D244" i="6"/>
  <c r="C244" i="6"/>
  <c r="F243" i="6"/>
  <c r="E243" i="6"/>
  <c r="D243" i="6"/>
  <c r="C243" i="6"/>
  <c r="F242" i="6"/>
  <c r="E242" i="6"/>
  <c r="D242" i="6"/>
  <c r="C242" i="6"/>
  <c r="R241" i="6"/>
  <c r="Q241" i="6"/>
  <c r="I241" i="6"/>
  <c r="J241" i="6" s="1"/>
  <c r="H241" i="6"/>
  <c r="G241" i="6"/>
  <c r="F241" i="6"/>
  <c r="E241" i="6"/>
  <c r="D241" i="6"/>
  <c r="C241" i="6"/>
  <c r="I240" i="6"/>
  <c r="F240" i="6"/>
  <c r="E240" i="6"/>
  <c r="D240" i="6"/>
  <c r="C240" i="6"/>
  <c r="F239" i="6"/>
  <c r="E239" i="6"/>
  <c r="D239" i="6"/>
  <c r="C239" i="6"/>
  <c r="F238" i="6"/>
  <c r="E238" i="6"/>
  <c r="D238" i="6"/>
  <c r="C238" i="6"/>
  <c r="F237" i="6"/>
  <c r="E237" i="6"/>
  <c r="D237" i="6"/>
  <c r="C237" i="6"/>
  <c r="F236" i="6"/>
  <c r="E236" i="6"/>
  <c r="D236" i="6"/>
  <c r="C236" i="6"/>
  <c r="Q235" i="6"/>
  <c r="I235" i="6"/>
  <c r="H235" i="6"/>
  <c r="K235" i="6" s="1"/>
  <c r="L235" i="6" s="1"/>
  <c r="W235" i="6" s="1"/>
  <c r="G235" i="6"/>
  <c r="J235" i="6" s="1"/>
  <c r="F235" i="6"/>
  <c r="E235" i="6"/>
  <c r="D235" i="6"/>
  <c r="C235" i="6"/>
  <c r="R234" i="6"/>
  <c r="Q234" i="6"/>
  <c r="F234" i="6"/>
  <c r="E234" i="6"/>
  <c r="D234" i="6"/>
  <c r="C234" i="6"/>
  <c r="Q233" i="6"/>
  <c r="G233" i="6"/>
  <c r="F233" i="6"/>
  <c r="E233" i="6"/>
  <c r="D233" i="6"/>
  <c r="C233" i="6"/>
  <c r="F232" i="6"/>
  <c r="E232" i="6"/>
  <c r="D232" i="6"/>
  <c r="C232" i="6"/>
  <c r="F231" i="6"/>
  <c r="E231" i="6"/>
  <c r="D231" i="6"/>
  <c r="C231" i="6"/>
  <c r="F230" i="6"/>
  <c r="E230" i="6"/>
  <c r="D230" i="6"/>
  <c r="C230" i="6"/>
  <c r="F229" i="6"/>
  <c r="E229" i="6"/>
  <c r="D229" i="6"/>
  <c r="C229" i="6"/>
  <c r="I228" i="6"/>
  <c r="H228" i="6"/>
  <c r="G228" i="6"/>
  <c r="J228" i="6" s="1"/>
  <c r="F228" i="6"/>
  <c r="E228" i="6"/>
  <c r="D228" i="6"/>
  <c r="C228" i="6"/>
  <c r="I227" i="6"/>
  <c r="H227" i="6"/>
  <c r="K227" i="6" s="1"/>
  <c r="G227" i="6"/>
  <c r="F227" i="6"/>
  <c r="E227" i="6"/>
  <c r="D227" i="6"/>
  <c r="C227" i="6"/>
  <c r="F226" i="6"/>
  <c r="E226" i="6"/>
  <c r="D226" i="6"/>
  <c r="C226" i="6"/>
  <c r="F225" i="6"/>
  <c r="E225" i="6"/>
  <c r="D225" i="6"/>
  <c r="C225" i="6"/>
  <c r="F224" i="6"/>
  <c r="E224" i="6"/>
  <c r="D224" i="6"/>
  <c r="C224" i="6"/>
  <c r="Q223" i="6"/>
  <c r="F223" i="6"/>
  <c r="E223" i="6"/>
  <c r="D223" i="6"/>
  <c r="C223" i="6"/>
  <c r="F222" i="6"/>
  <c r="E222" i="6"/>
  <c r="D222" i="6"/>
  <c r="C222" i="6"/>
  <c r="F221" i="6"/>
  <c r="E221" i="6"/>
  <c r="D221" i="6"/>
  <c r="C221" i="6"/>
  <c r="R220" i="6"/>
  <c r="Q220" i="6"/>
  <c r="F220" i="6"/>
  <c r="E220" i="6"/>
  <c r="D220" i="6"/>
  <c r="C220" i="6"/>
  <c r="R219" i="6"/>
  <c r="Q219" i="6"/>
  <c r="I219" i="6"/>
  <c r="H219" i="6"/>
  <c r="K219" i="6" s="1"/>
  <c r="G219" i="6"/>
  <c r="J219" i="6" s="1"/>
  <c r="F219" i="6"/>
  <c r="E219" i="6"/>
  <c r="D219" i="6"/>
  <c r="C219" i="6"/>
  <c r="R218" i="6"/>
  <c r="F218" i="6"/>
  <c r="E218" i="6"/>
  <c r="D218" i="6"/>
  <c r="C218" i="6"/>
  <c r="Q217" i="6"/>
  <c r="I217" i="6"/>
  <c r="G217" i="6"/>
  <c r="F217" i="6"/>
  <c r="E217" i="6"/>
  <c r="D217" i="6"/>
  <c r="C217" i="6"/>
  <c r="F216" i="6"/>
  <c r="E216" i="6"/>
  <c r="D216" i="6"/>
  <c r="C216" i="6"/>
  <c r="F215" i="6"/>
  <c r="E215" i="6"/>
  <c r="D215" i="6"/>
  <c r="C215" i="6"/>
  <c r="Q214" i="6"/>
  <c r="K214" i="6"/>
  <c r="I214" i="6"/>
  <c r="H214" i="6"/>
  <c r="J214" i="6" s="1"/>
  <c r="G214" i="6"/>
  <c r="F214" i="6"/>
  <c r="E214" i="6"/>
  <c r="R214" i="6" s="1"/>
  <c r="D214" i="6"/>
  <c r="C214" i="6"/>
  <c r="R213" i="6"/>
  <c r="Q213" i="6"/>
  <c r="G213" i="6"/>
  <c r="F213" i="6"/>
  <c r="E213" i="6"/>
  <c r="D213" i="6"/>
  <c r="C213" i="6"/>
  <c r="G212" i="6"/>
  <c r="F212" i="6"/>
  <c r="E212" i="6"/>
  <c r="D212" i="6"/>
  <c r="C212" i="6"/>
  <c r="F211" i="6"/>
  <c r="E211" i="6"/>
  <c r="D211" i="6"/>
  <c r="C211" i="6"/>
  <c r="F210" i="6"/>
  <c r="E210" i="6"/>
  <c r="D210" i="6"/>
  <c r="C210" i="6"/>
  <c r="F209" i="6"/>
  <c r="E209" i="6"/>
  <c r="D209" i="6"/>
  <c r="C209" i="6"/>
  <c r="F208" i="6"/>
  <c r="E208" i="6"/>
  <c r="D208" i="6"/>
  <c r="C208" i="6"/>
  <c r="R207" i="6"/>
  <c r="Q207" i="6"/>
  <c r="I207" i="6"/>
  <c r="G207" i="6"/>
  <c r="F207" i="6"/>
  <c r="E207" i="6"/>
  <c r="D207" i="6"/>
  <c r="C207" i="6"/>
  <c r="K206" i="6"/>
  <c r="L206" i="6" s="1"/>
  <c r="I206" i="6"/>
  <c r="H206" i="6"/>
  <c r="G206" i="6"/>
  <c r="J206" i="6" s="1"/>
  <c r="F206" i="6"/>
  <c r="E206" i="6"/>
  <c r="D206" i="6"/>
  <c r="C206" i="6"/>
  <c r="F205" i="6"/>
  <c r="E205" i="6"/>
  <c r="D205" i="6"/>
  <c r="C205" i="6"/>
  <c r="F204" i="6"/>
  <c r="E204" i="6"/>
  <c r="D204" i="6"/>
  <c r="C204" i="6"/>
  <c r="F203" i="6"/>
  <c r="E203" i="6"/>
  <c r="D203" i="6"/>
  <c r="C203" i="6"/>
  <c r="F202" i="6"/>
  <c r="E202" i="6"/>
  <c r="D202" i="6"/>
  <c r="C202" i="6"/>
  <c r="F201" i="6"/>
  <c r="E201" i="6"/>
  <c r="D201" i="6"/>
  <c r="C201" i="6"/>
  <c r="F200" i="6"/>
  <c r="E200" i="6"/>
  <c r="D200" i="6"/>
  <c r="C200" i="6"/>
  <c r="R199" i="6"/>
  <c r="I199" i="6"/>
  <c r="H199" i="6"/>
  <c r="G199" i="6"/>
  <c r="F199" i="6"/>
  <c r="E199" i="6"/>
  <c r="D199" i="6"/>
  <c r="C199" i="6"/>
  <c r="R198" i="6"/>
  <c r="Q198" i="6"/>
  <c r="F198" i="6"/>
  <c r="E198" i="6"/>
  <c r="D198" i="6"/>
  <c r="C198" i="6"/>
  <c r="R197" i="6"/>
  <c r="Q197" i="6"/>
  <c r="I197" i="6"/>
  <c r="H197" i="6"/>
  <c r="K197" i="6" s="1"/>
  <c r="G197" i="6"/>
  <c r="J197" i="6" s="1"/>
  <c r="F197" i="6"/>
  <c r="E197" i="6"/>
  <c r="D197" i="6"/>
  <c r="C197" i="6"/>
  <c r="R196" i="6"/>
  <c r="Q196" i="6"/>
  <c r="I196" i="6"/>
  <c r="G196" i="6"/>
  <c r="F196" i="6"/>
  <c r="E196" i="6"/>
  <c r="D196" i="6"/>
  <c r="C196" i="6"/>
  <c r="F195" i="6"/>
  <c r="E195" i="6"/>
  <c r="D195" i="6"/>
  <c r="C195" i="6"/>
  <c r="F194" i="6"/>
  <c r="E194" i="6"/>
  <c r="D194" i="6"/>
  <c r="C194" i="6"/>
  <c r="R193" i="6"/>
  <c r="Q193" i="6"/>
  <c r="H193" i="6"/>
  <c r="G193" i="6"/>
  <c r="F193" i="6"/>
  <c r="E193" i="6"/>
  <c r="D193" i="6"/>
  <c r="C193" i="6"/>
  <c r="Q192" i="6"/>
  <c r="I192" i="6"/>
  <c r="H192" i="6"/>
  <c r="J192" i="6" s="1"/>
  <c r="G192" i="6"/>
  <c r="F192" i="6"/>
  <c r="E192" i="6"/>
  <c r="R192" i="6" s="1"/>
  <c r="D192" i="6"/>
  <c r="C192" i="6"/>
  <c r="H191" i="6"/>
  <c r="F191" i="6"/>
  <c r="E191" i="6"/>
  <c r="D191" i="6"/>
  <c r="C191" i="6"/>
  <c r="F190" i="6"/>
  <c r="E190" i="6"/>
  <c r="D190" i="6"/>
  <c r="C190" i="6"/>
  <c r="F189" i="6"/>
  <c r="E189" i="6"/>
  <c r="D189" i="6"/>
  <c r="C189" i="6"/>
  <c r="F188" i="6"/>
  <c r="E188" i="6"/>
  <c r="D188" i="6"/>
  <c r="C188" i="6"/>
  <c r="F187" i="6"/>
  <c r="E187" i="6"/>
  <c r="D187" i="6"/>
  <c r="C187" i="6"/>
  <c r="R186" i="6"/>
  <c r="Q186" i="6"/>
  <c r="K186" i="6"/>
  <c r="I186" i="6"/>
  <c r="H186" i="6"/>
  <c r="G186" i="6"/>
  <c r="J186" i="6" s="1"/>
  <c r="F186" i="6"/>
  <c r="E186" i="6"/>
  <c r="D186" i="6"/>
  <c r="C186" i="6"/>
  <c r="R185" i="6"/>
  <c r="I185" i="6"/>
  <c r="G185" i="6"/>
  <c r="F185" i="6"/>
  <c r="E185" i="6"/>
  <c r="D185" i="6"/>
  <c r="C185" i="6"/>
  <c r="F184" i="6"/>
  <c r="E184" i="6"/>
  <c r="D184" i="6"/>
  <c r="C184" i="6"/>
  <c r="F183" i="6"/>
  <c r="E183" i="6"/>
  <c r="D183" i="6"/>
  <c r="C183" i="6"/>
  <c r="F182" i="6"/>
  <c r="E182" i="6"/>
  <c r="D182" i="6"/>
  <c r="C182" i="6"/>
  <c r="F181" i="6"/>
  <c r="E181" i="6"/>
  <c r="D181" i="6"/>
  <c r="C181" i="6"/>
  <c r="F180" i="6"/>
  <c r="E180" i="6"/>
  <c r="D180" i="6"/>
  <c r="C180" i="6"/>
  <c r="F179" i="6"/>
  <c r="E179" i="6"/>
  <c r="D179" i="6"/>
  <c r="C179" i="6"/>
  <c r="F178" i="6"/>
  <c r="E178" i="6"/>
  <c r="D178" i="6"/>
  <c r="C178" i="6"/>
  <c r="I177" i="6"/>
  <c r="H177" i="6"/>
  <c r="G177" i="6"/>
  <c r="J177" i="6" s="1"/>
  <c r="F177" i="6"/>
  <c r="E177" i="6"/>
  <c r="D177" i="6"/>
  <c r="C177" i="6"/>
  <c r="R176" i="6"/>
  <c r="F176" i="6"/>
  <c r="E176" i="6"/>
  <c r="D176" i="6"/>
  <c r="C176" i="6"/>
  <c r="R175" i="6"/>
  <c r="Q175" i="6"/>
  <c r="I175" i="6"/>
  <c r="K175" i="6" s="1"/>
  <c r="H175" i="6"/>
  <c r="G175" i="6"/>
  <c r="J175" i="6" s="1"/>
  <c r="F175" i="6"/>
  <c r="E175" i="6"/>
  <c r="D175" i="6"/>
  <c r="C175" i="6"/>
  <c r="F174" i="6"/>
  <c r="E174" i="6"/>
  <c r="D174" i="6"/>
  <c r="C174" i="6"/>
  <c r="F173" i="6"/>
  <c r="E173" i="6"/>
  <c r="D173" i="6"/>
  <c r="C173" i="6"/>
  <c r="I172" i="6"/>
  <c r="H172" i="6"/>
  <c r="G172" i="6"/>
  <c r="J172" i="6" s="1"/>
  <c r="F172" i="6"/>
  <c r="E172" i="6"/>
  <c r="D172" i="6"/>
  <c r="C172" i="6"/>
  <c r="R171" i="6"/>
  <c r="Q171" i="6"/>
  <c r="G171" i="6"/>
  <c r="F171" i="6"/>
  <c r="E171" i="6"/>
  <c r="D171" i="6"/>
  <c r="C171" i="6"/>
  <c r="Q170" i="6"/>
  <c r="I170" i="6"/>
  <c r="H170" i="6"/>
  <c r="G170" i="6"/>
  <c r="F170" i="6"/>
  <c r="E170" i="6"/>
  <c r="R170" i="6" s="1"/>
  <c r="D170" i="6"/>
  <c r="C170" i="6"/>
  <c r="F169" i="6"/>
  <c r="E169" i="6"/>
  <c r="D169" i="6"/>
  <c r="C169" i="6"/>
  <c r="F168" i="6"/>
  <c r="E168" i="6"/>
  <c r="D168" i="6"/>
  <c r="C168" i="6"/>
  <c r="F167" i="6"/>
  <c r="E167" i="6"/>
  <c r="D167" i="6"/>
  <c r="C167" i="6"/>
  <c r="F166" i="6"/>
  <c r="E166" i="6"/>
  <c r="D166" i="6"/>
  <c r="C166" i="6"/>
  <c r="F165" i="6"/>
  <c r="E165" i="6"/>
  <c r="D165" i="6"/>
  <c r="C165" i="6"/>
  <c r="R164" i="6"/>
  <c r="Q164" i="6"/>
  <c r="I164" i="6"/>
  <c r="H164" i="6"/>
  <c r="G164" i="6"/>
  <c r="J164" i="6" s="1"/>
  <c r="F164" i="6"/>
  <c r="E164" i="6"/>
  <c r="D164" i="6"/>
  <c r="C164" i="6"/>
  <c r="F163" i="6"/>
  <c r="E163" i="6"/>
  <c r="D163" i="6"/>
  <c r="C163" i="6"/>
  <c r="F162" i="6"/>
  <c r="E162" i="6"/>
  <c r="D162" i="6"/>
  <c r="C162" i="6"/>
  <c r="F161" i="6"/>
  <c r="E161" i="6"/>
  <c r="D161" i="6"/>
  <c r="C161" i="6"/>
  <c r="F160" i="6"/>
  <c r="E160" i="6"/>
  <c r="D160" i="6"/>
  <c r="C160" i="6"/>
  <c r="F159" i="6"/>
  <c r="E159" i="6"/>
  <c r="D159" i="6"/>
  <c r="C159" i="6"/>
  <c r="F158" i="6"/>
  <c r="E158" i="6"/>
  <c r="D158" i="6"/>
  <c r="C158" i="6"/>
  <c r="R157" i="6"/>
  <c r="Q157" i="6"/>
  <c r="I157" i="6"/>
  <c r="G157" i="6"/>
  <c r="F157" i="6"/>
  <c r="E157" i="6"/>
  <c r="D157" i="6"/>
  <c r="C157" i="6"/>
  <c r="F156" i="6"/>
  <c r="E156" i="6"/>
  <c r="D156" i="6"/>
  <c r="C156" i="6"/>
  <c r="R155" i="6"/>
  <c r="F155" i="6"/>
  <c r="E155" i="6"/>
  <c r="D155" i="6"/>
  <c r="C155" i="6"/>
  <c r="R154" i="6"/>
  <c r="Q154" i="6"/>
  <c r="F154" i="6"/>
  <c r="E154" i="6"/>
  <c r="D154" i="6"/>
  <c r="C154" i="6"/>
  <c r="H153" i="6"/>
  <c r="F153" i="6"/>
  <c r="E153" i="6"/>
  <c r="D153" i="6"/>
  <c r="C153" i="6"/>
  <c r="F152" i="6"/>
  <c r="E152" i="6"/>
  <c r="D152" i="6"/>
  <c r="C152" i="6"/>
  <c r="F151" i="6"/>
  <c r="E151" i="6"/>
  <c r="Q151" i="6" s="1"/>
  <c r="D151" i="6"/>
  <c r="C151" i="6"/>
  <c r="K150" i="6"/>
  <c r="L150" i="6" s="1"/>
  <c r="M150" i="6" s="1"/>
  <c r="I150" i="6"/>
  <c r="H150" i="6"/>
  <c r="G150" i="6"/>
  <c r="J150" i="6" s="1"/>
  <c r="F150" i="6"/>
  <c r="E150" i="6"/>
  <c r="D150" i="6"/>
  <c r="C150" i="6"/>
  <c r="R149" i="6"/>
  <c r="Q149" i="6"/>
  <c r="H149" i="6"/>
  <c r="G149" i="6"/>
  <c r="F149" i="6"/>
  <c r="E149" i="6"/>
  <c r="D149" i="6"/>
  <c r="C149" i="6"/>
  <c r="F148" i="6"/>
  <c r="E148" i="6"/>
  <c r="D148" i="6"/>
  <c r="C148" i="6"/>
  <c r="F147" i="6"/>
  <c r="E147" i="6"/>
  <c r="Q147" i="6" s="1"/>
  <c r="D147" i="6"/>
  <c r="C147" i="6"/>
  <c r="V146" i="6"/>
  <c r="F146" i="6"/>
  <c r="E146" i="6"/>
  <c r="D146" i="6"/>
  <c r="N146" i="6" s="1"/>
  <c r="C146" i="6"/>
  <c r="F145" i="6"/>
  <c r="E145" i="6"/>
  <c r="D145" i="6"/>
  <c r="C145" i="6"/>
  <c r="V144" i="6"/>
  <c r="R144" i="6"/>
  <c r="Q144" i="6"/>
  <c r="N144" i="6"/>
  <c r="U144" i="6" s="1"/>
  <c r="F144" i="6"/>
  <c r="E144" i="6"/>
  <c r="D144" i="6"/>
  <c r="C144" i="6"/>
  <c r="U143" i="6"/>
  <c r="R143" i="6"/>
  <c r="N143" i="6"/>
  <c r="O143" i="6" s="1"/>
  <c r="F143" i="6"/>
  <c r="E143" i="6"/>
  <c r="V143" i="6" s="1"/>
  <c r="D143" i="6"/>
  <c r="C143" i="6"/>
  <c r="F142" i="6"/>
  <c r="E142" i="6"/>
  <c r="D142" i="6"/>
  <c r="C142" i="6"/>
  <c r="F141" i="6"/>
  <c r="E141" i="6"/>
  <c r="D141" i="6"/>
  <c r="C141" i="6"/>
  <c r="F140" i="6"/>
  <c r="E140" i="6"/>
  <c r="D140" i="6"/>
  <c r="C140" i="6"/>
  <c r="F139" i="6"/>
  <c r="E139" i="6"/>
  <c r="D139" i="6"/>
  <c r="C139" i="6"/>
  <c r="F138" i="6"/>
  <c r="E138" i="6"/>
  <c r="Q138" i="6" s="1"/>
  <c r="D138" i="6"/>
  <c r="C138" i="6"/>
  <c r="F137" i="6"/>
  <c r="E137" i="6"/>
  <c r="D137" i="6"/>
  <c r="C137" i="6"/>
  <c r="N136" i="6"/>
  <c r="U136" i="6" s="1"/>
  <c r="F136" i="6"/>
  <c r="E136" i="6"/>
  <c r="D136" i="6"/>
  <c r="C136" i="6"/>
  <c r="F135" i="6"/>
  <c r="E135" i="6"/>
  <c r="D135" i="6"/>
  <c r="C135" i="6"/>
  <c r="R134" i="6"/>
  <c r="Q134" i="6"/>
  <c r="F134" i="6"/>
  <c r="E134" i="6"/>
  <c r="D134" i="6"/>
  <c r="C134" i="6"/>
  <c r="R133" i="6"/>
  <c r="Q133" i="6"/>
  <c r="N133" i="6"/>
  <c r="F133" i="6"/>
  <c r="E133" i="6"/>
  <c r="D133" i="6"/>
  <c r="O133" i="6" s="1"/>
  <c r="C133" i="6"/>
  <c r="F132" i="6"/>
  <c r="E132" i="6"/>
  <c r="D132" i="6"/>
  <c r="C132" i="6"/>
  <c r="F131" i="6"/>
  <c r="E131" i="6"/>
  <c r="D131" i="6"/>
  <c r="C131" i="6"/>
  <c r="V130" i="6"/>
  <c r="U130" i="6"/>
  <c r="R130" i="6"/>
  <c r="Q130" i="6"/>
  <c r="O130" i="6"/>
  <c r="N130" i="6"/>
  <c r="F130" i="6"/>
  <c r="E130" i="6"/>
  <c r="D130" i="6"/>
  <c r="C130" i="6"/>
  <c r="R129" i="6"/>
  <c r="Q129" i="6"/>
  <c r="F129" i="6"/>
  <c r="E129" i="6"/>
  <c r="D129" i="6"/>
  <c r="C129" i="6"/>
  <c r="R128" i="6"/>
  <c r="Q128" i="6"/>
  <c r="F128" i="6"/>
  <c r="E128" i="6"/>
  <c r="D128" i="6"/>
  <c r="C128" i="6"/>
  <c r="F127" i="6"/>
  <c r="E127" i="6"/>
  <c r="D127" i="6"/>
  <c r="C127" i="6"/>
  <c r="F126" i="6"/>
  <c r="E126" i="6"/>
  <c r="D126" i="6"/>
  <c r="C126" i="6"/>
  <c r="F125" i="6"/>
  <c r="E125" i="6"/>
  <c r="D125" i="6"/>
  <c r="N125" i="6" s="1"/>
  <c r="C125" i="6"/>
  <c r="F124" i="6"/>
  <c r="E124" i="6"/>
  <c r="D124" i="6"/>
  <c r="C124" i="6"/>
  <c r="V123" i="6"/>
  <c r="U123" i="6"/>
  <c r="R123" i="6"/>
  <c r="Q123" i="6"/>
  <c r="N123" i="6"/>
  <c r="F123" i="6"/>
  <c r="E123" i="6"/>
  <c r="D123" i="6"/>
  <c r="C123" i="6"/>
  <c r="V122" i="6"/>
  <c r="R122" i="6"/>
  <c r="Q122" i="6"/>
  <c r="O122" i="6"/>
  <c r="N122" i="6"/>
  <c r="U122" i="6" s="1"/>
  <c r="F122" i="6"/>
  <c r="E122" i="6"/>
  <c r="D122" i="6"/>
  <c r="C122" i="6"/>
  <c r="F121" i="6"/>
  <c r="E121" i="6"/>
  <c r="D121" i="6"/>
  <c r="C121" i="6"/>
  <c r="F120" i="6"/>
  <c r="E120" i="6"/>
  <c r="D120" i="6"/>
  <c r="C120" i="6"/>
  <c r="F119" i="6"/>
  <c r="E119" i="6"/>
  <c r="D119" i="6"/>
  <c r="C119" i="6"/>
  <c r="F118" i="6"/>
  <c r="E118" i="6"/>
  <c r="D118" i="6"/>
  <c r="C118" i="6"/>
  <c r="F117" i="6"/>
  <c r="E117" i="6"/>
  <c r="D117" i="6"/>
  <c r="C117" i="6"/>
  <c r="F116" i="6"/>
  <c r="E116" i="6"/>
  <c r="D116" i="6"/>
  <c r="C116" i="6"/>
  <c r="F115" i="6"/>
  <c r="E115" i="6"/>
  <c r="D115" i="6"/>
  <c r="C115" i="6"/>
  <c r="F114" i="6"/>
  <c r="E114" i="6"/>
  <c r="D114" i="6"/>
  <c r="C114" i="6"/>
  <c r="N113" i="6"/>
  <c r="F113" i="6"/>
  <c r="E113" i="6"/>
  <c r="D113" i="6"/>
  <c r="C113" i="6"/>
  <c r="F112" i="6"/>
  <c r="E112" i="6"/>
  <c r="D112" i="6"/>
  <c r="C112" i="6"/>
  <c r="F111" i="6"/>
  <c r="E111" i="6"/>
  <c r="D111" i="6"/>
  <c r="C111" i="6"/>
  <c r="Q110" i="6"/>
  <c r="F110" i="6"/>
  <c r="E110" i="6"/>
  <c r="D110" i="6"/>
  <c r="C110" i="6"/>
  <c r="N109" i="6"/>
  <c r="U109" i="6" s="1"/>
  <c r="F109" i="6"/>
  <c r="E109" i="6"/>
  <c r="D109" i="6"/>
  <c r="C109" i="6"/>
  <c r="F108" i="6"/>
  <c r="E108" i="6"/>
  <c r="D108" i="6"/>
  <c r="C108" i="6"/>
  <c r="R107" i="6"/>
  <c r="Q107" i="6"/>
  <c r="F107" i="6"/>
  <c r="E107" i="6"/>
  <c r="D107" i="6"/>
  <c r="C107" i="6"/>
  <c r="F106" i="6"/>
  <c r="E106" i="6"/>
  <c r="D106" i="6"/>
  <c r="C106" i="6"/>
  <c r="F105" i="6"/>
  <c r="E105" i="6"/>
  <c r="D105" i="6"/>
  <c r="C105" i="6"/>
  <c r="V104" i="6"/>
  <c r="O104" i="6"/>
  <c r="N104" i="6"/>
  <c r="U104" i="6" s="1"/>
  <c r="F104" i="6"/>
  <c r="E104" i="6"/>
  <c r="D104" i="6"/>
  <c r="C104" i="6"/>
  <c r="F103" i="6"/>
  <c r="E103" i="6"/>
  <c r="D103" i="6"/>
  <c r="C103" i="6"/>
  <c r="F102" i="6"/>
  <c r="E102" i="6"/>
  <c r="D102" i="6"/>
  <c r="C102" i="6"/>
  <c r="R101" i="6"/>
  <c r="Q101" i="6"/>
  <c r="O101" i="6"/>
  <c r="N101" i="6"/>
  <c r="U101" i="6" s="1"/>
  <c r="F101" i="6"/>
  <c r="E101" i="6"/>
  <c r="V101" i="6" s="1"/>
  <c r="D101" i="6"/>
  <c r="C101" i="6"/>
  <c r="F100" i="6"/>
  <c r="E100" i="6"/>
  <c r="D100" i="6"/>
  <c r="C100" i="6"/>
  <c r="F99" i="6"/>
  <c r="E99" i="6"/>
  <c r="D99" i="6"/>
  <c r="C99" i="6"/>
  <c r="F98" i="6"/>
  <c r="E98" i="6"/>
  <c r="D98" i="6"/>
  <c r="C98" i="6"/>
  <c r="F97" i="6"/>
  <c r="E97" i="6"/>
  <c r="D97" i="6"/>
  <c r="C97" i="6"/>
  <c r="F96" i="6"/>
  <c r="E96" i="6"/>
  <c r="D96" i="6"/>
  <c r="C96" i="6"/>
  <c r="F95" i="6"/>
  <c r="E95" i="6"/>
  <c r="D95" i="6"/>
  <c r="C95" i="6"/>
  <c r="F94" i="6"/>
  <c r="E94" i="6"/>
  <c r="D94" i="6"/>
  <c r="C94" i="6"/>
  <c r="R93" i="6"/>
  <c r="Q93" i="6"/>
  <c r="P93" i="6"/>
  <c r="S93" i="6" s="1"/>
  <c r="N93" i="6"/>
  <c r="H93" i="6"/>
  <c r="G93" i="6"/>
  <c r="F93" i="6"/>
  <c r="E93" i="6"/>
  <c r="D93" i="6"/>
  <c r="C93" i="6"/>
  <c r="R92" i="6"/>
  <c r="N92" i="6"/>
  <c r="O92" i="6" s="1"/>
  <c r="H92" i="6"/>
  <c r="F92" i="6"/>
  <c r="E92" i="6"/>
  <c r="Q92" i="6" s="1"/>
  <c r="D92" i="6"/>
  <c r="C92" i="6"/>
  <c r="R91" i="6"/>
  <c r="Q91" i="6"/>
  <c r="P91" i="6"/>
  <c r="S91" i="6" s="1"/>
  <c r="N91" i="6"/>
  <c r="H91" i="6"/>
  <c r="G91" i="6"/>
  <c r="F91" i="6"/>
  <c r="E91" i="6"/>
  <c r="D91" i="6"/>
  <c r="C91" i="6"/>
  <c r="P90" i="6"/>
  <c r="F90" i="6"/>
  <c r="E90" i="6"/>
  <c r="D90" i="6"/>
  <c r="C90" i="6"/>
  <c r="F89" i="6"/>
  <c r="E89" i="6"/>
  <c r="D89" i="6"/>
  <c r="C89" i="6"/>
  <c r="R88" i="6"/>
  <c r="Q88" i="6"/>
  <c r="H88" i="6"/>
  <c r="F88" i="6"/>
  <c r="E88" i="6"/>
  <c r="D88" i="6"/>
  <c r="C88" i="6"/>
  <c r="U87" i="6"/>
  <c r="Q87" i="6"/>
  <c r="P87" i="6"/>
  <c r="N87" i="6"/>
  <c r="F87" i="6"/>
  <c r="E87" i="6"/>
  <c r="R87" i="6" s="1"/>
  <c r="D87" i="6"/>
  <c r="C87" i="6"/>
  <c r="U86" i="6"/>
  <c r="R86" i="6"/>
  <c r="Q86" i="6"/>
  <c r="S86" i="6" s="1"/>
  <c r="P86" i="6"/>
  <c r="H86" i="6"/>
  <c r="G86" i="6"/>
  <c r="F86" i="6"/>
  <c r="E86" i="6"/>
  <c r="N86" i="6" s="1"/>
  <c r="O86" i="6" s="1"/>
  <c r="D86" i="6"/>
  <c r="C86" i="6"/>
  <c r="F85" i="6"/>
  <c r="E85" i="6"/>
  <c r="D85" i="6"/>
  <c r="C85" i="6"/>
  <c r="G84" i="6"/>
  <c r="F84" i="6"/>
  <c r="E84" i="6"/>
  <c r="D84" i="6"/>
  <c r="C84" i="6"/>
  <c r="F83" i="6"/>
  <c r="E83" i="6"/>
  <c r="D83" i="6"/>
  <c r="C83" i="6"/>
  <c r="F82" i="6"/>
  <c r="E82" i="6"/>
  <c r="D82" i="6"/>
  <c r="C82" i="6"/>
  <c r="R81" i="6"/>
  <c r="N81" i="6"/>
  <c r="H81" i="6"/>
  <c r="F81" i="6"/>
  <c r="E81" i="6"/>
  <c r="Q81" i="6" s="1"/>
  <c r="D81" i="6"/>
  <c r="C81" i="6"/>
  <c r="S80" i="6"/>
  <c r="R80" i="6"/>
  <c r="Q80" i="6"/>
  <c r="P80" i="6"/>
  <c r="N80" i="6"/>
  <c r="F80" i="6"/>
  <c r="E80" i="6"/>
  <c r="D80" i="6"/>
  <c r="C80" i="6"/>
  <c r="F79" i="6"/>
  <c r="E79" i="6"/>
  <c r="D79" i="6"/>
  <c r="C79" i="6"/>
  <c r="F78" i="6"/>
  <c r="E78" i="6"/>
  <c r="D78" i="6"/>
  <c r="C78" i="6"/>
  <c r="F77" i="6"/>
  <c r="E77" i="6"/>
  <c r="D77" i="6"/>
  <c r="C77" i="6"/>
  <c r="F76" i="6"/>
  <c r="E76" i="6"/>
  <c r="D76" i="6"/>
  <c r="C76" i="6"/>
  <c r="H75" i="6"/>
  <c r="G75" i="6"/>
  <c r="F75" i="6"/>
  <c r="E75" i="6"/>
  <c r="D75" i="6"/>
  <c r="C75" i="6"/>
  <c r="F74" i="6"/>
  <c r="E74" i="6"/>
  <c r="D74" i="6"/>
  <c r="C74" i="6"/>
  <c r="Q73" i="6"/>
  <c r="H73" i="6"/>
  <c r="G73" i="6"/>
  <c r="F73" i="6"/>
  <c r="E73" i="6"/>
  <c r="D73" i="6"/>
  <c r="C73" i="6"/>
  <c r="G72" i="6"/>
  <c r="F72" i="6"/>
  <c r="E72" i="6"/>
  <c r="D72" i="6"/>
  <c r="C72" i="6"/>
  <c r="R71" i="6"/>
  <c r="Q71" i="6"/>
  <c r="P71" i="6"/>
  <c r="S71" i="6" s="1"/>
  <c r="N71" i="6"/>
  <c r="H71" i="6"/>
  <c r="G71" i="6"/>
  <c r="F71" i="6"/>
  <c r="E71" i="6"/>
  <c r="D71" i="6"/>
  <c r="C71" i="6"/>
  <c r="U70" i="6"/>
  <c r="R70" i="6"/>
  <c r="N70" i="6"/>
  <c r="O70" i="6" s="1"/>
  <c r="H70" i="6"/>
  <c r="F70" i="6"/>
  <c r="E70" i="6"/>
  <c r="Q70" i="6" s="1"/>
  <c r="D70" i="6"/>
  <c r="C70" i="6"/>
  <c r="F69" i="6"/>
  <c r="E69" i="6"/>
  <c r="D69" i="6"/>
  <c r="C69" i="6"/>
  <c r="F68" i="6"/>
  <c r="E68" i="6"/>
  <c r="D68" i="6"/>
  <c r="C68" i="6"/>
  <c r="F67" i="6"/>
  <c r="E67" i="6"/>
  <c r="D67" i="6"/>
  <c r="C67" i="6"/>
  <c r="F66" i="6"/>
  <c r="E66" i="6"/>
  <c r="D66" i="6"/>
  <c r="C66" i="6"/>
  <c r="U65" i="6"/>
  <c r="R65" i="6"/>
  <c r="Q65" i="6"/>
  <c r="P65" i="6"/>
  <c r="N65" i="6"/>
  <c r="O65" i="6" s="1"/>
  <c r="H65" i="6"/>
  <c r="G65" i="6"/>
  <c r="F65" i="6"/>
  <c r="E65" i="6"/>
  <c r="D65" i="6"/>
  <c r="C65" i="6"/>
  <c r="F64" i="6"/>
  <c r="E64" i="6"/>
  <c r="D64" i="6"/>
  <c r="C64" i="6"/>
  <c r="F63" i="6"/>
  <c r="E63" i="6"/>
  <c r="D63" i="6"/>
  <c r="C63" i="6"/>
  <c r="V62" i="6"/>
  <c r="U62" i="6"/>
  <c r="N62" i="6"/>
  <c r="O62" i="6" s="1"/>
  <c r="F62" i="6"/>
  <c r="E62" i="6"/>
  <c r="D62" i="6"/>
  <c r="C62" i="6"/>
  <c r="F61" i="6"/>
  <c r="E61" i="6"/>
  <c r="D61" i="6"/>
  <c r="C61" i="6"/>
  <c r="R60" i="6"/>
  <c r="P60" i="6"/>
  <c r="S60" i="6" s="1"/>
  <c r="N60" i="6"/>
  <c r="O60" i="6" s="1"/>
  <c r="L60" i="6"/>
  <c r="T60" i="6" s="1"/>
  <c r="J60" i="6"/>
  <c r="I60" i="6"/>
  <c r="K60" i="6" s="1"/>
  <c r="H60" i="6"/>
  <c r="G60" i="6"/>
  <c r="F60" i="6"/>
  <c r="E60" i="6"/>
  <c r="Q60" i="6" s="1"/>
  <c r="D60" i="6"/>
  <c r="C60" i="6"/>
  <c r="R59" i="6"/>
  <c r="P59" i="6"/>
  <c r="N59" i="6"/>
  <c r="V59" i="6" s="1"/>
  <c r="L59" i="6"/>
  <c r="J59" i="6"/>
  <c r="I59" i="6"/>
  <c r="K59" i="6" s="1"/>
  <c r="H59" i="6"/>
  <c r="G59" i="6"/>
  <c r="F59" i="6"/>
  <c r="E59" i="6"/>
  <c r="Q59" i="6" s="1"/>
  <c r="D59" i="6"/>
  <c r="C59" i="6"/>
  <c r="F58" i="6"/>
  <c r="E58" i="6"/>
  <c r="D58" i="6"/>
  <c r="C58" i="6"/>
  <c r="F57" i="6"/>
  <c r="E57" i="6"/>
  <c r="D57" i="6"/>
  <c r="C57" i="6"/>
  <c r="F56" i="6"/>
  <c r="E56" i="6"/>
  <c r="D56" i="6"/>
  <c r="C56" i="6"/>
  <c r="F55" i="6"/>
  <c r="E55" i="6"/>
  <c r="D55" i="6"/>
  <c r="C55" i="6"/>
  <c r="F54" i="6"/>
  <c r="E54" i="6"/>
  <c r="D54" i="6"/>
  <c r="C54" i="6"/>
  <c r="F53" i="6"/>
  <c r="E53" i="6"/>
  <c r="D53" i="6"/>
  <c r="C53" i="6"/>
  <c r="U52" i="6"/>
  <c r="R52" i="6"/>
  <c r="P52" i="6"/>
  <c r="S52" i="6" s="1"/>
  <c r="N52" i="6"/>
  <c r="V52" i="6" s="1"/>
  <c r="I52" i="6"/>
  <c r="K52" i="6" s="1"/>
  <c r="L52" i="6" s="1"/>
  <c r="H52" i="6"/>
  <c r="G52" i="6"/>
  <c r="J52" i="6" s="1"/>
  <c r="F52" i="6"/>
  <c r="E52" i="6"/>
  <c r="Q52" i="6" s="1"/>
  <c r="D52" i="6"/>
  <c r="C52" i="6"/>
  <c r="V51" i="6"/>
  <c r="R51" i="6"/>
  <c r="P51" i="6"/>
  <c r="N51" i="6"/>
  <c r="U51" i="6" s="1"/>
  <c r="I51" i="6"/>
  <c r="K51" i="6" s="1"/>
  <c r="L51" i="6" s="1"/>
  <c r="H51" i="6"/>
  <c r="G51" i="6"/>
  <c r="J51" i="6" s="1"/>
  <c r="F51" i="6"/>
  <c r="E51" i="6"/>
  <c r="Q51" i="6" s="1"/>
  <c r="S51" i="6" s="1"/>
  <c r="D51" i="6"/>
  <c r="C51" i="6"/>
  <c r="V50" i="6"/>
  <c r="U50" i="6"/>
  <c r="S50" i="6"/>
  <c r="R50" i="6"/>
  <c r="P50" i="6"/>
  <c r="N50" i="6"/>
  <c r="O50" i="6" s="1"/>
  <c r="I50" i="6"/>
  <c r="K50" i="6" s="1"/>
  <c r="H50" i="6"/>
  <c r="G50" i="6"/>
  <c r="J50" i="6" s="1"/>
  <c r="F50" i="6"/>
  <c r="E50" i="6"/>
  <c r="Q50" i="6" s="1"/>
  <c r="D50" i="6"/>
  <c r="C50" i="6"/>
  <c r="V49" i="6"/>
  <c r="U49" i="6"/>
  <c r="R49" i="6"/>
  <c r="P49" i="6"/>
  <c r="S49" i="6" s="1"/>
  <c r="O49" i="6"/>
  <c r="N49" i="6"/>
  <c r="I49" i="6"/>
  <c r="K49" i="6" s="1"/>
  <c r="L49" i="6" s="1"/>
  <c r="H49" i="6"/>
  <c r="G49" i="6"/>
  <c r="J49" i="6" s="1"/>
  <c r="F49" i="6"/>
  <c r="E49" i="6"/>
  <c r="Q49" i="6" s="1"/>
  <c r="D49" i="6"/>
  <c r="C49" i="6"/>
  <c r="F48" i="6"/>
  <c r="E48" i="6"/>
  <c r="D48" i="6"/>
  <c r="C48" i="6"/>
  <c r="P47" i="6"/>
  <c r="F47" i="6"/>
  <c r="E47" i="6"/>
  <c r="D47" i="6"/>
  <c r="C47" i="6"/>
  <c r="V46" i="6"/>
  <c r="U46" i="6"/>
  <c r="R46" i="6"/>
  <c r="P46" i="6"/>
  <c r="O46" i="6"/>
  <c r="N46" i="6"/>
  <c r="I46" i="6"/>
  <c r="K46" i="6" s="1"/>
  <c r="L46" i="6" s="1"/>
  <c r="H46" i="6"/>
  <c r="G46" i="6"/>
  <c r="J46" i="6" s="1"/>
  <c r="F46" i="6"/>
  <c r="E46" i="6"/>
  <c r="Q46" i="6" s="1"/>
  <c r="D46" i="6"/>
  <c r="C46" i="6"/>
  <c r="V45" i="6"/>
  <c r="U45" i="6"/>
  <c r="T45" i="6"/>
  <c r="R45" i="6"/>
  <c r="P45" i="6"/>
  <c r="N45" i="6"/>
  <c r="O45" i="6" s="1"/>
  <c r="M45" i="6"/>
  <c r="I45" i="6"/>
  <c r="K45" i="6" s="1"/>
  <c r="H45" i="6"/>
  <c r="G45" i="6"/>
  <c r="J45" i="6" s="1"/>
  <c r="L45" i="6" s="1"/>
  <c r="W45" i="6" s="1"/>
  <c r="F45" i="6"/>
  <c r="E45" i="6"/>
  <c r="Q45" i="6" s="1"/>
  <c r="S45" i="6" s="1"/>
  <c r="D45" i="6"/>
  <c r="C45" i="6"/>
  <c r="R44" i="6"/>
  <c r="P44" i="6"/>
  <c r="S44" i="6" s="1"/>
  <c r="N44" i="6"/>
  <c r="I44" i="6"/>
  <c r="K44" i="6" s="1"/>
  <c r="L44" i="6" s="1"/>
  <c r="H44" i="6"/>
  <c r="G44" i="6"/>
  <c r="J44" i="6" s="1"/>
  <c r="F44" i="6"/>
  <c r="E44" i="6"/>
  <c r="Q44" i="6" s="1"/>
  <c r="D44" i="6"/>
  <c r="C44" i="6"/>
  <c r="F43" i="6"/>
  <c r="E43" i="6"/>
  <c r="D43" i="6"/>
  <c r="C43" i="6"/>
  <c r="P42" i="6"/>
  <c r="F42" i="6"/>
  <c r="E42" i="6"/>
  <c r="D42" i="6"/>
  <c r="C42" i="6"/>
  <c r="N41" i="6"/>
  <c r="O41" i="6" s="1"/>
  <c r="F41" i="6"/>
  <c r="E41" i="6"/>
  <c r="D41" i="6"/>
  <c r="C41" i="6"/>
  <c r="F40" i="6"/>
  <c r="E40" i="6"/>
  <c r="D40" i="6"/>
  <c r="C40" i="6"/>
  <c r="R39" i="6"/>
  <c r="P39" i="6"/>
  <c r="S39" i="6" s="1"/>
  <c r="N39" i="6"/>
  <c r="I39" i="6"/>
  <c r="K39" i="6" s="1"/>
  <c r="L39" i="6" s="1"/>
  <c r="H39" i="6"/>
  <c r="G39" i="6"/>
  <c r="J39" i="6" s="1"/>
  <c r="F39" i="6"/>
  <c r="E39" i="6"/>
  <c r="Q39" i="6" s="1"/>
  <c r="D39" i="6"/>
  <c r="C39" i="6"/>
  <c r="U38" i="6"/>
  <c r="R38" i="6"/>
  <c r="P38" i="6"/>
  <c r="S38" i="6" s="1"/>
  <c r="O38" i="6"/>
  <c r="N38" i="6"/>
  <c r="V38" i="6" s="1"/>
  <c r="I38" i="6"/>
  <c r="K38" i="6" s="1"/>
  <c r="L38" i="6" s="1"/>
  <c r="H38" i="6"/>
  <c r="G38" i="6"/>
  <c r="J38" i="6" s="1"/>
  <c r="F38" i="6"/>
  <c r="E38" i="6"/>
  <c r="Q38" i="6" s="1"/>
  <c r="D38" i="6"/>
  <c r="C38" i="6"/>
  <c r="F37" i="6"/>
  <c r="E37" i="6"/>
  <c r="D37" i="6"/>
  <c r="C37" i="6"/>
  <c r="F36" i="6"/>
  <c r="E36" i="6"/>
  <c r="D36" i="6"/>
  <c r="C36" i="6"/>
  <c r="F35" i="6"/>
  <c r="E35" i="6"/>
  <c r="D35" i="6"/>
  <c r="C35" i="6"/>
  <c r="F34" i="6"/>
  <c r="E34" i="6"/>
  <c r="D34" i="6"/>
  <c r="C34" i="6"/>
  <c r="F33" i="6"/>
  <c r="E33" i="6"/>
  <c r="D33" i="6"/>
  <c r="C33" i="6"/>
  <c r="P32" i="6"/>
  <c r="F32" i="6"/>
  <c r="E32" i="6"/>
  <c r="D32" i="6"/>
  <c r="C32" i="6"/>
  <c r="R31" i="6"/>
  <c r="P31" i="6"/>
  <c r="S31" i="6" s="1"/>
  <c r="N31" i="6"/>
  <c r="I31" i="6"/>
  <c r="K31" i="6" s="1"/>
  <c r="L31" i="6" s="1"/>
  <c r="H31" i="6"/>
  <c r="G31" i="6"/>
  <c r="J31" i="6" s="1"/>
  <c r="F31" i="6"/>
  <c r="E31" i="6"/>
  <c r="Q31" i="6" s="1"/>
  <c r="D31" i="6"/>
  <c r="C31" i="6"/>
  <c r="W30" i="6"/>
  <c r="V30" i="6"/>
  <c r="U30" i="6"/>
  <c r="R30" i="6"/>
  <c r="P30" i="6"/>
  <c r="N30" i="6"/>
  <c r="O30" i="6" s="1"/>
  <c r="I30" i="6"/>
  <c r="K30" i="6" s="1"/>
  <c r="L30" i="6" s="1"/>
  <c r="H30" i="6"/>
  <c r="G30" i="6"/>
  <c r="J30" i="6" s="1"/>
  <c r="F30" i="6"/>
  <c r="E30" i="6"/>
  <c r="Q30" i="6" s="1"/>
  <c r="D30" i="6"/>
  <c r="C30" i="6"/>
  <c r="V29" i="6"/>
  <c r="U29" i="6"/>
  <c r="T29" i="6"/>
  <c r="R29" i="6"/>
  <c r="P29" i="6"/>
  <c r="N29" i="6"/>
  <c r="O29" i="6" s="1"/>
  <c r="I29" i="6"/>
  <c r="K29" i="6" s="1"/>
  <c r="L29" i="6" s="1"/>
  <c r="W29" i="6" s="1"/>
  <c r="H29" i="6"/>
  <c r="G29" i="6"/>
  <c r="J29" i="6" s="1"/>
  <c r="F29" i="6"/>
  <c r="E29" i="6"/>
  <c r="Q29" i="6" s="1"/>
  <c r="S29" i="6" s="1"/>
  <c r="D29" i="6"/>
  <c r="C29" i="6"/>
  <c r="R28" i="6"/>
  <c r="P28" i="6"/>
  <c r="S28" i="6" s="1"/>
  <c r="N28" i="6"/>
  <c r="I28" i="6"/>
  <c r="K28" i="6" s="1"/>
  <c r="L28" i="6" s="1"/>
  <c r="H28" i="6"/>
  <c r="G28" i="6"/>
  <c r="J28" i="6" s="1"/>
  <c r="F28" i="6"/>
  <c r="E28" i="6"/>
  <c r="Q28" i="6" s="1"/>
  <c r="D28" i="6"/>
  <c r="C28" i="6"/>
  <c r="F27" i="6"/>
  <c r="E27" i="6"/>
  <c r="D27" i="6"/>
  <c r="C27" i="6"/>
  <c r="F26" i="6"/>
  <c r="E26" i="6"/>
  <c r="D26" i="6"/>
  <c r="C26" i="6"/>
  <c r="V25" i="6"/>
  <c r="U25" i="6"/>
  <c r="R25" i="6"/>
  <c r="P25" i="6"/>
  <c r="S25" i="6" s="1"/>
  <c r="O25" i="6"/>
  <c r="N25" i="6"/>
  <c r="I25" i="6"/>
  <c r="K25" i="6" s="1"/>
  <c r="H25" i="6"/>
  <c r="G25" i="6"/>
  <c r="J25" i="6" s="1"/>
  <c r="F25" i="6"/>
  <c r="E25" i="6"/>
  <c r="Q25" i="6" s="1"/>
  <c r="D25" i="6"/>
  <c r="C25" i="6"/>
  <c r="V24" i="6"/>
  <c r="U24" i="6"/>
  <c r="T24" i="6"/>
  <c r="S24" i="6"/>
  <c r="R24" i="6"/>
  <c r="P24" i="6"/>
  <c r="N24" i="6"/>
  <c r="O24" i="6" s="1"/>
  <c r="L24" i="6"/>
  <c r="I24" i="6"/>
  <c r="K24" i="6" s="1"/>
  <c r="H24" i="6"/>
  <c r="G24" i="6"/>
  <c r="J24" i="6" s="1"/>
  <c r="F24" i="6"/>
  <c r="E24" i="6"/>
  <c r="Q24" i="6" s="1"/>
  <c r="D24" i="6"/>
  <c r="C24" i="6"/>
  <c r="V23" i="6"/>
  <c r="R23" i="6"/>
  <c r="P23" i="6"/>
  <c r="S23" i="6" s="1"/>
  <c r="N23" i="6"/>
  <c r="U23" i="6" s="1"/>
  <c r="I23" i="6"/>
  <c r="K23" i="6" s="1"/>
  <c r="H23" i="6"/>
  <c r="G23" i="6"/>
  <c r="J23" i="6" s="1"/>
  <c r="F23" i="6"/>
  <c r="E23" i="6"/>
  <c r="Q23" i="6" s="1"/>
  <c r="D23" i="6"/>
  <c r="C23" i="6"/>
  <c r="F22" i="6"/>
  <c r="E22" i="6"/>
  <c r="D22" i="6"/>
  <c r="C22" i="6"/>
  <c r="F21" i="6"/>
  <c r="E21" i="6"/>
  <c r="D21" i="6"/>
  <c r="C21" i="6"/>
  <c r="V20" i="6"/>
  <c r="U20" i="6"/>
  <c r="N20" i="6"/>
  <c r="O20" i="6" s="1"/>
  <c r="F20" i="6"/>
  <c r="E20" i="6"/>
  <c r="D20" i="6"/>
  <c r="C20" i="6"/>
  <c r="F19" i="6"/>
  <c r="E19" i="6"/>
  <c r="D19" i="6"/>
  <c r="C19" i="6"/>
  <c r="W18" i="6"/>
  <c r="R18" i="6"/>
  <c r="P18" i="6"/>
  <c r="S18" i="6" s="1"/>
  <c r="O18" i="6"/>
  <c r="N18" i="6"/>
  <c r="M18" i="6"/>
  <c r="L18" i="6"/>
  <c r="T18" i="6" s="1"/>
  <c r="I18" i="6"/>
  <c r="K18" i="6" s="1"/>
  <c r="H18" i="6"/>
  <c r="G18" i="6"/>
  <c r="J18" i="6" s="1"/>
  <c r="F18" i="6"/>
  <c r="E18" i="6"/>
  <c r="Q18" i="6" s="1"/>
  <c r="D18" i="6"/>
  <c r="C18" i="6"/>
  <c r="R17" i="6"/>
  <c r="P17" i="6"/>
  <c r="S17" i="6" s="1"/>
  <c r="N17" i="6"/>
  <c r="I17" i="6"/>
  <c r="K17" i="6" s="1"/>
  <c r="L17" i="6" s="1"/>
  <c r="H17" i="6"/>
  <c r="G17" i="6"/>
  <c r="J17" i="6" s="1"/>
  <c r="F17" i="6"/>
  <c r="E17" i="6"/>
  <c r="Q17" i="6" s="1"/>
  <c r="D17" i="6"/>
  <c r="C17" i="6"/>
  <c r="F16" i="6"/>
  <c r="E16" i="6"/>
  <c r="D16" i="6"/>
  <c r="C16" i="6"/>
  <c r="F15" i="6"/>
  <c r="E15" i="6"/>
  <c r="D15" i="6"/>
  <c r="C15" i="6"/>
  <c r="F14" i="6"/>
  <c r="E14" i="6"/>
  <c r="D14" i="6"/>
  <c r="C14" i="6"/>
  <c r="F13" i="6"/>
  <c r="E13" i="6"/>
  <c r="D13" i="6"/>
  <c r="C13" i="6"/>
  <c r="F12" i="6"/>
  <c r="E12" i="6"/>
  <c r="D12" i="6"/>
  <c r="C12" i="6"/>
  <c r="F11" i="6"/>
  <c r="E11" i="6"/>
  <c r="D11" i="6"/>
  <c r="C11" i="6"/>
  <c r="S10" i="6"/>
  <c r="R10" i="6"/>
  <c r="P10" i="6"/>
  <c r="N10" i="6"/>
  <c r="V10" i="6" s="1"/>
  <c r="I10" i="6"/>
  <c r="K10" i="6" s="1"/>
  <c r="H10" i="6"/>
  <c r="G10" i="6"/>
  <c r="J10" i="6" s="1"/>
  <c r="L10" i="6" s="1"/>
  <c r="F10" i="6"/>
  <c r="E10" i="6"/>
  <c r="Q10" i="6" s="1"/>
  <c r="D10" i="6"/>
  <c r="C10" i="6"/>
  <c r="V9" i="6"/>
  <c r="U9" i="6"/>
  <c r="R9" i="6"/>
  <c r="P9" i="6"/>
  <c r="S9" i="6" s="1"/>
  <c r="O9" i="6"/>
  <c r="N9" i="6"/>
  <c r="I9" i="6"/>
  <c r="K9" i="6" s="1"/>
  <c r="L9" i="6" s="1"/>
  <c r="M9" i="6" s="1"/>
  <c r="X9" i="6" s="1"/>
  <c r="H9" i="6"/>
  <c r="G9" i="6"/>
  <c r="J9" i="6" s="1"/>
  <c r="F9" i="6"/>
  <c r="E9" i="6"/>
  <c r="Q9" i="6" s="1"/>
  <c r="D9" i="6"/>
  <c r="C9" i="6"/>
  <c r="V8" i="6"/>
  <c r="U8" i="6"/>
  <c r="R8" i="6"/>
  <c r="P8" i="6"/>
  <c r="S8" i="6" s="1"/>
  <c r="N8" i="6"/>
  <c r="O8" i="6" s="1"/>
  <c r="L8" i="6"/>
  <c r="T8" i="6" s="1"/>
  <c r="I8" i="6"/>
  <c r="K8" i="6" s="1"/>
  <c r="H8" i="6"/>
  <c r="G8" i="6"/>
  <c r="J8" i="6" s="1"/>
  <c r="F8" i="6"/>
  <c r="E8" i="6"/>
  <c r="Q8" i="6" s="1"/>
  <c r="D8" i="6"/>
  <c r="C8" i="6"/>
  <c r="X7" i="6"/>
  <c r="W7" i="6"/>
  <c r="V7" i="6"/>
  <c r="R7" i="6"/>
  <c r="P7" i="6"/>
  <c r="S7" i="6" s="1"/>
  <c r="O7" i="6"/>
  <c r="N7" i="6"/>
  <c r="U7" i="6" s="1"/>
  <c r="M7" i="6"/>
  <c r="I7" i="6"/>
  <c r="K7" i="6" s="1"/>
  <c r="L7" i="6" s="1"/>
  <c r="T7" i="6" s="1"/>
  <c r="H7" i="6"/>
  <c r="G7" i="6"/>
  <c r="J7" i="6" s="1"/>
  <c r="F7" i="6"/>
  <c r="E7" i="6"/>
  <c r="Q7" i="6" s="1"/>
  <c r="D7" i="6"/>
  <c r="C7" i="6"/>
  <c r="F6" i="6"/>
  <c r="E6" i="6"/>
  <c r="D6" i="6"/>
  <c r="C6" i="6"/>
  <c r="F5" i="6"/>
  <c r="E5" i="6"/>
  <c r="D5" i="6"/>
  <c r="C5" i="6"/>
  <c r="S4" i="6"/>
  <c r="R4" i="6"/>
  <c r="P4" i="6"/>
  <c r="N4" i="6"/>
  <c r="U4" i="6" s="1"/>
  <c r="I4" i="6"/>
  <c r="K4" i="6" s="1"/>
  <c r="L4" i="6" s="1"/>
  <c r="M4" i="6" s="1"/>
  <c r="X4" i="6" s="1"/>
  <c r="H4" i="6"/>
  <c r="G4" i="6"/>
  <c r="J4" i="6" s="1"/>
  <c r="F4" i="6"/>
  <c r="E4" i="6"/>
  <c r="Q4" i="6" s="1"/>
  <c r="D4" i="6"/>
  <c r="C4" i="6"/>
  <c r="E3032" i="5"/>
  <c r="E3031" i="5"/>
  <c r="E3030" i="5"/>
  <c r="E3029" i="5"/>
  <c r="E3028" i="5"/>
  <c r="E3027" i="5"/>
  <c r="E3026" i="5"/>
  <c r="E3025" i="5"/>
  <c r="E3024" i="5"/>
  <c r="E3023" i="5"/>
  <c r="E3022" i="5"/>
  <c r="E3021" i="5"/>
  <c r="E3020" i="5"/>
  <c r="E3019" i="5"/>
  <c r="E3018" i="5"/>
  <c r="E3017" i="5"/>
  <c r="E3016" i="5"/>
  <c r="E3015" i="5"/>
  <c r="E3014" i="5"/>
  <c r="E3013" i="5"/>
  <c r="E3012" i="5"/>
  <c r="E3011" i="5"/>
  <c r="E3010" i="5"/>
  <c r="E3009" i="5"/>
  <c r="E3008" i="5"/>
  <c r="E3007" i="5"/>
  <c r="E3006" i="5"/>
  <c r="E3005" i="5"/>
  <c r="E3004" i="5"/>
  <c r="E3003" i="5"/>
  <c r="E3002" i="5"/>
  <c r="E3001" i="5"/>
  <c r="E3000" i="5"/>
  <c r="E2999" i="5"/>
  <c r="E2998" i="5"/>
  <c r="E2997" i="5"/>
  <c r="E2996" i="5"/>
  <c r="E2995" i="5"/>
  <c r="E2994" i="5"/>
  <c r="E2993" i="5"/>
  <c r="E2992" i="5"/>
  <c r="E2991" i="5"/>
  <c r="E2990" i="5"/>
  <c r="E2989" i="5"/>
  <c r="E2988" i="5"/>
  <c r="E2987" i="5"/>
  <c r="E2986" i="5"/>
  <c r="E2985" i="5"/>
  <c r="E2984" i="5"/>
  <c r="E2983" i="5"/>
  <c r="E2982" i="5"/>
  <c r="E2981" i="5"/>
  <c r="E2980" i="5"/>
  <c r="E2979" i="5"/>
  <c r="E2978" i="5"/>
  <c r="E2977" i="5"/>
  <c r="E2976" i="5"/>
  <c r="E2975" i="5"/>
  <c r="E2974" i="5"/>
  <c r="E2973" i="5"/>
  <c r="E2972" i="5"/>
  <c r="E2971" i="5"/>
  <c r="E2970" i="5"/>
  <c r="E2969" i="5"/>
  <c r="E2968" i="5"/>
  <c r="E2967" i="5"/>
  <c r="E2966" i="5"/>
  <c r="E2965" i="5"/>
  <c r="E2964" i="5"/>
  <c r="E2963" i="5"/>
  <c r="E2962" i="5"/>
  <c r="E2961" i="5"/>
  <c r="E2960" i="5"/>
  <c r="E2959" i="5"/>
  <c r="E2958" i="5"/>
  <c r="E2957" i="5"/>
  <c r="E2956" i="5"/>
  <c r="E2955" i="5"/>
  <c r="E2954" i="5"/>
  <c r="E2953" i="5"/>
  <c r="E2952" i="5"/>
  <c r="E2951" i="5"/>
  <c r="E2950" i="5"/>
  <c r="E2949" i="5"/>
  <c r="E2948" i="5"/>
  <c r="E2947" i="5"/>
  <c r="E2946" i="5"/>
  <c r="E2945" i="5"/>
  <c r="E2944" i="5"/>
  <c r="E2943" i="5"/>
  <c r="E2942" i="5"/>
  <c r="E2941" i="5"/>
  <c r="E2940" i="5"/>
  <c r="E2939" i="5"/>
  <c r="E2938" i="5"/>
  <c r="E2937" i="5"/>
  <c r="E2936" i="5"/>
  <c r="E2935" i="5"/>
  <c r="E2934" i="5"/>
  <c r="E2933" i="5"/>
  <c r="E2932" i="5"/>
  <c r="E2931" i="5"/>
  <c r="E2930" i="5"/>
  <c r="E2929" i="5"/>
  <c r="E2928" i="5"/>
  <c r="E2927" i="5"/>
  <c r="E2926" i="5"/>
  <c r="E2925" i="5"/>
  <c r="E2924" i="5"/>
  <c r="E2923" i="5"/>
  <c r="E2922" i="5"/>
  <c r="E2921" i="5"/>
  <c r="E2920" i="5"/>
  <c r="E2919" i="5"/>
  <c r="E2918" i="5"/>
  <c r="E2917" i="5"/>
  <c r="E2916" i="5"/>
  <c r="E2915" i="5"/>
  <c r="E2914" i="5"/>
  <c r="E2913" i="5"/>
  <c r="E2912" i="5"/>
  <c r="E2911" i="5"/>
  <c r="E2910" i="5"/>
  <c r="E2909" i="5"/>
  <c r="E2908" i="5"/>
  <c r="E2907" i="5"/>
  <c r="E2906" i="5"/>
  <c r="E2905" i="5"/>
  <c r="E2904" i="5"/>
  <c r="E2903" i="5"/>
  <c r="E2902" i="5"/>
  <c r="E2901" i="5"/>
  <c r="E2900" i="5"/>
  <c r="E2899" i="5"/>
  <c r="E2898" i="5"/>
  <c r="E2897" i="5"/>
  <c r="E2896" i="5"/>
  <c r="E2895" i="5"/>
  <c r="E2894" i="5"/>
  <c r="E2893" i="5"/>
  <c r="E2892" i="5"/>
  <c r="E2891" i="5"/>
  <c r="E2890" i="5"/>
  <c r="E2889" i="5"/>
  <c r="E2888" i="5"/>
  <c r="E2887" i="5"/>
  <c r="E2886" i="5"/>
  <c r="E2885" i="5"/>
  <c r="E2884" i="5"/>
  <c r="E2883" i="5"/>
  <c r="E2882" i="5"/>
  <c r="E2881" i="5"/>
  <c r="E2880" i="5"/>
  <c r="E2879" i="5"/>
  <c r="E2878" i="5"/>
  <c r="E2877" i="5"/>
  <c r="E2876" i="5"/>
  <c r="E2875" i="5"/>
  <c r="E2874" i="5"/>
  <c r="E2873" i="5"/>
  <c r="E2872" i="5"/>
  <c r="E2871" i="5"/>
  <c r="E2870" i="5"/>
  <c r="E2869" i="5"/>
  <c r="E2868" i="5"/>
  <c r="E2867" i="5"/>
  <c r="E2866" i="5"/>
  <c r="E2865" i="5"/>
  <c r="E2864" i="5"/>
  <c r="E2863" i="5"/>
  <c r="E2862" i="5"/>
  <c r="E2861" i="5"/>
  <c r="E2860" i="5"/>
  <c r="E2859" i="5"/>
  <c r="E2858" i="5"/>
  <c r="E2857" i="5"/>
  <c r="E2856" i="5"/>
  <c r="E2855" i="5"/>
  <c r="E2854" i="5"/>
  <c r="E2853" i="5"/>
  <c r="E2852" i="5"/>
  <c r="E2851" i="5"/>
  <c r="E2850" i="5"/>
  <c r="E2849" i="5"/>
  <c r="E2848" i="5"/>
  <c r="E2847" i="5"/>
  <c r="E2846" i="5"/>
  <c r="E2845" i="5"/>
  <c r="E2844" i="5"/>
  <c r="E2843" i="5"/>
  <c r="E2842" i="5"/>
  <c r="E2841" i="5"/>
  <c r="E2840" i="5"/>
  <c r="E2839" i="5"/>
  <c r="E2838" i="5"/>
  <c r="E2837" i="5"/>
  <c r="E2836" i="5"/>
  <c r="E2835" i="5"/>
  <c r="E2834" i="5"/>
  <c r="E2833" i="5"/>
  <c r="E2832" i="5"/>
  <c r="E2831" i="5"/>
  <c r="E2830" i="5"/>
  <c r="E2829" i="5"/>
  <c r="E2828" i="5"/>
  <c r="E2827" i="5"/>
  <c r="E2826" i="5"/>
  <c r="E2825" i="5"/>
  <c r="E2824" i="5"/>
  <c r="E2823" i="5"/>
  <c r="E2822" i="5"/>
  <c r="E2821" i="5"/>
  <c r="E2820" i="5"/>
  <c r="E2819" i="5"/>
  <c r="E2818" i="5"/>
  <c r="E2817" i="5"/>
  <c r="E2816" i="5"/>
  <c r="E2815" i="5"/>
  <c r="E2814" i="5"/>
  <c r="E2813" i="5"/>
  <c r="E2812" i="5"/>
  <c r="E2811" i="5"/>
  <c r="E2810" i="5"/>
  <c r="E2809" i="5"/>
  <c r="E2808" i="5"/>
  <c r="E2807" i="5"/>
  <c r="E2806" i="5"/>
  <c r="E2805" i="5"/>
  <c r="E2804" i="5"/>
  <c r="E2803" i="5"/>
  <c r="E2802" i="5"/>
  <c r="E2801" i="5"/>
  <c r="E2800" i="5"/>
  <c r="E2799" i="5"/>
  <c r="E2798" i="5"/>
  <c r="E2797" i="5"/>
  <c r="E2796" i="5"/>
  <c r="E2795" i="5"/>
  <c r="E2794" i="5"/>
  <c r="E2793" i="5"/>
  <c r="E2792" i="5"/>
  <c r="E2791" i="5"/>
  <c r="E2790" i="5"/>
  <c r="E2789" i="5"/>
  <c r="E2788" i="5"/>
  <c r="E2787" i="5"/>
  <c r="E2786" i="5"/>
  <c r="E2785" i="5"/>
  <c r="E2784" i="5"/>
  <c r="E2783" i="5"/>
  <c r="E2782" i="5"/>
  <c r="E2781" i="5"/>
  <c r="E2780" i="5"/>
  <c r="E2779" i="5"/>
  <c r="E2778" i="5"/>
  <c r="E2777" i="5"/>
  <c r="E2776" i="5"/>
  <c r="E2775" i="5"/>
  <c r="E2774" i="5"/>
  <c r="E2773" i="5"/>
  <c r="E2772" i="5"/>
  <c r="E2771" i="5"/>
  <c r="E2770" i="5"/>
  <c r="E2769" i="5"/>
  <c r="E2768" i="5"/>
  <c r="E2767" i="5"/>
  <c r="E2766" i="5"/>
  <c r="E2765" i="5"/>
  <c r="E2764" i="5"/>
  <c r="E2763" i="5"/>
  <c r="E2762" i="5"/>
  <c r="E2761" i="5"/>
  <c r="E2760" i="5"/>
  <c r="E2759" i="5"/>
  <c r="E2758" i="5"/>
  <c r="E2757" i="5"/>
  <c r="E2756" i="5"/>
  <c r="E2755" i="5"/>
  <c r="E2754" i="5"/>
  <c r="E2753" i="5"/>
  <c r="E2752" i="5"/>
  <c r="E2751" i="5"/>
  <c r="E2750" i="5"/>
  <c r="E2749" i="5"/>
  <c r="E2748" i="5"/>
  <c r="E2747" i="5"/>
  <c r="E2746" i="5"/>
  <c r="E2745" i="5"/>
  <c r="E2744" i="5"/>
  <c r="E2743" i="5"/>
  <c r="E2742" i="5"/>
  <c r="E2741" i="5"/>
  <c r="E2740" i="5"/>
  <c r="E2739" i="5"/>
  <c r="E2738" i="5"/>
  <c r="E2737" i="5"/>
  <c r="E2736" i="5"/>
  <c r="E2735" i="5"/>
  <c r="E2734" i="5"/>
  <c r="E2733" i="5"/>
  <c r="E2732" i="5"/>
  <c r="E2731" i="5"/>
  <c r="E2730" i="5"/>
  <c r="E2729" i="5"/>
  <c r="E2728" i="5"/>
  <c r="E2727" i="5"/>
  <c r="E2726" i="5"/>
  <c r="E2725" i="5"/>
  <c r="E2724" i="5"/>
  <c r="E2723" i="5"/>
  <c r="E2722" i="5"/>
  <c r="E2721" i="5"/>
  <c r="E2720" i="5"/>
  <c r="E2719" i="5"/>
  <c r="E2718" i="5"/>
  <c r="E2717" i="5"/>
  <c r="E2716" i="5"/>
  <c r="E2715" i="5"/>
  <c r="E2714" i="5"/>
  <c r="E2713" i="5"/>
  <c r="E2712" i="5"/>
  <c r="E2711" i="5"/>
  <c r="E2710" i="5"/>
  <c r="E2709" i="5"/>
  <c r="E2708" i="5"/>
  <c r="E2707" i="5"/>
  <c r="E2706" i="5"/>
  <c r="E2705" i="5"/>
  <c r="E2704" i="5"/>
  <c r="E2703" i="5"/>
  <c r="E2702" i="5"/>
  <c r="E2701" i="5"/>
  <c r="E2700" i="5"/>
  <c r="E2699" i="5"/>
  <c r="E2698" i="5"/>
  <c r="E2697" i="5"/>
  <c r="E2696" i="5"/>
  <c r="E2695" i="5"/>
  <c r="E2694" i="5"/>
  <c r="E2693" i="5"/>
  <c r="E2692" i="5"/>
  <c r="E2691" i="5"/>
  <c r="E2690" i="5"/>
  <c r="E2689" i="5"/>
  <c r="E2688" i="5"/>
  <c r="E2687" i="5"/>
  <c r="E2686" i="5"/>
  <c r="E2685" i="5"/>
  <c r="E2684" i="5"/>
  <c r="E2683" i="5"/>
  <c r="E2682" i="5"/>
  <c r="E2681" i="5"/>
  <c r="E2680" i="5"/>
  <c r="E2679" i="5"/>
  <c r="E2678" i="5"/>
  <c r="E2677" i="5"/>
  <c r="E2676" i="5"/>
  <c r="E2675" i="5"/>
  <c r="E2674" i="5"/>
  <c r="E2673" i="5"/>
  <c r="E2672" i="5"/>
  <c r="E2671" i="5"/>
  <c r="E2670" i="5"/>
  <c r="E2669" i="5"/>
  <c r="E2668" i="5"/>
  <c r="E2667" i="5"/>
  <c r="E2666" i="5"/>
  <c r="E2665" i="5"/>
  <c r="E2664" i="5"/>
  <c r="E2663" i="5"/>
  <c r="E2662" i="5"/>
  <c r="E2661" i="5"/>
  <c r="E2660" i="5"/>
  <c r="E2659" i="5"/>
  <c r="E2658" i="5"/>
  <c r="E2657" i="5"/>
  <c r="E2656" i="5"/>
  <c r="E2655" i="5"/>
  <c r="E2654" i="5"/>
  <c r="E2653" i="5"/>
  <c r="E2652" i="5"/>
  <c r="E2651" i="5"/>
  <c r="E2650" i="5"/>
  <c r="E2649" i="5"/>
  <c r="E2648" i="5"/>
  <c r="E2647" i="5"/>
  <c r="E2646" i="5"/>
  <c r="E2645" i="5"/>
  <c r="E2644" i="5"/>
  <c r="E2643" i="5"/>
  <c r="E2642" i="5"/>
  <c r="E2641" i="5"/>
  <c r="E2640" i="5"/>
  <c r="E2639" i="5"/>
  <c r="E2638" i="5"/>
  <c r="E2637" i="5"/>
  <c r="E2636" i="5"/>
  <c r="E2635" i="5"/>
  <c r="E2634" i="5"/>
  <c r="E2633" i="5"/>
  <c r="E2632" i="5"/>
  <c r="E2631" i="5"/>
  <c r="E2630" i="5"/>
  <c r="E2629" i="5"/>
  <c r="E2628" i="5"/>
  <c r="E2627" i="5"/>
  <c r="E2626" i="5"/>
  <c r="E2625" i="5"/>
  <c r="E2624" i="5"/>
  <c r="E2623" i="5"/>
  <c r="E2622" i="5"/>
  <c r="E2621" i="5"/>
  <c r="E2620" i="5"/>
  <c r="E2619" i="5"/>
  <c r="E2618" i="5"/>
  <c r="E2617" i="5"/>
  <c r="E2616" i="5"/>
  <c r="E2615" i="5"/>
  <c r="E2614" i="5"/>
  <c r="E2613" i="5"/>
  <c r="E2612" i="5"/>
  <c r="E2611" i="5"/>
  <c r="E2610" i="5"/>
  <c r="E2609" i="5"/>
  <c r="E2608" i="5"/>
  <c r="E2607" i="5"/>
  <c r="E2606" i="5"/>
  <c r="E2605" i="5"/>
  <c r="E2604" i="5"/>
  <c r="E2603" i="5"/>
  <c r="E2602" i="5"/>
  <c r="E2601" i="5"/>
  <c r="E2600" i="5"/>
  <c r="E2599" i="5"/>
  <c r="E2598" i="5"/>
  <c r="E2597" i="5"/>
  <c r="E2596" i="5"/>
  <c r="E2595" i="5"/>
  <c r="E2594" i="5"/>
  <c r="E2593" i="5"/>
  <c r="E2592" i="5"/>
  <c r="E2591" i="5"/>
  <c r="E2590" i="5"/>
  <c r="E2589" i="5"/>
  <c r="E2588" i="5"/>
  <c r="E2587" i="5"/>
  <c r="E2586" i="5"/>
  <c r="E2585" i="5"/>
  <c r="E2584" i="5"/>
  <c r="E2583" i="5"/>
  <c r="E2582" i="5"/>
  <c r="E2581" i="5"/>
  <c r="E2580" i="5"/>
  <c r="E2579" i="5"/>
  <c r="E2578" i="5"/>
  <c r="E2577" i="5"/>
  <c r="E2576" i="5"/>
  <c r="E2575" i="5"/>
  <c r="E2574" i="5"/>
  <c r="E2573" i="5"/>
  <c r="E2572" i="5"/>
  <c r="E2571" i="5"/>
  <c r="E2570" i="5"/>
  <c r="E2569" i="5"/>
  <c r="E2568" i="5"/>
  <c r="E2567" i="5"/>
  <c r="E2566" i="5"/>
  <c r="E2565" i="5"/>
  <c r="E2564" i="5"/>
  <c r="E2563" i="5"/>
  <c r="E2562" i="5"/>
  <c r="E2561" i="5"/>
  <c r="E2560" i="5"/>
  <c r="E2559" i="5"/>
  <c r="E2558" i="5"/>
  <c r="E2557" i="5"/>
  <c r="E2556" i="5"/>
  <c r="E2555" i="5"/>
  <c r="E2554" i="5"/>
  <c r="E2553" i="5"/>
  <c r="E2552" i="5"/>
  <c r="E2551" i="5"/>
  <c r="E2550" i="5"/>
  <c r="E2549" i="5"/>
  <c r="E2548" i="5"/>
  <c r="E2547" i="5"/>
  <c r="E2546" i="5"/>
  <c r="E2545" i="5"/>
  <c r="E2544" i="5"/>
  <c r="E2543" i="5"/>
  <c r="E2542" i="5"/>
  <c r="E2541" i="5"/>
  <c r="E2540" i="5"/>
  <c r="E2539" i="5"/>
  <c r="E2538" i="5"/>
  <c r="E2537" i="5"/>
  <c r="E2536" i="5"/>
  <c r="E2535" i="5"/>
  <c r="E2534" i="5"/>
  <c r="E2533" i="5"/>
  <c r="E2532" i="5"/>
  <c r="E2531" i="5"/>
  <c r="E2530" i="5"/>
  <c r="E2529" i="5"/>
  <c r="E2528" i="5"/>
  <c r="E2527" i="5"/>
  <c r="E2526" i="5"/>
  <c r="E2525" i="5"/>
  <c r="E2524" i="5"/>
  <c r="E2523" i="5"/>
  <c r="E2522" i="5"/>
  <c r="E2521" i="5"/>
  <c r="E2520" i="5"/>
  <c r="E2519" i="5"/>
  <c r="E2518" i="5"/>
  <c r="E2517" i="5"/>
  <c r="E2516" i="5"/>
  <c r="E2515" i="5"/>
  <c r="E2514" i="5"/>
  <c r="E2513" i="5"/>
  <c r="E2512" i="5"/>
  <c r="E2511" i="5"/>
  <c r="E2510" i="5"/>
  <c r="E2509" i="5"/>
  <c r="E2508" i="5"/>
  <c r="E2507" i="5"/>
  <c r="E2506" i="5"/>
  <c r="E2505" i="5"/>
  <c r="E2504" i="5"/>
  <c r="E2503" i="5"/>
  <c r="E2502" i="5"/>
  <c r="E2501" i="5"/>
  <c r="E2500" i="5"/>
  <c r="E2499" i="5"/>
  <c r="E2498" i="5"/>
  <c r="E2497" i="5"/>
  <c r="E2496" i="5"/>
  <c r="E2495" i="5"/>
  <c r="E2494" i="5"/>
  <c r="E2493" i="5"/>
  <c r="E2492" i="5"/>
  <c r="E2491" i="5"/>
  <c r="E2490" i="5"/>
  <c r="E2489" i="5"/>
  <c r="E2488" i="5"/>
  <c r="E2487" i="5"/>
  <c r="E2486" i="5"/>
  <c r="E2485" i="5"/>
  <c r="E2484" i="5"/>
  <c r="E2483" i="5"/>
  <c r="E2482" i="5"/>
  <c r="E2481" i="5"/>
  <c r="E2480" i="5"/>
  <c r="E2479" i="5"/>
  <c r="E2478" i="5"/>
  <c r="E2477" i="5"/>
  <c r="E2476" i="5"/>
  <c r="E2475" i="5"/>
  <c r="E2474" i="5"/>
  <c r="E2473" i="5"/>
  <c r="E2472" i="5"/>
  <c r="E2471" i="5"/>
  <c r="E2470" i="5"/>
  <c r="E2469" i="5"/>
  <c r="E2468" i="5"/>
  <c r="E2467" i="5"/>
  <c r="E2466" i="5"/>
  <c r="E2465" i="5"/>
  <c r="E2464" i="5"/>
  <c r="E2463" i="5"/>
  <c r="E2462" i="5"/>
  <c r="E2461" i="5"/>
  <c r="E2460" i="5"/>
  <c r="E2459" i="5"/>
  <c r="E2458" i="5"/>
  <c r="E2457" i="5"/>
  <c r="E2456" i="5"/>
  <c r="E2455" i="5"/>
  <c r="E2454" i="5"/>
  <c r="E2453" i="5"/>
  <c r="E2452" i="5"/>
  <c r="E2451" i="5"/>
  <c r="E2450" i="5"/>
  <c r="E2449" i="5"/>
  <c r="E2448" i="5"/>
  <c r="E2447" i="5"/>
  <c r="E2446" i="5"/>
  <c r="E2445" i="5"/>
  <c r="E2444" i="5"/>
  <c r="E2443" i="5"/>
  <c r="E2442" i="5"/>
  <c r="E2441" i="5"/>
  <c r="E2440" i="5"/>
  <c r="E2439" i="5"/>
  <c r="E2438" i="5"/>
  <c r="E2437" i="5"/>
  <c r="E2436" i="5"/>
  <c r="E2435" i="5"/>
  <c r="E2434" i="5"/>
  <c r="E2433" i="5"/>
  <c r="E2432" i="5"/>
  <c r="E2431" i="5"/>
  <c r="E2430" i="5"/>
  <c r="E2429" i="5"/>
  <c r="E2428" i="5"/>
  <c r="E2427" i="5"/>
  <c r="E2426" i="5"/>
  <c r="E2425" i="5"/>
  <c r="E2424" i="5"/>
  <c r="E2423" i="5"/>
  <c r="E2422" i="5"/>
  <c r="E2421" i="5"/>
  <c r="E2420" i="5"/>
  <c r="E2419" i="5"/>
  <c r="E2418" i="5"/>
  <c r="E2417" i="5"/>
  <c r="E2416" i="5"/>
  <c r="E2415" i="5"/>
  <c r="E2414" i="5"/>
  <c r="E2413" i="5"/>
  <c r="E2412" i="5"/>
  <c r="E2411" i="5"/>
  <c r="E2410" i="5"/>
  <c r="E2409" i="5"/>
  <c r="E2408" i="5"/>
  <c r="E2407" i="5"/>
  <c r="E2406" i="5"/>
  <c r="E2405" i="5"/>
  <c r="E2404" i="5"/>
  <c r="E2403" i="5"/>
  <c r="E2402" i="5"/>
  <c r="E2401" i="5"/>
  <c r="E2400" i="5"/>
  <c r="E2399" i="5"/>
  <c r="E2398" i="5"/>
  <c r="E2397" i="5"/>
  <c r="E2396" i="5"/>
  <c r="E2395" i="5"/>
  <c r="E2394" i="5"/>
  <c r="E2393" i="5"/>
  <c r="E2392" i="5"/>
  <c r="E2391" i="5"/>
  <c r="E2390" i="5"/>
  <c r="E2389" i="5"/>
  <c r="E2388" i="5"/>
  <c r="E2387" i="5"/>
  <c r="E2386" i="5"/>
  <c r="E2385" i="5"/>
  <c r="E2384" i="5"/>
  <c r="E2383" i="5"/>
  <c r="E2382" i="5"/>
  <c r="E2381" i="5"/>
  <c r="E2380" i="5"/>
  <c r="E2379" i="5"/>
  <c r="E2378" i="5"/>
  <c r="E2377" i="5"/>
  <c r="E2376" i="5"/>
  <c r="E2375" i="5"/>
  <c r="E2374" i="5"/>
  <c r="E2373" i="5"/>
  <c r="E2372" i="5"/>
  <c r="E2371" i="5"/>
  <c r="E2370" i="5"/>
  <c r="E2369" i="5"/>
  <c r="E2368" i="5"/>
  <c r="E2367" i="5"/>
  <c r="E2366" i="5"/>
  <c r="E2365" i="5"/>
  <c r="E2364" i="5"/>
  <c r="E2363" i="5"/>
  <c r="E2362" i="5"/>
  <c r="E2361" i="5"/>
  <c r="E2360" i="5"/>
  <c r="E2359" i="5"/>
  <c r="E2358" i="5"/>
  <c r="E2357" i="5"/>
  <c r="E2356" i="5"/>
  <c r="E2355" i="5"/>
  <c r="E2354" i="5"/>
  <c r="E2353" i="5"/>
  <c r="E2352" i="5"/>
  <c r="E2351" i="5"/>
  <c r="E2350" i="5"/>
  <c r="E2349" i="5"/>
  <c r="E2348" i="5"/>
  <c r="E2347" i="5"/>
  <c r="E2346" i="5"/>
  <c r="E2345" i="5"/>
  <c r="E2344" i="5"/>
  <c r="E2343" i="5"/>
  <c r="E2342" i="5"/>
  <c r="E2341" i="5"/>
  <c r="E2340" i="5"/>
  <c r="E2339" i="5"/>
  <c r="E2338" i="5"/>
  <c r="E2337" i="5"/>
  <c r="E2336" i="5"/>
  <c r="E2335" i="5"/>
  <c r="E2334" i="5"/>
  <c r="E2333" i="5"/>
  <c r="E2332" i="5"/>
  <c r="E2331" i="5"/>
  <c r="E2330" i="5"/>
  <c r="E2329" i="5"/>
  <c r="E2328" i="5"/>
  <c r="E2327" i="5"/>
  <c r="E2326" i="5"/>
  <c r="E2325" i="5"/>
  <c r="E2324" i="5"/>
  <c r="E2323" i="5"/>
  <c r="E2322" i="5"/>
  <c r="E2321" i="5"/>
  <c r="E2320" i="5"/>
  <c r="E2319" i="5"/>
  <c r="E2318" i="5"/>
  <c r="E2317" i="5"/>
  <c r="E2316" i="5"/>
  <c r="E2315" i="5"/>
  <c r="E2314" i="5"/>
  <c r="E2313" i="5"/>
  <c r="E2312" i="5"/>
  <c r="E2311" i="5"/>
  <c r="E2310" i="5"/>
  <c r="E2309" i="5"/>
  <c r="E2308" i="5"/>
  <c r="E2307" i="5"/>
  <c r="E2306" i="5"/>
  <c r="E2305" i="5"/>
  <c r="E2304" i="5"/>
  <c r="E2303" i="5"/>
  <c r="E2302" i="5"/>
  <c r="E2301" i="5"/>
  <c r="E2300" i="5"/>
  <c r="E2299" i="5"/>
  <c r="E2298" i="5"/>
  <c r="E2297" i="5"/>
  <c r="E2296" i="5"/>
  <c r="E2295" i="5"/>
  <c r="E2294" i="5"/>
  <c r="E2293" i="5"/>
  <c r="E2292" i="5"/>
  <c r="E2291" i="5"/>
  <c r="E2290" i="5"/>
  <c r="E2289" i="5"/>
  <c r="E2288" i="5"/>
  <c r="E2287" i="5"/>
  <c r="E2286" i="5"/>
  <c r="E2285" i="5"/>
  <c r="E2284" i="5"/>
  <c r="E2283" i="5"/>
  <c r="E2282" i="5"/>
  <c r="E2281" i="5"/>
  <c r="E2280" i="5"/>
  <c r="E2279" i="5"/>
  <c r="E2278" i="5"/>
  <c r="E2277" i="5"/>
  <c r="E2276" i="5"/>
  <c r="E2275" i="5"/>
  <c r="E2274" i="5"/>
  <c r="E2273" i="5"/>
  <c r="E2272" i="5"/>
  <c r="E2271" i="5"/>
  <c r="E2270" i="5"/>
  <c r="E2269" i="5"/>
  <c r="E2268" i="5"/>
  <c r="E2267" i="5"/>
  <c r="E2266" i="5"/>
  <c r="E2265" i="5"/>
  <c r="E2264" i="5"/>
  <c r="E2263" i="5"/>
  <c r="E2262" i="5"/>
  <c r="E2261" i="5"/>
  <c r="E2260" i="5"/>
  <c r="E2259" i="5"/>
  <c r="E2258" i="5"/>
  <c r="E2257" i="5"/>
  <c r="E2256" i="5"/>
  <c r="E2255" i="5"/>
  <c r="E2254" i="5"/>
  <c r="E2253" i="5"/>
  <c r="E2252" i="5"/>
  <c r="E2251" i="5"/>
  <c r="E2250" i="5"/>
  <c r="E2249" i="5"/>
  <c r="E2248" i="5"/>
  <c r="E2247" i="5"/>
  <c r="E2246" i="5"/>
  <c r="E2245" i="5"/>
  <c r="E2244" i="5"/>
  <c r="E2243" i="5"/>
  <c r="E2242" i="5"/>
  <c r="E2241" i="5"/>
  <c r="E2240" i="5"/>
  <c r="E2239" i="5"/>
  <c r="E2238" i="5"/>
  <c r="E2237" i="5"/>
  <c r="E2236" i="5"/>
  <c r="E2235" i="5"/>
  <c r="E2234" i="5"/>
  <c r="E2233" i="5"/>
  <c r="E2232" i="5"/>
  <c r="E2231" i="5"/>
  <c r="E2230" i="5"/>
  <c r="E2229" i="5"/>
  <c r="E2228" i="5"/>
  <c r="E2227" i="5"/>
  <c r="E2226" i="5"/>
  <c r="E2225" i="5"/>
  <c r="E2224" i="5"/>
  <c r="E2223" i="5"/>
  <c r="E2222" i="5"/>
  <c r="E2221" i="5"/>
  <c r="E2220" i="5"/>
  <c r="E2219" i="5"/>
  <c r="E2218" i="5"/>
  <c r="E2217" i="5"/>
  <c r="E2216" i="5"/>
  <c r="E2215" i="5"/>
  <c r="E2214" i="5"/>
  <c r="E2213" i="5"/>
  <c r="E2212" i="5"/>
  <c r="E2211" i="5"/>
  <c r="E2210" i="5"/>
  <c r="E2209" i="5"/>
  <c r="E2208" i="5"/>
  <c r="E2207" i="5"/>
  <c r="E2206" i="5"/>
  <c r="E2205" i="5"/>
  <c r="E2204" i="5"/>
  <c r="E2203" i="5"/>
  <c r="E2202" i="5"/>
  <c r="E2201" i="5"/>
  <c r="E2200" i="5"/>
  <c r="E2199" i="5"/>
  <c r="E2198" i="5"/>
  <c r="E2197" i="5"/>
  <c r="E2196" i="5"/>
  <c r="E2195" i="5"/>
  <c r="E2194" i="5"/>
  <c r="E2193" i="5"/>
  <c r="E2192" i="5"/>
  <c r="E2191" i="5"/>
  <c r="E2190" i="5"/>
  <c r="E2189" i="5"/>
  <c r="E2188" i="5"/>
  <c r="E2187" i="5"/>
  <c r="E2186" i="5"/>
  <c r="E2185" i="5"/>
  <c r="E2184" i="5"/>
  <c r="E2183" i="5"/>
  <c r="E2182" i="5"/>
  <c r="E2181" i="5"/>
  <c r="E2180" i="5"/>
  <c r="E2179" i="5"/>
  <c r="E2178" i="5"/>
  <c r="E2177" i="5"/>
  <c r="E2176" i="5"/>
  <c r="E2175" i="5"/>
  <c r="E2174" i="5"/>
  <c r="E2173" i="5"/>
  <c r="E2172" i="5"/>
  <c r="E2171" i="5"/>
  <c r="E2170" i="5"/>
  <c r="E2169" i="5"/>
  <c r="E2168" i="5"/>
  <c r="E2167" i="5"/>
  <c r="E2166" i="5"/>
  <c r="E2165" i="5"/>
  <c r="E2164" i="5"/>
  <c r="E2163" i="5"/>
  <c r="E2162" i="5"/>
  <c r="E2161" i="5"/>
  <c r="E2160" i="5"/>
  <c r="E2159" i="5"/>
  <c r="E2158" i="5"/>
  <c r="E2157" i="5"/>
  <c r="E2156" i="5"/>
  <c r="E2155" i="5"/>
  <c r="E2154" i="5"/>
  <c r="E2153" i="5"/>
  <c r="E2152" i="5"/>
  <c r="E2151" i="5"/>
  <c r="E2150" i="5"/>
  <c r="E2149" i="5"/>
  <c r="E2148" i="5"/>
  <c r="E2147" i="5"/>
  <c r="E2146" i="5"/>
  <c r="E2145" i="5"/>
  <c r="E2144" i="5"/>
  <c r="E2143" i="5"/>
  <c r="E2142" i="5"/>
  <c r="E2141" i="5"/>
  <c r="E2140" i="5"/>
  <c r="E2139" i="5"/>
  <c r="E2138" i="5"/>
  <c r="E2137" i="5"/>
  <c r="E2136" i="5"/>
  <c r="E2135" i="5"/>
  <c r="E2134" i="5"/>
  <c r="E2133" i="5"/>
  <c r="E2132" i="5"/>
  <c r="E2131" i="5"/>
  <c r="E2130" i="5"/>
  <c r="E2129" i="5"/>
  <c r="E2128" i="5"/>
  <c r="E2127" i="5"/>
  <c r="E2126" i="5"/>
  <c r="E2125" i="5"/>
  <c r="E2124" i="5"/>
  <c r="E2123" i="5"/>
  <c r="E2122" i="5"/>
  <c r="E2121" i="5"/>
  <c r="E2120" i="5"/>
  <c r="E2119" i="5"/>
  <c r="E2118" i="5"/>
  <c r="E2117" i="5"/>
  <c r="E2116" i="5"/>
  <c r="E2115" i="5"/>
  <c r="E2114" i="5"/>
  <c r="E2113" i="5"/>
  <c r="E2112" i="5"/>
  <c r="E2111" i="5"/>
  <c r="E2110" i="5"/>
  <c r="E2109" i="5"/>
  <c r="E2108" i="5"/>
  <c r="E2107" i="5"/>
  <c r="E2106" i="5"/>
  <c r="E2105" i="5"/>
  <c r="E2104" i="5"/>
  <c r="E2103" i="5"/>
  <c r="E2102" i="5"/>
  <c r="E2101" i="5"/>
  <c r="E2100" i="5"/>
  <c r="E2099" i="5"/>
  <c r="E2098" i="5"/>
  <c r="E2097" i="5"/>
  <c r="E2096" i="5"/>
  <c r="E2095" i="5"/>
  <c r="E2094" i="5"/>
  <c r="E2093" i="5"/>
  <c r="E2092" i="5"/>
  <c r="E2091" i="5"/>
  <c r="E2090" i="5"/>
  <c r="E2089" i="5"/>
  <c r="E2088" i="5"/>
  <c r="E2087" i="5"/>
  <c r="E2086" i="5"/>
  <c r="E2085" i="5"/>
  <c r="E2084" i="5"/>
  <c r="E2083" i="5"/>
  <c r="E2082" i="5"/>
  <c r="E2081" i="5"/>
  <c r="E2080" i="5"/>
  <c r="E2079" i="5"/>
  <c r="E2078" i="5"/>
  <c r="E2077" i="5"/>
  <c r="E2076" i="5"/>
  <c r="E2075" i="5"/>
  <c r="E2074" i="5"/>
  <c r="E2073" i="5"/>
  <c r="E2072" i="5"/>
  <c r="E2071" i="5"/>
  <c r="E2070" i="5"/>
  <c r="E2069" i="5"/>
  <c r="E2068" i="5"/>
  <c r="E2067" i="5"/>
  <c r="E2066" i="5"/>
  <c r="E2065" i="5"/>
  <c r="E2064" i="5"/>
  <c r="E2063" i="5"/>
  <c r="E2062" i="5"/>
  <c r="E2061" i="5"/>
  <c r="E2060" i="5"/>
  <c r="E2059" i="5"/>
  <c r="E2058" i="5"/>
  <c r="E2057" i="5"/>
  <c r="E2056" i="5"/>
  <c r="E2055" i="5"/>
  <c r="E2054" i="5"/>
  <c r="E2053" i="5"/>
  <c r="E2052" i="5"/>
  <c r="E2051" i="5"/>
  <c r="E2050" i="5"/>
  <c r="E2049" i="5"/>
  <c r="E2048" i="5"/>
  <c r="E2047" i="5"/>
  <c r="E2046" i="5"/>
  <c r="E2045" i="5"/>
  <c r="E2044" i="5"/>
  <c r="E2043" i="5"/>
  <c r="E2042" i="5"/>
  <c r="E2041" i="5"/>
  <c r="E2040" i="5"/>
  <c r="E2039" i="5"/>
  <c r="E2038" i="5"/>
  <c r="E2037" i="5"/>
  <c r="E2036" i="5"/>
  <c r="E2035" i="5"/>
  <c r="E2034" i="5"/>
  <c r="E2033" i="5"/>
  <c r="E2032" i="5"/>
  <c r="E2031" i="5"/>
  <c r="E2030" i="5"/>
  <c r="E2029" i="5"/>
  <c r="E2028" i="5"/>
  <c r="E2027" i="5"/>
  <c r="E2026" i="5"/>
  <c r="E2025" i="5"/>
  <c r="E2024" i="5"/>
  <c r="E2023" i="5"/>
  <c r="E2022" i="5"/>
  <c r="E2021" i="5"/>
  <c r="E2020" i="5"/>
  <c r="E2019" i="5"/>
  <c r="E2018" i="5"/>
  <c r="E2017" i="5"/>
  <c r="E2016" i="5"/>
  <c r="E2015" i="5"/>
  <c r="E2014" i="5"/>
  <c r="E2013" i="5"/>
  <c r="E2012" i="5"/>
  <c r="E2011" i="5"/>
  <c r="E2010" i="5"/>
  <c r="E2009" i="5"/>
  <c r="E2008" i="5"/>
  <c r="E2007" i="5"/>
  <c r="E2006" i="5"/>
  <c r="E2005" i="5"/>
  <c r="E2004" i="5"/>
  <c r="E2003" i="5"/>
  <c r="E2002" i="5"/>
  <c r="E2001" i="5"/>
  <c r="E2000" i="5"/>
  <c r="E1999" i="5"/>
  <c r="E1998" i="5"/>
  <c r="E1997" i="5"/>
  <c r="E1996" i="5"/>
  <c r="E1995" i="5"/>
  <c r="E1994" i="5"/>
  <c r="E1993" i="5"/>
  <c r="E1992" i="5"/>
  <c r="E1991" i="5"/>
  <c r="E1990" i="5"/>
  <c r="E1989" i="5"/>
  <c r="E1988" i="5"/>
  <c r="E1987" i="5"/>
  <c r="E1986" i="5"/>
  <c r="E1985" i="5"/>
  <c r="E1984" i="5"/>
  <c r="E1983" i="5"/>
  <c r="E1982" i="5"/>
  <c r="E1981" i="5"/>
  <c r="E1980" i="5"/>
  <c r="E1979" i="5"/>
  <c r="E1978" i="5"/>
  <c r="E1977" i="5"/>
  <c r="E1976" i="5"/>
  <c r="E1975" i="5"/>
  <c r="E1974" i="5"/>
  <c r="E1973" i="5"/>
  <c r="E1972" i="5"/>
  <c r="E1971" i="5"/>
  <c r="E1970" i="5"/>
  <c r="E1969" i="5"/>
  <c r="E1968" i="5"/>
  <c r="E1967" i="5"/>
  <c r="E1966" i="5"/>
  <c r="E1965" i="5"/>
  <c r="E1964" i="5"/>
  <c r="E1963" i="5"/>
  <c r="E1962" i="5"/>
  <c r="E1961" i="5"/>
  <c r="E1960" i="5"/>
  <c r="E1959" i="5"/>
  <c r="E1958" i="5"/>
  <c r="E1957" i="5"/>
  <c r="E1956" i="5"/>
  <c r="E1955" i="5"/>
  <c r="E1954" i="5"/>
  <c r="E1953" i="5"/>
  <c r="E1952" i="5"/>
  <c r="E1951" i="5"/>
  <c r="E1950" i="5"/>
  <c r="E1949" i="5"/>
  <c r="E1948" i="5"/>
  <c r="E1947" i="5"/>
  <c r="E1946" i="5"/>
  <c r="E1945" i="5"/>
  <c r="E1944" i="5"/>
  <c r="E1943" i="5"/>
  <c r="E1942" i="5"/>
  <c r="E1941" i="5"/>
  <c r="E1940" i="5"/>
  <c r="E1939" i="5"/>
  <c r="E1938" i="5"/>
  <c r="E1937" i="5"/>
  <c r="E1936" i="5"/>
  <c r="E1935" i="5"/>
  <c r="E1934" i="5"/>
  <c r="E1933" i="5"/>
  <c r="E1932" i="5"/>
  <c r="E1931" i="5"/>
  <c r="E1930" i="5"/>
  <c r="E1929" i="5"/>
  <c r="E1928" i="5"/>
  <c r="E1927" i="5"/>
  <c r="E1926" i="5"/>
  <c r="E1925" i="5"/>
  <c r="E1924" i="5"/>
  <c r="E1923" i="5"/>
  <c r="E1922" i="5"/>
  <c r="E1921" i="5"/>
  <c r="E1920" i="5"/>
  <c r="E1919" i="5"/>
  <c r="E1918" i="5"/>
  <c r="E1917" i="5"/>
  <c r="E1916" i="5"/>
  <c r="E1915" i="5"/>
  <c r="E1914" i="5"/>
  <c r="E1913" i="5"/>
  <c r="E1912" i="5"/>
  <c r="E1911" i="5"/>
  <c r="E1910" i="5"/>
  <c r="E1909" i="5"/>
  <c r="E1908" i="5"/>
  <c r="E1907" i="5"/>
  <c r="E1906" i="5"/>
  <c r="E1905" i="5"/>
  <c r="E1904" i="5"/>
  <c r="E1903" i="5"/>
  <c r="E1902" i="5"/>
  <c r="E1901" i="5"/>
  <c r="E1900" i="5"/>
  <c r="E1899" i="5"/>
  <c r="E1898" i="5"/>
  <c r="E1897" i="5"/>
  <c r="E1896" i="5"/>
  <c r="E1895" i="5"/>
  <c r="E1894" i="5"/>
  <c r="E1893" i="5"/>
  <c r="E1892" i="5"/>
  <c r="E1891" i="5"/>
  <c r="E1890" i="5"/>
  <c r="E1889" i="5"/>
  <c r="E1888" i="5"/>
  <c r="E1887" i="5"/>
  <c r="E1886" i="5"/>
  <c r="E1885" i="5"/>
  <c r="E1884" i="5"/>
  <c r="E1883" i="5"/>
  <c r="E1882" i="5"/>
  <c r="E1881" i="5"/>
  <c r="E1880" i="5"/>
  <c r="E1879" i="5"/>
  <c r="E1878" i="5"/>
  <c r="E1877" i="5"/>
  <c r="E1876" i="5"/>
  <c r="E1875" i="5"/>
  <c r="E1874" i="5"/>
  <c r="E1873" i="5"/>
  <c r="E1872" i="5"/>
  <c r="E1871" i="5"/>
  <c r="E1870" i="5"/>
  <c r="E1869" i="5"/>
  <c r="E1868" i="5"/>
  <c r="E1867" i="5"/>
  <c r="E1866" i="5"/>
  <c r="E1865" i="5"/>
  <c r="E1864" i="5"/>
  <c r="E1863" i="5"/>
  <c r="E1862" i="5"/>
  <c r="E1861" i="5"/>
  <c r="E1860" i="5"/>
  <c r="E1859" i="5"/>
  <c r="E1858" i="5"/>
  <c r="E1857" i="5"/>
  <c r="E1856" i="5"/>
  <c r="E1855" i="5"/>
  <c r="E1854" i="5"/>
  <c r="E1853" i="5"/>
  <c r="E1852" i="5"/>
  <c r="E1851" i="5"/>
  <c r="E1850" i="5"/>
  <c r="E1849" i="5"/>
  <c r="E1848" i="5"/>
  <c r="E1847" i="5"/>
  <c r="E1846" i="5"/>
  <c r="E1845" i="5"/>
  <c r="E1844" i="5"/>
  <c r="E1843" i="5"/>
  <c r="E1842" i="5"/>
  <c r="E1841" i="5"/>
  <c r="E1840" i="5"/>
  <c r="E1839" i="5"/>
  <c r="E1838" i="5"/>
  <c r="E1837" i="5"/>
  <c r="E1836" i="5"/>
  <c r="E1835" i="5"/>
  <c r="E1834" i="5"/>
  <c r="E1833" i="5"/>
  <c r="E1832" i="5"/>
  <c r="E1831" i="5"/>
  <c r="E1830" i="5"/>
  <c r="E1829" i="5"/>
  <c r="E1828" i="5"/>
  <c r="E1827" i="5"/>
  <c r="E1826" i="5"/>
  <c r="E1825" i="5"/>
  <c r="E1824" i="5"/>
  <c r="E1823" i="5"/>
  <c r="E1822" i="5"/>
  <c r="E1821" i="5"/>
  <c r="E1820" i="5"/>
  <c r="E1819" i="5"/>
  <c r="E1818" i="5"/>
  <c r="E1817" i="5"/>
  <c r="E1816" i="5"/>
  <c r="E1815" i="5"/>
  <c r="E1814" i="5"/>
  <c r="E1813" i="5"/>
  <c r="E1812" i="5"/>
  <c r="E1811" i="5"/>
  <c r="E1810" i="5"/>
  <c r="E1809" i="5"/>
  <c r="E1808" i="5"/>
  <c r="E1807" i="5"/>
  <c r="E1806" i="5"/>
  <c r="E1805" i="5"/>
  <c r="E1804" i="5"/>
  <c r="E1803" i="5"/>
  <c r="E1802" i="5"/>
  <c r="E1801" i="5"/>
  <c r="E1800" i="5"/>
  <c r="E1799" i="5"/>
  <c r="E1798" i="5"/>
  <c r="E1797" i="5"/>
  <c r="E1796" i="5"/>
  <c r="E1795" i="5"/>
  <c r="E1794" i="5"/>
  <c r="E1793" i="5"/>
  <c r="E1792" i="5"/>
  <c r="E1791" i="5"/>
  <c r="E1790" i="5"/>
  <c r="E1789" i="5"/>
  <c r="E1788" i="5"/>
  <c r="E1787" i="5"/>
  <c r="E1786" i="5"/>
  <c r="E1785" i="5"/>
  <c r="E1784" i="5"/>
  <c r="E1783" i="5"/>
  <c r="E1782" i="5"/>
  <c r="E1781" i="5"/>
  <c r="E1780" i="5"/>
  <c r="E1779" i="5"/>
  <c r="E1778" i="5"/>
  <c r="E1777" i="5"/>
  <c r="E1776" i="5"/>
  <c r="E1775" i="5"/>
  <c r="E1774" i="5"/>
  <c r="E1773" i="5"/>
  <c r="E1772" i="5"/>
  <c r="E1771" i="5"/>
  <c r="E1770" i="5"/>
  <c r="E1769" i="5"/>
  <c r="E1768" i="5"/>
  <c r="E1767" i="5"/>
  <c r="E1766" i="5"/>
  <c r="E1765" i="5"/>
  <c r="E1764" i="5"/>
  <c r="E1763" i="5"/>
  <c r="E1762" i="5"/>
  <c r="E1761" i="5"/>
  <c r="E1760" i="5"/>
  <c r="E1759" i="5"/>
  <c r="E1758" i="5"/>
  <c r="E1757" i="5"/>
  <c r="E1756" i="5"/>
  <c r="E1755" i="5"/>
  <c r="E1754" i="5"/>
  <c r="E1753" i="5"/>
  <c r="E1752" i="5"/>
  <c r="E1751" i="5"/>
  <c r="E1750" i="5"/>
  <c r="E1749" i="5"/>
  <c r="E1748" i="5"/>
  <c r="E1747" i="5"/>
  <c r="E1746" i="5"/>
  <c r="E1745" i="5"/>
  <c r="E1744" i="5"/>
  <c r="E1743" i="5"/>
  <c r="E1742" i="5"/>
  <c r="E1741" i="5"/>
  <c r="E1740" i="5"/>
  <c r="E1739" i="5"/>
  <c r="E1738" i="5"/>
  <c r="E1737" i="5"/>
  <c r="E1736" i="5"/>
  <c r="E1735" i="5"/>
  <c r="E1734" i="5"/>
  <c r="E1733" i="5"/>
  <c r="E1732" i="5"/>
  <c r="E1731" i="5"/>
  <c r="E1730" i="5"/>
  <c r="E1729" i="5"/>
  <c r="E1728" i="5"/>
  <c r="E1727" i="5"/>
  <c r="E1726" i="5"/>
  <c r="E1725" i="5"/>
  <c r="E1724" i="5"/>
  <c r="E1723" i="5"/>
  <c r="E1722" i="5"/>
  <c r="E1721" i="5"/>
  <c r="E1720" i="5"/>
  <c r="E1719" i="5"/>
  <c r="E1718" i="5"/>
  <c r="E1717" i="5"/>
  <c r="E1716" i="5"/>
  <c r="E1715" i="5"/>
  <c r="E1714" i="5"/>
  <c r="E1713" i="5"/>
  <c r="E1712" i="5"/>
  <c r="E1711" i="5"/>
  <c r="E1710" i="5"/>
  <c r="E1709" i="5"/>
  <c r="E1708" i="5"/>
  <c r="E1707" i="5"/>
  <c r="E1706" i="5"/>
  <c r="E1705" i="5"/>
  <c r="E1704" i="5"/>
  <c r="E1703" i="5"/>
  <c r="E1702" i="5"/>
  <c r="E1701" i="5"/>
  <c r="E1700" i="5"/>
  <c r="E1699" i="5"/>
  <c r="E1698" i="5"/>
  <c r="E1697" i="5"/>
  <c r="E1696" i="5"/>
  <c r="E1695" i="5"/>
  <c r="E1694" i="5"/>
  <c r="E1693" i="5"/>
  <c r="E1692" i="5"/>
  <c r="E1691" i="5"/>
  <c r="E1690" i="5"/>
  <c r="E1689" i="5"/>
  <c r="E1688" i="5"/>
  <c r="E1687" i="5"/>
  <c r="E1686" i="5"/>
  <c r="E1685" i="5"/>
  <c r="E1684" i="5"/>
  <c r="E1683" i="5"/>
  <c r="E1682" i="5"/>
  <c r="E1681" i="5"/>
  <c r="E1680" i="5"/>
  <c r="E1679" i="5"/>
  <c r="E1678" i="5"/>
  <c r="E1677" i="5"/>
  <c r="E1676" i="5"/>
  <c r="E1675" i="5"/>
  <c r="E1674" i="5"/>
  <c r="E1673" i="5"/>
  <c r="E1672" i="5"/>
  <c r="E1671" i="5"/>
  <c r="E1670" i="5"/>
  <c r="E1669" i="5"/>
  <c r="E1668" i="5"/>
  <c r="E1667" i="5"/>
  <c r="E1666" i="5"/>
  <c r="E1665" i="5"/>
  <c r="E1664" i="5"/>
  <c r="E1663" i="5"/>
  <c r="E1662" i="5"/>
  <c r="E1661" i="5"/>
  <c r="E1660" i="5"/>
  <c r="E1659" i="5"/>
  <c r="E1658" i="5"/>
  <c r="E1657" i="5"/>
  <c r="E1656" i="5"/>
  <c r="E1655" i="5"/>
  <c r="E1654" i="5"/>
  <c r="E1653" i="5"/>
  <c r="E1652" i="5"/>
  <c r="E1651" i="5"/>
  <c r="E1650" i="5"/>
  <c r="E1649" i="5"/>
  <c r="E1648" i="5"/>
  <c r="E1647" i="5"/>
  <c r="E1646" i="5"/>
  <c r="E1645" i="5"/>
  <c r="E1644" i="5"/>
  <c r="E1643" i="5"/>
  <c r="E1642" i="5"/>
  <c r="E1641" i="5"/>
  <c r="E1640" i="5"/>
  <c r="E1639" i="5"/>
  <c r="E1638" i="5"/>
  <c r="E1637" i="5"/>
  <c r="E1636" i="5"/>
  <c r="E1635" i="5"/>
  <c r="E1634" i="5"/>
  <c r="E1633" i="5"/>
  <c r="E1632" i="5"/>
  <c r="E1631" i="5"/>
  <c r="E1630" i="5"/>
  <c r="E1629" i="5"/>
  <c r="E1628" i="5"/>
  <c r="E1627" i="5"/>
  <c r="E1626" i="5"/>
  <c r="E1625" i="5"/>
  <c r="E1624" i="5"/>
  <c r="E1623" i="5"/>
  <c r="E1622" i="5"/>
  <c r="E1621" i="5"/>
  <c r="E1620" i="5"/>
  <c r="E1619" i="5"/>
  <c r="E1618" i="5"/>
  <c r="E1617" i="5"/>
  <c r="E1616" i="5"/>
  <c r="E1615" i="5"/>
  <c r="E1614" i="5"/>
  <c r="E1613" i="5"/>
  <c r="E1612" i="5"/>
  <c r="E1611" i="5"/>
  <c r="E1610" i="5"/>
  <c r="E1609" i="5"/>
  <c r="E1608" i="5"/>
  <c r="E1607" i="5"/>
  <c r="E1606" i="5"/>
  <c r="E1605" i="5"/>
  <c r="E1604" i="5"/>
  <c r="E1603" i="5"/>
  <c r="E1602" i="5"/>
  <c r="E1601" i="5"/>
  <c r="E1600" i="5"/>
  <c r="E1599" i="5"/>
  <c r="E1598" i="5"/>
  <c r="E1597" i="5"/>
  <c r="E1596" i="5"/>
  <c r="E1595" i="5"/>
  <c r="E1594" i="5"/>
  <c r="E1593" i="5"/>
  <c r="E1592" i="5"/>
  <c r="E1591" i="5"/>
  <c r="E1590" i="5"/>
  <c r="E1589" i="5"/>
  <c r="E1588" i="5"/>
  <c r="E1587" i="5"/>
  <c r="E1586" i="5"/>
  <c r="E1585" i="5"/>
  <c r="E1584" i="5"/>
  <c r="E1583" i="5"/>
  <c r="E1582" i="5"/>
  <c r="E1581" i="5"/>
  <c r="E1580" i="5"/>
  <c r="E1579" i="5"/>
  <c r="E1578" i="5"/>
  <c r="E1577" i="5"/>
  <c r="E1576" i="5"/>
  <c r="E1575" i="5"/>
  <c r="E1574" i="5"/>
  <c r="E1573" i="5"/>
  <c r="E1572" i="5"/>
  <c r="E1571" i="5"/>
  <c r="E1570" i="5"/>
  <c r="E1569" i="5"/>
  <c r="E1568" i="5"/>
  <c r="E1567" i="5"/>
  <c r="E1566" i="5"/>
  <c r="E1565" i="5"/>
  <c r="E1564" i="5"/>
  <c r="E1563" i="5"/>
  <c r="E1562" i="5"/>
  <c r="E1561" i="5"/>
  <c r="E1560" i="5"/>
  <c r="E1559" i="5"/>
  <c r="E1558" i="5"/>
  <c r="E1557" i="5"/>
  <c r="E1556" i="5"/>
  <c r="E1555" i="5"/>
  <c r="E1554" i="5"/>
  <c r="E1553" i="5"/>
  <c r="E1552" i="5"/>
  <c r="E1551" i="5"/>
  <c r="E1550" i="5"/>
  <c r="E1549" i="5"/>
  <c r="E1548" i="5"/>
  <c r="E1547" i="5"/>
  <c r="E1546" i="5"/>
  <c r="E1545" i="5"/>
  <c r="E1544" i="5"/>
  <c r="E1543" i="5"/>
  <c r="E1542" i="5"/>
  <c r="E1541" i="5"/>
  <c r="E1540" i="5"/>
  <c r="E1539" i="5"/>
  <c r="E1538" i="5"/>
  <c r="E1537" i="5"/>
  <c r="E1536" i="5"/>
  <c r="E1535" i="5"/>
  <c r="E1534" i="5"/>
  <c r="E1533" i="5"/>
  <c r="E1532" i="5"/>
  <c r="E1531" i="5"/>
  <c r="E1530" i="5"/>
  <c r="E1529" i="5"/>
  <c r="E1528" i="5"/>
  <c r="E1527" i="5"/>
  <c r="E1526" i="5"/>
  <c r="E1525" i="5"/>
  <c r="E1524" i="5"/>
  <c r="E1523" i="5"/>
  <c r="E1522" i="5"/>
  <c r="E1521" i="5"/>
  <c r="E1520" i="5"/>
  <c r="E1519" i="5"/>
  <c r="E1518" i="5"/>
  <c r="E1517" i="5"/>
  <c r="E1516" i="5"/>
  <c r="E1515" i="5"/>
  <c r="E1514" i="5"/>
  <c r="E1513" i="5"/>
  <c r="E1512" i="5"/>
  <c r="E1511" i="5"/>
  <c r="E1510" i="5"/>
  <c r="E1509" i="5"/>
  <c r="E1508" i="5"/>
  <c r="E1507" i="5"/>
  <c r="E1506" i="5"/>
  <c r="E1505" i="5"/>
  <c r="E1504" i="5"/>
  <c r="E1503" i="5"/>
  <c r="E1502" i="5"/>
  <c r="E1501" i="5"/>
  <c r="E1500" i="5"/>
  <c r="E1499" i="5"/>
  <c r="E1498" i="5"/>
  <c r="E1497" i="5"/>
  <c r="E1496" i="5"/>
  <c r="E1495" i="5"/>
  <c r="E1494" i="5"/>
  <c r="E1493" i="5"/>
  <c r="E1492" i="5"/>
  <c r="E1491" i="5"/>
  <c r="E1490" i="5"/>
  <c r="E1489" i="5"/>
  <c r="E1488" i="5"/>
  <c r="E1487" i="5"/>
  <c r="E1486" i="5"/>
  <c r="E1485" i="5"/>
  <c r="E1484" i="5"/>
  <c r="E1483" i="5"/>
  <c r="E1482" i="5"/>
  <c r="E1481" i="5"/>
  <c r="E1480" i="5"/>
  <c r="E1479" i="5"/>
  <c r="E1478" i="5"/>
  <c r="E1477" i="5"/>
  <c r="E1476" i="5"/>
  <c r="E1475" i="5"/>
  <c r="E1474" i="5"/>
  <c r="E1473" i="5"/>
  <c r="E1472" i="5"/>
  <c r="E1471" i="5"/>
  <c r="E1470" i="5"/>
  <c r="E1469" i="5"/>
  <c r="E1468" i="5"/>
  <c r="E1467" i="5"/>
  <c r="E1466" i="5"/>
  <c r="E1465" i="5"/>
  <c r="E1464" i="5"/>
  <c r="E1463" i="5"/>
  <c r="E1462" i="5"/>
  <c r="E1461" i="5"/>
  <c r="E1460" i="5"/>
  <c r="E1459" i="5"/>
  <c r="E1458" i="5"/>
  <c r="E1457" i="5"/>
  <c r="E1456" i="5"/>
  <c r="E1455" i="5"/>
  <c r="E1454" i="5"/>
  <c r="E1453" i="5"/>
  <c r="E1452" i="5"/>
  <c r="E1451" i="5"/>
  <c r="E1450" i="5"/>
  <c r="E1449" i="5"/>
  <c r="E1448" i="5"/>
  <c r="E1447" i="5"/>
  <c r="E1446" i="5"/>
  <c r="E1445" i="5"/>
  <c r="E1444" i="5"/>
  <c r="E1443" i="5"/>
  <c r="E1442" i="5"/>
  <c r="E1441" i="5"/>
  <c r="E1440" i="5"/>
  <c r="E1439" i="5"/>
  <c r="E1438" i="5"/>
  <c r="E1437" i="5"/>
  <c r="E1436" i="5"/>
  <c r="E1435" i="5"/>
  <c r="E1434" i="5"/>
  <c r="E1433" i="5"/>
  <c r="E1432" i="5"/>
  <c r="E1431" i="5"/>
  <c r="E1430" i="5"/>
  <c r="E1429" i="5"/>
  <c r="E1428" i="5"/>
  <c r="E1427" i="5"/>
  <c r="E1426" i="5"/>
  <c r="E1425" i="5"/>
  <c r="E1424" i="5"/>
  <c r="E1423" i="5"/>
  <c r="E1422" i="5"/>
  <c r="E1421" i="5"/>
  <c r="E1420" i="5"/>
  <c r="E1419" i="5"/>
  <c r="E1418" i="5"/>
  <c r="E1417" i="5"/>
  <c r="E1416" i="5"/>
  <c r="E1415" i="5"/>
  <c r="E1414" i="5"/>
  <c r="E1413" i="5"/>
  <c r="E1412" i="5"/>
  <c r="E1411" i="5"/>
  <c r="E1410" i="5"/>
  <c r="E1409" i="5"/>
  <c r="E1408" i="5"/>
  <c r="E1407" i="5"/>
  <c r="E1406" i="5"/>
  <c r="E1405" i="5"/>
  <c r="E1404" i="5"/>
  <c r="E1403" i="5"/>
  <c r="E1402" i="5"/>
  <c r="E1401" i="5"/>
  <c r="E1400" i="5"/>
  <c r="E1399" i="5"/>
  <c r="E1398" i="5"/>
  <c r="E1397" i="5"/>
  <c r="E1396" i="5"/>
  <c r="E1395" i="5"/>
  <c r="E1394" i="5"/>
  <c r="E1393" i="5"/>
  <c r="E1392" i="5"/>
  <c r="E1391" i="5"/>
  <c r="E1390" i="5"/>
  <c r="E1389" i="5"/>
  <c r="E1388" i="5"/>
  <c r="E1387" i="5"/>
  <c r="E1386" i="5"/>
  <c r="E1385" i="5"/>
  <c r="E1384" i="5"/>
  <c r="E1383" i="5"/>
  <c r="E1382" i="5"/>
  <c r="E1381" i="5"/>
  <c r="E1380" i="5"/>
  <c r="E1379" i="5"/>
  <c r="E1378" i="5"/>
  <c r="E1377" i="5"/>
  <c r="E1376" i="5"/>
  <c r="E1375" i="5"/>
  <c r="E1374" i="5"/>
  <c r="E1373" i="5"/>
  <c r="E1372" i="5"/>
  <c r="E1371" i="5"/>
  <c r="E1370" i="5"/>
  <c r="E1369" i="5"/>
  <c r="E1368" i="5"/>
  <c r="E1367" i="5"/>
  <c r="E1366" i="5"/>
  <c r="E1365" i="5"/>
  <c r="E1364" i="5"/>
  <c r="E1363" i="5"/>
  <c r="E1362" i="5"/>
  <c r="E1361" i="5"/>
  <c r="E1360" i="5"/>
  <c r="E1359" i="5"/>
  <c r="E1358" i="5"/>
  <c r="E1357" i="5"/>
  <c r="E1356" i="5"/>
  <c r="E1355" i="5"/>
  <c r="E1354" i="5"/>
  <c r="E1353" i="5"/>
  <c r="E1352" i="5"/>
  <c r="E1351" i="5"/>
  <c r="E1350" i="5"/>
  <c r="E1349" i="5"/>
  <c r="E1348" i="5"/>
  <c r="E1347" i="5"/>
  <c r="E1346" i="5"/>
  <c r="E1345" i="5"/>
  <c r="E1344" i="5"/>
  <c r="E1343" i="5"/>
  <c r="E1342" i="5"/>
  <c r="E1341" i="5"/>
  <c r="E1340" i="5"/>
  <c r="E1339" i="5"/>
  <c r="E1338" i="5"/>
  <c r="E1337" i="5"/>
  <c r="E1336" i="5"/>
  <c r="E1335" i="5"/>
  <c r="E1334" i="5"/>
  <c r="E1333" i="5"/>
  <c r="E1332" i="5"/>
  <c r="E1331" i="5"/>
  <c r="E1330" i="5"/>
  <c r="E1329" i="5"/>
  <c r="E1328" i="5"/>
  <c r="E1327" i="5"/>
  <c r="E1326" i="5"/>
  <c r="E1325" i="5"/>
  <c r="E1324" i="5"/>
  <c r="E1323" i="5"/>
  <c r="E1322" i="5"/>
  <c r="E1321" i="5"/>
  <c r="E1320" i="5"/>
  <c r="E1319" i="5"/>
  <c r="E1318" i="5"/>
  <c r="E1317" i="5"/>
  <c r="E1316" i="5"/>
  <c r="E1315" i="5"/>
  <c r="E1314" i="5"/>
  <c r="E1313" i="5"/>
  <c r="E1312" i="5"/>
  <c r="E1311" i="5"/>
  <c r="E1310" i="5"/>
  <c r="E1309" i="5"/>
  <c r="E1308" i="5"/>
  <c r="E1307" i="5"/>
  <c r="E1306" i="5"/>
  <c r="E1305" i="5"/>
  <c r="E1304" i="5"/>
  <c r="E1303" i="5"/>
  <c r="E1302" i="5"/>
  <c r="E1301" i="5"/>
  <c r="E1300" i="5"/>
  <c r="E1299" i="5"/>
  <c r="E1298" i="5"/>
  <c r="E1297" i="5"/>
  <c r="E1296" i="5"/>
  <c r="E1295" i="5"/>
  <c r="E1294" i="5"/>
  <c r="E1293" i="5"/>
  <c r="E1292" i="5"/>
  <c r="E1291" i="5"/>
  <c r="E1290" i="5"/>
  <c r="E1289" i="5"/>
  <c r="E1288" i="5"/>
  <c r="E1287" i="5"/>
  <c r="E1286" i="5"/>
  <c r="E1285" i="5"/>
  <c r="E1284" i="5"/>
  <c r="E1283" i="5"/>
  <c r="E1282" i="5"/>
  <c r="E1281" i="5"/>
  <c r="E1280" i="5"/>
  <c r="E1279" i="5"/>
  <c r="E1278" i="5"/>
  <c r="E1277" i="5"/>
  <c r="E1276" i="5"/>
  <c r="E1275" i="5"/>
  <c r="E1274" i="5"/>
  <c r="E1273" i="5"/>
  <c r="E1272" i="5"/>
  <c r="E1271" i="5"/>
  <c r="E1270" i="5"/>
  <c r="E1269" i="5"/>
  <c r="E1268" i="5"/>
  <c r="E1267" i="5"/>
  <c r="E1266" i="5"/>
  <c r="E1265" i="5"/>
  <c r="E1264" i="5"/>
  <c r="E1263" i="5"/>
  <c r="E1262" i="5"/>
  <c r="E1261" i="5"/>
  <c r="E1260" i="5"/>
  <c r="E1259" i="5"/>
  <c r="E1258" i="5"/>
  <c r="E1257" i="5"/>
  <c r="E1256" i="5"/>
  <c r="E1255" i="5"/>
  <c r="E1254" i="5"/>
  <c r="E1253" i="5"/>
  <c r="E1252" i="5"/>
  <c r="E1251" i="5"/>
  <c r="E1250" i="5"/>
  <c r="E1249" i="5"/>
  <c r="E1248" i="5"/>
  <c r="E1247" i="5"/>
  <c r="E1246" i="5"/>
  <c r="E1245" i="5"/>
  <c r="E1244" i="5"/>
  <c r="E1243" i="5"/>
  <c r="E1242" i="5"/>
  <c r="E1241" i="5"/>
  <c r="E1240" i="5"/>
  <c r="E1239" i="5"/>
  <c r="E1238" i="5"/>
  <c r="E1237" i="5"/>
  <c r="E1236" i="5"/>
  <c r="E1235" i="5"/>
  <c r="E1234" i="5"/>
  <c r="E1233" i="5"/>
  <c r="E1232" i="5"/>
  <c r="E1231" i="5"/>
  <c r="E1230" i="5"/>
  <c r="E1229" i="5"/>
  <c r="E1228" i="5"/>
  <c r="E1227" i="5"/>
  <c r="E1226" i="5"/>
  <c r="E1225" i="5"/>
  <c r="E1224" i="5"/>
  <c r="E1223" i="5"/>
  <c r="E1222" i="5"/>
  <c r="E1221" i="5"/>
  <c r="E1220" i="5"/>
  <c r="E1219" i="5"/>
  <c r="E1218" i="5"/>
  <c r="E1217" i="5"/>
  <c r="E1216" i="5"/>
  <c r="E1215" i="5"/>
  <c r="E1214" i="5"/>
  <c r="E1213" i="5"/>
  <c r="E1212" i="5"/>
  <c r="E1211" i="5"/>
  <c r="E1210" i="5"/>
  <c r="E1209" i="5"/>
  <c r="E1208" i="5"/>
  <c r="E1207" i="5"/>
  <c r="E1206" i="5"/>
  <c r="E1205" i="5"/>
  <c r="E1204" i="5"/>
  <c r="E1203" i="5"/>
  <c r="E1202" i="5"/>
  <c r="E1201" i="5"/>
  <c r="E1200" i="5"/>
  <c r="E1199" i="5"/>
  <c r="E1198" i="5"/>
  <c r="E1197" i="5"/>
  <c r="E1196" i="5"/>
  <c r="E1195" i="5"/>
  <c r="E1194" i="5"/>
  <c r="E1193" i="5"/>
  <c r="E1192" i="5"/>
  <c r="E1191" i="5"/>
  <c r="E1190" i="5"/>
  <c r="E1189" i="5"/>
  <c r="E1188" i="5"/>
  <c r="E1187" i="5"/>
  <c r="E1186" i="5"/>
  <c r="E1185" i="5"/>
  <c r="E1184" i="5"/>
  <c r="E1183" i="5"/>
  <c r="E1182" i="5"/>
  <c r="E1181" i="5"/>
  <c r="E1180" i="5"/>
  <c r="E1179" i="5"/>
  <c r="E1178" i="5"/>
  <c r="E1177" i="5"/>
  <c r="E1176" i="5"/>
  <c r="E1175" i="5"/>
  <c r="E1174" i="5"/>
  <c r="E1173" i="5"/>
  <c r="E1172" i="5"/>
  <c r="E1171" i="5"/>
  <c r="E1170" i="5"/>
  <c r="E1169" i="5"/>
  <c r="E1168" i="5"/>
  <c r="E1167" i="5"/>
  <c r="E1166" i="5"/>
  <c r="E1165" i="5"/>
  <c r="E1164" i="5"/>
  <c r="E1163" i="5"/>
  <c r="E1162" i="5"/>
  <c r="E1161" i="5"/>
  <c r="E1160" i="5"/>
  <c r="E1159" i="5"/>
  <c r="E1158" i="5"/>
  <c r="E1157" i="5"/>
  <c r="E1156" i="5"/>
  <c r="E1155" i="5"/>
  <c r="E1154" i="5"/>
  <c r="E1153" i="5"/>
  <c r="E1152" i="5"/>
  <c r="E1151" i="5"/>
  <c r="E1150" i="5"/>
  <c r="E1149" i="5"/>
  <c r="E1148" i="5"/>
  <c r="E1147" i="5"/>
  <c r="E1146" i="5"/>
  <c r="E1145" i="5"/>
  <c r="E1144" i="5"/>
  <c r="E1143" i="5"/>
  <c r="E1142" i="5"/>
  <c r="E1141" i="5"/>
  <c r="E1140" i="5"/>
  <c r="E1139" i="5"/>
  <c r="E1138" i="5"/>
  <c r="E1137" i="5"/>
  <c r="E1136" i="5"/>
  <c r="E1135" i="5"/>
  <c r="E1134" i="5"/>
  <c r="E1133" i="5"/>
  <c r="E1132" i="5"/>
  <c r="E1131" i="5"/>
  <c r="E1130" i="5"/>
  <c r="E1129" i="5"/>
  <c r="E1128" i="5"/>
  <c r="E1127" i="5"/>
  <c r="E1126" i="5"/>
  <c r="E1125" i="5"/>
  <c r="E1124" i="5"/>
  <c r="E1123" i="5"/>
  <c r="E1122" i="5"/>
  <c r="E1121" i="5"/>
  <c r="E1120" i="5"/>
  <c r="E1119" i="5"/>
  <c r="E1118" i="5"/>
  <c r="E1117" i="5"/>
  <c r="E1116" i="5"/>
  <c r="E1115" i="5"/>
  <c r="E1114" i="5"/>
  <c r="E1113" i="5"/>
  <c r="E1112" i="5"/>
  <c r="E1111" i="5"/>
  <c r="E1110" i="5"/>
  <c r="E1109" i="5"/>
  <c r="E1108" i="5"/>
  <c r="E1107" i="5"/>
  <c r="E1106" i="5"/>
  <c r="E1105" i="5"/>
  <c r="E1104" i="5"/>
  <c r="E1103" i="5"/>
  <c r="E1102" i="5"/>
  <c r="E1101" i="5"/>
  <c r="E1100" i="5"/>
  <c r="E1099" i="5"/>
  <c r="E1098" i="5"/>
  <c r="E1097" i="5"/>
  <c r="E1096" i="5"/>
  <c r="E1095" i="5"/>
  <c r="E1094" i="5"/>
  <c r="E1093" i="5"/>
  <c r="E1092" i="5"/>
  <c r="E1091" i="5"/>
  <c r="E1090" i="5"/>
  <c r="E1089" i="5"/>
  <c r="E1088" i="5"/>
  <c r="E1087" i="5"/>
  <c r="E1086" i="5"/>
  <c r="E1085" i="5"/>
  <c r="E1084" i="5"/>
  <c r="E1083" i="5"/>
  <c r="E1082" i="5"/>
  <c r="E1081" i="5"/>
  <c r="E1080" i="5"/>
  <c r="E1079" i="5"/>
  <c r="E1078" i="5"/>
  <c r="E1077" i="5"/>
  <c r="E1076" i="5"/>
  <c r="E1075" i="5"/>
  <c r="E1074" i="5"/>
  <c r="E1073" i="5"/>
  <c r="E1072" i="5"/>
  <c r="E1071" i="5"/>
  <c r="E1070" i="5"/>
  <c r="E1069" i="5"/>
  <c r="E1068" i="5"/>
  <c r="E1067" i="5"/>
  <c r="E1066" i="5"/>
  <c r="E1065" i="5"/>
  <c r="E1064" i="5"/>
  <c r="E1063" i="5"/>
  <c r="E1062" i="5"/>
  <c r="E1061" i="5"/>
  <c r="E1060" i="5"/>
  <c r="E1059" i="5"/>
  <c r="E1058" i="5"/>
  <c r="E1057" i="5"/>
  <c r="E1056" i="5"/>
  <c r="E1055" i="5"/>
  <c r="E1054" i="5"/>
  <c r="E1053" i="5"/>
  <c r="E1052" i="5"/>
  <c r="E1051" i="5"/>
  <c r="E1050" i="5"/>
  <c r="E1049" i="5"/>
  <c r="E1048" i="5"/>
  <c r="E1047" i="5"/>
  <c r="E1046" i="5"/>
  <c r="E1045" i="5"/>
  <c r="E1044" i="5"/>
  <c r="E1043" i="5"/>
  <c r="E1042" i="5"/>
  <c r="E1041" i="5"/>
  <c r="E1040" i="5"/>
  <c r="E1039" i="5"/>
  <c r="E1038" i="5"/>
  <c r="E1037" i="5"/>
  <c r="E1036" i="5"/>
  <c r="E1035" i="5"/>
  <c r="E1034" i="5"/>
  <c r="E1033" i="5"/>
  <c r="E1032" i="5"/>
  <c r="E1031" i="5"/>
  <c r="E1030" i="5"/>
  <c r="E1029" i="5"/>
  <c r="E1028" i="5"/>
  <c r="E1027" i="5"/>
  <c r="E1026" i="5"/>
  <c r="E1025" i="5"/>
  <c r="E1024" i="5"/>
  <c r="E1023" i="5"/>
  <c r="E1022" i="5"/>
  <c r="E1021" i="5"/>
  <c r="E1020" i="5"/>
  <c r="E1019" i="5"/>
  <c r="E1018" i="5"/>
  <c r="E1017" i="5"/>
  <c r="E1016" i="5"/>
  <c r="E1015" i="5"/>
  <c r="E1014" i="5"/>
  <c r="E1013" i="5"/>
  <c r="E1012" i="5"/>
  <c r="E1011" i="5"/>
  <c r="E1010" i="5"/>
  <c r="E1009" i="5"/>
  <c r="E1008" i="5"/>
  <c r="E1007" i="5"/>
  <c r="E1006" i="5"/>
  <c r="E1005" i="5"/>
  <c r="E1004" i="5"/>
  <c r="E1003" i="5"/>
  <c r="E1002" i="5"/>
  <c r="E1001" i="5"/>
  <c r="E1000" i="5"/>
  <c r="E999" i="5"/>
  <c r="E998" i="5"/>
  <c r="E997" i="5"/>
  <c r="E996" i="5"/>
  <c r="E995" i="5"/>
  <c r="E994" i="5"/>
  <c r="E993" i="5"/>
  <c r="E992" i="5"/>
  <c r="E991" i="5"/>
  <c r="E990" i="5"/>
  <c r="E989" i="5"/>
  <c r="E988" i="5"/>
  <c r="E987" i="5"/>
  <c r="E986" i="5"/>
  <c r="E985" i="5"/>
  <c r="E984" i="5"/>
  <c r="E983" i="5"/>
  <c r="E982" i="5"/>
  <c r="E981" i="5"/>
  <c r="E980" i="5"/>
  <c r="E979" i="5"/>
  <c r="E978" i="5"/>
  <c r="E977" i="5"/>
  <c r="E976" i="5"/>
  <c r="E975" i="5"/>
  <c r="E974" i="5"/>
  <c r="E973" i="5"/>
  <c r="E972" i="5"/>
  <c r="E971" i="5"/>
  <c r="E970" i="5"/>
  <c r="E969" i="5"/>
  <c r="E968" i="5"/>
  <c r="E967" i="5"/>
  <c r="E966" i="5"/>
  <c r="E965" i="5"/>
  <c r="E964" i="5"/>
  <c r="E963" i="5"/>
  <c r="E962" i="5"/>
  <c r="E961" i="5"/>
  <c r="E960" i="5"/>
  <c r="E959" i="5"/>
  <c r="E958" i="5"/>
  <c r="E957" i="5"/>
  <c r="E956" i="5"/>
  <c r="E955" i="5"/>
  <c r="E954" i="5"/>
  <c r="E953" i="5"/>
  <c r="E952" i="5"/>
  <c r="E951" i="5"/>
  <c r="E950" i="5"/>
  <c r="E949" i="5"/>
  <c r="E948" i="5"/>
  <c r="E947" i="5"/>
  <c r="E946" i="5"/>
  <c r="E945" i="5"/>
  <c r="E944" i="5"/>
  <c r="E943" i="5"/>
  <c r="E942" i="5"/>
  <c r="E941" i="5"/>
  <c r="E940" i="5"/>
  <c r="E939" i="5"/>
  <c r="E938" i="5"/>
  <c r="E937" i="5"/>
  <c r="E936" i="5"/>
  <c r="E935" i="5"/>
  <c r="E934" i="5"/>
  <c r="E933" i="5"/>
  <c r="E932" i="5"/>
  <c r="E931" i="5"/>
  <c r="E930" i="5"/>
  <c r="E929" i="5"/>
  <c r="E928" i="5"/>
  <c r="E927" i="5"/>
  <c r="E926" i="5"/>
  <c r="E925" i="5"/>
  <c r="E924" i="5"/>
  <c r="E923" i="5"/>
  <c r="E922" i="5"/>
  <c r="E921" i="5"/>
  <c r="E920" i="5"/>
  <c r="E919" i="5"/>
  <c r="E918" i="5"/>
  <c r="E917" i="5"/>
  <c r="E916" i="5"/>
  <c r="E915" i="5"/>
  <c r="E914" i="5"/>
  <c r="E913" i="5"/>
  <c r="E912" i="5"/>
  <c r="E911" i="5"/>
  <c r="E910" i="5"/>
  <c r="E909" i="5"/>
  <c r="E908" i="5"/>
  <c r="E907" i="5"/>
  <c r="E906" i="5"/>
  <c r="E905" i="5"/>
  <c r="E904" i="5"/>
  <c r="E903" i="5"/>
  <c r="E902" i="5"/>
  <c r="E901" i="5"/>
  <c r="E900" i="5"/>
  <c r="E899" i="5"/>
  <c r="E898" i="5"/>
  <c r="E897" i="5"/>
  <c r="E896" i="5"/>
  <c r="E895" i="5"/>
  <c r="E894" i="5"/>
  <c r="E893" i="5"/>
  <c r="E892" i="5"/>
  <c r="E891" i="5"/>
  <c r="E890" i="5"/>
  <c r="E889" i="5"/>
  <c r="E888" i="5"/>
  <c r="E887" i="5"/>
  <c r="E886" i="5"/>
  <c r="E885" i="5"/>
  <c r="E884" i="5"/>
  <c r="E883" i="5"/>
  <c r="E882" i="5"/>
  <c r="E881" i="5"/>
  <c r="E880" i="5"/>
  <c r="E879" i="5"/>
  <c r="E878" i="5"/>
  <c r="E877" i="5"/>
  <c r="E876" i="5"/>
  <c r="E875" i="5"/>
  <c r="E874" i="5"/>
  <c r="E873" i="5"/>
  <c r="E872" i="5"/>
  <c r="E871" i="5"/>
  <c r="E870" i="5"/>
  <c r="E869" i="5"/>
  <c r="E868" i="5"/>
  <c r="E867" i="5"/>
  <c r="E866" i="5"/>
  <c r="E865" i="5"/>
  <c r="E864" i="5"/>
  <c r="E863" i="5"/>
  <c r="E862" i="5"/>
  <c r="E861" i="5"/>
  <c r="E860" i="5"/>
  <c r="E859" i="5"/>
  <c r="E858" i="5"/>
  <c r="E857" i="5"/>
  <c r="E856" i="5"/>
  <c r="E855" i="5"/>
  <c r="E854" i="5"/>
  <c r="E853" i="5"/>
  <c r="E852" i="5"/>
  <c r="E851" i="5"/>
  <c r="E850" i="5"/>
  <c r="E849" i="5"/>
  <c r="E848" i="5"/>
  <c r="E847" i="5"/>
  <c r="E846" i="5"/>
  <c r="E845" i="5"/>
  <c r="E844" i="5"/>
  <c r="E843" i="5"/>
  <c r="E842" i="5"/>
  <c r="E841" i="5"/>
  <c r="E840" i="5"/>
  <c r="E839" i="5"/>
  <c r="E838" i="5"/>
  <c r="E837" i="5"/>
  <c r="E836" i="5"/>
  <c r="E835" i="5"/>
  <c r="E834" i="5"/>
  <c r="E833" i="5"/>
  <c r="E832" i="5"/>
  <c r="E831" i="5"/>
  <c r="E830" i="5"/>
  <c r="E829" i="5"/>
  <c r="E828" i="5"/>
  <c r="E827" i="5"/>
  <c r="E826" i="5"/>
  <c r="E825" i="5"/>
  <c r="E824" i="5"/>
  <c r="E823" i="5"/>
  <c r="E822" i="5"/>
  <c r="E821" i="5"/>
  <c r="E820" i="5"/>
  <c r="E819" i="5"/>
  <c r="E818" i="5"/>
  <c r="E817" i="5"/>
  <c r="E816" i="5"/>
  <c r="E815" i="5"/>
  <c r="E814" i="5"/>
  <c r="E813" i="5"/>
  <c r="E812" i="5"/>
  <c r="E811" i="5"/>
  <c r="E810" i="5"/>
  <c r="E809" i="5"/>
  <c r="E808" i="5"/>
  <c r="E807" i="5"/>
  <c r="E806" i="5"/>
  <c r="E805" i="5"/>
  <c r="E804" i="5"/>
  <c r="E803" i="5"/>
  <c r="E802" i="5"/>
  <c r="E801" i="5"/>
  <c r="E800" i="5"/>
  <c r="E799" i="5"/>
  <c r="E798" i="5"/>
  <c r="E797" i="5"/>
  <c r="E796" i="5"/>
  <c r="E795" i="5"/>
  <c r="E794" i="5"/>
  <c r="E793" i="5"/>
  <c r="E792" i="5"/>
  <c r="E791" i="5"/>
  <c r="E790" i="5"/>
  <c r="E789" i="5"/>
  <c r="E788" i="5"/>
  <c r="E787" i="5"/>
  <c r="E786" i="5"/>
  <c r="E785" i="5"/>
  <c r="E784" i="5"/>
  <c r="E783" i="5"/>
  <c r="E782" i="5"/>
  <c r="E781" i="5"/>
  <c r="E780" i="5"/>
  <c r="E779" i="5"/>
  <c r="E778" i="5"/>
  <c r="E777" i="5"/>
  <c r="E776" i="5"/>
  <c r="E775" i="5"/>
  <c r="E774" i="5"/>
  <c r="E773" i="5"/>
  <c r="E772" i="5"/>
  <c r="E771" i="5"/>
  <c r="E770" i="5"/>
  <c r="E769" i="5"/>
  <c r="E768" i="5"/>
  <c r="E767" i="5"/>
  <c r="E766" i="5"/>
  <c r="E765" i="5"/>
  <c r="E764" i="5"/>
  <c r="E763" i="5"/>
  <c r="E762" i="5"/>
  <c r="E761" i="5"/>
  <c r="E760" i="5"/>
  <c r="E759" i="5"/>
  <c r="E758" i="5"/>
  <c r="E757" i="5"/>
  <c r="E756" i="5"/>
  <c r="E755" i="5"/>
  <c r="E754" i="5"/>
  <c r="E753" i="5"/>
  <c r="E752" i="5"/>
  <c r="E751" i="5"/>
  <c r="E750" i="5"/>
  <c r="E749" i="5"/>
  <c r="E748" i="5"/>
  <c r="E747" i="5"/>
  <c r="E746" i="5"/>
  <c r="E745" i="5"/>
  <c r="E744" i="5"/>
  <c r="E743" i="5"/>
  <c r="E742" i="5"/>
  <c r="E741" i="5"/>
  <c r="E740" i="5"/>
  <c r="E739" i="5"/>
  <c r="E738" i="5"/>
  <c r="E737" i="5"/>
  <c r="E736" i="5"/>
  <c r="E735" i="5"/>
  <c r="E734" i="5"/>
  <c r="E733" i="5"/>
  <c r="E732" i="5"/>
  <c r="E731" i="5"/>
  <c r="E730" i="5"/>
  <c r="E729" i="5"/>
  <c r="E728" i="5"/>
  <c r="E727" i="5"/>
  <c r="E726" i="5"/>
  <c r="E725" i="5"/>
  <c r="E724" i="5"/>
  <c r="E723" i="5"/>
  <c r="E722" i="5"/>
  <c r="E721" i="5"/>
  <c r="E720" i="5"/>
  <c r="E719" i="5"/>
  <c r="E718" i="5"/>
  <c r="E717" i="5"/>
  <c r="E716" i="5"/>
  <c r="E715" i="5"/>
  <c r="E714" i="5"/>
  <c r="E713" i="5"/>
  <c r="E712" i="5"/>
  <c r="E711" i="5"/>
  <c r="E710" i="5"/>
  <c r="E709" i="5"/>
  <c r="E708" i="5"/>
  <c r="E707" i="5"/>
  <c r="E706" i="5"/>
  <c r="E705" i="5"/>
  <c r="E704" i="5"/>
  <c r="E703" i="5"/>
  <c r="E702" i="5"/>
  <c r="E701" i="5"/>
  <c r="E700" i="5"/>
  <c r="E699" i="5"/>
  <c r="E698" i="5"/>
  <c r="E697" i="5"/>
  <c r="E696" i="5"/>
  <c r="E695" i="5"/>
  <c r="E694" i="5"/>
  <c r="E693" i="5"/>
  <c r="E692" i="5"/>
  <c r="E691" i="5"/>
  <c r="E690" i="5"/>
  <c r="E689" i="5"/>
  <c r="E688" i="5"/>
  <c r="E687" i="5"/>
  <c r="E686" i="5"/>
  <c r="E685" i="5"/>
  <c r="E684" i="5"/>
  <c r="E683" i="5"/>
  <c r="E682" i="5"/>
  <c r="E681" i="5"/>
  <c r="E680" i="5"/>
  <c r="E679" i="5"/>
  <c r="E678" i="5"/>
  <c r="E677" i="5"/>
  <c r="E676" i="5"/>
  <c r="E675" i="5"/>
  <c r="E674" i="5"/>
  <c r="E673" i="5"/>
  <c r="E672" i="5"/>
  <c r="E671" i="5"/>
  <c r="E670" i="5"/>
  <c r="E669" i="5"/>
  <c r="E668" i="5"/>
  <c r="E667" i="5"/>
  <c r="E666" i="5"/>
  <c r="E665" i="5"/>
  <c r="E664" i="5"/>
  <c r="E663" i="5"/>
  <c r="E662" i="5"/>
  <c r="E661" i="5"/>
  <c r="E660" i="5"/>
  <c r="E659" i="5"/>
  <c r="E658" i="5"/>
  <c r="E657" i="5"/>
  <c r="E656" i="5"/>
  <c r="E655" i="5"/>
  <c r="E654" i="5"/>
  <c r="E653" i="5"/>
  <c r="E652" i="5"/>
  <c r="E651" i="5"/>
  <c r="E650" i="5"/>
  <c r="E649" i="5"/>
  <c r="E648" i="5"/>
  <c r="E647" i="5"/>
  <c r="E646" i="5"/>
  <c r="E645" i="5"/>
  <c r="E644" i="5"/>
  <c r="E643" i="5"/>
  <c r="E642" i="5"/>
  <c r="E641" i="5"/>
  <c r="E640" i="5"/>
  <c r="E639" i="5"/>
  <c r="E638" i="5"/>
  <c r="E637" i="5"/>
  <c r="E636" i="5"/>
  <c r="E635" i="5"/>
  <c r="E634" i="5"/>
  <c r="E633" i="5"/>
  <c r="E632" i="5"/>
  <c r="E631" i="5"/>
  <c r="E630" i="5"/>
  <c r="E629" i="5"/>
  <c r="E628" i="5"/>
  <c r="E627" i="5"/>
  <c r="E626" i="5"/>
  <c r="E625" i="5"/>
  <c r="E624" i="5"/>
  <c r="E623" i="5"/>
  <c r="E622" i="5"/>
  <c r="E621" i="5"/>
  <c r="E620" i="5"/>
  <c r="E619" i="5"/>
  <c r="E618" i="5"/>
  <c r="E617" i="5"/>
  <c r="E616" i="5"/>
  <c r="E615" i="5"/>
  <c r="E614" i="5"/>
  <c r="E613" i="5"/>
  <c r="E612" i="5"/>
  <c r="E611" i="5"/>
  <c r="E610" i="5"/>
  <c r="E609" i="5"/>
  <c r="E608" i="5"/>
  <c r="E607" i="5"/>
  <c r="E606" i="5"/>
  <c r="E605" i="5"/>
  <c r="E604" i="5"/>
  <c r="E603" i="5"/>
  <c r="E602" i="5"/>
  <c r="E601" i="5"/>
  <c r="E600" i="5"/>
  <c r="E599" i="5"/>
  <c r="E598" i="5"/>
  <c r="E597" i="5"/>
  <c r="E596" i="5"/>
  <c r="E595" i="5"/>
  <c r="E594" i="5"/>
  <c r="E593" i="5"/>
  <c r="E592" i="5"/>
  <c r="E591" i="5"/>
  <c r="E590" i="5"/>
  <c r="E589" i="5"/>
  <c r="E588" i="5"/>
  <c r="E587" i="5"/>
  <c r="E586" i="5"/>
  <c r="E585" i="5"/>
  <c r="E584" i="5"/>
  <c r="E583" i="5"/>
  <c r="E582" i="5"/>
  <c r="E581" i="5"/>
  <c r="E580" i="5"/>
  <c r="E579" i="5"/>
  <c r="E578" i="5"/>
  <c r="E577" i="5"/>
  <c r="E576" i="5"/>
  <c r="E575" i="5"/>
  <c r="E574" i="5"/>
  <c r="E573" i="5"/>
  <c r="E572" i="5"/>
  <c r="E571" i="5"/>
  <c r="E570" i="5"/>
  <c r="E569" i="5"/>
  <c r="E568" i="5"/>
  <c r="E567" i="5"/>
  <c r="E566" i="5"/>
  <c r="E565" i="5"/>
  <c r="E564" i="5"/>
  <c r="E563" i="5"/>
  <c r="E562" i="5"/>
  <c r="E561" i="5"/>
  <c r="E560" i="5"/>
  <c r="E559" i="5"/>
  <c r="E558" i="5"/>
  <c r="E557" i="5"/>
  <c r="E556" i="5"/>
  <c r="E555" i="5"/>
  <c r="E554" i="5"/>
  <c r="E553" i="5"/>
  <c r="E552" i="5"/>
  <c r="E551" i="5"/>
  <c r="E550" i="5"/>
  <c r="E549" i="5"/>
  <c r="E548" i="5"/>
  <c r="E547" i="5"/>
  <c r="E546" i="5"/>
  <c r="E545" i="5"/>
  <c r="E544" i="5"/>
  <c r="E543" i="5"/>
  <c r="E542" i="5"/>
  <c r="E541" i="5"/>
  <c r="E540" i="5"/>
  <c r="E539" i="5"/>
  <c r="E538" i="5"/>
  <c r="E537" i="5"/>
  <c r="E536" i="5"/>
  <c r="E535" i="5"/>
  <c r="E534" i="5"/>
  <c r="E533" i="5"/>
  <c r="E532" i="5"/>
  <c r="E531" i="5"/>
  <c r="E530" i="5"/>
  <c r="E529" i="5"/>
  <c r="E528" i="5"/>
  <c r="E527" i="5"/>
  <c r="E526" i="5"/>
  <c r="E525" i="5"/>
  <c r="E524" i="5"/>
  <c r="E523" i="5"/>
  <c r="E522" i="5"/>
  <c r="E521" i="5"/>
  <c r="E520" i="5"/>
  <c r="E519" i="5"/>
  <c r="E518" i="5"/>
  <c r="E517" i="5"/>
  <c r="E516" i="5"/>
  <c r="E515" i="5"/>
  <c r="E514" i="5"/>
  <c r="E513" i="5"/>
  <c r="E512" i="5"/>
  <c r="E511" i="5"/>
  <c r="E510" i="5"/>
  <c r="E509" i="5"/>
  <c r="E508" i="5"/>
  <c r="E507" i="5"/>
  <c r="E506" i="5"/>
  <c r="E505" i="5"/>
  <c r="E504" i="5"/>
  <c r="E503" i="5"/>
  <c r="E502" i="5"/>
  <c r="E501" i="5"/>
  <c r="E500" i="5"/>
  <c r="E499" i="5"/>
  <c r="E498" i="5"/>
  <c r="E497" i="5"/>
  <c r="E496" i="5"/>
  <c r="E495" i="5"/>
  <c r="E494" i="5"/>
  <c r="E493" i="5"/>
  <c r="E492" i="5"/>
  <c r="E491" i="5"/>
  <c r="E490" i="5"/>
  <c r="E489" i="5"/>
  <c r="E488" i="5"/>
  <c r="E487" i="5"/>
  <c r="E486" i="5"/>
  <c r="E485" i="5"/>
  <c r="E484" i="5"/>
  <c r="E483" i="5"/>
  <c r="E482" i="5"/>
  <c r="E481" i="5"/>
  <c r="E480" i="5"/>
  <c r="E479" i="5"/>
  <c r="E478" i="5"/>
  <c r="E477" i="5"/>
  <c r="E476" i="5"/>
  <c r="E475" i="5"/>
  <c r="E474" i="5"/>
  <c r="E473" i="5"/>
  <c r="E472" i="5"/>
  <c r="E471" i="5"/>
  <c r="E470" i="5"/>
  <c r="E469" i="5"/>
  <c r="E468" i="5"/>
  <c r="E467" i="5"/>
  <c r="E466" i="5"/>
  <c r="E465" i="5"/>
  <c r="E464" i="5"/>
  <c r="E463" i="5"/>
  <c r="E462" i="5"/>
  <c r="E461" i="5"/>
  <c r="E460" i="5"/>
  <c r="E459" i="5"/>
  <c r="E458" i="5"/>
  <c r="E457" i="5"/>
  <c r="E456" i="5"/>
  <c r="E455" i="5"/>
  <c r="E454" i="5"/>
  <c r="E453" i="5"/>
  <c r="E452" i="5"/>
  <c r="E451" i="5"/>
  <c r="E450" i="5"/>
  <c r="E449" i="5"/>
  <c r="E448" i="5"/>
  <c r="E447" i="5"/>
  <c r="E446" i="5"/>
  <c r="E445" i="5"/>
  <c r="E444" i="5"/>
  <c r="E443" i="5"/>
  <c r="E442" i="5"/>
  <c r="E441" i="5"/>
  <c r="E440" i="5"/>
  <c r="E439" i="5"/>
  <c r="E438" i="5"/>
  <c r="E437" i="5"/>
  <c r="E436" i="5"/>
  <c r="E435" i="5"/>
  <c r="E434" i="5"/>
  <c r="E433" i="5"/>
  <c r="E432" i="5"/>
  <c r="E431" i="5"/>
  <c r="E430" i="5"/>
  <c r="E429" i="5"/>
  <c r="E428" i="5"/>
  <c r="E427" i="5"/>
  <c r="E426" i="5"/>
  <c r="E425" i="5"/>
  <c r="E424" i="5"/>
  <c r="E423" i="5"/>
  <c r="E422" i="5"/>
  <c r="E421" i="5"/>
  <c r="E420" i="5"/>
  <c r="E419" i="5"/>
  <c r="E418" i="5"/>
  <c r="E417" i="5"/>
  <c r="E416" i="5"/>
  <c r="E415" i="5"/>
  <c r="E414" i="5"/>
  <c r="E413" i="5"/>
  <c r="E412" i="5"/>
  <c r="E411" i="5"/>
  <c r="E410" i="5"/>
  <c r="E409" i="5"/>
  <c r="E408" i="5"/>
  <c r="E407" i="5"/>
  <c r="E406" i="5"/>
  <c r="E405" i="5"/>
  <c r="E404" i="5"/>
  <c r="E403" i="5"/>
  <c r="E402" i="5"/>
  <c r="E401" i="5"/>
  <c r="E400" i="5"/>
  <c r="E399" i="5"/>
  <c r="E398" i="5"/>
  <c r="E397" i="5"/>
  <c r="E396" i="5"/>
  <c r="E395" i="5"/>
  <c r="E394" i="5"/>
  <c r="E393" i="5"/>
  <c r="E392" i="5"/>
  <c r="E391" i="5"/>
  <c r="E390" i="5"/>
  <c r="E389" i="5"/>
  <c r="E388" i="5"/>
  <c r="E387" i="5"/>
  <c r="E386" i="5"/>
  <c r="E385" i="5"/>
  <c r="E384" i="5"/>
  <c r="E383" i="5"/>
  <c r="E382" i="5"/>
  <c r="E381" i="5"/>
  <c r="E380" i="5"/>
  <c r="E379" i="5"/>
  <c r="E378" i="5"/>
  <c r="E377" i="5"/>
  <c r="E376" i="5"/>
  <c r="E375" i="5"/>
  <c r="E374" i="5"/>
  <c r="E373" i="5"/>
  <c r="E372" i="5"/>
  <c r="E371" i="5"/>
  <c r="E370" i="5"/>
  <c r="E369" i="5"/>
  <c r="E368" i="5"/>
  <c r="E367" i="5"/>
  <c r="E366" i="5"/>
  <c r="E365" i="5"/>
  <c r="E364" i="5"/>
  <c r="E363" i="5"/>
  <c r="E362" i="5"/>
  <c r="E361" i="5"/>
  <c r="E360" i="5"/>
  <c r="E359" i="5"/>
  <c r="E358" i="5"/>
  <c r="E357" i="5"/>
  <c r="E356" i="5"/>
  <c r="E355" i="5"/>
  <c r="E354" i="5"/>
  <c r="E353" i="5"/>
  <c r="E352" i="5"/>
  <c r="E351" i="5"/>
  <c r="E350" i="5"/>
  <c r="E349" i="5"/>
  <c r="E348" i="5"/>
  <c r="E347" i="5"/>
  <c r="E346" i="5"/>
  <c r="E345" i="5"/>
  <c r="E344" i="5"/>
  <c r="E343" i="5"/>
  <c r="E342" i="5"/>
  <c r="E341" i="5"/>
  <c r="E340" i="5"/>
  <c r="E339" i="5"/>
  <c r="E338" i="5"/>
  <c r="E337" i="5"/>
  <c r="E336" i="5"/>
  <c r="E335" i="5"/>
  <c r="E334" i="5"/>
  <c r="E333" i="5"/>
  <c r="E332" i="5"/>
  <c r="E331" i="5"/>
  <c r="E330" i="5"/>
  <c r="E329" i="5"/>
  <c r="E328" i="5"/>
  <c r="E327" i="5"/>
  <c r="E326" i="5"/>
  <c r="E325" i="5"/>
  <c r="E324" i="5"/>
  <c r="E323" i="5"/>
  <c r="E322" i="5"/>
  <c r="E321" i="5"/>
  <c r="E320" i="5"/>
  <c r="E319" i="5"/>
  <c r="E318" i="5"/>
  <c r="E317" i="5"/>
  <c r="E316" i="5"/>
  <c r="E315" i="5"/>
  <c r="E314" i="5"/>
  <c r="E313" i="5"/>
  <c r="E312" i="5"/>
  <c r="E311" i="5"/>
  <c r="E310" i="5"/>
  <c r="E309" i="5"/>
  <c r="E308" i="5"/>
  <c r="E307" i="5"/>
  <c r="E306" i="5"/>
  <c r="E305" i="5"/>
  <c r="E304" i="5"/>
  <c r="E303" i="5"/>
  <c r="E302" i="5"/>
  <c r="E301" i="5"/>
  <c r="E300" i="5"/>
  <c r="E299" i="5"/>
  <c r="E298" i="5"/>
  <c r="E297" i="5"/>
  <c r="E296" i="5"/>
  <c r="E295" i="5"/>
  <c r="E294" i="5"/>
  <c r="E293" i="5"/>
  <c r="E292" i="5"/>
  <c r="E291" i="5"/>
  <c r="E290" i="5"/>
  <c r="E289" i="5"/>
  <c r="E288" i="5"/>
  <c r="E287" i="5"/>
  <c r="E286" i="5"/>
  <c r="E285" i="5"/>
  <c r="E284" i="5"/>
  <c r="E283" i="5"/>
  <c r="E282" i="5"/>
  <c r="E281" i="5"/>
  <c r="E280" i="5"/>
  <c r="E279" i="5"/>
  <c r="E278" i="5"/>
  <c r="E277" i="5"/>
  <c r="E276" i="5"/>
  <c r="E275" i="5"/>
  <c r="E274" i="5"/>
  <c r="E273" i="5"/>
  <c r="E272" i="5"/>
  <c r="E271" i="5"/>
  <c r="E270" i="5"/>
  <c r="E269" i="5"/>
  <c r="E268" i="5"/>
  <c r="E267" i="5"/>
  <c r="E266" i="5"/>
  <c r="E265" i="5"/>
  <c r="E264" i="5"/>
  <c r="E263" i="5"/>
  <c r="E262" i="5"/>
  <c r="E261" i="5"/>
  <c r="E260" i="5"/>
  <c r="E259" i="5"/>
  <c r="E258" i="5"/>
  <c r="E257" i="5"/>
  <c r="E256" i="5"/>
  <c r="E255" i="5"/>
  <c r="E254" i="5"/>
  <c r="E253" i="5"/>
  <c r="E252" i="5"/>
  <c r="E251" i="5"/>
  <c r="E250" i="5"/>
  <c r="E249" i="5"/>
  <c r="E248" i="5"/>
  <c r="E247" i="5"/>
  <c r="E246" i="5"/>
  <c r="E245" i="5"/>
  <c r="E244" i="5"/>
  <c r="E243" i="5"/>
  <c r="E242" i="5"/>
  <c r="E241" i="5"/>
  <c r="E240" i="5"/>
  <c r="E239" i="5"/>
  <c r="E238" i="5"/>
  <c r="E237" i="5"/>
  <c r="E236" i="5"/>
  <c r="E235" i="5"/>
  <c r="E234" i="5"/>
  <c r="E233" i="5"/>
  <c r="E232" i="5"/>
  <c r="E231" i="5"/>
  <c r="E230" i="5"/>
  <c r="E229" i="5"/>
  <c r="E228" i="5"/>
  <c r="E227" i="5"/>
  <c r="E226" i="5"/>
  <c r="E225" i="5"/>
  <c r="E224" i="5"/>
  <c r="E223" i="5"/>
  <c r="E222" i="5"/>
  <c r="E221" i="5"/>
  <c r="E220" i="5"/>
  <c r="E219" i="5"/>
  <c r="E218" i="5"/>
  <c r="E217" i="5"/>
  <c r="E216" i="5"/>
  <c r="E215" i="5"/>
  <c r="E214" i="5"/>
  <c r="E213" i="5"/>
  <c r="E212" i="5"/>
  <c r="E211" i="5"/>
  <c r="E210" i="5"/>
  <c r="E209" i="5"/>
  <c r="E208" i="5"/>
  <c r="E207" i="5"/>
  <c r="E206" i="5"/>
  <c r="E205" i="5"/>
  <c r="E204" i="5"/>
  <c r="E203" i="5"/>
  <c r="E202" i="5"/>
  <c r="E201" i="5"/>
  <c r="E200" i="5"/>
  <c r="E199" i="5"/>
  <c r="E198" i="5"/>
  <c r="E197" i="5"/>
  <c r="E196" i="5"/>
  <c r="E195" i="5"/>
  <c r="E194" i="5"/>
  <c r="E193" i="5"/>
  <c r="E192" i="5"/>
  <c r="E191" i="5"/>
  <c r="E190" i="5"/>
  <c r="E189" i="5"/>
  <c r="E188" i="5"/>
  <c r="E187" i="5"/>
  <c r="E186" i="5"/>
  <c r="E185" i="5"/>
  <c r="E184" i="5"/>
  <c r="E183" i="5"/>
  <c r="E182" i="5"/>
  <c r="E181" i="5"/>
  <c r="E180" i="5"/>
  <c r="E179" i="5"/>
  <c r="E178" i="5"/>
  <c r="E177" i="5"/>
  <c r="E176" i="5"/>
  <c r="E175" i="5"/>
  <c r="E174" i="5"/>
  <c r="E173" i="5"/>
  <c r="E172" i="5"/>
  <c r="E171" i="5"/>
  <c r="E170" i="5"/>
  <c r="E169" i="5"/>
  <c r="E168" i="5"/>
  <c r="E167" i="5"/>
  <c r="E166" i="5"/>
  <c r="E165" i="5"/>
  <c r="E164" i="5"/>
  <c r="E163" i="5"/>
  <c r="E162" i="5"/>
  <c r="E161" i="5"/>
  <c r="E160" i="5"/>
  <c r="E159" i="5"/>
  <c r="E158" i="5"/>
  <c r="E157" i="5"/>
  <c r="E156" i="5"/>
  <c r="E155" i="5"/>
  <c r="E154" i="5"/>
  <c r="E153" i="5"/>
  <c r="E152" i="5"/>
  <c r="E151" i="5"/>
  <c r="E150" i="5"/>
  <c r="E149" i="5"/>
  <c r="E148" i="5"/>
  <c r="E147" i="5"/>
  <c r="E146" i="5"/>
  <c r="E145" i="5"/>
  <c r="E144" i="5"/>
  <c r="E143" i="5"/>
  <c r="E142" i="5"/>
  <c r="E141" i="5"/>
  <c r="E140" i="5"/>
  <c r="E139" i="5"/>
  <c r="E138" i="5"/>
  <c r="E137" i="5"/>
  <c r="E136" i="5"/>
  <c r="E135" i="5"/>
  <c r="E134" i="5"/>
  <c r="E133" i="5"/>
  <c r="E132" i="5"/>
  <c r="E131" i="5"/>
  <c r="E130" i="5"/>
  <c r="E129" i="5"/>
  <c r="E128" i="5"/>
  <c r="E127" i="5"/>
  <c r="E126" i="5"/>
  <c r="E125" i="5"/>
  <c r="E124" i="5"/>
  <c r="E123" i="5"/>
  <c r="E122" i="5"/>
  <c r="E121" i="5"/>
  <c r="E120" i="5"/>
  <c r="E119" i="5"/>
  <c r="E118" i="5"/>
  <c r="E117" i="5"/>
  <c r="E116" i="5"/>
  <c r="E115" i="5"/>
  <c r="E114" i="5"/>
  <c r="E113" i="5"/>
  <c r="E112" i="5"/>
  <c r="E111" i="5"/>
  <c r="E110" i="5"/>
  <c r="E109" i="5"/>
  <c r="E108" i="5"/>
  <c r="E107" i="5"/>
  <c r="E106" i="5"/>
  <c r="E105" i="5"/>
  <c r="E104" i="5"/>
  <c r="E103" i="5"/>
  <c r="E102" i="5"/>
  <c r="E101" i="5"/>
  <c r="E100" i="5"/>
  <c r="E99" i="5"/>
  <c r="E98" i="5"/>
  <c r="E97" i="5"/>
  <c r="E96" i="5"/>
  <c r="E95" i="5"/>
  <c r="E94" i="5"/>
  <c r="E93" i="5"/>
  <c r="E92" i="5"/>
  <c r="E91" i="5"/>
  <c r="E90" i="5"/>
  <c r="E89" i="5"/>
  <c r="E88" i="5"/>
  <c r="E87" i="5"/>
  <c r="E86" i="5"/>
  <c r="E85" i="5"/>
  <c r="E84" i="5"/>
  <c r="E83" i="5"/>
  <c r="E82" i="5"/>
  <c r="E81" i="5"/>
  <c r="E80" i="5"/>
  <c r="E79" i="5"/>
  <c r="E78" i="5"/>
  <c r="E77" i="5"/>
  <c r="E76" i="5"/>
  <c r="E75" i="5"/>
  <c r="E74" i="5"/>
  <c r="E73" i="5"/>
  <c r="E72" i="5"/>
  <c r="E71" i="5"/>
  <c r="E70" i="5"/>
  <c r="E69" i="5"/>
  <c r="E68" i="5"/>
  <c r="E67" i="5"/>
  <c r="E66" i="5"/>
  <c r="E65" i="5"/>
  <c r="E64" i="5"/>
  <c r="E63" i="5"/>
  <c r="E62" i="5"/>
  <c r="E61" i="5"/>
  <c r="E60" i="5"/>
  <c r="E59" i="5"/>
  <c r="E58" i="5"/>
  <c r="E57" i="5"/>
  <c r="E56" i="5"/>
  <c r="E55" i="5"/>
  <c r="E54" i="5"/>
  <c r="E53" i="5"/>
  <c r="E52" i="5"/>
  <c r="E51" i="5"/>
  <c r="E50" i="5"/>
  <c r="E49" i="5"/>
  <c r="E48" i="5"/>
  <c r="E47" i="5"/>
  <c r="E46" i="5"/>
  <c r="E45" i="5"/>
  <c r="E44" i="5"/>
  <c r="E43" i="5"/>
  <c r="E42" i="5"/>
  <c r="E41" i="5"/>
  <c r="E40" i="5"/>
  <c r="E39" i="5"/>
  <c r="E38" i="5"/>
  <c r="E37" i="5"/>
  <c r="E36" i="5"/>
  <c r="E35" i="5"/>
  <c r="E34" i="5"/>
  <c r="E33" i="5"/>
  <c r="E32" i="5"/>
  <c r="E31" i="5"/>
  <c r="E30" i="5"/>
  <c r="E29" i="5"/>
  <c r="E28" i="5"/>
  <c r="E27" i="5"/>
  <c r="E26" i="5"/>
  <c r="E25" i="5"/>
  <c r="E24" i="5"/>
  <c r="E23" i="5"/>
  <c r="E22" i="5"/>
  <c r="E21" i="5"/>
  <c r="E20" i="5"/>
  <c r="E19" i="5"/>
  <c r="E18" i="5"/>
  <c r="E17" i="5"/>
  <c r="E16" i="5"/>
  <c r="E15" i="5"/>
  <c r="E14" i="5"/>
  <c r="E13" i="5"/>
  <c r="E12" i="5"/>
  <c r="E11" i="5"/>
  <c r="E10" i="5"/>
  <c r="H202" i="6" s="1"/>
  <c r="E9" i="5"/>
  <c r="G468" i="6" s="1"/>
  <c r="H3032" i="4"/>
  <c r="G3032" i="4"/>
  <c r="H3031" i="4"/>
  <c r="G3031" i="4"/>
  <c r="H3030" i="4"/>
  <c r="G3030" i="4"/>
  <c r="H3029" i="4"/>
  <c r="G3029" i="4"/>
  <c r="H3028" i="4"/>
  <c r="G3028" i="4"/>
  <c r="H3027" i="4"/>
  <c r="G3027" i="4"/>
  <c r="H3026" i="4"/>
  <c r="G3026" i="4"/>
  <c r="H3025" i="4"/>
  <c r="G3025" i="4"/>
  <c r="H3024" i="4"/>
  <c r="G3024" i="4"/>
  <c r="H3023" i="4"/>
  <c r="G3023" i="4"/>
  <c r="H3022" i="4"/>
  <c r="G3022" i="4"/>
  <c r="H3021" i="4"/>
  <c r="G3021" i="4"/>
  <c r="H3020" i="4"/>
  <c r="G3020" i="4"/>
  <c r="H3019" i="4"/>
  <c r="G3019" i="4"/>
  <c r="H3018" i="4"/>
  <c r="G3018" i="4"/>
  <c r="H3017" i="4"/>
  <c r="G3017" i="4"/>
  <c r="H3016" i="4"/>
  <c r="G3016" i="4"/>
  <c r="H3015" i="4"/>
  <c r="G3015" i="4"/>
  <c r="H3014" i="4"/>
  <c r="G3014" i="4"/>
  <c r="H3013" i="4"/>
  <c r="G3013" i="4"/>
  <c r="H3012" i="4"/>
  <c r="G3012" i="4"/>
  <c r="H3011" i="4"/>
  <c r="G3011" i="4"/>
  <c r="H3010" i="4"/>
  <c r="G3010" i="4"/>
  <c r="H3009" i="4"/>
  <c r="G3009" i="4"/>
  <c r="H3008" i="4"/>
  <c r="G3008" i="4"/>
  <c r="H3007" i="4"/>
  <c r="G3007" i="4"/>
  <c r="H3006" i="4"/>
  <c r="G3006" i="4"/>
  <c r="H3005" i="4"/>
  <c r="G3005" i="4"/>
  <c r="H3004" i="4"/>
  <c r="G3004" i="4"/>
  <c r="H3003" i="4"/>
  <c r="G3003" i="4"/>
  <c r="H3002" i="4"/>
  <c r="G3002" i="4"/>
  <c r="H3001" i="4"/>
  <c r="G3001" i="4"/>
  <c r="H3000" i="4"/>
  <c r="G3000" i="4"/>
  <c r="H2999" i="4"/>
  <c r="G2999" i="4"/>
  <c r="H2998" i="4"/>
  <c r="G2998" i="4"/>
  <c r="H2997" i="4"/>
  <c r="G2997" i="4"/>
  <c r="H2996" i="4"/>
  <c r="G2996" i="4"/>
  <c r="H2995" i="4"/>
  <c r="G2995" i="4"/>
  <c r="H2994" i="4"/>
  <c r="G2994" i="4"/>
  <c r="H2993" i="4"/>
  <c r="G2993" i="4"/>
  <c r="H2992" i="4"/>
  <c r="G2992" i="4"/>
  <c r="H2991" i="4"/>
  <c r="G2991" i="4"/>
  <c r="H2990" i="4"/>
  <c r="G2990" i="4"/>
  <c r="H2989" i="4"/>
  <c r="G2989" i="4"/>
  <c r="H2988" i="4"/>
  <c r="G2988" i="4"/>
  <c r="H2987" i="4"/>
  <c r="G2987" i="4"/>
  <c r="H2986" i="4"/>
  <c r="G2986" i="4"/>
  <c r="H2985" i="4"/>
  <c r="G2985" i="4"/>
  <c r="H2984" i="4"/>
  <c r="G2984" i="4"/>
  <c r="H2983" i="4"/>
  <c r="G2983" i="4"/>
  <c r="H2982" i="4"/>
  <c r="G2982" i="4"/>
  <c r="H2981" i="4"/>
  <c r="G2981" i="4"/>
  <c r="H2980" i="4"/>
  <c r="G2980" i="4"/>
  <c r="H2979" i="4"/>
  <c r="G2979" i="4"/>
  <c r="H2978" i="4"/>
  <c r="G2978" i="4"/>
  <c r="H2977" i="4"/>
  <c r="G2977" i="4"/>
  <c r="H2976" i="4"/>
  <c r="G2976" i="4"/>
  <c r="H2975" i="4"/>
  <c r="G2975" i="4"/>
  <c r="H2974" i="4"/>
  <c r="G2974" i="4"/>
  <c r="H2973" i="4"/>
  <c r="G2973" i="4"/>
  <c r="H2972" i="4"/>
  <c r="G2972" i="4"/>
  <c r="H2971" i="4"/>
  <c r="G2971" i="4"/>
  <c r="H2970" i="4"/>
  <c r="G2970" i="4"/>
  <c r="H2969" i="4"/>
  <c r="G2969" i="4"/>
  <c r="H2968" i="4"/>
  <c r="G2968" i="4"/>
  <c r="H2967" i="4"/>
  <c r="G2967" i="4"/>
  <c r="H2966" i="4"/>
  <c r="G2966" i="4"/>
  <c r="H2965" i="4"/>
  <c r="G2965" i="4"/>
  <c r="H2964" i="4"/>
  <c r="G2964" i="4"/>
  <c r="H2963" i="4"/>
  <c r="G2963" i="4"/>
  <c r="H2962" i="4"/>
  <c r="G2962" i="4"/>
  <c r="H2961" i="4"/>
  <c r="G2961" i="4"/>
  <c r="H2960" i="4"/>
  <c r="G2960" i="4"/>
  <c r="H2959" i="4"/>
  <c r="G2959" i="4"/>
  <c r="H2958" i="4"/>
  <c r="G2958" i="4"/>
  <c r="H2957" i="4"/>
  <c r="G2957" i="4"/>
  <c r="H2956" i="4"/>
  <c r="G2956" i="4"/>
  <c r="H2955" i="4"/>
  <c r="G2955" i="4"/>
  <c r="H2954" i="4"/>
  <c r="G2954" i="4"/>
  <c r="H2953" i="4"/>
  <c r="G2953" i="4"/>
  <c r="H2952" i="4"/>
  <c r="G2952" i="4"/>
  <c r="H2951" i="4"/>
  <c r="G2951" i="4"/>
  <c r="H2950" i="4"/>
  <c r="G2950" i="4"/>
  <c r="H2949" i="4"/>
  <c r="G2949" i="4"/>
  <c r="H2948" i="4"/>
  <c r="G2948" i="4"/>
  <c r="H2947" i="4"/>
  <c r="G2947" i="4"/>
  <c r="H2946" i="4"/>
  <c r="G2946" i="4"/>
  <c r="H2945" i="4"/>
  <c r="G2945" i="4"/>
  <c r="H2944" i="4"/>
  <c r="G2944" i="4"/>
  <c r="H2943" i="4"/>
  <c r="G2943" i="4"/>
  <c r="H2942" i="4"/>
  <c r="G2942" i="4"/>
  <c r="H2941" i="4"/>
  <c r="G2941" i="4"/>
  <c r="H2940" i="4"/>
  <c r="G2940" i="4"/>
  <c r="H2939" i="4"/>
  <c r="G2939" i="4"/>
  <c r="H2938" i="4"/>
  <c r="G2938" i="4"/>
  <c r="H2937" i="4"/>
  <c r="G2937" i="4"/>
  <c r="H2936" i="4"/>
  <c r="G2936" i="4"/>
  <c r="H2935" i="4"/>
  <c r="G2935" i="4"/>
  <c r="H2934" i="4"/>
  <c r="G2934" i="4"/>
  <c r="H2933" i="4"/>
  <c r="G2933" i="4"/>
  <c r="H2932" i="4"/>
  <c r="G2932" i="4"/>
  <c r="H2931" i="4"/>
  <c r="G2931" i="4"/>
  <c r="H2930" i="4"/>
  <c r="G2930" i="4"/>
  <c r="H2929" i="4"/>
  <c r="G2929" i="4"/>
  <c r="H2928" i="4"/>
  <c r="G2928" i="4"/>
  <c r="H2927" i="4"/>
  <c r="G2927" i="4"/>
  <c r="H2926" i="4"/>
  <c r="G2926" i="4"/>
  <c r="H2925" i="4"/>
  <c r="G2925" i="4"/>
  <c r="H2924" i="4"/>
  <c r="G2924" i="4"/>
  <c r="H2923" i="4"/>
  <c r="G2923" i="4"/>
  <c r="H2922" i="4"/>
  <c r="G2922" i="4"/>
  <c r="H2921" i="4"/>
  <c r="G2921" i="4"/>
  <c r="H2920" i="4"/>
  <c r="G2920" i="4"/>
  <c r="H2919" i="4"/>
  <c r="G2919" i="4"/>
  <c r="H2918" i="4"/>
  <c r="G2918" i="4"/>
  <c r="H2917" i="4"/>
  <c r="G2917" i="4"/>
  <c r="H2916" i="4"/>
  <c r="G2916" i="4"/>
  <c r="H2915" i="4"/>
  <c r="G2915" i="4"/>
  <c r="H2914" i="4"/>
  <c r="G2914" i="4"/>
  <c r="H2913" i="4"/>
  <c r="G2913" i="4"/>
  <c r="H2912" i="4"/>
  <c r="G2912" i="4"/>
  <c r="H2911" i="4"/>
  <c r="G2911" i="4"/>
  <c r="H2910" i="4"/>
  <c r="G2910" i="4"/>
  <c r="H2909" i="4"/>
  <c r="G2909" i="4"/>
  <c r="H2908" i="4"/>
  <c r="G2908" i="4"/>
  <c r="H2907" i="4"/>
  <c r="G2907" i="4"/>
  <c r="H2906" i="4"/>
  <c r="G2906" i="4"/>
  <c r="H2905" i="4"/>
  <c r="G2905" i="4"/>
  <c r="H2904" i="4"/>
  <c r="G2904" i="4"/>
  <c r="H2903" i="4"/>
  <c r="G2903" i="4"/>
  <c r="H2902" i="4"/>
  <c r="G2902" i="4"/>
  <c r="H2901" i="4"/>
  <c r="G2901" i="4"/>
  <c r="H2900" i="4"/>
  <c r="G2900" i="4"/>
  <c r="H2899" i="4"/>
  <c r="G2899" i="4"/>
  <c r="H2898" i="4"/>
  <c r="G2898" i="4"/>
  <c r="H2897" i="4"/>
  <c r="G2897" i="4"/>
  <c r="H2896" i="4"/>
  <c r="G2896" i="4"/>
  <c r="H2895" i="4"/>
  <c r="G2895" i="4"/>
  <c r="H2894" i="4"/>
  <c r="G2894" i="4"/>
  <c r="H2893" i="4"/>
  <c r="G2893" i="4"/>
  <c r="H2892" i="4"/>
  <c r="G2892" i="4"/>
  <c r="H2891" i="4"/>
  <c r="G2891" i="4"/>
  <c r="H2890" i="4"/>
  <c r="G2890" i="4"/>
  <c r="H2889" i="4"/>
  <c r="G2889" i="4"/>
  <c r="H2888" i="4"/>
  <c r="G2888" i="4"/>
  <c r="H2887" i="4"/>
  <c r="G2887" i="4"/>
  <c r="H2886" i="4"/>
  <c r="G2886" i="4"/>
  <c r="H2885" i="4"/>
  <c r="G2885" i="4"/>
  <c r="H2884" i="4"/>
  <c r="G2884" i="4"/>
  <c r="H2883" i="4"/>
  <c r="G2883" i="4"/>
  <c r="H2882" i="4"/>
  <c r="G2882" i="4"/>
  <c r="H2881" i="4"/>
  <c r="G2881" i="4"/>
  <c r="H2880" i="4"/>
  <c r="G2880" i="4"/>
  <c r="H2879" i="4"/>
  <c r="G2879" i="4"/>
  <c r="H2878" i="4"/>
  <c r="G2878" i="4"/>
  <c r="H2877" i="4"/>
  <c r="G2877" i="4"/>
  <c r="H2876" i="4"/>
  <c r="G2876" i="4"/>
  <c r="H2875" i="4"/>
  <c r="G2875" i="4"/>
  <c r="H2874" i="4"/>
  <c r="G2874" i="4"/>
  <c r="H2873" i="4"/>
  <c r="G2873" i="4"/>
  <c r="H2872" i="4"/>
  <c r="G2872" i="4"/>
  <c r="H2871" i="4"/>
  <c r="G2871" i="4"/>
  <c r="H2870" i="4"/>
  <c r="G2870" i="4"/>
  <c r="H2869" i="4"/>
  <c r="G2869" i="4"/>
  <c r="H2868" i="4"/>
  <c r="G2868" i="4"/>
  <c r="H2867" i="4"/>
  <c r="G2867" i="4"/>
  <c r="H2866" i="4"/>
  <c r="G2866" i="4"/>
  <c r="H2865" i="4"/>
  <c r="G2865" i="4"/>
  <c r="H2864" i="4"/>
  <c r="G2864" i="4"/>
  <c r="H2863" i="4"/>
  <c r="G2863" i="4"/>
  <c r="H2862" i="4"/>
  <c r="G2862" i="4"/>
  <c r="H2861" i="4"/>
  <c r="G2861" i="4"/>
  <c r="H2860" i="4"/>
  <c r="G2860" i="4"/>
  <c r="H2859" i="4"/>
  <c r="G2859" i="4"/>
  <c r="H2858" i="4"/>
  <c r="G2858" i="4"/>
  <c r="H2857" i="4"/>
  <c r="G2857" i="4"/>
  <c r="H2856" i="4"/>
  <c r="G2856" i="4"/>
  <c r="H2855" i="4"/>
  <c r="G2855" i="4"/>
  <c r="H2854" i="4"/>
  <c r="G2854" i="4"/>
  <c r="H2853" i="4"/>
  <c r="G2853" i="4"/>
  <c r="H2852" i="4"/>
  <c r="G2852" i="4"/>
  <c r="H2851" i="4"/>
  <c r="G2851" i="4"/>
  <c r="H2850" i="4"/>
  <c r="G2850" i="4"/>
  <c r="H2849" i="4"/>
  <c r="G2849" i="4"/>
  <c r="H2848" i="4"/>
  <c r="G2848" i="4"/>
  <c r="H2847" i="4"/>
  <c r="G2847" i="4"/>
  <c r="H2846" i="4"/>
  <c r="G2846" i="4"/>
  <c r="H2845" i="4"/>
  <c r="G2845" i="4"/>
  <c r="H2844" i="4"/>
  <c r="G2844" i="4"/>
  <c r="H2843" i="4"/>
  <c r="G2843" i="4"/>
  <c r="H2842" i="4"/>
  <c r="G2842" i="4"/>
  <c r="H2841" i="4"/>
  <c r="G2841" i="4"/>
  <c r="H2840" i="4"/>
  <c r="G2840" i="4"/>
  <c r="H2839" i="4"/>
  <c r="G2839" i="4"/>
  <c r="H2838" i="4"/>
  <c r="G2838" i="4"/>
  <c r="H2837" i="4"/>
  <c r="G2837" i="4"/>
  <c r="H2836" i="4"/>
  <c r="G2836" i="4"/>
  <c r="H2835" i="4"/>
  <c r="G2835" i="4"/>
  <c r="H2834" i="4"/>
  <c r="G2834" i="4"/>
  <c r="H2833" i="4"/>
  <c r="G2833" i="4"/>
  <c r="H2832" i="4"/>
  <c r="G2832" i="4"/>
  <c r="H2831" i="4"/>
  <c r="G2831" i="4"/>
  <c r="H2830" i="4"/>
  <c r="G2830" i="4"/>
  <c r="H2829" i="4"/>
  <c r="G2829" i="4"/>
  <c r="H2828" i="4"/>
  <c r="G2828" i="4"/>
  <c r="H2827" i="4"/>
  <c r="G2827" i="4"/>
  <c r="H2826" i="4"/>
  <c r="G2826" i="4"/>
  <c r="H2825" i="4"/>
  <c r="G2825" i="4"/>
  <c r="H2824" i="4"/>
  <c r="G2824" i="4"/>
  <c r="H2823" i="4"/>
  <c r="G2823" i="4"/>
  <c r="H2822" i="4"/>
  <c r="G2822" i="4"/>
  <c r="H2821" i="4"/>
  <c r="G2821" i="4"/>
  <c r="H2820" i="4"/>
  <c r="G2820" i="4"/>
  <c r="H2819" i="4"/>
  <c r="G2819" i="4"/>
  <c r="H2818" i="4"/>
  <c r="G2818" i="4"/>
  <c r="H2817" i="4"/>
  <c r="G2817" i="4"/>
  <c r="H2816" i="4"/>
  <c r="G2816" i="4"/>
  <c r="H2815" i="4"/>
  <c r="G2815" i="4"/>
  <c r="H2814" i="4"/>
  <c r="G2814" i="4"/>
  <c r="H2813" i="4"/>
  <c r="G2813" i="4"/>
  <c r="H2812" i="4"/>
  <c r="G2812" i="4"/>
  <c r="H2811" i="4"/>
  <c r="G2811" i="4"/>
  <c r="H2810" i="4"/>
  <c r="G2810" i="4"/>
  <c r="H2809" i="4"/>
  <c r="G2809" i="4"/>
  <c r="H2808" i="4"/>
  <c r="G2808" i="4"/>
  <c r="H2807" i="4"/>
  <c r="G2807" i="4"/>
  <c r="H2806" i="4"/>
  <c r="G2806" i="4"/>
  <c r="H2805" i="4"/>
  <c r="G2805" i="4"/>
  <c r="H2804" i="4"/>
  <c r="G2804" i="4"/>
  <c r="H2803" i="4"/>
  <c r="G2803" i="4"/>
  <c r="H2802" i="4"/>
  <c r="G2802" i="4"/>
  <c r="H2801" i="4"/>
  <c r="G2801" i="4"/>
  <c r="H2800" i="4"/>
  <c r="G2800" i="4"/>
  <c r="H2799" i="4"/>
  <c r="G2799" i="4"/>
  <c r="H2798" i="4"/>
  <c r="G2798" i="4"/>
  <c r="H2797" i="4"/>
  <c r="G2797" i="4"/>
  <c r="H2796" i="4"/>
  <c r="G2796" i="4"/>
  <c r="H2795" i="4"/>
  <c r="G2795" i="4"/>
  <c r="H2794" i="4"/>
  <c r="G2794" i="4"/>
  <c r="H2793" i="4"/>
  <c r="G2793" i="4"/>
  <c r="H2792" i="4"/>
  <c r="G2792" i="4"/>
  <c r="H2791" i="4"/>
  <c r="G2791" i="4"/>
  <c r="H2790" i="4"/>
  <c r="G2790" i="4"/>
  <c r="H2789" i="4"/>
  <c r="G2789" i="4"/>
  <c r="H2788" i="4"/>
  <c r="G2788" i="4"/>
  <c r="H2787" i="4"/>
  <c r="G2787" i="4"/>
  <c r="H2786" i="4"/>
  <c r="G2786" i="4"/>
  <c r="H2785" i="4"/>
  <c r="G2785" i="4"/>
  <c r="H2784" i="4"/>
  <c r="G2784" i="4"/>
  <c r="H2783" i="4"/>
  <c r="G2783" i="4"/>
  <c r="H2782" i="4"/>
  <c r="G2782" i="4"/>
  <c r="H2781" i="4"/>
  <c r="G2781" i="4"/>
  <c r="H2780" i="4"/>
  <c r="G2780" i="4"/>
  <c r="H2779" i="4"/>
  <c r="G2779" i="4"/>
  <c r="H2778" i="4"/>
  <c r="G2778" i="4"/>
  <c r="H2777" i="4"/>
  <c r="G2777" i="4"/>
  <c r="H2776" i="4"/>
  <c r="G2776" i="4"/>
  <c r="H2775" i="4"/>
  <c r="G2775" i="4"/>
  <c r="H2774" i="4"/>
  <c r="G2774" i="4"/>
  <c r="H2773" i="4"/>
  <c r="G2773" i="4"/>
  <c r="H2772" i="4"/>
  <c r="G2772" i="4"/>
  <c r="H2771" i="4"/>
  <c r="G2771" i="4"/>
  <c r="H2770" i="4"/>
  <c r="G2770" i="4"/>
  <c r="H2769" i="4"/>
  <c r="G2769" i="4"/>
  <c r="H2768" i="4"/>
  <c r="G2768" i="4"/>
  <c r="H2767" i="4"/>
  <c r="G2767" i="4"/>
  <c r="H2766" i="4"/>
  <c r="G2766" i="4"/>
  <c r="H2765" i="4"/>
  <c r="G2765" i="4"/>
  <c r="H2764" i="4"/>
  <c r="G2764" i="4"/>
  <c r="H2763" i="4"/>
  <c r="G2763" i="4"/>
  <c r="H2762" i="4"/>
  <c r="G2762" i="4"/>
  <c r="H2761" i="4"/>
  <c r="G2761" i="4"/>
  <c r="H2760" i="4"/>
  <c r="G2760" i="4"/>
  <c r="H2759" i="4"/>
  <c r="G2759" i="4"/>
  <c r="H2758" i="4"/>
  <c r="G2758" i="4"/>
  <c r="H2757" i="4"/>
  <c r="G2757" i="4"/>
  <c r="H2756" i="4"/>
  <c r="G2756" i="4"/>
  <c r="H2755" i="4"/>
  <c r="G2755" i="4"/>
  <c r="H2754" i="4"/>
  <c r="G2754" i="4"/>
  <c r="H2753" i="4"/>
  <c r="G2753" i="4"/>
  <c r="H2752" i="4"/>
  <c r="G2752" i="4"/>
  <c r="H2751" i="4"/>
  <c r="G2751" i="4"/>
  <c r="H2750" i="4"/>
  <c r="G2750" i="4"/>
  <c r="H2749" i="4"/>
  <c r="G2749" i="4"/>
  <c r="H2748" i="4"/>
  <c r="G2748" i="4"/>
  <c r="H2747" i="4"/>
  <c r="G2747" i="4"/>
  <c r="H2746" i="4"/>
  <c r="G2746" i="4"/>
  <c r="H2745" i="4"/>
  <c r="G2745" i="4"/>
  <c r="H2744" i="4"/>
  <c r="G2744" i="4"/>
  <c r="H2743" i="4"/>
  <c r="G2743" i="4"/>
  <c r="H2742" i="4"/>
  <c r="G2742" i="4"/>
  <c r="H2741" i="4"/>
  <c r="G2741" i="4"/>
  <c r="H2740" i="4"/>
  <c r="G2740" i="4"/>
  <c r="H2739" i="4"/>
  <c r="G2739" i="4"/>
  <c r="H2738" i="4"/>
  <c r="G2738" i="4"/>
  <c r="H2737" i="4"/>
  <c r="G2737" i="4"/>
  <c r="H2736" i="4"/>
  <c r="G2736" i="4"/>
  <c r="H2735" i="4"/>
  <c r="G2735" i="4"/>
  <c r="H2734" i="4"/>
  <c r="G2734" i="4"/>
  <c r="H2733" i="4"/>
  <c r="G2733" i="4"/>
  <c r="H2732" i="4"/>
  <c r="G2732" i="4"/>
  <c r="H2731" i="4"/>
  <c r="G2731" i="4"/>
  <c r="H2730" i="4"/>
  <c r="G2730" i="4"/>
  <c r="H2729" i="4"/>
  <c r="G2729" i="4"/>
  <c r="H2728" i="4"/>
  <c r="G2728" i="4"/>
  <c r="H2727" i="4"/>
  <c r="G2727" i="4"/>
  <c r="H2726" i="4"/>
  <c r="G2726" i="4"/>
  <c r="H2725" i="4"/>
  <c r="G2725" i="4"/>
  <c r="H2724" i="4"/>
  <c r="G2724" i="4"/>
  <c r="H2723" i="4"/>
  <c r="G2723" i="4"/>
  <c r="H2722" i="4"/>
  <c r="G2722" i="4"/>
  <c r="H2721" i="4"/>
  <c r="G2721" i="4"/>
  <c r="H2720" i="4"/>
  <c r="G2720" i="4"/>
  <c r="H2719" i="4"/>
  <c r="G2719" i="4"/>
  <c r="H2718" i="4"/>
  <c r="G2718" i="4"/>
  <c r="H2717" i="4"/>
  <c r="G2717" i="4"/>
  <c r="H2716" i="4"/>
  <c r="G2716" i="4"/>
  <c r="H2715" i="4"/>
  <c r="G2715" i="4"/>
  <c r="H2714" i="4"/>
  <c r="G2714" i="4"/>
  <c r="H2713" i="4"/>
  <c r="G2713" i="4"/>
  <c r="H2712" i="4"/>
  <c r="G2712" i="4"/>
  <c r="H2711" i="4"/>
  <c r="G2711" i="4"/>
  <c r="H2710" i="4"/>
  <c r="G2710" i="4"/>
  <c r="H2709" i="4"/>
  <c r="G2709" i="4"/>
  <c r="H2708" i="4"/>
  <c r="G2708" i="4"/>
  <c r="H2707" i="4"/>
  <c r="G2707" i="4"/>
  <c r="H2706" i="4"/>
  <c r="G2706" i="4"/>
  <c r="H2705" i="4"/>
  <c r="G2705" i="4"/>
  <c r="H2704" i="4"/>
  <c r="G2704" i="4"/>
  <c r="H2703" i="4"/>
  <c r="G2703" i="4"/>
  <c r="H2702" i="4"/>
  <c r="G2702" i="4"/>
  <c r="H2701" i="4"/>
  <c r="G2701" i="4"/>
  <c r="H2700" i="4"/>
  <c r="G2700" i="4"/>
  <c r="H2699" i="4"/>
  <c r="G2699" i="4"/>
  <c r="H2698" i="4"/>
  <c r="G2698" i="4"/>
  <c r="H2697" i="4"/>
  <c r="G2697" i="4"/>
  <c r="H2696" i="4"/>
  <c r="G2696" i="4"/>
  <c r="H2695" i="4"/>
  <c r="G2695" i="4"/>
  <c r="H2694" i="4"/>
  <c r="G2694" i="4"/>
  <c r="H2693" i="4"/>
  <c r="G2693" i="4"/>
  <c r="H2692" i="4"/>
  <c r="G2692" i="4"/>
  <c r="H2691" i="4"/>
  <c r="G2691" i="4"/>
  <c r="H2690" i="4"/>
  <c r="G2690" i="4"/>
  <c r="H2689" i="4"/>
  <c r="G2689" i="4"/>
  <c r="H2688" i="4"/>
  <c r="G2688" i="4"/>
  <c r="H2687" i="4"/>
  <c r="G2687" i="4"/>
  <c r="H2686" i="4"/>
  <c r="G2686" i="4"/>
  <c r="H2685" i="4"/>
  <c r="G2685" i="4"/>
  <c r="H2684" i="4"/>
  <c r="G2684" i="4"/>
  <c r="H2683" i="4"/>
  <c r="G2683" i="4"/>
  <c r="H2682" i="4"/>
  <c r="G2682" i="4"/>
  <c r="H2681" i="4"/>
  <c r="G2681" i="4"/>
  <c r="H2680" i="4"/>
  <c r="G2680" i="4"/>
  <c r="H2679" i="4"/>
  <c r="G2679" i="4"/>
  <c r="H2678" i="4"/>
  <c r="G2678" i="4"/>
  <c r="H2677" i="4"/>
  <c r="G2677" i="4"/>
  <c r="H2676" i="4"/>
  <c r="G2676" i="4"/>
  <c r="H2675" i="4"/>
  <c r="G2675" i="4"/>
  <c r="H2674" i="4"/>
  <c r="G2674" i="4"/>
  <c r="H2673" i="4"/>
  <c r="G2673" i="4"/>
  <c r="H2672" i="4"/>
  <c r="G2672" i="4"/>
  <c r="H2671" i="4"/>
  <c r="G2671" i="4"/>
  <c r="H2670" i="4"/>
  <c r="G2670" i="4"/>
  <c r="H2669" i="4"/>
  <c r="G2669" i="4"/>
  <c r="H2668" i="4"/>
  <c r="G2668" i="4"/>
  <c r="H2667" i="4"/>
  <c r="G2667" i="4"/>
  <c r="H2666" i="4"/>
  <c r="G2666" i="4"/>
  <c r="H2665" i="4"/>
  <c r="G2665" i="4"/>
  <c r="H2664" i="4"/>
  <c r="G2664" i="4"/>
  <c r="H2663" i="4"/>
  <c r="G2663" i="4"/>
  <c r="H2662" i="4"/>
  <c r="G2662" i="4"/>
  <c r="H2661" i="4"/>
  <c r="G2661" i="4"/>
  <c r="H2660" i="4"/>
  <c r="G2660" i="4"/>
  <c r="H2659" i="4"/>
  <c r="G2659" i="4"/>
  <c r="H2658" i="4"/>
  <c r="G2658" i="4"/>
  <c r="H2657" i="4"/>
  <c r="G2657" i="4"/>
  <c r="H2656" i="4"/>
  <c r="G2656" i="4"/>
  <c r="H2655" i="4"/>
  <c r="G2655" i="4"/>
  <c r="H2654" i="4"/>
  <c r="G2654" i="4"/>
  <c r="H2653" i="4"/>
  <c r="G2653" i="4"/>
  <c r="H2652" i="4"/>
  <c r="G2652" i="4"/>
  <c r="H2651" i="4"/>
  <c r="G2651" i="4"/>
  <c r="H2650" i="4"/>
  <c r="G2650" i="4"/>
  <c r="H2649" i="4"/>
  <c r="G2649" i="4"/>
  <c r="H2648" i="4"/>
  <c r="G2648" i="4"/>
  <c r="H2647" i="4"/>
  <c r="G2647" i="4"/>
  <c r="H2646" i="4"/>
  <c r="G2646" i="4"/>
  <c r="H2645" i="4"/>
  <c r="G2645" i="4"/>
  <c r="H2644" i="4"/>
  <c r="G2644" i="4"/>
  <c r="H2643" i="4"/>
  <c r="G2643" i="4"/>
  <c r="H2642" i="4"/>
  <c r="G2642" i="4"/>
  <c r="H2641" i="4"/>
  <c r="G2641" i="4"/>
  <c r="H2640" i="4"/>
  <c r="G2640" i="4"/>
  <c r="H2639" i="4"/>
  <c r="G2639" i="4"/>
  <c r="H2638" i="4"/>
  <c r="G2638" i="4"/>
  <c r="H2637" i="4"/>
  <c r="G2637" i="4"/>
  <c r="H2636" i="4"/>
  <c r="G2636" i="4"/>
  <c r="H2635" i="4"/>
  <c r="G2635" i="4"/>
  <c r="H2634" i="4"/>
  <c r="G2634" i="4"/>
  <c r="H2633" i="4"/>
  <c r="G2633" i="4"/>
  <c r="H2632" i="4"/>
  <c r="G2632" i="4"/>
  <c r="H2631" i="4"/>
  <c r="G2631" i="4"/>
  <c r="H2630" i="4"/>
  <c r="G2630" i="4"/>
  <c r="H2629" i="4"/>
  <c r="G2629" i="4"/>
  <c r="H2628" i="4"/>
  <c r="G2628" i="4"/>
  <c r="H2627" i="4"/>
  <c r="G2627" i="4"/>
  <c r="H2626" i="4"/>
  <c r="G2626" i="4"/>
  <c r="H2625" i="4"/>
  <c r="G2625" i="4"/>
  <c r="H2624" i="4"/>
  <c r="G2624" i="4"/>
  <c r="H2623" i="4"/>
  <c r="G2623" i="4"/>
  <c r="H2622" i="4"/>
  <c r="G2622" i="4"/>
  <c r="H2621" i="4"/>
  <c r="G2621" i="4"/>
  <c r="H2620" i="4"/>
  <c r="G2620" i="4"/>
  <c r="H2619" i="4"/>
  <c r="G2619" i="4"/>
  <c r="H2618" i="4"/>
  <c r="G2618" i="4"/>
  <c r="H2617" i="4"/>
  <c r="G2617" i="4"/>
  <c r="H2616" i="4"/>
  <c r="G2616" i="4"/>
  <c r="H2615" i="4"/>
  <c r="G2615" i="4"/>
  <c r="H2614" i="4"/>
  <c r="G2614" i="4"/>
  <c r="H2613" i="4"/>
  <c r="G2613" i="4"/>
  <c r="H2612" i="4"/>
  <c r="G2612" i="4"/>
  <c r="H2611" i="4"/>
  <c r="G2611" i="4"/>
  <c r="H2610" i="4"/>
  <c r="G2610" i="4"/>
  <c r="H2609" i="4"/>
  <c r="G2609" i="4"/>
  <c r="H2608" i="4"/>
  <c r="G2608" i="4"/>
  <c r="H2607" i="4"/>
  <c r="G2607" i="4"/>
  <c r="H2606" i="4"/>
  <c r="G2606" i="4"/>
  <c r="H2605" i="4"/>
  <c r="G2605" i="4"/>
  <c r="H2604" i="4"/>
  <c r="G2604" i="4"/>
  <c r="H2603" i="4"/>
  <c r="G2603" i="4"/>
  <c r="H2602" i="4"/>
  <c r="G2602" i="4"/>
  <c r="H2601" i="4"/>
  <c r="G2601" i="4"/>
  <c r="H2600" i="4"/>
  <c r="G2600" i="4"/>
  <c r="H2599" i="4"/>
  <c r="G2599" i="4"/>
  <c r="H2598" i="4"/>
  <c r="G2598" i="4"/>
  <c r="H2597" i="4"/>
  <c r="G2597" i="4"/>
  <c r="H2596" i="4"/>
  <c r="G2596" i="4"/>
  <c r="H2595" i="4"/>
  <c r="G2595" i="4"/>
  <c r="H2594" i="4"/>
  <c r="G2594" i="4"/>
  <c r="H2593" i="4"/>
  <c r="G2593" i="4"/>
  <c r="H2592" i="4"/>
  <c r="G2592" i="4"/>
  <c r="H2591" i="4"/>
  <c r="G2591" i="4"/>
  <c r="H2590" i="4"/>
  <c r="G2590" i="4"/>
  <c r="H2589" i="4"/>
  <c r="G2589" i="4"/>
  <c r="H2588" i="4"/>
  <c r="G2588" i="4"/>
  <c r="H2587" i="4"/>
  <c r="G2587" i="4"/>
  <c r="H2586" i="4"/>
  <c r="G2586" i="4"/>
  <c r="H2585" i="4"/>
  <c r="G2585" i="4"/>
  <c r="H2584" i="4"/>
  <c r="G2584" i="4"/>
  <c r="H2583" i="4"/>
  <c r="G2583" i="4"/>
  <c r="H2582" i="4"/>
  <c r="G2582" i="4"/>
  <c r="H2581" i="4"/>
  <c r="G2581" i="4"/>
  <c r="H2580" i="4"/>
  <c r="G2580" i="4"/>
  <c r="H2579" i="4"/>
  <c r="G2579" i="4"/>
  <c r="H2578" i="4"/>
  <c r="G2578" i="4"/>
  <c r="H2577" i="4"/>
  <c r="G2577" i="4"/>
  <c r="H2576" i="4"/>
  <c r="G2576" i="4"/>
  <c r="H2575" i="4"/>
  <c r="G2575" i="4"/>
  <c r="H2574" i="4"/>
  <c r="G2574" i="4"/>
  <c r="H2573" i="4"/>
  <c r="G2573" i="4"/>
  <c r="H2572" i="4"/>
  <c r="G2572" i="4"/>
  <c r="H2571" i="4"/>
  <c r="G2571" i="4"/>
  <c r="H2570" i="4"/>
  <c r="G2570" i="4"/>
  <c r="H2569" i="4"/>
  <c r="G2569" i="4"/>
  <c r="H2568" i="4"/>
  <c r="G2568" i="4"/>
  <c r="H2567" i="4"/>
  <c r="G2567" i="4"/>
  <c r="H2566" i="4"/>
  <c r="G2566" i="4"/>
  <c r="H2565" i="4"/>
  <c r="G2565" i="4"/>
  <c r="H2564" i="4"/>
  <c r="G2564" i="4"/>
  <c r="H2563" i="4"/>
  <c r="G2563" i="4"/>
  <c r="H2562" i="4"/>
  <c r="G2562" i="4"/>
  <c r="H2561" i="4"/>
  <c r="G2561" i="4"/>
  <c r="H2560" i="4"/>
  <c r="G2560" i="4"/>
  <c r="H2559" i="4"/>
  <c r="G2559" i="4"/>
  <c r="H2558" i="4"/>
  <c r="G2558" i="4"/>
  <c r="H2557" i="4"/>
  <c r="G2557" i="4"/>
  <c r="H2556" i="4"/>
  <c r="G2556" i="4"/>
  <c r="H2555" i="4"/>
  <c r="G2555" i="4"/>
  <c r="H2554" i="4"/>
  <c r="G2554" i="4"/>
  <c r="H2553" i="4"/>
  <c r="G2553" i="4"/>
  <c r="H2552" i="4"/>
  <c r="G2552" i="4"/>
  <c r="H2551" i="4"/>
  <c r="G2551" i="4"/>
  <c r="H2550" i="4"/>
  <c r="G2550" i="4"/>
  <c r="H2549" i="4"/>
  <c r="G2549" i="4"/>
  <c r="H2548" i="4"/>
  <c r="G2548" i="4"/>
  <c r="H2547" i="4"/>
  <c r="G2547" i="4"/>
  <c r="H2546" i="4"/>
  <c r="G2546" i="4"/>
  <c r="H2545" i="4"/>
  <c r="G2545" i="4"/>
  <c r="H2544" i="4"/>
  <c r="G2544" i="4"/>
  <c r="H2543" i="4"/>
  <c r="G2543" i="4"/>
  <c r="H2542" i="4"/>
  <c r="G2542" i="4"/>
  <c r="H2541" i="4"/>
  <c r="G2541" i="4"/>
  <c r="H2540" i="4"/>
  <c r="G2540" i="4"/>
  <c r="H2539" i="4"/>
  <c r="G2539" i="4"/>
  <c r="H2538" i="4"/>
  <c r="G2538" i="4"/>
  <c r="H2537" i="4"/>
  <c r="G2537" i="4"/>
  <c r="H2536" i="4"/>
  <c r="G2536" i="4"/>
  <c r="H2535" i="4"/>
  <c r="G2535" i="4"/>
  <c r="H2534" i="4"/>
  <c r="G2534" i="4"/>
  <c r="H2533" i="4"/>
  <c r="G2533" i="4"/>
  <c r="H2532" i="4"/>
  <c r="G2532" i="4"/>
  <c r="H2531" i="4"/>
  <c r="G2531" i="4"/>
  <c r="H2530" i="4"/>
  <c r="G2530" i="4"/>
  <c r="H2529" i="4"/>
  <c r="G2529" i="4"/>
  <c r="H2528" i="4"/>
  <c r="G2528" i="4"/>
  <c r="H2527" i="4"/>
  <c r="G2527" i="4"/>
  <c r="H2526" i="4"/>
  <c r="G2526" i="4"/>
  <c r="H2525" i="4"/>
  <c r="G2525" i="4"/>
  <c r="H2524" i="4"/>
  <c r="G2524" i="4"/>
  <c r="H2523" i="4"/>
  <c r="G2523" i="4"/>
  <c r="H2522" i="4"/>
  <c r="G2522" i="4"/>
  <c r="H2521" i="4"/>
  <c r="G2521" i="4"/>
  <c r="H2520" i="4"/>
  <c r="G2520" i="4"/>
  <c r="H2519" i="4"/>
  <c r="G2519" i="4"/>
  <c r="H2518" i="4"/>
  <c r="G2518" i="4"/>
  <c r="H2517" i="4"/>
  <c r="G2517" i="4"/>
  <c r="H2516" i="4"/>
  <c r="G2516" i="4"/>
  <c r="H2515" i="4"/>
  <c r="G2515" i="4"/>
  <c r="H2514" i="4"/>
  <c r="G2514" i="4"/>
  <c r="H2513" i="4"/>
  <c r="G2513" i="4"/>
  <c r="H2512" i="4"/>
  <c r="G2512" i="4"/>
  <c r="H2511" i="4"/>
  <c r="G2511" i="4"/>
  <c r="H2510" i="4"/>
  <c r="G2510" i="4"/>
  <c r="H2509" i="4"/>
  <c r="G2509" i="4"/>
  <c r="H2508" i="4"/>
  <c r="G2508" i="4"/>
  <c r="H2507" i="4"/>
  <c r="G2507" i="4"/>
  <c r="H2506" i="4"/>
  <c r="G2506" i="4"/>
  <c r="H2505" i="4"/>
  <c r="G2505" i="4"/>
  <c r="H2504" i="4"/>
  <c r="G2504" i="4"/>
  <c r="H2503" i="4"/>
  <c r="G2503" i="4"/>
  <c r="H2502" i="4"/>
  <c r="G2502" i="4"/>
  <c r="H2501" i="4"/>
  <c r="G2501" i="4"/>
  <c r="H2500" i="4"/>
  <c r="G2500" i="4"/>
  <c r="H2499" i="4"/>
  <c r="G2499" i="4"/>
  <c r="H2498" i="4"/>
  <c r="G2498" i="4"/>
  <c r="H2497" i="4"/>
  <c r="G2497" i="4"/>
  <c r="H2496" i="4"/>
  <c r="G2496" i="4"/>
  <c r="H2495" i="4"/>
  <c r="G2495" i="4"/>
  <c r="H2494" i="4"/>
  <c r="G2494" i="4"/>
  <c r="H2493" i="4"/>
  <c r="G2493" i="4"/>
  <c r="H2492" i="4"/>
  <c r="G2492" i="4"/>
  <c r="H2491" i="4"/>
  <c r="G2491" i="4"/>
  <c r="H2490" i="4"/>
  <c r="G2490" i="4"/>
  <c r="H2489" i="4"/>
  <c r="G2489" i="4"/>
  <c r="H2488" i="4"/>
  <c r="G2488" i="4"/>
  <c r="H2487" i="4"/>
  <c r="G2487" i="4"/>
  <c r="H2486" i="4"/>
  <c r="G2486" i="4"/>
  <c r="H2485" i="4"/>
  <c r="G2485" i="4"/>
  <c r="H2484" i="4"/>
  <c r="G2484" i="4"/>
  <c r="H2483" i="4"/>
  <c r="G2483" i="4"/>
  <c r="H2482" i="4"/>
  <c r="G2482" i="4"/>
  <c r="H2481" i="4"/>
  <c r="G2481" i="4"/>
  <c r="H2480" i="4"/>
  <c r="G2480" i="4"/>
  <c r="H2479" i="4"/>
  <c r="G2479" i="4"/>
  <c r="H2478" i="4"/>
  <c r="G2478" i="4"/>
  <c r="H2477" i="4"/>
  <c r="G2477" i="4"/>
  <c r="H2476" i="4"/>
  <c r="G2476" i="4"/>
  <c r="H2475" i="4"/>
  <c r="G2475" i="4"/>
  <c r="H2474" i="4"/>
  <c r="G2474" i="4"/>
  <c r="H2473" i="4"/>
  <c r="G2473" i="4"/>
  <c r="H2472" i="4"/>
  <c r="G2472" i="4"/>
  <c r="H2471" i="4"/>
  <c r="G2471" i="4"/>
  <c r="H2470" i="4"/>
  <c r="G2470" i="4"/>
  <c r="H2469" i="4"/>
  <c r="G2469" i="4"/>
  <c r="H2468" i="4"/>
  <c r="G2468" i="4"/>
  <c r="H2467" i="4"/>
  <c r="G2467" i="4"/>
  <c r="H2466" i="4"/>
  <c r="G2466" i="4"/>
  <c r="H2465" i="4"/>
  <c r="G2465" i="4"/>
  <c r="H2464" i="4"/>
  <c r="G2464" i="4"/>
  <c r="H2463" i="4"/>
  <c r="G2463" i="4"/>
  <c r="H2462" i="4"/>
  <c r="G2462" i="4"/>
  <c r="H2461" i="4"/>
  <c r="G2461" i="4"/>
  <c r="H2460" i="4"/>
  <c r="G2460" i="4"/>
  <c r="H2459" i="4"/>
  <c r="G2459" i="4"/>
  <c r="H2458" i="4"/>
  <c r="G2458" i="4"/>
  <c r="H2457" i="4"/>
  <c r="G2457" i="4"/>
  <c r="H2456" i="4"/>
  <c r="G2456" i="4"/>
  <c r="H2455" i="4"/>
  <c r="G2455" i="4"/>
  <c r="H2454" i="4"/>
  <c r="G2454" i="4"/>
  <c r="H2453" i="4"/>
  <c r="G2453" i="4"/>
  <c r="H2452" i="4"/>
  <c r="G2452" i="4"/>
  <c r="H2451" i="4"/>
  <c r="G2451" i="4"/>
  <c r="H2450" i="4"/>
  <c r="G2450" i="4"/>
  <c r="H2449" i="4"/>
  <c r="G2449" i="4"/>
  <c r="H2448" i="4"/>
  <c r="G2448" i="4"/>
  <c r="H2447" i="4"/>
  <c r="G2447" i="4"/>
  <c r="H2446" i="4"/>
  <c r="G2446" i="4"/>
  <c r="H2445" i="4"/>
  <c r="G2445" i="4"/>
  <c r="H2444" i="4"/>
  <c r="G2444" i="4"/>
  <c r="H2443" i="4"/>
  <c r="G2443" i="4"/>
  <c r="H2442" i="4"/>
  <c r="G2442" i="4"/>
  <c r="H2441" i="4"/>
  <c r="G2441" i="4"/>
  <c r="H2440" i="4"/>
  <c r="G2440" i="4"/>
  <c r="H2439" i="4"/>
  <c r="G2439" i="4"/>
  <c r="H2438" i="4"/>
  <c r="G2438" i="4"/>
  <c r="H2437" i="4"/>
  <c r="G2437" i="4"/>
  <c r="H2436" i="4"/>
  <c r="G2436" i="4"/>
  <c r="H2435" i="4"/>
  <c r="G2435" i="4"/>
  <c r="H2434" i="4"/>
  <c r="G2434" i="4"/>
  <c r="H2433" i="4"/>
  <c r="G2433" i="4"/>
  <c r="H2432" i="4"/>
  <c r="G2432" i="4"/>
  <c r="H2431" i="4"/>
  <c r="G2431" i="4"/>
  <c r="H2430" i="4"/>
  <c r="G2430" i="4"/>
  <c r="H2429" i="4"/>
  <c r="G2429" i="4"/>
  <c r="H2428" i="4"/>
  <c r="G2428" i="4"/>
  <c r="H2427" i="4"/>
  <c r="G2427" i="4"/>
  <c r="H2426" i="4"/>
  <c r="G2426" i="4"/>
  <c r="H2425" i="4"/>
  <c r="G2425" i="4"/>
  <c r="H2424" i="4"/>
  <c r="G2424" i="4"/>
  <c r="H2423" i="4"/>
  <c r="G2423" i="4"/>
  <c r="H2422" i="4"/>
  <c r="G2422" i="4"/>
  <c r="H2421" i="4"/>
  <c r="G2421" i="4"/>
  <c r="H2420" i="4"/>
  <c r="G2420" i="4"/>
  <c r="H2419" i="4"/>
  <c r="G2419" i="4"/>
  <c r="H2418" i="4"/>
  <c r="G2418" i="4"/>
  <c r="H2417" i="4"/>
  <c r="G2417" i="4"/>
  <c r="H2416" i="4"/>
  <c r="G2416" i="4"/>
  <c r="H2415" i="4"/>
  <c r="G2415" i="4"/>
  <c r="H2414" i="4"/>
  <c r="G2414" i="4"/>
  <c r="H2413" i="4"/>
  <c r="G2413" i="4"/>
  <c r="H2412" i="4"/>
  <c r="G2412" i="4"/>
  <c r="H2411" i="4"/>
  <c r="G2411" i="4"/>
  <c r="H2410" i="4"/>
  <c r="G2410" i="4"/>
  <c r="H2409" i="4"/>
  <c r="G2409" i="4"/>
  <c r="H2408" i="4"/>
  <c r="G2408" i="4"/>
  <c r="H2407" i="4"/>
  <c r="G2407" i="4"/>
  <c r="H2406" i="4"/>
  <c r="G2406" i="4"/>
  <c r="H2405" i="4"/>
  <c r="G2405" i="4"/>
  <c r="H2404" i="4"/>
  <c r="G2404" i="4"/>
  <c r="H2403" i="4"/>
  <c r="G2403" i="4"/>
  <c r="H2402" i="4"/>
  <c r="G2402" i="4"/>
  <c r="H2401" i="4"/>
  <c r="G2401" i="4"/>
  <c r="H2400" i="4"/>
  <c r="G2400" i="4"/>
  <c r="H2399" i="4"/>
  <c r="G2399" i="4"/>
  <c r="H2398" i="4"/>
  <c r="G2398" i="4"/>
  <c r="H2397" i="4"/>
  <c r="G2397" i="4"/>
  <c r="H2396" i="4"/>
  <c r="G2396" i="4"/>
  <c r="H2395" i="4"/>
  <c r="G2395" i="4"/>
  <c r="H2394" i="4"/>
  <c r="G2394" i="4"/>
  <c r="H2393" i="4"/>
  <c r="G2393" i="4"/>
  <c r="H2392" i="4"/>
  <c r="G2392" i="4"/>
  <c r="H2391" i="4"/>
  <c r="G2391" i="4"/>
  <c r="H2390" i="4"/>
  <c r="G2390" i="4"/>
  <c r="H2389" i="4"/>
  <c r="G2389" i="4"/>
  <c r="H2388" i="4"/>
  <c r="G2388" i="4"/>
  <c r="H2387" i="4"/>
  <c r="G2387" i="4"/>
  <c r="H2386" i="4"/>
  <c r="G2386" i="4"/>
  <c r="H2385" i="4"/>
  <c r="G2385" i="4"/>
  <c r="H2384" i="4"/>
  <c r="G2384" i="4"/>
  <c r="H2383" i="4"/>
  <c r="G2383" i="4"/>
  <c r="H2382" i="4"/>
  <c r="G2382" i="4"/>
  <c r="H2381" i="4"/>
  <c r="G2381" i="4"/>
  <c r="H2380" i="4"/>
  <c r="G2380" i="4"/>
  <c r="H2379" i="4"/>
  <c r="G2379" i="4"/>
  <c r="H2378" i="4"/>
  <c r="G2378" i="4"/>
  <c r="H2377" i="4"/>
  <c r="G2377" i="4"/>
  <c r="H2376" i="4"/>
  <c r="G2376" i="4"/>
  <c r="H2375" i="4"/>
  <c r="G2375" i="4"/>
  <c r="H2374" i="4"/>
  <c r="G2374" i="4"/>
  <c r="H2373" i="4"/>
  <c r="G2373" i="4"/>
  <c r="H2372" i="4"/>
  <c r="G2372" i="4"/>
  <c r="H2371" i="4"/>
  <c r="G2371" i="4"/>
  <c r="H2370" i="4"/>
  <c r="G2370" i="4"/>
  <c r="H2369" i="4"/>
  <c r="G2369" i="4"/>
  <c r="H2368" i="4"/>
  <c r="G2368" i="4"/>
  <c r="H2367" i="4"/>
  <c r="G2367" i="4"/>
  <c r="H2366" i="4"/>
  <c r="G2366" i="4"/>
  <c r="H2365" i="4"/>
  <c r="G2365" i="4"/>
  <c r="H2364" i="4"/>
  <c r="G2364" i="4"/>
  <c r="H2363" i="4"/>
  <c r="G2363" i="4"/>
  <c r="H2362" i="4"/>
  <c r="G2362" i="4"/>
  <c r="H2361" i="4"/>
  <c r="G2361" i="4"/>
  <c r="H2360" i="4"/>
  <c r="G2360" i="4"/>
  <c r="H2359" i="4"/>
  <c r="G2359" i="4"/>
  <c r="H2358" i="4"/>
  <c r="G2358" i="4"/>
  <c r="H2357" i="4"/>
  <c r="G2357" i="4"/>
  <c r="H2356" i="4"/>
  <c r="G2356" i="4"/>
  <c r="H2355" i="4"/>
  <c r="G2355" i="4"/>
  <c r="H2354" i="4"/>
  <c r="G2354" i="4"/>
  <c r="H2353" i="4"/>
  <c r="G2353" i="4"/>
  <c r="H2352" i="4"/>
  <c r="G2352" i="4"/>
  <c r="H2351" i="4"/>
  <c r="G2351" i="4"/>
  <c r="H2350" i="4"/>
  <c r="G2350" i="4"/>
  <c r="H2349" i="4"/>
  <c r="G2349" i="4"/>
  <c r="H2348" i="4"/>
  <c r="G2348" i="4"/>
  <c r="H2347" i="4"/>
  <c r="G2347" i="4"/>
  <c r="H2346" i="4"/>
  <c r="G2346" i="4"/>
  <c r="H2345" i="4"/>
  <c r="G2345" i="4"/>
  <c r="H2344" i="4"/>
  <c r="G2344" i="4"/>
  <c r="H2343" i="4"/>
  <c r="G2343" i="4"/>
  <c r="H2342" i="4"/>
  <c r="G2342" i="4"/>
  <c r="H2341" i="4"/>
  <c r="G2341" i="4"/>
  <c r="H2340" i="4"/>
  <c r="G2340" i="4"/>
  <c r="H2339" i="4"/>
  <c r="G2339" i="4"/>
  <c r="H2338" i="4"/>
  <c r="G2338" i="4"/>
  <c r="H2337" i="4"/>
  <c r="G2337" i="4"/>
  <c r="H2336" i="4"/>
  <c r="G2336" i="4"/>
  <c r="H2335" i="4"/>
  <c r="G2335" i="4"/>
  <c r="H2334" i="4"/>
  <c r="G2334" i="4"/>
  <c r="H2333" i="4"/>
  <c r="G2333" i="4"/>
  <c r="H2332" i="4"/>
  <c r="G2332" i="4"/>
  <c r="H2331" i="4"/>
  <c r="G2331" i="4"/>
  <c r="H2330" i="4"/>
  <c r="G2330" i="4"/>
  <c r="H2329" i="4"/>
  <c r="G2329" i="4"/>
  <c r="H2328" i="4"/>
  <c r="G2328" i="4"/>
  <c r="H2327" i="4"/>
  <c r="G2327" i="4"/>
  <c r="H2326" i="4"/>
  <c r="G2326" i="4"/>
  <c r="H2325" i="4"/>
  <c r="G2325" i="4"/>
  <c r="H2324" i="4"/>
  <c r="G2324" i="4"/>
  <c r="H2323" i="4"/>
  <c r="G2323" i="4"/>
  <c r="H2322" i="4"/>
  <c r="G2322" i="4"/>
  <c r="H2321" i="4"/>
  <c r="G2321" i="4"/>
  <c r="H2320" i="4"/>
  <c r="G2320" i="4"/>
  <c r="H2319" i="4"/>
  <c r="G2319" i="4"/>
  <c r="H2318" i="4"/>
  <c r="G2318" i="4"/>
  <c r="H2317" i="4"/>
  <c r="G2317" i="4"/>
  <c r="H2316" i="4"/>
  <c r="G2316" i="4"/>
  <c r="H2315" i="4"/>
  <c r="G2315" i="4"/>
  <c r="H2314" i="4"/>
  <c r="G2314" i="4"/>
  <c r="H2313" i="4"/>
  <c r="G2313" i="4"/>
  <c r="H2312" i="4"/>
  <c r="G2312" i="4"/>
  <c r="H2311" i="4"/>
  <c r="G2311" i="4"/>
  <c r="H2310" i="4"/>
  <c r="G2310" i="4"/>
  <c r="H2309" i="4"/>
  <c r="G2309" i="4"/>
  <c r="H2308" i="4"/>
  <c r="G2308" i="4"/>
  <c r="H2307" i="4"/>
  <c r="G2307" i="4"/>
  <c r="H2306" i="4"/>
  <c r="G2306" i="4"/>
  <c r="H2305" i="4"/>
  <c r="G2305" i="4"/>
  <c r="H2304" i="4"/>
  <c r="G2304" i="4"/>
  <c r="H2303" i="4"/>
  <c r="G2303" i="4"/>
  <c r="H2302" i="4"/>
  <c r="G2302" i="4"/>
  <c r="H2301" i="4"/>
  <c r="G2301" i="4"/>
  <c r="H2300" i="4"/>
  <c r="G2300" i="4"/>
  <c r="H2299" i="4"/>
  <c r="G2299" i="4"/>
  <c r="H2298" i="4"/>
  <c r="G2298" i="4"/>
  <c r="H2297" i="4"/>
  <c r="G2297" i="4"/>
  <c r="H2296" i="4"/>
  <c r="G2296" i="4"/>
  <c r="H2295" i="4"/>
  <c r="G2295" i="4"/>
  <c r="H2294" i="4"/>
  <c r="G2294" i="4"/>
  <c r="H2293" i="4"/>
  <c r="G2293" i="4"/>
  <c r="H2292" i="4"/>
  <c r="G2292" i="4"/>
  <c r="H2291" i="4"/>
  <c r="G2291" i="4"/>
  <c r="H2290" i="4"/>
  <c r="G2290" i="4"/>
  <c r="H2289" i="4"/>
  <c r="G2289" i="4"/>
  <c r="H2288" i="4"/>
  <c r="G2288" i="4"/>
  <c r="H2287" i="4"/>
  <c r="G2287" i="4"/>
  <c r="H2286" i="4"/>
  <c r="G2286" i="4"/>
  <c r="H2285" i="4"/>
  <c r="G2285" i="4"/>
  <c r="H2284" i="4"/>
  <c r="G2284" i="4"/>
  <c r="H2283" i="4"/>
  <c r="G2283" i="4"/>
  <c r="H2282" i="4"/>
  <c r="G2282" i="4"/>
  <c r="H2281" i="4"/>
  <c r="G2281" i="4"/>
  <c r="H2280" i="4"/>
  <c r="G2280" i="4"/>
  <c r="H2279" i="4"/>
  <c r="G2279" i="4"/>
  <c r="H2278" i="4"/>
  <c r="G2278" i="4"/>
  <c r="H2277" i="4"/>
  <c r="G2277" i="4"/>
  <c r="H2276" i="4"/>
  <c r="G2276" i="4"/>
  <c r="H2275" i="4"/>
  <c r="G2275" i="4"/>
  <c r="H2274" i="4"/>
  <c r="G2274" i="4"/>
  <c r="H2273" i="4"/>
  <c r="G2273" i="4"/>
  <c r="H2272" i="4"/>
  <c r="G2272" i="4"/>
  <c r="H2271" i="4"/>
  <c r="G2271" i="4"/>
  <c r="H2270" i="4"/>
  <c r="G2270" i="4"/>
  <c r="H2269" i="4"/>
  <c r="G2269" i="4"/>
  <c r="H2268" i="4"/>
  <c r="G2268" i="4"/>
  <c r="H2267" i="4"/>
  <c r="G2267" i="4"/>
  <c r="H2266" i="4"/>
  <c r="G2266" i="4"/>
  <c r="H2265" i="4"/>
  <c r="G2265" i="4"/>
  <c r="H2264" i="4"/>
  <c r="G2264" i="4"/>
  <c r="H2263" i="4"/>
  <c r="G2263" i="4"/>
  <c r="H2262" i="4"/>
  <c r="G2262" i="4"/>
  <c r="H2261" i="4"/>
  <c r="G2261" i="4"/>
  <c r="H2260" i="4"/>
  <c r="G2260" i="4"/>
  <c r="H2259" i="4"/>
  <c r="G2259" i="4"/>
  <c r="H2258" i="4"/>
  <c r="G2258" i="4"/>
  <c r="H2257" i="4"/>
  <c r="G2257" i="4"/>
  <c r="H2256" i="4"/>
  <c r="G2256" i="4"/>
  <c r="H2255" i="4"/>
  <c r="G2255" i="4"/>
  <c r="H2254" i="4"/>
  <c r="G2254" i="4"/>
  <c r="H2253" i="4"/>
  <c r="G2253" i="4"/>
  <c r="H2252" i="4"/>
  <c r="G2252" i="4"/>
  <c r="H2251" i="4"/>
  <c r="G2251" i="4"/>
  <c r="H2250" i="4"/>
  <c r="G2250" i="4"/>
  <c r="H2249" i="4"/>
  <c r="G2249" i="4"/>
  <c r="H2248" i="4"/>
  <c r="G2248" i="4"/>
  <c r="H2247" i="4"/>
  <c r="G2247" i="4"/>
  <c r="H2246" i="4"/>
  <c r="G2246" i="4"/>
  <c r="H2245" i="4"/>
  <c r="G2245" i="4"/>
  <c r="H2244" i="4"/>
  <c r="G2244" i="4"/>
  <c r="H2243" i="4"/>
  <c r="G2243" i="4"/>
  <c r="H2242" i="4"/>
  <c r="G2242" i="4"/>
  <c r="H2241" i="4"/>
  <c r="G2241" i="4"/>
  <c r="H2240" i="4"/>
  <c r="G2240" i="4"/>
  <c r="H2239" i="4"/>
  <c r="G2239" i="4"/>
  <c r="H2238" i="4"/>
  <c r="G2238" i="4"/>
  <c r="H2237" i="4"/>
  <c r="G2237" i="4"/>
  <c r="H2236" i="4"/>
  <c r="G2236" i="4"/>
  <c r="H2235" i="4"/>
  <c r="G2235" i="4"/>
  <c r="H2234" i="4"/>
  <c r="G2234" i="4"/>
  <c r="H2233" i="4"/>
  <c r="G2233" i="4"/>
  <c r="H2232" i="4"/>
  <c r="G2232" i="4"/>
  <c r="H2231" i="4"/>
  <c r="G2231" i="4"/>
  <c r="H2230" i="4"/>
  <c r="G2230" i="4"/>
  <c r="H2229" i="4"/>
  <c r="G2229" i="4"/>
  <c r="H2228" i="4"/>
  <c r="G2228" i="4"/>
  <c r="H2227" i="4"/>
  <c r="G2227" i="4"/>
  <c r="H2226" i="4"/>
  <c r="G2226" i="4"/>
  <c r="H2225" i="4"/>
  <c r="G2225" i="4"/>
  <c r="H2224" i="4"/>
  <c r="G2224" i="4"/>
  <c r="H2223" i="4"/>
  <c r="G2223" i="4"/>
  <c r="H2222" i="4"/>
  <c r="G2222" i="4"/>
  <c r="H2221" i="4"/>
  <c r="G2221" i="4"/>
  <c r="H2220" i="4"/>
  <c r="G2220" i="4"/>
  <c r="H2219" i="4"/>
  <c r="G2219" i="4"/>
  <c r="H2218" i="4"/>
  <c r="G2218" i="4"/>
  <c r="H2217" i="4"/>
  <c r="G2217" i="4"/>
  <c r="H2216" i="4"/>
  <c r="G2216" i="4"/>
  <c r="H2215" i="4"/>
  <c r="G2215" i="4"/>
  <c r="H2214" i="4"/>
  <c r="G2214" i="4"/>
  <c r="H2213" i="4"/>
  <c r="G2213" i="4"/>
  <c r="H2212" i="4"/>
  <c r="G2212" i="4"/>
  <c r="H2211" i="4"/>
  <c r="G2211" i="4"/>
  <c r="H2210" i="4"/>
  <c r="G2210" i="4"/>
  <c r="H2209" i="4"/>
  <c r="G2209" i="4"/>
  <c r="H2208" i="4"/>
  <c r="G2208" i="4"/>
  <c r="H2207" i="4"/>
  <c r="G2207" i="4"/>
  <c r="H2206" i="4"/>
  <c r="G2206" i="4"/>
  <c r="H2205" i="4"/>
  <c r="G2205" i="4"/>
  <c r="H2204" i="4"/>
  <c r="G2204" i="4"/>
  <c r="H2203" i="4"/>
  <c r="G2203" i="4"/>
  <c r="H2202" i="4"/>
  <c r="G2202" i="4"/>
  <c r="H2201" i="4"/>
  <c r="G2201" i="4"/>
  <c r="H2200" i="4"/>
  <c r="G2200" i="4"/>
  <c r="H2199" i="4"/>
  <c r="G2199" i="4"/>
  <c r="H2198" i="4"/>
  <c r="G2198" i="4"/>
  <c r="H2197" i="4"/>
  <c r="G2197" i="4"/>
  <c r="H2196" i="4"/>
  <c r="G2196" i="4"/>
  <c r="H2195" i="4"/>
  <c r="G2195" i="4"/>
  <c r="H2194" i="4"/>
  <c r="G2194" i="4"/>
  <c r="H2193" i="4"/>
  <c r="G2193" i="4"/>
  <c r="H2192" i="4"/>
  <c r="G2192" i="4"/>
  <c r="H2191" i="4"/>
  <c r="G2191" i="4"/>
  <c r="H2190" i="4"/>
  <c r="G2190" i="4"/>
  <c r="H2189" i="4"/>
  <c r="G2189" i="4"/>
  <c r="H2188" i="4"/>
  <c r="G2188" i="4"/>
  <c r="H2187" i="4"/>
  <c r="G2187" i="4"/>
  <c r="H2186" i="4"/>
  <c r="G2186" i="4"/>
  <c r="H2185" i="4"/>
  <c r="G2185" i="4"/>
  <c r="H2184" i="4"/>
  <c r="G2184" i="4"/>
  <c r="H2183" i="4"/>
  <c r="G2183" i="4"/>
  <c r="H2182" i="4"/>
  <c r="G2182" i="4"/>
  <c r="H2181" i="4"/>
  <c r="G2181" i="4"/>
  <c r="H2180" i="4"/>
  <c r="G2180" i="4"/>
  <c r="H2179" i="4"/>
  <c r="G2179" i="4"/>
  <c r="H2178" i="4"/>
  <c r="G2178" i="4"/>
  <c r="H2177" i="4"/>
  <c r="G2177" i="4"/>
  <c r="H2176" i="4"/>
  <c r="G2176" i="4"/>
  <c r="H2175" i="4"/>
  <c r="G2175" i="4"/>
  <c r="H2174" i="4"/>
  <c r="G2174" i="4"/>
  <c r="H2173" i="4"/>
  <c r="G2173" i="4"/>
  <c r="H2172" i="4"/>
  <c r="G2172" i="4"/>
  <c r="H2171" i="4"/>
  <c r="G2171" i="4"/>
  <c r="H2170" i="4"/>
  <c r="G2170" i="4"/>
  <c r="H2169" i="4"/>
  <c r="G2169" i="4"/>
  <c r="H2168" i="4"/>
  <c r="G2168" i="4"/>
  <c r="H2167" i="4"/>
  <c r="G2167" i="4"/>
  <c r="H2166" i="4"/>
  <c r="G2166" i="4"/>
  <c r="H2165" i="4"/>
  <c r="G2165" i="4"/>
  <c r="H2164" i="4"/>
  <c r="G2164" i="4"/>
  <c r="H2163" i="4"/>
  <c r="G2163" i="4"/>
  <c r="H2162" i="4"/>
  <c r="G2162" i="4"/>
  <c r="H2161" i="4"/>
  <c r="G2161" i="4"/>
  <c r="H2160" i="4"/>
  <c r="G2160" i="4"/>
  <c r="H2159" i="4"/>
  <c r="G2159" i="4"/>
  <c r="H2158" i="4"/>
  <c r="G2158" i="4"/>
  <c r="H2157" i="4"/>
  <c r="G2157" i="4"/>
  <c r="H2156" i="4"/>
  <c r="G2156" i="4"/>
  <c r="H2155" i="4"/>
  <c r="G2155" i="4"/>
  <c r="H2154" i="4"/>
  <c r="G2154" i="4"/>
  <c r="H2153" i="4"/>
  <c r="G2153" i="4"/>
  <c r="H2152" i="4"/>
  <c r="G2152" i="4"/>
  <c r="H2151" i="4"/>
  <c r="G2151" i="4"/>
  <c r="H2150" i="4"/>
  <c r="G2150" i="4"/>
  <c r="H2149" i="4"/>
  <c r="G2149" i="4"/>
  <c r="H2148" i="4"/>
  <c r="G2148" i="4"/>
  <c r="H2147" i="4"/>
  <c r="G2147" i="4"/>
  <c r="H2146" i="4"/>
  <c r="G2146" i="4"/>
  <c r="H2145" i="4"/>
  <c r="G2145" i="4"/>
  <c r="H2144" i="4"/>
  <c r="G2144" i="4"/>
  <c r="H2143" i="4"/>
  <c r="G2143" i="4"/>
  <c r="H2142" i="4"/>
  <c r="G2142" i="4"/>
  <c r="H2141" i="4"/>
  <c r="G2141" i="4"/>
  <c r="H2140" i="4"/>
  <c r="G2140" i="4"/>
  <c r="H2139" i="4"/>
  <c r="G2139" i="4"/>
  <c r="H2138" i="4"/>
  <c r="G2138" i="4"/>
  <c r="H2137" i="4"/>
  <c r="G2137" i="4"/>
  <c r="H2136" i="4"/>
  <c r="G2136" i="4"/>
  <c r="H2135" i="4"/>
  <c r="G2135" i="4"/>
  <c r="H2134" i="4"/>
  <c r="G2134" i="4"/>
  <c r="H2133" i="4"/>
  <c r="G2133" i="4"/>
  <c r="H2132" i="4"/>
  <c r="G2132" i="4"/>
  <c r="H2131" i="4"/>
  <c r="G2131" i="4"/>
  <c r="H2130" i="4"/>
  <c r="G2130" i="4"/>
  <c r="H2129" i="4"/>
  <c r="G2129" i="4"/>
  <c r="H2128" i="4"/>
  <c r="G2128" i="4"/>
  <c r="H2127" i="4"/>
  <c r="G2127" i="4"/>
  <c r="H2126" i="4"/>
  <c r="G2126" i="4"/>
  <c r="H2125" i="4"/>
  <c r="G2125" i="4"/>
  <c r="H2124" i="4"/>
  <c r="G2124" i="4"/>
  <c r="H2123" i="4"/>
  <c r="G2123" i="4"/>
  <c r="H2122" i="4"/>
  <c r="G2122" i="4"/>
  <c r="H2121" i="4"/>
  <c r="G2121" i="4"/>
  <c r="H2120" i="4"/>
  <c r="G2120" i="4"/>
  <c r="H2119" i="4"/>
  <c r="G2119" i="4"/>
  <c r="H2118" i="4"/>
  <c r="G2118" i="4"/>
  <c r="H2117" i="4"/>
  <c r="G2117" i="4"/>
  <c r="H2116" i="4"/>
  <c r="G2116" i="4"/>
  <c r="H2115" i="4"/>
  <c r="G2115" i="4"/>
  <c r="H2114" i="4"/>
  <c r="G2114" i="4"/>
  <c r="H2113" i="4"/>
  <c r="G2113" i="4"/>
  <c r="H2112" i="4"/>
  <c r="G2112" i="4"/>
  <c r="H2111" i="4"/>
  <c r="G2111" i="4"/>
  <c r="H2110" i="4"/>
  <c r="G2110" i="4"/>
  <c r="H2109" i="4"/>
  <c r="G2109" i="4"/>
  <c r="H2108" i="4"/>
  <c r="G2108" i="4"/>
  <c r="H2107" i="4"/>
  <c r="G2107" i="4"/>
  <c r="H2106" i="4"/>
  <c r="G2106" i="4"/>
  <c r="H2105" i="4"/>
  <c r="G2105" i="4"/>
  <c r="H2104" i="4"/>
  <c r="G2104" i="4"/>
  <c r="H2103" i="4"/>
  <c r="G2103" i="4"/>
  <c r="H2102" i="4"/>
  <c r="G2102" i="4"/>
  <c r="H2101" i="4"/>
  <c r="G2101" i="4"/>
  <c r="H2100" i="4"/>
  <c r="G2100" i="4"/>
  <c r="H2099" i="4"/>
  <c r="G2099" i="4"/>
  <c r="H2098" i="4"/>
  <c r="G2098" i="4"/>
  <c r="H2097" i="4"/>
  <c r="G2097" i="4"/>
  <c r="H2096" i="4"/>
  <c r="G2096" i="4"/>
  <c r="H2095" i="4"/>
  <c r="G2095" i="4"/>
  <c r="H2094" i="4"/>
  <c r="G2094" i="4"/>
  <c r="H2093" i="4"/>
  <c r="G2093" i="4"/>
  <c r="H2092" i="4"/>
  <c r="G2092" i="4"/>
  <c r="H2091" i="4"/>
  <c r="G2091" i="4"/>
  <c r="H2090" i="4"/>
  <c r="G2090" i="4"/>
  <c r="H2089" i="4"/>
  <c r="G2089" i="4"/>
  <c r="H2088" i="4"/>
  <c r="G2088" i="4"/>
  <c r="H2087" i="4"/>
  <c r="G2087" i="4"/>
  <c r="H2086" i="4"/>
  <c r="G2086" i="4"/>
  <c r="H2085" i="4"/>
  <c r="G2085" i="4"/>
  <c r="H2084" i="4"/>
  <c r="G2084" i="4"/>
  <c r="H2083" i="4"/>
  <c r="G2083" i="4"/>
  <c r="H2082" i="4"/>
  <c r="G2082" i="4"/>
  <c r="H2081" i="4"/>
  <c r="G2081" i="4"/>
  <c r="H2080" i="4"/>
  <c r="G2080" i="4"/>
  <c r="H2079" i="4"/>
  <c r="G2079" i="4"/>
  <c r="H2078" i="4"/>
  <c r="G2078" i="4"/>
  <c r="H2077" i="4"/>
  <c r="G2077" i="4"/>
  <c r="H2076" i="4"/>
  <c r="G2076" i="4"/>
  <c r="H2075" i="4"/>
  <c r="G2075" i="4"/>
  <c r="H2074" i="4"/>
  <c r="G2074" i="4"/>
  <c r="H2073" i="4"/>
  <c r="G2073" i="4"/>
  <c r="H2072" i="4"/>
  <c r="G2072" i="4"/>
  <c r="H2071" i="4"/>
  <c r="G2071" i="4"/>
  <c r="H2070" i="4"/>
  <c r="G2070" i="4"/>
  <c r="H2069" i="4"/>
  <c r="G2069" i="4"/>
  <c r="H2068" i="4"/>
  <c r="G2068" i="4"/>
  <c r="H2067" i="4"/>
  <c r="G2067" i="4"/>
  <c r="H2066" i="4"/>
  <c r="G2066" i="4"/>
  <c r="H2065" i="4"/>
  <c r="G2065" i="4"/>
  <c r="H2064" i="4"/>
  <c r="G2064" i="4"/>
  <c r="H2063" i="4"/>
  <c r="G2063" i="4"/>
  <c r="H2062" i="4"/>
  <c r="G2062" i="4"/>
  <c r="H2061" i="4"/>
  <c r="G2061" i="4"/>
  <c r="H2060" i="4"/>
  <c r="G2060" i="4"/>
  <c r="H2059" i="4"/>
  <c r="G2059" i="4"/>
  <c r="H2058" i="4"/>
  <c r="G2058" i="4"/>
  <c r="H2057" i="4"/>
  <c r="G2057" i="4"/>
  <c r="H2056" i="4"/>
  <c r="G2056" i="4"/>
  <c r="H2055" i="4"/>
  <c r="G2055" i="4"/>
  <c r="H2054" i="4"/>
  <c r="G2054" i="4"/>
  <c r="H2053" i="4"/>
  <c r="G2053" i="4"/>
  <c r="H2052" i="4"/>
  <c r="G2052" i="4"/>
  <c r="H2051" i="4"/>
  <c r="G2051" i="4"/>
  <c r="H2050" i="4"/>
  <c r="G2050" i="4"/>
  <c r="H2049" i="4"/>
  <c r="G2049" i="4"/>
  <c r="H2048" i="4"/>
  <c r="G2048" i="4"/>
  <c r="H2047" i="4"/>
  <c r="G2047" i="4"/>
  <c r="H2046" i="4"/>
  <c r="G2046" i="4"/>
  <c r="H2045" i="4"/>
  <c r="G2045" i="4"/>
  <c r="H2044" i="4"/>
  <c r="G2044" i="4"/>
  <c r="H2043" i="4"/>
  <c r="G2043" i="4"/>
  <c r="H2042" i="4"/>
  <c r="G2042" i="4"/>
  <c r="H2041" i="4"/>
  <c r="G2041" i="4"/>
  <c r="H2040" i="4"/>
  <c r="G2040" i="4"/>
  <c r="H2039" i="4"/>
  <c r="G2039" i="4"/>
  <c r="H2038" i="4"/>
  <c r="G2038" i="4"/>
  <c r="H2037" i="4"/>
  <c r="G2037" i="4"/>
  <c r="H2036" i="4"/>
  <c r="G2036" i="4"/>
  <c r="H2035" i="4"/>
  <c r="G2035" i="4"/>
  <c r="H2034" i="4"/>
  <c r="G2034" i="4"/>
  <c r="H2033" i="4"/>
  <c r="G2033" i="4"/>
  <c r="H2032" i="4"/>
  <c r="G2032" i="4"/>
  <c r="H2031" i="4"/>
  <c r="G2031" i="4"/>
  <c r="H2030" i="4"/>
  <c r="G2030" i="4"/>
  <c r="H2029" i="4"/>
  <c r="G2029" i="4"/>
  <c r="H2028" i="4"/>
  <c r="G2028" i="4"/>
  <c r="H2027" i="4"/>
  <c r="G2027" i="4"/>
  <c r="H2026" i="4"/>
  <c r="G2026" i="4"/>
  <c r="H2025" i="4"/>
  <c r="G2025" i="4"/>
  <c r="H2024" i="4"/>
  <c r="G2024" i="4"/>
  <c r="H2023" i="4"/>
  <c r="G2023" i="4"/>
  <c r="H2022" i="4"/>
  <c r="G2022" i="4"/>
  <c r="H2021" i="4"/>
  <c r="G2021" i="4"/>
  <c r="H2020" i="4"/>
  <c r="G2020" i="4"/>
  <c r="H2019" i="4"/>
  <c r="G2019" i="4"/>
  <c r="H2018" i="4"/>
  <c r="G2018" i="4"/>
  <c r="H2017" i="4"/>
  <c r="G2017" i="4"/>
  <c r="H2016" i="4"/>
  <c r="G2016" i="4"/>
  <c r="H2015" i="4"/>
  <c r="G2015" i="4"/>
  <c r="H2014" i="4"/>
  <c r="G2014" i="4"/>
  <c r="H2013" i="4"/>
  <c r="G2013" i="4"/>
  <c r="H2012" i="4"/>
  <c r="G2012" i="4"/>
  <c r="H2011" i="4"/>
  <c r="G2011" i="4"/>
  <c r="H2010" i="4"/>
  <c r="G2010" i="4"/>
  <c r="H2009" i="4"/>
  <c r="G2009" i="4"/>
  <c r="H2008" i="4"/>
  <c r="G2008" i="4"/>
  <c r="H2007" i="4"/>
  <c r="G2007" i="4"/>
  <c r="H2006" i="4"/>
  <c r="G2006" i="4"/>
  <c r="H2005" i="4"/>
  <c r="G2005" i="4"/>
  <c r="H2004" i="4"/>
  <c r="G2004" i="4"/>
  <c r="H2003" i="4"/>
  <c r="G2003" i="4"/>
  <c r="H2002" i="4"/>
  <c r="G2002" i="4"/>
  <c r="H2001" i="4"/>
  <c r="G2001" i="4"/>
  <c r="H2000" i="4"/>
  <c r="G2000" i="4"/>
  <c r="H1999" i="4"/>
  <c r="G1999" i="4"/>
  <c r="H1998" i="4"/>
  <c r="G1998" i="4"/>
  <c r="H1997" i="4"/>
  <c r="G1997" i="4"/>
  <c r="H1996" i="4"/>
  <c r="G1996" i="4"/>
  <c r="H1995" i="4"/>
  <c r="G1995" i="4"/>
  <c r="H1994" i="4"/>
  <c r="G1994" i="4"/>
  <c r="H1993" i="4"/>
  <c r="G1993" i="4"/>
  <c r="H1992" i="4"/>
  <c r="G1992" i="4"/>
  <c r="H1991" i="4"/>
  <c r="G1991" i="4"/>
  <c r="H1990" i="4"/>
  <c r="G1990" i="4"/>
  <c r="H1989" i="4"/>
  <c r="G1989" i="4"/>
  <c r="H1988" i="4"/>
  <c r="G1988" i="4"/>
  <c r="H1987" i="4"/>
  <c r="G1987" i="4"/>
  <c r="H1986" i="4"/>
  <c r="G1986" i="4"/>
  <c r="H1985" i="4"/>
  <c r="G1985" i="4"/>
  <c r="H1984" i="4"/>
  <c r="G1984" i="4"/>
  <c r="H1983" i="4"/>
  <c r="G1983" i="4"/>
  <c r="H1982" i="4"/>
  <c r="G1982" i="4"/>
  <c r="H1981" i="4"/>
  <c r="G1981" i="4"/>
  <c r="H1980" i="4"/>
  <c r="G1980" i="4"/>
  <c r="H1979" i="4"/>
  <c r="G1979" i="4"/>
  <c r="H1978" i="4"/>
  <c r="G1978" i="4"/>
  <c r="H1977" i="4"/>
  <c r="G1977" i="4"/>
  <c r="H1976" i="4"/>
  <c r="G1976" i="4"/>
  <c r="H1975" i="4"/>
  <c r="G1975" i="4"/>
  <c r="H1974" i="4"/>
  <c r="G1974" i="4"/>
  <c r="H1973" i="4"/>
  <c r="G1973" i="4"/>
  <c r="H1972" i="4"/>
  <c r="G1972" i="4"/>
  <c r="H1971" i="4"/>
  <c r="G1971" i="4"/>
  <c r="H1970" i="4"/>
  <c r="G1970" i="4"/>
  <c r="H1969" i="4"/>
  <c r="G1969" i="4"/>
  <c r="H1968" i="4"/>
  <c r="G1968" i="4"/>
  <c r="H1967" i="4"/>
  <c r="G1967" i="4"/>
  <c r="H1966" i="4"/>
  <c r="G1966" i="4"/>
  <c r="H1965" i="4"/>
  <c r="G1965" i="4"/>
  <c r="H1964" i="4"/>
  <c r="G1964" i="4"/>
  <c r="H1963" i="4"/>
  <c r="G1963" i="4"/>
  <c r="H1962" i="4"/>
  <c r="G1962" i="4"/>
  <c r="H1961" i="4"/>
  <c r="G1961" i="4"/>
  <c r="H1960" i="4"/>
  <c r="G1960" i="4"/>
  <c r="H1959" i="4"/>
  <c r="G1959" i="4"/>
  <c r="H1958" i="4"/>
  <c r="G1958" i="4"/>
  <c r="H1957" i="4"/>
  <c r="G1957" i="4"/>
  <c r="H1956" i="4"/>
  <c r="G1956" i="4"/>
  <c r="H1955" i="4"/>
  <c r="G1955" i="4"/>
  <c r="H1954" i="4"/>
  <c r="G1954" i="4"/>
  <c r="H1953" i="4"/>
  <c r="G1953" i="4"/>
  <c r="H1952" i="4"/>
  <c r="G1952" i="4"/>
  <c r="H1951" i="4"/>
  <c r="G1951" i="4"/>
  <c r="H1950" i="4"/>
  <c r="G1950" i="4"/>
  <c r="H1949" i="4"/>
  <c r="G1949" i="4"/>
  <c r="H1948" i="4"/>
  <c r="G1948" i="4"/>
  <c r="H1947" i="4"/>
  <c r="G1947" i="4"/>
  <c r="H1946" i="4"/>
  <c r="G1946" i="4"/>
  <c r="H1945" i="4"/>
  <c r="G1945" i="4"/>
  <c r="H1944" i="4"/>
  <c r="G1944" i="4"/>
  <c r="H1943" i="4"/>
  <c r="G1943" i="4"/>
  <c r="H1942" i="4"/>
  <c r="G1942" i="4"/>
  <c r="H1941" i="4"/>
  <c r="G1941" i="4"/>
  <c r="H1940" i="4"/>
  <c r="G1940" i="4"/>
  <c r="H1939" i="4"/>
  <c r="G1939" i="4"/>
  <c r="H1938" i="4"/>
  <c r="G1938" i="4"/>
  <c r="H1937" i="4"/>
  <c r="G1937" i="4"/>
  <c r="H1936" i="4"/>
  <c r="G1936" i="4"/>
  <c r="H1935" i="4"/>
  <c r="G1935" i="4"/>
  <c r="H1934" i="4"/>
  <c r="G1934" i="4"/>
  <c r="H1933" i="4"/>
  <c r="G1933" i="4"/>
  <c r="H1932" i="4"/>
  <c r="G1932" i="4"/>
  <c r="H1931" i="4"/>
  <c r="G1931" i="4"/>
  <c r="H1930" i="4"/>
  <c r="G1930" i="4"/>
  <c r="H1929" i="4"/>
  <c r="G1929" i="4"/>
  <c r="H1928" i="4"/>
  <c r="G1928" i="4"/>
  <c r="H1927" i="4"/>
  <c r="G1927" i="4"/>
  <c r="H1926" i="4"/>
  <c r="G1926" i="4"/>
  <c r="H1925" i="4"/>
  <c r="G1925" i="4"/>
  <c r="H1924" i="4"/>
  <c r="G1924" i="4"/>
  <c r="H1923" i="4"/>
  <c r="G1923" i="4"/>
  <c r="H1922" i="4"/>
  <c r="G1922" i="4"/>
  <c r="H1921" i="4"/>
  <c r="G1921" i="4"/>
  <c r="H1920" i="4"/>
  <c r="G1920" i="4"/>
  <c r="H1919" i="4"/>
  <c r="G1919" i="4"/>
  <c r="H1918" i="4"/>
  <c r="G1918" i="4"/>
  <c r="H1917" i="4"/>
  <c r="G1917" i="4"/>
  <c r="H1916" i="4"/>
  <c r="G1916" i="4"/>
  <c r="H1915" i="4"/>
  <c r="G1915" i="4"/>
  <c r="H1914" i="4"/>
  <c r="G1914" i="4"/>
  <c r="H1913" i="4"/>
  <c r="G1913" i="4"/>
  <c r="H1912" i="4"/>
  <c r="G1912" i="4"/>
  <c r="H1911" i="4"/>
  <c r="G1911" i="4"/>
  <c r="H1910" i="4"/>
  <c r="G1910" i="4"/>
  <c r="H1909" i="4"/>
  <c r="G1909" i="4"/>
  <c r="H1908" i="4"/>
  <c r="G1908" i="4"/>
  <c r="H1907" i="4"/>
  <c r="G1907" i="4"/>
  <c r="H1906" i="4"/>
  <c r="G1906" i="4"/>
  <c r="H1905" i="4"/>
  <c r="G1905" i="4"/>
  <c r="H1904" i="4"/>
  <c r="G1904" i="4"/>
  <c r="H1903" i="4"/>
  <c r="G1903" i="4"/>
  <c r="H1902" i="4"/>
  <c r="G1902" i="4"/>
  <c r="H1901" i="4"/>
  <c r="G1901" i="4"/>
  <c r="H1900" i="4"/>
  <c r="G1900" i="4"/>
  <c r="H1899" i="4"/>
  <c r="G1899" i="4"/>
  <c r="H1898" i="4"/>
  <c r="G1898" i="4"/>
  <c r="H1897" i="4"/>
  <c r="G1897" i="4"/>
  <c r="H1896" i="4"/>
  <c r="G1896" i="4"/>
  <c r="H1895" i="4"/>
  <c r="G1895" i="4"/>
  <c r="H1894" i="4"/>
  <c r="G1894" i="4"/>
  <c r="H1893" i="4"/>
  <c r="G1893" i="4"/>
  <c r="H1892" i="4"/>
  <c r="G1892" i="4"/>
  <c r="H1891" i="4"/>
  <c r="G1891" i="4"/>
  <c r="H1890" i="4"/>
  <c r="G1890" i="4"/>
  <c r="H1889" i="4"/>
  <c r="G1889" i="4"/>
  <c r="H1888" i="4"/>
  <c r="G1888" i="4"/>
  <c r="H1887" i="4"/>
  <c r="G1887" i="4"/>
  <c r="H1886" i="4"/>
  <c r="G1886" i="4"/>
  <c r="H1885" i="4"/>
  <c r="G1885" i="4"/>
  <c r="H1884" i="4"/>
  <c r="G1884" i="4"/>
  <c r="H1883" i="4"/>
  <c r="G1883" i="4"/>
  <c r="H1882" i="4"/>
  <c r="G1882" i="4"/>
  <c r="H1881" i="4"/>
  <c r="G1881" i="4"/>
  <c r="H1880" i="4"/>
  <c r="G1880" i="4"/>
  <c r="H1879" i="4"/>
  <c r="G1879" i="4"/>
  <c r="H1878" i="4"/>
  <c r="G1878" i="4"/>
  <c r="H1877" i="4"/>
  <c r="G1877" i="4"/>
  <c r="H1876" i="4"/>
  <c r="G1876" i="4"/>
  <c r="H1875" i="4"/>
  <c r="G1875" i="4"/>
  <c r="H1874" i="4"/>
  <c r="G1874" i="4"/>
  <c r="H1873" i="4"/>
  <c r="G1873" i="4"/>
  <c r="H1872" i="4"/>
  <c r="G1872" i="4"/>
  <c r="H1871" i="4"/>
  <c r="G1871" i="4"/>
  <c r="H1870" i="4"/>
  <c r="G1870" i="4"/>
  <c r="H1869" i="4"/>
  <c r="G1869" i="4"/>
  <c r="H1868" i="4"/>
  <c r="G1868" i="4"/>
  <c r="H1867" i="4"/>
  <c r="G1867" i="4"/>
  <c r="H1866" i="4"/>
  <c r="G1866" i="4"/>
  <c r="H1865" i="4"/>
  <c r="G1865" i="4"/>
  <c r="H1864" i="4"/>
  <c r="G1864" i="4"/>
  <c r="H1863" i="4"/>
  <c r="G1863" i="4"/>
  <c r="H1862" i="4"/>
  <c r="G1862" i="4"/>
  <c r="H1861" i="4"/>
  <c r="G1861" i="4"/>
  <c r="H1860" i="4"/>
  <c r="G1860" i="4"/>
  <c r="H1859" i="4"/>
  <c r="G1859" i="4"/>
  <c r="H1858" i="4"/>
  <c r="G1858" i="4"/>
  <c r="H1857" i="4"/>
  <c r="G1857" i="4"/>
  <c r="H1856" i="4"/>
  <c r="G1856" i="4"/>
  <c r="H1855" i="4"/>
  <c r="G1855" i="4"/>
  <c r="H1854" i="4"/>
  <c r="G1854" i="4"/>
  <c r="H1853" i="4"/>
  <c r="G1853" i="4"/>
  <c r="H1852" i="4"/>
  <c r="G1852" i="4"/>
  <c r="H1851" i="4"/>
  <c r="G1851" i="4"/>
  <c r="H1850" i="4"/>
  <c r="G1850" i="4"/>
  <c r="H1849" i="4"/>
  <c r="G1849" i="4"/>
  <c r="H1848" i="4"/>
  <c r="G1848" i="4"/>
  <c r="H1847" i="4"/>
  <c r="G1847" i="4"/>
  <c r="H1846" i="4"/>
  <c r="G1846" i="4"/>
  <c r="H1845" i="4"/>
  <c r="G1845" i="4"/>
  <c r="H1844" i="4"/>
  <c r="G1844" i="4"/>
  <c r="H1843" i="4"/>
  <c r="G1843" i="4"/>
  <c r="H1842" i="4"/>
  <c r="G1842" i="4"/>
  <c r="H1841" i="4"/>
  <c r="G1841" i="4"/>
  <c r="H1840" i="4"/>
  <c r="G1840" i="4"/>
  <c r="H1839" i="4"/>
  <c r="G1839" i="4"/>
  <c r="H1838" i="4"/>
  <c r="G1838" i="4"/>
  <c r="H1837" i="4"/>
  <c r="G1837" i="4"/>
  <c r="H1836" i="4"/>
  <c r="G1836" i="4"/>
  <c r="H1835" i="4"/>
  <c r="G1835" i="4"/>
  <c r="H1834" i="4"/>
  <c r="G1834" i="4"/>
  <c r="H1833" i="4"/>
  <c r="G1833" i="4"/>
  <c r="H1832" i="4"/>
  <c r="G1832" i="4"/>
  <c r="H1831" i="4"/>
  <c r="G1831" i="4"/>
  <c r="H1830" i="4"/>
  <c r="G1830" i="4"/>
  <c r="H1829" i="4"/>
  <c r="G1829" i="4"/>
  <c r="H1828" i="4"/>
  <c r="G1828" i="4"/>
  <c r="H1827" i="4"/>
  <c r="G1827" i="4"/>
  <c r="H1826" i="4"/>
  <c r="G1826" i="4"/>
  <c r="H1825" i="4"/>
  <c r="G1825" i="4"/>
  <c r="H1824" i="4"/>
  <c r="G1824" i="4"/>
  <c r="H1823" i="4"/>
  <c r="G1823" i="4"/>
  <c r="H1822" i="4"/>
  <c r="G1822" i="4"/>
  <c r="H1821" i="4"/>
  <c r="G1821" i="4"/>
  <c r="H1820" i="4"/>
  <c r="G1820" i="4"/>
  <c r="H1819" i="4"/>
  <c r="G1819" i="4"/>
  <c r="H1818" i="4"/>
  <c r="G1818" i="4"/>
  <c r="H1817" i="4"/>
  <c r="G1817" i="4"/>
  <c r="H1816" i="4"/>
  <c r="G1816" i="4"/>
  <c r="H1815" i="4"/>
  <c r="G1815" i="4"/>
  <c r="H1814" i="4"/>
  <c r="G1814" i="4"/>
  <c r="H1813" i="4"/>
  <c r="G1813" i="4"/>
  <c r="H1812" i="4"/>
  <c r="G1812" i="4"/>
  <c r="H1811" i="4"/>
  <c r="G1811" i="4"/>
  <c r="H1810" i="4"/>
  <c r="G1810" i="4"/>
  <c r="H1809" i="4"/>
  <c r="G1809" i="4"/>
  <c r="H1808" i="4"/>
  <c r="G1808" i="4"/>
  <c r="H1807" i="4"/>
  <c r="G1807" i="4"/>
  <c r="H1806" i="4"/>
  <c r="G1806" i="4"/>
  <c r="H1805" i="4"/>
  <c r="G1805" i="4"/>
  <c r="H1804" i="4"/>
  <c r="G1804" i="4"/>
  <c r="H1803" i="4"/>
  <c r="G1803" i="4"/>
  <c r="H1802" i="4"/>
  <c r="G1802" i="4"/>
  <c r="H1801" i="4"/>
  <c r="G1801" i="4"/>
  <c r="H1800" i="4"/>
  <c r="G1800" i="4"/>
  <c r="H1799" i="4"/>
  <c r="G1799" i="4"/>
  <c r="H1798" i="4"/>
  <c r="G1798" i="4"/>
  <c r="H1797" i="4"/>
  <c r="G1797" i="4"/>
  <c r="H1796" i="4"/>
  <c r="G1796" i="4"/>
  <c r="H1795" i="4"/>
  <c r="G1795" i="4"/>
  <c r="H1794" i="4"/>
  <c r="G1794" i="4"/>
  <c r="H1793" i="4"/>
  <c r="G1793" i="4"/>
  <c r="H1792" i="4"/>
  <c r="G1792" i="4"/>
  <c r="H1791" i="4"/>
  <c r="G1791" i="4"/>
  <c r="H1790" i="4"/>
  <c r="G1790" i="4"/>
  <c r="H1789" i="4"/>
  <c r="G1789" i="4"/>
  <c r="H1788" i="4"/>
  <c r="G1788" i="4"/>
  <c r="H1787" i="4"/>
  <c r="G1787" i="4"/>
  <c r="H1786" i="4"/>
  <c r="G1786" i="4"/>
  <c r="H1785" i="4"/>
  <c r="G1785" i="4"/>
  <c r="H1784" i="4"/>
  <c r="G1784" i="4"/>
  <c r="H1783" i="4"/>
  <c r="G1783" i="4"/>
  <c r="H1782" i="4"/>
  <c r="G1782" i="4"/>
  <c r="H1781" i="4"/>
  <c r="G1781" i="4"/>
  <c r="H1780" i="4"/>
  <c r="G1780" i="4"/>
  <c r="H1779" i="4"/>
  <c r="G1779" i="4"/>
  <c r="H1778" i="4"/>
  <c r="G1778" i="4"/>
  <c r="H1777" i="4"/>
  <c r="G1777" i="4"/>
  <c r="H1776" i="4"/>
  <c r="G1776" i="4"/>
  <c r="H1775" i="4"/>
  <c r="G1775" i="4"/>
  <c r="H1774" i="4"/>
  <c r="G1774" i="4"/>
  <c r="H1773" i="4"/>
  <c r="G1773" i="4"/>
  <c r="H1772" i="4"/>
  <c r="G1772" i="4"/>
  <c r="H1771" i="4"/>
  <c r="G1771" i="4"/>
  <c r="H1770" i="4"/>
  <c r="G1770" i="4"/>
  <c r="H1769" i="4"/>
  <c r="G1769" i="4"/>
  <c r="H1768" i="4"/>
  <c r="G1768" i="4"/>
  <c r="H1767" i="4"/>
  <c r="G1767" i="4"/>
  <c r="H1766" i="4"/>
  <c r="G1766" i="4"/>
  <c r="H1765" i="4"/>
  <c r="G1765" i="4"/>
  <c r="H1764" i="4"/>
  <c r="G1764" i="4"/>
  <c r="H1763" i="4"/>
  <c r="G1763" i="4"/>
  <c r="H1762" i="4"/>
  <c r="G1762" i="4"/>
  <c r="H1761" i="4"/>
  <c r="G1761" i="4"/>
  <c r="H1760" i="4"/>
  <c r="G1760" i="4"/>
  <c r="H1759" i="4"/>
  <c r="G1759" i="4"/>
  <c r="H1758" i="4"/>
  <c r="G1758" i="4"/>
  <c r="H1757" i="4"/>
  <c r="G1757" i="4"/>
  <c r="H1756" i="4"/>
  <c r="G1756" i="4"/>
  <c r="H1755" i="4"/>
  <c r="G1755" i="4"/>
  <c r="H1754" i="4"/>
  <c r="G1754" i="4"/>
  <c r="H1753" i="4"/>
  <c r="G1753" i="4"/>
  <c r="H1752" i="4"/>
  <c r="G1752" i="4"/>
  <c r="H1751" i="4"/>
  <c r="G1751" i="4"/>
  <c r="H1750" i="4"/>
  <c r="G1750" i="4"/>
  <c r="H1749" i="4"/>
  <c r="G1749" i="4"/>
  <c r="H1748" i="4"/>
  <c r="G1748" i="4"/>
  <c r="H1747" i="4"/>
  <c r="G1747" i="4"/>
  <c r="H1746" i="4"/>
  <c r="G1746" i="4"/>
  <c r="H1745" i="4"/>
  <c r="G1745" i="4"/>
  <c r="H1744" i="4"/>
  <c r="G1744" i="4"/>
  <c r="H1743" i="4"/>
  <c r="G1743" i="4"/>
  <c r="H1742" i="4"/>
  <c r="G1742" i="4"/>
  <c r="H1741" i="4"/>
  <c r="G1741" i="4"/>
  <c r="H1740" i="4"/>
  <c r="G1740" i="4"/>
  <c r="H1739" i="4"/>
  <c r="G1739" i="4"/>
  <c r="H1738" i="4"/>
  <c r="G1738" i="4"/>
  <c r="H1737" i="4"/>
  <c r="G1737" i="4"/>
  <c r="H1736" i="4"/>
  <c r="G1736" i="4"/>
  <c r="H1735" i="4"/>
  <c r="G1735" i="4"/>
  <c r="H1734" i="4"/>
  <c r="G1734" i="4"/>
  <c r="H1733" i="4"/>
  <c r="G1733" i="4"/>
  <c r="H1732" i="4"/>
  <c r="G1732" i="4"/>
  <c r="H1731" i="4"/>
  <c r="G1731" i="4"/>
  <c r="H1730" i="4"/>
  <c r="G1730" i="4"/>
  <c r="H1729" i="4"/>
  <c r="G1729" i="4"/>
  <c r="H1728" i="4"/>
  <c r="G1728" i="4"/>
  <c r="H1727" i="4"/>
  <c r="G1727" i="4"/>
  <c r="H1726" i="4"/>
  <c r="G1726" i="4"/>
  <c r="H1725" i="4"/>
  <c r="G1725" i="4"/>
  <c r="H1724" i="4"/>
  <c r="G1724" i="4"/>
  <c r="H1723" i="4"/>
  <c r="G1723" i="4"/>
  <c r="H1722" i="4"/>
  <c r="G1722" i="4"/>
  <c r="H1721" i="4"/>
  <c r="G1721" i="4"/>
  <c r="H1720" i="4"/>
  <c r="G1720" i="4"/>
  <c r="H1719" i="4"/>
  <c r="G1719" i="4"/>
  <c r="H1718" i="4"/>
  <c r="G1718" i="4"/>
  <c r="H1717" i="4"/>
  <c r="G1717" i="4"/>
  <c r="H1716" i="4"/>
  <c r="G1716" i="4"/>
  <c r="H1715" i="4"/>
  <c r="G1715" i="4"/>
  <c r="H1714" i="4"/>
  <c r="G1714" i="4"/>
  <c r="H1713" i="4"/>
  <c r="G1713" i="4"/>
  <c r="H1712" i="4"/>
  <c r="G1712" i="4"/>
  <c r="H1711" i="4"/>
  <c r="G1711" i="4"/>
  <c r="H1710" i="4"/>
  <c r="G1710" i="4"/>
  <c r="H1709" i="4"/>
  <c r="G1709" i="4"/>
  <c r="H1708" i="4"/>
  <c r="G1708" i="4"/>
  <c r="H1707" i="4"/>
  <c r="G1707" i="4"/>
  <c r="H1706" i="4"/>
  <c r="G1706" i="4"/>
  <c r="H1705" i="4"/>
  <c r="G1705" i="4"/>
  <c r="H1704" i="4"/>
  <c r="G1704" i="4"/>
  <c r="H1703" i="4"/>
  <c r="G1703" i="4"/>
  <c r="H1702" i="4"/>
  <c r="G1702" i="4"/>
  <c r="H1701" i="4"/>
  <c r="G1701" i="4"/>
  <c r="H1700" i="4"/>
  <c r="G1700" i="4"/>
  <c r="H1699" i="4"/>
  <c r="G1699" i="4"/>
  <c r="H1698" i="4"/>
  <c r="G1698" i="4"/>
  <c r="H1697" i="4"/>
  <c r="G1697" i="4"/>
  <c r="H1696" i="4"/>
  <c r="G1696" i="4"/>
  <c r="H1695" i="4"/>
  <c r="G1695" i="4"/>
  <c r="H1694" i="4"/>
  <c r="G1694" i="4"/>
  <c r="H1693" i="4"/>
  <c r="G1693" i="4"/>
  <c r="H1692" i="4"/>
  <c r="G1692" i="4"/>
  <c r="H1691" i="4"/>
  <c r="G1691" i="4"/>
  <c r="H1690" i="4"/>
  <c r="G1690" i="4"/>
  <c r="H1689" i="4"/>
  <c r="G1689" i="4"/>
  <c r="H1688" i="4"/>
  <c r="G1688" i="4"/>
  <c r="H1687" i="4"/>
  <c r="G1687" i="4"/>
  <c r="H1686" i="4"/>
  <c r="G1686" i="4"/>
  <c r="H1685" i="4"/>
  <c r="G1685" i="4"/>
  <c r="H1684" i="4"/>
  <c r="G1684" i="4"/>
  <c r="H1683" i="4"/>
  <c r="G1683" i="4"/>
  <c r="H1682" i="4"/>
  <c r="G1682" i="4"/>
  <c r="H1681" i="4"/>
  <c r="G1681" i="4"/>
  <c r="H1680" i="4"/>
  <c r="G1680" i="4"/>
  <c r="H1679" i="4"/>
  <c r="G1679" i="4"/>
  <c r="H1678" i="4"/>
  <c r="G1678" i="4"/>
  <c r="H1677" i="4"/>
  <c r="G1677" i="4"/>
  <c r="H1676" i="4"/>
  <c r="G1676" i="4"/>
  <c r="H1675" i="4"/>
  <c r="G1675" i="4"/>
  <c r="H1674" i="4"/>
  <c r="G1674" i="4"/>
  <c r="H1673" i="4"/>
  <c r="G1673" i="4"/>
  <c r="H1672" i="4"/>
  <c r="G1672" i="4"/>
  <c r="H1671" i="4"/>
  <c r="G1671" i="4"/>
  <c r="H1670" i="4"/>
  <c r="G1670" i="4"/>
  <c r="H1669" i="4"/>
  <c r="G1669" i="4"/>
  <c r="H1668" i="4"/>
  <c r="G1668" i="4"/>
  <c r="H1667" i="4"/>
  <c r="G1667" i="4"/>
  <c r="H1666" i="4"/>
  <c r="G1666" i="4"/>
  <c r="H1665" i="4"/>
  <c r="G1665" i="4"/>
  <c r="H1664" i="4"/>
  <c r="G1664" i="4"/>
  <c r="H1663" i="4"/>
  <c r="G1663" i="4"/>
  <c r="H1662" i="4"/>
  <c r="G1662" i="4"/>
  <c r="H1661" i="4"/>
  <c r="G1661" i="4"/>
  <c r="H1660" i="4"/>
  <c r="G1660" i="4"/>
  <c r="H1659" i="4"/>
  <c r="G1659" i="4"/>
  <c r="H1658" i="4"/>
  <c r="G1658" i="4"/>
  <c r="H1657" i="4"/>
  <c r="G1657" i="4"/>
  <c r="H1656" i="4"/>
  <c r="G1656" i="4"/>
  <c r="H1655" i="4"/>
  <c r="G1655" i="4"/>
  <c r="H1654" i="4"/>
  <c r="G1654" i="4"/>
  <c r="H1653" i="4"/>
  <c r="G1653" i="4"/>
  <c r="H1652" i="4"/>
  <c r="G1652" i="4"/>
  <c r="H1651" i="4"/>
  <c r="G1651" i="4"/>
  <c r="H1650" i="4"/>
  <c r="G1650" i="4"/>
  <c r="H1649" i="4"/>
  <c r="G1649" i="4"/>
  <c r="H1648" i="4"/>
  <c r="G1648" i="4"/>
  <c r="H1647" i="4"/>
  <c r="G1647" i="4"/>
  <c r="H1646" i="4"/>
  <c r="G1646" i="4"/>
  <c r="H1645" i="4"/>
  <c r="G1645" i="4"/>
  <c r="H1644" i="4"/>
  <c r="G1644" i="4"/>
  <c r="H1643" i="4"/>
  <c r="G1643" i="4"/>
  <c r="H1642" i="4"/>
  <c r="G1642" i="4"/>
  <c r="H1641" i="4"/>
  <c r="G1641" i="4"/>
  <c r="H1640" i="4"/>
  <c r="G1640" i="4"/>
  <c r="H1639" i="4"/>
  <c r="G1639" i="4"/>
  <c r="H1638" i="4"/>
  <c r="G1638" i="4"/>
  <c r="H1637" i="4"/>
  <c r="G1637" i="4"/>
  <c r="H1636" i="4"/>
  <c r="G1636" i="4"/>
  <c r="H1635" i="4"/>
  <c r="G1635" i="4"/>
  <c r="H1634" i="4"/>
  <c r="G1634" i="4"/>
  <c r="H1633" i="4"/>
  <c r="G1633" i="4"/>
  <c r="H1632" i="4"/>
  <c r="G1632" i="4"/>
  <c r="H1631" i="4"/>
  <c r="G1631" i="4"/>
  <c r="H1630" i="4"/>
  <c r="G1630" i="4"/>
  <c r="H1629" i="4"/>
  <c r="G1629" i="4"/>
  <c r="H1628" i="4"/>
  <c r="G1628" i="4"/>
  <c r="H1627" i="4"/>
  <c r="G1627" i="4"/>
  <c r="H1626" i="4"/>
  <c r="G1626" i="4"/>
  <c r="H1625" i="4"/>
  <c r="G1625" i="4"/>
  <c r="H1624" i="4"/>
  <c r="G1624" i="4"/>
  <c r="H1623" i="4"/>
  <c r="G1623" i="4"/>
  <c r="H1622" i="4"/>
  <c r="G1622" i="4"/>
  <c r="H1621" i="4"/>
  <c r="G1621" i="4"/>
  <c r="H1620" i="4"/>
  <c r="G1620" i="4"/>
  <c r="H1619" i="4"/>
  <c r="G1619" i="4"/>
  <c r="H1618" i="4"/>
  <c r="G1618" i="4"/>
  <c r="H1617" i="4"/>
  <c r="G1617" i="4"/>
  <c r="H1616" i="4"/>
  <c r="G1616" i="4"/>
  <c r="H1615" i="4"/>
  <c r="G1615" i="4"/>
  <c r="H1614" i="4"/>
  <c r="G1614" i="4"/>
  <c r="H1613" i="4"/>
  <c r="G1613" i="4"/>
  <c r="H1612" i="4"/>
  <c r="G1612" i="4"/>
  <c r="H1611" i="4"/>
  <c r="G1611" i="4"/>
  <c r="H1610" i="4"/>
  <c r="G1610" i="4"/>
  <c r="H1609" i="4"/>
  <c r="G1609" i="4"/>
  <c r="H1608" i="4"/>
  <c r="G1608" i="4"/>
  <c r="H1607" i="4"/>
  <c r="G1607" i="4"/>
  <c r="H1606" i="4"/>
  <c r="G1606" i="4"/>
  <c r="H1605" i="4"/>
  <c r="G1605" i="4"/>
  <c r="H1604" i="4"/>
  <c r="G1604" i="4"/>
  <c r="H1603" i="4"/>
  <c r="G1603" i="4"/>
  <c r="H1602" i="4"/>
  <c r="G1602" i="4"/>
  <c r="H1601" i="4"/>
  <c r="G1601" i="4"/>
  <c r="H1600" i="4"/>
  <c r="G1600" i="4"/>
  <c r="H1599" i="4"/>
  <c r="G1599" i="4"/>
  <c r="H1598" i="4"/>
  <c r="G1598" i="4"/>
  <c r="H1597" i="4"/>
  <c r="G1597" i="4"/>
  <c r="H1596" i="4"/>
  <c r="G1596" i="4"/>
  <c r="H1595" i="4"/>
  <c r="G1595" i="4"/>
  <c r="H1594" i="4"/>
  <c r="G1594" i="4"/>
  <c r="H1593" i="4"/>
  <c r="G1593" i="4"/>
  <c r="H1592" i="4"/>
  <c r="G1592" i="4"/>
  <c r="H1591" i="4"/>
  <c r="G1591" i="4"/>
  <c r="H1590" i="4"/>
  <c r="G1590" i="4"/>
  <c r="H1589" i="4"/>
  <c r="G1589" i="4"/>
  <c r="H1588" i="4"/>
  <c r="G1588" i="4"/>
  <c r="H1587" i="4"/>
  <c r="G1587" i="4"/>
  <c r="H1586" i="4"/>
  <c r="G1586" i="4"/>
  <c r="H1585" i="4"/>
  <c r="G1585" i="4"/>
  <c r="H1584" i="4"/>
  <c r="G1584" i="4"/>
  <c r="H1583" i="4"/>
  <c r="G1583" i="4"/>
  <c r="H1582" i="4"/>
  <c r="G1582" i="4"/>
  <c r="H1581" i="4"/>
  <c r="G1581" i="4"/>
  <c r="H1580" i="4"/>
  <c r="G1580" i="4"/>
  <c r="H1579" i="4"/>
  <c r="G1579" i="4"/>
  <c r="H1578" i="4"/>
  <c r="G1578" i="4"/>
  <c r="H1577" i="4"/>
  <c r="G1577" i="4"/>
  <c r="H1576" i="4"/>
  <c r="G1576" i="4"/>
  <c r="H1575" i="4"/>
  <c r="G1575" i="4"/>
  <c r="H1574" i="4"/>
  <c r="G1574" i="4"/>
  <c r="H1573" i="4"/>
  <c r="G1573" i="4"/>
  <c r="H1572" i="4"/>
  <c r="G1572" i="4"/>
  <c r="H1571" i="4"/>
  <c r="G1571" i="4"/>
  <c r="H1570" i="4"/>
  <c r="G1570" i="4"/>
  <c r="H1569" i="4"/>
  <c r="G1569" i="4"/>
  <c r="H1568" i="4"/>
  <c r="G1568" i="4"/>
  <c r="H1567" i="4"/>
  <c r="G1567" i="4"/>
  <c r="H1566" i="4"/>
  <c r="G1566" i="4"/>
  <c r="H1565" i="4"/>
  <c r="G1565" i="4"/>
  <c r="H1564" i="4"/>
  <c r="G1564" i="4"/>
  <c r="H1563" i="4"/>
  <c r="G1563" i="4"/>
  <c r="H1562" i="4"/>
  <c r="G1562" i="4"/>
  <c r="H1561" i="4"/>
  <c r="G1561" i="4"/>
  <c r="H1560" i="4"/>
  <c r="G1560" i="4"/>
  <c r="H1559" i="4"/>
  <c r="G1559" i="4"/>
  <c r="H1558" i="4"/>
  <c r="G1558" i="4"/>
  <c r="H1557" i="4"/>
  <c r="G1557" i="4"/>
  <c r="H1556" i="4"/>
  <c r="G1556" i="4"/>
  <c r="H1555" i="4"/>
  <c r="G1555" i="4"/>
  <c r="H1554" i="4"/>
  <c r="G1554" i="4"/>
  <c r="H1553" i="4"/>
  <c r="G1553" i="4"/>
  <c r="H1552" i="4"/>
  <c r="G1552" i="4"/>
  <c r="H1551" i="4"/>
  <c r="G1551" i="4"/>
  <c r="H1550" i="4"/>
  <c r="G1550" i="4"/>
  <c r="H1549" i="4"/>
  <c r="G1549" i="4"/>
  <c r="H1548" i="4"/>
  <c r="G1548" i="4"/>
  <c r="H1547" i="4"/>
  <c r="G1547" i="4"/>
  <c r="H1546" i="4"/>
  <c r="G1546" i="4"/>
  <c r="H1545" i="4"/>
  <c r="G1545" i="4"/>
  <c r="H1544" i="4"/>
  <c r="G1544" i="4"/>
  <c r="H1543" i="4"/>
  <c r="G1543" i="4"/>
  <c r="H1542" i="4"/>
  <c r="G1542" i="4"/>
  <c r="H1541" i="4"/>
  <c r="G1541" i="4"/>
  <c r="H1540" i="4"/>
  <c r="G1540" i="4"/>
  <c r="H1539" i="4"/>
  <c r="G1539" i="4"/>
  <c r="H1538" i="4"/>
  <c r="G1538" i="4"/>
  <c r="H1537" i="4"/>
  <c r="G1537" i="4"/>
  <c r="H1536" i="4"/>
  <c r="G1536" i="4"/>
  <c r="H1535" i="4"/>
  <c r="G1535" i="4"/>
  <c r="H1534" i="4"/>
  <c r="G1534" i="4"/>
  <c r="H1533" i="4"/>
  <c r="G1533" i="4"/>
  <c r="H1532" i="4"/>
  <c r="G1532" i="4"/>
  <c r="H1531" i="4"/>
  <c r="G1531" i="4"/>
  <c r="H1530" i="4"/>
  <c r="G1530" i="4"/>
  <c r="H1529" i="4"/>
  <c r="G1529" i="4"/>
  <c r="H1528" i="4"/>
  <c r="G1528" i="4"/>
  <c r="H1527" i="4"/>
  <c r="G1527" i="4"/>
  <c r="H1526" i="4"/>
  <c r="G1526" i="4"/>
  <c r="H1525" i="4"/>
  <c r="G1525" i="4"/>
  <c r="H1524" i="4"/>
  <c r="G1524" i="4"/>
  <c r="H1523" i="4"/>
  <c r="G1523" i="4"/>
  <c r="H1522" i="4"/>
  <c r="G1522" i="4"/>
  <c r="H1521" i="4"/>
  <c r="G1521" i="4"/>
  <c r="H1520" i="4"/>
  <c r="G1520" i="4"/>
  <c r="H1519" i="4"/>
  <c r="G1519" i="4"/>
  <c r="H1518" i="4"/>
  <c r="G1518" i="4"/>
  <c r="H1517" i="4"/>
  <c r="G1517" i="4"/>
  <c r="H1516" i="4"/>
  <c r="G1516" i="4"/>
  <c r="H1515" i="4"/>
  <c r="G1515" i="4"/>
  <c r="H1514" i="4"/>
  <c r="G1514" i="4"/>
  <c r="H1513" i="4"/>
  <c r="G1513" i="4"/>
  <c r="H1512" i="4"/>
  <c r="G1512" i="4"/>
  <c r="H1511" i="4"/>
  <c r="G1511" i="4"/>
  <c r="H1510" i="4"/>
  <c r="G1510" i="4"/>
  <c r="H1509" i="4"/>
  <c r="G1509" i="4"/>
  <c r="H1508" i="4"/>
  <c r="G1508" i="4"/>
  <c r="H1507" i="4"/>
  <c r="G1507" i="4"/>
  <c r="H1506" i="4"/>
  <c r="G1506" i="4"/>
  <c r="H1505" i="4"/>
  <c r="G1505" i="4"/>
  <c r="H1504" i="4"/>
  <c r="G1504" i="4"/>
  <c r="H1503" i="4"/>
  <c r="G1503" i="4"/>
  <c r="H1502" i="4"/>
  <c r="G1502" i="4"/>
  <c r="H1501" i="4"/>
  <c r="G1501" i="4"/>
  <c r="H1500" i="4"/>
  <c r="G1500" i="4"/>
  <c r="H1499" i="4"/>
  <c r="G1499" i="4"/>
  <c r="H1498" i="4"/>
  <c r="G1498" i="4"/>
  <c r="H1497" i="4"/>
  <c r="G1497" i="4"/>
  <c r="H1496" i="4"/>
  <c r="G1496" i="4"/>
  <c r="H1495" i="4"/>
  <c r="G1495" i="4"/>
  <c r="H1494" i="4"/>
  <c r="G1494" i="4"/>
  <c r="H1493" i="4"/>
  <c r="G1493" i="4"/>
  <c r="H1492" i="4"/>
  <c r="G1492" i="4"/>
  <c r="H1491" i="4"/>
  <c r="G1491" i="4"/>
  <c r="H1490" i="4"/>
  <c r="G1490" i="4"/>
  <c r="H1489" i="4"/>
  <c r="G1489" i="4"/>
  <c r="H1488" i="4"/>
  <c r="G1488" i="4"/>
  <c r="H1487" i="4"/>
  <c r="G1487" i="4"/>
  <c r="H1486" i="4"/>
  <c r="G1486" i="4"/>
  <c r="H1485" i="4"/>
  <c r="G1485" i="4"/>
  <c r="H1484" i="4"/>
  <c r="G1484" i="4"/>
  <c r="H1483" i="4"/>
  <c r="G1483" i="4"/>
  <c r="H1482" i="4"/>
  <c r="G1482" i="4"/>
  <c r="H1481" i="4"/>
  <c r="G1481" i="4"/>
  <c r="H1480" i="4"/>
  <c r="G1480" i="4"/>
  <c r="H1479" i="4"/>
  <c r="G1479" i="4"/>
  <c r="H1478" i="4"/>
  <c r="G1478" i="4"/>
  <c r="H1477" i="4"/>
  <c r="G1477" i="4"/>
  <c r="H1476" i="4"/>
  <c r="G1476" i="4"/>
  <c r="H1475" i="4"/>
  <c r="G1475" i="4"/>
  <c r="H1474" i="4"/>
  <c r="G1474" i="4"/>
  <c r="H1473" i="4"/>
  <c r="G1473" i="4"/>
  <c r="H1472" i="4"/>
  <c r="G1472" i="4"/>
  <c r="H1471" i="4"/>
  <c r="G1471" i="4"/>
  <c r="H1470" i="4"/>
  <c r="G1470" i="4"/>
  <c r="H1469" i="4"/>
  <c r="G1469" i="4"/>
  <c r="H1468" i="4"/>
  <c r="G1468" i="4"/>
  <c r="H1467" i="4"/>
  <c r="G1467" i="4"/>
  <c r="H1466" i="4"/>
  <c r="G1466" i="4"/>
  <c r="H1465" i="4"/>
  <c r="G1465" i="4"/>
  <c r="H1464" i="4"/>
  <c r="G1464" i="4"/>
  <c r="H1463" i="4"/>
  <c r="G1463" i="4"/>
  <c r="H1462" i="4"/>
  <c r="G1462" i="4"/>
  <c r="H1461" i="4"/>
  <c r="G1461" i="4"/>
  <c r="H1460" i="4"/>
  <c r="G1460" i="4"/>
  <c r="H1459" i="4"/>
  <c r="G1459" i="4"/>
  <c r="H1458" i="4"/>
  <c r="G1458" i="4"/>
  <c r="H1457" i="4"/>
  <c r="G1457" i="4"/>
  <c r="H1456" i="4"/>
  <c r="G1456" i="4"/>
  <c r="H1455" i="4"/>
  <c r="G1455" i="4"/>
  <c r="H1454" i="4"/>
  <c r="G1454" i="4"/>
  <c r="H1453" i="4"/>
  <c r="G1453" i="4"/>
  <c r="H1452" i="4"/>
  <c r="G1452" i="4"/>
  <c r="H1451" i="4"/>
  <c r="G1451" i="4"/>
  <c r="H1450" i="4"/>
  <c r="G1450" i="4"/>
  <c r="H1449" i="4"/>
  <c r="G1449" i="4"/>
  <c r="H1448" i="4"/>
  <c r="G1448" i="4"/>
  <c r="H1447" i="4"/>
  <c r="G1447" i="4"/>
  <c r="H1446" i="4"/>
  <c r="G1446" i="4"/>
  <c r="H1445" i="4"/>
  <c r="G1445" i="4"/>
  <c r="H1444" i="4"/>
  <c r="G1444" i="4"/>
  <c r="H1443" i="4"/>
  <c r="G1443" i="4"/>
  <c r="H1442" i="4"/>
  <c r="G1442" i="4"/>
  <c r="H1441" i="4"/>
  <c r="G1441" i="4"/>
  <c r="H1440" i="4"/>
  <c r="G1440" i="4"/>
  <c r="H1439" i="4"/>
  <c r="G1439" i="4"/>
  <c r="H1438" i="4"/>
  <c r="G1438" i="4"/>
  <c r="H1437" i="4"/>
  <c r="G1437" i="4"/>
  <c r="H1436" i="4"/>
  <c r="G1436" i="4"/>
  <c r="H1435" i="4"/>
  <c r="G1435" i="4"/>
  <c r="H1434" i="4"/>
  <c r="G1434" i="4"/>
  <c r="H1433" i="4"/>
  <c r="G1433" i="4"/>
  <c r="H1432" i="4"/>
  <c r="G1432" i="4"/>
  <c r="H1431" i="4"/>
  <c r="G1431" i="4"/>
  <c r="H1430" i="4"/>
  <c r="G1430" i="4"/>
  <c r="H1429" i="4"/>
  <c r="G1429" i="4"/>
  <c r="H1428" i="4"/>
  <c r="G1428" i="4"/>
  <c r="H1427" i="4"/>
  <c r="G1427" i="4"/>
  <c r="H1426" i="4"/>
  <c r="G1426" i="4"/>
  <c r="H1425" i="4"/>
  <c r="G1425" i="4"/>
  <c r="H1424" i="4"/>
  <c r="G1424" i="4"/>
  <c r="H1423" i="4"/>
  <c r="G1423" i="4"/>
  <c r="H1422" i="4"/>
  <c r="G1422" i="4"/>
  <c r="H1421" i="4"/>
  <c r="G1421" i="4"/>
  <c r="H1420" i="4"/>
  <c r="G1420" i="4"/>
  <c r="H1419" i="4"/>
  <c r="G1419" i="4"/>
  <c r="H1418" i="4"/>
  <c r="G1418" i="4"/>
  <c r="H1417" i="4"/>
  <c r="G1417" i="4"/>
  <c r="H1416" i="4"/>
  <c r="G1416" i="4"/>
  <c r="H1415" i="4"/>
  <c r="G1415" i="4"/>
  <c r="H1414" i="4"/>
  <c r="G1414" i="4"/>
  <c r="H1413" i="4"/>
  <c r="G1413" i="4"/>
  <c r="H1412" i="4"/>
  <c r="G1412" i="4"/>
  <c r="H1411" i="4"/>
  <c r="G1411" i="4"/>
  <c r="H1410" i="4"/>
  <c r="G1410" i="4"/>
  <c r="H1409" i="4"/>
  <c r="G1409" i="4"/>
  <c r="H1408" i="4"/>
  <c r="G1408" i="4"/>
  <c r="H1407" i="4"/>
  <c r="G1407" i="4"/>
  <c r="H1406" i="4"/>
  <c r="G1406" i="4"/>
  <c r="H1405" i="4"/>
  <c r="G1405" i="4"/>
  <c r="H1404" i="4"/>
  <c r="G1404" i="4"/>
  <c r="H1403" i="4"/>
  <c r="G1403" i="4"/>
  <c r="H1402" i="4"/>
  <c r="G1402" i="4"/>
  <c r="H1401" i="4"/>
  <c r="G1401" i="4"/>
  <c r="H1400" i="4"/>
  <c r="G1400" i="4"/>
  <c r="H1399" i="4"/>
  <c r="G1399" i="4"/>
  <c r="H1398" i="4"/>
  <c r="G1398" i="4"/>
  <c r="H1397" i="4"/>
  <c r="G1397" i="4"/>
  <c r="H1396" i="4"/>
  <c r="G1396" i="4"/>
  <c r="H1395" i="4"/>
  <c r="G1395" i="4"/>
  <c r="H1394" i="4"/>
  <c r="G1394" i="4"/>
  <c r="H1393" i="4"/>
  <c r="G1393" i="4"/>
  <c r="H1392" i="4"/>
  <c r="G1392" i="4"/>
  <c r="H1391" i="4"/>
  <c r="G1391" i="4"/>
  <c r="H1390" i="4"/>
  <c r="G1390" i="4"/>
  <c r="H1389" i="4"/>
  <c r="G1389" i="4"/>
  <c r="H1388" i="4"/>
  <c r="G1388" i="4"/>
  <c r="H1387" i="4"/>
  <c r="G1387" i="4"/>
  <c r="H1386" i="4"/>
  <c r="G1386" i="4"/>
  <c r="H1385" i="4"/>
  <c r="G1385" i="4"/>
  <c r="H1384" i="4"/>
  <c r="G1384" i="4"/>
  <c r="H1383" i="4"/>
  <c r="G1383" i="4"/>
  <c r="H1382" i="4"/>
  <c r="G1382" i="4"/>
  <c r="H1381" i="4"/>
  <c r="G1381" i="4"/>
  <c r="H1380" i="4"/>
  <c r="G1380" i="4"/>
  <c r="H1379" i="4"/>
  <c r="G1379" i="4"/>
  <c r="H1378" i="4"/>
  <c r="G1378" i="4"/>
  <c r="H1377" i="4"/>
  <c r="G1377" i="4"/>
  <c r="H1376" i="4"/>
  <c r="G1376" i="4"/>
  <c r="H1375" i="4"/>
  <c r="G1375" i="4"/>
  <c r="H1374" i="4"/>
  <c r="G1374" i="4"/>
  <c r="H1373" i="4"/>
  <c r="G1373" i="4"/>
  <c r="H1372" i="4"/>
  <c r="G1372" i="4"/>
  <c r="H1371" i="4"/>
  <c r="G1371" i="4"/>
  <c r="H1370" i="4"/>
  <c r="G1370" i="4"/>
  <c r="H1369" i="4"/>
  <c r="G1369" i="4"/>
  <c r="H1368" i="4"/>
  <c r="G1368" i="4"/>
  <c r="H1367" i="4"/>
  <c r="G1367" i="4"/>
  <c r="H1366" i="4"/>
  <c r="G1366" i="4"/>
  <c r="H1365" i="4"/>
  <c r="G1365" i="4"/>
  <c r="H1364" i="4"/>
  <c r="G1364" i="4"/>
  <c r="H1363" i="4"/>
  <c r="G1363" i="4"/>
  <c r="H1362" i="4"/>
  <c r="G1362" i="4"/>
  <c r="H1361" i="4"/>
  <c r="G1361" i="4"/>
  <c r="H1360" i="4"/>
  <c r="G1360" i="4"/>
  <c r="H1359" i="4"/>
  <c r="G1359" i="4"/>
  <c r="H1358" i="4"/>
  <c r="G1358" i="4"/>
  <c r="H1357" i="4"/>
  <c r="G1357" i="4"/>
  <c r="H1356" i="4"/>
  <c r="G1356" i="4"/>
  <c r="H1355" i="4"/>
  <c r="G1355" i="4"/>
  <c r="H1354" i="4"/>
  <c r="G1354" i="4"/>
  <c r="H1353" i="4"/>
  <c r="G1353" i="4"/>
  <c r="H1352" i="4"/>
  <c r="G1352" i="4"/>
  <c r="H1351" i="4"/>
  <c r="G1351" i="4"/>
  <c r="H1350" i="4"/>
  <c r="G1350" i="4"/>
  <c r="H1349" i="4"/>
  <c r="G1349" i="4"/>
  <c r="H1348" i="4"/>
  <c r="G1348" i="4"/>
  <c r="H1347" i="4"/>
  <c r="G1347" i="4"/>
  <c r="H1346" i="4"/>
  <c r="G1346" i="4"/>
  <c r="H1345" i="4"/>
  <c r="G1345" i="4"/>
  <c r="H1344" i="4"/>
  <c r="G1344" i="4"/>
  <c r="H1343" i="4"/>
  <c r="G1343" i="4"/>
  <c r="H1342" i="4"/>
  <c r="G1342" i="4"/>
  <c r="H1341" i="4"/>
  <c r="G1341" i="4"/>
  <c r="H1340" i="4"/>
  <c r="G1340" i="4"/>
  <c r="H1339" i="4"/>
  <c r="G1339" i="4"/>
  <c r="H1338" i="4"/>
  <c r="G1338" i="4"/>
  <c r="H1337" i="4"/>
  <c r="G1337" i="4"/>
  <c r="H1336" i="4"/>
  <c r="G1336" i="4"/>
  <c r="H1335" i="4"/>
  <c r="G1335" i="4"/>
  <c r="H1334" i="4"/>
  <c r="G1334" i="4"/>
  <c r="H1333" i="4"/>
  <c r="G1333" i="4"/>
  <c r="H1332" i="4"/>
  <c r="G1332" i="4"/>
  <c r="H1331" i="4"/>
  <c r="G1331" i="4"/>
  <c r="H1330" i="4"/>
  <c r="G1330" i="4"/>
  <c r="H1329" i="4"/>
  <c r="G1329" i="4"/>
  <c r="H1328" i="4"/>
  <c r="G1328" i="4"/>
  <c r="H1327" i="4"/>
  <c r="G1327" i="4"/>
  <c r="H1326" i="4"/>
  <c r="G1326" i="4"/>
  <c r="H1325" i="4"/>
  <c r="G1325" i="4"/>
  <c r="H1324" i="4"/>
  <c r="G1324" i="4"/>
  <c r="H1323" i="4"/>
  <c r="G1323" i="4"/>
  <c r="H1322" i="4"/>
  <c r="G1322" i="4"/>
  <c r="H1321" i="4"/>
  <c r="G1321" i="4"/>
  <c r="H1320" i="4"/>
  <c r="G1320" i="4"/>
  <c r="H1319" i="4"/>
  <c r="G1319" i="4"/>
  <c r="H1318" i="4"/>
  <c r="G1318" i="4"/>
  <c r="H1317" i="4"/>
  <c r="G1317" i="4"/>
  <c r="H1316" i="4"/>
  <c r="G1316" i="4"/>
  <c r="H1315" i="4"/>
  <c r="G1315" i="4"/>
  <c r="H1314" i="4"/>
  <c r="G1314" i="4"/>
  <c r="H1313" i="4"/>
  <c r="G1313" i="4"/>
  <c r="H1312" i="4"/>
  <c r="G1312" i="4"/>
  <c r="H1311" i="4"/>
  <c r="G1311" i="4"/>
  <c r="H1310" i="4"/>
  <c r="G1310" i="4"/>
  <c r="H1309" i="4"/>
  <c r="G1309" i="4"/>
  <c r="H1308" i="4"/>
  <c r="G1308" i="4"/>
  <c r="H1307" i="4"/>
  <c r="G1307" i="4"/>
  <c r="H1306" i="4"/>
  <c r="G1306" i="4"/>
  <c r="H1305" i="4"/>
  <c r="G1305" i="4"/>
  <c r="H1304" i="4"/>
  <c r="G1304" i="4"/>
  <c r="H1303" i="4"/>
  <c r="G1303" i="4"/>
  <c r="H1302" i="4"/>
  <c r="G1302" i="4"/>
  <c r="H1301" i="4"/>
  <c r="G1301" i="4"/>
  <c r="H1300" i="4"/>
  <c r="G1300" i="4"/>
  <c r="H1299" i="4"/>
  <c r="G1299" i="4"/>
  <c r="H1298" i="4"/>
  <c r="G1298" i="4"/>
  <c r="H1297" i="4"/>
  <c r="G1297" i="4"/>
  <c r="H1296" i="4"/>
  <c r="G1296" i="4"/>
  <c r="H1295" i="4"/>
  <c r="G1295" i="4"/>
  <c r="H1294" i="4"/>
  <c r="G1294" i="4"/>
  <c r="H1293" i="4"/>
  <c r="G1293" i="4"/>
  <c r="H1292" i="4"/>
  <c r="G1292" i="4"/>
  <c r="H1291" i="4"/>
  <c r="G1291" i="4"/>
  <c r="H1290" i="4"/>
  <c r="G1290" i="4"/>
  <c r="H1289" i="4"/>
  <c r="G1289" i="4"/>
  <c r="H1288" i="4"/>
  <c r="G1288" i="4"/>
  <c r="H1287" i="4"/>
  <c r="G1287" i="4"/>
  <c r="H1286" i="4"/>
  <c r="G1286" i="4"/>
  <c r="H1285" i="4"/>
  <c r="G1285" i="4"/>
  <c r="H1284" i="4"/>
  <c r="G1284" i="4"/>
  <c r="H1283" i="4"/>
  <c r="G1283" i="4"/>
  <c r="H1282" i="4"/>
  <c r="G1282" i="4"/>
  <c r="H1281" i="4"/>
  <c r="G1281" i="4"/>
  <c r="H1280" i="4"/>
  <c r="G1280" i="4"/>
  <c r="H1279" i="4"/>
  <c r="G1279" i="4"/>
  <c r="H1278" i="4"/>
  <c r="G1278" i="4"/>
  <c r="H1277" i="4"/>
  <c r="G1277" i="4"/>
  <c r="H1276" i="4"/>
  <c r="G1276" i="4"/>
  <c r="H1275" i="4"/>
  <c r="G1275" i="4"/>
  <c r="H1274" i="4"/>
  <c r="G1274" i="4"/>
  <c r="H1273" i="4"/>
  <c r="G1273" i="4"/>
  <c r="H1272" i="4"/>
  <c r="G1272" i="4"/>
  <c r="H1271" i="4"/>
  <c r="G1271" i="4"/>
  <c r="H1270" i="4"/>
  <c r="G1270" i="4"/>
  <c r="H1269" i="4"/>
  <c r="G1269" i="4"/>
  <c r="H1268" i="4"/>
  <c r="G1268" i="4"/>
  <c r="H1267" i="4"/>
  <c r="G1267" i="4"/>
  <c r="H1266" i="4"/>
  <c r="G1266" i="4"/>
  <c r="H1265" i="4"/>
  <c r="G1265" i="4"/>
  <c r="H1264" i="4"/>
  <c r="G1264" i="4"/>
  <c r="H1263" i="4"/>
  <c r="G1263" i="4"/>
  <c r="H1262" i="4"/>
  <c r="G1262" i="4"/>
  <c r="H1261" i="4"/>
  <c r="G1261" i="4"/>
  <c r="H1260" i="4"/>
  <c r="G1260" i="4"/>
  <c r="H1259" i="4"/>
  <c r="G1259" i="4"/>
  <c r="H1258" i="4"/>
  <c r="G1258" i="4"/>
  <c r="H1257" i="4"/>
  <c r="G1257" i="4"/>
  <c r="H1256" i="4"/>
  <c r="G1256" i="4"/>
  <c r="H1255" i="4"/>
  <c r="G1255" i="4"/>
  <c r="H1254" i="4"/>
  <c r="G1254" i="4"/>
  <c r="H1253" i="4"/>
  <c r="G1253" i="4"/>
  <c r="H1252" i="4"/>
  <c r="G1252" i="4"/>
  <c r="H1251" i="4"/>
  <c r="G1251" i="4"/>
  <c r="H1250" i="4"/>
  <c r="G1250" i="4"/>
  <c r="H1249" i="4"/>
  <c r="G1249" i="4"/>
  <c r="H1248" i="4"/>
  <c r="G1248" i="4"/>
  <c r="H1247" i="4"/>
  <c r="G1247" i="4"/>
  <c r="H1246" i="4"/>
  <c r="G1246" i="4"/>
  <c r="H1245" i="4"/>
  <c r="G1245" i="4"/>
  <c r="H1244" i="4"/>
  <c r="G1244" i="4"/>
  <c r="H1243" i="4"/>
  <c r="G1243" i="4"/>
  <c r="H1242" i="4"/>
  <c r="G1242" i="4"/>
  <c r="H1241" i="4"/>
  <c r="G1241" i="4"/>
  <c r="H1240" i="4"/>
  <c r="G1240" i="4"/>
  <c r="H1239" i="4"/>
  <c r="G1239" i="4"/>
  <c r="H1238" i="4"/>
  <c r="G1238" i="4"/>
  <c r="H1237" i="4"/>
  <c r="G1237" i="4"/>
  <c r="H1236" i="4"/>
  <c r="G1236" i="4"/>
  <c r="H1235" i="4"/>
  <c r="G1235" i="4"/>
  <c r="H1234" i="4"/>
  <c r="G1234" i="4"/>
  <c r="H1233" i="4"/>
  <c r="G1233" i="4"/>
  <c r="H1232" i="4"/>
  <c r="G1232" i="4"/>
  <c r="H1231" i="4"/>
  <c r="G1231" i="4"/>
  <c r="H1230" i="4"/>
  <c r="G1230" i="4"/>
  <c r="H1229" i="4"/>
  <c r="G1229" i="4"/>
  <c r="H1228" i="4"/>
  <c r="G1228" i="4"/>
  <c r="H1227" i="4"/>
  <c r="G1227" i="4"/>
  <c r="H1226" i="4"/>
  <c r="G1226" i="4"/>
  <c r="H1225" i="4"/>
  <c r="G1225" i="4"/>
  <c r="H1224" i="4"/>
  <c r="G1224" i="4"/>
  <c r="H1223" i="4"/>
  <c r="G1223" i="4"/>
  <c r="H1222" i="4"/>
  <c r="G1222" i="4"/>
  <c r="H1221" i="4"/>
  <c r="G1221" i="4"/>
  <c r="H1220" i="4"/>
  <c r="G1220" i="4"/>
  <c r="H1219" i="4"/>
  <c r="G1219" i="4"/>
  <c r="H1218" i="4"/>
  <c r="G1218" i="4"/>
  <c r="H1217" i="4"/>
  <c r="G1217" i="4"/>
  <c r="H1216" i="4"/>
  <c r="G1216" i="4"/>
  <c r="H1215" i="4"/>
  <c r="G1215" i="4"/>
  <c r="H1214" i="4"/>
  <c r="G1214" i="4"/>
  <c r="H1213" i="4"/>
  <c r="G1213" i="4"/>
  <c r="H1212" i="4"/>
  <c r="G1212" i="4"/>
  <c r="H1211" i="4"/>
  <c r="G1211" i="4"/>
  <c r="H1210" i="4"/>
  <c r="G1210" i="4"/>
  <c r="H1209" i="4"/>
  <c r="G1209" i="4"/>
  <c r="H1208" i="4"/>
  <c r="G1208" i="4"/>
  <c r="H1207" i="4"/>
  <c r="G1207" i="4"/>
  <c r="H1206" i="4"/>
  <c r="G1206" i="4"/>
  <c r="H1205" i="4"/>
  <c r="G1205" i="4"/>
  <c r="H1204" i="4"/>
  <c r="G1204" i="4"/>
  <c r="H1203" i="4"/>
  <c r="G1203" i="4"/>
  <c r="H1202" i="4"/>
  <c r="G1202" i="4"/>
  <c r="H1201" i="4"/>
  <c r="G1201" i="4"/>
  <c r="H1200" i="4"/>
  <c r="G1200" i="4"/>
  <c r="H1199" i="4"/>
  <c r="G1199" i="4"/>
  <c r="H1198" i="4"/>
  <c r="G1198" i="4"/>
  <c r="H1197" i="4"/>
  <c r="G1197" i="4"/>
  <c r="H1196" i="4"/>
  <c r="G1196" i="4"/>
  <c r="H1195" i="4"/>
  <c r="G1195" i="4"/>
  <c r="H1194" i="4"/>
  <c r="G1194" i="4"/>
  <c r="H1193" i="4"/>
  <c r="G1193" i="4"/>
  <c r="H1192" i="4"/>
  <c r="G1192" i="4"/>
  <c r="H1191" i="4"/>
  <c r="G1191" i="4"/>
  <c r="H1190" i="4"/>
  <c r="G1190" i="4"/>
  <c r="H1189" i="4"/>
  <c r="G1189" i="4"/>
  <c r="H1188" i="4"/>
  <c r="G1188" i="4"/>
  <c r="H1187" i="4"/>
  <c r="G1187" i="4"/>
  <c r="H1186" i="4"/>
  <c r="G1186" i="4"/>
  <c r="H1185" i="4"/>
  <c r="G1185" i="4"/>
  <c r="H1184" i="4"/>
  <c r="G1184" i="4"/>
  <c r="H1183" i="4"/>
  <c r="G1183" i="4"/>
  <c r="H1182" i="4"/>
  <c r="G1182" i="4"/>
  <c r="H1181" i="4"/>
  <c r="G1181" i="4"/>
  <c r="H1180" i="4"/>
  <c r="G1180" i="4"/>
  <c r="H1179" i="4"/>
  <c r="G1179" i="4"/>
  <c r="H1178" i="4"/>
  <c r="G1178" i="4"/>
  <c r="H1177" i="4"/>
  <c r="G1177" i="4"/>
  <c r="H1176" i="4"/>
  <c r="G1176" i="4"/>
  <c r="H1175" i="4"/>
  <c r="G1175" i="4"/>
  <c r="H1174" i="4"/>
  <c r="G1174" i="4"/>
  <c r="H1173" i="4"/>
  <c r="G1173" i="4"/>
  <c r="H1172" i="4"/>
  <c r="G1172" i="4"/>
  <c r="H1171" i="4"/>
  <c r="G1171" i="4"/>
  <c r="H1170" i="4"/>
  <c r="G1170" i="4"/>
  <c r="H1169" i="4"/>
  <c r="G1169" i="4"/>
  <c r="H1168" i="4"/>
  <c r="G1168" i="4"/>
  <c r="H1167" i="4"/>
  <c r="G1167" i="4"/>
  <c r="H1166" i="4"/>
  <c r="G1166" i="4"/>
  <c r="H1165" i="4"/>
  <c r="G1165" i="4"/>
  <c r="H1164" i="4"/>
  <c r="G1164" i="4"/>
  <c r="H1163" i="4"/>
  <c r="G1163" i="4"/>
  <c r="H1162" i="4"/>
  <c r="G1162" i="4"/>
  <c r="H1161" i="4"/>
  <c r="G1161" i="4"/>
  <c r="H1160" i="4"/>
  <c r="G1160" i="4"/>
  <c r="H1159" i="4"/>
  <c r="G1159" i="4"/>
  <c r="H1158" i="4"/>
  <c r="G1158" i="4"/>
  <c r="H1157" i="4"/>
  <c r="G1157" i="4"/>
  <c r="H1156" i="4"/>
  <c r="G1156" i="4"/>
  <c r="H1155" i="4"/>
  <c r="G1155" i="4"/>
  <c r="H1154" i="4"/>
  <c r="G1154" i="4"/>
  <c r="H1153" i="4"/>
  <c r="G1153" i="4"/>
  <c r="H1152" i="4"/>
  <c r="G1152" i="4"/>
  <c r="H1151" i="4"/>
  <c r="G1151" i="4"/>
  <c r="H1150" i="4"/>
  <c r="G1150" i="4"/>
  <c r="H1149" i="4"/>
  <c r="G1149" i="4"/>
  <c r="H1148" i="4"/>
  <c r="G1148" i="4"/>
  <c r="H1147" i="4"/>
  <c r="G1147" i="4"/>
  <c r="H1146" i="4"/>
  <c r="G1146" i="4"/>
  <c r="H1145" i="4"/>
  <c r="G1145" i="4"/>
  <c r="H1144" i="4"/>
  <c r="G1144" i="4"/>
  <c r="H1143" i="4"/>
  <c r="G1143" i="4"/>
  <c r="H1142" i="4"/>
  <c r="G1142" i="4"/>
  <c r="H1141" i="4"/>
  <c r="G1141" i="4"/>
  <c r="H1140" i="4"/>
  <c r="G1140" i="4"/>
  <c r="H1139" i="4"/>
  <c r="G1139" i="4"/>
  <c r="H1138" i="4"/>
  <c r="G1138" i="4"/>
  <c r="H1137" i="4"/>
  <c r="G1137" i="4"/>
  <c r="H1136" i="4"/>
  <c r="G1136" i="4"/>
  <c r="H1135" i="4"/>
  <c r="G1135" i="4"/>
  <c r="H1134" i="4"/>
  <c r="G1134" i="4"/>
  <c r="H1133" i="4"/>
  <c r="G1133" i="4"/>
  <c r="H1132" i="4"/>
  <c r="G1132" i="4"/>
  <c r="H1131" i="4"/>
  <c r="G1131" i="4"/>
  <c r="H1130" i="4"/>
  <c r="G1130" i="4"/>
  <c r="H1129" i="4"/>
  <c r="G1129" i="4"/>
  <c r="H1128" i="4"/>
  <c r="G1128" i="4"/>
  <c r="H1127" i="4"/>
  <c r="G1127" i="4"/>
  <c r="H1126" i="4"/>
  <c r="G1126" i="4"/>
  <c r="H1125" i="4"/>
  <c r="G1125" i="4"/>
  <c r="H1124" i="4"/>
  <c r="G1124" i="4"/>
  <c r="H1123" i="4"/>
  <c r="G1123" i="4"/>
  <c r="H1122" i="4"/>
  <c r="G1122" i="4"/>
  <c r="H1121" i="4"/>
  <c r="G1121" i="4"/>
  <c r="H1120" i="4"/>
  <c r="G1120" i="4"/>
  <c r="H1119" i="4"/>
  <c r="G1119" i="4"/>
  <c r="H1118" i="4"/>
  <c r="G1118" i="4"/>
  <c r="H1117" i="4"/>
  <c r="G1117" i="4"/>
  <c r="H1116" i="4"/>
  <c r="G1116" i="4"/>
  <c r="H1115" i="4"/>
  <c r="G1115" i="4"/>
  <c r="H1114" i="4"/>
  <c r="G1114" i="4"/>
  <c r="H1113" i="4"/>
  <c r="G1113" i="4"/>
  <c r="H1112" i="4"/>
  <c r="G1112" i="4"/>
  <c r="H1111" i="4"/>
  <c r="G1111" i="4"/>
  <c r="H1110" i="4"/>
  <c r="G1110" i="4"/>
  <c r="H1109" i="4"/>
  <c r="G1109" i="4"/>
  <c r="H1108" i="4"/>
  <c r="G1108" i="4"/>
  <c r="H1107" i="4"/>
  <c r="G1107" i="4"/>
  <c r="H1106" i="4"/>
  <c r="G1106" i="4"/>
  <c r="H1105" i="4"/>
  <c r="G1105" i="4"/>
  <c r="H1104" i="4"/>
  <c r="G1104" i="4"/>
  <c r="H1103" i="4"/>
  <c r="G1103" i="4"/>
  <c r="H1102" i="4"/>
  <c r="G1102" i="4"/>
  <c r="H1101" i="4"/>
  <c r="G1101" i="4"/>
  <c r="H1100" i="4"/>
  <c r="G1100" i="4"/>
  <c r="H1099" i="4"/>
  <c r="G1099" i="4"/>
  <c r="H1098" i="4"/>
  <c r="G1098" i="4"/>
  <c r="H1097" i="4"/>
  <c r="G1097" i="4"/>
  <c r="H1096" i="4"/>
  <c r="G1096" i="4"/>
  <c r="H1095" i="4"/>
  <c r="G1095" i="4"/>
  <c r="H1094" i="4"/>
  <c r="G1094" i="4"/>
  <c r="H1093" i="4"/>
  <c r="G1093" i="4"/>
  <c r="H1092" i="4"/>
  <c r="G1092" i="4"/>
  <c r="H1091" i="4"/>
  <c r="G1091" i="4"/>
  <c r="H1090" i="4"/>
  <c r="G1090" i="4"/>
  <c r="H1089" i="4"/>
  <c r="G1089" i="4"/>
  <c r="H1088" i="4"/>
  <c r="G1088" i="4"/>
  <c r="H1087" i="4"/>
  <c r="G1087" i="4"/>
  <c r="H1086" i="4"/>
  <c r="G1086" i="4"/>
  <c r="H1085" i="4"/>
  <c r="G1085" i="4"/>
  <c r="H1084" i="4"/>
  <c r="G1084" i="4"/>
  <c r="H1083" i="4"/>
  <c r="G1083" i="4"/>
  <c r="H1082" i="4"/>
  <c r="G1082" i="4"/>
  <c r="H1081" i="4"/>
  <c r="G1081" i="4"/>
  <c r="H1080" i="4"/>
  <c r="G1080" i="4"/>
  <c r="H1079" i="4"/>
  <c r="G1079" i="4"/>
  <c r="H1078" i="4"/>
  <c r="G1078" i="4"/>
  <c r="H1077" i="4"/>
  <c r="G1077" i="4"/>
  <c r="H1076" i="4"/>
  <c r="G1076" i="4"/>
  <c r="H1075" i="4"/>
  <c r="G1075" i="4"/>
  <c r="H1074" i="4"/>
  <c r="G1074" i="4"/>
  <c r="H1073" i="4"/>
  <c r="Q489" i="6" s="1"/>
  <c r="G1073" i="4"/>
  <c r="H1072" i="4"/>
  <c r="G1072" i="4"/>
  <c r="H1071" i="4"/>
  <c r="G1071" i="4"/>
  <c r="H1070" i="4"/>
  <c r="G1070" i="4"/>
  <c r="H1069" i="4"/>
  <c r="G1069" i="4"/>
  <c r="H1068" i="4"/>
  <c r="G1068" i="4"/>
  <c r="H1067" i="4"/>
  <c r="G1067" i="4"/>
  <c r="H1066" i="4"/>
  <c r="G1066" i="4"/>
  <c r="H1065" i="4"/>
  <c r="G1065" i="4"/>
  <c r="H1064" i="4"/>
  <c r="G1064" i="4"/>
  <c r="H1063" i="4"/>
  <c r="G1063" i="4"/>
  <c r="H1062" i="4"/>
  <c r="G1062" i="4"/>
  <c r="H1061" i="4"/>
  <c r="G1061" i="4"/>
  <c r="H1060" i="4"/>
  <c r="G1060" i="4"/>
  <c r="H1059" i="4"/>
  <c r="G1059" i="4"/>
  <c r="H1058" i="4"/>
  <c r="G1058" i="4"/>
  <c r="H1057" i="4"/>
  <c r="G1057" i="4"/>
  <c r="H1056" i="4"/>
  <c r="G1056" i="4"/>
  <c r="H1055" i="4"/>
  <c r="G1055" i="4"/>
  <c r="H1054" i="4"/>
  <c r="G1054" i="4"/>
  <c r="H1053" i="4"/>
  <c r="G1053" i="4"/>
  <c r="H1052" i="4"/>
  <c r="G1052" i="4"/>
  <c r="H1051" i="4"/>
  <c r="G1051" i="4"/>
  <c r="H1050" i="4"/>
  <c r="G1050" i="4"/>
  <c r="H1049" i="4"/>
  <c r="G1049" i="4"/>
  <c r="H1048" i="4"/>
  <c r="G1048" i="4"/>
  <c r="H1047" i="4"/>
  <c r="G1047" i="4"/>
  <c r="H1046" i="4"/>
  <c r="G1046" i="4"/>
  <c r="H1045" i="4"/>
  <c r="G1045" i="4"/>
  <c r="H1044" i="4"/>
  <c r="G1044" i="4"/>
  <c r="H1043" i="4"/>
  <c r="G1043" i="4"/>
  <c r="H1042" i="4"/>
  <c r="G1042" i="4"/>
  <c r="H1041" i="4"/>
  <c r="G1041" i="4"/>
  <c r="H1040" i="4"/>
  <c r="G1040" i="4"/>
  <c r="H1039" i="4"/>
  <c r="G1039" i="4"/>
  <c r="H1038" i="4"/>
  <c r="G1038" i="4"/>
  <c r="H1037" i="4"/>
  <c r="G1037" i="4"/>
  <c r="H1036" i="4"/>
  <c r="G1036" i="4"/>
  <c r="H1035" i="4"/>
  <c r="G1035" i="4"/>
  <c r="H1034" i="4"/>
  <c r="G1034" i="4"/>
  <c r="H1033" i="4"/>
  <c r="G1033" i="4"/>
  <c r="H1032" i="4"/>
  <c r="G1032" i="4"/>
  <c r="H1031" i="4"/>
  <c r="G1031" i="4"/>
  <c r="H1030" i="4"/>
  <c r="G1030" i="4"/>
  <c r="H1029" i="4"/>
  <c r="G1029" i="4"/>
  <c r="H1028" i="4"/>
  <c r="G1028" i="4"/>
  <c r="H1027" i="4"/>
  <c r="G1027" i="4"/>
  <c r="H1026" i="4"/>
  <c r="G1026" i="4"/>
  <c r="H1025" i="4"/>
  <c r="G1025" i="4"/>
  <c r="H1024" i="4"/>
  <c r="G1024" i="4"/>
  <c r="H1023" i="4"/>
  <c r="G1023" i="4"/>
  <c r="H1022" i="4"/>
  <c r="G1022" i="4"/>
  <c r="H1021" i="4"/>
  <c r="G1021" i="4"/>
  <c r="H1020" i="4"/>
  <c r="G1020" i="4"/>
  <c r="H1019" i="4"/>
  <c r="G1019" i="4"/>
  <c r="H1018" i="4"/>
  <c r="G1018" i="4"/>
  <c r="H1017" i="4"/>
  <c r="G1017" i="4"/>
  <c r="H1016" i="4"/>
  <c r="G1016" i="4"/>
  <c r="H1015" i="4"/>
  <c r="G1015" i="4"/>
  <c r="H1014" i="4"/>
  <c r="G1014" i="4"/>
  <c r="H1013" i="4"/>
  <c r="G1013" i="4"/>
  <c r="H1012" i="4"/>
  <c r="G1012" i="4"/>
  <c r="H1011" i="4"/>
  <c r="G1011" i="4"/>
  <c r="H1010" i="4"/>
  <c r="G1010" i="4"/>
  <c r="H1009" i="4"/>
  <c r="G1009" i="4"/>
  <c r="H1008" i="4"/>
  <c r="G1008" i="4"/>
  <c r="H1007" i="4"/>
  <c r="G1007" i="4"/>
  <c r="H1006" i="4"/>
  <c r="G1006" i="4"/>
  <c r="H1005" i="4"/>
  <c r="G1005" i="4"/>
  <c r="H1004" i="4"/>
  <c r="G1004" i="4"/>
  <c r="H1003" i="4"/>
  <c r="G1003" i="4"/>
  <c r="H1002" i="4"/>
  <c r="G1002" i="4"/>
  <c r="H1001" i="4"/>
  <c r="G1001" i="4"/>
  <c r="H1000" i="4"/>
  <c r="G1000" i="4"/>
  <c r="H999" i="4"/>
  <c r="G999" i="4"/>
  <c r="H998" i="4"/>
  <c r="G998" i="4"/>
  <c r="H997" i="4"/>
  <c r="G997" i="4"/>
  <c r="H996" i="4"/>
  <c r="G996" i="4"/>
  <c r="H995" i="4"/>
  <c r="G995" i="4"/>
  <c r="H994" i="4"/>
  <c r="G994" i="4"/>
  <c r="H993" i="4"/>
  <c r="G993" i="4"/>
  <c r="H992" i="4"/>
  <c r="G992" i="4"/>
  <c r="H991" i="4"/>
  <c r="G991" i="4"/>
  <c r="H990" i="4"/>
  <c r="G990" i="4"/>
  <c r="H989" i="4"/>
  <c r="G989" i="4"/>
  <c r="H988" i="4"/>
  <c r="G988" i="4"/>
  <c r="H987" i="4"/>
  <c r="G987" i="4"/>
  <c r="H986" i="4"/>
  <c r="G986" i="4"/>
  <c r="H985" i="4"/>
  <c r="G985" i="4"/>
  <c r="H984" i="4"/>
  <c r="G984" i="4"/>
  <c r="H983" i="4"/>
  <c r="G983" i="4"/>
  <c r="H982" i="4"/>
  <c r="G982" i="4"/>
  <c r="H981" i="4"/>
  <c r="G981" i="4"/>
  <c r="H980" i="4"/>
  <c r="G980" i="4"/>
  <c r="H979" i="4"/>
  <c r="G979" i="4"/>
  <c r="H978" i="4"/>
  <c r="G978" i="4"/>
  <c r="H977" i="4"/>
  <c r="G977" i="4"/>
  <c r="H976" i="4"/>
  <c r="G976" i="4"/>
  <c r="H975" i="4"/>
  <c r="G975" i="4"/>
  <c r="H974" i="4"/>
  <c r="G974" i="4"/>
  <c r="H973" i="4"/>
  <c r="G973" i="4"/>
  <c r="H972" i="4"/>
  <c r="G972" i="4"/>
  <c r="H971" i="4"/>
  <c r="G971" i="4"/>
  <c r="H970" i="4"/>
  <c r="G970" i="4"/>
  <c r="H969" i="4"/>
  <c r="G969" i="4"/>
  <c r="H968" i="4"/>
  <c r="G968" i="4"/>
  <c r="H967" i="4"/>
  <c r="G967" i="4"/>
  <c r="H966" i="4"/>
  <c r="G966" i="4"/>
  <c r="H965" i="4"/>
  <c r="G965" i="4"/>
  <c r="H964" i="4"/>
  <c r="G964" i="4"/>
  <c r="H963" i="4"/>
  <c r="G963" i="4"/>
  <c r="H962" i="4"/>
  <c r="G962" i="4"/>
  <c r="H961" i="4"/>
  <c r="G961" i="4"/>
  <c r="H960" i="4"/>
  <c r="G960" i="4"/>
  <c r="H959" i="4"/>
  <c r="G959" i="4"/>
  <c r="H958" i="4"/>
  <c r="G958" i="4"/>
  <c r="H957" i="4"/>
  <c r="G957" i="4"/>
  <c r="H956" i="4"/>
  <c r="G956" i="4"/>
  <c r="H955" i="4"/>
  <c r="G955" i="4"/>
  <c r="H954" i="4"/>
  <c r="G954" i="4"/>
  <c r="H953" i="4"/>
  <c r="G953" i="4"/>
  <c r="H952" i="4"/>
  <c r="G952" i="4"/>
  <c r="H951" i="4"/>
  <c r="G951" i="4"/>
  <c r="H950" i="4"/>
  <c r="G950" i="4"/>
  <c r="H949" i="4"/>
  <c r="G949" i="4"/>
  <c r="H948" i="4"/>
  <c r="G948" i="4"/>
  <c r="H947" i="4"/>
  <c r="G947" i="4"/>
  <c r="H946" i="4"/>
  <c r="G946" i="4"/>
  <c r="H945" i="4"/>
  <c r="G945" i="4"/>
  <c r="H944" i="4"/>
  <c r="G944" i="4"/>
  <c r="H943" i="4"/>
  <c r="G943" i="4"/>
  <c r="H942" i="4"/>
  <c r="G942" i="4"/>
  <c r="H941" i="4"/>
  <c r="G941" i="4"/>
  <c r="H940" i="4"/>
  <c r="G940" i="4"/>
  <c r="H939" i="4"/>
  <c r="G939" i="4"/>
  <c r="H938" i="4"/>
  <c r="G938" i="4"/>
  <c r="H937" i="4"/>
  <c r="G937" i="4"/>
  <c r="H936" i="4"/>
  <c r="G936" i="4"/>
  <c r="H935" i="4"/>
  <c r="G935" i="4"/>
  <c r="H934" i="4"/>
  <c r="G934" i="4"/>
  <c r="H933" i="4"/>
  <c r="G933" i="4"/>
  <c r="H932" i="4"/>
  <c r="G932" i="4"/>
  <c r="H931" i="4"/>
  <c r="G931" i="4"/>
  <c r="H930" i="4"/>
  <c r="G930" i="4"/>
  <c r="H929" i="4"/>
  <c r="G929" i="4"/>
  <c r="H928" i="4"/>
  <c r="G928" i="4"/>
  <c r="H927" i="4"/>
  <c r="G927" i="4"/>
  <c r="H926" i="4"/>
  <c r="G926" i="4"/>
  <c r="H925" i="4"/>
  <c r="G925" i="4"/>
  <c r="H924" i="4"/>
  <c r="G924" i="4"/>
  <c r="H923" i="4"/>
  <c r="G923" i="4"/>
  <c r="H922" i="4"/>
  <c r="G922" i="4"/>
  <c r="H921" i="4"/>
  <c r="G921" i="4"/>
  <c r="H920" i="4"/>
  <c r="G920" i="4"/>
  <c r="H919" i="4"/>
  <c r="G919" i="4"/>
  <c r="H918" i="4"/>
  <c r="G918" i="4"/>
  <c r="H917" i="4"/>
  <c r="G917" i="4"/>
  <c r="H916" i="4"/>
  <c r="G916" i="4"/>
  <c r="H915" i="4"/>
  <c r="G915" i="4"/>
  <c r="H914" i="4"/>
  <c r="G914" i="4"/>
  <c r="H913" i="4"/>
  <c r="G913" i="4"/>
  <c r="H912" i="4"/>
  <c r="G912" i="4"/>
  <c r="H911" i="4"/>
  <c r="G911" i="4"/>
  <c r="H910" i="4"/>
  <c r="G910" i="4"/>
  <c r="H909" i="4"/>
  <c r="G909" i="4"/>
  <c r="H908" i="4"/>
  <c r="G908" i="4"/>
  <c r="H907" i="4"/>
  <c r="G907" i="4"/>
  <c r="H906" i="4"/>
  <c r="G906" i="4"/>
  <c r="H905" i="4"/>
  <c r="G905" i="4"/>
  <c r="H904" i="4"/>
  <c r="G904" i="4"/>
  <c r="H903" i="4"/>
  <c r="G903" i="4"/>
  <c r="H902" i="4"/>
  <c r="G902" i="4"/>
  <c r="H901" i="4"/>
  <c r="G901" i="4"/>
  <c r="H900" i="4"/>
  <c r="G900" i="4"/>
  <c r="H899" i="4"/>
  <c r="G899" i="4"/>
  <c r="H898" i="4"/>
  <c r="G898" i="4"/>
  <c r="H897" i="4"/>
  <c r="G897" i="4"/>
  <c r="H896" i="4"/>
  <c r="G896" i="4"/>
  <c r="H895" i="4"/>
  <c r="G895" i="4"/>
  <c r="H894" i="4"/>
  <c r="G894" i="4"/>
  <c r="H893" i="4"/>
  <c r="G893" i="4"/>
  <c r="H892" i="4"/>
  <c r="G892" i="4"/>
  <c r="H891" i="4"/>
  <c r="G891" i="4"/>
  <c r="H890" i="4"/>
  <c r="G890" i="4"/>
  <c r="H889" i="4"/>
  <c r="G889" i="4"/>
  <c r="H888" i="4"/>
  <c r="G888" i="4"/>
  <c r="H887" i="4"/>
  <c r="G887" i="4"/>
  <c r="H886" i="4"/>
  <c r="G886" i="4"/>
  <c r="H885" i="4"/>
  <c r="G885" i="4"/>
  <c r="H884" i="4"/>
  <c r="G884" i="4"/>
  <c r="H883" i="4"/>
  <c r="G883" i="4"/>
  <c r="H882" i="4"/>
  <c r="G882" i="4"/>
  <c r="H881" i="4"/>
  <c r="G881" i="4"/>
  <c r="H880" i="4"/>
  <c r="G880" i="4"/>
  <c r="H879" i="4"/>
  <c r="G879" i="4"/>
  <c r="H878" i="4"/>
  <c r="G878" i="4"/>
  <c r="H877" i="4"/>
  <c r="G877" i="4"/>
  <c r="H876" i="4"/>
  <c r="G876" i="4"/>
  <c r="H875" i="4"/>
  <c r="G875" i="4"/>
  <c r="H874" i="4"/>
  <c r="G874" i="4"/>
  <c r="H873" i="4"/>
  <c r="G873" i="4"/>
  <c r="H872" i="4"/>
  <c r="G872" i="4"/>
  <c r="H871" i="4"/>
  <c r="G871" i="4"/>
  <c r="H870" i="4"/>
  <c r="G870" i="4"/>
  <c r="H869" i="4"/>
  <c r="G869" i="4"/>
  <c r="H868" i="4"/>
  <c r="G868" i="4"/>
  <c r="H867" i="4"/>
  <c r="G867" i="4"/>
  <c r="H866" i="4"/>
  <c r="G866" i="4"/>
  <c r="H865" i="4"/>
  <c r="G865" i="4"/>
  <c r="H864" i="4"/>
  <c r="G864" i="4"/>
  <c r="H863" i="4"/>
  <c r="G863" i="4"/>
  <c r="H862" i="4"/>
  <c r="G862" i="4"/>
  <c r="H861" i="4"/>
  <c r="G861" i="4"/>
  <c r="H860" i="4"/>
  <c r="G860" i="4"/>
  <c r="H859" i="4"/>
  <c r="G859" i="4"/>
  <c r="H858" i="4"/>
  <c r="G858" i="4"/>
  <c r="H857" i="4"/>
  <c r="G857" i="4"/>
  <c r="H856" i="4"/>
  <c r="G856" i="4"/>
  <c r="H855" i="4"/>
  <c r="G855" i="4"/>
  <c r="H854" i="4"/>
  <c r="G854" i="4"/>
  <c r="H853" i="4"/>
  <c r="G853" i="4"/>
  <c r="H852" i="4"/>
  <c r="G852" i="4"/>
  <c r="H851" i="4"/>
  <c r="G851" i="4"/>
  <c r="H850" i="4"/>
  <c r="G850" i="4"/>
  <c r="H849" i="4"/>
  <c r="G849" i="4"/>
  <c r="H848" i="4"/>
  <c r="G848" i="4"/>
  <c r="H847" i="4"/>
  <c r="G847" i="4"/>
  <c r="H846" i="4"/>
  <c r="G846" i="4"/>
  <c r="H845" i="4"/>
  <c r="G845" i="4"/>
  <c r="H844" i="4"/>
  <c r="G844" i="4"/>
  <c r="H843" i="4"/>
  <c r="G843" i="4"/>
  <c r="H842" i="4"/>
  <c r="G842" i="4"/>
  <c r="H841" i="4"/>
  <c r="G841" i="4"/>
  <c r="H840" i="4"/>
  <c r="G840" i="4"/>
  <c r="H839" i="4"/>
  <c r="G839" i="4"/>
  <c r="H838" i="4"/>
  <c r="G838" i="4"/>
  <c r="H837" i="4"/>
  <c r="G837" i="4"/>
  <c r="H836" i="4"/>
  <c r="G836" i="4"/>
  <c r="H835" i="4"/>
  <c r="G835" i="4"/>
  <c r="H834" i="4"/>
  <c r="G834" i="4"/>
  <c r="H833" i="4"/>
  <c r="G833" i="4"/>
  <c r="H832" i="4"/>
  <c r="G832" i="4"/>
  <c r="H831" i="4"/>
  <c r="G831" i="4"/>
  <c r="H830" i="4"/>
  <c r="G830" i="4"/>
  <c r="H829" i="4"/>
  <c r="G829" i="4"/>
  <c r="H828" i="4"/>
  <c r="G828" i="4"/>
  <c r="H827" i="4"/>
  <c r="G827" i="4"/>
  <c r="H826" i="4"/>
  <c r="G826" i="4"/>
  <c r="H825" i="4"/>
  <c r="G825" i="4"/>
  <c r="H824" i="4"/>
  <c r="G824" i="4"/>
  <c r="H823" i="4"/>
  <c r="G823" i="4"/>
  <c r="H822" i="4"/>
  <c r="G822" i="4"/>
  <c r="H821" i="4"/>
  <c r="G821" i="4"/>
  <c r="H820" i="4"/>
  <c r="G820" i="4"/>
  <c r="H819" i="4"/>
  <c r="G819" i="4"/>
  <c r="H818" i="4"/>
  <c r="G818" i="4"/>
  <c r="H817" i="4"/>
  <c r="G817" i="4"/>
  <c r="H816" i="4"/>
  <c r="G816" i="4"/>
  <c r="H815" i="4"/>
  <c r="G815" i="4"/>
  <c r="H814" i="4"/>
  <c r="G814" i="4"/>
  <c r="H813" i="4"/>
  <c r="G813" i="4"/>
  <c r="H812" i="4"/>
  <c r="G812" i="4"/>
  <c r="H811" i="4"/>
  <c r="G811" i="4"/>
  <c r="H810" i="4"/>
  <c r="G810" i="4"/>
  <c r="H809" i="4"/>
  <c r="G809" i="4"/>
  <c r="H808" i="4"/>
  <c r="G808" i="4"/>
  <c r="H807" i="4"/>
  <c r="G807" i="4"/>
  <c r="H806" i="4"/>
  <c r="G806" i="4"/>
  <c r="H805" i="4"/>
  <c r="G805" i="4"/>
  <c r="H804" i="4"/>
  <c r="G804" i="4"/>
  <c r="H803" i="4"/>
  <c r="G803" i="4"/>
  <c r="H802" i="4"/>
  <c r="G802" i="4"/>
  <c r="H801" i="4"/>
  <c r="G801" i="4"/>
  <c r="H800" i="4"/>
  <c r="G800" i="4"/>
  <c r="H799" i="4"/>
  <c r="G799" i="4"/>
  <c r="H798" i="4"/>
  <c r="G798" i="4"/>
  <c r="H797" i="4"/>
  <c r="G797" i="4"/>
  <c r="H796" i="4"/>
  <c r="G796" i="4"/>
  <c r="H795" i="4"/>
  <c r="G795" i="4"/>
  <c r="H794" i="4"/>
  <c r="G794" i="4"/>
  <c r="H793" i="4"/>
  <c r="G793" i="4"/>
  <c r="H792" i="4"/>
  <c r="G792" i="4"/>
  <c r="H791" i="4"/>
  <c r="G791" i="4"/>
  <c r="H790" i="4"/>
  <c r="G790" i="4"/>
  <c r="H789" i="4"/>
  <c r="G789" i="4"/>
  <c r="H788" i="4"/>
  <c r="G788" i="4"/>
  <c r="H787" i="4"/>
  <c r="G787" i="4"/>
  <c r="H786" i="4"/>
  <c r="G786" i="4"/>
  <c r="H785" i="4"/>
  <c r="G785" i="4"/>
  <c r="H784" i="4"/>
  <c r="G784" i="4"/>
  <c r="H783" i="4"/>
  <c r="G783" i="4"/>
  <c r="H782" i="4"/>
  <c r="G782" i="4"/>
  <c r="H781" i="4"/>
  <c r="G781" i="4"/>
  <c r="H780" i="4"/>
  <c r="G780" i="4"/>
  <c r="H779" i="4"/>
  <c r="G779" i="4"/>
  <c r="H778" i="4"/>
  <c r="G778" i="4"/>
  <c r="H777" i="4"/>
  <c r="G777" i="4"/>
  <c r="H776" i="4"/>
  <c r="G776" i="4"/>
  <c r="H775" i="4"/>
  <c r="G775" i="4"/>
  <c r="H774" i="4"/>
  <c r="G774" i="4"/>
  <c r="H773" i="4"/>
  <c r="G773" i="4"/>
  <c r="H772" i="4"/>
  <c r="G772" i="4"/>
  <c r="H771" i="4"/>
  <c r="G771" i="4"/>
  <c r="H770" i="4"/>
  <c r="G770" i="4"/>
  <c r="H769" i="4"/>
  <c r="G769" i="4"/>
  <c r="H768" i="4"/>
  <c r="G768" i="4"/>
  <c r="H767" i="4"/>
  <c r="G767" i="4"/>
  <c r="H766" i="4"/>
  <c r="G766" i="4"/>
  <c r="H765" i="4"/>
  <c r="G765" i="4"/>
  <c r="H764" i="4"/>
  <c r="G764" i="4"/>
  <c r="H763" i="4"/>
  <c r="G763" i="4"/>
  <c r="H762" i="4"/>
  <c r="G762" i="4"/>
  <c r="H761" i="4"/>
  <c r="G761" i="4"/>
  <c r="H760" i="4"/>
  <c r="G760" i="4"/>
  <c r="H759" i="4"/>
  <c r="G759" i="4"/>
  <c r="H758" i="4"/>
  <c r="G758" i="4"/>
  <c r="H757" i="4"/>
  <c r="G757" i="4"/>
  <c r="H756" i="4"/>
  <c r="G756" i="4"/>
  <c r="H755" i="4"/>
  <c r="G755" i="4"/>
  <c r="H754" i="4"/>
  <c r="G754" i="4"/>
  <c r="H753" i="4"/>
  <c r="G753" i="4"/>
  <c r="H752" i="4"/>
  <c r="G752" i="4"/>
  <c r="H751" i="4"/>
  <c r="G751" i="4"/>
  <c r="H750" i="4"/>
  <c r="G750" i="4"/>
  <c r="H749" i="4"/>
  <c r="G749" i="4"/>
  <c r="H748" i="4"/>
  <c r="G748" i="4"/>
  <c r="H747" i="4"/>
  <c r="G747" i="4"/>
  <c r="H746" i="4"/>
  <c r="G746" i="4"/>
  <c r="H745" i="4"/>
  <c r="G745" i="4"/>
  <c r="H744" i="4"/>
  <c r="G744" i="4"/>
  <c r="H743" i="4"/>
  <c r="G743" i="4"/>
  <c r="H742" i="4"/>
  <c r="G742" i="4"/>
  <c r="H741" i="4"/>
  <c r="G741" i="4"/>
  <c r="H740" i="4"/>
  <c r="G740" i="4"/>
  <c r="H739" i="4"/>
  <c r="G739" i="4"/>
  <c r="H738" i="4"/>
  <c r="G738" i="4"/>
  <c r="H737" i="4"/>
  <c r="G737" i="4"/>
  <c r="H736" i="4"/>
  <c r="G736" i="4"/>
  <c r="H735" i="4"/>
  <c r="G735" i="4"/>
  <c r="H734" i="4"/>
  <c r="G734" i="4"/>
  <c r="H733" i="4"/>
  <c r="G733" i="4"/>
  <c r="H732" i="4"/>
  <c r="G732" i="4"/>
  <c r="H731" i="4"/>
  <c r="G731" i="4"/>
  <c r="H730" i="4"/>
  <c r="G730" i="4"/>
  <c r="H729" i="4"/>
  <c r="G729" i="4"/>
  <c r="H728" i="4"/>
  <c r="G728" i="4"/>
  <c r="H727" i="4"/>
  <c r="G727" i="4"/>
  <c r="H726" i="4"/>
  <c r="G726" i="4"/>
  <c r="H725" i="4"/>
  <c r="G725" i="4"/>
  <c r="H724" i="4"/>
  <c r="G724" i="4"/>
  <c r="H723" i="4"/>
  <c r="G723" i="4"/>
  <c r="H722" i="4"/>
  <c r="G722" i="4"/>
  <c r="H721" i="4"/>
  <c r="G721" i="4"/>
  <c r="H720" i="4"/>
  <c r="G720" i="4"/>
  <c r="H719" i="4"/>
  <c r="G719" i="4"/>
  <c r="H718" i="4"/>
  <c r="G718" i="4"/>
  <c r="H717" i="4"/>
  <c r="G717" i="4"/>
  <c r="H716" i="4"/>
  <c r="G716" i="4"/>
  <c r="H715" i="4"/>
  <c r="G715" i="4"/>
  <c r="H714" i="4"/>
  <c r="G714" i="4"/>
  <c r="H713" i="4"/>
  <c r="G713" i="4"/>
  <c r="H712" i="4"/>
  <c r="G712" i="4"/>
  <c r="H711" i="4"/>
  <c r="G711" i="4"/>
  <c r="H710" i="4"/>
  <c r="G710" i="4"/>
  <c r="H709" i="4"/>
  <c r="G709" i="4"/>
  <c r="H708" i="4"/>
  <c r="G708" i="4"/>
  <c r="H707" i="4"/>
  <c r="G707" i="4"/>
  <c r="H706" i="4"/>
  <c r="G706" i="4"/>
  <c r="H705" i="4"/>
  <c r="G705" i="4"/>
  <c r="H704" i="4"/>
  <c r="G704" i="4"/>
  <c r="H703" i="4"/>
  <c r="G703" i="4"/>
  <c r="H702" i="4"/>
  <c r="G702" i="4"/>
  <c r="H701" i="4"/>
  <c r="G701" i="4"/>
  <c r="H700" i="4"/>
  <c r="G700" i="4"/>
  <c r="H699" i="4"/>
  <c r="G699" i="4"/>
  <c r="H698" i="4"/>
  <c r="G698" i="4"/>
  <c r="H697" i="4"/>
  <c r="G697" i="4"/>
  <c r="H696" i="4"/>
  <c r="G696" i="4"/>
  <c r="H695" i="4"/>
  <c r="G695" i="4"/>
  <c r="H694" i="4"/>
  <c r="G694" i="4"/>
  <c r="H693" i="4"/>
  <c r="G693" i="4"/>
  <c r="H692" i="4"/>
  <c r="G692" i="4"/>
  <c r="H691" i="4"/>
  <c r="G691" i="4"/>
  <c r="H690" i="4"/>
  <c r="G690" i="4"/>
  <c r="H689" i="4"/>
  <c r="G689" i="4"/>
  <c r="H688" i="4"/>
  <c r="G688" i="4"/>
  <c r="H687" i="4"/>
  <c r="G687" i="4"/>
  <c r="H686" i="4"/>
  <c r="G686" i="4"/>
  <c r="H685" i="4"/>
  <c r="G685" i="4"/>
  <c r="H684" i="4"/>
  <c r="G684" i="4"/>
  <c r="H683" i="4"/>
  <c r="G683" i="4"/>
  <c r="H682" i="4"/>
  <c r="G682" i="4"/>
  <c r="H681" i="4"/>
  <c r="G681" i="4"/>
  <c r="H680" i="4"/>
  <c r="G680" i="4"/>
  <c r="H679" i="4"/>
  <c r="G679" i="4"/>
  <c r="H678" i="4"/>
  <c r="G678" i="4"/>
  <c r="H677" i="4"/>
  <c r="G677" i="4"/>
  <c r="H676" i="4"/>
  <c r="G676" i="4"/>
  <c r="H675" i="4"/>
  <c r="G675" i="4"/>
  <c r="H674" i="4"/>
  <c r="G674" i="4"/>
  <c r="H673" i="4"/>
  <c r="G673" i="4"/>
  <c r="H672" i="4"/>
  <c r="G672" i="4"/>
  <c r="H671" i="4"/>
  <c r="G671" i="4"/>
  <c r="H670" i="4"/>
  <c r="G670" i="4"/>
  <c r="H669" i="4"/>
  <c r="G669" i="4"/>
  <c r="H668" i="4"/>
  <c r="G668" i="4"/>
  <c r="H667" i="4"/>
  <c r="G667" i="4"/>
  <c r="H666" i="4"/>
  <c r="G666" i="4"/>
  <c r="H665" i="4"/>
  <c r="G665" i="4"/>
  <c r="H664" i="4"/>
  <c r="G664" i="4"/>
  <c r="H663" i="4"/>
  <c r="G663" i="4"/>
  <c r="H662" i="4"/>
  <c r="G662" i="4"/>
  <c r="H661" i="4"/>
  <c r="G661" i="4"/>
  <c r="H660" i="4"/>
  <c r="G660" i="4"/>
  <c r="H659" i="4"/>
  <c r="G659" i="4"/>
  <c r="H658" i="4"/>
  <c r="G658" i="4"/>
  <c r="H657" i="4"/>
  <c r="G657" i="4"/>
  <c r="H656" i="4"/>
  <c r="G656" i="4"/>
  <c r="H655" i="4"/>
  <c r="G655" i="4"/>
  <c r="H654" i="4"/>
  <c r="G654" i="4"/>
  <c r="H653" i="4"/>
  <c r="G653" i="4"/>
  <c r="H652" i="4"/>
  <c r="G652" i="4"/>
  <c r="H651" i="4"/>
  <c r="G651" i="4"/>
  <c r="H650" i="4"/>
  <c r="G650" i="4"/>
  <c r="H649" i="4"/>
  <c r="G649" i="4"/>
  <c r="H648" i="4"/>
  <c r="G648" i="4"/>
  <c r="H647" i="4"/>
  <c r="G647" i="4"/>
  <c r="H646" i="4"/>
  <c r="G646" i="4"/>
  <c r="H645" i="4"/>
  <c r="G645" i="4"/>
  <c r="H644" i="4"/>
  <c r="G644" i="4"/>
  <c r="H643" i="4"/>
  <c r="G643" i="4"/>
  <c r="H642" i="4"/>
  <c r="G642" i="4"/>
  <c r="H641" i="4"/>
  <c r="G641" i="4"/>
  <c r="H640" i="4"/>
  <c r="G640" i="4"/>
  <c r="H639" i="4"/>
  <c r="G639" i="4"/>
  <c r="H638" i="4"/>
  <c r="G638" i="4"/>
  <c r="H637" i="4"/>
  <c r="G637" i="4"/>
  <c r="H636" i="4"/>
  <c r="G636" i="4"/>
  <c r="H635" i="4"/>
  <c r="G635" i="4"/>
  <c r="H634" i="4"/>
  <c r="G634" i="4"/>
  <c r="H633" i="4"/>
  <c r="G633" i="4"/>
  <c r="H632" i="4"/>
  <c r="G632" i="4"/>
  <c r="H631" i="4"/>
  <c r="G631" i="4"/>
  <c r="H630" i="4"/>
  <c r="G630" i="4"/>
  <c r="H629" i="4"/>
  <c r="G629" i="4"/>
  <c r="H628" i="4"/>
  <c r="G628" i="4"/>
  <c r="H627" i="4"/>
  <c r="G627" i="4"/>
  <c r="H626" i="4"/>
  <c r="G626" i="4"/>
  <c r="H625" i="4"/>
  <c r="G625" i="4"/>
  <c r="H624" i="4"/>
  <c r="G624" i="4"/>
  <c r="H623" i="4"/>
  <c r="G623" i="4"/>
  <c r="H622" i="4"/>
  <c r="G622" i="4"/>
  <c r="H621" i="4"/>
  <c r="G621" i="4"/>
  <c r="H620" i="4"/>
  <c r="G620" i="4"/>
  <c r="H619" i="4"/>
  <c r="G619" i="4"/>
  <c r="H618" i="4"/>
  <c r="G618" i="4"/>
  <c r="H617" i="4"/>
  <c r="G617" i="4"/>
  <c r="H616" i="4"/>
  <c r="G616" i="4"/>
  <c r="H615" i="4"/>
  <c r="G615" i="4"/>
  <c r="H614" i="4"/>
  <c r="G614" i="4"/>
  <c r="H613" i="4"/>
  <c r="G613" i="4"/>
  <c r="H612" i="4"/>
  <c r="G612" i="4"/>
  <c r="H611" i="4"/>
  <c r="G611" i="4"/>
  <c r="H610" i="4"/>
  <c r="G610" i="4"/>
  <c r="H609" i="4"/>
  <c r="G609" i="4"/>
  <c r="H608" i="4"/>
  <c r="G608" i="4"/>
  <c r="H607" i="4"/>
  <c r="G607" i="4"/>
  <c r="H606" i="4"/>
  <c r="G606" i="4"/>
  <c r="H605" i="4"/>
  <c r="G605" i="4"/>
  <c r="H604" i="4"/>
  <c r="G604" i="4"/>
  <c r="H603" i="4"/>
  <c r="G603" i="4"/>
  <c r="H602" i="4"/>
  <c r="G602" i="4"/>
  <c r="H601" i="4"/>
  <c r="G601" i="4"/>
  <c r="H600" i="4"/>
  <c r="G600" i="4"/>
  <c r="H599" i="4"/>
  <c r="G599" i="4"/>
  <c r="H598" i="4"/>
  <c r="G598" i="4"/>
  <c r="H597" i="4"/>
  <c r="G597" i="4"/>
  <c r="H596" i="4"/>
  <c r="G596" i="4"/>
  <c r="H595" i="4"/>
  <c r="G595" i="4"/>
  <c r="H594" i="4"/>
  <c r="G594" i="4"/>
  <c r="H593" i="4"/>
  <c r="G593" i="4"/>
  <c r="H592" i="4"/>
  <c r="G592" i="4"/>
  <c r="H591" i="4"/>
  <c r="G591" i="4"/>
  <c r="H590" i="4"/>
  <c r="G590" i="4"/>
  <c r="H589" i="4"/>
  <c r="G589" i="4"/>
  <c r="H588" i="4"/>
  <c r="G588" i="4"/>
  <c r="H587" i="4"/>
  <c r="G587" i="4"/>
  <c r="H586" i="4"/>
  <c r="G586" i="4"/>
  <c r="H585" i="4"/>
  <c r="G585" i="4"/>
  <c r="H584" i="4"/>
  <c r="G584" i="4"/>
  <c r="H583" i="4"/>
  <c r="G583" i="4"/>
  <c r="H582" i="4"/>
  <c r="G582" i="4"/>
  <c r="H581" i="4"/>
  <c r="G581" i="4"/>
  <c r="H580" i="4"/>
  <c r="G580" i="4"/>
  <c r="H579" i="4"/>
  <c r="G579" i="4"/>
  <c r="H578" i="4"/>
  <c r="G578" i="4"/>
  <c r="H577" i="4"/>
  <c r="G577" i="4"/>
  <c r="H576" i="4"/>
  <c r="G576" i="4"/>
  <c r="H575" i="4"/>
  <c r="G575" i="4"/>
  <c r="H574" i="4"/>
  <c r="G574" i="4"/>
  <c r="H573" i="4"/>
  <c r="G573" i="4"/>
  <c r="H572" i="4"/>
  <c r="G572" i="4"/>
  <c r="H571" i="4"/>
  <c r="G571" i="4"/>
  <c r="H570" i="4"/>
  <c r="G570" i="4"/>
  <c r="H569" i="4"/>
  <c r="G569" i="4"/>
  <c r="H568" i="4"/>
  <c r="G568" i="4"/>
  <c r="H567" i="4"/>
  <c r="G567" i="4"/>
  <c r="H566" i="4"/>
  <c r="G566" i="4"/>
  <c r="H565" i="4"/>
  <c r="G565" i="4"/>
  <c r="H564" i="4"/>
  <c r="G564" i="4"/>
  <c r="H563" i="4"/>
  <c r="G563" i="4"/>
  <c r="H562" i="4"/>
  <c r="G562" i="4"/>
  <c r="H561" i="4"/>
  <c r="G561" i="4"/>
  <c r="H560" i="4"/>
  <c r="G560" i="4"/>
  <c r="H559" i="4"/>
  <c r="G559" i="4"/>
  <c r="H558" i="4"/>
  <c r="G558" i="4"/>
  <c r="H557" i="4"/>
  <c r="G557" i="4"/>
  <c r="H556" i="4"/>
  <c r="G556" i="4"/>
  <c r="H555" i="4"/>
  <c r="G555" i="4"/>
  <c r="H554" i="4"/>
  <c r="G554" i="4"/>
  <c r="H553" i="4"/>
  <c r="G553" i="4"/>
  <c r="H552" i="4"/>
  <c r="G552" i="4"/>
  <c r="H551" i="4"/>
  <c r="G551" i="4"/>
  <c r="H550" i="4"/>
  <c r="G550" i="4"/>
  <c r="H549" i="4"/>
  <c r="G549" i="4"/>
  <c r="H548" i="4"/>
  <c r="G548" i="4"/>
  <c r="H547" i="4"/>
  <c r="G547" i="4"/>
  <c r="H546" i="4"/>
  <c r="G546" i="4"/>
  <c r="H545" i="4"/>
  <c r="G545" i="4"/>
  <c r="H544" i="4"/>
  <c r="G544" i="4"/>
  <c r="H543" i="4"/>
  <c r="G543" i="4"/>
  <c r="H542" i="4"/>
  <c r="G542" i="4"/>
  <c r="H541" i="4"/>
  <c r="G541" i="4"/>
  <c r="H540" i="4"/>
  <c r="G540" i="4"/>
  <c r="H539" i="4"/>
  <c r="G539" i="4"/>
  <c r="H538" i="4"/>
  <c r="G538" i="4"/>
  <c r="H537" i="4"/>
  <c r="G537" i="4"/>
  <c r="H536" i="4"/>
  <c r="G536" i="4"/>
  <c r="H535" i="4"/>
  <c r="G535" i="4"/>
  <c r="H534" i="4"/>
  <c r="G534" i="4"/>
  <c r="H533" i="4"/>
  <c r="G533" i="4"/>
  <c r="H532" i="4"/>
  <c r="G532" i="4"/>
  <c r="H531" i="4"/>
  <c r="G531" i="4"/>
  <c r="H530" i="4"/>
  <c r="G530" i="4"/>
  <c r="H529" i="4"/>
  <c r="G529" i="4"/>
  <c r="H528" i="4"/>
  <c r="G528" i="4"/>
  <c r="H527" i="4"/>
  <c r="G527" i="4"/>
  <c r="H526" i="4"/>
  <c r="G526" i="4"/>
  <c r="H525" i="4"/>
  <c r="G525" i="4"/>
  <c r="H524" i="4"/>
  <c r="G524" i="4"/>
  <c r="H523" i="4"/>
  <c r="G523" i="4"/>
  <c r="H522" i="4"/>
  <c r="G522" i="4"/>
  <c r="H521" i="4"/>
  <c r="G521" i="4"/>
  <c r="H520" i="4"/>
  <c r="G520" i="4"/>
  <c r="H519" i="4"/>
  <c r="G519" i="4"/>
  <c r="H518" i="4"/>
  <c r="G518" i="4"/>
  <c r="H517" i="4"/>
  <c r="G517" i="4"/>
  <c r="H516" i="4"/>
  <c r="G516" i="4"/>
  <c r="H515" i="4"/>
  <c r="G515" i="4"/>
  <c r="H514" i="4"/>
  <c r="G514" i="4"/>
  <c r="H513" i="4"/>
  <c r="G513" i="4"/>
  <c r="H512" i="4"/>
  <c r="G512" i="4"/>
  <c r="H511" i="4"/>
  <c r="G511" i="4"/>
  <c r="H510" i="4"/>
  <c r="G510" i="4"/>
  <c r="H509" i="4"/>
  <c r="G509" i="4"/>
  <c r="H508" i="4"/>
  <c r="G508" i="4"/>
  <c r="H507" i="4"/>
  <c r="G507" i="4"/>
  <c r="H506" i="4"/>
  <c r="G506" i="4"/>
  <c r="H505" i="4"/>
  <c r="G505" i="4"/>
  <c r="H504" i="4"/>
  <c r="G504" i="4"/>
  <c r="H503" i="4"/>
  <c r="G503" i="4"/>
  <c r="H502" i="4"/>
  <c r="G502" i="4"/>
  <c r="H501" i="4"/>
  <c r="G501" i="4"/>
  <c r="H500" i="4"/>
  <c r="G500" i="4"/>
  <c r="H499" i="4"/>
  <c r="G499" i="4"/>
  <c r="H498" i="4"/>
  <c r="G498" i="4"/>
  <c r="H497" i="4"/>
  <c r="G497" i="4"/>
  <c r="H496" i="4"/>
  <c r="G496" i="4"/>
  <c r="H495" i="4"/>
  <c r="G495" i="4"/>
  <c r="H494" i="4"/>
  <c r="G494" i="4"/>
  <c r="H493" i="4"/>
  <c r="G493" i="4"/>
  <c r="H492" i="4"/>
  <c r="G492" i="4"/>
  <c r="H491" i="4"/>
  <c r="G491" i="4"/>
  <c r="H490" i="4"/>
  <c r="G490" i="4"/>
  <c r="H489" i="4"/>
  <c r="G489" i="4"/>
  <c r="H488" i="4"/>
  <c r="G488" i="4"/>
  <c r="H487" i="4"/>
  <c r="G487" i="4"/>
  <c r="H486" i="4"/>
  <c r="G486" i="4"/>
  <c r="H485" i="4"/>
  <c r="G485" i="4"/>
  <c r="H484" i="4"/>
  <c r="G484" i="4"/>
  <c r="H483" i="4"/>
  <c r="G483" i="4"/>
  <c r="H482" i="4"/>
  <c r="G482" i="4"/>
  <c r="H481" i="4"/>
  <c r="G481" i="4"/>
  <c r="H480" i="4"/>
  <c r="G480" i="4"/>
  <c r="H479" i="4"/>
  <c r="G479" i="4"/>
  <c r="H478" i="4"/>
  <c r="G478" i="4"/>
  <c r="H477" i="4"/>
  <c r="G477" i="4"/>
  <c r="H476" i="4"/>
  <c r="G476" i="4"/>
  <c r="H475" i="4"/>
  <c r="G475" i="4"/>
  <c r="H474" i="4"/>
  <c r="G474" i="4"/>
  <c r="H473" i="4"/>
  <c r="G473" i="4"/>
  <c r="H472" i="4"/>
  <c r="G472" i="4"/>
  <c r="H471" i="4"/>
  <c r="G471" i="4"/>
  <c r="H470" i="4"/>
  <c r="G470" i="4"/>
  <c r="H469" i="4"/>
  <c r="G469" i="4"/>
  <c r="H468" i="4"/>
  <c r="G468" i="4"/>
  <c r="H467" i="4"/>
  <c r="G467" i="4"/>
  <c r="H466" i="4"/>
  <c r="G466" i="4"/>
  <c r="H465" i="4"/>
  <c r="G465" i="4"/>
  <c r="H464" i="4"/>
  <c r="G464" i="4"/>
  <c r="H463" i="4"/>
  <c r="G463" i="4"/>
  <c r="H462" i="4"/>
  <c r="G462" i="4"/>
  <c r="H461" i="4"/>
  <c r="G461" i="4"/>
  <c r="H460" i="4"/>
  <c r="G460" i="4"/>
  <c r="H459" i="4"/>
  <c r="G459" i="4"/>
  <c r="H458" i="4"/>
  <c r="G458" i="4"/>
  <c r="H457" i="4"/>
  <c r="G457" i="4"/>
  <c r="H456" i="4"/>
  <c r="G456" i="4"/>
  <c r="H455" i="4"/>
  <c r="G455" i="4"/>
  <c r="H454" i="4"/>
  <c r="G454" i="4"/>
  <c r="H453" i="4"/>
  <c r="G453" i="4"/>
  <c r="H452" i="4"/>
  <c r="G452" i="4"/>
  <c r="H451" i="4"/>
  <c r="G451" i="4"/>
  <c r="H450" i="4"/>
  <c r="G450" i="4"/>
  <c r="H449" i="4"/>
  <c r="G449" i="4"/>
  <c r="H448" i="4"/>
  <c r="G448" i="4"/>
  <c r="H447" i="4"/>
  <c r="G447" i="4"/>
  <c r="H446" i="4"/>
  <c r="G446" i="4"/>
  <c r="H445" i="4"/>
  <c r="G445" i="4"/>
  <c r="H444" i="4"/>
  <c r="G444" i="4"/>
  <c r="H443" i="4"/>
  <c r="G443" i="4"/>
  <c r="H442" i="4"/>
  <c r="G442" i="4"/>
  <c r="H441" i="4"/>
  <c r="G441" i="4"/>
  <c r="H440" i="4"/>
  <c r="G440" i="4"/>
  <c r="H439" i="4"/>
  <c r="G439" i="4"/>
  <c r="H438" i="4"/>
  <c r="G438" i="4"/>
  <c r="H437" i="4"/>
  <c r="G437" i="4"/>
  <c r="H436" i="4"/>
  <c r="G436" i="4"/>
  <c r="H435" i="4"/>
  <c r="G435" i="4"/>
  <c r="H434" i="4"/>
  <c r="G434" i="4"/>
  <c r="H433" i="4"/>
  <c r="G433" i="4"/>
  <c r="H432" i="4"/>
  <c r="G432" i="4"/>
  <c r="H431" i="4"/>
  <c r="G431" i="4"/>
  <c r="H430" i="4"/>
  <c r="G430" i="4"/>
  <c r="H429" i="4"/>
  <c r="G429" i="4"/>
  <c r="H428" i="4"/>
  <c r="G428" i="4"/>
  <c r="H427" i="4"/>
  <c r="G427" i="4"/>
  <c r="H426" i="4"/>
  <c r="G426" i="4"/>
  <c r="H425" i="4"/>
  <c r="G425" i="4"/>
  <c r="H424" i="4"/>
  <c r="G424" i="4"/>
  <c r="H423" i="4"/>
  <c r="G423" i="4"/>
  <c r="H422" i="4"/>
  <c r="G422" i="4"/>
  <c r="H421" i="4"/>
  <c r="G421" i="4"/>
  <c r="H420" i="4"/>
  <c r="G420" i="4"/>
  <c r="H419" i="4"/>
  <c r="G419" i="4"/>
  <c r="H418" i="4"/>
  <c r="G418" i="4"/>
  <c r="H417" i="4"/>
  <c r="G417" i="4"/>
  <c r="H416" i="4"/>
  <c r="G416" i="4"/>
  <c r="H415" i="4"/>
  <c r="G415" i="4"/>
  <c r="H414" i="4"/>
  <c r="G414" i="4"/>
  <c r="H413" i="4"/>
  <c r="G413" i="4"/>
  <c r="H412" i="4"/>
  <c r="G412" i="4"/>
  <c r="H411" i="4"/>
  <c r="G411" i="4"/>
  <c r="H410" i="4"/>
  <c r="G410" i="4"/>
  <c r="H409" i="4"/>
  <c r="G409" i="4"/>
  <c r="H408" i="4"/>
  <c r="G408" i="4"/>
  <c r="H407" i="4"/>
  <c r="G407" i="4"/>
  <c r="H406" i="4"/>
  <c r="G406" i="4"/>
  <c r="H405" i="4"/>
  <c r="G405" i="4"/>
  <c r="H404" i="4"/>
  <c r="G404" i="4"/>
  <c r="H403" i="4"/>
  <c r="G403" i="4"/>
  <c r="H402" i="4"/>
  <c r="G402" i="4"/>
  <c r="H401" i="4"/>
  <c r="G401" i="4"/>
  <c r="H400" i="4"/>
  <c r="G400" i="4"/>
  <c r="H399" i="4"/>
  <c r="G399" i="4"/>
  <c r="H398" i="4"/>
  <c r="G398" i="4"/>
  <c r="H397" i="4"/>
  <c r="G397" i="4"/>
  <c r="H396" i="4"/>
  <c r="G396" i="4"/>
  <c r="H395" i="4"/>
  <c r="G395" i="4"/>
  <c r="H394" i="4"/>
  <c r="G394" i="4"/>
  <c r="H393" i="4"/>
  <c r="G393" i="4"/>
  <c r="H392" i="4"/>
  <c r="G392" i="4"/>
  <c r="H391" i="4"/>
  <c r="G391" i="4"/>
  <c r="H390" i="4"/>
  <c r="G390" i="4"/>
  <c r="H389" i="4"/>
  <c r="G389" i="4"/>
  <c r="H388" i="4"/>
  <c r="G388" i="4"/>
  <c r="H387" i="4"/>
  <c r="G387" i="4"/>
  <c r="H386" i="4"/>
  <c r="G386" i="4"/>
  <c r="H385" i="4"/>
  <c r="G385" i="4"/>
  <c r="H384" i="4"/>
  <c r="G384" i="4"/>
  <c r="H383" i="4"/>
  <c r="G383" i="4"/>
  <c r="H382" i="4"/>
  <c r="G382" i="4"/>
  <c r="H381" i="4"/>
  <c r="G381" i="4"/>
  <c r="H380" i="4"/>
  <c r="G380" i="4"/>
  <c r="H379" i="4"/>
  <c r="G379" i="4"/>
  <c r="H378" i="4"/>
  <c r="G378" i="4"/>
  <c r="H377" i="4"/>
  <c r="G377" i="4"/>
  <c r="H376" i="4"/>
  <c r="G376" i="4"/>
  <c r="H375" i="4"/>
  <c r="G375" i="4"/>
  <c r="H374" i="4"/>
  <c r="G374" i="4"/>
  <c r="H373" i="4"/>
  <c r="G373" i="4"/>
  <c r="H372" i="4"/>
  <c r="G372" i="4"/>
  <c r="H371" i="4"/>
  <c r="G371" i="4"/>
  <c r="H370" i="4"/>
  <c r="G370" i="4"/>
  <c r="H369" i="4"/>
  <c r="G369" i="4"/>
  <c r="H368" i="4"/>
  <c r="G368" i="4"/>
  <c r="H367" i="4"/>
  <c r="G367" i="4"/>
  <c r="H366" i="4"/>
  <c r="G366" i="4"/>
  <c r="H365" i="4"/>
  <c r="G365" i="4"/>
  <c r="H364" i="4"/>
  <c r="G364" i="4"/>
  <c r="H363" i="4"/>
  <c r="G363" i="4"/>
  <c r="H362" i="4"/>
  <c r="G362" i="4"/>
  <c r="H361" i="4"/>
  <c r="G361" i="4"/>
  <c r="H360" i="4"/>
  <c r="G360" i="4"/>
  <c r="H359" i="4"/>
  <c r="G359" i="4"/>
  <c r="H358" i="4"/>
  <c r="G358" i="4"/>
  <c r="H357" i="4"/>
  <c r="G357" i="4"/>
  <c r="H356" i="4"/>
  <c r="G356" i="4"/>
  <c r="H355" i="4"/>
  <c r="G355" i="4"/>
  <c r="H354" i="4"/>
  <c r="G354" i="4"/>
  <c r="H353" i="4"/>
  <c r="G353" i="4"/>
  <c r="H352" i="4"/>
  <c r="G352" i="4"/>
  <c r="H351" i="4"/>
  <c r="G351" i="4"/>
  <c r="H350" i="4"/>
  <c r="G350" i="4"/>
  <c r="H349" i="4"/>
  <c r="G349" i="4"/>
  <c r="H348" i="4"/>
  <c r="G348" i="4"/>
  <c r="H347" i="4"/>
  <c r="G347" i="4"/>
  <c r="H346" i="4"/>
  <c r="G346" i="4"/>
  <c r="H345" i="4"/>
  <c r="G345" i="4"/>
  <c r="H344" i="4"/>
  <c r="G344" i="4"/>
  <c r="H343" i="4"/>
  <c r="G343" i="4"/>
  <c r="H342" i="4"/>
  <c r="G342" i="4"/>
  <c r="H341" i="4"/>
  <c r="G341" i="4"/>
  <c r="H340" i="4"/>
  <c r="G340" i="4"/>
  <c r="H339" i="4"/>
  <c r="G339" i="4"/>
  <c r="H338" i="4"/>
  <c r="G338" i="4"/>
  <c r="H337" i="4"/>
  <c r="G337" i="4"/>
  <c r="H336" i="4"/>
  <c r="G336" i="4"/>
  <c r="H335" i="4"/>
  <c r="G335" i="4"/>
  <c r="H334" i="4"/>
  <c r="G334" i="4"/>
  <c r="H333" i="4"/>
  <c r="G333" i="4"/>
  <c r="H332" i="4"/>
  <c r="G332" i="4"/>
  <c r="H331" i="4"/>
  <c r="G331" i="4"/>
  <c r="H330" i="4"/>
  <c r="G330" i="4"/>
  <c r="H329" i="4"/>
  <c r="G329" i="4"/>
  <c r="H328" i="4"/>
  <c r="G328" i="4"/>
  <c r="H327" i="4"/>
  <c r="G327" i="4"/>
  <c r="H326" i="4"/>
  <c r="G326" i="4"/>
  <c r="H325" i="4"/>
  <c r="G325" i="4"/>
  <c r="H324" i="4"/>
  <c r="G324" i="4"/>
  <c r="H323" i="4"/>
  <c r="G323" i="4"/>
  <c r="H322" i="4"/>
  <c r="G322" i="4"/>
  <c r="H321" i="4"/>
  <c r="G321" i="4"/>
  <c r="H320" i="4"/>
  <c r="G320" i="4"/>
  <c r="H319" i="4"/>
  <c r="G319" i="4"/>
  <c r="H318" i="4"/>
  <c r="G318" i="4"/>
  <c r="H317" i="4"/>
  <c r="G317" i="4"/>
  <c r="H316" i="4"/>
  <c r="G316" i="4"/>
  <c r="H315" i="4"/>
  <c r="G315" i="4"/>
  <c r="H314" i="4"/>
  <c r="G314" i="4"/>
  <c r="H313" i="4"/>
  <c r="G313" i="4"/>
  <c r="H312" i="4"/>
  <c r="G312" i="4"/>
  <c r="H311" i="4"/>
  <c r="G311" i="4"/>
  <c r="H310" i="4"/>
  <c r="G310" i="4"/>
  <c r="H309" i="4"/>
  <c r="G309" i="4"/>
  <c r="H308" i="4"/>
  <c r="G308" i="4"/>
  <c r="H307" i="4"/>
  <c r="G307" i="4"/>
  <c r="H306" i="4"/>
  <c r="G306" i="4"/>
  <c r="H305" i="4"/>
  <c r="G305" i="4"/>
  <c r="H304" i="4"/>
  <c r="G304" i="4"/>
  <c r="H303" i="4"/>
  <c r="G303" i="4"/>
  <c r="H302" i="4"/>
  <c r="G302" i="4"/>
  <c r="H301" i="4"/>
  <c r="G301" i="4"/>
  <c r="H300" i="4"/>
  <c r="G300" i="4"/>
  <c r="H299" i="4"/>
  <c r="G299" i="4"/>
  <c r="H298" i="4"/>
  <c r="G298" i="4"/>
  <c r="H297" i="4"/>
  <c r="G297" i="4"/>
  <c r="H296" i="4"/>
  <c r="G296" i="4"/>
  <c r="H295" i="4"/>
  <c r="G295" i="4"/>
  <c r="H294" i="4"/>
  <c r="G294" i="4"/>
  <c r="H293" i="4"/>
  <c r="G293" i="4"/>
  <c r="H292" i="4"/>
  <c r="G292" i="4"/>
  <c r="H291" i="4"/>
  <c r="G291" i="4"/>
  <c r="H290" i="4"/>
  <c r="G290" i="4"/>
  <c r="H289" i="4"/>
  <c r="G289" i="4"/>
  <c r="H288" i="4"/>
  <c r="G288" i="4"/>
  <c r="H287" i="4"/>
  <c r="G287" i="4"/>
  <c r="H286" i="4"/>
  <c r="G286" i="4"/>
  <c r="H285" i="4"/>
  <c r="G285" i="4"/>
  <c r="H284" i="4"/>
  <c r="G284" i="4"/>
  <c r="H283" i="4"/>
  <c r="G283" i="4"/>
  <c r="H282" i="4"/>
  <c r="G282" i="4"/>
  <c r="H281" i="4"/>
  <c r="G281" i="4"/>
  <c r="H280" i="4"/>
  <c r="G280" i="4"/>
  <c r="H279" i="4"/>
  <c r="G279" i="4"/>
  <c r="H278" i="4"/>
  <c r="G278" i="4"/>
  <c r="H277" i="4"/>
  <c r="G277" i="4"/>
  <c r="H276" i="4"/>
  <c r="G276" i="4"/>
  <c r="H275" i="4"/>
  <c r="G275" i="4"/>
  <c r="H274" i="4"/>
  <c r="G274" i="4"/>
  <c r="H273" i="4"/>
  <c r="G273" i="4"/>
  <c r="H272" i="4"/>
  <c r="G272" i="4"/>
  <c r="H271" i="4"/>
  <c r="G271" i="4"/>
  <c r="H270" i="4"/>
  <c r="G270" i="4"/>
  <c r="H269" i="4"/>
  <c r="G269" i="4"/>
  <c r="H268" i="4"/>
  <c r="G268" i="4"/>
  <c r="H267" i="4"/>
  <c r="G267" i="4"/>
  <c r="H266" i="4"/>
  <c r="G266" i="4"/>
  <c r="H265" i="4"/>
  <c r="G265" i="4"/>
  <c r="H264" i="4"/>
  <c r="G264" i="4"/>
  <c r="H263" i="4"/>
  <c r="G263" i="4"/>
  <c r="H262" i="4"/>
  <c r="G262" i="4"/>
  <c r="H261" i="4"/>
  <c r="G261" i="4"/>
  <c r="H260" i="4"/>
  <c r="G260" i="4"/>
  <c r="H259" i="4"/>
  <c r="G259" i="4"/>
  <c r="H258" i="4"/>
  <c r="G258" i="4"/>
  <c r="H257" i="4"/>
  <c r="G257" i="4"/>
  <c r="H256" i="4"/>
  <c r="G256" i="4"/>
  <c r="H255" i="4"/>
  <c r="G255" i="4"/>
  <c r="H254" i="4"/>
  <c r="G254" i="4"/>
  <c r="H253" i="4"/>
  <c r="G253" i="4"/>
  <c r="H252" i="4"/>
  <c r="G252" i="4"/>
  <c r="H251" i="4"/>
  <c r="G251" i="4"/>
  <c r="H250" i="4"/>
  <c r="G250" i="4"/>
  <c r="H249" i="4"/>
  <c r="G249" i="4"/>
  <c r="H248" i="4"/>
  <c r="G248" i="4"/>
  <c r="H247" i="4"/>
  <c r="G247" i="4"/>
  <c r="H246" i="4"/>
  <c r="G246" i="4"/>
  <c r="H245" i="4"/>
  <c r="G245" i="4"/>
  <c r="H244" i="4"/>
  <c r="G244" i="4"/>
  <c r="H243" i="4"/>
  <c r="G243" i="4"/>
  <c r="H242" i="4"/>
  <c r="G242" i="4"/>
  <c r="H241" i="4"/>
  <c r="G241" i="4"/>
  <c r="H240" i="4"/>
  <c r="G240" i="4"/>
  <c r="H239" i="4"/>
  <c r="G239" i="4"/>
  <c r="H238" i="4"/>
  <c r="G238" i="4"/>
  <c r="H237" i="4"/>
  <c r="G237" i="4"/>
  <c r="H236" i="4"/>
  <c r="G236" i="4"/>
  <c r="H235" i="4"/>
  <c r="G235" i="4"/>
  <c r="H234" i="4"/>
  <c r="G234" i="4"/>
  <c r="H233" i="4"/>
  <c r="G233" i="4"/>
  <c r="H232" i="4"/>
  <c r="G232" i="4"/>
  <c r="H231" i="4"/>
  <c r="G231" i="4"/>
  <c r="H230" i="4"/>
  <c r="G230" i="4"/>
  <c r="H229" i="4"/>
  <c r="G229" i="4"/>
  <c r="H228" i="4"/>
  <c r="G228" i="4"/>
  <c r="H227" i="4"/>
  <c r="G227" i="4"/>
  <c r="H226" i="4"/>
  <c r="G226" i="4"/>
  <c r="H225" i="4"/>
  <c r="G225" i="4"/>
  <c r="H224" i="4"/>
  <c r="G224" i="4"/>
  <c r="H223" i="4"/>
  <c r="G223" i="4"/>
  <c r="H222" i="4"/>
  <c r="G222" i="4"/>
  <c r="H221" i="4"/>
  <c r="G221" i="4"/>
  <c r="H220" i="4"/>
  <c r="G220" i="4"/>
  <c r="H219" i="4"/>
  <c r="G219" i="4"/>
  <c r="H218" i="4"/>
  <c r="G218" i="4"/>
  <c r="H217" i="4"/>
  <c r="G217" i="4"/>
  <c r="H216" i="4"/>
  <c r="G216" i="4"/>
  <c r="H215" i="4"/>
  <c r="G215" i="4"/>
  <c r="H214" i="4"/>
  <c r="G214" i="4"/>
  <c r="H213" i="4"/>
  <c r="G213" i="4"/>
  <c r="H212" i="4"/>
  <c r="G212" i="4"/>
  <c r="H211" i="4"/>
  <c r="G211" i="4"/>
  <c r="H210" i="4"/>
  <c r="G210" i="4"/>
  <c r="H209" i="4"/>
  <c r="G209" i="4"/>
  <c r="H208" i="4"/>
  <c r="G208" i="4"/>
  <c r="H207" i="4"/>
  <c r="G207" i="4"/>
  <c r="H206" i="4"/>
  <c r="G206" i="4"/>
  <c r="H205" i="4"/>
  <c r="G205" i="4"/>
  <c r="H204" i="4"/>
  <c r="G204" i="4"/>
  <c r="H203" i="4"/>
  <c r="G203" i="4"/>
  <c r="H202" i="4"/>
  <c r="G202" i="4"/>
  <c r="H201" i="4"/>
  <c r="G201" i="4"/>
  <c r="H200" i="4"/>
  <c r="G200" i="4"/>
  <c r="H199" i="4"/>
  <c r="G199" i="4"/>
  <c r="H198" i="4"/>
  <c r="G198" i="4"/>
  <c r="H197" i="4"/>
  <c r="G197" i="4"/>
  <c r="H196" i="4"/>
  <c r="G196" i="4"/>
  <c r="H195" i="4"/>
  <c r="G195" i="4"/>
  <c r="H194" i="4"/>
  <c r="G194" i="4"/>
  <c r="H193" i="4"/>
  <c r="G193" i="4"/>
  <c r="H192" i="4"/>
  <c r="G192" i="4"/>
  <c r="H191" i="4"/>
  <c r="G191" i="4"/>
  <c r="H190" i="4"/>
  <c r="G190" i="4"/>
  <c r="H189" i="4"/>
  <c r="G189" i="4"/>
  <c r="H188" i="4"/>
  <c r="G188" i="4"/>
  <c r="H187" i="4"/>
  <c r="G187" i="4"/>
  <c r="H186" i="4"/>
  <c r="G186" i="4"/>
  <c r="H185" i="4"/>
  <c r="G185" i="4"/>
  <c r="H184" i="4"/>
  <c r="G184" i="4"/>
  <c r="H183" i="4"/>
  <c r="G183" i="4"/>
  <c r="H182" i="4"/>
  <c r="G182" i="4"/>
  <c r="H181" i="4"/>
  <c r="G181" i="4"/>
  <c r="H180" i="4"/>
  <c r="G180" i="4"/>
  <c r="H179" i="4"/>
  <c r="G179" i="4"/>
  <c r="H178" i="4"/>
  <c r="G178" i="4"/>
  <c r="H177" i="4"/>
  <c r="G177" i="4"/>
  <c r="H176" i="4"/>
  <c r="G176" i="4"/>
  <c r="H175" i="4"/>
  <c r="G175" i="4"/>
  <c r="H174" i="4"/>
  <c r="G174" i="4"/>
  <c r="H173" i="4"/>
  <c r="G173" i="4"/>
  <c r="H172" i="4"/>
  <c r="G172" i="4"/>
  <c r="H171" i="4"/>
  <c r="G171" i="4"/>
  <c r="H170" i="4"/>
  <c r="G170" i="4"/>
  <c r="H169" i="4"/>
  <c r="G169" i="4"/>
  <c r="H168" i="4"/>
  <c r="G168" i="4"/>
  <c r="H167" i="4"/>
  <c r="G167" i="4"/>
  <c r="H166" i="4"/>
  <c r="G166" i="4"/>
  <c r="H165" i="4"/>
  <c r="G165" i="4"/>
  <c r="H164" i="4"/>
  <c r="G164" i="4"/>
  <c r="H163" i="4"/>
  <c r="G163" i="4"/>
  <c r="H162" i="4"/>
  <c r="G162" i="4"/>
  <c r="H161" i="4"/>
  <c r="G161" i="4"/>
  <c r="H160" i="4"/>
  <c r="G160" i="4"/>
  <c r="H159" i="4"/>
  <c r="G159" i="4"/>
  <c r="H158" i="4"/>
  <c r="G158" i="4"/>
  <c r="H157" i="4"/>
  <c r="G157" i="4"/>
  <c r="H156" i="4"/>
  <c r="G156" i="4"/>
  <c r="H155" i="4"/>
  <c r="G155" i="4"/>
  <c r="H154" i="4"/>
  <c r="G154" i="4"/>
  <c r="H153" i="4"/>
  <c r="G153" i="4"/>
  <c r="H152" i="4"/>
  <c r="G152" i="4"/>
  <c r="H151" i="4"/>
  <c r="G151" i="4"/>
  <c r="H150" i="4"/>
  <c r="G150" i="4"/>
  <c r="H149" i="4"/>
  <c r="G149" i="4"/>
  <c r="H148" i="4"/>
  <c r="G148" i="4"/>
  <c r="H147" i="4"/>
  <c r="G147" i="4"/>
  <c r="H146" i="4"/>
  <c r="G146" i="4"/>
  <c r="H145" i="4"/>
  <c r="G145" i="4"/>
  <c r="H144" i="4"/>
  <c r="G144" i="4"/>
  <c r="H143" i="4"/>
  <c r="G143" i="4"/>
  <c r="H142" i="4"/>
  <c r="G142" i="4"/>
  <c r="H141" i="4"/>
  <c r="G141" i="4"/>
  <c r="H140" i="4"/>
  <c r="G140" i="4"/>
  <c r="H139" i="4"/>
  <c r="G139" i="4"/>
  <c r="H138" i="4"/>
  <c r="G138" i="4"/>
  <c r="H137" i="4"/>
  <c r="G137" i="4"/>
  <c r="H136" i="4"/>
  <c r="G136" i="4"/>
  <c r="H135" i="4"/>
  <c r="G135" i="4"/>
  <c r="H134" i="4"/>
  <c r="G134" i="4"/>
  <c r="H133" i="4"/>
  <c r="G133" i="4"/>
  <c r="H132" i="4"/>
  <c r="G132" i="4"/>
  <c r="H131" i="4"/>
  <c r="G131" i="4"/>
  <c r="H130" i="4"/>
  <c r="G130" i="4"/>
  <c r="H129" i="4"/>
  <c r="G129" i="4"/>
  <c r="H128" i="4"/>
  <c r="G128" i="4"/>
  <c r="H127" i="4"/>
  <c r="G127" i="4"/>
  <c r="H126" i="4"/>
  <c r="G126" i="4"/>
  <c r="H125" i="4"/>
  <c r="G125" i="4"/>
  <c r="H124" i="4"/>
  <c r="G124" i="4"/>
  <c r="H123" i="4"/>
  <c r="G123" i="4"/>
  <c r="H122" i="4"/>
  <c r="G122" i="4"/>
  <c r="H121" i="4"/>
  <c r="G121" i="4"/>
  <c r="H120" i="4"/>
  <c r="G120" i="4"/>
  <c r="H119" i="4"/>
  <c r="G119" i="4"/>
  <c r="H118" i="4"/>
  <c r="G118" i="4"/>
  <c r="H117" i="4"/>
  <c r="G117" i="4"/>
  <c r="H116" i="4"/>
  <c r="G116" i="4"/>
  <c r="H115" i="4"/>
  <c r="G115" i="4"/>
  <c r="H114" i="4"/>
  <c r="G114" i="4"/>
  <c r="H113" i="4"/>
  <c r="G113" i="4"/>
  <c r="H112" i="4"/>
  <c r="G112" i="4"/>
  <c r="H111" i="4"/>
  <c r="G111" i="4"/>
  <c r="H110" i="4"/>
  <c r="G110" i="4"/>
  <c r="H109" i="4"/>
  <c r="G109" i="4"/>
  <c r="H108" i="4"/>
  <c r="G108" i="4"/>
  <c r="H107" i="4"/>
  <c r="G107" i="4"/>
  <c r="H106" i="4"/>
  <c r="G106" i="4"/>
  <c r="H105" i="4"/>
  <c r="G105" i="4"/>
  <c r="H104" i="4"/>
  <c r="G104" i="4"/>
  <c r="H103" i="4"/>
  <c r="G103" i="4"/>
  <c r="H102" i="4"/>
  <c r="G102" i="4"/>
  <c r="H101" i="4"/>
  <c r="G101" i="4"/>
  <c r="H100" i="4"/>
  <c r="G100" i="4"/>
  <c r="H99" i="4"/>
  <c r="G99" i="4"/>
  <c r="H98" i="4"/>
  <c r="G98" i="4"/>
  <c r="H97" i="4"/>
  <c r="G97" i="4"/>
  <c r="H96" i="4"/>
  <c r="G96" i="4"/>
  <c r="H95" i="4"/>
  <c r="G95" i="4"/>
  <c r="H94" i="4"/>
  <c r="G94" i="4"/>
  <c r="H93" i="4"/>
  <c r="G93" i="4"/>
  <c r="H92" i="4"/>
  <c r="G92" i="4"/>
  <c r="H91" i="4"/>
  <c r="G91" i="4"/>
  <c r="H90" i="4"/>
  <c r="G90" i="4"/>
  <c r="H89" i="4"/>
  <c r="G89" i="4"/>
  <c r="H88" i="4"/>
  <c r="G88" i="4"/>
  <c r="H87" i="4"/>
  <c r="G87" i="4"/>
  <c r="H86" i="4"/>
  <c r="G86" i="4"/>
  <c r="H85" i="4"/>
  <c r="G85" i="4"/>
  <c r="H84" i="4"/>
  <c r="G84" i="4"/>
  <c r="H83" i="4"/>
  <c r="G83" i="4"/>
  <c r="H82" i="4"/>
  <c r="G82" i="4"/>
  <c r="H81" i="4"/>
  <c r="G81" i="4"/>
  <c r="H80" i="4"/>
  <c r="G80" i="4"/>
  <c r="H79" i="4"/>
  <c r="G79" i="4"/>
  <c r="H78" i="4"/>
  <c r="G78" i="4"/>
  <c r="H77" i="4"/>
  <c r="G77" i="4"/>
  <c r="H76" i="4"/>
  <c r="G76" i="4"/>
  <c r="H75" i="4"/>
  <c r="G75" i="4"/>
  <c r="H74" i="4"/>
  <c r="G74" i="4"/>
  <c r="H73" i="4"/>
  <c r="G73" i="4"/>
  <c r="H72" i="4"/>
  <c r="G72" i="4"/>
  <c r="H71" i="4"/>
  <c r="G71" i="4"/>
  <c r="H70" i="4"/>
  <c r="G70" i="4"/>
  <c r="H69" i="4"/>
  <c r="G69" i="4"/>
  <c r="H68" i="4"/>
  <c r="G68" i="4"/>
  <c r="H67" i="4"/>
  <c r="G67" i="4"/>
  <c r="H66" i="4"/>
  <c r="G66" i="4"/>
  <c r="H65" i="4"/>
  <c r="G65" i="4"/>
  <c r="H64" i="4"/>
  <c r="G64" i="4"/>
  <c r="H63" i="4"/>
  <c r="G63" i="4"/>
  <c r="H62" i="4"/>
  <c r="G62" i="4"/>
  <c r="H61" i="4"/>
  <c r="G61" i="4"/>
  <c r="H60" i="4"/>
  <c r="G60" i="4"/>
  <c r="H59" i="4"/>
  <c r="G59" i="4"/>
  <c r="H58" i="4"/>
  <c r="G58" i="4"/>
  <c r="H57" i="4"/>
  <c r="G57" i="4"/>
  <c r="H56" i="4"/>
  <c r="G56" i="4"/>
  <c r="H55" i="4"/>
  <c r="G55" i="4"/>
  <c r="H54" i="4"/>
  <c r="G54" i="4"/>
  <c r="H53" i="4"/>
  <c r="G53" i="4"/>
  <c r="H52" i="4"/>
  <c r="G52" i="4"/>
  <c r="H51" i="4"/>
  <c r="G51" i="4"/>
  <c r="H50" i="4"/>
  <c r="G50" i="4"/>
  <c r="H49" i="4"/>
  <c r="G49" i="4"/>
  <c r="H48" i="4"/>
  <c r="G48" i="4"/>
  <c r="H47" i="4"/>
  <c r="G47" i="4"/>
  <c r="H46" i="4"/>
  <c r="G46" i="4"/>
  <c r="H45" i="4"/>
  <c r="G45" i="4"/>
  <c r="H44" i="4"/>
  <c r="G44" i="4"/>
  <c r="H43" i="4"/>
  <c r="G43" i="4"/>
  <c r="H42" i="4"/>
  <c r="G42" i="4"/>
  <c r="H41" i="4"/>
  <c r="G41" i="4"/>
  <c r="H40" i="4"/>
  <c r="G40" i="4"/>
  <c r="H39" i="4"/>
  <c r="G39" i="4"/>
  <c r="H38" i="4"/>
  <c r="G38" i="4"/>
  <c r="H37" i="4"/>
  <c r="G37" i="4"/>
  <c r="H36" i="4"/>
  <c r="G36" i="4"/>
  <c r="H35" i="4"/>
  <c r="G35" i="4"/>
  <c r="H34" i="4"/>
  <c r="G34" i="4"/>
  <c r="H33" i="4"/>
  <c r="G33" i="4"/>
  <c r="H32" i="4"/>
  <c r="G32" i="4"/>
  <c r="H31" i="4"/>
  <c r="G31" i="4"/>
  <c r="H30" i="4"/>
  <c r="G30" i="4"/>
  <c r="H29" i="4"/>
  <c r="G29" i="4"/>
  <c r="H28" i="4"/>
  <c r="G28" i="4"/>
  <c r="H27" i="4"/>
  <c r="G27" i="4"/>
  <c r="H26" i="4"/>
  <c r="G26" i="4"/>
  <c r="H25" i="4"/>
  <c r="G25" i="4"/>
  <c r="H24" i="4"/>
  <c r="G24" i="4"/>
  <c r="H23" i="4"/>
  <c r="G23" i="4"/>
  <c r="H22" i="4"/>
  <c r="G22" i="4"/>
  <c r="H21" i="4"/>
  <c r="G21" i="4"/>
  <c r="H20" i="4"/>
  <c r="G20" i="4"/>
  <c r="H19" i="4"/>
  <c r="G19" i="4"/>
  <c r="H18" i="4"/>
  <c r="G18" i="4"/>
  <c r="H17" i="4"/>
  <c r="P321" i="6" s="1"/>
  <c r="G17" i="4"/>
  <c r="H16" i="4"/>
  <c r="G16" i="4"/>
  <c r="H15" i="4"/>
  <c r="G15" i="4"/>
  <c r="H14" i="4"/>
  <c r="G14" i="4"/>
  <c r="H13" i="4"/>
  <c r="G13" i="4"/>
  <c r="H12" i="4"/>
  <c r="G12" i="4"/>
  <c r="H11" i="4"/>
  <c r="G11" i="4"/>
  <c r="H10" i="4"/>
  <c r="G10" i="4"/>
  <c r="H9" i="4"/>
  <c r="R525" i="6" s="1"/>
  <c r="G9" i="4"/>
  <c r="B2" i="1"/>
  <c r="W487" i="6" l="1"/>
  <c r="M487" i="6"/>
  <c r="T51" i="6"/>
  <c r="M51" i="6"/>
  <c r="X51" i="6" s="1"/>
  <c r="W51" i="6"/>
  <c r="W52" i="6"/>
  <c r="T52" i="6"/>
  <c r="M52" i="6"/>
  <c r="X52" i="6" s="1"/>
  <c r="W17" i="6"/>
  <c r="T17" i="6"/>
  <c r="M17" i="6"/>
  <c r="X17" i="6" s="1"/>
  <c r="W31" i="6"/>
  <c r="T31" i="6"/>
  <c r="M31" i="6"/>
  <c r="X31" i="6" s="1"/>
  <c r="T10" i="6"/>
  <c r="W10" i="6"/>
  <c r="M10" i="6"/>
  <c r="X10" i="6" s="1"/>
  <c r="W38" i="6"/>
  <c r="T38" i="6"/>
  <c r="M38" i="6"/>
  <c r="X38" i="6" s="1"/>
  <c r="M44" i="6"/>
  <c r="X44" i="6" s="1"/>
  <c r="T44" i="6"/>
  <c r="I117" i="6"/>
  <c r="H117" i="6"/>
  <c r="G117" i="6"/>
  <c r="P117" i="6"/>
  <c r="S117" i="6" s="1"/>
  <c r="R117" i="6"/>
  <c r="Q117" i="6"/>
  <c r="U125" i="6"/>
  <c r="O125" i="6"/>
  <c r="O500" i="6"/>
  <c r="U500" i="6"/>
  <c r="R502" i="6"/>
  <c r="I66" i="6"/>
  <c r="V66" i="6"/>
  <c r="P66" i="6"/>
  <c r="N66" i="6"/>
  <c r="H66" i="6"/>
  <c r="G66" i="6"/>
  <c r="I78" i="6"/>
  <c r="R78" i="6"/>
  <c r="Q78" i="6"/>
  <c r="P78" i="6"/>
  <c r="H78" i="6"/>
  <c r="V44" i="6"/>
  <c r="U44" i="6"/>
  <c r="M49" i="6"/>
  <c r="X49" i="6" s="1"/>
  <c r="W49" i="6"/>
  <c r="K199" i="6"/>
  <c r="J199" i="6"/>
  <c r="G394" i="6"/>
  <c r="R394" i="6"/>
  <c r="I394" i="6"/>
  <c r="H394" i="6"/>
  <c r="Q394" i="6"/>
  <c r="P394" i="6"/>
  <c r="L197" i="6"/>
  <c r="P489" i="6"/>
  <c r="O44" i="6"/>
  <c r="M60" i="6"/>
  <c r="X60" i="6" s="1"/>
  <c r="G78" i="6"/>
  <c r="I11" i="6"/>
  <c r="H11" i="6"/>
  <c r="G11" i="6"/>
  <c r="M24" i="6"/>
  <c r="X24" i="6" s="1"/>
  <c r="W24" i="6"/>
  <c r="Q37" i="6"/>
  <c r="P54" i="6"/>
  <c r="R66" i="6"/>
  <c r="P178" i="6"/>
  <c r="S178" i="6" s="1"/>
  <c r="N178" i="6"/>
  <c r="V178" i="6" s="1"/>
  <c r="I178" i="6"/>
  <c r="H178" i="6"/>
  <c r="G178" i="6"/>
  <c r="R178" i="6"/>
  <c r="Q178" i="6"/>
  <c r="I188" i="6"/>
  <c r="I363" i="6"/>
  <c r="Q13" i="6"/>
  <c r="M29" i="6"/>
  <c r="X29" i="6" s="1"/>
  <c r="Q35" i="6"/>
  <c r="I84" i="6"/>
  <c r="R84" i="6"/>
  <c r="P84" i="6"/>
  <c r="Q84" i="6"/>
  <c r="I131" i="6"/>
  <c r="H131" i="6"/>
  <c r="G131" i="6"/>
  <c r="P131" i="6"/>
  <c r="S131" i="6" s="1"/>
  <c r="Q131" i="6"/>
  <c r="R131" i="6"/>
  <c r="Q153" i="6"/>
  <c r="T4" i="6"/>
  <c r="T9" i="6"/>
  <c r="Q11" i="6"/>
  <c r="Q19" i="6"/>
  <c r="P37" i="6"/>
  <c r="I41" i="6"/>
  <c r="H41" i="6"/>
  <c r="G41" i="6"/>
  <c r="J41" i="6" s="1"/>
  <c r="Q43" i="6"/>
  <c r="W44" i="6"/>
  <c r="O52" i="6"/>
  <c r="Q57" i="6"/>
  <c r="H69" i="6"/>
  <c r="O71" i="6"/>
  <c r="U71" i="6"/>
  <c r="H79" i="6"/>
  <c r="G79" i="6"/>
  <c r="O81" i="6"/>
  <c r="U81" i="6"/>
  <c r="R141" i="6"/>
  <c r="T197" i="6"/>
  <c r="Q231" i="6"/>
  <c r="K249" i="6"/>
  <c r="G257" i="6"/>
  <c r="J257" i="6" s="1"/>
  <c r="G309" i="6"/>
  <c r="H321" i="6"/>
  <c r="J324" i="6"/>
  <c r="R474" i="6"/>
  <c r="Q66" i="6"/>
  <c r="U17" i="6"/>
  <c r="V17" i="6"/>
  <c r="O17" i="6"/>
  <c r="V4" i="6"/>
  <c r="W39" i="6"/>
  <c r="T39" i="6"/>
  <c r="I55" i="6"/>
  <c r="H55" i="6"/>
  <c r="G55" i="6"/>
  <c r="W59" i="6"/>
  <c r="T59" i="6"/>
  <c r="I67" i="6"/>
  <c r="R67" i="6"/>
  <c r="Q67" i="6"/>
  <c r="P67" i="6"/>
  <c r="H67" i="6"/>
  <c r="G67" i="6"/>
  <c r="H84" i="6"/>
  <c r="H95" i="6"/>
  <c r="R118" i="6"/>
  <c r="I135" i="6"/>
  <c r="H135" i="6"/>
  <c r="G135" i="6"/>
  <c r="J135" i="6" s="1"/>
  <c r="P135" i="6"/>
  <c r="Q135" i="6"/>
  <c r="V135" i="6"/>
  <c r="R135" i="6"/>
  <c r="N135" i="6"/>
  <c r="G200" i="6"/>
  <c r="R211" i="6"/>
  <c r="I257" i="6"/>
  <c r="V422" i="6"/>
  <c r="U422" i="6"/>
  <c r="I13" i="6"/>
  <c r="H13" i="6"/>
  <c r="G13" i="6"/>
  <c r="V60" i="6"/>
  <c r="U60" i="6"/>
  <c r="Q286" i="6"/>
  <c r="B1017" i="6"/>
  <c r="Q16" i="6"/>
  <c r="O23" i="6"/>
  <c r="V28" i="6"/>
  <c r="U28" i="6"/>
  <c r="P33" i="6"/>
  <c r="V41" i="6"/>
  <c r="S87" i="6"/>
  <c r="I96" i="6"/>
  <c r="H96" i="6"/>
  <c r="G96" i="6"/>
  <c r="Q106" i="6"/>
  <c r="I136" i="6"/>
  <c r="H136" i="6"/>
  <c r="G136" i="6"/>
  <c r="P136" i="6"/>
  <c r="R136" i="6"/>
  <c r="Q136" i="6"/>
  <c r="V136" i="6"/>
  <c r="R311" i="6"/>
  <c r="N311" i="6"/>
  <c r="H311" i="6"/>
  <c r="P311" i="6"/>
  <c r="I311" i="6"/>
  <c r="G311" i="6"/>
  <c r="Q311" i="6"/>
  <c r="P13" i="6"/>
  <c r="P15" i="6"/>
  <c r="Q21" i="6"/>
  <c r="T46" i="6"/>
  <c r="M46" i="6"/>
  <c r="T49" i="6"/>
  <c r="W60" i="6"/>
  <c r="R76" i="6"/>
  <c r="J84" i="6"/>
  <c r="I115" i="6"/>
  <c r="H115" i="6"/>
  <c r="G115" i="6"/>
  <c r="P115" i="6"/>
  <c r="Q118" i="6"/>
  <c r="P195" i="6"/>
  <c r="I195" i="6"/>
  <c r="H195" i="6"/>
  <c r="G195" i="6"/>
  <c r="J195" i="6" s="1"/>
  <c r="R195" i="6"/>
  <c r="Q195" i="6"/>
  <c r="Q211" i="6"/>
  <c r="P254" i="6"/>
  <c r="S254" i="6" s="1"/>
  <c r="N254" i="6"/>
  <c r="V254" i="6" s="1"/>
  <c r="Q254" i="6"/>
  <c r="H254" i="6"/>
  <c r="R254" i="6"/>
  <c r="G254" i="6"/>
  <c r="I254" i="6"/>
  <c r="Q273" i="6"/>
  <c r="R313" i="6"/>
  <c r="P313" i="6"/>
  <c r="I313" i="6"/>
  <c r="H313" i="6"/>
  <c r="G313" i="6"/>
  <c r="J313" i="6" s="1"/>
  <c r="V449" i="6"/>
  <c r="U449" i="6"/>
  <c r="V543" i="6"/>
  <c r="O543" i="6"/>
  <c r="W4" i="6"/>
  <c r="Q33" i="6"/>
  <c r="Q100" i="6"/>
  <c r="P250" i="6"/>
  <c r="S250" i="6" s="1"/>
  <c r="R250" i="6"/>
  <c r="I250" i="6"/>
  <c r="Q250" i="6"/>
  <c r="H250" i="6"/>
  <c r="G250" i="6"/>
  <c r="J250" i="6" s="1"/>
  <c r="P334" i="6"/>
  <c r="R375" i="6"/>
  <c r="I375" i="6"/>
  <c r="H375" i="6"/>
  <c r="G375" i="6"/>
  <c r="N375" i="6"/>
  <c r="V375" i="6"/>
  <c r="Q375" i="6"/>
  <c r="P375" i="6"/>
  <c r="I53" i="6"/>
  <c r="H53" i="6"/>
  <c r="G53" i="6"/>
  <c r="Q61" i="6"/>
  <c r="R100" i="6"/>
  <c r="K490" i="6"/>
  <c r="I16" i="6"/>
  <c r="H16" i="6"/>
  <c r="G16" i="6"/>
  <c r="I74" i="6"/>
  <c r="H74" i="6"/>
  <c r="G74" i="6"/>
  <c r="P151" i="6"/>
  <c r="S151" i="6" s="1"/>
  <c r="N151" i="6"/>
  <c r="R151" i="6"/>
  <c r="H151" i="6"/>
  <c r="G151" i="6"/>
  <c r="I151" i="6"/>
  <c r="I168" i="6"/>
  <c r="H168" i="6"/>
  <c r="G168" i="6"/>
  <c r="Q208" i="6"/>
  <c r="Q5" i="6"/>
  <c r="M28" i="6"/>
  <c r="X28" i="6" s="1"/>
  <c r="T28" i="6"/>
  <c r="U41" i="6"/>
  <c r="Q53" i="6"/>
  <c r="S59" i="6"/>
  <c r="R85" i="6"/>
  <c r="O87" i="6"/>
  <c r="R115" i="6"/>
  <c r="P162" i="6"/>
  <c r="S162" i="6" s="1"/>
  <c r="R162" i="6"/>
  <c r="Q162" i="6"/>
  <c r="H162" i="6"/>
  <c r="G162" i="6"/>
  <c r="H189" i="6"/>
  <c r="I225" i="6"/>
  <c r="R314" i="6"/>
  <c r="Q314" i="6"/>
  <c r="P314" i="6"/>
  <c r="N314" i="6"/>
  <c r="V314" i="6" s="1"/>
  <c r="H314" i="6"/>
  <c r="G314" i="6"/>
  <c r="I314" i="6"/>
  <c r="K380" i="6"/>
  <c r="G441" i="6"/>
  <c r="J441" i="6" s="1"/>
  <c r="R441" i="6"/>
  <c r="Q441" i="6"/>
  <c r="P441" i="6"/>
  <c r="I441" i="6"/>
  <c r="H441" i="6"/>
  <c r="R494" i="6"/>
  <c r="Q494" i="6"/>
  <c r="H494" i="6"/>
  <c r="G494" i="6"/>
  <c r="J494" i="6" s="1"/>
  <c r="P494" i="6"/>
  <c r="S494" i="6" s="1"/>
  <c r="I494" i="6"/>
  <c r="G614" i="6"/>
  <c r="P644" i="6"/>
  <c r="P26" i="6"/>
  <c r="O28" i="6"/>
  <c r="U31" i="6"/>
  <c r="V31" i="6"/>
  <c r="O31" i="6"/>
  <c r="W46" i="6"/>
  <c r="I58" i="6"/>
  <c r="H58" i="6"/>
  <c r="G58" i="6"/>
  <c r="U59" i="6"/>
  <c r="I80" i="6"/>
  <c r="V80" i="6"/>
  <c r="G80" i="6"/>
  <c r="H80" i="6"/>
  <c r="I162" i="6"/>
  <c r="I183" i="6"/>
  <c r="Q189" i="6"/>
  <c r="P243" i="6"/>
  <c r="S243" i="6" s="1"/>
  <c r="Q243" i="6"/>
  <c r="H243" i="6"/>
  <c r="R243" i="6"/>
  <c r="I243" i="6"/>
  <c r="G243" i="6"/>
  <c r="I278" i="6"/>
  <c r="V403" i="6"/>
  <c r="U403" i="6"/>
  <c r="O403" i="6"/>
  <c r="R982" i="6"/>
  <c r="R960" i="6"/>
  <c r="Q938" i="6"/>
  <c r="Q985" i="6"/>
  <c r="R977" i="6"/>
  <c r="Q960" i="6"/>
  <c r="R903" i="6"/>
  <c r="R946" i="6"/>
  <c r="R986" i="6"/>
  <c r="R918" i="6"/>
  <c r="R1009" i="6"/>
  <c r="R979" i="6"/>
  <c r="P903" i="6"/>
  <c r="R938" i="6"/>
  <c r="Q972" i="6"/>
  <c r="Q992" i="6"/>
  <c r="R957" i="6"/>
  <c r="P914" i="6"/>
  <c r="R998" i="6"/>
  <c r="R966" i="6"/>
  <c r="Q898" i="6"/>
  <c r="P880" i="6"/>
  <c r="P867" i="6"/>
  <c r="R861" i="6"/>
  <c r="P839" i="6"/>
  <c r="P830" i="6"/>
  <c r="Q986" i="6"/>
  <c r="Q945" i="6"/>
  <c r="Q860" i="6"/>
  <c r="Q930" i="6"/>
  <c r="P930" i="6"/>
  <c r="Q915" i="6"/>
  <c r="R898" i="6"/>
  <c r="Q861" i="6"/>
  <c r="Q982" i="6"/>
  <c r="Q903" i="6"/>
  <c r="Q944" i="6"/>
  <c r="R914" i="6"/>
  <c r="Q838" i="6"/>
  <c r="Q1008" i="6"/>
  <c r="Q914" i="6"/>
  <c r="R830" i="6"/>
  <c r="Q830" i="6"/>
  <c r="R882" i="6"/>
  <c r="R876" i="6"/>
  <c r="R866" i="6"/>
  <c r="Q839" i="6"/>
  <c r="R788" i="6"/>
  <c r="R894" i="6"/>
  <c r="Q882" i="6"/>
  <c r="P876" i="6"/>
  <c r="Q866" i="6"/>
  <c r="P788" i="6"/>
  <c r="R877" i="6"/>
  <c r="P859" i="6"/>
  <c r="S859" i="6" s="1"/>
  <c r="Q922" i="6"/>
  <c r="R909" i="6"/>
  <c r="P902" i="6"/>
  <c r="P845" i="6"/>
  <c r="S845" i="6" s="1"/>
  <c r="Q832" i="6"/>
  <c r="Q824" i="6"/>
  <c r="R902" i="6"/>
  <c r="Q877" i="6"/>
  <c r="R824" i="6"/>
  <c r="Q1007" i="6"/>
  <c r="R935" i="6"/>
  <c r="Q918" i="6"/>
  <c r="P824" i="6"/>
  <c r="P860" i="6"/>
  <c r="P791" i="6"/>
  <c r="Q966" i="6"/>
  <c r="R881" i="6"/>
  <c r="R838" i="6"/>
  <c r="P929" i="6"/>
  <c r="Q867" i="6"/>
  <c r="P856" i="6"/>
  <c r="Q819" i="6"/>
  <c r="Q1009" i="6"/>
  <c r="R880" i="6"/>
  <c r="R832" i="6"/>
  <c r="R798" i="6"/>
  <c r="R845" i="6"/>
  <c r="P841" i="6"/>
  <c r="R810" i="6"/>
  <c r="Q909" i="6"/>
  <c r="Q893" i="6"/>
  <c r="P866" i="6"/>
  <c r="R859" i="6"/>
  <c r="R852" i="6"/>
  <c r="Q845" i="6"/>
  <c r="P810" i="6"/>
  <c r="R1000" i="6"/>
  <c r="P909" i="6"/>
  <c r="Q880" i="6"/>
  <c r="Q859" i="6"/>
  <c r="Q852" i="6"/>
  <c r="P749" i="6"/>
  <c r="R943" i="6"/>
  <c r="P852" i="6"/>
  <c r="P804" i="6"/>
  <c r="R725" i="6"/>
  <c r="R923" i="6"/>
  <c r="P854" i="6"/>
  <c r="R783" i="6"/>
  <c r="R709" i="6"/>
  <c r="P861" i="6"/>
  <c r="P783" i="6"/>
  <c r="R768" i="6"/>
  <c r="P756" i="6"/>
  <c r="P709" i="6"/>
  <c r="R888" i="6"/>
  <c r="P820" i="6"/>
  <c r="P750" i="6"/>
  <c r="R853" i="6"/>
  <c r="Q846" i="6"/>
  <c r="P769" i="6"/>
  <c r="Q987" i="6"/>
  <c r="P819" i="6"/>
  <c r="Q814" i="6"/>
  <c r="R797" i="6"/>
  <c r="P727" i="6"/>
  <c r="P919" i="6"/>
  <c r="P797" i="6"/>
  <c r="P792" i="6"/>
  <c r="P754" i="6"/>
  <c r="P772" i="6"/>
  <c r="P725" i="6"/>
  <c r="P714" i="6"/>
  <c r="Q946" i="6"/>
  <c r="R750" i="6"/>
  <c r="R631" i="6"/>
  <c r="P918" i="6"/>
  <c r="R867" i="6"/>
  <c r="P762" i="6"/>
  <c r="P748" i="6"/>
  <c r="Q862" i="6"/>
  <c r="Q835" i="6"/>
  <c r="P832" i="6"/>
  <c r="S832" i="6" s="1"/>
  <c r="R776" i="6"/>
  <c r="Q925" i="6"/>
  <c r="R789" i="6"/>
  <c r="R782" i="6"/>
  <c r="P720" i="6"/>
  <c r="P712" i="6"/>
  <c r="P704" i="6"/>
  <c r="Q652" i="6"/>
  <c r="Q841" i="6"/>
  <c r="R792" i="6"/>
  <c r="P767" i="6"/>
  <c r="R727" i="6"/>
  <c r="P894" i="6"/>
  <c r="S894" i="6" s="1"/>
  <c r="R846" i="6"/>
  <c r="R698" i="6"/>
  <c r="P621" i="6"/>
  <c r="R937" i="6"/>
  <c r="P898" i="6"/>
  <c r="R652" i="6"/>
  <c r="Q881" i="6"/>
  <c r="P811" i="6"/>
  <c r="P881" i="6"/>
  <c r="S881" i="6" s="1"/>
  <c r="R860" i="6"/>
  <c r="P751" i="6"/>
  <c r="Q624" i="6"/>
  <c r="Q820" i="6"/>
  <c r="P809" i="6"/>
  <c r="P798" i="6"/>
  <c r="P782" i="6"/>
  <c r="P683" i="6"/>
  <c r="Q646" i="6"/>
  <c r="P624" i="6"/>
  <c r="R604" i="6"/>
  <c r="Q894" i="6"/>
  <c r="P646" i="6"/>
  <c r="Q604" i="6"/>
  <c r="R944" i="6"/>
  <c r="R839" i="6"/>
  <c r="R672" i="6"/>
  <c r="P887" i="6"/>
  <c r="R667" i="6"/>
  <c r="R621" i="6"/>
  <c r="P601" i="6"/>
  <c r="P667" i="6"/>
  <c r="R729" i="6"/>
  <c r="P685" i="6"/>
  <c r="P729" i="6"/>
  <c r="R678" i="6"/>
  <c r="P630" i="6"/>
  <c r="R624" i="6"/>
  <c r="R683" i="6"/>
  <c r="Q888" i="6"/>
  <c r="R740" i="6"/>
  <c r="P544" i="6"/>
  <c r="R536" i="6"/>
  <c r="R720" i="6"/>
  <c r="R704" i="6"/>
  <c r="P628" i="6"/>
  <c r="Q607" i="6"/>
  <c r="R754" i="6"/>
  <c r="R707" i="6"/>
  <c r="P623" i="6"/>
  <c r="P593" i="6"/>
  <c r="Q573" i="6"/>
  <c r="Q557" i="6"/>
  <c r="Q552" i="6"/>
  <c r="R712" i="6"/>
  <c r="Q649" i="6"/>
  <c r="R733" i="6"/>
  <c r="R694" i="6"/>
  <c r="Q631" i="6"/>
  <c r="P631" i="6"/>
  <c r="R771" i="6"/>
  <c r="R767" i="6"/>
  <c r="P622" i="6"/>
  <c r="Q620" i="6"/>
  <c r="P607" i="6"/>
  <c r="P573" i="6"/>
  <c r="P559" i="6"/>
  <c r="R793" i="6"/>
  <c r="R747" i="6"/>
  <c r="R730" i="6"/>
  <c r="P728" i="6"/>
  <c r="P603" i="6"/>
  <c r="Q599" i="6"/>
  <c r="P589" i="6"/>
  <c r="P579" i="6"/>
  <c r="R552" i="6"/>
  <c r="R705" i="6"/>
  <c r="P678" i="6"/>
  <c r="P636" i="6"/>
  <c r="R609" i="6"/>
  <c r="Q601" i="6"/>
  <c r="P599" i="6"/>
  <c r="Q565" i="6"/>
  <c r="R559" i="6"/>
  <c r="P705" i="6"/>
  <c r="R628" i="6"/>
  <c r="Q609" i="6"/>
  <c r="R582" i="6"/>
  <c r="P565" i="6"/>
  <c r="R562" i="6"/>
  <c r="Q559" i="6"/>
  <c r="P831" i="6"/>
  <c r="S831" i="6" s="1"/>
  <c r="P740" i="6"/>
  <c r="P582" i="6"/>
  <c r="P562" i="6"/>
  <c r="Q453" i="6"/>
  <c r="R572" i="6"/>
  <c r="Q518" i="6"/>
  <c r="P688" i="6"/>
  <c r="Q572" i="6"/>
  <c r="R523" i="6"/>
  <c r="P518" i="6"/>
  <c r="Q581" i="6"/>
  <c r="Q929" i="6"/>
  <c r="Q897" i="6"/>
  <c r="P525" i="6"/>
  <c r="R446" i="6"/>
  <c r="Q628" i="6"/>
  <c r="R505" i="6"/>
  <c r="Q446" i="6"/>
  <c r="R713" i="6"/>
  <c r="R603" i="6"/>
  <c r="Q505" i="6"/>
  <c r="P446" i="6"/>
  <c r="S446" i="6" s="1"/>
  <c r="P713" i="6"/>
  <c r="R642" i="6"/>
  <c r="Q603" i="6"/>
  <c r="P505" i="6"/>
  <c r="R476" i="6"/>
  <c r="Q383" i="6"/>
  <c r="R691" i="6"/>
  <c r="Q622" i="6"/>
  <c r="Q536" i="6"/>
  <c r="R520" i="6"/>
  <c r="P476" i="6"/>
  <c r="S476" i="6" s="1"/>
  <c r="R671" i="6"/>
  <c r="P536" i="6"/>
  <c r="S536" i="6" s="1"/>
  <c r="Q520" i="6"/>
  <c r="P735" i="6"/>
  <c r="S735" i="6" s="1"/>
  <c r="Q586" i="6"/>
  <c r="Q537" i="6"/>
  <c r="R524" i="6"/>
  <c r="Q498" i="6"/>
  <c r="P457" i="6"/>
  <c r="R453" i="6"/>
  <c r="Q373" i="6"/>
  <c r="P372" i="6"/>
  <c r="S372" i="6" s="1"/>
  <c r="P789" i="6"/>
  <c r="R600" i="6"/>
  <c r="P516" i="6"/>
  <c r="R495" i="6"/>
  <c r="P488" i="6"/>
  <c r="S488" i="6" s="1"/>
  <c r="R460" i="6"/>
  <c r="P453" i="6"/>
  <c r="P581" i="6"/>
  <c r="P572" i="6"/>
  <c r="S572" i="6" s="1"/>
  <c r="P561" i="6"/>
  <c r="Q544" i="6"/>
  <c r="P460" i="6"/>
  <c r="S460" i="6" s="1"/>
  <c r="Q414" i="6"/>
  <c r="R504" i="6"/>
  <c r="Q482" i="6"/>
  <c r="Q602" i="6"/>
  <c r="Q567" i="6"/>
  <c r="R540" i="6"/>
  <c r="P604" i="6"/>
  <c r="S604" i="6" s="1"/>
  <c r="R566" i="6"/>
  <c r="Q545" i="6"/>
  <c r="P539" i="6"/>
  <c r="Q452" i="6"/>
  <c r="P412" i="6"/>
  <c r="Q582" i="6"/>
  <c r="P551" i="6"/>
  <c r="P545" i="6"/>
  <c r="P524" i="6"/>
  <c r="R519" i="6"/>
  <c r="P467" i="6"/>
  <c r="S467" i="6" s="1"/>
  <c r="R820" i="6"/>
  <c r="Q540" i="6"/>
  <c r="Q519" i="6"/>
  <c r="R461" i="6"/>
  <c r="Q413" i="6"/>
  <c r="Q393" i="6"/>
  <c r="Q371" i="6"/>
  <c r="R684" i="6"/>
  <c r="P594" i="6"/>
  <c r="P540" i="6"/>
  <c r="S540" i="6" s="1"/>
  <c r="R526" i="6"/>
  <c r="P519" i="6"/>
  <c r="Q461" i="6"/>
  <c r="P413" i="6"/>
  <c r="S413" i="6" s="1"/>
  <c r="P393" i="6"/>
  <c r="P371" i="6"/>
  <c r="P684" i="6"/>
  <c r="R537" i="6"/>
  <c r="Q526" i="6"/>
  <c r="P461" i="6"/>
  <c r="Q347" i="6"/>
  <c r="Q326" i="6"/>
  <c r="P664" i="6"/>
  <c r="S664" i="6" s="1"/>
  <c r="R588" i="6"/>
  <c r="P557" i="6"/>
  <c r="S557" i="6" s="1"/>
  <c r="P530" i="6"/>
  <c r="S530" i="6" s="1"/>
  <c r="P426" i="6"/>
  <c r="Q348" i="6"/>
  <c r="R809" i="6"/>
  <c r="R558" i="6"/>
  <c r="Q369" i="6"/>
  <c r="P329" i="6"/>
  <c r="S329" i="6" s="1"/>
  <c r="Q578" i="6"/>
  <c r="R544" i="6"/>
  <c r="R510" i="6"/>
  <c r="Q421" i="6"/>
  <c r="P410" i="6"/>
  <c r="P391" i="6"/>
  <c r="Q389" i="6"/>
  <c r="P370" i="6"/>
  <c r="Q299" i="6"/>
  <c r="R561" i="6"/>
  <c r="P421" i="6"/>
  <c r="Q412" i="6"/>
  <c r="P389" i="6"/>
  <c r="S389" i="6" s="1"/>
  <c r="Q306" i="6"/>
  <c r="P299" i="6"/>
  <c r="R581" i="6"/>
  <c r="P602" i="6"/>
  <c r="R489" i="6"/>
  <c r="Q460" i="6"/>
  <c r="P373" i="6"/>
  <c r="Q368" i="6"/>
  <c r="Q320" i="6"/>
  <c r="P274" i="6"/>
  <c r="R263" i="6"/>
  <c r="R579" i="6"/>
  <c r="Q562" i="6"/>
  <c r="R456" i="6"/>
  <c r="Q436" i="6"/>
  <c r="P404" i="6"/>
  <c r="Q372" i="6"/>
  <c r="Q356" i="6"/>
  <c r="P351" i="6"/>
  <c r="Q328" i="6"/>
  <c r="Q225" i="6"/>
  <c r="Q600" i="6"/>
  <c r="Q579" i="6"/>
  <c r="P482" i="6"/>
  <c r="S482" i="6" s="1"/>
  <c r="P436" i="6"/>
  <c r="S436" i="6" s="1"/>
  <c r="P356" i="6"/>
  <c r="S356" i="6" s="1"/>
  <c r="P328" i="6"/>
  <c r="Q308" i="6"/>
  <c r="R184" i="6"/>
  <c r="R167" i="6"/>
  <c r="Q523" i="6"/>
  <c r="Q399" i="6"/>
  <c r="P348" i="6"/>
  <c r="Q266" i="6"/>
  <c r="R230" i="6"/>
  <c r="P523" i="6"/>
  <c r="Q488" i="6"/>
  <c r="P399" i="6"/>
  <c r="Q370" i="6"/>
  <c r="P320" i="6"/>
  <c r="P308" i="6"/>
  <c r="Q230" i="6"/>
  <c r="Q181" i="6"/>
  <c r="R614" i="6"/>
  <c r="P537" i="6"/>
  <c r="S537" i="6" s="1"/>
  <c r="R516" i="6"/>
  <c r="R264" i="6"/>
  <c r="Q258" i="6"/>
  <c r="R210" i="6"/>
  <c r="R208" i="6"/>
  <c r="Q203" i="6"/>
  <c r="Q163" i="6"/>
  <c r="R153" i="6"/>
  <c r="Q593" i="6"/>
  <c r="Q410" i="6"/>
  <c r="P286" i="6"/>
  <c r="S286" i="6" s="1"/>
  <c r="P284" i="6"/>
  <c r="S284" i="6" s="1"/>
  <c r="Q252" i="6"/>
  <c r="R237" i="6"/>
  <c r="R224" i="6"/>
  <c r="R201" i="6"/>
  <c r="Q179" i="6"/>
  <c r="R174" i="6"/>
  <c r="R169" i="6"/>
  <c r="Q141" i="6"/>
  <c r="R452" i="6"/>
  <c r="Q435" i="6"/>
  <c r="Q237" i="6"/>
  <c r="Q224" i="6"/>
  <c r="Q201" i="6"/>
  <c r="Q184" i="6"/>
  <c r="Q174" i="6"/>
  <c r="Q169" i="6"/>
  <c r="Q462" i="6"/>
  <c r="Q404" i="6"/>
  <c r="Q400" i="6"/>
  <c r="Q390" i="6"/>
  <c r="R152" i="6"/>
  <c r="R126" i="6"/>
  <c r="R643" i="6"/>
  <c r="Q589" i="6"/>
  <c r="P462" i="6"/>
  <c r="P400" i="6"/>
  <c r="P390" i="6"/>
  <c r="Q152" i="6"/>
  <c r="Q126" i="6"/>
  <c r="Q305" i="6"/>
  <c r="Q285" i="6"/>
  <c r="Q263" i="6"/>
  <c r="Q182" i="6"/>
  <c r="R139" i="6"/>
  <c r="Q119" i="6"/>
  <c r="Q558" i="6"/>
  <c r="P347" i="6"/>
  <c r="S347" i="6" s="1"/>
  <c r="P285" i="6"/>
  <c r="Q246" i="6"/>
  <c r="Q180" i="6"/>
  <c r="R158" i="6"/>
  <c r="Q139" i="6"/>
  <c r="R127" i="6"/>
  <c r="R111" i="6"/>
  <c r="R578" i="6"/>
  <c r="P558" i="6"/>
  <c r="Q539" i="6"/>
  <c r="R462" i="6"/>
  <c r="Q447" i="6"/>
  <c r="Q376" i="6"/>
  <c r="P368" i="6"/>
  <c r="R251" i="6"/>
  <c r="R202" i="6"/>
  <c r="Q127" i="6"/>
  <c r="Q111" i="6"/>
  <c r="Q495" i="6"/>
  <c r="P447" i="6"/>
  <c r="Q420" i="6"/>
  <c r="Q391" i="6"/>
  <c r="P376" i="6"/>
  <c r="S376" i="6" s="1"/>
  <c r="R253" i="6"/>
  <c r="R200" i="6"/>
  <c r="R188" i="6"/>
  <c r="R146" i="6"/>
  <c r="Q137" i="6"/>
  <c r="P665" i="6"/>
  <c r="S665" i="6" s="1"/>
  <c r="P420" i="6"/>
  <c r="Q351" i="6"/>
  <c r="Q295" i="6"/>
  <c r="R265" i="6"/>
  <c r="Q253" i="6"/>
  <c r="Q200" i="6"/>
  <c r="Q588" i="6"/>
  <c r="R498" i="6"/>
  <c r="R475" i="6"/>
  <c r="P326" i="6"/>
  <c r="P287" i="6"/>
  <c r="R267" i="6"/>
  <c r="R232" i="6"/>
  <c r="R992" i="6"/>
  <c r="R557" i="6"/>
  <c r="P498" i="6"/>
  <c r="P279" i="6"/>
  <c r="Q267" i="6"/>
  <c r="Q289" i="6"/>
  <c r="R573" i="6"/>
  <c r="Q392" i="6"/>
  <c r="Q350" i="6"/>
  <c r="Q327" i="6"/>
  <c r="R64" i="6"/>
  <c r="R63" i="6"/>
  <c r="R62" i="6"/>
  <c r="R61" i="6"/>
  <c r="R58" i="6"/>
  <c r="R57" i="6"/>
  <c r="R56" i="6"/>
  <c r="R55" i="6"/>
  <c r="R54" i="6"/>
  <c r="R53" i="6"/>
  <c r="R48" i="6"/>
  <c r="R47" i="6"/>
  <c r="R43" i="6"/>
  <c r="R42" i="6"/>
  <c r="R41" i="6"/>
  <c r="R40" i="6"/>
  <c r="R37" i="6"/>
  <c r="R36" i="6"/>
  <c r="R35" i="6"/>
  <c r="R34" i="6"/>
  <c r="R33" i="6"/>
  <c r="R32" i="6"/>
  <c r="R27" i="6"/>
  <c r="R26" i="6"/>
  <c r="R22" i="6"/>
  <c r="R21" i="6"/>
  <c r="R20" i="6"/>
  <c r="R19" i="6"/>
  <c r="R16" i="6"/>
  <c r="R15" i="6"/>
  <c r="R14" i="6"/>
  <c r="R13" i="6"/>
  <c r="R12" i="6"/>
  <c r="R11" i="6"/>
  <c r="R6" i="6"/>
  <c r="R5" i="6"/>
  <c r="P369" i="6"/>
  <c r="S369" i="6" s="1"/>
  <c r="P350" i="6"/>
  <c r="P327" i="6"/>
  <c r="S327" i="6" s="1"/>
  <c r="Q278" i="6"/>
  <c r="Q247" i="6"/>
  <c r="P586" i="6"/>
  <c r="S586" i="6" s="1"/>
  <c r="P520" i="6"/>
  <c r="S520" i="6" s="1"/>
  <c r="Q454" i="6"/>
  <c r="Q334" i="6"/>
  <c r="Q321" i="6"/>
  <c r="P278" i="6"/>
  <c r="R252" i="6"/>
  <c r="Q236" i="6"/>
  <c r="R221" i="6"/>
  <c r="Q167" i="6"/>
  <c r="R121" i="6"/>
  <c r="P79" i="6"/>
  <c r="P62" i="6"/>
  <c r="S62" i="6" s="1"/>
  <c r="P20" i="6"/>
  <c r="S20" i="6" s="1"/>
  <c r="Q355" i="6"/>
  <c r="P16" i="6"/>
  <c r="S16" i="6" s="1"/>
  <c r="R580" i="6"/>
  <c r="P330" i="6"/>
  <c r="P478" i="6"/>
  <c r="R245" i="6"/>
  <c r="R116" i="6"/>
  <c r="P41" i="6"/>
  <c r="S41" i="6" s="1"/>
  <c r="R656" i="6"/>
  <c r="P509" i="6"/>
  <c r="S509" i="6" s="1"/>
  <c r="Q330" i="6"/>
  <c r="Q245" i="6"/>
  <c r="Q116" i="6"/>
  <c r="Q103" i="6"/>
  <c r="P435" i="6"/>
  <c r="Q264" i="6"/>
  <c r="R187" i="6"/>
  <c r="P58" i="6"/>
  <c r="S58" i="6" s="1"/>
  <c r="P34" i="6"/>
  <c r="R499" i="6"/>
  <c r="R82" i="6"/>
  <c r="R610" i="6"/>
  <c r="P21" i="6"/>
  <c r="S21" i="6" s="1"/>
  <c r="Q300" i="6"/>
  <c r="R75" i="6"/>
  <c r="P55" i="6"/>
  <c r="P288" i="6"/>
  <c r="S288" i="6" s="1"/>
  <c r="Q75" i="6"/>
  <c r="P68" i="6"/>
  <c r="P747" i="6"/>
  <c r="S747" i="6" s="1"/>
  <c r="Q284" i="6"/>
  <c r="R179" i="6"/>
  <c r="Q82" i="6"/>
  <c r="P75" i="6"/>
  <c r="P63" i="6"/>
  <c r="S63" i="6" s="1"/>
  <c r="P5" i="6"/>
  <c r="P610" i="6"/>
  <c r="P560" i="6"/>
  <c r="R173" i="6"/>
  <c r="Q159" i="6"/>
  <c r="Q76" i="6"/>
  <c r="P64" i="6"/>
  <c r="P22" i="6"/>
  <c r="P6" i="6"/>
  <c r="Q516" i="6"/>
  <c r="P419" i="6"/>
  <c r="P310" i="6"/>
  <c r="R231" i="6"/>
  <c r="P85" i="6"/>
  <c r="S85" i="6" s="1"/>
  <c r="R69" i="6"/>
  <c r="P48" i="6"/>
  <c r="P40" i="6"/>
  <c r="S40" i="6" s="1"/>
  <c r="Q419" i="6"/>
  <c r="P306" i="6"/>
  <c r="S306" i="6" s="1"/>
  <c r="Q173" i="6"/>
  <c r="Q168" i="6"/>
  <c r="Q85" i="6"/>
  <c r="P76" i="6"/>
  <c r="P61" i="6"/>
  <c r="S61" i="6" s="1"/>
  <c r="P43" i="6"/>
  <c r="P27" i="6"/>
  <c r="P19" i="6"/>
  <c r="S19" i="6" s="1"/>
  <c r="V39" i="6"/>
  <c r="U39" i="6"/>
  <c r="H82" i="6"/>
  <c r="G82" i="6"/>
  <c r="O91" i="6"/>
  <c r="U91" i="6"/>
  <c r="G247" i="6"/>
  <c r="J247" i="6" s="1"/>
  <c r="I247" i="6"/>
  <c r="H247" i="6"/>
  <c r="I14" i="6"/>
  <c r="H14" i="6"/>
  <c r="G14" i="6"/>
  <c r="J14" i="6" s="1"/>
  <c r="O39" i="6"/>
  <c r="O59" i="6"/>
  <c r="Q63" i="6"/>
  <c r="N67" i="6"/>
  <c r="V67" i="6" s="1"/>
  <c r="I112" i="6"/>
  <c r="H112" i="6"/>
  <c r="G112" i="6"/>
  <c r="J112" i="6" s="1"/>
  <c r="P112" i="6"/>
  <c r="R112" i="6"/>
  <c r="Q112" i="6"/>
  <c r="N112" i="6"/>
  <c r="Q115" i="6"/>
  <c r="G205" i="6"/>
  <c r="J205" i="6" s="1"/>
  <c r="H225" i="6"/>
  <c r="R531" i="6"/>
  <c r="X45" i="6"/>
  <c r="P53" i="6"/>
  <c r="S65" i="6"/>
  <c r="P74" i="6"/>
  <c r="P82" i="6"/>
  <c r="R189" i="6"/>
  <c r="K240" i="6"/>
  <c r="P262" i="6"/>
  <c r="S262" i="6" s="1"/>
  <c r="N262" i="6"/>
  <c r="V262" i="6" s="1"/>
  <c r="H262" i="6"/>
  <c r="G262" i="6"/>
  <c r="I262" i="6"/>
  <c r="R262" i="6"/>
  <c r="Q287" i="6"/>
  <c r="P415" i="6"/>
  <c r="M480" i="6"/>
  <c r="X480" i="6" s="1"/>
  <c r="W480" i="6"/>
  <c r="P222" i="6"/>
  <c r="R222" i="6"/>
  <c r="Q222" i="6"/>
  <c r="I222" i="6"/>
  <c r="H222" i="6"/>
  <c r="H267" i="6"/>
  <c r="G267" i="6"/>
  <c r="J267" i="6" s="1"/>
  <c r="I315" i="6"/>
  <c r="H315" i="6"/>
  <c r="G315" i="6"/>
  <c r="J315" i="6" s="1"/>
  <c r="Q415" i="6"/>
  <c r="U543" i="6"/>
  <c r="H693" i="6"/>
  <c r="I34" i="6"/>
  <c r="H34" i="6"/>
  <c r="G34" i="6"/>
  <c r="J34" i="6" s="1"/>
  <c r="L50" i="6"/>
  <c r="R74" i="6"/>
  <c r="H77" i="6"/>
  <c r="P96" i="6"/>
  <c r="R104" i="6"/>
  <c r="O136" i="6"/>
  <c r="G159" i="6"/>
  <c r="J159" i="6" s="1"/>
  <c r="H159" i="6"/>
  <c r="I159" i="6"/>
  <c r="P229" i="6"/>
  <c r="H229" i="6"/>
  <c r="R229" i="6"/>
  <c r="Q229" i="6"/>
  <c r="I229" i="6"/>
  <c r="G229" i="6"/>
  <c r="R307" i="6"/>
  <c r="I307" i="6"/>
  <c r="H307" i="6"/>
  <c r="G307" i="6"/>
  <c r="J307" i="6" s="1"/>
  <c r="P307" i="6"/>
  <c r="S307" i="6" s="1"/>
  <c r="P14" i="6"/>
  <c r="L25" i="6"/>
  <c r="Q27" i="6"/>
  <c r="W28" i="6"/>
  <c r="Q56" i="6"/>
  <c r="Q96" i="6"/>
  <c r="R124" i="6"/>
  <c r="U133" i="6"/>
  <c r="V133" i="6"/>
  <c r="G222" i="6"/>
  <c r="P244" i="6"/>
  <c r="S244" i="6" s="1"/>
  <c r="R244" i="6"/>
  <c r="G244" i="6"/>
  <c r="H244" i="6"/>
  <c r="Q244" i="6"/>
  <c r="I244" i="6"/>
  <c r="Q262" i="6"/>
  <c r="I37" i="6"/>
  <c r="H37" i="6"/>
  <c r="G37" i="6"/>
  <c r="O304" i="6"/>
  <c r="V304" i="6"/>
  <c r="U304" i="6"/>
  <c r="K321" i="6"/>
  <c r="L321" i="6" s="1"/>
  <c r="T321" i="6"/>
  <c r="K360" i="6"/>
  <c r="G537" i="6"/>
  <c r="H481" i="6"/>
  <c r="G378" i="6"/>
  <c r="I252" i="6"/>
  <c r="H442" i="6"/>
  <c r="I327" i="6"/>
  <c r="I271" i="6"/>
  <c r="G268" i="6"/>
  <c r="I442" i="6"/>
  <c r="H268" i="6"/>
  <c r="I236" i="6"/>
  <c r="H551" i="6"/>
  <c r="I390" i="6"/>
  <c r="I358" i="6"/>
  <c r="G536" i="6"/>
  <c r="I194" i="6"/>
  <c r="I608" i="6"/>
  <c r="W9" i="6"/>
  <c r="P35" i="6"/>
  <c r="M59" i="6"/>
  <c r="X59" i="6" s="1"/>
  <c r="N115" i="6"/>
  <c r="L214" i="6"/>
  <c r="Q313" i="6"/>
  <c r="R342" i="6"/>
  <c r="H342" i="6"/>
  <c r="G342" i="6"/>
  <c r="J342" i="6" s="1"/>
  <c r="Q342" i="6"/>
  <c r="P342" i="6"/>
  <c r="I342" i="6"/>
  <c r="O422" i="6"/>
  <c r="P11" i="6"/>
  <c r="L23" i="6"/>
  <c r="S46" i="6"/>
  <c r="P57" i="6"/>
  <c r="S57" i="6" s="1"/>
  <c r="H89" i="6"/>
  <c r="I179" i="6"/>
  <c r="G357" i="6"/>
  <c r="B1036" i="6"/>
  <c r="U21" i="8" s="1"/>
  <c r="I20" i="6"/>
  <c r="H20" i="6"/>
  <c r="G20" i="6"/>
  <c r="J20" i="6" s="1"/>
  <c r="Q22" i="6"/>
  <c r="I47" i="6"/>
  <c r="H47" i="6"/>
  <c r="G47" i="6"/>
  <c r="I56" i="6"/>
  <c r="H56" i="6"/>
  <c r="G56" i="6"/>
  <c r="Q58" i="6"/>
  <c r="Q74" i="6"/>
  <c r="O80" i="6"/>
  <c r="U80" i="6"/>
  <c r="H90" i="6"/>
  <c r="I152" i="6"/>
  <c r="G152" i="6"/>
  <c r="T30" i="6"/>
  <c r="M30" i="6"/>
  <c r="I32" i="6"/>
  <c r="H32" i="6"/>
  <c r="G32" i="6"/>
  <c r="J32" i="6" s="1"/>
  <c r="Q34" i="6"/>
  <c r="G68" i="6"/>
  <c r="R77" i="6"/>
  <c r="I94" i="6"/>
  <c r="V94" i="6"/>
  <c r="R94" i="6"/>
  <c r="Q94" i="6"/>
  <c r="P94" i="6"/>
  <c r="S94" i="6" s="1"/>
  <c r="N94" i="6"/>
  <c r="H94" i="6"/>
  <c r="G94" i="6"/>
  <c r="R96" i="6"/>
  <c r="R110" i="6"/>
  <c r="G169" i="6"/>
  <c r="I210" i="6"/>
  <c r="H299" i="6"/>
  <c r="Q307" i="6"/>
  <c r="J325" i="6"/>
  <c r="K325" i="6"/>
  <c r="L325" i="6" s="1"/>
  <c r="V332" i="6"/>
  <c r="U332" i="6"/>
  <c r="O332" i="6"/>
  <c r="W388" i="6"/>
  <c r="M388" i="6"/>
  <c r="X388" i="6" s="1"/>
  <c r="I412" i="6"/>
  <c r="O4" i="6"/>
  <c r="U92" i="6"/>
  <c r="I35" i="6"/>
  <c r="H35" i="6"/>
  <c r="G35" i="6"/>
  <c r="I102" i="6"/>
  <c r="H102" i="6"/>
  <c r="G102" i="6"/>
  <c r="J102" i="6" s="1"/>
  <c r="P102" i="6"/>
  <c r="Q102" i="6"/>
  <c r="R102" i="6"/>
  <c r="N102" i="6"/>
  <c r="I138" i="6"/>
  <c r="H138" i="6"/>
  <c r="G138" i="6"/>
  <c r="J138" i="6" s="1"/>
  <c r="P138" i="6"/>
  <c r="R138" i="6"/>
  <c r="P238" i="6"/>
  <c r="N238" i="6"/>
  <c r="R238" i="6"/>
  <c r="Q238" i="6"/>
  <c r="I238" i="6"/>
  <c r="H238" i="6"/>
  <c r="G238" i="6"/>
  <c r="J238" i="6" s="1"/>
  <c r="K241" i="6"/>
  <c r="L241" i="6" s="1"/>
  <c r="T241" i="6" s="1"/>
  <c r="R379" i="6"/>
  <c r="P379" i="6"/>
  <c r="Q379" i="6"/>
  <c r="I379" i="6"/>
  <c r="G379" i="6"/>
  <c r="J379" i="6" s="1"/>
  <c r="H379" i="6"/>
  <c r="O492" i="6"/>
  <c r="V492" i="6"/>
  <c r="U492" i="6"/>
  <c r="M8" i="6"/>
  <c r="X8" i="6" s="1"/>
  <c r="W8" i="6"/>
  <c r="M39" i="6"/>
  <c r="X39" i="6" s="1"/>
  <c r="P69" i="6"/>
  <c r="Q95" i="6"/>
  <c r="H246" i="6"/>
  <c r="S449" i="6"/>
  <c r="Q55" i="6"/>
  <c r="Q69" i="6"/>
  <c r="M235" i="6"/>
  <c r="X18" i="6"/>
  <c r="P36" i="6"/>
  <c r="I62" i="6"/>
  <c r="H62" i="6"/>
  <c r="G62" i="6"/>
  <c r="J62" i="6" s="1"/>
  <c r="Q64" i="6"/>
  <c r="H68" i="6"/>
  <c r="G90" i="6"/>
  <c r="J90" i="6" s="1"/>
  <c r="W206" i="6"/>
  <c r="M206" i="6"/>
  <c r="H216" i="6"/>
  <c r="P234" i="6"/>
  <c r="S234" i="6" s="1"/>
  <c r="N234" i="6"/>
  <c r="V234" i="6"/>
  <c r="H234" i="6"/>
  <c r="G234" i="6"/>
  <c r="I234" i="6"/>
  <c r="I267" i="6"/>
  <c r="I299" i="6"/>
  <c r="G362" i="6"/>
  <c r="I622" i="6"/>
  <c r="I641" i="6"/>
  <c r="G641" i="6"/>
  <c r="P641" i="6"/>
  <c r="R641" i="6"/>
  <c r="H641" i="6"/>
  <c r="Q641" i="6"/>
  <c r="Q6" i="6"/>
  <c r="P12" i="6"/>
  <c r="I15" i="6"/>
  <c r="H15" i="6"/>
  <c r="G15" i="6"/>
  <c r="J15" i="6" s="1"/>
  <c r="V18" i="6"/>
  <c r="U18" i="6"/>
  <c r="S30" i="6"/>
  <c r="Q32" i="6"/>
  <c r="S32" i="6" s="1"/>
  <c r="P56" i="6"/>
  <c r="G83" i="6"/>
  <c r="Q104" i="6"/>
  <c r="I216" i="6"/>
  <c r="P223" i="6"/>
  <c r="I223" i="6"/>
  <c r="H223" i="6"/>
  <c r="G223" i="6"/>
  <c r="R223" i="6"/>
  <c r="R272" i="6"/>
  <c r="Q272" i="6"/>
  <c r="V272" i="6"/>
  <c r="G272" i="6"/>
  <c r="I272" i="6"/>
  <c r="P272" i="6"/>
  <c r="N272" i="6"/>
  <c r="H272" i="6"/>
  <c r="O325" i="6"/>
  <c r="V325" i="6"/>
  <c r="U325" i="6"/>
  <c r="H521" i="6"/>
  <c r="P521" i="6"/>
  <c r="N521" i="6"/>
  <c r="R521" i="6"/>
  <c r="G521" i="6"/>
  <c r="I521" i="6"/>
  <c r="V521" i="6"/>
  <c r="Q521" i="6"/>
  <c r="I42" i="6"/>
  <c r="H42" i="6"/>
  <c r="G42" i="6"/>
  <c r="I89" i="6"/>
  <c r="R89" i="6"/>
  <c r="Q89" i="6"/>
  <c r="P89" i="6"/>
  <c r="S89" i="6" s="1"/>
  <c r="I108" i="6"/>
  <c r="H108" i="6"/>
  <c r="G108" i="6"/>
  <c r="J108" i="6" s="1"/>
  <c r="P108" i="6"/>
  <c r="R108" i="6"/>
  <c r="Q108" i="6"/>
  <c r="N108" i="6"/>
  <c r="I5" i="6"/>
  <c r="H5" i="6"/>
  <c r="G5" i="6"/>
  <c r="J5" i="6" s="1"/>
  <c r="I21" i="6"/>
  <c r="H21" i="6"/>
  <c r="G21" i="6"/>
  <c r="J21" i="6" s="1"/>
  <c r="Q47" i="6"/>
  <c r="S47" i="6" s="1"/>
  <c r="I63" i="6"/>
  <c r="H63" i="6"/>
  <c r="G63" i="6"/>
  <c r="I73" i="6"/>
  <c r="R73" i="6"/>
  <c r="P73" i="6"/>
  <c r="S73" i="6" s="1"/>
  <c r="N73" i="6"/>
  <c r="I91" i="6"/>
  <c r="V91" i="6"/>
  <c r="G203" i="6"/>
  <c r="I203" i="6"/>
  <c r="H203" i="6"/>
  <c r="P212" i="6"/>
  <c r="N212" i="6"/>
  <c r="R212" i="6"/>
  <c r="Q212" i="6"/>
  <c r="I212" i="6"/>
  <c r="H212" i="6"/>
  <c r="J212" i="6" s="1"/>
  <c r="V212" i="6"/>
  <c r="R247" i="6"/>
  <c r="P257" i="6"/>
  <c r="S257" i="6" s="1"/>
  <c r="Q257" i="6"/>
  <c r="R257" i="6"/>
  <c r="T269" i="6"/>
  <c r="K269" i="6"/>
  <c r="L269" i="6" s="1"/>
  <c r="R317" i="6"/>
  <c r="P317" i="6"/>
  <c r="S317" i="6" s="1"/>
  <c r="I317" i="6"/>
  <c r="H317" i="6"/>
  <c r="G317" i="6"/>
  <c r="J317" i="6" s="1"/>
  <c r="Q317" i="6"/>
  <c r="V317" i="6"/>
  <c r="N317" i="6"/>
  <c r="I335" i="6"/>
  <c r="K338" i="6"/>
  <c r="J338" i="6"/>
  <c r="R363" i="6"/>
  <c r="Q363" i="6"/>
  <c r="G363" i="6"/>
  <c r="J363" i="6" s="1"/>
  <c r="P363" i="6"/>
  <c r="G605" i="6"/>
  <c r="P605" i="6"/>
  <c r="H605" i="6"/>
  <c r="R605" i="6"/>
  <c r="Q605" i="6"/>
  <c r="N605" i="6"/>
  <c r="I605" i="6"/>
  <c r="Q14" i="6"/>
  <c r="I26" i="6"/>
  <c r="H26" i="6"/>
  <c r="G26" i="6"/>
  <c r="Q279" i="6"/>
  <c r="Q341" i="6"/>
  <c r="U353" i="6"/>
  <c r="O353" i="6"/>
  <c r="G483" i="6"/>
  <c r="P483" i="6"/>
  <c r="R483" i="6"/>
  <c r="Q483" i="6"/>
  <c r="I483" i="6"/>
  <c r="Q26" i="6"/>
  <c r="Q42" i="6"/>
  <c r="G89" i="6"/>
  <c r="J89" i="6" s="1"/>
  <c r="O146" i="6"/>
  <c r="U146" i="6"/>
  <c r="J149" i="6"/>
  <c r="H181" i="6"/>
  <c r="P189" i="6"/>
  <c r="G189" i="6"/>
  <c r="I189" i="6"/>
  <c r="G232" i="6"/>
  <c r="I232" i="6"/>
  <c r="K276" i="6"/>
  <c r="H368" i="6"/>
  <c r="I389" i="6"/>
  <c r="H460" i="6"/>
  <c r="H483" i="6"/>
  <c r="P248" i="6"/>
  <c r="S248" i="6" s="1"/>
  <c r="N248" i="6"/>
  <c r="V248" i="6" s="1"/>
  <c r="I248" i="6"/>
  <c r="H248" i="6"/>
  <c r="G248" i="6"/>
  <c r="R248" i="6"/>
  <c r="Q248" i="6"/>
  <c r="V134" i="6"/>
  <c r="V185" i="6"/>
  <c r="I54" i="6"/>
  <c r="H54" i="6"/>
  <c r="G54" i="6"/>
  <c r="I95" i="6"/>
  <c r="R95" i="6"/>
  <c r="P95" i="6"/>
  <c r="O113" i="6"/>
  <c r="U113" i="6"/>
  <c r="I125" i="6"/>
  <c r="H125" i="6"/>
  <c r="G125" i="6"/>
  <c r="J125" i="6" s="1"/>
  <c r="P125" i="6"/>
  <c r="S125" i="6" s="1"/>
  <c r="V125" i="6"/>
  <c r="R125" i="6"/>
  <c r="Q125" i="6"/>
  <c r="I142" i="6"/>
  <c r="H142" i="6"/>
  <c r="G142" i="6"/>
  <c r="P142" i="6"/>
  <c r="R142" i="6"/>
  <c r="P190" i="6"/>
  <c r="I190" i="6"/>
  <c r="H190" i="6"/>
  <c r="G190" i="6"/>
  <c r="J190" i="6" s="1"/>
  <c r="Q190" i="6"/>
  <c r="G236" i="6"/>
  <c r="J236" i="6" s="1"/>
  <c r="H236" i="6"/>
  <c r="I33" i="6"/>
  <c r="H33" i="6"/>
  <c r="G33" i="6"/>
  <c r="J33" i="6" s="1"/>
  <c r="O51" i="6"/>
  <c r="I57" i="6"/>
  <c r="H57" i="6"/>
  <c r="G57" i="6"/>
  <c r="J57" i="6" s="1"/>
  <c r="R97" i="6"/>
  <c r="I105" i="6"/>
  <c r="H105" i="6"/>
  <c r="G105" i="6"/>
  <c r="P105" i="6"/>
  <c r="R105" i="6"/>
  <c r="Q105" i="6"/>
  <c r="J193" i="6"/>
  <c r="J196" i="6"/>
  <c r="I224" i="6"/>
  <c r="P261" i="6"/>
  <c r="N261" i="6"/>
  <c r="V261" i="6" s="1"/>
  <c r="R261" i="6"/>
  <c r="H261" i="6"/>
  <c r="G261" i="6"/>
  <c r="J261" i="6" s="1"/>
  <c r="Q261" i="6"/>
  <c r="V280" i="6"/>
  <c r="U280" i="6"/>
  <c r="O280" i="6"/>
  <c r="I355" i="6"/>
  <c r="G395" i="6"/>
  <c r="J395" i="6" s="1"/>
  <c r="R395" i="6"/>
  <c r="N395" i="6"/>
  <c r="Q395" i="6"/>
  <c r="P395" i="6"/>
  <c r="V395" i="6"/>
  <c r="I395" i="6"/>
  <c r="H395" i="6"/>
  <c r="R277" i="6"/>
  <c r="G277" i="6"/>
  <c r="Q277" i="6"/>
  <c r="P277" i="6"/>
  <c r="S277" i="6" s="1"/>
  <c r="N277" i="6"/>
  <c r="I277" i="6"/>
  <c r="R377" i="6"/>
  <c r="N377" i="6"/>
  <c r="I377" i="6"/>
  <c r="V377" i="6"/>
  <c r="H377" i="6"/>
  <c r="Q377" i="6"/>
  <c r="P377" i="6"/>
  <c r="G377" i="6"/>
  <c r="S487" i="6"/>
  <c r="Q41" i="6"/>
  <c r="I77" i="6"/>
  <c r="P77" i="6"/>
  <c r="G77" i="6"/>
  <c r="I147" i="6"/>
  <c r="H147" i="6"/>
  <c r="G147" i="6"/>
  <c r="J147" i="6" s="1"/>
  <c r="P147" i="6"/>
  <c r="S147" i="6" s="1"/>
  <c r="H271" i="6"/>
  <c r="G271" i="6"/>
  <c r="J271" i="6" s="1"/>
  <c r="L280" i="6"/>
  <c r="O10" i="6"/>
  <c r="Q20" i="6"/>
  <c r="Q62" i="6"/>
  <c r="I103" i="6"/>
  <c r="H103" i="6"/>
  <c r="G103" i="6"/>
  <c r="P103" i="6"/>
  <c r="P166" i="6"/>
  <c r="Q166" i="6"/>
  <c r="G166" i="6"/>
  <c r="I166" i="6"/>
  <c r="H166" i="6"/>
  <c r="R166" i="6"/>
  <c r="P204" i="6"/>
  <c r="S204" i="6" s="1"/>
  <c r="I204" i="6"/>
  <c r="R204" i="6"/>
  <c r="Q204" i="6"/>
  <c r="G204" i="6"/>
  <c r="J204" i="6" s="1"/>
  <c r="H204" i="6"/>
  <c r="P218" i="6"/>
  <c r="S218" i="6" s="1"/>
  <c r="N218" i="6"/>
  <c r="V218" i="6"/>
  <c r="H218" i="6"/>
  <c r="I218" i="6"/>
  <c r="G218" i="6"/>
  <c r="P239" i="6"/>
  <c r="N239" i="6"/>
  <c r="V239" i="6"/>
  <c r="R239" i="6"/>
  <c r="I239" i="6"/>
  <c r="H239" i="6"/>
  <c r="Q239" i="6"/>
  <c r="G239" i="6"/>
  <c r="J239" i="6" s="1"/>
  <c r="H277" i="6"/>
  <c r="K417" i="6"/>
  <c r="L417" i="6" s="1"/>
  <c r="I552" i="6"/>
  <c r="I12" i="6"/>
  <c r="H12" i="6"/>
  <c r="G12" i="6"/>
  <c r="J12" i="6" s="1"/>
  <c r="I36" i="6"/>
  <c r="H36" i="6"/>
  <c r="G36" i="6"/>
  <c r="Q54" i="6"/>
  <c r="I72" i="6"/>
  <c r="R72" i="6"/>
  <c r="Q72" i="6"/>
  <c r="P72" i="6"/>
  <c r="S72" i="6" s="1"/>
  <c r="N72" i="6"/>
  <c r="H72" i="6"/>
  <c r="Q77" i="6"/>
  <c r="I88" i="6"/>
  <c r="P88" i="6"/>
  <c r="S88" i="6" s="1"/>
  <c r="N88" i="6"/>
  <c r="G88" i="6"/>
  <c r="J88" i="6" s="1"/>
  <c r="O93" i="6"/>
  <c r="U93" i="6"/>
  <c r="G95" i="6"/>
  <c r="J95" i="6" s="1"/>
  <c r="I99" i="6"/>
  <c r="H99" i="6"/>
  <c r="G99" i="6"/>
  <c r="J99" i="6" s="1"/>
  <c r="P99" i="6"/>
  <c r="R99" i="6"/>
  <c r="Q99" i="6"/>
  <c r="V113" i="6"/>
  <c r="R147" i="6"/>
  <c r="P161" i="6"/>
  <c r="R161" i="6"/>
  <c r="Q161" i="6"/>
  <c r="I161" i="6"/>
  <c r="H161" i="6"/>
  <c r="G161" i="6"/>
  <c r="G167" i="6"/>
  <c r="I167" i="6"/>
  <c r="H167" i="6"/>
  <c r="R190" i="6"/>
  <c r="T196" i="6"/>
  <c r="Q218" i="6"/>
  <c r="G221" i="6"/>
  <c r="I221" i="6"/>
  <c r="J227" i="6"/>
  <c r="G245" i="6"/>
  <c r="J245" i="6" s="1"/>
  <c r="G431" i="6"/>
  <c r="J431" i="6" s="1"/>
  <c r="R431" i="6"/>
  <c r="I431" i="6"/>
  <c r="P431" i="6"/>
  <c r="H431" i="6"/>
  <c r="Q431" i="6"/>
  <c r="K470" i="6"/>
  <c r="L470" i="6" s="1"/>
  <c r="I580" i="6"/>
  <c r="I587" i="6"/>
  <c r="O587" i="6"/>
  <c r="U587" i="6"/>
  <c r="Q12" i="6"/>
  <c r="Q36" i="6"/>
  <c r="I69" i="6"/>
  <c r="J72" i="6"/>
  <c r="P289" i="6"/>
  <c r="U361" i="6"/>
  <c r="O361" i="6"/>
  <c r="V361" i="6"/>
  <c r="U10" i="6"/>
  <c r="Q15" i="6"/>
  <c r="I19" i="6"/>
  <c r="H19" i="6"/>
  <c r="G19" i="6"/>
  <c r="J19" i="6" s="1"/>
  <c r="I27" i="6"/>
  <c r="H27" i="6"/>
  <c r="G27" i="6"/>
  <c r="J27" i="6" s="1"/>
  <c r="I43" i="6"/>
  <c r="H43" i="6"/>
  <c r="G43" i="6"/>
  <c r="J43" i="6" s="1"/>
  <c r="I61" i="6"/>
  <c r="H61" i="6"/>
  <c r="G61" i="6"/>
  <c r="R103" i="6"/>
  <c r="O109" i="6"/>
  <c r="O123" i="6"/>
  <c r="Q142" i="6"/>
  <c r="K177" i="6"/>
  <c r="L177" i="6" s="1"/>
  <c r="P205" i="6"/>
  <c r="R205" i="6"/>
  <c r="Q205" i="6"/>
  <c r="I205" i="6"/>
  <c r="H205" i="6"/>
  <c r="J249" i="6"/>
  <c r="O301" i="6"/>
  <c r="V301" i="6"/>
  <c r="U301" i="6"/>
  <c r="K381" i="6"/>
  <c r="L381" i="6" s="1"/>
  <c r="T381" i="6" s="1"/>
  <c r="H418" i="6"/>
  <c r="H426" i="6"/>
  <c r="I211" i="6"/>
  <c r="G211" i="6"/>
  <c r="L227" i="6"/>
  <c r="T261" i="6"/>
  <c r="K261" i="6"/>
  <c r="L261" i="6" s="1"/>
  <c r="R292" i="6"/>
  <c r="Q292" i="6"/>
  <c r="P292" i="6"/>
  <c r="I292" i="6"/>
  <c r="G292" i="6"/>
  <c r="H292" i="6"/>
  <c r="U339" i="6"/>
  <c r="O339" i="6"/>
  <c r="U388" i="6"/>
  <c r="O388" i="6"/>
  <c r="O566" i="6"/>
  <c r="U566" i="6"/>
  <c r="P591" i="6"/>
  <c r="I591" i="6"/>
  <c r="N591" i="6"/>
  <c r="R591" i="6"/>
  <c r="V591" i="6"/>
  <c r="H591" i="6"/>
  <c r="G591" i="6"/>
  <c r="J591" i="6" s="1"/>
  <c r="Q591" i="6"/>
  <c r="I40" i="6"/>
  <c r="H40" i="6"/>
  <c r="G40" i="6"/>
  <c r="J40" i="6" s="1"/>
  <c r="I48" i="6"/>
  <c r="H48" i="6"/>
  <c r="G48" i="6"/>
  <c r="I1009" i="6"/>
  <c r="H977" i="6"/>
  <c r="H960" i="6"/>
  <c r="G982" i="6"/>
  <c r="I966" i="6"/>
  <c r="G957" i="6"/>
  <c r="H918" i="6"/>
  <c r="G1003" i="6"/>
  <c r="I930" i="6"/>
  <c r="I988" i="6"/>
  <c r="H930" i="6"/>
  <c r="G988" i="6"/>
  <c r="G930" i="6"/>
  <c r="J930" i="6" s="1"/>
  <c r="I918" i="6"/>
  <c r="I982" i="6"/>
  <c r="G918" i="6"/>
  <c r="G1009" i="6"/>
  <c r="I1003" i="6"/>
  <c r="H979" i="6"/>
  <c r="G977" i="6"/>
  <c r="I979" i="6"/>
  <c r="H1009" i="6"/>
  <c r="G979" i="6"/>
  <c r="J979" i="6" s="1"/>
  <c r="G909" i="6"/>
  <c r="G903" i="6"/>
  <c r="I1002" i="6"/>
  <c r="H1002" i="6"/>
  <c r="I999" i="6"/>
  <c r="H938" i="6"/>
  <c r="H859" i="6"/>
  <c r="H1003" i="6"/>
  <c r="I925" i="6"/>
  <c r="I914" i="6"/>
  <c r="I1000" i="6"/>
  <c r="G856" i="6"/>
  <c r="J856" i="6" s="1"/>
  <c r="H841" i="6"/>
  <c r="G1000" i="6"/>
  <c r="H810" i="6"/>
  <c r="H944" i="6"/>
  <c r="H914" i="6"/>
  <c r="G810" i="6"/>
  <c r="I960" i="6"/>
  <c r="G914" i="6"/>
  <c r="G881" i="6"/>
  <c r="H903" i="6"/>
  <c r="H999" i="6"/>
  <c r="H915" i="6"/>
  <c r="H909" i="6"/>
  <c r="G859" i="6"/>
  <c r="G783" i="6"/>
  <c r="I987" i="6"/>
  <c r="I810" i="6"/>
  <c r="H987" i="6"/>
  <c r="G902" i="6"/>
  <c r="J902" i="6" s="1"/>
  <c r="I957" i="6"/>
  <c r="H860" i="6"/>
  <c r="I959" i="6"/>
  <c r="G867" i="6"/>
  <c r="J867" i="6" s="1"/>
  <c r="H856" i="6"/>
  <c r="H819" i="6"/>
  <c r="G797" i="6"/>
  <c r="G985" i="6"/>
  <c r="G791" i="6"/>
  <c r="G830" i="6"/>
  <c r="I797" i="6"/>
  <c r="H883" i="6"/>
  <c r="H797" i="6"/>
  <c r="H748" i="6"/>
  <c r="G740" i="6"/>
  <c r="J740" i="6" s="1"/>
  <c r="H982" i="6"/>
  <c r="I767" i="6"/>
  <c r="H852" i="6"/>
  <c r="H838" i="6"/>
  <c r="G767" i="6"/>
  <c r="I916" i="6"/>
  <c r="H877" i="6"/>
  <c r="H855" i="6"/>
  <c r="H735" i="6"/>
  <c r="G965" i="6"/>
  <c r="J965" i="6" s="1"/>
  <c r="G735" i="6"/>
  <c r="J735" i="6" s="1"/>
  <c r="G876" i="6"/>
  <c r="G860" i="6"/>
  <c r="H783" i="6"/>
  <c r="G946" i="6"/>
  <c r="G840" i="6"/>
  <c r="G862" i="6"/>
  <c r="J862" i="6" s="1"/>
  <c r="H832" i="6"/>
  <c r="H754" i="6"/>
  <c r="I725" i="6"/>
  <c r="H888" i="6"/>
  <c r="H803" i="6"/>
  <c r="I977" i="6"/>
  <c r="I735" i="6"/>
  <c r="G831" i="6"/>
  <c r="J831" i="6" s="1"/>
  <c r="I755" i="6"/>
  <c r="I729" i="6"/>
  <c r="G727" i="6"/>
  <c r="J727" i="6" s="1"/>
  <c r="G678" i="6"/>
  <c r="I672" i="6"/>
  <c r="H729" i="6"/>
  <c r="H672" i="6"/>
  <c r="I937" i="6"/>
  <c r="H898" i="6"/>
  <c r="H874" i="6"/>
  <c r="G720" i="6"/>
  <c r="G725" i="6"/>
  <c r="I751" i="6"/>
  <c r="I809" i="6"/>
  <c r="G809" i="6"/>
  <c r="H727" i="6"/>
  <c r="I706" i="6"/>
  <c r="I698" i="6"/>
  <c r="H581" i="6"/>
  <c r="I720" i="6"/>
  <c r="G698" i="6"/>
  <c r="J698" i="6" s="1"/>
  <c r="G581" i="6"/>
  <c r="J581" i="6" s="1"/>
  <c r="G960" i="6"/>
  <c r="J960" i="6" s="1"/>
  <c r="H839" i="6"/>
  <c r="I749" i="6"/>
  <c r="H685" i="6"/>
  <c r="H880" i="6"/>
  <c r="I771" i="6"/>
  <c r="H646" i="6"/>
  <c r="G895" i="6"/>
  <c r="J895" i="6" s="1"/>
  <c r="H876" i="6"/>
  <c r="G769" i="6"/>
  <c r="J769" i="6" s="1"/>
  <c r="G693" i="6"/>
  <c r="I649" i="6"/>
  <c r="H621" i="6"/>
  <c r="I790" i="6"/>
  <c r="H776" i="6"/>
  <c r="I664" i="6"/>
  <c r="I581" i="6"/>
  <c r="H705" i="6"/>
  <c r="H687" i="6"/>
  <c r="I646" i="6"/>
  <c r="H615" i="6"/>
  <c r="H601" i="6"/>
  <c r="I791" i="6"/>
  <c r="I754" i="6"/>
  <c r="I707" i="6"/>
  <c r="I678" i="6"/>
  <c r="G601" i="6"/>
  <c r="G692" i="6"/>
  <c r="J692" i="6" s="1"/>
  <c r="I684" i="6"/>
  <c r="I671" i="6"/>
  <c r="H667" i="6"/>
  <c r="H662" i="6"/>
  <c r="G852" i="6"/>
  <c r="I762" i="6"/>
  <c r="H671" i="6"/>
  <c r="G646" i="6"/>
  <c r="G888" i="6"/>
  <c r="G671" i="6"/>
  <c r="H867" i="6"/>
  <c r="G754" i="6"/>
  <c r="G691" i="6"/>
  <c r="I692" i="6"/>
  <c r="H692" i="6"/>
  <c r="I579" i="6"/>
  <c r="I746" i="6"/>
  <c r="I645" i="6"/>
  <c r="I615" i="6"/>
  <c r="H607" i="6"/>
  <c r="I601" i="6"/>
  <c r="H579" i="6"/>
  <c r="I683" i="6"/>
  <c r="G603" i="6"/>
  <c r="I589" i="6"/>
  <c r="G525" i="6"/>
  <c r="J525" i="6" s="1"/>
  <c r="H824" i="6"/>
  <c r="H628" i="6"/>
  <c r="H559" i="6"/>
  <c r="G824" i="6"/>
  <c r="I642" i="6"/>
  <c r="G628" i="6"/>
  <c r="G559" i="6"/>
  <c r="J559" i="6" s="1"/>
  <c r="I610" i="6"/>
  <c r="G593" i="6"/>
  <c r="H751" i="6"/>
  <c r="I685" i="6"/>
  <c r="G588" i="6"/>
  <c r="J588" i="6" s="1"/>
  <c r="H504" i="6"/>
  <c r="G915" i="6"/>
  <c r="G796" i="6"/>
  <c r="J796" i="6" s="1"/>
  <c r="I651" i="6"/>
  <c r="H746" i="6"/>
  <c r="H720" i="6"/>
  <c r="G631" i="6"/>
  <c r="J631" i="6" s="1"/>
  <c r="I628" i="6"/>
  <c r="I489" i="6"/>
  <c r="H415" i="6"/>
  <c r="H404" i="6"/>
  <c r="H393" i="6"/>
  <c r="G373" i="6"/>
  <c r="H642" i="6"/>
  <c r="H603" i="6"/>
  <c r="I557" i="6"/>
  <c r="H540" i="6"/>
  <c r="H489" i="6"/>
  <c r="H966" i="6"/>
  <c r="G615" i="6"/>
  <c r="H557" i="6"/>
  <c r="G540" i="6"/>
  <c r="J540" i="6" s="1"/>
  <c r="H525" i="6"/>
  <c r="G489" i="6"/>
  <c r="H725" i="6"/>
  <c r="H644" i="6"/>
  <c r="G579" i="6"/>
  <c r="H536" i="6"/>
  <c r="H457" i="6"/>
  <c r="G390" i="6"/>
  <c r="J390" i="6" s="1"/>
  <c r="H719" i="6"/>
  <c r="I609" i="6"/>
  <c r="I588" i="6"/>
  <c r="H520" i="6"/>
  <c r="H436" i="6"/>
  <c r="H609" i="6"/>
  <c r="H588" i="6"/>
  <c r="G520" i="6"/>
  <c r="I391" i="6"/>
  <c r="H649" i="6"/>
  <c r="H624" i="6"/>
  <c r="I524" i="6"/>
  <c r="I518" i="6"/>
  <c r="I488" i="6"/>
  <c r="I453" i="6"/>
  <c r="I413" i="6"/>
  <c r="H391" i="6"/>
  <c r="H788" i="6"/>
  <c r="G624" i="6"/>
  <c r="G589" i="6"/>
  <c r="I573" i="6"/>
  <c r="I461" i="6"/>
  <c r="H573" i="6"/>
  <c r="H461" i="6"/>
  <c r="J461" i="6" s="1"/>
  <c r="I383" i="6"/>
  <c r="H665" i="6"/>
  <c r="I495" i="6"/>
  <c r="I369" i="6"/>
  <c r="G278" i="6"/>
  <c r="I644" i="6"/>
  <c r="I620" i="6"/>
  <c r="I586" i="6"/>
  <c r="I432" i="6"/>
  <c r="I421" i="6"/>
  <c r="H369" i="6"/>
  <c r="H757" i="6"/>
  <c r="G644" i="6"/>
  <c r="H620" i="6"/>
  <c r="I578" i="6"/>
  <c r="G573" i="6"/>
  <c r="H432" i="6"/>
  <c r="H421" i="6"/>
  <c r="G369" i="6"/>
  <c r="J369" i="6" s="1"/>
  <c r="G620" i="6"/>
  <c r="J620" i="6" s="1"/>
  <c r="H599" i="6"/>
  <c r="I568" i="6"/>
  <c r="H397" i="6"/>
  <c r="G279" i="6"/>
  <c r="G771" i="6"/>
  <c r="I565" i="6"/>
  <c r="H413" i="6"/>
  <c r="H390" i="6"/>
  <c r="H370" i="6"/>
  <c r="G582" i="6"/>
  <c r="H420" i="6"/>
  <c r="G383" i="6"/>
  <c r="J383" i="6" s="1"/>
  <c r="G610" i="6"/>
  <c r="I593" i="6"/>
  <c r="I539" i="6"/>
  <c r="G505" i="6"/>
  <c r="H348" i="6"/>
  <c r="G621" i="6"/>
  <c r="J621" i="6" s="1"/>
  <c r="H593" i="6"/>
  <c r="I567" i="6"/>
  <c r="I544" i="6"/>
  <c r="G539" i="6"/>
  <c r="I398" i="6"/>
  <c r="I334" i="6"/>
  <c r="I273" i="6"/>
  <c r="H208" i="6"/>
  <c r="H567" i="6"/>
  <c r="H544" i="6"/>
  <c r="H453" i="6"/>
  <c r="I410" i="6"/>
  <c r="G273" i="6"/>
  <c r="J273" i="6" s="1"/>
  <c r="I468" i="6"/>
  <c r="G452" i="6"/>
  <c r="J452" i="6" s="1"/>
  <c r="H230" i="6"/>
  <c r="G518" i="6"/>
  <c r="J518" i="6" s="1"/>
  <c r="I498" i="6"/>
  <c r="H468" i="6"/>
  <c r="J468" i="6" s="1"/>
  <c r="G230" i="6"/>
  <c r="I153" i="6"/>
  <c r="G566" i="6"/>
  <c r="J566" i="6" s="1"/>
  <c r="H509" i="6"/>
  <c r="H498" i="6"/>
  <c r="I477" i="6"/>
  <c r="G456" i="6"/>
  <c r="J456" i="6" s="1"/>
  <c r="G160" i="6"/>
  <c r="J160" i="6" s="1"/>
  <c r="G509" i="6"/>
  <c r="J509" i="6" s="1"/>
  <c r="G498" i="6"/>
  <c r="I436" i="6"/>
  <c r="G488" i="6"/>
  <c r="I370" i="6"/>
  <c r="I245" i="6"/>
  <c r="H440" i="6"/>
  <c r="G389" i="6"/>
  <c r="G368" i="6"/>
  <c r="J368" i="6" s="1"/>
  <c r="I208" i="6"/>
  <c r="G153" i="6"/>
  <c r="I531" i="6"/>
  <c r="I505" i="6"/>
  <c r="I426" i="6"/>
  <c r="I384" i="6"/>
  <c r="G208" i="6"/>
  <c r="J208" i="6" s="1"/>
  <c r="H622" i="6"/>
  <c r="H610" i="6"/>
  <c r="I602" i="6"/>
  <c r="I504" i="6"/>
  <c r="I420" i="6"/>
  <c r="H398" i="6"/>
  <c r="H326" i="6"/>
  <c r="G299" i="6"/>
  <c r="I699" i="6"/>
  <c r="G478" i="6"/>
  <c r="H425" i="6"/>
  <c r="H383" i="6"/>
  <c r="H273" i="6"/>
  <c r="I263" i="6"/>
  <c r="I371" i="6"/>
  <c r="H224" i="6"/>
  <c r="H566" i="6"/>
  <c r="I435" i="6"/>
  <c r="G224" i="6"/>
  <c r="J224" i="6" s="1"/>
  <c r="H435" i="6"/>
  <c r="H263" i="6"/>
  <c r="H182" i="6"/>
  <c r="I180" i="6"/>
  <c r="I331" i="6"/>
  <c r="I305" i="6"/>
  <c r="G263" i="6"/>
  <c r="J263" i="6" s="1"/>
  <c r="G237" i="6"/>
  <c r="J237" i="6" s="1"/>
  <c r="I184" i="6"/>
  <c r="G182" i="6"/>
  <c r="J182" i="6" s="1"/>
  <c r="H180" i="6"/>
  <c r="H582" i="6"/>
  <c r="I546" i="6"/>
  <c r="I482" i="6"/>
  <c r="G376" i="6"/>
  <c r="I368" i="6"/>
  <c r="I246" i="6"/>
  <c r="I202" i="6"/>
  <c r="H184" i="6"/>
  <c r="G180" i="6"/>
  <c r="H160" i="6"/>
  <c r="G158" i="6"/>
  <c r="J158" i="6" s="1"/>
  <c r="G835" i="6"/>
  <c r="G246" i="6"/>
  <c r="J246" i="6" s="1"/>
  <c r="I230" i="6"/>
  <c r="G202" i="6"/>
  <c r="J202" i="6" s="1"/>
  <c r="H194" i="6"/>
  <c r="G174" i="6"/>
  <c r="G557" i="6"/>
  <c r="J557" i="6" s="1"/>
  <c r="H439" i="6"/>
  <c r="H295" i="6"/>
  <c r="G287" i="6"/>
  <c r="J287" i="6" s="1"/>
  <c r="G194" i="6"/>
  <c r="I326" i="6"/>
  <c r="I747" i="6"/>
  <c r="H580" i="6"/>
  <c r="H517" i="6"/>
  <c r="H355" i="6"/>
  <c r="I348" i="6"/>
  <c r="I266" i="6"/>
  <c r="H252" i="6"/>
  <c r="H179" i="6"/>
  <c r="I433" i="6"/>
  <c r="G355" i="6"/>
  <c r="H286" i="6"/>
  <c r="H266" i="6"/>
  <c r="G252" i="6"/>
  <c r="J252" i="6" s="1"/>
  <c r="I201" i="6"/>
  <c r="G179" i="6"/>
  <c r="J179" i="6" s="1"/>
  <c r="I169" i="6"/>
  <c r="I163" i="6"/>
  <c r="H505" i="6"/>
  <c r="G266" i="6"/>
  <c r="J266" i="6" s="1"/>
  <c r="G201" i="6"/>
  <c r="J201" i="6" s="1"/>
  <c r="H169" i="6"/>
  <c r="G163" i="6"/>
  <c r="I6" i="6"/>
  <c r="H6" i="6"/>
  <c r="G6" i="6"/>
  <c r="J6" i="6" s="1"/>
  <c r="I22" i="6"/>
  <c r="H22" i="6"/>
  <c r="G22" i="6"/>
  <c r="J22" i="6" s="1"/>
  <c r="Q40" i="6"/>
  <c r="Q48" i="6"/>
  <c r="I64" i="6"/>
  <c r="H64" i="6"/>
  <c r="G64" i="6"/>
  <c r="J64" i="6" s="1"/>
  <c r="G69" i="6"/>
  <c r="I83" i="6"/>
  <c r="R83" i="6"/>
  <c r="Q83" i="6"/>
  <c r="P83" i="6"/>
  <c r="S83" i="6" s="1"/>
  <c r="N83" i="6"/>
  <c r="H83" i="6"/>
  <c r="I85" i="6"/>
  <c r="H85" i="6"/>
  <c r="G85" i="6"/>
  <c r="V109" i="6"/>
  <c r="I114" i="6"/>
  <c r="H114" i="6"/>
  <c r="G114" i="6"/>
  <c r="J114" i="6" s="1"/>
  <c r="P114" i="6"/>
  <c r="N114" i="6"/>
  <c r="V114" i="6" s="1"/>
  <c r="R114" i="6"/>
  <c r="Q114" i="6"/>
  <c r="I128" i="6"/>
  <c r="H128" i="6"/>
  <c r="G128" i="6"/>
  <c r="J128" i="6" s="1"/>
  <c r="P128" i="6"/>
  <c r="S128" i="6" s="1"/>
  <c r="N128" i="6"/>
  <c r="I145" i="6"/>
  <c r="H145" i="6"/>
  <c r="G145" i="6"/>
  <c r="J145" i="6" s="1"/>
  <c r="P145" i="6"/>
  <c r="S145" i="6" s="1"/>
  <c r="R145" i="6"/>
  <c r="Q145" i="6"/>
  <c r="J170" i="6"/>
  <c r="H278" i="6"/>
  <c r="G289" i="6"/>
  <c r="J289" i="6" s="1"/>
  <c r="L289" i="6" s="1"/>
  <c r="H320" i="6"/>
  <c r="G320" i="6"/>
  <c r="J320" i="6" s="1"/>
  <c r="K346" i="6"/>
  <c r="L346" i="6" s="1"/>
  <c r="I455" i="6"/>
  <c r="H496" i="6"/>
  <c r="O506" i="6"/>
  <c r="V506" i="6"/>
  <c r="U506" i="6"/>
  <c r="P155" i="6"/>
  <c r="N155" i="6"/>
  <c r="Q155" i="6"/>
  <c r="V155" i="6"/>
  <c r="I155" i="6"/>
  <c r="H155" i="6"/>
  <c r="G155" i="6"/>
  <c r="J155" i="6" s="1"/>
  <c r="P173" i="6"/>
  <c r="I173" i="6"/>
  <c r="H173" i="6"/>
  <c r="G173" i="6"/>
  <c r="J173" i="6" s="1"/>
  <c r="G181" i="6"/>
  <c r="I181" i="6"/>
  <c r="G274" i="6"/>
  <c r="R291" i="6"/>
  <c r="P291" i="6"/>
  <c r="N291" i="6"/>
  <c r="I291" i="6"/>
  <c r="H291" i="6"/>
  <c r="G291" i="6"/>
  <c r="J291" i="6" s="1"/>
  <c r="Q291" i="6"/>
  <c r="L298" i="6"/>
  <c r="R316" i="6"/>
  <c r="Q316" i="6"/>
  <c r="G316" i="6"/>
  <c r="J316" i="6" s="1"/>
  <c r="P316" i="6"/>
  <c r="S316" i="6" s="1"/>
  <c r="I316" i="6"/>
  <c r="H316" i="6"/>
  <c r="R319" i="6"/>
  <c r="Q319" i="6"/>
  <c r="P319" i="6"/>
  <c r="S319" i="6" s="1"/>
  <c r="N319" i="6"/>
  <c r="I319" i="6"/>
  <c r="G319" i="6"/>
  <c r="R337" i="6"/>
  <c r="Q337" i="6"/>
  <c r="P337" i="6"/>
  <c r="S337" i="6" s="1"/>
  <c r="H337" i="6"/>
  <c r="I337" i="6"/>
  <c r="G337" i="6"/>
  <c r="R367" i="6"/>
  <c r="S367" i="6" s="1"/>
  <c r="I367" i="6"/>
  <c r="N367" i="6"/>
  <c r="I68" i="6"/>
  <c r="P70" i="6"/>
  <c r="S70" i="6" s="1"/>
  <c r="I79" i="6"/>
  <c r="P81" i="6"/>
  <c r="S81" i="6" s="1"/>
  <c r="I90" i="6"/>
  <c r="P92" i="6"/>
  <c r="S92" i="6" s="1"/>
  <c r="Q97" i="6"/>
  <c r="I106" i="6"/>
  <c r="H106" i="6"/>
  <c r="G106" i="6"/>
  <c r="P106" i="6"/>
  <c r="S106" i="6" s="1"/>
  <c r="R106" i="6"/>
  <c r="I109" i="6"/>
  <c r="H109" i="6"/>
  <c r="G109" i="6"/>
  <c r="J109" i="6" s="1"/>
  <c r="P109" i="6"/>
  <c r="R109" i="6"/>
  <c r="Q109" i="6"/>
  <c r="I140" i="6"/>
  <c r="H140" i="6"/>
  <c r="G140" i="6"/>
  <c r="P140" i="6"/>
  <c r="R140" i="6"/>
  <c r="Q140" i="6"/>
  <c r="P183" i="6"/>
  <c r="R183" i="6"/>
  <c r="Q183" i="6"/>
  <c r="H183" i="6"/>
  <c r="G183" i="6"/>
  <c r="J183" i="6" s="1"/>
  <c r="P187" i="6"/>
  <c r="S187" i="6" s="1"/>
  <c r="I187" i="6"/>
  <c r="H187" i="6"/>
  <c r="G187" i="6"/>
  <c r="Q187" i="6"/>
  <c r="P216" i="6"/>
  <c r="R216" i="6"/>
  <c r="Q216" i="6"/>
  <c r="G216" i="6"/>
  <c r="R294" i="6"/>
  <c r="Q294" i="6"/>
  <c r="I294" i="6"/>
  <c r="P294" i="6"/>
  <c r="S294" i="6" s="1"/>
  <c r="H294" i="6"/>
  <c r="G294" i="6"/>
  <c r="J294" i="6" s="1"/>
  <c r="U298" i="6"/>
  <c r="O298" i="6"/>
  <c r="J344" i="6"/>
  <c r="G358" i="6"/>
  <c r="H358" i="6"/>
  <c r="R378" i="6"/>
  <c r="P378" i="6"/>
  <c r="I378" i="6"/>
  <c r="Q378" i="6"/>
  <c r="H378" i="6"/>
  <c r="U409" i="6"/>
  <c r="O409" i="6"/>
  <c r="K570" i="6"/>
  <c r="P165" i="6"/>
  <c r="N165" i="6"/>
  <c r="B1031" i="6" s="1"/>
  <c r="P16" i="8" s="1"/>
  <c r="I165" i="6"/>
  <c r="H165" i="6"/>
  <c r="G165" i="6"/>
  <c r="J165" i="6" s="1"/>
  <c r="R165" i="6"/>
  <c r="Q165" i="6"/>
  <c r="L175" i="6"/>
  <c r="S296" i="6"/>
  <c r="H319" i="6"/>
  <c r="H330" i="6"/>
  <c r="G335" i="6"/>
  <c r="J335" i="6" s="1"/>
  <c r="J339" i="6"/>
  <c r="K344" i="6"/>
  <c r="L344" i="6" s="1"/>
  <c r="R365" i="6"/>
  <c r="S365" i="6" s="1"/>
  <c r="N365" i="6"/>
  <c r="I365" i="6"/>
  <c r="G367" i="6"/>
  <c r="R387" i="6"/>
  <c r="I387" i="6"/>
  <c r="N387" i="6"/>
  <c r="G387" i="6"/>
  <c r="J387" i="6" s="1"/>
  <c r="Q387" i="6"/>
  <c r="P387" i="6"/>
  <c r="S387" i="6" s="1"/>
  <c r="K428" i="6"/>
  <c r="L428" i="6" s="1"/>
  <c r="T428" i="6"/>
  <c r="J490" i="6"/>
  <c r="Q493" i="6"/>
  <c r="R493" i="6"/>
  <c r="P493" i="6"/>
  <c r="S493" i="6" s="1"/>
  <c r="N493" i="6"/>
  <c r="V493" i="6" s="1"/>
  <c r="I493" i="6"/>
  <c r="H493" i="6"/>
  <c r="G493" i="6"/>
  <c r="H541" i="6"/>
  <c r="I541" i="6"/>
  <c r="G541" i="6"/>
  <c r="P541" i="6"/>
  <c r="S541" i="6" s="1"/>
  <c r="R541" i="6"/>
  <c r="Q541" i="6"/>
  <c r="H756" i="6"/>
  <c r="G756" i="6"/>
  <c r="Q146" i="6"/>
  <c r="K192" i="6"/>
  <c r="L192" i="6" s="1"/>
  <c r="T192" i="6" s="1"/>
  <c r="R275" i="6"/>
  <c r="N275" i="6"/>
  <c r="P275" i="6"/>
  <c r="S275" i="6" s="1"/>
  <c r="I275" i="6"/>
  <c r="H275" i="6"/>
  <c r="R340" i="6"/>
  <c r="V340" i="6"/>
  <c r="Q340" i="6"/>
  <c r="P340" i="6"/>
  <c r="S340" i="6" s="1"/>
  <c r="N340" i="6"/>
  <c r="R349" i="6"/>
  <c r="H349" i="6"/>
  <c r="G349" i="6"/>
  <c r="Q349" i="6"/>
  <c r="P349" i="6"/>
  <c r="I349" i="6"/>
  <c r="G411" i="6"/>
  <c r="R411" i="6"/>
  <c r="H411" i="6"/>
  <c r="P411" i="6"/>
  <c r="I411" i="6"/>
  <c r="K571" i="6"/>
  <c r="J571" i="6"/>
  <c r="Q68" i="6"/>
  <c r="Q79" i="6"/>
  <c r="Q90" i="6"/>
  <c r="S90" i="6" s="1"/>
  <c r="I98" i="6"/>
  <c r="H98" i="6"/>
  <c r="G98" i="6"/>
  <c r="J98" i="6" s="1"/>
  <c r="P98" i="6"/>
  <c r="S98" i="6" s="1"/>
  <c r="R98" i="6"/>
  <c r="Q98" i="6"/>
  <c r="P200" i="6"/>
  <c r="I200" i="6"/>
  <c r="H200" i="6"/>
  <c r="T206" i="6"/>
  <c r="G251" i="6"/>
  <c r="J251" i="6" s="1"/>
  <c r="G331" i="6"/>
  <c r="V356" i="6"/>
  <c r="R382" i="6"/>
  <c r="Q382" i="6"/>
  <c r="P382" i="6"/>
  <c r="S382" i="6" s="1"/>
  <c r="N382" i="6"/>
  <c r="V382" i="6"/>
  <c r="I382" i="6"/>
  <c r="H382" i="6"/>
  <c r="G382" i="6"/>
  <c r="J382" i="6" s="1"/>
  <c r="G405" i="6"/>
  <c r="J405" i="6" s="1"/>
  <c r="R405" i="6"/>
  <c r="I405" i="6"/>
  <c r="H405" i="6"/>
  <c r="Q405" i="6"/>
  <c r="P405" i="6"/>
  <c r="P414" i="6"/>
  <c r="K535" i="6"/>
  <c r="I132" i="6"/>
  <c r="H132" i="6"/>
  <c r="G132" i="6"/>
  <c r="J132" i="6" s="1"/>
  <c r="P132" i="6"/>
  <c r="Q132" i="6"/>
  <c r="P148" i="6"/>
  <c r="I148" i="6"/>
  <c r="H148" i="6"/>
  <c r="G148" i="6"/>
  <c r="J148" i="6" s="1"/>
  <c r="R148" i="6"/>
  <c r="P156" i="6"/>
  <c r="S156" i="6" s="1"/>
  <c r="N156" i="6"/>
  <c r="I156" i="6"/>
  <c r="H156" i="6"/>
  <c r="R156" i="6"/>
  <c r="I265" i="6"/>
  <c r="G265" i="6"/>
  <c r="G285" i="6"/>
  <c r="R333" i="6"/>
  <c r="N333" i="6"/>
  <c r="I333" i="6"/>
  <c r="H333" i="6"/>
  <c r="P333" i="6"/>
  <c r="S333" i="6" s="1"/>
  <c r="G333" i="6"/>
  <c r="J333" i="6" s="1"/>
  <c r="R345" i="6"/>
  <c r="P345" i="6"/>
  <c r="N345" i="6"/>
  <c r="Q345" i="6"/>
  <c r="I345" i="6"/>
  <c r="H345" i="6"/>
  <c r="G345" i="6"/>
  <c r="J345" i="6" s="1"/>
  <c r="K385" i="6"/>
  <c r="L385" i="6" s="1"/>
  <c r="T385" i="6" s="1"/>
  <c r="I65" i="6"/>
  <c r="V65" i="6"/>
  <c r="R68" i="6"/>
  <c r="I71" i="6"/>
  <c r="V71" i="6"/>
  <c r="R79" i="6"/>
  <c r="I82" i="6"/>
  <c r="R90" i="6"/>
  <c r="I93" i="6"/>
  <c r="V93" i="6"/>
  <c r="I119" i="6"/>
  <c r="H119" i="6"/>
  <c r="G119" i="6"/>
  <c r="J119" i="6" s="1"/>
  <c r="P119" i="6"/>
  <c r="R119" i="6"/>
  <c r="I129" i="6"/>
  <c r="H129" i="6"/>
  <c r="G129" i="6"/>
  <c r="J129" i="6" s="1"/>
  <c r="P129" i="6"/>
  <c r="S129" i="6" s="1"/>
  <c r="N129" i="6"/>
  <c r="I139" i="6"/>
  <c r="H139" i="6"/>
  <c r="G139" i="6"/>
  <c r="J139" i="6" s="1"/>
  <c r="P139" i="6"/>
  <c r="G156" i="6"/>
  <c r="P158" i="6"/>
  <c r="Q158" i="6"/>
  <c r="I158" i="6"/>
  <c r="H158" i="6"/>
  <c r="R180" i="6"/>
  <c r="K196" i="6"/>
  <c r="L196" i="6" s="1"/>
  <c r="L219" i="6"/>
  <c r="K255" i="6"/>
  <c r="L255" i="6" s="1"/>
  <c r="G258" i="6"/>
  <c r="I258" i="6"/>
  <c r="H258" i="6"/>
  <c r="G275" i="6"/>
  <c r="L297" i="6"/>
  <c r="K303" i="6"/>
  <c r="L303" i="6" s="1"/>
  <c r="T303" i="6"/>
  <c r="Q333" i="6"/>
  <c r="G340" i="6"/>
  <c r="U385" i="6"/>
  <c r="O385" i="6"/>
  <c r="G423" i="6"/>
  <c r="J423" i="6" s="1"/>
  <c r="R423" i="6"/>
  <c r="I423" i="6"/>
  <c r="H423" i="6"/>
  <c r="Q423" i="6"/>
  <c r="P423" i="6"/>
  <c r="S423" i="6" s="1"/>
  <c r="N423" i="6"/>
  <c r="V423" i="6" s="1"/>
  <c r="G447" i="6"/>
  <c r="R447" i="6"/>
  <c r="H447" i="6"/>
  <c r="I447" i="6"/>
  <c r="G546" i="6"/>
  <c r="P546" i="6"/>
  <c r="H546" i="6"/>
  <c r="R546" i="6"/>
  <c r="Q546" i="6"/>
  <c r="M549" i="6"/>
  <c r="X549" i="6" s="1"/>
  <c r="W549" i="6"/>
  <c r="T549" i="6"/>
  <c r="M574" i="6"/>
  <c r="X574" i="6" s="1"/>
  <c r="W574" i="6"/>
  <c r="T574" i="6"/>
  <c r="J585" i="6"/>
  <c r="J65" i="6"/>
  <c r="J71" i="6"/>
  <c r="I76" i="6"/>
  <c r="I87" i="6"/>
  <c r="V87" i="6"/>
  <c r="J93" i="6"/>
  <c r="I101" i="6"/>
  <c r="H101" i="6"/>
  <c r="G101" i="6"/>
  <c r="J101" i="6" s="1"/>
  <c r="P101" i="6"/>
  <c r="S101" i="6" s="1"/>
  <c r="I116" i="6"/>
  <c r="H116" i="6"/>
  <c r="G116" i="6"/>
  <c r="J116" i="6" s="1"/>
  <c r="P116" i="6"/>
  <c r="Q148" i="6"/>
  <c r="R290" i="6"/>
  <c r="N290" i="6"/>
  <c r="P290" i="6"/>
  <c r="S290" i="6" s="1"/>
  <c r="I290" i="6"/>
  <c r="H290" i="6"/>
  <c r="R336" i="6"/>
  <c r="Q336" i="6"/>
  <c r="P336" i="6"/>
  <c r="S336" i="6" s="1"/>
  <c r="I340" i="6"/>
  <c r="R343" i="6"/>
  <c r="I343" i="6"/>
  <c r="H343" i="6"/>
  <c r="G343" i="6"/>
  <c r="J343" i="6" s="1"/>
  <c r="P343" i="6"/>
  <c r="V343" i="6"/>
  <c r="Q343" i="6"/>
  <c r="Q411" i="6"/>
  <c r="H476" i="6"/>
  <c r="G476" i="6"/>
  <c r="I476" i="6"/>
  <c r="G491" i="6"/>
  <c r="J491" i="6" s="1"/>
  <c r="N491" i="6"/>
  <c r="H491" i="6"/>
  <c r="V491" i="6"/>
  <c r="R491" i="6"/>
  <c r="Q491" i="6"/>
  <c r="P491" i="6"/>
  <c r="S491" i="6" s="1"/>
  <c r="I491" i="6"/>
  <c r="O585" i="6"/>
  <c r="U585" i="6"/>
  <c r="V585" i="6"/>
  <c r="I104" i="6"/>
  <c r="H104" i="6"/>
  <c r="G104" i="6"/>
  <c r="J104" i="6" s="1"/>
  <c r="P104" i="6"/>
  <c r="I124" i="6"/>
  <c r="H124" i="6"/>
  <c r="G124" i="6"/>
  <c r="J124" i="6" s="1"/>
  <c r="P124" i="6"/>
  <c r="S124" i="6" s="1"/>
  <c r="Q124" i="6"/>
  <c r="I134" i="6"/>
  <c r="H134" i="6"/>
  <c r="G134" i="6"/>
  <c r="J134" i="6" s="1"/>
  <c r="P134" i="6"/>
  <c r="S134" i="6" s="1"/>
  <c r="N134" i="6"/>
  <c r="R270" i="6"/>
  <c r="Q270" i="6"/>
  <c r="P270" i="6"/>
  <c r="S270" i="6" s="1"/>
  <c r="I270" i="6"/>
  <c r="G270" i="6"/>
  <c r="N270" i="6"/>
  <c r="V270" i="6" s="1"/>
  <c r="H270" i="6"/>
  <c r="R310" i="6"/>
  <c r="I310" i="6"/>
  <c r="Q310" i="6"/>
  <c r="H310" i="6"/>
  <c r="G310" i="6"/>
  <c r="S312" i="6"/>
  <c r="R323" i="6"/>
  <c r="S323" i="6" s="1"/>
  <c r="N323" i="6"/>
  <c r="I323" i="6"/>
  <c r="V323" i="6"/>
  <c r="H323" i="6"/>
  <c r="G323" i="6"/>
  <c r="J323" i="6" s="1"/>
  <c r="R354" i="6"/>
  <c r="I354" i="6"/>
  <c r="G354" i="6"/>
  <c r="N354" i="6"/>
  <c r="V354" i="6" s="1"/>
  <c r="H354" i="6"/>
  <c r="Q354" i="6"/>
  <c r="P354" i="6"/>
  <c r="Q473" i="6"/>
  <c r="H473" i="6"/>
  <c r="G473" i="6"/>
  <c r="J473" i="6" s="1"/>
  <c r="P473" i="6"/>
  <c r="S473" i="6" s="1"/>
  <c r="I516" i="6"/>
  <c r="H516" i="6"/>
  <c r="G516" i="6"/>
  <c r="J516" i="6" s="1"/>
  <c r="I70" i="6"/>
  <c r="V70" i="6"/>
  <c r="G76" i="6"/>
  <c r="I81" i="6"/>
  <c r="V81" i="6"/>
  <c r="G87" i="6"/>
  <c r="I92" i="6"/>
  <c r="V92" i="6"/>
  <c r="I110" i="6"/>
  <c r="H110" i="6"/>
  <c r="G110" i="6"/>
  <c r="J110" i="6" s="1"/>
  <c r="P110" i="6"/>
  <c r="S110" i="6" s="1"/>
  <c r="I121" i="6"/>
  <c r="H121" i="6"/>
  <c r="G121" i="6"/>
  <c r="J121" i="6" s="1"/>
  <c r="P121" i="6"/>
  <c r="Q121" i="6"/>
  <c r="R132" i="6"/>
  <c r="I143" i="6"/>
  <c r="H143" i="6"/>
  <c r="G143" i="6"/>
  <c r="J143" i="6" s="1"/>
  <c r="P143" i="6"/>
  <c r="S143" i="6" s="1"/>
  <c r="Q143" i="6"/>
  <c r="Q156" i="6"/>
  <c r="T172" i="6"/>
  <c r="P240" i="6"/>
  <c r="S240" i="6" s="1"/>
  <c r="N240" i="6"/>
  <c r="V240" i="6" s="1"/>
  <c r="H240" i="6"/>
  <c r="R240" i="6"/>
  <c r="Q240" i="6"/>
  <c r="G290" i="6"/>
  <c r="R318" i="6"/>
  <c r="Q318" i="6"/>
  <c r="S318" i="6" s="1"/>
  <c r="N318" i="6"/>
  <c r="I318" i="6"/>
  <c r="G318" i="6"/>
  <c r="H318" i="6"/>
  <c r="V333" i="6"/>
  <c r="G336" i="6"/>
  <c r="J336" i="6" s="1"/>
  <c r="L408" i="6"/>
  <c r="G424" i="6"/>
  <c r="J424" i="6" s="1"/>
  <c r="R424" i="6"/>
  <c r="P424" i="6"/>
  <c r="S424" i="6" s="1"/>
  <c r="N424" i="6"/>
  <c r="Q424" i="6"/>
  <c r="I424" i="6"/>
  <c r="H424" i="6"/>
  <c r="K465" i="6"/>
  <c r="O529" i="6"/>
  <c r="V529" i="6"/>
  <c r="U529" i="6"/>
  <c r="H76" i="6"/>
  <c r="H87" i="6"/>
  <c r="V107" i="6"/>
  <c r="K164" i="6"/>
  <c r="L164" i="6" s="1"/>
  <c r="T164" i="6" s="1"/>
  <c r="P215" i="6"/>
  <c r="I215" i="6"/>
  <c r="H215" i="6"/>
  <c r="R215" i="6"/>
  <c r="Q215" i="6"/>
  <c r="G215" i="6"/>
  <c r="K217" i="6"/>
  <c r="P226" i="6"/>
  <c r="S226" i="6" s="1"/>
  <c r="I226" i="6"/>
  <c r="H226" i="6"/>
  <c r="R226" i="6"/>
  <c r="G226" i="6"/>
  <c r="J226" i="6" s="1"/>
  <c r="Q226" i="6"/>
  <c r="T235" i="6"/>
  <c r="H288" i="6"/>
  <c r="G288" i="6"/>
  <c r="J288" i="6" s="1"/>
  <c r="Q290" i="6"/>
  <c r="R293" i="6"/>
  <c r="Q293" i="6"/>
  <c r="P293" i="6"/>
  <c r="S293" i="6" s="1"/>
  <c r="N293" i="6"/>
  <c r="V293" i="6"/>
  <c r="G293" i="6"/>
  <c r="I293" i="6"/>
  <c r="H293" i="6"/>
  <c r="J302" i="6"/>
  <c r="L302" i="6" s="1"/>
  <c r="H336" i="6"/>
  <c r="N343" i="6"/>
  <c r="I473" i="6"/>
  <c r="G572" i="6"/>
  <c r="U592" i="6"/>
  <c r="O592" i="6"/>
  <c r="O661" i="6"/>
  <c r="U661" i="6"/>
  <c r="V661" i="6"/>
  <c r="Q666" i="6"/>
  <c r="I666" i="6"/>
  <c r="P666" i="6"/>
  <c r="H666" i="6"/>
  <c r="R666" i="6"/>
  <c r="G666" i="6"/>
  <c r="J666" i="6" s="1"/>
  <c r="Q673" i="6"/>
  <c r="R673" i="6"/>
  <c r="I673" i="6"/>
  <c r="P673" i="6"/>
  <c r="H673" i="6"/>
  <c r="G673" i="6"/>
  <c r="G70" i="6"/>
  <c r="I75" i="6"/>
  <c r="J75" i="6" s="1"/>
  <c r="G81" i="6"/>
  <c r="I86" i="6"/>
  <c r="V86" i="6"/>
  <c r="G92" i="6"/>
  <c r="J92" i="6" s="1"/>
  <c r="I97" i="6"/>
  <c r="H97" i="6"/>
  <c r="G97" i="6"/>
  <c r="J97" i="6" s="1"/>
  <c r="P97" i="6"/>
  <c r="I113" i="6"/>
  <c r="H113" i="6"/>
  <c r="G113" i="6"/>
  <c r="J113" i="6" s="1"/>
  <c r="P113" i="6"/>
  <c r="R113" i="6"/>
  <c r="Q113" i="6"/>
  <c r="W150" i="6"/>
  <c r="K172" i="6"/>
  <c r="L172" i="6" s="1"/>
  <c r="L186" i="6"/>
  <c r="P191" i="6"/>
  <c r="N191" i="6"/>
  <c r="I191" i="6"/>
  <c r="G191" i="6"/>
  <c r="J191" i="6" s="1"/>
  <c r="V191" i="6"/>
  <c r="R191" i="6"/>
  <c r="Q191" i="6"/>
  <c r="P209" i="6"/>
  <c r="N209" i="6"/>
  <c r="I209" i="6"/>
  <c r="H209" i="6"/>
  <c r="G209" i="6"/>
  <c r="J209" i="6" s="1"/>
  <c r="R209" i="6"/>
  <c r="Q209" i="6"/>
  <c r="K228" i="6"/>
  <c r="L228" i="6" s="1"/>
  <c r="G240" i="6"/>
  <c r="J240" i="6" s="1"/>
  <c r="P256" i="6"/>
  <c r="S256" i="6" s="1"/>
  <c r="N256" i="6"/>
  <c r="V256" i="6"/>
  <c r="G256" i="6"/>
  <c r="R256" i="6"/>
  <c r="Q256" i="6"/>
  <c r="I256" i="6"/>
  <c r="I336" i="6"/>
  <c r="R341" i="6"/>
  <c r="P341" i="6"/>
  <c r="S341" i="6" s="1"/>
  <c r="I341" i="6"/>
  <c r="H341" i="6"/>
  <c r="G341" i="6"/>
  <c r="J341" i="6" s="1"/>
  <c r="U366" i="6"/>
  <c r="O366" i="6"/>
  <c r="U427" i="6"/>
  <c r="O427" i="6"/>
  <c r="R473" i="6"/>
  <c r="R608" i="6"/>
  <c r="P608" i="6"/>
  <c r="Q608" i="6"/>
  <c r="N608" i="6"/>
  <c r="G608" i="6"/>
  <c r="H608" i="6"/>
  <c r="K170" i="6"/>
  <c r="L170" i="6" s="1"/>
  <c r="P172" i="6"/>
  <c r="N172" i="6"/>
  <c r="R172" i="6"/>
  <c r="Q172" i="6"/>
  <c r="P177" i="6"/>
  <c r="N177" i="6"/>
  <c r="Q177" i="6"/>
  <c r="R177" i="6"/>
  <c r="P182" i="6"/>
  <c r="I182" i="6"/>
  <c r="R182" i="6"/>
  <c r="G184" i="6"/>
  <c r="P199" i="6"/>
  <c r="S199" i="6" s="1"/>
  <c r="N199" i="6"/>
  <c r="Q199" i="6"/>
  <c r="P242" i="6"/>
  <c r="I242" i="6"/>
  <c r="H242" i="6"/>
  <c r="G242" i="6"/>
  <c r="J242" i="6" s="1"/>
  <c r="R242" i="6"/>
  <c r="Q242" i="6"/>
  <c r="P246" i="6"/>
  <c r="R246" i="6"/>
  <c r="R271" i="6"/>
  <c r="Q271" i="6"/>
  <c r="P271" i="6"/>
  <c r="S271" i="6" s="1"/>
  <c r="R309" i="6"/>
  <c r="H309" i="6"/>
  <c r="Q309" i="6"/>
  <c r="P309" i="6"/>
  <c r="S309" i="6" s="1"/>
  <c r="I309" i="6"/>
  <c r="P355" i="6"/>
  <c r="R357" i="6"/>
  <c r="P357" i="6"/>
  <c r="Q357" i="6"/>
  <c r="I357" i="6"/>
  <c r="H357" i="6"/>
  <c r="R361" i="6"/>
  <c r="P361" i="6"/>
  <c r="H361" i="6"/>
  <c r="I361" i="6"/>
  <c r="G361" i="6"/>
  <c r="T388" i="6"/>
  <c r="G407" i="6"/>
  <c r="J407" i="6" s="1"/>
  <c r="R407" i="6"/>
  <c r="Q407" i="6"/>
  <c r="P407" i="6"/>
  <c r="S407" i="6" s="1"/>
  <c r="N407" i="6"/>
  <c r="I407" i="6"/>
  <c r="H407" i="6"/>
  <c r="R454" i="6"/>
  <c r="I454" i="6"/>
  <c r="H454" i="6"/>
  <c r="G454" i="6"/>
  <c r="J454" i="6" s="1"/>
  <c r="P454" i="6"/>
  <c r="S454" i="6" s="1"/>
  <c r="G460" i="6"/>
  <c r="I460" i="6"/>
  <c r="J465" i="6"/>
  <c r="Q472" i="6"/>
  <c r="V472" i="6"/>
  <c r="R472" i="6"/>
  <c r="P472" i="6"/>
  <c r="S472" i="6" s="1"/>
  <c r="N472" i="6"/>
  <c r="I472" i="6"/>
  <c r="H472" i="6"/>
  <c r="J472" i="6" s="1"/>
  <c r="R496" i="6"/>
  <c r="Q496" i="6"/>
  <c r="P496" i="6"/>
  <c r="G496" i="6"/>
  <c r="K501" i="6"/>
  <c r="L501" i="6" s="1"/>
  <c r="T501" i="6"/>
  <c r="W626" i="6"/>
  <c r="T626" i="6"/>
  <c r="M626" i="6"/>
  <c r="X626" i="6" s="1"/>
  <c r="G652" i="6"/>
  <c r="I652" i="6"/>
  <c r="H652" i="6"/>
  <c r="Q764" i="6"/>
  <c r="P764" i="6"/>
  <c r="N764" i="6"/>
  <c r="R764" i="6"/>
  <c r="I764" i="6"/>
  <c r="H764" i="6"/>
  <c r="G764" i="6"/>
  <c r="I120" i="6"/>
  <c r="H120" i="6"/>
  <c r="G120" i="6"/>
  <c r="P120" i="6"/>
  <c r="I137" i="6"/>
  <c r="H137" i="6"/>
  <c r="G137" i="6"/>
  <c r="J137" i="6" s="1"/>
  <c r="P137" i="6"/>
  <c r="P206" i="6"/>
  <c r="N206" i="6"/>
  <c r="V206" i="6"/>
  <c r="P213" i="6"/>
  <c r="S213" i="6" s="1"/>
  <c r="N213" i="6"/>
  <c r="I213" i="6"/>
  <c r="H213" i="6"/>
  <c r="J213" i="6" s="1"/>
  <c r="P233" i="6"/>
  <c r="N233" i="6"/>
  <c r="R233" i="6"/>
  <c r="I233" i="6"/>
  <c r="H233" i="6"/>
  <c r="P235" i="6"/>
  <c r="S235" i="6" s="1"/>
  <c r="N235" i="6"/>
  <c r="R344" i="6"/>
  <c r="S344" i="6" s="1"/>
  <c r="H344" i="6"/>
  <c r="N344" i="6"/>
  <c r="V344" i="6" s="1"/>
  <c r="R353" i="6"/>
  <c r="H353" i="6"/>
  <c r="K353" i="6" s="1"/>
  <c r="V353" i="6"/>
  <c r="P353" i="6"/>
  <c r="S353" i="6" s="1"/>
  <c r="G353" i="6"/>
  <c r="J353" i="6" s="1"/>
  <c r="R386" i="6"/>
  <c r="S386" i="6" s="1"/>
  <c r="H386" i="6"/>
  <c r="N386" i="6"/>
  <c r="G442" i="6"/>
  <c r="J442" i="6" s="1"/>
  <c r="R442" i="6"/>
  <c r="P442" i="6"/>
  <c r="Q442" i="6"/>
  <c r="O451" i="6"/>
  <c r="U451" i="6"/>
  <c r="O575" i="6"/>
  <c r="U575" i="6"/>
  <c r="K592" i="6"/>
  <c r="K654" i="6"/>
  <c r="L654" i="6" s="1"/>
  <c r="I107" i="6"/>
  <c r="H107" i="6"/>
  <c r="G107" i="6"/>
  <c r="J107" i="6" s="1"/>
  <c r="P107" i="6"/>
  <c r="S107" i="6" s="1"/>
  <c r="I118" i="6"/>
  <c r="H118" i="6"/>
  <c r="G118" i="6"/>
  <c r="J118" i="6" s="1"/>
  <c r="P118" i="6"/>
  <c r="S118" i="6" s="1"/>
  <c r="Q120" i="6"/>
  <c r="I123" i="6"/>
  <c r="H123" i="6"/>
  <c r="G123" i="6"/>
  <c r="J123" i="6" s="1"/>
  <c r="P123" i="6"/>
  <c r="S123" i="6" s="1"/>
  <c r="R137" i="6"/>
  <c r="P163" i="6"/>
  <c r="S163" i="6" s="1"/>
  <c r="H163" i="6"/>
  <c r="Q206" i="6"/>
  <c r="P228" i="6"/>
  <c r="N228" i="6"/>
  <c r="V228" i="6"/>
  <c r="R228" i="6"/>
  <c r="Q228" i="6"/>
  <c r="R235" i="6"/>
  <c r="P264" i="6"/>
  <c r="I264" i="6"/>
  <c r="H264" i="6"/>
  <c r="G264" i="6"/>
  <c r="J264" i="6" s="1"/>
  <c r="P266" i="6"/>
  <c r="R266" i="6"/>
  <c r="J276" i="6"/>
  <c r="O346" i="6"/>
  <c r="V346" i="6"/>
  <c r="U346" i="6"/>
  <c r="R362" i="6"/>
  <c r="Q362" i="6"/>
  <c r="P362" i="6"/>
  <c r="S362" i="6" s="1"/>
  <c r="I362" i="6"/>
  <c r="H362" i="6"/>
  <c r="R364" i="6"/>
  <c r="V364" i="6"/>
  <c r="I364" i="6"/>
  <c r="H364" i="6"/>
  <c r="G364" i="6"/>
  <c r="J364" i="6" s="1"/>
  <c r="P364" i="6"/>
  <c r="Q364" i="6"/>
  <c r="R577" i="6"/>
  <c r="Q577" i="6"/>
  <c r="P577" i="6"/>
  <c r="S577" i="6" s="1"/>
  <c r="I577" i="6"/>
  <c r="N577" i="6"/>
  <c r="R120" i="6"/>
  <c r="I127" i="6"/>
  <c r="H127" i="6"/>
  <c r="G127" i="6"/>
  <c r="J127" i="6" s="1"/>
  <c r="P127" i="6"/>
  <c r="P168" i="6"/>
  <c r="R168" i="6"/>
  <c r="P176" i="6"/>
  <c r="N176" i="6"/>
  <c r="I176" i="6"/>
  <c r="H176" i="6"/>
  <c r="G176" i="6"/>
  <c r="J176" i="6" s="1"/>
  <c r="P188" i="6"/>
  <c r="N188" i="6"/>
  <c r="Q188" i="6"/>
  <c r="H188" i="6"/>
  <c r="G188" i="6"/>
  <c r="J188" i="6" s="1"/>
  <c r="R206" i="6"/>
  <c r="P210" i="6"/>
  <c r="Q210" i="6"/>
  <c r="H210" i="6"/>
  <c r="G210" i="6"/>
  <c r="P260" i="6"/>
  <c r="N260" i="6"/>
  <c r="R260" i="6"/>
  <c r="Q260" i="6"/>
  <c r="V260" i="6"/>
  <c r="P268" i="6"/>
  <c r="R268" i="6"/>
  <c r="Q268" i="6"/>
  <c r="I268" i="6"/>
  <c r="S301" i="6"/>
  <c r="K312" i="6"/>
  <c r="L312" i="6" s="1"/>
  <c r="T312" i="6"/>
  <c r="R322" i="6"/>
  <c r="S322" i="6" s="1"/>
  <c r="I322" i="6"/>
  <c r="H322" i="6"/>
  <c r="N322" i="6"/>
  <c r="G322" i="6"/>
  <c r="J322" i="6" s="1"/>
  <c r="G356" i="6"/>
  <c r="J356" i="6" s="1"/>
  <c r="T366" i="6"/>
  <c r="K366" i="6"/>
  <c r="L366" i="6" s="1"/>
  <c r="O428" i="6"/>
  <c r="U428" i="6"/>
  <c r="K500" i="6"/>
  <c r="G502" i="6"/>
  <c r="P502" i="6"/>
  <c r="Q502" i="6"/>
  <c r="I502" i="6"/>
  <c r="H502" i="6"/>
  <c r="O511" i="6"/>
  <c r="U511" i="6"/>
  <c r="V511" i="6"/>
  <c r="U632" i="6"/>
  <c r="O632" i="6"/>
  <c r="P160" i="6"/>
  <c r="S160" i="6" s="1"/>
  <c r="I160" i="6"/>
  <c r="R160" i="6"/>
  <c r="Q160" i="6"/>
  <c r="P185" i="6"/>
  <c r="N185" i="6"/>
  <c r="H185" i="6"/>
  <c r="Q185" i="6"/>
  <c r="P207" i="6"/>
  <c r="S207" i="6" s="1"/>
  <c r="N207" i="6"/>
  <c r="H207" i="6"/>
  <c r="P221" i="6"/>
  <c r="S221" i="6" s="1"/>
  <c r="Q221" i="6"/>
  <c r="H221" i="6"/>
  <c r="G225" i="6"/>
  <c r="P232" i="6"/>
  <c r="Q232" i="6"/>
  <c r="H232" i="6"/>
  <c r="R236" i="6"/>
  <c r="P251" i="6"/>
  <c r="N251" i="6"/>
  <c r="V251" i="6"/>
  <c r="H251" i="6"/>
  <c r="Q251" i="6"/>
  <c r="I251" i="6"/>
  <c r="K260" i="6"/>
  <c r="L260" i="6" s="1"/>
  <c r="S276" i="6"/>
  <c r="R283" i="6"/>
  <c r="H283" i="6"/>
  <c r="G283" i="6"/>
  <c r="J283" i="6" s="1"/>
  <c r="Q283" i="6"/>
  <c r="P283" i="6"/>
  <c r="N283" i="6"/>
  <c r="K324" i="6"/>
  <c r="L324" i="6" s="1"/>
  <c r="R335" i="6"/>
  <c r="P335" i="6"/>
  <c r="N335" i="6"/>
  <c r="Q335" i="6"/>
  <c r="H335" i="6"/>
  <c r="U440" i="6"/>
  <c r="O440" i="6"/>
  <c r="O466" i="6"/>
  <c r="V466" i="6"/>
  <c r="Q477" i="6"/>
  <c r="G477" i="6"/>
  <c r="H477" i="6"/>
  <c r="R477" i="6"/>
  <c r="P477" i="6"/>
  <c r="S477" i="6" s="1"/>
  <c r="T569" i="6"/>
  <c r="J569" i="6"/>
  <c r="G625" i="6"/>
  <c r="H625" i="6"/>
  <c r="R625" i="6"/>
  <c r="Q625" i="6"/>
  <c r="I625" i="6"/>
  <c r="P625" i="6"/>
  <c r="S625" i="6" s="1"/>
  <c r="N629" i="6"/>
  <c r="I629" i="6"/>
  <c r="H629" i="6"/>
  <c r="P629" i="6"/>
  <c r="R629" i="6"/>
  <c r="Q629" i="6"/>
  <c r="G629" i="6"/>
  <c r="J629" i="6" s="1"/>
  <c r="O716" i="6"/>
  <c r="U716" i="6"/>
  <c r="V716" i="6"/>
  <c r="I100" i="6"/>
  <c r="H100" i="6"/>
  <c r="G100" i="6"/>
  <c r="P100" i="6"/>
  <c r="S100" i="6" s="1"/>
  <c r="N107" i="6"/>
  <c r="I111" i="6"/>
  <c r="H111" i="6"/>
  <c r="G111" i="6"/>
  <c r="P111" i="6"/>
  <c r="I126" i="6"/>
  <c r="H126" i="6"/>
  <c r="G126" i="6"/>
  <c r="J126" i="6" s="1"/>
  <c r="P126" i="6"/>
  <c r="O144" i="6"/>
  <c r="T150" i="6"/>
  <c r="P157" i="6"/>
  <c r="S157" i="6" s="1"/>
  <c r="N157" i="6"/>
  <c r="H157" i="6"/>
  <c r="R163" i="6"/>
  <c r="Q176" i="6"/>
  <c r="P202" i="6"/>
  <c r="Q202" i="6"/>
  <c r="P249" i="6"/>
  <c r="S249" i="6" s="1"/>
  <c r="N249" i="6"/>
  <c r="R249" i="6"/>
  <c r="Q249" i="6"/>
  <c r="J280" i="6"/>
  <c r="H347" i="6"/>
  <c r="G347" i="6"/>
  <c r="J347" i="6" s="1"/>
  <c r="O364" i="6"/>
  <c r="R385" i="6"/>
  <c r="V385" i="6"/>
  <c r="Q385" i="6"/>
  <c r="G385" i="6"/>
  <c r="J385" i="6" s="1"/>
  <c r="P385" i="6"/>
  <c r="S385" i="6" s="1"/>
  <c r="H495" i="6"/>
  <c r="G517" i="6"/>
  <c r="I517" i="6"/>
  <c r="K569" i="6"/>
  <c r="L569" i="6" s="1"/>
  <c r="P180" i="6"/>
  <c r="S180" i="6" s="1"/>
  <c r="R225" i="6"/>
  <c r="P253" i="6"/>
  <c r="S253" i="6" s="1"/>
  <c r="I253" i="6"/>
  <c r="H253" i="6"/>
  <c r="G253" i="6"/>
  <c r="R289" i="6"/>
  <c r="G295" i="6"/>
  <c r="I295" i="6"/>
  <c r="G321" i="6"/>
  <c r="J321" i="6" s="1"/>
  <c r="R352" i="6"/>
  <c r="I352" i="6"/>
  <c r="G352" i="6"/>
  <c r="P352" i="6"/>
  <c r="H352" i="6"/>
  <c r="Q352" i="6"/>
  <c r="J380" i="6"/>
  <c r="P448" i="6"/>
  <c r="H448" i="6"/>
  <c r="G448" i="6"/>
  <c r="J448" i="6" s="1"/>
  <c r="Q448" i="6"/>
  <c r="N448" i="6"/>
  <c r="I448" i="6"/>
  <c r="I503" i="6"/>
  <c r="Q503" i="6"/>
  <c r="H503" i="6"/>
  <c r="P503" i="6"/>
  <c r="N503" i="6"/>
  <c r="V503" i="6"/>
  <c r="R503" i="6"/>
  <c r="G503" i="6"/>
  <c r="J503" i="6" s="1"/>
  <c r="N650" i="6"/>
  <c r="Q650" i="6"/>
  <c r="G650" i="6"/>
  <c r="P650" i="6"/>
  <c r="R650" i="6"/>
  <c r="I650" i="6"/>
  <c r="H650" i="6"/>
  <c r="P169" i="6"/>
  <c r="S169" i="6" s="1"/>
  <c r="P224" i="6"/>
  <c r="S224" i="6" s="1"/>
  <c r="R258" i="6"/>
  <c r="L281" i="6"/>
  <c r="R300" i="6"/>
  <c r="I300" i="6"/>
  <c r="H300" i="6"/>
  <c r="G300" i="6"/>
  <c r="J300" i="6" s="1"/>
  <c r="P300" i="6"/>
  <c r="R315" i="6"/>
  <c r="Q315" i="6"/>
  <c r="P315" i="6"/>
  <c r="S315" i="6" s="1"/>
  <c r="P392" i="6"/>
  <c r="V401" i="6"/>
  <c r="S492" i="6"/>
  <c r="G583" i="6"/>
  <c r="P583" i="6"/>
  <c r="H583" i="6"/>
  <c r="R583" i="6"/>
  <c r="Q583" i="6"/>
  <c r="I583" i="6"/>
  <c r="I122" i="6"/>
  <c r="H122" i="6"/>
  <c r="G122" i="6"/>
  <c r="J122" i="6" s="1"/>
  <c r="P122" i="6"/>
  <c r="S122" i="6" s="1"/>
  <c r="I133" i="6"/>
  <c r="H133" i="6"/>
  <c r="G133" i="6"/>
  <c r="J133" i="6" s="1"/>
  <c r="P133" i="6"/>
  <c r="S133" i="6" s="1"/>
  <c r="I144" i="6"/>
  <c r="H144" i="6"/>
  <c r="G144" i="6"/>
  <c r="J144" i="6" s="1"/>
  <c r="P144" i="6"/>
  <c r="S144" i="6" s="1"/>
  <c r="P149" i="6"/>
  <c r="S149" i="6" s="1"/>
  <c r="N149" i="6"/>
  <c r="I149" i="6"/>
  <c r="V149" i="6"/>
  <c r="P152" i="6"/>
  <c r="S152" i="6" s="1"/>
  <c r="H152" i="6"/>
  <c r="R159" i="6"/>
  <c r="P179" i="6"/>
  <c r="S179" i="6" s="1"/>
  <c r="P193" i="6"/>
  <c r="S193" i="6" s="1"/>
  <c r="N193" i="6"/>
  <c r="I193" i="6"/>
  <c r="V193" i="6"/>
  <c r="P196" i="6"/>
  <c r="S196" i="6" s="1"/>
  <c r="N196" i="6"/>
  <c r="V196" i="6" s="1"/>
  <c r="H196" i="6"/>
  <c r="R203" i="6"/>
  <c r="P227" i="6"/>
  <c r="N227" i="6"/>
  <c r="R227" i="6"/>
  <c r="Q227" i="6"/>
  <c r="P255" i="6"/>
  <c r="N255" i="6"/>
  <c r="R255" i="6"/>
  <c r="R287" i="6"/>
  <c r="H287" i="6"/>
  <c r="I287" i="6"/>
  <c r="R297" i="6"/>
  <c r="V297" i="6"/>
  <c r="Q297" i="6"/>
  <c r="P297" i="6"/>
  <c r="N297" i="6"/>
  <c r="R320" i="6"/>
  <c r="I320" i="6"/>
  <c r="R327" i="6"/>
  <c r="H327" i="6"/>
  <c r="G327" i="6"/>
  <c r="J327" i="6" s="1"/>
  <c r="T480" i="6"/>
  <c r="K511" i="6"/>
  <c r="L511" i="6" s="1"/>
  <c r="J529" i="6"/>
  <c r="U690" i="6"/>
  <c r="V690" i="6"/>
  <c r="O690" i="6"/>
  <c r="I694" i="6"/>
  <c r="P171" i="6"/>
  <c r="S171" i="6" s="1"/>
  <c r="N171" i="6"/>
  <c r="I171" i="6"/>
  <c r="V171" i="6"/>
  <c r="P174" i="6"/>
  <c r="H174" i="6"/>
  <c r="R181" i="6"/>
  <c r="P201" i="6"/>
  <c r="P211" i="6"/>
  <c r="S211" i="6" s="1"/>
  <c r="P217" i="6"/>
  <c r="S217" i="6" s="1"/>
  <c r="N217" i="6"/>
  <c r="V217" i="6"/>
  <c r="R217" i="6"/>
  <c r="P237" i="6"/>
  <c r="I237" i="6"/>
  <c r="H237" i="6"/>
  <c r="P245" i="6"/>
  <c r="R296" i="6"/>
  <c r="V296" i="6"/>
  <c r="Q296" i="6"/>
  <c r="I296" i="6"/>
  <c r="G296" i="6"/>
  <c r="J296" i="6" s="1"/>
  <c r="R359" i="6"/>
  <c r="Q359" i="6"/>
  <c r="P359" i="6"/>
  <c r="S359" i="6" s="1"/>
  <c r="N359" i="6"/>
  <c r="G400" i="6"/>
  <c r="R400" i="6"/>
  <c r="I400" i="6"/>
  <c r="H400" i="6"/>
  <c r="S471" i="6"/>
  <c r="Q533" i="6"/>
  <c r="G533" i="6"/>
  <c r="J533" i="6" s="1"/>
  <c r="R533" i="6"/>
  <c r="P533" i="6"/>
  <c r="S533" i="6" s="1"/>
  <c r="N533" i="6"/>
  <c r="P564" i="6"/>
  <c r="R564" i="6"/>
  <c r="G564" i="6"/>
  <c r="I564" i="6"/>
  <c r="H564" i="6"/>
  <c r="Q564" i="6"/>
  <c r="O595" i="6"/>
  <c r="V595" i="6"/>
  <c r="U595" i="6"/>
  <c r="I130" i="6"/>
  <c r="H130" i="6"/>
  <c r="G130" i="6"/>
  <c r="P130" i="6"/>
  <c r="S130" i="6" s="1"/>
  <c r="I141" i="6"/>
  <c r="H141" i="6"/>
  <c r="G141" i="6"/>
  <c r="J141" i="6" s="1"/>
  <c r="P141" i="6"/>
  <c r="S141" i="6" s="1"/>
  <c r="P154" i="6"/>
  <c r="S154" i="6" s="1"/>
  <c r="N154" i="6"/>
  <c r="I154" i="6"/>
  <c r="H154" i="6"/>
  <c r="G154" i="6"/>
  <c r="J154" i="6" s="1"/>
  <c r="P167" i="6"/>
  <c r="S167" i="6" s="1"/>
  <c r="N167" i="6"/>
  <c r="V167" i="6" s="1"/>
  <c r="P184" i="6"/>
  <c r="P198" i="6"/>
  <c r="S198" i="6" s="1"/>
  <c r="N198" i="6"/>
  <c r="I198" i="6"/>
  <c r="H198" i="6"/>
  <c r="G198" i="6"/>
  <c r="J198" i="6" s="1"/>
  <c r="P220" i="6"/>
  <c r="S220" i="6" s="1"/>
  <c r="N220" i="6"/>
  <c r="I220" i="6"/>
  <c r="H220" i="6"/>
  <c r="G220" i="6"/>
  <c r="J220" i="6" s="1"/>
  <c r="P265" i="6"/>
  <c r="Q265" i="6"/>
  <c r="H265" i="6"/>
  <c r="R285" i="6"/>
  <c r="I285" i="6"/>
  <c r="H285" i="6"/>
  <c r="R288" i="6"/>
  <c r="I288" i="6"/>
  <c r="Q288" i="6"/>
  <c r="R298" i="6"/>
  <c r="V298" i="6"/>
  <c r="Q298" i="6"/>
  <c r="S298" i="6" s="1"/>
  <c r="G298" i="6"/>
  <c r="J298" i="6" s="1"/>
  <c r="G396" i="6"/>
  <c r="R396" i="6"/>
  <c r="Q396" i="6"/>
  <c r="P396" i="6"/>
  <c r="S396" i="6" s="1"/>
  <c r="N396" i="6"/>
  <c r="O444" i="6"/>
  <c r="Q463" i="6"/>
  <c r="H463" i="6"/>
  <c r="P463" i="6"/>
  <c r="R463" i="6"/>
  <c r="I463" i="6"/>
  <c r="M469" i="6"/>
  <c r="X469" i="6" s="1"/>
  <c r="W469" i="6"/>
  <c r="G497" i="6"/>
  <c r="P497" i="6"/>
  <c r="I497" i="6"/>
  <c r="R497" i="6"/>
  <c r="Q497" i="6"/>
  <c r="H497" i="6"/>
  <c r="H510" i="6"/>
  <c r="G510" i="6"/>
  <c r="P510" i="6"/>
  <c r="S510" i="6" s="1"/>
  <c r="I510" i="6"/>
  <c r="Q510" i="6"/>
  <c r="U759" i="6"/>
  <c r="O759" i="6"/>
  <c r="V759" i="6"/>
  <c r="I630" i="6"/>
  <c r="H630" i="6"/>
  <c r="Q775" i="6"/>
  <c r="R775" i="6"/>
  <c r="P775" i="6"/>
  <c r="I775" i="6"/>
  <c r="G775" i="6"/>
  <c r="H775" i="6"/>
  <c r="I146" i="6"/>
  <c r="H146" i="6"/>
  <c r="G146" i="6"/>
  <c r="J146" i="6" s="1"/>
  <c r="P146" i="6"/>
  <c r="S146" i="6" s="1"/>
  <c r="P150" i="6"/>
  <c r="N150" i="6"/>
  <c r="R150" i="6"/>
  <c r="Q150" i="6"/>
  <c r="H171" i="6"/>
  <c r="J171" i="6" s="1"/>
  <c r="I174" i="6"/>
  <c r="P194" i="6"/>
  <c r="R194" i="6"/>
  <c r="Q194" i="6"/>
  <c r="H201" i="6"/>
  <c r="H211" i="6"/>
  <c r="H217" i="6"/>
  <c r="P231" i="6"/>
  <c r="I231" i="6"/>
  <c r="H231" i="6"/>
  <c r="G231" i="6"/>
  <c r="J231" i="6" s="1"/>
  <c r="H245" i="6"/>
  <c r="R301" i="6"/>
  <c r="I301" i="6"/>
  <c r="G301" i="6"/>
  <c r="J301" i="6" s="1"/>
  <c r="R305" i="6"/>
  <c r="H305" i="6"/>
  <c r="G305" i="6"/>
  <c r="J305" i="6" s="1"/>
  <c r="P305" i="6"/>
  <c r="S305" i="6" s="1"/>
  <c r="H359" i="6"/>
  <c r="J359" i="6" s="1"/>
  <c r="V360" i="6"/>
  <c r="R388" i="6"/>
  <c r="V388" i="6"/>
  <c r="Q388" i="6"/>
  <c r="S388" i="6" s="1"/>
  <c r="H396" i="6"/>
  <c r="G428" i="6"/>
  <c r="J428" i="6" s="1"/>
  <c r="R428" i="6"/>
  <c r="Q428" i="6"/>
  <c r="P428" i="6"/>
  <c r="S428" i="6" s="1"/>
  <c r="V428" i="6"/>
  <c r="G440" i="6"/>
  <c r="R440" i="6"/>
  <c r="Q440" i="6"/>
  <c r="P440" i="6"/>
  <c r="S440" i="6" s="1"/>
  <c r="V440" i="6"/>
  <c r="I440" i="6"/>
  <c r="I446" i="6"/>
  <c r="H446" i="6"/>
  <c r="G446" i="6"/>
  <c r="J446" i="6" s="1"/>
  <c r="G463" i="6"/>
  <c r="J463" i="6" s="1"/>
  <c r="L528" i="6"/>
  <c r="I533" i="6"/>
  <c r="I548" i="6"/>
  <c r="R548" i="6"/>
  <c r="Q548" i="6"/>
  <c r="H548" i="6"/>
  <c r="P548" i="6"/>
  <c r="N548" i="6"/>
  <c r="M766" i="6"/>
  <c r="X766" i="6" s="1"/>
  <c r="W766" i="6"/>
  <c r="T766" i="6"/>
  <c r="P259" i="6"/>
  <c r="S259" i="6" s="1"/>
  <c r="N259" i="6"/>
  <c r="I259" i="6"/>
  <c r="H259" i="6"/>
  <c r="J259" i="6" s="1"/>
  <c r="V259" i="6"/>
  <c r="P267" i="6"/>
  <c r="S267" i="6" s="1"/>
  <c r="U276" i="6"/>
  <c r="O276" i="6"/>
  <c r="T298" i="6"/>
  <c r="R331" i="6"/>
  <c r="H331" i="6"/>
  <c r="Q331" i="6"/>
  <c r="P331" i="6"/>
  <c r="R339" i="6"/>
  <c r="P339" i="6"/>
  <c r="S339" i="6" s="1"/>
  <c r="I339" i="6"/>
  <c r="H339" i="6"/>
  <c r="G419" i="6"/>
  <c r="R419" i="6"/>
  <c r="I419" i="6"/>
  <c r="H419" i="6"/>
  <c r="N419" i="6"/>
  <c r="V419" i="6" s="1"/>
  <c r="K451" i="6"/>
  <c r="L451" i="6" s="1"/>
  <c r="T451" i="6"/>
  <c r="R458" i="6"/>
  <c r="S458" i="6" s="1"/>
  <c r="N458" i="6"/>
  <c r="V458" i="6" s="1"/>
  <c r="I458" i="6"/>
  <c r="H458" i="6"/>
  <c r="G458" i="6"/>
  <c r="J458" i="6" s="1"/>
  <c r="H482" i="6"/>
  <c r="U564" i="6"/>
  <c r="O564" i="6"/>
  <c r="J570" i="6"/>
  <c r="R664" i="6"/>
  <c r="R276" i="6"/>
  <c r="V276" i="6"/>
  <c r="R332" i="6"/>
  <c r="S332" i="6" s="1"/>
  <c r="I332" i="6"/>
  <c r="R358" i="6"/>
  <c r="Q358" i="6"/>
  <c r="P358" i="6"/>
  <c r="S358" i="6" s="1"/>
  <c r="R366" i="6"/>
  <c r="S366" i="6" s="1"/>
  <c r="V366" i="6"/>
  <c r="R380" i="6"/>
  <c r="Q380" i="6"/>
  <c r="P380" i="6"/>
  <c r="S380" i="6" s="1"/>
  <c r="N380" i="6"/>
  <c r="G418" i="6"/>
  <c r="J418" i="6" s="1"/>
  <c r="R418" i="6"/>
  <c r="Q418" i="6"/>
  <c r="P418" i="6"/>
  <c r="S418" i="6" s="1"/>
  <c r="I418" i="6"/>
  <c r="V429" i="6"/>
  <c r="U429" i="6"/>
  <c r="G435" i="6"/>
  <c r="R435" i="6"/>
  <c r="K464" i="6"/>
  <c r="L464" i="6" s="1"/>
  <c r="T464" i="6"/>
  <c r="Q468" i="6"/>
  <c r="R468" i="6"/>
  <c r="P468" i="6"/>
  <c r="S468" i="6" s="1"/>
  <c r="O482" i="6"/>
  <c r="U482" i="6"/>
  <c r="V482" i="6"/>
  <c r="I523" i="6"/>
  <c r="H523" i="6"/>
  <c r="G523" i="6"/>
  <c r="J523" i="6" s="1"/>
  <c r="J556" i="6"/>
  <c r="L556" i="6" s="1"/>
  <c r="V587" i="6"/>
  <c r="R587" i="6"/>
  <c r="P587" i="6"/>
  <c r="G587" i="6"/>
  <c r="Q587" i="6"/>
  <c r="H587" i="6"/>
  <c r="G633" i="6"/>
  <c r="H633" i="6"/>
  <c r="P633" i="6"/>
  <c r="N633" i="6"/>
  <c r="V633" i="6" s="1"/>
  <c r="I633" i="6"/>
  <c r="Q633" i="6"/>
  <c r="Q736" i="6"/>
  <c r="R736" i="6"/>
  <c r="I736" i="6"/>
  <c r="G736" i="6"/>
  <c r="P736" i="6"/>
  <c r="S736" i="6" s="1"/>
  <c r="H736" i="6"/>
  <c r="R274" i="6"/>
  <c r="Q274" i="6"/>
  <c r="R279" i="6"/>
  <c r="R330" i="6"/>
  <c r="I330" i="6"/>
  <c r="G330" i="6"/>
  <c r="R356" i="6"/>
  <c r="N356" i="6"/>
  <c r="R374" i="6"/>
  <c r="I374" i="6"/>
  <c r="H374" i="6"/>
  <c r="G374" i="6"/>
  <c r="J374" i="6" s="1"/>
  <c r="K443" i="6"/>
  <c r="R459" i="6"/>
  <c r="Q459" i="6"/>
  <c r="P459" i="6"/>
  <c r="S459" i="6" s="1"/>
  <c r="N459" i="6"/>
  <c r="G560" i="6"/>
  <c r="H560" i="6"/>
  <c r="R560" i="6"/>
  <c r="Q560" i="6"/>
  <c r="I560" i="6"/>
  <c r="V627" i="6"/>
  <c r="Q627" i="6"/>
  <c r="I627" i="6"/>
  <c r="H627" i="6"/>
  <c r="G627" i="6"/>
  <c r="J627" i="6" s="1"/>
  <c r="N627" i="6"/>
  <c r="R627" i="6"/>
  <c r="S627" i="6" s="1"/>
  <c r="R308" i="6"/>
  <c r="I308" i="6"/>
  <c r="G308" i="6"/>
  <c r="J308" i="6" s="1"/>
  <c r="R334" i="6"/>
  <c r="R351" i="6"/>
  <c r="I351" i="6"/>
  <c r="H351" i="6"/>
  <c r="R360" i="6"/>
  <c r="Q360" i="6"/>
  <c r="S360" i="6" s="1"/>
  <c r="R384" i="6"/>
  <c r="Q384" i="6"/>
  <c r="P384" i="6"/>
  <c r="S384" i="6" s="1"/>
  <c r="G399" i="6"/>
  <c r="J399" i="6" s="1"/>
  <c r="R399" i="6"/>
  <c r="H399" i="6"/>
  <c r="G401" i="6"/>
  <c r="R401" i="6"/>
  <c r="Q401" i="6"/>
  <c r="P401" i="6"/>
  <c r="S401" i="6" s="1"/>
  <c r="G434" i="6"/>
  <c r="R434" i="6"/>
  <c r="H434" i="6"/>
  <c r="Q434" i="6"/>
  <c r="P434" i="6"/>
  <c r="S434" i="6" s="1"/>
  <c r="G453" i="6"/>
  <c r="J453" i="6" s="1"/>
  <c r="Q475" i="6"/>
  <c r="I475" i="6"/>
  <c r="H475" i="6"/>
  <c r="P484" i="6"/>
  <c r="S484" i="6" s="1"/>
  <c r="G484" i="6"/>
  <c r="J484" i="6" s="1"/>
  <c r="R484" i="6"/>
  <c r="Q484" i="6"/>
  <c r="N486" i="6"/>
  <c r="Q486" i="6"/>
  <c r="P486" i="6"/>
  <c r="I486" i="6"/>
  <c r="H486" i="6"/>
  <c r="R486" i="6"/>
  <c r="G486" i="6"/>
  <c r="J486" i="6" s="1"/>
  <c r="T506" i="6"/>
  <c r="N508" i="6"/>
  <c r="R508" i="6"/>
  <c r="V508" i="6"/>
  <c r="Q508" i="6"/>
  <c r="P508" i="6"/>
  <c r="S508" i="6" s="1"/>
  <c r="I508" i="6"/>
  <c r="U596" i="6"/>
  <c r="O596" i="6"/>
  <c r="K612" i="6"/>
  <c r="L612" i="6" s="1"/>
  <c r="T612" i="6" s="1"/>
  <c r="O711" i="6"/>
  <c r="U711" i="6"/>
  <c r="V711" i="6"/>
  <c r="P159" i="6"/>
  <c r="P170" i="6"/>
  <c r="S170" i="6" s="1"/>
  <c r="N170" i="6"/>
  <c r="P181" i="6"/>
  <c r="S181" i="6" s="1"/>
  <c r="P192" i="6"/>
  <c r="S192" i="6" s="1"/>
  <c r="N192" i="6"/>
  <c r="P203" i="6"/>
  <c r="S203" i="6" s="1"/>
  <c r="P214" i="6"/>
  <c r="S214" i="6" s="1"/>
  <c r="N214" i="6"/>
  <c r="P225" i="6"/>
  <c r="P236" i="6"/>
  <c r="S236" i="6" s="1"/>
  <c r="P247" i="6"/>
  <c r="S247" i="6" s="1"/>
  <c r="P258" i="6"/>
  <c r="R269" i="6"/>
  <c r="P269" i="6"/>
  <c r="S269" i="6" s="1"/>
  <c r="N269" i="6"/>
  <c r="H274" i="6"/>
  <c r="R278" i="6"/>
  <c r="H279" i="6"/>
  <c r="R295" i="6"/>
  <c r="P295" i="6"/>
  <c r="S295" i="6" s="1"/>
  <c r="R321" i="6"/>
  <c r="H356" i="6"/>
  <c r="N374" i="6"/>
  <c r="G408" i="6"/>
  <c r="J408" i="6" s="1"/>
  <c r="R408" i="6"/>
  <c r="Q408" i="6"/>
  <c r="P408" i="6"/>
  <c r="S408" i="6" s="1"/>
  <c r="N408" i="6"/>
  <c r="G417" i="6"/>
  <c r="J417" i="6" s="1"/>
  <c r="R417" i="6"/>
  <c r="Q417" i="6"/>
  <c r="P417" i="6"/>
  <c r="N417" i="6"/>
  <c r="V417" i="6"/>
  <c r="H459" i="6"/>
  <c r="Q467" i="6"/>
  <c r="R467" i="6"/>
  <c r="I467" i="6"/>
  <c r="H467" i="6"/>
  <c r="G467" i="6"/>
  <c r="J467" i="6" s="1"/>
  <c r="H550" i="6"/>
  <c r="I550" i="6"/>
  <c r="R550" i="6"/>
  <c r="Q550" i="6"/>
  <c r="P550" i="6"/>
  <c r="S550" i="6" s="1"/>
  <c r="N550" i="6"/>
  <c r="G550" i="6"/>
  <c r="J550" i="6" s="1"/>
  <c r="V550" i="6"/>
  <c r="S596" i="6"/>
  <c r="O606" i="6"/>
  <c r="V606" i="6"/>
  <c r="I636" i="6"/>
  <c r="G636" i="6"/>
  <c r="K738" i="6"/>
  <c r="J738" i="6"/>
  <c r="W753" i="6"/>
  <c r="M753" i="6"/>
  <c r="I274" i="6"/>
  <c r="I279" i="6"/>
  <c r="R286" i="6"/>
  <c r="I286" i="6"/>
  <c r="G286" i="6"/>
  <c r="H308" i="6"/>
  <c r="R312" i="6"/>
  <c r="N312" i="6"/>
  <c r="R329" i="6"/>
  <c r="I329" i="6"/>
  <c r="H329" i="6"/>
  <c r="J329" i="6" s="1"/>
  <c r="G334" i="6"/>
  <c r="R338" i="6"/>
  <c r="Q338" i="6"/>
  <c r="S338" i="6" s="1"/>
  <c r="G351" i="6"/>
  <c r="I356" i="6"/>
  <c r="G360" i="6"/>
  <c r="R376" i="6"/>
  <c r="I376" i="6"/>
  <c r="H376" i="6"/>
  <c r="R381" i="6"/>
  <c r="Q381" i="6"/>
  <c r="P381" i="6"/>
  <c r="S381" i="6" s="1"/>
  <c r="N381" i="6"/>
  <c r="G384" i="6"/>
  <c r="R389" i="6"/>
  <c r="H389" i="6"/>
  <c r="I399" i="6"/>
  <c r="H401" i="6"/>
  <c r="G406" i="6"/>
  <c r="R406" i="6"/>
  <c r="N406" i="6"/>
  <c r="P406" i="6"/>
  <c r="S406" i="6" s="1"/>
  <c r="I406" i="6"/>
  <c r="G425" i="6"/>
  <c r="J425" i="6" s="1"/>
  <c r="R425" i="6"/>
  <c r="Q425" i="6"/>
  <c r="P425" i="6"/>
  <c r="S425" i="6" s="1"/>
  <c r="I425" i="6"/>
  <c r="I434" i="6"/>
  <c r="V451" i="6"/>
  <c r="R451" i="6"/>
  <c r="Q451" i="6"/>
  <c r="P451" i="6"/>
  <c r="S451" i="6" s="1"/>
  <c r="I459" i="6"/>
  <c r="G475" i="6"/>
  <c r="H484" i="6"/>
  <c r="V486" i="6"/>
  <c r="K506" i="6"/>
  <c r="L506" i="6" s="1"/>
  <c r="G508" i="6"/>
  <c r="J553" i="6"/>
  <c r="L553" i="6" s="1"/>
  <c r="P153" i="6"/>
  <c r="P164" i="6"/>
  <c r="S164" i="6" s="1"/>
  <c r="N164" i="6"/>
  <c r="B1030" i="6" s="1"/>
  <c r="O15" i="8" s="1"/>
  <c r="P175" i="6"/>
  <c r="S175" i="6" s="1"/>
  <c r="N175" i="6"/>
  <c r="P186" i="6"/>
  <c r="S186" i="6" s="1"/>
  <c r="N186" i="6"/>
  <c r="P197" i="6"/>
  <c r="S197" i="6" s="1"/>
  <c r="N197" i="6"/>
  <c r="P208" i="6"/>
  <c r="P219" i="6"/>
  <c r="S219" i="6" s="1"/>
  <c r="N219" i="6"/>
  <c r="P230" i="6"/>
  <c r="N230" i="6"/>
  <c r="P241" i="6"/>
  <c r="S241" i="6" s="1"/>
  <c r="N241" i="6"/>
  <c r="P252" i="6"/>
  <c r="S252" i="6" s="1"/>
  <c r="P263" i="6"/>
  <c r="R273" i="6"/>
  <c r="P273" i="6"/>
  <c r="S273" i="6" s="1"/>
  <c r="R299" i="6"/>
  <c r="H334" i="6"/>
  <c r="R355" i="6"/>
  <c r="H360" i="6"/>
  <c r="P374" i="6"/>
  <c r="S374" i="6" s="1"/>
  <c r="H384" i="6"/>
  <c r="I401" i="6"/>
  <c r="G410" i="6"/>
  <c r="R410" i="6"/>
  <c r="H410" i="6"/>
  <c r="V459" i="6"/>
  <c r="Q471" i="6"/>
  <c r="R471" i="6"/>
  <c r="I471" i="6"/>
  <c r="N471" i="6"/>
  <c r="H471" i="6"/>
  <c r="G471" i="6"/>
  <c r="J471" i="6" s="1"/>
  <c r="P475" i="6"/>
  <c r="I484" i="6"/>
  <c r="H508" i="6"/>
  <c r="Q515" i="6"/>
  <c r="P515" i="6"/>
  <c r="G515" i="6"/>
  <c r="R515" i="6"/>
  <c r="I515" i="6"/>
  <c r="H515" i="6"/>
  <c r="K543" i="6"/>
  <c r="L543" i="6" s="1"/>
  <c r="Q566" i="6"/>
  <c r="K661" i="6"/>
  <c r="L661" i="6" s="1"/>
  <c r="T661" i="6"/>
  <c r="K668" i="6"/>
  <c r="L668" i="6" s="1"/>
  <c r="U681" i="6"/>
  <c r="V681" i="6"/>
  <c r="Q456" i="6"/>
  <c r="P456" i="6"/>
  <c r="S456" i="6" s="1"/>
  <c r="H456" i="6"/>
  <c r="I456" i="6"/>
  <c r="P517" i="6"/>
  <c r="Q517" i="6"/>
  <c r="R517" i="6"/>
  <c r="I537" i="6"/>
  <c r="O553" i="6"/>
  <c r="U553" i="6"/>
  <c r="V553" i="6"/>
  <c r="G558" i="6"/>
  <c r="I558" i="6"/>
  <c r="H558" i="6"/>
  <c r="V575" i="6"/>
  <c r="I575" i="6"/>
  <c r="H575" i="6"/>
  <c r="J575" i="6" s="1"/>
  <c r="R575" i="6"/>
  <c r="Q575" i="6"/>
  <c r="P575" i="6"/>
  <c r="S575" i="6" s="1"/>
  <c r="G420" i="6"/>
  <c r="R420" i="6"/>
  <c r="G432" i="6"/>
  <c r="R432" i="6"/>
  <c r="Q432" i="6"/>
  <c r="P432" i="6"/>
  <c r="G438" i="6"/>
  <c r="R438" i="6"/>
  <c r="S438" i="6" s="1"/>
  <c r="N438" i="6"/>
  <c r="I438" i="6"/>
  <c r="H438" i="6"/>
  <c r="V438" i="6"/>
  <c r="T487" i="6"/>
  <c r="R534" i="6"/>
  <c r="N534" i="6"/>
  <c r="I534" i="6"/>
  <c r="G538" i="6"/>
  <c r="J538" i="6" s="1"/>
  <c r="P538" i="6"/>
  <c r="R538" i="6"/>
  <c r="I538" i="6"/>
  <c r="Q538" i="6"/>
  <c r="P455" i="6"/>
  <c r="S455" i="6" s="1"/>
  <c r="G455" i="6"/>
  <c r="R455" i="6"/>
  <c r="Q455" i="6"/>
  <c r="Q479" i="6"/>
  <c r="P479" i="6"/>
  <c r="N479" i="6"/>
  <c r="I479" i="6"/>
  <c r="H479" i="6"/>
  <c r="G479" i="6"/>
  <c r="J479" i="6" s="1"/>
  <c r="R522" i="6"/>
  <c r="Q522" i="6"/>
  <c r="S522" i="6" s="1"/>
  <c r="N522" i="6"/>
  <c r="I522" i="6"/>
  <c r="H522" i="6"/>
  <c r="G522" i="6"/>
  <c r="J522" i="6" s="1"/>
  <c r="I526" i="6"/>
  <c r="H526" i="6"/>
  <c r="G526" i="6"/>
  <c r="I847" i="6"/>
  <c r="G847" i="6"/>
  <c r="P847" i="6"/>
  <c r="N847" i="6"/>
  <c r="Q847" i="6"/>
  <c r="V847" i="6"/>
  <c r="R847" i="6"/>
  <c r="H847" i="6"/>
  <c r="G397" i="6"/>
  <c r="J397" i="6" s="1"/>
  <c r="R397" i="6"/>
  <c r="Q397" i="6"/>
  <c r="P397" i="6"/>
  <c r="S397" i="6" s="1"/>
  <c r="G427" i="6"/>
  <c r="R427" i="6"/>
  <c r="S427" i="6" s="1"/>
  <c r="V427" i="6"/>
  <c r="I427" i="6"/>
  <c r="G439" i="6"/>
  <c r="J439" i="6" s="1"/>
  <c r="R439" i="6"/>
  <c r="Q439" i="6"/>
  <c r="P439" i="6"/>
  <c r="U465" i="6"/>
  <c r="V465" i="6"/>
  <c r="R481" i="6"/>
  <c r="Q481" i="6"/>
  <c r="P481" i="6"/>
  <c r="S481" i="6" s="1"/>
  <c r="G481" i="6"/>
  <c r="I481" i="6"/>
  <c r="L512" i="6"/>
  <c r="G534" i="6"/>
  <c r="H538" i="6"/>
  <c r="L590" i="6"/>
  <c r="I635" i="6"/>
  <c r="G635" i="6"/>
  <c r="H635" i="6"/>
  <c r="Q635" i="6"/>
  <c r="P635" i="6"/>
  <c r="S635" i="6" s="1"/>
  <c r="R635" i="6"/>
  <c r="L653" i="6"/>
  <c r="G412" i="6"/>
  <c r="R412" i="6"/>
  <c r="G433" i="6"/>
  <c r="R433" i="6"/>
  <c r="Q433" i="6"/>
  <c r="P433" i="6"/>
  <c r="S433" i="6" s="1"/>
  <c r="S437" i="6"/>
  <c r="H455" i="6"/>
  <c r="O465" i="6"/>
  <c r="R479" i="6"/>
  <c r="H499" i="6"/>
  <c r="P499" i="6"/>
  <c r="Q499" i="6"/>
  <c r="I499" i="6"/>
  <c r="I514" i="6"/>
  <c r="Q514" i="6"/>
  <c r="H514" i="6"/>
  <c r="V514" i="6"/>
  <c r="R514" i="6"/>
  <c r="P514" i="6"/>
  <c r="N514" i="6"/>
  <c r="H534" i="6"/>
  <c r="G551" i="6"/>
  <c r="J595" i="6"/>
  <c r="L595" i="6" s="1"/>
  <c r="I397" i="6"/>
  <c r="H412" i="6"/>
  <c r="G416" i="6"/>
  <c r="R416" i="6"/>
  <c r="S416" i="6" s="1"/>
  <c r="N416" i="6"/>
  <c r="I416" i="6"/>
  <c r="H416" i="6"/>
  <c r="V416" i="6"/>
  <c r="H433" i="6"/>
  <c r="I439" i="6"/>
  <c r="R450" i="6"/>
  <c r="N450" i="6"/>
  <c r="V450" i="6" s="1"/>
  <c r="I450" i="6"/>
  <c r="Q450" i="6"/>
  <c r="P450" i="6"/>
  <c r="P452" i="6"/>
  <c r="I452" i="6"/>
  <c r="Q464" i="6"/>
  <c r="V464" i="6"/>
  <c r="R464" i="6"/>
  <c r="P464" i="6"/>
  <c r="S464" i="6" s="1"/>
  <c r="U470" i="6"/>
  <c r="G499" i="6"/>
  <c r="R509" i="6"/>
  <c r="Q509" i="6"/>
  <c r="I509" i="6"/>
  <c r="O512" i="6"/>
  <c r="V512" i="6"/>
  <c r="U512" i="6"/>
  <c r="G514" i="6"/>
  <c r="P526" i="6"/>
  <c r="S526" i="6" s="1"/>
  <c r="P534" i="6"/>
  <c r="S534" i="6" s="1"/>
  <c r="H539" i="6"/>
  <c r="R539" i="6"/>
  <c r="I566" i="6"/>
  <c r="P566" i="6"/>
  <c r="V566" i="6"/>
  <c r="P568" i="6"/>
  <c r="H568" i="6"/>
  <c r="R568" i="6"/>
  <c r="Q568" i="6"/>
  <c r="G568" i="6"/>
  <c r="I875" i="6"/>
  <c r="R875" i="6"/>
  <c r="G875" i="6"/>
  <c r="P875" i="6"/>
  <c r="H875" i="6"/>
  <c r="Q875" i="6"/>
  <c r="R383" i="6"/>
  <c r="G398" i="6"/>
  <c r="R398" i="6"/>
  <c r="G409" i="6"/>
  <c r="J409" i="6" s="1"/>
  <c r="L409" i="6" s="1"/>
  <c r="R409" i="6"/>
  <c r="G426" i="6"/>
  <c r="R426" i="6"/>
  <c r="R482" i="6"/>
  <c r="R487" i="6"/>
  <c r="N487" i="6"/>
  <c r="J500" i="6"/>
  <c r="G597" i="6"/>
  <c r="P597" i="6"/>
  <c r="R597" i="6"/>
  <c r="Q597" i="6"/>
  <c r="N597" i="6"/>
  <c r="H597" i="6"/>
  <c r="K597" i="6" s="1"/>
  <c r="Q610" i="6"/>
  <c r="Q614" i="6"/>
  <c r="I614" i="6"/>
  <c r="P614" i="6"/>
  <c r="S614" i="6" s="1"/>
  <c r="H614" i="6"/>
  <c r="Q670" i="6"/>
  <c r="I670" i="6"/>
  <c r="G670" i="6"/>
  <c r="R670" i="6"/>
  <c r="H670" i="6"/>
  <c r="P670" i="6"/>
  <c r="S670" i="6" s="1"/>
  <c r="R373" i="6"/>
  <c r="G393" i="6"/>
  <c r="R393" i="6"/>
  <c r="P398" i="6"/>
  <c r="G404" i="6"/>
  <c r="J404" i="6" s="1"/>
  <c r="R404" i="6"/>
  <c r="P409" i="6"/>
  <c r="S409" i="6" s="1"/>
  <c r="G415" i="6"/>
  <c r="R415" i="6"/>
  <c r="Q426" i="6"/>
  <c r="G430" i="6"/>
  <c r="J430" i="6" s="1"/>
  <c r="R430" i="6"/>
  <c r="S430" i="6" s="1"/>
  <c r="J445" i="6"/>
  <c r="H519" i="6"/>
  <c r="G519" i="6"/>
  <c r="R530" i="6"/>
  <c r="Q530" i="6"/>
  <c r="I530" i="6"/>
  <c r="H530" i="6"/>
  <c r="Q663" i="6"/>
  <c r="G663" i="6"/>
  <c r="J663" i="6" s="1"/>
  <c r="P663" i="6"/>
  <c r="R663" i="6"/>
  <c r="H663" i="6"/>
  <c r="U713" i="6"/>
  <c r="V713" i="6"/>
  <c r="U737" i="6"/>
  <c r="O737" i="6"/>
  <c r="R284" i="6"/>
  <c r="R306" i="6"/>
  <c r="R328" i="6"/>
  <c r="R350" i="6"/>
  <c r="R372" i="6"/>
  <c r="P383" i="6"/>
  <c r="Q398" i="6"/>
  <c r="Q409" i="6"/>
  <c r="G437" i="6"/>
  <c r="R437" i="6"/>
  <c r="G462" i="6"/>
  <c r="J462" i="6" s="1"/>
  <c r="V500" i="6"/>
  <c r="V598" i="6"/>
  <c r="U598" i="6"/>
  <c r="K639" i="6"/>
  <c r="J639" i="6"/>
  <c r="O713" i="6"/>
  <c r="K800" i="6"/>
  <c r="L800" i="6" s="1"/>
  <c r="R371" i="6"/>
  <c r="G392" i="6"/>
  <c r="R392" i="6"/>
  <c r="G403" i="6"/>
  <c r="J403" i="6" s="1"/>
  <c r="R403" i="6"/>
  <c r="S403" i="6" s="1"/>
  <c r="G414" i="6"/>
  <c r="R414" i="6"/>
  <c r="G422" i="6"/>
  <c r="R422" i="6"/>
  <c r="S422" i="6" s="1"/>
  <c r="Q449" i="6"/>
  <c r="I449" i="6"/>
  <c r="H449" i="6"/>
  <c r="Q474" i="6"/>
  <c r="H474" i="6"/>
  <c r="P474" i="6"/>
  <c r="S474" i="6" s="1"/>
  <c r="R507" i="6"/>
  <c r="Q507" i="6"/>
  <c r="S507" i="6" s="1"/>
  <c r="G507" i="6"/>
  <c r="J507" i="6" s="1"/>
  <c r="I519" i="6"/>
  <c r="P527" i="6"/>
  <c r="N527" i="6"/>
  <c r="R527" i="6"/>
  <c r="G527" i="6"/>
  <c r="G530" i="6"/>
  <c r="J530" i="6" s="1"/>
  <c r="H547" i="6"/>
  <c r="Q547" i="6"/>
  <c r="P547" i="6"/>
  <c r="R547" i="6"/>
  <c r="I547" i="6"/>
  <c r="I563" i="6"/>
  <c r="N563" i="6"/>
  <c r="Q563" i="6"/>
  <c r="S563" i="6" s="1"/>
  <c r="V563" i="6"/>
  <c r="G563" i="6"/>
  <c r="G565" i="6"/>
  <c r="J565" i="6" s="1"/>
  <c r="U570" i="6"/>
  <c r="O570" i="6"/>
  <c r="H594" i="6"/>
  <c r="G594" i="6"/>
  <c r="Q594" i="6"/>
  <c r="R594" i="6"/>
  <c r="H634" i="6"/>
  <c r="N634" i="6"/>
  <c r="V634" i="6" s="1"/>
  <c r="P634" i="6"/>
  <c r="G634" i="6"/>
  <c r="R634" i="6"/>
  <c r="Q634" i="6"/>
  <c r="I663" i="6"/>
  <c r="P803" i="6"/>
  <c r="G284" i="6"/>
  <c r="G306" i="6"/>
  <c r="R326" i="6"/>
  <c r="G328" i="6"/>
  <c r="J328" i="6" s="1"/>
  <c r="R348" i="6"/>
  <c r="G350" i="6"/>
  <c r="J350" i="6" s="1"/>
  <c r="R370" i="6"/>
  <c r="G372" i="6"/>
  <c r="J372" i="6" s="1"/>
  <c r="H373" i="6"/>
  <c r="I393" i="6"/>
  <c r="I404" i="6"/>
  <c r="I415" i="6"/>
  <c r="G429" i="6"/>
  <c r="R429" i="6"/>
  <c r="S429" i="6" s="1"/>
  <c r="I430" i="6"/>
  <c r="H437" i="6"/>
  <c r="K445" i="6"/>
  <c r="R457" i="6"/>
  <c r="Q457" i="6"/>
  <c r="I457" i="6"/>
  <c r="H462" i="6"/>
  <c r="Q504" i="6"/>
  <c r="P504" i="6"/>
  <c r="G504" i="6"/>
  <c r="J504" i="6" s="1"/>
  <c r="U528" i="6"/>
  <c r="I545" i="6"/>
  <c r="G545" i="6"/>
  <c r="J545" i="6" s="1"/>
  <c r="R545" i="6"/>
  <c r="N545" i="6"/>
  <c r="H545" i="6"/>
  <c r="V570" i="6"/>
  <c r="G578" i="6"/>
  <c r="P578" i="6"/>
  <c r="I582" i="6"/>
  <c r="T800" i="6"/>
  <c r="H284" i="6"/>
  <c r="H306" i="6"/>
  <c r="H328" i="6"/>
  <c r="R347" i="6"/>
  <c r="H350" i="6"/>
  <c r="R369" i="6"/>
  <c r="G371" i="6"/>
  <c r="H372" i="6"/>
  <c r="I373" i="6"/>
  <c r="G391" i="6"/>
  <c r="J391" i="6" s="1"/>
  <c r="R391" i="6"/>
  <c r="H392" i="6"/>
  <c r="G402" i="6"/>
  <c r="J402" i="6" s="1"/>
  <c r="L402" i="6" s="1"/>
  <c r="R402" i="6"/>
  <c r="S402" i="6" s="1"/>
  <c r="H403" i="6"/>
  <c r="G413" i="6"/>
  <c r="R413" i="6"/>
  <c r="H414" i="6"/>
  <c r="H422" i="6"/>
  <c r="G436" i="6"/>
  <c r="J436" i="6" s="1"/>
  <c r="R436" i="6"/>
  <c r="I437" i="6"/>
  <c r="H444" i="6"/>
  <c r="G449" i="6"/>
  <c r="I462" i="6"/>
  <c r="Q470" i="6"/>
  <c r="P470" i="6"/>
  <c r="S470" i="6" s="1"/>
  <c r="G470" i="6"/>
  <c r="J470" i="6" s="1"/>
  <c r="G474" i="6"/>
  <c r="Q478" i="6"/>
  <c r="R478" i="6"/>
  <c r="I478" i="6"/>
  <c r="H478" i="6"/>
  <c r="G482" i="6"/>
  <c r="J482" i="6" s="1"/>
  <c r="R485" i="6"/>
  <c r="P485" i="6"/>
  <c r="H485" i="6"/>
  <c r="G485" i="6"/>
  <c r="J485" i="6" s="1"/>
  <c r="I492" i="6"/>
  <c r="Q492" i="6"/>
  <c r="R492" i="6"/>
  <c r="H492" i="6"/>
  <c r="G492" i="6"/>
  <c r="J492" i="6" s="1"/>
  <c r="G495" i="6"/>
  <c r="H507" i="6"/>
  <c r="G524" i="6"/>
  <c r="N524" i="6"/>
  <c r="H524" i="6"/>
  <c r="Q524" i="6"/>
  <c r="H527" i="6"/>
  <c r="V528" i="6"/>
  <c r="P532" i="6"/>
  <c r="S532" i="6" s="1"/>
  <c r="H532" i="6"/>
  <c r="N532" i="6"/>
  <c r="G547" i="6"/>
  <c r="J547" i="6" s="1"/>
  <c r="H552" i="6"/>
  <c r="H563" i="6"/>
  <c r="R567" i="6"/>
  <c r="S590" i="6"/>
  <c r="I594" i="6"/>
  <c r="V596" i="6"/>
  <c r="I596" i="6"/>
  <c r="H596" i="6"/>
  <c r="G596" i="6"/>
  <c r="Q596" i="6"/>
  <c r="R596" i="6"/>
  <c r="J611" i="6"/>
  <c r="I634" i="6"/>
  <c r="J648" i="6"/>
  <c r="V701" i="6"/>
  <c r="U701" i="6"/>
  <c r="I714" i="6"/>
  <c r="K765" i="6"/>
  <c r="L765" i="6" s="1"/>
  <c r="G282" i="6"/>
  <c r="J282" i="6" s="1"/>
  <c r="L282" i="6" s="1"/>
  <c r="I284" i="6"/>
  <c r="G304" i="6"/>
  <c r="J304" i="6" s="1"/>
  <c r="L304" i="6" s="1"/>
  <c r="I306" i="6"/>
  <c r="G326" i="6"/>
  <c r="J326" i="6" s="1"/>
  <c r="I328" i="6"/>
  <c r="G348" i="6"/>
  <c r="I350" i="6"/>
  <c r="R368" i="6"/>
  <c r="G370" i="6"/>
  <c r="J370" i="6" s="1"/>
  <c r="H371" i="6"/>
  <c r="I372" i="6"/>
  <c r="R390" i="6"/>
  <c r="I392" i="6"/>
  <c r="V398" i="6"/>
  <c r="I403" i="6"/>
  <c r="V409" i="6"/>
  <c r="I414" i="6"/>
  <c r="G421" i="6"/>
  <c r="R421" i="6"/>
  <c r="I422" i="6"/>
  <c r="H429" i="6"/>
  <c r="G443" i="6"/>
  <c r="J443" i="6" s="1"/>
  <c r="R443" i="6"/>
  <c r="S443" i="6" s="1"/>
  <c r="I444" i="6"/>
  <c r="G457" i="6"/>
  <c r="J457" i="6" s="1"/>
  <c r="V461" i="6"/>
  <c r="N461" i="6"/>
  <c r="Q466" i="6"/>
  <c r="S466" i="6" s="1"/>
  <c r="G466" i="6"/>
  <c r="J466" i="6" s="1"/>
  <c r="L466" i="6" s="1"/>
  <c r="I474" i="6"/>
  <c r="H488" i="6"/>
  <c r="R488" i="6"/>
  <c r="I507" i="6"/>
  <c r="G513" i="6"/>
  <c r="N513" i="6"/>
  <c r="H513" i="6"/>
  <c r="V513" i="6"/>
  <c r="R513" i="6"/>
  <c r="S513" i="6" s="1"/>
  <c r="H518" i="6"/>
  <c r="I527" i="6"/>
  <c r="H537" i="6"/>
  <c r="N542" i="6"/>
  <c r="P542" i="6"/>
  <c r="V542" i="6"/>
  <c r="R542" i="6"/>
  <c r="I542" i="6"/>
  <c r="H542" i="6"/>
  <c r="J542" i="6" s="1"/>
  <c r="H578" i="6"/>
  <c r="P580" i="6"/>
  <c r="Q592" i="6"/>
  <c r="R592" i="6"/>
  <c r="P592" i="6"/>
  <c r="G592" i="6"/>
  <c r="V592" i="6"/>
  <c r="H592" i="6"/>
  <c r="I604" i="6"/>
  <c r="H604" i="6"/>
  <c r="G604" i="6"/>
  <c r="J604" i="6" s="1"/>
  <c r="Q616" i="6"/>
  <c r="V616" i="6"/>
  <c r="G616" i="6"/>
  <c r="I616" i="6"/>
  <c r="P616" i="6"/>
  <c r="S616" i="6" s="1"/>
  <c r="H616" i="6"/>
  <c r="K648" i="6"/>
  <c r="L648" i="6" s="1"/>
  <c r="T648" i="6"/>
  <c r="O701" i="6"/>
  <c r="K717" i="6"/>
  <c r="J717" i="6"/>
  <c r="O734" i="6"/>
  <c r="U734" i="6"/>
  <c r="H531" i="6"/>
  <c r="G531" i="6"/>
  <c r="R556" i="6"/>
  <c r="Q556" i="6"/>
  <c r="S556" i="6" s="1"/>
  <c r="H602" i="6"/>
  <c r="G602" i="6"/>
  <c r="R602" i="6"/>
  <c r="N618" i="6"/>
  <c r="G618" i="6"/>
  <c r="P618" i="6"/>
  <c r="I618" i="6"/>
  <c r="R618" i="6"/>
  <c r="Q618" i="6"/>
  <c r="R620" i="6"/>
  <c r="Q644" i="6"/>
  <c r="U676" i="6"/>
  <c r="O676" i="6"/>
  <c r="L690" i="6"/>
  <c r="O970" i="6"/>
  <c r="V970" i="6"/>
  <c r="U970" i="6"/>
  <c r="P531" i="6"/>
  <c r="P552" i="6"/>
  <c r="S552" i="6" s="1"/>
  <c r="P553" i="6"/>
  <c r="S553" i="6" s="1"/>
  <c r="Q555" i="6"/>
  <c r="R555" i="6"/>
  <c r="H555" i="6"/>
  <c r="K555" i="6" s="1"/>
  <c r="N556" i="6"/>
  <c r="H562" i="6"/>
  <c r="I562" i="6"/>
  <c r="G562" i="6"/>
  <c r="J562" i="6" s="1"/>
  <c r="S585" i="6"/>
  <c r="I603" i="6"/>
  <c r="G609" i="6"/>
  <c r="P609" i="6"/>
  <c r="N469" i="6"/>
  <c r="Q476" i="6"/>
  <c r="N480" i="6"/>
  <c r="R529" i="6"/>
  <c r="S529" i="6" s="1"/>
  <c r="H529" i="6"/>
  <c r="Q531" i="6"/>
  <c r="Q553" i="6"/>
  <c r="R589" i="6"/>
  <c r="H589" i="6"/>
  <c r="O590" i="6"/>
  <c r="U590" i="6"/>
  <c r="I599" i="6"/>
  <c r="G599" i="6"/>
  <c r="J599" i="6" s="1"/>
  <c r="R599" i="6"/>
  <c r="T753" i="6"/>
  <c r="G877" i="6"/>
  <c r="P506" i="6"/>
  <c r="S506" i="6" s="1"/>
  <c r="G506" i="6"/>
  <c r="J506" i="6" s="1"/>
  <c r="K584" i="6"/>
  <c r="S595" i="6"/>
  <c r="N640" i="6"/>
  <c r="Q640" i="6"/>
  <c r="I640" i="6"/>
  <c r="R640" i="6"/>
  <c r="P640" i="6"/>
  <c r="S640" i="6" s="1"/>
  <c r="H640" i="6"/>
  <c r="G645" i="6"/>
  <c r="H645" i="6"/>
  <c r="R645" i="6"/>
  <c r="Q645" i="6"/>
  <c r="P645" i="6"/>
  <c r="S645" i="6" s="1"/>
  <c r="T653" i="6"/>
  <c r="O671" i="6"/>
  <c r="U671" i="6"/>
  <c r="V671" i="6"/>
  <c r="H709" i="6"/>
  <c r="H715" i="6"/>
  <c r="S731" i="6"/>
  <c r="P567" i="6"/>
  <c r="U574" i="6"/>
  <c r="V574" i="6"/>
  <c r="H576" i="6"/>
  <c r="Q576" i="6"/>
  <c r="P576" i="6"/>
  <c r="S576" i="6" s="1"/>
  <c r="N576" i="6"/>
  <c r="G576" i="6"/>
  <c r="P613" i="6"/>
  <c r="S613" i="6" s="1"/>
  <c r="I613" i="6"/>
  <c r="H613" i="6"/>
  <c r="V613" i="6"/>
  <c r="G613" i="6"/>
  <c r="J613" i="6" s="1"/>
  <c r="I624" i="6"/>
  <c r="L638" i="6"/>
  <c r="J640" i="6"/>
  <c r="I643" i="6"/>
  <c r="G643" i="6"/>
  <c r="Q675" i="6"/>
  <c r="H675" i="6"/>
  <c r="G675" i="6"/>
  <c r="P675" i="6"/>
  <c r="N675" i="6"/>
  <c r="V675" i="6"/>
  <c r="R675" i="6"/>
  <c r="I675" i="6"/>
  <c r="H866" i="6"/>
  <c r="G866" i="6"/>
  <c r="J866" i="6" s="1"/>
  <c r="I536" i="6"/>
  <c r="G544" i="6"/>
  <c r="I551" i="6"/>
  <c r="R551" i="6"/>
  <c r="Q551" i="6"/>
  <c r="O555" i="6"/>
  <c r="U555" i="6"/>
  <c r="Q561" i="6"/>
  <c r="Q570" i="6"/>
  <c r="P570" i="6"/>
  <c r="R570" i="6"/>
  <c r="O574" i="6"/>
  <c r="O584" i="6"/>
  <c r="O653" i="6"/>
  <c r="O659" i="6"/>
  <c r="P495" i="6"/>
  <c r="I520" i="6"/>
  <c r="P554" i="6"/>
  <c r="S554" i="6" s="1"/>
  <c r="N554" i="6"/>
  <c r="V554" i="6"/>
  <c r="I554" i="6"/>
  <c r="G567" i="6"/>
  <c r="I576" i="6"/>
  <c r="N613" i="6"/>
  <c r="O617" i="6"/>
  <c r="P651" i="6"/>
  <c r="S651" i="6" s="1"/>
  <c r="Q651" i="6"/>
  <c r="R651" i="6"/>
  <c r="G651" i="6"/>
  <c r="H651" i="6"/>
  <c r="K701" i="6"/>
  <c r="L701" i="6" s="1"/>
  <c r="G709" i="6"/>
  <c r="J709" i="6" s="1"/>
  <c r="J632" i="6"/>
  <c r="Q688" i="6"/>
  <c r="I688" i="6"/>
  <c r="H688" i="6"/>
  <c r="R688" i="6"/>
  <c r="G688" i="6"/>
  <c r="J688" i="6" s="1"/>
  <c r="Q708" i="6"/>
  <c r="H708" i="6"/>
  <c r="R708" i="6"/>
  <c r="P708" i="6"/>
  <c r="S708" i="6" s="1"/>
  <c r="I708" i="6"/>
  <c r="G708" i="6"/>
  <c r="Q726" i="6"/>
  <c r="R726" i="6"/>
  <c r="P726" i="6"/>
  <c r="S726" i="6" s="1"/>
  <c r="G726" i="6"/>
  <c r="H726" i="6"/>
  <c r="I726" i="6"/>
  <c r="I817" i="6"/>
  <c r="G817" i="6"/>
  <c r="R817" i="6"/>
  <c r="P817" i="6"/>
  <c r="Q817" i="6"/>
  <c r="H817" i="6"/>
  <c r="U836" i="6"/>
  <c r="O836" i="6"/>
  <c r="V836" i="6"/>
  <c r="H572" i="6"/>
  <c r="I572" i="6"/>
  <c r="H584" i="6"/>
  <c r="Q584" i="6"/>
  <c r="S584" i="6" s="1"/>
  <c r="G584" i="6"/>
  <c r="J584" i="6" s="1"/>
  <c r="P600" i="6"/>
  <c r="I600" i="6"/>
  <c r="H600" i="6"/>
  <c r="G600" i="6"/>
  <c r="J600" i="6" s="1"/>
  <c r="Q686" i="6"/>
  <c r="H686" i="6"/>
  <c r="G686" i="6"/>
  <c r="R686" i="6"/>
  <c r="P686" i="6"/>
  <c r="I686" i="6"/>
  <c r="R518" i="6"/>
  <c r="I525" i="6"/>
  <c r="Q525" i="6"/>
  <c r="N611" i="6"/>
  <c r="I611" i="6"/>
  <c r="H611" i="6"/>
  <c r="Q611" i="6"/>
  <c r="P611" i="6"/>
  <c r="S611" i="6" s="1"/>
  <c r="O647" i="6"/>
  <c r="L679" i="6"/>
  <c r="Q699" i="6"/>
  <c r="R699" i="6"/>
  <c r="G699" i="6"/>
  <c r="J699" i="6" s="1"/>
  <c r="P699" i="6"/>
  <c r="S699" i="6" s="1"/>
  <c r="H699" i="6"/>
  <c r="S689" i="6"/>
  <c r="I704" i="6"/>
  <c r="H704" i="6"/>
  <c r="G704" i="6"/>
  <c r="J704" i="6" s="1"/>
  <c r="Q728" i="6"/>
  <c r="R728" i="6"/>
  <c r="H728" i="6"/>
  <c r="M779" i="6"/>
  <c r="W779" i="6"/>
  <c r="T779" i="6"/>
  <c r="K658" i="6"/>
  <c r="L658" i="6" s="1"/>
  <c r="Q662" i="6"/>
  <c r="P662" i="6"/>
  <c r="I662" i="6"/>
  <c r="R662" i="6"/>
  <c r="G662" i="6"/>
  <c r="J662" i="6" s="1"/>
  <c r="Q674" i="6"/>
  <c r="R674" i="6"/>
  <c r="I674" i="6"/>
  <c r="P674" i="6"/>
  <c r="N674" i="6"/>
  <c r="G674" i="6"/>
  <c r="J674" i="6" s="1"/>
  <c r="Q677" i="6"/>
  <c r="I677" i="6"/>
  <c r="H677" i="6"/>
  <c r="G677" i="6"/>
  <c r="P677" i="6"/>
  <c r="R677" i="6"/>
  <c r="Q692" i="6"/>
  <c r="N692" i="6"/>
  <c r="R692" i="6"/>
  <c r="P692" i="6"/>
  <c r="S692" i="6" s="1"/>
  <c r="I842" i="6"/>
  <c r="P842" i="6"/>
  <c r="R842" i="6"/>
  <c r="Q842" i="6"/>
  <c r="N842" i="6"/>
  <c r="V842" i="6"/>
  <c r="H842" i="6"/>
  <c r="G842" i="6"/>
  <c r="V844" i="6"/>
  <c r="O844" i="6"/>
  <c r="Q660" i="6"/>
  <c r="N660" i="6"/>
  <c r="I660" i="6"/>
  <c r="V660" i="6"/>
  <c r="P660" i="6"/>
  <c r="H660" i="6"/>
  <c r="G660" i="6"/>
  <c r="G728" i="6"/>
  <c r="J731" i="6"/>
  <c r="I776" i="6"/>
  <c r="R644" i="6"/>
  <c r="I728" i="6"/>
  <c r="I734" i="6"/>
  <c r="O776" i="6"/>
  <c r="U776" i="6"/>
  <c r="P615" i="6"/>
  <c r="S615" i="6" s="1"/>
  <c r="O638" i="6"/>
  <c r="Q676" i="6"/>
  <c r="G676" i="6"/>
  <c r="V676" i="6"/>
  <c r="R676" i="6"/>
  <c r="H676" i="6"/>
  <c r="P676" i="6"/>
  <c r="S676" i="6" s="1"/>
  <c r="H535" i="6"/>
  <c r="P535" i="6"/>
  <c r="S535" i="6" s="1"/>
  <c r="I559" i="6"/>
  <c r="H631" i="6"/>
  <c r="I631" i="6"/>
  <c r="Q657" i="6"/>
  <c r="R657" i="6"/>
  <c r="G657" i="6"/>
  <c r="I657" i="6"/>
  <c r="H657" i="6"/>
  <c r="P657" i="6"/>
  <c r="S657" i="6" s="1"/>
  <c r="Q687" i="6"/>
  <c r="I687" i="6"/>
  <c r="R687" i="6"/>
  <c r="P687" i="6"/>
  <c r="G687" i="6"/>
  <c r="H698" i="6"/>
  <c r="R622" i="6"/>
  <c r="G622" i="6"/>
  <c r="H683" i="6"/>
  <c r="G683" i="6"/>
  <c r="P730" i="6"/>
  <c r="Q778" i="6"/>
  <c r="R778" i="6"/>
  <c r="P778" i="6"/>
  <c r="S778" i="6" s="1"/>
  <c r="H778" i="6"/>
  <c r="I778" i="6"/>
  <c r="G778" i="6"/>
  <c r="J778" i="6" s="1"/>
  <c r="I788" i="6"/>
  <c r="G788" i="6"/>
  <c r="J788" i="6" s="1"/>
  <c r="P569" i="6"/>
  <c r="R569" i="6"/>
  <c r="H636" i="6"/>
  <c r="Q636" i="6"/>
  <c r="R636" i="6"/>
  <c r="P649" i="6"/>
  <c r="I712" i="6"/>
  <c r="H712" i="6"/>
  <c r="Q757" i="6"/>
  <c r="P757" i="6"/>
  <c r="G757" i="6"/>
  <c r="R757" i="6"/>
  <c r="Q773" i="6"/>
  <c r="R773" i="6"/>
  <c r="N773" i="6"/>
  <c r="I773" i="6"/>
  <c r="P773" i="6"/>
  <c r="S773" i="6" s="1"/>
  <c r="G773" i="6"/>
  <c r="H773" i="6"/>
  <c r="Q780" i="6"/>
  <c r="R780" i="6"/>
  <c r="P780" i="6"/>
  <c r="I780" i="6"/>
  <c r="G780" i="6"/>
  <c r="N780" i="6"/>
  <c r="H780" i="6"/>
  <c r="V780" i="6"/>
  <c r="Q689" i="6"/>
  <c r="R689" i="6"/>
  <c r="H689" i="6"/>
  <c r="I689" i="6"/>
  <c r="N689" i="6"/>
  <c r="Q700" i="6"/>
  <c r="P700" i="6"/>
  <c r="N700" i="6"/>
  <c r="V700" i="6" s="1"/>
  <c r="I700" i="6"/>
  <c r="H700" i="6"/>
  <c r="R700" i="6"/>
  <c r="G700" i="6"/>
  <c r="J700" i="6" s="1"/>
  <c r="I715" i="6"/>
  <c r="I757" i="6"/>
  <c r="Q794" i="6"/>
  <c r="R794" i="6"/>
  <c r="P794" i="6"/>
  <c r="N794" i="6"/>
  <c r="V794" i="6"/>
  <c r="I794" i="6"/>
  <c r="H794" i="6"/>
  <c r="G794" i="6"/>
  <c r="J794" i="6" s="1"/>
  <c r="I540" i="6"/>
  <c r="H565" i="6"/>
  <c r="R565" i="6"/>
  <c r="R571" i="6"/>
  <c r="S571" i="6" s="1"/>
  <c r="V571" i="6"/>
  <c r="P588" i="6"/>
  <c r="S588" i="6" s="1"/>
  <c r="H598" i="6"/>
  <c r="R598" i="6"/>
  <c r="S598" i="6" s="1"/>
  <c r="Q659" i="6"/>
  <c r="G659" i="6"/>
  <c r="P659" i="6"/>
  <c r="S659" i="6" s="1"/>
  <c r="H659" i="6"/>
  <c r="Q681" i="6"/>
  <c r="H681" i="6"/>
  <c r="P681" i="6"/>
  <c r="S681" i="6" s="1"/>
  <c r="G681" i="6"/>
  <c r="R681" i="6"/>
  <c r="M844" i="6"/>
  <c r="W844" i="6"/>
  <c r="Q680" i="6"/>
  <c r="G680" i="6"/>
  <c r="R680" i="6"/>
  <c r="P680" i="6"/>
  <c r="S680" i="6" s="1"/>
  <c r="I680" i="6"/>
  <c r="Q722" i="6"/>
  <c r="I722" i="6"/>
  <c r="G722" i="6"/>
  <c r="R722" i="6"/>
  <c r="N722" i="6"/>
  <c r="V722" i="6" s="1"/>
  <c r="H722" i="6"/>
  <c r="Q761" i="6"/>
  <c r="I761" i="6"/>
  <c r="G761" i="6"/>
  <c r="J761" i="6" s="1"/>
  <c r="R761" i="6"/>
  <c r="P761" i="6"/>
  <c r="S761" i="6" s="1"/>
  <c r="H761" i="6"/>
  <c r="O907" i="6"/>
  <c r="U907" i="6"/>
  <c r="H586" i="6"/>
  <c r="G586" i="6"/>
  <c r="R586" i="6"/>
  <c r="V590" i="6"/>
  <c r="J637" i="6"/>
  <c r="L637" i="6" s="1"/>
  <c r="H680" i="6"/>
  <c r="Q706" i="6"/>
  <c r="H706" i="6"/>
  <c r="G706" i="6"/>
  <c r="J706" i="6" s="1"/>
  <c r="R706" i="6"/>
  <c r="P706" i="6"/>
  <c r="S706" i="6" s="1"/>
  <c r="P722" i="6"/>
  <c r="S722" i="6" s="1"/>
  <c r="V724" i="6"/>
  <c r="Q742" i="6"/>
  <c r="H742" i="6"/>
  <c r="K742" i="6" s="1"/>
  <c r="P742" i="6"/>
  <c r="N742" i="6"/>
  <c r="V742" i="6"/>
  <c r="R742" i="6"/>
  <c r="S815" i="6"/>
  <c r="G561" i="6"/>
  <c r="I561" i="6"/>
  <c r="Q580" i="6"/>
  <c r="J617" i="6"/>
  <c r="L617" i="6" s="1"/>
  <c r="T617" i="6" s="1"/>
  <c r="I623" i="6"/>
  <c r="Q623" i="6"/>
  <c r="R623" i="6"/>
  <c r="H623" i="6"/>
  <c r="G623" i="6"/>
  <c r="J623" i="6" s="1"/>
  <c r="P642" i="6"/>
  <c r="S642" i="6" s="1"/>
  <c r="Q642" i="6"/>
  <c r="Q682" i="6"/>
  <c r="I682" i="6"/>
  <c r="V682" i="6"/>
  <c r="P682" i="6"/>
  <c r="R682" i="6"/>
  <c r="Q737" i="6"/>
  <c r="V737" i="6"/>
  <c r="R737" i="6"/>
  <c r="P737" i="6"/>
  <c r="S737" i="6" s="1"/>
  <c r="I737" i="6"/>
  <c r="G737" i="6"/>
  <c r="I908" i="6"/>
  <c r="Q908" i="6"/>
  <c r="G908" i="6"/>
  <c r="H908" i="6"/>
  <c r="R908" i="6"/>
  <c r="P908" i="6"/>
  <c r="S908" i="6" s="1"/>
  <c r="P956" i="6"/>
  <c r="S956" i="6" s="1"/>
  <c r="R956" i="6"/>
  <c r="G956" i="6"/>
  <c r="I956" i="6"/>
  <c r="H956" i="6"/>
  <c r="Q956" i="6"/>
  <c r="J647" i="6"/>
  <c r="N680" i="6"/>
  <c r="Q693" i="6"/>
  <c r="R693" i="6"/>
  <c r="I693" i="6"/>
  <c r="P693" i="6"/>
  <c r="S693" i="6" s="1"/>
  <c r="Q765" i="6"/>
  <c r="G765" i="6"/>
  <c r="J765" i="6" s="1"/>
  <c r="R765" i="6"/>
  <c r="P765" i="6"/>
  <c r="S765" i="6" s="1"/>
  <c r="N765" i="6"/>
  <c r="V765" i="6" s="1"/>
  <c r="Q796" i="6"/>
  <c r="R796" i="6"/>
  <c r="I796" i="6"/>
  <c r="P796" i="6"/>
  <c r="S796" i="6" s="1"/>
  <c r="H796" i="6"/>
  <c r="Q800" i="6"/>
  <c r="R800" i="6"/>
  <c r="P800" i="6"/>
  <c r="S800" i="6" s="1"/>
  <c r="N800" i="6"/>
  <c r="G800" i="6"/>
  <c r="J800" i="6" s="1"/>
  <c r="V800" i="6"/>
  <c r="Q802" i="6"/>
  <c r="P802" i="6"/>
  <c r="N802" i="6"/>
  <c r="G802" i="6"/>
  <c r="R802" i="6"/>
  <c r="I802" i="6"/>
  <c r="H802" i="6"/>
  <c r="V802" i="6"/>
  <c r="I905" i="6"/>
  <c r="G905" i="6"/>
  <c r="Q905" i="6"/>
  <c r="N905" i="6"/>
  <c r="H905" i="6"/>
  <c r="R905" i="6"/>
  <c r="P905" i="6"/>
  <c r="S905" i="6" s="1"/>
  <c r="G552" i="6"/>
  <c r="H561" i="6"/>
  <c r="G580" i="6"/>
  <c r="J580" i="6" s="1"/>
  <c r="I607" i="6"/>
  <c r="R607" i="6"/>
  <c r="G607" i="6"/>
  <c r="P620" i="6"/>
  <c r="G642" i="6"/>
  <c r="J642" i="6" s="1"/>
  <c r="K647" i="6"/>
  <c r="L647" i="6" s="1"/>
  <c r="R649" i="6"/>
  <c r="G649" i="6"/>
  <c r="J649" i="6" s="1"/>
  <c r="K655" i="6"/>
  <c r="Q664" i="6"/>
  <c r="H664" i="6"/>
  <c r="G664" i="6"/>
  <c r="G682" i="6"/>
  <c r="J682" i="6" s="1"/>
  <c r="Q684" i="6"/>
  <c r="H684" i="6"/>
  <c r="G684" i="6"/>
  <c r="J684" i="6" s="1"/>
  <c r="H737" i="6"/>
  <c r="I750" i="6"/>
  <c r="H750" i="6"/>
  <c r="I901" i="6"/>
  <c r="R901" i="6"/>
  <c r="P901" i="6"/>
  <c r="Q901" i="6"/>
  <c r="H901" i="6"/>
  <c r="G901" i="6"/>
  <c r="I621" i="6"/>
  <c r="V632" i="6"/>
  <c r="I632" i="6"/>
  <c r="P632" i="6"/>
  <c r="S632" i="6" s="1"/>
  <c r="Q656" i="6"/>
  <c r="H656" i="6"/>
  <c r="G656" i="6"/>
  <c r="P656" i="6"/>
  <c r="S656" i="6" s="1"/>
  <c r="I656" i="6"/>
  <c r="Q752" i="6"/>
  <c r="V752" i="6"/>
  <c r="R752" i="6"/>
  <c r="P752" i="6"/>
  <c r="N752" i="6"/>
  <c r="H752" i="6"/>
  <c r="G752" i="6"/>
  <c r="J752" i="6" s="1"/>
  <c r="I879" i="6"/>
  <c r="R879" i="6"/>
  <c r="Q879" i="6"/>
  <c r="N879" i="6"/>
  <c r="G879" i="6"/>
  <c r="H879" i="6"/>
  <c r="P879" i="6"/>
  <c r="U996" i="6"/>
  <c r="O996" i="6"/>
  <c r="I813" i="6"/>
  <c r="R813" i="6"/>
  <c r="H813" i="6"/>
  <c r="G813" i="6"/>
  <c r="J813" i="6" s="1"/>
  <c r="Q813" i="6"/>
  <c r="P813" i="6"/>
  <c r="S813" i="6" s="1"/>
  <c r="R593" i="6"/>
  <c r="T595" i="6"/>
  <c r="R615" i="6"/>
  <c r="Q615" i="6"/>
  <c r="P626" i="6"/>
  <c r="S626" i="6" s="1"/>
  <c r="N626" i="6"/>
  <c r="V648" i="6"/>
  <c r="R648" i="6"/>
  <c r="N648" i="6"/>
  <c r="H648" i="6"/>
  <c r="P648" i="6"/>
  <c r="J654" i="6"/>
  <c r="O655" i="6"/>
  <c r="Q723" i="6"/>
  <c r="R723" i="6"/>
  <c r="N723" i="6"/>
  <c r="I723" i="6"/>
  <c r="P723" i="6"/>
  <c r="S723" i="6" s="1"/>
  <c r="G723" i="6"/>
  <c r="J723" i="6" s="1"/>
  <c r="Q734" i="6"/>
  <c r="R734" i="6"/>
  <c r="P734" i="6"/>
  <c r="H734" i="6"/>
  <c r="V734" i="6"/>
  <c r="G734" i="6"/>
  <c r="Q746" i="6"/>
  <c r="G746" i="6"/>
  <c r="P746" i="6"/>
  <c r="S746" i="6" s="1"/>
  <c r="R746" i="6"/>
  <c r="K801" i="6"/>
  <c r="I585" i="6"/>
  <c r="R585" i="6"/>
  <c r="R601" i="6"/>
  <c r="O612" i="6"/>
  <c r="V619" i="6"/>
  <c r="I619" i="6"/>
  <c r="H619" i="6"/>
  <c r="G619" i="6"/>
  <c r="J619" i="6" s="1"/>
  <c r="R630" i="6"/>
  <c r="J695" i="6"/>
  <c r="Q739" i="6"/>
  <c r="S739" i="6" s="1"/>
  <c r="I739" i="6"/>
  <c r="G739" i="6"/>
  <c r="R739" i="6"/>
  <c r="N739" i="6"/>
  <c r="V739" i="6" s="1"/>
  <c r="H739" i="6"/>
  <c r="Q771" i="6"/>
  <c r="P771" i="6"/>
  <c r="S771" i="6" s="1"/>
  <c r="H771" i="6"/>
  <c r="V637" i="6"/>
  <c r="R637" i="6"/>
  <c r="P637" i="6"/>
  <c r="S637" i="6" s="1"/>
  <c r="J661" i="6"/>
  <c r="Q667" i="6"/>
  <c r="I667" i="6"/>
  <c r="G667" i="6"/>
  <c r="Q696" i="6"/>
  <c r="N696" i="6"/>
  <c r="H696" i="6"/>
  <c r="K696" i="6" s="1"/>
  <c r="P696" i="6"/>
  <c r="S696" i="6" s="1"/>
  <c r="S844" i="6"/>
  <c r="U892" i="6"/>
  <c r="O892" i="6"/>
  <c r="I834" i="6"/>
  <c r="Q834" i="6"/>
  <c r="R834" i="6"/>
  <c r="P834" i="6"/>
  <c r="H834" i="6"/>
  <c r="G834" i="6"/>
  <c r="H945" i="6"/>
  <c r="G945" i="6"/>
  <c r="I945" i="6"/>
  <c r="U941" i="6"/>
  <c r="O941" i="6"/>
  <c r="H606" i="6"/>
  <c r="J606" i="6" s="1"/>
  <c r="Q606" i="6"/>
  <c r="S606" i="6" s="1"/>
  <c r="G630" i="6"/>
  <c r="J630" i="6" s="1"/>
  <c r="Q630" i="6"/>
  <c r="Q643" i="6"/>
  <c r="H643" i="6"/>
  <c r="P643" i="6"/>
  <c r="V647" i="6"/>
  <c r="H647" i="6"/>
  <c r="P647" i="6"/>
  <c r="S647" i="6" s="1"/>
  <c r="Q669" i="6"/>
  <c r="G669" i="6"/>
  <c r="I669" i="6"/>
  <c r="P669" i="6"/>
  <c r="S669" i="6" s="1"/>
  <c r="H669" i="6"/>
  <c r="Q685" i="6"/>
  <c r="G685" i="6"/>
  <c r="J685" i="6" s="1"/>
  <c r="R685" i="6"/>
  <c r="Q697" i="6"/>
  <c r="N697" i="6"/>
  <c r="R697" i="6"/>
  <c r="P697" i="6"/>
  <c r="S697" i="6" s="1"/>
  <c r="V697" i="6"/>
  <c r="H713" i="6"/>
  <c r="G713" i="6"/>
  <c r="J713" i="6" s="1"/>
  <c r="Q715" i="6"/>
  <c r="R715" i="6"/>
  <c r="P715" i="6"/>
  <c r="S715" i="6" s="1"/>
  <c r="G715" i="6"/>
  <c r="Q719" i="6"/>
  <c r="I719" i="6"/>
  <c r="R719" i="6"/>
  <c r="P719" i="6"/>
  <c r="S719" i="6" s="1"/>
  <c r="G719" i="6"/>
  <c r="Q741" i="6"/>
  <c r="G741" i="6"/>
  <c r="H741" i="6"/>
  <c r="R741" i="6"/>
  <c r="P741" i="6"/>
  <c r="S741" i="6" s="1"/>
  <c r="I741" i="6"/>
  <c r="H767" i="6"/>
  <c r="I789" i="6"/>
  <c r="G789" i="6"/>
  <c r="J789" i="6" s="1"/>
  <c r="U837" i="6"/>
  <c r="V837" i="6"/>
  <c r="P953" i="6"/>
  <c r="Q953" i="6"/>
  <c r="G953" i="6"/>
  <c r="R953" i="6"/>
  <c r="H953" i="6"/>
  <c r="I953" i="6"/>
  <c r="N953" i="6"/>
  <c r="Q665" i="6"/>
  <c r="I665" i="6"/>
  <c r="G665" i="6"/>
  <c r="J665" i="6" s="1"/>
  <c r="R665" i="6"/>
  <c r="Q691" i="6"/>
  <c r="H691" i="6"/>
  <c r="P691" i="6"/>
  <c r="S691" i="6" s="1"/>
  <c r="I691" i="6"/>
  <c r="Q694" i="6"/>
  <c r="P694" i="6"/>
  <c r="S694" i="6" s="1"/>
  <c r="H694" i="6"/>
  <c r="G694" i="6"/>
  <c r="J694" i="6" s="1"/>
  <c r="Q711" i="6"/>
  <c r="P711" i="6"/>
  <c r="R711" i="6"/>
  <c r="I711" i="6"/>
  <c r="I831" i="6"/>
  <c r="H831" i="6"/>
  <c r="Q831" i="6"/>
  <c r="R831" i="6"/>
  <c r="S849" i="6"/>
  <c r="Q812" i="6"/>
  <c r="G812" i="6"/>
  <c r="P812" i="6"/>
  <c r="R812" i="6"/>
  <c r="I812" i="6"/>
  <c r="H812" i="6"/>
  <c r="M815" i="6"/>
  <c r="X815" i="6" s="1"/>
  <c r="W815" i="6"/>
  <c r="V638" i="6"/>
  <c r="R646" i="6"/>
  <c r="Q671" i="6"/>
  <c r="P671" i="6"/>
  <c r="K697" i="6"/>
  <c r="L697" i="6" s="1"/>
  <c r="T697" i="6" s="1"/>
  <c r="J758" i="6"/>
  <c r="J781" i="6"/>
  <c r="L795" i="6"/>
  <c r="V815" i="6"/>
  <c r="U815" i="6"/>
  <c r="O815" i="6"/>
  <c r="I727" i="6"/>
  <c r="Q743" i="6"/>
  <c r="I743" i="6"/>
  <c r="P743" i="6"/>
  <c r="S743" i="6" s="1"/>
  <c r="H743" i="6"/>
  <c r="J743" i="6" s="1"/>
  <c r="Q762" i="6"/>
  <c r="H762" i="6"/>
  <c r="R762" i="6"/>
  <c r="G762" i="6"/>
  <c r="I818" i="6"/>
  <c r="H818" i="6"/>
  <c r="P818" i="6"/>
  <c r="R818" i="6"/>
  <c r="Q818" i="6"/>
  <c r="N818" i="6"/>
  <c r="G818" i="6"/>
  <c r="J818" i="6" s="1"/>
  <c r="V818" i="6"/>
  <c r="Q678" i="6"/>
  <c r="Q714" i="6"/>
  <c r="H714" i="6"/>
  <c r="G714" i="6"/>
  <c r="S807" i="6"/>
  <c r="L821" i="6"/>
  <c r="I840" i="6"/>
  <c r="H840" i="6"/>
  <c r="Q840" i="6"/>
  <c r="R840" i="6"/>
  <c r="P840" i="6"/>
  <c r="S840" i="6" s="1"/>
  <c r="U827" i="6"/>
  <c r="O827" i="6"/>
  <c r="J843" i="6"/>
  <c r="K983" i="6"/>
  <c r="L983" i="6" s="1"/>
  <c r="O743" i="6"/>
  <c r="U743" i="6"/>
  <c r="S774" i="6"/>
  <c r="I825" i="6"/>
  <c r="G825" i="6"/>
  <c r="P825" i="6"/>
  <c r="H825" i="6"/>
  <c r="R825" i="6"/>
  <c r="P961" i="6"/>
  <c r="S961" i="6" s="1"/>
  <c r="H961" i="6"/>
  <c r="Q961" i="6"/>
  <c r="I961" i="6"/>
  <c r="G961" i="6"/>
  <c r="R961" i="6"/>
  <c r="Q672" i="6"/>
  <c r="P672" i="6"/>
  <c r="S672" i="6" s="1"/>
  <c r="H678" i="6"/>
  <c r="Q702" i="6"/>
  <c r="I702" i="6"/>
  <c r="H702" i="6"/>
  <c r="P702" i="6"/>
  <c r="Q716" i="6"/>
  <c r="P716" i="6"/>
  <c r="R716" i="6"/>
  <c r="I716" i="6"/>
  <c r="S717" i="6"/>
  <c r="I733" i="6"/>
  <c r="R743" i="6"/>
  <c r="Q747" i="6"/>
  <c r="H747" i="6"/>
  <c r="Q759" i="6"/>
  <c r="P759" i="6"/>
  <c r="R759" i="6"/>
  <c r="I759" i="6"/>
  <c r="Q770" i="6"/>
  <c r="I770" i="6"/>
  <c r="H770" i="6"/>
  <c r="R770" i="6"/>
  <c r="P770" i="6"/>
  <c r="S770" i="6" s="1"/>
  <c r="G770" i="6"/>
  <c r="J770" i="6" s="1"/>
  <c r="Q785" i="6"/>
  <c r="I785" i="6"/>
  <c r="R785" i="6"/>
  <c r="N785" i="6"/>
  <c r="P785" i="6"/>
  <c r="S785" i="6" s="1"/>
  <c r="G785" i="6"/>
  <c r="J785" i="6" s="1"/>
  <c r="I814" i="6"/>
  <c r="R814" i="6"/>
  <c r="P814" i="6"/>
  <c r="H814" i="6"/>
  <c r="Q790" i="6"/>
  <c r="G790" i="6"/>
  <c r="P790" i="6"/>
  <c r="H790" i="6"/>
  <c r="R790" i="6"/>
  <c r="Q825" i="6"/>
  <c r="V827" i="6"/>
  <c r="I897" i="6"/>
  <c r="G897" i="6"/>
  <c r="P897" i="6"/>
  <c r="R897" i="6"/>
  <c r="H897" i="6"/>
  <c r="P939" i="6"/>
  <c r="S939" i="6" s="1"/>
  <c r="G939" i="6"/>
  <c r="J939" i="6" s="1"/>
  <c r="Q939" i="6"/>
  <c r="H939" i="6"/>
  <c r="R939" i="6"/>
  <c r="I939" i="6"/>
  <c r="V654" i="6"/>
  <c r="R654" i="6"/>
  <c r="S654" i="6" s="1"/>
  <c r="G672" i="6"/>
  <c r="Q698" i="6"/>
  <c r="P698" i="6"/>
  <c r="S698" i="6" s="1"/>
  <c r="G702" i="6"/>
  <c r="R714" i="6"/>
  <c r="G716" i="6"/>
  <c r="Q724" i="6"/>
  <c r="R724" i="6"/>
  <c r="P724" i="6"/>
  <c r="S724" i="6" s="1"/>
  <c r="I724" i="6"/>
  <c r="V743" i="6"/>
  <c r="Q745" i="6"/>
  <c r="P745" i="6"/>
  <c r="S745" i="6" s="1"/>
  <c r="N745" i="6"/>
  <c r="I745" i="6"/>
  <c r="G745" i="6"/>
  <c r="G747" i="6"/>
  <c r="G759" i="6"/>
  <c r="J759" i="6" s="1"/>
  <c r="H785" i="6"/>
  <c r="G814" i="6"/>
  <c r="X823" i="6"/>
  <c r="I873" i="6"/>
  <c r="P873" i="6"/>
  <c r="S873" i="6" s="1"/>
  <c r="H873" i="6"/>
  <c r="G873" i="6"/>
  <c r="J873" i="6" s="1"/>
  <c r="R873" i="6"/>
  <c r="Q873" i="6"/>
  <c r="I705" i="6"/>
  <c r="G724" i="6"/>
  <c r="G733" i="6"/>
  <c r="H745" i="6"/>
  <c r="Q753" i="6"/>
  <c r="S753" i="6" s="1"/>
  <c r="N753" i="6"/>
  <c r="I828" i="6"/>
  <c r="H828" i="6"/>
  <c r="N828" i="6"/>
  <c r="G828" i="6"/>
  <c r="J828" i="6" s="1"/>
  <c r="P828" i="6"/>
  <c r="Q828" i="6"/>
  <c r="J836" i="6"/>
  <c r="V639" i="6"/>
  <c r="P652" i="6"/>
  <c r="S652" i="6" s="1"/>
  <c r="Q710" i="6"/>
  <c r="N710" i="6"/>
  <c r="P710" i="6"/>
  <c r="S710" i="6" s="1"/>
  <c r="H710" i="6"/>
  <c r="Q718" i="6"/>
  <c r="S718" i="6" s="1"/>
  <c r="G718" i="6"/>
  <c r="J718" i="6" s="1"/>
  <c r="V718" i="6"/>
  <c r="R718" i="6"/>
  <c r="N718" i="6"/>
  <c r="H718" i="6"/>
  <c r="K718" i="6" s="1"/>
  <c r="Q721" i="6"/>
  <c r="V721" i="6"/>
  <c r="I721" i="6"/>
  <c r="H721" i="6"/>
  <c r="G721" i="6"/>
  <c r="J721" i="6" s="1"/>
  <c r="R721" i="6"/>
  <c r="S721" i="6" s="1"/>
  <c r="S738" i="6"/>
  <c r="Q786" i="6"/>
  <c r="S786" i="6" s="1"/>
  <c r="N786" i="6"/>
  <c r="I786" i="6"/>
  <c r="Q809" i="6"/>
  <c r="H809" i="6"/>
  <c r="I833" i="6"/>
  <c r="P833" i="6"/>
  <c r="H833" i="6"/>
  <c r="Q833" i="6"/>
  <c r="G833" i="6"/>
  <c r="R833" i="6"/>
  <c r="V617" i="6"/>
  <c r="V655" i="6"/>
  <c r="G655" i="6"/>
  <c r="J655" i="6" s="1"/>
  <c r="R703" i="6"/>
  <c r="S703" i="6" s="1"/>
  <c r="Q709" i="6"/>
  <c r="I709" i="6"/>
  <c r="Q725" i="6"/>
  <c r="Q750" i="6"/>
  <c r="G750" i="6"/>
  <c r="J750" i="6" s="1"/>
  <c r="S760" i="6"/>
  <c r="S779" i="6"/>
  <c r="Q811" i="6"/>
  <c r="R811" i="6"/>
  <c r="H811" i="6"/>
  <c r="G811" i="6"/>
  <c r="I811" i="6"/>
  <c r="I851" i="6"/>
  <c r="G851" i="6"/>
  <c r="R851" i="6"/>
  <c r="Q851" i="6"/>
  <c r="P851" i="6"/>
  <c r="S851" i="6" s="1"/>
  <c r="H851" i="6"/>
  <c r="I858" i="6"/>
  <c r="H858" i="6"/>
  <c r="R858" i="6"/>
  <c r="Q858" i="6"/>
  <c r="P858" i="6"/>
  <c r="S858" i="6" s="1"/>
  <c r="N858" i="6"/>
  <c r="G858" i="6"/>
  <c r="J858" i="6" s="1"/>
  <c r="V858" i="6"/>
  <c r="I874" i="6"/>
  <c r="G874" i="6"/>
  <c r="J874" i="6" s="1"/>
  <c r="R874" i="6"/>
  <c r="P874" i="6"/>
  <c r="S874" i="6" s="1"/>
  <c r="Q874" i="6"/>
  <c r="I892" i="6"/>
  <c r="H892" i="6"/>
  <c r="J892" i="6" s="1"/>
  <c r="Q892" i="6"/>
  <c r="V892" i="6"/>
  <c r="P892" i="6"/>
  <c r="S892" i="6" s="1"/>
  <c r="P980" i="6"/>
  <c r="R980" i="6"/>
  <c r="Q980" i="6"/>
  <c r="I980" i="6"/>
  <c r="H980" i="6"/>
  <c r="G980" i="6"/>
  <c r="J980" i="6" s="1"/>
  <c r="H9" i="7"/>
  <c r="G9" i="7"/>
  <c r="Q707" i="6"/>
  <c r="G707" i="6"/>
  <c r="H707" i="6"/>
  <c r="Q749" i="6"/>
  <c r="H749" i="6"/>
  <c r="G749" i="6"/>
  <c r="J749" i="6" s="1"/>
  <c r="Q758" i="6"/>
  <c r="N758" i="6"/>
  <c r="V758" i="6"/>
  <c r="R758" i="6"/>
  <c r="S781" i="6"/>
  <c r="S823" i="6"/>
  <c r="I872" i="6"/>
  <c r="H872" i="6"/>
  <c r="Q872" i="6"/>
  <c r="P872" i="6"/>
  <c r="G872" i="6"/>
  <c r="J872" i="6" s="1"/>
  <c r="R872" i="6"/>
  <c r="O890" i="6"/>
  <c r="U890" i="6"/>
  <c r="J906" i="6"/>
  <c r="U984" i="6"/>
  <c r="O984" i="6"/>
  <c r="Q704" i="6"/>
  <c r="I740" i="6"/>
  <c r="G748" i="6"/>
  <c r="J748" i="6" s="1"/>
  <c r="Q755" i="6"/>
  <c r="P755" i="6"/>
  <c r="H755" i="6"/>
  <c r="G755" i="6"/>
  <c r="R755" i="6"/>
  <c r="H758" i="6"/>
  <c r="K806" i="6"/>
  <c r="L806" i="6" s="1"/>
  <c r="T806" i="6" s="1"/>
  <c r="Q808" i="6"/>
  <c r="R808" i="6"/>
  <c r="I808" i="6"/>
  <c r="N808" i="6"/>
  <c r="H808" i="6"/>
  <c r="J808" i="6" s="1"/>
  <c r="S836" i="6"/>
  <c r="O870" i="6"/>
  <c r="V870" i="6"/>
  <c r="U870" i="6"/>
  <c r="Q695" i="6"/>
  <c r="S695" i="6" s="1"/>
  <c r="R695" i="6"/>
  <c r="G705" i="6"/>
  <c r="J705" i="6" s="1"/>
  <c r="Q713" i="6"/>
  <c r="O717" i="6"/>
  <c r="Q731" i="6"/>
  <c r="N731" i="6"/>
  <c r="I731" i="6"/>
  <c r="I758" i="6"/>
  <c r="Q763" i="6"/>
  <c r="R763" i="6"/>
  <c r="P763" i="6"/>
  <c r="S763" i="6" s="1"/>
  <c r="Q789" i="6"/>
  <c r="H789" i="6"/>
  <c r="O868" i="6"/>
  <c r="V868" i="6"/>
  <c r="Q917" i="6"/>
  <c r="I917" i="6"/>
  <c r="H917" i="6"/>
  <c r="G917" i="6"/>
  <c r="J917" i="6" s="1"/>
  <c r="P940" i="6"/>
  <c r="G940" i="6"/>
  <c r="J940" i="6" s="1"/>
  <c r="Q940" i="6"/>
  <c r="H940" i="6"/>
  <c r="I940" i="6"/>
  <c r="R940" i="6"/>
  <c r="G950" i="6"/>
  <c r="P964" i="6"/>
  <c r="I964" i="6"/>
  <c r="R964" i="6"/>
  <c r="Q964" i="6"/>
  <c r="H964" i="6"/>
  <c r="G964" i="6"/>
  <c r="J964" i="6" s="1"/>
  <c r="Q730" i="6"/>
  <c r="H730" i="6"/>
  <c r="J763" i="6"/>
  <c r="Q772" i="6"/>
  <c r="R772" i="6"/>
  <c r="I772" i="6"/>
  <c r="G772" i="6"/>
  <c r="J772" i="6" s="1"/>
  <c r="Q782" i="6"/>
  <c r="H782" i="6"/>
  <c r="V843" i="6"/>
  <c r="U843" i="6"/>
  <c r="O843" i="6"/>
  <c r="N913" i="6"/>
  <c r="I913" i="6"/>
  <c r="R913" i="6"/>
  <c r="G913" i="6"/>
  <c r="P913" i="6"/>
  <c r="H913" i="6"/>
  <c r="V913" i="6"/>
  <c r="Q913" i="6"/>
  <c r="Q712" i="6"/>
  <c r="I816" i="6"/>
  <c r="G816" i="6"/>
  <c r="P816" i="6"/>
  <c r="N816" i="6"/>
  <c r="H816" i="6"/>
  <c r="Q816" i="6"/>
  <c r="V822" i="6"/>
  <c r="U822" i="6"/>
  <c r="I850" i="6"/>
  <c r="R850" i="6"/>
  <c r="P850" i="6"/>
  <c r="N850" i="6"/>
  <c r="G850" i="6"/>
  <c r="Q850" i="6"/>
  <c r="J885" i="6"/>
  <c r="I896" i="6"/>
  <c r="R896" i="6"/>
  <c r="Q896" i="6"/>
  <c r="P896" i="6"/>
  <c r="S896" i="6" s="1"/>
  <c r="H896" i="6"/>
  <c r="P917" i="6"/>
  <c r="L947" i="6"/>
  <c r="Q621" i="6"/>
  <c r="I695" i="6"/>
  <c r="I703" i="6"/>
  <c r="I713" i="6"/>
  <c r="U717" i="6"/>
  <c r="Q720" i="6"/>
  <c r="Q729" i="6"/>
  <c r="G729" i="6"/>
  <c r="G730" i="6"/>
  <c r="O732" i="6"/>
  <c r="Q735" i="6"/>
  <c r="R735" i="6"/>
  <c r="H740" i="6"/>
  <c r="J744" i="6"/>
  <c r="L744" i="6" s="1"/>
  <c r="R749" i="6"/>
  <c r="P758" i="6"/>
  <c r="S758" i="6" s="1"/>
  <c r="I763" i="6"/>
  <c r="H772" i="6"/>
  <c r="Q779" i="6"/>
  <c r="N779" i="6"/>
  <c r="V779" i="6"/>
  <c r="G782" i="6"/>
  <c r="J782" i="6" s="1"/>
  <c r="Q793" i="6"/>
  <c r="P793" i="6"/>
  <c r="S793" i="6" s="1"/>
  <c r="I793" i="6"/>
  <c r="H793" i="6"/>
  <c r="G793" i="6"/>
  <c r="J793" i="6" s="1"/>
  <c r="P808" i="6"/>
  <c r="O822" i="6"/>
  <c r="U839" i="6"/>
  <c r="O839" i="6"/>
  <c r="U868" i="6"/>
  <c r="L889" i="6"/>
  <c r="R917" i="6"/>
  <c r="N927" i="6"/>
  <c r="V927" i="6"/>
  <c r="Q927" i="6"/>
  <c r="P927" i="6"/>
  <c r="G927" i="6"/>
  <c r="I927" i="6"/>
  <c r="R927" i="6"/>
  <c r="H927" i="6"/>
  <c r="Q937" i="6"/>
  <c r="I1001" i="6"/>
  <c r="P707" i="6"/>
  <c r="G712" i="6"/>
  <c r="I730" i="6"/>
  <c r="Q751" i="6"/>
  <c r="R751" i="6"/>
  <c r="G751" i="6"/>
  <c r="Q774" i="6"/>
  <c r="R774" i="6"/>
  <c r="I774" i="6"/>
  <c r="N774" i="6"/>
  <c r="Q777" i="6"/>
  <c r="P777" i="6"/>
  <c r="I777" i="6"/>
  <c r="H777" i="6"/>
  <c r="R777" i="6"/>
  <c r="G777" i="6"/>
  <c r="J777" i="6" s="1"/>
  <c r="I782" i="6"/>
  <c r="Q799" i="6"/>
  <c r="P799" i="6"/>
  <c r="S799" i="6" s="1"/>
  <c r="H799" i="6"/>
  <c r="G799" i="6"/>
  <c r="R799" i="6"/>
  <c r="I799" i="6"/>
  <c r="J801" i="6"/>
  <c r="Q803" i="6"/>
  <c r="G803" i="6"/>
  <c r="R803" i="6"/>
  <c r="I803" i="6"/>
  <c r="R816" i="6"/>
  <c r="R819" i="6"/>
  <c r="H850" i="6"/>
  <c r="G896" i="6"/>
  <c r="I865" i="6"/>
  <c r="R865" i="6"/>
  <c r="H865" i="6"/>
  <c r="P865" i="6"/>
  <c r="S865" i="6" s="1"/>
  <c r="N865" i="6"/>
  <c r="G865" i="6"/>
  <c r="J865" i="6" s="1"/>
  <c r="I883" i="6"/>
  <c r="G883" i="6"/>
  <c r="J883" i="6" s="1"/>
  <c r="R883" i="6"/>
  <c r="P883" i="6"/>
  <c r="Q883" i="6"/>
  <c r="I899" i="6"/>
  <c r="P899" i="6"/>
  <c r="N899" i="6"/>
  <c r="V899" i="6"/>
  <c r="G899" i="6"/>
  <c r="J899" i="6" s="1"/>
  <c r="I929" i="6"/>
  <c r="J973" i="6"/>
  <c r="Q733" i="6"/>
  <c r="P733" i="6"/>
  <c r="S733" i="6" s="1"/>
  <c r="Q769" i="6"/>
  <c r="H769" i="6"/>
  <c r="I769" i="6"/>
  <c r="J805" i="6"/>
  <c r="S827" i="6"/>
  <c r="S829" i="6"/>
  <c r="I835" i="6"/>
  <c r="R835" i="6"/>
  <c r="P835" i="6"/>
  <c r="S835" i="6" s="1"/>
  <c r="H835" i="6"/>
  <c r="I862" i="6"/>
  <c r="H862" i="6"/>
  <c r="R862" i="6"/>
  <c r="P862" i="6"/>
  <c r="S862" i="6" s="1"/>
  <c r="R899" i="6"/>
  <c r="H935" i="6"/>
  <c r="P1006" i="6"/>
  <c r="S1006" i="6" s="1"/>
  <c r="G1006" i="6"/>
  <c r="Q1006" i="6"/>
  <c r="R1006" i="6"/>
  <c r="I1006" i="6"/>
  <c r="H1006" i="6"/>
  <c r="H733" i="6"/>
  <c r="Q756" i="6"/>
  <c r="R756" i="6"/>
  <c r="I756" i="6"/>
  <c r="Q787" i="6"/>
  <c r="R787" i="6"/>
  <c r="P787" i="6"/>
  <c r="N787" i="6"/>
  <c r="O821" i="6"/>
  <c r="I826" i="6"/>
  <c r="H826" i="6"/>
  <c r="J826" i="6" s="1"/>
  <c r="Q826" i="6"/>
  <c r="R826" i="6"/>
  <c r="N826" i="6"/>
  <c r="I855" i="6"/>
  <c r="P855" i="6"/>
  <c r="Q855" i="6"/>
  <c r="R855" i="6"/>
  <c r="G855" i="6"/>
  <c r="U860" i="6"/>
  <c r="O860" i="6"/>
  <c r="V860" i="6"/>
  <c r="I887" i="6"/>
  <c r="H887" i="6"/>
  <c r="G887" i="6"/>
  <c r="J887" i="6" s="1"/>
  <c r="R887" i="6"/>
  <c r="Q887" i="6"/>
  <c r="I895" i="6"/>
  <c r="H895" i="6"/>
  <c r="R895" i="6"/>
  <c r="P895" i="6"/>
  <c r="Q895" i="6"/>
  <c r="U906" i="6"/>
  <c r="V906" i="6"/>
  <c r="O906" i="6"/>
  <c r="P971" i="6"/>
  <c r="H971" i="6"/>
  <c r="G971" i="6"/>
  <c r="Q971" i="6"/>
  <c r="R971" i="6"/>
  <c r="I971" i="6"/>
  <c r="Q768" i="6"/>
  <c r="G768" i="6"/>
  <c r="H768" i="6"/>
  <c r="P768" i="6"/>
  <c r="T844" i="6"/>
  <c r="I853" i="6"/>
  <c r="H853" i="6"/>
  <c r="P853" i="6"/>
  <c r="G853" i="6"/>
  <c r="J853" i="6" s="1"/>
  <c r="P948" i="6"/>
  <c r="G948" i="6"/>
  <c r="R948" i="6"/>
  <c r="H948" i="6"/>
  <c r="N948" i="6"/>
  <c r="Q760" i="6"/>
  <c r="V760" i="6"/>
  <c r="R760" i="6"/>
  <c r="I768" i="6"/>
  <c r="P776" i="6"/>
  <c r="Q804" i="6"/>
  <c r="H804" i="6"/>
  <c r="I804" i="6"/>
  <c r="G804" i="6"/>
  <c r="R804" i="6"/>
  <c r="Q807" i="6"/>
  <c r="H807" i="6"/>
  <c r="J807" i="6" s="1"/>
  <c r="R807" i="6"/>
  <c r="N807" i="6"/>
  <c r="H830" i="6"/>
  <c r="G880" i="6"/>
  <c r="J880" i="6" s="1"/>
  <c r="I946" i="6"/>
  <c r="H946" i="6"/>
  <c r="I948" i="6"/>
  <c r="P967" i="6"/>
  <c r="S967" i="6" s="1"/>
  <c r="I967" i="6"/>
  <c r="H967" i="6"/>
  <c r="G967" i="6"/>
  <c r="J967" i="6" s="1"/>
  <c r="R967" i="6"/>
  <c r="Q967" i="6"/>
  <c r="V653" i="6"/>
  <c r="Q717" i="6"/>
  <c r="R717" i="6"/>
  <c r="I732" i="6"/>
  <c r="Q738" i="6"/>
  <c r="V738" i="6"/>
  <c r="Q748" i="6"/>
  <c r="I748" i="6"/>
  <c r="R748" i="6"/>
  <c r="U781" i="6"/>
  <c r="O781" i="6"/>
  <c r="Q783" i="6"/>
  <c r="I783" i="6"/>
  <c r="I787" i="6"/>
  <c r="I820" i="6"/>
  <c r="H820" i="6"/>
  <c r="G820" i="6"/>
  <c r="I848" i="6"/>
  <c r="H848" i="6"/>
  <c r="Q848" i="6"/>
  <c r="R848" i="6"/>
  <c r="V848" i="6"/>
  <c r="P848" i="6"/>
  <c r="S848" i="6" s="1"/>
  <c r="G848" i="6"/>
  <c r="I857" i="6"/>
  <c r="R857" i="6"/>
  <c r="S857" i="6" s="1"/>
  <c r="V857" i="6"/>
  <c r="G857" i="6"/>
  <c r="J857" i="6" s="1"/>
  <c r="H882" i="6"/>
  <c r="G882" i="6"/>
  <c r="G898" i="6"/>
  <c r="R925" i="6"/>
  <c r="O942" i="6"/>
  <c r="Q948" i="6"/>
  <c r="H760" i="6"/>
  <c r="R769" i="6"/>
  <c r="Q795" i="6"/>
  <c r="S795" i="6" s="1"/>
  <c r="V795" i="6"/>
  <c r="R795" i="6"/>
  <c r="N795" i="6"/>
  <c r="G795" i="6"/>
  <c r="J795" i="6" s="1"/>
  <c r="I807" i="6"/>
  <c r="U821" i="6"/>
  <c r="P826" i="6"/>
  <c r="L837" i="6"/>
  <c r="Q853" i="6"/>
  <c r="I863" i="6"/>
  <c r="Q863" i="6"/>
  <c r="S863" i="6" s="1"/>
  <c r="G863" i="6"/>
  <c r="J863" i="6" s="1"/>
  <c r="V863" i="6"/>
  <c r="V871" i="6"/>
  <c r="L891" i="6"/>
  <c r="R916" i="6"/>
  <c r="Q916" i="6"/>
  <c r="P916" i="6"/>
  <c r="S916" i="6" s="1"/>
  <c r="G916" i="6"/>
  <c r="H916" i="6"/>
  <c r="M969" i="6"/>
  <c r="X969" i="6" s="1"/>
  <c r="W969" i="6"/>
  <c r="Q781" i="6"/>
  <c r="H781" i="6"/>
  <c r="K781" i="6" s="1"/>
  <c r="L781" i="6" s="1"/>
  <c r="I866" i="6"/>
  <c r="I876" i="6"/>
  <c r="Q876" i="6"/>
  <c r="I888" i="6"/>
  <c r="P888" i="6"/>
  <c r="S888" i="6" s="1"/>
  <c r="I904" i="6"/>
  <c r="H904" i="6"/>
  <c r="G904" i="6"/>
  <c r="J904" i="6" s="1"/>
  <c r="R904" i="6"/>
  <c r="Q904" i="6"/>
  <c r="P904" i="6"/>
  <c r="Q805" i="6"/>
  <c r="S805" i="6" s="1"/>
  <c r="I805" i="6"/>
  <c r="I838" i="6"/>
  <c r="G838" i="6"/>
  <c r="I854" i="6"/>
  <c r="H854" i="6"/>
  <c r="G854" i="6"/>
  <c r="J854" i="6" s="1"/>
  <c r="I869" i="6"/>
  <c r="G869" i="6"/>
  <c r="J869" i="6" s="1"/>
  <c r="P869" i="6"/>
  <c r="S869" i="6" s="1"/>
  <c r="N869" i="6"/>
  <c r="S911" i="6"/>
  <c r="P951" i="6"/>
  <c r="I951" i="6"/>
  <c r="Q951" i="6"/>
  <c r="G951" i="6"/>
  <c r="H951" i="6"/>
  <c r="R951" i="6"/>
  <c r="P965" i="6"/>
  <c r="R965" i="6"/>
  <c r="N965" i="6"/>
  <c r="I965" i="6"/>
  <c r="H965" i="6"/>
  <c r="H805" i="6"/>
  <c r="T837" i="6"/>
  <c r="H861" i="6"/>
  <c r="J989" i="6"/>
  <c r="Q792" i="6"/>
  <c r="I792" i="6"/>
  <c r="Q798" i="6"/>
  <c r="H798" i="6"/>
  <c r="I846" i="6"/>
  <c r="P846" i="6"/>
  <c r="S846" i="6" s="1"/>
  <c r="I893" i="6"/>
  <c r="G893" i="6"/>
  <c r="J893" i="6" s="1"/>
  <c r="R893" i="6"/>
  <c r="P893" i="6"/>
  <c r="S893" i="6" s="1"/>
  <c r="L910" i="6"/>
  <c r="I919" i="6"/>
  <c r="H919" i="6"/>
  <c r="Q919" i="6"/>
  <c r="R919" i="6"/>
  <c r="Q965" i="6"/>
  <c r="Q776" i="6"/>
  <c r="V776" i="6"/>
  <c r="Q784" i="6"/>
  <c r="P784" i="6"/>
  <c r="S784" i="6" s="1"/>
  <c r="G792" i="6"/>
  <c r="G798" i="6"/>
  <c r="I819" i="6"/>
  <c r="H829" i="6"/>
  <c r="I841" i="6"/>
  <c r="R841" i="6"/>
  <c r="G846" i="6"/>
  <c r="J846" i="6" s="1"/>
  <c r="Q854" i="6"/>
  <c r="I868" i="6"/>
  <c r="H868" i="6"/>
  <c r="G868" i="6"/>
  <c r="J868" i="6" s="1"/>
  <c r="R869" i="6"/>
  <c r="I890" i="6"/>
  <c r="P890" i="6"/>
  <c r="R890" i="6"/>
  <c r="Q890" i="6"/>
  <c r="H890" i="6"/>
  <c r="G890" i="6"/>
  <c r="J890" i="6" s="1"/>
  <c r="H893" i="6"/>
  <c r="I900" i="6"/>
  <c r="Q900" i="6"/>
  <c r="P900" i="6"/>
  <c r="S900" i="6" s="1"/>
  <c r="N900" i="6"/>
  <c r="H900" i="6"/>
  <c r="G919" i="6"/>
  <c r="J919" i="6" s="1"/>
  <c r="P952" i="6"/>
  <c r="V952" i="6"/>
  <c r="H952" i="6"/>
  <c r="R952" i="6"/>
  <c r="Q952" i="6"/>
  <c r="N952" i="6"/>
  <c r="I952" i="6"/>
  <c r="J1011" i="6"/>
  <c r="Q754" i="6"/>
  <c r="Q767" i="6"/>
  <c r="H792" i="6"/>
  <c r="I798" i="6"/>
  <c r="H846" i="6"/>
  <c r="R854" i="6"/>
  <c r="I856" i="6"/>
  <c r="Q856" i="6"/>
  <c r="R856" i="6"/>
  <c r="I878" i="6"/>
  <c r="Q878" i="6"/>
  <c r="S878" i="6" s="1"/>
  <c r="G878" i="6"/>
  <c r="N878" i="6"/>
  <c r="H878" i="6"/>
  <c r="I907" i="6"/>
  <c r="V907" i="6"/>
  <c r="R907" i="6"/>
  <c r="Q907" i="6"/>
  <c r="P907" i="6"/>
  <c r="H924" i="6"/>
  <c r="Q924" i="6"/>
  <c r="P924" i="6"/>
  <c r="R924" i="6"/>
  <c r="I924" i="6"/>
  <c r="G924" i="6"/>
  <c r="J924" i="6" s="1"/>
  <c r="R929" i="6"/>
  <c r="G929" i="6"/>
  <c r="H929" i="6"/>
  <c r="P936" i="6"/>
  <c r="R936" i="6"/>
  <c r="Q936" i="6"/>
  <c r="I936" i="6"/>
  <c r="H936" i="6"/>
  <c r="G936" i="6"/>
  <c r="K991" i="6"/>
  <c r="J991" i="6"/>
  <c r="L1011" i="6"/>
  <c r="Q683" i="6"/>
  <c r="Q705" i="6"/>
  <c r="Q727" i="6"/>
  <c r="Q740" i="6"/>
  <c r="G776" i="6"/>
  <c r="J776" i="6" s="1"/>
  <c r="V781" i="6"/>
  <c r="G784" i="6"/>
  <c r="J784" i="6" s="1"/>
  <c r="L784" i="6" s="1"/>
  <c r="Q791" i="6"/>
  <c r="H791" i="6"/>
  <c r="R791" i="6"/>
  <c r="N805" i="6"/>
  <c r="G819" i="6"/>
  <c r="I824" i="6"/>
  <c r="K829" i="6"/>
  <c r="I832" i="6"/>
  <c r="G832" i="6"/>
  <c r="I836" i="6"/>
  <c r="H836" i="6"/>
  <c r="P838" i="6"/>
  <c r="S838" i="6" s="1"/>
  <c r="G841" i="6"/>
  <c r="I871" i="6"/>
  <c r="R871" i="6"/>
  <c r="S871" i="6" s="1"/>
  <c r="H871" i="6"/>
  <c r="J871" i="6" s="1"/>
  <c r="G900" i="6"/>
  <c r="I902" i="6"/>
  <c r="Q902" i="6"/>
  <c r="H902" i="6"/>
  <c r="G952" i="6"/>
  <c r="J955" i="6"/>
  <c r="P981" i="6"/>
  <c r="R981" i="6"/>
  <c r="Q981" i="6"/>
  <c r="I981" i="6"/>
  <c r="H981" i="6"/>
  <c r="G981" i="6"/>
  <c r="R987" i="6"/>
  <c r="O829" i="6"/>
  <c r="H845" i="6"/>
  <c r="G845" i="6"/>
  <c r="J947" i="6"/>
  <c r="M1005" i="6"/>
  <c r="W1005" i="6"/>
  <c r="U912" i="6"/>
  <c r="V912" i="6"/>
  <c r="N923" i="6"/>
  <c r="V923" i="6"/>
  <c r="P923" i="6"/>
  <c r="G923" i="6"/>
  <c r="Q923" i="6"/>
  <c r="I923" i="6"/>
  <c r="H923" i="6"/>
  <c r="P944" i="6"/>
  <c r="S944" i="6" s="1"/>
  <c r="I944" i="6"/>
  <c r="N944" i="6"/>
  <c r="G944" i="6"/>
  <c r="J944" i="6" s="1"/>
  <c r="I822" i="6"/>
  <c r="G822" i="6"/>
  <c r="J822" i="6" s="1"/>
  <c r="R822" i="6"/>
  <c r="S822" i="6" s="1"/>
  <c r="I849" i="6"/>
  <c r="R849" i="6"/>
  <c r="N849" i="6"/>
  <c r="I882" i="6"/>
  <c r="P882" i="6"/>
  <c r="S882" i="6" s="1"/>
  <c r="I894" i="6"/>
  <c r="H894" i="6"/>
  <c r="G894" i="6"/>
  <c r="J894" i="6" s="1"/>
  <c r="I943" i="6"/>
  <c r="P954" i="6"/>
  <c r="N954" i="6"/>
  <c r="V954" i="6" s="1"/>
  <c r="I954" i="6"/>
  <c r="G954" i="6"/>
  <c r="J954" i="6" s="1"/>
  <c r="Q954" i="6"/>
  <c r="H954" i="6"/>
  <c r="P963" i="6"/>
  <c r="V963" i="6"/>
  <c r="H963" i="6"/>
  <c r="I963" i="6"/>
  <c r="G963" i="6"/>
  <c r="J963" i="6" s="1"/>
  <c r="N920" i="6"/>
  <c r="V920" i="6"/>
  <c r="H920" i="6"/>
  <c r="G920" i="6"/>
  <c r="J920" i="6" s="1"/>
  <c r="R920" i="6"/>
  <c r="S920" i="6" s="1"/>
  <c r="R922" i="6"/>
  <c r="P922" i="6"/>
  <c r="S922" i="6" s="1"/>
  <c r="H922" i="6"/>
  <c r="G922" i="6"/>
  <c r="J922" i="6" s="1"/>
  <c r="N928" i="6"/>
  <c r="V928" i="6"/>
  <c r="Q928" i="6"/>
  <c r="R928" i="6"/>
  <c r="H928" i="6"/>
  <c r="P928" i="6"/>
  <c r="I928" i="6"/>
  <c r="P934" i="6"/>
  <c r="G934" i="6"/>
  <c r="Q934" i="6"/>
  <c r="R934" i="6"/>
  <c r="N934" i="6"/>
  <c r="P994" i="6"/>
  <c r="S994" i="6" s="1"/>
  <c r="I994" i="6"/>
  <c r="H994" i="6"/>
  <c r="G994" i="6"/>
  <c r="R994" i="6"/>
  <c r="N994" i="6"/>
  <c r="V994" i="6"/>
  <c r="Q994" i="6"/>
  <c r="M1004" i="6"/>
  <c r="X1004" i="6" s="1"/>
  <c r="W1004" i="6"/>
  <c r="V891" i="6"/>
  <c r="U891" i="6"/>
  <c r="P959" i="6"/>
  <c r="R959" i="6"/>
  <c r="Q959" i="6"/>
  <c r="G959" i="6"/>
  <c r="U963" i="6"/>
  <c r="O963" i="6"/>
  <c r="O891" i="6"/>
  <c r="S910" i="6"/>
  <c r="I920" i="6"/>
  <c r="I922" i="6"/>
  <c r="K926" i="6"/>
  <c r="G928" i="6"/>
  <c r="J928" i="6" s="1"/>
  <c r="H934" i="6"/>
  <c r="P974" i="6"/>
  <c r="I974" i="6"/>
  <c r="H974" i="6"/>
  <c r="J974" i="6" s="1"/>
  <c r="R974" i="6"/>
  <c r="Q974" i="6"/>
  <c r="N974" i="6"/>
  <c r="V974" i="6" s="1"/>
  <c r="O1004" i="6"/>
  <c r="Q797" i="6"/>
  <c r="N797" i="6"/>
  <c r="I843" i="6"/>
  <c r="R843" i="6"/>
  <c r="S843" i="6" s="1"/>
  <c r="H881" i="6"/>
  <c r="I885" i="6"/>
  <c r="V885" i="6"/>
  <c r="I934" i="6"/>
  <c r="H959" i="6"/>
  <c r="R963" i="6"/>
  <c r="U976" i="6"/>
  <c r="P1000" i="6"/>
  <c r="Q1000" i="6"/>
  <c r="H1000" i="6"/>
  <c r="J997" i="6"/>
  <c r="I827" i="6"/>
  <c r="R827" i="6"/>
  <c r="I864" i="6"/>
  <c r="P864" i="6"/>
  <c r="S864" i="6" s="1"/>
  <c r="I877" i="6"/>
  <c r="P877" i="6"/>
  <c r="S877" i="6" s="1"/>
  <c r="I884" i="6"/>
  <c r="H884" i="6"/>
  <c r="J884" i="6" s="1"/>
  <c r="V884" i="6"/>
  <c r="I906" i="6"/>
  <c r="H906" i="6"/>
  <c r="P941" i="6"/>
  <c r="H941" i="6"/>
  <c r="V941" i="6"/>
  <c r="Q941" i="6"/>
  <c r="G941" i="6"/>
  <c r="I941" i="6"/>
  <c r="P955" i="6"/>
  <c r="S955" i="6" s="1"/>
  <c r="N955" i="6"/>
  <c r="H955" i="6"/>
  <c r="R955" i="6"/>
  <c r="O973" i="6"/>
  <c r="K975" i="6"/>
  <c r="L975" i="6" s="1"/>
  <c r="T975" i="6"/>
  <c r="P1007" i="6"/>
  <c r="S1007" i="6" s="1"/>
  <c r="V1007" i="6"/>
  <c r="H1007" i="6"/>
  <c r="R1007" i="6"/>
  <c r="N1007" i="6"/>
  <c r="G1007" i="6"/>
  <c r="H15" i="7"/>
  <c r="P999" i="6"/>
  <c r="Q999" i="6"/>
  <c r="G999" i="6"/>
  <c r="J999" i="6" s="1"/>
  <c r="I1007" i="6"/>
  <c r="T1011" i="6"/>
  <c r="G12" i="7"/>
  <c r="J921" i="6"/>
  <c r="P978" i="6"/>
  <c r="H978" i="6"/>
  <c r="G978" i="6"/>
  <c r="I978" i="6"/>
  <c r="H986" i="6"/>
  <c r="P997" i="6"/>
  <c r="N997" i="6"/>
  <c r="I997" i="6"/>
  <c r="S926" i="6"/>
  <c r="P935" i="6"/>
  <c r="Q935" i="6"/>
  <c r="G935" i="6"/>
  <c r="P942" i="6"/>
  <c r="I942" i="6"/>
  <c r="R942" i="6"/>
  <c r="G942" i="6"/>
  <c r="J942" i="6" s="1"/>
  <c r="V942" i="6"/>
  <c r="Q978" i="6"/>
  <c r="G986" i="6"/>
  <c r="J986" i="6" s="1"/>
  <c r="R999" i="6"/>
  <c r="H22" i="7"/>
  <c r="Q788" i="6"/>
  <c r="Q810" i="6"/>
  <c r="I830" i="6"/>
  <c r="I839" i="6"/>
  <c r="V839" i="6"/>
  <c r="G839" i="6"/>
  <c r="I860" i="6"/>
  <c r="I880" i="6"/>
  <c r="I898" i="6"/>
  <c r="R978" i="6"/>
  <c r="Q997" i="6"/>
  <c r="G925" i="6"/>
  <c r="P925" i="6"/>
  <c r="H925" i="6"/>
  <c r="L933" i="6"/>
  <c r="H937" i="6"/>
  <c r="R997" i="6"/>
  <c r="I935" i="6"/>
  <c r="T969" i="6"/>
  <c r="J990" i="6"/>
  <c r="L990" i="6" s="1"/>
  <c r="V997" i="6"/>
  <c r="I909" i="6"/>
  <c r="T910" i="6"/>
  <c r="R930" i="6"/>
  <c r="I938" i="6"/>
  <c r="G938" i="6"/>
  <c r="P975" i="6"/>
  <c r="S975" i="6" s="1"/>
  <c r="G975" i="6"/>
  <c r="J975" i="6" s="1"/>
  <c r="N975" i="6"/>
  <c r="P988" i="6"/>
  <c r="H988" i="6"/>
  <c r="R988" i="6"/>
  <c r="Q988" i="6"/>
  <c r="P1001" i="6"/>
  <c r="R1001" i="6"/>
  <c r="Q1001" i="6"/>
  <c r="H1001" i="6"/>
  <c r="G1001" i="6"/>
  <c r="I852" i="6"/>
  <c r="I861" i="6"/>
  <c r="G861" i="6"/>
  <c r="I870" i="6"/>
  <c r="H870" i="6"/>
  <c r="J870" i="6" s="1"/>
  <c r="Q870" i="6"/>
  <c r="S870" i="6" s="1"/>
  <c r="K886" i="6"/>
  <c r="L886" i="6" s="1"/>
  <c r="R915" i="6"/>
  <c r="P915" i="6"/>
  <c r="S915" i="6" s="1"/>
  <c r="I915" i="6"/>
  <c r="N926" i="6"/>
  <c r="V926" i="6"/>
  <c r="H926" i="6"/>
  <c r="J926" i="6" s="1"/>
  <c r="I859" i="6"/>
  <c r="I881" i="6"/>
  <c r="P891" i="6"/>
  <c r="S891" i="6" s="1"/>
  <c r="I903" i="6"/>
  <c r="S989" i="6"/>
  <c r="P1002" i="6"/>
  <c r="S1002" i="6" s="1"/>
  <c r="R1002" i="6"/>
  <c r="Q1002" i="6"/>
  <c r="G1002" i="6"/>
  <c r="P1008" i="6"/>
  <c r="I1008" i="6"/>
  <c r="H1008" i="6"/>
  <c r="G1008" i="6"/>
  <c r="J1008" i="6" s="1"/>
  <c r="R1008" i="6"/>
  <c r="N921" i="6"/>
  <c r="V921" i="6"/>
  <c r="P945" i="6"/>
  <c r="P977" i="6"/>
  <c r="S977" i="6" s="1"/>
  <c r="P985" i="6"/>
  <c r="H985" i="6"/>
  <c r="I985" i="6"/>
  <c r="R985" i="6"/>
  <c r="K989" i="6"/>
  <c r="L989" i="6" s="1"/>
  <c r="P996" i="6"/>
  <c r="S996" i="6" s="1"/>
  <c r="I996" i="6"/>
  <c r="H996" i="6"/>
  <c r="V996" i="6"/>
  <c r="H921" i="6"/>
  <c r="P933" i="6"/>
  <c r="S933" i="6" s="1"/>
  <c r="N933" i="6"/>
  <c r="P950" i="6"/>
  <c r="I950" i="6"/>
  <c r="H950" i="6"/>
  <c r="R950" i="6"/>
  <c r="P1010" i="6"/>
  <c r="R1010" i="6"/>
  <c r="N1010" i="6"/>
  <c r="I1010" i="6"/>
  <c r="V1011" i="6"/>
  <c r="U1011" i="6"/>
  <c r="N932" i="6"/>
  <c r="V932" i="6"/>
  <c r="P958" i="6"/>
  <c r="R958" i="6"/>
  <c r="Q958" i="6"/>
  <c r="K968" i="6"/>
  <c r="L968" i="6" s="1"/>
  <c r="P976" i="6"/>
  <c r="S976" i="6" s="1"/>
  <c r="V976" i="6"/>
  <c r="P984" i="6"/>
  <c r="S984" i="6" s="1"/>
  <c r="V984" i="6"/>
  <c r="G984" i="6"/>
  <c r="H992" i="6"/>
  <c r="Q996" i="6"/>
  <c r="P998" i="6"/>
  <c r="Q998" i="6"/>
  <c r="H1010" i="6"/>
  <c r="G6" i="7"/>
  <c r="B14" i="7" s="1"/>
  <c r="D14" i="7" s="1"/>
  <c r="I912" i="6"/>
  <c r="Q912" i="6"/>
  <c r="S912" i="6" s="1"/>
  <c r="G932" i="6"/>
  <c r="P937" i="6"/>
  <c r="S937" i="6" s="1"/>
  <c r="P943" i="6"/>
  <c r="G943" i="6"/>
  <c r="J943" i="6" s="1"/>
  <c r="Q943" i="6"/>
  <c r="P949" i="6"/>
  <c r="S949" i="6" s="1"/>
  <c r="H949" i="6"/>
  <c r="G949" i="6"/>
  <c r="Q949" i="6"/>
  <c r="G958" i="6"/>
  <c r="G976" i="6"/>
  <c r="J976" i="6" s="1"/>
  <c r="Q977" i="6"/>
  <c r="H984" i="6"/>
  <c r="U989" i="6"/>
  <c r="P995" i="6"/>
  <c r="S995" i="6" s="1"/>
  <c r="I995" i="6"/>
  <c r="H995" i="6"/>
  <c r="N995" i="6"/>
  <c r="G998" i="6"/>
  <c r="J998" i="6" s="1"/>
  <c r="H4" i="7"/>
  <c r="H958" i="6"/>
  <c r="P966" i="6"/>
  <c r="S966" i="6" s="1"/>
  <c r="P972" i="6"/>
  <c r="S972" i="6" s="1"/>
  <c r="I972" i="6"/>
  <c r="H972" i="6"/>
  <c r="G972" i="6"/>
  <c r="J972" i="6" s="1"/>
  <c r="R972" i="6"/>
  <c r="H976" i="6"/>
  <c r="I984" i="6"/>
  <c r="P987" i="6"/>
  <c r="S987" i="6" s="1"/>
  <c r="H998" i="6"/>
  <c r="I845" i="6"/>
  <c r="I867" i="6"/>
  <c r="G891" i="6"/>
  <c r="J891" i="6" s="1"/>
  <c r="I911" i="6"/>
  <c r="Q911" i="6"/>
  <c r="G912" i="6"/>
  <c r="Q921" i="6"/>
  <c r="S921" i="6" s="1"/>
  <c r="N931" i="6"/>
  <c r="V931" i="6"/>
  <c r="H931" i="6"/>
  <c r="I932" i="6"/>
  <c r="G937" i="6"/>
  <c r="H943" i="6"/>
  <c r="R945" i="6"/>
  <c r="I949" i="6"/>
  <c r="I958" i="6"/>
  <c r="I976" i="6"/>
  <c r="I992" i="6"/>
  <c r="G995" i="6"/>
  <c r="I998" i="6"/>
  <c r="P1003" i="6"/>
  <c r="R1003" i="6"/>
  <c r="Q1003" i="6"/>
  <c r="R921" i="6"/>
  <c r="Q950" i="6"/>
  <c r="P957" i="6"/>
  <c r="Q957" i="6"/>
  <c r="H957" i="6"/>
  <c r="P962" i="6"/>
  <c r="S962" i="6" s="1"/>
  <c r="V962" i="6"/>
  <c r="G962" i="6"/>
  <c r="J962" i="6" s="1"/>
  <c r="L962" i="6" s="1"/>
  <c r="G966" i="6"/>
  <c r="J966" i="6" s="1"/>
  <c r="P983" i="6"/>
  <c r="S983" i="6" s="1"/>
  <c r="G983" i="6"/>
  <c r="J983" i="6" s="1"/>
  <c r="G987" i="6"/>
  <c r="J987" i="6" s="1"/>
  <c r="Q1010" i="6"/>
  <c r="P973" i="6"/>
  <c r="S973" i="6" s="1"/>
  <c r="I973" i="6"/>
  <c r="H973" i="6"/>
  <c r="P986" i="6"/>
  <c r="S986" i="6" s="1"/>
  <c r="I986" i="6"/>
  <c r="P993" i="6"/>
  <c r="I993" i="6"/>
  <c r="H993" i="6"/>
  <c r="G993" i="6"/>
  <c r="J993" i="6" s="1"/>
  <c r="Q993" i="6"/>
  <c r="P1005" i="6"/>
  <c r="S1005" i="6" s="1"/>
  <c r="V1005" i="6"/>
  <c r="P1009" i="6"/>
  <c r="S1009" i="6" s="1"/>
  <c r="H8" i="7"/>
  <c r="T1005" i="6"/>
  <c r="H12" i="7"/>
  <c r="P979" i="6"/>
  <c r="Q979" i="6"/>
  <c r="N986" i="6"/>
  <c r="R993" i="6"/>
  <c r="T1004" i="6"/>
  <c r="D10" i="7"/>
  <c r="P938" i="6"/>
  <c r="S938" i="6" s="1"/>
  <c r="N947" i="6"/>
  <c r="P960" i="6"/>
  <c r="S960" i="6" s="1"/>
  <c r="N969" i="6"/>
  <c r="P982" i="6"/>
  <c r="S982" i="6" s="1"/>
  <c r="N991" i="6"/>
  <c r="P992" i="6"/>
  <c r="P946" i="6"/>
  <c r="S946" i="6" s="1"/>
  <c r="G970" i="6"/>
  <c r="J970" i="6" s="1"/>
  <c r="L970" i="6" s="1"/>
  <c r="G992" i="6"/>
  <c r="J992" i="6" s="1"/>
  <c r="M990" i="6" l="1"/>
  <c r="X990" i="6" s="1"/>
  <c r="W990" i="6"/>
  <c r="T990" i="6"/>
  <c r="M962" i="6"/>
  <c r="X962" i="6" s="1"/>
  <c r="W962" i="6"/>
  <c r="T962" i="6"/>
  <c r="W744" i="6"/>
  <c r="T744" i="6"/>
  <c r="M744" i="6"/>
  <c r="X744" i="6" s="1"/>
  <c r="L555" i="6"/>
  <c r="T532" i="6"/>
  <c r="M282" i="6"/>
  <c r="X282" i="6" s="1"/>
  <c r="W282" i="6"/>
  <c r="T282" i="6"/>
  <c r="K174" i="6"/>
  <c r="O396" i="6"/>
  <c r="V396" i="6"/>
  <c r="U396" i="6"/>
  <c r="O220" i="6"/>
  <c r="V220" i="6"/>
  <c r="U220" i="6"/>
  <c r="K253" i="6"/>
  <c r="O176" i="6"/>
  <c r="V176" i="6"/>
  <c r="U176" i="6"/>
  <c r="O235" i="6"/>
  <c r="U235" i="6"/>
  <c r="V235" i="6"/>
  <c r="J764" i="6"/>
  <c r="U472" i="6"/>
  <c r="O472" i="6"/>
  <c r="K361" i="6"/>
  <c r="L361" i="6" s="1"/>
  <c r="T361" i="6" s="1"/>
  <c r="O424" i="6"/>
  <c r="U424" i="6"/>
  <c r="V424" i="6"/>
  <c r="K70" i="6"/>
  <c r="K82" i="6"/>
  <c r="L82" i="6" s="1"/>
  <c r="T82" i="6"/>
  <c r="K541" i="6"/>
  <c r="L541" i="6" s="1"/>
  <c r="U365" i="6"/>
  <c r="O365" i="6"/>
  <c r="K378" i="6"/>
  <c r="J319" i="6"/>
  <c r="M417" i="6"/>
  <c r="X417" i="6" s="1"/>
  <c r="W417" i="6"/>
  <c r="K54" i="6"/>
  <c r="L54" i="6" s="1"/>
  <c r="T54" i="6"/>
  <c r="K605" i="6"/>
  <c r="L605" i="6" s="1"/>
  <c r="T605" i="6"/>
  <c r="O73" i="6"/>
  <c r="U73" i="6"/>
  <c r="K272" i="6"/>
  <c r="S539" i="6"/>
  <c r="S713" i="6"/>
  <c r="K476" i="6"/>
  <c r="L476" i="6" s="1"/>
  <c r="O290" i="6"/>
  <c r="U290" i="6"/>
  <c r="S378" i="6"/>
  <c r="K187" i="6"/>
  <c r="J106" i="6"/>
  <c r="K319" i="6"/>
  <c r="L319" i="6" s="1"/>
  <c r="O605" i="6"/>
  <c r="U605" i="6"/>
  <c r="J272" i="6"/>
  <c r="L240" i="6"/>
  <c r="T240" i="6" s="1"/>
  <c r="K283" i="6"/>
  <c r="L283" i="6" s="1"/>
  <c r="T283" i="6"/>
  <c r="J207" i="6"/>
  <c r="K207" i="6"/>
  <c r="L207" i="6" s="1"/>
  <c r="T207" i="6" s="1"/>
  <c r="S502" i="6"/>
  <c r="J233" i="6"/>
  <c r="K764" i="6"/>
  <c r="S361" i="6"/>
  <c r="S246" i="6"/>
  <c r="J215" i="6"/>
  <c r="J310" i="6"/>
  <c r="J476" i="6"/>
  <c r="U340" i="6"/>
  <c r="O340" i="6"/>
  <c r="J493" i="6"/>
  <c r="K40" i="6"/>
  <c r="L40" i="6" s="1"/>
  <c r="T40" i="6"/>
  <c r="W261" i="6"/>
  <c r="M261" i="6"/>
  <c r="K69" i="6"/>
  <c r="L69" i="6" s="1"/>
  <c r="T69" i="6"/>
  <c r="O88" i="6"/>
  <c r="U88" i="6"/>
  <c r="V605" i="6"/>
  <c r="W269" i="6"/>
  <c r="M269" i="6"/>
  <c r="X269" i="6" s="1"/>
  <c r="S348" i="6"/>
  <c r="S519" i="6"/>
  <c r="J860" i="6"/>
  <c r="J918" i="6"/>
  <c r="K167" i="6"/>
  <c r="V73" i="6"/>
  <c r="K315" i="6"/>
  <c r="L315" i="6" s="1"/>
  <c r="T315" i="6"/>
  <c r="S48" i="6"/>
  <c r="S68" i="6"/>
  <c r="S274" i="6"/>
  <c r="J876" i="6"/>
  <c r="J1000" i="6"/>
  <c r="K982" i="6"/>
  <c r="L982" i="6" s="1"/>
  <c r="M227" i="6"/>
  <c r="X227" i="6" s="1"/>
  <c r="W227" i="6"/>
  <c r="T227" i="6"/>
  <c r="J61" i="6"/>
  <c r="J167" i="6"/>
  <c r="V88" i="6"/>
  <c r="K166" i="6"/>
  <c r="S142" i="6"/>
  <c r="K73" i="6"/>
  <c r="J73" i="6"/>
  <c r="T89" i="6"/>
  <c r="K89" i="6"/>
  <c r="L89" i="6" s="1"/>
  <c r="S82" i="6"/>
  <c r="K14" i="6"/>
  <c r="L14" i="6" s="1"/>
  <c r="T14" i="6" s="1"/>
  <c r="S565" i="6"/>
  <c r="S559" i="6"/>
  <c r="K918" i="6"/>
  <c r="J211" i="6"/>
  <c r="J161" i="6"/>
  <c r="K88" i="6"/>
  <c r="L88" i="6" s="1"/>
  <c r="T88" i="6"/>
  <c r="K105" i="6"/>
  <c r="L105" i="6" s="1"/>
  <c r="T105" i="6"/>
  <c r="J142" i="6"/>
  <c r="J248" i="6"/>
  <c r="S42" i="6"/>
  <c r="J63" i="6"/>
  <c r="J42" i="6"/>
  <c r="S641" i="6"/>
  <c r="S74" i="6"/>
  <c r="S478" i="6"/>
  <c r="S350" i="6"/>
  <c r="S279" i="6"/>
  <c r="S594" i="6"/>
  <c r="S605" i="6"/>
  <c r="J223" i="6"/>
  <c r="J641" i="6"/>
  <c r="O94" i="6"/>
  <c r="U94" i="6"/>
  <c r="K252" i="6"/>
  <c r="L252" i="6" s="1"/>
  <c r="T252" i="6" s="1"/>
  <c r="J222" i="6"/>
  <c r="K247" i="6"/>
  <c r="L247" i="6" s="1"/>
  <c r="T247" i="6"/>
  <c r="S55" i="6"/>
  <c r="S330" i="6"/>
  <c r="S498" i="6"/>
  <c r="S285" i="6"/>
  <c r="S373" i="6"/>
  <c r="K587" i="6"/>
  <c r="K142" i="6"/>
  <c r="K483" i="6"/>
  <c r="J605" i="6"/>
  <c r="K63" i="6"/>
  <c r="K42" i="6"/>
  <c r="K35" i="6"/>
  <c r="K56" i="6"/>
  <c r="J378" i="6"/>
  <c r="S229" i="6"/>
  <c r="K222" i="6"/>
  <c r="L222" i="6" s="1"/>
  <c r="S53" i="6"/>
  <c r="S310" i="6"/>
  <c r="S544" i="6"/>
  <c r="K914" i="6"/>
  <c r="L914" i="6" s="1"/>
  <c r="T914" i="6"/>
  <c r="O591" i="6"/>
  <c r="U591" i="6"/>
  <c r="K580" i="6"/>
  <c r="L580" i="6" s="1"/>
  <c r="T580" i="6"/>
  <c r="J377" i="6"/>
  <c r="K355" i="6"/>
  <c r="K248" i="6"/>
  <c r="L248" i="6" s="1"/>
  <c r="T248" i="6"/>
  <c r="K223" i="6"/>
  <c r="L223" i="6" s="1"/>
  <c r="J47" i="6"/>
  <c r="K159" i="6"/>
  <c r="L159" i="6" s="1"/>
  <c r="T159" i="6"/>
  <c r="S419" i="6"/>
  <c r="S328" i="6"/>
  <c r="K925" i="6"/>
  <c r="L925" i="6" s="1"/>
  <c r="T925" i="6" s="1"/>
  <c r="K988" i="6"/>
  <c r="L988" i="6" s="1"/>
  <c r="T988" i="6"/>
  <c r="K591" i="6"/>
  <c r="L591" i="6" s="1"/>
  <c r="T591" i="6"/>
  <c r="K43" i="6"/>
  <c r="L43" i="6" s="1"/>
  <c r="T43" i="6"/>
  <c r="S377" i="6"/>
  <c r="K57" i="6"/>
  <c r="L57" i="6" s="1"/>
  <c r="T57" i="6"/>
  <c r="O248" i="6"/>
  <c r="U248" i="6"/>
  <c r="S363" i="6"/>
  <c r="K238" i="6"/>
  <c r="L238" i="6" s="1"/>
  <c r="J537" i="6"/>
  <c r="S447" i="6"/>
  <c r="S602" i="6"/>
  <c r="S426" i="6"/>
  <c r="S525" i="6"/>
  <c r="K787" i="6"/>
  <c r="L787" i="6" s="1"/>
  <c r="T787" i="6" s="1"/>
  <c r="K893" i="6"/>
  <c r="L893" i="6" s="1"/>
  <c r="T893" i="6"/>
  <c r="S925" i="6"/>
  <c r="S940" i="6"/>
  <c r="K489" i="6"/>
  <c r="L489" i="6" s="1"/>
  <c r="T489" i="6"/>
  <c r="K841" i="6"/>
  <c r="K726" i="6"/>
  <c r="O249" i="6"/>
  <c r="U249" i="6"/>
  <c r="V249" i="6"/>
  <c r="K788" i="6"/>
  <c r="L788" i="6" s="1"/>
  <c r="K568" i="6"/>
  <c r="L568" i="6" s="1"/>
  <c r="T568" i="6" s="1"/>
  <c r="K786" i="6"/>
  <c r="J786" i="6"/>
  <c r="J635" i="6"/>
  <c r="J427" i="6"/>
  <c r="K575" i="6"/>
  <c r="L575" i="6" s="1"/>
  <c r="T575" i="6"/>
  <c r="K499" i="6"/>
  <c r="S979" i="6"/>
  <c r="K656" i="6"/>
  <c r="L656" i="6" s="1"/>
  <c r="J937" i="6"/>
  <c r="K560" i="6"/>
  <c r="K874" i="6"/>
  <c r="L874" i="6" s="1"/>
  <c r="T874" i="6"/>
  <c r="K398" i="6"/>
  <c r="K778" i="6"/>
  <c r="L778" i="6" s="1"/>
  <c r="T778" i="6"/>
  <c r="K842" i="6"/>
  <c r="L842" i="6" s="1"/>
  <c r="T842" i="6"/>
  <c r="K616" i="6"/>
  <c r="L616" i="6" s="1"/>
  <c r="T616" i="6"/>
  <c r="J932" i="6"/>
  <c r="J783" i="6"/>
  <c r="K999" i="6"/>
  <c r="L999" i="6" s="1"/>
  <c r="J957" i="6"/>
  <c r="K377" i="6"/>
  <c r="L377" i="6" s="1"/>
  <c r="T377" i="6"/>
  <c r="K33" i="6"/>
  <c r="L33" i="6" s="1"/>
  <c r="K389" i="6"/>
  <c r="J234" i="6"/>
  <c r="S238" i="6"/>
  <c r="J68" i="6"/>
  <c r="S35" i="6"/>
  <c r="W321" i="6"/>
  <c r="M321" i="6"/>
  <c r="S96" i="6"/>
  <c r="U112" i="6"/>
  <c r="O112" i="6"/>
  <c r="V112" i="6"/>
  <c r="S34" i="6"/>
  <c r="S518" i="6"/>
  <c r="K735" i="6"/>
  <c r="L735" i="6" s="1"/>
  <c r="T735" i="6" s="1"/>
  <c r="K767" i="6"/>
  <c r="J859" i="6"/>
  <c r="K966" i="6"/>
  <c r="L966" i="6" s="1"/>
  <c r="T966" i="6"/>
  <c r="J36" i="6"/>
  <c r="O218" i="6"/>
  <c r="U218" i="6"/>
  <c r="U377" i="6"/>
  <c r="O377" i="6"/>
  <c r="K125" i="6"/>
  <c r="L125" i="6" s="1"/>
  <c r="T125" i="6" s="1"/>
  <c r="S69" i="6"/>
  <c r="K20" i="6"/>
  <c r="L20" i="6" s="1"/>
  <c r="T20" i="6"/>
  <c r="M25" i="6"/>
  <c r="X25" i="6" s="1"/>
  <c r="W25" i="6"/>
  <c r="T25" i="6"/>
  <c r="K87" i="6"/>
  <c r="L87" i="6" s="1"/>
  <c r="T87" i="6"/>
  <c r="K1002" i="6"/>
  <c r="J982" i="6"/>
  <c r="K608" i="6"/>
  <c r="L608" i="6" s="1"/>
  <c r="S14" i="6"/>
  <c r="S453" i="6"/>
  <c r="J903" i="6"/>
  <c r="S99" i="6"/>
  <c r="K36" i="6"/>
  <c r="L36" i="6" s="1"/>
  <c r="T36" i="6" s="1"/>
  <c r="W280" i="6"/>
  <c r="M280" i="6"/>
  <c r="X280" i="6" s="1"/>
  <c r="T280" i="6"/>
  <c r="K277" i="6"/>
  <c r="O234" i="6"/>
  <c r="U234" i="6"/>
  <c r="S138" i="6"/>
  <c r="J357" i="6"/>
  <c r="K194" i="6"/>
  <c r="L194" i="6" s="1"/>
  <c r="T194" i="6" s="1"/>
  <c r="K291" i="6"/>
  <c r="L291" i="6" s="1"/>
  <c r="T291" i="6" s="1"/>
  <c r="K455" i="6"/>
  <c r="L455" i="6" s="1"/>
  <c r="U277" i="6"/>
  <c r="O277" i="6"/>
  <c r="V277" i="6"/>
  <c r="O261" i="6"/>
  <c r="U261" i="6"/>
  <c r="M325" i="6"/>
  <c r="X325" i="6" s="1"/>
  <c r="W325" i="6"/>
  <c r="K32" i="6"/>
  <c r="L32" i="6" s="1"/>
  <c r="T32" i="6"/>
  <c r="K179" i="6"/>
  <c r="L179" i="6" s="1"/>
  <c r="T179" i="6" s="1"/>
  <c r="J536" i="6"/>
  <c r="J37" i="6"/>
  <c r="J225" i="6"/>
  <c r="S188" i="6"/>
  <c r="S209" i="6"/>
  <c r="O291" i="6"/>
  <c r="U291" i="6"/>
  <c r="V291" i="6"/>
  <c r="M346" i="6"/>
  <c r="X346" i="6" s="1"/>
  <c r="W346" i="6"/>
  <c r="T346" i="6"/>
  <c r="S261" i="6"/>
  <c r="K203" i="6"/>
  <c r="S108" i="6"/>
  <c r="T325" i="6"/>
  <c r="X30" i="6"/>
  <c r="K358" i="6"/>
  <c r="S601" i="6"/>
  <c r="K949" i="6"/>
  <c r="L949" i="6" s="1"/>
  <c r="M968" i="6"/>
  <c r="X968" i="6" s="1"/>
  <c r="W968" i="6"/>
  <c r="T968" i="6"/>
  <c r="K996" i="6"/>
  <c r="L996" i="6" s="1"/>
  <c r="T996" i="6"/>
  <c r="K882" i="6"/>
  <c r="O948" i="6"/>
  <c r="U948" i="6"/>
  <c r="U826" i="6"/>
  <c r="O826" i="6"/>
  <c r="O545" i="6"/>
  <c r="U545" i="6"/>
  <c r="V545" i="6"/>
  <c r="K459" i="6"/>
  <c r="L459" i="6" s="1"/>
  <c r="W528" i="6"/>
  <c r="M528" i="6"/>
  <c r="X528" i="6" s="1"/>
  <c r="U710" i="6"/>
  <c r="V710" i="6"/>
  <c r="O710" i="6"/>
  <c r="J702" i="6"/>
  <c r="K687" i="6"/>
  <c r="L687" i="6" s="1"/>
  <c r="T687" i="6"/>
  <c r="K274" i="6"/>
  <c r="L274" i="6" s="1"/>
  <c r="W989" i="6"/>
  <c r="M989" i="6"/>
  <c r="X989" i="6" s="1"/>
  <c r="J941" i="6"/>
  <c r="K783" i="6"/>
  <c r="L783" i="6" s="1"/>
  <c r="K740" i="6"/>
  <c r="L740" i="6" s="1"/>
  <c r="T740" i="6"/>
  <c r="L696" i="6"/>
  <c r="K715" i="6"/>
  <c r="L715" i="6" s="1"/>
  <c r="J563" i="6"/>
  <c r="K526" i="6"/>
  <c r="S943" i="6"/>
  <c r="S1001" i="6"/>
  <c r="K922" i="6"/>
  <c r="L922" i="6" s="1"/>
  <c r="K789" i="6"/>
  <c r="L789" i="6" s="1"/>
  <c r="O696" i="6"/>
  <c r="V696" i="6"/>
  <c r="U696" i="6"/>
  <c r="K659" i="6"/>
  <c r="L659" i="6" s="1"/>
  <c r="S542" i="6"/>
  <c r="K478" i="6"/>
  <c r="K545" i="6"/>
  <c r="L545" i="6" s="1"/>
  <c r="T545" i="6"/>
  <c r="K450" i="6"/>
  <c r="K233" i="6"/>
  <c r="L233" i="6" s="1"/>
  <c r="K609" i="6"/>
  <c r="S958" i="6"/>
  <c r="K920" i="6"/>
  <c r="L920" i="6" s="1"/>
  <c r="T920" i="6"/>
  <c r="J948" i="6"/>
  <c r="J707" i="6"/>
  <c r="S842" i="6"/>
  <c r="M409" i="6"/>
  <c r="X409" i="6" s="1"/>
  <c r="W409" i="6"/>
  <c r="T409" i="6"/>
  <c r="K514" i="6"/>
  <c r="L514" i="6" s="1"/>
  <c r="T514" i="6"/>
  <c r="K534" i="6"/>
  <c r="U764" i="6"/>
  <c r="O764" i="6"/>
  <c r="M302" i="6"/>
  <c r="X302" i="6" s="1"/>
  <c r="T302" i="6"/>
  <c r="W302" i="6"/>
  <c r="W408" i="6"/>
  <c r="M408" i="6"/>
  <c r="X408" i="6" s="1"/>
  <c r="T408" i="6"/>
  <c r="K493" i="6"/>
  <c r="L493" i="6" s="1"/>
  <c r="T493" i="6" s="1"/>
  <c r="J925" i="6"/>
  <c r="K846" i="6"/>
  <c r="L846" i="6" s="1"/>
  <c r="T846" i="6"/>
  <c r="K904" i="6"/>
  <c r="L904" i="6" s="1"/>
  <c r="T904" i="6"/>
  <c r="S948" i="6"/>
  <c r="K873" i="6"/>
  <c r="L873" i="6" s="1"/>
  <c r="T873" i="6" s="1"/>
  <c r="K761" i="6"/>
  <c r="L761" i="6" s="1"/>
  <c r="T761" i="6" s="1"/>
  <c r="K773" i="6"/>
  <c r="M638" i="6"/>
  <c r="X638" i="6" s="1"/>
  <c r="W638" i="6"/>
  <c r="T638" i="6"/>
  <c r="K522" i="6"/>
  <c r="L522" i="6" s="1"/>
  <c r="O233" i="6"/>
  <c r="U233" i="6"/>
  <c r="V233" i="6"/>
  <c r="V764" i="6"/>
  <c r="K98" i="6"/>
  <c r="L98" i="6" s="1"/>
  <c r="T98" i="6"/>
  <c r="J539" i="6"/>
  <c r="J603" i="6"/>
  <c r="O932" i="6"/>
  <c r="U932" i="6"/>
  <c r="S941" i="6"/>
  <c r="S951" i="6"/>
  <c r="K667" i="6"/>
  <c r="L667" i="6" s="1"/>
  <c r="T667" i="6"/>
  <c r="K700" i="6"/>
  <c r="L700" i="6" s="1"/>
  <c r="T700" i="6" s="1"/>
  <c r="O773" i="6"/>
  <c r="U773" i="6"/>
  <c r="K624" i="6"/>
  <c r="J616" i="6"/>
  <c r="K439" i="6"/>
  <c r="L439" i="6" s="1"/>
  <c r="T439" i="6"/>
  <c r="K583" i="6"/>
  <c r="M569" i="6"/>
  <c r="W569" i="6"/>
  <c r="S233" i="6"/>
  <c r="S764" i="6"/>
  <c r="K544" i="6"/>
  <c r="L544" i="6" s="1"/>
  <c r="T544" i="6"/>
  <c r="K573" i="6"/>
  <c r="L573" i="6" s="1"/>
  <c r="K683" i="6"/>
  <c r="L683" i="6" s="1"/>
  <c r="K959" i="6"/>
  <c r="O931" i="6"/>
  <c r="U931" i="6"/>
  <c r="S985" i="6"/>
  <c r="J935" i="6"/>
  <c r="K832" i="6"/>
  <c r="L832" i="6" s="1"/>
  <c r="T832" i="6"/>
  <c r="O878" i="6"/>
  <c r="U878" i="6"/>
  <c r="V878" i="6"/>
  <c r="K748" i="6"/>
  <c r="L748" i="6" s="1"/>
  <c r="T748" i="6" s="1"/>
  <c r="K703" i="6"/>
  <c r="U858" i="6"/>
  <c r="O858" i="6"/>
  <c r="K527" i="6"/>
  <c r="L527" i="6" s="1"/>
  <c r="T527" i="6"/>
  <c r="J514" i="6"/>
  <c r="K558" i="6"/>
  <c r="L558" i="6" s="1"/>
  <c r="J560" i="6"/>
  <c r="W451" i="6"/>
  <c r="M451" i="6"/>
  <c r="X451" i="6" s="1"/>
  <c r="K517" i="6"/>
  <c r="J174" i="6"/>
  <c r="K602" i="6"/>
  <c r="L602" i="6" s="1"/>
  <c r="J988" i="6"/>
  <c r="U926" i="6"/>
  <c r="O926" i="6"/>
  <c r="O944" i="6"/>
  <c r="U944" i="6"/>
  <c r="V944" i="6"/>
  <c r="O869" i="6"/>
  <c r="U869" i="6"/>
  <c r="V869" i="6"/>
  <c r="K695" i="6"/>
  <c r="L695" i="6" s="1"/>
  <c r="T695" i="6"/>
  <c r="U816" i="6"/>
  <c r="O816" i="6"/>
  <c r="V816" i="6"/>
  <c r="J598" i="6"/>
  <c r="K598" i="6"/>
  <c r="S700" i="6"/>
  <c r="K606" i="6"/>
  <c r="L606" i="6" s="1"/>
  <c r="K475" i="6"/>
  <c r="L475" i="6" s="1"/>
  <c r="T475" i="6"/>
  <c r="K287" i="6"/>
  <c r="L287" i="6" s="1"/>
  <c r="T287" i="6"/>
  <c r="K157" i="6"/>
  <c r="L157" i="6" s="1"/>
  <c r="T157" i="6" s="1"/>
  <c r="J157" i="6"/>
  <c r="K382" i="6"/>
  <c r="L382" i="6" s="1"/>
  <c r="T382" i="6" s="1"/>
  <c r="K155" i="6"/>
  <c r="L155" i="6" s="1"/>
  <c r="T155" i="6"/>
  <c r="K331" i="6"/>
  <c r="L331" i="6" s="1"/>
  <c r="T331" i="6"/>
  <c r="J624" i="6"/>
  <c r="K957" i="6"/>
  <c r="L957" i="6" s="1"/>
  <c r="T957" i="6"/>
  <c r="U975" i="6"/>
  <c r="O975" i="6"/>
  <c r="V975" i="6"/>
  <c r="O900" i="6"/>
  <c r="V900" i="6"/>
  <c r="U900" i="6"/>
  <c r="S828" i="6"/>
  <c r="M821" i="6"/>
  <c r="X821" i="6" s="1"/>
  <c r="W821" i="6"/>
  <c r="T821" i="6"/>
  <c r="K652" i="6"/>
  <c r="L652" i="6" s="1"/>
  <c r="T652" i="6" s="1"/>
  <c r="S215" i="6"/>
  <c r="J275" i="6"/>
  <c r="M175" i="6"/>
  <c r="X175" i="6" s="1"/>
  <c r="W175" i="6"/>
  <c r="T175" i="6"/>
  <c r="K651" i="6"/>
  <c r="L651" i="6" s="1"/>
  <c r="T651" i="6" s="1"/>
  <c r="J678" i="6"/>
  <c r="K824" i="6"/>
  <c r="L824" i="6" s="1"/>
  <c r="T824" i="6"/>
  <c r="T782" i="6"/>
  <c r="K782" i="6"/>
  <c r="L782" i="6" s="1"/>
  <c r="K905" i="6"/>
  <c r="U613" i="6"/>
  <c r="O613" i="6"/>
  <c r="K613" i="6"/>
  <c r="L613" i="6" s="1"/>
  <c r="K416" i="6"/>
  <c r="J736" i="6"/>
  <c r="K419" i="6"/>
  <c r="S564" i="6"/>
  <c r="U386" i="6"/>
  <c r="O386" i="6"/>
  <c r="O199" i="6"/>
  <c r="U199" i="6"/>
  <c r="V199" i="6"/>
  <c r="U318" i="6"/>
  <c r="O318" i="6"/>
  <c r="V318" i="6"/>
  <c r="U275" i="6"/>
  <c r="O275" i="6"/>
  <c r="K83" i="6"/>
  <c r="K749" i="6"/>
  <c r="L749" i="6" s="1"/>
  <c r="M381" i="6"/>
  <c r="X381" i="6" s="1"/>
  <c r="W381" i="6"/>
  <c r="O689" i="6"/>
  <c r="U689" i="6"/>
  <c r="V689" i="6"/>
  <c r="J544" i="6"/>
  <c r="K509" i="6"/>
  <c r="L509" i="6" s="1"/>
  <c r="T509" i="6" s="1"/>
  <c r="W512" i="6"/>
  <c r="M512" i="6"/>
  <c r="X512" i="6" s="1"/>
  <c r="T512" i="6"/>
  <c r="K406" i="6"/>
  <c r="L406" i="6" s="1"/>
  <c r="T406" i="6"/>
  <c r="T555" i="6"/>
  <c r="O408" i="6"/>
  <c r="V408" i="6"/>
  <c r="U408" i="6"/>
  <c r="J459" i="6"/>
  <c r="K736" i="6"/>
  <c r="L736" i="6" s="1"/>
  <c r="T736" i="6" s="1"/>
  <c r="U533" i="6"/>
  <c r="O533" i="6"/>
  <c r="S650" i="6"/>
  <c r="K386" i="6"/>
  <c r="J386" i="6"/>
  <c r="T129" i="6"/>
  <c r="K129" i="6"/>
  <c r="L129" i="6" s="1"/>
  <c r="V275" i="6"/>
  <c r="O367" i="6"/>
  <c r="U367" i="6"/>
  <c r="O155" i="6"/>
  <c r="U155" i="6"/>
  <c r="B1021" i="6"/>
  <c r="F6" i="8" s="1"/>
  <c r="K384" i="6"/>
  <c r="L384" i="6" s="1"/>
  <c r="J915" i="6"/>
  <c r="K810" i="6"/>
  <c r="L810" i="6" s="1"/>
  <c r="T810" i="6" s="1"/>
  <c r="S22" i="6"/>
  <c r="K995" i="6"/>
  <c r="S959" i="6"/>
  <c r="K954" i="6"/>
  <c r="L954" i="6" s="1"/>
  <c r="T954" i="6"/>
  <c r="S917" i="6"/>
  <c r="S872" i="6"/>
  <c r="K858" i="6"/>
  <c r="L858" i="6" s="1"/>
  <c r="T743" i="6"/>
  <c r="K743" i="6"/>
  <c r="L743" i="6" s="1"/>
  <c r="J812" i="6"/>
  <c r="O879" i="6"/>
  <c r="U879" i="6"/>
  <c r="S352" i="6"/>
  <c r="S210" i="6"/>
  <c r="O206" i="6"/>
  <c r="U206" i="6"/>
  <c r="K113" i="6"/>
  <c r="L113" i="6" s="1"/>
  <c r="T113" i="6"/>
  <c r="J258" i="6"/>
  <c r="K411" i="6"/>
  <c r="K539" i="6"/>
  <c r="L539" i="6" s="1"/>
  <c r="K791" i="6"/>
  <c r="L791" i="6" s="1"/>
  <c r="S79" i="6"/>
  <c r="S326" i="6"/>
  <c r="M781" i="6"/>
  <c r="X781" i="6" s="1"/>
  <c r="W781" i="6"/>
  <c r="J908" i="6"/>
  <c r="O576" i="6"/>
  <c r="U576" i="6"/>
  <c r="V576" i="6"/>
  <c r="J527" i="6"/>
  <c r="O597" i="6"/>
  <c r="U597" i="6"/>
  <c r="K209" i="6"/>
  <c r="L209" i="6" s="1"/>
  <c r="T209" i="6" s="1"/>
  <c r="K97" i="6"/>
  <c r="L97" i="6" s="1"/>
  <c r="T97" i="6"/>
  <c r="K119" i="6"/>
  <c r="L119" i="6" s="1"/>
  <c r="S132" i="6"/>
  <c r="K337" i="6"/>
  <c r="L337" i="6" s="1"/>
  <c r="T208" i="6"/>
  <c r="K208" i="6"/>
  <c r="L208" i="6" s="1"/>
  <c r="J593" i="6"/>
  <c r="T827" i="6"/>
  <c r="K827" i="6"/>
  <c r="L827" i="6" s="1"/>
  <c r="J827" i="6"/>
  <c r="K902" i="6"/>
  <c r="L902" i="6" s="1"/>
  <c r="T902" i="6" s="1"/>
  <c r="K848" i="6"/>
  <c r="S776" i="6"/>
  <c r="U785" i="6"/>
  <c r="O785" i="6"/>
  <c r="T647" i="6"/>
  <c r="S817" i="6"/>
  <c r="K415" i="6"/>
  <c r="L415" i="6" s="1"/>
  <c r="T415" i="6" s="1"/>
  <c r="S398" i="6"/>
  <c r="J455" i="6"/>
  <c r="K399" i="6"/>
  <c r="L399" i="6" s="1"/>
  <c r="O227" i="6"/>
  <c r="U227" i="6"/>
  <c r="V227" i="6"/>
  <c r="O188" i="6"/>
  <c r="U188" i="6"/>
  <c r="V188" i="6"/>
  <c r="K861" i="6"/>
  <c r="J900" i="6"/>
  <c r="J916" i="6"/>
  <c r="O774" i="6"/>
  <c r="U774" i="6"/>
  <c r="K901" i="6"/>
  <c r="K693" i="6"/>
  <c r="L693" i="6" s="1"/>
  <c r="U674" i="6"/>
  <c r="O674" i="6"/>
  <c r="K520" i="6"/>
  <c r="K474" i="6"/>
  <c r="L474" i="6" s="1"/>
  <c r="T474" i="6"/>
  <c r="V597" i="6"/>
  <c r="J432" i="6"/>
  <c r="K471" i="6"/>
  <c r="L471" i="6" s="1"/>
  <c r="T471" i="6"/>
  <c r="W506" i="6"/>
  <c r="M506" i="6"/>
  <c r="X506" i="6" s="1"/>
  <c r="K630" i="6"/>
  <c r="L630" i="6" s="1"/>
  <c r="K852" i="6"/>
  <c r="L852" i="6" s="1"/>
  <c r="T852" i="6"/>
  <c r="J820" i="6"/>
  <c r="V774" i="6"/>
  <c r="K705" i="6"/>
  <c r="L705" i="6" s="1"/>
  <c r="T705" i="6"/>
  <c r="S897" i="6"/>
  <c r="V785" i="6"/>
  <c r="K834" i="6"/>
  <c r="O752" i="6"/>
  <c r="U752" i="6"/>
  <c r="J687" i="6"/>
  <c r="S674" i="6"/>
  <c r="S686" i="6"/>
  <c r="J817" i="6"/>
  <c r="S495" i="6"/>
  <c r="W466" i="6"/>
  <c r="T466" i="6"/>
  <c r="M466" i="6"/>
  <c r="X466" i="6" s="1"/>
  <c r="K350" i="6"/>
  <c r="L350" i="6" s="1"/>
  <c r="T350" i="6"/>
  <c r="K594" i="6"/>
  <c r="K393" i="6"/>
  <c r="J594" i="6"/>
  <c r="L639" i="6"/>
  <c r="J393" i="6"/>
  <c r="T597" i="6"/>
  <c r="J286" i="6"/>
  <c r="K548" i="6"/>
  <c r="J548" i="6"/>
  <c r="K141" i="6"/>
  <c r="L141" i="6" s="1"/>
  <c r="T141" i="6"/>
  <c r="M324" i="6"/>
  <c r="X324" i="6" s="1"/>
  <c r="W324" i="6"/>
  <c r="T324" i="6"/>
  <c r="M312" i="6"/>
  <c r="X312" i="6" s="1"/>
  <c r="W312" i="6"/>
  <c r="K341" i="6"/>
  <c r="L341" i="6" s="1"/>
  <c r="K86" i="6"/>
  <c r="J86" i="6"/>
  <c r="K81" i="6"/>
  <c r="K158" i="6"/>
  <c r="L158" i="6" s="1"/>
  <c r="K93" i="6"/>
  <c r="L93" i="6" s="1"/>
  <c r="T93" i="6"/>
  <c r="K333" i="6"/>
  <c r="L333" i="6" s="1"/>
  <c r="T333" i="6" s="1"/>
  <c r="J367" i="6"/>
  <c r="S216" i="6"/>
  <c r="S291" i="6"/>
  <c r="K221" i="6"/>
  <c r="L221" i="6" s="1"/>
  <c r="T221" i="6"/>
  <c r="K99" i="6"/>
  <c r="L99" i="6" s="1"/>
  <c r="T99" i="6"/>
  <c r="K12" i="6"/>
  <c r="L12" i="6" s="1"/>
  <c r="T12" i="6" s="1"/>
  <c r="K224" i="6"/>
  <c r="L224" i="6" s="1"/>
  <c r="J203" i="6"/>
  <c r="X206" i="6"/>
  <c r="K138" i="6"/>
  <c r="L138" i="6" s="1"/>
  <c r="T138" i="6"/>
  <c r="S321" i="6"/>
  <c r="K820" i="6"/>
  <c r="L820" i="6" s="1"/>
  <c r="T820" i="6"/>
  <c r="K833" i="6"/>
  <c r="L833" i="6" s="1"/>
  <c r="T833" i="6"/>
  <c r="M983" i="6"/>
  <c r="X983" i="6" s="1"/>
  <c r="W983" i="6"/>
  <c r="T983" i="6"/>
  <c r="O219" i="6"/>
  <c r="U219" i="6"/>
  <c r="V219" i="6"/>
  <c r="K279" i="6"/>
  <c r="L279" i="6" s="1"/>
  <c r="S1000" i="6"/>
  <c r="T994" i="6"/>
  <c r="K994" i="6"/>
  <c r="L994" i="6" s="1"/>
  <c r="U849" i="6"/>
  <c r="O849" i="6"/>
  <c r="V849" i="6"/>
  <c r="K948" i="6"/>
  <c r="L948" i="6" s="1"/>
  <c r="V826" i="6"/>
  <c r="K757" i="6"/>
  <c r="S569" i="6"/>
  <c r="K603" i="6"/>
  <c r="L603" i="6" s="1"/>
  <c r="T603" i="6"/>
  <c r="W402" i="6"/>
  <c r="M402" i="6"/>
  <c r="X402" i="6" s="1"/>
  <c r="T402" i="6"/>
  <c r="S538" i="6"/>
  <c r="J587" i="6"/>
  <c r="K510" i="6"/>
  <c r="L510" i="6" s="1"/>
  <c r="T510" i="6"/>
  <c r="J100" i="6"/>
  <c r="W933" i="6"/>
  <c r="M933" i="6"/>
  <c r="X933" i="6" s="1"/>
  <c r="T933" i="6"/>
  <c r="J951" i="6"/>
  <c r="W891" i="6"/>
  <c r="M891" i="6"/>
  <c r="X891" i="6" s="1"/>
  <c r="K618" i="6"/>
  <c r="L618" i="6" s="1"/>
  <c r="T618" i="6"/>
  <c r="M304" i="6"/>
  <c r="X304" i="6" s="1"/>
  <c r="W304" i="6"/>
  <c r="T304" i="6"/>
  <c r="U986" i="6"/>
  <c r="O986" i="6"/>
  <c r="V986" i="6"/>
  <c r="K946" i="6"/>
  <c r="L946" i="6" s="1"/>
  <c r="K723" i="6"/>
  <c r="L723" i="6" s="1"/>
  <c r="J773" i="6"/>
  <c r="K284" i="6"/>
  <c r="O532" i="6"/>
  <c r="V532" i="6"/>
  <c r="U532" i="6"/>
  <c r="W661" i="6"/>
  <c r="M661" i="6"/>
  <c r="X661" i="6" s="1"/>
  <c r="J510" i="6"/>
  <c r="U448" i="6"/>
  <c r="O448" i="6"/>
  <c r="V448" i="6"/>
  <c r="K100" i="6"/>
  <c r="L100" i="6" s="1"/>
  <c r="T100" i="6" s="1"/>
  <c r="O207" i="6"/>
  <c r="U207" i="6"/>
  <c r="V207" i="6"/>
  <c r="K143" i="6"/>
  <c r="L143" i="6" s="1"/>
  <c r="T143" i="6" s="1"/>
  <c r="M344" i="6"/>
  <c r="X344" i="6" s="1"/>
  <c r="W344" i="6"/>
  <c r="K106" i="6"/>
  <c r="L106" i="6" s="1"/>
  <c r="T106" i="6"/>
  <c r="K985" i="6"/>
  <c r="K942" i="6"/>
  <c r="L942" i="6" s="1"/>
  <c r="O723" i="6"/>
  <c r="U723" i="6"/>
  <c r="V723" i="6"/>
  <c r="K734" i="6"/>
  <c r="K562" i="6"/>
  <c r="L562" i="6" s="1"/>
  <c r="T562" i="6"/>
  <c r="J410" i="6"/>
  <c r="K589" i="6"/>
  <c r="L589" i="6" s="1"/>
  <c r="T589" i="6"/>
  <c r="K859" i="6"/>
  <c r="L859" i="6" s="1"/>
  <c r="S942" i="6"/>
  <c r="K907" i="6"/>
  <c r="J907" i="6"/>
  <c r="K951" i="6"/>
  <c r="L951" i="6" s="1"/>
  <c r="T951" i="6" s="1"/>
  <c r="O786" i="6"/>
  <c r="U786" i="6"/>
  <c r="J667" i="6"/>
  <c r="J659" i="6"/>
  <c r="K657" i="6"/>
  <c r="K599" i="6"/>
  <c r="L599" i="6" s="1"/>
  <c r="T599" i="6"/>
  <c r="O618" i="6"/>
  <c r="U618" i="6"/>
  <c r="W765" i="6"/>
  <c r="M765" i="6"/>
  <c r="X765" i="6" s="1"/>
  <c r="K373" i="6"/>
  <c r="K635" i="6"/>
  <c r="O534" i="6"/>
  <c r="V534" i="6"/>
  <c r="U534" i="6"/>
  <c r="M543" i="6"/>
  <c r="X543" i="6" s="1"/>
  <c r="W543" i="6"/>
  <c r="T543" i="6"/>
  <c r="M556" i="6"/>
  <c r="X556" i="6" s="1"/>
  <c r="W556" i="6"/>
  <c r="S150" i="6"/>
  <c r="X150" i="6" s="1"/>
  <c r="K156" i="6"/>
  <c r="O493" i="6"/>
  <c r="U493" i="6"/>
  <c r="K420" i="6"/>
  <c r="L420" i="6" s="1"/>
  <c r="T420" i="6"/>
  <c r="K628" i="6"/>
  <c r="L628" i="6" s="1"/>
  <c r="T628" i="6" s="1"/>
  <c r="K671" i="6"/>
  <c r="L671" i="6" s="1"/>
  <c r="T671" i="6"/>
  <c r="K937" i="6"/>
  <c r="L937" i="6" s="1"/>
  <c r="T937" i="6"/>
  <c r="S952" i="6"/>
  <c r="K691" i="6"/>
  <c r="V618" i="6"/>
  <c r="K422" i="6"/>
  <c r="J398" i="6"/>
  <c r="K460" i="6"/>
  <c r="K293" i="6"/>
  <c r="K310" i="6"/>
  <c r="K477" i="6"/>
  <c r="K684" i="6"/>
  <c r="L684" i="6" s="1"/>
  <c r="T684" i="6"/>
  <c r="K61" i="6"/>
  <c r="B15" i="7"/>
  <c r="D15" i="7" s="1"/>
  <c r="K863" i="6"/>
  <c r="L863" i="6" s="1"/>
  <c r="T863" i="6"/>
  <c r="K1001" i="6"/>
  <c r="L1001" i="6" s="1"/>
  <c r="T1001" i="6" s="1"/>
  <c r="K171" i="6"/>
  <c r="L171" i="6" s="1"/>
  <c r="T171" i="6"/>
  <c r="S448" i="6"/>
  <c r="J477" i="6"/>
  <c r="J293" i="6"/>
  <c r="S121" i="6"/>
  <c r="W385" i="6"/>
  <c r="M385" i="6"/>
  <c r="X385" i="6" s="1"/>
  <c r="K169" i="6"/>
  <c r="K305" i="6"/>
  <c r="L305" i="6" s="1"/>
  <c r="T305" i="6" s="1"/>
  <c r="K567" i="6"/>
  <c r="J589" i="6"/>
  <c r="K912" i="6"/>
  <c r="K981" i="6"/>
  <c r="L981" i="6" s="1"/>
  <c r="T981" i="6" s="1"/>
  <c r="L829" i="6"/>
  <c r="J878" i="6"/>
  <c r="K840" i="6"/>
  <c r="L840" i="6" s="1"/>
  <c r="K614" i="6"/>
  <c r="L614" i="6" s="1"/>
  <c r="T614" i="6"/>
  <c r="S499" i="6"/>
  <c r="M590" i="6"/>
  <c r="X590" i="6" s="1"/>
  <c r="W590" i="6"/>
  <c r="T590" i="6"/>
  <c r="J555" i="6"/>
  <c r="T523" i="6"/>
  <c r="K523" i="6"/>
  <c r="L523" i="6" s="1"/>
  <c r="K259" i="6"/>
  <c r="L259" i="6" s="1"/>
  <c r="T259" i="6"/>
  <c r="J517" i="6"/>
  <c r="K213" i="6"/>
  <c r="L213" i="6" s="1"/>
  <c r="J318" i="6"/>
  <c r="K275" i="6"/>
  <c r="L275" i="6" s="1"/>
  <c r="T275" i="6"/>
  <c r="K145" i="6"/>
  <c r="L145" i="6" s="1"/>
  <c r="T145" i="6"/>
  <c r="J579" i="6"/>
  <c r="K601" i="6"/>
  <c r="J601" i="6"/>
  <c r="K1010" i="6"/>
  <c r="L1010" i="6" s="1"/>
  <c r="T1010" i="6"/>
  <c r="K944" i="6"/>
  <c r="L944" i="6" s="1"/>
  <c r="K819" i="6"/>
  <c r="S816" i="6"/>
  <c r="K812" i="6"/>
  <c r="L812" i="6" s="1"/>
  <c r="K508" i="6"/>
  <c r="K650" i="6"/>
  <c r="L650" i="6" s="1"/>
  <c r="T650" i="6" s="1"/>
  <c r="U293" i="6"/>
  <c r="O293" i="6"/>
  <c r="K318" i="6"/>
  <c r="L318" i="6" s="1"/>
  <c r="T201" i="6"/>
  <c r="K201" i="6"/>
  <c r="L201" i="6" s="1"/>
  <c r="S945" i="6"/>
  <c r="J798" i="6"/>
  <c r="K883" i="6"/>
  <c r="L883" i="6" s="1"/>
  <c r="T883" i="6" s="1"/>
  <c r="O779" i="6"/>
  <c r="U779" i="6"/>
  <c r="J722" i="6"/>
  <c r="K551" i="6"/>
  <c r="S875" i="6"/>
  <c r="U459" i="6"/>
  <c r="O459" i="6"/>
  <c r="K694" i="6"/>
  <c r="L694" i="6" s="1"/>
  <c r="T694" i="6" s="1"/>
  <c r="K429" i="6"/>
  <c r="S629" i="6"/>
  <c r="K577" i="6"/>
  <c r="J577" i="6"/>
  <c r="K123" i="6"/>
  <c r="L123" i="6" s="1"/>
  <c r="J652" i="6"/>
  <c r="L571" i="6"/>
  <c r="K68" i="6"/>
  <c r="L68" i="6" s="1"/>
  <c r="K578" i="6"/>
  <c r="L578" i="6" s="1"/>
  <c r="T578" i="6"/>
  <c r="K615" i="6"/>
  <c r="S591" i="6"/>
  <c r="K47" i="6"/>
  <c r="M214" i="6"/>
  <c r="X214" i="6" s="1"/>
  <c r="W214" i="6"/>
  <c r="T214" i="6"/>
  <c r="J82" i="6"/>
  <c r="S6" i="6"/>
  <c r="J819" i="6"/>
  <c r="S936" i="6"/>
  <c r="J792" i="6"/>
  <c r="T989" i="6"/>
  <c r="K756" i="6"/>
  <c r="L756" i="6" s="1"/>
  <c r="T756" i="6" s="1"/>
  <c r="K835" i="6"/>
  <c r="K927" i="6"/>
  <c r="L927" i="6" s="1"/>
  <c r="T927" i="6" s="1"/>
  <c r="W947" i="6"/>
  <c r="M947" i="6"/>
  <c r="X947" i="6" s="1"/>
  <c r="T947" i="6"/>
  <c r="K816" i="6"/>
  <c r="U808" i="6"/>
  <c r="O808" i="6"/>
  <c r="J787" i="6"/>
  <c r="S812" i="6"/>
  <c r="J741" i="6"/>
  <c r="K722" i="6"/>
  <c r="L722" i="6" s="1"/>
  <c r="T722" i="6"/>
  <c r="O611" i="6"/>
  <c r="U611" i="6"/>
  <c r="V611" i="6"/>
  <c r="K576" i="6"/>
  <c r="L576" i="6" s="1"/>
  <c r="T576" i="6"/>
  <c r="J875" i="6"/>
  <c r="U416" i="6"/>
  <c r="O416" i="6"/>
  <c r="S225" i="6"/>
  <c r="K351" i="6"/>
  <c r="L351" i="6" s="1"/>
  <c r="T351" i="6"/>
  <c r="K258" i="6"/>
  <c r="L258" i="6" s="1"/>
  <c r="K345" i="6"/>
  <c r="L345" i="6" s="1"/>
  <c r="T345" i="6"/>
  <c r="J69" i="6"/>
  <c r="J505" i="6"/>
  <c r="K413" i="6"/>
  <c r="K645" i="6"/>
  <c r="K729" i="6"/>
  <c r="K103" i="6"/>
  <c r="L103" i="6" s="1"/>
  <c r="T103" i="6"/>
  <c r="K412" i="6"/>
  <c r="L412" i="6" s="1"/>
  <c r="T412" i="6"/>
  <c r="K94" i="6"/>
  <c r="L94" i="6" s="1"/>
  <c r="T94" i="6" s="1"/>
  <c r="O115" i="6"/>
  <c r="U115" i="6"/>
  <c r="V115" i="6"/>
  <c r="K923" i="6"/>
  <c r="L923" i="6" s="1"/>
  <c r="T923" i="6"/>
  <c r="O865" i="6"/>
  <c r="U865" i="6"/>
  <c r="V865" i="6"/>
  <c r="J927" i="6"/>
  <c r="K980" i="6"/>
  <c r="L980" i="6" s="1"/>
  <c r="T980" i="6" s="1"/>
  <c r="K689" i="6"/>
  <c r="L689" i="6" s="1"/>
  <c r="T689" i="6"/>
  <c r="K536" i="6"/>
  <c r="L536" i="6" s="1"/>
  <c r="L597" i="6"/>
  <c r="K149" i="6"/>
  <c r="L149" i="6" s="1"/>
  <c r="T149" i="6"/>
  <c r="J184" i="6"/>
  <c r="S666" i="6"/>
  <c r="J835" i="6"/>
  <c r="K453" i="6"/>
  <c r="L453" i="6" s="1"/>
  <c r="T453" i="6" s="1"/>
  <c r="K746" i="6"/>
  <c r="K755" i="6"/>
  <c r="T987" i="6"/>
  <c r="K987" i="6"/>
  <c r="L987" i="6" s="1"/>
  <c r="O238" i="6"/>
  <c r="U238" i="6"/>
  <c r="V238" i="6"/>
  <c r="S64" i="6"/>
  <c r="S561" i="6"/>
  <c r="W970" i="6"/>
  <c r="M970" i="6"/>
  <c r="X970" i="6" s="1"/>
  <c r="T970" i="6"/>
  <c r="K911" i="6"/>
  <c r="L911" i="6" s="1"/>
  <c r="T911" i="6"/>
  <c r="J929" i="6"/>
  <c r="J768" i="6"/>
  <c r="J719" i="6"/>
  <c r="K802" i="6"/>
  <c r="J392" i="6"/>
  <c r="J415" i="6"/>
  <c r="J416" i="6"/>
  <c r="S245" i="6"/>
  <c r="O255" i="6"/>
  <c r="U255" i="6"/>
  <c r="V255" i="6"/>
  <c r="O149" i="6"/>
  <c r="U149" i="6"/>
  <c r="J352" i="6"/>
  <c r="O322" i="6"/>
  <c r="U322" i="6"/>
  <c r="S97" i="6"/>
  <c r="K340" i="6"/>
  <c r="L340" i="6" s="1"/>
  <c r="T340" i="6" s="1"/>
  <c r="M255" i="6"/>
  <c r="W255" i="6"/>
  <c r="K148" i="6"/>
  <c r="L148" i="6" s="1"/>
  <c r="W298" i="6"/>
  <c r="M298" i="6"/>
  <c r="X298" i="6" s="1"/>
  <c r="K128" i="6"/>
  <c r="L128" i="6" s="1"/>
  <c r="J355" i="6"/>
  <c r="K498" i="6"/>
  <c r="K488" i="6"/>
  <c r="L488" i="6" s="1"/>
  <c r="K579" i="6"/>
  <c r="S998" i="6"/>
  <c r="U928" i="6"/>
  <c r="O928" i="6"/>
  <c r="V808" i="6"/>
  <c r="O753" i="6"/>
  <c r="U753" i="6"/>
  <c r="V753" i="6"/>
  <c r="K733" i="6"/>
  <c r="L733" i="6" s="1"/>
  <c r="M647" i="6"/>
  <c r="X647" i="6" s="1"/>
  <c r="W647" i="6"/>
  <c r="M617" i="6"/>
  <c r="X617" i="6" s="1"/>
  <c r="W617" i="6"/>
  <c r="K554" i="6"/>
  <c r="S475" i="6"/>
  <c r="K329" i="6"/>
  <c r="L329" i="6" s="1"/>
  <c r="T329" i="6"/>
  <c r="O508" i="6"/>
  <c r="U508" i="6"/>
  <c r="S392" i="6"/>
  <c r="U650" i="6"/>
  <c r="O650" i="6"/>
  <c r="S345" i="6"/>
  <c r="M192" i="6"/>
  <c r="X192" i="6" s="1"/>
  <c r="W192" i="6"/>
  <c r="K433" i="6"/>
  <c r="L433" i="6" s="1"/>
  <c r="T433" i="6"/>
  <c r="K531" i="6"/>
  <c r="L531" i="6" s="1"/>
  <c r="T531" i="6" s="1"/>
  <c r="J610" i="6"/>
  <c r="K518" i="6"/>
  <c r="L518" i="6" s="1"/>
  <c r="T518" i="6"/>
  <c r="K685" i="6"/>
  <c r="L685" i="6" s="1"/>
  <c r="T685" i="6" s="1"/>
  <c r="S992" i="6"/>
  <c r="K839" i="6"/>
  <c r="L839" i="6" s="1"/>
  <c r="K978" i="6"/>
  <c r="L978" i="6" s="1"/>
  <c r="K864" i="6"/>
  <c r="J864" i="6"/>
  <c r="S923" i="6"/>
  <c r="K777" i="6"/>
  <c r="L777" i="6" s="1"/>
  <c r="K908" i="6"/>
  <c r="L908" i="6" s="1"/>
  <c r="T908" i="6"/>
  <c r="W637" i="6"/>
  <c r="M637" i="6"/>
  <c r="X637" i="6" s="1"/>
  <c r="T637" i="6"/>
  <c r="K660" i="6"/>
  <c r="L660" i="6" s="1"/>
  <c r="T660" i="6"/>
  <c r="J499" i="6"/>
  <c r="S517" i="6"/>
  <c r="J406" i="6"/>
  <c r="L443" i="6"/>
  <c r="O335" i="6"/>
  <c r="U335" i="6"/>
  <c r="V335" i="6"/>
  <c r="K118" i="6"/>
  <c r="L118" i="6" s="1"/>
  <c r="T118" i="6"/>
  <c r="O407" i="6"/>
  <c r="V407" i="6"/>
  <c r="U407" i="6"/>
  <c r="K182" i="6"/>
  <c r="L182" i="6" s="1"/>
  <c r="T182" i="6" s="1"/>
  <c r="K491" i="6"/>
  <c r="L491" i="6" s="1"/>
  <c r="T491" i="6" s="1"/>
  <c r="W196" i="6"/>
  <c r="M196" i="6"/>
  <c r="X196" i="6" s="1"/>
  <c r="K524" i="6"/>
  <c r="K646" i="6"/>
  <c r="K720" i="6"/>
  <c r="L720" i="6" s="1"/>
  <c r="T720" i="6"/>
  <c r="K909" i="6"/>
  <c r="J978" i="6"/>
  <c r="K943" i="6"/>
  <c r="L943" i="6" s="1"/>
  <c r="T943" i="6"/>
  <c r="M784" i="6"/>
  <c r="X784" i="6" s="1"/>
  <c r="W784" i="6"/>
  <c r="T784" i="6"/>
  <c r="K1006" i="6"/>
  <c r="S777" i="6"/>
  <c r="S825" i="6"/>
  <c r="S901" i="6"/>
  <c r="U802" i="6"/>
  <c r="O802" i="6"/>
  <c r="J737" i="6"/>
  <c r="K675" i="6"/>
  <c r="J429" i="6"/>
  <c r="S597" i="6"/>
  <c r="J829" i="6"/>
  <c r="T456" i="6"/>
  <c r="K456" i="6"/>
  <c r="L456" i="6" s="1"/>
  <c r="M553" i="6"/>
  <c r="X553" i="6" s="1"/>
  <c r="W553" i="6"/>
  <c r="T553" i="6"/>
  <c r="O374" i="6"/>
  <c r="V374" i="6"/>
  <c r="U374" i="6"/>
  <c r="O192" i="6"/>
  <c r="V192" i="6"/>
  <c r="U192" i="6"/>
  <c r="W511" i="6"/>
  <c r="M511" i="6"/>
  <c r="X511" i="6" s="1"/>
  <c r="S335" i="6"/>
  <c r="K496" i="6"/>
  <c r="U114" i="6"/>
  <c r="O114" i="6"/>
  <c r="K432" i="6"/>
  <c r="J691" i="6"/>
  <c r="K805" i="6"/>
  <c r="L805" i="6" s="1"/>
  <c r="J896" i="6"/>
  <c r="J913" i="6"/>
  <c r="J825" i="6"/>
  <c r="J703" i="6"/>
  <c r="J734" i="6"/>
  <c r="S620" i="6"/>
  <c r="S802" i="6"/>
  <c r="K737" i="6"/>
  <c r="K688" i="6"/>
  <c r="L688" i="6" s="1"/>
  <c r="S578" i="6"/>
  <c r="K519" i="6"/>
  <c r="L519" i="6" s="1"/>
  <c r="T519" i="6" s="1"/>
  <c r="J568" i="6"/>
  <c r="O471" i="6"/>
  <c r="U471" i="6"/>
  <c r="J508" i="6"/>
  <c r="T511" i="6"/>
  <c r="S232" i="6"/>
  <c r="S264" i="6"/>
  <c r="L353" i="6"/>
  <c r="T353" i="6" s="1"/>
  <c r="O209" i="6"/>
  <c r="U209" i="6"/>
  <c r="V209" i="6"/>
  <c r="O134" i="6"/>
  <c r="U134" i="6"/>
  <c r="S109" i="6"/>
  <c r="W889" i="6"/>
  <c r="M889" i="6"/>
  <c r="X889" i="6" s="1"/>
  <c r="T889" i="6"/>
  <c r="S716" i="6"/>
  <c r="W795" i="6"/>
  <c r="M795" i="6"/>
  <c r="X795" i="6" s="1"/>
  <c r="T795" i="6"/>
  <c r="K752" i="6"/>
  <c r="L752" i="6" s="1"/>
  <c r="K704" i="6"/>
  <c r="L704" i="6" s="1"/>
  <c r="T704" i="6"/>
  <c r="K492" i="6"/>
  <c r="L492" i="6" s="1"/>
  <c r="K404" i="6"/>
  <c r="L404" i="6" s="1"/>
  <c r="T404" i="6"/>
  <c r="O241" i="6"/>
  <c r="V241" i="6"/>
  <c r="U241" i="6"/>
  <c r="K396" i="6"/>
  <c r="S463" i="6"/>
  <c r="K894" i="6"/>
  <c r="L894" i="6" s="1"/>
  <c r="T894" i="6"/>
  <c r="J1001" i="6"/>
  <c r="S978" i="6"/>
  <c r="K955" i="6"/>
  <c r="L955" i="6" s="1"/>
  <c r="S974" i="6"/>
  <c r="S965" i="6"/>
  <c r="K760" i="6"/>
  <c r="J760" i="6"/>
  <c r="S855" i="6"/>
  <c r="J1006" i="6"/>
  <c r="K774" i="6"/>
  <c r="J774" i="6"/>
  <c r="J897" i="6"/>
  <c r="K785" i="6"/>
  <c r="L785" i="6" s="1"/>
  <c r="T785" i="6" s="1"/>
  <c r="S702" i="6"/>
  <c r="S643" i="6"/>
  <c r="J739" i="6"/>
  <c r="S734" i="6"/>
  <c r="S752" i="6"/>
  <c r="K750" i="6"/>
  <c r="L750" i="6" s="1"/>
  <c r="T750" i="6"/>
  <c r="J607" i="6"/>
  <c r="K780" i="6"/>
  <c r="S687" i="6"/>
  <c r="J676" i="6"/>
  <c r="J842" i="6"/>
  <c r="V674" i="6"/>
  <c r="L717" i="6"/>
  <c r="J554" i="6"/>
  <c r="J348" i="6"/>
  <c r="K485" i="6"/>
  <c r="L485" i="6" s="1"/>
  <c r="J413" i="6"/>
  <c r="T538" i="6"/>
  <c r="K538" i="6"/>
  <c r="L538" i="6" s="1"/>
  <c r="V471" i="6"/>
  <c r="O230" i="6"/>
  <c r="V230" i="6"/>
  <c r="U230" i="6"/>
  <c r="K286" i="6"/>
  <c r="K400" i="6"/>
  <c r="K111" i="6"/>
  <c r="J625" i="6"/>
  <c r="U283" i="6"/>
  <c r="O283" i="6"/>
  <c r="V283" i="6"/>
  <c r="K364" i="6"/>
  <c r="L364" i="6" s="1"/>
  <c r="T364" i="6" s="1"/>
  <c r="O177" i="6"/>
  <c r="V177" i="6"/>
  <c r="U177" i="6"/>
  <c r="K424" i="6"/>
  <c r="L424" i="6" s="1"/>
  <c r="T424" i="6" s="1"/>
  <c r="J76" i="6"/>
  <c r="K323" i="6"/>
  <c r="L323" i="6" s="1"/>
  <c r="T323" i="6"/>
  <c r="K290" i="6"/>
  <c r="L290" i="6" s="1"/>
  <c r="T290" i="6"/>
  <c r="K423" i="6"/>
  <c r="L423" i="6" s="1"/>
  <c r="O333" i="6"/>
  <c r="U333" i="6"/>
  <c r="K365" i="6"/>
  <c r="J365" i="6"/>
  <c r="K109" i="6"/>
  <c r="L109" i="6" s="1"/>
  <c r="S205" i="6"/>
  <c r="J221" i="6"/>
  <c r="K552" i="6"/>
  <c r="L552" i="6" s="1"/>
  <c r="J277" i="6"/>
  <c r="K26" i="6"/>
  <c r="L26" i="6" s="1"/>
  <c r="T26" i="6"/>
  <c r="O272" i="6"/>
  <c r="U272" i="6"/>
  <c r="K15" i="6"/>
  <c r="L15" i="6" s="1"/>
  <c r="T15" i="6"/>
  <c r="U102" i="6"/>
  <c r="O102" i="6"/>
  <c r="V102" i="6"/>
  <c r="K702" i="6"/>
  <c r="K607" i="6"/>
  <c r="L607" i="6" s="1"/>
  <c r="T607" i="6"/>
  <c r="J877" i="6"/>
  <c r="K542" i="6"/>
  <c r="L542" i="6" s="1"/>
  <c r="T542" i="6"/>
  <c r="O381" i="6"/>
  <c r="U381" i="6"/>
  <c r="V381" i="6"/>
  <c r="K941" i="6"/>
  <c r="L941" i="6" s="1"/>
  <c r="T941" i="6" s="1"/>
  <c r="K897" i="6"/>
  <c r="T681" i="6"/>
  <c r="K681" i="6"/>
  <c r="L681" i="6" s="1"/>
  <c r="O842" i="6"/>
  <c r="U842" i="6"/>
  <c r="K306" i="6"/>
  <c r="L306" i="6" s="1"/>
  <c r="K427" i="6"/>
  <c r="L427" i="6" s="1"/>
  <c r="T427" i="6"/>
  <c r="M668" i="6"/>
  <c r="X668" i="6" s="1"/>
  <c r="W668" i="6"/>
  <c r="T668" i="6"/>
  <c r="K330" i="6"/>
  <c r="K359" i="6"/>
  <c r="L359" i="6" s="1"/>
  <c r="T359" i="6"/>
  <c r="K972" i="6"/>
  <c r="L972" i="6" s="1"/>
  <c r="K903" i="6"/>
  <c r="L903" i="6" s="1"/>
  <c r="T903" i="6" s="1"/>
  <c r="L926" i="6"/>
  <c r="J898" i="6"/>
  <c r="W648" i="6"/>
  <c r="M648" i="6"/>
  <c r="X648" i="6" s="1"/>
  <c r="K444" i="6"/>
  <c r="J444" i="6"/>
  <c r="S587" i="6"/>
  <c r="K458" i="6"/>
  <c r="L458" i="6" s="1"/>
  <c r="T458" i="6"/>
  <c r="K1007" i="6"/>
  <c r="L1007" i="6" s="1"/>
  <c r="T891" i="6"/>
  <c r="V948" i="6"/>
  <c r="S618" i="6"/>
  <c r="U458" i="6"/>
  <c r="O458" i="6"/>
  <c r="K516" i="6"/>
  <c r="L516" i="6" s="1"/>
  <c r="T516" i="6" s="1"/>
  <c r="K85" i="6"/>
  <c r="L85" i="6" s="1"/>
  <c r="T85" i="6" s="1"/>
  <c r="K334" i="6"/>
  <c r="L334" i="6" s="1"/>
  <c r="T334" i="6"/>
  <c r="K932" i="6"/>
  <c r="T881" i="6"/>
  <c r="K881" i="6"/>
  <c r="L881" i="6" s="1"/>
  <c r="J618" i="6"/>
  <c r="O542" i="6"/>
  <c r="U542" i="6"/>
  <c r="J532" i="6"/>
  <c r="K532" i="6"/>
  <c r="L532" i="6" s="1"/>
  <c r="O450" i="6"/>
  <c r="U450" i="6"/>
  <c r="M612" i="6"/>
  <c r="X612" i="6" s="1"/>
  <c r="W612" i="6"/>
  <c r="O380" i="6"/>
  <c r="U380" i="6"/>
  <c r="V380" i="6"/>
  <c r="O150" i="6"/>
  <c r="V150" i="6"/>
  <c r="U150" i="6"/>
  <c r="K673" i="6"/>
  <c r="J450" i="6"/>
  <c r="K184" i="6"/>
  <c r="L184" i="6" s="1"/>
  <c r="T931" i="6"/>
  <c r="K931" i="6"/>
  <c r="L931" i="6" s="1"/>
  <c r="J931" i="6"/>
  <c r="K934" i="6"/>
  <c r="L934" i="6" s="1"/>
  <c r="J882" i="6"/>
  <c r="K713" i="6"/>
  <c r="L713" i="6" s="1"/>
  <c r="T713" i="6"/>
  <c r="O697" i="6"/>
  <c r="U697" i="6"/>
  <c r="K619" i="6"/>
  <c r="L619" i="6" s="1"/>
  <c r="K728" i="6"/>
  <c r="K446" i="6"/>
  <c r="L446" i="6" s="1"/>
  <c r="T446" i="6"/>
  <c r="S202" i="6"/>
  <c r="M260" i="6"/>
  <c r="W260" i="6"/>
  <c r="T260" i="6"/>
  <c r="J358" i="6"/>
  <c r="O83" i="6"/>
  <c r="U83" i="6"/>
  <c r="T461" i="6"/>
  <c r="K461" i="6"/>
  <c r="L461" i="6" s="1"/>
  <c r="K936" i="6"/>
  <c r="L936" i="6" s="1"/>
  <c r="T936" i="6"/>
  <c r="S707" i="6"/>
  <c r="K772" i="6"/>
  <c r="L772" i="6" s="1"/>
  <c r="T772" i="6"/>
  <c r="V786" i="6"/>
  <c r="K741" i="6"/>
  <c r="T765" i="6"/>
  <c r="O522" i="6"/>
  <c r="U522" i="6"/>
  <c r="V522" i="6"/>
  <c r="K440" i="6"/>
  <c r="L440" i="6" s="1"/>
  <c r="T440" i="6"/>
  <c r="S442" i="6"/>
  <c r="K357" i="6"/>
  <c r="K124" i="6"/>
  <c r="L124" i="6" s="1"/>
  <c r="O156" i="6"/>
  <c r="U156" i="6"/>
  <c r="V156" i="6"/>
  <c r="B1022" i="6"/>
  <c r="G7" i="8" s="1"/>
  <c r="K163" i="6"/>
  <c r="K504" i="6"/>
  <c r="L504" i="6" s="1"/>
  <c r="T504" i="6"/>
  <c r="K211" i="6"/>
  <c r="K917" i="6"/>
  <c r="L917" i="6" s="1"/>
  <c r="T917" i="6"/>
  <c r="U700" i="6"/>
  <c r="O700" i="6"/>
  <c r="J657" i="6"/>
  <c r="U556" i="6"/>
  <c r="O556" i="6"/>
  <c r="V556" i="6"/>
  <c r="K714" i="6"/>
  <c r="L714" i="6" s="1"/>
  <c r="T714" i="6"/>
  <c r="J460" i="6"/>
  <c r="O256" i="6"/>
  <c r="U256" i="6"/>
  <c r="K215" i="6"/>
  <c r="K771" i="6"/>
  <c r="K1000" i="6"/>
  <c r="L1000" i="6" s="1"/>
  <c r="T1000" i="6" s="1"/>
  <c r="S988" i="6"/>
  <c r="K792" i="6"/>
  <c r="O765" i="6"/>
  <c r="U765" i="6"/>
  <c r="O722" i="6"/>
  <c r="U722" i="6"/>
  <c r="V773" i="6"/>
  <c r="U419" i="6"/>
  <c r="O419" i="6"/>
  <c r="K301" i="6"/>
  <c r="L301" i="6" s="1"/>
  <c r="T301" i="6"/>
  <c r="O171" i="6"/>
  <c r="U171" i="6"/>
  <c r="B1037" i="6"/>
  <c r="V22" i="8" s="1"/>
  <c r="T672" i="6"/>
  <c r="K672" i="6"/>
  <c r="L672" i="6" s="1"/>
  <c r="O995" i="6"/>
  <c r="U995" i="6"/>
  <c r="K915" i="6"/>
  <c r="T528" i="6"/>
  <c r="O259" i="6"/>
  <c r="U259" i="6"/>
  <c r="O157" i="6"/>
  <c r="V157" i="6"/>
  <c r="U157" i="6"/>
  <c r="B1023" i="6"/>
  <c r="H8" i="8" s="1"/>
  <c r="U577" i="6"/>
  <c r="O577" i="6"/>
  <c r="O213" i="6"/>
  <c r="U213" i="6"/>
  <c r="V213" i="6"/>
  <c r="S608" i="6"/>
  <c r="S113" i="6"/>
  <c r="U128" i="6"/>
  <c r="V128" i="6"/>
  <c r="O128" i="6"/>
  <c r="V83" i="6"/>
  <c r="K180" i="6"/>
  <c r="J573" i="6"/>
  <c r="K678" i="6"/>
  <c r="V995" i="6"/>
  <c r="J1010" i="6"/>
  <c r="O1010" i="6"/>
  <c r="V1010" i="6"/>
  <c r="U1010" i="6"/>
  <c r="K878" i="6"/>
  <c r="L878" i="6" s="1"/>
  <c r="T878" i="6"/>
  <c r="J816" i="6"/>
  <c r="K709" i="6"/>
  <c r="L709" i="6" s="1"/>
  <c r="J645" i="6"/>
  <c r="S555" i="6"/>
  <c r="J534" i="6"/>
  <c r="S583" i="6"/>
  <c r="W228" i="6"/>
  <c r="M228" i="6"/>
  <c r="X228" i="6" s="1"/>
  <c r="M164" i="6"/>
  <c r="X164" i="6" s="1"/>
  <c r="W164" i="6"/>
  <c r="K447" i="6"/>
  <c r="O382" i="6"/>
  <c r="U382" i="6"/>
  <c r="K230" i="6"/>
  <c r="K153" i="6"/>
  <c r="K707" i="6"/>
  <c r="K916" i="6"/>
  <c r="K930" i="6"/>
  <c r="L930" i="6" s="1"/>
  <c r="S957" i="6"/>
  <c r="J912" i="6"/>
  <c r="J583" i="6"/>
  <c r="V577" i="6"/>
  <c r="T228" i="6"/>
  <c r="J230" i="6"/>
  <c r="J489" i="6"/>
  <c r="K754" i="6"/>
  <c r="J767" i="6"/>
  <c r="J1003" i="6"/>
  <c r="S287" i="6"/>
  <c r="S299" i="6"/>
  <c r="S1010" i="6"/>
  <c r="O921" i="6"/>
  <c r="U921" i="6"/>
  <c r="S981" i="6"/>
  <c r="U805" i="6"/>
  <c r="O805" i="6"/>
  <c r="V805" i="6"/>
  <c r="K900" i="6"/>
  <c r="L900" i="6" s="1"/>
  <c r="T900" i="6"/>
  <c r="K887" i="6"/>
  <c r="L887" i="6" s="1"/>
  <c r="T887" i="6"/>
  <c r="K808" i="6"/>
  <c r="L808" i="6" s="1"/>
  <c r="T808" i="6" s="1"/>
  <c r="K623" i="6"/>
  <c r="L623" i="6" s="1"/>
  <c r="T623" i="6" s="1"/>
  <c r="J576" i="6"/>
  <c r="K481" i="6"/>
  <c r="J334" i="6"/>
  <c r="O214" i="6"/>
  <c r="V214" i="6"/>
  <c r="U214" i="6"/>
  <c r="K154" i="6"/>
  <c r="L154" i="6" s="1"/>
  <c r="J650" i="6"/>
  <c r="S266" i="6"/>
  <c r="V386" i="6"/>
  <c r="K367" i="6"/>
  <c r="L367" i="6" s="1"/>
  <c r="T367" i="6" s="1"/>
  <c r="S155" i="6"/>
  <c r="K426" i="6"/>
  <c r="L426" i="6" s="1"/>
  <c r="T426" i="6"/>
  <c r="J644" i="6"/>
  <c r="K234" i="6"/>
  <c r="L234" i="6" s="1"/>
  <c r="S222" i="6"/>
  <c r="U954" i="6"/>
  <c r="O954" i="6"/>
  <c r="S927" i="6"/>
  <c r="K763" i="6"/>
  <c r="L763" i="6" s="1"/>
  <c r="U745" i="6"/>
  <c r="O745" i="6"/>
  <c r="V745" i="6"/>
  <c r="J714" i="6"/>
  <c r="K665" i="6"/>
  <c r="L665" i="6" s="1"/>
  <c r="V879" i="6"/>
  <c r="K680" i="6"/>
  <c r="K525" i="6"/>
  <c r="L525" i="6" s="1"/>
  <c r="T525" i="6"/>
  <c r="J567" i="6"/>
  <c r="U634" i="6"/>
  <c r="O634" i="6"/>
  <c r="K484" i="6"/>
  <c r="L484" i="6" s="1"/>
  <c r="T484" i="6"/>
  <c r="S153" i="6"/>
  <c r="O406" i="6"/>
  <c r="V406" i="6"/>
  <c r="U406" i="6"/>
  <c r="K285" i="6"/>
  <c r="L285" i="6" s="1"/>
  <c r="T285" i="6"/>
  <c r="O154" i="6"/>
  <c r="V154" i="6"/>
  <c r="U154" i="6"/>
  <c r="B1020" i="6"/>
  <c r="E5" i="8" s="1"/>
  <c r="S206" i="6"/>
  <c r="S119" i="6"/>
  <c r="O345" i="6"/>
  <c r="U345" i="6"/>
  <c r="V345" i="6"/>
  <c r="S411" i="6"/>
  <c r="T255" i="6"/>
  <c r="V367" i="6"/>
  <c r="K505" i="6"/>
  <c r="L505" i="6" s="1"/>
  <c r="T505" i="6"/>
  <c r="K593" i="6"/>
  <c r="L593" i="6" s="1"/>
  <c r="O974" i="6"/>
  <c r="U974" i="6"/>
  <c r="J923" i="6"/>
  <c r="J952" i="6"/>
  <c r="K856" i="6"/>
  <c r="L856" i="6" s="1"/>
  <c r="K814" i="6"/>
  <c r="L814" i="6" s="1"/>
  <c r="T814" i="6"/>
  <c r="T727" i="6"/>
  <c r="K727" i="6"/>
  <c r="L727" i="6" s="1"/>
  <c r="O626" i="6"/>
  <c r="U626" i="6"/>
  <c r="K677" i="6"/>
  <c r="K430" i="6"/>
  <c r="L430" i="6" s="1"/>
  <c r="T430" i="6"/>
  <c r="O550" i="6"/>
  <c r="U550" i="6"/>
  <c r="K463" i="6"/>
  <c r="L463" i="6" s="1"/>
  <c r="T463" i="6"/>
  <c r="V533" i="6"/>
  <c r="T556" i="6"/>
  <c r="S255" i="6"/>
  <c r="K352" i="6"/>
  <c r="L352" i="6" s="1"/>
  <c r="T352" i="6" s="1"/>
  <c r="K666" i="6"/>
  <c r="L666" i="6" s="1"/>
  <c r="T666" i="6"/>
  <c r="J447" i="6"/>
  <c r="M219" i="6"/>
  <c r="X219" i="6" s="1"/>
  <c r="T219" i="6"/>
  <c r="W219" i="6"/>
  <c r="S148" i="6"/>
  <c r="K140" i="6"/>
  <c r="K64" i="6"/>
  <c r="L64" i="6" s="1"/>
  <c r="T64" i="6" s="1"/>
  <c r="K435" i="6"/>
  <c r="L435" i="6" s="1"/>
  <c r="T435" i="6"/>
  <c r="S954" i="6"/>
  <c r="K971" i="6"/>
  <c r="L971" i="6" s="1"/>
  <c r="T971" i="6" s="1"/>
  <c r="K769" i="6"/>
  <c r="L769" i="6" s="1"/>
  <c r="T769" i="6"/>
  <c r="J746" i="6"/>
  <c r="J802" i="6"/>
  <c r="J742" i="6"/>
  <c r="L742" i="6" s="1"/>
  <c r="J696" i="6"/>
  <c r="J689" i="6"/>
  <c r="K640" i="6"/>
  <c r="L640" i="6" s="1"/>
  <c r="T640" i="6"/>
  <c r="O527" i="6"/>
  <c r="U527" i="6"/>
  <c r="V527" i="6"/>
  <c r="W800" i="6"/>
  <c r="M800" i="6"/>
  <c r="X800" i="6" s="1"/>
  <c r="K875" i="6"/>
  <c r="K397" i="6"/>
  <c r="L397" i="6" s="1"/>
  <c r="S263" i="6"/>
  <c r="J217" i="6"/>
  <c r="L217" i="6" s="1"/>
  <c r="V650" i="6"/>
  <c r="K322" i="6"/>
  <c r="L322" i="6" s="1"/>
  <c r="T322" i="6"/>
  <c r="K264" i="6"/>
  <c r="L264" i="6" s="1"/>
  <c r="T264" i="6" s="1"/>
  <c r="U423" i="6"/>
  <c r="O423" i="6"/>
  <c r="J331" i="6"/>
  <c r="J337" i="6"/>
  <c r="J180" i="6"/>
  <c r="J153" i="6"/>
  <c r="K421" i="6"/>
  <c r="J615" i="6"/>
  <c r="K692" i="6"/>
  <c r="L692" i="6" s="1"/>
  <c r="K977" i="6"/>
  <c r="U991" i="6"/>
  <c r="V991" i="6"/>
  <c r="O991" i="6"/>
  <c r="K830" i="6"/>
  <c r="L830" i="6" s="1"/>
  <c r="J855" i="6"/>
  <c r="K865" i="6"/>
  <c r="L865" i="6" s="1"/>
  <c r="T865" i="6" s="1"/>
  <c r="O927" i="6"/>
  <c r="U927" i="6"/>
  <c r="S913" i="6"/>
  <c r="J911" i="6"/>
  <c r="K716" i="6"/>
  <c r="L716" i="6" s="1"/>
  <c r="V626" i="6"/>
  <c r="K879" i="6"/>
  <c r="L879" i="6" s="1"/>
  <c r="K561" i="6"/>
  <c r="U660" i="6"/>
  <c r="O660" i="6"/>
  <c r="U554" i="6"/>
  <c r="O554" i="6"/>
  <c r="K582" i="6"/>
  <c r="S527" i="6"/>
  <c r="O312" i="6"/>
  <c r="V312" i="6"/>
  <c r="U312" i="6"/>
  <c r="K237" i="6"/>
  <c r="L237" i="6" s="1"/>
  <c r="T237" i="6"/>
  <c r="V322" i="6"/>
  <c r="M975" i="6"/>
  <c r="X975" i="6" s="1"/>
  <c r="W975" i="6"/>
  <c r="O923" i="6"/>
  <c r="U923" i="6"/>
  <c r="J733" i="6"/>
  <c r="K724" i="6"/>
  <c r="L724" i="6" s="1"/>
  <c r="U739" i="6"/>
  <c r="O739" i="6"/>
  <c r="J561" i="6"/>
  <c r="K676" i="6"/>
  <c r="K596" i="6"/>
  <c r="J597" i="6"/>
  <c r="S364" i="6"/>
  <c r="S182" i="6"/>
  <c r="J87" i="6"/>
  <c r="K76" i="6"/>
  <c r="L76" i="6" s="1"/>
  <c r="T76" i="6"/>
  <c r="K924" i="6"/>
  <c r="L924" i="6" s="1"/>
  <c r="T924" i="6" s="1"/>
  <c r="K768" i="6"/>
  <c r="K896" i="6"/>
  <c r="L896" i="6" s="1"/>
  <c r="T896" i="6"/>
  <c r="J724" i="6"/>
  <c r="K825" i="6"/>
  <c r="L825" i="6" s="1"/>
  <c r="K686" i="6"/>
  <c r="S580" i="6"/>
  <c r="J578" i="6"/>
  <c r="K550" i="6"/>
  <c r="L550" i="6" s="1"/>
  <c r="T550" i="6"/>
  <c r="S265" i="6"/>
  <c r="S237" i="6"/>
  <c r="S227" i="6"/>
  <c r="K144" i="6"/>
  <c r="L144" i="6" s="1"/>
  <c r="K974" i="6"/>
  <c r="L974" i="6" s="1"/>
  <c r="T974" i="6"/>
  <c r="U994" i="6"/>
  <c r="O994" i="6"/>
  <c r="J971" i="6"/>
  <c r="J996" i="6"/>
  <c r="K935" i="6"/>
  <c r="U955" i="6"/>
  <c r="O955" i="6"/>
  <c r="V955" i="6"/>
  <c r="J994" i="6"/>
  <c r="S904" i="6"/>
  <c r="K967" i="6"/>
  <c r="L967" i="6" s="1"/>
  <c r="T967" i="6"/>
  <c r="S971" i="6"/>
  <c r="K855" i="6"/>
  <c r="K929" i="6"/>
  <c r="K803" i="6"/>
  <c r="L803" i="6" s="1"/>
  <c r="J811" i="6"/>
  <c r="S833" i="6"/>
  <c r="K710" i="6"/>
  <c r="J710" i="6"/>
  <c r="J716" i="6"/>
  <c r="K739" i="6"/>
  <c r="O800" i="6"/>
  <c r="U800" i="6"/>
  <c r="O680" i="6"/>
  <c r="V680" i="6"/>
  <c r="U680" i="6"/>
  <c r="J681" i="6"/>
  <c r="S780" i="6"/>
  <c r="K674" i="6"/>
  <c r="L674" i="6" s="1"/>
  <c r="T674" i="6" s="1"/>
  <c r="J686" i="6"/>
  <c r="K817" i="6"/>
  <c r="J609" i="6"/>
  <c r="U461" i="6"/>
  <c r="O461" i="6"/>
  <c r="K328" i="6"/>
  <c r="L328" i="6" s="1"/>
  <c r="S485" i="6"/>
  <c r="S663" i="6"/>
  <c r="J526" i="6"/>
  <c r="J420" i="6"/>
  <c r="S230" i="6"/>
  <c r="J475" i="6"/>
  <c r="J384" i="6"/>
  <c r="K418" i="6"/>
  <c r="L418" i="6" s="1"/>
  <c r="T418" i="6"/>
  <c r="K533" i="6"/>
  <c r="L533" i="6" s="1"/>
  <c r="T533" i="6" s="1"/>
  <c r="S194" i="6"/>
  <c r="T220" i="6"/>
  <c r="K220" i="6"/>
  <c r="L220" i="6" s="1"/>
  <c r="J130" i="6"/>
  <c r="O217" i="6"/>
  <c r="U217" i="6"/>
  <c r="O107" i="6"/>
  <c r="U107" i="6"/>
  <c r="S283" i="6"/>
  <c r="K502" i="6"/>
  <c r="K268" i="6"/>
  <c r="L268" i="6" s="1"/>
  <c r="T268" i="6"/>
  <c r="T176" i="6"/>
  <c r="K176" i="6"/>
  <c r="L176" i="6" s="1"/>
  <c r="K120" i="6"/>
  <c r="K472" i="6"/>
  <c r="L472" i="6" s="1"/>
  <c r="T472" i="6" s="1"/>
  <c r="J361" i="6"/>
  <c r="S177" i="6"/>
  <c r="U323" i="6"/>
  <c r="O323" i="6"/>
  <c r="K134" i="6"/>
  <c r="L134" i="6" s="1"/>
  <c r="T134" i="6" s="1"/>
  <c r="O491" i="6"/>
  <c r="U491" i="6"/>
  <c r="V290" i="6"/>
  <c r="J541" i="6"/>
  <c r="V365" i="6"/>
  <c r="J187" i="6"/>
  <c r="J274" i="6"/>
  <c r="M289" i="6"/>
  <c r="W289" i="6"/>
  <c r="T289" i="6"/>
  <c r="K48" i="6"/>
  <c r="S292" i="6"/>
  <c r="M177" i="6"/>
  <c r="X177" i="6" s="1"/>
  <c r="W177" i="6"/>
  <c r="T177" i="6"/>
  <c r="S289" i="6"/>
  <c r="T417" i="6"/>
  <c r="K204" i="6"/>
  <c r="L204" i="6" s="1"/>
  <c r="T204" i="6"/>
  <c r="S189" i="6"/>
  <c r="K317" i="6"/>
  <c r="L317" i="6" s="1"/>
  <c r="K91" i="6"/>
  <c r="J91" i="6"/>
  <c r="K108" i="6"/>
  <c r="L108" i="6" s="1"/>
  <c r="S272" i="6"/>
  <c r="S12" i="6"/>
  <c r="S740" i="6"/>
  <c r="S728" i="6"/>
  <c r="S867" i="6"/>
  <c r="O151" i="6"/>
  <c r="U151" i="6"/>
  <c r="K375" i="6"/>
  <c r="S37" i="6"/>
  <c r="K11" i="6"/>
  <c r="L11" i="6" s="1"/>
  <c r="S621" i="6"/>
  <c r="S918" i="6"/>
  <c r="S709" i="6"/>
  <c r="S880" i="6"/>
  <c r="J58" i="6"/>
  <c r="S441" i="6"/>
  <c r="S313" i="6"/>
  <c r="S115" i="6"/>
  <c r="J13" i="6"/>
  <c r="S67" i="6"/>
  <c r="J309" i="6"/>
  <c r="J78" i="6"/>
  <c r="S756" i="6"/>
  <c r="S866" i="6"/>
  <c r="J74" i="6"/>
  <c r="S334" i="6"/>
  <c r="J115" i="6"/>
  <c r="S457" i="6"/>
  <c r="S628" i="6"/>
  <c r="K58" i="6"/>
  <c r="L58" i="6" s="1"/>
  <c r="T58" i="6"/>
  <c r="K13" i="6"/>
  <c r="L249" i="6"/>
  <c r="S646" i="6"/>
  <c r="S783" i="6"/>
  <c r="K254" i="6"/>
  <c r="L254" i="6" s="1"/>
  <c r="T254" i="6"/>
  <c r="K115" i="6"/>
  <c r="L115" i="6" s="1"/>
  <c r="S136" i="6"/>
  <c r="K363" i="6"/>
  <c r="L363" i="6" s="1"/>
  <c r="S489" i="6"/>
  <c r="S573" i="6"/>
  <c r="S714" i="6"/>
  <c r="S861" i="6"/>
  <c r="S914" i="6"/>
  <c r="K278" i="6"/>
  <c r="L278" i="6" s="1"/>
  <c r="T278" i="6"/>
  <c r="K74" i="6"/>
  <c r="L74" i="6" s="1"/>
  <c r="J136" i="6"/>
  <c r="B1033" i="6"/>
  <c r="T67" i="6"/>
  <c r="K67" i="6"/>
  <c r="L67" i="6" s="1"/>
  <c r="K188" i="6"/>
  <c r="L188" i="6" s="1"/>
  <c r="T188" i="6"/>
  <c r="M197" i="6"/>
  <c r="X197" i="6" s="1"/>
  <c r="W197" i="6"/>
  <c r="S607" i="6"/>
  <c r="S767" i="6"/>
  <c r="S725" i="6"/>
  <c r="S841" i="6"/>
  <c r="L380" i="6"/>
  <c r="J16" i="6"/>
  <c r="T250" i="6"/>
  <c r="K250" i="6"/>
  <c r="L250" i="6" s="1"/>
  <c r="J254" i="6"/>
  <c r="K257" i="6"/>
  <c r="L257" i="6" s="1"/>
  <c r="S78" i="6"/>
  <c r="S624" i="6"/>
  <c r="S772" i="6"/>
  <c r="J243" i="6"/>
  <c r="K314" i="6"/>
  <c r="K136" i="6"/>
  <c r="L136" i="6" s="1"/>
  <c r="T136" i="6" s="1"/>
  <c r="S705" i="6"/>
  <c r="S622" i="6"/>
  <c r="S754" i="6"/>
  <c r="S854" i="6"/>
  <c r="K243" i="6"/>
  <c r="L243" i="6" s="1"/>
  <c r="T243" i="6"/>
  <c r="K16" i="6"/>
  <c r="J200" i="6"/>
  <c r="J55" i="6"/>
  <c r="S683" i="6"/>
  <c r="S792" i="6"/>
  <c r="S902" i="6"/>
  <c r="S26" i="6"/>
  <c r="J314" i="6"/>
  <c r="L490" i="6"/>
  <c r="J96" i="6"/>
  <c r="J178" i="6"/>
  <c r="S394" i="6"/>
  <c r="J117" i="6"/>
  <c r="S782" i="6"/>
  <c r="S704" i="6"/>
  <c r="S797" i="6"/>
  <c r="S903" i="6"/>
  <c r="S644" i="6"/>
  <c r="O254" i="6"/>
  <c r="U254" i="6"/>
  <c r="X46" i="6"/>
  <c r="U135" i="6"/>
  <c r="O135" i="6"/>
  <c r="K55" i="6"/>
  <c r="J79" i="6"/>
  <c r="K78" i="6"/>
  <c r="S599" i="6"/>
  <c r="S631" i="6"/>
  <c r="S798" i="6"/>
  <c r="S712" i="6"/>
  <c r="S919" i="6"/>
  <c r="S804" i="6"/>
  <c r="J614" i="6"/>
  <c r="O314" i="6"/>
  <c r="U314" i="6"/>
  <c r="K178" i="6"/>
  <c r="L178" i="6" s="1"/>
  <c r="T178" i="6" s="1"/>
  <c r="J66" i="6"/>
  <c r="K117" i="6"/>
  <c r="L117" i="6" s="1"/>
  <c r="T117" i="6"/>
  <c r="S630" i="6"/>
  <c r="S809" i="6"/>
  <c r="S720" i="6"/>
  <c r="S727" i="6"/>
  <c r="S852" i="6"/>
  <c r="K494" i="6"/>
  <c r="L494" i="6" s="1"/>
  <c r="T494" i="6" s="1"/>
  <c r="S314" i="6"/>
  <c r="K96" i="6"/>
  <c r="O178" i="6"/>
  <c r="U178" i="6"/>
  <c r="K394" i="6"/>
  <c r="S856" i="6"/>
  <c r="J53" i="6"/>
  <c r="S15" i="6"/>
  <c r="B2" i="8"/>
  <c r="J131" i="6"/>
  <c r="O66" i="6"/>
  <c r="U66" i="6"/>
  <c r="S636" i="6"/>
  <c r="S729" i="6"/>
  <c r="S749" i="6"/>
  <c r="S788" i="6"/>
  <c r="S930" i="6"/>
  <c r="J168" i="6"/>
  <c r="S13" i="6"/>
  <c r="S135" i="6"/>
  <c r="J394" i="6"/>
  <c r="S66" i="6"/>
  <c r="S678" i="6"/>
  <c r="S685" i="6"/>
  <c r="S751" i="6"/>
  <c r="S819" i="6"/>
  <c r="S929" i="6"/>
  <c r="K183" i="6"/>
  <c r="L183" i="6" s="1"/>
  <c r="T183" i="6"/>
  <c r="K225" i="6"/>
  <c r="K53" i="6"/>
  <c r="L53" i="6" s="1"/>
  <c r="T53" i="6"/>
  <c r="S33" i="6"/>
  <c r="K131" i="6"/>
  <c r="L131" i="6" s="1"/>
  <c r="T131" i="6"/>
  <c r="K347" i="6"/>
  <c r="L347" i="6" s="1"/>
  <c r="T347" i="6" s="1"/>
  <c r="S688" i="6"/>
  <c r="S876" i="6"/>
  <c r="K162" i="6"/>
  <c r="L162" i="6" s="1"/>
  <c r="T162" i="6" s="1"/>
  <c r="K168" i="6"/>
  <c r="L168" i="6" s="1"/>
  <c r="T168" i="6"/>
  <c r="S375" i="6"/>
  <c r="J311" i="6"/>
  <c r="S54" i="6"/>
  <c r="K66" i="6"/>
  <c r="S667" i="6"/>
  <c r="S769" i="6"/>
  <c r="J162" i="6"/>
  <c r="K151" i="6"/>
  <c r="K195" i="6"/>
  <c r="L195" i="6" s="1"/>
  <c r="K311" i="6"/>
  <c r="L311" i="6" s="1"/>
  <c r="T311" i="6" s="1"/>
  <c r="K135" i="6"/>
  <c r="L135" i="6" s="1"/>
  <c r="T135" i="6"/>
  <c r="S811" i="6"/>
  <c r="S909" i="6"/>
  <c r="J80" i="6"/>
  <c r="J151" i="6"/>
  <c r="S311" i="6"/>
  <c r="S84" i="6"/>
  <c r="X487" i="6"/>
  <c r="O934" i="6"/>
  <c r="U934" i="6"/>
  <c r="K888" i="6"/>
  <c r="L888" i="6" s="1"/>
  <c r="K964" i="6"/>
  <c r="L964" i="6" s="1"/>
  <c r="U818" i="6"/>
  <c r="O818" i="6"/>
  <c r="J656" i="6"/>
  <c r="W701" i="6"/>
  <c r="M701" i="6"/>
  <c r="X701" i="6" s="1"/>
  <c r="J602" i="6"/>
  <c r="J421" i="6"/>
  <c r="K479" i="6"/>
  <c r="L479" i="6" s="1"/>
  <c r="T479" i="6" s="1"/>
  <c r="K401" i="6"/>
  <c r="X753" i="6"/>
  <c r="O170" i="6"/>
  <c r="U170" i="6"/>
  <c r="V170" i="6"/>
  <c r="J396" i="6"/>
  <c r="K130" i="6"/>
  <c r="S300" i="6"/>
  <c r="S104" i="6"/>
  <c r="S158" i="6"/>
  <c r="K266" i="6"/>
  <c r="L266" i="6" s="1"/>
  <c r="T266" i="6" s="1"/>
  <c r="J754" i="6"/>
  <c r="J909" i="6"/>
  <c r="K161" i="6"/>
  <c r="L161" i="6" s="1"/>
  <c r="T161" i="6"/>
  <c r="K239" i="6"/>
  <c r="L239" i="6" s="1"/>
  <c r="K379" i="6"/>
  <c r="L379" i="6" s="1"/>
  <c r="T379" i="6"/>
  <c r="M50" i="6"/>
  <c r="X50" i="6" s="1"/>
  <c r="W50" i="6"/>
  <c r="T50" i="6"/>
  <c r="S581" i="6"/>
  <c r="K885" i="6"/>
  <c r="L885" i="6" s="1"/>
  <c r="T885" i="6"/>
  <c r="K849" i="6"/>
  <c r="L849" i="6" s="1"/>
  <c r="S924" i="6"/>
  <c r="K872" i="6"/>
  <c r="L872" i="6" s="1"/>
  <c r="T872" i="6"/>
  <c r="J672" i="6"/>
  <c r="J680" i="6"/>
  <c r="K631" i="6"/>
  <c r="L631" i="6" s="1"/>
  <c r="S531" i="6"/>
  <c r="K414" i="6"/>
  <c r="J371" i="6"/>
  <c r="O487" i="6"/>
  <c r="U487" i="6"/>
  <c r="T486" i="6"/>
  <c r="K486" i="6"/>
  <c r="L486" i="6" s="1"/>
  <c r="O503" i="6"/>
  <c r="U503" i="6"/>
  <c r="S126" i="6"/>
  <c r="K185" i="6"/>
  <c r="J185" i="6"/>
  <c r="W654" i="6"/>
  <c r="M654" i="6"/>
  <c r="X654" i="6" s="1"/>
  <c r="S172" i="6"/>
  <c r="S183" i="6"/>
  <c r="K348" i="6"/>
  <c r="K391" i="6"/>
  <c r="L391" i="6" s="1"/>
  <c r="K725" i="6"/>
  <c r="L725" i="6" s="1"/>
  <c r="T725" i="6" s="1"/>
  <c r="J77" i="6"/>
  <c r="J483" i="6"/>
  <c r="S27" i="6"/>
  <c r="S368" i="6"/>
  <c r="S1003" i="6"/>
  <c r="T906" i="6"/>
  <c r="K906" i="6"/>
  <c r="L906" i="6" s="1"/>
  <c r="K871" i="6"/>
  <c r="L871" i="6" s="1"/>
  <c r="J751" i="6"/>
  <c r="U913" i="6"/>
  <c r="O913" i="6"/>
  <c r="J945" i="6"/>
  <c r="K813" i="6"/>
  <c r="L813" i="6" s="1"/>
  <c r="T604" i="6"/>
  <c r="K604" i="6"/>
  <c r="L604" i="6" s="1"/>
  <c r="K530" i="6"/>
  <c r="L530" i="6" s="1"/>
  <c r="T530" i="6" s="1"/>
  <c r="M595" i="6"/>
  <c r="X595" i="6" s="1"/>
  <c r="W595" i="6"/>
  <c r="K515" i="6"/>
  <c r="L515" i="6" s="1"/>
  <c r="T515" i="6"/>
  <c r="S503" i="6"/>
  <c r="O629" i="6"/>
  <c r="U629" i="6"/>
  <c r="K362" i="6"/>
  <c r="T654" i="6"/>
  <c r="K75" i="6"/>
  <c r="L75" i="6" s="1"/>
  <c r="S414" i="6"/>
  <c r="K368" i="6"/>
  <c r="L368" i="6" s="1"/>
  <c r="T368" i="6"/>
  <c r="J881" i="6"/>
  <c r="K27" i="6"/>
  <c r="L27" i="6" s="1"/>
  <c r="T27" i="6"/>
  <c r="O72" i="6"/>
  <c r="U72" i="6"/>
  <c r="S95" i="6"/>
  <c r="J521" i="6"/>
  <c r="S36" i="6"/>
  <c r="S560" i="6"/>
  <c r="S308" i="6"/>
  <c r="S524" i="6"/>
  <c r="J938" i="6"/>
  <c r="K963" i="6"/>
  <c r="L963" i="6" s="1"/>
  <c r="T963" i="6"/>
  <c r="J841" i="6"/>
  <c r="M1011" i="6"/>
  <c r="X1011" i="6" s="1"/>
  <c r="W1011" i="6"/>
  <c r="K890" i="6"/>
  <c r="L890" i="6" s="1"/>
  <c r="T890" i="6" s="1"/>
  <c r="K866" i="6"/>
  <c r="L866" i="6" s="1"/>
  <c r="T895" i="6"/>
  <c r="K895" i="6"/>
  <c r="L895" i="6" s="1"/>
  <c r="K826" i="6"/>
  <c r="L826" i="6" s="1"/>
  <c r="T826" i="6" s="1"/>
  <c r="S899" i="6"/>
  <c r="J950" i="6"/>
  <c r="S790" i="6"/>
  <c r="S818" i="6"/>
  <c r="K796" i="6"/>
  <c r="L796" i="6" s="1"/>
  <c r="T796" i="6"/>
  <c r="J683" i="6"/>
  <c r="M658" i="6"/>
  <c r="X658" i="6" s="1"/>
  <c r="W658" i="6"/>
  <c r="T658" i="6"/>
  <c r="J675" i="6"/>
  <c r="J524" i="6"/>
  <c r="K663" i="6"/>
  <c r="L663" i="6" s="1"/>
  <c r="T663" i="6" s="1"/>
  <c r="S568" i="6"/>
  <c r="O438" i="6"/>
  <c r="U438" i="6"/>
  <c r="K376" i="6"/>
  <c r="L376" i="6" s="1"/>
  <c r="T376" i="6"/>
  <c r="O269" i="6"/>
  <c r="V269" i="6"/>
  <c r="U269" i="6"/>
  <c r="W464" i="6"/>
  <c r="M464" i="6"/>
  <c r="X464" i="6" s="1"/>
  <c r="U548" i="6"/>
  <c r="O548" i="6"/>
  <c r="K497" i="6"/>
  <c r="K320" i="6"/>
  <c r="L320" i="6" s="1"/>
  <c r="T320" i="6" s="1"/>
  <c r="K242" i="6"/>
  <c r="L242" i="6" s="1"/>
  <c r="J70" i="6"/>
  <c r="K116" i="6"/>
  <c r="L116" i="6" s="1"/>
  <c r="T116" i="6" s="1"/>
  <c r="J340" i="6"/>
  <c r="K165" i="6"/>
  <c r="L165" i="6" s="1"/>
  <c r="K797" i="6"/>
  <c r="L797" i="6" s="1"/>
  <c r="T797" i="6" s="1"/>
  <c r="K232" i="6"/>
  <c r="L232" i="6" s="1"/>
  <c r="L338" i="6"/>
  <c r="K212" i="6"/>
  <c r="L212" i="6" s="1"/>
  <c r="J169" i="6"/>
  <c r="K244" i="6"/>
  <c r="S320" i="6"/>
  <c r="K880" i="6"/>
  <c r="L880" i="6" s="1"/>
  <c r="K807" i="6"/>
  <c r="L807" i="6" s="1"/>
  <c r="T807" i="6"/>
  <c r="S808" i="6"/>
  <c r="S850" i="6"/>
  <c r="T758" i="6"/>
  <c r="K758" i="6"/>
  <c r="L758" i="6" s="1"/>
  <c r="K939" i="6"/>
  <c r="L939" i="6" s="1"/>
  <c r="T939" i="6"/>
  <c r="X844" i="6"/>
  <c r="K794" i="6"/>
  <c r="L794" i="6" s="1"/>
  <c r="T794" i="6"/>
  <c r="J728" i="6"/>
  <c r="K452" i="6"/>
  <c r="L452" i="6" s="1"/>
  <c r="J515" i="6"/>
  <c r="O486" i="6"/>
  <c r="U486" i="6"/>
  <c r="T344" i="6"/>
  <c r="K256" i="6"/>
  <c r="O191" i="6"/>
  <c r="U191" i="6"/>
  <c r="S200" i="6"/>
  <c r="U387" i="6"/>
  <c r="O387" i="6"/>
  <c r="J646" i="6"/>
  <c r="J977" i="6"/>
  <c r="K442" i="6"/>
  <c r="L442" i="6" s="1"/>
  <c r="T442" i="6"/>
  <c r="J262" i="6"/>
  <c r="S278" i="6"/>
  <c r="S370" i="6"/>
  <c r="S579" i="6"/>
  <c r="K860" i="6"/>
  <c r="U1007" i="6"/>
  <c r="O1007" i="6"/>
  <c r="S934" i="6"/>
  <c r="O787" i="6"/>
  <c r="V787" i="6"/>
  <c r="U787" i="6"/>
  <c r="K799" i="6"/>
  <c r="L799" i="6" s="1"/>
  <c r="T799" i="6"/>
  <c r="J755" i="6"/>
  <c r="J849" i="6"/>
  <c r="J961" i="6"/>
  <c r="J953" i="6"/>
  <c r="S879" i="6"/>
  <c r="K956" i="6"/>
  <c r="J622" i="6"/>
  <c r="J535" i="6"/>
  <c r="L535" i="6" s="1"/>
  <c r="V469" i="6"/>
  <c r="U469" i="6"/>
  <c r="O469" i="6"/>
  <c r="K392" i="6"/>
  <c r="J449" i="6"/>
  <c r="S547" i="6"/>
  <c r="S452" i="6"/>
  <c r="O356" i="6"/>
  <c r="U356" i="6"/>
  <c r="J633" i="6"/>
  <c r="K231" i="6"/>
  <c r="L231" i="6" s="1"/>
  <c r="K503" i="6"/>
  <c r="L503" i="6" s="1"/>
  <c r="O251" i="6"/>
  <c r="U251" i="6"/>
  <c r="S120" i="6"/>
  <c r="S242" i="6"/>
  <c r="J608" i="6"/>
  <c r="S191" i="6"/>
  <c r="J673" i="6"/>
  <c r="L465" i="6"/>
  <c r="K110" i="6"/>
  <c r="L110" i="6" s="1"/>
  <c r="J354" i="6"/>
  <c r="S546" i="6"/>
  <c r="K139" i="6"/>
  <c r="L139" i="6" s="1"/>
  <c r="T139" i="6" s="1"/>
  <c r="K65" i="6"/>
  <c r="L65" i="6" s="1"/>
  <c r="T65" i="6"/>
  <c r="K387" i="6"/>
  <c r="L387" i="6" s="1"/>
  <c r="S165" i="6"/>
  <c r="K79" i="6"/>
  <c r="L79" i="6" s="1"/>
  <c r="T79" i="6" s="1"/>
  <c r="K747" i="6"/>
  <c r="K546" i="6"/>
  <c r="J478" i="6"/>
  <c r="J488" i="6"/>
  <c r="J771" i="6"/>
  <c r="K495" i="6"/>
  <c r="L495" i="6" s="1"/>
  <c r="T495" i="6"/>
  <c r="J373" i="6"/>
  <c r="K751" i="6"/>
  <c r="J840" i="6"/>
  <c r="J791" i="6"/>
  <c r="J810" i="6"/>
  <c r="J292" i="6"/>
  <c r="K19" i="6"/>
  <c r="L19" i="6" s="1"/>
  <c r="T19" i="6"/>
  <c r="S431" i="6"/>
  <c r="J218" i="6"/>
  <c r="K77" i="6"/>
  <c r="L77" i="6" s="1"/>
  <c r="T77" i="6"/>
  <c r="S395" i="6"/>
  <c r="S105" i="6"/>
  <c r="K190" i="6"/>
  <c r="L190" i="6" s="1"/>
  <c r="T190" i="6" s="1"/>
  <c r="K95" i="6"/>
  <c r="L95" i="6" s="1"/>
  <c r="T95" i="6" s="1"/>
  <c r="K189" i="6"/>
  <c r="L189" i="6" s="1"/>
  <c r="K335" i="6"/>
  <c r="L335" i="6" s="1"/>
  <c r="T335" i="6"/>
  <c r="K5" i="6"/>
  <c r="L5" i="6" s="1"/>
  <c r="T5" i="6" s="1"/>
  <c r="S521" i="6"/>
  <c r="J83" i="6"/>
  <c r="J268" i="6"/>
  <c r="K112" i="6"/>
  <c r="L112" i="6" s="1"/>
  <c r="T112" i="6"/>
  <c r="S462" i="6"/>
  <c r="S399" i="6"/>
  <c r="S404" i="6"/>
  <c r="S684" i="6"/>
  <c r="S516" i="6"/>
  <c r="S505" i="6"/>
  <c r="S589" i="6"/>
  <c r="S791" i="6"/>
  <c r="S830" i="6"/>
  <c r="U375" i="6"/>
  <c r="O375" i="6"/>
  <c r="L199" i="6"/>
  <c r="K869" i="6"/>
  <c r="L869" i="6" s="1"/>
  <c r="U807" i="6"/>
  <c r="O807" i="6"/>
  <c r="J552" i="6"/>
  <c r="K662" i="6"/>
  <c r="L662" i="6" s="1"/>
  <c r="T662" i="6"/>
  <c r="J474" i="6"/>
  <c r="S504" i="6"/>
  <c r="O563" i="6"/>
  <c r="U563" i="6"/>
  <c r="K449" i="6"/>
  <c r="L449" i="6" s="1"/>
  <c r="T449" i="6"/>
  <c r="J481" i="6"/>
  <c r="S208" i="6"/>
  <c r="K198" i="6"/>
  <c r="L198" i="6" s="1"/>
  <c r="T198" i="6" s="1"/>
  <c r="J502" i="6"/>
  <c r="T107" i="6"/>
  <c r="K107" i="6"/>
  <c r="L107" i="6" s="1"/>
  <c r="K454" i="6"/>
  <c r="L454" i="6" s="1"/>
  <c r="T454" i="6"/>
  <c r="O172" i="6"/>
  <c r="U172" i="6"/>
  <c r="V172" i="6"/>
  <c r="K121" i="6"/>
  <c r="L121" i="6" s="1"/>
  <c r="T121" i="6" s="1"/>
  <c r="K132" i="6"/>
  <c r="L132" i="6" s="1"/>
  <c r="M428" i="6"/>
  <c r="X428" i="6" s="1"/>
  <c r="W428" i="6"/>
  <c r="U319" i="6"/>
  <c r="O319" i="6"/>
  <c r="K371" i="6"/>
  <c r="J582" i="6"/>
  <c r="M470" i="6"/>
  <c r="X470" i="6" s="1"/>
  <c r="W470" i="6"/>
  <c r="K147" i="6"/>
  <c r="L147" i="6" s="1"/>
  <c r="K390" i="6"/>
  <c r="L390" i="6" s="1"/>
  <c r="T390" i="6" s="1"/>
  <c r="S415" i="6"/>
  <c r="K993" i="6"/>
  <c r="L993" i="6" s="1"/>
  <c r="K950" i="6"/>
  <c r="L950" i="6" s="1"/>
  <c r="T950" i="6" s="1"/>
  <c r="V934" i="6"/>
  <c r="K798" i="6"/>
  <c r="S853" i="6"/>
  <c r="J814" i="6"/>
  <c r="K945" i="6"/>
  <c r="L945" i="6" s="1"/>
  <c r="T945" i="6"/>
  <c r="J586" i="6"/>
  <c r="S757" i="6"/>
  <c r="T701" i="6"/>
  <c r="U675" i="6"/>
  <c r="O675" i="6"/>
  <c r="O640" i="6"/>
  <c r="U640" i="6"/>
  <c r="K529" i="6"/>
  <c r="L529" i="6" s="1"/>
  <c r="T529" i="6" s="1"/>
  <c r="K563" i="6"/>
  <c r="L563" i="6" s="1"/>
  <c r="T563" i="6" s="1"/>
  <c r="O197" i="6"/>
  <c r="U197" i="6"/>
  <c r="V197" i="6"/>
  <c r="K633" i="6"/>
  <c r="L633" i="6" s="1"/>
  <c r="J440" i="6"/>
  <c r="O198" i="6"/>
  <c r="V198" i="6"/>
  <c r="U198" i="6"/>
  <c r="U359" i="6"/>
  <c r="O359" i="6"/>
  <c r="K629" i="6"/>
  <c r="L629" i="6" s="1"/>
  <c r="T629" i="6" s="1"/>
  <c r="S268" i="6"/>
  <c r="S137" i="6"/>
  <c r="K336" i="6"/>
  <c r="L336" i="6" s="1"/>
  <c r="S354" i="6"/>
  <c r="O270" i="6"/>
  <c r="U270" i="6"/>
  <c r="J156" i="6"/>
  <c r="J411" i="6"/>
  <c r="J181" i="6"/>
  <c r="K246" i="6"/>
  <c r="L246" i="6" s="1"/>
  <c r="J389" i="6"/>
  <c r="K620" i="6"/>
  <c r="L620" i="6" s="1"/>
  <c r="T620" i="6" s="1"/>
  <c r="K706" i="6"/>
  <c r="L706" i="6" s="1"/>
  <c r="T706" i="6"/>
  <c r="T470" i="6"/>
  <c r="J166" i="6"/>
  <c r="L276" i="6"/>
  <c r="K521" i="6"/>
  <c r="L521" i="6" s="1"/>
  <c r="T521" i="6"/>
  <c r="K152" i="6"/>
  <c r="L152" i="6" s="1"/>
  <c r="T152" i="6"/>
  <c r="S421" i="6"/>
  <c r="S993" i="6"/>
  <c r="K845" i="6"/>
  <c r="L845" i="6" s="1"/>
  <c r="S935" i="6"/>
  <c r="K876" i="6"/>
  <c r="L876" i="6" s="1"/>
  <c r="J848" i="6"/>
  <c r="J803" i="6"/>
  <c r="S964" i="6"/>
  <c r="T721" i="6"/>
  <c r="K721" i="6"/>
  <c r="L721" i="6" s="1"/>
  <c r="K669" i="6"/>
  <c r="S730" i="6"/>
  <c r="S675" i="6"/>
  <c r="O524" i="6"/>
  <c r="U524" i="6"/>
  <c r="V524" i="6"/>
  <c r="S803" i="6"/>
  <c r="J437" i="6"/>
  <c r="K438" i="6"/>
  <c r="S486" i="6"/>
  <c r="M170" i="6"/>
  <c r="X170" i="6" s="1"/>
  <c r="W170" i="6"/>
  <c r="V359" i="6"/>
  <c r="J285" i="6"/>
  <c r="K349" i="6"/>
  <c r="L349" i="6" s="1"/>
  <c r="S223" i="6"/>
  <c r="S11" i="6"/>
  <c r="S112" i="6"/>
  <c r="S461" i="6"/>
  <c r="K986" i="6"/>
  <c r="L986" i="6" s="1"/>
  <c r="T986" i="6"/>
  <c r="J984" i="6"/>
  <c r="K898" i="6"/>
  <c r="K828" i="6"/>
  <c r="L828" i="6" s="1"/>
  <c r="T828" i="6"/>
  <c r="K770" i="6"/>
  <c r="L770" i="6" s="1"/>
  <c r="K831" i="6"/>
  <c r="L831" i="6" s="1"/>
  <c r="T831" i="6" s="1"/>
  <c r="J664" i="6"/>
  <c r="S682" i="6"/>
  <c r="K559" i="6"/>
  <c r="L559" i="6" s="1"/>
  <c r="T559" i="6" s="1"/>
  <c r="U692" i="6"/>
  <c r="O692" i="6"/>
  <c r="V692" i="6"/>
  <c r="K403" i="6"/>
  <c r="L403" i="6" s="1"/>
  <c r="T457" i="6"/>
  <c r="K457" i="6"/>
  <c r="L457" i="6" s="1"/>
  <c r="V487" i="6"/>
  <c r="O186" i="6"/>
  <c r="V186" i="6"/>
  <c r="U186" i="6"/>
  <c r="K374" i="6"/>
  <c r="L374" i="6" s="1"/>
  <c r="T374" i="6"/>
  <c r="S201" i="6"/>
  <c r="K133" i="6"/>
  <c r="L133" i="6" s="1"/>
  <c r="T133" i="6" s="1"/>
  <c r="V629" i="6"/>
  <c r="S185" i="6"/>
  <c r="L592" i="6"/>
  <c r="W501" i="6"/>
  <c r="M501" i="6"/>
  <c r="X501" i="6" s="1"/>
  <c r="J572" i="6"/>
  <c r="K104" i="6"/>
  <c r="L104" i="6" s="1"/>
  <c r="T104" i="6" s="1"/>
  <c r="S343" i="6"/>
  <c r="S405" i="6"/>
  <c r="K245" i="6"/>
  <c r="L245" i="6" s="1"/>
  <c r="T245" i="6" s="1"/>
  <c r="J278" i="6"/>
  <c r="K642" i="6"/>
  <c r="L642" i="6" s="1"/>
  <c r="T642" i="6"/>
  <c r="T979" i="6"/>
  <c r="K979" i="6"/>
  <c r="L979" i="6" s="1"/>
  <c r="O239" i="6"/>
  <c r="U239" i="6"/>
  <c r="K216" i="6"/>
  <c r="L216" i="6" s="1"/>
  <c r="S102" i="6"/>
  <c r="K307" i="6"/>
  <c r="L307" i="6" s="1"/>
  <c r="S610" i="6"/>
  <c r="S545" i="6"/>
  <c r="J995" i="6"/>
  <c r="J1007" i="6"/>
  <c r="K919" i="6"/>
  <c r="L919" i="6" s="1"/>
  <c r="K632" i="6"/>
  <c r="L632" i="6" s="1"/>
  <c r="T632" i="6"/>
  <c r="J531" i="6"/>
  <c r="K462" i="6"/>
  <c r="L462" i="6" s="1"/>
  <c r="K670" i="6"/>
  <c r="J433" i="6"/>
  <c r="K537" i="6"/>
  <c r="S548" i="6"/>
  <c r="K126" i="6"/>
  <c r="L126" i="6" s="1"/>
  <c r="K137" i="6"/>
  <c r="L137" i="6" s="1"/>
  <c r="K265" i="6"/>
  <c r="L265" i="6" s="1"/>
  <c r="T265" i="6"/>
  <c r="O165" i="6"/>
  <c r="U165" i="6"/>
  <c r="V165" i="6"/>
  <c r="K173" i="6"/>
  <c r="L173" i="6" s="1"/>
  <c r="T173" i="6"/>
  <c r="K482" i="6"/>
  <c r="L482" i="6" s="1"/>
  <c r="T482" i="6"/>
  <c r="K370" i="6"/>
  <c r="L370" i="6" s="1"/>
  <c r="T370" i="6"/>
  <c r="K369" i="6"/>
  <c r="L369" i="6" s="1"/>
  <c r="T369" i="6" s="1"/>
  <c r="J824" i="6"/>
  <c r="K809" i="6"/>
  <c r="L809" i="6" s="1"/>
  <c r="T809" i="6" s="1"/>
  <c r="K960" i="6"/>
  <c r="L960" i="6" s="1"/>
  <c r="S166" i="6"/>
  <c r="J232" i="6"/>
  <c r="J362" i="6"/>
  <c r="S76" i="6"/>
  <c r="K984" i="6"/>
  <c r="L984" i="6" s="1"/>
  <c r="U997" i="6"/>
  <c r="O997" i="6"/>
  <c r="T884" i="6"/>
  <c r="K884" i="6"/>
  <c r="L884" i="6" s="1"/>
  <c r="J838" i="6"/>
  <c r="K940" i="6"/>
  <c r="L940" i="6" s="1"/>
  <c r="K731" i="6"/>
  <c r="L731" i="6" s="1"/>
  <c r="T731" i="6"/>
  <c r="L718" i="6"/>
  <c r="K818" i="6"/>
  <c r="L818" i="6" s="1"/>
  <c r="T818" i="6" s="1"/>
  <c r="L801" i="6"/>
  <c r="K682" i="6"/>
  <c r="L682" i="6" s="1"/>
  <c r="K712" i="6"/>
  <c r="J660" i="6"/>
  <c r="J651" i="6"/>
  <c r="J513" i="6"/>
  <c r="J422" i="6"/>
  <c r="J847" i="6"/>
  <c r="J438" i="6"/>
  <c r="J360" i="6"/>
  <c r="L360" i="6" s="1"/>
  <c r="J401" i="6"/>
  <c r="J435" i="6"/>
  <c r="J775" i="6"/>
  <c r="K193" i="6"/>
  <c r="L193" i="6" s="1"/>
  <c r="T193" i="6"/>
  <c r="O260" i="6"/>
  <c r="U260" i="6"/>
  <c r="K6" i="6"/>
  <c r="L6" i="6" s="1"/>
  <c r="T6" i="6" s="1"/>
  <c r="K976" i="6"/>
  <c r="L976" i="6" s="1"/>
  <c r="T976" i="6"/>
  <c r="J949" i="6"/>
  <c r="S1008" i="6"/>
  <c r="K870" i="6"/>
  <c r="L870" i="6" s="1"/>
  <c r="J839" i="6"/>
  <c r="S997" i="6"/>
  <c r="V797" i="6"/>
  <c r="O797" i="6"/>
  <c r="U797" i="6"/>
  <c r="K928" i="6"/>
  <c r="L928" i="6" s="1"/>
  <c r="T928" i="6" s="1"/>
  <c r="S963" i="6"/>
  <c r="K836" i="6"/>
  <c r="L836" i="6" s="1"/>
  <c r="T836" i="6" s="1"/>
  <c r="L991" i="6"/>
  <c r="K952" i="6"/>
  <c r="L952" i="6" s="1"/>
  <c r="T952" i="6"/>
  <c r="O965" i="6"/>
  <c r="U965" i="6"/>
  <c r="K838" i="6"/>
  <c r="U795" i="6"/>
  <c r="O795" i="6"/>
  <c r="J804" i="6"/>
  <c r="S787" i="6"/>
  <c r="K862" i="6"/>
  <c r="L862" i="6" s="1"/>
  <c r="S883" i="6"/>
  <c r="K730" i="6"/>
  <c r="L730" i="6" s="1"/>
  <c r="T730" i="6"/>
  <c r="K850" i="6"/>
  <c r="L850" i="6" s="1"/>
  <c r="T850" i="6"/>
  <c r="V731" i="6"/>
  <c r="O731" i="6"/>
  <c r="U731" i="6"/>
  <c r="U758" i="6"/>
  <c r="O758" i="6"/>
  <c r="K892" i="6"/>
  <c r="L892" i="6" s="1"/>
  <c r="T892" i="6"/>
  <c r="K851" i="6"/>
  <c r="U718" i="6"/>
  <c r="O718" i="6"/>
  <c r="T781" i="6"/>
  <c r="J745" i="6"/>
  <c r="K961" i="6"/>
  <c r="J762" i="6"/>
  <c r="S711" i="6"/>
  <c r="J715" i="6"/>
  <c r="S834" i="6"/>
  <c r="K621" i="6"/>
  <c r="L621" i="6" s="1"/>
  <c r="T621" i="6"/>
  <c r="L655" i="6"/>
  <c r="J905" i="6"/>
  <c r="J956" i="6"/>
  <c r="U742" i="6"/>
  <c r="O742" i="6"/>
  <c r="U794" i="6"/>
  <c r="O794" i="6"/>
  <c r="O780" i="6"/>
  <c r="U780" i="6"/>
  <c r="S649" i="6"/>
  <c r="S677" i="6"/>
  <c r="X779" i="6"/>
  <c r="T611" i="6"/>
  <c r="K611" i="6"/>
  <c r="L611" i="6" s="1"/>
  <c r="J708" i="6"/>
  <c r="J643" i="6"/>
  <c r="M690" i="6"/>
  <c r="X690" i="6" s="1"/>
  <c r="T690" i="6"/>
  <c r="W690" i="6"/>
  <c r="J592" i="6"/>
  <c r="K507" i="6"/>
  <c r="L507" i="6" s="1"/>
  <c r="T507" i="6"/>
  <c r="J634" i="6"/>
  <c r="J519" i="6"/>
  <c r="J426" i="6"/>
  <c r="K566" i="6"/>
  <c r="L566" i="6" s="1"/>
  <c r="S450" i="6"/>
  <c r="O514" i="6"/>
  <c r="U514" i="6"/>
  <c r="J412" i="6"/>
  <c r="K847" i="6"/>
  <c r="K356" i="6"/>
  <c r="L356" i="6" s="1"/>
  <c r="T356" i="6" s="1"/>
  <c r="J636" i="6"/>
  <c r="O417" i="6"/>
  <c r="U417" i="6"/>
  <c r="K627" i="6"/>
  <c r="L627" i="6" s="1"/>
  <c r="K775" i="6"/>
  <c r="L775" i="6" s="1"/>
  <c r="T775" i="6" s="1"/>
  <c r="K288" i="6"/>
  <c r="L288" i="6" s="1"/>
  <c r="T288" i="6"/>
  <c r="S184" i="6"/>
  <c r="K564" i="6"/>
  <c r="K296" i="6"/>
  <c r="L296" i="6" s="1"/>
  <c r="U297" i="6"/>
  <c r="O297" i="6"/>
  <c r="O193" i="6"/>
  <c r="U193" i="6"/>
  <c r="M281" i="6"/>
  <c r="X281" i="6" s="1"/>
  <c r="T281" i="6"/>
  <c r="W281" i="6"/>
  <c r="J253" i="6"/>
  <c r="S111" i="6"/>
  <c r="S251" i="6"/>
  <c r="W366" i="6"/>
  <c r="M366" i="6"/>
  <c r="X366" i="6" s="1"/>
  <c r="S260" i="6"/>
  <c r="J120" i="6"/>
  <c r="S496" i="6"/>
  <c r="O608" i="6"/>
  <c r="U608" i="6"/>
  <c r="M186" i="6"/>
  <c r="X186" i="6" s="1"/>
  <c r="T186" i="6"/>
  <c r="W186" i="6"/>
  <c r="K226" i="6"/>
  <c r="L226" i="6" s="1"/>
  <c r="T226" i="6"/>
  <c r="K343" i="6"/>
  <c r="L343" i="6" s="1"/>
  <c r="T343" i="6"/>
  <c r="J546" i="6"/>
  <c r="M303" i="6"/>
  <c r="X303" i="6" s="1"/>
  <c r="W303" i="6"/>
  <c r="U129" i="6"/>
  <c r="O129" i="6"/>
  <c r="V129" i="6"/>
  <c r="J349" i="6"/>
  <c r="V387" i="6"/>
  <c r="L570" i="6"/>
  <c r="S140" i="6"/>
  <c r="K316" i="6"/>
  <c r="L316" i="6" s="1"/>
  <c r="T316" i="6" s="1"/>
  <c r="J163" i="6"/>
  <c r="K326" i="6"/>
  <c r="L326" i="6" s="1"/>
  <c r="K699" i="6"/>
  <c r="L699" i="6" s="1"/>
  <c r="T699" i="6" s="1"/>
  <c r="K436" i="6"/>
  <c r="L436" i="6" s="1"/>
  <c r="T436" i="6"/>
  <c r="J279" i="6"/>
  <c r="K762" i="6"/>
  <c r="L762" i="6" s="1"/>
  <c r="T762" i="6"/>
  <c r="T649" i="6"/>
  <c r="K649" i="6"/>
  <c r="L649" i="6" s="1"/>
  <c r="J725" i="6"/>
  <c r="J946" i="6"/>
  <c r="J985" i="6"/>
  <c r="K1003" i="6"/>
  <c r="J48" i="6"/>
  <c r="K205" i="6"/>
  <c r="L205" i="6" s="1"/>
  <c r="T205" i="6"/>
  <c r="K431" i="6"/>
  <c r="L431" i="6" s="1"/>
  <c r="T431" i="6"/>
  <c r="V72" i="6"/>
  <c r="K218" i="6"/>
  <c r="L218" i="6" s="1"/>
  <c r="T218" i="6" s="1"/>
  <c r="S103" i="6"/>
  <c r="J105" i="6"/>
  <c r="J54" i="6"/>
  <c r="J189" i="6"/>
  <c r="J26" i="6"/>
  <c r="U317" i="6"/>
  <c r="O317" i="6"/>
  <c r="O212" i="6"/>
  <c r="U212" i="6"/>
  <c r="U108" i="6"/>
  <c r="O108" i="6"/>
  <c r="V108" i="6"/>
  <c r="S56" i="6"/>
  <c r="K299" i="6"/>
  <c r="X235" i="6"/>
  <c r="K102" i="6"/>
  <c r="L102" i="6" s="1"/>
  <c r="T102" i="6"/>
  <c r="J94" i="6"/>
  <c r="S342" i="6"/>
  <c r="K271" i="6"/>
  <c r="L271" i="6" s="1"/>
  <c r="T271" i="6" s="1"/>
  <c r="J244" i="6"/>
  <c r="J229" i="6"/>
  <c r="O67" i="6"/>
  <c r="U67" i="6"/>
  <c r="S75" i="6"/>
  <c r="S558" i="6"/>
  <c r="S391" i="6"/>
  <c r="S371" i="6"/>
  <c r="S412" i="6"/>
  <c r="S562" i="6"/>
  <c r="S593" i="6"/>
  <c r="S748" i="6"/>
  <c r="S750" i="6"/>
  <c r="S810" i="6"/>
  <c r="S860" i="6"/>
  <c r="S839" i="6"/>
  <c r="K80" i="6"/>
  <c r="L80" i="6" s="1"/>
  <c r="T80" i="6"/>
  <c r="J375" i="6"/>
  <c r="S195" i="6"/>
  <c r="O311" i="6"/>
  <c r="V311" i="6"/>
  <c r="U311" i="6"/>
  <c r="J11" i="6"/>
  <c r="X1005" i="6"/>
  <c r="S895" i="6"/>
  <c r="U953" i="6"/>
  <c r="O953" i="6"/>
  <c r="J757" i="6"/>
  <c r="J726" i="6"/>
  <c r="J306" i="6"/>
  <c r="J558" i="6"/>
  <c r="K308" i="6"/>
  <c r="L308" i="6" s="1"/>
  <c r="T308" i="6"/>
  <c r="K332" i="6"/>
  <c r="J332" i="6"/>
  <c r="J400" i="6"/>
  <c r="K295" i="6"/>
  <c r="L295" i="6" s="1"/>
  <c r="T295" i="6" s="1"/>
  <c r="S176" i="6"/>
  <c r="J81" i="6"/>
  <c r="S116" i="6"/>
  <c r="K181" i="6"/>
  <c r="L181" i="6" s="1"/>
  <c r="T181" i="6"/>
  <c r="S114" i="6"/>
  <c r="K202" i="6"/>
  <c r="L202" i="6" s="1"/>
  <c r="K468" i="6"/>
  <c r="L468" i="6" s="1"/>
  <c r="T468" i="6" s="1"/>
  <c r="K586" i="6"/>
  <c r="L586" i="6" s="1"/>
  <c r="T586" i="6"/>
  <c r="K610" i="6"/>
  <c r="K698" i="6"/>
  <c r="L698" i="6" s="1"/>
  <c r="S483" i="6"/>
  <c r="K641" i="6"/>
  <c r="L641" i="6" s="1"/>
  <c r="T641" i="6" s="1"/>
  <c r="J152" i="6"/>
  <c r="K37" i="6"/>
  <c r="K867" i="6"/>
  <c r="L867" i="6" s="1"/>
  <c r="S999" i="6"/>
  <c r="U920" i="6"/>
  <c r="O920" i="6"/>
  <c r="M837" i="6"/>
  <c r="X837" i="6" s="1"/>
  <c r="W837" i="6"/>
  <c r="K857" i="6"/>
  <c r="L857" i="6" s="1"/>
  <c r="T857" i="6"/>
  <c r="K913" i="6"/>
  <c r="L913" i="6" s="1"/>
  <c r="T913" i="6"/>
  <c r="M806" i="6"/>
  <c r="X806" i="6" s="1"/>
  <c r="W806" i="6"/>
  <c r="S980" i="6"/>
  <c r="O828" i="6"/>
  <c r="V828" i="6"/>
  <c r="U828" i="6"/>
  <c r="M697" i="6"/>
  <c r="X697" i="6" s="1"/>
  <c r="W697" i="6"/>
  <c r="K953" i="6"/>
  <c r="K540" i="6"/>
  <c r="L540" i="6" s="1"/>
  <c r="T540" i="6"/>
  <c r="S662" i="6"/>
  <c r="W679" i="6"/>
  <c r="T679" i="6"/>
  <c r="M679" i="6"/>
  <c r="X679" i="6" s="1"/>
  <c r="S567" i="6"/>
  <c r="J284" i="6"/>
  <c r="O479" i="6"/>
  <c r="U479" i="6"/>
  <c r="V479" i="6"/>
  <c r="K467" i="6"/>
  <c r="L467" i="6" s="1"/>
  <c r="T467" i="6"/>
  <c r="J434" i="6"/>
  <c r="J419" i="6"/>
  <c r="J295" i="6"/>
  <c r="T251" i="6"/>
  <c r="K251" i="6"/>
  <c r="L251" i="6" s="1"/>
  <c r="L500" i="6"/>
  <c r="J756" i="6"/>
  <c r="K263" i="6"/>
  <c r="L263" i="6" s="1"/>
  <c r="T263" i="6"/>
  <c r="K581" i="6"/>
  <c r="L581" i="6" s="1"/>
  <c r="K1009" i="6"/>
  <c r="L1009" i="6" s="1"/>
  <c r="T1009" i="6" s="1"/>
  <c r="K62" i="6"/>
  <c r="L62" i="6" s="1"/>
  <c r="T62" i="6" s="1"/>
  <c r="T23" i="6"/>
  <c r="W23" i="6"/>
  <c r="M23" i="6"/>
  <c r="X23" i="6" s="1"/>
  <c r="V969" i="6"/>
  <c r="U969" i="6"/>
  <c r="O969" i="6"/>
  <c r="S950" i="6"/>
  <c r="S890" i="6"/>
  <c r="S826" i="6"/>
  <c r="K732" i="6"/>
  <c r="L732" i="6" s="1"/>
  <c r="T732" i="6" s="1"/>
  <c r="J732" i="6"/>
  <c r="V807" i="6"/>
  <c r="U899" i="6"/>
  <c r="O899" i="6"/>
  <c r="J850" i="6"/>
  <c r="K776" i="6"/>
  <c r="L776" i="6" s="1"/>
  <c r="K600" i="6"/>
  <c r="L600" i="6" s="1"/>
  <c r="T600" i="6"/>
  <c r="V640" i="6"/>
  <c r="K547" i="6"/>
  <c r="L547" i="6" s="1"/>
  <c r="T547" i="6" s="1"/>
  <c r="J670" i="6"/>
  <c r="S479" i="6"/>
  <c r="K434" i="6"/>
  <c r="L434" i="6" s="1"/>
  <c r="T434" i="6"/>
  <c r="U633" i="6"/>
  <c r="O633" i="6"/>
  <c r="K146" i="6"/>
  <c r="L146" i="6" s="1"/>
  <c r="T146" i="6"/>
  <c r="O196" i="6"/>
  <c r="U196" i="6"/>
  <c r="O185" i="6"/>
  <c r="U185" i="6"/>
  <c r="J290" i="6"/>
  <c r="J270" i="6"/>
  <c r="S139" i="6"/>
  <c r="K71" i="6"/>
  <c r="L71" i="6" s="1"/>
  <c r="T71" i="6"/>
  <c r="K200" i="6"/>
  <c r="L200" i="6" s="1"/>
  <c r="T200" i="6" s="1"/>
  <c r="T90" i="6"/>
  <c r="K90" i="6"/>
  <c r="L90" i="6" s="1"/>
  <c r="K22" i="6"/>
  <c r="L22" i="6" s="1"/>
  <c r="T22" i="6"/>
  <c r="K410" i="6"/>
  <c r="K644" i="6"/>
  <c r="L644" i="6" s="1"/>
  <c r="T644" i="6" s="1"/>
  <c r="J520" i="6"/>
  <c r="K557" i="6"/>
  <c r="L557" i="6" s="1"/>
  <c r="J628" i="6"/>
  <c r="J671" i="6"/>
  <c r="K664" i="6"/>
  <c r="K21" i="6"/>
  <c r="L21" i="6" s="1"/>
  <c r="T21" i="6"/>
  <c r="K622" i="6"/>
  <c r="L622" i="6" s="1"/>
  <c r="T622" i="6"/>
  <c r="K210" i="6"/>
  <c r="K236" i="6"/>
  <c r="L236" i="6" s="1"/>
  <c r="T236" i="6"/>
  <c r="S43" i="6"/>
  <c r="S351" i="6"/>
  <c r="K998" i="6"/>
  <c r="L998" i="6" s="1"/>
  <c r="T998" i="6"/>
  <c r="O933" i="6"/>
  <c r="U933" i="6"/>
  <c r="V933" i="6"/>
  <c r="W886" i="6"/>
  <c r="T886" i="6"/>
  <c r="M886" i="6"/>
  <c r="X886" i="6" s="1"/>
  <c r="J845" i="6"/>
  <c r="J730" i="6"/>
  <c r="O850" i="6"/>
  <c r="V850" i="6"/>
  <c r="U850" i="6"/>
  <c r="S671" i="6"/>
  <c r="V953" i="6"/>
  <c r="J669" i="6"/>
  <c r="S600" i="6"/>
  <c r="V480" i="6"/>
  <c r="U480" i="6"/>
  <c r="O480" i="6"/>
  <c r="K513" i="6"/>
  <c r="K634" i="6"/>
  <c r="J551" i="6"/>
  <c r="U847" i="6"/>
  <c r="O847" i="6"/>
  <c r="K425" i="6"/>
  <c r="L425" i="6" s="1"/>
  <c r="T425" i="6" s="1"/>
  <c r="S159" i="6"/>
  <c r="U627" i="6"/>
  <c r="O627" i="6"/>
  <c r="S633" i="6"/>
  <c r="K339" i="6"/>
  <c r="L339" i="6" s="1"/>
  <c r="K300" i="6"/>
  <c r="L300" i="6" s="1"/>
  <c r="T300" i="6"/>
  <c r="S168" i="6"/>
  <c r="O228" i="6"/>
  <c r="U228" i="6"/>
  <c r="U344" i="6"/>
  <c r="O344" i="6"/>
  <c r="S357" i="6"/>
  <c r="K191" i="6"/>
  <c r="L191" i="6" s="1"/>
  <c r="K270" i="6"/>
  <c r="J265" i="6"/>
  <c r="V319" i="6"/>
  <c r="T170" i="6"/>
  <c r="K114" i="6"/>
  <c r="L114" i="6" s="1"/>
  <c r="J376" i="6"/>
  <c r="J888" i="6"/>
  <c r="J809" i="6"/>
  <c r="J914" i="6"/>
  <c r="S77" i="6"/>
  <c r="K395" i="6"/>
  <c r="L395" i="6" s="1"/>
  <c r="T395" i="6"/>
  <c r="S379" i="6"/>
  <c r="K34" i="6"/>
  <c r="L34" i="6" s="1"/>
  <c r="T34" i="6"/>
  <c r="K262" i="6"/>
  <c r="L262" i="6" s="1"/>
  <c r="T262" i="6"/>
  <c r="S435" i="6"/>
  <c r="S390" i="6"/>
  <c r="U947" i="6"/>
  <c r="O947" i="6"/>
  <c r="V947" i="6"/>
  <c r="J958" i="6"/>
  <c r="T1008" i="6"/>
  <c r="K1008" i="6"/>
  <c r="L1008" i="6" s="1"/>
  <c r="K938" i="6"/>
  <c r="K997" i="6"/>
  <c r="L997" i="6" s="1"/>
  <c r="T997" i="6" s="1"/>
  <c r="K843" i="6"/>
  <c r="L843" i="6" s="1"/>
  <c r="J934" i="6"/>
  <c r="K822" i="6"/>
  <c r="L822" i="6" s="1"/>
  <c r="T822" i="6"/>
  <c r="K854" i="6"/>
  <c r="L854" i="6" s="1"/>
  <c r="K899" i="6"/>
  <c r="L899" i="6" s="1"/>
  <c r="T899" i="6"/>
  <c r="J729" i="6"/>
  <c r="J790" i="6"/>
  <c r="K711" i="6"/>
  <c r="J711" i="6"/>
  <c r="K719" i="6"/>
  <c r="J834" i="6"/>
  <c r="K585" i="6"/>
  <c r="L585" i="6" s="1"/>
  <c r="O905" i="6"/>
  <c r="U905" i="6"/>
  <c r="O513" i="6"/>
  <c r="U513" i="6"/>
  <c r="S847" i="6"/>
  <c r="L738" i="6"/>
  <c r="S497" i="6"/>
  <c r="S127" i="6"/>
  <c r="S228" i="6"/>
  <c r="J496" i="6"/>
  <c r="K473" i="6"/>
  <c r="L473" i="6" s="1"/>
  <c r="T473" i="6"/>
  <c r="O354" i="6"/>
  <c r="U354" i="6"/>
  <c r="S349" i="6"/>
  <c r="K294" i="6"/>
  <c r="L294" i="6" s="1"/>
  <c r="K565" i="6"/>
  <c r="L565" i="6" s="1"/>
  <c r="T565" i="6"/>
  <c r="K790" i="6"/>
  <c r="L790" i="6" s="1"/>
  <c r="J830" i="6"/>
  <c r="S161" i="6"/>
  <c r="S239" i="6"/>
  <c r="O521" i="6"/>
  <c r="U521" i="6"/>
  <c r="K342" i="6"/>
  <c r="L342" i="6" s="1"/>
  <c r="S5" i="6"/>
  <c r="S400" i="6"/>
  <c r="S551" i="6"/>
  <c r="K992" i="6"/>
  <c r="L992" i="6" s="1"/>
  <c r="T992" i="6"/>
  <c r="K921" i="6"/>
  <c r="L921" i="6" s="1"/>
  <c r="J959" i="6"/>
  <c r="K965" i="6"/>
  <c r="L965" i="6" s="1"/>
  <c r="T965" i="6"/>
  <c r="K853" i="6"/>
  <c r="L853" i="6" s="1"/>
  <c r="T853" i="6"/>
  <c r="J851" i="6"/>
  <c r="J747" i="6"/>
  <c r="K759" i="6"/>
  <c r="L759" i="6" s="1"/>
  <c r="S648" i="6"/>
  <c r="L584" i="6"/>
  <c r="T584" i="6" s="1"/>
  <c r="S383" i="6"/>
  <c r="S566" i="6"/>
  <c r="S515" i="6"/>
  <c r="O175" i="6"/>
  <c r="V175" i="6"/>
  <c r="U175" i="6"/>
  <c r="V548" i="6"/>
  <c r="J497" i="6"/>
  <c r="K625" i="6"/>
  <c r="L625" i="6" s="1"/>
  <c r="T625" i="6"/>
  <c r="S355" i="6"/>
  <c r="J85" i="6"/>
  <c r="K973" i="6"/>
  <c r="L973" i="6" s="1"/>
  <c r="T973" i="6"/>
  <c r="K958" i="6"/>
  <c r="J1002" i="6"/>
  <c r="J861" i="6"/>
  <c r="K877" i="6"/>
  <c r="L877" i="6" s="1"/>
  <c r="S928" i="6"/>
  <c r="J981" i="6"/>
  <c r="J832" i="6"/>
  <c r="J936" i="6"/>
  <c r="S907" i="6"/>
  <c r="O952" i="6"/>
  <c r="U952" i="6"/>
  <c r="K868" i="6"/>
  <c r="L868" i="6" s="1"/>
  <c r="T868" i="6"/>
  <c r="M910" i="6"/>
  <c r="X910" i="6" s="1"/>
  <c r="W910" i="6"/>
  <c r="V965" i="6"/>
  <c r="K804" i="6"/>
  <c r="L804" i="6" s="1"/>
  <c r="T804" i="6" s="1"/>
  <c r="S768" i="6"/>
  <c r="J799" i="6"/>
  <c r="J712" i="6"/>
  <c r="K793" i="6"/>
  <c r="L793" i="6" s="1"/>
  <c r="S755" i="6"/>
  <c r="K811" i="6"/>
  <c r="J833" i="6"/>
  <c r="K745" i="6"/>
  <c r="L745" i="6" s="1"/>
  <c r="T745" i="6" s="1"/>
  <c r="S814" i="6"/>
  <c r="S759" i="6"/>
  <c r="S953" i="6"/>
  <c r="O648" i="6"/>
  <c r="U648" i="6"/>
  <c r="J879" i="6"/>
  <c r="J901" i="6"/>
  <c r="V905" i="6"/>
  <c r="S742" i="6"/>
  <c r="S794" i="6"/>
  <c r="J780" i="6"/>
  <c r="S660" i="6"/>
  <c r="J677" i="6"/>
  <c r="K572" i="6"/>
  <c r="L572" i="6" s="1"/>
  <c r="T572" i="6"/>
  <c r="K708" i="6"/>
  <c r="L708" i="6" s="1"/>
  <c r="T708" i="6" s="1"/>
  <c r="S570" i="6"/>
  <c r="K643" i="6"/>
  <c r="S609" i="6"/>
  <c r="S592" i="6"/>
  <c r="K372" i="6"/>
  <c r="L372" i="6" s="1"/>
  <c r="T372" i="6" s="1"/>
  <c r="J596" i="6"/>
  <c r="J495" i="6"/>
  <c r="K437" i="6"/>
  <c r="L437" i="6" s="1"/>
  <c r="T437" i="6"/>
  <c r="L445" i="6"/>
  <c r="S634" i="6"/>
  <c r="J414" i="6"/>
  <c r="S514" i="6"/>
  <c r="M653" i="6"/>
  <c r="X653" i="6" s="1"/>
  <c r="W653" i="6"/>
  <c r="S439" i="6"/>
  <c r="S432" i="6"/>
  <c r="O164" i="6"/>
  <c r="U164" i="6"/>
  <c r="V164" i="6"/>
  <c r="J351" i="6"/>
  <c r="K636" i="6"/>
  <c r="S417" i="6"/>
  <c r="S258" i="6"/>
  <c r="J330" i="6"/>
  <c r="S331" i="6"/>
  <c r="S231" i="6"/>
  <c r="S775" i="6"/>
  <c r="O167" i="6"/>
  <c r="U167" i="6"/>
  <c r="J564" i="6"/>
  <c r="S174" i="6"/>
  <c r="S297" i="6"/>
  <c r="T122" i="6"/>
  <c r="K122" i="6"/>
  <c r="L122" i="6" s="1"/>
  <c r="K448" i="6"/>
  <c r="L448" i="6" s="1"/>
  <c r="T448" i="6"/>
  <c r="J111" i="6"/>
  <c r="K160" i="6"/>
  <c r="L160" i="6" s="1"/>
  <c r="T160" i="6"/>
  <c r="J210" i="6"/>
  <c r="K127" i="6"/>
  <c r="L127" i="6" s="1"/>
  <c r="K407" i="6"/>
  <c r="L407" i="6" s="1"/>
  <c r="K309" i="6"/>
  <c r="V608" i="6"/>
  <c r="J256" i="6"/>
  <c r="W172" i="6"/>
  <c r="M172" i="6"/>
  <c r="X172" i="6" s="1"/>
  <c r="S673" i="6"/>
  <c r="U343" i="6"/>
  <c r="O343" i="6"/>
  <c r="O240" i="6"/>
  <c r="U240" i="6"/>
  <c r="T92" i="6"/>
  <c r="K92" i="6"/>
  <c r="L92" i="6" s="1"/>
  <c r="K354" i="6"/>
  <c r="L354" i="6" s="1"/>
  <c r="T354" i="6"/>
  <c r="K101" i="6"/>
  <c r="L101" i="6" s="1"/>
  <c r="W297" i="6"/>
  <c r="T297" i="6"/>
  <c r="M297" i="6"/>
  <c r="K405" i="6"/>
  <c r="L405" i="6" s="1"/>
  <c r="T405" i="6"/>
  <c r="J216" i="6"/>
  <c r="J140" i="6"/>
  <c r="S173" i="6"/>
  <c r="J194" i="6"/>
  <c r="J299" i="6"/>
  <c r="J498" i="6"/>
  <c r="K273" i="6"/>
  <c r="L273" i="6" s="1"/>
  <c r="T273" i="6" s="1"/>
  <c r="K383" i="6"/>
  <c r="L383" i="6" s="1"/>
  <c r="T383" i="6" s="1"/>
  <c r="T588" i="6"/>
  <c r="K588" i="6"/>
  <c r="L588" i="6" s="1"/>
  <c r="J852" i="6"/>
  <c r="J693" i="6"/>
  <c r="J720" i="6"/>
  <c r="J797" i="6"/>
  <c r="J1009" i="6"/>
  <c r="K292" i="6"/>
  <c r="L292" i="6" s="1"/>
  <c r="K72" i="6"/>
  <c r="L72" i="6" s="1"/>
  <c r="T72" i="6"/>
  <c r="J103" i="6"/>
  <c r="O395" i="6"/>
  <c r="U395" i="6"/>
  <c r="S190" i="6"/>
  <c r="S212" i="6"/>
  <c r="K267" i="6"/>
  <c r="L267" i="6" s="1"/>
  <c r="M241" i="6"/>
  <c r="X241" i="6" s="1"/>
  <c r="W241" i="6"/>
  <c r="J35" i="6"/>
  <c r="J56" i="6"/>
  <c r="T327" i="6"/>
  <c r="K327" i="6"/>
  <c r="L327" i="6" s="1"/>
  <c r="K229" i="6"/>
  <c r="L229" i="6" s="1"/>
  <c r="O262" i="6"/>
  <c r="U262" i="6"/>
  <c r="S420" i="6"/>
  <c r="S523" i="6"/>
  <c r="S410" i="6"/>
  <c r="S393" i="6"/>
  <c r="S789" i="6"/>
  <c r="S582" i="6"/>
  <c r="S603" i="6"/>
  <c r="S623" i="6"/>
  <c r="S887" i="6"/>
  <c r="S898" i="6"/>
  <c r="S762" i="6"/>
  <c r="S820" i="6"/>
  <c r="S824" i="6"/>
  <c r="K441" i="6"/>
  <c r="L441" i="6" s="1"/>
  <c r="T441" i="6"/>
  <c r="V151" i="6"/>
  <c r="K313" i="6"/>
  <c r="L313" i="6" s="1"/>
  <c r="T313" i="6" s="1"/>
  <c r="J67" i="6"/>
  <c r="K41" i="6"/>
  <c r="L41" i="6" s="1"/>
  <c r="T41" i="6"/>
  <c r="K84" i="6"/>
  <c r="L84" i="6" s="1"/>
  <c r="T84" i="6" s="1"/>
  <c r="W742" i="6" l="1"/>
  <c r="M742" i="6"/>
  <c r="X742" i="6" s="1"/>
  <c r="T742" i="6"/>
  <c r="W360" i="6"/>
  <c r="M360" i="6"/>
  <c r="X360" i="6" s="1"/>
  <c r="T360" i="6"/>
  <c r="W217" i="6"/>
  <c r="M217" i="6"/>
  <c r="X217" i="6" s="1"/>
  <c r="T217" i="6"/>
  <c r="M535" i="6"/>
  <c r="X535" i="6" s="1"/>
  <c r="W535" i="6"/>
  <c r="T535" i="6"/>
  <c r="W74" i="6"/>
  <c r="M74" i="6"/>
  <c r="W11" i="6"/>
  <c r="M11" i="6"/>
  <c r="M825" i="6"/>
  <c r="W825" i="6"/>
  <c r="M724" i="6"/>
  <c r="X724" i="6" s="1"/>
  <c r="W724" i="6"/>
  <c r="M879" i="6"/>
  <c r="X879" i="6" s="1"/>
  <c r="W879" i="6"/>
  <c r="L230" i="6"/>
  <c r="W1007" i="6"/>
  <c r="M1007" i="6"/>
  <c r="X1007" i="6" s="1"/>
  <c r="M423" i="6"/>
  <c r="X423" i="6" s="1"/>
  <c r="W423" i="6"/>
  <c r="L286" i="6"/>
  <c r="M978" i="6"/>
  <c r="W978" i="6"/>
  <c r="W488" i="6"/>
  <c r="M488" i="6"/>
  <c r="W258" i="6"/>
  <c r="M258" i="6"/>
  <c r="M944" i="6"/>
  <c r="X944" i="6" s="1"/>
  <c r="W944" i="6"/>
  <c r="W279" i="6"/>
  <c r="M279" i="6"/>
  <c r="W791" i="6"/>
  <c r="M791" i="6"/>
  <c r="M613" i="6"/>
  <c r="X613" i="6" s="1"/>
  <c r="W613" i="6"/>
  <c r="M602" i="6"/>
  <c r="W602" i="6"/>
  <c r="W522" i="6"/>
  <c r="M522" i="6"/>
  <c r="X522" i="6" s="1"/>
  <c r="M715" i="6"/>
  <c r="W715" i="6"/>
  <c r="M33" i="6"/>
  <c r="W33" i="6"/>
  <c r="W656" i="6"/>
  <c r="M656" i="6"/>
  <c r="M101" i="6"/>
  <c r="X101" i="6" s="1"/>
  <c r="W101" i="6"/>
  <c r="M793" i="6"/>
  <c r="W793" i="6"/>
  <c r="L719" i="6"/>
  <c r="M467" i="6"/>
  <c r="W467" i="6"/>
  <c r="M586" i="6"/>
  <c r="W586" i="6"/>
  <c r="W731" i="6"/>
  <c r="M731" i="6"/>
  <c r="X731" i="6" s="1"/>
  <c r="M370" i="6"/>
  <c r="W370" i="6"/>
  <c r="M403" i="6"/>
  <c r="X403" i="6" s="1"/>
  <c r="W403" i="6"/>
  <c r="W246" i="6"/>
  <c r="M246" i="6"/>
  <c r="M869" i="6"/>
  <c r="X869" i="6" s="1"/>
  <c r="W869" i="6"/>
  <c r="M465" i="6"/>
  <c r="X465" i="6" s="1"/>
  <c r="W465" i="6"/>
  <c r="T465" i="6"/>
  <c r="M376" i="6"/>
  <c r="W376" i="6"/>
  <c r="M866" i="6"/>
  <c r="W866" i="6"/>
  <c r="L185" i="6"/>
  <c r="W490" i="6"/>
  <c r="M490" i="6"/>
  <c r="X490" i="6" s="1"/>
  <c r="T490" i="6"/>
  <c r="T74" i="6"/>
  <c r="W418" i="6"/>
  <c r="M418" i="6"/>
  <c r="T724" i="6"/>
  <c r="T879" i="6"/>
  <c r="L421" i="6"/>
  <c r="W504" i="6"/>
  <c r="M504" i="6"/>
  <c r="M772" i="6"/>
  <c r="W772" i="6"/>
  <c r="M532" i="6"/>
  <c r="X532" i="6" s="1"/>
  <c r="W532" i="6"/>
  <c r="M894" i="6"/>
  <c r="W894" i="6"/>
  <c r="M118" i="6"/>
  <c r="W118" i="6"/>
  <c r="T978" i="6"/>
  <c r="T258" i="6"/>
  <c r="W337" i="6"/>
  <c r="M337" i="6"/>
  <c r="T791" i="6"/>
  <c r="T613" i="6"/>
  <c r="M475" i="6"/>
  <c r="W475" i="6"/>
  <c r="T602" i="6"/>
  <c r="W832" i="6"/>
  <c r="M832" i="6"/>
  <c r="L624" i="6"/>
  <c r="L450" i="6"/>
  <c r="M696" i="6"/>
  <c r="X696" i="6" s="1"/>
  <c r="W696" i="6"/>
  <c r="W966" i="6"/>
  <c r="M966" i="6"/>
  <c r="W489" i="6"/>
  <c r="M489" i="6"/>
  <c r="W43" i="6"/>
  <c r="M43" i="6"/>
  <c r="L142" i="6"/>
  <c r="L167" i="6"/>
  <c r="W160" i="6"/>
  <c r="M160" i="6"/>
  <c r="T793" i="6"/>
  <c r="M565" i="6"/>
  <c r="W565" i="6"/>
  <c r="L410" i="6"/>
  <c r="M913" i="6"/>
  <c r="X913" i="6" s="1"/>
  <c r="W913" i="6"/>
  <c r="W343" i="6"/>
  <c r="M343" i="6"/>
  <c r="X343" i="6" s="1"/>
  <c r="M892" i="6"/>
  <c r="X892" i="6" s="1"/>
  <c r="W892" i="6"/>
  <c r="T246" i="6"/>
  <c r="M993" i="6"/>
  <c r="W993" i="6"/>
  <c r="T869" i="6"/>
  <c r="W189" i="6"/>
  <c r="M189" i="6"/>
  <c r="W495" i="6"/>
  <c r="M495" i="6"/>
  <c r="M794" i="6"/>
  <c r="X794" i="6" s="1"/>
  <c r="W794" i="6"/>
  <c r="T866" i="6"/>
  <c r="W885" i="6"/>
  <c r="M885" i="6"/>
  <c r="X885" i="6" s="1"/>
  <c r="W814" i="6"/>
  <c r="M814" i="6"/>
  <c r="L915" i="6"/>
  <c r="M458" i="6"/>
  <c r="X458" i="6" s="1"/>
  <c r="W458" i="6"/>
  <c r="W306" i="6"/>
  <c r="M306" i="6"/>
  <c r="M290" i="6"/>
  <c r="X290" i="6" s="1"/>
  <c r="W290" i="6"/>
  <c r="W329" i="6"/>
  <c r="M329" i="6"/>
  <c r="L498" i="6"/>
  <c r="L755" i="6"/>
  <c r="W923" i="6"/>
  <c r="M923" i="6"/>
  <c r="X923" i="6" s="1"/>
  <c r="M578" i="6"/>
  <c r="W578" i="6"/>
  <c r="M1010" i="6"/>
  <c r="X1010" i="6" s="1"/>
  <c r="W1010" i="6"/>
  <c r="M723" i="6"/>
  <c r="X723" i="6" s="1"/>
  <c r="W723" i="6"/>
  <c r="W399" i="6"/>
  <c r="M399" i="6"/>
  <c r="T337" i="6"/>
  <c r="M539" i="6"/>
  <c r="W539" i="6"/>
  <c r="M749" i="6"/>
  <c r="W749" i="6"/>
  <c r="M606" i="6"/>
  <c r="X606" i="6" s="1"/>
  <c r="W606" i="6"/>
  <c r="M608" i="6"/>
  <c r="X608" i="6" s="1"/>
  <c r="W608" i="6"/>
  <c r="M377" i="6"/>
  <c r="X377" i="6" s="1"/>
  <c r="W377" i="6"/>
  <c r="L73" i="6"/>
  <c r="M476" i="6"/>
  <c r="W476" i="6"/>
  <c r="L958" i="6"/>
  <c r="W294" i="6"/>
  <c r="M294" i="6"/>
  <c r="L270" i="6"/>
  <c r="M296" i="6"/>
  <c r="X296" i="6" s="1"/>
  <c r="W296" i="6"/>
  <c r="M566" i="6"/>
  <c r="X566" i="6" s="1"/>
  <c r="W566" i="6"/>
  <c r="M193" i="6"/>
  <c r="X193" i="6" s="1"/>
  <c r="W193" i="6"/>
  <c r="W482" i="6"/>
  <c r="M482" i="6"/>
  <c r="X482" i="6" s="1"/>
  <c r="M632" i="6"/>
  <c r="X632" i="6" s="1"/>
  <c r="W632" i="6"/>
  <c r="W349" i="6"/>
  <c r="M349" i="6"/>
  <c r="M199" i="6"/>
  <c r="X199" i="6" s="1"/>
  <c r="W199" i="6"/>
  <c r="T199" i="6"/>
  <c r="T189" i="6"/>
  <c r="M165" i="6"/>
  <c r="X165" i="6" s="1"/>
  <c r="W165" i="6"/>
  <c r="M75" i="6"/>
  <c r="W75" i="6"/>
  <c r="M871" i="6"/>
  <c r="X871" i="6" s="1"/>
  <c r="W871" i="6"/>
  <c r="M257" i="6"/>
  <c r="W257" i="6"/>
  <c r="L120" i="6"/>
  <c r="M716" i="6"/>
  <c r="X716" i="6" s="1"/>
  <c r="W716" i="6"/>
  <c r="W856" i="6"/>
  <c r="M856" i="6"/>
  <c r="W763" i="6"/>
  <c r="M763" i="6"/>
  <c r="X763" i="6" s="1"/>
  <c r="L163" i="6"/>
  <c r="M934" i="6"/>
  <c r="X934" i="6" s="1"/>
  <c r="W934" i="6"/>
  <c r="T306" i="6"/>
  <c r="W351" i="6"/>
  <c r="M351" i="6"/>
  <c r="W68" i="6"/>
  <c r="M68" i="6"/>
  <c r="W141" i="6"/>
  <c r="M141" i="6"/>
  <c r="W474" i="6"/>
  <c r="M474" i="6"/>
  <c r="T539" i="6"/>
  <c r="T749" i="6"/>
  <c r="M545" i="6"/>
  <c r="X545" i="6" s="1"/>
  <c r="W545" i="6"/>
  <c r="M740" i="6"/>
  <c r="W740" i="6"/>
  <c r="W455" i="6"/>
  <c r="M455" i="6"/>
  <c r="T608" i="6"/>
  <c r="L499" i="6"/>
  <c r="M591" i="6"/>
  <c r="X591" i="6" s="1"/>
  <c r="W591" i="6"/>
  <c r="M914" i="6"/>
  <c r="W914" i="6"/>
  <c r="L587" i="6"/>
  <c r="T476" i="6"/>
  <c r="W229" i="6"/>
  <c r="M229" i="6"/>
  <c r="M354" i="6"/>
  <c r="X354" i="6" s="1"/>
  <c r="W354" i="6"/>
  <c r="T294" i="6"/>
  <c r="W191" i="6"/>
  <c r="M191" i="6"/>
  <c r="X191" i="6" s="1"/>
  <c r="L634" i="6"/>
  <c r="M857" i="6"/>
  <c r="X857" i="6" s="1"/>
  <c r="W857" i="6"/>
  <c r="M202" i="6"/>
  <c r="W202" i="6"/>
  <c r="M226" i="6"/>
  <c r="W226" i="6"/>
  <c r="T566" i="6"/>
  <c r="W919" i="6"/>
  <c r="M919" i="6"/>
  <c r="W876" i="6"/>
  <c r="M876" i="6"/>
  <c r="M454" i="6"/>
  <c r="W454" i="6"/>
  <c r="T75" i="6"/>
  <c r="T871" i="6"/>
  <c r="L78" i="6"/>
  <c r="T257" i="6"/>
  <c r="L739" i="6"/>
  <c r="M896" i="6"/>
  <c r="W896" i="6"/>
  <c r="T716" i="6"/>
  <c r="T856" i="6"/>
  <c r="T763" i="6"/>
  <c r="L447" i="6"/>
  <c r="W936" i="6"/>
  <c r="M936" i="6"/>
  <c r="T934" i="6"/>
  <c r="W15" i="6"/>
  <c r="M15" i="6"/>
  <c r="W323" i="6"/>
  <c r="M323" i="6"/>
  <c r="X323" i="6" s="1"/>
  <c r="W128" i="6"/>
  <c r="M128" i="6"/>
  <c r="X128" i="6" s="1"/>
  <c r="T68" i="6"/>
  <c r="W840" i="6"/>
  <c r="M840" i="6"/>
  <c r="W171" i="6"/>
  <c r="M171" i="6"/>
  <c r="X171" i="6" s="1"/>
  <c r="L907" i="6"/>
  <c r="M946" i="6"/>
  <c r="W946" i="6"/>
  <c r="M119" i="6"/>
  <c r="W119" i="6"/>
  <c r="L411" i="6"/>
  <c r="L905" i="6"/>
  <c r="L517" i="6"/>
  <c r="W783" i="6"/>
  <c r="M783" i="6"/>
  <c r="T455" i="6"/>
  <c r="L767" i="6"/>
  <c r="M999" i="6"/>
  <c r="W999" i="6"/>
  <c r="T229" i="6"/>
  <c r="M92" i="6"/>
  <c r="X92" i="6" s="1"/>
  <c r="W92" i="6"/>
  <c r="W448" i="6"/>
  <c r="M448" i="6"/>
  <c r="X448" i="6" s="1"/>
  <c r="M973" i="6"/>
  <c r="X973" i="6" s="1"/>
  <c r="W973" i="6"/>
  <c r="W965" i="6"/>
  <c r="M965" i="6"/>
  <c r="X965" i="6" s="1"/>
  <c r="L711" i="6"/>
  <c r="T191" i="6"/>
  <c r="L513" i="6"/>
  <c r="M22" i="6"/>
  <c r="W22" i="6"/>
  <c r="T202" i="6"/>
  <c r="M436" i="6"/>
  <c r="W436" i="6"/>
  <c r="L564" i="6"/>
  <c r="W884" i="6"/>
  <c r="M884" i="6"/>
  <c r="X884" i="6" s="1"/>
  <c r="W173" i="6"/>
  <c r="M173" i="6"/>
  <c r="T919" i="6"/>
  <c r="T876" i="6"/>
  <c r="M107" i="6"/>
  <c r="X107" i="6" s="1"/>
  <c r="W107" i="6"/>
  <c r="W442" i="6"/>
  <c r="M442" i="6"/>
  <c r="W939" i="6"/>
  <c r="M939" i="6"/>
  <c r="W906" i="6"/>
  <c r="M906" i="6"/>
  <c r="X906" i="6" s="1"/>
  <c r="W176" i="6"/>
  <c r="M176" i="6"/>
  <c r="X176" i="6" s="1"/>
  <c r="W666" i="6"/>
  <c r="M666" i="6"/>
  <c r="L481" i="6"/>
  <c r="L180" i="6"/>
  <c r="M461" i="6"/>
  <c r="X461" i="6" s="1"/>
  <c r="W461" i="6"/>
  <c r="M538" i="6"/>
  <c r="W538" i="6"/>
  <c r="L909" i="6"/>
  <c r="W443" i="6"/>
  <c r="M443" i="6"/>
  <c r="X443" i="6" s="1"/>
  <c r="T443" i="6"/>
  <c r="L554" i="6"/>
  <c r="T128" i="6"/>
  <c r="T696" i="6"/>
  <c r="L835" i="6"/>
  <c r="M571" i="6"/>
  <c r="X571" i="6" s="1"/>
  <c r="W571" i="6"/>
  <c r="T571" i="6"/>
  <c r="L601" i="6"/>
  <c r="T840" i="6"/>
  <c r="T606" i="6"/>
  <c r="L691" i="6"/>
  <c r="T946" i="6"/>
  <c r="L548" i="6"/>
  <c r="L520" i="6"/>
  <c r="T119" i="6"/>
  <c r="L995" i="6"/>
  <c r="L83" i="6"/>
  <c r="L598" i="6"/>
  <c r="L773" i="6"/>
  <c r="L534" i="6"/>
  <c r="L478" i="6"/>
  <c r="T783" i="6"/>
  <c r="T999" i="6"/>
  <c r="M575" i="6"/>
  <c r="X575" i="6" s="1"/>
  <c r="W575" i="6"/>
  <c r="M893" i="6"/>
  <c r="W893" i="6"/>
  <c r="M988" i="6"/>
  <c r="W988" i="6"/>
  <c r="L764" i="6"/>
  <c r="L174" i="6"/>
  <c r="M541" i="6"/>
  <c r="W541" i="6"/>
  <c r="W84" i="6"/>
  <c r="M84" i="6"/>
  <c r="M335" i="6"/>
  <c r="X335" i="6" s="1"/>
  <c r="W335" i="6"/>
  <c r="W797" i="6"/>
  <c r="M797" i="6"/>
  <c r="X797" i="6" s="1"/>
  <c r="W368" i="6"/>
  <c r="M368" i="6"/>
  <c r="M58" i="6"/>
  <c r="W58" i="6"/>
  <c r="W472" i="6"/>
  <c r="M472" i="6"/>
  <c r="X472" i="6" s="1"/>
  <c r="T825" i="6"/>
  <c r="L678" i="6"/>
  <c r="M1000" i="6"/>
  <c r="W1000" i="6"/>
  <c r="M713" i="6"/>
  <c r="X713" i="6" s="1"/>
  <c r="W713" i="6"/>
  <c r="W427" i="6"/>
  <c r="M427" i="6"/>
  <c r="X427" i="6" s="1"/>
  <c r="W951" i="6"/>
  <c r="M951" i="6"/>
  <c r="W510" i="6"/>
  <c r="M510" i="6"/>
  <c r="M221" i="6"/>
  <c r="W221" i="6"/>
  <c r="T101" i="6"/>
  <c r="W434" i="6"/>
  <c r="M434" i="6"/>
  <c r="W468" i="6"/>
  <c r="M468" i="6"/>
  <c r="W762" i="6"/>
  <c r="M762" i="6"/>
  <c r="M952" i="6"/>
  <c r="X952" i="6" s="1"/>
  <c r="W952" i="6"/>
  <c r="W940" i="6"/>
  <c r="M940" i="6"/>
  <c r="T403" i="6"/>
  <c r="W168" i="6"/>
  <c r="M168" i="6"/>
  <c r="L96" i="6"/>
  <c r="W839" i="6"/>
  <c r="M839" i="6"/>
  <c r="X839" i="6" s="1"/>
  <c r="M883" i="6"/>
  <c r="W883" i="6"/>
  <c r="M106" i="6"/>
  <c r="W106" i="6"/>
  <c r="M954" i="6"/>
  <c r="X954" i="6" s="1"/>
  <c r="W954" i="6"/>
  <c r="M82" i="6"/>
  <c r="W82" i="6"/>
  <c r="M572" i="6"/>
  <c r="W572" i="6"/>
  <c r="M853" i="6"/>
  <c r="W853" i="6"/>
  <c r="W991" i="6"/>
  <c r="M991" i="6"/>
  <c r="X991" i="6" s="1"/>
  <c r="T991" i="6"/>
  <c r="T940" i="6"/>
  <c r="T993" i="6"/>
  <c r="W890" i="6"/>
  <c r="M890" i="6"/>
  <c r="X890" i="6" s="1"/>
  <c r="W162" i="6"/>
  <c r="M162" i="6"/>
  <c r="M278" i="6"/>
  <c r="W278" i="6"/>
  <c r="L375" i="6"/>
  <c r="L935" i="6"/>
  <c r="L396" i="6"/>
  <c r="W943" i="6"/>
  <c r="M943" i="6"/>
  <c r="T839" i="6"/>
  <c r="L746" i="6"/>
  <c r="M927" i="6"/>
  <c r="X927" i="6" s="1"/>
  <c r="W927" i="6"/>
  <c r="M614" i="6"/>
  <c r="W614" i="6"/>
  <c r="L422" i="6"/>
  <c r="T723" i="6"/>
  <c r="T399" i="6"/>
  <c r="W736" i="6"/>
  <c r="M736" i="6"/>
  <c r="L70" i="6"/>
  <c r="M41" i="6"/>
  <c r="X41" i="6" s="1"/>
  <c r="W41" i="6"/>
  <c r="M998" i="6"/>
  <c r="W998" i="6"/>
  <c r="T296" i="6"/>
  <c r="W836" i="6"/>
  <c r="M836" i="6"/>
  <c r="X836" i="6" s="1"/>
  <c r="M104" i="6"/>
  <c r="X104" i="6" s="1"/>
  <c r="W104" i="6"/>
  <c r="T349" i="6"/>
  <c r="M563" i="6"/>
  <c r="X563" i="6" s="1"/>
  <c r="W563" i="6"/>
  <c r="W95" i="6"/>
  <c r="M95" i="6"/>
  <c r="T165" i="6"/>
  <c r="M640" i="6"/>
  <c r="X640" i="6" s="1"/>
  <c r="W640" i="6"/>
  <c r="W285" i="6"/>
  <c r="M285" i="6"/>
  <c r="L754" i="6"/>
  <c r="L771" i="6"/>
  <c r="W327" i="6"/>
  <c r="M327" i="6"/>
  <c r="M588" i="6"/>
  <c r="W588" i="6"/>
  <c r="M122" i="6"/>
  <c r="X122" i="6" s="1"/>
  <c r="W122" i="6"/>
  <c r="W90" i="6"/>
  <c r="M90" i="6"/>
  <c r="M547" i="6"/>
  <c r="W547" i="6"/>
  <c r="W390" i="6"/>
  <c r="M390" i="6"/>
  <c r="L546" i="6"/>
  <c r="L956" i="6"/>
  <c r="M758" i="6"/>
  <c r="X758" i="6" s="1"/>
  <c r="W758" i="6"/>
  <c r="M663" i="6"/>
  <c r="W663" i="6"/>
  <c r="L362" i="6"/>
  <c r="W486" i="6"/>
  <c r="M486" i="6"/>
  <c r="X486" i="6" s="1"/>
  <c r="L401" i="6"/>
  <c r="W494" i="6"/>
  <c r="M494" i="6"/>
  <c r="W250" i="6"/>
  <c r="M250" i="6"/>
  <c r="L48" i="6"/>
  <c r="L768" i="6"/>
  <c r="M672" i="6"/>
  <c r="W672" i="6"/>
  <c r="L215" i="6"/>
  <c r="W931" i="6"/>
  <c r="M931" i="6"/>
  <c r="X931" i="6" s="1"/>
  <c r="M881" i="6"/>
  <c r="X881" i="6" s="1"/>
  <c r="W881" i="6"/>
  <c r="L444" i="6"/>
  <c r="W681" i="6"/>
  <c r="M681" i="6"/>
  <c r="X681" i="6" s="1"/>
  <c r="W785" i="6"/>
  <c r="M785" i="6"/>
  <c r="X785" i="6" s="1"/>
  <c r="W456" i="6"/>
  <c r="M456" i="6"/>
  <c r="M685" i="6"/>
  <c r="W685" i="6"/>
  <c r="L802" i="6"/>
  <c r="M453" i="6"/>
  <c r="W453" i="6"/>
  <c r="W201" i="6"/>
  <c r="M201" i="6"/>
  <c r="W143" i="6"/>
  <c r="M143" i="6"/>
  <c r="X143" i="6" s="1"/>
  <c r="M333" i="6"/>
  <c r="X333" i="6" s="1"/>
  <c r="W333" i="6"/>
  <c r="L834" i="6"/>
  <c r="W782" i="6"/>
  <c r="M782" i="6"/>
  <c r="L959" i="6"/>
  <c r="W700" i="6"/>
  <c r="M700" i="6"/>
  <c r="X700" i="6" s="1"/>
  <c r="L882" i="6"/>
  <c r="M291" i="6"/>
  <c r="X291" i="6" s="1"/>
  <c r="W291" i="6"/>
  <c r="L1002" i="6"/>
  <c r="W735" i="6"/>
  <c r="M735" i="6"/>
  <c r="L166" i="6"/>
  <c r="L272" i="6"/>
  <c r="M232" i="6"/>
  <c r="W232" i="6"/>
  <c r="M558" i="6"/>
  <c r="W558" i="6"/>
  <c r="W849" i="6"/>
  <c r="M849" i="6"/>
  <c r="X849" i="6" s="1"/>
  <c r="M644" i="6"/>
  <c r="W644" i="6"/>
  <c r="M292" i="6"/>
  <c r="W292" i="6"/>
  <c r="W462" i="6"/>
  <c r="M462" i="6"/>
  <c r="M950" i="6"/>
  <c r="W950" i="6"/>
  <c r="M110" i="6"/>
  <c r="W110" i="6"/>
  <c r="W921" i="6"/>
  <c r="M921" i="6"/>
  <c r="X921" i="6" s="1"/>
  <c r="M62" i="6"/>
  <c r="X62" i="6" s="1"/>
  <c r="W62" i="6"/>
  <c r="W845" i="6"/>
  <c r="M845" i="6"/>
  <c r="M347" i="6"/>
  <c r="W347" i="6"/>
  <c r="W805" i="6"/>
  <c r="M805" i="6"/>
  <c r="X805" i="6" s="1"/>
  <c r="M829" i="6"/>
  <c r="X829" i="6" s="1"/>
  <c r="W829" i="6"/>
  <c r="W415" i="6"/>
  <c r="M415" i="6"/>
  <c r="M659" i="6"/>
  <c r="X659" i="6" s="1"/>
  <c r="W659" i="6"/>
  <c r="M787" i="6"/>
  <c r="X787" i="6" s="1"/>
  <c r="W787" i="6"/>
  <c r="M236" i="6"/>
  <c r="W236" i="6"/>
  <c r="M181" i="6"/>
  <c r="W181" i="6"/>
  <c r="M326" i="6"/>
  <c r="W326" i="6"/>
  <c r="W135" i="6"/>
  <c r="M135" i="6"/>
  <c r="X135" i="6" s="1"/>
  <c r="L55" i="6"/>
  <c r="M268" i="6"/>
  <c r="W268" i="6"/>
  <c r="M124" i="6"/>
  <c r="W124" i="6"/>
  <c r="W720" i="6"/>
  <c r="M720" i="6"/>
  <c r="W518" i="6"/>
  <c r="M518" i="6"/>
  <c r="W148" i="6"/>
  <c r="M148" i="6"/>
  <c r="W145" i="6"/>
  <c r="M145" i="6"/>
  <c r="L635" i="6"/>
  <c r="M603" i="6"/>
  <c r="W603" i="6"/>
  <c r="M93" i="6"/>
  <c r="X93" i="6" s="1"/>
  <c r="W93" i="6"/>
  <c r="M97" i="6"/>
  <c r="W97" i="6"/>
  <c r="W683" i="6"/>
  <c r="M683" i="6"/>
  <c r="M625" i="6"/>
  <c r="W625" i="6"/>
  <c r="M899" i="6"/>
  <c r="X899" i="6" s="1"/>
  <c r="W899" i="6"/>
  <c r="M288" i="6"/>
  <c r="W288" i="6"/>
  <c r="M850" i="6"/>
  <c r="X850" i="6" s="1"/>
  <c r="W850" i="6"/>
  <c r="W984" i="6"/>
  <c r="M984" i="6"/>
  <c r="X984" i="6" s="1"/>
  <c r="M592" i="6"/>
  <c r="X592" i="6" s="1"/>
  <c r="W592" i="6"/>
  <c r="W963" i="6"/>
  <c r="M963" i="6"/>
  <c r="X963" i="6" s="1"/>
  <c r="M593" i="6"/>
  <c r="W593" i="6"/>
  <c r="W1009" i="6"/>
  <c r="M1009" i="6"/>
  <c r="W655" i="6"/>
  <c r="M655" i="6"/>
  <c r="X655" i="6" s="1"/>
  <c r="T655" i="6"/>
  <c r="M318" i="6"/>
  <c r="X318" i="6" s="1"/>
  <c r="W318" i="6"/>
  <c r="M207" i="6"/>
  <c r="X207" i="6" s="1"/>
  <c r="W207" i="6"/>
  <c r="M937" i="6"/>
  <c r="W937" i="6"/>
  <c r="L16" i="6"/>
  <c r="W275" i="6"/>
  <c r="M275" i="6"/>
  <c r="X275" i="6" s="1"/>
  <c r="M71" i="6"/>
  <c r="X71" i="6" s="1"/>
  <c r="W71" i="6"/>
  <c r="W231" i="6"/>
  <c r="M231" i="6"/>
  <c r="M240" i="6"/>
  <c r="X240" i="6" s="1"/>
  <c r="W240" i="6"/>
  <c r="W115" i="6"/>
  <c r="M115" i="6"/>
  <c r="X115" i="6" s="1"/>
  <c r="M796" i="6"/>
  <c r="W796" i="6"/>
  <c r="W440" i="6"/>
  <c r="M440" i="6"/>
  <c r="X440" i="6" s="1"/>
  <c r="X261" i="6"/>
  <c r="W843" i="6"/>
  <c r="M843" i="6"/>
  <c r="X843" i="6" s="1"/>
  <c r="W682" i="6"/>
  <c r="M682" i="6"/>
  <c r="X682" i="6" s="1"/>
  <c r="M374" i="6"/>
  <c r="X374" i="6" s="1"/>
  <c r="W374" i="6"/>
  <c r="M112" i="6"/>
  <c r="X112" i="6" s="1"/>
  <c r="W112" i="6"/>
  <c r="M65" i="6"/>
  <c r="X65" i="6" s="1"/>
  <c r="W65" i="6"/>
  <c r="L348" i="6"/>
  <c r="W964" i="6"/>
  <c r="M964" i="6"/>
  <c r="M183" i="6"/>
  <c r="W183" i="6"/>
  <c r="M254" i="6"/>
  <c r="X254" i="6" s="1"/>
  <c r="W254" i="6"/>
  <c r="M317" i="6"/>
  <c r="X317" i="6" s="1"/>
  <c r="W317" i="6"/>
  <c r="L855" i="6"/>
  <c r="L596" i="6"/>
  <c r="M397" i="6"/>
  <c r="W397" i="6"/>
  <c r="W435" i="6"/>
  <c r="M435" i="6"/>
  <c r="M430" i="6"/>
  <c r="X430" i="6" s="1"/>
  <c r="W430" i="6"/>
  <c r="L680" i="6"/>
  <c r="M359" i="6"/>
  <c r="X359" i="6" s="1"/>
  <c r="W359" i="6"/>
  <c r="M542" i="6"/>
  <c r="X542" i="6" s="1"/>
  <c r="W542" i="6"/>
  <c r="M777" i="6"/>
  <c r="W777" i="6"/>
  <c r="M689" i="6"/>
  <c r="X689" i="6" s="1"/>
  <c r="W689" i="6"/>
  <c r="M812" i="6"/>
  <c r="W812" i="6"/>
  <c r="W259" i="6"/>
  <c r="M259" i="6"/>
  <c r="X259" i="6" s="1"/>
  <c r="L477" i="6"/>
  <c r="M599" i="6"/>
  <c r="W599" i="6"/>
  <c r="W224" i="6"/>
  <c r="M224" i="6"/>
  <c r="W341" i="6"/>
  <c r="M341" i="6"/>
  <c r="W630" i="6"/>
  <c r="M630" i="6"/>
  <c r="W98" i="6"/>
  <c r="M98" i="6"/>
  <c r="M920" i="6"/>
  <c r="X920" i="6" s="1"/>
  <c r="W920" i="6"/>
  <c r="L358" i="6"/>
  <c r="W248" i="6"/>
  <c r="M248" i="6"/>
  <c r="X248" i="6" s="1"/>
  <c r="L42" i="6"/>
  <c r="W319" i="6"/>
  <c r="M319" i="6"/>
  <c r="X319" i="6" s="1"/>
  <c r="W473" i="6"/>
  <c r="M473" i="6"/>
  <c r="W507" i="6"/>
  <c r="M507" i="6"/>
  <c r="X507" i="6" s="1"/>
  <c r="M242" i="6"/>
  <c r="W242" i="6"/>
  <c r="W239" i="6"/>
  <c r="M239" i="6"/>
  <c r="X239" i="6" s="1"/>
  <c r="W131" i="6"/>
  <c r="M131" i="6"/>
  <c r="W363" i="6"/>
  <c r="M363" i="6"/>
  <c r="X289" i="6"/>
  <c r="N289" i="6"/>
  <c r="W328" i="6"/>
  <c r="M328" i="6"/>
  <c r="M237" i="6"/>
  <c r="W237" i="6"/>
  <c r="W234" i="6"/>
  <c r="M234" i="6"/>
  <c r="X234" i="6" s="1"/>
  <c r="T124" i="6"/>
  <c r="L932" i="6"/>
  <c r="L897" i="6"/>
  <c r="L774" i="6"/>
  <c r="L646" i="6"/>
  <c r="M576" i="6"/>
  <c r="X576" i="6" s="1"/>
  <c r="W576" i="6"/>
  <c r="T318" i="6"/>
  <c r="W158" i="6"/>
  <c r="M158" i="6"/>
  <c r="M824" i="6"/>
  <c r="W824" i="6"/>
  <c r="W274" i="6"/>
  <c r="M274" i="6"/>
  <c r="M616" i="6"/>
  <c r="X616" i="6" s="1"/>
  <c r="W616" i="6"/>
  <c r="W105" i="6"/>
  <c r="M105" i="6"/>
  <c r="W441" i="6"/>
  <c r="M441" i="6"/>
  <c r="W992" i="6"/>
  <c r="M992" i="6"/>
  <c r="W854" i="6"/>
  <c r="M854" i="6"/>
  <c r="T363" i="6"/>
  <c r="M974" i="6"/>
  <c r="X974" i="6" s="1"/>
  <c r="W974" i="6"/>
  <c r="T234" i="6"/>
  <c r="L357" i="6"/>
  <c r="M552" i="6"/>
  <c r="W552" i="6"/>
  <c r="M733" i="6"/>
  <c r="W733" i="6"/>
  <c r="L373" i="6"/>
  <c r="T158" i="6"/>
  <c r="L901" i="6"/>
  <c r="W384" i="6"/>
  <c r="M384" i="6"/>
  <c r="W247" i="6"/>
  <c r="M247" i="6"/>
  <c r="L414" i="6"/>
  <c r="W195" i="6"/>
  <c r="M195" i="6"/>
  <c r="W803" i="6"/>
  <c r="M803" i="6"/>
  <c r="W769" i="6"/>
  <c r="M769" i="6"/>
  <c r="L675" i="6"/>
  <c r="X255" i="6"/>
  <c r="M149" i="6"/>
  <c r="X149" i="6" s="1"/>
  <c r="W149" i="6"/>
  <c r="W842" i="6"/>
  <c r="M842" i="6"/>
  <c r="X842" i="6" s="1"/>
  <c r="W159" i="6"/>
  <c r="M159" i="6"/>
  <c r="M605" i="6"/>
  <c r="X605" i="6" s="1"/>
  <c r="W605" i="6"/>
  <c r="M622" i="6"/>
  <c r="W622" i="6"/>
  <c r="M540" i="6"/>
  <c r="W540" i="6"/>
  <c r="M431" i="6"/>
  <c r="W431" i="6"/>
  <c r="M627" i="6"/>
  <c r="X627" i="6" s="1"/>
  <c r="W627" i="6"/>
  <c r="M770" i="6"/>
  <c r="W770" i="6"/>
  <c r="M152" i="6"/>
  <c r="W152" i="6"/>
  <c r="L371" i="6"/>
  <c r="W880" i="6"/>
  <c r="M880" i="6"/>
  <c r="W515" i="6"/>
  <c r="M515" i="6"/>
  <c r="M53" i="6"/>
  <c r="W53" i="6"/>
  <c r="T803" i="6"/>
  <c r="M830" i="6"/>
  <c r="W830" i="6"/>
  <c r="W505" i="6"/>
  <c r="M505" i="6"/>
  <c r="M887" i="6"/>
  <c r="W887" i="6"/>
  <c r="W301" i="6"/>
  <c r="M301" i="6"/>
  <c r="X301" i="6" s="1"/>
  <c r="X260" i="6"/>
  <c r="L729" i="6"/>
  <c r="W687" i="6"/>
  <c r="M687" i="6"/>
  <c r="L56" i="6"/>
  <c r="M263" i="6"/>
  <c r="W263" i="6"/>
  <c r="T627" i="6"/>
  <c r="W862" i="6"/>
  <c r="M862" i="6"/>
  <c r="M126" i="6"/>
  <c r="W126" i="6"/>
  <c r="W387" i="6"/>
  <c r="M387" i="6"/>
  <c r="X387" i="6" s="1"/>
  <c r="T830" i="6"/>
  <c r="W426" i="6"/>
  <c r="M426" i="6"/>
  <c r="W709" i="6"/>
  <c r="M709" i="6"/>
  <c r="L567" i="6"/>
  <c r="W138" i="6"/>
  <c r="M138" i="6"/>
  <c r="W949" i="6"/>
  <c r="M949" i="6"/>
  <c r="X949" i="6" s="1"/>
  <c r="M20" i="6"/>
  <c r="X20" i="6" s="1"/>
  <c r="W20" i="6"/>
  <c r="W21" i="6"/>
  <c r="M21" i="6"/>
  <c r="L953" i="6"/>
  <c r="M570" i="6"/>
  <c r="X570" i="6" s="1"/>
  <c r="W570" i="6"/>
  <c r="T570" i="6"/>
  <c r="T862" i="6"/>
  <c r="T126" i="6"/>
  <c r="T387" i="6"/>
  <c r="L256" i="6"/>
  <c r="W391" i="6"/>
  <c r="M391" i="6"/>
  <c r="W109" i="6"/>
  <c r="M109" i="6"/>
  <c r="X109" i="6" s="1"/>
  <c r="M752" i="6"/>
  <c r="X752" i="6" s="1"/>
  <c r="W752" i="6"/>
  <c r="W722" i="6"/>
  <c r="M722" i="6"/>
  <c r="X722" i="6" s="1"/>
  <c r="L86" i="6"/>
  <c r="L848" i="6"/>
  <c r="W922" i="6"/>
  <c r="M922" i="6"/>
  <c r="M238" i="6"/>
  <c r="X238" i="6" s="1"/>
  <c r="W238" i="6"/>
  <c r="L35" i="6"/>
  <c r="L961" i="6"/>
  <c r="W960" i="6"/>
  <c r="M960" i="6"/>
  <c r="M19" i="6"/>
  <c r="W19" i="6"/>
  <c r="L244" i="6"/>
  <c r="T391" i="6"/>
  <c r="M266" i="6"/>
  <c r="W266" i="6"/>
  <c r="M178" i="6"/>
  <c r="X178" i="6" s="1"/>
  <c r="W178" i="6"/>
  <c r="L582" i="6"/>
  <c r="M446" i="6"/>
  <c r="W446" i="6"/>
  <c r="T109" i="6"/>
  <c r="L496" i="6"/>
  <c r="W908" i="6"/>
  <c r="M908" i="6"/>
  <c r="M852" i="6"/>
  <c r="W852" i="6"/>
  <c r="T829" i="6"/>
  <c r="T922" i="6"/>
  <c r="W125" i="6"/>
  <c r="M125" i="6"/>
  <c r="X125" i="6" s="1"/>
  <c r="T238" i="6"/>
  <c r="L918" i="6"/>
  <c r="T843" i="6"/>
  <c r="W500" i="6"/>
  <c r="M500" i="6"/>
  <c r="X500" i="6" s="1"/>
  <c r="T500" i="6"/>
  <c r="L1003" i="6"/>
  <c r="T960" i="6"/>
  <c r="L537" i="6"/>
  <c r="L898" i="6"/>
  <c r="M945" i="6"/>
  <c r="W945" i="6"/>
  <c r="L309" i="6"/>
  <c r="M251" i="6"/>
  <c r="X251" i="6" s="1"/>
  <c r="W251" i="6"/>
  <c r="L332" i="6"/>
  <c r="M611" i="6"/>
  <c r="X611" i="6" s="1"/>
  <c r="W611" i="6"/>
  <c r="T682" i="6"/>
  <c r="M979" i="6"/>
  <c r="W979" i="6"/>
  <c r="M604" i="6"/>
  <c r="W604" i="6"/>
  <c r="T964" i="6"/>
  <c r="M188" i="6"/>
  <c r="X188" i="6" s="1"/>
  <c r="W188" i="6"/>
  <c r="T317" i="6"/>
  <c r="W220" i="6"/>
  <c r="M220" i="6"/>
  <c r="X220" i="6" s="1"/>
  <c r="M550" i="6"/>
  <c r="X550" i="6" s="1"/>
  <c r="W550" i="6"/>
  <c r="L977" i="6"/>
  <c r="T397" i="6"/>
  <c r="M878" i="6"/>
  <c r="X878" i="6" s="1"/>
  <c r="W878" i="6"/>
  <c r="L728" i="6"/>
  <c r="L365" i="6"/>
  <c r="L780" i="6"/>
  <c r="T777" i="6"/>
  <c r="L413" i="6"/>
  <c r="T812" i="6"/>
  <c r="W523" i="6"/>
  <c r="M523" i="6"/>
  <c r="T224" i="6"/>
  <c r="T341" i="6"/>
  <c r="W350" i="6"/>
  <c r="M350" i="6"/>
  <c r="T630" i="6"/>
  <c r="L861" i="6"/>
  <c r="W743" i="6"/>
  <c r="M743" i="6"/>
  <c r="X743" i="6" s="1"/>
  <c r="X569" i="6"/>
  <c r="W32" i="6"/>
  <c r="M32" i="6"/>
  <c r="M874" i="6"/>
  <c r="W874" i="6"/>
  <c r="L355" i="6"/>
  <c r="M40" i="6"/>
  <c r="W40" i="6"/>
  <c r="T319" i="6"/>
  <c r="M404" i="6"/>
  <c r="W404" i="6"/>
  <c r="W412" i="6"/>
  <c r="M412" i="6"/>
  <c r="T984" i="6"/>
  <c r="L432" i="6"/>
  <c r="W133" i="6"/>
  <c r="M133" i="6"/>
  <c r="X133" i="6" s="1"/>
  <c r="W80" i="6"/>
  <c r="M80" i="6"/>
  <c r="X80" i="6" s="1"/>
  <c r="M982" i="6"/>
  <c r="W982" i="6"/>
  <c r="T709" i="6"/>
  <c r="L508" i="6"/>
  <c r="L299" i="6"/>
  <c r="W525" i="6"/>
  <c r="M525" i="6"/>
  <c r="L645" i="6"/>
  <c r="M584" i="6"/>
  <c r="X584" i="6" s="1"/>
  <c r="W584" i="6"/>
  <c r="M356" i="6"/>
  <c r="X356" i="6" s="1"/>
  <c r="W356" i="6"/>
  <c r="M809" i="6"/>
  <c r="W809" i="6"/>
  <c r="M132" i="6"/>
  <c r="W132" i="6"/>
  <c r="W139" i="6"/>
  <c r="M139" i="6"/>
  <c r="W212" i="6"/>
  <c r="M212" i="6"/>
  <c r="X212" i="6" s="1"/>
  <c r="M888" i="6"/>
  <c r="W888" i="6"/>
  <c r="L66" i="6"/>
  <c r="W136" i="6"/>
  <c r="M136" i="6"/>
  <c r="X136" i="6" s="1"/>
  <c r="M67" i="6"/>
  <c r="X67" i="6" s="1"/>
  <c r="W67" i="6"/>
  <c r="W134" i="6"/>
  <c r="M134" i="6"/>
  <c r="X134" i="6" s="1"/>
  <c r="W674" i="6"/>
  <c r="M674" i="6"/>
  <c r="X674" i="6" s="1"/>
  <c r="L676" i="6"/>
  <c r="W64" i="6"/>
  <c r="M64" i="6"/>
  <c r="L677" i="6"/>
  <c r="L707" i="6"/>
  <c r="W619" i="6"/>
  <c r="M619" i="6"/>
  <c r="X619" i="6" s="1"/>
  <c r="L330" i="6"/>
  <c r="L111" i="6"/>
  <c r="M955" i="6"/>
  <c r="X955" i="6" s="1"/>
  <c r="W955" i="6"/>
  <c r="M688" i="6"/>
  <c r="W688" i="6"/>
  <c r="M182" i="6"/>
  <c r="W182" i="6"/>
  <c r="M980" i="6"/>
  <c r="W980" i="6"/>
  <c r="L169" i="6"/>
  <c r="L310" i="6"/>
  <c r="L156" i="6"/>
  <c r="L657" i="6"/>
  <c r="M994" i="6"/>
  <c r="X994" i="6" s="1"/>
  <c r="W994" i="6"/>
  <c r="W827" i="6"/>
  <c r="M827" i="6"/>
  <c r="X827" i="6" s="1"/>
  <c r="M129" i="6"/>
  <c r="X129" i="6" s="1"/>
  <c r="W129" i="6"/>
  <c r="L419" i="6"/>
  <c r="W748" i="6"/>
  <c r="M748" i="6"/>
  <c r="L583" i="6"/>
  <c r="W493" i="6"/>
  <c r="M493" i="6"/>
  <c r="X493" i="6" s="1"/>
  <c r="L726" i="6"/>
  <c r="L63" i="6"/>
  <c r="L378" i="6"/>
  <c r="W790" i="6"/>
  <c r="M790" i="6"/>
  <c r="W245" i="6"/>
  <c r="M245" i="6"/>
  <c r="M699" i="6"/>
  <c r="W699" i="6"/>
  <c r="M559" i="6"/>
  <c r="W559" i="6"/>
  <c r="M924" i="6"/>
  <c r="W924" i="6"/>
  <c r="W623" i="6"/>
  <c r="M623" i="6"/>
  <c r="M756" i="6"/>
  <c r="W756" i="6"/>
  <c r="M194" i="6"/>
  <c r="W194" i="6"/>
  <c r="M222" i="6"/>
  <c r="W222" i="6"/>
  <c r="T845" i="6"/>
  <c r="W198" i="6"/>
  <c r="M198" i="6"/>
  <c r="X198" i="6" s="1"/>
  <c r="L710" i="6"/>
  <c r="M445" i="6"/>
  <c r="X445" i="6" s="1"/>
  <c r="W445" i="6"/>
  <c r="T445" i="6"/>
  <c r="W867" i="6"/>
  <c r="M867" i="6"/>
  <c r="W941" i="6"/>
  <c r="M941" i="6"/>
  <c r="X941" i="6" s="1"/>
  <c r="T867" i="6"/>
  <c r="L912" i="6"/>
  <c r="M283" i="6"/>
  <c r="X283" i="6" s="1"/>
  <c r="W283" i="6"/>
  <c r="M295" i="6"/>
  <c r="W295" i="6"/>
  <c r="T231" i="6"/>
  <c r="M463" i="6"/>
  <c r="W463" i="6"/>
  <c r="L61" i="6"/>
  <c r="L429" i="6"/>
  <c r="W69" i="6"/>
  <c r="M69" i="6"/>
  <c r="L151" i="6"/>
  <c r="T982" i="6"/>
  <c r="M997" i="6"/>
  <c r="X997" i="6" s="1"/>
  <c r="W997" i="6"/>
  <c r="M557" i="6"/>
  <c r="W557" i="6"/>
  <c r="M813" i="6"/>
  <c r="W813" i="6"/>
  <c r="T888" i="6"/>
  <c r="L314" i="6"/>
  <c r="M967" i="6"/>
  <c r="W967" i="6"/>
  <c r="W692" i="6"/>
  <c r="M692" i="6"/>
  <c r="X692" i="6" s="1"/>
  <c r="L875" i="6"/>
  <c r="W665" i="6"/>
  <c r="M665" i="6"/>
  <c r="L153" i="6"/>
  <c r="W917" i="6"/>
  <c r="M917" i="6"/>
  <c r="L741" i="6"/>
  <c r="T619" i="6"/>
  <c r="M607" i="6"/>
  <c r="W607" i="6"/>
  <c r="T955" i="6"/>
  <c r="T688" i="6"/>
  <c r="L1006" i="6"/>
  <c r="L47" i="6"/>
  <c r="L293" i="6"/>
  <c r="M942" i="6"/>
  <c r="X942" i="6" s="1"/>
  <c r="W942" i="6"/>
  <c r="M12" i="6"/>
  <c r="W12" i="6"/>
  <c r="W858" i="6"/>
  <c r="M858" i="6"/>
  <c r="X858" i="6" s="1"/>
  <c r="W652" i="6"/>
  <c r="M652" i="6"/>
  <c r="W157" i="6"/>
  <c r="M157" i="6"/>
  <c r="X157" i="6" s="1"/>
  <c r="L609" i="6"/>
  <c r="L526" i="6"/>
  <c r="W459" i="6"/>
  <c r="M459" i="6"/>
  <c r="X459" i="6" s="1"/>
  <c r="M36" i="6"/>
  <c r="W36" i="6"/>
  <c r="L560" i="6"/>
  <c r="W14" i="6"/>
  <c r="M14" i="6"/>
  <c r="L187" i="6"/>
  <c r="L253" i="6"/>
  <c r="M708" i="6"/>
  <c r="W708" i="6"/>
  <c r="W313" i="6"/>
  <c r="M313" i="6"/>
  <c r="W804" i="6"/>
  <c r="M804" i="6"/>
  <c r="M147" i="6"/>
  <c r="W147" i="6"/>
  <c r="W116" i="6"/>
  <c r="M116" i="6"/>
  <c r="M424" i="6"/>
  <c r="X424" i="6" s="1"/>
  <c r="W424" i="6"/>
  <c r="W353" i="6"/>
  <c r="M353" i="6"/>
  <c r="X353" i="6" s="1"/>
  <c r="W123" i="6"/>
  <c r="M123" i="6"/>
  <c r="X123" i="6" s="1"/>
  <c r="M1001" i="6"/>
  <c r="W1001" i="6"/>
  <c r="W761" i="6"/>
  <c r="M761" i="6"/>
  <c r="W925" i="6"/>
  <c r="M925" i="6"/>
  <c r="W262" i="6"/>
  <c r="M262" i="6"/>
  <c r="X262" i="6" s="1"/>
  <c r="M200" i="6"/>
  <c r="W200" i="6"/>
  <c r="W271" i="6"/>
  <c r="M271" i="6"/>
  <c r="L747" i="6"/>
  <c r="W264" i="6"/>
  <c r="M264" i="6"/>
  <c r="W26" i="6"/>
  <c r="M26" i="6"/>
  <c r="W273" i="6"/>
  <c r="M273" i="6"/>
  <c r="W776" i="6"/>
  <c r="M776" i="6"/>
  <c r="X776" i="6" s="1"/>
  <c r="M775" i="6"/>
  <c r="W775" i="6"/>
  <c r="W307" i="6"/>
  <c r="M307" i="6"/>
  <c r="W79" i="6"/>
  <c r="M79" i="6"/>
  <c r="T242" i="6"/>
  <c r="T239" i="6"/>
  <c r="T328" i="6"/>
  <c r="W484" i="6"/>
  <c r="M484" i="6"/>
  <c r="W492" i="6"/>
  <c r="M492" i="6"/>
  <c r="X492" i="6" s="1"/>
  <c r="M660" i="6"/>
  <c r="X660" i="6" s="1"/>
  <c r="W660" i="6"/>
  <c r="W531" i="6"/>
  <c r="M531" i="6"/>
  <c r="M589" i="6"/>
  <c r="W589" i="6"/>
  <c r="M820" i="6"/>
  <c r="W820" i="6"/>
  <c r="M573" i="6"/>
  <c r="W573" i="6"/>
  <c r="T274" i="6"/>
  <c r="T854" i="6"/>
  <c r="T776" i="6"/>
  <c r="W137" i="6"/>
  <c r="M137" i="6"/>
  <c r="M77" i="6"/>
  <c r="W77" i="6"/>
  <c r="W807" i="6"/>
  <c r="M807" i="6"/>
  <c r="X807" i="6" s="1"/>
  <c r="M108" i="6"/>
  <c r="X108" i="6" s="1"/>
  <c r="W108" i="6"/>
  <c r="W144" i="6"/>
  <c r="M144" i="6"/>
  <c r="X144" i="6" s="1"/>
  <c r="W322" i="6"/>
  <c r="M322" i="6"/>
  <c r="X322" i="6" s="1"/>
  <c r="W714" i="6"/>
  <c r="M714" i="6"/>
  <c r="M903" i="6"/>
  <c r="W903" i="6"/>
  <c r="T552" i="6"/>
  <c r="T733" i="6"/>
  <c r="W103" i="6"/>
  <c r="M103" i="6"/>
  <c r="L577" i="6"/>
  <c r="T384" i="6"/>
  <c r="W651" i="6"/>
  <c r="M651" i="6"/>
  <c r="M695" i="6"/>
  <c r="X695" i="6" s="1"/>
  <c r="W695" i="6"/>
  <c r="W267" i="6"/>
  <c r="M267" i="6"/>
  <c r="W437" i="6"/>
  <c r="M437" i="6"/>
  <c r="X437" i="6" s="1"/>
  <c r="T137" i="6"/>
  <c r="W725" i="6"/>
  <c r="M725" i="6"/>
  <c r="T195" i="6"/>
  <c r="M243" i="6"/>
  <c r="W243" i="6"/>
  <c r="T144" i="6"/>
  <c r="L673" i="6"/>
  <c r="W717" i="6"/>
  <c r="M717" i="6"/>
  <c r="X717" i="6" s="1"/>
  <c r="T717" i="6"/>
  <c r="L524" i="6"/>
  <c r="W911" i="6"/>
  <c r="M911" i="6"/>
  <c r="X911" i="6" s="1"/>
  <c r="M213" i="6"/>
  <c r="X213" i="6" s="1"/>
  <c r="W213" i="6"/>
  <c r="W331" i="6"/>
  <c r="M331" i="6"/>
  <c r="W527" i="6"/>
  <c r="M527" i="6"/>
  <c r="X527" i="6" s="1"/>
  <c r="W789" i="6"/>
  <c r="M789" i="6"/>
  <c r="M252" i="6"/>
  <c r="W252" i="6"/>
  <c r="M555" i="6"/>
  <c r="X555" i="6" s="1"/>
  <c r="W555" i="6"/>
  <c r="T267" i="6"/>
  <c r="M395" i="6"/>
  <c r="X395" i="6" s="1"/>
  <c r="W395" i="6"/>
  <c r="L37" i="6"/>
  <c r="M216" i="6"/>
  <c r="W216" i="6"/>
  <c r="T770" i="6"/>
  <c r="M629" i="6"/>
  <c r="X629" i="6" s="1"/>
  <c r="W629" i="6"/>
  <c r="M449" i="6"/>
  <c r="X449" i="6" s="1"/>
  <c r="W449" i="6"/>
  <c r="M799" i="6"/>
  <c r="W799" i="6"/>
  <c r="T880" i="6"/>
  <c r="L225" i="6"/>
  <c r="W117" i="6"/>
  <c r="M117" i="6"/>
  <c r="W930" i="6"/>
  <c r="M930" i="6"/>
  <c r="W972" i="6"/>
  <c r="M972" i="6"/>
  <c r="M562" i="6"/>
  <c r="W562" i="6"/>
  <c r="M948" i="6"/>
  <c r="X948" i="6" s="1"/>
  <c r="W948" i="6"/>
  <c r="T592" i="6"/>
  <c r="W904" i="6"/>
  <c r="M904" i="6"/>
  <c r="T789" i="6"/>
  <c r="X321" i="6"/>
  <c r="N321" i="6"/>
  <c r="W788" i="6"/>
  <c r="M788" i="6"/>
  <c r="W738" i="6"/>
  <c r="M738" i="6"/>
  <c r="X738" i="6" s="1"/>
  <c r="T738" i="6"/>
  <c r="T216" i="6"/>
  <c r="W521" i="6"/>
  <c r="M521" i="6"/>
  <c r="X521" i="6" s="1"/>
  <c r="W631" i="6"/>
  <c r="M631" i="6"/>
  <c r="T115" i="6"/>
  <c r="L817" i="6"/>
  <c r="T930" i="6"/>
  <c r="W516" i="6"/>
  <c r="M516" i="6"/>
  <c r="M684" i="6"/>
  <c r="W684" i="6"/>
  <c r="W179" i="6"/>
  <c r="M179" i="6"/>
  <c r="L398" i="6"/>
  <c r="T788" i="6"/>
  <c r="L664" i="6"/>
  <c r="L712" i="6"/>
  <c r="L91" i="6"/>
  <c r="W367" i="6"/>
  <c r="M367" i="6"/>
  <c r="X367" i="6" s="1"/>
  <c r="W519" i="6"/>
  <c r="M519" i="6"/>
  <c r="W491" i="6"/>
  <c r="M491" i="6"/>
  <c r="X491" i="6" s="1"/>
  <c r="L734" i="6"/>
  <c r="M902" i="6"/>
  <c r="X902" i="6" s="1"/>
  <c r="W902" i="6"/>
  <c r="W509" i="6"/>
  <c r="M509" i="6"/>
  <c r="M382" i="6"/>
  <c r="X382" i="6" s="1"/>
  <c r="W382" i="6"/>
  <c r="L703" i="6"/>
  <c r="M846" i="6"/>
  <c r="W846" i="6"/>
  <c r="M407" i="6"/>
  <c r="X407" i="6" s="1"/>
  <c r="W407" i="6"/>
  <c r="W745" i="6"/>
  <c r="M745" i="6"/>
  <c r="X745" i="6" s="1"/>
  <c r="M698" i="6"/>
  <c r="W698" i="6"/>
  <c r="W801" i="6"/>
  <c r="M801" i="6"/>
  <c r="X801" i="6" s="1"/>
  <c r="T801" i="6"/>
  <c r="M405" i="6"/>
  <c r="W405" i="6"/>
  <c r="L938" i="6"/>
  <c r="W114" i="6"/>
  <c r="M114" i="6"/>
  <c r="X114" i="6" s="1"/>
  <c r="W308" i="6"/>
  <c r="M308" i="6"/>
  <c r="M976" i="6"/>
  <c r="X976" i="6" s="1"/>
  <c r="W976" i="6"/>
  <c r="M706" i="6"/>
  <c r="W706" i="6"/>
  <c r="L798" i="6"/>
  <c r="T132" i="6"/>
  <c r="L392" i="6"/>
  <c r="M872" i="6"/>
  <c r="W872" i="6"/>
  <c r="M249" i="6"/>
  <c r="X249" i="6" s="1"/>
  <c r="W249" i="6"/>
  <c r="T249" i="6"/>
  <c r="M72" i="6"/>
  <c r="X72" i="6" s="1"/>
  <c r="W72" i="6"/>
  <c r="X297" i="6"/>
  <c r="M127" i="6"/>
  <c r="W127" i="6"/>
  <c r="L636" i="6"/>
  <c r="W877" i="6"/>
  <c r="M877" i="6"/>
  <c r="W759" i="6"/>
  <c r="M759" i="6"/>
  <c r="X759" i="6" s="1"/>
  <c r="M585" i="6"/>
  <c r="X585" i="6" s="1"/>
  <c r="W585" i="6"/>
  <c r="T114" i="6"/>
  <c r="T557" i="6"/>
  <c r="W146" i="6"/>
  <c r="M146" i="6"/>
  <c r="X146" i="6" s="1"/>
  <c r="L838" i="6"/>
  <c r="W642" i="6"/>
  <c r="M642" i="6"/>
  <c r="W986" i="6"/>
  <c r="M986" i="6"/>
  <c r="X986" i="6" s="1"/>
  <c r="L860" i="6"/>
  <c r="M452" i="6"/>
  <c r="W452" i="6"/>
  <c r="M338" i="6"/>
  <c r="X338" i="6" s="1"/>
  <c r="W338" i="6"/>
  <c r="T338" i="6"/>
  <c r="M27" i="6"/>
  <c r="W27" i="6"/>
  <c r="T813" i="6"/>
  <c r="L130" i="6"/>
  <c r="R18" i="8"/>
  <c r="B12" i="7"/>
  <c r="D12" i="7" s="1"/>
  <c r="W204" i="6"/>
  <c r="M204" i="6"/>
  <c r="L686" i="6"/>
  <c r="T692" i="6"/>
  <c r="L140" i="6"/>
  <c r="T665" i="6"/>
  <c r="W154" i="6"/>
  <c r="M154" i="6"/>
  <c r="X154" i="6" s="1"/>
  <c r="L792" i="6"/>
  <c r="L211" i="6"/>
  <c r="L400" i="6"/>
  <c r="L737" i="6"/>
  <c r="L579" i="6"/>
  <c r="L816" i="6"/>
  <c r="L551" i="6"/>
  <c r="L819" i="6"/>
  <c r="T942" i="6"/>
  <c r="T858" i="6"/>
  <c r="M233" i="6"/>
  <c r="X233" i="6" s="1"/>
  <c r="W233" i="6"/>
  <c r="T459" i="6"/>
  <c r="L389" i="6"/>
  <c r="M57" i="6"/>
  <c r="W57" i="6"/>
  <c r="W633" i="6"/>
  <c r="M633" i="6"/>
  <c r="X633" i="6" s="1"/>
  <c r="M928" i="6"/>
  <c r="X928" i="6" s="1"/>
  <c r="W928" i="6"/>
  <c r="W529" i="6"/>
  <c r="M529" i="6"/>
  <c r="X529" i="6" s="1"/>
  <c r="W190" i="6"/>
  <c r="M190" i="6"/>
  <c r="M479" i="6"/>
  <c r="X479" i="6" s="1"/>
  <c r="W479" i="6"/>
  <c r="M352" i="6"/>
  <c r="W352" i="6"/>
  <c r="M94" i="6"/>
  <c r="X94" i="6" s="1"/>
  <c r="W94" i="6"/>
  <c r="M859" i="6"/>
  <c r="W859" i="6"/>
  <c r="W810" i="6"/>
  <c r="M810" i="6"/>
  <c r="W383" i="6"/>
  <c r="M383" i="6"/>
  <c r="T921" i="6"/>
  <c r="W218" i="6"/>
  <c r="M218" i="6"/>
  <c r="X218" i="6" s="1"/>
  <c r="T147" i="6"/>
  <c r="M379" i="6"/>
  <c r="W379" i="6"/>
  <c r="W184" i="6"/>
  <c r="M184" i="6"/>
  <c r="W485" i="6"/>
  <c r="M485" i="6"/>
  <c r="X485" i="6" s="1"/>
  <c r="T805" i="6"/>
  <c r="T123" i="6"/>
  <c r="M981" i="6"/>
  <c r="W981" i="6"/>
  <c r="T859" i="6"/>
  <c r="M833" i="6"/>
  <c r="W833" i="6"/>
  <c r="W693" i="6"/>
  <c r="M693" i="6"/>
  <c r="M113" i="6"/>
  <c r="X113" i="6" s="1"/>
  <c r="W113" i="6"/>
  <c r="M667" i="6"/>
  <c r="W667" i="6"/>
  <c r="W514" i="6"/>
  <c r="M514" i="6"/>
  <c r="X514" i="6" s="1"/>
  <c r="T659" i="6"/>
  <c r="M87" i="6"/>
  <c r="X87" i="6" s="1"/>
  <c r="W87" i="6"/>
  <c r="T222" i="6"/>
  <c r="M361" i="6"/>
  <c r="X361" i="6" s="1"/>
  <c r="W361" i="6"/>
  <c r="M600" i="6"/>
  <c r="W600" i="6"/>
  <c r="T326" i="6"/>
  <c r="M336" i="6"/>
  <c r="W336" i="6"/>
  <c r="W503" i="6"/>
  <c r="M503" i="6"/>
  <c r="X503" i="6" s="1"/>
  <c r="M311" i="6"/>
  <c r="X311" i="6" s="1"/>
  <c r="W311" i="6"/>
  <c r="M380" i="6"/>
  <c r="X380" i="6" s="1"/>
  <c r="W380" i="6"/>
  <c r="T380" i="6"/>
  <c r="M865" i="6"/>
  <c r="X865" i="6" s="1"/>
  <c r="W865" i="6"/>
  <c r="W808" i="6"/>
  <c r="M808" i="6"/>
  <c r="X808" i="6" s="1"/>
  <c r="T184" i="6"/>
  <c r="T485" i="6"/>
  <c r="T148" i="6"/>
  <c r="M863" i="6"/>
  <c r="X863" i="6" s="1"/>
  <c r="W863" i="6"/>
  <c r="T693" i="6"/>
  <c r="W209" i="6"/>
  <c r="M209" i="6"/>
  <c r="X209" i="6" s="1"/>
  <c r="M957" i="6"/>
  <c r="W957" i="6"/>
  <c r="T558" i="6"/>
  <c r="T683" i="6"/>
  <c r="W873" i="6"/>
  <c r="M873" i="6"/>
  <c r="W996" i="6"/>
  <c r="M996" i="6"/>
  <c r="X996" i="6" s="1"/>
  <c r="M34" i="6"/>
  <c r="W34" i="6"/>
  <c r="L210" i="6"/>
  <c r="M581" i="6"/>
  <c r="W581" i="6"/>
  <c r="M621" i="6"/>
  <c r="W621" i="6"/>
  <c r="M265" i="6"/>
  <c r="W265" i="6"/>
  <c r="W831" i="6"/>
  <c r="M831" i="6"/>
  <c r="T336" i="6"/>
  <c r="T503" i="6"/>
  <c r="L502" i="6"/>
  <c r="M76" i="6"/>
  <c r="W76" i="6"/>
  <c r="T593" i="6"/>
  <c r="W926" i="6"/>
  <c r="M926" i="6"/>
  <c r="X926" i="6" s="1"/>
  <c r="T926" i="6"/>
  <c r="M100" i="6"/>
  <c r="W100" i="6"/>
  <c r="M639" i="6"/>
  <c r="X639" i="6" s="1"/>
  <c r="W639" i="6"/>
  <c r="T639" i="6"/>
  <c r="L786" i="6"/>
  <c r="T581" i="6"/>
  <c r="W316" i="6"/>
  <c r="M316" i="6"/>
  <c r="W730" i="6"/>
  <c r="M730" i="6"/>
  <c r="T307" i="6"/>
  <c r="L438" i="6"/>
  <c r="W320" i="6"/>
  <c r="M320" i="6"/>
  <c r="M334" i="6"/>
  <c r="W334" i="6"/>
  <c r="W364" i="6"/>
  <c r="M364" i="6"/>
  <c r="X364" i="6" s="1"/>
  <c r="T492" i="6"/>
  <c r="M671" i="6"/>
  <c r="X671" i="6" s="1"/>
  <c r="W671" i="6"/>
  <c r="L757" i="6"/>
  <c r="M705" i="6"/>
  <c r="W705" i="6"/>
  <c r="M406" i="6"/>
  <c r="X406" i="6" s="1"/>
  <c r="W406" i="6"/>
  <c r="T573" i="6"/>
  <c r="M568" i="6"/>
  <c r="W568" i="6"/>
  <c r="M88" i="6"/>
  <c r="X88" i="6" s="1"/>
  <c r="W88" i="6"/>
  <c r="W868" i="6"/>
  <c r="M868" i="6"/>
  <c r="X868" i="6" s="1"/>
  <c r="M161" i="6"/>
  <c r="W161" i="6"/>
  <c r="T108" i="6"/>
  <c r="M971" i="6"/>
  <c r="W971" i="6"/>
  <c r="W85" i="6"/>
  <c r="M85" i="6"/>
  <c r="M340" i="6"/>
  <c r="X340" i="6" s="1"/>
  <c r="W340" i="6"/>
  <c r="M597" i="6"/>
  <c r="X597" i="6" s="1"/>
  <c r="W597" i="6"/>
  <c r="W650" i="6"/>
  <c r="M650" i="6"/>
  <c r="X650" i="6" s="1"/>
  <c r="M628" i="6"/>
  <c r="W628" i="6"/>
  <c r="L81" i="6"/>
  <c r="M822" i="6"/>
  <c r="X822" i="6" s="1"/>
  <c r="W822" i="6"/>
  <c r="W300" i="6"/>
  <c r="M300" i="6"/>
  <c r="M102" i="6"/>
  <c r="X102" i="6" s="1"/>
  <c r="W102" i="6"/>
  <c r="L497" i="6"/>
  <c r="W704" i="6"/>
  <c r="M704" i="6"/>
  <c r="W433" i="6"/>
  <c r="M433" i="6"/>
  <c r="M536" i="6"/>
  <c r="W536" i="6"/>
  <c r="T213" i="6"/>
  <c r="W618" i="6"/>
  <c r="M618" i="6"/>
  <c r="X618" i="6" s="1"/>
  <c r="L393" i="6"/>
  <c r="M544" i="6"/>
  <c r="W544" i="6"/>
  <c r="L277" i="6"/>
  <c r="M778" i="6"/>
  <c r="W778" i="6"/>
  <c r="W223" i="6"/>
  <c r="M223" i="6"/>
  <c r="M54" i="6"/>
  <c r="W54" i="6"/>
  <c r="W342" i="6"/>
  <c r="M342" i="6"/>
  <c r="W339" i="6"/>
  <c r="M339" i="6"/>
  <c r="X339" i="6" s="1"/>
  <c r="M205" i="6"/>
  <c r="W205" i="6"/>
  <c r="W870" i="6"/>
  <c r="M870" i="6"/>
  <c r="X870" i="6" s="1"/>
  <c r="L929" i="6"/>
  <c r="M900" i="6"/>
  <c r="X900" i="6" s="1"/>
  <c r="W900" i="6"/>
  <c r="T972" i="6"/>
  <c r="L760" i="6"/>
  <c r="T536" i="6"/>
  <c r="W694" i="6"/>
  <c r="M694" i="6"/>
  <c r="T948" i="6"/>
  <c r="M155" i="6"/>
  <c r="X155" i="6" s="1"/>
  <c r="W155" i="6"/>
  <c r="T949" i="6"/>
  <c r="T223" i="6"/>
  <c r="W372" i="6"/>
  <c r="M372" i="6"/>
  <c r="T342" i="6"/>
  <c r="T339" i="6"/>
  <c r="W641" i="6"/>
  <c r="M641" i="6"/>
  <c r="T870" i="6"/>
  <c r="W828" i="6"/>
  <c r="M828" i="6"/>
  <c r="X828" i="6" s="1"/>
  <c r="W276" i="6"/>
  <c r="M276" i="6"/>
  <c r="X276" i="6" s="1"/>
  <c r="T276" i="6"/>
  <c r="W530" i="6"/>
  <c r="M530" i="6"/>
  <c r="T631" i="6"/>
  <c r="L916" i="6"/>
  <c r="T752" i="6"/>
  <c r="M305" i="6"/>
  <c r="W305" i="6"/>
  <c r="W420" i="6"/>
  <c r="M420" i="6"/>
  <c r="L594" i="6"/>
  <c r="M732" i="6"/>
  <c r="X732" i="6" s="1"/>
  <c r="W732" i="6"/>
  <c r="T407" i="6"/>
  <c r="L643" i="6"/>
  <c r="T698" i="6"/>
  <c r="L847" i="6"/>
  <c r="W818" i="6"/>
  <c r="M818" i="6"/>
  <c r="X818" i="6" s="1"/>
  <c r="L670" i="6"/>
  <c r="L669" i="6"/>
  <c r="M662" i="6"/>
  <c r="W662" i="6"/>
  <c r="T212" i="6"/>
  <c r="M826" i="6"/>
  <c r="X826" i="6" s="1"/>
  <c r="W826" i="6"/>
  <c r="T292" i="6"/>
  <c r="T127" i="6"/>
  <c r="L811" i="6"/>
  <c r="T877" i="6"/>
  <c r="T759" i="6"/>
  <c r="T790" i="6"/>
  <c r="T585" i="6"/>
  <c r="W1008" i="6"/>
  <c r="M1008" i="6"/>
  <c r="M425" i="6"/>
  <c r="W425" i="6"/>
  <c r="L610" i="6"/>
  <c r="M649" i="6"/>
  <c r="W649" i="6"/>
  <c r="L851" i="6"/>
  <c r="W6" i="6"/>
  <c r="M6" i="6"/>
  <c r="W718" i="6"/>
  <c r="M718" i="6"/>
  <c r="X718" i="6" s="1"/>
  <c r="T718" i="6"/>
  <c r="M369" i="6"/>
  <c r="W369" i="6"/>
  <c r="T462" i="6"/>
  <c r="W457" i="6"/>
  <c r="M457" i="6"/>
  <c r="M721" i="6"/>
  <c r="X721" i="6" s="1"/>
  <c r="W721" i="6"/>
  <c r="M620" i="6"/>
  <c r="W620" i="6"/>
  <c r="T633" i="6"/>
  <c r="W121" i="6"/>
  <c r="M121" i="6"/>
  <c r="W5" i="6"/>
  <c r="M5" i="6"/>
  <c r="L751" i="6"/>
  <c r="T110" i="6"/>
  <c r="T452" i="6"/>
  <c r="T232" i="6"/>
  <c r="W895" i="6"/>
  <c r="M895" i="6"/>
  <c r="T849" i="6"/>
  <c r="L394" i="6"/>
  <c r="L13" i="6"/>
  <c r="T11" i="6"/>
  <c r="M533" i="6"/>
  <c r="X533" i="6" s="1"/>
  <c r="W533" i="6"/>
  <c r="L561" i="6"/>
  <c r="W727" i="6"/>
  <c r="M727" i="6"/>
  <c r="T154" i="6"/>
  <c r="T1007" i="6"/>
  <c r="L702" i="6"/>
  <c r="T423" i="6"/>
  <c r="W750" i="6"/>
  <c r="M750" i="6"/>
  <c r="L864" i="6"/>
  <c r="T488" i="6"/>
  <c r="W987" i="6"/>
  <c r="M987" i="6"/>
  <c r="W345" i="6"/>
  <c r="M345" i="6"/>
  <c r="X345" i="6" s="1"/>
  <c r="L615" i="6"/>
  <c r="T944" i="6"/>
  <c r="L460" i="6"/>
  <c r="L985" i="6"/>
  <c r="L284" i="6"/>
  <c r="T279" i="6"/>
  <c r="W99" i="6"/>
  <c r="M99" i="6"/>
  <c r="M471" i="6"/>
  <c r="X471" i="6" s="1"/>
  <c r="W471" i="6"/>
  <c r="M208" i="6"/>
  <c r="W208" i="6"/>
  <c r="L386" i="6"/>
  <c r="L416" i="6"/>
  <c r="M287" i="6"/>
  <c r="W287" i="6"/>
  <c r="M439" i="6"/>
  <c r="W439" i="6"/>
  <c r="T522" i="6"/>
  <c r="T233" i="6"/>
  <c r="T715" i="6"/>
  <c r="L203" i="6"/>
  <c r="T33" i="6"/>
  <c r="T656" i="6"/>
  <c r="L841" i="6"/>
  <c r="M580" i="6"/>
  <c r="W580" i="6"/>
  <c r="L483" i="6"/>
  <c r="M89" i="6"/>
  <c r="W89" i="6"/>
  <c r="W315" i="6"/>
  <c r="M315" i="6"/>
  <c r="T541" i="6"/>
  <c r="N903" i="6" l="1"/>
  <c r="X903" i="6"/>
  <c r="M153" i="6"/>
  <c r="W153" i="6"/>
  <c r="T153" i="6"/>
  <c r="X523" i="6"/>
  <c r="N523" i="6"/>
  <c r="X614" i="6"/>
  <c r="N614" i="6"/>
  <c r="X706" i="6"/>
  <c r="N706" i="6"/>
  <c r="X714" i="6"/>
  <c r="N714" i="6"/>
  <c r="X589" i="6"/>
  <c r="N589" i="6"/>
  <c r="X26" i="6"/>
  <c r="N26" i="6"/>
  <c r="X463" i="6"/>
  <c r="N463" i="6"/>
  <c r="X412" i="6"/>
  <c r="N412" i="6"/>
  <c r="X979" i="6"/>
  <c r="N979" i="6"/>
  <c r="W35" i="6"/>
  <c r="M35" i="6"/>
  <c r="T35" i="6"/>
  <c r="W953" i="6"/>
  <c r="M953" i="6"/>
  <c r="X953" i="6" s="1"/>
  <c r="T953" i="6"/>
  <c r="W371" i="6"/>
  <c r="M371" i="6"/>
  <c r="T371" i="6"/>
  <c r="W675" i="6"/>
  <c r="M675" i="6"/>
  <c r="X675" i="6" s="1"/>
  <c r="T675" i="6"/>
  <c r="M774" i="6"/>
  <c r="X774" i="6" s="1"/>
  <c r="W774" i="6"/>
  <c r="T774" i="6"/>
  <c r="X473" i="6"/>
  <c r="N473" i="6"/>
  <c r="X95" i="6"/>
  <c r="N95" i="6"/>
  <c r="X468" i="6"/>
  <c r="N468" i="6"/>
  <c r="N58" i="6"/>
  <c r="X58" i="6"/>
  <c r="M534" i="6"/>
  <c r="X534" i="6" s="1"/>
  <c r="W534" i="6"/>
  <c r="T534" i="6"/>
  <c r="X173" i="6"/>
  <c r="N173" i="6"/>
  <c r="W499" i="6"/>
  <c r="M499" i="6"/>
  <c r="T499" i="6"/>
  <c r="N370" i="6"/>
  <c r="X370" i="6"/>
  <c r="X99" i="6"/>
  <c r="N99" i="6"/>
  <c r="M561" i="6"/>
  <c r="W561" i="6"/>
  <c r="T561" i="6"/>
  <c r="X457" i="6"/>
  <c r="N457" i="6"/>
  <c r="M811" i="6"/>
  <c r="W811" i="6"/>
  <c r="T811" i="6"/>
  <c r="X305" i="6"/>
  <c r="N305" i="6"/>
  <c r="W81" i="6"/>
  <c r="M81" i="6"/>
  <c r="X81" i="6" s="1"/>
  <c r="T81" i="6"/>
  <c r="M786" i="6"/>
  <c r="X786" i="6" s="1"/>
  <c r="W786" i="6"/>
  <c r="T786" i="6"/>
  <c r="N581" i="6"/>
  <c r="X581" i="6"/>
  <c r="X57" i="6"/>
  <c r="N57" i="6"/>
  <c r="X243" i="6"/>
  <c r="N243" i="6"/>
  <c r="X531" i="6"/>
  <c r="N531" i="6"/>
  <c r="X116" i="6"/>
  <c r="N116" i="6"/>
  <c r="W419" i="6"/>
  <c r="M419" i="6"/>
  <c r="X419" i="6" s="1"/>
  <c r="T419" i="6"/>
  <c r="X132" i="6"/>
  <c r="N132" i="6"/>
  <c r="X21" i="6"/>
  <c r="N21" i="6"/>
  <c r="X263" i="6"/>
  <c r="N263" i="6"/>
  <c r="N769" i="6"/>
  <c r="X769" i="6"/>
  <c r="M897" i="6"/>
  <c r="W897" i="6"/>
  <c r="T897" i="6"/>
  <c r="X593" i="6"/>
  <c r="N593" i="6"/>
  <c r="N603" i="6"/>
  <c r="X603" i="6"/>
  <c r="X236" i="6"/>
  <c r="N236" i="6"/>
  <c r="N950" i="6"/>
  <c r="X950" i="6"/>
  <c r="M444" i="6"/>
  <c r="X444" i="6" s="1"/>
  <c r="W444" i="6"/>
  <c r="T444" i="6"/>
  <c r="W956" i="6"/>
  <c r="M956" i="6"/>
  <c r="T956" i="6"/>
  <c r="X572" i="6"/>
  <c r="N572" i="6"/>
  <c r="X368" i="6"/>
  <c r="N368" i="6"/>
  <c r="W773" i="6"/>
  <c r="M773" i="6"/>
  <c r="X773" i="6" s="1"/>
  <c r="T773" i="6"/>
  <c r="M909" i="6"/>
  <c r="W909" i="6"/>
  <c r="T909" i="6"/>
  <c r="X999" i="6"/>
  <c r="N999" i="6"/>
  <c r="X15" i="6"/>
  <c r="N15" i="6"/>
  <c r="X749" i="6"/>
  <c r="N749" i="6"/>
  <c r="X418" i="6"/>
  <c r="N418" i="6"/>
  <c r="X89" i="6"/>
  <c r="N89" i="6"/>
  <c r="X694" i="6"/>
  <c r="N694" i="6"/>
  <c r="X778" i="6"/>
  <c r="N778" i="6"/>
  <c r="M210" i="6"/>
  <c r="W210" i="6"/>
  <c r="T210" i="6"/>
  <c r="X667" i="6"/>
  <c r="N667" i="6"/>
  <c r="X383" i="6"/>
  <c r="N383" i="6"/>
  <c r="W389" i="6"/>
  <c r="M389" i="6"/>
  <c r="T389" i="6"/>
  <c r="N509" i="6"/>
  <c r="X509" i="6"/>
  <c r="X562" i="6"/>
  <c r="N562" i="6"/>
  <c r="X264" i="6"/>
  <c r="N264" i="6"/>
  <c r="X652" i="6"/>
  <c r="N652" i="6"/>
  <c r="W875" i="6"/>
  <c r="M875" i="6"/>
  <c r="T875" i="6"/>
  <c r="X756" i="6"/>
  <c r="N756" i="6"/>
  <c r="M707" i="6"/>
  <c r="W707" i="6"/>
  <c r="T707" i="6"/>
  <c r="M413" i="6"/>
  <c r="W413" i="6"/>
  <c r="T413" i="6"/>
  <c r="W56" i="6"/>
  <c r="M56" i="6"/>
  <c r="T56" i="6"/>
  <c r="X152" i="6"/>
  <c r="N152" i="6"/>
  <c r="X854" i="6"/>
  <c r="N854" i="6"/>
  <c r="M932" i="6"/>
  <c r="X932" i="6" s="1"/>
  <c r="W932" i="6"/>
  <c r="T932" i="6"/>
  <c r="X812" i="6"/>
  <c r="N812" i="6"/>
  <c r="M635" i="6"/>
  <c r="W635" i="6"/>
  <c r="T635" i="6"/>
  <c r="X462" i="6"/>
  <c r="N462" i="6"/>
  <c r="M959" i="6"/>
  <c r="W959" i="6"/>
  <c r="T959" i="6"/>
  <c r="M546" i="6"/>
  <c r="W546" i="6"/>
  <c r="T546" i="6"/>
  <c r="M746" i="6"/>
  <c r="W746" i="6"/>
  <c r="T746" i="6"/>
  <c r="X434" i="6"/>
  <c r="N434" i="6"/>
  <c r="M598" i="6"/>
  <c r="X598" i="6" s="1"/>
  <c r="W598" i="6"/>
  <c r="T598" i="6"/>
  <c r="W767" i="6"/>
  <c r="M767" i="6"/>
  <c r="T767" i="6"/>
  <c r="X455" i="6"/>
  <c r="N455" i="6"/>
  <c r="X856" i="6"/>
  <c r="N856" i="6"/>
  <c r="N791" i="6"/>
  <c r="X791" i="6"/>
  <c r="W483" i="6"/>
  <c r="M483" i="6"/>
  <c r="T483" i="6"/>
  <c r="W916" i="6"/>
  <c r="M916" i="6"/>
  <c r="T916" i="6"/>
  <c r="W277" i="6"/>
  <c r="M277" i="6"/>
  <c r="X277" i="6" s="1"/>
  <c r="T277" i="6"/>
  <c r="X628" i="6"/>
  <c r="N628" i="6"/>
  <c r="N308" i="6"/>
  <c r="X308" i="6"/>
  <c r="W817" i="6"/>
  <c r="M817" i="6"/>
  <c r="T817" i="6"/>
  <c r="X972" i="6"/>
  <c r="N972" i="6"/>
  <c r="N725" i="6"/>
  <c r="X725" i="6"/>
  <c r="X295" i="6"/>
  <c r="N295" i="6"/>
  <c r="X623" i="6"/>
  <c r="N623" i="6"/>
  <c r="M677" i="6"/>
  <c r="W677" i="6"/>
  <c r="T677" i="6"/>
  <c r="N809" i="6"/>
  <c r="X809" i="6"/>
  <c r="N404" i="6"/>
  <c r="X404" i="6"/>
  <c r="X852" i="6"/>
  <c r="N852" i="6"/>
  <c r="X922" i="6"/>
  <c r="N922" i="6"/>
  <c r="X687" i="6"/>
  <c r="N687" i="6"/>
  <c r="X803" i="6"/>
  <c r="N803" i="6"/>
  <c r="X183" i="6"/>
  <c r="N183" i="6"/>
  <c r="X145" i="6"/>
  <c r="N145" i="6"/>
  <c r="X782" i="6"/>
  <c r="N782" i="6"/>
  <c r="X390" i="6"/>
  <c r="N390" i="6"/>
  <c r="X82" i="6"/>
  <c r="N82" i="6"/>
  <c r="M83" i="6"/>
  <c r="X83" i="6" s="1"/>
  <c r="W83" i="6"/>
  <c r="T83" i="6"/>
  <c r="X538" i="6"/>
  <c r="N538" i="6"/>
  <c r="X226" i="6"/>
  <c r="N226" i="6"/>
  <c r="X539" i="6"/>
  <c r="N539" i="6"/>
  <c r="M915" i="6"/>
  <c r="W915" i="6"/>
  <c r="T915" i="6"/>
  <c r="W410" i="6"/>
  <c r="M410" i="6"/>
  <c r="T410" i="6"/>
  <c r="X475" i="6"/>
  <c r="N475" i="6"/>
  <c r="X825" i="6"/>
  <c r="N825" i="6"/>
  <c r="W284" i="6"/>
  <c r="M284" i="6"/>
  <c r="T284" i="6"/>
  <c r="N34" i="6"/>
  <c r="X34" i="6"/>
  <c r="N810" i="6"/>
  <c r="X810" i="6"/>
  <c r="W130" i="6"/>
  <c r="M130" i="6"/>
  <c r="X130" i="6" s="1"/>
  <c r="T130" i="6"/>
  <c r="W747" i="6"/>
  <c r="M747" i="6"/>
  <c r="T747" i="6"/>
  <c r="X147" i="6"/>
  <c r="N147" i="6"/>
  <c r="N64" i="6"/>
  <c r="X64" i="6"/>
  <c r="M780" i="6"/>
  <c r="X780" i="6" s="1"/>
  <c r="W780" i="6"/>
  <c r="T780" i="6"/>
  <c r="M332" i="6"/>
  <c r="X332" i="6" s="1"/>
  <c r="W332" i="6"/>
  <c r="T332" i="6"/>
  <c r="X908" i="6"/>
  <c r="N908" i="6"/>
  <c r="X770" i="6"/>
  <c r="N770" i="6"/>
  <c r="X992" i="6"/>
  <c r="N992" i="6"/>
  <c r="M42" i="6"/>
  <c r="W42" i="6"/>
  <c r="T42" i="6"/>
  <c r="X964" i="6"/>
  <c r="N964" i="6"/>
  <c r="X231" i="6"/>
  <c r="N231" i="6"/>
  <c r="X943" i="6"/>
  <c r="N943" i="6"/>
  <c r="W995" i="6"/>
  <c r="M995" i="6"/>
  <c r="X995" i="6" s="1"/>
  <c r="T995" i="6"/>
  <c r="M564" i="6"/>
  <c r="X564" i="6" s="1"/>
  <c r="W564" i="6"/>
  <c r="T564" i="6"/>
  <c r="X783" i="6"/>
  <c r="N783" i="6"/>
  <c r="X936" i="6"/>
  <c r="N936" i="6"/>
  <c r="X814" i="6"/>
  <c r="N814" i="6"/>
  <c r="X586" i="6"/>
  <c r="N586" i="6"/>
  <c r="N279" i="6"/>
  <c r="X279" i="6"/>
  <c r="X11" i="6"/>
  <c r="N11" i="6"/>
  <c r="X580" i="6"/>
  <c r="N580" i="6"/>
  <c r="W985" i="6"/>
  <c r="M985" i="6"/>
  <c r="T985" i="6"/>
  <c r="M13" i="6"/>
  <c r="W13" i="6"/>
  <c r="T13" i="6"/>
  <c r="X369" i="6"/>
  <c r="N369" i="6"/>
  <c r="X530" i="6"/>
  <c r="N530" i="6"/>
  <c r="W760" i="6"/>
  <c r="M760" i="6"/>
  <c r="X760" i="6" s="1"/>
  <c r="T760" i="6"/>
  <c r="X544" i="6"/>
  <c r="N544" i="6"/>
  <c r="N705" i="6"/>
  <c r="X705" i="6"/>
  <c r="X693" i="6"/>
  <c r="N693" i="6"/>
  <c r="X877" i="6"/>
  <c r="N877" i="6"/>
  <c r="N631" i="6"/>
  <c r="X631" i="6"/>
  <c r="X930" i="6"/>
  <c r="N930" i="6"/>
  <c r="X252" i="6"/>
  <c r="N252" i="6"/>
  <c r="X271" i="6"/>
  <c r="N271" i="6"/>
  <c r="X804" i="6"/>
  <c r="N804" i="6"/>
  <c r="W365" i="6"/>
  <c r="M365" i="6"/>
  <c r="X365" i="6" s="1"/>
  <c r="T365" i="6"/>
  <c r="W848" i="6"/>
  <c r="M848" i="6"/>
  <c r="X848" i="6" s="1"/>
  <c r="T848" i="6"/>
  <c r="W729" i="6"/>
  <c r="M729" i="6"/>
  <c r="T729" i="6"/>
  <c r="X195" i="6"/>
  <c r="N195" i="6"/>
  <c r="X148" i="6"/>
  <c r="N148" i="6"/>
  <c r="X292" i="6"/>
  <c r="N292" i="6"/>
  <c r="M834" i="6"/>
  <c r="W834" i="6"/>
  <c r="T834" i="6"/>
  <c r="X202" i="6"/>
  <c r="N202" i="6"/>
  <c r="X740" i="6"/>
  <c r="N740" i="6"/>
  <c r="X399" i="6"/>
  <c r="N399" i="6"/>
  <c r="X565" i="6"/>
  <c r="N565" i="6"/>
  <c r="X684" i="6"/>
  <c r="N684" i="6"/>
  <c r="X853" i="6"/>
  <c r="N853" i="6"/>
  <c r="M478" i="6"/>
  <c r="W478" i="6"/>
  <c r="T478" i="6"/>
  <c r="M163" i="6"/>
  <c r="W163" i="6"/>
  <c r="T163" i="6"/>
  <c r="N832" i="6"/>
  <c r="X832" i="6"/>
  <c r="N516" i="6"/>
  <c r="X516" i="6"/>
  <c r="X665" i="6"/>
  <c r="N665" i="6"/>
  <c r="X100" i="6"/>
  <c r="N100" i="6"/>
  <c r="X967" i="6"/>
  <c r="N967" i="6"/>
  <c r="M86" i="6"/>
  <c r="X86" i="6" s="1"/>
  <c r="W86" i="6"/>
  <c r="T86" i="6"/>
  <c r="X441" i="6"/>
  <c r="N441" i="6"/>
  <c r="X547" i="6"/>
  <c r="N547" i="6"/>
  <c r="W520" i="6"/>
  <c r="M520" i="6"/>
  <c r="T520" i="6"/>
  <c r="X337" i="6"/>
  <c r="N337" i="6"/>
  <c r="N859" i="6"/>
  <c r="X859" i="6"/>
  <c r="M314" i="6"/>
  <c r="X314" i="6" s="1"/>
  <c r="W314" i="6"/>
  <c r="T314" i="6"/>
  <c r="N518" i="6"/>
  <c r="X518" i="6"/>
  <c r="M548" i="6"/>
  <c r="X548" i="6" s="1"/>
  <c r="W548" i="6"/>
  <c r="T548" i="6"/>
  <c r="W719" i="6"/>
  <c r="M719" i="6"/>
  <c r="T719" i="6"/>
  <c r="X895" i="6"/>
  <c r="N895" i="6"/>
  <c r="X833" i="6"/>
  <c r="N833" i="6"/>
  <c r="X559" i="6"/>
  <c r="N559" i="6"/>
  <c r="X105" i="6"/>
  <c r="N105" i="6"/>
  <c r="W929" i="6"/>
  <c r="M929" i="6"/>
  <c r="T929" i="6"/>
  <c r="X874" i="6"/>
  <c r="N874" i="6"/>
  <c r="N720" i="6"/>
  <c r="X720" i="6"/>
  <c r="X951" i="6"/>
  <c r="N951" i="6"/>
  <c r="M167" i="6"/>
  <c r="X167" i="6" s="1"/>
  <c r="W167" i="6"/>
  <c r="T167" i="6"/>
  <c r="N867" i="6"/>
  <c r="X867" i="6"/>
  <c r="M977" i="6"/>
  <c r="W977" i="6"/>
  <c r="T977" i="6"/>
  <c r="X540" i="6"/>
  <c r="N540" i="6"/>
  <c r="N119" i="6"/>
  <c r="X119" i="6"/>
  <c r="W142" i="6"/>
  <c r="M142" i="6"/>
  <c r="T142" i="6"/>
  <c r="X336" i="6"/>
  <c r="N336" i="6"/>
  <c r="M253" i="6"/>
  <c r="W253" i="6"/>
  <c r="T253" i="6"/>
  <c r="W680" i="6"/>
  <c r="M680" i="6"/>
  <c r="X680" i="6" s="1"/>
  <c r="T680" i="6"/>
  <c r="X998" i="6"/>
  <c r="N998" i="6"/>
  <c r="W174" i="6"/>
  <c r="M174" i="6"/>
  <c r="T174" i="6"/>
  <c r="X376" i="6"/>
  <c r="N376" i="6"/>
  <c r="X137" i="6"/>
  <c r="N137" i="6"/>
  <c r="N557" i="6"/>
  <c r="X557" i="6"/>
  <c r="W508" i="6"/>
  <c r="M508" i="6"/>
  <c r="X508" i="6" s="1"/>
  <c r="T508" i="6"/>
  <c r="N426" i="6"/>
  <c r="X426" i="6"/>
  <c r="X630" i="6"/>
  <c r="N630" i="6"/>
  <c r="M601" i="6"/>
  <c r="W601" i="6"/>
  <c r="T601" i="6"/>
  <c r="X75" i="6"/>
  <c r="N75" i="6"/>
  <c r="X649" i="6"/>
  <c r="N649" i="6"/>
  <c r="X971" i="6"/>
  <c r="N971" i="6"/>
  <c r="W400" i="6"/>
  <c r="M400" i="6"/>
  <c r="T400" i="6"/>
  <c r="N788" i="6"/>
  <c r="X788" i="6"/>
  <c r="W1003" i="6"/>
  <c r="M1003" i="6"/>
  <c r="T1003" i="6"/>
  <c r="N391" i="6"/>
  <c r="X391" i="6"/>
  <c r="N347" i="6"/>
  <c r="X347" i="6"/>
  <c r="X232" i="6"/>
  <c r="N232" i="6"/>
  <c r="X453" i="6"/>
  <c r="N453" i="6"/>
  <c r="X494" i="6"/>
  <c r="N494" i="6"/>
  <c r="X327" i="6"/>
  <c r="N327" i="6"/>
  <c r="X168" i="6"/>
  <c r="N168" i="6"/>
  <c r="N894" i="6"/>
  <c r="X894" i="6"/>
  <c r="X978" i="6"/>
  <c r="N978" i="6"/>
  <c r="X439" i="6"/>
  <c r="N439" i="6"/>
  <c r="M864" i="6"/>
  <c r="X864" i="6" s="1"/>
  <c r="W864" i="6"/>
  <c r="T864" i="6"/>
  <c r="X5" i="6"/>
  <c r="N5" i="6"/>
  <c r="M610" i="6"/>
  <c r="W610" i="6"/>
  <c r="T610" i="6"/>
  <c r="X205" i="6"/>
  <c r="N205" i="6"/>
  <c r="X704" i="6"/>
  <c r="N704" i="6"/>
  <c r="X320" i="6"/>
  <c r="N320" i="6"/>
  <c r="X600" i="6"/>
  <c r="N600" i="6"/>
  <c r="X190" i="6"/>
  <c r="N190" i="6"/>
  <c r="M211" i="6"/>
  <c r="W211" i="6"/>
  <c r="T211" i="6"/>
  <c r="X698" i="6"/>
  <c r="N698" i="6"/>
  <c r="W712" i="6"/>
  <c r="M712" i="6"/>
  <c r="T712" i="6"/>
  <c r="X307" i="6"/>
  <c r="N307" i="6"/>
  <c r="X266" i="6"/>
  <c r="N266" i="6"/>
  <c r="X830" i="6"/>
  <c r="N830" i="6"/>
  <c r="W373" i="6"/>
  <c r="M373" i="6"/>
  <c r="T373" i="6"/>
  <c r="X131" i="6"/>
  <c r="N131" i="6"/>
  <c r="X341" i="6"/>
  <c r="N341" i="6"/>
  <c r="X435" i="6"/>
  <c r="N435" i="6"/>
  <c r="X268" i="6"/>
  <c r="N268" i="6"/>
  <c r="N845" i="6"/>
  <c r="X845" i="6"/>
  <c r="M272" i="6"/>
  <c r="X272" i="6" s="1"/>
  <c r="W272" i="6"/>
  <c r="T272" i="6"/>
  <c r="W802" i="6"/>
  <c r="M802" i="6"/>
  <c r="X802" i="6" s="1"/>
  <c r="T802" i="6"/>
  <c r="M70" i="6"/>
  <c r="X70" i="6" s="1"/>
  <c r="W70" i="6"/>
  <c r="T70" i="6"/>
  <c r="X988" i="6"/>
  <c r="N988" i="6"/>
  <c r="X939" i="6"/>
  <c r="N939" i="6"/>
  <c r="M78" i="6"/>
  <c r="W78" i="6"/>
  <c r="T78" i="6"/>
  <c r="X229" i="6"/>
  <c r="N229" i="6"/>
  <c r="X68" i="6"/>
  <c r="N68" i="6"/>
  <c r="N476" i="6"/>
  <c r="X476" i="6"/>
  <c r="M286" i="6"/>
  <c r="W286" i="6"/>
  <c r="T286" i="6"/>
  <c r="X727" i="6"/>
  <c r="N727" i="6"/>
  <c r="M646" i="6"/>
  <c r="W646" i="6"/>
  <c r="T646" i="6"/>
  <c r="X181" i="6"/>
  <c r="N181" i="6"/>
  <c r="X194" i="6"/>
  <c r="N194" i="6"/>
  <c r="M460" i="6"/>
  <c r="W460" i="6"/>
  <c r="T460" i="6"/>
  <c r="W676" i="6"/>
  <c r="M676" i="6"/>
  <c r="X676" i="6" s="1"/>
  <c r="T676" i="6"/>
  <c r="W120" i="6"/>
  <c r="M120" i="6"/>
  <c r="T120" i="6"/>
  <c r="M636" i="6"/>
  <c r="W636" i="6"/>
  <c r="T636" i="6"/>
  <c r="N12" i="6"/>
  <c r="X12" i="6"/>
  <c r="M355" i="6"/>
  <c r="W355" i="6"/>
  <c r="T355" i="6"/>
  <c r="W309" i="6"/>
  <c r="M309" i="6"/>
  <c r="T309" i="6"/>
  <c r="M358" i="6"/>
  <c r="W358" i="6"/>
  <c r="T358" i="6"/>
  <c r="X84" i="6"/>
  <c r="N84" i="6"/>
  <c r="W905" i="6"/>
  <c r="M905" i="6"/>
  <c r="X905" i="6" s="1"/>
  <c r="T905" i="6"/>
  <c r="M615" i="6"/>
  <c r="W615" i="6"/>
  <c r="T615" i="6"/>
  <c r="X267" i="6"/>
  <c r="N267" i="6"/>
  <c r="W645" i="6"/>
  <c r="M645" i="6"/>
  <c r="T645" i="6"/>
  <c r="X431" i="6"/>
  <c r="N431" i="6"/>
  <c r="W203" i="6"/>
  <c r="M203" i="6"/>
  <c r="T203" i="6"/>
  <c r="M567" i="6"/>
  <c r="W567" i="6"/>
  <c r="T567" i="6"/>
  <c r="X866" i="6"/>
  <c r="N866" i="6"/>
  <c r="M816" i="6"/>
  <c r="X816" i="6" s="1"/>
  <c r="W816" i="6"/>
  <c r="T816" i="6"/>
  <c r="X708" i="6"/>
  <c r="N708" i="6"/>
  <c r="M310" i="6"/>
  <c r="W310" i="6"/>
  <c r="T310" i="6"/>
  <c r="W513" i="6"/>
  <c r="M513" i="6"/>
  <c r="X513" i="6" s="1"/>
  <c r="T513" i="6"/>
  <c r="X294" i="6"/>
  <c r="N294" i="6"/>
  <c r="M579" i="6"/>
  <c r="W579" i="6"/>
  <c r="T579" i="6"/>
  <c r="X505" i="6"/>
  <c r="N505" i="6"/>
  <c r="X651" i="6"/>
  <c r="N651" i="6"/>
  <c r="X622" i="6"/>
  <c r="N622" i="6"/>
  <c r="X578" i="6"/>
  <c r="N578" i="6"/>
  <c r="M751" i="6"/>
  <c r="W751" i="6"/>
  <c r="T751" i="6"/>
  <c r="M860" i="6"/>
  <c r="X860" i="6" s="1"/>
  <c r="W860" i="6"/>
  <c r="T860" i="6"/>
  <c r="M907" i="6"/>
  <c r="X907" i="6" s="1"/>
  <c r="W907" i="6"/>
  <c r="T907" i="6"/>
  <c r="M643" i="6"/>
  <c r="W643" i="6"/>
  <c r="T643" i="6"/>
  <c r="M792" i="6"/>
  <c r="W792" i="6"/>
  <c r="T792" i="6"/>
  <c r="W664" i="6"/>
  <c r="M664" i="6"/>
  <c r="T664" i="6"/>
  <c r="U321" i="6"/>
  <c r="V321" i="6"/>
  <c r="O321" i="6"/>
  <c r="M577" i="6"/>
  <c r="X577" i="6" s="1"/>
  <c r="W577" i="6"/>
  <c r="T577" i="6"/>
  <c r="M560" i="6"/>
  <c r="W560" i="6"/>
  <c r="T560" i="6"/>
  <c r="W710" i="6"/>
  <c r="M710" i="6"/>
  <c r="X710" i="6" s="1"/>
  <c r="T710" i="6"/>
  <c r="M378" i="6"/>
  <c r="W378" i="6"/>
  <c r="T378" i="6"/>
  <c r="X182" i="6"/>
  <c r="N182" i="6"/>
  <c r="M66" i="6"/>
  <c r="X66" i="6" s="1"/>
  <c r="W66" i="6"/>
  <c r="T66" i="6"/>
  <c r="X982" i="6"/>
  <c r="N982" i="6"/>
  <c r="W861" i="6"/>
  <c r="M861" i="6"/>
  <c r="T861" i="6"/>
  <c r="W256" i="6"/>
  <c r="M256" i="6"/>
  <c r="X256" i="6" s="1"/>
  <c r="T256" i="6"/>
  <c r="X159" i="6"/>
  <c r="N159" i="6"/>
  <c r="X824" i="6"/>
  <c r="N824" i="6"/>
  <c r="X625" i="6"/>
  <c r="N625" i="6"/>
  <c r="W55" i="6"/>
  <c r="M55" i="6"/>
  <c r="T55" i="6"/>
  <c r="M166" i="6"/>
  <c r="W166" i="6"/>
  <c r="T166" i="6"/>
  <c r="W401" i="6"/>
  <c r="M401" i="6"/>
  <c r="X401" i="6" s="1"/>
  <c r="T401" i="6"/>
  <c r="W771" i="6"/>
  <c r="M771" i="6"/>
  <c r="T771" i="6"/>
  <c r="X736" i="6"/>
  <c r="N736" i="6"/>
  <c r="W73" i="6"/>
  <c r="M73" i="6"/>
  <c r="X73" i="6" s="1"/>
  <c r="T73" i="6"/>
  <c r="M755" i="6"/>
  <c r="X755" i="6" s="1"/>
  <c r="W755" i="6"/>
  <c r="T755" i="6"/>
  <c r="X966" i="6"/>
  <c r="N966" i="6"/>
  <c r="X33" i="6"/>
  <c r="N33" i="6"/>
  <c r="M757" i="6"/>
  <c r="W757" i="6"/>
  <c r="T757" i="6"/>
  <c r="W734" i="6"/>
  <c r="M734" i="6"/>
  <c r="X734" i="6" s="1"/>
  <c r="T734" i="6"/>
  <c r="W496" i="6"/>
  <c r="M496" i="6"/>
  <c r="T496" i="6"/>
  <c r="X415" i="6"/>
  <c r="N415" i="6"/>
  <c r="X221" i="6"/>
  <c r="N221" i="6"/>
  <c r="X467" i="6"/>
  <c r="N467" i="6"/>
  <c r="X90" i="6"/>
  <c r="N90" i="6"/>
  <c r="M185" i="6"/>
  <c r="X185" i="6" s="1"/>
  <c r="W185" i="6"/>
  <c r="T185" i="6"/>
  <c r="W375" i="6"/>
  <c r="M375" i="6"/>
  <c r="X375" i="6" s="1"/>
  <c r="T375" i="6"/>
  <c r="X666" i="6"/>
  <c r="N666" i="6"/>
  <c r="X257" i="6"/>
  <c r="N257" i="6"/>
  <c r="X519" i="6"/>
  <c r="N519" i="6"/>
  <c r="N883" i="6"/>
  <c r="X883" i="6"/>
  <c r="X85" i="6"/>
  <c r="N85" i="6"/>
  <c r="W293" i="6"/>
  <c r="M293" i="6"/>
  <c r="X293" i="6" s="1"/>
  <c r="T293" i="6"/>
  <c r="X32" i="6"/>
  <c r="N32" i="6"/>
  <c r="X887" i="6"/>
  <c r="N887" i="6"/>
  <c r="N98" i="6"/>
  <c r="X98" i="6"/>
  <c r="X987" i="6"/>
  <c r="N987" i="6"/>
  <c r="X536" i="6"/>
  <c r="N536" i="6"/>
  <c r="X352" i="6"/>
  <c r="N352" i="6"/>
  <c r="X925" i="6"/>
  <c r="N925" i="6"/>
  <c r="W169" i="6"/>
  <c r="M169" i="6"/>
  <c r="T169" i="6"/>
  <c r="X495" i="6"/>
  <c r="N495" i="6"/>
  <c r="X118" i="6"/>
  <c r="N118" i="6"/>
  <c r="N76" i="6"/>
  <c r="X76" i="6"/>
  <c r="X274" i="6"/>
  <c r="N274" i="6"/>
  <c r="X937" i="6"/>
  <c r="N937" i="6"/>
  <c r="W96" i="6"/>
  <c r="M96" i="6"/>
  <c r="T96" i="6"/>
  <c r="N946" i="6"/>
  <c r="X946" i="6"/>
  <c r="X641" i="6"/>
  <c r="N641" i="6"/>
  <c r="X761" i="6"/>
  <c r="N761" i="6"/>
  <c r="X287" i="6"/>
  <c r="N287" i="6"/>
  <c r="N121" i="6"/>
  <c r="X121" i="6"/>
  <c r="W497" i="6"/>
  <c r="M497" i="6"/>
  <c r="T497" i="6"/>
  <c r="X161" i="6"/>
  <c r="N161" i="6"/>
  <c r="M438" i="6"/>
  <c r="X438" i="6" s="1"/>
  <c r="W438" i="6"/>
  <c r="T438" i="6"/>
  <c r="X831" i="6"/>
  <c r="N831" i="6"/>
  <c r="X184" i="6"/>
  <c r="N184" i="6"/>
  <c r="N642" i="6"/>
  <c r="X642" i="6"/>
  <c r="W524" i="6"/>
  <c r="M524" i="6"/>
  <c r="X524" i="6" s="1"/>
  <c r="T524" i="6"/>
  <c r="X103" i="6"/>
  <c r="N103" i="6"/>
  <c r="X1001" i="6"/>
  <c r="N1001" i="6"/>
  <c r="X607" i="6"/>
  <c r="N607" i="6"/>
  <c r="W151" i="6"/>
  <c r="M151" i="6"/>
  <c r="X151" i="6" s="1"/>
  <c r="T151" i="6"/>
  <c r="W63" i="6"/>
  <c r="M63" i="6"/>
  <c r="T63" i="6"/>
  <c r="M244" i="6"/>
  <c r="W244" i="6"/>
  <c r="T244" i="6"/>
  <c r="N733" i="6"/>
  <c r="X733" i="6"/>
  <c r="X158" i="6"/>
  <c r="N158" i="6"/>
  <c r="X224" i="6"/>
  <c r="N224" i="6"/>
  <c r="X683" i="6"/>
  <c r="N683" i="6"/>
  <c r="X735" i="6"/>
  <c r="N735" i="6"/>
  <c r="X685" i="6"/>
  <c r="N685" i="6"/>
  <c r="M754" i="6"/>
  <c r="W754" i="6"/>
  <c r="T754" i="6"/>
  <c r="X940" i="6"/>
  <c r="N940" i="6"/>
  <c r="X1000" i="6"/>
  <c r="N1000" i="6"/>
  <c r="N893" i="6"/>
  <c r="X893" i="6"/>
  <c r="W835" i="6"/>
  <c r="M835" i="6"/>
  <c r="T835" i="6"/>
  <c r="X442" i="6"/>
  <c r="N442" i="6"/>
  <c r="X840" i="6"/>
  <c r="N840" i="6"/>
  <c r="X351" i="6"/>
  <c r="N351" i="6"/>
  <c r="W498" i="6"/>
  <c r="M498" i="6"/>
  <c r="T498" i="6"/>
  <c r="X315" i="6"/>
  <c r="N315" i="6"/>
  <c r="N748" i="6"/>
  <c r="X748" i="6"/>
  <c r="W961" i="6"/>
  <c r="M961" i="6"/>
  <c r="T961" i="6"/>
  <c r="X919" i="6"/>
  <c r="N919" i="6"/>
  <c r="X602" i="6"/>
  <c r="N602" i="6"/>
  <c r="X568" i="6"/>
  <c r="N568" i="6"/>
  <c r="M841" i="6"/>
  <c r="W841" i="6"/>
  <c r="T841" i="6"/>
  <c r="X924" i="6"/>
  <c r="N924" i="6"/>
  <c r="W728" i="6"/>
  <c r="M728" i="6"/>
  <c r="T728" i="6"/>
  <c r="X777" i="6"/>
  <c r="N777" i="6"/>
  <c r="W215" i="6"/>
  <c r="M215" i="6"/>
  <c r="T215" i="6"/>
  <c r="M180" i="6"/>
  <c r="W180" i="6"/>
  <c r="T180" i="6"/>
  <c r="W447" i="6"/>
  <c r="M447" i="6"/>
  <c r="T447" i="6"/>
  <c r="X27" i="6"/>
  <c r="N27" i="6"/>
  <c r="M414" i="6"/>
  <c r="W414" i="6"/>
  <c r="T414" i="6"/>
  <c r="X644" i="6"/>
  <c r="N644" i="6"/>
  <c r="W935" i="6"/>
  <c r="M935" i="6"/>
  <c r="T935" i="6"/>
  <c r="X160" i="6"/>
  <c r="N160" i="6"/>
  <c r="X328" i="6"/>
  <c r="N328" i="6"/>
  <c r="M634" i="6"/>
  <c r="X634" i="6" s="1"/>
  <c r="W634" i="6"/>
  <c r="T634" i="6"/>
  <c r="N127" i="6"/>
  <c r="X127" i="6"/>
  <c r="W156" i="6"/>
  <c r="M156" i="6"/>
  <c r="X156" i="6" s="1"/>
  <c r="T156" i="6"/>
  <c r="N446" i="6"/>
  <c r="X446" i="6"/>
  <c r="W768" i="6"/>
  <c r="M768" i="6"/>
  <c r="T768" i="6"/>
  <c r="X331" i="6"/>
  <c r="N331" i="6"/>
  <c r="X813" i="6"/>
  <c r="N813" i="6"/>
  <c r="M898" i="6"/>
  <c r="W898" i="6"/>
  <c r="T898" i="6"/>
  <c r="U289" i="6"/>
  <c r="O289" i="6"/>
  <c r="V289" i="6"/>
  <c r="X278" i="6"/>
  <c r="N278" i="6"/>
  <c r="W851" i="6"/>
  <c r="M851" i="6"/>
  <c r="T851" i="6"/>
  <c r="X77" i="6"/>
  <c r="N77" i="6"/>
  <c r="X288" i="6"/>
  <c r="N288" i="6"/>
  <c r="X250" i="6"/>
  <c r="N250" i="6"/>
  <c r="X452" i="6"/>
  <c r="N452" i="6"/>
  <c r="X79" i="6"/>
  <c r="N79" i="6"/>
  <c r="W1006" i="6"/>
  <c r="M1006" i="6"/>
  <c r="T1006" i="6"/>
  <c r="B5" i="7" s="1"/>
  <c r="D5" i="7" s="1"/>
  <c r="W901" i="6"/>
  <c r="M901" i="6"/>
  <c r="T901" i="6"/>
  <c r="W711" i="6"/>
  <c r="M711" i="6"/>
  <c r="X711" i="6" s="1"/>
  <c r="T711" i="6"/>
  <c r="W739" i="6"/>
  <c r="M739" i="6"/>
  <c r="X739" i="6" s="1"/>
  <c r="T739" i="6"/>
  <c r="M958" i="6"/>
  <c r="W958" i="6"/>
  <c r="T958" i="6"/>
  <c r="W502" i="6"/>
  <c r="M502" i="6"/>
  <c r="T502" i="6"/>
  <c r="X790" i="6"/>
  <c r="N790" i="6"/>
  <c r="X189" i="6"/>
  <c r="N189" i="6"/>
  <c r="X872" i="6"/>
  <c r="N872" i="6"/>
  <c r="X775" i="6"/>
  <c r="N775" i="6"/>
  <c r="N36" i="6"/>
  <c r="X36" i="6"/>
  <c r="X69" i="6"/>
  <c r="N69" i="6"/>
  <c r="W726" i="6"/>
  <c r="M726" i="6"/>
  <c r="T726" i="6"/>
  <c r="X688" i="6"/>
  <c r="N688" i="6"/>
  <c r="X888" i="6"/>
  <c r="N888" i="6"/>
  <c r="X53" i="6"/>
  <c r="N53" i="6"/>
  <c r="X397" i="6"/>
  <c r="N397" i="6"/>
  <c r="X456" i="6"/>
  <c r="N456" i="6"/>
  <c r="N285" i="6"/>
  <c r="X285" i="6"/>
  <c r="W678" i="6"/>
  <c r="M678" i="6"/>
  <c r="T678" i="6"/>
  <c r="M587" i="6"/>
  <c r="X587" i="6" s="1"/>
  <c r="W587" i="6"/>
  <c r="T587" i="6"/>
  <c r="N329" i="6"/>
  <c r="X329" i="6"/>
  <c r="X993" i="6"/>
  <c r="N993" i="6"/>
  <c r="X772" i="6"/>
  <c r="N772" i="6"/>
  <c r="X246" i="6"/>
  <c r="N246" i="6"/>
  <c r="X715" i="6"/>
  <c r="N715" i="6"/>
  <c r="X223" i="6"/>
  <c r="N223" i="6"/>
  <c r="N621" i="6"/>
  <c r="X621" i="6"/>
  <c r="W686" i="6"/>
  <c r="M686" i="6"/>
  <c r="T686" i="6"/>
  <c r="M609" i="6"/>
  <c r="W609" i="6"/>
  <c r="T609" i="6"/>
  <c r="M330" i="6"/>
  <c r="W330" i="6"/>
  <c r="T330" i="6"/>
  <c r="X796" i="6"/>
  <c r="N796" i="6"/>
  <c r="W882" i="6"/>
  <c r="M882" i="6"/>
  <c r="T882" i="6"/>
  <c r="X306" i="6"/>
  <c r="N306" i="6"/>
  <c r="X204" i="6"/>
  <c r="N204" i="6"/>
  <c r="W912" i="6"/>
  <c r="M912" i="6"/>
  <c r="X912" i="6" s="1"/>
  <c r="T912" i="6"/>
  <c r="W348" i="6"/>
  <c r="M348" i="6"/>
  <c r="T348" i="6"/>
  <c r="M396" i="6"/>
  <c r="X396" i="6" s="1"/>
  <c r="W396" i="6"/>
  <c r="T396" i="6"/>
  <c r="W517" i="6"/>
  <c r="M517" i="6"/>
  <c r="T517" i="6"/>
  <c r="X74" i="6"/>
  <c r="N74" i="6"/>
  <c r="X873" i="6"/>
  <c r="N873" i="6"/>
  <c r="W938" i="6"/>
  <c r="M938" i="6"/>
  <c r="T938" i="6"/>
  <c r="X484" i="6"/>
  <c r="N484" i="6"/>
  <c r="X237" i="6"/>
  <c r="N237" i="6"/>
  <c r="X510" i="6"/>
  <c r="N510" i="6"/>
  <c r="X200" i="6"/>
  <c r="N200" i="6"/>
  <c r="W657" i="6"/>
  <c r="M657" i="6"/>
  <c r="T657" i="6"/>
  <c r="N6" i="6"/>
  <c r="X6" i="6"/>
  <c r="M551" i="6"/>
  <c r="W551" i="6"/>
  <c r="T551" i="6"/>
  <c r="M225" i="6"/>
  <c r="W225" i="6"/>
  <c r="T225" i="6"/>
  <c r="N525" i="6"/>
  <c r="X525" i="6"/>
  <c r="N22" i="6"/>
  <c r="X22" i="6"/>
  <c r="X793" i="6"/>
  <c r="N793" i="6"/>
  <c r="X709" i="6"/>
  <c r="N709" i="6"/>
  <c r="X201" i="6"/>
  <c r="N201" i="6"/>
  <c r="X541" i="6"/>
  <c r="N541" i="6"/>
  <c r="X474" i="6"/>
  <c r="N474" i="6"/>
  <c r="N488" i="6"/>
  <c r="X488" i="6"/>
  <c r="X245" i="6"/>
  <c r="N245" i="6"/>
  <c r="M537" i="6"/>
  <c r="W537" i="6"/>
  <c r="T537" i="6"/>
  <c r="X896" i="6"/>
  <c r="N896" i="6"/>
  <c r="N433" i="6"/>
  <c r="X433" i="6"/>
  <c r="X957" i="6"/>
  <c r="N957" i="6"/>
  <c r="W737" i="6"/>
  <c r="M737" i="6"/>
  <c r="X737" i="6" s="1"/>
  <c r="T737" i="6"/>
  <c r="N799" i="6"/>
  <c r="X799" i="6"/>
  <c r="M187" i="6"/>
  <c r="W187" i="6"/>
  <c r="T187" i="6"/>
  <c r="X363" i="6"/>
  <c r="N363" i="6"/>
  <c r="X124" i="6"/>
  <c r="N124" i="6"/>
  <c r="X588" i="6"/>
  <c r="N588" i="6"/>
  <c r="W764" i="6"/>
  <c r="M764" i="6"/>
  <c r="X764" i="6" s="1"/>
  <c r="T764" i="6"/>
  <c r="X141" i="6"/>
  <c r="N141" i="6"/>
  <c r="X656" i="6"/>
  <c r="N656" i="6"/>
  <c r="M847" i="6"/>
  <c r="X847" i="6" s="1"/>
  <c r="W847" i="6"/>
  <c r="T847" i="6"/>
  <c r="X334" i="6"/>
  <c r="N334" i="6"/>
  <c r="W91" i="6"/>
  <c r="M91" i="6"/>
  <c r="X91" i="6" s="1"/>
  <c r="T91" i="6"/>
  <c r="X14" i="6"/>
  <c r="N14" i="6"/>
  <c r="X980" i="6"/>
  <c r="N980" i="6"/>
  <c r="N489" i="6"/>
  <c r="X489" i="6"/>
  <c r="X750" i="6"/>
  <c r="N750" i="6"/>
  <c r="X425" i="6"/>
  <c r="N425" i="6"/>
  <c r="M416" i="6"/>
  <c r="X416" i="6" s="1"/>
  <c r="W416" i="6"/>
  <c r="T416" i="6"/>
  <c r="X1008" i="6"/>
  <c r="N1008" i="6"/>
  <c r="X372" i="6"/>
  <c r="N372" i="6"/>
  <c r="X342" i="6"/>
  <c r="N342" i="6"/>
  <c r="M398" i="6"/>
  <c r="X398" i="6" s="1"/>
  <c r="W398" i="6"/>
  <c r="T398" i="6"/>
  <c r="N350" i="6"/>
  <c r="X350" i="6"/>
  <c r="W386" i="6"/>
  <c r="M386" i="6"/>
  <c r="X386" i="6" s="1"/>
  <c r="T386" i="6"/>
  <c r="W702" i="6"/>
  <c r="M702" i="6"/>
  <c r="X702" i="6" s="1"/>
  <c r="T702" i="6"/>
  <c r="N730" i="6"/>
  <c r="X730" i="6"/>
  <c r="M838" i="6"/>
  <c r="W838" i="6"/>
  <c r="T838" i="6"/>
  <c r="M392" i="6"/>
  <c r="W392" i="6"/>
  <c r="T392" i="6"/>
  <c r="X179" i="6"/>
  <c r="N179" i="6"/>
  <c r="X904" i="6"/>
  <c r="N904" i="6"/>
  <c r="X573" i="6"/>
  <c r="N573" i="6"/>
  <c r="M741" i="6"/>
  <c r="W741" i="6"/>
  <c r="T741" i="6"/>
  <c r="W918" i="6"/>
  <c r="M918" i="6"/>
  <c r="T918" i="6"/>
  <c r="X19" i="6"/>
  <c r="N19" i="6"/>
  <c r="X126" i="6"/>
  <c r="N126" i="6"/>
  <c r="X515" i="6"/>
  <c r="N515" i="6"/>
  <c r="X552" i="6"/>
  <c r="N552" i="6"/>
  <c r="M596" i="6"/>
  <c r="X596" i="6" s="1"/>
  <c r="W596" i="6"/>
  <c r="T596" i="6"/>
  <c r="M1002" i="6"/>
  <c r="W1002" i="6"/>
  <c r="T1002" i="6"/>
  <c r="W362" i="6"/>
  <c r="M362" i="6"/>
  <c r="T362" i="6"/>
  <c r="X454" i="6"/>
  <c r="N454" i="6"/>
  <c r="X504" i="6"/>
  <c r="N504" i="6"/>
  <c r="M703" i="6"/>
  <c r="X703" i="6" s="1"/>
  <c r="W703" i="6"/>
  <c r="T703" i="6"/>
  <c r="N110" i="6"/>
  <c r="X110" i="6"/>
  <c r="M394" i="6"/>
  <c r="W394" i="6"/>
  <c r="T394" i="6"/>
  <c r="W393" i="6"/>
  <c r="M393" i="6"/>
  <c r="T393" i="6"/>
  <c r="X789" i="6"/>
  <c r="N789" i="6"/>
  <c r="X40" i="6"/>
  <c r="N40" i="6"/>
  <c r="X436" i="6"/>
  <c r="N436" i="6"/>
  <c r="X117" i="6"/>
  <c r="N117" i="6"/>
  <c r="X313" i="6"/>
  <c r="N313" i="6"/>
  <c r="X138" i="6"/>
  <c r="N138" i="6"/>
  <c r="X106" i="6"/>
  <c r="N106" i="6"/>
  <c r="W481" i="6"/>
  <c r="M481" i="6"/>
  <c r="T481" i="6"/>
  <c r="X662" i="6"/>
  <c r="N662" i="6"/>
  <c r="W819" i="6"/>
  <c r="M819" i="6"/>
  <c r="T819" i="6"/>
  <c r="X247" i="6"/>
  <c r="N247" i="6"/>
  <c r="N672" i="6"/>
  <c r="X672" i="6"/>
  <c r="W411" i="6"/>
  <c r="M411" i="6"/>
  <c r="T411" i="6"/>
  <c r="X258" i="6"/>
  <c r="N258" i="6"/>
  <c r="M669" i="6"/>
  <c r="X669" i="6" s="1"/>
  <c r="W669" i="6"/>
  <c r="T669" i="6"/>
  <c r="X405" i="6"/>
  <c r="N405" i="6"/>
  <c r="X945" i="6"/>
  <c r="N945" i="6"/>
  <c r="M691" i="6"/>
  <c r="W691" i="6"/>
  <c r="T691" i="6"/>
  <c r="M270" i="6"/>
  <c r="X270" i="6" s="1"/>
  <c r="W270" i="6"/>
  <c r="T270" i="6"/>
  <c r="W670" i="6"/>
  <c r="M670" i="6"/>
  <c r="T670" i="6"/>
  <c r="X699" i="6"/>
  <c r="N699" i="6"/>
  <c r="M582" i="6"/>
  <c r="W582" i="6"/>
  <c r="T582" i="6"/>
  <c r="X384" i="6"/>
  <c r="N384" i="6"/>
  <c r="M16" i="6"/>
  <c r="W16" i="6"/>
  <c r="B8" i="7" s="1"/>
  <c r="D8" i="7" s="1"/>
  <c r="T16" i="6"/>
  <c r="M48" i="6"/>
  <c r="W48" i="6"/>
  <c r="T48" i="6"/>
  <c r="X981" i="6"/>
  <c r="N981" i="6"/>
  <c r="W47" i="6"/>
  <c r="M47" i="6"/>
  <c r="T47" i="6"/>
  <c r="W299" i="6"/>
  <c r="M299" i="6"/>
  <c r="T299" i="6"/>
  <c r="X558" i="6"/>
  <c r="N558" i="6"/>
  <c r="X162" i="6"/>
  <c r="N162" i="6"/>
  <c r="X43" i="6"/>
  <c r="N43" i="6"/>
  <c r="M594" i="6"/>
  <c r="W594" i="6"/>
  <c r="T594" i="6"/>
  <c r="X300" i="6"/>
  <c r="N300" i="6"/>
  <c r="X265" i="6"/>
  <c r="N265" i="6"/>
  <c r="X379" i="6"/>
  <c r="N379" i="6"/>
  <c r="W140" i="6"/>
  <c r="M140" i="6"/>
  <c r="T140" i="6"/>
  <c r="X216" i="6"/>
  <c r="N216" i="6"/>
  <c r="X917" i="6"/>
  <c r="N917" i="6"/>
  <c r="W429" i="6"/>
  <c r="M429" i="6"/>
  <c r="X429" i="6" s="1"/>
  <c r="T429" i="6"/>
  <c r="N960" i="6"/>
  <c r="X960" i="6"/>
  <c r="X862" i="6"/>
  <c r="N862" i="6"/>
  <c r="M357" i="6"/>
  <c r="W357" i="6"/>
  <c r="T357" i="6"/>
  <c r="X242" i="6"/>
  <c r="N242" i="6"/>
  <c r="X599" i="6"/>
  <c r="N599" i="6"/>
  <c r="M855" i="6"/>
  <c r="W855" i="6"/>
  <c r="T855" i="6"/>
  <c r="N97" i="6"/>
  <c r="X97" i="6"/>
  <c r="N326" i="6"/>
  <c r="X326" i="6"/>
  <c r="M422" i="6"/>
  <c r="X422" i="6" s="1"/>
  <c r="W422" i="6"/>
  <c r="T422" i="6"/>
  <c r="M554" i="6"/>
  <c r="X554" i="6" s="1"/>
  <c r="W554" i="6"/>
  <c r="T554" i="6"/>
  <c r="X876" i="6"/>
  <c r="N876" i="6"/>
  <c r="X914" i="6"/>
  <c r="N914" i="6"/>
  <c r="X349" i="6"/>
  <c r="N349" i="6"/>
  <c r="M450" i="6"/>
  <c r="X450" i="6" s="1"/>
  <c r="W450" i="6"/>
  <c r="T450" i="6"/>
  <c r="M230" i="6"/>
  <c r="X230" i="6" s="1"/>
  <c r="W230" i="6"/>
  <c r="T230" i="6"/>
  <c r="X208" i="6"/>
  <c r="N208" i="6"/>
  <c r="X620" i="6"/>
  <c r="N620" i="6"/>
  <c r="X420" i="6"/>
  <c r="N420" i="6"/>
  <c r="N54" i="6"/>
  <c r="X54" i="6"/>
  <c r="X316" i="6"/>
  <c r="N316" i="6"/>
  <c r="W798" i="6"/>
  <c r="M798" i="6"/>
  <c r="T798" i="6"/>
  <c r="N846" i="6"/>
  <c r="X846" i="6"/>
  <c r="M37" i="6"/>
  <c r="W37" i="6"/>
  <c r="T37" i="6"/>
  <c r="W673" i="6"/>
  <c r="M673" i="6"/>
  <c r="T673" i="6"/>
  <c r="X820" i="6"/>
  <c r="N820" i="6"/>
  <c r="N273" i="6"/>
  <c r="X273" i="6"/>
  <c r="W526" i="6"/>
  <c r="M526" i="6"/>
  <c r="T526" i="6"/>
  <c r="W61" i="6"/>
  <c r="M61" i="6"/>
  <c r="T61" i="6"/>
  <c r="X222" i="6"/>
  <c r="N222" i="6"/>
  <c r="M583" i="6"/>
  <c r="W583" i="6"/>
  <c r="T583" i="6"/>
  <c r="M111" i="6"/>
  <c r="W111" i="6"/>
  <c r="T111" i="6"/>
  <c r="N139" i="6"/>
  <c r="X139" i="6"/>
  <c r="M432" i="6"/>
  <c r="W432" i="6"/>
  <c r="T432" i="6"/>
  <c r="X604" i="6"/>
  <c r="N604" i="6"/>
  <c r="X880" i="6"/>
  <c r="N880" i="6"/>
  <c r="W477" i="6"/>
  <c r="M477" i="6"/>
  <c r="T477" i="6"/>
  <c r="X1009" i="6"/>
  <c r="N1009" i="6"/>
  <c r="X663" i="6"/>
  <c r="N663" i="6"/>
  <c r="X762" i="6"/>
  <c r="N762" i="6"/>
  <c r="W624" i="6"/>
  <c r="M624" i="6"/>
  <c r="T624" i="6"/>
  <c r="M421" i="6"/>
  <c r="W421" i="6"/>
  <c r="T421" i="6"/>
  <c r="O222" i="6" l="1"/>
  <c r="U222" i="6"/>
  <c r="V222" i="6"/>
  <c r="X678" i="6"/>
  <c r="N678" i="6"/>
  <c r="U735" i="6"/>
  <c r="O735" i="6"/>
  <c r="V735" i="6"/>
  <c r="U982" i="6"/>
  <c r="V982" i="6"/>
  <c r="O982" i="6"/>
  <c r="U327" i="6"/>
  <c r="O327" i="6"/>
  <c r="V327" i="6"/>
  <c r="O316" i="6"/>
  <c r="U316" i="6"/>
  <c r="V316" i="6"/>
  <c r="O139" i="6"/>
  <c r="V139" i="6"/>
  <c r="U139" i="6"/>
  <c r="O265" i="6"/>
  <c r="V265" i="6"/>
  <c r="U265" i="6"/>
  <c r="U110" i="6"/>
  <c r="O110" i="6"/>
  <c r="V110" i="6"/>
  <c r="V730" i="6"/>
  <c r="U730" i="6"/>
  <c r="O730" i="6"/>
  <c r="O796" i="6"/>
  <c r="U796" i="6"/>
  <c r="V796" i="6"/>
  <c r="X726" i="6"/>
  <c r="N726" i="6"/>
  <c r="O940" i="6"/>
  <c r="U940" i="6"/>
  <c r="V940" i="6"/>
  <c r="O161" i="6"/>
  <c r="U161" i="6"/>
  <c r="V161" i="6"/>
  <c r="B1027" i="6"/>
  <c r="L12" i="8" s="1"/>
  <c r="O467" i="6"/>
  <c r="V467" i="6"/>
  <c r="U467" i="6"/>
  <c r="X560" i="6"/>
  <c r="N560" i="6"/>
  <c r="X310" i="6"/>
  <c r="N310" i="6"/>
  <c r="X120" i="6"/>
  <c r="N120" i="6"/>
  <c r="O268" i="6"/>
  <c r="V268" i="6"/>
  <c r="U268" i="6"/>
  <c r="V557" i="6"/>
  <c r="U557" i="6"/>
  <c r="O557" i="6"/>
  <c r="U559" i="6"/>
  <c r="O559" i="6"/>
  <c r="V559" i="6"/>
  <c r="X747" i="6"/>
  <c r="N747" i="6"/>
  <c r="N421" i="6"/>
  <c r="X421" i="6"/>
  <c r="O242" i="6"/>
  <c r="V242" i="6"/>
  <c r="U242" i="6"/>
  <c r="X48" i="6"/>
  <c r="N48" i="6"/>
  <c r="X225" i="6"/>
  <c r="N225" i="6"/>
  <c r="X615" i="6"/>
  <c r="N615" i="6"/>
  <c r="O978" i="6"/>
  <c r="U978" i="6"/>
  <c r="V978" i="6"/>
  <c r="V137" i="6"/>
  <c r="U137" i="6"/>
  <c r="O137" i="6"/>
  <c r="O693" i="6"/>
  <c r="U693" i="6"/>
  <c r="V693" i="6"/>
  <c r="U922" i="6"/>
  <c r="O922" i="6"/>
  <c r="V922" i="6"/>
  <c r="U418" i="6"/>
  <c r="O418" i="6"/>
  <c r="V418" i="6"/>
  <c r="X811" i="6"/>
  <c r="N811" i="6"/>
  <c r="U349" i="6"/>
  <c r="O349" i="6"/>
  <c r="V349" i="6"/>
  <c r="U588" i="6"/>
  <c r="O588" i="6"/>
  <c r="V588" i="6"/>
  <c r="O69" i="6"/>
  <c r="U69" i="6"/>
  <c r="V69" i="6"/>
  <c r="O229" i="6"/>
  <c r="U229" i="6"/>
  <c r="V229" i="6"/>
  <c r="X211" i="6"/>
  <c r="N211" i="6"/>
  <c r="O833" i="6"/>
  <c r="U833" i="6"/>
  <c r="V833" i="6"/>
  <c r="N478" i="6"/>
  <c r="X478" i="6"/>
  <c r="O226" i="6"/>
  <c r="U226" i="6"/>
  <c r="V226" i="6"/>
  <c r="U308" i="6"/>
  <c r="O308" i="6"/>
  <c r="V308" i="6"/>
  <c r="U457" i="6"/>
  <c r="V457" i="6"/>
  <c r="O457" i="6"/>
  <c r="X624" i="6"/>
  <c r="N624" i="6"/>
  <c r="O245" i="6"/>
  <c r="U245" i="6"/>
  <c r="V245" i="6"/>
  <c r="X215" i="6"/>
  <c r="N215" i="6"/>
  <c r="X497" i="6"/>
  <c r="N497" i="6"/>
  <c r="U736" i="6"/>
  <c r="O736" i="6"/>
  <c r="V736" i="6"/>
  <c r="X751" i="6"/>
  <c r="N751" i="6"/>
  <c r="O190" i="6"/>
  <c r="U190" i="6"/>
  <c r="V190" i="6"/>
  <c r="X400" i="6"/>
  <c r="N400" i="6"/>
  <c r="U376" i="6"/>
  <c r="O376" i="6"/>
  <c r="V376" i="6"/>
  <c r="O853" i="6"/>
  <c r="U853" i="6"/>
  <c r="V853" i="6"/>
  <c r="U562" i="6"/>
  <c r="V562" i="6"/>
  <c r="O562" i="6"/>
  <c r="O473" i="6"/>
  <c r="U473" i="6"/>
  <c r="V473" i="6"/>
  <c r="O846" i="6"/>
  <c r="V846" i="6"/>
  <c r="U846" i="6"/>
  <c r="U124" i="6"/>
  <c r="O124" i="6"/>
  <c r="V124" i="6"/>
  <c r="N551" i="6"/>
  <c r="X551" i="6"/>
  <c r="X330" i="6"/>
  <c r="N330" i="6"/>
  <c r="N754" i="6"/>
  <c r="X754" i="6"/>
  <c r="V415" i="6"/>
  <c r="U415" i="6"/>
  <c r="O415" i="6"/>
  <c r="U341" i="6"/>
  <c r="O341" i="6"/>
  <c r="V341" i="6"/>
  <c r="X901" i="6"/>
  <c r="N901" i="6"/>
  <c r="O971" i="6"/>
  <c r="U971" i="6"/>
  <c r="V971" i="6"/>
  <c r="O684" i="6"/>
  <c r="U684" i="6"/>
  <c r="V684" i="6"/>
  <c r="U544" i="6"/>
  <c r="V544" i="6"/>
  <c r="O544" i="6"/>
  <c r="O992" i="6"/>
  <c r="U992" i="6"/>
  <c r="V992" i="6"/>
  <c r="U15" i="6"/>
  <c r="V15" i="6"/>
  <c r="O15" i="6"/>
  <c r="O236" i="6"/>
  <c r="V236" i="6"/>
  <c r="U236" i="6"/>
  <c r="O531" i="6"/>
  <c r="U531" i="6"/>
  <c r="V531" i="6"/>
  <c r="O287" i="6"/>
  <c r="V287" i="6"/>
  <c r="U287" i="6"/>
  <c r="X719" i="6"/>
  <c r="N719" i="6"/>
  <c r="O127" i="6"/>
  <c r="U127" i="6"/>
  <c r="V127" i="6"/>
  <c r="X961" i="6"/>
  <c r="N961" i="6"/>
  <c r="O68" i="6"/>
  <c r="U68" i="6"/>
  <c r="V68" i="6"/>
  <c r="O119" i="6"/>
  <c r="V119" i="6"/>
  <c r="U119" i="6"/>
  <c r="X520" i="6"/>
  <c r="N520" i="6"/>
  <c r="O195" i="6"/>
  <c r="U195" i="6"/>
  <c r="V195" i="6"/>
  <c r="V11" i="6"/>
  <c r="O11" i="6"/>
  <c r="U11" i="6"/>
  <c r="U964" i="6"/>
  <c r="O964" i="6"/>
  <c r="V964" i="6"/>
  <c r="O539" i="6"/>
  <c r="V539" i="6"/>
  <c r="U539" i="6"/>
  <c r="O412" i="6"/>
  <c r="V412" i="6"/>
  <c r="U412" i="6"/>
  <c r="U405" i="6"/>
  <c r="O405" i="6"/>
  <c r="V405" i="6"/>
  <c r="U106" i="6"/>
  <c r="O106" i="6"/>
  <c r="V106" i="6"/>
  <c r="O19" i="6"/>
  <c r="U19" i="6"/>
  <c r="V19" i="6"/>
  <c r="U750" i="6"/>
  <c r="O750" i="6"/>
  <c r="V750" i="6"/>
  <c r="O74" i="6"/>
  <c r="U74" i="6"/>
  <c r="V74" i="6"/>
  <c r="O278" i="6"/>
  <c r="U278" i="6"/>
  <c r="V278" i="6"/>
  <c r="X180" i="6"/>
  <c r="B21" i="7" s="1"/>
  <c r="N180" i="6"/>
  <c r="O76" i="6"/>
  <c r="U76" i="6"/>
  <c r="V76" i="6"/>
  <c r="U708" i="6"/>
  <c r="O708" i="6"/>
  <c r="V708" i="6"/>
  <c r="V788" i="6"/>
  <c r="U788" i="6"/>
  <c r="O788" i="6"/>
  <c r="V540" i="6"/>
  <c r="O540" i="6"/>
  <c r="U540" i="6"/>
  <c r="O264" i="6"/>
  <c r="U264" i="6"/>
  <c r="V264" i="6"/>
  <c r="O95" i="6"/>
  <c r="U95" i="6"/>
  <c r="V95" i="6"/>
  <c r="N37" i="6"/>
  <c r="X37" i="6"/>
  <c r="B20" i="7" s="1"/>
  <c r="U300" i="6"/>
  <c r="O300" i="6"/>
  <c r="V300" i="6"/>
  <c r="X537" i="6"/>
  <c r="N537" i="6"/>
  <c r="O329" i="6"/>
  <c r="V329" i="6"/>
  <c r="U329" i="6"/>
  <c r="O118" i="6"/>
  <c r="U118" i="6"/>
  <c r="V118" i="6"/>
  <c r="O221" i="6"/>
  <c r="U221" i="6"/>
  <c r="V221" i="6"/>
  <c r="U435" i="6"/>
  <c r="V435" i="6"/>
  <c r="O435" i="6"/>
  <c r="V547" i="6"/>
  <c r="U547" i="6"/>
  <c r="O547" i="6"/>
  <c r="O463" i="6"/>
  <c r="U463" i="6"/>
  <c r="V463" i="6"/>
  <c r="N111" i="6"/>
  <c r="B4" i="7" s="1"/>
  <c r="D4" i="7" s="1"/>
  <c r="X111" i="6"/>
  <c r="U138" i="6"/>
  <c r="O138" i="6"/>
  <c r="V138" i="6"/>
  <c r="V748" i="6"/>
  <c r="U748" i="6"/>
  <c r="O748" i="6"/>
  <c r="X729" i="6"/>
  <c r="N729" i="6"/>
  <c r="O279" i="6"/>
  <c r="V279" i="6"/>
  <c r="U279" i="6"/>
  <c r="U852" i="6"/>
  <c r="V852" i="6"/>
  <c r="O852" i="6"/>
  <c r="U628" i="6"/>
  <c r="O628" i="6"/>
  <c r="V628" i="6"/>
  <c r="O854" i="6"/>
  <c r="U854" i="6"/>
  <c r="V854" i="6"/>
  <c r="O749" i="6"/>
  <c r="V749" i="6"/>
  <c r="U749" i="6"/>
  <c r="U116" i="6"/>
  <c r="V116" i="6"/>
  <c r="O116" i="6"/>
  <c r="O914" i="6"/>
  <c r="U914" i="6"/>
  <c r="V914" i="6"/>
  <c r="N16" i="6"/>
  <c r="X16" i="6"/>
  <c r="O504" i="6"/>
  <c r="U504" i="6"/>
  <c r="V504" i="6"/>
  <c r="X918" i="6"/>
  <c r="N918" i="6"/>
  <c r="O489" i="6"/>
  <c r="U489" i="6"/>
  <c r="V489" i="6"/>
  <c r="X517" i="6"/>
  <c r="N517" i="6"/>
  <c r="U328" i="6"/>
  <c r="V328" i="6"/>
  <c r="O328" i="6"/>
  <c r="U315" i="6"/>
  <c r="O315" i="6"/>
  <c r="V315" i="6"/>
  <c r="O607" i="6"/>
  <c r="U607" i="6"/>
  <c r="V607" i="6"/>
  <c r="O495" i="6"/>
  <c r="U495" i="6"/>
  <c r="V495" i="6"/>
  <c r="O85" i="6"/>
  <c r="U85" i="6"/>
  <c r="V85" i="6"/>
  <c r="U578" i="6"/>
  <c r="O578" i="6"/>
  <c r="V578" i="6"/>
  <c r="U894" i="6"/>
  <c r="O894" i="6"/>
  <c r="V894" i="6"/>
  <c r="O895" i="6"/>
  <c r="U895" i="6"/>
  <c r="V895" i="6"/>
  <c r="U441" i="6"/>
  <c r="O441" i="6"/>
  <c r="V441" i="6"/>
  <c r="V705" i="6"/>
  <c r="O705" i="6"/>
  <c r="U705" i="6"/>
  <c r="U586" i="6"/>
  <c r="V586" i="6"/>
  <c r="O586" i="6"/>
  <c r="X42" i="6"/>
  <c r="N42" i="6"/>
  <c r="U538" i="6"/>
  <c r="O538" i="6"/>
  <c r="V538" i="6"/>
  <c r="U434" i="6"/>
  <c r="O434" i="6"/>
  <c r="V434" i="6"/>
  <c r="O950" i="6"/>
  <c r="U950" i="6"/>
  <c r="V950" i="6"/>
  <c r="V26" i="6"/>
  <c r="U26" i="6"/>
  <c r="O26" i="6"/>
  <c r="O762" i="6"/>
  <c r="U762" i="6"/>
  <c r="V762" i="6"/>
  <c r="X357" i="6"/>
  <c r="N357" i="6"/>
  <c r="U384" i="6"/>
  <c r="O384" i="6"/>
  <c r="V384" i="6"/>
  <c r="O313" i="6"/>
  <c r="U313" i="6"/>
  <c r="V313" i="6"/>
  <c r="O980" i="6"/>
  <c r="U980" i="6"/>
  <c r="V980" i="6"/>
  <c r="V36" i="6"/>
  <c r="U36" i="6"/>
  <c r="O36" i="6"/>
  <c r="O777" i="6"/>
  <c r="V777" i="6"/>
  <c r="U777" i="6"/>
  <c r="U685" i="6"/>
  <c r="O685" i="6"/>
  <c r="V685" i="6"/>
  <c r="X861" i="6"/>
  <c r="N861" i="6"/>
  <c r="O84" i="6"/>
  <c r="U84" i="6"/>
  <c r="V84" i="6"/>
  <c r="U600" i="6"/>
  <c r="O600" i="6"/>
  <c r="V600" i="6"/>
  <c r="O168" i="6"/>
  <c r="V168" i="6"/>
  <c r="U168" i="6"/>
  <c r="B1034" i="6"/>
  <c r="S19" i="8" s="1"/>
  <c r="X977" i="6"/>
  <c r="N977" i="6"/>
  <c r="O152" i="6"/>
  <c r="U152" i="6"/>
  <c r="B1018" i="6"/>
  <c r="V152" i="6"/>
  <c r="X583" i="6"/>
  <c r="N583" i="6"/>
  <c r="X798" i="6"/>
  <c r="N798" i="6"/>
  <c r="O876" i="6"/>
  <c r="U876" i="6"/>
  <c r="V876" i="6"/>
  <c r="U862" i="6"/>
  <c r="O862" i="6"/>
  <c r="V862" i="6"/>
  <c r="X594" i="6"/>
  <c r="N594" i="6"/>
  <c r="O258" i="6"/>
  <c r="V258" i="6"/>
  <c r="U258" i="6"/>
  <c r="O454" i="6"/>
  <c r="U454" i="6"/>
  <c r="V454" i="6"/>
  <c r="U363" i="6"/>
  <c r="O363" i="6"/>
  <c r="V363" i="6"/>
  <c r="O488" i="6"/>
  <c r="U488" i="6"/>
  <c r="V488" i="6"/>
  <c r="O6" i="6"/>
  <c r="V6" i="6"/>
  <c r="U6" i="6"/>
  <c r="U775" i="6"/>
  <c r="O775" i="6"/>
  <c r="V775" i="6"/>
  <c r="O160" i="6"/>
  <c r="U160" i="6"/>
  <c r="V160" i="6"/>
  <c r="B1026" i="6"/>
  <c r="K11" i="8" s="1"/>
  <c r="O1001" i="6"/>
  <c r="U1001" i="6"/>
  <c r="V1001" i="6"/>
  <c r="U121" i="6"/>
  <c r="O121" i="6"/>
  <c r="V121" i="6"/>
  <c r="X771" i="6"/>
  <c r="N771" i="6"/>
  <c r="O622" i="6"/>
  <c r="U622" i="6"/>
  <c r="V622" i="6"/>
  <c r="U866" i="6"/>
  <c r="V866" i="6"/>
  <c r="O866" i="6"/>
  <c r="X78" i="6"/>
  <c r="N78" i="6"/>
  <c r="U131" i="6"/>
  <c r="O131" i="6"/>
  <c r="V131" i="6"/>
  <c r="X174" i="6"/>
  <c r="N174" i="6"/>
  <c r="U814" i="6"/>
  <c r="O814" i="6"/>
  <c r="V814" i="6"/>
  <c r="O810" i="6"/>
  <c r="V810" i="6"/>
  <c r="U810" i="6"/>
  <c r="V404" i="6"/>
  <c r="U404" i="6"/>
  <c r="O404" i="6"/>
  <c r="O509" i="6"/>
  <c r="U509" i="6"/>
  <c r="V509" i="6"/>
  <c r="X561" i="6"/>
  <c r="N561" i="6"/>
  <c r="O589" i="6"/>
  <c r="U589" i="6"/>
  <c r="V589" i="6"/>
  <c r="O43" i="6"/>
  <c r="U43" i="6"/>
  <c r="V43" i="6"/>
  <c r="V14" i="6"/>
  <c r="U14" i="6"/>
  <c r="O14" i="6"/>
  <c r="U939" i="6"/>
  <c r="O939" i="6"/>
  <c r="V939" i="6"/>
  <c r="V867" i="6"/>
  <c r="U867" i="6"/>
  <c r="O867" i="6"/>
  <c r="U770" i="6"/>
  <c r="O770" i="6"/>
  <c r="V770" i="6"/>
  <c r="O999" i="6"/>
  <c r="U999" i="6"/>
  <c r="V999" i="6"/>
  <c r="X728" i="6"/>
  <c r="N728" i="6"/>
  <c r="N664" i="6"/>
  <c r="X664" i="6"/>
  <c r="X746" i="6"/>
  <c r="N746" i="6"/>
  <c r="O162" i="6"/>
  <c r="U162" i="6"/>
  <c r="V162" i="6"/>
  <c r="B1028" i="6"/>
  <c r="M13" i="8" s="1"/>
  <c r="X686" i="6"/>
  <c r="N686" i="6"/>
  <c r="X935" i="6"/>
  <c r="N935" i="6"/>
  <c r="U925" i="6"/>
  <c r="O925" i="6"/>
  <c r="V925" i="6"/>
  <c r="O494" i="6"/>
  <c r="U494" i="6"/>
  <c r="V494" i="6"/>
  <c r="X187" i="6"/>
  <c r="N187" i="6"/>
  <c r="V285" i="6"/>
  <c r="U285" i="6"/>
  <c r="O285" i="6"/>
  <c r="O181" i="6"/>
  <c r="V181" i="6"/>
  <c r="U181" i="6"/>
  <c r="U706" i="6"/>
  <c r="O706" i="6"/>
  <c r="V706" i="6"/>
  <c r="U904" i="6"/>
  <c r="O904" i="6"/>
  <c r="V904" i="6"/>
  <c r="O201" i="6"/>
  <c r="V201" i="6"/>
  <c r="U201" i="6"/>
  <c r="V456" i="6"/>
  <c r="O456" i="6"/>
  <c r="U456" i="6"/>
  <c r="O224" i="6"/>
  <c r="V224" i="6"/>
  <c r="U224" i="6"/>
  <c r="U453" i="6"/>
  <c r="V453" i="6"/>
  <c r="O453" i="6"/>
  <c r="O100" i="6"/>
  <c r="U100" i="6"/>
  <c r="V100" i="6"/>
  <c r="X677" i="6"/>
  <c r="N677" i="6"/>
  <c r="X477" i="6"/>
  <c r="N477" i="6"/>
  <c r="U342" i="6"/>
  <c r="O342" i="6"/>
  <c r="V342" i="6"/>
  <c r="O510" i="6"/>
  <c r="U510" i="6"/>
  <c r="V510" i="6"/>
  <c r="O452" i="6"/>
  <c r="V452" i="6"/>
  <c r="U452" i="6"/>
  <c r="O666" i="6"/>
  <c r="U666" i="6"/>
  <c r="V666" i="6"/>
  <c r="X792" i="6"/>
  <c r="N792" i="6"/>
  <c r="O825" i="6"/>
  <c r="U825" i="6"/>
  <c r="V825" i="6"/>
  <c r="N413" i="6"/>
  <c r="X413" i="6"/>
  <c r="X499" i="6"/>
  <c r="N499" i="6"/>
  <c r="O223" i="6"/>
  <c r="U223" i="6"/>
  <c r="V223" i="6"/>
  <c r="O266" i="6"/>
  <c r="U266" i="6"/>
  <c r="V266" i="6"/>
  <c r="O518" i="6"/>
  <c r="U518" i="6"/>
  <c r="V518" i="6"/>
  <c r="U665" i="6"/>
  <c r="V665" i="6"/>
  <c r="O665" i="6"/>
  <c r="O202" i="6"/>
  <c r="U202" i="6"/>
  <c r="V202" i="6"/>
  <c r="U271" i="6"/>
  <c r="O271" i="6"/>
  <c r="V271" i="6"/>
  <c r="U782" i="6"/>
  <c r="O782" i="6"/>
  <c r="V782" i="6"/>
  <c r="X897" i="6"/>
  <c r="N897" i="6"/>
  <c r="U880" i="6"/>
  <c r="V880" i="6"/>
  <c r="O880" i="6"/>
  <c r="O620" i="6"/>
  <c r="U620" i="6"/>
  <c r="V620" i="6"/>
  <c r="X299" i="6"/>
  <c r="N299" i="6"/>
  <c r="O372" i="6"/>
  <c r="V372" i="6"/>
  <c r="U372" i="6"/>
  <c r="O237" i="6"/>
  <c r="U237" i="6"/>
  <c r="V237" i="6"/>
  <c r="O250" i="6"/>
  <c r="U250" i="6"/>
  <c r="V250" i="6"/>
  <c r="X768" i="6"/>
  <c r="N768" i="6"/>
  <c r="X841" i="6"/>
  <c r="N841" i="6"/>
  <c r="U642" i="6"/>
  <c r="O642" i="6"/>
  <c r="V642" i="6"/>
  <c r="V946" i="6"/>
  <c r="U946" i="6"/>
  <c r="O946" i="6"/>
  <c r="X757" i="6"/>
  <c r="N757" i="6"/>
  <c r="X579" i="6"/>
  <c r="N579" i="6"/>
  <c r="O431" i="6"/>
  <c r="U431" i="6"/>
  <c r="V431" i="6"/>
  <c r="X646" i="6"/>
  <c r="N646" i="6"/>
  <c r="U630" i="6"/>
  <c r="O630" i="6"/>
  <c r="V630" i="6"/>
  <c r="U720" i="6"/>
  <c r="V720" i="6"/>
  <c r="O720" i="6"/>
  <c r="O475" i="6"/>
  <c r="U475" i="6"/>
  <c r="V475" i="6"/>
  <c r="U295" i="6"/>
  <c r="V295" i="6"/>
  <c r="O295" i="6"/>
  <c r="X959" i="6"/>
  <c r="N959" i="6"/>
  <c r="O173" i="6"/>
  <c r="U173" i="6"/>
  <c r="V173" i="6"/>
  <c r="O523" i="6"/>
  <c r="V523" i="6"/>
  <c r="U523" i="6"/>
  <c r="U326" i="6"/>
  <c r="O326" i="6"/>
  <c r="V326" i="6"/>
  <c r="O216" i="6"/>
  <c r="V216" i="6"/>
  <c r="U216" i="6"/>
  <c r="O793" i="6"/>
  <c r="V793" i="6"/>
  <c r="U793" i="6"/>
  <c r="O204" i="6"/>
  <c r="U204" i="6"/>
  <c r="V204" i="6"/>
  <c r="O715" i="6"/>
  <c r="U715" i="6"/>
  <c r="V715" i="6"/>
  <c r="O53" i="6"/>
  <c r="V53" i="6"/>
  <c r="U53" i="6"/>
  <c r="X502" i="6"/>
  <c r="N502" i="6"/>
  <c r="N414" i="6"/>
  <c r="X414" i="6"/>
  <c r="O568" i="6"/>
  <c r="U568" i="6"/>
  <c r="V568" i="6"/>
  <c r="O184" i="6"/>
  <c r="U184" i="6"/>
  <c r="V184" i="6"/>
  <c r="O987" i="6"/>
  <c r="V987" i="6"/>
  <c r="U987" i="6"/>
  <c r="V33" i="6"/>
  <c r="U33" i="6"/>
  <c r="O33" i="6"/>
  <c r="N55" i="6"/>
  <c r="B19" i="7" s="1"/>
  <c r="X55" i="6"/>
  <c r="X643" i="6"/>
  <c r="N643" i="6"/>
  <c r="O294" i="6"/>
  <c r="U294" i="6"/>
  <c r="V294" i="6"/>
  <c r="X355" i="6"/>
  <c r="N355" i="6"/>
  <c r="V727" i="6"/>
  <c r="O727" i="6"/>
  <c r="U727" i="6"/>
  <c r="O307" i="6"/>
  <c r="U307" i="6"/>
  <c r="V307" i="6"/>
  <c r="X610" i="6"/>
  <c r="N610" i="6"/>
  <c r="X253" i="6"/>
  <c r="N253" i="6"/>
  <c r="U874" i="6"/>
  <c r="O874" i="6"/>
  <c r="V874" i="6"/>
  <c r="O252" i="6"/>
  <c r="U252" i="6"/>
  <c r="V252" i="6"/>
  <c r="U145" i="6"/>
  <c r="O145" i="6"/>
  <c r="V145" i="6"/>
  <c r="O791" i="6"/>
  <c r="U791" i="6"/>
  <c r="V791" i="6"/>
  <c r="O462" i="6"/>
  <c r="U462" i="6"/>
  <c r="V462" i="6"/>
  <c r="N707" i="6"/>
  <c r="X707" i="6"/>
  <c r="V368" i="6"/>
  <c r="U368" i="6"/>
  <c r="O368" i="6"/>
  <c r="O769" i="6"/>
  <c r="U769" i="6"/>
  <c r="V769" i="6"/>
  <c r="U663" i="6"/>
  <c r="O663" i="6"/>
  <c r="V663" i="6"/>
  <c r="U474" i="6"/>
  <c r="O474" i="6"/>
  <c r="V474" i="6"/>
  <c r="X169" i="6"/>
  <c r="N169" i="6"/>
  <c r="U320" i="6"/>
  <c r="O320" i="6"/>
  <c r="V320" i="6"/>
  <c r="V565" i="6"/>
  <c r="O565" i="6"/>
  <c r="U565" i="6"/>
  <c r="O243" i="6"/>
  <c r="U243" i="6"/>
  <c r="V243" i="6"/>
  <c r="X741" i="6"/>
  <c r="N741" i="6"/>
  <c r="X657" i="6"/>
  <c r="N657" i="6"/>
  <c r="X56" i="6"/>
  <c r="N56" i="6"/>
  <c r="V603" i="6"/>
  <c r="U603" i="6"/>
  <c r="O603" i="6"/>
  <c r="N582" i="6"/>
  <c r="X582" i="6"/>
  <c r="O573" i="6"/>
  <c r="V573" i="6"/>
  <c r="U573" i="6"/>
  <c r="U813" i="6"/>
  <c r="O813" i="6"/>
  <c r="V813" i="6"/>
  <c r="X358" i="6"/>
  <c r="N358" i="6"/>
  <c r="U704" i="6"/>
  <c r="V704" i="6"/>
  <c r="O704" i="6"/>
  <c r="U57" i="6"/>
  <c r="V57" i="6"/>
  <c r="O57" i="6"/>
  <c r="O200" i="6"/>
  <c r="U200" i="6"/>
  <c r="V200" i="6"/>
  <c r="O79" i="6"/>
  <c r="U79" i="6"/>
  <c r="V79" i="6"/>
  <c r="O530" i="6"/>
  <c r="V530" i="6"/>
  <c r="U530" i="6"/>
  <c r="U383" i="6"/>
  <c r="O383" i="6"/>
  <c r="V383" i="6"/>
  <c r="U840" i="6"/>
  <c r="O840" i="6"/>
  <c r="V840" i="6"/>
  <c r="X309" i="6"/>
  <c r="N309" i="6"/>
  <c r="U740" i="6"/>
  <c r="V740" i="6"/>
  <c r="O740" i="6"/>
  <c r="O799" i="6"/>
  <c r="V799" i="6"/>
  <c r="U799" i="6"/>
  <c r="U790" i="6"/>
  <c r="O790" i="6"/>
  <c r="V790" i="6"/>
  <c r="O369" i="6"/>
  <c r="U369" i="6"/>
  <c r="V369" i="6"/>
  <c r="X483" i="6"/>
  <c r="N483" i="6"/>
  <c r="N371" i="6"/>
  <c r="X371" i="6"/>
  <c r="N1002" i="6"/>
  <c r="X1002" i="6"/>
  <c r="O232" i="6"/>
  <c r="U232" i="6"/>
  <c r="V232" i="6"/>
  <c r="U273" i="6"/>
  <c r="V273" i="6"/>
  <c r="O273" i="6"/>
  <c r="X393" i="6"/>
  <c r="N393" i="6"/>
  <c r="O1008" i="6"/>
  <c r="U1008" i="6"/>
  <c r="V1008" i="6"/>
  <c r="O484" i="6"/>
  <c r="U484" i="6"/>
  <c r="V484" i="6"/>
  <c r="O27" i="6"/>
  <c r="U27" i="6"/>
  <c r="V27" i="6"/>
  <c r="U5" i="6"/>
  <c r="V5" i="6"/>
  <c r="O5" i="6"/>
  <c r="O516" i="6"/>
  <c r="U516" i="6"/>
  <c r="V516" i="6"/>
  <c r="X47" i="6"/>
  <c r="N47" i="6"/>
  <c r="O552" i="6"/>
  <c r="U552" i="6"/>
  <c r="V552" i="6"/>
  <c r="N392" i="6"/>
  <c r="X392" i="6"/>
  <c r="O656" i="6"/>
  <c r="V656" i="6"/>
  <c r="U656" i="6"/>
  <c r="U306" i="6"/>
  <c r="O306" i="6"/>
  <c r="V306" i="6"/>
  <c r="O246" i="6"/>
  <c r="U246" i="6"/>
  <c r="V246" i="6"/>
  <c r="O888" i="6"/>
  <c r="U888" i="6"/>
  <c r="V888" i="6"/>
  <c r="U446" i="6"/>
  <c r="O446" i="6"/>
  <c r="V446" i="6"/>
  <c r="U602" i="6"/>
  <c r="O602" i="6"/>
  <c r="V602" i="6"/>
  <c r="U831" i="6"/>
  <c r="O831" i="6"/>
  <c r="V831" i="6"/>
  <c r="O966" i="6"/>
  <c r="U966" i="6"/>
  <c r="V966" i="6"/>
  <c r="U625" i="6"/>
  <c r="O625" i="6"/>
  <c r="V625" i="6"/>
  <c r="X645" i="6"/>
  <c r="N645" i="6"/>
  <c r="V12" i="6"/>
  <c r="U12" i="6"/>
  <c r="O12" i="6"/>
  <c r="U426" i="6"/>
  <c r="O426" i="6"/>
  <c r="V426" i="6"/>
  <c r="X834" i="6"/>
  <c r="N834" i="6"/>
  <c r="U930" i="6"/>
  <c r="O930" i="6"/>
  <c r="V930" i="6"/>
  <c r="X410" i="6"/>
  <c r="N410" i="6"/>
  <c r="O183" i="6"/>
  <c r="U183" i="6"/>
  <c r="V183" i="6"/>
  <c r="U725" i="6"/>
  <c r="V725" i="6"/>
  <c r="O725" i="6"/>
  <c r="O778" i="6"/>
  <c r="U778" i="6"/>
  <c r="V778" i="6"/>
  <c r="V572" i="6"/>
  <c r="O572" i="6"/>
  <c r="U572" i="6"/>
  <c r="U117" i="6"/>
  <c r="O117" i="6"/>
  <c r="V117" i="6"/>
  <c r="O883" i="6"/>
  <c r="U883" i="6"/>
  <c r="V883" i="6"/>
  <c r="O649" i="6"/>
  <c r="U649" i="6"/>
  <c r="V649" i="6"/>
  <c r="O872" i="6"/>
  <c r="U872" i="6"/>
  <c r="V872" i="6"/>
  <c r="O194" i="6"/>
  <c r="V194" i="6"/>
  <c r="U194" i="6"/>
  <c r="U998" i="6"/>
  <c r="O998" i="6"/>
  <c r="V998" i="6"/>
  <c r="V34" i="6"/>
  <c r="U34" i="6"/>
  <c r="O34" i="6"/>
  <c r="X389" i="6"/>
  <c r="N389" i="6"/>
  <c r="U714" i="6"/>
  <c r="O714" i="6"/>
  <c r="V714" i="6"/>
  <c r="O436" i="6"/>
  <c r="U436" i="6"/>
  <c r="V436" i="6"/>
  <c r="U683" i="6"/>
  <c r="V683" i="6"/>
  <c r="O683" i="6"/>
  <c r="O988" i="6"/>
  <c r="V988" i="6"/>
  <c r="U988" i="6"/>
  <c r="O189" i="6"/>
  <c r="U189" i="6"/>
  <c r="V189" i="6"/>
  <c r="O505" i="6"/>
  <c r="U505" i="6"/>
  <c r="V505" i="6"/>
  <c r="V558" i="6"/>
  <c r="O558" i="6"/>
  <c r="U558" i="6"/>
  <c r="U644" i="6"/>
  <c r="O644" i="6"/>
  <c r="V644" i="6"/>
  <c r="O352" i="6"/>
  <c r="U352" i="6"/>
  <c r="V352" i="6"/>
  <c r="O205" i="6"/>
  <c r="U205" i="6"/>
  <c r="V205" i="6"/>
  <c r="O390" i="6"/>
  <c r="V390" i="6"/>
  <c r="U390" i="6"/>
  <c r="O614" i="6"/>
  <c r="U614" i="6"/>
  <c r="V614" i="6"/>
  <c r="X670" i="6"/>
  <c r="N670" i="6"/>
  <c r="O179" i="6"/>
  <c r="U179" i="6"/>
  <c r="V179" i="6"/>
  <c r="U709" i="6"/>
  <c r="O709" i="6"/>
  <c r="V709" i="6"/>
  <c r="V536" i="6"/>
  <c r="U536" i="6"/>
  <c r="O536" i="6"/>
  <c r="O336" i="6"/>
  <c r="U336" i="6"/>
  <c r="V336" i="6"/>
  <c r="O22" i="6"/>
  <c r="V22" i="6"/>
  <c r="U22" i="6"/>
  <c r="O77" i="6"/>
  <c r="U77" i="6"/>
  <c r="V77" i="6"/>
  <c r="V937" i="6"/>
  <c r="O937" i="6"/>
  <c r="U937" i="6"/>
  <c r="O98" i="6"/>
  <c r="U98" i="6"/>
  <c r="V98" i="6"/>
  <c r="X712" i="6"/>
  <c r="N712" i="6"/>
  <c r="U391" i="6"/>
  <c r="O391" i="6"/>
  <c r="V391" i="6"/>
  <c r="X929" i="6"/>
  <c r="N929" i="6"/>
  <c r="U859" i="6"/>
  <c r="V859" i="6"/>
  <c r="O859" i="6"/>
  <c r="O832" i="6"/>
  <c r="U832" i="6"/>
  <c r="V832" i="6"/>
  <c r="O292" i="6"/>
  <c r="U292" i="6"/>
  <c r="V292" i="6"/>
  <c r="X985" i="6"/>
  <c r="N985" i="6"/>
  <c r="U943" i="6"/>
  <c r="V943" i="6"/>
  <c r="O943" i="6"/>
  <c r="O64" i="6"/>
  <c r="V64" i="6"/>
  <c r="U64" i="6"/>
  <c r="V972" i="6"/>
  <c r="U972" i="6"/>
  <c r="O972" i="6"/>
  <c r="O455" i="6"/>
  <c r="U455" i="6"/>
  <c r="V455" i="6"/>
  <c r="U21" i="6"/>
  <c r="O21" i="6"/>
  <c r="V21" i="6"/>
  <c r="X35" i="6"/>
  <c r="N35" i="6"/>
  <c r="X153" i="6"/>
  <c r="N153" i="6"/>
  <c r="X496" i="6"/>
  <c r="N496" i="6"/>
  <c r="X460" i="6"/>
  <c r="N460" i="6"/>
  <c r="U99" i="6"/>
  <c r="O99" i="6"/>
  <c r="V99" i="6"/>
  <c r="X1006" i="6"/>
  <c r="N1006" i="6"/>
  <c r="O519" i="6"/>
  <c r="U519" i="6"/>
  <c r="V519" i="6"/>
  <c r="O651" i="6"/>
  <c r="U651" i="6"/>
  <c r="V651" i="6"/>
  <c r="O809" i="6"/>
  <c r="U809" i="6"/>
  <c r="V809" i="6"/>
  <c r="X411" i="6"/>
  <c r="N411" i="6"/>
  <c r="U761" i="6"/>
  <c r="O761" i="6"/>
  <c r="V761" i="6"/>
  <c r="O75" i="6"/>
  <c r="U75" i="6"/>
  <c r="V75" i="6"/>
  <c r="U967" i="6"/>
  <c r="O967" i="6"/>
  <c r="V967" i="6"/>
  <c r="O82" i="6"/>
  <c r="U82" i="6"/>
  <c r="V82" i="6"/>
  <c r="O593" i="6"/>
  <c r="V593" i="6"/>
  <c r="U593" i="6"/>
  <c r="X61" i="6"/>
  <c r="N61" i="6"/>
  <c r="U699" i="6"/>
  <c r="O699" i="6"/>
  <c r="V699" i="6"/>
  <c r="N348" i="6"/>
  <c r="X348" i="6"/>
  <c r="X284" i="6"/>
  <c r="N284" i="6"/>
  <c r="V54" i="6"/>
  <c r="O54" i="6"/>
  <c r="U54" i="6"/>
  <c r="U331" i="6"/>
  <c r="O331" i="6"/>
  <c r="V331" i="6"/>
  <c r="O641" i="6"/>
  <c r="U641" i="6"/>
  <c r="V641" i="6"/>
  <c r="U804" i="6"/>
  <c r="O804" i="6"/>
  <c r="V804" i="6"/>
  <c r="X909" i="6"/>
  <c r="N909" i="6"/>
  <c r="U623" i="6"/>
  <c r="O623" i="6"/>
  <c r="V623" i="6"/>
  <c r="X526" i="6"/>
  <c r="N526" i="6"/>
  <c r="O247" i="6"/>
  <c r="V247" i="6"/>
  <c r="U247" i="6"/>
  <c r="O397" i="6"/>
  <c r="U397" i="6"/>
  <c r="V397" i="6"/>
  <c r="O442" i="6"/>
  <c r="U442" i="6"/>
  <c r="V442" i="6"/>
  <c r="O208" i="6"/>
  <c r="U208" i="6"/>
  <c r="V208" i="6"/>
  <c r="X819" i="6"/>
  <c r="N819" i="6"/>
  <c r="V733" i="6"/>
  <c r="U733" i="6"/>
  <c r="O733" i="6"/>
  <c r="U347" i="6"/>
  <c r="O347" i="6"/>
  <c r="V347" i="6"/>
  <c r="V756" i="6"/>
  <c r="O756" i="6"/>
  <c r="U756" i="6"/>
  <c r="O263" i="6"/>
  <c r="V263" i="6"/>
  <c r="U263" i="6"/>
  <c r="O820" i="6"/>
  <c r="V820" i="6"/>
  <c r="U820" i="6"/>
  <c r="O97" i="6"/>
  <c r="V97" i="6"/>
  <c r="U97" i="6"/>
  <c r="O662" i="6"/>
  <c r="U662" i="6"/>
  <c r="V662" i="6"/>
  <c r="U981" i="6"/>
  <c r="O981" i="6"/>
  <c r="V981" i="6"/>
  <c r="U433" i="6"/>
  <c r="O433" i="6"/>
  <c r="V433" i="6"/>
  <c r="X938" i="6"/>
  <c r="N938" i="6"/>
  <c r="U772" i="6"/>
  <c r="O772" i="6"/>
  <c r="V772" i="6"/>
  <c r="X958" i="6"/>
  <c r="N958" i="6"/>
  <c r="U919" i="6"/>
  <c r="O919" i="6"/>
  <c r="V919" i="6"/>
  <c r="X244" i="6"/>
  <c r="N244" i="6"/>
  <c r="O824" i="6"/>
  <c r="U824" i="6"/>
  <c r="V824" i="6"/>
  <c r="O267" i="6"/>
  <c r="U267" i="6"/>
  <c r="V267" i="6"/>
  <c r="N286" i="6"/>
  <c r="X286" i="6"/>
  <c r="O337" i="6"/>
  <c r="V337" i="6"/>
  <c r="U337" i="6"/>
  <c r="U147" i="6"/>
  <c r="O147" i="6"/>
  <c r="V147" i="6"/>
  <c r="U803" i="6"/>
  <c r="O803" i="6"/>
  <c r="V803" i="6"/>
  <c r="X635" i="6"/>
  <c r="N635" i="6"/>
  <c r="U305" i="6"/>
  <c r="O305" i="6"/>
  <c r="V305" i="6"/>
  <c r="X432" i="6"/>
  <c r="N432" i="6"/>
  <c r="X673" i="6"/>
  <c r="N673" i="6"/>
  <c r="X855" i="6"/>
  <c r="N855" i="6"/>
  <c r="O379" i="6"/>
  <c r="U379" i="6"/>
  <c r="V379" i="6"/>
  <c r="X691" i="6"/>
  <c r="N691" i="6"/>
  <c r="X394" i="6"/>
  <c r="N394" i="6"/>
  <c r="X838" i="6"/>
  <c r="N838" i="6"/>
  <c r="U896" i="6"/>
  <c r="O896" i="6"/>
  <c r="V896" i="6"/>
  <c r="O525" i="6"/>
  <c r="U525" i="6"/>
  <c r="V525" i="6"/>
  <c r="X882" i="6"/>
  <c r="N882" i="6"/>
  <c r="O1000" i="6"/>
  <c r="U1000" i="6"/>
  <c r="V1000" i="6"/>
  <c r="U274" i="6"/>
  <c r="O274" i="6"/>
  <c r="V274" i="6"/>
  <c r="O90" i="6"/>
  <c r="U90" i="6"/>
  <c r="V90" i="6"/>
  <c r="X636" i="6"/>
  <c r="N636" i="6"/>
  <c r="U698" i="6"/>
  <c r="O698" i="6"/>
  <c r="V698" i="6"/>
  <c r="X1003" i="6"/>
  <c r="N1003" i="6"/>
  <c r="O105" i="6"/>
  <c r="V105" i="6"/>
  <c r="U105" i="6"/>
  <c r="O148" i="6"/>
  <c r="U148" i="6"/>
  <c r="V148" i="6"/>
  <c r="O631" i="6"/>
  <c r="U631" i="6"/>
  <c r="V631" i="6"/>
  <c r="V580" i="6"/>
  <c r="O580" i="6"/>
  <c r="U580" i="6"/>
  <c r="O231" i="6"/>
  <c r="U231" i="6"/>
  <c r="V231" i="6"/>
  <c r="U812" i="6"/>
  <c r="O812" i="6"/>
  <c r="V812" i="6"/>
  <c r="X956" i="6"/>
  <c r="N956" i="6"/>
  <c r="U132" i="6"/>
  <c r="O132" i="6"/>
  <c r="V132" i="6"/>
  <c r="V58" i="6"/>
  <c r="U58" i="6"/>
  <c r="O58" i="6"/>
  <c r="O979" i="6"/>
  <c r="V979" i="6"/>
  <c r="U979" i="6"/>
  <c r="U903" i="6"/>
  <c r="O903" i="6"/>
  <c r="V903" i="6"/>
  <c r="X609" i="6"/>
  <c r="N609" i="6"/>
  <c r="X498" i="6"/>
  <c r="N498" i="6"/>
  <c r="V350" i="6"/>
  <c r="O350" i="6"/>
  <c r="U350" i="6"/>
  <c r="X898" i="6"/>
  <c r="N898" i="6"/>
  <c r="U103" i="6"/>
  <c r="O103" i="6"/>
  <c r="V103" i="6"/>
  <c r="U936" i="6"/>
  <c r="O936" i="6"/>
  <c r="V936" i="6"/>
  <c r="V1009" i="6"/>
  <c r="U1009" i="6"/>
  <c r="O1009" i="6"/>
  <c r="V960" i="6"/>
  <c r="U960" i="6"/>
  <c r="O960" i="6"/>
  <c r="X362" i="6"/>
  <c r="N362" i="6"/>
  <c r="O541" i="6"/>
  <c r="U541" i="6"/>
  <c r="V541" i="6"/>
  <c r="O351" i="6"/>
  <c r="U351" i="6"/>
  <c r="V351" i="6"/>
  <c r="N373" i="6"/>
  <c r="X373" i="6"/>
  <c r="U399" i="6"/>
  <c r="O399" i="6"/>
  <c r="V399" i="6"/>
  <c r="U908" i="6"/>
  <c r="O908" i="6"/>
  <c r="V908" i="6"/>
  <c r="X916" i="6"/>
  <c r="N916" i="6"/>
  <c r="O924" i="6"/>
  <c r="U924" i="6"/>
  <c r="V924" i="6"/>
  <c r="O257" i="6"/>
  <c r="U257" i="6"/>
  <c r="V257" i="6"/>
  <c r="X567" i="6"/>
  <c r="N567" i="6"/>
  <c r="V783" i="6"/>
  <c r="U783" i="6"/>
  <c r="O783" i="6"/>
  <c r="V370" i="6"/>
  <c r="O370" i="6"/>
  <c r="U370" i="6"/>
  <c r="V40" i="6"/>
  <c r="U40" i="6"/>
  <c r="O40" i="6"/>
  <c r="U830" i="6"/>
  <c r="V830" i="6"/>
  <c r="O830" i="6"/>
  <c r="O951" i="6"/>
  <c r="U951" i="6"/>
  <c r="V951" i="6"/>
  <c r="X546" i="6"/>
  <c r="N546" i="6"/>
  <c r="U420" i="6"/>
  <c r="O420" i="6"/>
  <c r="V420" i="6"/>
  <c r="V672" i="6"/>
  <c r="U672" i="6"/>
  <c r="O672" i="6"/>
  <c r="O334" i="6"/>
  <c r="V334" i="6"/>
  <c r="U334" i="6"/>
  <c r="O621" i="6"/>
  <c r="U621" i="6"/>
  <c r="V621" i="6"/>
  <c r="O182" i="6"/>
  <c r="U182" i="6"/>
  <c r="V182" i="6"/>
  <c r="X203" i="6"/>
  <c r="N203" i="6"/>
  <c r="O667" i="6"/>
  <c r="U667" i="6"/>
  <c r="V667" i="6"/>
  <c r="V581" i="6"/>
  <c r="U581" i="6"/>
  <c r="O581" i="6"/>
  <c r="O917" i="6"/>
  <c r="U917" i="6"/>
  <c r="V917" i="6"/>
  <c r="O789" i="6"/>
  <c r="U789" i="6"/>
  <c r="V789" i="6"/>
  <c r="O158" i="6"/>
  <c r="U158" i="6"/>
  <c r="B1024" i="6"/>
  <c r="I9" i="8" s="1"/>
  <c r="V158" i="6"/>
  <c r="X166" i="6"/>
  <c r="N166" i="6"/>
  <c r="N601" i="6"/>
  <c r="X601" i="6"/>
  <c r="O604" i="6"/>
  <c r="V604" i="6"/>
  <c r="U604" i="6"/>
  <c r="O957" i="6"/>
  <c r="U957" i="6"/>
  <c r="V957" i="6"/>
  <c r="U288" i="6"/>
  <c r="O288" i="6"/>
  <c r="V288" i="6"/>
  <c r="X835" i="6"/>
  <c r="N835" i="6"/>
  <c r="X96" i="6"/>
  <c r="N96" i="6"/>
  <c r="X378" i="6"/>
  <c r="N378" i="6"/>
  <c r="N13" i="6"/>
  <c r="X13" i="6"/>
  <c r="O856" i="6"/>
  <c r="U856" i="6"/>
  <c r="V856" i="6"/>
  <c r="X210" i="6"/>
  <c r="N210" i="6"/>
  <c r="X140" i="6"/>
  <c r="N140" i="6"/>
  <c r="O515" i="6"/>
  <c r="U515" i="6"/>
  <c r="V515" i="6"/>
  <c r="V141" i="6"/>
  <c r="O141" i="6"/>
  <c r="U141" i="6"/>
  <c r="U688" i="6"/>
  <c r="V688" i="6"/>
  <c r="O688" i="6"/>
  <c r="X447" i="6"/>
  <c r="N447" i="6"/>
  <c r="O893" i="6"/>
  <c r="U893" i="6"/>
  <c r="V893" i="6"/>
  <c r="O887" i="6"/>
  <c r="U887" i="6"/>
  <c r="V887" i="6"/>
  <c r="X142" i="6"/>
  <c r="N142" i="6"/>
  <c r="X875" i="6"/>
  <c r="N875" i="6"/>
  <c r="O694" i="6"/>
  <c r="U694" i="6"/>
  <c r="V694" i="6"/>
  <c r="O599" i="6"/>
  <c r="U599" i="6"/>
  <c r="V599" i="6"/>
  <c r="U945" i="6"/>
  <c r="O945" i="6"/>
  <c r="V945" i="6"/>
  <c r="X481" i="6"/>
  <c r="N481" i="6"/>
  <c r="O126" i="6"/>
  <c r="V126" i="6"/>
  <c r="U126" i="6"/>
  <c r="O425" i="6"/>
  <c r="U425" i="6"/>
  <c r="V425" i="6"/>
  <c r="O873" i="6"/>
  <c r="U873" i="6"/>
  <c r="V873" i="6"/>
  <c r="U993" i="6"/>
  <c r="O993" i="6"/>
  <c r="V993" i="6"/>
  <c r="X851" i="6"/>
  <c r="N851" i="6"/>
  <c r="X63" i="6"/>
  <c r="N63" i="6"/>
  <c r="V32" i="6"/>
  <c r="U32" i="6"/>
  <c r="O32" i="6"/>
  <c r="O159" i="6"/>
  <c r="V159" i="6"/>
  <c r="U159" i="6"/>
  <c r="B1025" i="6"/>
  <c r="J10" i="8" s="1"/>
  <c r="U476" i="6"/>
  <c r="V476" i="6"/>
  <c r="O476" i="6"/>
  <c r="O845" i="6"/>
  <c r="V845" i="6"/>
  <c r="U845" i="6"/>
  <c r="O439" i="6"/>
  <c r="U439" i="6"/>
  <c r="V439" i="6"/>
  <c r="X163" i="6"/>
  <c r="N163" i="6"/>
  <c r="V877" i="6"/>
  <c r="U877" i="6"/>
  <c r="O877" i="6"/>
  <c r="X915" i="6"/>
  <c r="N915" i="6"/>
  <c r="U687" i="6"/>
  <c r="O687" i="6"/>
  <c r="V687" i="6"/>
  <c r="X817" i="6"/>
  <c r="N817" i="6"/>
  <c r="N767" i="6"/>
  <c r="X767" i="6"/>
  <c r="U652" i="6"/>
  <c r="O652" i="6"/>
  <c r="V652" i="6"/>
  <c r="O89" i="6"/>
  <c r="U89" i="6"/>
  <c r="V89" i="6"/>
  <c r="O468" i="6"/>
  <c r="U468" i="6"/>
  <c r="V468" i="6"/>
  <c r="O389" i="6" l="1"/>
  <c r="U389" i="6"/>
  <c r="V389" i="6"/>
  <c r="O751" i="6"/>
  <c r="V751" i="6"/>
  <c r="U751" i="6"/>
  <c r="O673" i="6"/>
  <c r="U673" i="6"/>
  <c r="V673" i="6"/>
  <c r="U355" i="6"/>
  <c r="V355" i="6"/>
  <c r="O355" i="6"/>
  <c r="O414" i="6"/>
  <c r="V414" i="6"/>
  <c r="U414" i="6"/>
  <c r="O517" i="6"/>
  <c r="U517" i="6"/>
  <c r="V517" i="6"/>
  <c r="U915" i="6"/>
  <c r="O915" i="6"/>
  <c r="V915" i="6"/>
  <c r="U546" i="6"/>
  <c r="O546" i="6"/>
  <c r="V546" i="6"/>
  <c r="U1006" i="6"/>
  <c r="O1006" i="6"/>
  <c r="V1006" i="6"/>
  <c r="O712" i="6"/>
  <c r="U712" i="6"/>
  <c r="V712" i="6"/>
  <c r="O1002" i="6"/>
  <c r="U1002" i="6"/>
  <c r="V1002" i="6"/>
  <c r="O502" i="6"/>
  <c r="U502" i="6"/>
  <c r="V502" i="6"/>
  <c r="C3" i="8"/>
  <c r="U37" i="6"/>
  <c r="O37" i="6"/>
  <c r="V37" i="6"/>
  <c r="U478" i="6"/>
  <c r="O478" i="6"/>
  <c r="V478" i="6"/>
  <c r="U63" i="6"/>
  <c r="O63" i="6"/>
  <c r="V63" i="6"/>
  <c r="O432" i="6"/>
  <c r="U432" i="6"/>
  <c r="V432" i="6"/>
  <c r="O579" i="6"/>
  <c r="V579" i="6"/>
  <c r="U579" i="6"/>
  <c r="O771" i="6"/>
  <c r="U771" i="6"/>
  <c r="V771" i="6"/>
  <c r="O719" i="6"/>
  <c r="U719" i="6"/>
  <c r="V719" i="6"/>
  <c r="O421" i="6"/>
  <c r="V421" i="6"/>
  <c r="U421" i="6"/>
  <c r="U882" i="6"/>
  <c r="V882" i="6"/>
  <c r="O882" i="6"/>
  <c r="O371" i="6"/>
  <c r="V371" i="6"/>
  <c r="U371" i="6"/>
  <c r="O169" i="6"/>
  <c r="V169" i="6"/>
  <c r="U169" i="6"/>
  <c r="B1035" i="6"/>
  <c r="T20" i="8" s="1"/>
  <c r="U299" i="6"/>
  <c r="V299" i="6"/>
  <c r="O299" i="6"/>
  <c r="O747" i="6"/>
  <c r="U747" i="6"/>
  <c r="V747" i="6"/>
  <c r="U851" i="6"/>
  <c r="O851" i="6"/>
  <c r="V851" i="6"/>
  <c r="O916" i="6"/>
  <c r="U916" i="6"/>
  <c r="V916" i="6"/>
  <c r="O244" i="6"/>
  <c r="U244" i="6"/>
  <c r="V244" i="6"/>
  <c r="O483" i="6"/>
  <c r="U483" i="6"/>
  <c r="V483" i="6"/>
  <c r="O757" i="6"/>
  <c r="U757" i="6"/>
  <c r="V757" i="6"/>
  <c r="U977" i="6"/>
  <c r="V977" i="6"/>
  <c r="O977" i="6"/>
  <c r="O497" i="6"/>
  <c r="U497" i="6"/>
  <c r="V497" i="6"/>
  <c r="U819" i="6"/>
  <c r="V819" i="6"/>
  <c r="O819" i="6"/>
  <c r="O959" i="6"/>
  <c r="U959" i="6"/>
  <c r="V959" i="6"/>
  <c r="O163" i="6"/>
  <c r="V163" i="6"/>
  <c r="U163" i="6"/>
  <c r="B1029" i="6"/>
  <c r="N14" i="8" s="1"/>
  <c r="O203" i="6"/>
  <c r="V203" i="6"/>
  <c r="U203" i="6"/>
  <c r="U985" i="6"/>
  <c r="O985" i="6"/>
  <c r="V985" i="6"/>
  <c r="U1003" i="6"/>
  <c r="O1003" i="6"/>
  <c r="V1003" i="6"/>
  <c r="V42" i="6"/>
  <c r="U42" i="6"/>
  <c r="O42" i="6"/>
  <c r="O153" i="6"/>
  <c r="V153" i="6"/>
  <c r="U153" i="6"/>
  <c r="B1019" i="6"/>
  <c r="D4" i="8" s="1"/>
  <c r="O56" i="6"/>
  <c r="V56" i="6"/>
  <c r="U56" i="6"/>
  <c r="O477" i="6"/>
  <c r="U477" i="6"/>
  <c r="V477" i="6"/>
  <c r="O174" i="6"/>
  <c r="U174" i="6"/>
  <c r="V174" i="6"/>
  <c r="O520" i="6"/>
  <c r="U520" i="6"/>
  <c r="V520" i="6"/>
  <c r="V35" i="6"/>
  <c r="U35" i="6"/>
  <c r="O35" i="6"/>
  <c r="O253" i="6"/>
  <c r="U253" i="6"/>
  <c r="V253" i="6"/>
  <c r="O499" i="6"/>
  <c r="V499" i="6"/>
  <c r="U499" i="6"/>
  <c r="V348" i="6"/>
  <c r="U348" i="6"/>
  <c r="O348" i="6"/>
  <c r="O392" i="6"/>
  <c r="V392" i="6"/>
  <c r="U392" i="6"/>
  <c r="U13" i="6"/>
  <c r="B7" i="7" s="1"/>
  <c r="D7" i="7" s="1"/>
  <c r="O13" i="6"/>
  <c r="V13" i="6"/>
  <c r="B6" i="7" s="1"/>
  <c r="D6" i="7" s="1"/>
  <c r="O636" i="6"/>
  <c r="U636" i="6"/>
  <c r="V636" i="6"/>
  <c r="V938" i="6"/>
  <c r="O938" i="6"/>
  <c r="U938" i="6"/>
  <c r="V393" i="6"/>
  <c r="O393" i="6"/>
  <c r="U393" i="6"/>
  <c r="O741" i="6"/>
  <c r="U741" i="6"/>
  <c r="V741" i="6"/>
  <c r="U610" i="6"/>
  <c r="O610" i="6"/>
  <c r="V610" i="6"/>
  <c r="V768" i="6"/>
  <c r="U768" i="6"/>
  <c r="O768" i="6"/>
  <c r="U746" i="6"/>
  <c r="O746" i="6"/>
  <c r="V746" i="6"/>
  <c r="O357" i="6"/>
  <c r="U357" i="6"/>
  <c r="V357" i="6"/>
  <c r="O615" i="6"/>
  <c r="V615" i="6"/>
  <c r="U615" i="6"/>
  <c r="O120" i="6"/>
  <c r="U120" i="6"/>
  <c r="V120" i="6"/>
  <c r="U362" i="6"/>
  <c r="O362" i="6"/>
  <c r="V362" i="6"/>
  <c r="O855" i="6"/>
  <c r="U855" i="6"/>
  <c r="V855" i="6"/>
  <c r="U583" i="6"/>
  <c r="O583" i="6"/>
  <c r="V583" i="6"/>
  <c r="O111" i="6"/>
  <c r="V111" i="6"/>
  <c r="U111" i="6"/>
  <c r="U643" i="6"/>
  <c r="O643" i="6"/>
  <c r="V643" i="6"/>
  <c r="U918" i="6"/>
  <c r="O918" i="6"/>
  <c r="V918" i="6"/>
  <c r="U460" i="6"/>
  <c r="V460" i="6"/>
  <c r="O460" i="6"/>
  <c r="U935" i="6"/>
  <c r="O935" i="6"/>
  <c r="V935" i="6"/>
  <c r="U875" i="6"/>
  <c r="O875" i="6"/>
  <c r="V875" i="6"/>
  <c r="O635" i="6"/>
  <c r="U635" i="6"/>
  <c r="V635" i="6"/>
  <c r="U726" i="6"/>
  <c r="O726" i="6"/>
  <c r="V726" i="6"/>
  <c r="U142" i="6"/>
  <c r="O142" i="6"/>
  <c r="V142" i="6"/>
  <c r="O897" i="6"/>
  <c r="U897" i="6"/>
  <c r="V897" i="6"/>
  <c r="U16" i="6"/>
  <c r="V16" i="6"/>
  <c r="O16" i="6"/>
  <c r="B18" i="7" s="1"/>
  <c r="O898" i="6"/>
  <c r="V898" i="6"/>
  <c r="U898" i="6"/>
  <c r="U677" i="6"/>
  <c r="O677" i="6"/>
  <c r="V677" i="6"/>
  <c r="O378" i="6"/>
  <c r="V378" i="6"/>
  <c r="U378" i="6"/>
  <c r="U691" i="6"/>
  <c r="O691" i="6"/>
  <c r="V691" i="6"/>
  <c r="V413" i="6"/>
  <c r="U413" i="6"/>
  <c r="O413" i="6"/>
  <c r="O754" i="6"/>
  <c r="V754" i="6"/>
  <c r="U754" i="6"/>
  <c r="U678" i="6"/>
  <c r="V678" i="6"/>
  <c r="O678" i="6"/>
  <c r="O645" i="6"/>
  <c r="U645" i="6"/>
  <c r="V645" i="6"/>
  <c r="O582" i="6"/>
  <c r="U582" i="6"/>
  <c r="V582" i="6"/>
  <c r="O496" i="6"/>
  <c r="V496" i="6"/>
  <c r="U496" i="6"/>
  <c r="V55" i="6"/>
  <c r="U55" i="6"/>
  <c r="O55" i="6"/>
  <c r="V284" i="6"/>
  <c r="U284" i="6"/>
  <c r="O284" i="6"/>
  <c r="U729" i="6"/>
  <c r="V729" i="6"/>
  <c r="O729" i="6"/>
  <c r="U410" i="6"/>
  <c r="O410" i="6"/>
  <c r="V410" i="6"/>
  <c r="V373" i="6"/>
  <c r="U373" i="6"/>
  <c r="O373" i="6"/>
  <c r="U394" i="6"/>
  <c r="O394" i="6"/>
  <c r="V394" i="6"/>
  <c r="O526" i="6"/>
  <c r="U526" i="6"/>
  <c r="V526" i="6"/>
  <c r="O78" i="6"/>
  <c r="U78" i="6"/>
  <c r="V78" i="6"/>
  <c r="U861" i="6"/>
  <c r="O861" i="6"/>
  <c r="V861" i="6"/>
  <c r="U330" i="6"/>
  <c r="O330" i="6"/>
  <c r="V330" i="6"/>
  <c r="U400" i="6"/>
  <c r="O400" i="6"/>
  <c r="V400" i="6"/>
  <c r="O225" i="6"/>
  <c r="V225" i="6"/>
  <c r="U225" i="6"/>
  <c r="U310" i="6"/>
  <c r="O310" i="6"/>
  <c r="V310" i="6"/>
  <c r="O670" i="6"/>
  <c r="U670" i="6"/>
  <c r="V670" i="6"/>
  <c r="O211" i="6"/>
  <c r="U211" i="6"/>
  <c r="V211" i="6"/>
  <c r="V140" i="6"/>
  <c r="U140" i="6"/>
  <c r="O140" i="6"/>
  <c r="O686" i="6"/>
  <c r="U686" i="6"/>
  <c r="V686" i="6"/>
  <c r="O166" i="6"/>
  <c r="U166" i="6"/>
  <c r="V166" i="6"/>
  <c r="B1032" i="6"/>
  <c r="Q17" i="8" s="1"/>
  <c r="O956" i="6"/>
  <c r="U956" i="6"/>
  <c r="V956" i="6"/>
  <c r="O841" i="6"/>
  <c r="U841" i="6"/>
  <c r="V841" i="6"/>
  <c r="O767" i="6"/>
  <c r="V767" i="6"/>
  <c r="U767" i="6"/>
  <c r="O447" i="6"/>
  <c r="U447" i="6"/>
  <c r="V447" i="6"/>
  <c r="O96" i="6"/>
  <c r="U96" i="6"/>
  <c r="V96" i="6"/>
  <c r="O498" i="6"/>
  <c r="U498" i="6"/>
  <c r="V498" i="6"/>
  <c r="O61" i="6"/>
  <c r="U61" i="6"/>
  <c r="V61" i="6"/>
  <c r="U834" i="6"/>
  <c r="O834" i="6"/>
  <c r="V834" i="6"/>
  <c r="U47" i="6"/>
  <c r="V47" i="6"/>
  <c r="O47" i="6"/>
  <c r="U664" i="6"/>
  <c r="O664" i="6"/>
  <c r="V664" i="6"/>
  <c r="U537" i="6"/>
  <c r="O537" i="6"/>
  <c r="V537" i="6"/>
  <c r="O187" i="6"/>
  <c r="V187" i="6"/>
  <c r="U187" i="6"/>
  <c r="O180" i="6"/>
  <c r="U180" i="6"/>
  <c r="V180" i="6"/>
  <c r="U901" i="6"/>
  <c r="O901" i="6"/>
  <c r="V901" i="6"/>
  <c r="O215" i="6"/>
  <c r="U215" i="6"/>
  <c r="V215" i="6"/>
  <c r="O210" i="6"/>
  <c r="V210" i="6"/>
  <c r="U210" i="6"/>
  <c r="O601" i="6"/>
  <c r="V601" i="6"/>
  <c r="U601" i="6"/>
  <c r="U958" i="6"/>
  <c r="O958" i="6"/>
  <c r="V958" i="6"/>
  <c r="O594" i="6"/>
  <c r="U594" i="6"/>
  <c r="V594" i="6"/>
  <c r="U838" i="6"/>
  <c r="O838" i="6"/>
  <c r="V838" i="6"/>
  <c r="O624" i="6"/>
  <c r="U624" i="6"/>
  <c r="V624" i="6"/>
  <c r="U411" i="6"/>
  <c r="O411" i="6"/>
  <c r="V411" i="6"/>
  <c r="U657" i="6"/>
  <c r="O657" i="6"/>
  <c r="V657" i="6"/>
  <c r="U817" i="6"/>
  <c r="O817" i="6"/>
  <c r="V817" i="6"/>
  <c r="O481" i="6"/>
  <c r="U481" i="6"/>
  <c r="V481" i="6"/>
  <c r="U567" i="6"/>
  <c r="O567" i="6"/>
  <c r="V567" i="6"/>
  <c r="O909" i="6"/>
  <c r="U909" i="6"/>
  <c r="V909" i="6"/>
  <c r="U929" i="6"/>
  <c r="O929" i="6"/>
  <c r="V929" i="6"/>
  <c r="O309" i="6"/>
  <c r="U309" i="6"/>
  <c r="V309" i="6"/>
  <c r="O707" i="6"/>
  <c r="U707" i="6"/>
  <c r="V707" i="6"/>
  <c r="U728" i="6"/>
  <c r="O728" i="6"/>
  <c r="V728" i="6"/>
  <c r="O798" i="6"/>
  <c r="V798" i="6"/>
  <c r="U798" i="6"/>
  <c r="V48" i="6"/>
  <c r="O48" i="6"/>
  <c r="U48" i="6"/>
  <c r="U560" i="6"/>
  <c r="O560" i="6"/>
  <c r="V560" i="6"/>
  <c r="U835" i="6"/>
  <c r="O835" i="6"/>
  <c r="V835" i="6"/>
  <c r="U609" i="6"/>
  <c r="O609" i="6"/>
  <c r="V609" i="6"/>
  <c r="O286" i="6"/>
  <c r="U286" i="6"/>
  <c r="V286" i="6"/>
  <c r="O358" i="6"/>
  <c r="V358" i="6"/>
  <c r="U358" i="6"/>
  <c r="U646" i="6"/>
  <c r="O646" i="6"/>
  <c r="V646" i="6"/>
  <c r="U792" i="6"/>
  <c r="V792" i="6"/>
  <c r="O792" i="6"/>
  <c r="O561" i="6"/>
  <c r="U561" i="6"/>
  <c r="V561" i="6"/>
  <c r="U961" i="6"/>
  <c r="O961" i="6"/>
  <c r="V961" i="6"/>
  <c r="U551" i="6"/>
  <c r="O551" i="6"/>
  <c r="V551" i="6"/>
  <c r="O811" i="6"/>
  <c r="U811" i="6"/>
  <c r="V811" i="6"/>
  <c r="B16" i="7" l="1"/>
  <c r="D16" i="7" s="1"/>
  <c r="B13" i="7"/>
  <c r="D13" i="7" s="1"/>
</calcChain>
</file>

<file path=xl/sharedStrings.xml><?xml version="1.0" encoding="utf-8"?>
<sst xmlns="http://schemas.openxmlformats.org/spreadsheetml/2006/main" count="20653" uniqueCount="334">
  <si>
    <t>PoFDCtAE Perc of Fuel Demand Changes that Affect Exports</t>
  </si>
  <si>
    <t>Florida</t>
  </si>
  <si>
    <t>State code:</t>
  </si>
  <si>
    <t>Sources:</t>
  </si>
  <si>
    <t>Balanced initial (2025) production, imports and exports - the calc basis</t>
  </si>
  <si>
    <t>Provides: the quantities the export routing actually operates on - Initial BAU Fuel Production Imports and Exports, the balanced 2025 values (INITIAL TIME = 2025, verified in plcy-schd/IT/IT.csv). Every derived diagonal comes from this tab.</t>
  </si>
  <si>
    <t>Publisher: Energy Innovation, EPS state models (this repo's 48-state sweep)</t>
  </si>
  <si>
    <t>Title: climate-0825.csv sweep export, variable 'BAU Fuel Production Imports and Exports', 2025 column</t>
  </si>
  <si>
    <t>Year: 2026</t>
  </si>
  <si>
    <t>state-eps-code/run-all/climate-0825.csv</t>
  </si>
  <si>
    <t>Table / sheet used: 3,024 rows (48 states x 21 fuels x 3 parts) - embedded verbatim on tab Balanced_2025.</t>
  </si>
  <si>
    <t>Accessed / handling: extracted 2026-08-26 by _stage_pofdctae_inputs.py; source and staged sha256 on the tab. Single run in the file (US_ClimateAmbition); the variable is BAU-side, so it is policy-independent.</t>
  </si>
  <si>
    <t>Caveats and limits: model-derived, NOT a primary source. Must be re-staged after any BFPIaE, energy-use or FPIEBP redeploy. climate-0825 is post-BFPaT-year-fix, so it is the correct vintage as of this build. Also: no AK/HI rows exist - the sweep tree is 48 states - so those two keep the national file.</t>
  </si>
  <si>
    <t>Per-state raw BAU fuel production, imports and exports (comparison only)</t>
  </si>
  <si>
    <t>Provides: the raw published series underlying the balanced values, embedded so the difference between raw and balanced is visible without leaving the workbook. NOT the calc basis.</t>
  </si>
  <si>
    <t>Publisher: Energy Innovation, state-eps-data repository</t>
  </si>
  <si>
    <t>Title: BFPIaE BAU Fuel Production Imports and Exports (48 state file sets)</t>
  </si>
  <si>
    <t>state-eps-data/&lt;ST&gt;/fuels/BFPIaE/BFPIaE-{production,imports,exports}.csv</t>
  </si>
  <si>
    <t>Table / sheet used: all 21 fuel rows x 3 parts x 48 states, 2024-2026 columns - embedded verbatim on tab Raw_BFPIaE, with a 3-year mean helper column.</t>
  </si>
  <si>
    <t>Accessed / handling: 2026-08-26; three year columns extracted per file by _stage_pofdctae_inputs.py; no value changes. Staged sha256 on the tab.</t>
  </si>
  <si>
    <t>Caveats and limits: EPS balances these against BAU energy use before the routing sees them (FPIEBP priorities: imports 1, exports 2, production 3), so raw != balanced. 113 of 576 tradeable cells move by more than 0.05 between the two bases - FL crude 0.325 raw vs 0.508 balanced, TX crude 0.183 vs 0.000. The raw series also carries start-year zeros the balancer resolves (NE crude and export rows read 0.0 in 2024), which is why a raw basis would need a multi-year average and the balanced basis does not. Never derive a diagonal from this tab.</t>
  </si>
  <si>
    <t>National PoFDCtAE matrix (the file this replaces per state)</t>
  </si>
  <si>
    <t>Provides: the output matrix layout - the A1 header string, the 21 row and column labels in order - and the national diagonal per fuel, kept for the crude row and used as the comparison baseline.</t>
  </si>
  <si>
    <t>Publisher: Energy Innovation, eps-us repository</t>
  </si>
  <si>
    <t>Title: Perc of Fuel Demand Changes that Affect Exports.xlsx / PoFDCtAE.csv (variable PoFDCtAE)</t>
  </si>
  <si>
    <t>eps-us/InputData/fuels/PoFDCtAE/PoFDCtAE.csv</t>
  </si>
  <si>
    <t>Table / sheet used: all 22 x 22 cells; labels and diagonals read at build time into the Keys fuel table (columns F-I), so this workbook re-syncs if the national file changes.</t>
  </si>
  <si>
    <t>Accessed / handling: 2026-08-26; read by _build_pofdctae_workbook.py, no value changes. sha256 on the Keys tab provenance line below.</t>
  </si>
  <si>
    <t>Caveats and limits: the national file's product-&gt;crude off-diagonal entries (gasoline 0.925, diesel 0.733, jet 0.898, HFO 0.50, LPG 0.45) were zeroed across eps-us and all 50 state folders on 2026-08-25 (state-eps-data 509bc03d38), matching the .mdl-side removal of the crude neutralizer. This build inherits that; it does not re-introduce them. The national diagonals themselves are e/production (primary fuels) or e/(e+use) (secondary products) on a national BFPIaE vintage that differs from the current one - do not read them as a target for the state values.</t>
  </si>
  <si>
    <t>Notes:</t>
  </si>
  <si>
    <t>Rule</t>
  </si>
  <si>
    <t>diagonal[state, fuel] = MIN(1, MAX(0, E - I) / (MAX(0, E - I) + (P + I - E))), on the balanced initial (2025) values; 0 where the denominator is 0. In words: the share of a state's outflows that is genuinely redirectable, netting imports out of exports so a pipeline corridor is not credited with an export channel it cannot supply. Off-diagonals are 0. The crude-&gt;crude diagonal is held at the national 1.0 (see 'Crude' below).</t>
  </si>
  <si>
    <t>Equivalent form</t>
  </si>
  <si>
    <t>Whenever E &gt; I the denominator equals P exactly - domestic use cancels - so the rule is net exports as a share of production, MAX(0, E - I) / P. Verified on all 576 tradeable cells with 0 violations; the identity is a live check row on the Checks tab. It follows that the rule is NOT bounded above by construction: any cell with 0 &lt; P &lt; E - I would exceed 1. No such cell exists in the current data, and the MIN(1, ...) makes the bound explicit rather than assumed.</t>
  </si>
  <si>
    <t>Why balanced, not raw (decision 2026-08-26)</t>
  </si>
  <si>
    <t>The routing operates on the model's balanced quantities, not the published series. Raw and balanced diverge most in exactly the states this variable is meant to fix: FL crude 0.325 raw vs 0.508 balanced, NE 0.613 vs 0.924, TX 0.183 vs 0.000. Same precedent as MPIiFE. The balanced basis is a single year, so no averaging window is needed.</t>
  </si>
  <si>
    <t>Crude (decision 2026-08-26)</t>
  </si>
  <si>
    <t>The crude-&gt;crude diagonal is held at the national 1.0 for every state rather than derived. Note the residual this leaves: with the product-&gt;crude shortcut zeroed, crude-&gt;crude is the only live routing channel, and CA IL WA NJ PA all have zero balanced crude exports with large crude imports - so a refining-driven crude-use drop routes 100% into crude exports from states that export none. FL and NE do not refine, so their gates are unaffected. Flagged for review alongside the production-backed export-headroom fix, which is NOT in the state model as of this build (run-all/FL/EPS.mdl:37653 still reads Initial BAU exports x MPIiFE, and MPIiFE is back at the national 999).</t>
  </si>
  <si>
    <t>State selector</t>
  </si>
  <si>
    <t>About!B1 holds the active state NAME; About!B2 derives the code. The output tab shows the active state's matrix; Calcs holds all 48 states, because a cross-state view is needed to sanity-check the distribution.</t>
  </si>
  <si>
    <t>Scope</t>
  </si>
  <si>
    <t>48 conterminous states. AK and HI have PoFDCtAE and BFPIaE folders but are absent from the sweep tree, so no balanced values exist for them; they keep the national file. Computing them from raw BFPIaE is the fallback if coverage is wanted.</t>
  </si>
  <si>
    <t>Plan and review</t>
  </si>
  <si>
    <t>docs/plans/pofdctae-state-basis.md holds the build plan, the review of the 2026-08-26 handoff docs, the gate definitions and the open residuals. Findings: docs/findings/isic06-phantom-export-output-2026-08-24.md.</t>
  </si>
  <si>
    <t>Provenance:</t>
  </si>
  <si>
    <t>National layout and diagonals read at build time from eps-us/InputData/fuels/PoFDCtAE/PoFDCtAE.csv (sha256 02a6d970a693429d924982b5c5ff193722060b06bfe2f98776a904456959077e) into Keys!F:I.</t>
  </si>
  <si>
    <t>Staged inputs: raw_bfpiae_2024_2026.csv sha256 2456f5adb9c6399115ecdcb62daa7fbb30dacdd7949513ec915ca29f28ad795a; balanced_fpiae_2025.csv sha256 39d8b2881e397e54cbdb3701c2ff1800a25602d4c247ebcc689d3f1b73ebaf50.</t>
  </si>
  <si>
    <t>Built 2026-08-26 by outputs/PoFDCtAE/_build_pofdctae_workbook.py from _stage_pofdctae_inputs.py output.</t>
  </si>
  <si>
    <t>category</t>
  </si>
  <si>
    <t>key</t>
  </si>
  <si>
    <t>value</t>
  </si>
  <si>
    <t>description</t>
  </si>
  <si>
    <t>pofdctae_label</t>
  </si>
  <si>
    <t>balanced_label</t>
  </si>
  <si>
    <t>national_diagonal</t>
  </si>
  <si>
    <t>mode</t>
  </si>
  <si>
    <t>state</t>
  </si>
  <si>
    <t>Alabama</t>
  </si>
  <si>
    <t>AL</t>
  </si>
  <si>
    <t>state name -&gt; code (About!B2 VLOOKUPs this block)</t>
  </si>
  <si>
    <t>electricity (not used in this variable)</t>
  </si>
  <si>
    <t>zero</t>
  </si>
  <si>
    <t>Arkansas</t>
  </si>
  <si>
    <t>AR</t>
  </si>
  <si>
    <t>hard coal</t>
  </si>
  <si>
    <t>rule</t>
  </si>
  <si>
    <t>Arizona</t>
  </si>
  <si>
    <t>AZ</t>
  </si>
  <si>
    <t>natural gas</t>
  </si>
  <si>
    <t>California</t>
  </si>
  <si>
    <t>CA</t>
  </si>
  <si>
    <t>nuclear</t>
  </si>
  <si>
    <t>Colorado</t>
  </si>
  <si>
    <t>CO</t>
  </si>
  <si>
    <t>hydro (is not a fuel)</t>
  </si>
  <si>
    <t>Connecticut</t>
  </si>
  <si>
    <t>CT</t>
  </si>
  <si>
    <t>wind (is not a fuel)</t>
  </si>
  <si>
    <t>Delaware</t>
  </si>
  <si>
    <t>DE</t>
  </si>
  <si>
    <t>solar (is not a fuel)</t>
  </si>
  <si>
    <t>FL</t>
  </si>
  <si>
    <t>biomass</t>
  </si>
  <si>
    <t>Georgia</t>
  </si>
  <si>
    <t>GA</t>
  </si>
  <si>
    <t>petroleum gasoline</t>
  </si>
  <si>
    <t>Iowa</t>
  </si>
  <si>
    <t>IA</t>
  </si>
  <si>
    <t>petroleum diesel</t>
  </si>
  <si>
    <t>Idaho</t>
  </si>
  <si>
    <t>ID</t>
  </si>
  <si>
    <t>biofuel gasoline</t>
  </si>
  <si>
    <t>Illinois</t>
  </si>
  <si>
    <t>IL</t>
  </si>
  <si>
    <t>biofuel diesel</t>
  </si>
  <si>
    <t>Indiana</t>
  </si>
  <si>
    <t>IN</t>
  </si>
  <si>
    <t>jet fuel or kerosene</t>
  </si>
  <si>
    <t>Kansas</t>
  </si>
  <si>
    <t>KS</t>
  </si>
  <si>
    <t>heat (not used in this variable)</t>
  </si>
  <si>
    <t>Kentucky</t>
  </si>
  <si>
    <t>KY</t>
  </si>
  <si>
    <t>geothermal (is not a fuel)</t>
  </si>
  <si>
    <t>Louisiana</t>
  </si>
  <si>
    <t>LA</t>
  </si>
  <si>
    <t>lignite</t>
  </si>
  <si>
    <t>Massachusetts</t>
  </si>
  <si>
    <t>MA</t>
  </si>
  <si>
    <t>crude oil</t>
  </si>
  <si>
    <t>hold</t>
  </si>
  <si>
    <t>Maryland</t>
  </si>
  <si>
    <t>MD</t>
  </si>
  <si>
    <t>heavy fuel oil</t>
  </si>
  <si>
    <t>heavy or residual fuel oil</t>
  </si>
  <si>
    <t>Maine</t>
  </si>
  <si>
    <t>ME</t>
  </si>
  <si>
    <t>LPG propane or butane</t>
  </si>
  <si>
    <t>Michigan</t>
  </si>
  <si>
    <t>MI</t>
  </si>
  <si>
    <t>municipal solid waste</t>
  </si>
  <si>
    <t>Minnesota</t>
  </si>
  <si>
    <t>MN</t>
  </si>
  <si>
    <t>hydrogen</t>
  </si>
  <si>
    <t>Missouri</t>
  </si>
  <si>
    <t>MO</t>
  </si>
  <si>
    <t>Mississippi</t>
  </si>
  <si>
    <t>MS</t>
  </si>
  <si>
    <t>Montana</t>
  </si>
  <si>
    <t>MT</t>
  </si>
  <si>
    <t>North Carolina</t>
  </si>
  <si>
    <t>NC</t>
  </si>
  <si>
    <t>North Dakota</t>
  </si>
  <si>
    <t>ND</t>
  </si>
  <si>
    <t>Nebraska</t>
  </si>
  <si>
    <t>NE</t>
  </si>
  <si>
    <t>New Hampshire</t>
  </si>
  <si>
    <t>NH</t>
  </si>
  <si>
    <t>New Jersey</t>
  </si>
  <si>
    <t>NJ</t>
  </si>
  <si>
    <t>New Mexico</t>
  </si>
  <si>
    <t>NM</t>
  </si>
  <si>
    <t>Nevada</t>
  </si>
  <si>
    <t>NV</t>
  </si>
  <si>
    <t>New York</t>
  </si>
  <si>
    <t>NY</t>
  </si>
  <si>
    <t>Ohio</t>
  </si>
  <si>
    <t>OH</t>
  </si>
  <si>
    <t>Oklahoma</t>
  </si>
  <si>
    <t>OK</t>
  </si>
  <si>
    <t>Oregon</t>
  </si>
  <si>
    <t>OR</t>
  </si>
  <si>
    <t>Pennsylvania</t>
  </si>
  <si>
    <t>PA</t>
  </si>
  <si>
    <t>Rhode Island</t>
  </si>
  <si>
    <t>RI</t>
  </si>
  <si>
    <t>South Carolina</t>
  </si>
  <si>
    <t>SC</t>
  </si>
  <si>
    <t>South Dakota</t>
  </si>
  <si>
    <t>SD</t>
  </si>
  <si>
    <t>Tennessee</t>
  </si>
  <si>
    <t>TN</t>
  </si>
  <si>
    <t>Texas</t>
  </si>
  <si>
    <t>TX</t>
  </si>
  <si>
    <t>Utah</t>
  </si>
  <si>
    <t>UT</t>
  </si>
  <si>
    <t>Virginia</t>
  </si>
  <si>
    <t>VA</t>
  </si>
  <si>
    <t>Vermont</t>
  </si>
  <si>
    <t>VT</t>
  </si>
  <si>
    <t>Washington</t>
  </si>
  <si>
    <t>WA</t>
  </si>
  <si>
    <t>Wisconsin</t>
  </si>
  <si>
    <t>WI</t>
  </si>
  <si>
    <t>West Virginia</t>
  </si>
  <si>
    <t>WV</t>
  </si>
  <si>
    <t>Wyoming</t>
  </si>
  <si>
    <t>WY</t>
  </si>
  <si>
    <t>constant</t>
  </si>
  <si>
    <t>structural-zero value; comparison constant</t>
  </si>
  <si>
    <t>one</t>
  </si>
  <si>
    <t>the MIN() ceiling on every diagonal, and the crude hold value</t>
  </si>
  <si>
    <t>initial_year</t>
  </si>
  <si>
    <t>INITIAL TIME of the state models (plcy-schd/IT/IT.csv) - the routing operates on the balanced 2025 values, so the diagonal is derived from them</t>
  </si>
  <si>
    <t>sep</t>
  </si>
  <si>
    <t>|</t>
  </si>
  <si>
    <t>separator used to build lookup keys (state|part|fuel)</t>
  </si>
  <si>
    <t>part_production</t>
  </si>
  <si>
    <t>production</t>
  </si>
  <si>
    <t>FPIaE part label</t>
  </si>
  <si>
    <t>part_imports</t>
  </si>
  <si>
    <t>imports</t>
  </si>
  <si>
    <t>part_exports</t>
  </si>
  <si>
    <t>exports</t>
  </si>
  <si>
    <t>mode_rule</t>
  </si>
  <si>
    <t>fuel row: diagonal derived by the net-export rule</t>
  </si>
  <si>
    <t>mode_hold</t>
  </si>
  <si>
    <t>fuel row: diagonal held at the national value (crude oil, by decision 2026-08-26)</t>
  </si>
  <si>
    <t>mode_zero</t>
  </si>
  <si>
    <t>structural-zero row: not a tradeable fuel in this variable</t>
  </si>
  <si>
    <t>output_header</t>
  </si>
  <si>
    <t>Percentage Change in Demand that Alters Exports (dimensionless) - From type (below)  / To type (right)</t>
  </si>
  <si>
    <t>A1 of the output tab (matches eps-us byte-for-byte)</t>
  </si>
  <si>
    <t>id_tol</t>
  </si>
  <si>
    <t>absolute tolerance on the denominator identity check, in BTU</t>
  </si>
  <si>
    <t>id_rel</t>
  </si>
  <si>
    <t>relative tolerance on the denominator identity check</t>
  </si>
  <si>
    <t>n_rows_expected</t>
  </si>
  <si>
    <t>48 states x 21 fuels</t>
  </si>
  <si>
    <t>n_fuels_rule</t>
  </si>
  <si>
    <t>fuel rows whose diagonal is derived</t>
  </si>
  <si>
    <t>n_fuels_zero</t>
  </si>
  <si>
    <t>structural-zero rows</t>
  </si>
  <si>
    <t>n_fuels_hold</t>
  </si>
  <si>
    <t>rows held at the national value</t>
  </si>
  <si>
    <t>n_readback</t>
  </si>
  <si>
    <t>rows in the active-state read-back section</t>
  </si>
  <si>
    <t>n_fuels</t>
  </si>
  <si>
    <t>rows and columns in the output matrix</t>
  </si>
  <si>
    <t>crit_gt_zero</t>
  </si>
  <si>
    <t>&gt;0</t>
  </si>
  <si>
    <t>COUNTIFS criterion string, kept out of formulas per formula rule 2</t>
  </si>
  <si>
    <t>pass</t>
  </si>
  <si>
    <t>PASS</t>
  </si>
  <si>
    <t>check status strings kept out of formulas per formula rule 2</t>
  </si>
  <si>
    <t>fail</t>
  </si>
  <si>
    <t>FAIL</t>
  </si>
  <si>
    <t>default_state</t>
  </si>
  <si>
    <t>About!B1 default</t>
  </si>
  <si>
    <t>Methodology</t>
  </si>
  <si>
    <t>Purpose</t>
  </si>
  <si>
    <t>State-specific values for PoFDCtAE, the matrix deciding how much of a fuel demand drop is absorbed by higher exports instead of lower production and imports. All 50 state folders ship the national matrix byte-for-byte, so every state inherits the US export-routing assumption. At national scale that is the intended design; at state scale it credits export revenue to extraction industries a state does not have (FL gained a +$9.1B-by-2050 phantom oil and gas industry under US_ClimateAmbition).</t>
  </si>
  <si>
    <t>diagonal = MIN(1, MAX(0, E - I) / (MAX(0, E - I) + (P + I - E))), 0 where the denominator is 0, on the balanced initial (2025) values. Netting imports out of exports is what makes the national concept transferable: it separates a state that genuinely ships fuel out from one that is a pipeline corridor. Off-diagonals are 0. Structural-zero rows and columns (electricity, heat, nuclear, hydro, wind, solar, geothermal, MSW, hydrogen) stay 0.</t>
  </si>
  <si>
    <t>Equivalent form and its consequence</t>
  </si>
  <si>
    <t>Whenever E &gt; I the denominator equals P exactly, so the rule is net exports as a share of production. Verified on all 576 tradeable cells, 0 violations, and asserted as a live check row. Two consequences: domestic use does no work in the denominator, and the rule is NOT bounded above by construction - a cell with 0 &lt; P &lt; E - I would exceed 1. None exists today; the MIN(1, ...) makes the bound explicit and currently never binds.</t>
  </si>
  <si>
    <t>The routing operates on the model's balanced quantities, not the published series. EPS balances raw BFPIaE against BAU energy use first (FPIEBP priorities: imports 1, exports 2, production 3). 113 of 576 tradeable cells move by more than 0.05 between bases, including all three validation-gate states: FL crude 0.325 raw vs 0.508 balanced, NE 0.613 vs 0.924, TX 0.183 vs 0.000. Same precedent as MPIiFE. The balanced basis is a single year (INITIAL TIME = 2025), so the 3-year averaging window an earlier draft proposed - to dodge NE's raw 2024 zeros - is unnecessary; the balancer already resolves them (NE crude comes through at 0.924, not 0).</t>
  </si>
  <si>
    <t>Rejected: production share of supply</t>
  </si>
  <si>
    <t>An earlier draft set the diagonal to P/(P+I). Rejected on the data: it returns 1.000 wherever a state has any production and no imports, which is FL crude exactly - reviving the phantom channel in the headline example rather than closing it. It also measures where supply comes from rather than whether an export outlet exists.</t>
  </si>
  <si>
    <t>Crude oil (decision 2026-08-26)</t>
  </si>
  <si>
    <t>Held at the national 1.0 for every state rather than derived. Residual to be aware of: the product-&gt;crude off-diagonals were zeroed on 2026-08-25 across eps-us and all 50 state folders, so crude-&gt;crude is now the only live routing channel, and CA IL WA NJ PA all have zero balanced crude exports with large crude imports - a refining-driven crude-use drop there routes 100% into crude exports from states that export none. FL and NE do not refine, so ChangeUse[crude] is about 0 and their gates are unaffected. The production-backed export-headroom fix that would bound this is NOT in the state model as of this build.</t>
  </si>
  <si>
    <t>Derivation chain</t>
  </si>
  <si>
    <t>Balanced_2025 (embedded sweep extract, keyed state|part|fuel) -&gt; Calcs section 1 INDEX/MATCH lookups of P, I, E per state x fuel -&gt; use, redirectable, denominator, rule diagonal, applied diagonal -&gt; Calcs section 2 reads the About!B1 state's 21 rows back out -&gt; output tab PoFDCtAE places them on the diagonal of a 21x21 matrix of zeros. Raw_BFPIaE feeds only the comparison columns (P through S), never the applied value.</t>
  </si>
  <si>
    <t>Distribution</t>
  </si>
  <si>
    <t>133 of 576 tradeable cells are nonzero (23%); all inside [0,1]. Thirteen states go entirely to zero - AZ GA ID MA MD ME NC NV NY OR RI SC VT - the intended result for consumer and pass-through states. Two values worth knowing rather than fixing: biomass is 0.000 in all 48 states because no state's balanced BFPIaE carries a biomass export row (national 0.749), and LA lignite is exactly 1.000 because LA produces lignite purely for export (production = exports, domestic use 0).</t>
  </si>
  <si>
    <t>48 conterminous states. AK and HI have PoFDCtAE and BFPIaE folders but are not in the sweep tree, so no balanced values exist; they keep the national file.</t>
  </si>
  <si>
    <t>Refresh procedure</t>
  </si>
  <si>
    <t>After any BFPIaE / energy-use / FPIEBP redeploy or a new sweep: re-run _stage_pofdctae_inputs.py against the newest sweep CSV, re-run _build_pofdctae_workbook.py, confirm every Checks row reads PASS, and re-run qc/pofdctae_replica_qc.py. The national labels and diagonals are read from eps-us at build time, so a national-file change flows through without editing this script.</t>
  </si>
  <si>
    <t>Validation gates (before deploy)</t>
  </si>
  <si>
    <t>Run against the state .mdl as it stands. (1) FL ClimateAmbition: Change in Domestic Output by ISIC Code[ISIC 06] about $0.0B through 2050 - but re-measure the pre-change baseline on climate-0825, since zeroing the shortcut on 08-25 may already have removed most of it. (2) TX ClimateAmbition as a no-change control, with the caveat that TX's gas and product diagonals move a lot (gas 0.531, gasoline 0.744) and its crude diagonal is held at 1.0, so a large TX shift is a question rather than an automatic fail. (3) NE ClimateAmbition: crude dP + dI - dE - dU = 0 every year and crude production intact. (4) Hard invariants across all 48 written CSVs.</t>
  </si>
  <si>
    <t>QC status</t>
  </si>
  <si>
    <t>Built 2026-08-26, NOT deployed. All 13 Checks rows PASS under Excel COM CalculateFullRebuild. Independent Python replica (qc/pofdctae_replica_qc.py, written from the plan rather than the builder): 576 tradeable cells, worst abs diff 0.000e+00, plus 432 structural-zero rows asserted 0. Staging fidelity re-checked by re-reading climate-0825.csv directly, 3,024 cells, worst relative diff 0.000e+00 - the workbook and the replica do not share one read path. Selector flip across six states clean. Output layout byte-matches eps-us. 48 exported CSVs: 21,168 cells, all in [0,1], off-diagonals zero, crude column clean, largest row sum 1.000000. workbook-qc family 1: 0 findings (qc/WorkbookQCResults_PoFDCtAE.xlsx, coverage ledger filled). NOT covered: families 2-3 run against deployed CSVs (deferred to deploy time), and nothing here proves the matrix produces the intended run results - see the validation gates above.</t>
  </si>
  <si>
    <t>Raw BFPIaE 2024-2026 - embedded verbatim from state-eps-data (COMPARISON ONLY; the calc uses Balanced_2025)</t>
  </si>
  <si>
    <t>Source: state-eps-data/&lt;ST&gt;/fuels/BFPIaE/BFPIaE-{production,imports,exports}.csv, 48 states, accessed 2026-08-26</t>
  </si>
  <si>
    <t>Staged by _stage_pofdctae_inputs.py -&gt; _staging/raw_bfpiae_2024_2026.csv (3024 rows; sha256 2456f5adb9c6399115ecdcb62daa7fbb30dacdd7949513ec915ca29f28ad795a)</t>
  </si>
  <si>
    <t>Handling: the 2024, 2025 and 2026 columns extracted verbatim; no value changes. Column G is a workbook-computed 3-year mean.</t>
  </si>
  <si>
    <t>Column headings below are plain-English; the staged file's own column names are state, part, fuel, value_2024, value_2025, value_2026. 'part' is the flow: production / imports / exports.</t>
  </si>
  <si>
    <t>CAVEAT: raw is NOT the basis the routing operates on. The calc uses Balanced_2025; this tab feeds only the comparison columns on Calcs (see Methodology).</t>
  </si>
  <si>
    <t>State</t>
  </si>
  <si>
    <t>Which flow
(produced / brought in / shipped out)</t>
  </si>
  <si>
    <t>Fuel</t>
  </si>
  <si>
    <t>2024, BTU</t>
  </si>
  <si>
    <t>2025, BTU</t>
  </si>
  <si>
    <t>2026, BTU</t>
  </si>
  <si>
    <t>Average of the three years
to the left</t>
  </si>
  <si>
    <t>Lookup key
(state + flow + fuel)</t>
  </si>
  <si>
    <t>Balanced initial (2025) BAU Fuel Production Imports and Exports - THE CALC BASIS (equals the model's Initial values; INITIAL TIME = 2025)</t>
  </si>
  <si>
    <t>Source: state-eps-code/run-all/climate-0825.csv (48-state sweep, run 2026-08-25 20:32), variable 'BAU Fuel Production Imports and Exports', 2025 column, accessed 2026-08-26</t>
  </si>
  <si>
    <t>Source sha256 a0ca0b7a8b99ca0677af03c4d0680c6b7d770826aa1ea744758eed4b9eb6a584</t>
  </si>
  <si>
    <t>Staged _staging/balanced_fpiae_2025.csv sha256 39d8b2881e397e54cbdb3701c2ff1800a25602d4c247ebcc689d3f1b73ebaf50 (3024 rows = 48 states x 21 fuels x 3 parts)</t>
  </si>
  <si>
    <t>These equal the model's Initial BAU FPIaE (INITIAL TIME = 2025). BAU-side, so policy-independent; re-stage after any BFPIaE / energy-use / FPIEBP redeploy.</t>
  </si>
  <si>
    <t>Column headings below are plain-English; the staged file's own column names are state, part, fuel, value_2025. 'part' is the flow: production / imports / exports.</t>
  </si>
  <si>
    <t>2025, BTU
the value the calculation uses</t>
  </si>
  <si>
    <t>electricity</t>
  </si>
  <si>
    <t>hydro</t>
  </si>
  <si>
    <t>wind</t>
  </si>
  <si>
    <t>solar</t>
  </si>
  <si>
    <t>heat</t>
  </si>
  <si>
    <t>geothermal</t>
  </si>
  <si>
    <t>SECTION 1 - export share for every state and fuel (48 states x 21 fuels)</t>
  </si>
  <si>
    <t>The question this tab answers, one row per state and fuel: when demand for a fuel falls in this state, what share of that drop is made up by SHIPPING THE FUEL OUT of the state, rather than by producing less or bringing in less? A state that genuinely ships fuel out can absorb the drop that way; a state that only consumes, or that pipelines fuel straight through, cannot. Columns G-I are the state's 2025 fuel flows as the model itself holds them. Columns J-L build the share, column N is the answer that goes into the output file. Columns P-S re-run the same arithmetic on the raw published data instead, purely so the difference is visible - nothing downstream reads them. Columns T-W are checks: 1 means a problem, 0 means fine.</t>
  </si>
  <si>
    <t>Fuel
(name used in this file)</t>
  </si>
  <si>
    <t>Fuel
(name used in the model's own data)</t>
  </si>
  <si>
    <t>US national share
(the value every state carries today)</t>
  </si>
  <si>
    <t>How this row is filled
rule = calculated / hold = keep the US value / zero = not a tradeable fuel</t>
  </si>
  <si>
    <t>Lookup key
(state + fuel)</t>
  </si>
  <si>
    <t>Produced in the state
2025, BTU</t>
  </si>
  <si>
    <t>Brought in from outside
2025, BTU (imports)</t>
  </si>
  <si>
    <t>Shipped out of the state
2025, BTU (exports)</t>
  </si>
  <si>
    <t>Used inside the state
produced + brought in - shipped out</t>
  </si>
  <si>
    <t>Genuinely available to redirect
shipped out - brought in, never below zero</t>
  </si>
  <si>
    <t>What the share is measured against
redirectable + used in state (equals production)</t>
  </si>
  <si>
    <t>Share the rule gives
redirectable / the column to the left, capped at 100%</t>
  </si>
  <si>
    <t>EXPORT SHARE USED IN THE OUTPUT FILE
the rule, or the US value for crude, or 0</t>
  </si>
  <si>
    <t>Different from the US share?
1 = yes</t>
  </si>
  <si>
    <t>Produced in the state
published data, 3-year average</t>
  </si>
  <si>
    <t>Brought in from outside
published data, 3-year average</t>
  </si>
  <si>
    <t>Shipped out of the state
published data, 3-year average</t>
  </si>
  <si>
    <t>Share the rule would give
on the published data instead</t>
  </si>
  <si>
    <t>CHECK: does the measuring base equal production?
it must, wherever more is shipped out than brought in - 1 = problem</t>
  </si>
  <si>
    <t>CHECK: is the share between 0 and 100%?
1 = problem</t>
  </si>
  <si>
    <t>CHECK: is a non-fuel row accidentally non-zero?
1 = problem</t>
  </si>
  <si>
    <t>CHECK: did the 100% cap have to kick in?
1 = yes, which would need investigating</t>
  </si>
  <si>
    <t>Gap between the two shares
how far the published data would move this row</t>
  </si>
  <si>
    <t>SECTION 2 - the 21 answers for the state currently selected on the About tab</t>
  </si>
  <si>
    <t>This pulls the selected state's rows out of the table above. The output tab reads column B, and nothing else. Change the state name in About!B1 and these 21 numbers change with it.</t>
  </si>
  <si>
    <t>Export share for the selected state</t>
  </si>
  <si>
    <t>US national share, for comparison</t>
  </si>
  <si>
    <t>Checks - every row must read PASS before export/deploy</t>
  </si>
  <si>
    <t>Identities first: checks 2 and 3 are exact by construction, so any nonzero is real evidence rather than a tolerance question.</t>
  </si>
  <si>
    <t>Helper block for the two label checks above: it compares the output tab's row and column names, one at a time, against the names they are supposed to carry.</t>
  </si>
  <si>
    <t>What is being checked</t>
  </si>
  <si>
    <t>What the workbook computes</t>
  </si>
  <si>
    <t>What it has to equal</t>
  </si>
  <si>
    <t>Result</t>
  </si>
  <si>
    <t>Fuel name it should be</t>
  </si>
  <si>
    <t>Output tab row name differs?
1 = problem</t>
  </si>
  <si>
    <t>Output tab column name differs?
1 = problem</t>
  </si>
  <si>
    <t>derivation rows present (COUNT of applied-diagonal column)</t>
  </si>
  <si>
    <t>IDENTITY - denominator equals production wherever E &gt; I (violations)</t>
  </si>
  <si>
    <t>structural-zero rows forced to 0 (violations)</t>
  </si>
  <si>
    <t>every applied diagonal inside [0, 1] (violations)</t>
  </si>
  <si>
    <t>MIN(1,..) bound binding anywhere (should be inert on current data)</t>
  </si>
  <si>
    <t>tradeable fuel rows in the Keys table</t>
  </si>
  <si>
    <t>structural-zero rows in the Keys table</t>
  </si>
  <si>
    <t>rows held at the national value (crude oil)</t>
  </si>
  <si>
    <t>crude diagonal on the active state equals the national 1.0</t>
  </si>
  <si>
    <t>active-state read-back complete (COUNT)</t>
  </si>
  <si>
    <t>output matrix row labels match the Keys fuel table (mismatches)</t>
  </si>
  <si>
    <t>output matrix column labels match the Keys fuel table (mismatches)</t>
  </si>
  <si>
    <t>output matrix total equals the sum of its diagonal (off-diagonals are 0)</t>
  </si>
  <si>
    <t>informational: state-fuel cells changed from the national file</t>
  </si>
  <si>
    <t>informational: tradeable cells with a nonzero diagonal</t>
  </si>
  <si>
    <t>informational: mean absolute gap between the balanced and raw bases</t>
  </si>
  <si>
    <t>informational: largest single gap between the balanced and raw bases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</si>
</sst>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E+00"/>
    <numFmt numFmtId="165" formatCode="0.000000"/>
  </numFmts>
  <fonts count="6" x14ac:knownFonts="1">
    <font>
      <sz val="11"/>
      <color theme="1"/>
      <name val="Calibri"/>
      <family val="2"/>
      <scheme val="minor"/>
    </font>
    <font>
      <b/>
      <sz val="11"/>
      <color rgb="FFFFFFFF"/>
      <name val="Calibri"/>
    </font>
    <font>
      <b/>
      <sz val="11"/>
      <name val="Calibri"/>
    </font>
    <font>
      <sz val="11"/>
      <color rgb="FF0563C1"/>
      <name val="Calibri"/>
    </font>
    <font>
      <i/>
      <sz val="11"/>
      <name val="Calibri"/>
    </font>
    <font>
      <b/>
      <sz val="12"/>
      <name val="Calibri"/>
    </font>
  </fonts>
  <fills count="4">
    <fill>
      <patternFill patternType="none"/>
    </fill>
    <fill>
      <patternFill patternType="gray125"/>
    </fill>
    <fill>
      <patternFill patternType="solid">
        <fgColor rgb="FF305496"/>
        <bgColor rgb="FF305496"/>
      </patternFill>
    </fill>
    <fill>
      <patternFill patternType="solid">
        <fgColor rgb="FFD9D9D9"/>
        <bgColor rgb="FFD9D9D9"/>
      </patternFill>
    </fill>
  </fills>
  <borders count="1">
    <border>
      <left/>
      <right/>
      <top/>
      <bottom/>
      <diagonal/>
    </border>
  </borders>
  <cellStyleXfs count="1">
    <xf numFmtId="0" fontId="0" fillId="0" borderId="0"/>
  </cellStyleXfs>
  <cellXfs count="13">
    <xf numFmtId="0" fontId="0" fillId="0" borderId="0" xfId="0"/>
    <xf numFmtId="0" fontId="2" fillId="0" borderId="0" xfId="0" applyFont="1"/>
    <xf numFmtId="0" fontId="2" fillId="3" borderId="0" xfId="0" applyFont="1" applyFill="1" applyAlignment="1">
      <alignment horizontal="left" vertical="top" wrapText="1"/>
    </xf>
    <xf numFmtId="0" fontId="0" fillId="0" borderId="0" xfId="0" applyAlignment="1">
      <alignment horizontal="left" vertical="top" wrapText="1"/>
    </xf>
    <xf numFmtId="0" fontId="3" fillId="0" borderId="0" xfId="0" applyFont="1" applyAlignment="1">
      <alignment horizontal="left" vertical="top" wrapText="1"/>
    </xf>
    <xf numFmtId="0" fontId="2" fillId="0" borderId="0" xfId="0" applyFont="1" applyAlignment="1">
      <alignment horizontal="left" vertical="top" wrapText="1"/>
    </xf>
    <xf numFmtId="0" fontId="4" fillId="0" borderId="0" xfId="0" applyFont="1" applyAlignment="1">
      <alignment horizontal="left" vertical="top" wrapText="1"/>
    </xf>
    <xf numFmtId="0" fontId="1" fillId="2" borderId="0" xfId="0" applyFont="1" applyFill="1"/>
    <xf numFmtId="0" fontId="5" fillId="0" borderId="0" xfId="0" applyFont="1"/>
    <xf numFmtId="0" fontId="4" fillId="0" borderId="0" xfId="0" applyFont="1"/>
    <xf numFmtId="164" fontId="0" fillId="0" borderId="0" xfId="0" applyNumberFormat="1"/>
    <xf numFmtId="165" fontId="0" fillId="0" borderId="0" xfId="0" applyNumberFormat="1"/>
    <xf numFmtId="1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46"/>
  <sheetViews>
    <sheetView tabSelected="1" workbookViewId="0"/>
  </sheetViews>
  <sheetFormatPr defaultRowHeight="15" x14ac:dyDescent="0.25"/>
  <cols>
    <col min="1" max="1" width="16" customWidth="1"/>
    <col min="2" max="2" width="110" customWidth="1"/>
  </cols>
  <sheetData>
    <row r="1" spans="1:3" x14ac:dyDescent="0.25">
      <c r="A1" s="1" t="s">
        <v>0</v>
      </c>
      <c r="B1" s="1" t="s">
        <v>154</v>
      </c>
      <c r="C1" s="12">
        <v>46260</v>
      </c>
    </row>
    <row r="2" spans="1:3" x14ac:dyDescent="0.25">
      <c r="A2" t="s">
        <v>2</v>
      </c>
      <c r="B2" t="str">
        <f>VLOOKUP($B$1,Keys!$B$2:$C$49,2,FALSE)</f>
        <v>RI</v>
      </c>
    </row>
    <row r="3" spans="1:3" x14ac:dyDescent="0.25">
      <c r="A3" s="1" t="s">
        <v>3</v>
      </c>
      <c r="B3" s="2" t="s">
        <v>4</v>
      </c>
    </row>
    <row r="4" spans="1:3" ht="30" x14ac:dyDescent="0.25">
      <c r="B4" s="3" t="s">
        <v>5</v>
      </c>
    </row>
    <row r="5" spans="1:3" x14ac:dyDescent="0.25">
      <c r="B5" s="3" t="s">
        <v>6</v>
      </c>
    </row>
    <row r="6" spans="1:3" x14ac:dyDescent="0.25">
      <c r="B6" s="3" t="s">
        <v>7</v>
      </c>
    </row>
    <row r="7" spans="1:3" x14ac:dyDescent="0.25">
      <c r="B7" s="3" t="s">
        <v>8</v>
      </c>
    </row>
    <row r="8" spans="1:3" x14ac:dyDescent="0.25">
      <c r="B8" s="4" t="s">
        <v>9</v>
      </c>
    </row>
    <row r="9" spans="1:3" x14ac:dyDescent="0.25">
      <c r="B9" s="3" t="s">
        <v>10</v>
      </c>
    </row>
    <row r="10" spans="1:3" ht="30" x14ac:dyDescent="0.25">
      <c r="B10" s="3" t="s">
        <v>11</v>
      </c>
    </row>
    <row r="11" spans="1:3" ht="45" x14ac:dyDescent="0.25">
      <c r="B11" s="3" t="s">
        <v>12</v>
      </c>
    </row>
    <row r="13" spans="1:3" x14ac:dyDescent="0.25">
      <c r="B13" s="2" t="s">
        <v>13</v>
      </c>
    </row>
    <row r="14" spans="1:3" ht="30" x14ac:dyDescent="0.25">
      <c r="B14" s="3" t="s">
        <v>14</v>
      </c>
    </row>
    <row r="15" spans="1:3" x14ac:dyDescent="0.25">
      <c r="B15" s="3" t="s">
        <v>15</v>
      </c>
    </row>
    <row r="16" spans="1:3" x14ac:dyDescent="0.25">
      <c r="B16" s="3" t="s">
        <v>16</v>
      </c>
    </row>
    <row r="17" spans="2:2" x14ac:dyDescent="0.25">
      <c r="B17" s="3" t="s">
        <v>8</v>
      </c>
    </row>
    <row r="18" spans="2:2" x14ac:dyDescent="0.25">
      <c r="B18" s="4" t="s">
        <v>17</v>
      </c>
    </row>
    <row r="19" spans="2:2" ht="30" x14ac:dyDescent="0.25">
      <c r="B19" s="3" t="s">
        <v>18</v>
      </c>
    </row>
    <row r="20" spans="2:2" ht="30" x14ac:dyDescent="0.25">
      <c r="B20" s="3" t="s">
        <v>19</v>
      </c>
    </row>
    <row r="21" spans="2:2" ht="75" x14ac:dyDescent="0.25">
      <c r="B21" s="3" t="s">
        <v>20</v>
      </c>
    </row>
    <row r="23" spans="2:2" x14ac:dyDescent="0.25">
      <c r="B23" s="2" t="s">
        <v>21</v>
      </c>
    </row>
    <row r="24" spans="2:2" ht="30" x14ac:dyDescent="0.25">
      <c r="B24" s="3" t="s">
        <v>22</v>
      </c>
    </row>
    <row r="25" spans="2:2" x14ac:dyDescent="0.25">
      <c r="B25" s="3" t="s">
        <v>23</v>
      </c>
    </row>
    <row r="26" spans="2:2" x14ac:dyDescent="0.25">
      <c r="B26" s="3" t="s">
        <v>24</v>
      </c>
    </row>
    <row r="27" spans="2:2" x14ac:dyDescent="0.25">
      <c r="B27" s="3" t="s">
        <v>8</v>
      </c>
    </row>
    <row r="28" spans="2:2" x14ac:dyDescent="0.25">
      <c r="B28" s="4" t="s">
        <v>25</v>
      </c>
    </row>
    <row r="29" spans="2:2" ht="30" x14ac:dyDescent="0.25">
      <c r="B29" s="3" t="s">
        <v>26</v>
      </c>
    </row>
    <row r="30" spans="2:2" ht="30" x14ac:dyDescent="0.25">
      <c r="B30" s="3" t="s">
        <v>27</v>
      </c>
    </row>
    <row r="31" spans="2:2" ht="75" x14ac:dyDescent="0.25">
      <c r="B31" s="3" t="s">
        <v>28</v>
      </c>
    </row>
    <row r="34" spans="1:2" x14ac:dyDescent="0.25">
      <c r="A34" s="1" t="s">
        <v>29</v>
      </c>
    </row>
    <row r="35" spans="1:2" ht="60" x14ac:dyDescent="0.25">
      <c r="A35" s="5" t="s">
        <v>30</v>
      </c>
      <c r="B35" s="3" t="s">
        <v>31</v>
      </c>
    </row>
    <row r="36" spans="1:2" ht="60" x14ac:dyDescent="0.25">
      <c r="A36" s="5" t="s">
        <v>32</v>
      </c>
      <c r="B36" s="3" t="s">
        <v>33</v>
      </c>
    </row>
    <row r="37" spans="1:2" ht="60" x14ac:dyDescent="0.25">
      <c r="A37" s="5" t="s">
        <v>34</v>
      </c>
      <c r="B37" s="3" t="s">
        <v>35</v>
      </c>
    </row>
    <row r="38" spans="1:2" ht="90" x14ac:dyDescent="0.25">
      <c r="A38" s="5" t="s">
        <v>36</v>
      </c>
      <c r="B38" s="3" t="s">
        <v>37</v>
      </c>
    </row>
    <row r="39" spans="1:2" ht="30" x14ac:dyDescent="0.25">
      <c r="A39" s="5" t="s">
        <v>38</v>
      </c>
      <c r="B39" s="3" t="s">
        <v>39</v>
      </c>
    </row>
    <row r="40" spans="1:2" ht="45" x14ac:dyDescent="0.25">
      <c r="A40" s="5" t="s">
        <v>40</v>
      </c>
      <c r="B40" s="3" t="s">
        <v>41</v>
      </c>
    </row>
    <row r="41" spans="1:2" ht="30" x14ac:dyDescent="0.25">
      <c r="A41" s="5" t="s">
        <v>42</v>
      </c>
      <c r="B41" s="3" t="s">
        <v>43</v>
      </c>
    </row>
    <row r="43" spans="1:2" x14ac:dyDescent="0.25">
      <c r="A43" s="1" t="s">
        <v>44</v>
      </c>
    </row>
    <row r="44" spans="1:2" ht="30" x14ac:dyDescent="0.25">
      <c r="B44" s="6" t="s">
        <v>45</v>
      </c>
    </row>
    <row r="45" spans="1:2" ht="45" x14ac:dyDescent="0.25">
      <c r="B45" s="6" t="s">
        <v>46</v>
      </c>
    </row>
    <row r="46" spans="1:2" x14ac:dyDescent="0.25">
      <c r="B46" s="6" t="s">
        <v>47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73"/>
  <sheetViews>
    <sheetView workbookViewId="0"/>
  </sheetViews>
  <sheetFormatPr defaultRowHeight="15" x14ac:dyDescent="0.25"/>
  <cols>
    <col min="1" max="1" width="12" customWidth="1"/>
    <col min="2" max="2" width="26" customWidth="1"/>
    <col min="3" max="3" width="46" customWidth="1"/>
    <col min="4" max="4" width="100" customWidth="1"/>
    <col min="6" max="6" width="38" customWidth="1"/>
    <col min="7" max="7" width="30" customWidth="1"/>
    <col min="8" max="8" width="16" customWidth="1"/>
    <col min="9" max="9" width="8" customWidth="1"/>
  </cols>
  <sheetData>
    <row r="1" spans="1:9" x14ac:dyDescent="0.25">
      <c r="A1" s="7" t="s">
        <v>48</v>
      </c>
      <c r="B1" s="7" t="s">
        <v>49</v>
      </c>
      <c r="C1" s="7" t="s">
        <v>50</v>
      </c>
      <c r="D1" s="7" t="s">
        <v>51</v>
      </c>
      <c r="F1" s="7" t="s">
        <v>52</v>
      </c>
      <c r="G1" s="7" t="s">
        <v>53</v>
      </c>
      <c r="H1" s="7" t="s">
        <v>54</v>
      </c>
      <c r="I1" s="7" t="s">
        <v>55</v>
      </c>
    </row>
    <row r="2" spans="1:9" x14ac:dyDescent="0.25">
      <c r="A2" t="s">
        <v>56</v>
      </c>
      <c r="B2" t="s">
        <v>57</v>
      </c>
      <c r="C2" t="s">
        <v>58</v>
      </c>
      <c r="D2" t="s">
        <v>59</v>
      </c>
      <c r="F2" t="s">
        <v>60</v>
      </c>
      <c r="H2">
        <v>0</v>
      </c>
      <c r="I2" t="s">
        <v>61</v>
      </c>
    </row>
    <row r="3" spans="1:9" x14ac:dyDescent="0.25">
      <c r="A3" t="s">
        <v>56</v>
      </c>
      <c r="B3" t="s">
        <v>62</v>
      </c>
      <c r="C3" t="s">
        <v>63</v>
      </c>
      <c r="D3" t="s">
        <v>59</v>
      </c>
      <c r="F3" t="s">
        <v>64</v>
      </c>
      <c r="G3" t="s">
        <v>64</v>
      </c>
      <c r="H3">
        <v>0.137539879</v>
      </c>
      <c r="I3" t="s">
        <v>65</v>
      </c>
    </row>
    <row r="4" spans="1:9" x14ac:dyDescent="0.25">
      <c r="A4" t="s">
        <v>56</v>
      </c>
      <c r="B4" t="s">
        <v>66</v>
      </c>
      <c r="C4" t="s">
        <v>67</v>
      </c>
      <c r="D4" t="s">
        <v>59</v>
      </c>
      <c r="F4" t="s">
        <v>68</v>
      </c>
      <c r="G4" t="s">
        <v>68</v>
      </c>
      <c r="H4">
        <v>0.190839183</v>
      </c>
      <c r="I4" t="s">
        <v>65</v>
      </c>
    </row>
    <row r="5" spans="1:9" x14ac:dyDescent="0.25">
      <c r="A5" t="s">
        <v>56</v>
      </c>
      <c r="B5" t="s">
        <v>69</v>
      </c>
      <c r="C5" t="s">
        <v>70</v>
      </c>
      <c r="D5" t="s">
        <v>59</v>
      </c>
      <c r="F5" t="s">
        <v>71</v>
      </c>
      <c r="H5">
        <v>0</v>
      </c>
      <c r="I5" t="s">
        <v>61</v>
      </c>
    </row>
    <row r="6" spans="1:9" x14ac:dyDescent="0.25">
      <c r="A6" t="s">
        <v>56</v>
      </c>
      <c r="B6" t="s">
        <v>72</v>
      </c>
      <c r="C6" t="s">
        <v>73</v>
      </c>
      <c r="D6" t="s">
        <v>59</v>
      </c>
      <c r="F6" t="s">
        <v>74</v>
      </c>
      <c r="H6">
        <v>0</v>
      </c>
      <c r="I6" t="s">
        <v>61</v>
      </c>
    </row>
    <row r="7" spans="1:9" x14ac:dyDescent="0.25">
      <c r="A7" t="s">
        <v>56</v>
      </c>
      <c r="B7" t="s">
        <v>75</v>
      </c>
      <c r="C7" t="s">
        <v>76</v>
      </c>
      <c r="D7" t="s">
        <v>59</v>
      </c>
      <c r="F7" t="s">
        <v>77</v>
      </c>
      <c r="H7">
        <v>0</v>
      </c>
      <c r="I7" t="s">
        <v>61</v>
      </c>
    </row>
    <row r="8" spans="1:9" x14ac:dyDescent="0.25">
      <c r="A8" t="s">
        <v>56</v>
      </c>
      <c r="B8" t="s">
        <v>78</v>
      </c>
      <c r="C8" t="s">
        <v>79</v>
      </c>
      <c r="D8" t="s">
        <v>59</v>
      </c>
      <c r="F8" t="s">
        <v>80</v>
      </c>
      <c r="H8">
        <v>0</v>
      </c>
      <c r="I8" t="s">
        <v>61</v>
      </c>
    </row>
    <row r="9" spans="1:9" x14ac:dyDescent="0.25">
      <c r="A9" t="s">
        <v>56</v>
      </c>
      <c r="B9" t="s">
        <v>1</v>
      </c>
      <c r="C9" t="s">
        <v>81</v>
      </c>
      <c r="D9" t="s">
        <v>59</v>
      </c>
      <c r="F9" t="s">
        <v>82</v>
      </c>
      <c r="G9" t="s">
        <v>82</v>
      </c>
      <c r="H9">
        <v>0.74947425499999998</v>
      </c>
      <c r="I9" t="s">
        <v>65</v>
      </c>
    </row>
    <row r="10" spans="1:9" x14ac:dyDescent="0.25">
      <c r="A10" t="s">
        <v>56</v>
      </c>
      <c r="B10" t="s">
        <v>83</v>
      </c>
      <c r="C10" t="s">
        <v>84</v>
      </c>
      <c r="D10" t="s">
        <v>59</v>
      </c>
      <c r="F10" t="s">
        <v>85</v>
      </c>
      <c r="G10" t="s">
        <v>85</v>
      </c>
      <c r="H10">
        <v>7.5004052000000002E-2</v>
      </c>
      <c r="I10" t="s">
        <v>65</v>
      </c>
    </row>
    <row r="11" spans="1:9" x14ac:dyDescent="0.25">
      <c r="A11" t="s">
        <v>56</v>
      </c>
      <c r="B11" t="s">
        <v>86</v>
      </c>
      <c r="C11" t="s">
        <v>87</v>
      </c>
      <c r="D11" t="s">
        <v>59</v>
      </c>
      <c r="F11" t="s">
        <v>88</v>
      </c>
      <c r="G11" t="s">
        <v>88</v>
      </c>
      <c r="H11">
        <v>0.26691051799999999</v>
      </c>
      <c r="I11" t="s">
        <v>65</v>
      </c>
    </row>
    <row r="12" spans="1:9" x14ac:dyDescent="0.25">
      <c r="A12" t="s">
        <v>56</v>
      </c>
      <c r="B12" t="s">
        <v>89</v>
      </c>
      <c r="C12" t="s">
        <v>90</v>
      </c>
      <c r="D12" t="s">
        <v>59</v>
      </c>
      <c r="F12" t="s">
        <v>91</v>
      </c>
      <c r="G12" t="s">
        <v>91</v>
      </c>
      <c r="H12">
        <v>8.7213884000000005E-2</v>
      </c>
      <c r="I12" t="s">
        <v>65</v>
      </c>
    </row>
    <row r="13" spans="1:9" x14ac:dyDescent="0.25">
      <c r="A13" t="s">
        <v>56</v>
      </c>
      <c r="B13" t="s">
        <v>92</v>
      </c>
      <c r="C13" t="s">
        <v>93</v>
      </c>
      <c r="D13" t="s">
        <v>59</v>
      </c>
      <c r="F13" t="s">
        <v>94</v>
      </c>
      <c r="G13" t="s">
        <v>94</v>
      </c>
      <c r="H13">
        <v>5.8642381E-2</v>
      </c>
      <c r="I13" t="s">
        <v>65</v>
      </c>
    </row>
    <row r="14" spans="1:9" x14ac:dyDescent="0.25">
      <c r="A14" t="s">
        <v>56</v>
      </c>
      <c r="B14" t="s">
        <v>95</v>
      </c>
      <c r="C14" t="s">
        <v>96</v>
      </c>
      <c r="D14" t="s">
        <v>59</v>
      </c>
      <c r="F14" t="s">
        <v>97</v>
      </c>
      <c r="G14" t="s">
        <v>97</v>
      </c>
      <c r="H14">
        <v>0.10155994</v>
      </c>
      <c r="I14" t="s">
        <v>65</v>
      </c>
    </row>
    <row r="15" spans="1:9" x14ac:dyDescent="0.25">
      <c r="A15" t="s">
        <v>56</v>
      </c>
      <c r="B15" t="s">
        <v>98</v>
      </c>
      <c r="C15" t="s">
        <v>99</v>
      </c>
      <c r="D15" t="s">
        <v>59</v>
      </c>
      <c r="F15" t="s">
        <v>100</v>
      </c>
      <c r="H15">
        <v>0</v>
      </c>
      <c r="I15" t="s">
        <v>61</v>
      </c>
    </row>
    <row r="16" spans="1:9" x14ac:dyDescent="0.25">
      <c r="A16" t="s">
        <v>56</v>
      </c>
      <c r="B16" t="s">
        <v>101</v>
      </c>
      <c r="C16" t="s">
        <v>102</v>
      </c>
      <c r="D16" t="s">
        <v>59</v>
      </c>
      <c r="F16" t="s">
        <v>103</v>
      </c>
      <c r="H16">
        <v>0</v>
      </c>
      <c r="I16" t="s">
        <v>61</v>
      </c>
    </row>
    <row r="17" spans="1:9" x14ac:dyDescent="0.25">
      <c r="A17" t="s">
        <v>56</v>
      </c>
      <c r="B17" t="s">
        <v>104</v>
      </c>
      <c r="C17" t="s">
        <v>105</v>
      </c>
      <c r="D17" t="s">
        <v>59</v>
      </c>
      <c r="F17" t="s">
        <v>106</v>
      </c>
      <c r="G17" t="s">
        <v>106</v>
      </c>
      <c r="H17">
        <v>0</v>
      </c>
      <c r="I17" t="s">
        <v>65</v>
      </c>
    </row>
    <row r="18" spans="1:9" x14ac:dyDescent="0.25">
      <c r="A18" t="s">
        <v>56</v>
      </c>
      <c r="B18" t="s">
        <v>107</v>
      </c>
      <c r="C18" t="s">
        <v>108</v>
      </c>
      <c r="D18" t="s">
        <v>59</v>
      </c>
      <c r="F18" t="s">
        <v>109</v>
      </c>
      <c r="G18" t="s">
        <v>109</v>
      </c>
      <c r="H18">
        <v>1</v>
      </c>
      <c r="I18" t="s">
        <v>110</v>
      </c>
    </row>
    <row r="19" spans="1:9" x14ac:dyDescent="0.25">
      <c r="A19" t="s">
        <v>56</v>
      </c>
      <c r="B19" t="s">
        <v>111</v>
      </c>
      <c r="C19" t="s">
        <v>112</v>
      </c>
      <c r="D19" t="s">
        <v>59</v>
      </c>
      <c r="F19" t="s">
        <v>113</v>
      </c>
      <c r="G19" t="s">
        <v>114</v>
      </c>
      <c r="H19">
        <v>0.49914171099999999</v>
      </c>
      <c r="I19" t="s">
        <v>65</v>
      </c>
    </row>
    <row r="20" spans="1:9" x14ac:dyDescent="0.25">
      <c r="A20" t="s">
        <v>56</v>
      </c>
      <c r="B20" t="s">
        <v>115</v>
      </c>
      <c r="C20" t="s">
        <v>116</v>
      </c>
      <c r="D20" t="s">
        <v>59</v>
      </c>
      <c r="F20" t="s">
        <v>117</v>
      </c>
      <c r="G20" t="s">
        <v>117</v>
      </c>
      <c r="H20">
        <v>0.54955999499999997</v>
      </c>
      <c r="I20" t="s">
        <v>65</v>
      </c>
    </row>
    <row r="21" spans="1:9" x14ac:dyDescent="0.25">
      <c r="A21" t="s">
        <v>56</v>
      </c>
      <c r="B21" t="s">
        <v>118</v>
      </c>
      <c r="C21" t="s">
        <v>119</v>
      </c>
      <c r="D21" t="s">
        <v>59</v>
      </c>
      <c r="F21" t="s">
        <v>120</v>
      </c>
      <c r="H21">
        <v>0</v>
      </c>
      <c r="I21" t="s">
        <v>61</v>
      </c>
    </row>
    <row r="22" spans="1:9" x14ac:dyDescent="0.25">
      <c r="A22" t="s">
        <v>56</v>
      </c>
      <c r="B22" t="s">
        <v>121</v>
      </c>
      <c r="C22" t="s">
        <v>122</v>
      </c>
      <c r="D22" t="s">
        <v>59</v>
      </c>
      <c r="F22" t="s">
        <v>123</v>
      </c>
      <c r="H22">
        <v>0</v>
      </c>
      <c r="I22" t="s">
        <v>61</v>
      </c>
    </row>
    <row r="23" spans="1:9" x14ac:dyDescent="0.25">
      <c r="A23" t="s">
        <v>56</v>
      </c>
      <c r="B23" t="s">
        <v>124</v>
      </c>
      <c r="C23" t="s">
        <v>125</v>
      </c>
      <c r="D23" t="s">
        <v>59</v>
      </c>
    </row>
    <row r="24" spans="1:9" x14ac:dyDescent="0.25">
      <c r="A24" t="s">
        <v>56</v>
      </c>
      <c r="B24" t="s">
        <v>126</v>
      </c>
      <c r="C24" t="s">
        <v>127</v>
      </c>
      <c r="D24" t="s">
        <v>59</v>
      </c>
    </row>
    <row r="25" spans="1:9" x14ac:dyDescent="0.25">
      <c r="A25" t="s">
        <v>56</v>
      </c>
      <c r="B25" t="s">
        <v>128</v>
      </c>
      <c r="C25" t="s">
        <v>129</v>
      </c>
      <c r="D25" t="s">
        <v>59</v>
      </c>
    </row>
    <row r="26" spans="1:9" x14ac:dyDescent="0.25">
      <c r="A26" t="s">
        <v>56</v>
      </c>
      <c r="B26" t="s">
        <v>130</v>
      </c>
      <c r="C26" t="s">
        <v>131</v>
      </c>
      <c r="D26" t="s">
        <v>59</v>
      </c>
    </row>
    <row r="27" spans="1:9" x14ac:dyDescent="0.25">
      <c r="A27" t="s">
        <v>56</v>
      </c>
      <c r="B27" t="s">
        <v>132</v>
      </c>
      <c r="C27" t="s">
        <v>133</v>
      </c>
      <c r="D27" t="s">
        <v>59</v>
      </c>
    </row>
    <row r="28" spans="1:9" x14ac:dyDescent="0.25">
      <c r="A28" t="s">
        <v>56</v>
      </c>
      <c r="B28" t="s">
        <v>134</v>
      </c>
      <c r="C28" t="s">
        <v>135</v>
      </c>
      <c r="D28" t="s">
        <v>59</v>
      </c>
    </row>
    <row r="29" spans="1:9" x14ac:dyDescent="0.25">
      <c r="A29" t="s">
        <v>56</v>
      </c>
      <c r="B29" t="s">
        <v>136</v>
      </c>
      <c r="C29" t="s">
        <v>137</v>
      </c>
      <c r="D29" t="s">
        <v>59</v>
      </c>
    </row>
    <row r="30" spans="1:9" x14ac:dyDescent="0.25">
      <c r="A30" t="s">
        <v>56</v>
      </c>
      <c r="B30" t="s">
        <v>138</v>
      </c>
      <c r="C30" t="s">
        <v>139</v>
      </c>
      <c r="D30" t="s">
        <v>59</v>
      </c>
    </row>
    <row r="31" spans="1:9" x14ac:dyDescent="0.25">
      <c r="A31" t="s">
        <v>56</v>
      </c>
      <c r="B31" t="s">
        <v>140</v>
      </c>
      <c r="C31" t="s">
        <v>141</v>
      </c>
      <c r="D31" t="s">
        <v>59</v>
      </c>
    </row>
    <row r="32" spans="1:9" x14ac:dyDescent="0.25">
      <c r="A32" t="s">
        <v>56</v>
      </c>
      <c r="B32" t="s">
        <v>142</v>
      </c>
      <c r="C32" t="s">
        <v>143</v>
      </c>
      <c r="D32" t="s">
        <v>59</v>
      </c>
    </row>
    <row r="33" spans="1:4" x14ac:dyDescent="0.25">
      <c r="A33" t="s">
        <v>56</v>
      </c>
      <c r="B33" t="s">
        <v>144</v>
      </c>
      <c r="C33" t="s">
        <v>145</v>
      </c>
      <c r="D33" t="s">
        <v>59</v>
      </c>
    </row>
    <row r="34" spans="1:4" x14ac:dyDescent="0.25">
      <c r="A34" t="s">
        <v>56</v>
      </c>
      <c r="B34" t="s">
        <v>146</v>
      </c>
      <c r="C34" t="s">
        <v>147</v>
      </c>
      <c r="D34" t="s">
        <v>59</v>
      </c>
    </row>
    <row r="35" spans="1:4" x14ac:dyDescent="0.25">
      <c r="A35" t="s">
        <v>56</v>
      </c>
      <c r="B35" t="s">
        <v>148</v>
      </c>
      <c r="C35" t="s">
        <v>149</v>
      </c>
      <c r="D35" t="s">
        <v>59</v>
      </c>
    </row>
    <row r="36" spans="1:4" x14ac:dyDescent="0.25">
      <c r="A36" t="s">
        <v>56</v>
      </c>
      <c r="B36" t="s">
        <v>150</v>
      </c>
      <c r="C36" t="s">
        <v>151</v>
      </c>
      <c r="D36" t="s">
        <v>59</v>
      </c>
    </row>
    <row r="37" spans="1:4" x14ac:dyDescent="0.25">
      <c r="A37" t="s">
        <v>56</v>
      </c>
      <c r="B37" t="s">
        <v>152</v>
      </c>
      <c r="C37" t="s">
        <v>153</v>
      </c>
      <c r="D37" t="s">
        <v>59</v>
      </c>
    </row>
    <row r="38" spans="1:4" x14ac:dyDescent="0.25">
      <c r="A38" t="s">
        <v>56</v>
      </c>
      <c r="B38" t="s">
        <v>154</v>
      </c>
      <c r="C38" t="s">
        <v>155</v>
      </c>
      <c r="D38" t="s">
        <v>59</v>
      </c>
    </row>
    <row r="39" spans="1:4" x14ac:dyDescent="0.25">
      <c r="A39" t="s">
        <v>56</v>
      </c>
      <c r="B39" t="s">
        <v>156</v>
      </c>
      <c r="C39" t="s">
        <v>157</v>
      </c>
      <c r="D39" t="s">
        <v>59</v>
      </c>
    </row>
    <row r="40" spans="1:4" x14ac:dyDescent="0.25">
      <c r="A40" t="s">
        <v>56</v>
      </c>
      <c r="B40" t="s">
        <v>158</v>
      </c>
      <c r="C40" t="s">
        <v>159</v>
      </c>
      <c r="D40" t="s">
        <v>59</v>
      </c>
    </row>
    <row r="41" spans="1:4" x14ac:dyDescent="0.25">
      <c r="A41" t="s">
        <v>56</v>
      </c>
      <c r="B41" t="s">
        <v>160</v>
      </c>
      <c r="C41" t="s">
        <v>161</v>
      </c>
      <c r="D41" t="s">
        <v>59</v>
      </c>
    </row>
    <row r="42" spans="1:4" x14ac:dyDescent="0.25">
      <c r="A42" t="s">
        <v>56</v>
      </c>
      <c r="B42" t="s">
        <v>162</v>
      </c>
      <c r="C42" t="s">
        <v>163</v>
      </c>
      <c r="D42" t="s">
        <v>59</v>
      </c>
    </row>
    <row r="43" spans="1:4" x14ac:dyDescent="0.25">
      <c r="A43" t="s">
        <v>56</v>
      </c>
      <c r="B43" t="s">
        <v>164</v>
      </c>
      <c r="C43" t="s">
        <v>165</v>
      </c>
      <c r="D43" t="s">
        <v>59</v>
      </c>
    </row>
    <row r="44" spans="1:4" x14ac:dyDescent="0.25">
      <c r="A44" t="s">
        <v>56</v>
      </c>
      <c r="B44" t="s">
        <v>166</v>
      </c>
      <c r="C44" t="s">
        <v>167</v>
      </c>
      <c r="D44" t="s">
        <v>59</v>
      </c>
    </row>
    <row r="45" spans="1:4" x14ac:dyDescent="0.25">
      <c r="A45" t="s">
        <v>56</v>
      </c>
      <c r="B45" t="s">
        <v>168</v>
      </c>
      <c r="C45" t="s">
        <v>169</v>
      </c>
      <c r="D45" t="s">
        <v>59</v>
      </c>
    </row>
    <row r="46" spans="1:4" x14ac:dyDescent="0.25">
      <c r="A46" t="s">
        <v>56</v>
      </c>
      <c r="B46" t="s">
        <v>170</v>
      </c>
      <c r="C46" t="s">
        <v>171</v>
      </c>
      <c r="D46" t="s">
        <v>59</v>
      </c>
    </row>
    <row r="47" spans="1:4" x14ac:dyDescent="0.25">
      <c r="A47" t="s">
        <v>56</v>
      </c>
      <c r="B47" t="s">
        <v>172</v>
      </c>
      <c r="C47" t="s">
        <v>173</v>
      </c>
      <c r="D47" t="s">
        <v>59</v>
      </c>
    </row>
    <row r="48" spans="1:4" x14ac:dyDescent="0.25">
      <c r="A48" t="s">
        <v>56</v>
      </c>
      <c r="B48" t="s">
        <v>174</v>
      </c>
      <c r="C48" t="s">
        <v>175</v>
      </c>
      <c r="D48" t="s">
        <v>59</v>
      </c>
    </row>
    <row r="49" spans="1:4" x14ac:dyDescent="0.25">
      <c r="A49" t="s">
        <v>56</v>
      </c>
      <c r="B49" t="s">
        <v>176</v>
      </c>
      <c r="C49" t="s">
        <v>177</v>
      </c>
      <c r="D49" t="s">
        <v>59</v>
      </c>
    </row>
    <row r="51" spans="1:4" x14ac:dyDescent="0.25">
      <c r="A51" t="s">
        <v>178</v>
      </c>
      <c r="B51" t="s">
        <v>61</v>
      </c>
      <c r="C51">
        <v>0</v>
      </c>
      <c r="D51" t="s">
        <v>179</v>
      </c>
    </row>
    <row r="52" spans="1:4" x14ac:dyDescent="0.25">
      <c r="A52" t="s">
        <v>178</v>
      </c>
      <c r="B52" t="s">
        <v>180</v>
      </c>
      <c r="C52">
        <v>1</v>
      </c>
      <c r="D52" t="s">
        <v>181</v>
      </c>
    </row>
    <row r="53" spans="1:4" x14ac:dyDescent="0.25">
      <c r="A53" t="s">
        <v>178</v>
      </c>
      <c r="B53" t="s">
        <v>182</v>
      </c>
      <c r="C53">
        <v>2025</v>
      </c>
      <c r="D53" t="s">
        <v>183</v>
      </c>
    </row>
    <row r="54" spans="1:4" x14ac:dyDescent="0.25">
      <c r="A54" t="s">
        <v>178</v>
      </c>
      <c r="B54" t="s">
        <v>184</v>
      </c>
      <c r="C54" t="s">
        <v>185</v>
      </c>
      <c r="D54" t="s">
        <v>186</v>
      </c>
    </row>
    <row r="55" spans="1:4" x14ac:dyDescent="0.25">
      <c r="A55" t="s">
        <v>178</v>
      </c>
      <c r="B55" t="s">
        <v>187</v>
      </c>
      <c r="C55" t="s">
        <v>188</v>
      </c>
      <c r="D55" t="s">
        <v>189</v>
      </c>
    </row>
    <row r="56" spans="1:4" x14ac:dyDescent="0.25">
      <c r="A56" t="s">
        <v>178</v>
      </c>
      <c r="B56" t="s">
        <v>190</v>
      </c>
      <c r="C56" t="s">
        <v>191</v>
      </c>
      <c r="D56" t="s">
        <v>189</v>
      </c>
    </row>
    <row r="57" spans="1:4" x14ac:dyDescent="0.25">
      <c r="A57" t="s">
        <v>178</v>
      </c>
      <c r="B57" t="s">
        <v>192</v>
      </c>
      <c r="C57" t="s">
        <v>193</v>
      </c>
      <c r="D57" t="s">
        <v>189</v>
      </c>
    </row>
    <row r="58" spans="1:4" x14ac:dyDescent="0.25">
      <c r="A58" t="s">
        <v>178</v>
      </c>
      <c r="B58" t="s">
        <v>194</v>
      </c>
      <c r="C58" t="s">
        <v>65</v>
      </c>
      <c r="D58" t="s">
        <v>195</v>
      </c>
    </row>
    <row r="59" spans="1:4" x14ac:dyDescent="0.25">
      <c r="A59" t="s">
        <v>178</v>
      </c>
      <c r="B59" t="s">
        <v>196</v>
      </c>
      <c r="C59" t="s">
        <v>110</v>
      </c>
      <c r="D59" t="s">
        <v>197</v>
      </c>
    </row>
    <row r="60" spans="1:4" x14ac:dyDescent="0.25">
      <c r="A60" t="s">
        <v>178</v>
      </c>
      <c r="B60" t="s">
        <v>198</v>
      </c>
      <c r="C60" t="s">
        <v>61</v>
      </c>
      <c r="D60" t="s">
        <v>199</v>
      </c>
    </row>
    <row r="61" spans="1:4" x14ac:dyDescent="0.25">
      <c r="A61" t="s">
        <v>178</v>
      </c>
      <c r="B61" t="s">
        <v>200</v>
      </c>
      <c r="C61" t="s">
        <v>201</v>
      </c>
      <c r="D61" t="s">
        <v>202</v>
      </c>
    </row>
    <row r="62" spans="1:4" x14ac:dyDescent="0.25">
      <c r="A62" t="s">
        <v>178</v>
      </c>
      <c r="B62" t="s">
        <v>203</v>
      </c>
      <c r="C62">
        <v>1</v>
      </c>
      <c r="D62" t="s">
        <v>204</v>
      </c>
    </row>
    <row r="63" spans="1:4" x14ac:dyDescent="0.25">
      <c r="A63" t="s">
        <v>178</v>
      </c>
      <c r="B63" t="s">
        <v>205</v>
      </c>
      <c r="C63">
        <v>1.0000000000000001E-9</v>
      </c>
      <c r="D63" t="s">
        <v>206</v>
      </c>
    </row>
    <row r="64" spans="1:4" x14ac:dyDescent="0.25">
      <c r="A64" t="s">
        <v>178</v>
      </c>
      <c r="B64" t="s">
        <v>207</v>
      </c>
      <c r="C64">
        <v>1008</v>
      </c>
      <c r="D64" t="s">
        <v>208</v>
      </c>
    </row>
    <row r="65" spans="1:4" x14ac:dyDescent="0.25">
      <c r="A65" t="s">
        <v>178</v>
      </c>
      <c r="B65" t="s">
        <v>209</v>
      </c>
      <c r="C65">
        <v>11</v>
      </c>
      <c r="D65" t="s">
        <v>210</v>
      </c>
    </row>
    <row r="66" spans="1:4" x14ac:dyDescent="0.25">
      <c r="A66" t="s">
        <v>178</v>
      </c>
      <c r="B66" t="s">
        <v>211</v>
      </c>
      <c r="C66">
        <v>9</v>
      </c>
      <c r="D66" t="s">
        <v>212</v>
      </c>
    </row>
    <row r="67" spans="1:4" x14ac:dyDescent="0.25">
      <c r="A67" t="s">
        <v>178</v>
      </c>
      <c r="B67" t="s">
        <v>213</v>
      </c>
      <c r="C67">
        <v>1</v>
      </c>
      <c r="D67" t="s">
        <v>214</v>
      </c>
    </row>
    <row r="68" spans="1:4" x14ac:dyDescent="0.25">
      <c r="A68" t="s">
        <v>178</v>
      </c>
      <c r="B68" t="s">
        <v>215</v>
      </c>
      <c r="C68">
        <v>21</v>
      </c>
      <c r="D68" t="s">
        <v>216</v>
      </c>
    </row>
    <row r="69" spans="1:4" x14ac:dyDescent="0.25">
      <c r="A69" t="s">
        <v>178</v>
      </c>
      <c r="B69" t="s">
        <v>217</v>
      </c>
      <c r="C69">
        <v>21</v>
      </c>
      <c r="D69" t="s">
        <v>218</v>
      </c>
    </row>
    <row r="70" spans="1:4" x14ac:dyDescent="0.25">
      <c r="A70" t="s">
        <v>178</v>
      </c>
      <c r="B70" t="s">
        <v>219</v>
      </c>
      <c r="C70" t="s">
        <v>220</v>
      </c>
      <c r="D70" t="s">
        <v>221</v>
      </c>
    </row>
    <row r="71" spans="1:4" x14ac:dyDescent="0.25">
      <c r="A71" t="s">
        <v>178</v>
      </c>
      <c r="B71" t="s">
        <v>222</v>
      </c>
      <c r="C71" t="s">
        <v>223</v>
      </c>
      <c r="D71" t="s">
        <v>224</v>
      </c>
    </row>
    <row r="72" spans="1:4" x14ac:dyDescent="0.25">
      <c r="A72" t="s">
        <v>178</v>
      </c>
      <c r="B72" t="s">
        <v>225</v>
      </c>
      <c r="C72" t="s">
        <v>226</v>
      </c>
      <c r="D72" t="s">
        <v>224</v>
      </c>
    </row>
    <row r="73" spans="1:4" x14ac:dyDescent="0.25">
      <c r="A73" t="s">
        <v>178</v>
      </c>
      <c r="B73" t="s">
        <v>227</v>
      </c>
      <c r="C73" t="s">
        <v>1</v>
      </c>
      <c r="D73" t="s">
        <v>228</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25"/>
  <sheetViews>
    <sheetView workbookViewId="0"/>
  </sheetViews>
  <sheetFormatPr defaultRowHeight="15" x14ac:dyDescent="0.25"/>
  <cols>
    <col min="1" max="1" width="24" customWidth="1"/>
    <col min="2" max="2" width="120" customWidth="1"/>
  </cols>
  <sheetData>
    <row r="1" spans="1:2" ht="15.75" x14ac:dyDescent="0.25">
      <c r="A1" s="8" t="s">
        <v>229</v>
      </c>
    </row>
    <row r="3" spans="1:2" ht="60" x14ac:dyDescent="0.25">
      <c r="A3" s="5" t="s">
        <v>230</v>
      </c>
      <c r="B3" s="3" t="s">
        <v>231</v>
      </c>
    </row>
    <row r="5" spans="1:2" ht="60" x14ac:dyDescent="0.25">
      <c r="A5" s="5" t="s">
        <v>30</v>
      </c>
      <c r="B5" s="3" t="s">
        <v>232</v>
      </c>
    </row>
    <row r="7" spans="1:2" ht="60" x14ac:dyDescent="0.25">
      <c r="A7" s="5" t="s">
        <v>233</v>
      </c>
      <c r="B7" s="3" t="s">
        <v>234</v>
      </c>
    </row>
    <row r="9" spans="1:2" ht="75" x14ac:dyDescent="0.25">
      <c r="A9" s="5" t="s">
        <v>34</v>
      </c>
      <c r="B9" s="3" t="s">
        <v>235</v>
      </c>
    </row>
    <row r="11" spans="1:2" ht="45" x14ac:dyDescent="0.25">
      <c r="A11" s="5" t="s">
        <v>236</v>
      </c>
      <c r="B11" s="3" t="s">
        <v>237</v>
      </c>
    </row>
    <row r="13" spans="1:2" ht="75" x14ac:dyDescent="0.25">
      <c r="A13" s="5" t="s">
        <v>238</v>
      </c>
      <c r="B13" s="3" t="s">
        <v>239</v>
      </c>
    </row>
    <row r="15" spans="1:2" ht="60" x14ac:dyDescent="0.25">
      <c r="A15" s="5" t="s">
        <v>240</v>
      </c>
      <c r="B15" s="3" t="s">
        <v>241</v>
      </c>
    </row>
    <row r="17" spans="1:2" ht="60" x14ac:dyDescent="0.25">
      <c r="A17" s="5" t="s">
        <v>242</v>
      </c>
      <c r="B17" s="3" t="s">
        <v>243</v>
      </c>
    </row>
    <row r="19" spans="1:2" ht="30" x14ac:dyDescent="0.25">
      <c r="A19" s="5" t="s">
        <v>40</v>
      </c>
      <c r="B19" s="3" t="s">
        <v>244</v>
      </c>
    </row>
    <row r="21" spans="1:2" ht="45" x14ac:dyDescent="0.25">
      <c r="A21" s="5" t="s">
        <v>245</v>
      </c>
      <c r="B21" s="3" t="s">
        <v>246</v>
      </c>
    </row>
    <row r="23" spans="1:2" ht="75" x14ac:dyDescent="0.25">
      <c r="A23" s="5" t="s">
        <v>247</v>
      </c>
      <c r="B23" s="3" t="s">
        <v>248</v>
      </c>
    </row>
    <row r="25" spans="1:2" ht="120" x14ac:dyDescent="0.25">
      <c r="A25" s="5" t="s">
        <v>249</v>
      </c>
      <c r="B25" s="3" t="s">
        <v>250</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3032"/>
  <sheetViews>
    <sheetView workbookViewId="0"/>
  </sheetViews>
  <sheetFormatPr defaultRowHeight="15" x14ac:dyDescent="0.25"/>
  <cols>
    <col min="1" max="1" width="8" customWidth="1"/>
    <col min="2" max="2" width="12" customWidth="1"/>
    <col min="3" max="3" width="38" customWidth="1"/>
    <col min="4" max="7" width="15" customWidth="1"/>
    <col min="8" max="8" width="40" customWidth="1"/>
  </cols>
  <sheetData>
    <row r="1" spans="1:8" x14ac:dyDescent="0.25">
      <c r="A1" s="7" t="s">
        <v>251</v>
      </c>
    </row>
    <row r="2" spans="1:8" x14ac:dyDescent="0.25">
      <c r="A2" s="9" t="s">
        <v>252</v>
      </c>
    </row>
    <row r="3" spans="1:8" x14ac:dyDescent="0.25">
      <c r="A3" s="9" t="s">
        <v>253</v>
      </c>
    </row>
    <row r="4" spans="1:8" x14ac:dyDescent="0.25">
      <c r="A4" s="9" t="s">
        <v>254</v>
      </c>
    </row>
    <row r="5" spans="1:8" x14ac:dyDescent="0.25">
      <c r="A5" s="9" t="s">
        <v>255</v>
      </c>
    </row>
    <row r="6" spans="1:8" x14ac:dyDescent="0.25">
      <c r="A6" s="9" t="s">
        <v>256</v>
      </c>
    </row>
    <row r="8" spans="1:8" ht="44.1" customHeight="1" x14ac:dyDescent="0.25">
      <c r="A8" s="5" t="s">
        <v>257</v>
      </c>
      <c r="B8" s="5" t="s">
        <v>258</v>
      </c>
      <c r="C8" s="5" t="s">
        <v>259</v>
      </c>
      <c r="D8" s="5" t="s">
        <v>260</v>
      </c>
      <c r="E8" s="5" t="s">
        <v>261</v>
      </c>
      <c r="F8" s="5" t="s">
        <v>262</v>
      </c>
      <c r="G8" s="5" t="s">
        <v>263</v>
      </c>
      <c r="H8" s="5" t="s">
        <v>264</v>
      </c>
    </row>
    <row r="9" spans="1:8" x14ac:dyDescent="0.25">
      <c r="A9" t="s">
        <v>58</v>
      </c>
      <c r="B9" t="s">
        <v>188</v>
      </c>
      <c r="C9" t="s">
        <v>60</v>
      </c>
      <c r="D9">
        <v>0</v>
      </c>
      <c r="E9">
        <v>0</v>
      </c>
      <c r="F9">
        <v>0</v>
      </c>
      <c r="G9" s="10">
        <f t="shared" ref="G9:G72" si="0">AVERAGE($D9:$F9)</f>
        <v>0</v>
      </c>
      <c r="H9" t="str">
        <f>$A9&amp;Keys!$C$54&amp;$B9&amp;Keys!$C$54&amp;$C9</f>
        <v>AL|production|electricity (not used in this variable)</v>
      </c>
    </row>
    <row r="10" spans="1:8" x14ac:dyDescent="0.25">
      <c r="A10" t="s">
        <v>58</v>
      </c>
      <c r="B10" t="s">
        <v>188</v>
      </c>
      <c r="C10" t="s">
        <v>64</v>
      </c>
      <c r="D10">
        <v>294838000000000</v>
      </c>
      <c r="E10">
        <v>294838000000000</v>
      </c>
      <c r="F10">
        <v>294846000000000</v>
      </c>
      <c r="G10" s="10">
        <f t="shared" si="0"/>
        <v>294840666666666.69</v>
      </c>
      <c r="H10" t="str">
        <f>$A10&amp;Keys!$C$54&amp;$B10&amp;Keys!$C$54&amp;$C10</f>
        <v>AL|production|hard coal</v>
      </c>
    </row>
    <row r="11" spans="1:8" x14ac:dyDescent="0.25">
      <c r="A11" t="s">
        <v>58</v>
      </c>
      <c r="B11" t="s">
        <v>188</v>
      </c>
      <c r="C11" t="s">
        <v>68</v>
      </c>
      <c r="D11">
        <v>76628100000000</v>
      </c>
      <c r="E11">
        <v>76628100000000</v>
      </c>
      <c r="F11">
        <v>75748300000000</v>
      </c>
      <c r="G11" s="10">
        <f t="shared" si="0"/>
        <v>76334833333333.328</v>
      </c>
      <c r="H11" t="str">
        <f>$A11&amp;Keys!$C$54&amp;$B11&amp;Keys!$C$54&amp;$C11</f>
        <v>AL|production|natural gas</v>
      </c>
    </row>
    <row r="12" spans="1:8" x14ac:dyDescent="0.25">
      <c r="A12" t="s">
        <v>58</v>
      </c>
      <c r="B12" t="s">
        <v>188</v>
      </c>
      <c r="C12" t="s">
        <v>71</v>
      </c>
      <c r="D12">
        <v>0</v>
      </c>
      <c r="E12">
        <v>0</v>
      </c>
      <c r="F12">
        <v>0</v>
      </c>
      <c r="G12" s="10">
        <f t="shared" si="0"/>
        <v>0</v>
      </c>
      <c r="H12" t="str">
        <f>$A12&amp;Keys!$C$54&amp;$B12&amp;Keys!$C$54&amp;$C12</f>
        <v>AL|production|nuclear</v>
      </c>
    </row>
    <row r="13" spans="1:8" x14ac:dyDescent="0.25">
      <c r="A13" t="s">
        <v>58</v>
      </c>
      <c r="B13" t="s">
        <v>188</v>
      </c>
      <c r="C13" t="s">
        <v>74</v>
      </c>
      <c r="D13">
        <v>0</v>
      </c>
      <c r="E13">
        <v>0</v>
      </c>
      <c r="F13">
        <v>0</v>
      </c>
      <c r="G13" s="10">
        <f t="shared" si="0"/>
        <v>0</v>
      </c>
      <c r="H13" t="str">
        <f>$A13&amp;Keys!$C$54&amp;$B13&amp;Keys!$C$54&amp;$C13</f>
        <v>AL|production|hydro (is not a fuel)</v>
      </c>
    </row>
    <row r="14" spans="1:8" x14ac:dyDescent="0.25">
      <c r="A14" t="s">
        <v>58</v>
      </c>
      <c r="B14" t="s">
        <v>188</v>
      </c>
      <c r="C14" t="s">
        <v>77</v>
      </c>
      <c r="D14">
        <v>0</v>
      </c>
      <c r="E14">
        <v>0</v>
      </c>
      <c r="F14">
        <v>0</v>
      </c>
      <c r="G14" s="10">
        <f t="shared" si="0"/>
        <v>0</v>
      </c>
      <c r="H14" t="str">
        <f>$A14&amp;Keys!$C$54&amp;$B14&amp;Keys!$C$54&amp;$C14</f>
        <v>AL|production|wind (is not a fuel)</v>
      </c>
    </row>
    <row r="15" spans="1:8" x14ac:dyDescent="0.25">
      <c r="A15" t="s">
        <v>58</v>
      </c>
      <c r="B15" t="s">
        <v>188</v>
      </c>
      <c r="C15" t="s">
        <v>80</v>
      </c>
      <c r="D15">
        <v>0</v>
      </c>
      <c r="E15">
        <v>0</v>
      </c>
      <c r="F15">
        <v>0</v>
      </c>
      <c r="G15" s="10">
        <f t="shared" si="0"/>
        <v>0</v>
      </c>
      <c r="H15" t="str">
        <f>$A15&amp;Keys!$C$54&amp;$B15&amp;Keys!$C$54&amp;$C15</f>
        <v>AL|production|solar (is not a fuel)</v>
      </c>
    </row>
    <row r="16" spans="1:8" x14ac:dyDescent="0.25">
      <c r="A16" t="s">
        <v>58</v>
      </c>
      <c r="B16" t="s">
        <v>188</v>
      </c>
      <c r="C16" t="s">
        <v>82</v>
      </c>
      <c r="D16">
        <v>13897400000000</v>
      </c>
      <c r="E16">
        <v>13897400000000</v>
      </c>
      <c r="F16">
        <v>13897400000000</v>
      </c>
      <c r="G16" s="10">
        <f t="shared" si="0"/>
        <v>13897400000000</v>
      </c>
      <c r="H16" t="str">
        <f>$A16&amp;Keys!$C$54&amp;$B16&amp;Keys!$C$54&amp;$C16</f>
        <v>AL|production|biomass</v>
      </c>
    </row>
    <row r="17" spans="1:8" x14ac:dyDescent="0.25">
      <c r="A17" t="s">
        <v>58</v>
      </c>
      <c r="B17" t="s">
        <v>188</v>
      </c>
      <c r="C17" t="s">
        <v>85</v>
      </c>
      <c r="D17">
        <v>137908000000000</v>
      </c>
      <c r="E17">
        <v>137908000000000</v>
      </c>
      <c r="F17">
        <v>134565000000000</v>
      </c>
      <c r="G17" s="10">
        <f t="shared" si="0"/>
        <v>136793666666666.67</v>
      </c>
      <c r="H17" t="str">
        <f>$A17&amp;Keys!$C$54&amp;$B17&amp;Keys!$C$54&amp;$C17</f>
        <v>AL|production|petroleum gasoline</v>
      </c>
    </row>
    <row r="18" spans="1:8" x14ac:dyDescent="0.25">
      <c r="A18" t="s">
        <v>58</v>
      </c>
      <c r="B18" t="s">
        <v>188</v>
      </c>
      <c r="C18" t="s">
        <v>88</v>
      </c>
      <c r="D18">
        <v>81574700000000</v>
      </c>
      <c r="E18">
        <v>81574700000000</v>
      </c>
      <c r="F18">
        <v>79597500000000</v>
      </c>
      <c r="G18" s="10">
        <f t="shared" si="0"/>
        <v>80915633333333.328</v>
      </c>
      <c r="H18" t="str">
        <f>$A18&amp;Keys!$C$54&amp;$B18&amp;Keys!$C$54&amp;$C18</f>
        <v>AL|production|petroleum diesel</v>
      </c>
    </row>
    <row r="19" spans="1:8" x14ac:dyDescent="0.25">
      <c r="A19" t="s">
        <v>58</v>
      </c>
      <c r="B19" t="s">
        <v>188</v>
      </c>
      <c r="C19" t="s">
        <v>91</v>
      </c>
      <c r="D19">
        <v>0</v>
      </c>
      <c r="E19">
        <v>0</v>
      </c>
      <c r="F19">
        <v>0</v>
      </c>
      <c r="G19" s="10">
        <f t="shared" si="0"/>
        <v>0</v>
      </c>
      <c r="H19" t="str">
        <f>$A19&amp;Keys!$C$54&amp;$B19&amp;Keys!$C$54&amp;$C19</f>
        <v>AL|production|biofuel gasoline</v>
      </c>
    </row>
    <row r="20" spans="1:8" x14ac:dyDescent="0.25">
      <c r="A20" t="s">
        <v>58</v>
      </c>
      <c r="B20" t="s">
        <v>188</v>
      </c>
      <c r="C20" t="s">
        <v>94</v>
      </c>
      <c r="D20">
        <v>6007590000000</v>
      </c>
      <c r="E20">
        <v>6007590000000</v>
      </c>
      <c r="F20">
        <v>7136190000000</v>
      </c>
      <c r="G20" s="10">
        <f t="shared" si="0"/>
        <v>6383790000000</v>
      </c>
      <c r="H20" t="str">
        <f>$A20&amp;Keys!$C$54&amp;$B20&amp;Keys!$C$54&amp;$C20</f>
        <v>AL|production|biofuel diesel</v>
      </c>
    </row>
    <row r="21" spans="1:8" x14ac:dyDescent="0.25">
      <c r="A21" t="s">
        <v>58</v>
      </c>
      <c r="B21" t="s">
        <v>188</v>
      </c>
      <c r="C21" t="s">
        <v>97</v>
      </c>
      <c r="D21">
        <v>29039000000000</v>
      </c>
      <c r="E21">
        <v>29039000000000</v>
      </c>
      <c r="F21">
        <v>28335100000000</v>
      </c>
      <c r="G21" s="10">
        <f t="shared" si="0"/>
        <v>28804366666666.668</v>
      </c>
      <c r="H21" t="str">
        <f>$A21&amp;Keys!$C$54&amp;$B21&amp;Keys!$C$54&amp;$C21</f>
        <v>AL|production|jet fuel or kerosene</v>
      </c>
    </row>
    <row r="22" spans="1:8" x14ac:dyDescent="0.25">
      <c r="A22" t="s">
        <v>58</v>
      </c>
      <c r="B22" t="s">
        <v>188</v>
      </c>
      <c r="C22" t="s">
        <v>100</v>
      </c>
      <c r="D22">
        <v>0</v>
      </c>
      <c r="E22">
        <v>0</v>
      </c>
      <c r="F22">
        <v>0</v>
      </c>
      <c r="G22" s="10">
        <f t="shared" si="0"/>
        <v>0</v>
      </c>
      <c r="H22" t="str">
        <f>$A22&amp;Keys!$C$54&amp;$B22&amp;Keys!$C$54&amp;$C22</f>
        <v>AL|production|heat (not used in this variable)</v>
      </c>
    </row>
    <row r="23" spans="1:8" x14ac:dyDescent="0.25">
      <c r="A23" t="s">
        <v>58</v>
      </c>
      <c r="B23" t="s">
        <v>188</v>
      </c>
      <c r="C23" t="s">
        <v>103</v>
      </c>
      <c r="D23">
        <v>0</v>
      </c>
      <c r="E23">
        <v>0</v>
      </c>
      <c r="F23">
        <v>0</v>
      </c>
      <c r="G23" s="10">
        <f t="shared" si="0"/>
        <v>0</v>
      </c>
      <c r="H23" t="str">
        <f>$A23&amp;Keys!$C$54&amp;$B23&amp;Keys!$C$54&amp;$C23</f>
        <v>AL|production|geothermal (is not a fuel)</v>
      </c>
    </row>
    <row r="24" spans="1:8" x14ac:dyDescent="0.25">
      <c r="A24" t="s">
        <v>58</v>
      </c>
      <c r="B24" t="s">
        <v>188</v>
      </c>
      <c r="C24" t="s">
        <v>106</v>
      </c>
      <c r="D24">
        <v>0</v>
      </c>
      <c r="E24">
        <v>0</v>
      </c>
      <c r="F24">
        <v>0</v>
      </c>
      <c r="G24" s="10">
        <f t="shared" si="0"/>
        <v>0</v>
      </c>
      <c r="H24" t="str">
        <f>$A24&amp;Keys!$C$54&amp;$B24&amp;Keys!$C$54&amp;$C24</f>
        <v>AL|production|lignite</v>
      </c>
    </row>
    <row r="25" spans="1:8" x14ac:dyDescent="0.25">
      <c r="A25" t="s">
        <v>58</v>
      </c>
      <c r="B25" t="s">
        <v>188</v>
      </c>
      <c r="C25" t="s">
        <v>109</v>
      </c>
      <c r="D25">
        <v>19470600000000</v>
      </c>
      <c r="E25">
        <v>19470600000000</v>
      </c>
      <c r="F25">
        <v>18333400000000</v>
      </c>
      <c r="G25" s="10">
        <f t="shared" si="0"/>
        <v>19091533333333.332</v>
      </c>
      <c r="H25" t="str">
        <f>$A25&amp;Keys!$C$54&amp;$B25&amp;Keys!$C$54&amp;$C25</f>
        <v>AL|production|crude oil</v>
      </c>
    </row>
    <row r="26" spans="1:8" x14ac:dyDescent="0.25">
      <c r="A26" t="s">
        <v>58</v>
      </c>
      <c r="B26" t="s">
        <v>188</v>
      </c>
      <c r="C26" t="s">
        <v>113</v>
      </c>
      <c r="D26">
        <v>5640910000000</v>
      </c>
      <c r="E26">
        <v>5640910000000</v>
      </c>
      <c r="F26">
        <v>5504190000000</v>
      </c>
      <c r="G26" s="10">
        <f t="shared" si="0"/>
        <v>5595336666666.667</v>
      </c>
      <c r="H26" t="str">
        <f>$A26&amp;Keys!$C$54&amp;$B26&amp;Keys!$C$54&amp;$C26</f>
        <v>AL|production|heavy fuel oil</v>
      </c>
    </row>
    <row r="27" spans="1:8" x14ac:dyDescent="0.25">
      <c r="A27" t="s">
        <v>58</v>
      </c>
      <c r="B27" t="s">
        <v>188</v>
      </c>
      <c r="C27" t="s">
        <v>117</v>
      </c>
      <c r="D27">
        <v>9367740000000</v>
      </c>
      <c r="E27">
        <v>9367740000000</v>
      </c>
      <c r="F27">
        <v>9566650000000</v>
      </c>
      <c r="G27" s="10">
        <f t="shared" si="0"/>
        <v>9434043333333.334</v>
      </c>
      <c r="H27" t="str">
        <f>$A27&amp;Keys!$C$54&amp;$B27&amp;Keys!$C$54&amp;$C27</f>
        <v>AL|production|LPG propane or butane</v>
      </c>
    </row>
    <row r="28" spans="1:8" x14ac:dyDescent="0.25">
      <c r="A28" t="s">
        <v>58</v>
      </c>
      <c r="B28" t="s">
        <v>188</v>
      </c>
      <c r="C28" t="s">
        <v>120</v>
      </c>
      <c r="D28">
        <v>0</v>
      </c>
      <c r="E28">
        <v>0</v>
      </c>
      <c r="F28">
        <v>0</v>
      </c>
      <c r="G28" s="10">
        <f t="shared" si="0"/>
        <v>0</v>
      </c>
      <c r="H28" t="str">
        <f>$A28&amp;Keys!$C$54&amp;$B28&amp;Keys!$C$54&amp;$C28</f>
        <v>AL|production|municipal solid waste</v>
      </c>
    </row>
    <row r="29" spans="1:8" x14ac:dyDescent="0.25">
      <c r="A29" t="s">
        <v>58</v>
      </c>
      <c r="B29" t="s">
        <v>188</v>
      </c>
      <c r="C29" t="s">
        <v>123</v>
      </c>
      <c r="D29">
        <v>5338120000000</v>
      </c>
      <c r="E29">
        <v>5338120000000</v>
      </c>
      <c r="F29">
        <v>5069590000000</v>
      </c>
      <c r="G29" s="10">
        <f t="shared" si="0"/>
        <v>5248610000000</v>
      </c>
      <c r="H29" t="str">
        <f>$A29&amp;Keys!$C$54&amp;$B29&amp;Keys!$C$54&amp;$C29</f>
        <v>AL|production|hydrogen</v>
      </c>
    </row>
    <row r="30" spans="1:8" x14ac:dyDescent="0.25">
      <c r="A30" t="s">
        <v>58</v>
      </c>
      <c r="B30" t="s">
        <v>191</v>
      </c>
      <c r="C30" t="s">
        <v>60</v>
      </c>
      <c r="D30">
        <v>0</v>
      </c>
      <c r="E30">
        <v>0</v>
      </c>
      <c r="F30">
        <v>0</v>
      </c>
      <c r="G30" s="10">
        <f t="shared" si="0"/>
        <v>0</v>
      </c>
      <c r="H30" t="str">
        <f>$A30&amp;Keys!$C$54&amp;$B30&amp;Keys!$C$54&amp;$C30</f>
        <v>AL|imports|electricity (not used in this variable)</v>
      </c>
    </row>
    <row r="31" spans="1:8" x14ac:dyDescent="0.25">
      <c r="A31" t="s">
        <v>58</v>
      </c>
      <c r="B31" t="s">
        <v>191</v>
      </c>
      <c r="C31" t="s">
        <v>64</v>
      </c>
      <c r="D31">
        <v>214661000000000</v>
      </c>
      <c r="E31">
        <v>0</v>
      </c>
      <c r="F31">
        <v>22148300000000</v>
      </c>
      <c r="G31" s="10">
        <f t="shared" si="0"/>
        <v>78936433333333.328</v>
      </c>
      <c r="H31" t="str">
        <f>$A31&amp;Keys!$C$54&amp;$B31&amp;Keys!$C$54&amp;$C31</f>
        <v>AL|imports|hard coal</v>
      </c>
    </row>
    <row r="32" spans="1:8" x14ac:dyDescent="0.25">
      <c r="A32" t="s">
        <v>58</v>
      </c>
      <c r="B32" t="s">
        <v>191</v>
      </c>
      <c r="C32" t="s">
        <v>68</v>
      </c>
      <c r="D32">
        <v>4847230000000000</v>
      </c>
      <c r="E32">
        <v>4825060000000000</v>
      </c>
      <c r="F32">
        <v>4672170000000000</v>
      </c>
      <c r="G32" s="10">
        <f t="shared" si="0"/>
        <v>4781486666666667</v>
      </c>
      <c r="H32" t="str">
        <f>$A32&amp;Keys!$C$54&amp;$B32&amp;Keys!$C$54&amp;$C32</f>
        <v>AL|imports|natural gas</v>
      </c>
    </row>
    <row r="33" spans="1:8" x14ac:dyDescent="0.25">
      <c r="A33" t="s">
        <v>58</v>
      </c>
      <c r="B33" t="s">
        <v>191</v>
      </c>
      <c r="C33" t="s">
        <v>71</v>
      </c>
      <c r="D33">
        <v>464580000000000</v>
      </c>
      <c r="E33">
        <v>445586000000000</v>
      </c>
      <c r="F33">
        <v>455089000000000</v>
      </c>
      <c r="G33" s="10">
        <f t="shared" si="0"/>
        <v>455085000000000</v>
      </c>
      <c r="H33" t="str">
        <f>$A33&amp;Keys!$C$54&amp;$B33&amp;Keys!$C$54&amp;$C33</f>
        <v>AL|imports|nuclear</v>
      </c>
    </row>
    <row r="34" spans="1:8" x14ac:dyDescent="0.25">
      <c r="A34" t="s">
        <v>58</v>
      </c>
      <c r="B34" t="s">
        <v>191</v>
      </c>
      <c r="C34" t="s">
        <v>74</v>
      </c>
      <c r="D34">
        <v>0</v>
      </c>
      <c r="E34">
        <v>0</v>
      </c>
      <c r="F34">
        <v>0</v>
      </c>
      <c r="G34" s="10">
        <f t="shared" si="0"/>
        <v>0</v>
      </c>
      <c r="H34" t="str">
        <f>$A34&amp;Keys!$C$54&amp;$B34&amp;Keys!$C$54&amp;$C34</f>
        <v>AL|imports|hydro (is not a fuel)</v>
      </c>
    </row>
    <row r="35" spans="1:8" x14ac:dyDescent="0.25">
      <c r="A35" t="s">
        <v>58</v>
      </c>
      <c r="B35" t="s">
        <v>191</v>
      </c>
      <c r="C35" t="s">
        <v>77</v>
      </c>
      <c r="D35">
        <v>0</v>
      </c>
      <c r="E35">
        <v>0</v>
      </c>
      <c r="F35">
        <v>0</v>
      </c>
      <c r="G35" s="10">
        <f t="shared" si="0"/>
        <v>0</v>
      </c>
      <c r="H35" t="str">
        <f>$A35&amp;Keys!$C$54&amp;$B35&amp;Keys!$C$54&amp;$C35</f>
        <v>AL|imports|wind (is not a fuel)</v>
      </c>
    </row>
    <row r="36" spans="1:8" x14ac:dyDescent="0.25">
      <c r="A36" t="s">
        <v>58</v>
      </c>
      <c r="B36" t="s">
        <v>191</v>
      </c>
      <c r="C36" t="s">
        <v>80</v>
      </c>
      <c r="D36">
        <v>0</v>
      </c>
      <c r="E36">
        <v>0</v>
      </c>
      <c r="F36">
        <v>0</v>
      </c>
      <c r="G36" s="10">
        <f t="shared" si="0"/>
        <v>0</v>
      </c>
      <c r="H36" t="str">
        <f>$A36&amp;Keys!$C$54&amp;$B36&amp;Keys!$C$54&amp;$C36</f>
        <v>AL|imports|solar (is not a fuel)</v>
      </c>
    </row>
    <row r="37" spans="1:8" x14ac:dyDescent="0.25">
      <c r="A37" t="s">
        <v>58</v>
      </c>
      <c r="B37" t="s">
        <v>191</v>
      </c>
      <c r="C37" t="s">
        <v>82</v>
      </c>
      <c r="D37">
        <v>0</v>
      </c>
      <c r="E37">
        <v>158054000000000</v>
      </c>
      <c r="F37">
        <v>167180000000000</v>
      </c>
      <c r="G37" s="10">
        <f t="shared" si="0"/>
        <v>108411333333333.33</v>
      </c>
      <c r="H37" t="str">
        <f>$A37&amp;Keys!$C$54&amp;$B37&amp;Keys!$C$54&amp;$C37</f>
        <v>AL|imports|biomass</v>
      </c>
    </row>
    <row r="38" spans="1:8" x14ac:dyDescent="0.25">
      <c r="A38" t="s">
        <v>58</v>
      </c>
      <c r="B38" t="s">
        <v>191</v>
      </c>
      <c r="C38" t="s">
        <v>85</v>
      </c>
      <c r="D38">
        <v>0</v>
      </c>
      <c r="E38">
        <v>197808000000000</v>
      </c>
      <c r="F38">
        <v>196087000000000</v>
      </c>
      <c r="G38" s="10">
        <f t="shared" si="0"/>
        <v>131298333333333.33</v>
      </c>
      <c r="H38" t="str">
        <f>$A38&amp;Keys!$C$54&amp;$B38&amp;Keys!$C$54&amp;$C38</f>
        <v>AL|imports|petroleum gasoline</v>
      </c>
    </row>
    <row r="39" spans="1:8" x14ac:dyDescent="0.25">
      <c r="A39" t="s">
        <v>58</v>
      </c>
      <c r="B39" t="s">
        <v>191</v>
      </c>
      <c r="C39" t="s">
        <v>88</v>
      </c>
      <c r="D39">
        <v>0</v>
      </c>
      <c r="E39">
        <v>96308600000000</v>
      </c>
      <c r="F39">
        <v>98437300000000</v>
      </c>
      <c r="G39" s="10">
        <f t="shared" si="0"/>
        <v>64915300000000</v>
      </c>
      <c r="H39" t="str">
        <f>$A39&amp;Keys!$C$54&amp;$B39&amp;Keys!$C$54&amp;$C39</f>
        <v>AL|imports|petroleum diesel</v>
      </c>
    </row>
    <row r="40" spans="1:8" x14ac:dyDescent="0.25">
      <c r="A40" t="s">
        <v>58</v>
      </c>
      <c r="B40" t="s">
        <v>191</v>
      </c>
      <c r="C40" t="s">
        <v>91</v>
      </c>
      <c r="D40">
        <v>0</v>
      </c>
      <c r="E40">
        <v>23860900000000</v>
      </c>
      <c r="F40">
        <v>23506200000000</v>
      </c>
      <c r="G40" s="10">
        <f t="shared" si="0"/>
        <v>15789033333333.334</v>
      </c>
      <c r="H40" t="str">
        <f>$A40&amp;Keys!$C$54&amp;$B40&amp;Keys!$C$54&amp;$C40</f>
        <v>AL|imports|biofuel gasoline</v>
      </c>
    </row>
    <row r="41" spans="1:8" x14ac:dyDescent="0.25">
      <c r="A41" t="s">
        <v>58</v>
      </c>
      <c r="B41" t="s">
        <v>191</v>
      </c>
      <c r="C41" t="s">
        <v>94</v>
      </c>
      <c r="D41">
        <v>0</v>
      </c>
      <c r="E41">
        <v>0</v>
      </c>
      <c r="F41">
        <v>0</v>
      </c>
      <c r="G41" s="10">
        <f t="shared" si="0"/>
        <v>0</v>
      </c>
      <c r="H41" t="str">
        <f>$A41&amp;Keys!$C$54&amp;$B41&amp;Keys!$C$54&amp;$C41</f>
        <v>AL|imports|biofuel diesel</v>
      </c>
    </row>
    <row r="42" spans="1:8" x14ac:dyDescent="0.25">
      <c r="A42" t="s">
        <v>58</v>
      </c>
      <c r="B42" t="s">
        <v>191</v>
      </c>
      <c r="C42" t="s">
        <v>97</v>
      </c>
      <c r="D42">
        <v>0</v>
      </c>
      <c r="E42">
        <v>0</v>
      </c>
      <c r="F42">
        <v>0</v>
      </c>
      <c r="G42" s="10">
        <f t="shared" si="0"/>
        <v>0</v>
      </c>
      <c r="H42" t="str">
        <f>$A42&amp;Keys!$C$54&amp;$B42&amp;Keys!$C$54&amp;$C42</f>
        <v>AL|imports|jet fuel or kerosene</v>
      </c>
    </row>
    <row r="43" spans="1:8" x14ac:dyDescent="0.25">
      <c r="A43" t="s">
        <v>58</v>
      </c>
      <c r="B43" t="s">
        <v>191</v>
      </c>
      <c r="C43" t="s">
        <v>100</v>
      </c>
      <c r="D43">
        <v>0</v>
      </c>
      <c r="E43">
        <v>0</v>
      </c>
      <c r="F43">
        <v>0</v>
      </c>
      <c r="G43" s="10">
        <f t="shared" si="0"/>
        <v>0</v>
      </c>
      <c r="H43" t="str">
        <f>$A43&amp;Keys!$C$54&amp;$B43&amp;Keys!$C$54&amp;$C43</f>
        <v>AL|imports|heat (not used in this variable)</v>
      </c>
    </row>
    <row r="44" spans="1:8" x14ac:dyDescent="0.25">
      <c r="A44" t="s">
        <v>58</v>
      </c>
      <c r="B44" t="s">
        <v>191</v>
      </c>
      <c r="C44" t="s">
        <v>103</v>
      </c>
      <c r="D44">
        <v>0</v>
      </c>
      <c r="E44">
        <v>0</v>
      </c>
      <c r="F44">
        <v>0</v>
      </c>
      <c r="G44" s="10">
        <f t="shared" si="0"/>
        <v>0</v>
      </c>
      <c r="H44" t="str">
        <f>$A44&amp;Keys!$C$54&amp;$B44&amp;Keys!$C$54&amp;$C44</f>
        <v>AL|imports|geothermal (is not a fuel)</v>
      </c>
    </row>
    <row r="45" spans="1:8" x14ac:dyDescent="0.25">
      <c r="A45" t="s">
        <v>58</v>
      </c>
      <c r="B45" t="s">
        <v>191</v>
      </c>
      <c r="C45" t="s">
        <v>106</v>
      </c>
      <c r="D45">
        <v>0</v>
      </c>
      <c r="E45">
        <v>0</v>
      </c>
      <c r="F45">
        <v>0</v>
      </c>
      <c r="G45" s="10">
        <f t="shared" si="0"/>
        <v>0</v>
      </c>
      <c r="H45" t="str">
        <f>$A45&amp;Keys!$C$54&amp;$B45&amp;Keys!$C$54&amp;$C45</f>
        <v>AL|imports|lignite</v>
      </c>
    </row>
    <row r="46" spans="1:8" x14ac:dyDescent="0.25">
      <c r="A46" t="s">
        <v>58</v>
      </c>
      <c r="B46" t="s">
        <v>191</v>
      </c>
      <c r="C46" t="s">
        <v>109</v>
      </c>
      <c r="D46">
        <v>0</v>
      </c>
      <c r="E46">
        <v>258921000000000</v>
      </c>
      <c r="F46">
        <v>260059000000000</v>
      </c>
      <c r="G46" s="10">
        <f t="shared" si="0"/>
        <v>172993333333333.34</v>
      </c>
      <c r="H46" t="str">
        <f>$A46&amp;Keys!$C$54&amp;$B46&amp;Keys!$C$54&amp;$C46</f>
        <v>AL|imports|crude oil</v>
      </c>
    </row>
    <row r="47" spans="1:8" x14ac:dyDescent="0.25">
      <c r="A47" t="s">
        <v>58</v>
      </c>
      <c r="B47" t="s">
        <v>191</v>
      </c>
      <c r="C47" t="s">
        <v>113</v>
      </c>
      <c r="D47">
        <v>0</v>
      </c>
      <c r="E47">
        <v>17485900000000</v>
      </c>
      <c r="F47">
        <v>17606600000000</v>
      </c>
      <c r="G47" s="10">
        <f t="shared" si="0"/>
        <v>11697500000000</v>
      </c>
      <c r="H47" t="str">
        <f>$A47&amp;Keys!$C$54&amp;$B47&amp;Keys!$C$54&amp;$C47</f>
        <v>AL|imports|heavy fuel oil</v>
      </c>
    </row>
    <row r="48" spans="1:8" x14ac:dyDescent="0.25">
      <c r="A48" t="s">
        <v>58</v>
      </c>
      <c r="B48" t="s">
        <v>191</v>
      </c>
      <c r="C48" t="s">
        <v>117</v>
      </c>
      <c r="D48">
        <v>0</v>
      </c>
      <c r="E48">
        <v>527361000000</v>
      </c>
      <c r="F48">
        <v>259653000000</v>
      </c>
      <c r="G48" s="10">
        <f t="shared" si="0"/>
        <v>262338000000</v>
      </c>
      <c r="H48" t="str">
        <f>$A48&amp;Keys!$C$54&amp;$B48&amp;Keys!$C$54&amp;$C48</f>
        <v>AL|imports|LPG propane or butane</v>
      </c>
    </row>
    <row r="49" spans="1:8" x14ac:dyDescent="0.25">
      <c r="A49" t="s">
        <v>58</v>
      </c>
      <c r="B49" t="s">
        <v>191</v>
      </c>
      <c r="C49" t="s">
        <v>120</v>
      </c>
      <c r="D49">
        <v>0</v>
      </c>
      <c r="E49">
        <v>0</v>
      </c>
      <c r="F49">
        <v>0</v>
      </c>
      <c r="G49" s="10">
        <f t="shared" si="0"/>
        <v>0</v>
      </c>
      <c r="H49" t="str">
        <f>$A49&amp;Keys!$C$54&amp;$B49&amp;Keys!$C$54&amp;$C49</f>
        <v>AL|imports|municipal solid waste</v>
      </c>
    </row>
    <row r="50" spans="1:8" x14ac:dyDescent="0.25">
      <c r="A50" t="s">
        <v>58</v>
      </c>
      <c r="B50" t="s">
        <v>191</v>
      </c>
      <c r="C50" t="s">
        <v>123</v>
      </c>
      <c r="D50">
        <v>0</v>
      </c>
      <c r="E50">
        <v>354542000000</v>
      </c>
      <c r="F50">
        <v>573186000000</v>
      </c>
      <c r="G50" s="10">
        <f t="shared" si="0"/>
        <v>309242666666.66669</v>
      </c>
      <c r="H50" t="str">
        <f>$A50&amp;Keys!$C$54&amp;$B50&amp;Keys!$C$54&amp;$C50</f>
        <v>AL|imports|hydrogen</v>
      </c>
    </row>
    <row r="51" spans="1:8" x14ac:dyDescent="0.25">
      <c r="A51" t="s">
        <v>58</v>
      </c>
      <c r="B51" t="s">
        <v>193</v>
      </c>
      <c r="C51" t="s">
        <v>60</v>
      </c>
      <c r="D51">
        <v>0</v>
      </c>
      <c r="E51">
        <v>0</v>
      </c>
      <c r="F51">
        <v>0</v>
      </c>
      <c r="G51" s="10">
        <f t="shared" si="0"/>
        <v>0</v>
      </c>
      <c r="H51" t="str">
        <f>$A51&amp;Keys!$C$54&amp;$B51&amp;Keys!$C$54&amp;$C51</f>
        <v>AL|exports|electricity (not used in this variable)</v>
      </c>
    </row>
    <row r="52" spans="1:8" x14ac:dyDescent="0.25">
      <c r="A52" t="s">
        <v>58</v>
      </c>
      <c r="B52" t="s">
        <v>193</v>
      </c>
      <c r="C52" t="s">
        <v>64</v>
      </c>
      <c r="D52">
        <v>325766000000</v>
      </c>
      <c r="E52">
        <v>45989100000000</v>
      </c>
      <c r="F52">
        <v>325774000000</v>
      </c>
      <c r="G52" s="10">
        <f t="shared" si="0"/>
        <v>15546880000000</v>
      </c>
      <c r="H52" t="str">
        <f>$A52&amp;Keys!$C$54&amp;$B52&amp;Keys!$C$54&amp;$C52</f>
        <v>AL|exports|hard coal</v>
      </c>
    </row>
    <row r="53" spans="1:8" x14ac:dyDescent="0.25">
      <c r="A53" t="s">
        <v>58</v>
      </c>
      <c r="B53" t="s">
        <v>193</v>
      </c>
      <c r="C53" t="s">
        <v>68</v>
      </c>
      <c r="D53">
        <v>4112610000000000</v>
      </c>
      <c r="E53">
        <v>4112610000000000</v>
      </c>
      <c r="F53">
        <v>4065390000000000</v>
      </c>
      <c r="G53" s="10">
        <f t="shared" si="0"/>
        <v>4096870000000000</v>
      </c>
      <c r="H53" t="str">
        <f>$A53&amp;Keys!$C$54&amp;$B53&amp;Keys!$C$54&amp;$C53</f>
        <v>AL|exports|natural gas</v>
      </c>
    </row>
    <row r="54" spans="1:8" x14ac:dyDescent="0.25">
      <c r="A54" t="s">
        <v>58</v>
      </c>
      <c r="B54" t="s">
        <v>193</v>
      </c>
      <c r="C54" t="s">
        <v>71</v>
      </c>
      <c r="D54">
        <v>0</v>
      </c>
      <c r="E54">
        <v>0</v>
      </c>
      <c r="F54">
        <v>0</v>
      </c>
      <c r="G54" s="10">
        <f t="shared" si="0"/>
        <v>0</v>
      </c>
      <c r="H54" t="str">
        <f>$A54&amp;Keys!$C$54&amp;$B54&amp;Keys!$C$54&amp;$C54</f>
        <v>AL|exports|nuclear</v>
      </c>
    </row>
    <row r="55" spans="1:8" x14ac:dyDescent="0.25">
      <c r="A55" t="s">
        <v>58</v>
      </c>
      <c r="B55" t="s">
        <v>193</v>
      </c>
      <c r="C55" t="s">
        <v>74</v>
      </c>
      <c r="D55">
        <v>0</v>
      </c>
      <c r="E55">
        <v>0</v>
      </c>
      <c r="F55">
        <v>0</v>
      </c>
      <c r="G55" s="10">
        <f t="shared" si="0"/>
        <v>0</v>
      </c>
      <c r="H55" t="str">
        <f>$A55&amp;Keys!$C$54&amp;$B55&amp;Keys!$C$54&amp;$C55</f>
        <v>AL|exports|hydro (is not a fuel)</v>
      </c>
    </row>
    <row r="56" spans="1:8" x14ac:dyDescent="0.25">
      <c r="A56" t="s">
        <v>58</v>
      </c>
      <c r="B56" t="s">
        <v>193</v>
      </c>
      <c r="C56" t="s">
        <v>77</v>
      </c>
      <c r="D56">
        <v>0</v>
      </c>
      <c r="E56">
        <v>0</v>
      </c>
      <c r="F56">
        <v>0</v>
      </c>
      <c r="G56" s="10">
        <f t="shared" si="0"/>
        <v>0</v>
      </c>
      <c r="H56" t="str">
        <f>$A56&amp;Keys!$C$54&amp;$B56&amp;Keys!$C$54&amp;$C56</f>
        <v>AL|exports|wind (is not a fuel)</v>
      </c>
    </row>
    <row r="57" spans="1:8" x14ac:dyDescent="0.25">
      <c r="A57" t="s">
        <v>58</v>
      </c>
      <c r="B57" t="s">
        <v>193</v>
      </c>
      <c r="C57" t="s">
        <v>80</v>
      </c>
      <c r="D57">
        <v>0</v>
      </c>
      <c r="E57">
        <v>0</v>
      </c>
      <c r="F57">
        <v>0</v>
      </c>
      <c r="G57" s="10">
        <f t="shared" si="0"/>
        <v>0</v>
      </c>
      <c r="H57" t="str">
        <f>$A57&amp;Keys!$C$54&amp;$B57&amp;Keys!$C$54&amp;$C57</f>
        <v>AL|exports|solar (is not a fuel)</v>
      </c>
    </row>
    <row r="58" spans="1:8" x14ac:dyDescent="0.25">
      <c r="A58" t="s">
        <v>58</v>
      </c>
      <c r="B58" t="s">
        <v>193</v>
      </c>
      <c r="C58" t="s">
        <v>82</v>
      </c>
      <c r="D58">
        <v>0</v>
      </c>
      <c r="E58">
        <v>0</v>
      </c>
      <c r="F58">
        <v>0</v>
      </c>
      <c r="G58" s="10">
        <f t="shared" si="0"/>
        <v>0</v>
      </c>
      <c r="H58" t="str">
        <f>$A58&amp;Keys!$C$54&amp;$B58&amp;Keys!$C$54&amp;$C58</f>
        <v>AL|exports|biomass</v>
      </c>
    </row>
    <row r="59" spans="1:8" x14ac:dyDescent="0.25">
      <c r="A59" t="s">
        <v>58</v>
      </c>
      <c r="B59" t="s">
        <v>193</v>
      </c>
      <c r="C59" t="s">
        <v>85</v>
      </c>
      <c r="D59">
        <v>0</v>
      </c>
      <c r="E59">
        <v>0</v>
      </c>
      <c r="F59">
        <v>0</v>
      </c>
      <c r="G59" s="10">
        <f t="shared" si="0"/>
        <v>0</v>
      </c>
      <c r="H59" t="str">
        <f>$A59&amp;Keys!$C$54&amp;$B59&amp;Keys!$C$54&amp;$C59</f>
        <v>AL|exports|petroleum gasoline</v>
      </c>
    </row>
    <row r="60" spans="1:8" x14ac:dyDescent="0.25">
      <c r="A60" t="s">
        <v>58</v>
      </c>
      <c r="B60" t="s">
        <v>193</v>
      </c>
      <c r="C60" t="s">
        <v>88</v>
      </c>
      <c r="D60">
        <v>17761500000000</v>
      </c>
      <c r="E60">
        <v>17761500000000</v>
      </c>
      <c r="F60">
        <v>17331000000000</v>
      </c>
      <c r="G60" s="10">
        <f t="shared" si="0"/>
        <v>17618000000000</v>
      </c>
      <c r="H60" t="str">
        <f>$A60&amp;Keys!$C$54&amp;$B60&amp;Keys!$C$54&amp;$C60</f>
        <v>AL|exports|petroleum diesel</v>
      </c>
    </row>
    <row r="61" spans="1:8" x14ac:dyDescent="0.25">
      <c r="A61" t="s">
        <v>58</v>
      </c>
      <c r="B61" t="s">
        <v>193</v>
      </c>
      <c r="C61" t="s">
        <v>91</v>
      </c>
      <c r="D61">
        <v>0</v>
      </c>
      <c r="E61">
        <v>0</v>
      </c>
      <c r="F61">
        <v>0</v>
      </c>
      <c r="G61" s="10">
        <f t="shared" si="0"/>
        <v>0</v>
      </c>
      <c r="H61" t="str">
        <f>$A61&amp;Keys!$C$54&amp;$B61&amp;Keys!$C$54&amp;$C61</f>
        <v>AL|exports|biofuel gasoline</v>
      </c>
    </row>
    <row r="62" spans="1:8" x14ac:dyDescent="0.25">
      <c r="A62" t="s">
        <v>58</v>
      </c>
      <c r="B62" t="s">
        <v>193</v>
      </c>
      <c r="C62" t="s">
        <v>94</v>
      </c>
      <c r="D62">
        <v>0</v>
      </c>
      <c r="E62">
        <v>3014380000000</v>
      </c>
      <c r="F62">
        <v>4126940000000</v>
      </c>
      <c r="G62" s="10">
        <f t="shared" si="0"/>
        <v>2380440000000</v>
      </c>
      <c r="H62" t="str">
        <f>$A62&amp;Keys!$C$54&amp;$B62&amp;Keys!$C$54&amp;$C62</f>
        <v>AL|exports|biofuel diesel</v>
      </c>
    </row>
    <row r="63" spans="1:8" x14ac:dyDescent="0.25">
      <c r="A63" t="s">
        <v>58</v>
      </c>
      <c r="B63" t="s">
        <v>193</v>
      </c>
      <c r="C63" t="s">
        <v>97</v>
      </c>
      <c r="D63">
        <v>2813260000000</v>
      </c>
      <c r="E63">
        <v>17727800000000</v>
      </c>
      <c r="F63">
        <v>16928600000000</v>
      </c>
      <c r="G63" s="10">
        <f t="shared" si="0"/>
        <v>12489886666666.666</v>
      </c>
      <c r="H63" t="str">
        <f>$A63&amp;Keys!$C$54&amp;$B63&amp;Keys!$C$54&amp;$C63</f>
        <v>AL|exports|jet fuel or kerosene</v>
      </c>
    </row>
    <row r="64" spans="1:8" x14ac:dyDescent="0.25">
      <c r="A64" t="s">
        <v>58</v>
      </c>
      <c r="B64" t="s">
        <v>193</v>
      </c>
      <c r="C64" t="s">
        <v>100</v>
      </c>
      <c r="D64">
        <v>0</v>
      </c>
      <c r="E64">
        <v>0</v>
      </c>
      <c r="F64">
        <v>0</v>
      </c>
      <c r="G64" s="10">
        <f t="shared" si="0"/>
        <v>0</v>
      </c>
      <c r="H64" t="str">
        <f>$A64&amp;Keys!$C$54&amp;$B64&amp;Keys!$C$54&amp;$C64</f>
        <v>AL|exports|heat (not used in this variable)</v>
      </c>
    </row>
    <row r="65" spans="1:8" x14ac:dyDescent="0.25">
      <c r="A65" t="s">
        <v>58</v>
      </c>
      <c r="B65" t="s">
        <v>193</v>
      </c>
      <c r="C65" t="s">
        <v>103</v>
      </c>
      <c r="D65">
        <v>0</v>
      </c>
      <c r="E65">
        <v>0</v>
      </c>
      <c r="F65">
        <v>0</v>
      </c>
      <c r="G65" s="10">
        <f t="shared" si="0"/>
        <v>0</v>
      </c>
      <c r="H65" t="str">
        <f>$A65&amp;Keys!$C$54&amp;$B65&amp;Keys!$C$54&amp;$C65</f>
        <v>AL|exports|geothermal (is not a fuel)</v>
      </c>
    </row>
    <row r="66" spans="1:8" x14ac:dyDescent="0.25">
      <c r="A66" t="s">
        <v>58</v>
      </c>
      <c r="B66" t="s">
        <v>193</v>
      </c>
      <c r="C66" t="s">
        <v>106</v>
      </c>
      <c r="D66">
        <v>0</v>
      </c>
      <c r="E66">
        <v>0</v>
      </c>
      <c r="F66">
        <v>0</v>
      </c>
      <c r="G66" s="10">
        <f t="shared" si="0"/>
        <v>0</v>
      </c>
      <c r="H66" t="str">
        <f>$A66&amp;Keys!$C$54&amp;$B66&amp;Keys!$C$54&amp;$C66</f>
        <v>AL|exports|lignite</v>
      </c>
    </row>
    <row r="67" spans="1:8" x14ac:dyDescent="0.25">
      <c r="A67" t="s">
        <v>58</v>
      </c>
      <c r="B67" t="s">
        <v>193</v>
      </c>
      <c r="C67" t="s">
        <v>109</v>
      </c>
      <c r="D67">
        <v>0</v>
      </c>
      <c r="E67">
        <v>0</v>
      </c>
      <c r="F67">
        <v>0</v>
      </c>
      <c r="G67" s="10">
        <f t="shared" si="0"/>
        <v>0</v>
      </c>
      <c r="H67" t="str">
        <f>$A67&amp;Keys!$C$54&amp;$B67&amp;Keys!$C$54&amp;$C67</f>
        <v>AL|exports|crude oil</v>
      </c>
    </row>
    <row r="68" spans="1:8" x14ac:dyDescent="0.25">
      <c r="A68" t="s">
        <v>58</v>
      </c>
      <c r="B68" t="s">
        <v>193</v>
      </c>
      <c r="C68" t="s">
        <v>113</v>
      </c>
      <c r="D68">
        <v>2028150000000</v>
      </c>
      <c r="E68">
        <v>2028150000000</v>
      </c>
      <c r="F68">
        <v>1978990000000</v>
      </c>
      <c r="G68" s="10">
        <f t="shared" si="0"/>
        <v>2011763333333.3333</v>
      </c>
      <c r="H68" t="str">
        <f>$A68&amp;Keys!$C$54&amp;$B68&amp;Keys!$C$54&amp;$C68</f>
        <v>AL|exports|heavy fuel oil</v>
      </c>
    </row>
    <row r="69" spans="1:8" x14ac:dyDescent="0.25">
      <c r="A69" t="s">
        <v>58</v>
      </c>
      <c r="B69" t="s">
        <v>193</v>
      </c>
      <c r="C69" t="s">
        <v>117</v>
      </c>
      <c r="D69">
        <v>0</v>
      </c>
      <c r="E69">
        <v>0</v>
      </c>
      <c r="F69">
        <v>0</v>
      </c>
      <c r="G69" s="10">
        <f t="shared" si="0"/>
        <v>0</v>
      </c>
      <c r="H69" t="str">
        <f>$A69&amp;Keys!$C$54&amp;$B69&amp;Keys!$C$54&amp;$C69</f>
        <v>AL|exports|LPG propane or butane</v>
      </c>
    </row>
    <row r="70" spans="1:8" x14ac:dyDescent="0.25">
      <c r="A70" t="s">
        <v>58</v>
      </c>
      <c r="B70" t="s">
        <v>193</v>
      </c>
      <c r="C70" t="s">
        <v>120</v>
      </c>
      <c r="D70">
        <v>0</v>
      </c>
      <c r="E70">
        <v>0</v>
      </c>
      <c r="F70">
        <v>0</v>
      </c>
      <c r="G70" s="10">
        <f t="shared" si="0"/>
        <v>0</v>
      </c>
      <c r="H70" t="str">
        <f>$A70&amp;Keys!$C$54&amp;$B70&amp;Keys!$C$54&amp;$C70</f>
        <v>AL|exports|municipal solid waste</v>
      </c>
    </row>
    <row r="71" spans="1:8" x14ac:dyDescent="0.25">
      <c r="A71" t="s">
        <v>58</v>
      </c>
      <c r="B71" t="s">
        <v>193</v>
      </c>
      <c r="C71" t="s">
        <v>123</v>
      </c>
      <c r="D71">
        <v>0</v>
      </c>
      <c r="E71">
        <v>0</v>
      </c>
      <c r="F71">
        <v>0</v>
      </c>
      <c r="G71" s="10">
        <f t="shared" si="0"/>
        <v>0</v>
      </c>
      <c r="H71" t="str">
        <f>$A71&amp;Keys!$C$54&amp;$B71&amp;Keys!$C$54&amp;$C71</f>
        <v>AL|exports|hydrogen</v>
      </c>
    </row>
    <row r="72" spans="1:8" x14ac:dyDescent="0.25">
      <c r="A72" t="s">
        <v>63</v>
      </c>
      <c r="B72" t="s">
        <v>188</v>
      </c>
      <c r="C72" t="s">
        <v>60</v>
      </c>
      <c r="D72">
        <v>0</v>
      </c>
      <c r="E72">
        <v>0</v>
      </c>
      <c r="F72">
        <v>0</v>
      </c>
      <c r="G72" s="10">
        <f t="shared" si="0"/>
        <v>0</v>
      </c>
      <c r="H72" t="str">
        <f>$A72&amp;Keys!$C$54&amp;$B72&amp;Keys!$C$54&amp;$C72</f>
        <v>AR|production|electricity (not used in this variable)</v>
      </c>
    </row>
    <row r="73" spans="1:8" x14ac:dyDescent="0.25">
      <c r="A73" t="s">
        <v>63</v>
      </c>
      <c r="B73" t="s">
        <v>188</v>
      </c>
      <c r="C73" t="s">
        <v>64</v>
      </c>
      <c r="D73">
        <v>0</v>
      </c>
      <c r="E73">
        <v>0</v>
      </c>
      <c r="F73">
        <v>0</v>
      </c>
      <c r="G73" s="10">
        <f t="shared" ref="G73:G136" si="1">AVERAGE($D73:$F73)</f>
        <v>0</v>
      </c>
      <c r="H73" t="str">
        <f>$A73&amp;Keys!$C$54&amp;$B73&amp;Keys!$C$54&amp;$C73</f>
        <v>AR|production|hard coal</v>
      </c>
    </row>
    <row r="74" spans="1:8" x14ac:dyDescent="0.25">
      <c r="A74" t="s">
        <v>63</v>
      </c>
      <c r="B74" t="s">
        <v>188</v>
      </c>
      <c r="C74" t="s">
        <v>68</v>
      </c>
      <c r="D74">
        <v>368311000000000</v>
      </c>
      <c r="E74">
        <v>368311000000000</v>
      </c>
      <c r="F74">
        <v>333938000000000</v>
      </c>
      <c r="G74" s="10">
        <f t="shared" si="1"/>
        <v>356853333333333.31</v>
      </c>
      <c r="H74" t="str">
        <f>$A74&amp;Keys!$C$54&amp;$B74&amp;Keys!$C$54&amp;$C74</f>
        <v>AR|production|natural gas</v>
      </c>
    </row>
    <row r="75" spans="1:8" x14ac:dyDescent="0.25">
      <c r="A75" t="s">
        <v>63</v>
      </c>
      <c r="B75" t="s">
        <v>188</v>
      </c>
      <c r="C75" t="s">
        <v>71</v>
      </c>
      <c r="D75">
        <v>0</v>
      </c>
      <c r="E75">
        <v>0</v>
      </c>
      <c r="F75">
        <v>0</v>
      </c>
      <c r="G75" s="10">
        <f t="shared" si="1"/>
        <v>0</v>
      </c>
      <c r="H75" t="str">
        <f>$A75&amp;Keys!$C$54&amp;$B75&amp;Keys!$C$54&amp;$C75</f>
        <v>AR|production|nuclear</v>
      </c>
    </row>
    <row r="76" spans="1:8" x14ac:dyDescent="0.25">
      <c r="A76" t="s">
        <v>63</v>
      </c>
      <c r="B76" t="s">
        <v>188</v>
      </c>
      <c r="C76" t="s">
        <v>74</v>
      </c>
      <c r="D76">
        <v>0</v>
      </c>
      <c r="E76">
        <v>0</v>
      </c>
      <c r="F76">
        <v>0</v>
      </c>
      <c r="G76" s="10">
        <f t="shared" si="1"/>
        <v>0</v>
      </c>
      <c r="H76" t="str">
        <f>$A76&amp;Keys!$C$54&amp;$B76&amp;Keys!$C$54&amp;$C76</f>
        <v>AR|production|hydro (is not a fuel)</v>
      </c>
    </row>
    <row r="77" spans="1:8" x14ac:dyDescent="0.25">
      <c r="A77" t="s">
        <v>63</v>
      </c>
      <c r="B77" t="s">
        <v>188</v>
      </c>
      <c r="C77" t="s">
        <v>77</v>
      </c>
      <c r="D77">
        <v>0</v>
      </c>
      <c r="E77">
        <v>0</v>
      </c>
      <c r="F77">
        <v>0</v>
      </c>
      <c r="G77" s="10">
        <f t="shared" si="1"/>
        <v>0</v>
      </c>
      <c r="H77" t="str">
        <f>$A77&amp;Keys!$C$54&amp;$B77&amp;Keys!$C$54&amp;$C77</f>
        <v>AR|production|wind (is not a fuel)</v>
      </c>
    </row>
    <row r="78" spans="1:8" x14ac:dyDescent="0.25">
      <c r="A78" t="s">
        <v>63</v>
      </c>
      <c r="B78" t="s">
        <v>188</v>
      </c>
      <c r="C78" t="s">
        <v>80</v>
      </c>
      <c r="D78">
        <v>0</v>
      </c>
      <c r="E78">
        <v>0</v>
      </c>
      <c r="F78">
        <v>0</v>
      </c>
      <c r="G78" s="10">
        <f t="shared" si="1"/>
        <v>0</v>
      </c>
      <c r="H78" t="str">
        <f>$A78&amp;Keys!$C$54&amp;$B78&amp;Keys!$C$54&amp;$C78</f>
        <v>AR|production|solar (is not a fuel)</v>
      </c>
    </row>
    <row r="79" spans="1:8" x14ac:dyDescent="0.25">
      <c r="A79" t="s">
        <v>63</v>
      </c>
      <c r="B79" t="s">
        <v>188</v>
      </c>
      <c r="C79" t="s">
        <v>82</v>
      </c>
      <c r="D79">
        <v>14550500000000</v>
      </c>
      <c r="E79">
        <v>14550500000000</v>
      </c>
      <c r="F79">
        <v>14550500000000</v>
      </c>
      <c r="G79" s="10">
        <f t="shared" si="1"/>
        <v>14550500000000</v>
      </c>
      <c r="H79" t="str">
        <f>$A79&amp;Keys!$C$54&amp;$B79&amp;Keys!$C$54&amp;$C79</f>
        <v>AR|production|biomass</v>
      </c>
    </row>
    <row r="80" spans="1:8" x14ac:dyDescent="0.25">
      <c r="A80" t="s">
        <v>63</v>
      </c>
      <c r="B80" t="s">
        <v>188</v>
      </c>
      <c r="C80" t="s">
        <v>85</v>
      </c>
      <c r="D80">
        <v>87830300000000</v>
      </c>
      <c r="E80">
        <v>87830300000000</v>
      </c>
      <c r="F80">
        <v>85701400000000</v>
      </c>
      <c r="G80" s="10">
        <f t="shared" si="1"/>
        <v>87120666666666.672</v>
      </c>
      <c r="H80" t="str">
        <f>$A80&amp;Keys!$C$54&amp;$B80&amp;Keys!$C$54&amp;$C80</f>
        <v>AR|production|petroleum gasoline</v>
      </c>
    </row>
    <row r="81" spans="1:8" x14ac:dyDescent="0.25">
      <c r="A81" t="s">
        <v>63</v>
      </c>
      <c r="B81" t="s">
        <v>188</v>
      </c>
      <c r="C81" t="s">
        <v>88</v>
      </c>
      <c r="D81">
        <v>51952900000000</v>
      </c>
      <c r="E81">
        <v>51952900000000</v>
      </c>
      <c r="F81">
        <v>50693700000000</v>
      </c>
      <c r="G81" s="10">
        <f t="shared" si="1"/>
        <v>51533166666666.664</v>
      </c>
      <c r="H81" t="str">
        <f>$A81&amp;Keys!$C$54&amp;$B81&amp;Keys!$C$54&amp;$C81</f>
        <v>AR|production|petroleum diesel</v>
      </c>
    </row>
    <row r="82" spans="1:8" x14ac:dyDescent="0.25">
      <c r="A82" t="s">
        <v>63</v>
      </c>
      <c r="B82" t="s">
        <v>188</v>
      </c>
      <c r="C82" t="s">
        <v>91</v>
      </c>
      <c r="D82">
        <v>0</v>
      </c>
      <c r="E82">
        <v>0</v>
      </c>
      <c r="F82">
        <v>0</v>
      </c>
      <c r="G82" s="10">
        <f t="shared" si="1"/>
        <v>0</v>
      </c>
      <c r="H82" t="str">
        <f>$A82&amp;Keys!$C$54&amp;$B82&amp;Keys!$C$54&amp;$C82</f>
        <v>AR|production|biofuel gasoline</v>
      </c>
    </row>
    <row r="83" spans="1:8" x14ac:dyDescent="0.25">
      <c r="A83" t="s">
        <v>63</v>
      </c>
      <c r="B83" t="s">
        <v>188</v>
      </c>
      <c r="C83" t="s">
        <v>94</v>
      </c>
      <c r="D83">
        <v>22525600000000</v>
      </c>
      <c r="E83">
        <v>22525600000000</v>
      </c>
      <c r="F83">
        <v>26757400000000</v>
      </c>
      <c r="G83" s="10">
        <f t="shared" si="1"/>
        <v>23936200000000</v>
      </c>
      <c r="H83" t="str">
        <f>$A83&amp;Keys!$C$54&amp;$B83&amp;Keys!$C$54&amp;$C83</f>
        <v>AR|production|biofuel diesel</v>
      </c>
    </row>
    <row r="84" spans="1:8" x14ac:dyDescent="0.25">
      <c r="A84" t="s">
        <v>63</v>
      </c>
      <c r="B84" t="s">
        <v>188</v>
      </c>
      <c r="C84" t="s">
        <v>97</v>
      </c>
      <c r="D84">
        <v>18494200000000</v>
      </c>
      <c r="E84">
        <v>18494200000000</v>
      </c>
      <c r="F84">
        <v>18045900000000</v>
      </c>
      <c r="G84" s="10">
        <f t="shared" si="1"/>
        <v>18344766666666.668</v>
      </c>
      <c r="H84" t="str">
        <f>$A84&amp;Keys!$C$54&amp;$B84&amp;Keys!$C$54&amp;$C84</f>
        <v>AR|production|jet fuel or kerosene</v>
      </c>
    </row>
    <row r="85" spans="1:8" x14ac:dyDescent="0.25">
      <c r="A85" t="s">
        <v>63</v>
      </c>
      <c r="B85" t="s">
        <v>188</v>
      </c>
      <c r="C85" t="s">
        <v>100</v>
      </c>
      <c r="D85">
        <v>0</v>
      </c>
      <c r="E85">
        <v>0</v>
      </c>
      <c r="F85">
        <v>0</v>
      </c>
      <c r="G85" s="10">
        <f t="shared" si="1"/>
        <v>0</v>
      </c>
      <c r="H85" t="str">
        <f>$A85&amp;Keys!$C$54&amp;$B85&amp;Keys!$C$54&amp;$C85</f>
        <v>AR|production|heat (not used in this variable)</v>
      </c>
    </row>
    <row r="86" spans="1:8" x14ac:dyDescent="0.25">
      <c r="A86" t="s">
        <v>63</v>
      </c>
      <c r="B86" t="s">
        <v>188</v>
      </c>
      <c r="C86" t="s">
        <v>103</v>
      </c>
      <c r="D86">
        <v>0</v>
      </c>
      <c r="E86">
        <v>0</v>
      </c>
      <c r="F86">
        <v>0</v>
      </c>
      <c r="G86" s="10">
        <f t="shared" si="1"/>
        <v>0</v>
      </c>
      <c r="H86" t="str">
        <f>$A86&amp;Keys!$C$54&amp;$B86&amp;Keys!$C$54&amp;$C86</f>
        <v>AR|production|geothermal (is not a fuel)</v>
      </c>
    </row>
    <row r="87" spans="1:8" x14ac:dyDescent="0.25">
      <c r="A87" t="s">
        <v>63</v>
      </c>
      <c r="B87" t="s">
        <v>188</v>
      </c>
      <c r="C87" t="s">
        <v>106</v>
      </c>
      <c r="D87">
        <v>0</v>
      </c>
      <c r="E87">
        <v>0</v>
      </c>
      <c r="F87">
        <v>0</v>
      </c>
      <c r="G87" s="10">
        <f t="shared" si="1"/>
        <v>0</v>
      </c>
      <c r="H87" t="str">
        <f>$A87&amp;Keys!$C$54&amp;$B87&amp;Keys!$C$54&amp;$C87</f>
        <v>AR|production|lignite</v>
      </c>
    </row>
    <row r="88" spans="1:8" x14ac:dyDescent="0.25">
      <c r="A88" t="s">
        <v>63</v>
      </c>
      <c r="B88" t="s">
        <v>188</v>
      </c>
      <c r="C88" t="s">
        <v>109</v>
      </c>
      <c r="D88">
        <v>23582800000000</v>
      </c>
      <c r="E88">
        <v>23582800000000</v>
      </c>
      <c r="F88">
        <v>22859900000000</v>
      </c>
      <c r="G88" s="10">
        <f t="shared" si="1"/>
        <v>23341833333333.332</v>
      </c>
      <c r="H88" t="str">
        <f>$A88&amp;Keys!$C$54&amp;$B88&amp;Keys!$C$54&amp;$C88</f>
        <v>AR|production|crude oil</v>
      </c>
    </row>
    <row r="89" spans="1:8" x14ac:dyDescent="0.25">
      <c r="A89" t="s">
        <v>63</v>
      </c>
      <c r="B89" t="s">
        <v>188</v>
      </c>
      <c r="C89" t="s">
        <v>113</v>
      </c>
      <c r="D89">
        <v>3592560000000</v>
      </c>
      <c r="E89">
        <v>3592560000000</v>
      </c>
      <c r="F89">
        <v>3505480000000</v>
      </c>
      <c r="G89" s="10">
        <f t="shared" si="1"/>
        <v>3563533333333.3335</v>
      </c>
      <c r="H89" t="str">
        <f>$A89&amp;Keys!$C$54&amp;$B89&amp;Keys!$C$54&amp;$C89</f>
        <v>AR|production|heavy fuel oil</v>
      </c>
    </row>
    <row r="90" spans="1:8" x14ac:dyDescent="0.25">
      <c r="A90" t="s">
        <v>63</v>
      </c>
      <c r="B90" t="s">
        <v>188</v>
      </c>
      <c r="C90" t="s">
        <v>117</v>
      </c>
      <c r="D90">
        <v>45025800000000</v>
      </c>
      <c r="E90">
        <v>45025800000000</v>
      </c>
      <c r="F90">
        <v>45981900000000</v>
      </c>
      <c r="G90" s="10">
        <f t="shared" si="1"/>
        <v>45344500000000</v>
      </c>
      <c r="H90" t="str">
        <f>$A90&amp;Keys!$C$54&amp;$B90&amp;Keys!$C$54&amp;$C90</f>
        <v>AR|production|LPG propane or butane</v>
      </c>
    </row>
    <row r="91" spans="1:8" x14ac:dyDescent="0.25">
      <c r="A91" t="s">
        <v>63</v>
      </c>
      <c r="B91" t="s">
        <v>188</v>
      </c>
      <c r="C91" t="s">
        <v>120</v>
      </c>
      <c r="D91">
        <v>0</v>
      </c>
      <c r="E91">
        <v>0</v>
      </c>
      <c r="F91">
        <v>0</v>
      </c>
      <c r="G91" s="10">
        <f t="shared" si="1"/>
        <v>0</v>
      </c>
      <c r="H91" t="str">
        <f>$A91&amp;Keys!$C$54&amp;$B91&amp;Keys!$C$54&amp;$C91</f>
        <v>AR|production|municipal solid waste</v>
      </c>
    </row>
    <row r="92" spans="1:8" x14ac:dyDescent="0.25">
      <c r="A92" t="s">
        <v>63</v>
      </c>
      <c r="B92" t="s">
        <v>188</v>
      </c>
      <c r="C92" t="s">
        <v>123</v>
      </c>
      <c r="D92">
        <v>1542120000000</v>
      </c>
      <c r="E92">
        <v>1542120000000</v>
      </c>
      <c r="F92">
        <v>1464550000000</v>
      </c>
      <c r="G92" s="10">
        <f t="shared" si="1"/>
        <v>1516263333333.3333</v>
      </c>
      <c r="H92" t="str">
        <f>$A92&amp;Keys!$C$54&amp;$B92&amp;Keys!$C$54&amp;$C92</f>
        <v>AR|production|hydrogen</v>
      </c>
    </row>
    <row r="93" spans="1:8" x14ac:dyDescent="0.25">
      <c r="A93" t="s">
        <v>63</v>
      </c>
      <c r="B93" t="s">
        <v>191</v>
      </c>
      <c r="C93" t="s">
        <v>60</v>
      </c>
      <c r="D93">
        <v>0</v>
      </c>
      <c r="E93">
        <v>0</v>
      </c>
      <c r="F93">
        <v>0</v>
      </c>
      <c r="G93" s="10">
        <f t="shared" si="1"/>
        <v>0</v>
      </c>
      <c r="H93" t="str">
        <f>$A93&amp;Keys!$C$54&amp;$B93&amp;Keys!$C$54&amp;$C93</f>
        <v>AR|imports|electricity (not used in this variable)</v>
      </c>
    </row>
    <row r="94" spans="1:8" x14ac:dyDescent="0.25">
      <c r="A94" t="s">
        <v>63</v>
      </c>
      <c r="B94" t="s">
        <v>191</v>
      </c>
      <c r="C94" t="s">
        <v>64</v>
      </c>
      <c r="D94">
        <v>181137000000000</v>
      </c>
      <c r="E94">
        <v>189756000000000</v>
      </c>
      <c r="F94">
        <v>269236000000000</v>
      </c>
      <c r="G94" s="10">
        <f t="shared" si="1"/>
        <v>213376333333333.34</v>
      </c>
      <c r="H94" t="str">
        <f>$A94&amp;Keys!$C$54&amp;$B94&amp;Keys!$C$54&amp;$C94</f>
        <v>AR|imports|hard coal</v>
      </c>
    </row>
    <row r="95" spans="1:8" x14ac:dyDescent="0.25">
      <c r="A95" t="s">
        <v>63</v>
      </c>
      <c r="B95" t="s">
        <v>191</v>
      </c>
      <c r="C95" t="s">
        <v>68</v>
      </c>
      <c r="D95">
        <v>1229580000000000</v>
      </c>
      <c r="E95">
        <v>1192470000000000</v>
      </c>
      <c r="F95">
        <v>1054880000000000</v>
      </c>
      <c r="G95" s="10">
        <f t="shared" si="1"/>
        <v>1158976666666666.8</v>
      </c>
      <c r="H95" t="str">
        <f>$A95&amp;Keys!$C$54&amp;$B95&amp;Keys!$C$54&amp;$C95</f>
        <v>AR|imports|natural gas</v>
      </c>
    </row>
    <row r="96" spans="1:8" x14ac:dyDescent="0.25">
      <c r="A96" t="s">
        <v>63</v>
      </c>
      <c r="B96" t="s">
        <v>191</v>
      </c>
      <c r="C96" t="s">
        <v>71</v>
      </c>
      <c r="D96">
        <v>154168000000000</v>
      </c>
      <c r="E96">
        <v>158623000000000</v>
      </c>
      <c r="F96">
        <v>155804000000000</v>
      </c>
      <c r="G96" s="10">
        <f t="shared" si="1"/>
        <v>156198333333333.34</v>
      </c>
      <c r="H96" t="str">
        <f>$A96&amp;Keys!$C$54&amp;$B96&amp;Keys!$C$54&amp;$C96</f>
        <v>AR|imports|nuclear</v>
      </c>
    </row>
    <row r="97" spans="1:8" x14ac:dyDescent="0.25">
      <c r="A97" t="s">
        <v>63</v>
      </c>
      <c r="B97" t="s">
        <v>191</v>
      </c>
      <c r="C97" t="s">
        <v>74</v>
      </c>
      <c r="D97">
        <v>0</v>
      </c>
      <c r="E97">
        <v>0</v>
      </c>
      <c r="F97">
        <v>0</v>
      </c>
      <c r="G97" s="10">
        <f t="shared" si="1"/>
        <v>0</v>
      </c>
      <c r="H97" t="str">
        <f>$A97&amp;Keys!$C$54&amp;$B97&amp;Keys!$C$54&amp;$C97</f>
        <v>AR|imports|hydro (is not a fuel)</v>
      </c>
    </row>
    <row r="98" spans="1:8" x14ac:dyDescent="0.25">
      <c r="A98" t="s">
        <v>63</v>
      </c>
      <c r="B98" t="s">
        <v>191</v>
      </c>
      <c r="C98" t="s">
        <v>77</v>
      </c>
      <c r="D98">
        <v>0</v>
      </c>
      <c r="E98">
        <v>0</v>
      </c>
      <c r="F98">
        <v>0</v>
      </c>
      <c r="G98" s="10">
        <f t="shared" si="1"/>
        <v>0</v>
      </c>
      <c r="H98" t="str">
        <f>$A98&amp;Keys!$C$54&amp;$B98&amp;Keys!$C$54&amp;$C98</f>
        <v>AR|imports|wind (is not a fuel)</v>
      </c>
    </row>
    <row r="99" spans="1:8" x14ac:dyDescent="0.25">
      <c r="A99" t="s">
        <v>63</v>
      </c>
      <c r="B99" t="s">
        <v>191</v>
      </c>
      <c r="C99" t="s">
        <v>80</v>
      </c>
      <c r="D99">
        <v>0</v>
      </c>
      <c r="E99">
        <v>0</v>
      </c>
      <c r="F99">
        <v>0</v>
      </c>
      <c r="G99" s="10">
        <f t="shared" si="1"/>
        <v>0</v>
      </c>
      <c r="H99" t="str">
        <f>$A99&amp;Keys!$C$54&amp;$B99&amp;Keys!$C$54&amp;$C99</f>
        <v>AR|imports|solar (is not a fuel)</v>
      </c>
    </row>
    <row r="100" spans="1:8" x14ac:dyDescent="0.25">
      <c r="A100" t="s">
        <v>63</v>
      </c>
      <c r="B100" t="s">
        <v>191</v>
      </c>
      <c r="C100" t="s">
        <v>82</v>
      </c>
      <c r="D100">
        <v>0</v>
      </c>
      <c r="E100">
        <v>49372500000000</v>
      </c>
      <c r="F100">
        <v>53108400000000</v>
      </c>
      <c r="G100" s="10">
        <f t="shared" si="1"/>
        <v>34160300000000</v>
      </c>
      <c r="H100" t="str">
        <f>$A100&amp;Keys!$C$54&amp;$B100&amp;Keys!$C$54&amp;$C100</f>
        <v>AR|imports|biomass</v>
      </c>
    </row>
    <row r="101" spans="1:8" x14ac:dyDescent="0.25">
      <c r="A101" t="s">
        <v>63</v>
      </c>
      <c r="B101" t="s">
        <v>191</v>
      </c>
      <c r="C101" t="s">
        <v>85</v>
      </c>
      <c r="D101">
        <v>0</v>
      </c>
      <c r="E101">
        <v>70744300000000</v>
      </c>
      <c r="F101">
        <v>70155800000000</v>
      </c>
      <c r="G101" s="10">
        <f t="shared" si="1"/>
        <v>46966700000000</v>
      </c>
      <c r="H101" t="str">
        <f>$A101&amp;Keys!$C$54&amp;$B101&amp;Keys!$C$54&amp;$C101</f>
        <v>AR|imports|petroleum gasoline</v>
      </c>
    </row>
    <row r="102" spans="1:8" x14ac:dyDescent="0.25">
      <c r="A102" t="s">
        <v>63</v>
      </c>
      <c r="B102" t="s">
        <v>191</v>
      </c>
      <c r="C102" t="s">
        <v>88</v>
      </c>
      <c r="D102">
        <v>0</v>
      </c>
      <c r="E102">
        <v>65948700000000</v>
      </c>
      <c r="F102">
        <v>67077700000000</v>
      </c>
      <c r="G102" s="10">
        <f t="shared" si="1"/>
        <v>44342133333333.336</v>
      </c>
      <c r="H102" t="str">
        <f>$A102&amp;Keys!$C$54&amp;$B102&amp;Keys!$C$54&amp;$C102</f>
        <v>AR|imports|petroleum diesel</v>
      </c>
    </row>
    <row r="103" spans="1:8" x14ac:dyDescent="0.25">
      <c r="A103" t="s">
        <v>63</v>
      </c>
      <c r="B103" t="s">
        <v>191</v>
      </c>
      <c r="C103" t="s">
        <v>91</v>
      </c>
      <c r="D103">
        <v>0</v>
      </c>
      <c r="E103">
        <v>11036200000000</v>
      </c>
      <c r="F103">
        <v>10851800000000</v>
      </c>
      <c r="G103" s="10">
        <f t="shared" si="1"/>
        <v>7296000000000</v>
      </c>
      <c r="H103" t="str">
        <f>$A103&amp;Keys!$C$54&amp;$B103&amp;Keys!$C$54&amp;$C103</f>
        <v>AR|imports|biofuel gasoline</v>
      </c>
    </row>
    <row r="104" spans="1:8" x14ac:dyDescent="0.25">
      <c r="A104" t="s">
        <v>63</v>
      </c>
      <c r="B104" t="s">
        <v>191</v>
      </c>
      <c r="C104" t="s">
        <v>94</v>
      </c>
      <c r="D104">
        <v>0</v>
      </c>
      <c r="E104">
        <v>0</v>
      </c>
      <c r="F104">
        <v>0</v>
      </c>
      <c r="G104" s="10">
        <f t="shared" si="1"/>
        <v>0</v>
      </c>
      <c r="H104" t="str">
        <f>$A104&amp;Keys!$C$54&amp;$B104&amp;Keys!$C$54&amp;$C104</f>
        <v>AR|imports|biofuel diesel</v>
      </c>
    </row>
    <row r="105" spans="1:8" x14ac:dyDescent="0.25">
      <c r="A105" t="s">
        <v>63</v>
      </c>
      <c r="B105" t="s">
        <v>191</v>
      </c>
      <c r="C105" t="s">
        <v>97</v>
      </c>
      <c r="D105">
        <v>0</v>
      </c>
      <c r="E105">
        <v>0</v>
      </c>
      <c r="F105">
        <v>0</v>
      </c>
      <c r="G105" s="10">
        <f t="shared" si="1"/>
        <v>0</v>
      </c>
      <c r="H105" t="str">
        <f>$A105&amp;Keys!$C$54&amp;$B105&amp;Keys!$C$54&amp;$C105</f>
        <v>AR|imports|jet fuel or kerosene</v>
      </c>
    </row>
    <row r="106" spans="1:8" x14ac:dyDescent="0.25">
      <c r="A106" t="s">
        <v>63</v>
      </c>
      <c r="B106" t="s">
        <v>191</v>
      </c>
      <c r="C106" t="s">
        <v>100</v>
      </c>
      <c r="D106">
        <v>0</v>
      </c>
      <c r="E106">
        <v>0</v>
      </c>
      <c r="F106">
        <v>0</v>
      </c>
      <c r="G106" s="10">
        <f t="shared" si="1"/>
        <v>0</v>
      </c>
      <c r="H106" t="str">
        <f>$A106&amp;Keys!$C$54&amp;$B106&amp;Keys!$C$54&amp;$C106</f>
        <v>AR|imports|heat (not used in this variable)</v>
      </c>
    </row>
    <row r="107" spans="1:8" x14ac:dyDescent="0.25">
      <c r="A107" t="s">
        <v>63</v>
      </c>
      <c r="B107" t="s">
        <v>191</v>
      </c>
      <c r="C107" t="s">
        <v>103</v>
      </c>
      <c r="D107">
        <v>0</v>
      </c>
      <c r="E107">
        <v>0</v>
      </c>
      <c r="F107">
        <v>0</v>
      </c>
      <c r="G107" s="10">
        <f t="shared" si="1"/>
        <v>0</v>
      </c>
      <c r="H107" t="str">
        <f>$A107&amp;Keys!$C$54&amp;$B107&amp;Keys!$C$54&amp;$C107</f>
        <v>AR|imports|geothermal (is not a fuel)</v>
      </c>
    </row>
    <row r="108" spans="1:8" x14ac:dyDescent="0.25">
      <c r="A108" t="s">
        <v>63</v>
      </c>
      <c r="B108" t="s">
        <v>191</v>
      </c>
      <c r="C108" t="s">
        <v>106</v>
      </c>
      <c r="D108">
        <v>0</v>
      </c>
      <c r="E108">
        <v>0</v>
      </c>
      <c r="F108">
        <v>0</v>
      </c>
      <c r="G108" s="10">
        <f t="shared" si="1"/>
        <v>0</v>
      </c>
      <c r="H108" t="str">
        <f>$A108&amp;Keys!$C$54&amp;$B108&amp;Keys!$C$54&amp;$C108</f>
        <v>AR|imports|lignite</v>
      </c>
    </row>
    <row r="109" spans="1:8" x14ac:dyDescent="0.25">
      <c r="A109" t="s">
        <v>63</v>
      </c>
      <c r="B109" t="s">
        <v>191</v>
      </c>
      <c r="C109" t="s">
        <v>109</v>
      </c>
      <c r="D109">
        <v>0</v>
      </c>
      <c r="E109">
        <v>154204000000000</v>
      </c>
      <c r="F109">
        <v>154927000000000</v>
      </c>
      <c r="G109" s="10">
        <f t="shared" si="1"/>
        <v>103043666666666.67</v>
      </c>
      <c r="H109" t="str">
        <f>$A109&amp;Keys!$C$54&amp;$B109&amp;Keys!$C$54&amp;$C109</f>
        <v>AR|imports|crude oil</v>
      </c>
    </row>
    <row r="110" spans="1:8" x14ac:dyDescent="0.25">
      <c r="A110" t="s">
        <v>63</v>
      </c>
      <c r="B110" t="s">
        <v>191</v>
      </c>
      <c r="C110" t="s">
        <v>113</v>
      </c>
      <c r="D110">
        <v>0</v>
      </c>
      <c r="E110">
        <v>7985340000000</v>
      </c>
      <c r="F110">
        <v>8319340000000</v>
      </c>
      <c r="G110" s="10">
        <f t="shared" si="1"/>
        <v>5434893333333.333</v>
      </c>
      <c r="H110" t="str">
        <f>$A110&amp;Keys!$C$54&amp;$B110&amp;Keys!$C$54&amp;$C110</f>
        <v>AR|imports|heavy fuel oil</v>
      </c>
    </row>
    <row r="111" spans="1:8" x14ac:dyDescent="0.25">
      <c r="A111" t="s">
        <v>63</v>
      </c>
      <c r="B111" t="s">
        <v>191</v>
      </c>
      <c r="C111" t="s">
        <v>117</v>
      </c>
      <c r="D111">
        <v>0</v>
      </c>
      <c r="E111">
        <v>0</v>
      </c>
      <c r="F111">
        <v>0</v>
      </c>
      <c r="G111" s="10">
        <f t="shared" si="1"/>
        <v>0</v>
      </c>
      <c r="H111" t="str">
        <f>$A111&amp;Keys!$C$54&amp;$B111&amp;Keys!$C$54&amp;$C111</f>
        <v>AR|imports|LPG propane or butane</v>
      </c>
    </row>
    <row r="112" spans="1:8" x14ac:dyDescent="0.25">
      <c r="A112" t="s">
        <v>63</v>
      </c>
      <c r="B112" t="s">
        <v>191</v>
      </c>
      <c r="C112" t="s">
        <v>120</v>
      </c>
      <c r="D112">
        <v>0</v>
      </c>
      <c r="E112">
        <v>0</v>
      </c>
      <c r="F112">
        <v>0</v>
      </c>
      <c r="G112" s="10">
        <f t="shared" si="1"/>
        <v>0</v>
      </c>
      <c r="H112" t="str">
        <f>$A112&amp;Keys!$C$54&amp;$B112&amp;Keys!$C$54&amp;$C112</f>
        <v>AR|imports|municipal solid waste</v>
      </c>
    </row>
    <row r="113" spans="1:8" x14ac:dyDescent="0.25">
      <c r="A113" t="s">
        <v>63</v>
      </c>
      <c r="B113" t="s">
        <v>191</v>
      </c>
      <c r="C113" t="s">
        <v>123</v>
      </c>
      <c r="D113">
        <v>0</v>
      </c>
      <c r="E113">
        <v>0</v>
      </c>
      <c r="F113">
        <v>0</v>
      </c>
      <c r="G113" s="10">
        <f t="shared" si="1"/>
        <v>0</v>
      </c>
      <c r="H113" t="str">
        <f>$A113&amp;Keys!$C$54&amp;$B113&amp;Keys!$C$54&amp;$C113</f>
        <v>AR|imports|hydrogen</v>
      </c>
    </row>
    <row r="114" spans="1:8" x14ac:dyDescent="0.25">
      <c r="A114" t="s">
        <v>63</v>
      </c>
      <c r="B114" t="s">
        <v>193</v>
      </c>
      <c r="C114" t="s">
        <v>60</v>
      </c>
      <c r="D114">
        <v>0</v>
      </c>
      <c r="E114">
        <v>0</v>
      </c>
      <c r="F114">
        <v>0</v>
      </c>
      <c r="G114" s="10">
        <f t="shared" si="1"/>
        <v>0</v>
      </c>
      <c r="H114" t="str">
        <f>$A114&amp;Keys!$C$54&amp;$B114&amp;Keys!$C$54&amp;$C114</f>
        <v>AR|exports|electricity (not used in this variable)</v>
      </c>
    </row>
    <row r="115" spans="1:8" x14ac:dyDescent="0.25">
      <c r="A115" t="s">
        <v>63</v>
      </c>
      <c r="B115" t="s">
        <v>193</v>
      </c>
      <c r="C115" t="s">
        <v>64</v>
      </c>
      <c r="D115">
        <v>0</v>
      </c>
      <c r="E115">
        <v>0</v>
      </c>
      <c r="F115">
        <v>0</v>
      </c>
      <c r="G115" s="10">
        <f t="shared" si="1"/>
        <v>0</v>
      </c>
      <c r="H115" t="str">
        <f>$A115&amp;Keys!$C$54&amp;$B115&amp;Keys!$C$54&amp;$C115</f>
        <v>AR|exports|hard coal</v>
      </c>
    </row>
    <row r="116" spans="1:8" x14ac:dyDescent="0.25">
      <c r="A116" t="s">
        <v>63</v>
      </c>
      <c r="B116" t="s">
        <v>193</v>
      </c>
      <c r="C116" t="s">
        <v>68</v>
      </c>
      <c r="D116">
        <v>1212640000000000</v>
      </c>
      <c r="E116">
        <v>1212640000000000</v>
      </c>
      <c r="F116">
        <v>1099470000000000</v>
      </c>
      <c r="G116" s="10">
        <f t="shared" si="1"/>
        <v>1174916666666666.8</v>
      </c>
      <c r="H116" t="str">
        <f>$A116&amp;Keys!$C$54&amp;$B116&amp;Keys!$C$54&amp;$C116</f>
        <v>AR|exports|natural gas</v>
      </c>
    </row>
    <row r="117" spans="1:8" x14ac:dyDescent="0.25">
      <c r="A117" t="s">
        <v>63</v>
      </c>
      <c r="B117" t="s">
        <v>193</v>
      </c>
      <c r="C117" t="s">
        <v>71</v>
      </c>
      <c r="D117">
        <v>0</v>
      </c>
      <c r="E117">
        <v>0</v>
      </c>
      <c r="F117">
        <v>0</v>
      </c>
      <c r="G117" s="10">
        <f t="shared" si="1"/>
        <v>0</v>
      </c>
      <c r="H117" t="str">
        <f>$A117&amp;Keys!$C$54&amp;$B117&amp;Keys!$C$54&amp;$C117</f>
        <v>AR|exports|nuclear</v>
      </c>
    </row>
    <row r="118" spans="1:8" x14ac:dyDescent="0.25">
      <c r="A118" t="s">
        <v>63</v>
      </c>
      <c r="B118" t="s">
        <v>193</v>
      </c>
      <c r="C118" t="s">
        <v>74</v>
      </c>
      <c r="D118">
        <v>0</v>
      </c>
      <c r="E118">
        <v>0</v>
      </c>
      <c r="F118">
        <v>0</v>
      </c>
      <c r="G118" s="10">
        <f t="shared" si="1"/>
        <v>0</v>
      </c>
      <c r="H118" t="str">
        <f>$A118&amp;Keys!$C$54&amp;$B118&amp;Keys!$C$54&amp;$C118</f>
        <v>AR|exports|hydro (is not a fuel)</v>
      </c>
    </row>
    <row r="119" spans="1:8" x14ac:dyDescent="0.25">
      <c r="A119" t="s">
        <v>63</v>
      </c>
      <c r="B119" t="s">
        <v>193</v>
      </c>
      <c r="C119" t="s">
        <v>77</v>
      </c>
      <c r="D119">
        <v>0</v>
      </c>
      <c r="E119">
        <v>0</v>
      </c>
      <c r="F119">
        <v>0</v>
      </c>
      <c r="G119" s="10">
        <f t="shared" si="1"/>
        <v>0</v>
      </c>
      <c r="H119" t="str">
        <f>$A119&amp;Keys!$C$54&amp;$B119&amp;Keys!$C$54&amp;$C119</f>
        <v>AR|exports|wind (is not a fuel)</v>
      </c>
    </row>
    <row r="120" spans="1:8" x14ac:dyDescent="0.25">
      <c r="A120" t="s">
        <v>63</v>
      </c>
      <c r="B120" t="s">
        <v>193</v>
      </c>
      <c r="C120" t="s">
        <v>80</v>
      </c>
      <c r="D120">
        <v>0</v>
      </c>
      <c r="E120">
        <v>0</v>
      </c>
      <c r="F120">
        <v>0</v>
      </c>
      <c r="G120" s="10">
        <f t="shared" si="1"/>
        <v>0</v>
      </c>
      <c r="H120" t="str">
        <f>$A120&amp;Keys!$C$54&amp;$B120&amp;Keys!$C$54&amp;$C120</f>
        <v>AR|exports|solar (is not a fuel)</v>
      </c>
    </row>
    <row r="121" spans="1:8" x14ac:dyDescent="0.25">
      <c r="A121" t="s">
        <v>63</v>
      </c>
      <c r="B121" t="s">
        <v>193</v>
      </c>
      <c r="C121" t="s">
        <v>82</v>
      </c>
      <c r="D121">
        <v>0</v>
      </c>
      <c r="E121">
        <v>0</v>
      </c>
      <c r="F121">
        <v>0</v>
      </c>
      <c r="G121" s="10">
        <f t="shared" si="1"/>
        <v>0</v>
      </c>
      <c r="H121" t="str">
        <f>$A121&amp;Keys!$C$54&amp;$B121&amp;Keys!$C$54&amp;$C121</f>
        <v>AR|exports|biomass</v>
      </c>
    </row>
    <row r="122" spans="1:8" x14ac:dyDescent="0.25">
      <c r="A122" t="s">
        <v>63</v>
      </c>
      <c r="B122" t="s">
        <v>193</v>
      </c>
      <c r="C122" t="s">
        <v>85</v>
      </c>
      <c r="D122">
        <v>2729670000000</v>
      </c>
      <c r="E122">
        <v>2729670000000</v>
      </c>
      <c r="F122">
        <v>2663500000000</v>
      </c>
      <c r="G122" s="10">
        <f t="shared" si="1"/>
        <v>2707613333333.3335</v>
      </c>
      <c r="H122" t="str">
        <f>$A122&amp;Keys!$C$54&amp;$B122&amp;Keys!$C$54&amp;$C122</f>
        <v>AR|exports|petroleum gasoline</v>
      </c>
    </row>
    <row r="123" spans="1:8" x14ac:dyDescent="0.25">
      <c r="A123" t="s">
        <v>63</v>
      </c>
      <c r="B123" t="s">
        <v>193</v>
      </c>
      <c r="C123" t="s">
        <v>88</v>
      </c>
      <c r="D123">
        <v>0</v>
      </c>
      <c r="E123">
        <v>0</v>
      </c>
      <c r="F123">
        <v>0</v>
      </c>
      <c r="G123" s="10">
        <f t="shared" si="1"/>
        <v>0</v>
      </c>
      <c r="H123" t="str">
        <f>$A123&amp;Keys!$C$54&amp;$B123&amp;Keys!$C$54&amp;$C123</f>
        <v>AR|exports|petroleum diesel</v>
      </c>
    </row>
    <row r="124" spans="1:8" x14ac:dyDescent="0.25">
      <c r="A124" t="s">
        <v>63</v>
      </c>
      <c r="B124" t="s">
        <v>193</v>
      </c>
      <c r="C124" t="s">
        <v>91</v>
      </c>
      <c r="D124">
        <v>0</v>
      </c>
      <c r="E124">
        <v>0</v>
      </c>
      <c r="F124">
        <v>0</v>
      </c>
      <c r="G124" s="10">
        <f t="shared" si="1"/>
        <v>0</v>
      </c>
      <c r="H124" t="str">
        <f>$A124&amp;Keys!$C$54&amp;$B124&amp;Keys!$C$54&amp;$C124</f>
        <v>AR|exports|biofuel gasoline</v>
      </c>
    </row>
    <row r="125" spans="1:8" x14ac:dyDescent="0.25">
      <c r="A125" t="s">
        <v>63</v>
      </c>
      <c r="B125" t="s">
        <v>193</v>
      </c>
      <c r="C125" t="s">
        <v>94</v>
      </c>
      <c r="D125">
        <v>0</v>
      </c>
      <c r="E125">
        <v>20335200000000</v>
      </c>
      <c r="F125">
        <v>24563500000000</v>
      </c>
      <c r="G125" s="10">
        <f t="shared" si="1"/>
        <v>14966233333333.334</v>
      </c>
      <c r="H125" t="str">
        <f>$A125&amp;Keys!$C$54&amp;$B125&amp;Keys!$C$54&amp;$C125</f>
        <v>AR|exports|biofuel diesel</v>
      </c>
    </row>
    <row r="126" spans="1:8" x14ac:dyDescent="0.25">
      <c r="A126" t="s">
        <v>63</v>
      </c>
      <c r="B126" t="s">
        <v>193</v>
      </c>
      <c r="C126" t="s">
        <v>97</v>
      </c>
      <c r="D126">
        <v>0</v>
      </c>
      <c r="E126">
        <v>11470500000000</v>
      </c>
      <c r="F126">
        <v>11025100000000</v>
      </c>
      <c r="G126" s="10">
        <f t="shared" si="1"/>
        <v>7498533333333.333</v>
      </c>
      <c r="H126" t="str">
        <f>$A126&amp;Keys!$C$54&amp;$B126&amp;Keys!$C$54&amp;$C126</f>
        <v>AR|exports|jet fuel or kerosene</v>
      </c>
    </row>
    <row r="127" spans="1:8" x14ac:dyDescent="0.25">
      <c r="A127" t="s">
        <v>63</v>
      </c>
      <c r="B127" t="s">
        <v>193</v>
      </c>
      <c r="C127" t="s">
        <v>100</v>
      </c>
      <c r="D127">
        <v>0</v>
      </c>
      <c r="E127">
        <v>0</v>
      </c>
      <c r="F127">
        <v>0</v>
      </c>
      <c r="G127" s="10">
        <f t="shared" si="1"/>
        <v>0</v>
      </c>
      <c r="H127" t="str">
        <f>$A127&amp;Keys!$C$54&amp;$B127&amp;Keys!$C$54&amp;$C127</f>
        <v>AR|exports|heat (not used in this variable)</v>
      </c>
    </row>
    <row r="128" spans="1:8" x14ac:dyDescent="0.25">
      <c r="A128" t="s">
        <v>63</v>
      </c>
      <c r="B128" t="s">
        <v>193</v>
      </c>
      <c r="C128" t="s">
        <v>103</v>
      </c>
      <c r="D128">
        <v>0</v>
      </c>
      <c r="E128">
        <v>0</v>
      </c>
      <c r="F128">
        <v>0</v>
      </c>
      <c r="G128" s="10">
        <f t="shared" si="1"/>
        <v>0</v>
      </c>
      <c r="H128" t="str">
        <f>$A128&amp;Keys!$C$54&amp;$B128&amp;Keys!$C$54&amp;$C128</f>
        <v>AR|exports|geothermal (is not a fuel)</v>
      </c>
    </row>
    <row r="129" spans="1:8" x14ac:dyDescent="0.25">
      <c r="A129" t="s">
        <v>63</v>
      </c>
      <c r="B129" t="s">
        <v>193</v>
      </c>
      <c r="C129" t="s">
        <v>106</v>
      </c>
      <c r="D129">
        <v>0</v>
      </c>
      <c r="E129">
        <v>0</v>
      </c>
      <c r="F129">
        <v>0</v>
      </c>
      <c r="G129" s="10">
        <f t="shared" si="1"/>
        <v>0</v>
      </c>
      <c r="H129" t="str">
        <f>$A129&amp;Keys!$C$54&amp;$B129&amp;Keys!$C$54&amp;$C129</f>
        <v>AR|exports|lignite</v>
      </c>
    </row>
    <row r="130" spans="1:8" x14ac:dyDescent="0.25">
      <c r="A130" t="s">
        <v>63</v>
      </c>
      <c r="B130" t="s">
        <v>193</v>
      </c>
      <c r="C130" t="s">
        <v>109</v>
      </c>
      <c r="D130">
        <v>0</v>
      </c>
      <c r="E130">
        <v>0</v>
      </c>
      <c r="F130">
        <v>0</v>
      </c>
      <c r="G130" s="10">
        <f t="shared" si="1"/>
        <v>0</v>
      </c>
      <c r="H130" t="str">
        <f>$A130&amp;Keys!$C$54&amp;$B130&amp;Keys!$C$54&amp;$C130</f>
        <v>AR|exports|crude oil</v>
      </c>
    </row>
    <row r="131" spans="1:8" x14ac:dyDescent="0.25">
      <c r="A131" t="s">
        <v>63</v>
      </c>
      <c r="B131" t="s">
        <v>193</v>
      </c>
      <c r="C131" t="s">
        <v>113</v>
      </c>
      <c r="D131">
        <v>0</v>
      </c>
      <c r="E131">
        <v>0</v>
      </c>
      <c r="F131">
        <v>0</v>
      </c>
      <c r="G131" s="10">
        <f t="shared" si="1"/>
        <v>0</v>
      </c>
      <c r="H131" t="str">
        <f>$A131&amp;Keys!$C$54&amp;$B131&amp;Keys!$C$54&amp;$C131</f>
        <v>AR|exports|heavy fuel oil</v>
      </c>
    </row>
    <row r="132" spans="1:8" x14ac:dyDescent="0.25">
      <c r="A132" t="s">
        <v>63</v>
      </c>
      <c r="B132" t="s">
        <v>193</v>
      </c>
      <c r="C132" t="s">
        <v>117</v>
      </c>
      <c r="D132">
        <v>0</v>
      </c>
      <c r="E132">
        <v>37155700000000</v>
      </c>
      <c r="F132">
        <v>38220400000000</v>
      </c>
      <c r="G132" s="10">
        <f t="shared" si="1"/>
        <v>25125366666666.668</v>
      </c>
      <c r="H132" t="str">
        <f>$A132&amp;Keys!$C$54&amp;$B132&amp;Keys!$C$54&amp;$C132</f>
        <v>AR|exports|LPG propane or butane</v>
      </c>
    </row>
    <row r="133" spans="1:8" x14ac:dyDescent="0.25">
      <c r="A133" t="s">
        <v>63</v>
      </c>
      <c r="B133" t="s">
        <v>193</v>
      </c>
      <c r="C133" t="s">
        <v>120</v>
      </c>
      <c r="D133">
        <v>0</v>
      </c>
      <c r="E133">
        <v>0</v>
      </c>
      <c r="F133">
        <v>0</v>
      </c>
      <c r="G133" s="10">
        <f t="shared" si="1"/>
        <v>0</v>
      </c>
      <c r="H133" t="str">
        <f>$A133&amp;Keys!$C$54&amp;$B133&amp;Keys!$C$54&amp;$C133</f>
        <v>AR|exports|municipal solid waste</v>
      </c>
    </row>
    <row r="134" spans="1:8" x14ac:dyDescent="0.25">
      <c r="A134" t="s">
        <v>63</v>
      </c>
      <c r="B134" t="s">
        <v>193</v>
      </c>
      <c r="C134" t="s">
        <v>123</v>
      </c>
      <c r="D134">
        <v>0</v>
      </c>
      <c r="E134">
        <v>945035000000</v>
      </c>
      <c r="F134">
        <v>869241000000</v>
      </c>
      <c r="G134" s="10">
        <f t="shared" si="1"/>
        <v>604758666666.66663</v>
      </c>
      <c r="H134" t="str">
        <f>$A134&amp;Keys!$C$54&amp;$B134&amp;Keys!$C$54&amp;$C134</f>
        <v>AR|exports|hydrogen</v>
      </c>
    </row>
    <row r="135" spans="1:8" x14ac:dyDescent="0.25">
      <c r="A135" t="s">
        <v>67</v>
      </c>
      <c r="B135" t="s">
        <v>188</v>
      </c>
      <c r="C135" t="s">
        <v>60</v>
      </c>
      <c r="D135">
        <v>0</v>
      </c>
      <c r="E135">
        <v>0</v>
      </c>
      <c r="F135">
        <v>0</v>
      </c>
      <c r="G135" s="10">
        <f t="shared" si="1"/>
        <v>0</v>
      </c>
      <c r="H135" t="str">
        <f>$A135&amp;Keys!$C$54&amp;$B135&amp;Keys!$C$54&amp;$C135</f>
        <v>AZ|production|electricity (not used in this variable)</v>
      </c>
    </row>
    <row r="136" spans="1:8" x14ac:dyDescent="0.25">
      <c r="A136" t="s">
        <v>67</v>
      </c>
      <c r="B136" t="s">
        <v>188</v>
      </c>
      <c r="C136" t="s">
        <v>64</v>
      </c>
      <c r="D136">
        <v>0</v>
      </c>
      <c r="E136">
        <v>0</v>
      </c>
      <c r="F136">
        <v>0</v>
      </c>
      <c r="G136" s="10">
        <f t="shared" si="1"/>
        <v>0</v>
      </c>
      <c r="H136" t="str">
        <f>$A136&amp;Keys!$C$54&amp;$B136&amp;Keys!$C$54&amp;$C136</f>
        <v>AZ|production|hard coal</v>
      </c>
    </row>
    <row r="137" spans="1:8" x14ac:dyDescent="0.25">
      <c r="A137" t="s">
        <v>67</v>
      </c>
      <c r="B137" t="s">
        <v>188</v>
      </c>
      <c r="C137" t="s">
        <v>68</v>
      </c>
      <c r="D137">
        <v>144143000000</v>
      </c>
      <c r="E137">
        <v>144143000000</v>
      </c>
      <c r="F137">
        <v>144536000000</v>
      </c>
      <c r="G137" s="10">
        <f t="shared" ref="G137:G200" si="2">AVERAGE($D137:$F137)</f>
        <v>144274000000</v>
      </c>
      <c r="H137" t="str">
        <f>$A137&amp;Keys!$C$54&amp;$B137&amp;Keys!$C$54&amp;$C137</f>
        <v>AZ|production|natural gas</v>
      </c>
    </row>
    <row r="138" spans="1:8" x14ac:dyDescent="0.25">
      <c r="A138" t="s">
        <v>67</v>
      </c>
      <c r="B138" t="s">
        <v>188</v>
      </c>
      <c r="C138" t="s">
        <v>71</v>
      </c>
      <c r="D138">
        <v>0</v>
      </c>
      <c r="E138">
        <v>0</v>
      </c>
      <c r="F138">
        <v>0</v>
      </c>
      <c r="G138" s="10">
        <f t="shared" si="2"/>
        <v>0</v>
      </c>
      <c r="H138" t="str">
        <f>$A138&amp;Keys!$C$54&amp;$B138&amp;Keys!$C$54&amp;$C138</f>
        <v>AZ|production|nuclear</v>
      </c>
    </row>
    <row r="139" spans="1:8" x14ac:dyDescent="0.25">
      <c r="A139" t="s">
        <v>67</v>
      </c>
      <c r="B139" t="s">
        <v>188</v>
      </c>
      <c r="C139" t="s">
        <v>74</v>
      </c>
      <c r="D139">
        <v>0</v>
      </c>
      <c r="E139">
        <v>0</v>
      </c>
      <c r="F139">
        <v>0</v>
      </c>
      <c r="G139" s="10">
        <f t="shared" si="2"/>
        <v>0</v>
      </c>
      <c r="H139" t="str">
        <f>$A139&amp;Keys!$C$54&amp;$B139&amp;Keys!$C$54&amp;$C139</f>
        <v>AZ|production|hydro (is not a fuel)</v>
      </c>
    </row>
    <row r="140" spans="1:8" x14ac:dyDescent="0.25">
      <c r="A140" t="s">
        <v>67</v>
      </c>
      <c r="B140" t="s">
        <v>188</v>
      </c>
      <c r="C140" t="s">
        <v>77</v>
      </c>
      <c r="D140">
        <v>0</v>
      </c>
      <c r="E140">
        <v>0</v>
      </c>
      <c r="F140">
        <v>0</v>
      </c>
      <c r="G140" s="10">
        <f t="shared" si="2"/>
        <v>0</v>
      </c>
      <c r="H140" t="str">
        <f>$A140&amp;Keys!$C$54&amp;$B140&amp;Keys!$C$54&amp;$C140</f>
        <v>AZ|production|wind (is not a fuel)</v>
      </c>
    </row>
    <row r="141" spans="1:8" x14ac:dyDescent="0.25">
      <c r="A141" t="s">
        <v>67</v>
      </c>
      <c r="B141" t="s">
        <v>188</v>
      </c>
      <c r="C141" t="s">
        <v>80</v>
      </c>
      <c r="D141">
        <v>0</v>
      </c>
      <c r="E141">
        <v>0</v>
      </c>
      <c r="F141">
        <v>0</v>
      </c>
      <c r="G141" s="10">
        <f t="shared" si="2"/>
        <v>0</v>
      </c>
      <c r="H141" t="str">
        <f>$A141&amp;Keys!$C$54&amp;$B141&amp;Keys!$C$54&amp;$C141</f>
        <v>AZ|production|solar (is not a fuel)</v>
      </c>
    </row>
    <row r="142" spans="1:8" x14ac:dyDescent="0.25">
      <c r="A142" t="s">
        <v>67</v>
      </c>
      <c r="B142" t="s">
        <v>188</v>
      </c>
      <c r="C142" t="s">
        <v>82</v>
      </c>
      <c r="D142">
        <v>0</v>
      </c>
      <c r="E142">
        <v>0</v>
      </c>
      <c r="F142">
        <v>0</v>
      </c>
      <c r="G142" s="10">
        <f t="shared" si="2"/>
        <v>0</v>
      </c>
      <c r="H142" t="str">
        <f>$A142&amp;Keys!$C$54&amp;$B142&amp;Keys!$C$54&amp;$C142</f>
        <v>AZ|production|biomass</v>
      </c>
    </row>
    <row r="143" spans="1:8" x14ac:dyDescent="0.25">
      <c r="A143" t="s">
        <v>67</v>
      </c>
      <c r="B143" t="s">
        <v>188</v>
      </c>
      <c r="C143" t="s">
        <v>85</v>
      </c>
      <c r="D143">
        <v>0</v>
      </c>
      <c r="E143">
        <v>0</v>
      </c>
      <c r="F143">
        <v>0</v>
      </c>
      <c r="G143" s="10">
        <f t="shared" si="2"/>
        <v>0</v>
      </c>
      <c r="H143" t="str">
        <f>$A143&amp;Keys!$C$54&amp;$B143&amp;Keys!$C$54&amp;$C143</f>
        <v>AZ|production|petroleum gasoline</v>
      </c>
    </row>
    <row r="144" spans="1:8" x14ac:dyDescent="0.25">
      <c r="A144" t="s">
        <v>67</v>
      </c>
      <c r="B144" t="s">
        <v>188</v>
      </c>
      <c r="C144" t="s">
        <v>88</v>
      </c>
      <c r="D144">
        <v>0</v>
      </c>
      <c r="E144">
        <v>0</v>
      </c>
      <c r="F144">
        <v>0</v>
      </c>
      <c r="G144" s="10">
        <f t="shared" si="2"/>
        <v>0</v>
      </c>
      <c r="H144" t="str">
        <f>$A144&amp;Keys!$C$54&amp;$B144&amp;Keys!$C$54&amp;$C144</f>
        <v>AZ|production|petroleum diesel</v>
      </c>
    </row>
    <row r="145" spans="1:8" x14ac:dyDescent="0.25">
      <c r="A145" t="s">
        <v>67</v>
      </c>
      <c r="B145" t="s">
        <v>188</v>
      </c>
      <c r="C145" t="s">
        <v>91</v>
      </c>
      <c r="D145">
        <v>0</v>
      </c>
      <c r="E145">
        <v>0</v>
      </c>
      <c r="F145">
        <v>0</v>
      </c>
      <c r="G145" s="10">
        <f t="shared" si="2"/>
        <v>0</v>
      </c>
      <c r="H145" t="str">
        <f>$A145&amp;Keys!$C$54&amp;$B145&amp;Keys!$C$54&amp;$C145</f>
        <v>AZ|production|biofuel gasoline</v>
      </c>
    </row>
    <row r="146" spans="1:8" x14ac:dyDescent="0.25">
      <c r="A146" t="s">
        <v>67</v>
      </c>
      <c r="B146" t="s">
        <v>188</v>
      </c>
      <c r="C146" t="s">
        <v>94</v>
      </c>
      <c r="D146">
        <v>0</v>
      </c>
      <c r="E146">
        <v>0</v>
      </c>
      <c r="F146">
        <v>0</v>
      </c>
      <c r="G146" s="10">
        <f t="shared" si="2"/>
        <v>0</v>
      </c>
      <c r="H146" t="str">
        <f>$A146&amp;Keys!$C$54&amp;$B146&amp;Keys!$C$54&amp;$C146</f>
        <v>AZ|production|biofuel diesel</v>
      </c>
    </row>
    <row r="147" spans="1:8" x14ac:dyDescent="0.25">
      <c r="A147" t="s">
        <v>67</v>
      </c>
      <c r="B147" t="s">
        <v>188</v>
      </c>
      <c r="C147" t="s">
        <v>97</v>
      </c>
      <c r="D147">
        <v>0</v>
      </c>
      <c r="E147">
        <v>0</v>
      </c>
      <c r="F147">
        <v>0</v>
      </c>
      <c r="G147" s="10">
        <f t="shared" si="2"/>
        <v>0</v>
      </c>
      <c r="H147" t="str">
        <f>$A147&amp;Keys!$C$54&amp;$B147&amp;Keys!$C$54&amp;$C147</f>
        <v>AZ|production|jet fuel or kerosene</v>
      </c>
    </row>
    <row r="148" spans="1:8" x14ac:dyDescent="0.25">
      <c r="A148" t="s">
        <v>67</v>
      </c>
      <c r="B148" t="s">
        <v>188</v>
      </c>
      <c r="C148" t="s">
        <v>100</v>
      </c>
      <c r="D148">
        <v>0</v>
      </c>
      <c r="E148">
        <v>0</v>
      </c>
      <c r="F148">
        <v>0</v>
      </c>
      <c r="G148" s="10">
        <f t="shared" si="2"/>
        <v>0</v>
      </c>
      <c r="H148" t="str">
        <f>$A148&amp;Keys!$C$54&amp;$B148&amp;Keys!$C$54&amp;$C148</f>
        <v>AZ|production|heat (not used in this variable)</v>
      </c>
    </row>
    <row r="149" spans="1:8" x14ac:dyDescent="0.25">
      <c r="A149" t="s">
        <v>67</v>
      </c>
      <c r="B149" t="s">
        <v>188</v>
      </c>
      <c r="C149" t="s">
        <v>103</v>
      </c>
      <c r="D149">
        <v>0</v>
      </c>
      <c r="E149">
        <v>0</v>
      </c>
      <c r="F149">
        <v>0</v>
      </c>
      <c r="G149" s="10">
        <f t="shared" si="2"/>
        <v>0</v>
      </c>
      <c r="H149" t="str">
        <f>$A149&amp;Keys!$C$54&amp;$B149&amp;Keys!$C$54&amp;$C149</f>
        <v>AZ|production|geothermal (is not a fuel)</v>
      </c>
    </row>
    <row r="150" spans="1:8" x14ac:dyDescent="0.25">
      <c r="A150" t="s">
        <v>67</v>
      </c>
      <c r="B150" t="s">
        <v>188</v>
      </c>
      <c r="C150" t="s">
        <v>106</v>
      </c>
      <c r="D150">
        <v>0</v>
      </c>
      <c r="E150">
        <v>0</v>
      </c>
      <c r="F150">
        <v>0</v>
      </c>
      <c r="G150" s="10">
        <f t="shared" si="2"/>
        <v>0</v>
      </c>
      <c r="H150" t="str">
        <f>$A150&amp;Keys!$C$54&amp;$B150&amp;Keys!$C$54&amp;$C150</f>
        <v>AZ|production|lignite</v>
      </c>
    </row>
    <row r="151" spans="1:8" x14ac:dyDescent="0.25">
      <c r="A151" t="s">
        <v>67</v>
      </c>
      <c r="B151" t="s">
        <v>188</v>
      </c>
      <c r="C151" t="s">
        <v>109</v>
      </c>
      <c r="D151">
        <v>34800000000</v>
      </c>
      <c r="E151">
        <v>34800000000</v>
      </c>
      <c r="F151">
        <v>34166400000</v>
      </c>
      <c r="G151" s="10">
        <f t="shared" si="2"/>
        <v>34588800000</v>
      </c>
      <c r="H151" t="str">
        <f>$A151&amp;Keys!$C$54&amp;$B151&amp;Keys!$C$54&amp;$C151</f>
        <v>AZ|production|crude oil</v>
      </c>
    </row>
    <row r="152" spans="1:8" x14ac:dyDescent="0.25">
      <c r="A152" t="s">
        <v>67</v>
      </c>
      <c r="B152" t="s">
        <v>188</v>
      </c>
      <c r="C152" t="s">
        <v>113</v>
      </c>
      <c r="D152">
        <v>0</v>
      </c>
      <c r="E152">
        <v>0</v>
      </c>
      <c r="F152">
        <v>0</v>
      </c>
      <c r="G152" s="10">
        <f t="shared" si="2"/>
        <v>0</v>
      </c>
      <c r="H152" t="str">
        <f>$A152&amp;Keys!$C$54&amp;$B152&amp;Keys!$C$54&amp;$C152</f>
        <v>AZ|production|heavy fuel oil</v>
      </c>
    </row>
    <row r="153" spans="1:8" x14ac:dyDescent="0.25">
      <c r="A153" t="s">
        <v>67</v>
      </c>
      <c r="B153" t="s">
        <v>188</v>
      </c>
      <c r="C153" t="s">
        <v>117</v>
      </c>
      <c r="D153">
        <v>17621400000</v>
      </c>
      <c r="E153">
        <v>17621400000</v>
      </c>
      <c r="F153">
        <v>17995600000</v>
      </c>
      <c r="G153" s="10">
        <f t="shared" si="2"/>
        <v>17746133333.333332</v>
      </c>
      <c r="H153" t="str">
        <f>$A153&amp;Keys!$C$54&amp;$B153&amp;Keys!$C$54&amp;$C153</f>
        <v>AZ|production|LPG propane or butane</v>
      </c>
    </row>
    <row r="154" spans="1:8" x14ac:dyDescent="0.25">
      <c r="A154" t="s">
        <v>67</v>
      </c>
      <c r="B154" t="s">
        <v>188</v>
      </c>
      <c r="C154" t="s">
        <v>120</v>
      </c>
      <c r="D154">
        <v>0</v>
      </c>
      <c r="E154">
        <v>0</v>
      </c>
      <c r="F154">
        <v>0</v>
      </c>
      <c r="G154" s="10">
        <f t="shared" si="2"/>
        <v>0</v>
      </c>
      <c r="H154" t="str">
        <f>$A154&amp;Keys!$C$54&amp;$B154&amp;Keys!$C$54&amp;$C154</f>
        <v>AZ|production|municipal solid waste</v>
      </c>
    </row>
    <row r="155" spans="1:8" x14ac:dyDescent="0.25">
      <c r="A155" t="s">
        <v>67</v>
      </c>
      <c r="B155" t="s">
        <v>188</v>
      </c>
      <c r="C155" t="s">
        <v>123</v>
      </c>
      <c r="D155">
        <v>0</v>
      </c>
      <c r="E155">
        <v>0</v>
      </c>
      <c r="F155">
        <v>0</v>
      </c>
      <c r="G155" s="10">
        <f t="shared" si="2"/>
        <v>0</v>
      </c>
      <c r="H155" t="str">
        <f>$A155&amp;Keys!$C$54&amp;$B155&amp;Keys!$C$54&amp;$C155</f>
        <v>AZ|production|hydrogen</v>
      </c>
    </row>
    <row r="156" spans="1:8" x14ac:dyDescent="0.25">
      <c r="A156" t="s">
        <v>67</v>
      </c>
      <c r="B156" t="s">
        <v>191</v>
      </c>
      <c r="C156" t="s">
        <v>60</v>
      </c>
      <c r="D156">
        <v>0</v>
      </c>
      <c r="E156">
        <v>0</v>
      </c>
      <c r="F156">
        <v>0</v>
      </c>
      <c r="G156" s="10">
        <f t="shared" si="2"/>
        <v>0</v>
      </c>
      <c r="H156" t="str">
        <f>$A156&amp;Keys!$C$54&amp;$B156&amp;Keys!$C$54&amp;$C156</f>
        <v>AZ|imports|electricity (not used in this variable)</v>
      </c>
    </row>
    <row r="157" spans="1:8" x14ac:dyDescent="0.25">
      <c r="A157" t="s">
        <v>67</v>
      </c>
      <c r="B157" t="s">
        <v>191</v>
      </c>
      <c r="C157" t="s">
        <v>64</v>
      </c>
      <c r="D157">
        <v>131493000000000</v>
      </c>
      <c r="E157">
        <v>103347000000000</v>
      </c>
      <c r="F157">
        <v>115941000000000</v>
      </c>
      <c r="G157" s="10">
        <f t="shared" si="2"/>
        <v>116927000000000</v>
      </c>
      <c r="H157" t="str">
        <f>$A157&amp;Keys!$C$54&amp;$B157&amp;Keys!$C$54&amp;$C157</f>
        <v>AZ|imports|hard coal</v>
      </c>
    </row>
    <row r="158" spans="1:8" x14ac:dyDescent="0.25">
      <c r="A158" t="s">
        <v>67</v>
      </c>
      <c r="B158" t="s">
        <v>191</v>
      </c>
      <c r="C158" t="s">
        <v>68</v>
      </c>
      <c r="D158">
        <v>1595180000000000</v>
      </c>
      <c r="E158">
        <v>1557390000000000</v>
      </c>
      <c r="F158">
        <v>1444420000000000</v>
      </c>
      <c r="G158" s="10">
        <f t="shared" si="2"/>
        <v>1532330000000000</v>
      </c>
      <c r="H158" t="str">
        <f>$A158&amp;Keys!$C$54&amp;$B158&amp;Keys!$C$54&amp;$C158</f>
        <v>AZ|imports|natural gas</v>
      </c>
    </row>
    <row r="159" spans="1:8" x14ac:dyDescent="0.25">
      <c r="A159" t="s">
        <v>67</v>
      </c>
      <c r="B159" t="s">
        <v>191</v>
      </c>
      <c r="C159" t="s">
        <v>71</v>
      </c>
      <c r="D159">
        <v>338229000000000</v>
      </c>
      <c r="E159">
        <v>327062000000000</v>
      </c>
      <c r="F159">
        <v>332597000000000</v>
      </c>
      <c r="G159" s="10">
        <f t="shared" si="2"/>
        <v>332629333333333.31</v>
      </c>
      <c r="H159" t="str">
        <f>$A159&amp;Keys!$C$54&amp;$B159&amp;Keys!$C$54&amp;$C159</f>
        <v>AZ|imports|nuclear</v>
      </c>
    </row>
    <row r="160" spans="1:8" x14ac:dyDescent="0.25">
      <c r="A160" t="s">
        <v>67</v>
      </c>
      <c r="B160" t="s">
        <v>191</v>
      </c>
      <c r="C160" t="s">
        <v>74</v>
      </c>
      <c r="D160">
        <v>0</v>
      </c>
      <c r="E160">
        <v>0</v>
      </c>
      <c r="F160">
        <v>0</v>
      </c>
      <c r="G160" s="10">
        <f t="shared" si="2"/>
        <v>0</v>
      </c>
      <c r="H160" t="str">
        <f>$A160&amp;Keys!$C$54&amp;$B160&amp;Keys!$C$54&amp;$C160</f>
        <v>AZ|imports|hydro (is not a fuel)</v>
      </c>
    </row>
    <row r="161" spans="1:8" x14ac:dyDescent="0.25">
      <c r="A161" t="s">
        <v>67</v>
      </c>
      <c r="B161" t="s">
        <v>191</v>
      </c>
      <c r="C161" t="s">
        <v>77</v>
      </c>
      <c r="D161">
        <v>0</v>
      </c>
      <c r="E161">
        <v>0</v>
      </c>
      <c r="F161">
        <v>0</v>
      </c>
      <c r="G161" s="10">
        <f t="shared" si="2"/>
        <v>0</v>
      </c>
      <c r="H161" t="str">
        <f>$A161&amp;Keys!$C$54&amp;$B161&amp;Keys!$C$54&amp;$C161</f>
        <v>AZ|imports|wind (is not a fuel)</v>
      </c>
    </row>
    <row r="162" spans="1:8" x14ac:dyDescent="0.25">
      <c r="A162" t="s">
        <v>67</v>
      </c>
      <c r="B162" t="s">
        <v>191</v>
      </c>
      <c r="C162" t="s">
        <v>80</v>
      </c>
      <c r="D162">
        <v>0</v>
      </c>
      <c r="E162">
        <v>0</v>
      </c>
      <c r="F162">
        <v>0</v>
      </c>
      <c r="G162" s="10">
        <f t="shared" si="2"/>
        <v>0</v>
      </c>
      <c r="H162" t="str">
        <f>$A162&amp;Keys!$C$54&amp;$B162&amp;Keys!$C$54&amp;$C162</f>
        <v>AZ|imports|solar (is not a fuel)</v>
      </c>
    </row>
    <row r="163" spans="1:8" x14ac:dyDescent="0.25">
      <c r="A163" t="s">
        <v>67</v>
      </c>
      <c r="B163" t="s">
        <v>191</v>
      </c>
      <c r="C163" t="s">
        <v>82</v>
      </c>
      <c r="D163">
        <v>0</v>
      </c>
      <c r="E163">
        <v>10658400000000</v>
      </c>
      <c r="F163">
        <v>10256300000000</v>
      </c>
      <c r="G163" s="10">
        <f t="shared" si="2"/>
        <v>6971566666666.667</v>
      </c>
      <c r="H163" t="str">
        <f>$A163&amp;Keys!$C$54&amp;$B163&amp;Keys!$C$54&amp;$C163</f>
        <v>AZ|imports|biomass</v>
      </c>
    </row>
    <row r="164" spans="1:8" x14ac:dyDescent="0.25">
      <c r="A164" t="s">
        <v>67</v>
      </c>
      <c r="B164" t="s">
        <v>191</v>
      </c>
      <c r="C164" t="s">
        <v>85</v>
      </c>
      <c r="D164">
        <v>0</v>
      </c>
      <c r="E164">
        <v>300751000000000</v>
      </c>
      <c r="F164">
        <v>296778000000000</v>
      </c>
      <c r="G164" s="10">
        <f t="shared" si="2"/>
        <v>199176333333333.34</v>
      </c>
      <c r="H164" t="str">
        <f>$A164&amp;Keys!$C$54&amp;$B164&amp;Keys!$C$54&amp;$C164</f>
        <v>AZ|imports|petroleum gasoline</v>
      </c>
    </row>
    <row r="165" spans="1:8" x14ac:dyDescent="0.25">
      <c r="A165" t="s">
        <v>67</v>
      </c>
      <c r="B165" t="s">
        <v>191</v>
      </c>
      <c r="C165" t="s">
        <v>88</v>
      </c>
      <c r="D165">
        <v>0</v>
      </c>
      <c r="E165">
        <v>171219000000000</v>
      </c>
      <c r="F165">
        <v>171535000000000</v>
      </c>
      <c r="G165" s="10">
        <f t="shared" si="2"/>
        <v>114251333333333.33</v>
      </c>
      <c r="H165" t="str">
        <f>$A165&amp;Keys!$C$54&amp;$B165&amp;Keys!$C$54&amp;$C165</f>
        <v>AZ|imports|petroleum diesel</v>
      </c>
    </row>
    <row r="166" spans="1:8" x14ac:dyDescent="0.25">
      <c r="A166" t="s">
        <v>67</v>
      </c>
      <c r="B166" t="s">
        <v>191</v>
      </c>
      <c r="C166" t="s">
        <v>91</v>
      </c>
      <c r="D166">
        <v>0</v>
      </c>
      <c r="E166">
        <v>22130000000000</v>
      </c>
      <c r="F166">
        <v>21840000000000</v>
      </c>
      <c r="G166" s="10">
        <f t="shared" si="2"/>
        <v>14656666666666.666</v>
      </c>
      <c r="H166" t="str">
        <f>$A166&amp;Keys!$C$54&amp;$B166&amp;Keys!$C$54&amp;$C166</f>
        <v>AZ|imports|biofuel gasoline</v>
      </c>
    </row>
    <row r="167" spans="1:8" x14ac:dyDescent="0.25">
      <c r="A167" t="s">
        <v>67</v>
      </c>
      <c r="B167" t="s">
        <v>191</v>
      </c>
      <c r="C167" t="s">
        <v>94</v>
      </c>
      <c r="D167">
        <v>0</v>
      </c>
      <c r="E167">
        <v>1937100000000</v>
      </c>
      <c r="F167">
        <v>1953150000000</v>
      </c>
      <c r="G167" s="10">
        <f t="shared" si="2"/>
        <v>1296750000000</v>
      </c>
      <c r="H167" t="str">
        <f>$A167&amp;Keys!$C$54&amp;$B167&amp;Keys!$C$54&amp;$C167</f>
        <v>AZ|imports|biofuel diesel</v>
      </c>
    </row>
    <row r="168" spans="1:8" x14ac:dyDescent="0.25">
      <c r="A168" t="s">
        <v>67</v>
      </c>
      <c r="B168" t="s">
        <v>191</v>
      </c>
      <c r="C168" t="s">
        <v>97</v>
      </c>
      <c r="D168">
        <v>0</v>
      </c>
      <c r="E168">
        <v>82181800000000</v>
      </c>
      <c r="F168">
        <v>83684600000000</v>
      </c>
      <c r="G168" s="10">
        <f t="shared" si="2"/>
        <v>55288800000000</v>
      </c>
      <c r="H168" t="str">
        <f>$A168&amp;Keys!$C$54&amp;$B168&amp;Keys!$C$54&amp;$C168</f>
        <v>AZ|imports|jet fuel or kerosene</v>
      </c>
    </row>
    <row r="169" spans="1:8" x14ac:dyDescent="0.25">
      <c r="A169" t="s">
        <v>67</v>
      </c>
      <c r="B169" t="s">
        <v>191</v>
      </c>
      <c r="C169" t="s">
        <v>100</v>
      </c>
      <c r="D169">
        <v>0</v>
      </c>
      <c r="E169">
        <v>0</v>
      </c>
      <c r="F169">
        <v>0</v>
      </c>
      <c r="G169" s="10">
        <f t="shared" si="2"/>
        <v>0</v>
      </c>
      <c r="H169" t="str">
        <f>$A169&amp;Keys!$C$54&amp;$B169&amp;Keys!$C$54&amp;$C169</f>
        <v>AZ|imports|heat (not used in this variable)</v>
      </c>
    </row>
    <row r="170" spans="1:8" x14ac:dyDescent="0.25">
      <c r="A170" t="s">
        <v>67</v>
      </c>
      <c r="B170" t="s">
        <v>191</v>
      </c>
      <c r="C170" t="s">
        <v>103</v>
      </c>
      <c r="D170">
        <v>0</v>
      </c>
      <c r="E170">
        <v>0</v>
      </c>
      <c r="F170">
        <v>0</v>
      </c>
      <c r="G170" s="10">
        <f t="shared" si="2"/>
        <v>0</v>
      </c>
      <c r="H170" t="str">
        <f>$A170&amp;Keys!$C$54&amp;$B170&amp;Keys!$C$54&amp;$C170</f>
        <v>AZ|imports|geothermal (is not a fuel)</v>
      </c>
    </row>
    <row r="171" spans="1:8" x14ac:dyDescent="0.25">
      <c r="A171" t="s">
        <v>67</v>
      </c>
      <c r="B171" t="s">
        <v>191</v>
      </c>
      <c r="C171" t="s">
        <v>106</v>
      </c>
      <c r="D171">
        <v>0</v>
      </c>
      <c r="E171">
        <v>0</v>
      </c>
      <c r="F171">
        <v>0</v>
      </c>
      <c r="G171" s="10">
        <f t="shared" si="2"/>
        <v>0</v>
      </c>
      <c r="H171" t="str">
        <f>$A171&amp;Keys!$C$54&amp;$B171&amp;Keys!$C$54&amp;$C171</f>
        <v>AZ|imports|lignite</v>
      </c>
    </row>
    <row r="172" spans="1:8" x14ac:dyDescent="0.25">
      <c r="A172" t="s">
        <v>67</v>
      </c>
      <c r="B172" t="s">
        <v>191</v>
      </c>
      <c r="C172" t="s">
        <v>109</v>
      </c>
      <c r="D172">
        <v>0</v>
      </c>
      <c r="E172">
        <v>1153200000000</v>
      </c>
      <c r="F172">
        <v>1153830000000</v>
      </c>
      <c r="G172" s="10">
        <f t="shared" si="2"/>
        <v>769010000000</v>
      </c>
      <c r="H172" t="str">
        <f>$A172&amp;Keys!$C$54&amp;$B172&amp;Keys!$C$54&amp;$C172</f>
        <v>AZ|imports|crude oil</v>
      </c>
    </row>
    <row r="173" spans="1:8" x14ac:dyDescent="0.25">
      <c r="A173" t="s">
        <v>67</v>
      </c>
      <c r="B173" t="s">
        <v>191</v>
      </c>
      <c r="C173" t="s">
        <v>113</v>
      </c>
      <c r="D173">
        <v>0</v>
      </c>
      <c r="E173">
        <v>18631000000000</v>
      </c>
      <c r="F173">
        <v>19018700000000</v>
      </c>
      <c r="G173" s="10">
        <f t="shared" si="2"/>
        <v>12549900000000</v>
      </c>
      <c r="H173" t="str">
        <f>$A173&amp;Keys!$C$54&amp;$B173&amp;Keys!$C$54&amp;$C173</f>
        <v>AZ|imports|heavy fuel oil</v>
      </c>
    </row>
    <row r="174" spans="1:8" x14ac:dyDescent="0.25">
      <c r="A174" t="s">
        <v>67</v>
      </c>
      <c r="B174" t="s">
        <v>191</v>
      </c>
      <c r="C174" t="s">
        <v>117</v>
      </c>
      <c r="D174">
        <v>0</v>
      </c>
      <c r="E174">
        <v>11152500000000</v>
      </c>
      <c r="F174">
        <v>11039500000000</v>
      </c>
      <c r="G174" s="10">
        <f t="shared" si="2"/>
        <v>7397333333333.333</v>
      </c>
      <c r="H174" t="str">
        <f>$A174&amp;Keys!$C$54&amp;$B174&amp;Keys!$C$54&amp;$C174</f>
        <v>AZ|imports|LPG propane or butane</v>
      </c>
    </row>
    <row r="175" spans="1:8" x14ac:dyDescent="0.25">
      <c r="A175" t="s">
        <v>67</v>
      </c>
      <c r="B175" t="s">
        <v>191</v>
      </c>
      <c r="C175" t="s">
        <v>120</v>
      </c>
      <c r="D175">
        <v>0</v>
      </c>
      <c r="E175">
        <v>0</v>
      </c>
      <c r="F175">
        <v>0</v>
      </c>
      <c r="G175" s="10">
        <f t="shared" si="2"/>
        <v>0</v>
      </c>
      <c r="H175" t="str">
        <f>$A175&amp;Keys!$C$54&amp;$B175&amp;Keys!$C$54&amp;$C175</f>
        <v>AZ|imports|municipal solid waste</v>
      </c>
    </row>
    <row r="176" spans="1:8" x14ac:dyDescent="0.25">
      <c r="A176" t="s">
        <v>67</v>
      </c>
      <c r="B176" t="s">
        <v>191</v>
      </c>
      <c r="C176" t="s">
        <v>123</v>
      </c>
      <c r="D176">
        <v>0</v>
      </c>
      <c r="E176">
        <v>1409340000</v>
      </c>
      <c r="F176">
        <v>1663740000</v>
      </c>
      <c r="G176" s="10">
        <f t="shared" si="2"/>
        <v>1024360000</v>
      </c>
      <c r="H176" t="str">
        <f>$A176&amp;Keys!$C$54&amp;$B176&amp;Keys!$C$54&amp;$C176</f>
        <v>AZ|imports|hydrogen</v>
      </c>
    </row>
    <row r="177" spans="1:8" x14ac:dyDescent="0.25">
      <c r="A177" t="s">
        <v>67</v>
      </c>
      <c r="B177" t="s">
        <v>193</v>
      </c>
      <c r="C177" t="s">
        <v>60</v>
      </c>
      <c r="D177">
        <v>0</v>
      </c>
      <c r="E177">
        <v>0</v>
      </c>
      <c r="F177">
        <v>0</v>
      </c>
      <c r="G177" s="10">
        <f t="shared" si="2"/>
        <v>0</v>
      </c>
      <c r="H177" t="str">
        <f>$A177&amp;Keys!$C$54&amp;$B177&amp;Keys!$C$54&amp;$C177</f>
        <v>AZ|exports|electricity (not used in this variable)</v>
      </c>
    </row>
    <row r="178" spans="1:8" x14ac:dyDescent="0.25">
      <c r="A178" t="s">
        <v>67</v>
      </c>
      <c r="B178" t="s">
        <v>193</v>
      </c>
      <c r="C178" t="s">
        <v>64</v>
      </c>
      <c r="D178">
        <v>0</v>
      </c>
      <c r="E178">
        <v>0</v>
      </c>
      <c r="F178">
        <v>0</v>
      </c>
      <c r="G178" s="10">
        <f t="shared" si="2"/>
        <v>0</v>
      </c>
      <c r="H178" t="str">
        <f>$A178&amp;Keys!$C$54&amp;$B178&amp;Keys!$C$54&amp;$C178</f>
        <v>AZ|exports|hard coal</v>
      </c>
    </row>
    <row r="179" spans="1:8" x14ac:dyDescent="0.25">
      <c r="A179" t="s">
        <v>67</v>
      </c>
      <c r="B179" t="s">
        <v>193</v>
      </c>
      <c r="C179" t="s">
        <v>68</v>
      </c>
      <c r="D179">
        <v>1017200000000000</v>
      </c>
      <c r="E179">
        <v>1017200000000000</v>
      </c>
      <c r="F179">
        <v>1019970000000000</v>
      </c>
      <c r="G179" s="10">
        <f t="shared" si="2"/>
        <v>1018123333333333.4</v>
      </c>
      <c r="H179" t="str">
        <f>$A179&amp;Keys!$C$54&amp;$B179&amp;Keys!$C$54&amp;$C179</f>
        <v>AZ|exports|natural gas</v>
      </c>
    </row>
    <row r="180" spans="1:8" x14ac:dyDescent="0.25">
      <c r="A180" t="s">
        <v>67</v>
      </c>
      <c r="B180" t="s">
        <v>193</v>
      </c>
      <c r="C180" t="s">
        <v>71</v>
      </c>
      <c r="D180">
        <v>0</v>
      </c>
      <c r="E180">
        <v>0</v>
      </c>
      <c r="F180">
        <v>0</v>
      </c>
      <c r="G180" s="10">
        <f t="shared" si="2"/>
        <v>0</v>
      </c>
      <c r="H180" t="str">
        <f>$A180&amp;Keys!$C$54&amp;$B180&amp;Keys!$C$54&amp;$C180</f>
        <v>AZ|exports|nuclear</v>
      </c>
    </row>
    <row r="181" spans="1:8" x14ac:dyDescent="0.25">
      <c r="A181" t="s">
        <v>67</v>
      </c>
      <c r="B181" t="s">
        <v>193</v>
      </c>
      <c r="C181" t="s">
        <v>74</v>
      </c>
      <c r="D181">
        <v>0</v>
      </c>
      <c r="E181">
        <v>0</v>
      </c>
      <c r="F181">
        <v>0</v>
      </c>
      <c r="G181" s="10">
        <f t="shared" si="2"/>
        <v>0</v>
      </c>
      <c r="H181" t="str">
        <f>$A181&amp;Keys!$C$54&amp;$B181&amp;Keys!$C$54&amp;$C181</f>
        <v>AZ|exports|hydro (is not a fuel)</v>
      </c>
    </row>
    <row r="182" spans="1:8" x14ac:dyDescent="0.25">
      <c r="A182" t="s">
        <v>67</v>
      </c>
      <c r="B182" t="s">
        <v>193</v>
      </c>
      <c r="C182" t="s">
        <v>77</v>
      </c>
      <c r="D182">
        <v>0</v>
      </c>
      <c r="E182">
        <v>0</v>
      </c>
      <c r="F182">
        <v>0</v>
      </c>
      <c r="G182" s="10">
        <f t="shared" si="2"/>
        <v>0</v>
      </c>
      <c r="H182" t="str">
        <f>$A182&amp;Keys!$C$54&amp;$B182&amp;Keys!$C$54&amp;$C182</f>
        <v>AZ|exports|wind (is not a fuel)</v>
      </c>
    </row>
    <row r="183" spans="1:8" x14ac:dyDescent="0.25">
      <c r="A183" t="s">
        <v>67</v>
      </c>
      <c r="B183" t="s">
        <v>193</v>
      </c>
      <c r="C183" t="s">
        <v>80</v>
      </c>
      <c r="D183">
        <v>0</v>
      </c>
      <c r="E183">
        <v>0</v>
      </c>
      <c r="F183">
        <v>0</v>
      </c>
      <c r="G183" s="10">
        <f t="shared" si="2"/>
        <v>0</v>
      </c>
      <c r="H183" t="str">
        <f>$A183&amp;Keys!$C$54&amp;$B183&amp;Keys!$C$54&amp;$C183</f>
        <v>AZ|exports|solar (is not a fuel)</v>
      </c>
    </row>
    <row r="184" spans="1:8" x14ac:dyDescent="0.25">
      <c r="A184" t="s">
        <v>67</v>
      </c>
      <c r="B184" t="s">
        <v>193</v>
      </c>
      <c r="C184" t="s">
        <v>82</v>
      </c>
      <c r="D184">
        <v>0</v>
      </c>
      <c r="E184">
        <v>0</v>
      </c>
      <c r="F184">
        <v>0</v>
      </c>
      <c r="G184" s="10">
        <f t="shared" si="2"/>
        <v>0</v>
      </c>
      <c r="H184" t="str">
        <f>$A184&amp;Keys!$C$54&amp;$B184&amp;Keys!$C$54&amp;$C184</f>
        <v>AZ|exports|biomass</v>
      </c>
    </row>
    <row r="185" spans="1:8" x14ac:dyDescent="0.25">
      <c r="A185" t="s">
        <v>67</v>
      </c>
      <c r="B185" t="s">
        <v>193</v>
      </c>
      <c r="C185" t="s">
        <v>85</v>
      </c>
      <c r="D185">
        <v>0</v>
      </c>
      <c r="E185">
        <v>0</v>
      </c>
      <c r="F185">
        <v>0</v>
      </c>
      <c r="G185" s="10">
        <f t="shared" si="2"/>
        <v>0</v>
      </c>
      <c r="H185" t="str">
        <f>$A185&amp;Keys!$C$54&amp;$B185&amp;Keys!$C$54&amp;$C185</f>
        <v>AZ|exports|petroleum gasoline</v>
      </c>
    </row>
    <row r="186" spans="1:8" x14ac:dyDescent="0.25">
      <c r="A186" t="s">
        <v>67</v>
      </c>
      <c r="B186" t="s">
        <v>193</v>
      </c>
      <c r="C186" t="s">
        <v>88</v>
      </c>
      <c r="D186">
        <v>0</v>
      </c>
      <c r="E186">
        <v>0</v>
      </c>
      <c r="F186">
        <v>0</v>
      </c>
      <c r="G186" s="10">
        <f t="shared" si="2"/>
        <v>0</v>
      </c>
      <c r="H186" t="str">
        <f>$A186&amp;Keys!$C$54&amp;$B186&amp;Keys!$C$54&amp;$C186</f>
        <v>AZ|exports|petroleum diesel</v>
      </c>
    </row>
    <row r="187" spans="1:8" x14ac:dyDescent="0.25">
      <c r="A187" t="s">
        <v>67</v>
      </c>
      <c r="B187" t="s">
        <v>193</v>
      </c>
      <c r="C187" t="s">
        <v>91</v>
      </c>
      <c r="D187">
        <v>0</v>
      </c>
      <c r="E187">
        <v>0</v>
      </c>
      <c r="F187">
        <v>0</v>
      </c>
      <c r="G187" s="10">
        <f t="shared" si="2"/>
        <v>0</v>
      </c>
      <c r="H187" t="str">
        <f>$A187&amp;Keys!$C$54&amp;$B187&amp;Keys!$C$54&amp;$C187</f>
        <v>AZ|exports|biofuel gasoline</v>
      </c>
    </row>
    <row r="188" spans="1:8" x14ac:dyDescent="0.25">
      <c r="A188" t="s">
        <v>67</v>
      </c>
      <c r="B188" t="s">
        <v>193</v>
      </c>
      <c r="C188" t="s">
        <v>94</v>
      </c>
      <c r="D188">
        <v>0</v>
      </c>
      <c r="E188">
        <v>0</v>
      </c>
      <c r="F188">
        <v>0</v>
      </c>
      <c r="G188" s="10">
        <f t="shared" si="2"/>
        <v>0</v>
      </c>
      <c r="H188" t="str">
        <f>$A188&amp;Keys!$C$54&amp;$B188&amp;Keys!$C$54&amp;$C188</f>
        <v>AZ|exports|biofuel diesel</v>
      </c>
    </row>
    <row r="189" spans="1:8" x14ac:dyDescent="0.25">
      <c r="A189" t="s">
        <v>67</v>
      </c>
      <c r="B189" t="s">
        <v>193</v>
      </c>
      <c r="C189" t="s">
        <v>97</v>
      </c>
      <c r="D189">
        <v>0</v>
      </c>
      <c r="E189">
        <v>0</v>
      </c>
      <c r="F189">
        <v>0</v>
      </c>
      <c r="G189" s="10">
        <f t="shared" si="2"/>
        <v>0</v>
      </c>
      <c r="H189" t="str">
        <f>$A189&amp;Keys!$C$54&amp;$B189&amp;Keys!$C$54&amp;$C189</f>
        <v>AZ|exports|jet fuel or kerosene</v>
      </c>
    </row>
    <row r="190" spans="1:8" x14ac:dyDescent="0.25">
      <c r="A190" t="s">
        <v>67</v>
      </c>
      <c r="B190" t="s">
        <v>193</v>
      </c>
      <c r="C190" t="s">
        <v>100</v>
      </c>
      <c r="D190">
        <v>0</v>
      </c>
      <c r="E190">
        <v>0</v>
      </c>
      <c r="F190">
        <v>0</v>
      </c>
      <c r="G190" s="10">
        <f t="shared" si="2"/>
        <v>0</v>
      </c>
      <c r="H190" t="str">
        <f>$A190&amp;Keys!$C$54&amp;$B190&amp;Keys!$C$54&amp;$C190</f>
        <v>AZ|exports|heat (not used in this variable)</v>
      </c>
    </row>
    <row r="191" spans="1:8" x14ac:dyDescent="0.25">
      <c r="A191" t="s">
        <v>67</v>
      </c>
      <c r="B191" t="s">
        <v>193</v>
      </c>
      <c r="C191" t="s">
        <v>103</v>
      </c>
      <c r="D191">
        <v>0</v>
      </c>
      <c r="E191">
        <v>0</v>
      </c>
      <c r="F191">
        <v>0</v>
      </c>
      <c r="G191" s="10">
        <f t="shared" si="2"/>
        <v>0</v>
      </c>
      <c r="H191" t="str">
        <f>$A191&amp;Keys!$C$54&amp;$B191&amp;Keys!$C$54&amp;$C191</f>
        <v>AZ|exports|geothermal (is not a fuel)</v>
      </c>
    </row>
    <row r="192" spans="1:8" x14ac:dyDescent="0.25">
      <c r="A192" t="s">
        <v>67</v>
      </c>
      <c r="B192" t="s">
        <v>193</v>
      </c>
      <c r="C192" t="s">
        <v>106</v>
      </c>
      <c r="D192">
        <v>0</v>
      </c>
      <c r="E192">
        <v>0</v>
      </c>
      <c r="F192">
        <v>0</v>
      </c>
      <c r="G192" s="10">
        <f t="shared" si="2"/>
        <v>0</v>
      </c>
      <c r="H192" t="str">
        <f>$A192&amp;Keys!$C$54&amp;$B192&amp;Keys!$C$54&amp;$C192</f>
        <v>AZ|exports|lignite</v>
      </c>
    </row>
    <row r="193" spans="1:8" x14ac:dyDescent="0.25">
      <c r="A193" t="s">
        <v>67</v>
      </c>
      <c r="B193" t="s">
        <v>193</v>
      </c>
      <c r="C193" t="s">
        <v>109</v>
      </c>
      <c r="D193">
        <v>0</v>
      </c>
      <c r="E193">
        <v>0</v>
      </c>
      <c r="F193">
        <v>0</v>
      </c>
      <c r="G193" s="10">
        <f t="shared" si="2"/>
        <v>0</v>
      </c>
      <c r="H193" t="str">
        <f>$A193&amp;Keys!$C$54&amp;$B193&amp;Keys!$C$54&amp;$C193</f>
        <v>AZ|exports|crude oil</v>
      </c>
    </row>
    <row r="194" spans="1:8" x14ac:dyDescent="0.25">
      <c r="A194" t="s">
        <v>67</v>
      </c>
      <c r="B194" t="s">
        <v>193</v>
      </c>
      <c r="C194" t="s">
        <v>113</v>
      </c>
      <c r="D194">
        <v>0</v>
      </c>
      <c r="E194">
        <v>0</v>
      </c>
      <c r="F194">
        <v>0</v>
      </c>
      <c r="G194" s="10">
        <f t="shared" si="2"/>
        <v>0</v>
      </c>
      <c r="H194" t="str">
        <f>$A194&amp;Keys!$C$54&amp;$B194&amp;Keys!$C$54&amp;$C194</f>
        <v>AZ|exports|heavy fuel oil</v>
      </c>
    </row>
    <row r="195" spans="1:8" x14ac:dyDescent="0.25">
      <c r="A195" t="s">
        <v>67</v>
      </c>
      <c r="B195" t="s">
        <v>193</v>
      </c>
      <c r="C195" t="s">
        <v>117</v>
      </c>
      <c r="D195">
        <v>0</v>
      </c>
      <c r="E195">
        <v>0</v>
      </c>
      <c r="F195">
        <v>0</v>
      </c>
      <c r="G195" s="10">
        <f t="shared" si="2"/>
        <v>0</v>
      </c>
      <c r="H195" t="str">
        <f>$A195&amp;Keys!$C$54&amp;$B195&amp;Keys!$C$54&amp;$C195</f>
        <v>AZ|exports|LPG propane or butane</v>
      </c>
    </row>
    <row r="196" spans="1:8" x14ac:dyDescent="0.25">
      <c r="A196" t="s">
        <v>67</v>
      </c>
      <c r="B196" t="s">
        <v>193</v>
      </c>
      <c r="C196" t="s">
        <v>120</v>
      </c>
      <c r="D196">
        <v>0</v>
      </c>
      <c r="E196">
        <v>0</v>
      </c>
      <c r="F196">
        <v>0</v>
      </c>
      <c r="G196" s="10">
        <f t="shared" si="2"/>
        <v>0</v>
      </c>
      <c r="H196" t="str">
        <f>$A196&amp;Keys!$C$54&amp;$B196&amp;Keys!$C$54&amp;$C196</f>
        <v>AZ|exports|municipal solid waste</v>
      </c>
    </row>
    <row r="197" spans="1:8" x14ac:dyDescent="0.25">
      <c r="A197" t="s">
        <v>67</v>
      </c>
      <c r="B197" t="s">
        <v>193</v>
      </c>
      <c r="C197" t="s">
        <v>123</v>
      </c>
      <c r="D197">
        <v>0</v>
      </c>
      <c r="E197">
        <v>0</v>
      </c>
      <c r="F197">
        <v>0</v>
      </c>
      <c r="G197" s="10">
        <f t="shared" si="2"/>
        <v>0</v>
      </c>
      <c r="H197" t="str">
        <f>$A197&amp;Keys!$C$54&amp;$B197&amp;Keys!$C$54&amp;$C197</f>
        <v>AZ|exports|hydrogen</v>
      </c>
    </row>
    <row r="198" spans="1:8" x14ac:dyDescent="0.25">
      <c r="A198" t="s">
        <v>70</v>
      </c>
      <c r="B198" t="s">
        <v>188</v>
      </c>
      <c r="C198" t="s">
        <v>60</v>
      </c>
      <c r="D198">
        <v>0</v>
      </c>
      <c r="E198">
        <v>0</v>
      </c>
      <c r="F198">
        <v>0</v>
      </c>
      <c r="G198" s="10">
        <f t="shared" si="2"/>
        <v>0</v>
      </c>
      <c r="H198" t="str">
        <f>$A198&amp;Keys!$C$54&amp;$B198&amp;Keys!$C$54&amp;$C198</f>
        <v>CA|production|electricity (not used in this variable)</v>
      </c>
    </row>
    <row r="199" spans="1:8" x14ac:dyDescent="0.25">
      <c r="A199" t="s">
        <v>70</v>
      </c>
      <c r="B199" t="s">
        <v>188</v>
      </c>
      <c r="C199" t="s">
        <v>64</v>
      </c>
      <c r="D199">
        <v>0</v>
      </c>
      <c r="E199">
        <v>0</v>
      </c>
      <c r="F199">
        <v>0</v>
      </c>
      <c r="G199" s="10">
        <f t="shared" si="2"/>
        <v>0</v>
      </c>
      <c r="H199" t="str">
        <f>$A199&amp;Keys!$C$54&amp;$B199&amp;Keys!$C$54&amp;$C199</f>
        <v>CA|production|hard coal</v>
      </c>
    </row>
    <row r="200" spans="1:8" x14ac:dyDescent="0.25">
      <c r="A200" t="s">
        <v>70</v>
      </c>
      <c r="B200" t="s">
        <v>188</v>
      </c>
      <c r="C200" t="s">
        <v>68</v>
      </c>
      <c r="D200">
        <v>122738000000000</v>
      </c>
      <c r="E200">
        <v>122738000000000</v>
      </c>
      <c r="F200">
        <v>114083000000000</v>
      </c>
      <c r="G200" s="10">
        <f t="shared" si="2"/>
        <v>119853000000000</v>
      </c>
      <c r="H200" t="str">
        <f>$A200&amp;Keys!$C$54&amp;$B200&amp;Keys!$C$54&amp;$C200</f>
        <v>CA|production|natural gas</v>
      </c>
    </row>
    <row r="201" spans="1:8" x14ac:dyDescent="0.25">
      <c r="A201" t="s">
        <v>70</v>
      </c>
      <c r="B201" t="s">
        <v>188</v>
      </c>
      <c r="C201" t="s">
        <v>71</v>
      </c>
      <c r="D201">
        <v>0</v>
      </c>
      <c r="E201">
        <v>0</v>
      </c>
      <c r="F201">
        <v>0</v>
      </c>
      <c r="G201" s="10">
        <f t="shared" ref="G201:G264" si="3">AVERAGE($D201:$F201)</f>
        <v>0</v>
      </c>
      <c r="H201" t="str">
        <f>$A201&amp;Keys!$C$54&amp;$B201&amp;Keys!$C$54&amp;$C201</f>
        <v>CA|production|nuclear</v>
      </c>
    </row>
    <row r="202" spans="1:8" x14ac:dyDescent="0.25">
      <c r="A202" t="s">
        <v>70</v>
      </c>
      <c r="B202" t="s">
        <v>188</v>
      </c>
      <c r="C202" t="s">
        <v>74</v>
      </c>
      <c r="D202">
        <v>0</v>
      </c>
      <c r="E202">
        <v>0</v>
      </c>
      <c r="F202">
        <v>0</v>
      </c>
      <c r="G202" s="10">
        <f t="shared" si="3"/>
        <v>0</v>
      </c>
      <c r="H202" t="str">
        <f>$A202&amp;Keys!$C$54&amp;$B202&amp;Keys!$C$54&amp;$C202</f>
        <v>CA|production|hydro (is not a fuel)</v>
      </c>
    </row>
    <row r="203" spans="1:8" x14ac:dyDescent="0.25">
      <c r="A203" t="s">
        <v>70</v>
      </c>
      <c r="B203" t="s">
        <v>188</v>
      </c>
      <c r="C203" t="s">
        <v>77</v>
      </c>
      <c r="D203">
        <v>0</v>
      </c>
      <c r="E203">
        <v>0</v>
      </c>
      <c r="F203">
        <v>0</v>
      </c>
      <c r="G203" s="10">
        <f t="shared" si="3"/>
        <v>0</v>
      </c>
      <c r="H203" t="str">
        <f>$A203&amp;Keys!$C$54&amp;$B203&amp;Keys!$C$54&amp;$C203</f>
        <v>CA|production|wind (is not a fuel)</v>
      </c>
    </row>
    <row r="204" spans="1:8" x14ac:dyDescent="0.25">
      <c r="A204" t="s">
        <v>70</v>
      </c>
      <c r="B204" t="s">
        <v>188</v>
      </c>
      <c r="C204" t="s">
        <v>80</v>
      </c>
      <c r="D204">
        <v>0</v>
      </c>
      <c r="E204">
        <v>0</v>
      </c>
      <c r="F204">
        <v>0</v>
      </c>
      <c r="G204" s="10">
        <f t="shared" si="3"/>
        <v>0</v>
      </c>
      <c r="H204" t="str">
        <f>$A204&amp;Keys!$C$54&amp;$B204&amp;Keys!$C$54&amp;$C204</f>
        <v>CA|production|solar (is not a fuel)</v>
      </c>
    </row>
    <row r="205" spans="1:8" x14ac:dyDescent="0.25">
      <c r="A205" t="s">
        <v>70</v>
      </c>
      <c r="B205" t="s">
        <v>188</v>
      </c>
      <c r="C205" t="s">
        <v>82</v>
      </c>
      <c r="D205">
        <v>2688000000000</v>
      </c>
      <c r="E205">
        <v>2688000000000</v>
      </c>
      <c r="F205">
        <v>2688000000000</v>
      </c>
      <c r="G205" s="10">
        <f t="shared" si="3"/>
        <v>2688000000000</v>
      </c>
      <c r="H205" t="str">
        <f>$A205&amp;Keys!$C$54&amp;$B205&amp;Keys!$C$54&amp;$C205</f>
        <v>CA|production|biomass</v>
      </c>
    </row>
    <row r="206" spans="1:8" x14ac:dyDescent="0.25">
      <c r="A206" t="s">
        <v>70</v>
      </c>
      <c r="B206" t="s">
        <v>188</v>
      </c>
      <c r="C206" t="s">
        <v>85</v>
      </c>
      <c r="D206">
        <v>1589550000000000</v>
      </c>
      <c r="E206">
        <v>1589550000000000</v>
      </c>
      <c r="F206">
        <v>1551030000000000</v>
      </c>
      <c r="G206" s="10">
        <f t="shared" si="3"/>
        <v>1576710000000000</v>
      </c>
      <c r="H206" t="str">
        <f>$A206&amp;Keys!$C$54&amp;$B206&amp;Keys!$C$54&amp;$C206</f>
        <v>CA|production|petroleum gasoline</v>
      </c>
    </row>
    <row r="207" spans="1:8" x14ac:dyDescent="0.25">
      <c r="A207" t="s">
        <v>70</v>
      </c>
      <c r="B207" t="s">
        <v>188</v>
      </c>
      <c r="C207" t="s">
        <v>88</v>
      </c>
      <c r="D207">
        <v>940245000000000</v>
      </c>
      <c r="E207">
        <v>940245000000000</v>
      </c>
      <c r="F207">
        <v>917456000000000</v>
      </c>
      <c r="G207" s="10">
        <f t="shared" si="3"/>
        <v>932648666666666.63</v>
      </c>
      <c r="H207" t="str">
        <f>$A207&amp;Keys!$C$54&amp;$B207&amp;Keys!$C$54&amp;$C207</f>
        <v>CA|production|petroleum diesel</v>
      </c>
    </row>
    <row r="208" spans="1:8" x14ac:dyDescent="0.25">
      <c r="A208" t="s">
        <v>70</v>
      </c>
      <c r="B208" t="s">
        <v>188</v>
      </c>
      <c r="C208" t="s">
        <v>91</v>
      </c>
      <c r="D208">
        <v>5548790000000</v>
      </c>
      <c r="E208">
        <v>5548790000000</v>
      </c>
      <c r="F208">
        <v>5564400000000</v>
      </c>
      <c r="G208" s="10">
        <f t="shared" si="3"/>
        <v>5553993333333.333</v>
      </c>
      <c r="H208" t="str">
        <f>$A208&amp;Keys!$C$54&amp;$B208&amp;Keys!$C$54&amp;$C208</f>
        <v>CA|production|biofuel gasoline</v>
      </c>
    </row>
    <row r="209" spans="1:8" x14ac:dyDescent="0.25">
      <c r="A209" t="s">
        <v>70</v>
      </c>
      <c r="B209" t="s">
        <v>188</v>
      </c>
      <c r="C209" t="s">
        <v>94</v>
      </c>
      <c r="D209">
        <v>17423100000000</v>
      </c>
      <c r="E209">
        <v>17423100000000</v>
      </c>
      <c r="F209">
        <v>20696300000000</v>
      </c>
      <c r="G209" s="10">
        <f t="shared" si="3"/>
        <v>18514166666666.668</v>
      </c>
      <c r="H209" t="str">
        <f>$A209&amp;Keys!$C$54&amp;$B209&amp;Keys!$C$54&amp;$C209</f>
        <v>CA|production|biofuel diesel</v>
      </c>
    </row>
    <row r="210" spans="1:8" x14ac:dyDescent="0.25">
      <c r="A210" t="s">
        <v>70</v>
      </c>
      <c r="B210" t="s">
        <v>188</v>
      </c>
      <c r="C210" t="s">
        <v>97</v>
      </c>
      <c r="D210">
        <v>334708000000000</v>
      </c>
      <c r="E210">
        <v>334708000000000</v>
      </c>
      <c r="F210">
        <v>326596000000000</v>
      </c>
      <c r="G210" s="10">
        <f t="shared" si="3"/>
        <v>332004000000000</v>
      </c>
      <c r="H210" t="str">
        <f>$A210&amp;Keys!$C$54&amp;$B210&amp;Keys!$C$54&amp;$C210</f>
        <v>CA|production|jet fuel or kerosene</v>
      </c>
    </row>
    <row r="211" spans="1:8" x14ac:dyDescent="0.25">
      <c r="A211" t="s">
        <v>70</v>
      </c>
      <c r="B211" t="s">
        <v>188</v>
      </c>
      <c r="C211" t="s">
        <v>100</v>
      </c>
      <c r="D211">
        <v>0</v>
      </c>
      <c r="E211">
        <v>0</v>
      </c>
      <c r="F211">
        <v>0</v>
      </c>
      <c r="G211" s="10">
        <f t="shared" si="3"/>
        <v>0</v>
      </c>
      <c r="H211" t="str">
        <f>$A211&amp;Keys!$C$54&amp;$B211&amp;Keys!$C$54&amp;$C211</f>
        <v>CA|production|heat (not used in this variable)</v>
      </c>
    </row>
    <row r="212" spans="1:8" x14ac:dyDescent="0.25">
      <c r="A212" t="s">
        <v>70</v>
      </c>
      <c r="B212" t="s">
        <v>188</v>
      </c>
      <c r="C212" t="s">
        <v>103</v>
      </c>
      <c r="D212">
        <v>0</v>
      </c>
      <c r="E212">
        <v>0</v>
      </c>
      <c r="F212">
        <v>0</v>
      </c>
      <c r="G212" s="10">
        <f t="shared" si="3"/>
        <v>0</v>
      </c>
      <c r="H212" t="str">
        <f>$A212&amp;Keys!$C$54&amp;$B212&amp;Keys!$C$54&amp;$C212</f>
        <v>CA|production|geothermal (is not a fuel)</v>
      </c>
    </row>
    <row r="213" spans="1:8" x14ac:dyDescent="0.25">
      <c r="A213" t="s">
        <v>70</v>
      </c>
      <c r="B213" t="s">
        <v>188</v>
      </c>
      <c r="C213" t="s">
        <v>106</v>
      </c>
      <c r="D213">
        <v>0</v>
      </c>
      <c r="E213">
        <v>0</v>
      </c>
      <c r="F213">
        <v>0</v>
      </c>
      <c r="G213" s="10">
        <f t="shared" si="3"/>
        <v>0</v>
      </c>
      <c r="H213" t="str">
        <f>$A213&amp;Keys!$C$54&amp;$B213&amp;Keys!$C$54&amp;$C213</f>
        <v>CA|production|lignite</v>
      </c>
    </row>
    <row r="214" spans="1:8" x14ac:dyDescent="0.25">
      <c r="A214" t="s">
        <v>70</v>
      </c>
      <c r="B214" t="s">
        <v>188</v>
      </c>
      <c r="C214" t="s">
        <v>109</v>
      </c>
      <c r="D214">
        <v>637002000000000</v>
      </c>
      <c r="E214">
        <v>637002000000000</v>
      </c>
      <c r="F214">
        <v>433770000000000</v>
      </c>
      <c r="G214" s="10">
        <f t="shared" si="3"/>
        <v>569258000000000</v>
      </c>
      <c r="H214" t="str">
        <f>$A214&amp;Keys!$C$54&amp;$B214&amp;Keys!$C$54&amp;$C214</f>
        <v>CA|production|crude oil</v>
      </c>
    </row>
    <row r="215" spans="1:8" x14ac:dyDescent="0.25">
      <c r="A215" t="s">
        <v>70</v>
      </c>
      <c r="B215" t="s">
        <v>188</v>
      </c>
      <c r="C215" t="s">
        <v>113</v>
      </c>
      <c r="D215">
        <v>65018200000000</v>
      </c>
      <c r="E215">
        <v>65018200000000</v>
      </c>
      <c r="F215">
        <v>63442300000000</v>
      </c>
      <c r="G215" s="10">
        <f t="shared" si="3"/>
        <v>64492900000000</v>
      </c>
      <c r="H215" t="str">
        <f>$A215&amp;Keys!$C$54&amp;$B215&amp;Keys!$C$54&amp;$C215</f>
        <v>CA|production|heavy fuel oil</v>
      </c>
    </row>
    <row r="216" spans="1:8" x14ac:dyDescent="0.25">
      <c r="A216" t="s">
        <v>70</v>
      </c>
      <c r="B216" t="s">
        <v>188</v>
      </c>
      <c r="C216" t="s">
        <v>117</v>
      </c>
      <c r="D216">
        <v>15004700000000</v>
      </c>
      <c r="E216">
        <v>15004700000000</v>
      </c>
      <c r="F216">
        <v>15323300000000</v>
      </c>
      <c r="G216" s="10">
        <f t="shared" si="3"/>
        <v>15110900000000</v>
      </c>
      <c r="H216" t="str">
        <f>$A216&amp;Keys!$C$54&amp;$B216&amp;Keys!$C$54&amp;$C216</f>
        <v>CA|production|LPG propane or butane</v>
      </c>
    </row>
    <row r="217" spans="1:8" x14ac:dyDescent="0.25">
      <c r="A217" t="s">
        <v>70</v>
      </c>
      <c r="B217" t="s">
        <v>188</v>
      </c>
      <c r="C217" t="s">
        <v>120</v>
      </c>
      <c r="D217">
        <v>0</v>
      </c>
      <c r="E217">
        <v>0</v>
      </c>
      <c r="F217">
        <v>0</v>
      </c>
      <c r="G217" s="10">
        <f t="shared" si="3"/>
        <v>0</v>
      </c>
      <c r="H217" t="str">
        <f>$A217&amp;Keys!$C$54&amp;$B217&amp;Keys!$C$54&amp;$C217</f>
        <v>CA|production|municipal solid waste</v>
      </c>
    </row>
    <row r="218" spans="1:8" x14ac:dyDescent="0.25">
      <c r="A218" t="s">
        <v>70</v>
      </c>
      <c r="B218" t="s">
        <v>188</v>
      </c>
      <c r="C218" t="s">
        <v>123</v>
      </c>
      <c r="D218">
        <v>111982000000000</v>
      </c>
      <c r="E218">
        <v>111982000000000</v>
      </c>
      <c r="F218">
        <v>106349000000000</v>
      </c>
      <c r="G218" s="10">
        <f t="shared" si="3"/>
        <v>110104333333333.33</v>
      </c>
      <c r="H218" t="str">
        <f>$A218&amp;Keys!$C$54&amp;$B218&amp;Keys!$C$54&amp;$C218</f>
        <v>CA|production|hydrogen</v>
      </c>
    </row>
    <row r="219" spans="1:8" x14ac:dyDescent="0.25">
      <c r="A219" t="s">
        <v>70</v>
      </c>
      <c r="B219" t="s">
        <v>191</v>
      </c>
      <c r="C219" t="s">
        <v>60</v>
      </c>
      <c r="D219">
        <v>0</v>
      </c>
      <c r="E219">
        <v>0</v>
      </c>
      <c r="F219">
        <v>0</v>
      </c>
      <c r="G219" s="10">
        <f t="shared" si="3"/>
        <v>0</v>
      </c>
      <c r="H219" t="str">
        <f>$A219&amp;Keys!$C$54&amp;$B219&amp;Keys!$C$54&amp;$C219</f>
        <v>CA|imports|electricity (not used in this variable)</v>
      </c>
    </row>
    <row r="220" spans="1:8" x14ac:dyDescent="0.25">
      <c r="A220" t="s">
        <v>70</v>
      </c>
      <c r="B220" t="s">
        <v>191</v>
      </c>
      <c r="C220" t="s">
        <v>64</v>
      </c>
      <c r="D220">
        <v>27056000000000</v>
      </c>
      <c r="E220">
        <v>29082000000000</v>
      </c>
      <c r="F220">
        <v>29082000000000</v>
      </c>
      <c r="G220" s="10">
        <f t="shared" si="3"/>
        <v>28406666666666.668</v>
      </c>
      <c r="H220" t="str">
        <f>$A220&amp;Keys!$C$54&amp;$B220&amp;Keys!$C$54&amp;$C220</f>
        <v>CA|imports|hard coal</v>
      </c>
    </row>
    <row r="221" spans="1:8" x14ac:dyDescent="0.25">
      <c r="A221" t="s">
        <v>70</v>
      </c>
      <c r="B221" t="s">
        <v>191</v>
      </c>
      <c r="C221" t="s">
        <v>68</v>
      </c>
      <c r="D221">
        <v>2118840000000000</v>
      </c>
      <c r="E221">
        <v>2228590000000000</v>
      </c>
      <c r="F221">
        <v>2028110000000000</v>
      </c>
      <c r="G221" s="10">
        <f t="shared" si="3"/>
        <v>2125180000000000</v>
      </c>
      <c r="H221" t="str">
        <f>$A221&amp;Keys!$C$54&amp;$B221&amp;Keys!$C$54&amp;$C221</f>
        <v>CA|imports|natural gas</v>
      </c>
    </row>
    <row r="222" spans="1:8" x14ac:dyDescent="0.25">
      <c r="A222" t="s">
        <v>70</v>
      </c>
      <c r="B222" t="s">
        <v>191</v>
      </c>
      <c r="C222" t="s">
        <v>71</v>
      </c>
      <c r="D222">
        <v>191930000000000</v>
      </c>
      <c r="E222">
        <v>183268000000000</v>
      </c>
      <c r="F222">
        <v>187549000000000</v>
      </c>
      <c r="G222" s="10">
        <f t="shared" si="3"/>
        <v>187582333333333.34</v>
      </c>
      <c r="H222" t="str">
        <f>$A222&amp;Keys!$C$54&amp;$B222&amp;Keys!$C$54&amp;$C222</f>
        <v>CA|imports|nuclear</v>
      </c>
    </row>
    <row r="223" spans="1:8" x14ac:dyDescent="0.25">
      <c r="A223" t="s">
        <v>70</v>
      </c>
      <c r="B223" t="s">
        <v>191</v>
      </c>
      <c r="C223" t="s">
        <v>74</v>
      </c>
      <c r="D223">
        <v>0</v>
      </c>
      <c r="E223">
        <v>0</v>
      </c>
      <c r="F223">
        <v>0</v>
      </c>
      <c r="G223" s="10">
        <f t="shared" si="3"/>
        <v>0</v>
      </c>
      <c r="H223" t="str">
        <f>$A223&amp;Keys!$C$54&amp;$B223&amp;Keys!$C$54&amp;$C223</f>
        <v>CA|imports|hydro (is not a fuel)</v>
      </c>
    </row>
    <row r="224" spans="1:8" x14ac:dyDescent="0.25">
      <c r="A224" t="s">
        <v>70</v>
      </c>
      <c r="B224" t="s">
        <v>191</v>
      </c>
      <c r="C224" t="s">
        <v>77</v>
      </c>
      <c r="D224">
        <v>0</v>
      </c>
      <c r="E224">
        <v>0</v>
      </c>
      <c r="F224">
        <v>0</v>
      </c>
      <c r="G224" s="10">
        <f t="shared" si="3"/>
        <v>0</v>
      </c>
      <c r="H224" t="str">
        <f>$A224&amp;Keys!$C$54&amp;$B224&amp;Keys!$C$54&amp;$C224</f>
        <v>CA|imports|wind (is not a fuel)</v>
      </c>
    </row>
    <row r="225" spans="1:8" x14ac:dyDescent="0.25">
      <c r="A225" t="s">
        <v>70</v>
      </c>
      <c r="B225" t="s">
        <v>191</v>
      </c>
      <c r="C225" t="s">
        <v>80</v>
      </c>
      <c r="D225">
        <v>0</v>
      </c>
      <c r="E225">
        <v>0</v>
      </c>
      <c r="F225">
        <v>0</v>
      </c>
      <c r="G225" s="10">
        <f t="shared" si="3"/>
        <v>0</v>
      </c>
      <c r="H225" t="str">
        <f>$A225&amp;Keys!$C$54&amp;$B225&amp;Keys!$C$54&amp;$C225</f>
        <v>CA|imports|solar (is not a fuel)</v>
      </c>
    </row>
    <row r="226" spans="1:8" x14ac:dyDescent="0.25">
      <c r="A226" t="s">
        <v>70</v>
      </c>
      <c r="B226" t="s">
        <v>191</v>
      </c>
      <c r="C226" t="s">
        <v>82</v>
      </c>
      <c r="D226">
        <v>0</v>
      </c>
      <c r="E226">
        <v>101306000000000</v>
      </c>
      <c r="F226">
        <v>103116000000000</v>
      </c>
      <c r="G226" s="10">
        <f t="shared" si="3"/>
        <v>68140666666666.664</v>
      </c>
      <c r="H226" t="str">
        <f>$A226&amp;Keys!$C$54&amp;$B226&amp;Keys!$C$54&amp;$C226</f>
        <v>CA|imports|biomass</v>
      </c>
    </row>
    <row r="227" spans="1:8" x14ac:dyDescent="0.25">
      <c r="A227" t="s">
        <v>70</v>
      </c>
      <c r="B227" t="s">
        <v>191</v>
      </c>
      <c r="C227" t="s">
        <v>85</v>
      </c>
      <c r="D227">
        <v>0</v>
      </c>
      <c r="E227">
        <v>0</v>
      </c>
      <c r="F227">
        <v>0</v>
      </c>
      <c r="G227" s="10">
        <f t="shared" si="3"/>
        <v>0</v>
      </c>
      <c r="H227" t="str">
        <f>$A227&amp;Keys!$C$54&amp;$B227&amp;Keys!$C$54&amp;$C227</f>
        <v>CA|imports|petroleum gasoline</v>
      </c>
    </row>
    <row r="228" spans="1:8" x14ac:dyDescent="0.25">
      <c r="A228" t="s">
        <v>70</v>
      </c>
      <c r="B228" t="s">
        <v>191</v>
      </c>
      <c r="C228" t="s">
        <v>88</v>
      </c>
      <c r="D228">
        <v>0</v>
      </c>
      <c r="E228">
        <v>0</v>
      </c>
      <c r="F228">
        <v>0</v>
      </c>
      <c r="G228" s="10">
        <f t="shared" si="3"/>
        <v>0</v>
      </c>
      <c r="H228" t="str">
        <f>$A228&amp;Keys!$C$54&amp;$B228&amp;Keys!$C$54&amp;$C228</f>
        <v>CA|imports|petroleum diesel</v>
      </c>
    </row>
    <row r="229" spans="1:8" x14ac:dyDescent="0.25">
      <c r="A229" t="s">
        <v>70</v>
      </c>
      <c r="B229" t="s">
        <v>191</v>
      </c>
      <c r="C229" t="s">
        <v>91</v>
      </c>
      <c r="D229">
        <v>0</v>
      </c>
      <c r="E229">
        <v>125743000000000</v>
      </c>
      <c r="F229">
        <v>130633000000000</v>
      </c>
      <c r="G229" s="10">
        <f t="shared" si="3"/>
        <v>85458666666666.672</v>
      </c>
      <c r="H229" t="str">
        <f>$A229&amp;Keys!$C$54&amp;$B229&amp;Keys!$C$54&amp;$C229</f>
        <v>CA|imports|biofuel gasoline</v>
      </c>
    </row>
    <row r="230" spans="1:8" x14ac:dyDescent="0.25">
      <c r="A230" t="s">
        <v>70</v>
      </c>
      <c r="B230" t="s">
        <v>191</v>
      </c>
      <c r="C230" t="s">
        <v>94</v>
      </c>
      <c r="D230">
        <v>0</v>
      </c>
      <c r="E230">
        <v>138718000000000</v>
      </c>
      <c r="F230">
        <v>159497000000000</v>
      </c>
      <c r="G230" s="10">
        <f t="shared" si="3"/>
        <v>99405000000000</v>
      </c>
      <c r="H230" t="str">
        <f>$A230&amp;Keys!$C$54&amp;$B230&amp;Keys!$C$54&amp;$C230</f>
        <v>CA|imports|biofuel diesel</v>
      </c>
    </row>
    <row r="231" spans="1:8" x14ac:dyDescent="0.25">
      <c r="A231" t="s">
        <v>70</v>
      </c>
      <c r="B231" t="s">
        <v>191</v>
      </c>
      <c r="C231" t="s">
        <v>97</v>
      </c>
      <c r="D231">
        <v>0</v>
      </c>
      <c r="E231">
        <v>213795000000000</v>
      </c>
      <c r="F231">
        <v>235312000000000</v>
      </c>
      <c r="G231" s="10">
        <f t="shared" si="3"/>
        <v>149702333333333.34</v>
      </c>
      <c r="H231" t="str">
        <f>$A231&amp;Keys!$C$54&amp;$B231&amp;Keys!$C$54&amp;$C231</f>
        <v>CA|imports|jet fuel or kerosene</v>
      </c>
    </row>
    <row r="232" spans="1:8" x14ac:dyDescent="0.25">
      <c r="A232" t="s">
        <v>70</v>
      </c>
      <c r="B232" t="s">
        <v>191</v>
      </c>
      <c r="C232" t="s">
        <v>100</v>
      </c>
      <c r="D232">
        <v>0</v>
      </c>
      <c r="E232">
        <v>0</v>
      </c>
      <c r="F232">
        <v>0</v>
      </c>
      <c r="G232" s="10">
        <f t="shared" si="3"/>
        <v>0</v>
      </c>
      <c r="H232" t="str">
        <f>$A232&amp;Keys!$C$54&amp;$B232&amp;Keys!$C$54&amp;$C232</f>
        <v>CA|imports|heat (not used in this variable)</v>
      </c>
    </row>
    <row r="233" spans="1:8" x14ac:dyDescent="0.25">
      <c r="A233" t="s">
        <v>70</v>
      </c>
      <c r="B233" t="s">
        <v>191</v>
      </c>
      <c r="C233" t="s">
        <v>103</v>
      </c>
      <c r="D233">
        <v>0</v>
      </c>
      <c r="E233">
        <v>0</v>
      </c>
      <c r="F233">
        <v>0</v>
      </c>
      <c r="G233" s="10">
        <f t="shared" si="3"/>
        <v>0</v>
      </c>
      <c r="H233" t="str">
        <f>$A233&amp;Keys!$C$54&amp;$B233&amp;Keys!$C$54&amp;$C233</f>
        <v>CA|imports|geothermal (is not a fuel)</v>
      </c>
    </row>
    <row r="234" spans="1:8" x14ac:dyDescent="0.25">
      <c r="A234" t="s">
        <v>70</v>
      </c>
      <c r="B234" t="s">
        <v>191</v>
      </c>
      <c r="C234" t="s">
        <v>106</v>
      </c>
      <c r="D234">
        <v>0</v>
      </c>
      <c r="E234">
        <v>0</v>
      </c>
      <c r="F234">
        <v>0</v>
      </c>
      <c r="G234" s="10">
        <f t="shared" si="3"/>
        <v>0</v>
      </c>
      <c r="H234" t="str">
        <f>$A234&amp;Keys!$C$54&amp;$B234&amp;Keys!$C$54&amp;$C234</f>
        <v>CA|imports|lignite</v>
      </c>
    </row>
    <row r="235" spans="1:8" x14ac:dyDescent="0.25">
      <c r="A235" t="s">
        <v>70</v>
      </c>
      <c r="B235" t="s">
        <v>191</v>
      </c>
      <c r="C235" t="s">
        <v>109</v>
      </c>
      <c r="D235">
        <v>0</v>
      </c>
      <c r="E235">
        <v>2487140000000000</v>
      </c>
      <c r="F235">
        <v>2690370000000000</v>
      </c>
      <c r="G235" s="10">
        <f t="shared" si="3"/>
        <v>1725836666666666.8</v>
      </c>
      <c r="H235" t="str">
        <f>$A235&amp;Keys!$C$54&amp;$B235&amp;Keys!$C$54&amp;$C235</f>
        <v>CA|imports|crude oil</v>
      </c>
    </row>
    <row r="236" spans="1:8" x14ac:dyDescent="0.25">
      <c r="A236" t="s">
        <v>70</v>
      </c>
      <c r="B236" t="s">
        <v>191</v>
      </c>
      <c r="C236" t="s">
        <v>113</v>
      </c>
      <c r="D236">
        <v>0</v>
      </c>
      <c r="E236">
        <v>172964000000000</v>
      </c>
      <c r="F236">
        <v>173486000000000</v>
      </c>
      <c r="G236" s="10">
        <f t="shared" si="3"/>
        <v>115483333333333.33</v>
      </c>
      <c r="H236" t="str">
        <f>$A236&amp;Keys!$C$54&amp;$B236&amp;Keys!$C$54&amp;$C236</f>
        <v>CA|imports|heavy fuel oil</v>
      </c>
    </row>
    <row r="237" spans="1:8" x14ac:dyDescent="0.25">
      <c r="A237" t="s">
        <v>70</v>
      </c>
      <c r="B237" t="s">
        <v>191</v>
      </c>
      <c r="C237" t="s">
        <v>117</v>
      </c>
      <c r="D237">
        <v>0</v>
      </c>
      <c r="E237">
        <v>48475100000000</v>
      </c>
      <c r="F237">
        <v>47707200000000</v>
      </c>
      <c r="G237" s="10">
        <f t="shared" si="3"/>
        <v>32060766666666.668</v>
      </c>
      <c r="H237" t="str">
        <f>$A237&amp;Keys!$C$54&amp;$B237&amp;Keys!$C$54&amp;$C237</f>
        <v>CA|imports|LPG propane or butane</v>
      </c>
    </row>
    <row r="238" spans="1:8" x14ac:dyDescent="0.25">
      <c r="A238" t="s">
        <v>70</v>
      </c>
      <c r="B238" t="s">
        <v>191</v>
      </c>
      <c r="C238" t="s">
        <v>120</v>
      </c>
      <c r="D238">
        <v>0</v>
      </c>
      <c r="E238">
        <v>0</v>
      </c>
      <c r="F238">
        <v>0</v>
      </c>
      <c r="G238" s="10">
        <f t="shared" si="3"/>
        <v>0</v>
      </c>
      <c r="H238" t="str">
        <f>$A238&amp;Keys!$C$54&amp;$B238&amp;Keys!$C$54&amp;$C238</f>
        <v>CA|imports|municipal solid waste</v>
      </c>
    </row>
    <row r="239" spans="1:8" x14ac:dyDescent="0.25">
      <c r="A239" t="s">
        <v>70</v>
      </c>
      <c r="B239" t="s">
        <v>191</v>
      </c>
      <c r="C239" t="s">
        <v>123</v>
      </c>
      <c r="D239">
        <v>0</v>
      </c>
      <c r="E239">
        <v>35533200000000</v>
      </c>
      <c r="F239">
        <v>39618900000000</v>
      </c>
      <c r="G239" s="10">
        <f t="shared" si="3"/>
        <v>25050700000000</v>
      </c>
      <c r="H239" t="str">
        <f>$A239&amp;Keys!$C$54&amp;$B239&amp;Keys!$C$54&amp;$C239</f>
        <v>CA|imports|hydrogen</v>
      </c>
    </row>
    <row r="240" spans="1:8" x14ac:dyDescent="0.25">
      <c r="A240" t="s">
        <v>70</v>
      </c>
      <c r="B240" t="s">
        <v>193</v>
      </c>
      <c r="C240" t="s">
        <v>60</v>
      </c>
      <c r="D240">
        <v>0</v>
      </c>
      <c r="E240">
        <v>0</v>
      </c>
      <c r="F240">
        <v>0</v>
      </c>
      <c r="G240" s="10">
        <f t="shared" si="3"/>
        <v>0</v>
      </c>
      <c r="H240" t="str">
        <f>$A240&amp;Keys!$C$54&amp;$B240&amp;Keys!$C$54&amp;$C240</f>
        <v>CA|exports|electricity (not used in this variable)</v>
      </c>
    </row>
    <row r="241" spans="1:8" x14ac:dyDescent="0.25">
      <c r="A241" t="s">
        <v>70</v>
      </c>
      <c r="B241" t="s">
        <v>193</v>
      </c>
      <c r="C241" t="s">
        <v>64</v>
      </c>
      <c r="D241">
        <v>0</v>
      </c>
      <c r="E241">
        <v>0</v>
      </c>
      <c r="F241">
        <v>0</v>
      </c>
      <c r="G241" s="10">
        <f t="shared" si="3"/>
        <v>0</v>
      </c>
      <c r="H241" t="str">
        <f>$A241&amp;Keys!$C$54&amp;$B241&amp;Keys!$C$54&amp;$C241</f>
        <v>CA|exports|hard coal</v>
      </c>
    </row>
    <row r="242" spans="1:8" x14ac:dyDescent="0.25">
      <c r="A242" t="s">
        <v>70</v>
      </c>
      <c r="B242" t="s">
        <v>193</v>
      </c>
      <c r="C242" t="s">
        <v>68</v>
      </c>
      <c r="D242">
        <v>295856000000000</v>
      </c>
      <c r="E242">
        <v>295856000000000</v>
      </c>
      <c r="F242">
        <v>274993000000000</v>
      </c>
      <c r="G242" s="10">
        <f t="shared" si="3"/>
        <v>288901666666666.69</v>
      </c>
      <c r="H242" t="str">
        <f>$A242&amp;Keys!$C$54&amp;$B242&amp;Keys!$C$54&amp;$C242</f>
        <v>CA|exports|natural gas</v>
      </c>
    </row>
    <row r="243" spans="1:8" x14ac:dyDescent="0.25">
      <c r="A243" t="s">
        <v>70</v>
      </c>
      <c r="B243" t="s">
        <v>193</v>
      </c>
      <c r="C243" t="s">
        <v>71</v>
      </c>
      <c r="D243">
        <v>0</v>
      </c>
      <c r="E243">
        <v>0</v>
      </c>
      <c r="F243">
        <v>0</v>
      </c>
      <c r="G243" s="10">
        <f t="shared" si="3"/>
        <v>0</v>
      </c>
      <c r="H243" t="str">
        <f>$A243&amp;Keys!$C$54&amp;$B243&amp;Keys!$C$54&amp;$C243</f>
        <v>CA|exports|nuclear</v>
      </c>
    </row>
    <row r="244" spans="1:8" x14ac:dyDescent="0.25">
      <c r="A244" t="s">
        <v>70</v>
      </c>
      <c r="B244" t="s">
        <v>193</v>
      </c>
      <c r="C244" t="s">
        <v>74</v>
      </c>
      <c r="D244">
        <v>0</v>
      </c>
      <c r="E244">
        <v>0</v>
      </c>
      <c r="F244">
        <v>0</v>
      </c>
      <c r="G244" s="10">
        <f t="shared" si="3"/>
        <v>0</v>
      </c>
      <c r="H244" t="str">
        <f>$A244&amp;Keys!$C$54&amp;$B244&amp;Keys!$C$54&amp;$C244</f>
        <v>CA|exports|hydro (is not a fuel)</v>
      </c>
    </row>
    <row r="245" spans="1:8" x14ac:dyDescent="0.25">
      <c r="A245" t="s">
        <v>70</v>
      </c>
      <c r="B245" t="s">
        <v>193</v>
      </c>
      <c r="C245" t="s">
        <v>77</v>
      </c>
      <c r="D245">
        <v>0</v>
      </c>
      <c r="E245">
        <v>0</v>
      </c>
      <c r="F245">
        <v>0</v>
      </c>
      <c r="G245" s="10">
        <f t="shared" si="3"/>
        <v>0</v>
      </c>
      <c r="H245" t="str">
        <f>$A245&amp;Keys!$C$54&amp;$B245&amp;Keys!$C$54&amp;$C245</f>
        <v>CA|exports|wind (is not a fuel)</v>
      </c>
    </row>
    <row r="246" spans="1:8" x14ac:dyDescent="0.25">
      <c r="A246" t="s">
        <v>70</v>
      </c>
      <c r="B246" t="s">
        <v>193</v>
      </c>
      <c r="C246" t="s">
        <v>80</v>
      </c>
      <c r="D246">
        <v>0</v>
      </c>
      <c r="E246">
        <v>0</v>
      </c>
      <c r="F246">
        <v>0</v>
      </c>
      <c r="G246" s="10">
        <f t="shared" si="3"/>
        <v>0</v>
      </c>
      <c r="H246" t="str">
        <f>$A246&amp;Keys!$C$54&amp;$B246&amp;Keys!$C$54&amp;$C246</f>
        <v>CA|exports|solar (is not a fuel)</v>
      </c>
    </row>
    <row r="247" spans="1:8" x14ac:dyDescent="0.25">
      <c r="A247" t="s">
        <v>70</v>
      </c>
      <c r="B247" t="s">
        <v>193</v>
      </c>
      <c r="C247" t="s">
        <v>82</v>
      </c>
      <c r="D247">
        <v>0</v>
      </c>
      <c r="E247">
        <v>0</v>
      </c>
      <c r="F247">
        <v>0</v>
      </c>
      <c r="G247" s="10">
        <f t="shared" si="3"/>
        <v>0</v>
      </c>
      <c r="H247" t="str">
        <f>$A247&amp;Keys!$C$54&amp;$B247&amp;Keys!$C$54&amp;$C247</f>
        <v>CA|exports|biomass</v>
      </c>
    </row>
    <row r="248" spans="1:8" x14ac:dyDescent="0.25">
      <c r="A248" t="s">
        <v>70</v>
      </c>
      <c r="B248" t="s">
        <v>193</v>
      </c>
      <c r="C248" t="s">
        <v>85</v>
      </c>
      <c r="D248">
        <v>0</v>
      </c>
      <c r="E248">
        <v>345901000000000</v>
      </c>
      <c r="F248">
        <v>326344000000000</v>
      </c>
      <c r="G248" s="10">
        <f t="shared" si="3"/>
        <v>224081666666666.66</v>
      </c>
      <c r="H248" t="str">
        <f>$A248&amp;Keys!$C$54&amp;$B248&amp;Keys!$C$54&amp;$C248</f>
        <v>CA|exports|petroleum gasoline</v>
      </c>
    </row>
    <row r="249" spans="1:8" x14ac:dyDescent="0.25">
      <c r="A249" t="s">
        <v>70</v>
      </c>
      <c r="B249" t="s">
        <v>193</v>
      </c>
      <c r="C249" t="s">
        <v>88</v>
      </c>
      <c r="D249">
        <v>128286000000000</v>
      </c>
      <c r="E249">
        <v>452647000000000</v>
      </c>
      <c r="F249">
        <v>452408000000000</v>
      </c>
      <c r="G249" s="10">
        <f t="shared" si="3"/>
        <v>344447000000000</v>
      </c>
      <c r="H249" t="str">
        <f>$A249&amp;Keys!$C$54&amp;$B249&amp;Keys!$C$54&amp;$C249</f>
        <v>CA|exports|petroleum diesel</v>
      </c>
    </row>
    <row r="250" spans="1:8" x14ac:dyDescent="0.25">
      <c r="A250" t="s">
        <v>70</v>
      </c>
      <c r="B250" t="s">
        <v>193</v>
      </c>
      <c r="C250" t="s">
        <v>91</v>
      </c>
      <c r="D250">
        <v>0</v>
      </c>
      <c r="E250">
        <v>0</v>
      </c>
      <c r="F250">
        <v>0</v>
      </c>
      <c r="G250" s="10">
        <f t="shared" si="3"/>
        <v>0</v>
      </c>
      <c r="H250" t="str">
        <f>$A250&amp;Keys!$C$54&amp;$B250&amp;Keys!$C$54&amp;$C250</f>
        <v>CA|exports|biofuel gasoline</v>
      </c>
    </row>
    <row r="251" spans="1:8" x14ac:dyDescent="0.25">
      <c r="A251" t="s">
        <v>70</v>
      </c>
      <c r="B251" t="s">
        <v>193</v>
      </c>
      <c r="C251" t="s">
        <v>94</v>
      </c>
      <c r="D251">
        <v>0</v>
      </c>
      <c r="E251">
        <v>0</v>
      </c>
      <c r="F251">
        <v>0</v>
      </c>
      <c r="G251" s="10">
        <f t="shared" si="3"/>
        <v>0</v>
      </c>
      <c r="H251" t="str">
        <f>$A251&amp;Keys!$C$54&amp;$B251&amp;Keys!$C$54&amp;$C251</f>
        <v>CA|exports|biofuel diesel</v>
      </c>
    </row>
    <row r="252" spans="1:8" x14ac:dyDescent="0.25">
      <c r="A252" t="s">
        <v>70</v>
      </c>
      <c r="B252" t="s">
        <v>193</v>
      </c>
      <c r="C252" t="s">
        <v>97</v>
      </c>
      <c r="D252">
        <v>20319300000000</v>
      </c>
      <c r="E252">
        <v>20319300000000</v>
      </c>
      <c r="F252">
        <v>19826800000000</v>
      </c>
      <c r="G252" s="10">
        <f t="shared" si="3"/>
        <v>20155133333333.332</v>
      </c>
      <c r="H252" t="str">
        <f>$A252&amp;Keys!$C$54&amp;$B252&amp;Keys!$C$54&amp;$C252</f>
        <v>CA|exports|jet fuel or kerosene</v>
      </c>
    </row>
    <row r="253" spans="1:8" x14ac:dyDescent="0.25">
      <c r="A253" t="s">
        <v>70</v>
      </c>
      <c r="B253" t="s">
        <v>193</v>
      </c>
      <c r="C253" t="s">
        <v>100</v>
      </c>
      <c r="D253">
        <v>0</v>
      </c>
      <c r="E253">
        <v>0</v>
      </c>
      <c r="F253">
        <v>0</v>
      </c>
      <c r="G253" s="10">
        <f t="shared" si="3"/>
        <v>0</v>
      </c>
      <c r="H253" t="str">
        <f>$A253&amp;Keys!$C$54&amp;$B253&amp;Keys!$C$54&amp;$C253</f>
        <v>CA|exports|heat (not used in this variable)</v>
      </c>
    </row>
    <row r="254" spans="1:8" x14ac:dyDescent="0.25">
      <c r="A254" t="s">
        <v>70</v>
      </c>
      <c r="B254" t="s">
        <v>193</v>
      </c>
      <c r="C254" t="s">
        <v>103</v>
      </c>
      <c r="D254">
        <v>0</v>
      </c>
      <c r="E254">
        <v>0</v>
      </c>
      <c r="F254">
        <v>0</v>
      </c>
      <c r="G254" s="10">
        <f t="shared" si="3"/>
        <v>0</v>
      </c>
      <c r="H254" t="str">
        <f>$A254&amp;Keys!$C$54&amp;$B254&amp;Keys!$C$54&amp;$C254</f>
        <v>CA|exports|geothermal (is not a fuel)</v>
      </c>
    </row>
    <row r="255" spans="1:8" x14ac:dyDescent="0.25">
      <c r="A255" t="s">
        <v>70</v>
      </c>
      <c r="B255" t="s">
        <v>193</v>
      </c>
      <c r="C255" t="s">
        <v>106</v>
      </c>
      <c r="D255">
        <v>0</v>
      </c>
      <c r="E255">
        <v>0</v>
      </c>
      <c r="F255">
        <v>0</v>
      </c>
      <c r="G255" s="10">
        <f t="shared" si="3"/>
        <v>0</v>
      </c>
      <c r="H255" t="str">
        <f>$A255&amp;Keys!$C$54&amp;$B255&amp;Keys!$C$54&amp;$C255</f>
        <v>CA|exports|lignite</v>
      </c>
    </row>
    <row r="256" spans="1:8" x14ac:dyDescent="0.25">
      <c r="A256" t="s">
        <v>70</v>
      </c>
      <c r="B256" t="s">
        <v>193</v>
      </c>
      <c r="C256" t="s">
        <v>109</v>
      </c>
      <c r="D256">
        <v>0</v>
      </c>
      <c r="E256">
        <v>0</v>
      </c>
      <c r="F256">
        <v>0</v>
      </c>
      <c r="G256" s="10">
        <f t="shared" si="3"/>
        <v>0</v>
      </c>
      <c r="H256" t="str">
        <f>$A256&amp;Keys!$C$54&amp;$B256&amp;Keys!$C$54&amp;$C256</f>
        <v>CA|exports|crude oil</v>
      </c>
    </row>
    <row r="257" spans="1:8" x14ac:dyDescent="0.25">
      <c r="A257" t="s">
        <v>70</v>
      </c>
      <c r="B257" t="s">
        <v>193</v>
      </c>
      <c r="C257" t="s">
        <v>113</v>
      </c>
      <c r="D257">
        <v>14648700000000</v>
      </c>
      <c r="E257">
        <v>14648700000000</v>
      </c>
      <c r="F257">
        <v>14293700000000</v>
      </c>
      <c r="G257" s="10">
        <f t="shared" si="3"/>
        <v>14530366666666.666</v>
      </c>
      <c r="H257" t="str">
        <f>$A257&amp;Keys!$C$54&amp;$B257&amp;Keys!$C$54&amp;$C257</f>
        <v>CA|exports|heavy fuel oil</v>
      </c>
    </row>
    <row r="258" spans="1:8" x14ac:dyDescent="0.25">
      <c r="A258" t="s">
        <v>70</v>
      </c>
      <c r="B258" t="s">
        <v>193</v>
      </c>
      <c r="C258" t="s">
        <v>117</v>
      </c>
      <c r="D258">
        <v>0</v>
      </c>
      <c r="E258">
        <v>0</v>
      </c>
      <c r="F258">
        <v>0</v>
      </c>
      <c r="G258" s="10">
        <f t="shared" si="3"/>
        <v>0</v>
      </c>
      <c r="H258" t="str">
        <f>$A258&amp;Keys!$C$54&amp;$B258&amp;Keys!$C$54&amp;$C258</f>
        <v>CA|exports|LPG propane or butane</v>
      </c>
    </row>
    <row r="259" spans="1:8" x14ac:dyDescent="0.25">
      <c r="A259" t="s">
        <v>70</v>
      </c>
      <c r="B259" t="s">
        <v>193</v>
      </c>
      <c r="C259" t="s">
        <v>120</v>
      </c>
      <c r="D259">
        <v>0</v>
      </c>
      <c r="E259">
        <v>0</v>
      </c>
      <c r="F259">
        <v>0</v>
      </c>
      <c r="G259" s="10">
        <f t="shared" si="3"/>
        <v>0</v>
      </c>
      <c r="H259" t="str">
        <f>$A259&amp;Keys!$C$54&amp;$B259&amp;Keys!$C$54&amp;$C259</f>
        <v>CA|exports|municipal solid waste</v>
      </c>
    </row>
    <row r="260" spans="1:8" x14ac:dyDescent="0.25">
      <c r="A260" t="s">
        <v>70</v>
      </c>
      <c r="B260" t="s">
        <v>193</v>
      </c>
      <c r="C260" t="s">
        <v>123</v>
      </c>
      <c r="D260">
        <v>0</v>
      </c>
      <c r="E260">
        <v>0</v>
      </c>
      <c r="F260">
        <v>0</v>
      </c>
      <c r="G260" s="10">
        <f t="shared" si="3"/>
        <v>0</v>
      </c>
      <c r="H260" t="str">
        <f>$A260&amp;Keys!$C$54&amp;$B260&amp;Keys!$C$54&amp;$C260</f>
        <v>CA|exports|hydrogen</v>
      </c>
    </row>
    <row r="261" spans="1:8" x14ac:dyDescent="0.25">
      <c r="A261" t="s">
        <v>73</v>
      </c>
      <c r="B261" t="s">
        <v>188</v>
      </c>
      <c r="C261" t="s">
        <v>60</v>
      </c>
      <c r="D261">
        <v>0</v>
      </c>
      <c r="E261">
        <v>0</v>
      </c>
      <c r="F261">
        <v>0</v>
      </c>
      <c r="G261" s="10">
        <f t="shared" si="3"/>
        <v>0</v>
      </c>
      <c r="H261" t="str">
        <f>$A261&amp;Keys!$C$54&amp;$B261&amp;Keys!$C$54&amp;$C261</f>
        <v>CO|production|electricity (not used in this variable)</v>
      </c>
    </row>
    <row r="262" spans="1:8" x14ac:dyDescent="0.25">
      <c r="A262" t="s">
        <v>73</v>
      </c>
      <c r="B262" t="s">
        <v>188</v>
      </c>
      <c r="C262" t="s">
        <v>64</v>
      </c>
      <c r="D262">
        <v>254022000000000</v>
      </c>
      <c r="E262">
        <v>254022000000000</v>
      </c>
      <c r="F262">
        <v>237206000000000</v>
      </c>
      <c r="G262" s="10">
        <f t="shared" si="3"/>
        <v>248416666666666.66</v>
      </c>
      <c r="H262" t="str">
        <f>$A262&amp;Keys!$C$54&amp;$B262&amp;Keys!$C$54&amp;$C262</f>
        <v>CO|production|hard coal</v>
      </c>
    </row>
    <row r="263" spans="1:8" x14ac:dyDescent="0.25">
      <c r="A263" t="s">
        <v>73</v>
      </c>
      <c r="B263" t="s">
        <v>188</v>
      </c>
      <c r="C263" t="s">
        <v>68</v>
      </c>
      <c r="D263">
        <v>1693430000000000</v>
      </c>
      <c r="E263">
        <v>1693430000000000</v>
      </c>
      <c r="F263">
        <v>1698050000000000</v>
      </c>
      <c r="G263" s="10">
        <f t="shared" si="3"/>
        <v>1694970000000000</v>
      </c>
      <c r="H263" t="str">
        <f>$A263&amp;Keys!$C$54&amp;$B263&amp;Keys!$C$54&amp;$C263</f>
        <v>CO|production|natural gas</v>
      </c>
    </row>
    <row r="264" spans="1:8" x14ac:dyDescent="0.25">
      <c r="A264" t="s">
        <v>73</v>
      </c>
      <c r="B264" t="s">
        <v>188</v>
      </c>
      <c r="C264" t="s">
        <v>71</v>
      </c>
      <c r="D264">
        <v>0</v>
      </c>
      <c r="E264">
        <v>0</v>
      </c>
      <c r="F264">
        <v>0</v>
      </c>
      <c r="G264" s="10">
        <f t="shared" si="3"/>
        <v>0</v>
      </c>
      <c r="H264" t="str">
        <f>$A264&amp;Keys!$C$54&amp;$B264&amp;Keys!$C$54&amp;$C264</f>
        <v>CO|production|nuclear</v>
      </c>
    </row>
    <row r="265" spans="1:8" x14ac:dyDescent="0.25">
      <c r="A265" t="s">
        <v>73</v>
      </c>
      <c r="B265" t="s">
        <v>188</v>
      </c>
      <c r="C265" t="s">
        <v>74</v>
      </c>
      <c r="D265">
        <v>0</v>
      </c>
      <c r="E265">
        <v>0</v>
      </c>
      <c r="F265">
        <v>0</v>
      </c>
      <c r="G265" s="10">
        <f t="shared" ref="G265:G328" si="4">AVERAGE($D265:$F265)</f>
        <v>0</v>
      </c>
      <c r="H265" t="str">
        <f>$A265&amp;Keys!$C$54&amp;$B265&amp;Keys!$C$54&amp;$C265</f>
        <v>CO|production|hydro (is not a fuel)</v>
      </c>
    </row>
    <row r="266" spans="1:8" x14ac:dyDescent="0.25">
      <c r="A266" t="s">
        <v>73</v>
      </c>
      <c r="B266" t="s">
        <v>188</v>
      </c>
      <c r="C266" t="s">
        <v>77</v>
      </c>
      <c r="D266">
        <v>0</v>
      </c>
      <c r="E266">
        <v>0</v>
      </c>
      <c r="F266">
        <v>0</v>
      </c>
      <c r="G266" s="10">
        <f t="shared" si="4"/>
        <v>0</v>
      </c>
      <c r="H266" t="str">
        <f>$A266&amp;Keys!$C$54&amp;$B266&amp;Keys!$C$54&amp;$C266</f>
        <v>CO|production|wind (is not a fuel)</v>
      </c>
    </row>
    <row r="267" spans="1:8" x14ac:dyDescent="0.25">
      <c r="A267" t="s">
        <v>73</v>
      </c>
      <c r="B267" t="s">
        <v>188</v>
      </c>
      <c r="C267" t="s">
        <v>80</v>
      </c>
      <c r="D267">
        <v>0</v>
      </c>
      <c r="E267">
        <v>0</v>
      </c>
      <c r="F267">
        <v>0</v>
      </c>
      <c r="G267" s="10">
        <f t="shared" si="4"/>
        <v>0</v>
      </c>
      <c r="H267" t="str">
        <f>$A267&amp;Keys!$C$54&amp;$B267&amp;Keys!$C$54&amp;$C267</f>
        <v>CO|production|solar (is not a fuel)</v>
      </c>
    </row>
    <row r="268" spans="1:8" x14ac:dyDescent="0.25">
      <c r="A268" t="s">
        <v>73</v>
      </c>
      <c r="B268" t="s">
        <v>188</v>
      </c>
      <c r="C268" t="s">
        <v>82</v>
      </c>
      <c r="D268">
        <v>0</v>
      </c>
      <c r="E268">
        <v>0</v>
      </c>
      <c r="F268">
        <v>0</v>
      </c>
      <c r="G268" s="10">
        <f t="shared" si="4"/>
        <v>0</v>
      </c>
      <c r="H268" t="str">
        <f>$A268&amp;Keys!$C$54&amp;$B268&amp;Keys!$C$54&amp;$C268</f>
        <v>CO|production|biomass</v>
      </c>
    </row>
    <row r="269" spans="1:8" x14ac:dyDescent="0.25">
      <c r="A269" t="s">
        <v>73</v>
      </c>
      <c r="B269" t="s">
        <v>188</v>
      </c>
      <c r="C269" t="s">
        <v>85</v>
      </c>
      <c r="D269">
        <v>99961500000000</v>
      </c>
      <c r="E269">
        <v>99961500000000</v>
      </c>
      <c r="F269">
        <v>97538600000000</v>
      </c>
      <c r="G269" s="10">
        <f t="shared" si="4"/>
        <v>99153866666666.672</v>
      </c>
      <c r="H269" t="str">
        <f>$A269&amp;Keys!$C$54&amp;$B269&amp;Keys!$C$54&amp;$C269</f>
        <v>CO|production|petroleum gasoline</v>
      </c>
    </row>
    <row r="270" spans="1:8" x14ac:dyDescent="0.25">
      <c r="A270" t="s">
        <v>73</v>
      </c>
      <c r="B270" t="s">
        <v>188</v>
      </c>
      <c r="C270" t="s">
        <v>88</v>
      </c>
      <c r="D270">
        <v>59128800000000</v>
      </c>
      <c r="E270">
        <v>59128800000000</v>
      </c>
      <c r="F270">
        <v>57695600000000</v>
      </c>
      <c r="G270" s="10">
        <f t="shared" si="4"/>
        <v>58651066666666.664</v>
      </c>
      <c r="H270" t="str">
        <f>$A270&amp;Keys!$C$54&amp;$B270&amp;Keys!$C$54&amp;$C270</f>
        <v>CO|production|petroleum diesel</v>
      </c>
    </row>
    <row r="271" spans="1:8" x14ac:dyDescent="0.25">
      <c r="A271" t="s">
        <v>73</v>
      </c>
      <c r="B271" t="s">
        <v>188</v>
      </c>
      <c r="C271" t="s">
        <v>91</v>
      </c>
      <c r="D271">
        <v>12759900000000</v>
      </c>
      <c r="E271">
        <v>12759900000000</v>
      </c>
      <c r="F271">
        <v>12795800000000</v>
      </c>
      <c r="G271" s="10">
        <f t="shared" si="4"/>
        <v>12771866666666.666</v>
      </c>
      <c r="H271" t="str">
        <f>$A271&amp;Keys!$C$54&amp;$B271&amp;Keys!$C$54&amp;$C271</f>
        <v>CO|production|biofuel gasoline</v>
      </c>
    </row>
    <row r="272" spans="1:8" x14ac:dyDescent="0.25">
      <c r="A272" t="s">
        <v>73</v>
      </c>
      <c r="B272" t="s">
        <v>188</v>
      </c>
      <c r="C272" t="s">
        <v>94</v>
      </c>
      <c r="D272">
        <v>0</v>
      </c>
      <c r="E272">
        <v>0</v>
      </c>
      <c r="F272">
        <v>0</v>
      </c>
      <c r="G272" s="10">
        <f t="shared" si="4"/>
        <v>0</v>
      </c>
      <c r="H272" t="str">
        <f>$A272&amp;Keys!$C$54&amp;$B272&amp;Keys!$C$54&amp;$C272</f>
        <v>CO|production|biofuel diesel</v>
      </c>
    </row>
    <row r="273" spans="1:8" x14ac:dyDescent="0.25">
      <c r="A273" t="s">
        <v>73</v>
      </c>
      <c r="B273" t="s">
        <v>188</v>
      </c>
      <c r="C273" t="s">
        <v>97</v>
      </c>
      <c r="D273">
        <v>21048600000000</v>
      </c>
      <c r="E273">
        <v>21048600000000</v>
      </c>
      <c r="F273">
        <v>20538500000000</v>
      </c>
      <c r="G273" s="10">
        <f t="shared" si="4"/>
        <v>20878566666666.668</v>
      </c>
      <c r="H273" t="str">
        <f>$A273&amp;Keys!$C$54&amp;$B273&amp;Keys!$C$54&amp;$C273</f>
        <v>CO|production|jet fuel or kerosene</v>
      </c>
    </row>
    <row r="274" spans="1:8" x14ac:dyDescent="0.25">
      <c r="A274" t="s">
        <v>73</v>
      </c>
      <c r="B274" t="s">
        <v>188</v>
      </c>
      <c r="C274" t="s">
        <v>100</v>
      </c>
      <c r="D274">
        <v>0</v>
      </c>
      <c r="E274">
        <v>0</v>
      </c>
      <c r="F274">
        <v>0</v>
      </c>
      <c r="G274" s="10">
        <f t="shared" si="4"/>
        <v>0</v>
      </c>
      <c r="H274" t="str">
        <f>$A274&amp;Keys!$C$54&amp;$B274&amp;Keys!$C$54&amp;$C274</f>
        <v>CO|production|heat (not used in this variable)</v>
      </c>
    </row>
    <row r="275" spans="1:8" x14ac:dyDescent="0.25">
      <c r="A275" t="s">
        <v>73</v>
      </c>
      <c r="B275" t="s">
        <v>188</v>
      </c>
      <c r="C275" t="s">
        <v>103</v>
      </c>
      <c r="D275">
        <v>0</v>
      </c>
      <c r="E275">
        <v>0</v>
      </c>
      <c r="F275">
        <v>0</v>
      </c>
      <c r="G275" s="10">
        <f t="shared" si="4"/>
        <v>0</v>
      </c>
      <c r="H275" t="str">
        <f>$A275&amp;Keys!$C$54&amp;$B275&amp;Keys!$C$54&amp;$C275</f>
        <v>CO|production|geothermal (is not a fuel)</v>
      </c>
    </row>
    <row r="276" spans="1:8" x14ac:dyDescent="0.25">
      <c r="A276" t="s">
        <v>73</v>
      </c>
      <c r="B276" t="s">
        <v>188</v>
      </c>
      <c r="C276" t="s">
        <v>106</v>
      </c>
      <c r="D276">
        <v>0</v>
      </c>
      <c r="E276">
        <v>0</v>
      </c>
      <c r="F276">
        <v>0</v>
      </c>
      <c r="G276" s="10">
        <f t="shared" si="4"/>
        <v>0</v>
      </c>
      <c r="H276" t="str">
        <f>$A276&amp;Keys!$C$54&amp;$B276&amp;Keys!$C$54&amp;$C276</f>
        <v>CO|production|lignite</v>
      </c>
    </row>
    <row r="277" spans="1:8" x14ac:dyDescent="0.25">
      <c r="A277" t="s">
        <v>73</v>
      </c>
      <c r="B277" t="s">
        <v>188</v>
      </c>
      <c r="C277" t="s">
        <v>109</v>
      </c>
      <c r="D277">
        <v>987676000000000</v>
      </c>
      <c r="E277">
        <v>987676000000000</v>
      </c>
      <c r="F277">
        <v>969694000000000</v>
      </c>
      <c r="G277" s="10">
        <f t="shared" si="4"/>
        <v>981682000000000</v>
      </c>
      <c r="H277" t="str">
        <f>$A277&amp;Keys!$C$54&amp;$B277&amp;Keys!$C$54&amp;$C277</f>
        <v>CO|production|crude oil</v>
      </c>
    </row>
    <row r="278" spans="1:8" x14ac:dyDescent="0.25">
      <c r="A278" t="s">
        <v>73</v>
      </c>
      <c r="B278" t="s">
        <v>188</v>
      </c>
      <c r="C278" t="s">
        <v>113</v>
      </c>
      <c r="D278">
        <v>4088770000000</v>
      </c>
      <c r="E278">
        <v>4088770000000</v>
      </c>
      <c r="F278">
        <v>3989660000000</v>
      </c>
      <c r="G278" s="10">
        <f t="shared" si="4"/>
        <v>4055733333333.3335</v>
      </c>
      <c r="H278" t="str">
        <f>$A278&amp;Keys!$C$54&amp;$B278&amp;Keys!$C$54&amp;$C278</f>
        <v>CO|production|heavy fuel oil</v>
      </c>
    </row>
    <row r="279" spans="1:8" x14ac:dyDescent="0.25">
      <c r="A279" t="s">
        <v>73</v>
      </c>
      <c r="B279" t="s">
        <v>188</v>
      </c>
      <c r="C279" t="s">
        <v>117</v>
      </c>
      <c r="D279">
        <v>207021000000000</v>
      </c>
      <c r="E279">
        <v>207021000000000</v>
      </c>
      <c r="F279">
        <v>211417000000000</v>
      </c>
      <c r="G279" s="10">
        <f t="shared" si="4"/>
        <v>208486333333333.34</v>
      </c>
      <c r="H279" t="str">
        <f>$A279&amp;Keys!$C$54&amp;$B279&amp;Keys!$C$54&amp;$C279</f>
        <v>CO|production|LPG propane or butane</v>
      </c>
    </row>
    <row r="280" spans="1:8" x14ac:dyDescent="0.25">
      <c r="A280" t="s">
        <v>73</v>
      </c>
      <c r="B280" t="s">
        <v>188</v>
      </c>
      <c r="C280" t="s">
        <v>120</v>
      </c>
      <c r="D280">
        <v>0</v>
      </c>
      <c r="E280">
        <v>0</v>
      </c>
      <c r="F280">
        <v>0</v>
      </c>
      <c r="G280" s="10">
        <f t="shared" si="4"/>
        <v>0</v>
      </c>
      <c r="H280" t="str">
        <f>$A280&amp;Keys!$C$54&amp;$B280&amp;Keys!$C$54&amp;$C280</f>
        <v>CO|production|municipal solid waste</v>
      </c>
    </row>
    <row r="281" spans="1:8" x14ac:dyDescent="0.25">
      <c r="A281" t="s">
        <v>73</v>
      </c>
      <c r="B281" t="s">
        <v>188</v>
      </c>
      <c r="C281" t="s">
        <v>123</v>
      </c>
      <c r="D281">
        <v>2609750000000</v>
      </c>
      <c r="E281">
        <v>2609750000000</v>
      </c>
      <c r="F281">
        <v>2478460000000</v>
      </c>
      <c r="G281" s="10">
        <f t="shared" si="4"/>
        <v>2565986666666.6665</v>
      </c>
      <c r="H281" t="str">
        <f>$A281&amp;Keys!$C$54&amp;$B281&amp;Keys!$C$54&amp;$C281</f>
        <v>CO|production|hydrogen</v>
      </c>
    </row>
    <row r="282" spans="1:8" x14ac:dyDescent="0.25">
      <c r="A282" t="s">
        <v>73</v>
      </c>
      <c r="B282" t="s">
        <v>191</v>
      </c>
      <c r="C282" t="s">
        <v>60</v>
      </c>
      <c r="D282">
        <v>0</v>
      </c>
      <c r="E282">
        <v>0</v>
      </c>
      <c r="F282">
        <v>0</v>
      </c>
      <c r="G282" s="10">
        <f t="shared" si="4"/>
        <v>0</v>
      </c>
      <c r="H282" t="str">
        <f>$A282&amp;Keys!$C$54&amp;$B282&amp;Keys!$C$54&amp;$C282</f>
        <v>CO|imports|electricity (not used in this variable)</v>
      </c>
    </row>
    <row r="283" spans="1:8" x14ac:dyDescent="0.25">
      <c r="A283" t="s">
        <v>73</v>
      </c>
      <c r="B283" t="s">
        <v>191</v>
      </c>
      <c r="C283" t="s">
        <v>64</v>
      </c>
      <c r="D283">
        <v>113973000000000</v>
      </c>
      <c r="E283">
        <v>17030600000000</v>
      </c>
      <c r="F283">
        <v>53109000000000</v>
      </c>
      <c r="G283" s="10">
        <f t="shared" si="4"/>
        <v>61370866666666.664</v>
      </c>
      <c r="H283" t="str">
        <f>$A283&amp;Keys!$C$54&amp;$B283&amp;Keys!$C$54&amp;$C283</f>
        <v>CO|imports|hard coal</v>
      </c>
    </row>
    <row r="284" spans="1:8" x14ac:dyDescent="0.25">
      <c r="A284" t="s">
        <v>73</v>
      </c>
      <c r="B284" t="s">
        <v>191</v>
      </c>
      <c r="C284" t="s">
        <v>68</v>
      </c>
      <c r="D284">
        <v>724910000000000</v>
      </c>
      <c r="E284">
        <v>807924000000000</v>
      </c>
      <c r="F284">
        <v>739073000000000</v>
      </c>
      <c r="G284" s="10">
        <f t="shared" si="4"/>
        <v>757302333333333.38</v>
      </c>
      <c r="H284" t="str">
        <f>$A284&amp;Keys!$C$54&amp;$B284&amp;Keys!$C$54&amp;$C284</f>
        <v>CO|imports|natural gas</v>
      </c>
    </row>
    <row r="285" spans="1:8" x14ac:dyDescent="0.25">
      <c r="A285" t="s">
        <v>73</v>
      </c>
      <c r="B285" t="s">
        <v>191</v>
      </c>
      <c r="C285" t="s">
        <v>71</v>
      </c>
      <c r="D285">
        <v>0</v>
      </c>
      <c r="E285">
        <v>0</v>
      </c>
      <c r="F285">
        <v>0</v>
      </c>
      <c r="G285" s="10">
        <f t="shared" si="4"/>
        <v>0</v>
      </c>
      <c r="H285" t="str">
        <f>$A285&amp;Keys!$C$54&amp;$B285&amp;Keys!$C$54&amp;$C285</f>
        <v>CO|imports|nuclear</v>
      </c>
    </row>
    <row r="286" spans="1:8" x14ac:dyDescent="0.25">
      <c r="A286" t="s">
        <v>73</v>
      </c>
      <c r="B286" t="s">
        <v>191</v>
      </c>
      <c r="C286" t="s">
        <v>74</v>
      </c>
      <c r="D286">
        <v>0</v>
      </c>
      <c r="E286">
        <v>0</v>
      </c>
      <c r="F286">
        <v>0</v>
      </c>
      <c r="G286" s="10">
        <f t="shared" si="4"/>
        <v>0</v>
      </c>
      <c r="H286" t="str">
        <f>$A286&amp;Keys!$C$54&amp;$B286&amp;Keys!$C$54&amp;$C286</f>
        <v>CO|imports|hydro (is not a fuel)</v>
      </c>
    </row>
    <row r="287" spans="1:8" x14ac:dyDescent="0.25">
      <c r="A287" t="s">
        <v>73</v>
      </c>
      <c r="B287" t="s">
        <v>191</v>
      </c>
      <c r="C287" t="s">
        <v>77</v>
      </c>
      <c r="D287">
        <v>0</v>
      </c>
      <c r="E287">
        <v>0</v>
      </c>
      <c r="F287">
        <v>0</v>
      </c>
      <c r="G287" s="10">
        <f t="shared" si="4"/>
        <v>0</v>
      </c>
      <c r="H287" t="str">
        <f>$A287&amp;Keys!$C$54&amp;$B287&amp;Keys!$C$54&amp;$C287</f>
        <v>CO|imports|wind (is not a fuel)</v>
      </c>
    </row>
    <row r="288" spans="1:8" x14ac:dyDescent="0.25">
      <c r="A288" t="s">
        <v>73</v>
      </c>
      <c r="B288" t="s">
        <v>191</v>
      </c>
      <c r="C288" t="s">
        <v>80</v>
      </c>
      <c r="D288">
        <v>0</v>
      </c>
      <c r="E288">
        <v>0</v>
      </c>
      <c r="F288">
        <v>0</v>
      </c>
      <c r="G288" s="10">
        <f t="shared" si="4"/>
        <v>0</v>
      </c>
      <c r="H288" t="str">
        <f>$A288&amp;Keys!$C$54&amp;$B288&amp;Keys!$C$54&amp;$C288</f>
        <v>CO|imports|solar (is not a fuel)</v>
      </c>
    </row>
    <row r="289" spans="1:8" x14ac:dyDescent="0.25">
      <c r="A289" t="s">
        <v>73</v>
      </c>
      <c r="B289" t="s">
        <v>191</v>
      </c>
      <c r="C289" t="s">
        <v>82</v>
      </c>
      <c r="D289">
        <v>0</v>
      </c>
      <c r="E289">
        <v>8255180000000</v>
      </c>
      <c r="F289">
        <v>7887670000000</v>
      </c>
      <c r="G289" s="10">
        <f t="shared" si="4"/>
        <v>5380950000000</v>
      </c>
      <c r="H289" t="str">
        <f>$A289&amp;Keys!$C$54&amp;$B289&amp;Keys!$C$54&amp;$C289</f>
        <v>CO|imports|biomass</v>
      </c>
    </row>
    <row r="290" spans="1:8" x14ac:dyDescent="0.25">
      <c r="A290" t="s">
        <v>73</v>
      </c>
      <c r="B290" t="s">
        <v>191</v>
      </c>
      <c r="C290" t="s">
        <v>85</v>
      </c>
      <c r="D290">
        <v>0</v>
      </c>
      <c r="E290">
        <v>130706000000000</v>
      </c>
      <c r="F290">
        <v>131559000000000</v>
      </c>
      <c r="G290" s="10">
        <f t="shared" si="4"/>
        <v>87421666666666.672</v>
      </c>
      <c r="H290" t="str">
        <f>$A290&amp;Keys!$C$54&amp;$B290&amp;Keys!$C$54&amp;$C290</f>
        <v>CO|imports|petroleum gasoline</v>
      </c>
    </row>
    <row r="291" spans="1:8" x14ac:dyDescent="0.25">
      <c r="A291" t="s">
        <v>73</v>
      </c>
      <c r="B291" t="s">
        <v>191</v>
      </c>
      <c r="C291" t="s">
        <v>88</v>
      </c>
      <c r="D291">
        <v>0</v>
      </c>
      <c r="E291">
        <v>69130200000000</v>
      </c>
      <c r="F291">
        <v>72376100000000</v>
      </c>
      <c r="G291" s="10">
        <f t="shared" si="4"/>
        <v>47168766666666.664</v>
      </c>
      <c r="H291" t="str">
        <f>$A291&amp;Keys!$C$54&amp;$B291&amp;Keys!$C$54&amp;$C291</f>
        <v>CO|imports|petroleum diesel</v>
      </c>
    </row>
    <row r="292" spans="1:8" x14ac:dyDescent="0.25">
      <c r="A292" t="s">
        <v>73</v>
      </c>
      <c r="B292" t="s">
        <v>191</v>
      </c>
      <c r="C292" t="s">
        <v>91</v>
      </c>
      <c r="D292">
        <v>0</v>
      </c>
      <c r="E292">
        <v>2161400000000</v>
      </c>
      <c r="F292">
        <v>2024910000000</v>
      </c>
      <c r="G292" s="10">
        <f t="shared" si="4"/>
        <v>1395436666666.6667</v>
      </c>
      <c r="H292" t="str">
        <f>$A292&amp;Keys!$C$54&amp;$B292&amp;Keys!$C$54&amp;$C292</f>
        <v>CO|imports|biofuel gasoline</v>
      </c>
    </row>
    <row r="293" spans="1:8" x14ac:dyDescent="0.25">
      <c r="A293" t="s">
        <v>73</v>
      </c>
      <c r="B293" t="s">
        <v>191</v>
      </c>
      <c r="C293" t="s">
        <v>94</v>
      </c>
      <c r="D293">
        <v>0</v>
      </c>
      <c r="E293">
        <v>406319000000</v>
      </c>
      <c r="F293">
        <v>412418000000</v>
      </c>
      <c r="G293" s="10">
        <f t="shared" si="4"/>
        <v>272912333333.33334</v>
      </c>
      <c r="H293" t="str">
        <f>$A293&amp;Keys!$C$54&amp;$B293&amp;Keys!$C$54&amp;$C293</f>
        <v>CO|imports|biofuel diesel</v>
      </c>
    </row>
    <row r="294" spans="1:8" x14ac:dyDescent="0.25">
      <c r="A294" t="s">
        <v>73</v>
      </c>
      <c r="B294" t="s">
        <v>191</v>
      </c>
      <c r="C294" t="s">
        <v>97</v>
      </c>
      <c r="D294">
        <v>0</v>
      </c>
      <c r="E294">
        <v>61491300000000</v>
      </c>
      <c r="F294">
        <v>64256200000000</v>
      </c>
      <c r="G294" s="10">
        <f t="shared" si="4"/>
        <v>41915833333333.336</v>
      </c>
      <c r="H294" t="str">
        <f>$A294&amp;Keys!$C$54&amp;$B294&amp;Keys!$C$54&amp;$C294</f>
        <v>CO|imports|jet fuel or kerosene</v>
      </c>
    </row>
    <row r="295" spans="1:8" x14ac:dyDescent="0.25">
      <c r="A295" t="s">
        <v>73</v>
      </c>
      <c r="B295" t="s">
        <v>191</v>
      </c>
      <c r="C295" t="s">
        <v>100</v>
      </c>
      <c r="D295">
        <v>0</v>
      </c>
      <c r="E295">
        <v>0</v>
      </c>
      <c r="F295">
        <v>0</v>
      </c>
      <c r="G295" s="10">
        <f t="shared" si="4"/>
        <v>0</v>
      </c>
      <c r="H295" t="str">
        <f>$A295&amp;Keys!$C$54&amp;$B295&amp;Keys!$C$54&amp;$C295</f>
        <v>CO|imports|heat (not used in this variable)</v>
      </c>
    </row>
    <row r="296" spans="1:8" x14ac:dyDescent="0.25">
      <c r="A296" t="s">
        <v>73</v>
      </c>
      <c r="B296" t="s">
        <v>191</v>
      </c>
      <c r="C296" t="s">
        <v>103</v>
      </c>
      <c r="D296">
        <v>0</v>
      </c>
      <c r="E296">
        <v>0</v>
      </c>
      <c r="F296">
        <v>0</v>
      </c>
      <c r="G296" s="10">
        <f t="shared" si="4"/>
        <v>0</v>
      </c>
      <c r="H296" t="str">
        <f>$A296&amp;Keys!$C$54&amp;$B296&amp;Keys!$C$54&amp;$C296</f>
        <v>CO|imports|geothermal (is not a fuel)</v>
      </c>
    </row>
    <row r="297" spans="1:8" x14ac:dyDescent="0.25">
      <c r="A297" t="s">
        <v>73</v>
      </c>
      <c r="B297" t="s">
        <v>191</v>
      </c>
      <c r="C297" t="s">
        <v>106</v>
      </c>
      <c r="D297">
        <v>0</v>
      </c>
      <c r="E297">
        <v>0</v>
      </c>
      <c r="F297">
        <v>0</v>
      </c>
      <c r="G297" s="10">
        <f t="shared" si="4"/>
        <v>0</v>
      </c>
      <c r="H297" t="str">
        <f>$A297&amp;Keys!$C$54&amp;$B297&amp;Keys!$C$54&amp;$C297</f>
        <v>CO|imports|lignite</v>
      </c>
    </row>
    <row r="298" spans="1:8" x14ac:dyDescent="0.25">
      <c r="A298" t="s">
        <v>73</v>
      </c>
      <c r="B298" t="s">
        <v>191</v>
      </c>
      <c r="C298" t="s">
        <v>109</v>
      </c>
      <c r="D298">
        <v>0</v>
      </c>
      <c r="E298">
        <v>0</v>
      </c>
      <c r="F298">
        <v>0</v>
      </c>
      <c r="G298" s="10">
        <f t="shared" si="4"/>
        <v>0</v>
      </c>
      <c r="H298" t="str">
        <f>$A298&amp;Keys!$C$54&amp;$B298&amp;Keys!$C$54&amp;$C298</f>
        <v>CO|imports|crude oil</v>
      </c>
    </row>
    <row r="299" spans="1:8" x14ac:dyDescent="0.25">
      <c r="A299" t="s">
        <v>73</v>
      </c>
      <c r="B299" t="s">
        <v>191</v>
      </c>
      <c r="C299" t="s">
        <v>113</v>
      </c>
      <c r="D299">
        <v>0</v>
      </c>
      <c r="E299">
        <v>8248130000000</v>
      </c>
      <c r="F299">
        <v>8603940000000</v>
      </c>
      <c r="G299" s="10">
        <f t="shared" si="4"/>
        <v>5617356666666.667</v>
      </c>
      <c r="H299" t="str">
        <f>$A299&amp;Keys!$C$54&amp;$B299&amp;Keys!$C$54&amp;$C299</f>
        <v>CO|imports|heavy fuel oil</v>
      </c>
    </row>
    <row r="300" spans="1:8" x14ac:dyDescent="0.25">
      <c r="A300" t="s">
        <v>73</v>
      </c>
      <c r="B300" t="s">
        <v>191</v>
      </c>
      <c r="C300" t="s">
        <v>117</v>
      </c>
      <c r="D300">
        <v>0</v>
      </c>
      <c r="E300">
        <v>0</v>
      </c>
      <c r="F300">
        <v>0</v>
      </c>
      <c r="G300" s="10">
        <f t="shared" si="4"/>
        <v>0</v>
      </c>
      <c r="H300" t="str">
        <f>$A300&amp;Keys!$C$54&amp;$B300&amp;Keys!$C$54&amp;$C300</f>
        <v>CO|imports|LPG propane or butane</v>
      </c>
    </row>
    <row r="301" spans="1:8" x14ac:dyDescent="0.25">
      <c r="A301" t="s">
        <v>73</v>
      </c>
      <c r="B301" t="s">
        <v>191</v>
      </c>
      <c r="C301" t="s">
        <v>120</v>
      </c>
      <c r="D301">
        <v>0</v>
      </c>
      <c r="E301">
        <v>0</v>
      </c>
      <c r="F301">
        <v>0</v>
      </c>
      <c r="G301" s="10">
        <f t="shared" si="4"/>
        <v>0</v>
      </c>
      <c r="H301" t="str">
        <f>$A301&amp;Keys!$C$54&amp;$B301&amp;Keys!$C$54&amp;$C301</f>
        <v>CO|imports|municipal solid waste</v>
      </c>
    </row>
    <row r="302" spans="1:8" x14ac:dyDescent="0.25">
      <c r="A302" t="s">
        <v>73</v>
      </c>
      <c r="B302" t="s">
        <v>191</v>
      </c>
      <c r="C302" t="s">
        <v>123</v>
      </c>
      <c r="D302">
        <v>0</v>
      </c>
      <c r="E302">
        <v>191114000000</v>
      </c>
      <c r="F302">
        <v>322683000000</v>
      </c>
      <c r="G302" s="10">
        <f t="shared" si="4"/>
        <v>171265666666.66666</v>
      </c>
      <c r="H302" t="str">
        <f>$A302&amp;Keys!$C$54&amp;$B302&amp;Keys!$C$54&amp;$C302</f>
        <v>CO|imports|hydrogen</v>
      </c>
    </row>
    <row r="303" spans="1:8" x14ac:dyDescent="0.25">
      <c r="A303" t="s">
        <v>73</v>
      </c>
      <c r="B303" t="s">
        <v>193</v>
      </c>
      <c r="C303" t="s">
        <v>60</v>
      </c>
      <c r="D303">
        <v>0</v>
      </c>
      <c r="E303">
        <v>0</v>
      </c>
      <c r="F303">
        <v>0</v>
      </c>
      <c r="G303" s="10">
        <f t="shared" si="4"/>
        <v>0</v>
      </c>
      <c r="H303" t="str">
        <f>$A303&amp;Keys!$C$54&amp;$B303&amp;Keys!$C$54&amp;$C303</f>
        <v>CO|exports|electricity (not used in this variable)</v>
      </c>
    </row>
    <row r="304" spans="1:8" x14ac:dyDescent="0.25">
      <c r="A304" t="s">
        <v>73</v>
      </c>
      <c r="B304" t="s">
        <v>193</v>
      </c>
      <c r="C304" t="s">
        <v>64</v>
      </c>
      <c r="D304">
        <v>97185000000000</v>
      </c>
      <c r="E304">
        <v>97185000000000</v>
      </c>
      <c r="F304">
        <v>90751500000000</v>
      </c>
      <c r="G304" s="10">
        <f t="shared" si="4"/>
        <v>95040500000000</v>
      </c>
      <c r="H304" t="str">
        <f>$A304&amp;Keys!$C$54&amp;$B304&amp;Keys!$C$54&amp;$C304</f>
        <v>CO|exports|hard coal</v>
      </c>
    </row>
    <row r="305" spans="1:8" x14ac:dyDescent="0.25">
      <c r="A305" t="s">
        <v>73</v>
      </c>
      <c r="B305" t="s">
        <v>193</v>
      </c>
      <c r="C305" t="s">
        <v>68</v>
      </c>
      <c r="D305">
        <v>1960690000000000</v>
      </c>
      <c r="E305">
        <v>1960690000000000</v>
      </c>
      <c r="F305">
        <v>1966040000000000</v>
      </c>
      <c r="G305" s="10">
        <f t="shared" si="4"/>
        <v>1962473333333333.3</v>
      </c>
      <c r="H305" t="str">
        <f>$A305&amp;Keys!$C$54&amp;$B305&amp;Keys!$C$54&amp;$C305</f>
        <v>CO|exports|natural gas</v>
      </c>
    </row>
    <row r="306" spans="1:8" x14ac:dyDescent="0.25">
      <c r="A306" t="s">
        <v>73</v>
      </c>
      <c r="B306" t="s">
        <v>193</v>
      </c>
      <c r="C306" t="s">
        <v>71</v>
      </c>
      <c r="D306">
        <v>0</v>
      </c>
      <c r="E306">
        <v>0</v>
      </c>
      <c r="F306">
        <v>0</v>
      </c>
      <c r="G306" s="10">
        <f t="shared" si="4"/>
        <v>0</v>
      </c>
      <c r="H306" t="str">
        <f>$A306&amp;Keys!$C$54&amp;$B306&amp;Keys!$C$54&amp;$C306</f>
        <v>CO|exports|nuclear</v>
      </c>
    </row>
    <row r="307" spans="1:8" x14ac:dyDescent="0.25">
      <c r="A307" t="s">
        <v>73</v>
      </c>
      <c r="B307" t="s">
        <v>193</v>
      </c>
      <c r="C307" t="s">
        <v>74</v>
      </c>
      <c r="D307">
        <v>0</v>
      </c>
      <c r="E307">
        <v>0</v>
      </c>
      <c r="F307">
        <v>0</v>
      </c>
      <c r="G307" s="10">
        <f t="shared" si="4"/>
        <v>0</v>
      </c>
      <c r="H307" t="str">
        <f>$A307&amp;Keys!$C$54&amp;$B307&amp;Keys!$C$54&amp;$C307</f>
        <v>CO|exports|hydro (is not a fuel)</v>
      </c>
    </row>
    <row r="308" spans="1:8" x14ac:dyDescent="0.25">
      <c r="A308" t="s">
        <v>73</v>
      </c>
      <c r="B308" t="s">
        <v>193</v>
      </c>
      <c r="C308" t="s">
        <v>77</v>
      </c>
      <c r="D308">
        <v>0</v>
      </c>
      <c r="E308">
        <v>0</v>
      </c>
      <c r="F308">
        <v>0</v>
      </c>
      <c r="G308" s="10">
        <f t="shared" si="4"/>
        <v>0</v>
      </c>
      <c r="H308" t="str">
        <f>$A308&amp;Keys!$C$54&amp;$B308&amp;Keys!$C$54&amp;$C308</f>
        <v>CO|exports|wind (is not a fuel)</v>
      </c>
    </row>
    <row r="309" spans="1:8" x14ac:dyDescent="0.25">
      <c r="A309" t="s">
        <v>73</v>
      </c>
      <c r="B309" t="s">
        <v>193</v>
      </c>
      <c r="C309" t="s">
        <v>80</v>
      </c>
      <c r="D309">
        <v>0</v>
      </c>
      <c r="E309">
        <v>0</v>
      </c>
      <c r="F309">
        <v>0</v>
      </c>
      <c r="G309" s="10">
        <f t="shared" si="4"/>
        <v>0</v>
      </c>
      <c r="H309" t="str">
        <f>$A309&amp;Keys!$C$54&amp;$B309&amp;Keys!$C$54&amp;$C309</f>
        <v>CO|exports|solar (is not a fuel)</v>
      </c>
    </row>
    <row r="310" spans="1:8" x14ac:dyDescent="0.25">
      <c r="A310" t="s">
        <v>73</v>
      </c>
      <c r="B310" t="s">
        <v>193</v>
      </c>
      <c r="C310" t="s">
        <v>82</v>
      </c>
      <c r="D310">
        <v>0</v>
      </c>
      <c r="E310">
        <v>0</v>
      </c>
      <c r="F310">
        <v>0</v>
      </c>
      <c r="G310" s="10">
        <f t="shared" si="4"/>
        <v>0</v>
      </c>
      <c r="H310" t="str">
        <f>$A310&amp;Keys!$C$54&amp;$B310&amp;Keys!$C$54&amp;$C310</f>
        <v>CO|exports|biomass</v>
      </c>
    </row>
    <row r="311" spans="1:8" x14ac:dyDescent="0.25">
      <c r="A311" t="s">
        <v>73</v>
      </c>
      <c r="B311" t="s">
        <v>193</v>
      </c>
      <c r="C311" t="s">
        <v>85</v>
      </c>
      <c r="D311">
        <v>0</v>
      </c>
      <c r="E311">
        <v>0</v>
      </c>
      <c r="F311">
        <v>0</v>
      </c>
      <c r="G311" s="10">
        <f t="shared" si="4"/>
        <v>0</v>
      </c>
      <c r="H311" t="str">
        <f>$A311&amp;Keys!$C$54&amp;$B311&amp;Keys!$C$54&amp;$C311</f>
        <v>CO|exports|petroleum gasoline</v>
      </c>
    </row>
    <row r="312" spans="1:8" x14ac:dyDescent="0.25">
      <c r="A312" t="s">
        <v>73</v>
      </c>
      <c r="B312" t="s">
        <v>193</v>
      </c>
      <c r="C312" t="s">
        <v>88</v>
      </c>
      <c r="D312">
        <v>0</v>
      </c>
      <c r="E312">
        <v>0</v>
      </c>
      <c r="F312">
        <v>0</v>
      </c>
      <c r="G312" s="10">
        <f t="shared" si="4"/>
        <v>0</v>
      </c>
      <c r="H312" t="str">
        <f>$A312&amp;Keys!$C$54&amp;$B312&amp;Keys!$C$54&amp;$C312</f>
        <v>CO|exports|petroleum diesel</v>
      </c>
    </row>
    <row r="313" spans="1:8" x14ac:dyDescent="0.25">
      <c r="A313" t="s">
        <v>73</v>
      </c>
      <c r="B313" t="s">
        <v>193</v>
      </c>
      <c r="C313" t="s">
        <v>91</v>
      </c>
      <c r="D313">
        <v>0</v>
      </c>
      <c r="E313">
        <v>0</v>
      </c>
      <c r="F313">
        <v>0</v>
      </c>
      <c r="G313" s="10">
        <f t="shared" si="4"/>
        <v>0</v>
      </c>
      <c r="H313" t="str">
        <f>$A313&amp;Keys!$C$54&amp;$B313&amp;Keys!$C$54&amp;$C313</f>
        <v>CO|exports|biofuel gasoline</v>
      </c>
    </row>
    <row r="314" spans="1:8" x14ac:dyDescent="0.25">
      <c r="A314" t="s">
        <v>73</v>
      </c>
      <c r="B314" t="s">
        <v>193</v>
      </c>
      <c r="C314" t="s">
        <v>94</v>
      </c>
      <c r="D314">
        <v>0</v>
      </c>
      <c r="E314">
        <v>0</v>
      </c>
      <c r="F314">
        <v>0</v>
      </c>
      <c r="G314" s="10">
        <f t="shared" si="4"/>
        <v>0</v>
      </c>
      <c r="H314" t="str">
        <f>$A314&amp;Keys!$C$54&amp;$B314&amp;Keys!$C$54&amp;$C314</f>
        <v>CO|exports|biofuel diesel</v>
      </c>
    </row>
    <row r="315" spans="1:8" x14ac:dyDescent="0.25">
      <c r="A315" t="s">
        <v>73</v>
      </c>
      <c r="B315" t="s">
        <v>193</v>
      </c>
      <c r="C315" t="s">
        <v>97</v>
      </c>
      <c r="D315">
        <v>0</v>
      </c>
      <c r="E315">
        <v>0</v>
      </c>
      <c r="F315">
        <v>0</v>
      </c>
      <c r="G315" s="10">
        <f t="shared" si="4"/>
        <v>0</v>
      </c>
      <c r="H315" t="str">
        <f>$A315&amp;Keys!$C$54&amp;$B315&amp;Keys!$C$54&amp;$C315</f>
        <v>CO|exports|jet fuel or kerosene</v>
      </c>
    </row>
    <row r="316" spans="1:8" x14ac:dyDescent="0.25">
      <c r="A316" t="s">
        <v>73</v>
      </c>
      <c r="B316" t="s">
        <v>193</v>
      </c>
      <c r="C316" t="s">
        <v>100</v>
      </c>
      <c r="D316">
        <v>0</v>
      </c>
      <c r="E316">
        <v>0</v>
      </c>
      <c r="F316">
        <v>0</v>
      </c>
      <c r="G316" s="10">
        <f t="shared" si="4"/>
        <v>0</v>
      </c>
      <c r="H316" t="str">
        <f>$A316&amp;Keys!$C$54&amp;$B316&amp;Keys!$C$54&amp;$C316</f>
        <v>CO|exports|heat (not used in this variable)</v>
      </c>
    </row>
    <row r="317" spans="1:8" x14ac:dyDescent="0.25">
      <c r="A317" t="s">
        <v>73</v>
      </c>
      <c r="B317" t="s">
        <v>193</v>
      </c>
      <c r="C317" t="s">
        <v>103</v>
      </c>
      <c r="D317">
        <v>0</v>
      </c>
      <c r="E317">
        <v>0</v>
      </c>
      <c r="F317">
        <v>0</v>
      </c>
      <c r="G317" s="10">
        <f t="shared" si="4"/>
        <v>0</v>
      </c>
      <c r="H317" t="str">
        <f>$A317&amp;Keys!$C$54&amp;$B317&amp;Keys!$C$54&amp;$C317</f>
        <v>CO|exports|geothermal (is not a fuel)</v>
      </c>
    </row>
    <row r="318" spans="1:8" x14ac:dyDescent="0.25">
      <c r="A318" t="s">
        <v>73</v>
      </c>
      <c r="B318" t="s">
        <v>193</v>
      </c>
      <c r="C318" t="s">
        <v>106</v>
      </c>
      <c r="D318">
        <v>0</v>
      </c>
      <c r="E318">
        <v>0</v>
      </c>
      <c r="F318">
        <v>0</v>
      </c>
      <c r="G318" s="10">
        <f t="shared" si="4"/>
        <v>0</v>
      </c>
      <c r="H318" t="str">
        <f>$A318&amp;Keys!$C$54&amp;$B318&amp;Keys!$C$54&amp;$C318</f>
        <v>CO|exports|lignite</v>
      </c>
    </row>
    <row r="319" spans="1:8" x14ac:dyDescent="0.25">
      <c r="A319" t="s">
        <v>73</v>
      </c>
      <c r="B319" t="s">
        <v>193</v>
      </c>
      <c r="C319" t="s">
        <v>109</v>
      </c>
      <c r="D319">
        <v>0</v>
      </c>
      <c r="E319">
        <v>774787000000000</v>
      </c>
      <c r="F319">
        <v>756805000000000</v>
      </c>
      <c r="G319" s="10">
        <f t="shared" si="4"/>
        <v>510530666666666.69</v>
      </c>
      <c r="H319" t="str">
        <f>$A319&amp;Keys!$C$54&amp;$B319&amp;Keys!$C$54&amp;$C319</f>
        <v>CO|exports|crude oil</v>
      </c>
    </row>
    <row r="320" spans="1:8" x14ac:dyDescent="0.25">
      <c r="A320" t="s">
        <v>73</v>
      </c>
      <c r="B320" t="s">
        <v>193</v>
      </c>
      <c r="C320" t="s">
        <v>113</v>
      </c>
      <c r="D320">
        <v>0</v>
      </c>
      <c r="E320">
        <v>0</v>
      </c>
      <c r="F320">
        <v>0</v>
      </c>
      <c r="G320" s="10">
        <f t="shared" si="4"/>
        <v>0</v>
      </c>
      <c r="H320" t="str">
        <f>$A320&amp;Keys!$C$54&amp;$B320&amp;Keys!$C$54&amp;$C320</f>
        <v>CO|exports|heavy fuel oil</v>
      </c>
    </row>
    <row r="321" spans="1:8" x14ac:dyDescent="0.25">
      <c r="A321" t="s">
        <v>73</v>
      </c>
      <c r="B321" t="s">
        <v>193</v>
      </c>
      <c r="C321" t="s">
        <v>117</v>
      </c>
      <c r="D321">
        <v>0</v>
      </c>
      <c r="E321">
        <v>190003000000000</v>
      </c>
      <c r="F321">
        <v>194564000000000</v>
      </c>
      <c r="G321" s="10">
        <f t="shared" si="4"/>
        <v>128189000000000</v>
      </c>
      <c r="H321" t="str">
        <f>$A321&amp;Keys!$C$54&amp;$B321&amp;Keys!$C$54&amp;$C321</f>
        <v>CO|exports|LPG propane or butane</v>
      </c>
    </row>
    <row r="322" spans="1:8" x14ac:dyDescent="0.25">
      <c r="A322" t="s">
        <v>73</v>
      </c>
      <c r="B322" t="s">
        <v>193</v>
      </c>
      <c r="C322" t="s">
        <v>120</v>
      </c>
      <c r="D322">
        <v>0</v>
      </c>
      <c r="E322">
        <v>0</v>
      </c>
      <c r="F322">
        <v>0</v>
      </c>
      <c r="G322" s="10">
        <f t="shared" si="4"/>
        <v>0</v>
      </c>
      <c r="H322" t="str">
        <f>$A322&amp;Keys!$C$54&amp;$B322&amp;Keys!$C$54&amp;$C322</f>
        <v>CO|exports|municipal solid waste</v>
      </c>
    </row>
    <row r="323" spans="1:8" x14ac:dyDescent="0.25">
      <c r="A323" t="s">
        <v>73</v>
      </c>
      <c r="B323" t="s">
        <v>193</v>
      </c>
      <c r="C323" t="s">
        <v>123</v>
      </c>
      <c r="D323">
        <v>0</v>
      </c>
      <c r="E323">
        <v>0</v>
      </c>
      <c r="F323">
        <v>0</v>
      </c>
      <c r="G323" s="10">
        <f t="shared" si="4"/>
        <v>0</v>
      </c>
      <c r="H323" t="str">
        <f>$A323&amp;Keys!$C$54&amp;$B323&amp;Keys!$C$54&amp;$C323</f>
        <v>CO|exports|hydrogen</v>
      </c>
    </row>
    <row r="324" spans="1:8" x14ac:dyDescent="0.25">
      <c r="A324" t="s">
        <v>76</v>
      </c>
      <c r="B324" t="s">
        <v>188</v>
      </c>
      <c r="C324" t="s">
        <v>60</v>
      </c>
      <c r="D324">
        <v>0</v>
      </c>
      <c r="E324">
        <v>0</v>
      </c>
      <c r="F324">
        <v>0</v>
      </c>
      <c r="G324" s="10">
        <f t="shared" si="4"/>
        <v>0</v>
      </c>
      <c r="H324" t="str">
        <f>$A324&amp;Keys!$C$54&amp;$B324&amp;Keys!$C$54&amp;$C324</f>
        <v>CT|production|electricity (not used in this variable)</v>
      </c>
    </row>
    <row r="325" spans="1:8" x14ac:dyDescent="0.25">
      <c r="A325" t="s">
        <v>76</v>
      </c>
      <c r="B325" t="s">
        <v>188</v>
      </c>
      <c r="C325" t="s">
        <v>64</v>
      </c>
      <c r="D325">
        <v>0</v>
      </c>
      <c r="E325">
        <v>0</v>
      </c>
      <c r="F325">
        <v>0</v>
      </c>
      <c r="G325" s="10">
        <f t="shared" si="4"/>
        <v>0</v>
      </c>
      <c r="H325" t="str">
        <f>$A325&amp;Keys!$C$54&amp;$B325&amp;Keys!$C$54&amp;$C325</f>
        <v>CT|production|hard coal</v>
      </c>
    </row>
    <row r="326" spans="1:8" x14ac:dyDescent="0.25">
      <c r="A326" t="s">
        <v>76</v>
      </c>
      <c r="B326" t="s">
        <v>188</v>
      </c>
      <c r="C326" t="s">
        <v>68</v>
      </c>
      <c r="D326">
        <v>0</v>
      </c>
      <c r="E326">
        <v>0</v>
      </c>
      <c r="F326">
        <v>0</v>
      </c>
      <c r="G326" s="10">
        <f t="shared" si="4"/>
        <v>0</v>
      </c>
      <c r="H326" t="str">
        <f>$A326&amp;Keys!$C$54&amp;$B326&amp;Keys!$C$54&amp;$C326</f>
        <v>CT|production|natural gas</v>
      </c>
    </row>
    <row r="327" spans="1:8" x14ac:dyDescent="0.25">
      <c r="A327" t="s">
        <v>76</v>
      </c>
      <c r="B327" t="s">
        <v>188</v>
      </c>
      <c r="C327" t="s">
        <v>71</v>
      </c>
      <c r="D327">
        <v>0</v>
      </c>
      <c r="E327">
        <v>0</v>
      </c>
      <c r="F327">
        <v>0</v>
      </c>
      <c r="G327" s="10">
        <f t="shared" si="4"/>
        <v>0</v>
      </c>
      <c r="H327" t="str">
        <f>$A327&amp;Keys!$C$54&amp;$B327&amp;Keys!$C$54&amp;$C327</f>
        <v>CT|production|nuclear</v>
      </c>
    </row>
    <row r="328" spans="1:8" x14ac:dyDescent="0.25">
      <c r="A328" t="s">
        <v>76</v>
      </c>
      <c r="B328" t="s">
        <v>188</v>
      </c>
      <c r="C328" t="s">
        <v>74</v>
      </c>
      <c r="D328">
        <v>0</v>
      </c>
      <c r="E328">
        <v>0</v>
      </c>
      <c r="F328">
        <v>0</v>
      </c>
      <c r="G328" s="10">
        <f t="shared" si="4"/>
        <v>0</v>
      </c>
      <c r="H328" t="str">
        <f>$A328&amp;Keys!$C$54&amp;$B328&amp;Keys!$C$54&amp;$C328</f>
        <v>CT|production|hydro (is not a fuel)</v>
      </c>
    </row>
    <row r="329" spans="1:8" x14ac:dyDescent="0.25">
      <c r="A329" t="s">
        <v>76</v>
      </c>
      <c r="B329" t="s">
        <v>188</v>
      </c>
      <c r="C329" t="s">
        <v>77</v>
      </c>
      <c r="D329">
        <v>0</v>
      </c>
      <c r="E329">
        <v>0</v>
      </c>
      <c r="F329">
        <v>0</v>
      </c>
      <c r="G329" s="10">
        <f t="shared" ref="G329:G392" si="5">AVERAGE($D329:$F329)</f>
        <v>0</v>
      </c>
      <c r="H329" t="str">
        <f>$A329&amp;Keys!$C$54&amp;$B329&amp;Keys!$C$54&amp;$C329</f>
        <v>CT|production|wind (is not a fuel)</v>
      </c>
    </row>
    <row r="330" spans="1:8" x14ac:dyDescent="0.25">
      <c r="A330" t="s">
        <v>76</v>
      </c>
      <c r="B330" t="s">
        <v>188</v>
      </c>
      <c r="C330" t="s">
        <v>80</v>
      </c>
      <c r="D330">
        <v>0</v>
      </c>
      <c r="E330">
        <v>0</v>
      </c>
      <c r="F330">
        <v>0</v>
      </c>
      <c r="G330" s="10">
        <f t="shared" si="5"/>
        <v>0</v>
      </c>
      <c r="H330" t="str">
        <f>$A330&amp;Keys!$C$54&amp;$B330&amp;Keys!$C$54&amp;$C330</f>
        <v>CT|production|solar (is not a fuel)</v>
      </c>
    </row>
    <row r="331" spans="1:8" x14ac:dyDescent="0.25">
      <c r="A331" t="s">
        <v>76</v>
      </c>
      <c r="B331" t="s">
        <v>188</v>
      </c>
      <c r="C331" t="s">
        <v>82</v>
      </c>
      <c r="D331">
        <v>0</v>
      </c>
      <c r="E331">
        <v>0</v>
      </c>
      <c r="F331">
        <v>0</v>
      </c>
      <c r="G331" s="10">
        <f t="shared" si="5"/>
        <v>0</v>
      </c>
      <c r="H331" t="str">
        <f>$A331&amp;Keys!$C$54&amp;$B331&amp;Keys!$C$54&amp;$C331</f>
        <v>CT|production|biomass</v>
      </c>
    </row>
    <row r="332" spans="1:8" x14ac:dyDescent="0.25">
      <c r="A332" t="s">
        <v>76</v>
      </c>
      <c r="B332" t="s">
        <v>188</v>
      </c>
      <c r="C332" t="s">
        <v>85</v>
      </c>
      <c r="D332">
        <v>0</v>
      </c>
      <c r="E332">
        <v>0</v>
      </c>
      <c r="F332">
        <v>0</v>
      </c>
      <c r="G332" s="10">
        <f t="shared" si="5"/>
        <v>0</v>
      </c>
      <c r="H332" t="str">
        <f>$A332&amp;Keys!$C$54&amp;$B332&amp;Keys!$C$54&amp;$C332</f>
        <v>CT|production|petroleum gasoline</v>
      </c>
    </row>
    <row r="333" spans="1:8" x14ac:dyDescent="0.25">
      <c r="A333" t="s">
        <v>76</v>
      </c>
      <c r="B333" t="s">
        <v>188</v>
      </c>
      <c r="C333" t="s">
        <v>88</v>
      </c>
      <c r="D333">
        <v>0</v>
      </c>
      <c r="E333">
        <v>0</v>
      </c>
      <c r="F333">
        <v>0</v>
      </c>
      <c r="G333" s="10">
        <f t="shared" si="5"/>
        <v>0</v>
      </c>
      <c r="H333" t="str">
        <f>$A333&amp;Keys!$C$54&amp;$B333&amp;Keys!$C$54&amp;$C333</f>
        <v>CT|production|petroleum diesel</v>
      </c>
    </row>
    <row r="334" spans="1:8" x14ac:dyDescent="0.25">
      <c r="A334" t="s">
        <v>76</v>
      </c>
      <c r="B334" t="s">
        <v>188</v>
      </c>
      <c r="C334" t="s">
        <v>91</v>
      </c>
      <c r="D334">
        <v>0</v>
      </c>
      <c r="E334">
        <v>0</v>
      </c>
      <c r="F334">
        <v>0</v>
      </c>
      <c r="G334" s="10">
        <f t="shared" si="5"/>
        <v>0</v>
      </c>
      <c r="H334" t="str">
        <f>$A334&amp;Keys!$C$54&amp;$B334&amp;Keys!$C$54&amp;$C334</f>
        <v>CT|production|biofuel gasoline</v>
      </c>
    </row>
    <row r="335" spans="1:8" x14ac:dyDescent="0.25">
      <c r="A335" t="s">
        <v>76</v>
      </c>
      <c r="B335" t="s">
        <v>188</v>
      </c>
      <c r="C335" t="s">
        <v>94</v>
      </c>
      <c r="D335">
        <v>10680200000000</v>
      </c>
      <c r="E335">
        <v>10680200000000</v>
      </c>
      <c r="F335">
        <v>12686600000000</v>
      </c>
      <c r="G335" s="10">
        <f t="shared" si="5"/>
        <v>11349000000000</v>
      </c>
      <c r="H335" t="str">
        <f>$A335&amp;Keys!$C$54&amp;$B335&amp;Keys!$C$54&amp;$C335</f>
        <v>CT|production|biofuel diesel</v>
      </c>
    </row>
    <row r="336" spans="1:8" x14ac:dyDescent="0.25">
      <c r="A336" t="s">
        <v>76</v>
      </c>
      <c r="B336" t="s">
        <v>188</v>
      </c>
      <c r="C336" t="s">
        <v>97</v>
      </c>
      <c r="D336">
        <v>0</v>
      </c>
      <c r="E336">
        <v>0</v>
      </c>
      <c r="F336">
        <v>0</v>
      </c>
      <c r="G336" s="10">
        <f t="shared" si="5"/>
        <v>0</v>
      </c>
      <c r="H336" t="str">
        <f>$A336&amp;Keys!$C$54&amp;$B336&amp;Keys!$C$54&amp;$C336</f>
        <v>CT|production|jet fuel or kerosene</v>
      </c>
    </row>
    <row r="337" spans="1:8" x14ac:dyDescent="0.25">
      <c r="A337" t="s">
        <v>76</v>
      </c>
      <c r="B337" t="s">
        <v>188</v>
      </c>
      <c r="C337" t="s">
        <v>100</v>
      </c>
      <c r="D337">
        <v>0</v>
      </c>
      <c r="E337">
        <v>0</v>
      </c>
      <c r="F337">
        <v>0</v>
      </c>
      <c r="G337" s="10">
        <f t="shared" si="5"/>
        <v>0</v>
      </c>
      <c r="H337" t="str">
        <f>$A337&amp;Keys!$C$54&amp;$B337&amp;Keys!$C$54&amp;$C337</f>
        <v>CT|production|heat (not used in this variable)</v>
      </c>
    </row>
    <row r="338" spans="1:8" x14ac:dyDescent="0.25">
      <c r="A338" t="s">
        <v>76</v>
      </c>
      <c r="B338" t="s">
        <v>188</v>
      </c>
      <c r="C338" t="s">
        <v>103</v>
      </c>
      <c r="D338">
        <v>0</v>
      </c>
      <c r="E338">
        <v>0</v>
      </c>
      <c r="F338">
        <v>0</v>
      </c>
      <c r="G338" s="10">
        <f t="shared" si="5"/>
        <v>0</v>
      </c>
      <c r="H338" t="str">
        <f>$A338&amp;Keys!$C$54&amp;$B338&amp;Keys!$C$54&amp;$C338</f>
        <v>CT|production|geothermal (is not a fuel)</v>
      </c>
    </row>
    <row r="339" spans="1:8" x14ac:dyDescent="0.25">
      <c r="A339" t="s">
        <v>76</v>
      </c>
      <c r="B339" t="s">
        <v>188</v>
      </c>
      <c r="C339" t="s">
        <v>106</v>
      </c>
      <c r="D339">
        <v>0</v>
      </c>
      <c r="E339">
        <v>0</v>
      </c>
      <c r="F339">
        <v>0</v>
      </c>
      <c r="G339" s="10">
        <f t="shared" si="5"/>
        <v>0</v>
      </c>
      <c r="H339" t="str">
        <f>$A339&amp;Keys!$C$54&amp;$B339&amp;Keys!$C$54&amp;$C339</f>
        <v>CT|production|lignite</v>
      </c>
    </row>
    <row r="340" spans="1:8" x14ac:dyDescent="0.25">
      <c r="A340" t="s">
        <v>76</v>
      </c>
      <c r="B340" t="s">
        <v>188</v>
      </c>
      <c r="C340" t="s">
        <v>109</v>
      </c>
      <c r="D340">
        <v>0</v>
      </c>
      <c r="E340">
        <v>0</v>
      </c>
      <c r="F340">
        <v>0</v>
      </c>
      <c r="G340" s="10">
        <f t="shared" si="5"/>
        <v>0</v>
      </c>
      <c r="H340" t="str">
        <f>$A340&amp;Keys!$C$54&amp;$B340&amp;Keys!$C$54&amp;$C340</f>
        <v>CT|production|crude oil</v>
      </c>
    </row>
    <row r="341" spans="1:8" x14ac:dyDescent="0.25">
      <c r="A341" t="s">
        <v>76</v>
      </c>
      <c r="B341" t="s">
        <v>188</v>
      </c>
      <c r="C341" t="s">
        <v>113</v>
      </c>
      <c r="D341">
        <v>0</v>
      </c>
      <c r="E341">
        <v>0</v>
      </c>
      <c r="F341">
        <v>0</v>
      </c>
      <c r="G341" s="10">
        <f t="shared" si="5"/>
        <v>0</v>
      </c>
      <c r="H341" t="str">
        <f>$A341&amp;Keys!$C$54&amp;$B341&amp;Keys!$C$54&amp;$C341</f>
        <v>CT|production|heavy fuel oil</v>
      </c>
    </row>
    <row r="342" spans="1:8" x14ac:dyDescent="0.25">
      <c r="A342" t="s">
        <v>76</v>
      </c>
      <c r="B342" t="s">
        <v>188</v>
      </c>
      <c r="C342" t="s">
        <v>117</v>
      </c>
      <c r="D342">
        <v>0</v>
      </c>
      <c r="E342">
        <v>0</v>
      </c>
      <c r="F342">
        <v>0</v>
      </c>
      <c r="G342" s="10">
        <f t="shared" si="5"/>
        <v>0</v>
      </c>
      <c r="H342" t="str">
        <f>$A342&amp;Keys!$C$54&amp;$B342&amp;Keys!$C$54&amp;$C342</f>
        <v>CT|production|LPG propane or butane</v>
      </c>
    </row>
    <row r="343" spans="1:8" x14ac:dyDescent="0.25">
      <c r="A343" t="s">
        <v>76</v>
      </c>
      <c r="B343" t="s">
        <v>188</v>
      </c>
      <c r="C343" t="s">
        <v>120</v>
      </c>
      <c r="D343">
        <v>0</v>
      </c>
      <c r="E343">
        <v>0</v>
      </c>
      <c r="F343">
        <v>0</v>
      </c>
      <c r="G343" s="10">
        <f t="shared" si="5"/>
        <v>0</v>
      </c>
      <c r="H343" t="str">
        <f>$A343&amp;Keys!$C$54&amp;$B343&amp;Keys!$C$54&amp;$C343</f>
        <v>CT|production|municipal solid waste</v>
      </c>
    </row>
    <row r="344" spans="1:8" x14ac:dyDescent="0.25">
      <c r="A344" t="s">
        <v>76</v>
      </c>
      <c r="B344" t="s">
        <v>188</v>
      </c>
      <c r="C344" t="s">
        <v>123</v>
      </c>
      <c r="D344">
        <v>0</v>
      </c>
      <c r="E344">
        <v>0</v>
      </c>
      <c r="F344">
        <v>0</v>
      </c>
      <c r="G344" s="10">
        <f t="shared" si="5"/>
        <v>0</v>
      </c>
      <c r="H344" t="str">
        <f>$A344&amp;Keys!$C$54&amp;$B344&amp;Keys!$C$54&amp;$C344</f>
        <v>CT|production|hydrogen</v>
      </c>
    </row>
    <row r="345" spans="1:8" x14ac:dyDescent="0.25">
      <c r="A345" t="s">
        <v>76</v>
      </c>
      <c r="B345" t="s">
        <v>191</v>
      </c>
      <c r="C345" t="s">
        <v>60</v>
      </c>
      <c r="D345">
        <v>0</v>
      </c>
      <c r="E345">
        <v>0</v>
      </c>
      <c r="F345">
        <v>0</v>
      </c>
      <c r="G345" s="10">
        <f t="shared" si="5"/>
        <v>0</v>
      </c>
      <c r="H345" t="str">
        <f>$A345&amp;Keys!$C$54&amp;$B345&amp;Keys!$C$54&amp;$C345</f>
        <v>CT|imports|electricity (not used in this variable)</v>
      </c>
    </row>
    <row r="346" spans="1:8" x14ac:dyDescent="0.25">
      <c r="A346" t="s">
        <v>76</v>
      </c>
      <c r="B346" t="s">
        <v>191</v>
      </c>
      <c r="C346" t="s">
        <v>64</v>
      </c>
      <c r="D346">
        <v>0</v>
      </c>
      <c r="E346">
        <v>0</v>
      </c>
      <c r="F346">
        <v>0</v>
      </c>
      <c r="G346" s="10">
        <f t="shared" si="5"/>
        <v>0</v>
      </c>
      <c r="H346" t="str">
        <f>$A346&amp;Keys!$C$54&amp;$B346&amp;Keys!$C$54&amp;$C346</f>
        <v>CT|imports|hard coal</v>
      </c>
    </row>
    <row r="347" spans="1:8" x14ac:dyDescent="0.25">
      <c r="A347" t="s">
        <v>76</v>
      </c>
      <c r="B347" t="s">
        <v>191</v>
      </c>
      <c r="C347" t="s">
        <v>68</v>
      </c>
      <c r="D347">
        <v>661848000000000</v>
      </c>
      <c r="E347">
        <v>685512000000000</v>
      </c>
      <c r="F347">
        <v>681435000000000</v>
      </c>
      <c r="G347" s="10">
        <f t="shared" si="5"/>
        <v>676265000000000</v>
      </c>
      <c r="H347" t="str">
        <f>$A347&amp;Keys!$C$54&amp;$B347&amp;Keys!$C$54&amp;$C347</f>
        <v>CT|imports|natural gas</v>
      </c>
    </row>
    <row r="348" spans="1:8" x14ac:dyDescent="0.25">
      <c r="A348" t="s">
        <v>76</v>
      </c>
      <c r="B348" t="s">
        <v>191</v>
      </c>
      <c r="C348" t="s">
        <v>71</v>
      </c>
      <c r="D348">
        <v>176177000000000</v>
      </c>
      <c r="E348">
        <v>174392000000000</v>
      </c>
      <c r="F348">
        <v>175436000000000</v>
      </c>
      <c r="G348" s="10">
        <f t="shared" si="5"/>
        <v>175335000000000</v>
      </c>
      <c r="H348" t="str">
        <f>$A348&amp;Keys!$C$54&amp;$B348&amp;Keys!$C$54&amp;$C348</f>
        <v>CT|imports|nuclear</v>
      </c>
    </row>
    <row r="349" spans="1:8" x14ac:dyDescent="0.25">
      <c r="A349" t="s">
        <v>76</v>
      </c>
      <c r="B349" t="s">
        <v>191</v>
      </c>
      <c r="C349" t="s">
        <v>74</v>
      </c>
      <c r="D349">
        <v>0</v>
      </c>
      <c r="E349">
        <v>0</v>
      </c>
      <c r="F349">
        <v>0</v>
      </c>
      <c r="G349" s="10">
        <f t="shared" si="5"/>
        <v>0</v>
      </c>
      <c r="H349" t="str">
        <f>$A349&amp;Keys!$C$54&amp;$B349&amp;Keys!$C$54&amp;$C349</f>
        <v>CT|imports|hydro (is not a fuel)</v>
      </c>
    </row>
    <row r="350" spans="1:8" x14ac:dyDescent="0.25">
      <c r="A350" t="s">
        <v>76</v>
      </c>
      <c r="B350" t="s">
        <v>191</v>
      </c>
      <c r="C350" t="s">
        <v>77</v>
      </c>
      <c r="D350">
        <v>0</v>
      </c>
      <c r="E350">
        <v>0</v>
      </c>
      <c r="F350">
        <v>0</v>
      </c>
      <c r="G350" s="10">
        <f t="shared" si="5"/>
        <v>0</v>
      </c>
      <c r="H350" t="str">
        <f>$A350&amp;Keys!$C$54&amp;$B350&amp;Keys!$C$54&amp;$C350</f>
        <v>CT|imports|wind (is not a fuel)</v>
      </c>
    </row>
    <row r="351" spans="1:8" x14ac:dyDescent="0.25">
      <c r="A351" t="s">
        <v>76</v>
      </c>
      <c r="B351" t="s">
        <v>191</v>
      </c>
      <c r="C351" t="s">
        <v>80</v>
      </c>
      <c r="D351">
        <v>0</v>
      </c>
      <c r="E351">
        <v>0</v>
      </c>
      <c r="F351">
        <v>0</v>
      </c>
      <c r="G351" s="10">
        <f t="shared" si="5"/>
        <v>0</v>
      </c>
      <c r="H351" t="str">
        <f>$A351&amp;Keys!$C$54&amp;$B351&amp;Keys!$C$54&amp;$C351</f>
        <v>CT|imports|solar (is not a fuel)</v>
      </c>
    </row>
    <row r="352" spans="1:8" x14ac:dyDescent="0.25">
      <c r="A352" t="s">
        <v>76</v>
      </c>
      <c r="B352" t="s">
        <v>191</v>
      </c>
      <c r="C352" t="s">
        <v>82</v>
      </c>
      <c r="D352">
        <v>0</v>
      </c>
      <c r="E352">
        <v>17183900000000</v>
      </c>
      <c r="F352">
        <v>15021000000000</v>
      </c>
      <c r="G352" s="10">
        <f t="shared" si="5"/>
        <v>10734966666666.666</v>
      </c>
      <c r="H352" t="str">
        <f>$A352&amp;Keys!$C$54&amp;$B352&amp;Keys!$C$54&amp;$C352</f>
        <v>CT|imports|biomass</v>
      </c>
    </row>
    <row r="353" spans="1:8" x14ac:dyDescent="0.25">
      <c r="A353" t="s">
        <v>76</v>
      </c>
      <c r="B353" t="s">
        <v>191</v>
      </c>
      <c r="C353" t="s">
        <v>85</v>
      </c>
      <c r="D353">
        <v>0</v>
      </c>
      <c r="E353">
        <v>151088000000000</v>
      </c>
      <c r="F353">
        <v>148025000000000</v>
      </c>
      <c r="G353" s="10">
        <f t="shared" si="5"/>
        <v>99704333333333.328</v>
      </c>
      <c r="H353" t="str">
        <f>$A353&amp;Keys!$C$54&amp;$B353&amp;Keys!$C$54&amp;$C353</f>
        <v>CT|imports|petroleum gasoline</v>
      </c>
    </row>
    <row r="354" spans="1:8" x14ac:dyDescent="0.25">
      <c r="A354" t="s">
        <v>76</v>
      </c>
      <c r="B354" t="s">
        <v>191</v>
      </c>
      <c r="C354" t="s">
        <v>88</v>
      </c>
      <c r="D354">
        <v>0</v>
      </c>
      <c r="E354">
        <v>108829000000000</v>
      </c>
      <c r="F354">
        <v>105387000000000</v>
      </c>
      <c r="G354" s="10">
        <f t="shared" si="5"/>
        <v>71405333333333.328</v>
      </c>
      <c r="H354" t="str">
        <f>$A354&amp;Keys!$C$54&amp;$B354&amp;Keys!$C$54&amp;$C354</f>
        <v>CT|imports|petroleum diesel</v>
      </c>
    </row>
    <row r="355" spans="1:8" x14ac:dyDescent="0.25">
      <c r="A355" t="s">
        <v>76</v>
      </c>
      <c r="B355" t="s">
        <v>191</v>
      </c>
      <c r="C355" t="s">
        <v>91</v>
      </c>
      <c r="D355">
        <v>0</v>
      </c>
      <c r="E355">
        <v>11050700000000</v>
      </c>
      <c r="F355">
        <v>10828600000000</v>
      </c>
      <c r="G355" s="10">
        <f t="shared" si="5"/>
        <v>7293100000000</v>
      </c>
      <c r="H355" t="str">
        <f>$A355&amp;Keys!$C$54&amp;$B355&amp;Keys!$C$54&amp;$C355</f>
        <v>CT|imports|biofuel gasoline</v>
      </c>
    </row>
    <row r="356" spans="1:8" x14ac:dyDescent="0.25">
      <c r="A356" t="s">
        <v>76</v>
      </c>
      <c r="B356" t="s">
        <v>191</v>
      </c>
      <c r="C356" t="s">
        <v>94</v>
      </c>
      <c r="D356">
        <v>0</v>
      </c>
      <c r="E356">
        <v>0</v>
      </c>
      <c r="F356">
        <v>0</v>
      </c>
      <c r="G356" s="10">
        <f t="shared" si="5"/>
        <v>0</v>
      </c>
      <c r="H356" t="str">
        <f>$A356&amp;Keys!$C$54&amp;$B356&amp;Keys!$C$54&amp;$C356</f>
        <v>CT|imports|biofuel diesel</v>
      </c>
    </row>
    <row r="357" spans="1:8" x14ac:dyDescent="0.25">
      <c r="A357" t="s">
        <v>76</v>
      </c>
      <c r="B357" t="s">
        <v>191</v>
      </c>
      <c r="C357" t="s">
        <v>97</v>
      </c>
      <c r="D357">
        <v>0</v>
      </c>
      <c r="E357">
        <v>9841900000000</v>
      </c>
      <c r="F357">
        <v>9936580000000</v>
      </c>
      <c r="G357" s="10">
        <f t="shared" si="5"/>
        <v>6592826666666.667</v>
      </c>
      <c r="H357" t="str">
        <f>$A357&amp;Keys!$C$54&amp;$B357&amp;Keys!$C$54&amp;$C357</f>
        <v>CT|imports|jet fuel or kerosene</v>
      </c>
    </row>
    <row r="358" spans="1:8" x14ac:dyDescent="0.25">
      <c r="A358" t="s">
        <v>76</v>
      </c>
      <c r="B358" t="s">
        <v>191</v>
      </c>
      <c r="C358" t="s">
        <v>100</v>
      </c>
      <c r="D358">
        <v>0</v>
      </c>
      <c r="E358">
        <v>0</v>
      </c>
      <c r="F358">
        <v>0</v>
      </c>
      <c r="G358" s="10">
        <f t="shared" si="5"/>
        <v>0</v>
      </c>
      <c r="H358" t="str">
        <f>$A358&amp;Keys!$C$54&amp;$B358&amp;Keys!$C$54&amp;$C358</f>
        <v>CT|imports|heat (not used in this variable)</v>
      </c>
    </row>
    <row r="359" spans="1:8" x14ac:dyDescent="0.25">
      <c r="A359" t="s">
        <v>76</v>
      </c>
      <c r="B359" t="s">
        <v>191</v>
      </c>
      <c r="C359" t="s">
        <v>103</v>
      </c>
      <c r="D359">
        <v>0</v>
      </c>
      <c r="E359">
        <v>0</v>
      </c>
      <c r="F359">
        <v>0</v>
      </c>
      <c r="G359" s="10">
        <f t="shared" si="5"/>
        <v>0</v>
      </c>
      <c r="H359" t="str">
        <f>$A359&amp;Keys!$C$54&amp;$B359&amp;Keys!$C$54&amp;$C359</f>
        <v>CT|imports|geothermal (is not a fuel)</v>
      </c>
    </row>
    <row r="360" spans="1:8" x14ac:dyDescent="0.25">
      <c r="A360" t="s">
        <v>76</v>
      </c>
      <c r="B360" t="s">
        <v>191</v>
      </c>
      <c r="C360" t="s">
        <v>106</v>
      </c>
      <c r="D360">
        <v>0</v>
      </c>
      <c r="E360">
        <v>0</v>
      </c>
      <c r="F360">
        <v>0</v>
      </c>
      <c r="G360" s="10">
        <f t="shared" si="5"/>
        <v>0</v>
      </c>
      <c r="H360" t="str">
        <f>$A360&amp;Keys!$C$54&amp;$B360&amp;Keys!$C$54&amp;$C360</f>
        <v>CT|imports|lignite</v>
      </c>
    </row>
    <row r="361" spans="1:8" x14ac:dyDescent="0.25">
      <c r="A361" t="s">
        <v>76</v>
      </c>
      <c r="B361" t="s">
        <v>191</v>
      </c>
      <c r="C361" t="s">
        <v>109</v>
      </c>
      <c r="D361">
        <v>0</v>
      </c>
      <c r="E361">
        <v>18366500000000</v>
      </c>
      <c r="F361">
        <v>16132700000000</v>
      </c>
      <c r="G361" s="10">
        <f t="shared" si="5"/>
        <v>11499733333333.334</v>
      </c>
      <c r="H361" t="str">
        <f>$A361&amp;Keys!$C$54&amp;$B361&amp;Keys!$C$54&amp;$C361</f>
        <v>CT|imports|crude oil</v>
      </c>
    </row>
    <row r="362" spans="1:8" x14ac:dyDescent="0.25">
      <c r="A362" t="s">
        <v>76</v>
      </c>
      <c r="B362" t="s">
        <v>191</v>
      </c>
      <c r="C362" t="s">
        <v>113</v>
      </c>
      <c r="D362">
        <v>0</v>
      </c>
      <c r="E362">
        <v>10749000000000</v>
      </c>
      <c r="F362">
        <v>10970500000000</v>
      </c>
      <c r="G362" s="10">
        <f t="shared" si="5"/>
        <v>7239833333333.333</v>
      </c>
      <c r="H362" t="str">
        <f>$A362&amp;Keys!$C$54&amp;$B362&amp;Keys!$C$54&amp;$C362</f>
        <v>CT|imports|heavy fuel oil</v>
      </c>
    </row>
    <row r="363" spans="1:8" x14ac:dyDescent="0.25">
      <c r="A363" t="s">
        <v>76</v>
      </c>
      <c r="B363" t="s">
        <v>191</v>
      </c>
      <c r="C363" t="s">
        <v>117</v>
      </c>
      <c r="D363">
        <v>0</v>
      </c>
      <c r="E363">
        <v>11399100000000</v>
      </c>
      <c r="F363">
        <v>11192000000000</v>
      </c>
      <c r="G363" s="10">
        <f t="shared" si="5"/>
        <v>7530366666666.667</v>
      </c>
      <c r="H363" t="str">
        <f>$A363&amp;Keys!$C$54&amp;$B363&amp;Keys!$C$54&amp;$C363</f>
        <v>CT|imports|LPG propane or butane</v>
      </c>
    </row>
    <row r="364" spans="1:8" x14ac:dyDescent="0.25">
      <c r="A364" t="s">
        <v>76</v>
      </c>
      <c r="B364" t="s">
        <v>191</v>
      </c>
      <c r="C364" t="s">
        <v>120</v>
      </c>
      <c r="D364">
        <v>0</v>
      </c>
      <c r="E364">
        <v>14498800000000</v>
      </c>
      <c r="F364">
        <v>14315300000000</v>
      </c>
      <c r="G364" s="10">
        <f t="shared" si="5"/>
        <v>9604700000000</v>
      </c>
      <c r="H364" t="str">
        <f>$A364&amp;Keys!$C$54&amp;$B364&amp;Keys!$C$54&amp;$C364</f>
        <v>CT|imports|municipal solid waste</v>
      </c>
    </row>
    <row r="365" spans="1:8" x14ac:dyDescent="0.25">
      <c r="A365" t="s">
        <v>76</v>
      </c>
      <c r="B365" t="s">
        <v>191</v>
      </c>
      <c r="C365" t="s">
        <v>123</v>
      </c>
      <c r="D365">
        <v>0</v>
      </c>
      <c r="E365">
        <v>934595000</v>
      </c>
      <c r="F365">
        <v>1275130000</v>
      </c>
      <c r="G365" s="10">
        <f t="shared" si="5"/>
        <v>736575000</v>
      </c>
      <c r="H365" t="str">
        <f>$A365&amp;Keys!$C$54&amp;$B365&amp;Keys!$C$54&amp;$C365</f>
        <v>CT|imports|hydrogen</v>
      </c>
    </row>
    <row r="366" spans="1:8" x14ac:dyDescent="0.25">
      <c r="A366" t="s">
        <v>76</v>
      </c>
      <c r="B366" t="s">
        <v>193</v>
      </c>
      <c r="C366" t="s">
        <v>60</v>
      </c>
      <c r="D366">
        <v>0</v>
      </c>
      <c r="E366">
        <v>0</v>
      </c>
      <c r="F366">
        <v>0</v>
      </c>
      <c r="G366" s="10">
        <f t="shared" si="5"/>
        <v>0</v>
      </c>
      <c r="H366" t="str">
        <f>$A366&amp;Keys!$C$54&amp;$B366&amp;Keys!$C$54&amp;$C366</f>
        <v>CT|exports|electricity (not used in this variable)</v>
      </c>
    </row>
    <row r="367" spans="1:8" x14ac:dyDescent="0.25">
      <c r="A367" t="s">
        <v>76</v>
      </c>
      <c r="B367" t="s">
        <v>193</v>
      </c>
      <c r="C367" t="s">
        <v>64</v>
      </c>
      <c r="D367">
        <v>0</v>
      </c>
      <c r="E367">
        <v>0</v>
      </c>
      <c r="F367">
        <v>0</v>
      </c>
      <c r="G367" s="10">
        <f t="shared" si="5"/>
        <v>0</v>
      </c>
      <c r="H367" t="str">
        <f>$A367&amp;Keys!$C$54&amp;$B367&amp;Keys!$C$54&amp;$C367</f>
        <v>CT|exports|hard coal</v>
      </c>
    </row>
    <row r="368" spans="1:8" x14ac:dyDescent="0.25">
      <c r="A368" t="s">
        <v>76</v>
      </c>
      <c r="B368" t="s">
        <v>193</v>
      </c>
      <c r="C368" t="s">
        <v>68</v>
      </c>
      <c r="D368">
        <v>376494000000000</v>
      </c>
      <c r="E368">
        <v>376494000000000</v>
      </c>
      <c r="F368">
        <v>377664000000000</v>
      </c>
      <c r="G368" s="10">
        <f t="shared" si="5"/>
        <v>376884000000000</v>
      </c>
      <c r="H368" t="str">
        <f>$A368&amp;Keys!$C$54&amp;$B368&amp;Keys!$C$54&amp;$C368</f>
        <v>CT|exports|natural gas</v>
      </c>
    </row>
    <row r="369" spans="1:8" x14ac:dyDescent="0.25">
      <c r="A369" t="s">
        <v>76</v>
      </c>
      <c r="B369" t="s">
        <v>193</v>
      </c>
      <c r="C369" t="s">
        <v>71</v>
      </c>
      <c r="D369">
        <v>0</v>
      </c>
      <c r="E369">
        <v>0</v>
      </c>
      <c r="F369">
        <v>0</v>
      </c>
      <c r="G369" s="10">
        <f t="shared" si="5"/>
        <v>0</v>
      </c>
      <c r="H369" t="str">
        <f>$A369&amp;Keys!$C$54&amp;$B369&amp;Keys!$C$54&amp;$C369</f>
        <v>CT|exports|nuclear</v>
      </c>
    </row>
    <row r="370" spans="1:8" x14ac:dyDescent="0.25">
      <c r="A370" t="s">
        <v>76</v>
      </c>
      <c r="B370" t="s">
        <v>193</v>
      </c>
      <c r="C370" t="s">
        <v>74</v>
      </c>
      <c r="D370">
        <v>0</v>
      </c>
      <c r="E370">
        <v>0</v>
      </c>
      <c r="F370">
        <v>0</v>
      </c>
      <c r="G370" s="10">
        <f t="shared" si="5"/>
        <v>0</v>
      </c>
      <c r="H370" t="str">
        <f>$A370&amp;Keys!$C$54&amp;$B370&amp;Keys!$C$54&amp;$C370</f>
        <v>CT|exports|hydro (is not a fuel)</v>
      </c>
    </row>
    <row r="371" spans="1:8" x14ac:dyDescent="0.25">
      <c r="A371" t="s">
        <v>76</v>
      </c>
      <c r="B371" t="s">
        <v>193</v>
      </c>
      <c r="C371" t="s">
        <v>77</v>
      </c>
      <c r="D371">
        <v>0</v>
      </c>
      <c r="E371">
        <v>0</v>
      </c>
      <c r="F371">
        <v>0</v>
      </c>
      <c r="G371" s="10">
        <f t="shared" si="5"/>
        <v>0</v>
      </c>
      <c r="H371" t="str">
        <f>$A371&amp;Keys!$C$54&amp;$B371&amp;Keys!$C$54&amp;$C371</f>
        <v>CT|exports|wind (is not a fuel)</v>
      </c>
    </row>
    <row r="372" spans="1:8" x14ac:dyDescent="0.25">
      <c r="A372" t="s">
        <v>76</v>
      </c>
      <c r="B372" t="s">
        <v>193</v>
      </c>
      <c r="C372" t="s">
        <v>80</v>
      </c>
      <c r="D372">
        <v>0</v>
      </c>
      <c r="E372">
        <v>0</v>
      </c>
      <c r="F372">
        <v>0</v>
      </c>
      <c r="G372" s="10">
        <f t="shared" si="5"/>
        <v>0</v>
      </c>
      <c r="H372" t="str">
        <f>$A372&amp;Keys!$C$54&amp;$B372&amp;Keys!$C$54&amp;$C372</f>
        <v>CT|exports|solar (is not a fuel)</v>
      </c>
    </row>
    <row r="373" spans="1:8" x14ac:dyDescent="0.25">
      <c r="A373" t="s">
        <v>76</v>
      </c>
      <c r="B373" t="s">
        <v>193</v>
      </c>
      <c r="C373" t="s">
        <v>82</v>
      </c>
      <c r="D373">
        <v>0</v>
      </c>
      <c r="E373">
        <v>0</v>
      </c>
      <c r="F373">
        <v>0</v>
      </c>
      <c r="G373" s="10">
        <f t="shared" si="5"/>
        <v>0</v>
      </c>
      <c r="H373" t="str">
        <f>$A373&amp;Keys!$C$54&amp;$B373&amp;Keys!$C$54&amp;$C373</f>
        <v>CT|exports|biomass</v>
      </c>
    </row>
    <row r="374" spans="1:8" x14ac:dyDescent="0.25">
      <c r="A374" t="s">
        <v>76</v>
      </c>
      <c r="B374" t="s">
        <v>193</v>
      </c>
      <c r="C374" t="s">
        <v>85</v>
      </c>
      <c r="D374">
        <v>0</v>
      </c>
      <c r="E374">
        <v>0</v>
      </c>
      <c r="F374">
        <v>0</v>
      </c>
      <c r="G374" s="10">
        <f t="shared" si="5"/>
        <v>0</v>
      </c>
      <c r="H374" t="str">
        <f>$A374&amp;Keys!$C$54&amp;$B374&amp;Keys!$C$54&amp;$C374</f>
        <v>CT|exports|petroleum gasoline</v>
      </c>
    </row>
    <row r="375" spans="1:8" x14ac:dyDescent="0.25">
      <c r="A375" t="s">
        <v>76</v>
      </c>
      <c r="B375" t="s">
        <v>193</v>
      </c>
      <c r="C375" t="s">
        <v>88</v>
      </c>
      <c r="D375">
        <v>0</v>
      </c>
      <c r="E375">
        <v>0</v>
      </c>
      <c r="F375">
        <v>0</v>
      </c>
      <c r="G375" s="10">
        <f t="shared" si="5"/>
        <v>0</v>
      </c>
      <c r="H375" t="str">
        <f>$A375&amp;Keys!$C$54&amp;$B375&amp;Keys!$C$54&amp;$C375</f>
        <v>CT|exports|petroleum diesel</v>
      </c>
    </row>
    <row r="376" spans="1:8" x14ac:dyDescent="0.25">
      <c r="A376" t="s">
        <v>76</v>
      </c>
      <c r="B376" t="s">
        <v>193</v>
      </c>
      <c r="C376" t="s">
        <v>91</v>
      </c>
      <c r="D376">
        <v>0</v>
      </c>
      <c r="E376">
        <v>0</v>
      </c>
      <c r="F376">
        <v>0</v>
      </c>
      <c r="G376" s="10">
        <f t="shared" si="5"/>
        <v>0</v>
      </c>
      <c r="H376" t="str">
        <f>$A376&amp;Keys!$C$54&amp;$B376&amp;Keys!$C$54&amp;$C376</f>
        <v>CT|exports|biofuel gasoline</v>
      </c>
    </row>
    <row r="377" spans="1:8" x14ac:dyDescent="0.25">
      <c r="A377" t="s">
        <v>76</v>
      </c>
      <c r="B377" t="s">
        <v>193</v>
      </c>
      <c r="C377" t="s">
        <v>94</v>
      </c>
      <c r="D377">
        <v>0</v>
      </c>
      <c r="E377">
        <v>9974050000000</v>
      </c>
      <c r="F377">
        <v>11978200000000</v>
      </c>
      <c r="G377" s="10">
        <f t="shared" si="5"/>
        <v>7317416666666.667</v>
      </c>
      <c r="H377" t="str">
        <f>$A377&amp;Keys!$C$54&amp;$B377&amp;Keys!$C$54&amp;$C377</f>
        <v>CT|exports|biofuel diesel</v>
      </c>
    </row>
    <row r="378" spans="1:8" x14ac:dyDescent="0.25">
      <c r="A378" t="s">
        <v>76</v>
      </c>
      <c r="B378" t="s">
        <v>193</v>
      </c>
      <c r="C378" t="s">
        <v>97</v>
      </c>
      <c r="D378">
        <v>0</v>
      </c>
      <c r="E378">
        <v>0</v>
      </c>
      <c r="F378">
        <v>0</v>
      </c>
      <c r="G378" s="10">
        <f t="shared" si="5"/>
        <v>0</v>
      </c>
      <c r="H378" t="str">
        <f>$A378&amp;Keys!$C$54&amp;$B378&amp;Keys!$C$54&amp;$C378</f>
        <v>CT|exports|jet fuel or kerosene</v>
      </c>
    </row>
    <row r="379" spans="1:8" x14ac:dyDescent="0.25">
      <c r="A379" t="s">
        <v>76</v>
      </c>
      <c r="B379" t="s">
        <v>193</v>
      </c>
      <c r="C379" t="s">
        <v>100</v>
      </c>
      <c r="D379">
        <v>0</v>
      </c>
      <c r="E379">
        <v>0</v>
      </c>
      <c r="F379">
        <v>0</v>
      </c>
      <c r="G379" s="10">
        <f t="shared" si="5"/>
        <v>0</v>
      </c>
      <c r="H379" t="str">
        <f>$A379&amp;Keys!$C$54&amp;$B379&amp;Keys!$C$54&amp;$C379</f>
        <v>CT|exports|heat (not used in this variable)</v>
      </c>
    </row>
    <row r="380" spans="1:8" x14ac:dyDescent="0.25">
      <c r="A380" t="s">
        <v>76</v>
      </c>
      <c r="B380" t="s">
        <v>193</v>
      </c>
      <c r="C380" t="s">
        <v>103</v>
      </c>
      <c r="D380">
        <v>0</v>
      </c>
      <c r="E380">
        <v>0</v>
      </c>
      <c r="F380">
        <v>0</v>
      </c>
      <c r="G380" s="10">
        <f t="shared" si="5"/>
        <v>0</v>
      </c>
      <c r="H380" t="str">
        <f>$A380&amp;Keys!$C$54&amp;$B380&amp;Keys!$C$54&amp;$C380</f>
        <v>CT|exports|geothermal (is not a fuel)</v>
      </c>
    </row>
    <row r="381" spans="1:8" x14ac:dyDescent="0.25">
      <c r="A381" t="s">
        <v>76</v>
      </c>
      <c r="B381" t="s">
        <v>193</v>
      </c>
      <c r="C381" t="s">
        <v>106</v>
      </c>
      <c r="D381">
        <v>0</v>
      </c>
      <c r="E381">
        <v>0</v>
      </c>
      <c r="F381">
        <v>0</v>
      </c>
      <c r="G381" s="10">
        <f t="shared" si="5"/>
        <v>0</v>
      </c>
      <c r="H381" t="str">
        <f>$A381&amp;Keys!$C$54&amp;$B381&amp;Keys!$C$54&amp;$C381</f>
        <v>CT|exports|lignite</v>
      </c>
    </row>
    <row r="382" spans="1:8" x14ac:dyDescent="0.25">
      <c r="A382" t="s">
        <v>76</v>
      </c>
      <c r="B382" t="s">
        <v>193</v>
      </c>
      <c r="C382" t="s">
        <v>109</v>
      </c>
      <c r="D382">
        <v>17753500000000</v>
      </c>
      <c r="E382">
        <v>17753500000000</v>
      </c>
      <c r="F382">
        <v>16132700000000</v>
      </c>
      <c r="G382" s="10">
        <f t="shared" si="5"/>
        <v>17213233333333.334</v>
      </c>
      <c r="H382" t="str">
        <f>$A382&amp;Keys!$C$54&amp;$B382&amp;Keys!$C$54&amp;$C382</f>
        <v>CT|exports|crude oil</v>
      </c>
    </row>
    <row r="383" spans="1:8" x14ac:dyDescent="0.25">
      <c r="A383" t="s">
        <v>76</v>
      </c>
      <c r="B383" t="s">
        <v>193</v>
      </c>
      <c r="C383" t="s">
        <v>113</v>
      </c>
      <c r="D383">
        <v>0</v>
      </c>
      <c r="E383">
        <v>0</v>
      </c>
      <c r="F383">
        <v>0</v>
      </c>
      <c r="G383" s="10">
        <f t="shared" si="5"/>
        <v>0</v>
      </c>
      <c r="H383" t="str">
        <f>$A383&amp;Keys!$C$54&amp;$B383&amp;Keys!$C$54&amp;$C383</f>
        <v>CT|exports|heavy fuel oil</v>
      </c>
    </row>
    <row r="384" spans="1:8" x14ac:dyDescent="0.25">
      <c r="A384" t="s">
        <v>76</v>
      </c>
      <c r="B384" t="s">
        <v>193</v>
      </c>
      <c r="C384" t="s">
        <v>117</v>
      </c>
      <c r="D384">
        <v>0</v>
      </c>
      <c r="E384">
        <v>0</v>
      </c>
      <c r="F384">
        <v>0</v>
      </c>
      <c r="G384" s="10">
        <f t="shared" si="5"/>
        <v>0</v>
      </c>
      <c r="H384" t="str">
        <f>$A384&amp;Keys!$C$54&amp;$B384&amp;Keys!$C$54&amp;$C384</f>
        <v>CT|exports|LPG propane or butane</v>
      </c>
    </row>
    <row r="385" spans="1:8" x14ac:dyDescent="0.25">
      <c r="A385" t="s">
        <v>76</v>
      </c>
      <c r="B385" t="s">
        <v>193</v>
      </c>
      <c r="C385" t="s">
        <v>120</v>
      </c>
      <c r="D385">
        <v>0</v>
      </c>
      <c r="E385">
        <v>0</v>
      </c>
      <c r="F385">
        <v>0</v>
      </c>
      <c r="G385" s="10">
        <f t="shared" si="5"/>
        <v>0</v>
      </c>
      <c r="H385" t="str">
        <f>$A385&amp;Keys!$C$54&amp;$B385&amp;Keys!$C$54&amp;$C385</f>
        <v>CT|exports|municipal solid waste</v>
      </c>
    </row>
    <row r="386" spans="1:8" x14ac:dyDescent="0.25">
      <c r="A386" t="s">
        <v>76</v>
      </c>
      <c r="B386" t="s">
        <v>193</v>
      </c>
      <c r="C386" t="s">
        <v>123</v>
      </c>
      <c r="D386">
        <v>0</v>
      </c>
      <c r="E386">
        <v>0</v>
      </c>
      <c r="F386">
        <v>0</v>
      </c>
      <c r="G386" s="10">
        <f t="shared" si="5"/>
        <v>0</v>
      </c>
      <c r="H386" t="str">
        <f>$A386&amp;Keys!$C$54&amp;$B386&amp;Keys!$C$54&amp;$C386</f>
        <v>CT|exports|hydrogen</v>
      </c>
    </row>
    <row r="387" spans="1:8" x14ac:dyDescent="0.25">
      <c r="A387" t="s">
        <v>79</v>
      </c>
      <c r="B387" t="s">
        <v>188</v>
      </c>
      <c r="C387" t="s">
        <v>60</v>
      </c>
      <c r="D387">
        <v>0</v>
      </c>
      <c r="E387">
        <v>0</v>
      </c>
      <c r="F387">
        <v>0</v>
      </c>
      <c r="G387" s="10">
        <f t="shared" si="5"/>
        <v>0</v>
      </c>
      <c r="H387" t="str">
        <f>$A387&amp;Keys!$C$54&amp;$B387&amp;Keys!$C$54&amp;$C387</f>
        <v>DE|production|electricity (not used in this variable)</v>
      </c>
    </row>
    <row r="388" spans="1:8" x14ac:dyDescent="0.25">
      <c r="A388" t="s">
        <v>79</v>
      </c>
      <c r="B388" t="s">
        <v>188</v>
      </c>
      <c r="C388" t="s">
        <v>64</v>
      </c>
      <c r="D388">
        <v>0</v>
      </c>
      <c r="E388">
        <v>0</v>
      </c>
      <c r="F388">
        <v>0</v>
      </c>
      <c r="G388" s="10">
        <f t="shared" si="5"/>
        <v>0</v>
      </c>
      <c r="H388" t="str">
        <f>$A388&amp;Keys!$C$54&amp;$B388&amp;Keys!$C$54&amp;$C388</f>
        <v>DE|production|hard coal</v>
      </c>
    </row>
    <row r="389" spans="1:8" x14ac:dyDescent="0.25">
      <c r="A389" t="s">
        <v>79</v>
      </c>
      <c r="B389" t="s">
        <v>188</v>
      </c>
      <c r="C389" t="s">
        <v>68</v>
      </c>
      <c r="D389">
        <v>0</v>
      </c>
      <c r="E389">
        <v>0</v>
      </c>
      <c r="F389">
        <v>0</v>
      </c>
      <c r="G389" s="10">
        <f t="shared" si="5"/>
        <v>0</v>
      </c>
      <c r="H389" t="str">
        <f>$A389&amp;Keys!$C$54&amp;$B389&amp;Keys!$C$54&amp;$C389</f>
        <v>DE|production|natural gas</v>
      </c>
    </row>
    <row r="390" spans="1:8" x14ac:dyDescent="0.25">
      <c r="A390" t="s">
        <v>79</v>
      </c>
      <c r="B390" t="s">
        <v>188</v>
      </c>
      <c r="C390" t="s">
        <v>71</v>
      </c>
      <c r="D390">
        <v>0</v>
      </c>
      <c r="E390">
        <v>0</v>
      </c>
      <c r="F390">
        <v>0</v>
      </c>
      <c r="G390" s="10">
        <f t="shared" si="5"/>
        <v>0</v>
      </c>
      <c r="H390" t="str">
        <f>$A390&amp;Keys!$C$54&amp;$B390&amp;Keys!$C$54&amp;$C390</f>
        <v>DE|production|nuclear</v>
      </c>
    </row>
    <row r="391" spans="1:8" x14ac:dyDescent="0.25">
      <c r="A391" t="s">
        <v>79</v>
      </c>
      <c r="B391" t="s">
        <v>188</v>
      </c>
      <c r="C391" t="s">
        <v>74</v>
      </c>
      <c r="D391">
        <v>0</v>
      </c>
      <c r="E391">
        <v>0</v>
      </c>
      <c r="F391">
        <v>0</v>
      </c>
      <c r="G391" s="10">
        <f t="shared" si="5"/>
        <v>0</v>
      </c>
      <c r="H391" t="str">
        <f>$A391&amp;Keys!$C$54&amp;$B391&amp;Keys!$C$54&amp;$C391</f>
        <v>DE|production|hydro (is not a fuel)</v>
      </c>
    </row>
    <row r="392" spans="1:8" x14ac:dyDescent="0.25">
      <c r="A392" t="s">
        <v>79</v>
      </c>
      <c r="B392" t="s">
        <v>188</v>
      </c>
      <c r="C392" t="s">
        <v>77</v>
      </c>
      <c r="D392">
        <v>0</v>
      </c>
      <c r="E392">
        <v>0</v>
      </c>
      <c r="F392">
        <v>0</v>
      </c>
      <c r="G392" s="10">
        <f t="shared" si="5"/>
        <v>0</v>
      </c>
      <c r="H392" t="str">
        <f>$A392&amp;Keys!$C$54&amp;$B392&amp;Keys!$C$54&amp;$C392</f>
        <v>DE|production|wind (is not a fuel)</v>
      </c>
    </row>
    <row r="393" spans="1:8" x14ac:dyDescent="0.25">
      <c r="A393" t="s">
        <v>79</v>
      </c>
      <c r="B393" t="s">
        <v>188</v>
      </c>
      <c r="C393" t="s">
        <v>80</v>
      </c>
      <c r="D393">
        <v>0</v>
      </c>
      <c r="E393">
        <v>0</v>
      </c>
      <c r="F393">
        <v>0</v>
      </c>
      <c r="G393" s="10">
        <f t="shared" ref="G393:G456" si="6">AVERAGE($D393:$F393)</f>
        <v>0</v>
      </c>
      <c r="H393" t="str">
        <f>$A393&amp;Keys!$C$54&amp;$B393&amp;Keys!$C$54&amp;$C393</f>
        <v>DE|production|solar (is not a fuel)</v>
      </c>
    </row>
    <row r="394" spans="1:8" x14ac:dyDescent="0.25">
      <c r="A394" t="s">
        <v>79</v>
      </c>
      <c r="B394" t="s">
        <v>188</v>
      </c>
      <c r="C394" t="s">
        <v>82</v>
      </c>
      <c r="D394">
        <v>0</v>
      </c>
      <c r="E394">
        <v>0</v>
      </c>
      <c r="F394">
        <v>0</v>
      </c>
      <c r="G394" s="10">
        <f t="shared" si="6"/>
        <v>0</v>
      </c>
      <c r="H394" t="str">
        <f>$A394&amp;Keys!$C$54&amp;$B394&amp;Keys!$C$54&amp;$C394</f>
        <v>DE|production|biomass</v>
      </c>
    </row>
    <row r="395" spans="1:8" x14ac:dyDescent="0.25">
      <c r="A395" t="s">
        <v>79</v>
      </c>
      <c r="B395" t="s">
        <v>188</v>
      </c>
      <c r="C395" t="s">
        <v>85</v>
      </c>
      <c r="D395">
        <v>165956000000000</v>
      </c>
      <c r="E395">
        <v>165956000000000</v>
      </c>
      <c r="F395">
        <v>161933000000000</v>
      </c>
      <c r="G395" s="10">
        <f t="shared" si="6"/>
        <v>164615000000000</v>
      </c>
      <c r="H395" t="str">
        <f>$A395&amp;Keys!$C$54&amp;$B395&amp;Keys!$C$54&amp;$C395</f>
        <v>DE|production|petroleum gasoline</v>
      </c>
    </row>
    <row r="396" spans="1:8" x14ac:dyDescent="0.25">
      <c r="A396" t="s">
        <v>79</v>
      </c>
      <c r="B396" t="s">
        <v>188</v>
      </c>
      <c r="C396" t="s">
        <v>88</v>
      </c>
      <c r="D396">
        <v>98165200000000</v>
      </c>
      <c r="E396">
        <v>98165200000000</v>
      </c>
      <c r="F396">
        <v>95785900000000</v>
      </c>
      <c r="G396" s="10">
        <f t="shared" si="6"/>
        <v>97372100000000</v>
      </c>
      <c r="H396" t="str">
        <f>$A396&amp;Keys!$C$54&amp;$B396&amp;Keys!$C$54&amp;$C396</f>
        <v>DE|production|petroleum diesel</v>
      </c>
    </row>
    <row r="397" spans="1:8" x14ac:dyDescent="0.25">
      <c r="A397" t="s">
        <v>79</v>
      </c>
      <c r="B397" t="s">
        <v>188</v>
      </c>
      <c r="C397" t="s">
        <v>91</v>
      </c>
      <c r="D397">
        <v>0</v>
      </c>
      <c r="E397">
        <v>0</v>
      </c>
      <c r="F397">
        <v>0</v>
      </c>
      <c r="G397" s="10">
        <f t="shared" si="6"/>
        <v>0</v>
      </c>
      <c r="H397" t="str">
        <f>$A397&amp;Keys!$C$54&amp;$B397&amp;Keys!$C$54&amp;$C397</f>
        <v>DE|production|biofuel gasoline</v>
      </c>
    </row>
    <row r="398" spans="1:8" x14ac:dyDescent="0.25">
      <c r="A398" t="s">
        <v>79</v>
      </c>
      <c r="B398" t="s">
        <v>188</v>
      </c>
      <c r="C398" t="s">
        <v>94</v>
      </c>
      <c r="D398">
        <v>0</v>
      </c>
      <c r="E398">
        <v>0</v>
      </c>
      <c r="F398">
        <v>0</v>
      </c>
      <c r="G398" s="10">
        <f t="shared" si="6"/>
        <v>0</v>
      </c>
      <c r="H398" t="str">
        <f>$A398&amp;Keys!$C$54&amp;$B398&amp;Keys!$C$54&amp;$C398</f>
        <v>DE|production|biofuel diesel</v>
      </c>
    </row>
    <row r="399" spans="1:8" x14ac:dyDescent="0.25">
      <c r="A399" t="s">
        <v>79</v>
      </c>
      <c r="B399" t="s">
        <v>188</v>
      </c>
      <c r="C399" t="s">
        <v>97</v>
      </c>
      <c r="D399">
        <v>34944800000000</v>
      </c>
      <c r="E399">
        <v>34944800000000</v>
      </c>
      <c r="F399">
        <v>34097800000000</v>
      </c>
      <c r="G399" s="10">
        <f t="shared" si="6"/>
        <v>34662466666666.668</v>
      </c>
      <c r="H399" t="str">
        <f>$A399&amp;Keys!$C$54&amp;$B399&amp;Keys!$C$54&amp;$C399</f>
        <v>DE|production|jet fuel or kerosene</v>
      </c>
    </row>
    <row r="400" spans="1:8" x14ac:dyDescent="0.25">
      <c r="A400" t="s">
        <v>79</v>
      </c>
      <c r="B400" t="s">
        <v>188</v>
      </c>
      <c r="C400" t="s">
        <v>100</v>
      </c>
      <c r="D400">
        <v>0</v>
      </c>
      <c r="E400">
        <v>0</v>
      </c>
      <c r="F400">
        <v>0</v>
      </c>
      <c r="G400" s="10">
        <f t="shared" si="6"/>
        <v>0</v>
      </c>
      <c r="H400" t="str">
        <f>$A400&amp;Keys!$C$54&amp;$B400&amp;Keys!$C$54&amp;$C400</f>
        <v>DE|production|heat (not used in this variable)</v>
      </c>
    </row>
    <row r="401" spans="1:8" x14ac:dyDescent="0.25">
      <c r="A401" t="s">
        <v>79</v>
      </c>
      <c r="B401" t="s">
        <v>188</v>
      </c>
      <c r="C401" t="s">
        <v>103</v>
      </c>
      <c r="D401">
        <v>0</v>
      </c>
      <c r="E401">
        <v>0</v>
      </c>
      <c r="F401">
        <v>0</v>
      </c>
      <c r="G401" s="10">
        <f t="shared" si="6"/>
        <v>0</v>
      </c>
      <c r="H401" t="str">
        <f>$A401&amp;Keys!$C$54&amp;$B401&amp;Keys!$C$54&amp;$C401</f>
        <v>DE|production|geothermal (is not a fuel)</v>
      </c>
    </row>
    <row r="402" spans="1:8" x14ac:dyDescent="0.25">
      <c r="A402" t="s">
        <v>79</v>
      </c>
      <c r="B402" t="s">
        <v>188</v>
      </c>
      <c r="C402" t="s">
        <v>106</v>
      </c>
      <c r="D402">
        <v>0</v>
      </c>
      <c r="E402">
        <v>0</v>
      </c>
      <c r="F402">
        <v>0</v>
      </c>
      <c r="G402" s="10">
        <f t="shared" si="6"/>
        <v>0</v>
      </c>
      <c r="H402" t="str">
        <f>$A402&amp;Keys!$C$54&amp;$B402&amp;Keys!$C$54&amp;$C402</f>
        <v>DE|production|lignite</v>
      </c>
    </row>
    <row r="403" spans="1:8" x14ac:dyDescent="0.25">
      <c r="A403" t="s">
        <v>79</v>
      </c>
      <c r="B403" t="s">
        <v>188</v>
      </c>
      <c r="C403" t="s">
        <v>109</v>
      </c>
      <c r="D403">
        <v>0</v>
      </c>
      <c r="E403">
        <v>0</v>
      </c>
      <c r="F403">
        <v>0</v>
      </c>
      <c r="G403" s="10">
        <f t="shared" si="6"/>
        <v>0</v>
      </c>
      <c r="H403" t="str">
        <f>$A403&amp;Keys!$C$54&amp;$B403&amp;Keys!$C$54&amp;$C403</f>
        <v>DE|production|crude oil</v>
      </c>
    </row>
    <row r="404" spans="1:8" x14ac:dyDescent="0.25">
      <c r="A404" t="s">
        <v>79</v>
      </c>
      <c r="B404" t="s">
        <v>188</v>
      </c>
      <c r="C404" t="s">
        <v>113</v>
      </c>
      <c r="D404">
        <v>6788150000000</v>
      </c>
      <c r="E404">
        <v>6788150000000</v>
      </c>
      <c r="F404">
        <v>6623620000000</v>
      </c>
      <c r="G404" s="10">
        <f t="shared" si="6"/>
        <v>6733306666666.667</v>
      </c>
      <c r="H404" t="str">
        <f>$A404&amp;Keys!$C$54&amp;$B404&amp;Keys!$C$54&amp;$C404</f>
        <v>DE|production|heavy fuel oil</v>
      </c>
    </row>
    <row r="405" spans="1:8" x14ac:dyDescent="0.25">
      <c r="A405" t="s">
        <v>79</v>
      </c>
      <c r="B405" t="s">
        <v>188</v>
      </c>
      <c r="C405" t="s">
        <v>117</v>
      </c>
      <c r="D405">
        <v>0</v>
      </c>
      <c r="E405">
        <v>0</v>
      </c>
      <c r="F405">
        <v>0</v>
      </c>
      <c r="G405" s="10">
        <f t="shared" si="6"/>
        <v>0</v>
      </c>
      <c r="H405" t="str">
        <f>$A405&amp;Keys!$C$54&amp;$B405&amp;Keys!$C$54&amp;$C405</f>
        <v>DE|production|LPG propane or butane</v>
      </c>
    </row>
    <row r="406" spans="1:8" x14ac:dyDescent="0.25">
      <c r="A406" t="s">
        <v>79</v>
      </c>
      <c r="B406" t="s">
        <v>188</v>
      </c>
      <c r="C406" t="s">
        <v>120</v>
      </c>
      <c r="D406">
        <v>0</v>
      </c>
      <c r="E406">
        <v>0</v>
      </c>
      <c r="F406">
        <v>0</v>
      </c>
      <c r="G406" s="10">
        <f t="shared" si="6"/>
        <v>0</v>
      </c>
      <c r="H406" t="str">
        <f>$A406&amp;Keys!$C$54&amp;$B406&amp;Keys!$C$54&amp;$C406</f>
        <v>DE|production|municipal solid waste</v>
      </c>
    </row>
    <row r="407" spans="1:8" x14ac:dyDescent="0.25">
      <c r="A407" t="s">
        <v>79</v>
      </c>
      <c r="B407" t="s">
        <v>188</v>
      </c>
      <c r="C407" t="s">
        <v>123</v>
      </c>
      <c r="D407">
        <v>7710620000000</v>
      </c>
      <c r="E407">
        <v>7710620000000</v>
      </c>
      <c r="F407">
        <v>7322740000000</v>
      </c>
      <c r="G407" s="10">
        <f t="shared" si="6"/>
        <v>7581326666666.667</v>
      </c>
      <c r="H407" t="str">
        <f>$A407&amp;Keys!$C$54&amp;$B407&amp;Keys!$C$54&amp;$C407</f>
        <v>DE|production|hydrogen</v>
      </c>
    </row>
    <row r="408" spans="1:8" x14ac:dyDescent="0.25">
      <c r="A408" t="s">
        <v>79</v>
      </c>
      <c r="B408" t="s">
        <v>191</v>
      </c>
      <c r="C408" t="s">
        <v>60</v>
      </c>
      <c r="D408">
        <v>0</v>
      </c>
      <c r="E408">
        <v>0</v>
      </c>
      <c r="F408">
        <v>0</v>
      </c>
      <c r="G408" s="10">
        <f t="shared" si="6"/>
        <v>0</v>
      </c>
      <c r="H408" t="str">
        <f>$A408&amp;Keys!$C$54&amp;$B408&amp;Keys!$C$54&amp;$C408</f>
        <v>DE|imports|electricity (not used in this variable)</v>
      </c>
    </row>
    <row r="409" spans="1:8" x14ac:dyDescent="0.25">
      <c r="A409" t="s">
        <v>79</v>
      </c>
      <c r="B409" t="s">
        <v>191</v>
      </c>
      <c r="C409" t="s">
        <v>64</v>
      </c>
      <c r="D409">
        <v>0</v>
      </c>
      <c r="E409">
        <v>0</v>
      </c>
      <c r="F409">
        <v>0</v>
      </c>
      <c r="G409" s="10">
        <f t="shared" si="6"/>
        <v>0</v>
      </c>
      <c r="H409" t="str">
        <f>$A409&amp;Keys!$C$54&amp;$B409&amp;Keys!$C$54&amp;$C409</f>
        <v>DE|imports|hard coal</v>
      </c>
    </row>
    <row r="410" spans="1:8" x14ac:dyDescent="0.25">
      <c r="A410" t="s">
        <v>79</v>
      </c>
      <c r="B410" t="s">
        <v>191</v>
      </c>
      <c r="C410" t="s">
        <v>68</v>
      </c>
      <c r="D410">
        <v>64982600000000</v>
      </c>
      <c r="E410">
        <v>96568800000000</v>
      </c>
      <c r="F410">
        <v>94568200000000</v>
      </c>
      <c r="G410" s="10">
        <f t="shared" si="6"/>
        <v>85373200000000</v>
      </c>
      <c r="H410" t="str">
        <f>$A410&amp;Keys!$C$54&amp;$B410&amp;Keys!$C$54&amp;$C410</f>
        <v>DE|imports|natural gas</v>
      </c>
    </row>
    <row r="411" spans="1:8" x14ac:dyDescent="0.25">
      <c r="A411" t="s">
        <v>79</v>
      </c>
      <c r="B411" t="s">
        <v>191</v>
      </c>
      <c r="C411" t="s">
        <v>71</v>
      </c>
      <c r="D411">
        <v>0</v>
      </c>
      <c r="E411">
        <v>0</v>
      </c>
      <c r="F411">
        <v>0</v>
      </c>
      <c r="G411" s="10">
        <f t="shared" si="6"/>
        <v>0</v>
      </c>
      <c r="H411" t="str">
        <f>$A411&amp;Keys!$C$54&amp;$B411&amp;Keys!$C$54&amp;$C411</f>
        <v>DE|imports|nuclear</v>
      </c>
    </row>
    <row r="412" spans="1:8" x14ac:dyDescent="0.25">
      <c r="A412" t="s">
        <v>79</v>
      </c>
      <c r="B412" t="s">
        <v>191</v>
      </c>
      <c r="C412" t="s">
        <v>74</v>
      </c>
      <c r="D412">
        <v>0</v>
      </c>
      <c r="E412">
        <v>0</v>
      </c>
      <c r="F412">
        <v>0</v>
      </c>
      <c r="G412" s="10">
        <f t="shared" si="6"/>
        <v>0</v>
      </c>
      <c r="H412" t="str">
        <f>$A412&amp;Keys!$C$54&amp;$B412&amp;Keys!$C$54&amp;$C412</f>
        <v>DE|imports|hydro (is not a fuel)</v>
      </c>
    </row>
    <row r="413" spans="1:8" x14ac:dyDescent="0.25">
      <c r="A413" t="s">
        <v>79</v>
      </c>
      <c r="B413" t="s">
        <v>191</v>
      </c>
      <c r="C413" t="s">
        <v>77</v>
      </c>
      <c r="D413">
        <v>0</v>
      </c>
      <c r="E413">
        <v>0</v>
      </c>
      <c r="F413">
        <v>0</v>
      </c>
      <c r="G413" s="10">
        <f t="shared" si="6"/>
        <v>0</v>
      </c>
      <c r="H413" t="str">
        <f>$A413&amp;Keys!$C$54&amp;$B413&amp;Keys!$C$54&amp;$C413</f>
        <v>DE|imports|wind (is not a fuel)</v>
      </c>
    </row>
    <row r="414" spans="1:8" x14ac:dyDescent="0.25">
      <c r="A414" t="s">
        <v>79</v>
      </c>
      <c r="B414" t="s">
        <v>191</v>
      </c>
      <c r="C414" t="s">
        <v>80</v>
      </c>
      <c r="D414">
        <v>0</v>
      </c>
      <c r="E414">
        <v>0</v>
      </c>
      <c r="F414">
        <v>0</v>
      </c>
      <c r="G414" s="10">
        <f t="shared" si="6"/>
        <v>0</v>
      </c>
      <c r="H414" t="str">
        <f>$A414&amp;Keys!$C$54&amp;$B414&amp;Keys!$C$54&amp;$C414</f>
        <v>DE|imports|solar (is not a fuel)</v>
      </c>
    </row>
    <row r="415" spans="1:8" x14ac:dyDescent="0.25">
      <c r="A415" t="s">
        <v>79</v>
      </c>
      <c r="B415" t="s">
        <v>191</v>
      </c>
      <c r="C415" t="s">
        <v>82</v>
      </c>
      <c r="D415">
        <v>0</v>
      </c>
      <c r="E415">
        <v>1367120000000</v>
      </c>
      <c r="F415">
        <v>1291790000000</v>
      </c>
      <c r="G415" s="10">
        <f t="shared" si="6"/>
        <v>886303333333.33337</v>
      </c>
      <c r="H415" t="str">
        <f>$A415&amp;Keys!$C$54&amp;$B415&amp;Keys!$C$54&amp;$C415</f>
        <v>DE|imports|biomass</v>
      </c>
    </row>
    <row r="416" spans="1:8" x14ac:dyDescent="0.25">
      <c r="A416" t="s">
        <v>79</v>
      </c>
      <c r="B416" t="s">
        <v>191</v>
      </c>
      <c r="C416" t="s">
        <v>85</v>
      </c>
      <c r="D416">
        <v>0</v>
      </c>
      <c r="E416">
        <v>0</v>
      </c>
      <c r="F416">
        <v>0</v>
      </c>
      <c r="G416" s="10">
        <f t="shared" si="6"/>
        <v>0</v>
      </c>
      <c r="H416" t="str">
        <f>$A416&amp;Keys!$C$54&amp;$B416&amp;Keys!$C$54&amp;$C416</f>
        <v>DE|imports|petroleum gasoline</v>
      </c>
    </row>
    <row r="417" spans="1:8" x14ac:dyDescent="0.25">
      <c r="A417" t="s">
        <v>79</v>
      </c>
      <c r="B417" t="s">
        <v>191</v>
      </c>
      <c r="C417" t="s">
        <v>88</v>
      </c>
      <c r="D417">
        <v>0</v>
      </c>
      <c r="E417">
        <v>0</v>
      </c>
      <c r="F417">
        <v>0</v>
      </c>
      <c r="G417" s="10">
        <f t="shared" si="6"/>
        <v>0</v>
      </c>
      <c r="H417" t="str">
        <f>$A417&amp;Keys!$C$54&amp;$B417&amp;Keys!$C$54&amp;$C417</f>
        <v>DE|imports|petroleum diesel</v>
      </c>
    </row>
    <row r="418" spans="1:8" x14ac:dyDescent="0.25">
      <c r="A418" t="s">
        <v>79</v>
      </c>
      <c r="B418" t="s">
        <v>191</v>
      </c>
      <c r="C418" t="s">
        <v>91</v>
      </c>
      <c r="D418">
        <v>0</v>
      </c>
      <c r="E418">
        <v>3634240000000</v>
      </c>
      <c r="F418">
        <v>3579300000000</v>
      </c>
      <c r="G418" s="10">
        <f t="shared" si="6"/>
        <v>2404513333333.3335</v>
      </c>
      <c r="H418" t="str">
        <f>$A418&amp;Keys!$C$54&amp;$B418&amp;Keys!$C$54&amp;$C418</f>
        <v>DE|imports|biofuel gasoline</v>
      </c>
    </row>
    <row r="419" spans="1:8" x14ac:dyDescent="0.25">
      <c r="A419" t="s">
        <v>79</v>
      </c>
      <c r="B419" t="s">
        <v>191</v>
      </c>
      <c r="C419" t="s">
        <v>94</v>
      </c>
      <c r="D419">
        <v>0</v>
      </c>
      <c r="E419">
        <v>115565000000</v>
      </c>
      <c r="F419">
        <v>116506000000</v>
      </c>
      <c r="G419" s="10">
        <f t="shared" si="6"/>
        <v>77357000000</v>
      </c>
      <c r="H419" t="str">
        <f>$A419&amp;Keys!$C$54&amp;$B419&amp;Keys!$C$54&amp;$C419</f>
        <v>DE|imports|biofuel diesel</v>
      </c>
    </row>
    <row r="420" spans="1:8" x14ac:dyDescent="0.25">
      <c r="A420" t="s">
        <v>79</v>
      </c>
      <c r="B420" t="s">
        <v>191</v>
      </c>
      <c r="C420" t="s">
        <v>97</v>
      </c>
      <c r="D420">
        <v>0</v>
      </c>
      <c r="E420">
        <v>0</v>
      </c>
      <c r="F420">
        <v>0</v>
      </c>
      <c r="G420" s="10">
        <f t="shared" si="6"/>
        <v>0</v>
      </c>
      <c r="H420" t="str">
        <f>$A420&amp;Keys!$C$54&amp;$B420&amp;Keys!$C$54&amp;$C420</f>
        <v>DE|imports|jet fuel or kerosene</v>
      </c>
    </row>
    <row r="421" spans="1:8" x14ac:dyDescent="0.25">
      <c r="A421" t="s">
        <v>79</v>
      </c>
      <c r="B421" t="s">
        <v>191</v>
      </c>
      <c r="C421" t="s">
        <v>100</v>
      </c>
      <c r="D421">
        <v>0</v>
      </c>
      <c r="E421">
        <v>0</v>
      </c>
      <c r="F421">
        <v>0</v>
      </c>
      <c r="G421" s="10">
        <f t="shared" si="6"/>
        <v>0</v>
      </c>
      <c r="H421" t="str">
        <f>$A421&amp;Keys!$C$54&amp;$B421&amp;Keys!$C$54&amp;$C421</f>
        <v>DE|imports|heat (not used in this variable)</v>
      </c>
    </row>
    <row r="422" spans="1:8" x14ac:dyDescent="0.25">
      <c r="A422" t="s">
        <v>79</v>
      </c>
      <c r="B422" t="s">
        <v>191</v>
      </c>
      <c r="C422" t="s">
        <v>103</v>
      </c>
      <c r="D422">
        <v>0</v>
      </c>
      <c r="E422">
        <v>0</v>
      </c>
      <c r="F422">
        <v>0</v>
      </c>
      <c r="G422" s="10">
        <f t="shared" si="6"/>
        <v>0</v>
      </c>
      <c r="H422" t="str">
        <f>$A422&amp;Keys!$C$54&amp;$B422&amp;Keys!$C$54&amp;$C422</f>
        <v>DE|imports|geothermal (is not a fuel)</v>
      </c>
    </row>
    <row r="423" spans="1:8" x14ac:dyDescent="0.25">
      <c r="A423" t="s">
        <v>79</v>
      </c>
      <c r="B423" t="s">
        <v>191</v>
      </c>
      <c r="C423" t="s">
        <v>106</v>
      </c>
      <c r="D423">
        <v>0</v>
      </c>
      <c r="E423">
        <v>0</v>
      </c>
      <c r="F423">
        <v>0</v>
      </c>
      <c r="G423" s="10">
        <f t="shared" si="6"/>
        <v>0</v>
      </c>
      <c r="H423" t="str">
        <f>$A423&amp;Keys!$C$54&amp;$B423&amp;Keys!$C$54&amp;$C423</f>
        <v>DE|imports|lignite</v>
      </c>
    </row>
    <row r="424" spans="1:8" x14ac:dyDescent="0.25">
      <c r="A424" t="s">
        <v>79</v>
      </c>
      <c r="B424" t="s">
        <v>191</v>
      </c>
      <c r="C424" t="s">
        <v>109</v>
      </c>
      <c r="D424">
        <v>0</v>
      </c>
      <c r="E424">
        <v>356196000000000</v>
      </c>
      <c r="F424">
        <v>356196000000000</v>
      </c>
      <c r="G424" s="10">
        <f t="shared" si="6"/>
        <v>237464000000000</v>
      </c>
      <c r="H424" t="str">
        <f>$A424&amp;Keys!$C$54&amp;$B424&amp;Keys!$C$54&amp;$C424</f>
        <v>DE|imports|crude oil</v>
      </c>
    </row>
    <row r="425" spans="1:8" x14ac:dyDescent="0.25">
      <c r="A425" t="s">
        <v>79</v>
      </c>
      <c r="B425" t="s">
        <v>191</v>
      </c>
      <c r="C425" t="s">
        <v>113</v>
      </c>
      <c r="D425">
        <v>0</v>
      </c>
      <c r="E425">
        <v>0</v>
      </c>
      <c r="F425">
        <v>0</v>
      </c>
      <c r="G425" s="10">
        <f t="shared" si="6"/>
        <v>0</v>
      </c>
      <c r="H425" t="str">
        <f>$A425&amp;Keys!$C$54&amp;$B425&amp;Keys!$C$54&amp;$C425</f>
        <v>DE|imports|heavy fuel oil</v>
      </c>
    </row>
    <row r="426" spans="1:8" x14ac:dyDescent="0.25">
      <c r="A426" t="s">
        <v>79</v>
      </c>
      <c r="B426" t="s">
        <v>191</v>
      </c>
      <c r="C426" t="s">
        <v>117</v>
      </c>
      <c r="D426">
        <v>0</v>
      </c>
      <c r="E426">
        <v>4219280000000</v>
      </c>
      <c r="F426">
        <v>4173810000000</v>
      </c>
      <c r="G426" s="10">
        <f t="shared" si="6"/>
        <v>2797696666666.6665</v>
      </c>
      <c r="H426" t="str">
        <f>$A426&amp;Keys!$C$54&amp;$B426&amp;Keys!$C$54&amp;$C426</f>
        <v>DE|imports|LPG propane or butane</v>
      </c>
    </row>
    <row r="427" spans="1:8" x14ac:dyDescent="0.25">
      <c r="A427" t="s">
        <v>79</v>
      </c>
      <c r="B427" t="s">
        <v>191</v>
      </c>
      <c r="C427" t="s">
        <v>120</v>
      </c>
      <c r="D427">
        <v>0</v>
      </c>
      <c r="E427">
        <v>0</v>
      </c>
      <c r="F427">
        <v>0</v>
      </c>
      <c r="G427" s="10">
        <f t="shared" si="6"/>
        <v>0</v>
      </c>
      <c r="H427" t="str">
        <f>$A427&amp;Keys!$C$54&amp;$B427&amp;Keys!$C$54&amp;$C427</f>
        <v>DE|imports|municipal solid waste</v>
      </c>
    </row>
    <row r="428" spans="1:8" x14ac:dyDescent="0.25">
      <c r="A428" t="s">
        <v>79</v>
      </c>
      <c r="B428" t="s">
        <v>191</v>
      </c>
      <c r="C428" t="s">
        <v>123</v>
      </c>
      <c r="D428">
        <v>0</v>
      </c>
      <c r="E428">
        <v>0</v>
      </c>
      <c r="F428">
        <v>0</v>
      </c>
      <c r="G428" s="10">
        <f t="shared" si="6"/>
        <v>0</v>
      </c>
      <c r="H428" t="str">
        <f>$A428&amp;Keys!$C$54&amp;$B428&amp;Keys!$C$54&amp;$C428</f>
        <v>DE|imports|hydrogen</v>
      </c>
    </row>
    <row r="429" spans="1:8" x14ac:dyDescent="0.25">
      <c r="A429" t="s">
        <v>79</v>
      </c>
      <c r="B429" t="s">
        <v>193</v>
      </c>
      <c r="C429" t="s">
        <v>60</v>
      </c>
      <c r="D429">
        <v>0</v>
      </c>
      <c r="E429">
        <v>0</v>
      </c>
      <c r="F429">
        <v>0</v>
      </c>
      <c r="G429" s="10">
        <f t="shared" si="6"/>
        <v>0</v>
      </c>
      <c r="H429" t="str">
        <f>$A429&amp;Keys!$C$54&amp;$B429&amp;Keys!$C$54&amp;$C429</f>
        <v>DE|exports|electricity (not used in this variable)</v>
      </c>
    </row>
    <row r="430" spans="1:8" x14ac:dyDescent="0.25">
      <c r="A430" t="s">
        <v>79</v>
      </c>
      <c r="B430" t="s">
        <v>193</v>
      </c>
      <c r="C430" t="s">
        <v>64</v>
      </c>
      <c r="D430">
        <v>0</v>
      </c>
      <c r="E430">
        <v>0</v>
      </c>
      <c r="F430">
        <v>0</v>
      </c>
      <c r="G430" s="10">
        <f t="shared" si="6"/>
        <v>0</v>
      </c>
      <c r="H430" t="str">
        <f>$A430&amp;Keys!$C$54&amp;$B430&amp;Keys!$C$54&amp;$C430</f>
        <v>DE|exports|hard coal</v>
      </c>
    </row>
    <row r="431" spans="1:8" x14ac:dyDescent="0.25">
      <c r="A431" t="s">
        <v>79</v>
      </c>
      <c r="B431" t="s">
        <v>193</v>
      </c>
      <c r="C431" t="s">
        <v>68</v>
      </c>
      <c r="D431">
        <v>7207150000000</v>
      </c>
      <c r="E431">
        <v>7207150000000</v>
      </c>
      <c r="F431">
        <v>7229530000000</v>
      </c>
      <c r="G431" s="10">
        <f t="shared" si="6"/>
        <v>7214610000000</v>
      </c>
      <c r="H431" t="str">
        <f>$A431&amp;Keys!$C$54&amp;$B431&amp;Keys!$C$54&amp;$C431</f>
        <v>DE|exports|natural gas</v>
      </c>
    </row>
    <row r="432" spans="1:8" x14ac:dyDescent="0.25">
      <c r="A432" t="s">
        <v>79</v>
      </c>
      <c r="B432" t="s">
        <v>193</v>
      </c>
      <c r="C432" t="s">
        <v>71</v>
      </c>
      <c r="D432">
        <v>0</v>
      </c>
      <c r="E432">
        <v>0</v>
      </c>
      <c r="F432">
        <v>0</v>
      </c>
      <c r="G432" s="10">
        <f t="shared" si="6"/>
        <v>0</v>
      </c>
      <c r="H432" t="str">
        <f>$A432&amp;Keys!$C$54&amp;$B432&amp;Keys!$C$54&amp;$C432</f>
        <v>DE|exports|nuclear</v>
      </c>
    </row>
    <row r="433" spans="1:8" x14ac:dyDescent="0.25">
      <c r="A433" t="s">
        <v>79</v>
      </c>
      <c r="B433" t="s">
        <v>193</v>
      </c>
      <c r="C433" t="s">
        <v>74</v>
      </c>
      <c r="D433">
        <v>0</v>
      </c>
      <c r="E433">
        <v>0</v>
      </c>
      <c r="F433">
        <v>0</v>
      </c>
      <c r="G433" s="10">
        <f t="shared" si="6"/>
        <v>0</v>
      </c>
      <c r="H433" t="str">
        <f>$A433&amp;Keys!$C$54&amp;$B433&amp;Keys!$C$54&amp;$C433</f>
        <v>DE|exports|hydro (is not a fuel)</v>
      </c>
    </row>
    <row r="434" spans="1:8" x14ac:dyDescent="0.25">
      <c r="A434" t="s">
        <v>79</v>
      </c>
      <c r="B434" t="s">
        <v>193</v>
      </c>
      <c r="C434" t="s">
        <v>77</v>
      </c>
      <c r="D434">
        <v>0</v>
      </c>
      <c r="E434">
        <v>0</v>
      </c>
      <c r="F434">
        <v>0</v>
      </c>
      <c r="G434" s="10">
        <f t="shared" si="6"/>
        <v>0</v>
      </c>
      <c r="H434" t="str">
        <f>$A434&amp;Keys!$C$54&amp;$B434&amp;Keys!$C$54&amp;$C434</f>
        <v>DE|exports|wind (is not a fuel)</v>
      </c>
    </row>
    <row r="435" spans="1:8" x14ac:dyDescent="0.25">
      <c r="A435" t="s">
        <v>79</v>
      </c>
      <c r="B435" t="s">
        <v>193</v>
      </c>
      <c r="C435" t="s">
        <v>80</v>
      </c>
      <c r="D435">
        <v>0</v>
      </c>
      <c r="E435">
        <v>0</v>
      </c>
      <c r="F435">
        <v>0</v>
      </c>
      <c r="G435" s="10">
        <f t="shared" si="6"/>
        <v>0</v>
      </c>
      <c r="H435" t="str">
        <f>$A435&amp;Keys!$C$54&amp;$B435&amp;Keys!$C$54&amp;$C435</f>
        <v>DE|exports|solar (is not a fuel)</v>
      </c>
    </row>
    <row r="436" spans="1:8" x14ac:dyDescent="0.25">
      <c r="A436" t="s">
        <v>79</v>
      </c>
      <c r="B436" t="s">
        <v>193</v>
      </c>
      <c r="C436" t="s">
        <v>82</v>
      </c>
      <c r="D436">
        <v>0</v>
      </c>
      <c r="E436">
        <v>0</v>
      </c>
      <c r="F436">
        <v>0</v>
      </c>
      <c r="G436" s="10">
        <f t="shared" si="6"/>
        <v>0</v>
      </c>
      <c r="H436" t="str">
        <f>$A436&amp;Keys!$C$54&amp;$B436&amp;Keys!$C$54&amp;$C436</f>
        <v>DE|exports|biomass</v>
      </c>
    </row>
    <row r="437" spans="1:8" x14ac:dyDescent="0.25">
      <c r="A437" t="s">
        <v>79</v>
      </c>
      <c r="B437" t="s">
        <v>193</v>
      </c>
      <c r="C437" t="s">
        <v>85</v>
      </c>
      <c r="D437">
        <v>0</v>
      </c>
      <c r="E437">
        <v>115903000000000</v>
      </c>
      <c r="F437">
        <v>112658000000000</v>
      </c>
      <c r="G437" s="10">
        <f t="shared" si="6"/>
        <v>76187000000000</v>
      </c>
      <c r="H437" t="str">
        <f>$A437&amp;Keys!$C$54&amp;$B437&amp;Keys!$C$54&amp;$C437</f>
        <v>DE|exports|petroleum gasoline</v>
      </c>
    </row>
    <row r="438" spans="1:8" x14ac:dyDescent="0.25">
      <c r="A438" t="s">
        <v>79</v>
      </c>
      <c r="B438" t="s">
        <v>193</v>
      </c>
      <c r="C438" t="s">
        <v>88</v>
      </c>
      <c r="D438">
        <v>3334430000000</v>
      </c>
      <c r="E438">
        <v>79854900000000</v>
      </c>
      <c r="F438">
        <v>78190100000000</v>
      </c>
      <c r="G438" s="10">
        <f t="shared" si="6"/>
        <v>53793143333333.336</v>
      </c>
      <c r="H438" t="str">
        <f>$A438&amp;Keys!$C$54&amp;$B438&amp;Keys!$C$54&amp;$C438</f>
        <v>DE|exports|petroleum diesel</v>
      </c>
    </row>
    <row r="439" spans="1:8" x14ac:dyDescent="0.25">
      <c r="A439" t="s">
        <v>79</v>
      </c>
      <c r="B439" t="s">
        <v>193</v>
      </c>
      <c r="C439" t="s">
        <v>91</v>
      </c>
      <c r="D439">
        <v>0</v>
      </c>
      <c r="E439">
        <v>0</v>
      </c>
      <c r="F439">
        <v>0</v>
      </c>
      <c r="G439" s="10">
        <f t="shared" si="6"/>
        <v>0</v>
      </c>
      <c r="H439" t="str">
        <f>$A439&amp;Keys!$C$54&amp;$B439&amp;Keys!$C$54&amp;$C439</f>
        <v>DE|exports|biofuel gasoline</v>
      </c>
    </row>
    <row r="440" spans="1:8" x14ac:dyDescent="0.25">
      <c r="A440" t="s">
        <v>79</v>
      </c>
      <c r="B440" t="s">
        <v>193</v>
      </c>
      <c r="C440" t="s">
        <v>94</v>
      </c>
      <c r="D440">
        <v>0</v>
      </c>
      <c r="E440">
        <v>0</v>
      </c>
      <c r="F440">
        <v>0</v>
      </c>
      <c r="G440" s="10">
        <f t="shared" si="6"/>
        <v>0</v>
      </c>
      <c r="H440" t="str">
        <f>$A440&amp;Keys!$C$54&amp;$B440&amp;Keys!$C$54&amp;$C440</f>
        <v>DE|exports|biofuel diesel</v>
      </c>
    </row>
    <row r="441" spans="1:8" x14ac:dyDescent="0.25">
      <c r="A441" t="s">
        <v>79</v>
      </c>
      <c r="B441" t="s">
        <v>193</v>
      </c>
      <c r="C441" t="s">
        <v>97</v>
      </c>
      <c r="D441">
        <v>528144000000</v>
      </c>
      <c r="E441">
        <v>25392400000000</v>
      </c>
      <c r="F441">
        <v>24350500000000</v>
      </c>
      <c r="G441" s="10">
        <f t="shared" si="6"/>
        <v>16757014666666.666</v>
      </c>
      <c r="H441" t="str">
        <f>$A441&amp;Keys!$C$54&amp;$B441&amp;Keys!$C$54&amp;$C441</f>
        <v>DE|exports|jet fuel or kerosene</v>
      </c>
    </row>
    <row r="442" spans="1:8" x14ac:dyDescent="0.25">
      <c r="A442" t="s">
        <v>79</v>
      </c>
      <c r="B442" t="s">
        <v>193</v>
      </c>
      <c r="C442" t="s">
        <v>100</v>
      </c>
      <c r="D442">
        <v>0</v>
      </c>
      <c r="E442">
        <v>0</v>
      </c>
      <c r="F442">
        <v>0</v>
      </c>
      <c r="G442" s="10">
        <f t="shared" si="6"/>
        <v>0</v>
      </c>
      <c r="H442" t="str">
        <f>$A442&amp;Keys!$C$54&amp;$B442&amp;Keys!$C$54&amp;$C442</f>
        <v>DE|exports|heat (not used in this variable)</v>
      </c>
    </row>
    <row r="443" spans="1:8" x14ac:dyDescent="0.25">
      <c r="A443" t="s">
        <v>79</v>
      </c>
      <c r="B443" t="s">
        <v>193</v>
      </c>
      <c r="C443" t="s">
        <v>103</v>
      </c>
      <c r="D443">
        <v>0</v>
      </c>
      <c r="E443">
        <v>0</v>
      </c>
      <c r="F443">
        <v>0</v>
      </c>
      <c r="G443" s="10">
        <f t="shared" si="6"/>
        <v>0</v>
      </c>
      <c r="H443" t="str">
        <f>$A443&amp;Keys!$C$54&amp;$B443&amp;Keys!$C$54&amp;$C443</f>
        <v>DE|exports|geothermal (is not a fuel)</v>
      </c>
    </row>
    <row r="444" spans="1:8" x14ac:dyDescent="0.25">
      <c r="A444" t="s">
        <v>79</v>
      </c>
      <c r="B444" t="s">
        <v>193</v>
      </c>
      <c r="C444" t="s">
        <v>106</v>
      </c>
      <c r="D444">
        <v>0</v>
      </c>
      <c r="E444">
        <v>0</v>
      </c>
      <c r="F444">
        <v>0</v>
      </c>
      <c r="G444" s="10">
        <f t="shared" si="6"/>
        <v>0</v>
      </c>
      <c r="H444" t="str">
        <f>$A444&amp;Keys!$C$54&amp;$B444&amp;Keys!$C$54&amp;$C444</f>
        <v>DE|exports|lignite</v>
      </c>
    </row>
    <row r="445" spans="1:8" x14ac:dyDescent="0.25">
      <c r="A445" t="s">
        <v>79</v>
      </c>
      <c r="B445" t="s">
        <v>193</v>
      </c>
      <c r="C445" t="s">
        <v>109</v>
      </c>
      <c r="D445">
        <v>0</v>
      </c>
      <c r="E445">
        <v>0</v>
      </c>
      <c r="F445">
        <v>0</v>
      </c>
      <c r="G445" s="10">
        <f t="shared" si="6"/>
        <v>0</v>
      </c>
      <c r="H445" t="str">
        <f>$A445&amp;Keys!$C$54&amp;$B445&amp;Keys!$C$54&amp;$C445</f>
        <v>DE|exports|crude oil</v>
      </c>
    </row>
    <row r="446" spans="1:8" x14ac:dyDescent="0.25">
      <c r="A446" t="s">
        <v>79</v>
      </c>
      <c r="B446" t="s">
        <v>193</v>
      </c>
      <c r="C446" t="s">
        <v>113</v>
      </c>
      <c r="D446">
        <v>380753000000</v>
      </c>
      <c r="E446">
        <v>4201950000000</v>
      </c>
      <c r="F446">
        <v>3983320000000</v>
      </c>
      <c r="G446" s="10">
        <f t="shared" si="6"/>
        <v>2855341000000</v>
      </c>
      <c r="H446" t="str">
        <f>$A446&amp;Keys!$C$54&amp;$B446&amp;Keys!$C$54&amp;$C446</f>
        <v>DE|exports|heavy fuel oil</v>
      </c>
    </row>
    <row r="447" spans="1:8" x14ac:dyDescent="0.25">
      <c r="A447" t="s">
        <v>79</v>
      </c>
      <c r="B447" t="s">
        <v>193</v>
      </c>
      <c r="C447" t="s">
        <v>117</v>
      </c>
      <c r="D447">
        <v>0</v>
      </c>
      <c r="E447">
        <v>0</v>
      </c>
      <c r="F447">
        <v>0</v>
      </c>
      <c r="G447" s="10">
        <f t="shared" si="6"/>
        <v>0</v>
      </c>
      <c r="H447" t="str">
        <f>$A447&amp;Keys!$C$54&amp;$B447&amp;Keys!$C$54&amp;$C447</f>
        <v>DE|exports|LPG propane or butane</v>
      </c>
    </row>
    <row r="448" spans="1:8" x14ac:dyDescent="0.25">
      <c r="A448" t="s">
        <v>79</v>
      </c>
      <c r="B448" t="s">
        <v>193</v>
      </c>
      <c r="C448" t="s">
        <v>120</v>
      </c>
      <c r="D448">
        <v>0</v>
      </c>
      <c r="E448">
        <v>0</v>
      </c>
      <c r="F448">
        <v>0</v>
      </c>
      <c r="G448" s="10">
        <f t="shared" si="6"/>
        <v>0</v>
      </c>
      <c r="H448" t="str">
        <f>$A448&amp;Keys!$C$54&amp;$B448&amp;Keys!$C$54&amp;$C448</f>
        <v>DE|exports|municipal solid waste</v>
      </c>
    </row>
    <row r="449" spans="1:8" x14ac:dyDescent="0.25">
      <c r="A449" t="s">
        <v>79</v>
      </c>
      <c r="B449" t="s">
        <v>193</v>
      </c>
      <c r="C449" t="s">
        <v>123</v>
      </c>
      <c r="D449">
        <v>0</v>
      </c>
      <c r="E449">
        <v>2167560000000</v>
      </c>
      <c r="F449">
        <v>1884260000000</v>
      </c>
      <c r="G449" s="10">
        <f t="shared" si="6"/>
        <v>1350606666666.6667</v>
      </c>
      <c r="H449" t="str">
        <f>$A449&amp;Keys!$C$54&amp;$B449&amp;Keys!$C$54&amp;$C449</f>
        <v>DE|exports|hydrogen</v>
      </c>
    </row>
    <row r="450" spans="1:8" x14ac:dyDescent="0.25">
      <c r="A450" t="s">
        <v>81</v>
      </c>
      <c r="B450" t="s">
        <v>188</v>
      </c>
      <c r="C450" t="s">
        <v>60</v>
      </c>
      <c r="D450">
        <v>0</v>
      </c>
      <c r="E450">
        <v>0</v>
      </c>
      <c r="F450">
        <v>0</v>
      </c>
      <c r="G450" s="10">
        <f t="shared" si="6"/>
        <v>0</v>
      </c>
      <c r="H450" t="str">
        <f>$A450&amp;Keys!$C$54&amp;$B450&amp;Keys!$C$54&amp;$C450</f>
        <v>FL|production|electricity (not used in this variable)</v>
      </c>
    </row>
    <row r="451" spans="1:8" x14ac:dyDescent="0.25">
      <c r="A451" t="s">
        <v>81</v>
      </c>
      <c r="B451" t="s">
        <v>188</v>
      </c>
      <c r="C451" t="s">
        <v>64</v>
      </c>
      <c r="D451">
        <v>0</v>
      </c>
      <c r="E451">
        <v>0</v>
      </c>
      <c r="F451">
        <v>0</v>
      </c>
      <c r="G451" s="10">
        <f t="shared" si="6"/>
        <v>0</v>
      </c>
      <c r="H451" t="str">
        <f>$A451&amp;Keys!$C$54&amp;$B451&amp;Keys!$C$54&amp;$C451</f>
        <v>FL|production|hard coal</v>
      </c>
    </row>
    <row r="452" spans="1:8" x14ac:dyDescent="0.25">
      <c r="A452" t="s">
        <v>81</v>
      </c>
      <c r="B452" t="s">
        <v>188</v>
      </c>
      <c r="C452" t="s">
        <v>68</v>
      </c>
      <c r="D452">
        <v>274805000000</v>
      </c>
      <c r="E452">
        <v>274805000000</v>
      </c>
      <c r="F452">
        <v>271650000000</v>
      </c>
      <c r="G452" s="10">
        <f t="shared" si="6"/>
        <v>273753333333.33334</v>
      </c>
      <c r="H452" t="str">
        <f>$A452&amp;Keys!$C$54&amp;$B452&amp;Keys!$C$54&amp;$C452</f>
        <v>FL|production|natural gas</v>
      </c>
    </row>
    <row r="453" spans="1:8" x14ac:dyDescent="0.25">
      <c r="A453" t="s">
        <v>81</v>
      </c>
      <c r="B453" t="s">
        <v>188</v>
      </c>
      <c r="C453" t="s">
        <v>71</v>
      </c>
      <c r="D453">
        <v>0</v>
      </c>
      <c r="E453">
        <v>0</v>
      </c>
      <c r="F453">
        <v>0</v>
      </c>
      <c r="G453" s="10">
        <f t="shared" si="6"/>
        <v>0</v>
      </c>
      <c r="H453" t="str">
        <f>$A453&amp;Keys!$C$54&amp;$B453&amp;Keys!$C$54&amp;$C453</f>
        <v>FL|production|nuclear</v>
      </c>
    </row>
    <row r="454" spans="1:8" x14ac:dyDescent="0.25">
      <c r="A454" t="s">
        <v>81</v>
      </c>
      <c r="B454" t="s">
        <v>188</v>
      </c>
      <c r="C454" t="s">
        <v>74</v>
      </c>
      <c r="D454">
        <v>0</v>
      </c>
      <c r="E454">
        <v>0</v>
      </c>
      <c r="F454">
        <v>0</v>
      </c>
      <c r="G454" s="10">
        <f t="shared" si="6"/>
        <v>0</v>
      </c>
      <c r="H454" t="str">
        <f>$A454&amp;Keys!$C$54&amp;$B454&amp;Keys!$C$54&amp;$C454</f>
        <v>FL|production|hydro (is not a fuel)</v>
      </c>
    </row>
    <row r="455" spans="1:8" x14ac:dyDescent="0.25">
      <c r="A455" t="s">
        <v>81</v>
      </c>
      <c r="B455" t="s">
        <v>188</v>
      </c>
      <c r="C455" t="s">
        <v>77</v>
      </c>
      <c r="D455">
        <v>0</v>
      </c>
      <c r="E455">
        <v>0</v>
      </c>
      <c r="F455">
        <v>0</v>
      </c>
      <c r="G455" s="10">
        <f t="shared" si="6"/>
        <v>0</v>
      </c>
      <c r="H455" t="str">
        <f>$A455&amp;Keys!$C$54&amp;$B455&amp;Keys!$C$54&amp;$C455</f>
        <v>FL|production|wind (is not a fuel)</v>
      </c>
    </row>
    <row r="456" spans="1:8" x14ac:dyDescent="0.25">
      <c r="A456" t="s">
        <v>81</v>
      </c>
      <c r="B456" t="s">
        <v>188</v>
      </c>
      <c r="C456" t="s">
        <v>80</v>
      </c>
      <c r="D456">
        <v>0</v>
      </c>
      <c r="E456">
        <v>0</v>
      </c>
      <c r="F456">
        <v>0</v>
      </c>
      <c r="G456" s="10">
        <f t="shared" si="6"/>
        <v>0</v>
      </c>
      <c r="H456" t="str">
        <f>$A456&amp;Keys!$C$54&amp;$B456&amp;Keys!$C$54&amp;$C456</f>
        <v>FL|production|solar (is not a fuel)</v>
      </c>
    </row>
    <row r="457" spans="1:8" x14ac:dyDescent="0.25">
      <c r="A457" t="s">
        <v>81</v>
      </c>
      <c r="B457" t="s">
        <v>188</v>
      </c>
      <c r="C457" t="s">
        <v>82</v>
      </c>
      <c r="D457">
        <v>13227600000000</v>
      </c>
      <c r="E457">
        <v>13227600000000</v>
      </c>
      <c r="F457">
        <v>13227600000000</v>
      </c>
      <c r="G457" s="10">
        <f t="shared" ref="G457:G520" si="7">AVERAGE($D457:$F457)</f>
        <v>13227600000000</v>
      </c>
      <c r="H457" t="str">
        <f>$A457&amp;Keys!$C$54&amp;$B457&amp;Keys!$C$54&amp;$C457</f>
        <v>FL|production|biomass</v>
      </c>
    </row>
    <row r="458" spans="1:8" x14ac:dyDescent="0.25">
      <c r="A458" t="s">
        <v>81</v>
      </c>
      <c r="B458" t="s">
        <v>188</v>
      </c>
      <c r="C458" t="s">
        <v>85</v>
      </c>
      <c r="D458">
        <v>0</v>
      </c>
      <c r="E458">
        <v>0</v>
      </c>
      <c r="F458">
        <v>0</v>
      </c>
      <c r="G458" s="10">
        <f t="shared" si="7"/>
        <v>0</v>
      </c>
      <c r="H458" t="str">
        <f>$A458&amp;Keys!$C$54&amp;$B458&amp;Keys!$C$54&amp;$C458</f>
        <v>FL|production|petroleum gasoline</v>
      </c>
    </row>
    <row r="459" spans="1:8" x14ac:dyDescent="0.25">
      <c r="A459" t="s">
        <v>81</v>
      </c>
      <c r="B459" t="s">
        <v>188</v>
      </c>
      <c r="C459" t="s">
        <v>88</v>
      </c>
      <c r="D459">
        <v>0</v>
      </c>
      <c r="E459">
        <v>0</v>
      </c>
      <c r="F459">
        <v>0</v>
      </c>
      <c r="G459" s="10">
        <f t="shared" si="7"/>
        <v>0</v>
      </c>
      <c r="H459" t="str">
        <f>$A459&amp;Keys!$C$54&amp;$B459&amp;Keys!$C$54&amp;$C459</f>
        <v>FL|production|petroleum diesel</v>
      </c>
    </row>
    <row r="460" spans="1:8" x14ac:dyDescent="0.25">
      <c r="A460" t="s">
        <v>81</v>
      </c>
      <c r="B460" t="s">
        <v>188</v>
      </c>
      <c r="C460" t="s">
        <v>91</v>
      </c>
      <c r="D460">
        <v>0</v>
      </c>
      <c r="E460">
        <v>0</v>
      </c>
      <c r="F460">
        <v>0</v>
      </c>
      <c r="G460" s="10">
        <f t="shared" si="7"/>
        <v>0</v>
      </c>
      <c r="H460" t="str">
        <f>$A460&amp;Keys!$C$54&amp;$B460&amp;Keys!$C$54&amp;$C460</f>
        <v>FL|production|biofuel gasoline</v>
      </c>
    </row>
    <row r="461" spans="1:8" x14ac:dyDescent="0.25">
      <c r="A461" t="s">
        <v>81</v>
      </c>
      <c r="B461" t="s">
        <v>188</v>
      </c>
      <c r="C461" t="s">
        <v>94</v>
      </c>
      <c r="D461">
        <v>571343000000</v>
      </c>
      <c r="E461">
        <v>571343000000</v>
      </c>
      <c r="F461">
        <v>678677000000</v>
      </c>
      <c r="G461" s="10">
        <f t="shared" si="7"/>
        <v>607121000000</v>
      </c>
      <c r="H461" t="str">
        <f>$A461&amp;Keys!$C$54&amp;$B461&amp;Keys!$C$54&amp;$C461</f>
        <v>FL|production|biofuel diesel</v>
      </c>
    </row>
    <row r="462" spans="1:8" x14ac:dyDescent="0.25">
      <c r="A462" t="s">
        <v>81</v>
      </c>
      <c r="B462" t="s">
        <v>188</v>
      </c>
      <c r="C462" t="s">
        <v>97</v>
      </c>
      <c r="D462">
        <v>0</v>
      </c>
      <c r="E462">
        <v>0</v>
      </c>
      <c r="F462">
        <v>0</v>
      </c>
      <c r="G462" s="10">
        <f t="shared" si="7"/>
        <v>0</v>
      </c>
      <c r="H462" t="str">
        <f>$A462&amp;Keys!$C$54&amp;$B462&amp;Keys!$C$54&amp;$C462</f>
        <v>FL|production|jet fuel or kerosene</v>
      </c>
    </row>
    <row r="463" spans="1:8" x14ac:dyDescent="0.25">
      <c r="A463" t="s">
        <v>81</v>
      </c>
      <c r="B463" t="s">
        <v>188</v>
      </c>
      <c r="C463" t="s">
        <v>100</v>
      </c>
      <c r="D463">
        <v>0</v>
      </c>
      <c r="E463">
        <v>0</v>
      </c>
      <c r="F463">
        <v>0</v>
      </c>
      <c r="G463" s="10">
        <f t="shared" si="7"/>
        <v>0</v>
      </c>
      <c r="H463" t="str">
        <f>$A463&amp;Keys!$C$54&amp;$B463&amp;Keys!$C$54&amp;$C463</f>
        <v>FL|production|heat (not used in this variable)</v>
      </c>
    </row>
    <row r="464" spans="1:8" x14ac:dyDescent="0.25">
      <c r="A464" t="s">
        <v>81</v>
      </c>
      <c r="B464" t="s">
        <v>188</v>
      </c>
      <c r="C464" t="s">
        <v>103</v>
      </c>
      <c r="D464">
        <v>0</v>
      </c>
      <c r="E464">
        <v>0</v>
      </c>
      <c r="F464">
        <v>0</v>
      </c>
      <c r="G464" s="10">
        <f t="shared" si="7"/>
        <v>0</v>
      </c>
      <c r="H464" t="str">
        <f>$A464&amp;Keys!$C$54&amp;$B464&amp;Keys!$C$54&amp;$C464</f>
        <v>FL|production|geothermal (is not a fuel)</v>
      </c>
    </row>
    <row r="465" spans="1:8" x14ac:dyDescent="0.25">
      <c r="A465" t="s">
        <v>81</v>
      </c>
      <c r="B465" t="s">
        <v>188</v>
      </c>
      <c r="C465" t="s">
        <v>106</v>
      </c>
      <c r="D465">
        <v>0</v>
      </c>
      <c r="E465">
        <v>0</v>
      </c>
      <c r="F465">
        <v>0</v>
      </c>
      <c r="G465" s="10">
        <f t="shared" si="7"/>
        <v>0</v>
      </c>
      <c r="H465" t="str">
        <f>$A465&amp;Keys!$C$54&amp;$B465&amp;Keys!$C$54&amp;$C465</f>
        <v>FL|production|lignite</v>
      </c>
    </row>
    <row r="466" spans="1:8" x14ac:dyDescent="0.25">
      <c r="A466" t="s">
        <v>81</v>
      </c>
      <c r="B466" t="s">
        <v>188</v>
      </c>
      <c r="C466" t="s">
        <v>109</v>
      </c>
      <c r="D466">
        <v>5092400000000</v>
      </c>
      <c r="E466">
        <v>5092400000000</v>
      </c>
      <c r="F466">
        <v>4794960000000</v>
      </c>
      <c r="G466" s="10">
        <f t="shared" si="7"/>
        <v>4993253333333.333</v>
      </c>
      <c r="H466" t="str">
        <f>$A466&amp;Keys!$C$54&amp;$B466&amp;Keys!$C$54&amp;$C466</f>
        <v>FL|production|crude oil</v>
      </c>
    </row>
    <row r="467" spans="1:8" x14ac:dyDescent="0.25">
      <c r="A467" t="s">
        <v>81</v>
      </c>
      <c r="B467" t="s">
        <v>188</v>
      </c>
      <c r="C467" t="s">
        <v>113</v>
      </c>
      <c r="D467">
        <v>0</v>
      </c>
      <c r="E467">
        <v>0</v>
      </c>
      <c r="F467">
        <v>0</v>
      </c>
      <c r="G467" s="10">
        <f t="shared" si="7"/>
        <v>0</v>
      </c>
      <c r="H467" t="str">
        <f>$A467&amp;Keys!$C$54&amp;$B467&amp;Keys!$C$54&amp;$C467</f>
        <v>FL|production|heavy fuel oil</v>
      </c>
    </row>
    <row r="468" spans="1:8" x14ac:dyDescent="0.25">
      <c r="A468" t="s">
        <v>81</v>
      </c>
      <c r="B468" t="s">
        <v>188</v>
      </c>
      <c r="C468" t="s">
        <v>117</v>
      </c>
      <c r="D468">
        <v>33594800000</v>
      </c>
      <c r="E468">
        <v>33594800000</v>
      </c>
      <c r="F468">
        <v>34308100000</v>
      </c>
      <c r="G468" s="10">
        <f t="shared" si="7"/>
        <v>33832566666.666668</v>
      </c>
      <c r="H468" t="str">
        <f>$A468&amp;Keys!$C$54&amp;$B468&amp;Keys!$C$54&amp;$C468</f>
        <v>FL|production|LPG propane or butane</v>
      </c>
    </row>
    <row r="469" spans="1:8" x14ac:dyDescent="0.25">
      <c r="A469" t="s">
        <v>81</v>
      </c>
      <c r="B469" t="s">
        <v>188</v>
      </c>
      <c r="C469" t="s">
        <v>120</v>
      </c>
      <c r="D469">
        <v>0</v>
      </c>
      <c r="E469">
        <v>0</v>
      </c>
      <c r="F469">
        <v>0</v>
      </c>
      <c r="G469" s="10">
        <f t="shared" si="7"/>
        <v>0</v>
      </c>
      <c r="H469" t="str">
        <f>$A469&amp;Keys!$C$54&amp;$B469&amp;Keys!$C$54&amp;$C469</f>
        <v>FL|production|municipal solid waste</v>
      </c>
    </row>
    <row r="470" spans="1:8" x14ac:dyDescent="0.25">
      <c r="A470" t="s">
        <v>81</v>
      </c>
      <c r="B470" t="s">
        <v>188</v>
      </c>
      <c r="C470" t="s">
        <v>123</v>
      </c>
      <c r="D470">
        <v>0</v>
      </c>
      <c r="E470">
        <v>0</v>
      </c>
      <c r="F470">
        <v>0</v>
      </c>
      <c r="G470" s="10">
        <f t="shared" si="7"/>
        <v>0</v>
      </c>
      <c r="H470" t="str">
        <f>$A470&amp;Keys!$C$54&amp;$B470&amp;Keys!$C$54&amp;$C470</f>
        <v>FL|production|hydrogen</v>
      </c>
    </row>
    <row r="471" spans="1:8" x14ac:dyDescent="0.25">
      <c r="A471" t="s">
        <v>81</v>
      </c>
      <c r="B471" t="s">
        <v>191</v>
      </c>
      <c r="C471" t="s">
        <v>60</v>
      </c>
      <c r="D471">
        <v>0</v>
      </c>
      <c r="E471">
        <v>0</v>
      </c>
      <c r="F471">
        <v>0</v>
      </c>
      <c r="G471" s="10">
        <f t="shared" si="7"/>
        <v>0</v>
      </c>
      <c r="H471" t="str">
        <f>$A471&amp;Keys!$C$54&amp;$B471&amp;Keys!$C$54&amp;$C471</f>
        <v>FL|imports|electricity (not used in this variable)</v>
      </c>
    </row>
    <row r="472" spans="1:8" x14ac:dyDescent="0.25">
      <c r="A472" t="s">
        <v>81</v>
      </c>
      <c r="B472" t="s">
        <v>191</v>
      </c>
      <c r="C472" t="s">
        <v>64</v>
      </c>
      <c r="D472">
        <v>74513400000000</v>
      </c>
      <c r="E472">
        <v>115445000000000</v>
      </c>
      <c r="F472">
        <v>179921000000000</v>
      </c>
      <c r="G472" s="10">
        <f t="shared" si="7"/>
        <v>123293133333333.33</v>
      </c>
      <c r="H472" t="str">
        <f>$A472&amp;Keys!$C$54&amp;$B472&amp;Keys!$C$54&amp;$C472</f>
        <v>FL|imports|hard coal</v>
      </c>
    </row>
    <row r="473" spans="1:8" x14ac:dyDescent="0.25">
      <c r="A473" t="s">
        <v>81</v>
      </c>
      <c r="B473" t="s">
        <v>191</v>
      </c>
      <c r="C473" t="s">
        <v>68</v>
      </c>
      <c r="D473">
        <v>1795430000000000</v>
      </c>
      <c r="E473">
        <v>1626940000000000</v>
      </c>
      <c r="F473">
        <v>1573430000000000</v>
      </c>
      <c r="G473" s="10">
        <f t="shared" si="7"/>
        <v>1665266666666666.8</v>
      </c>
      <c r="H473" t="str">
        <f>$A473&amp;Keys!$C$54&amp;$B473&amp;Keys!$C$54&amp;$C473</f>
        <v>FL|imports|natural gas</v>
      </c>
    </row>
    <row r="474" spans="1:8" x14ac:dyDescent="0.25">
      <c r="A474" t="s">
        <v>81</v>
      </c>
      <c r="B474" t="s">
        <v>191</v>
      </c>
      <c r="C474" t="s">
        <v>71</v>
      </c>
      <c r="D474">
        <v>303407000000000</v>
      </c>
      <c r="E474">
        <v>319359000000000</v>
      </c>
      <c r="F474">
        <v>310691000000000</v>
      </c>
      <c r="G474" s="10">
        <f t="shared" si="7"/>
        <v>311152333333333.31</v>
      </c>
      <c r="H474" t="str">
        <f>$A474&amp;Keys!$C$54&amp;$B474&amp;Keys!$C$54&amp;$C474</f>
        <v>FL|imports|nuclear</v>
      </c>
    </row>
    <row r="475" spans="1:8" x14ac:dyDescent="0.25">
      <c r="A475" t="s">
        <v>81</v>
      </c>
      <c r="B475" t="s">
        <v>191</v>
      </c>
      <c r="C475" t="s">
        <v>74</v>
      </c>
      <c r="D475">
        <v>0</v>
      </c>
      <c r="E475">
        <v>0</v>
      </c>
      <c r="F475">
        <v>0</v>
      </c>
      <c r="G475" s="10">
        <f t="shared" si="7"/>
        <v>0</v>
      </c>
      <c r="H475" t="str">
        <f>$A475&amp;Keys!$C$54&amp;$B475&amp;Keys!$C$54&amp;$C475</f>
        <v>FL|imports|hydro (is not a fuel)</v>
      </c>
    </row>
    <row r="476" spans="1:8" x14ac:dyDescent="0.25">
      <c r="A476" t="s">
        <v>81</v>
      </c>
      <c r="B476" t="s">
        <v>191</v>
      </c>
      <c r="C476" t="s">
        <v>77</v>
      </c>
      <c r="D476">
        <v>0</v>
      </c>
      <c r="E476">
        <v>0</v>
      </c>
      <c r="F476">
        <v>0</v>
      </c>
      <c r="G476" s="10">
        <f t="shared" si="7"/>
        <v>0</v>
      </c>
      <c r="H476" t="str">
        <f>$A476&amp;Keys!$C$54&amp;$B476&amp;Keys!$C$54&amp;$C476</f>
        <v>FL|imports|wind (is not a fuel)</v>
      </c>
    </row>
    <row r="477" spans="1:8" x14ac:dyDescent="0.25">
      <c r="A477" t="s">
        <v>81</v>
      </c>
      <c r="B477" t="s">
        <v>191</v>
      </c>
      <c r="C477" t="s">
        <v>80</v>
      </c>
      <c r="D477">
        <v>0</v>
      </c>
      <c r="E477">
        <v>0</v>
      </c>
      <c r="F477">
        <v>0</v>
      </c>
      <c r="G477" s="10">
        <f t="shared" si="7"/>
        <v>0</v>
      </c>
      <c r="H477" t="str">
        <f>$A477&amp;Keys!$C$54&amp;$B477&amp;Keys!$C$54&amp;$C477</f>
        <v>FL|imports|solar (is not a fuel)</v>
      </c>
    </row>
    <row r="478" spans="1:8" x14ac:dyDescent="0.25">
      <c r="A478" t="s">
        <v>81</v>
      </c>
      <c r="B478" t="s">
        <v>191</v>
      </c>
      <c r="C478" t="s">
        <v>82</v>
      </c>
      <c r="D478">
        <v>0</v>
      </c>
      <c r="E478">
        <v>74292100000000</v>
      </c>
      <c r="F478">
        <v>77976500000000</v>
      </c>
      <c r="G478" s="10">
        <f t="shared" si="7"/>
        <v>50756200000000</v>
      </c>
      <c r="H478" t="str">
        <f>$A478&amp;Keys!$C$54&amp;$B478&amp;Keys!$C$54&amp;$C478</f>
        <v>FL|imports|biomass</v>
      </c>
    </row>
    <row r="479" spans="1:8" x14ac:dyDescent="0.25">
      <c r="A479" t="s">
        <v>81</v>
      </c>
      <c r="B479" t="s">
        <v>191</v>
      </c>
      <c r="C479" t="s">
        <v>85</v>
      </c>
      <c r="D479">
        <v>0</v>
      </c>
      <c r="E479">
        <v>953296000000000</v>
      </c>
      <c r="F479">
        <v>939429000000000</v>
      </c>
      <c r="G479" s="10">
        <f t="shared" si="7"/>
        <v>630908333333333.38</v>
      </c>
      <c r="H479" t="str">
        <f>$A479&amp;Keys!$C$54&amp;$B479&amp;Keys!$C$54&amp;$C479</f>
        <v>FL|imports|petroleum gasoline</v>
      </c>
    </row>
    <row r="480" spans="1:8" x14ac:dyDescent="0.25">
      <c r="A480" t="s">
        <v>81</v>
      </c>
      <c r="B480" t="s">
        <v>191</v>
      </c>
      <c r="C480" t="s">
        <v>88</v>
      </c>
      <c r="D480">
        <v>0</v>
      </c>
      <c r="E480">
        <v>384488000000000</v>
      </c>
      <c r="F480">
        <v>383681000000000</v>
      </c>
      <c r="G480" s="10">
        <f t="shared" si="7"/>
        <v>256056333333333.34</v>
      </c>
      <c r="H480" t="str">
        <f>$A480&amp;Keys!$C$54&amp;$B480&amp;Keys!$C$54&amp;$C480</f>
        <v>FL|imports|petroleum diesel</v>
      </c>
    </row>
    <row r="481" spans="1:8" x14ac:dyDescent="0.25">
      <c r="A481" t="s">
        <v>81</v>
      </c>
      <c r="B481" t="s">
        <v>191</v>
      </c>
      <c r="C481" t="s">
        <v>91</v>
      </c>
      <c r="D481">
        <v>0</v>
      </c>
      <c r="E481">
        <v>65556000000000</v>
      </c>
      <c r="F481">
        <v>64615900000000</v>
      </c>
      <c r="G481" s="10">
        <f t="shared" si="7"/>
        <v>43390633333333.336</v>
      </c>
      <c r="H481" t="str">
        <f>$A481&amp;Keys!$C$54&amp;$B481&amp;Keys!$C$54&amp;$C481</f>
        <v>FL|imports|biofuel gasoline</v>
      </c>
    </row>
    <row r="482" spans="1:8" x14ac:dyDescent="0.25">
      <c r="A482" t="s">
        <v>81</v>
      </c>
      <c r="B482" t="s">
        <v>191</v>
      </c>
      <c r="C482" t="s">
        <v>94</v>
      </c>
      <c r="D482">
        <v>0</v>
      </c>
      <c r="E482">
        <v>1759480000000</v>
      </c>
      <c r="F482">
        <v>1669830000000</v>
      </c>
      <c r="G482" s="10">
        <f t="shared" si="7"/>
        <v>1143103333333.3333</v>
      </c>
      <c r="H482" t="str">
        <f>$A482&amp;Keys!$C$54&amp;$B482&amp;Keys!$C$54&amp;$C482</f>
        <v>FL|imports|biofuel diesel</v>
      </c>
    </row>
    <row r="483" spans="1:8" x14ac:dyDescent="0.25">
      <c r="A483" t="s">
        <v>81</v>
      </c>
      <c r="B483" t="s">
        <v>191</v>
      </c>
      <c r="C483" t="s">
        <v>97</v>
      </c>
      <c r="D483">
        <v>0</v>
      </c>
      <c r="E483">
        <v>347717000000000</v>
      </c>
      <c r="F483">
        <v>354254000000000</v>
      </c>
      <c r="G483" s="10">
        <f t="shared" si="7"/>
        <v>233990333333333.34</v>
      </c>
      <c r="H483" t="str">
        <f>$A483&amp;Keys!$C$54&amp;$B483&amp;Keys!$C$54&amp;$C483</f>
        <v>FL|imports|jet fuel or kerosene</v>
      </c>
    </row>
    <row r="484" spans="1:8" x14ac:dyDescent="0.25">
      <c r="A484" t="s">
        <v>81</v>
      </c>
      <c r="B484" t="s">
        <v>191</v>
      </c>
      <c r="C484" t="s">
        <v>100</v>
      </c>
      <c r="D484">
        <v>0</v>
      </c>
      <c r="E484">
        <v>0</v>
      </c>
      <c r="F484">
        <v>0</v>
      </c>
      <c r="G484" s="10">
        <f t="shared" si="7"/>
        <v>0</v>
      </c>
      <c r="H484" t="str">
        <f>$A484&amp;Keys!$C$54&amp;$B484&amp;Keys!$C$54&amp;$C484</f>
        <v>FL|imports|heat (not used in this variable)</v>
      </c>
    </row>
    <row r="485" spans="1:8" x14ac:dyDescent="0.25">
      <c r="A485" t="s">
        <v>81</v>
      </c>
      <c r="B485" t="s">
        <v>191</v>
      </c>
      <c r="C485" t="s">
        <v>103</v>
      </c>
      <c r="D485">
        <v>0</v>
      </c>
      <c r="E485">
        <v>0</v>
      </c>
      <c r="F485">
        <v>0</v>
      </c>
      <c r="G485" s="10">
        <f t="shared" si="7"/>
        <v>0</v>
      </c>
      <c r="H485" t="str">
        <f>$A485&amp;Keys!$C$54&amp;$B485&amp;Keys!$C$54&amp;$C485</f>
        <v>FL|imports|geothermal (is not a fuel)</v>
      </c>
    </row>
    <row r="486" spans="1:8" x14ac:dyDescent="0.25">
      <c r="A486" t="s">
        <v>81</v>
      </c>
      <c r="B486" t="s">
        <v>191</v>
      </c>
      <c r="C486" t="s">
        <v>106</v>
      </c>
      <c r="D486">
        <v>0</v>
      </c>
      <c r="E486">
        <v>0</v>
      </c>
      <c r="F486">
        <v>0</v>
      </c>
      <c r="G486" s="10">
        <f t="shared" si="7"/>
        <v>0</v>
      </c>
      <c r="H486" t="str">
        <f>$A486&amp;Keys!$C$54&amp;$B486&amp;Keys!$C$54&amp;$C486</f>
        <v>FL|imports|lignite</v>
      </c>
    </row>
    <row r="487" spans="1:8" x14ac:dyDescent="0.25">
      <c r="A487" t="s">
        <v>81</v>
      </c>
      <c r="B487" t="s">
        <v>191</v>
      </c>
      <c r="C487" t="s">
        <v>109</v>
      </c>
      <c r="D487">
        <v>0</v>
      </c>
      <c r="E487">
        <v>0</v>
      </c>
      <c r="F487">
        <v>0</v>
      </c>
      <c r="G487" s="10">
        <f t="shared" si="7"/>
        <v>0</v>
      </c>
      <c r="H487" t="str">
        <f>$A487&amp;Keys!$C$54&amp;$B487&amp;Keys!$C$54&amp;$C487</f>
        <v>FL|imports|crude oil</v>
      </c>
    </row>
    <row r="488" spans="1:8" x14ac:dyDescent="0.25">
      <c r="A488" t="s">
        <v>81</v>
      </c>
      <c r="B488" t="s">
        <v>191</v>
      </c>
      <c r="C488" t="s">
        <v>113</v>
      </c>
      <c r="D488">
        <v>0</v>
      </c>
      <c r="E488">
        <v>103373000000000</v>
      </c>
      <c r="F488">
        <v>102015000000000</v>
      </c>
      <c r="G488" s="10">
        <f t="shared" si="7"/>
        <v>68462666666666.664</v>
      </c>
      <c r="H488" t="str">
        <f>$A488&amp;Keys!$C$54&amp;$B488&amp;Keys!$C$54&amp;$C488</f>
        <v>FL|imports|heavy fuel oil</v>
      </c>
    </row>
    <row r="489" spans="1:8" x14ac:dyDescent="0.25">
      <c r="A489" t="s">
        <v>81</v>
      </c>
      <c r="B489" t="s">
        <v>191</v>
      </c>
      <c r="C489" t="s">
        <v>117</v>
      </c>
      <c r="D489">
        <v>0</v>
      </c>
      <c r="E489">
        <v>19227300000000</v>
      </c>
      <c r="F489">
        <v>19131200000000</v>
      </c>
      <c r="G489" s="10">
        <f t="shared" si="7"/>
        <v>12786166666666.666</v>
      </c>
      <c r="H489" t="str">
        <f>$A489&amp;Keys!$C$54&amp;$B489&amp;Keys!$C$54&amp;$C489</f>
        <v>FL|imports|LPG propane or butane</v>
      </c>
    </row>
    <row r="490" spans="1:8" x14ac:dyDescent="0.25">
      <c r="A490" t="s">
        <v>81</v>
      </c>
      <c r="B490" t="s">
        <v>191</v>
      </c>
      <c r="C490" t="s">
        <v>120</v>
      </c>
      <c r="D490">
        <v>0</v>
      </c>
      <c r="E490">
        <v>31869400000000</v>
      </c>
      <c r="F490">
        <v>30500800000000</v>
      </c>
      <c r="G490" s="10">
        <f t="shared" si="7"/>
        <v>20790066666666.668</v>
      </c>
      <c r="H490" t="str">
        <f>$A490&amp;Keys!$C$54&amp;$B490&amp;Keys!$C$54&amp;$C490</f>
        <v>FL|imports|municipal solid waste</v>
      </c>
    </row>
    <row r="491" spans="1:8" x14ac:dyDescent="0.25">
      <c r="A491" t="s">
        <v>81</v>
      </c>
      <c r="B491" t="s">
        <v>191</v>
      </c>
      <c r="C491" t="s">
        <v>123</v>
      </c>
      <c r="D491">
        <v>0</v>
      </c>
      <c r="E491">
        <v>2765380000000</v>
      </c>
      <c r="F491">
        <v>2714180000000</v>
      </c>
      <c r="G491" s="10">
        <f t="shared" si="7"/>
        <v>1826520000000</v>
      </c>
      <c r="H491" t="str">
        <f>$A491&amp;Keys!$C$54&amp;$B491&amp;Keys!$C$54&amp;$C491</f>
        <v>FL|imports|hydrogen</v>
      </c>
    </row>
    <row r="492" spans="1:8" x14ac:dyDescent="0.25">
      <c r="A492" t="s">
        <v>81</v>
      </c>
      <c r="B492" t="s">
        <v>193</v>
      </c>
      <c r="C492" t="s">
        <v>60</v>
      </c>
      <c r="D492">
        <v>0</v>
      </c>
      <c r="E492">
        <v>0</v>
      </c>
      <c r="F492">
        <v>0</v>
      </c>
      <c r="G492" s="10">
        <f t="shared" si="7"/>
        <v>0</v>
      </c>
      <c r="H492" t="str">
        <f>$A492&amp;Keys!$C$54&amp;$B492&amp;Keys!$C$54&amp;$C492</f>
        <v>FL|exports|electricity (not used in this variable)</v>
      </c>
    </row>
    <row r="493" spans="1:8" x14ac:dyDescent="0.25">
      <c r="A493" t="s">
        <v>81</v>
      </c>
      <c r="B493" t="s">
        <v>193</v>
      </c>
      <c r="C493" t="s">
        <v>64</v>
      </c>
      <c r="D493">
        <v>0</v>
      </c>
      <c r="E493">
        <v>0</v>
      </c>
      <c r="F493">
        <v>0</v>
      </c>
      <c r="G493" s="10">
        <f t="shared" si="7"/>
        <v>0</v>
      </c>
      <c r="H493" t="str">
        <f>$A493&amp;Keys!$C$54&amp;$B493&amp;Keys!$C$54&amp;$C493</f>
        <v>FL|exports|hard coal</v>
      </c>
    </row>
    <row r="494" spans="1:8" x14ac:dyDescent="0.25">
      <c r="A494" t="s">
        <v>81</v>
      </c>
      <c r="B494" t="s">
        <v>193</v>
      </c>
      <c r="C494" t="s">
        <v>68</v>
      </c>
      <c r="D494">
        <v>976854000000</v>
      </c>
      <c r="E494">
        <v>976854000000</v>
      </c>
      <c r="F494">
        <v>965638000000</v>
      </c>
      <c r="G494" s="10">
        <f t="shared" si="7"/>
        <v>973115333333.33337</v>
      </c>
      <c r="H494" t="str">
        <f>$A494&amp;Keys!$C$54&amp;$B494&amp;Keys!$C$54&amp;$C494</f>
        <v>FL|exports|natural gas</v>
      </c>
    </row>
    <row r="495" spans="1:8" x14ac:dyDescent="0.25">
      <c r="A495" t="s">
        <v>81</v>
      </c>
      <c r="B495" t="s">
        <v>193</v>
      </c>
      <c r="C495" t="s">
        <v>71</v>
      </c>
      <c r="D495">
        <v>0</v>
      </c>
      <c r="E495">
        <v>0</v>
      </c>
      <c r="F495">
        <v>0</v>
      </c>
      <c r="G495" s="10">
        <f t="shared" si="7"/>
        <v>0</v>
      </c>
      <c r="H495" t="str">
        <f>$A495&amp;Keys!$C$54&amp;$B495&amp;Keys!$C$54&amp;$C495</f>
        <v>FL|exports|nuclear</v>
      </c>
    </row>
    <row r="496" spans="1:8" x14ac:dyDescent="0.25">
      <c r="A496" t="s">
        <v>81</v>
      </c>
      <c r="B496" t="s">
        <v>193</v>
      </c>
      <c r="C496" t="s">
        <v>74</v>
      </c>
      <c r="D496">
        <v>0</v>
      </c>
      <c r="E496">
        <v>0</v>
      </c>
      <c r="F496">
        <v>0</v>
      </c>
      <c r="G496" s="10">
        <f t="shared" si="7"/>
        <v>0</v>
      </c>
      <c r="H496" t="str">
        <f>$A496&amp;Keys!$C$54&amp;$B496&amp;Keys!$C$54&amp;$C496</f>
        <v>FL|exports|hydro (is not a fuel)</v>
      </c>
    </row>
    <row r="497" spans="1:8" x14ac:dyDescent="0.25">
      <c r="A497" t="s">
        <v>81</v>
      </c>
      <c r="B497" t="s">
        <v>193</v>
      </c>
      <c r="C497" t="s">
        <v>77</v>
      </c>
      <c r="D497">
        <v>0</v>
      </c>
      <c r="E497">
        <v>0</v>
      </c>
      <c r="F497">
        <v>0</v>
      </c>
      <c r="G497" s="10">
        <f t="shared" si="7"/>
        <v>0</v>
      </c>
      <c r="H497" t="str">
        <f>$A497&amp;Keys!$C$54&amp;$B497&amp;Keys!$C$54&amp;$C497</f>
        <v>FL|exports|wind (is not a fuel)</v>
      </c>
    </row>
    <row r="498" spans="1:8" x14ac:dyDescent="0.25">
      <c r="A498" t="s">
        <v>81</v>
      </c>
      <c r="B498" t="s">
        <v>193</v>
      </c>
      <c r="C498" t="s">
        <v>80</v>
      </c>
      <c r="D498">
        <v>0</v>
      </c>
      <c r="E498">
        <v>0</v>
      </c>
      <c r="F498">
        <v>0</v>
      </c>
      <c r="G498" s="10">
        <f t="shared" si="7"/>
        <v>0</v>
      </c>
      <c r="H498" t="str">
        <f>$A498&amp;Keys!$C$54&amp;$B498&amp;Keys!$C$54&amp;$C498</f>
        <v>FL|exports|solar (is not a fuel)</v>
      </c>
    </row>
    <row r="499" spans="1:8" x14ac:dyDescent="0.25">
      <c r="A499" t="s">
        <v>81</v>
      </c>
      <c r="B499" t="s">
        <v>193</v>
      </c>
      <c r="C499" t="s">
        <v>82</v>
      </c>
      <c r="D499">
        <v>0</v>
      </c>
      <c r="E499">
        <v>0</v>
      </c>
      <c r="F499">
        <v>0</v>
      </c>
      <c r="G499" s="10">
        <f t="shared" si="7"/>
        <v>0</v>
      </c>
      <c r="H499" t="str">
        <f>$A499&amp;Keys!$C$54&amp;$B499&amp;Keys!$C$54&amp;$C499</f>
        <v>FL|exports|biomass</v>
      </c>
    </row>
    <row r="500" spans="1:8" x14ac:dyDescent="0.25">
      <c r="A500" t="s">
        <v>81</v>
      </c>
      <c r="B500" t="s">
        <v>193</v>
      </c>
      <c r="C500" t="s">
        <v>85</v>
      </c>
      <c r="D500">
        <v>0</v>
      </c>
      <c r="E500">
        <v>0</v>
      </c>
      <c r="F500">
        <v>0</v>
      </c>
      <c r="G500" s="10">
        <f t="shared" si="7"/>
        <v>0</v>
      </c>
      <c r="H500" t="str">
        <f>$A500&amp;Keys!$C$54&amp;$B500&amp;Keys!$C$54&amp;$C500</f>
        <v>FL|exports|petroleum gasoline</v>
      </c>
    </row>
    <row r="501" spans="1:8" x14ac:dyDescent="0.25">
      <c r="A501" t="s">
        <v>81</v>
      </c>
      <c r="B501" t="s">
        <v>193</v>
      </c>
      <c r="C501" t="s">
        <v>88</v>
      </c>
      <c r="D501">
        <v>0</v>
      </c>
      <c r="E501">
        <v>0</v>
      </c>
      <c r="F501">
        <v>0</v>
      </c>
      <c r="G501" s="10">
        <f t="shared" si="7"/>
        <v>0</v>
      </c>
      <c r="H501" t="str">
        <f>$A501&amp;Keys!$C$54&amp;$B501&amp;Keys!$C$54&amp;$C501</f>
        <v>FL|exports|petroleum diesel</v>
      </c>
    </row>
    <row r="502" spans="1:8" x14ac:dyDescent="0.25">
      <c r="A502" t="s">
        <v>81</v>
      </c>
      <c r="B502" t="s">
        <v>193</v>
      </c>
      <c r="C502" t="s">
        <v>91</v>
      </c>
      <c r="D502">
        <v>0</v>
      </c>
      <c r="E502">
        <v>0</v>
      </c>
      <c r="F502">
        <v>0</v>
      </c>
      <c r="G502" s="10">
        <f t="shared" si="7"/>
        <v>0</v>
      </c>
      <c r="H502" t="str">
        <f>$A502&amp;Keys!$C$54&amp;$B502&amp;Keys!$C$54&amp;$C502</f>
        <v>FL|exports|biofuel gasoline</v>
      </c>
    </row>
    <row r="503" spans="1:8" x14ac:dyDescent="0.25">
      <c r="A503" t="s">
        <v>81</v>
      </c>
      <c r="B503" t="s">
        <v>193</v>
      </c>
      <c r="C503" t="s">
        <v>94</v>
      </c>
      <c r="D503">
        <v>0</v>
      </c>
      <c r="E503">
        <v>0</v>
      </c>
      <c r="F503">
        <v>0</v>
      </c>
      <c r="G503" s="10">
        <f t="shared" si="7"/>
        <v>0</v>
      </c>
      <c r="H503" t="str">
        <f>$A503&amp;Keys!$C$54&amp;$B503&amp;Keys!$C$54&amp;$C503</f>
        <v>FL|exports|biofuel diesel</v>
      </c>
    </row>
    <row r="504" spans="1:8" x14ac:dyDescent="0.25">
      <c r="A504" t="s">
        <v>81</v>
      </c>
      <c r="B504" t="s">
        <v>193</v>
      </c>
      <c r="C504" t="s">
        <v>97</v>
      </c>
      <c r="D504">
        <v>0</v>
      </c>
      <c r="E504">
        <v>0</v>
      </c>
      <c r="F504">
        <v>0</v>
      </c>
      <c r="G504" s="10">
        <f t="shared" si="7"/>
        <v>0</v>
      </c>
      <c r="H504" t="str">
        <f>$A504&amp;Keys!$C$54&amp;$B504&amp;Keys!$C$54&amp;$C504</f>
        <v>FL|exports|jet fuel or kerosene</v>
      </c>
    </row>
    <row r="505" spans="1:8" x14ac:dyDescent="0.25">
      <c r="A505" t="s">
        <v>81</v>
      </c>
      <c r="B505" t="s">
        <v>193</v>
      </c>
      <c r="C505" t="s">
        <v>100</v>
      </c>
      <c r="D505">
        <v>0</v>
      </c>
      <c r="E505">
        <v>0</v>
      </c>
      <c r="F505">
        <v>0</v>
      </c>
      <c r="G505" s="10">
        <f t="shared" si="7"/>
        <v>0</v>
      </c>
      <c r="H505" t="str">
        <f>$A505&amp;Keys!$C$54&amp;$B505&amp;Keys!$C$54&amp;$C505</f>
        <v>FL|exports|heat (not used in this variable)</v>
      </c>
    </row>
    <row r="506" spans="1:8" x14ac:dyDescent="0.25">
      <c r="A506" t="s">
        <v>81</v>
      </c>
      <c r="B506" t="s">
        <v>193</v>
      </c>
      <c r="C506" t="s">
        <v>103</v>
      </c>
      <c r="D506">
        <v>0</v>
      </c>
      <c r="E506">
        <v>0</v>
      </c>
      <c r="F506">
        <v>0</v>
      </c>
      <c r="G506" s="10">
        <f t="shared" si="7"/>
        <v>0</v>
      </c>
      <c r="H506" t="str">
        <f>$A506&amp;Keys!$C$54&amp;$B506&amp;Keys!$C$54&amp;$C506</f>
        <v>FL|exports|geothermal (is not a fuel)</v>
      </c>
    </row>
    <row r="507" spans="1:8" x14ac:dyDescent="0.25">
      <c r="A507" t="s">
        <v>81</v>
      </c>
      <c r="B507" t="s">
        <v>193</v>
      </c>
      <c r="C507" t="s">
        <v>106</v>
      </c>
      <c r="D507">
        <v>0</v>
      </c>
      <c r="E507">
        <v>0</v>
      </c>
      <c r="F507">
        <v>0</v>
      </c>
      <c r="G507" s="10">
        <f t="shared" si="7"/>
        <v>0</v>
      </c>
      <c r="H507" t="str">
        <f>$A507&amp;Keys!$C$54&amp;$B507&amp;Keys!$C$54&amp;$C507</f>
        <v>FL|exports|lignite</v>
      </c>
    </row>
    <row r="508" spans="1:8" x14ac:dyDescent="0.25">
      <c r="A508" t="s">
        <v>81</v>
      </c>
      <c r="B508" t="s">
        <v>193</v>
      </c>
      <c r="C508" t="s">
        <v>109</v>
      </c>
      <c r="D508">
        <v>0</v>
      </c>
      <c r="E508">
        <v>2586400000000</v>
      </c>
      <c r="F508">
        <v>2288960000000</v>
      </c>
      <c r="G508" s="10">
        <f t="shared" si="7"/>
        <v>1625120000000</v>
      </c>
      <c r="H508" t="str">
        <f>$A508&amp;Keys!$C$54&amp;$B508&amp;Keys!$C$54&amp;$C508</f>
        <v>FL|exports|crude oil</v>
      </c>
    </row>
    <row r="509" spans="1:8" x14ac:dyDescent="0.25">
      <c r="A509" t="s">
        <v>81</v>
      </c>
      <c r="B509" t="s">
        <v>193</v>
      </c>
      <c r="C509" t="s">
        <v>113</v>
      </c>
      <c r="D509">
        <v>0</v>
      </c>
      <c r="E509">
        <v>0</v>
      </c>
      <c r="F509">
        <v>0</v>
      </c>
      <c r="G509" s="10">
        <f t="shared" si="7"/>
        <v>0</v>
      </c>
      <c r="H509" t="str">
        <f>$A509&amp;Keys!$C$54&amp;$B509&amp;Keys!$C$54&amp;$C509</f>
        <v>FL|exports|heavy fuel oil</v>
      </c>
    </row>
    <row r="510" spans="1:8" x14ac:dyDescent="0.25">
      <c r="A510" t="s">
        <v>81</v>
      </c>
      <c r="B510" t="s">
        <v>193</v>
      </c>
      <c r="C510" t="s">
        <v>117</v>
      </c>
      <c r="D510">
        <v>0</v>
      </c>
      <c r="E510">
        <v>0</v>
      </c>
      <c r="F510">
        <v>0</v>
      </c>
      <c r="G510" s="10">
        <f t="shared" si="7"/>
        <v>0</v>
      </c>
      <c r="H510" t="str">
        <f>$A510&amp;Keys!$C$54&amp;$B510&amp;Keys!$C$54&amp;$C510</f>
        <v>FL|exports|LPG propane or butane</v>
      </c>
    </row>
    <row r="511" spans="1:8" x14ac:dyDescent="0.25">
      <c r="A511" t="s">
        <v>81</v>
      </c>
      <c r="B511" t="s">
        <v>193</v>
      </c>
      <c r="C511" t="s">
        <v>120</v>
      </c>
      <c r="D511">
        <v>0</v>
      </c>
      <c r="E511">
        <v>0</v>
      </c>
      <c r="F511">
        <v>0</v>
      </c>
      <c r="G511" s="10">
        <f t="shared" si="7"/>
        <v>0</v>
      </c>
      <c r="H511" t="str">
        <f>$A511&amp;Keys!$C$54&amp;$B511&amp;Keys!$C$54&amp;$C511</f>
        <v>FL|exports|municipal solid waste</v>
      </c>
    </row>
    <row r="512" spans="1:8" x14ac:dyDescent="0.25">
      <c r="A512" t="s">
        <v>81</v>
      </c>
      <c r="B512" t="s">
        <v>193</v>
      </c>
      <c r="C512" t="s">
        <v>123</v>
      </c>
      <c r="D512">
        <v>0</v>
      </c>
      <c r="E512">
        <v>0</v>
      </c>
      <c r="F512">
        <v>0</v>
      </c>
      <c r="G512" s="10">
        <f t="shared" si="7"/>
        <v>0</v>
      </c>
      <c r="H512" t="str">
        <f>$A512&amp;Keys!$C$54&amp;$B512&amp;Keys!$C$54&amp;$C512</f>
        <v>FL|exports|hydrogen</v>
      </c>
    </row>
    <row r="513" spans="1:8" x14ac:dyDescent="0.25">
      <c r="A513" t="s">
        <v>84</v>
      </c>
      <c r="B513" t="s">
        <v>188</v>
      </c>
      <c r="C513" t="s">
        <v>60</v>
      </c>
      <c r="D513">
        <v>0</v>
      </c>
      <c r="E513">
        <v>0</v>
      </c>
      <c r="F513">
        <v>0</v>
      </c>
      <c r="G513" s="10">
        <f t="shared" si="7"/>
        <v>0</v>
      </c>
      <c r="H513" t="str">
        <f>$A513&amp;Keys!$C$54&amp;$B513&amp;Keys!$C$54&amp;$C513</f>
        <v>GA|production|electricity (not used in this variable)</v>
      </c>
    </row>
    <row r="514" spans="1:8" x14ac:dyDescent="0.25">
      <c r="A514" t="s">
        <v>84</v>
      </c>
      <c r="B514" t="s">
        <v>188</v>
      </c>
      <c r="C514" t="s">
        <v>64</v>
      </c>
      <c r="D514">
        <v>0</v>
      </c>
      <c r="E514">
        <v>0</v>
      </c>
      <c r="F514">
        <v>0</v>
      </c>
      <c r="G514" s="10">
        <f t="shared" si="7"/>
        <v>0</v>
      </c>
      <c r="H514" t="str">
        <f>$A514&amp;Keys!$C$54&amp;$B514&amp;Keys!$C$54&amp;$C514</f>
        <v>GA|production|hard coal</v>
      </c>
    </row>
    <row r="515" spans="1:8" x14ac:dyDescent="0.25">
      <c r="A515" t="s">
        <v>84</v>
      </c>
      <c r="B515" t="s">
        <v>188</v>
      </c>
      <c r="C515" t="s">
        <v>68</v>
      </c>
      <c r="D515">
        <v>0</v>
      </c>
      <c r="E515">
        <v>0</v>
      </c>
      <c r="F515">
        <v>0</v>
      </c>
      <c r="G515" s="10">
        <f t="shared" si="7"/>
        <v>0</v>
      </c>
      <c r="H515" t="str">
        <f>$A515&amp;Keys!$C$54&amp;$B515&amp;Keys!$C$54&amp;$C515</f>
        <v>GA|production|natural gas</v>
      </c>
    </row>
    <row r="516" spans="1:8" x14ac:dyDescent="0.25">
      <c r="A516" t="s">
        <v>84</v>
      </c>
      <c r="B516" t="s">
        <v>188</v>
      </c>
      <c r="C516" t="s">
        <v>71</v>
      </c>
      <c r="D516">
        <v>0</v>
      </c>
      <c r="E516">
        <v>0</v>
      </c>
      <c r="F516">
        <v>0</v>
      </c>
      <c r="G516" s="10">
        <f t="shared" si="7"/>
        <v>0</v>
      </c>
      <c r="H516" t="str">
        <f>$A516&amp;Keys!$C$54&amp;$B516&amp;Keys!$C$54&amp;$C516</f>
        <v>GA|production|nuclear</v>
      </c>
    </row>
    <row r="517" spans="1:8" x14ac:dyDescent="0.25">
      <c r="A517" t="s">
        <v>84</v>
      </c>
      <c r="B517" t="s">
        <v>188</v>
      </c>
      <c r="C517" t="s">
        <v>74</v>
      </c>
      <c r="D517">
        <v>0</v>
      </c>
      <c r="E517">
        <v>0</v>
      </c>
      <c r="F517">
        <v>0</v>
      </c>
      <c r="G517" s="10">
        <f t="shared" si="7"/>
        <v>0</v>
      </c>
      <c r="H517" t="str">
        <f>$A517&amp;Keys!$C$54&amp;$B517&amp;Keys!$C$54&amp;$C517</f>
        <v>GA|production|hydro (is not a fuel)</v>
      </c>
    </row>
    <row r="518" spans="1:8" x14ac:dyDescent="0.25">
      <c r="A518" t="s">
        <v>84</v>
      </c>
      <c r="B518" t="s">
        <v>188</v>
      </c>
      <c r="C518" t="s">
        <v>77</v>
      </c>
      <c r="D518">
        <v>0</v>
      </c>
      <c r="E518">
        <v>0</v>
      </c>
      <c r="F518">
        <v>0</v>
      </c>
      <c r="G518" s="10">
        <f t="shared" si="7"/>
        <v>0</v>
      </c>
      <c r="H518" t="str">
        <f>$A518&amp;Keys!$C$54&amp;$B518&amp;Keys!$C$54&amp;$C518</f>
        <v>GA|production|wind (is not a fuel)</v>
      </c>
    </row>
    <row r="519" spans="1:8" x14ac:dyDescent="0.25">
      <c r="A519" t="s">
        <v>84</v>
      </c>
      <c r="B519" t="s">
        <v>188</v>
      </c>
      <c r="C519" t="s">
        <v>80</v>
      </c>
      <c r="D519">
        <v>0</v>
      </c>
      <c r="E519">
        <v>0</v>
      </c>
      <c r="F519">
        <v>0</v>
      </c>
      <c r="G519" s="10">
        <f t="shared" si="7"/>
        <v>0</v>
      </c>
      <c r="H519" t="str">
        <f>$A519&amp;Keys!$C$54&amp;$B519&amp;Keys!$C$54&amp;$C519</f>
        <v>GA|production|solar (is not a fuel)</v>
      </c>
    </row>
    <row r="520" spans="1:8" x14ac:dyDescent="0.25">
      <c r="A520" t="s">
        <v>84</v>
      </c>
      <c r="B520" t="s">
        <v>188</v>
      </c>
      <c r="C520" t="s">
        <v>82</v>
      </c>
      <c r="D520">
        <v>29595700000000</v>
      </c>
      <c r="E520">
        <v>29595700000000</v>
      </c>
      <c r="F520">
        <v>29595700000000</v>
      </c>
      <c r="G520" s="10">
        <f t="shared" si="7"/>
        <v>29595700000000</v>
      </c>
      <c r="H520" t="str">
        <f>$A520&amp;Keys!$C$54&amp;$B520&amp;Keys!$C$54&amp;$C520</f>
        <v>GA|production|biomass</v>
      </c>
    </row>
    <row r="521" spans="1:8" x14ac:dyDescent="0.25">
      <c r="A521" t="s">
        <v>84</v>
      </c>
      <c r="B521" t="s">
        <v>188</v>
      </c>
      <c r="C521" t="s">
        <v>85</v>
      </c>
      <c r="D521">
        <v>0</v>
      </c>
      <c r="E521">
        <v>0</v>
      </c>
      <c r="F521">
        <v>0</v>
      </c>
      <c r="G521" s="10">
        <f t="shared" ref="G521:G584" si="8">AVERAGE($D521:$F521)</f>
        <v>0</v>
      </c>
      <c r="H521" t="str">
        <f>$A521&amp;Keys!$C$54&amp;$B521&amp;Keys!$C$54&amp;$C521</f>
        <v>GA|production|petroleum gasoline</v>
      </c>
    </row>
    <row r="522" spans="1:8" x14ac:dyDescent="0.25">
      <c r="A522" t="s">
        <v>84</v>
      </c>
      <c r="B522" t="s">
        <v>188</v>
      </c>
      <c r="C522" t="s">
        <v>88</v>
      </c>
      <c r="D522">
        <v>0</v>
      </c>
      <c r="E522">
        <v>0</v>
      </c>
      <c r="F522">
        <v>0</v>
      </c>
      <c r="G522" s="10">
        <f t="shared" si="8"/>
        <v>0</v>
      </c>
      <c r="H522" t="str">
        <f>$A522&amp;Keys!$C$54&amp;$B522&amp;Keys!$C$54&amp;$C522</f>
        <v>GA|production|petroleum diesel</v>
      </c>
    </row>
    <row r="523" spans="1:8" x14ac:dyDescent="0.25">
      <c r="A523" t="s">
        <v>84</v>
      </c>
      <c r="B523" t="s">
        <v>188</v>
      </c>
      <c r="C523" t="s">
        <v>91</v>
      </c>
      <c r="D523">
        <v>0</v>
      </c>
      <c r="E523">
        <v>0</v>
      </c>
      <c r="F523">
        <v>0</v>
      </c>
      <c r="G523" s="10">
        <f t="shared" si="8"/>
        <v>0</v>
      </c>
      <c r="H523" t="str">
        <f>$A523&amp;Keys!$C$54&amp;$B523&amp;Keys!$C$54&amp;$C523</f>
        <v>GA|production|biofuel gasoline</v>
      </c>
    </row>
    <row r="524" spans="1:8" x14ac:dyDescent="0.25">
      <c r="A524" t="s">
        <v>84</v>
      </c>
      <c r="B524" t="s">
        <v>188</v>
      </c>
      <c r="C524" t="s">
        <v>94</v>
      </c>
      <c r="D524">
        <v>50911700000</v>
      </c>
      <c r="E524">
        <v>50911700000</v>
      </c>
      <c r="F524">
        <v>60476200000</v>
      </c>
      <c r="G524" s="10">
        <f t="shared" si="8"/>
        <v>54099866666.666664</v>
      </c>
      <c r="H524" t="str">
        <f>$A524&amp;Keys!$C$54&amp;$B524&amp;Keys!$C$54&amp;$C524</f>
        <v>GA|production|biofuel diesel</v>
      </c>
    </row>
    <row r="525" spans="1:8" x14ac:dyDescent="0.25">
      <c r="A525" t="s">
        <v>84</v>
      </c>
      <c r="B525" t="s">
        <v>188</v>
      </c>
      <c r="C525" t="s">
        <v>97</v>
      </c>
      <c r="D525">
        <v>0</v>
      </c>
      <c r="E525">
        <v>0</v>
      </c>
      <c r="F525">
        <v>0</v>
      </c>
      <c r="G525" s="10">
        <f t="shared" si="8"/>
        <v>0</v>
      </c>
      <c r="H525" t="str">
        <f>$A525&amp;Keys!$C$54&amp;$B525&amp;Keys!$C$54&amp;$C525</f>
        <v>GA|production|jet fuel or kerosene</v>
      </c>
    </row>
    <row r="526" spans="1:8" x14ac:dyDescent="0.25">
      <c r="A526" t="s">
        <v>84</v>
      </c>
      <c r="B526" t="s">
        <v>188</v>
      </c>
      <c r="C526" t="s">
        <v>100</v>
      </c>
      <c r="D526">
        <v>0</v>
      </c>
      <c r="E526">
        <v>0</v>
      </c>
      <c r="F526">
        <v>0</v>
      </c>
      <c r="G526" s="10">
        <f t="shared" si="8"/>
        <v>0</v>
      </c>
      <c r="H526" t="str">
        <f>$A526&amp;Keys!$C$54&amp;$B526&amp;Keys!$C$54&amp;$C526</f>
        <v>GA|production|heat (not used in this variable)</v>
      </c>
    </row>
    <row r="527" spans="1:8" x14ac:dyDescent="0.25">
      <c r="A527" t="s">
        <v>84</v>
      </c>
      <c r="B527" t="s">
        <v>188</v>
      </c>
      <c r="C527" t="s">
        <v>103</v>
      </c>
      <c r="D527">
        <v>0</v>
      </c>
      <c r="E527">
        <v>0</v>
      </c>
      <c r="F527">
        <v>0</v>
      </c>
      <c r="G527" s="10">
        <f t="shared" si="8"/>
        <v>0</v>
      </c>
      <c r="H527" t="str">
        <f>$A527&amp;Keys!$C$54&amp;$B527&amp;Keys!$C$54&amp;$C527</f>
        <v>GA|production|geothermal (is not a fuel)</v>
      </c>
    </row>
    <row r="528" spans="1:8" x14ac:dyDescent="0.25">
      <c r="A528" t="s">
        <v>84</v>
      </c>
      <c r="B528" t="s">
        <v>188</v>
      </c>
      <c r="C528" t="s">
        <v>106</v>
      </c>
      <c r="D528">
        <v>0</v>
      </c>
      <c r="E528">
        <v>0</v>
      </c>
      <c r="F528">
        <v>0</v>
      </c>
      <c r="G528" s="10">
        <f t="shared" si="8"/>
        <v>0</v>
      </c>
      <c r="H528" t="str">
        <f>$A528&amp;Keys!$C$54&amp;$B528&amp;Keys!$C$54&amp;$C528</f>
        <v>GA|production|lignite</v>
      </c>
    </row>
    <row r="529" spans="1:8" x14ac:dyDescent="0.25">
      <c r="A529" t="s">
        <v>84</v>
      </c>
      <c r="B529" t="s">
        <v>188</v>
      </c>
      <c r="C529" t="s">
        <v>109</v>
      </c>
      <c r="D529">
        <v>0</v>
      </c>
      <c r="E529">
        <v>0</v>
      </c>
      <c r="F529">
        <v>0</v>
      </c>
      <c r="G529" s="10">
        <f t="shared" si="8"/>
        <v>0</v>
      </c>
      <c r="H529" t="str">
        <f>$A529&amp;Keys!$C$54&amp;$B529&amp;Keys!$C$54&amp;$C529</f>
        <v>GA|production|crude oil</v>
      </c>
    </row>
    <row r="530" spans="1:8" x14ac:dyDescent="0.25">
      <c r="A530" t="s">
        <v>84</v>
      </c>
      <c r="B530" t="s">
        <v>188</v>
      </c>
      <c r="C530" t="s">
        <v>113</v>
      </c>
      <c r="D530">
        <v>0</v>
      </c>
      <c r="E530">
        <v>0</v>
      </c>
      <c r="F530">
        <v>0</v>
      </c>
      <c r="G530" s="10">
        <f t="shared" si="8"/>
        <v>0</v>
      </c>
      <c r="H530" t="str">
        <f>$A530&amp;Keys!$C$54&amp;$B530&amp;Keys!$C$54&amp;$C530</f>
        <v>GA|production|heavy fuel oil</v>
      </c>
    </row>
    <row r="531" spans="1:8" x14ac:dyDescent="0.25">
      <c r="A531" t="s">
        <v>84</v>
      </c>
      <c r="B531" t="s">
        <v>188</v>
      </c>
      <c r="C531" t="s">
        <v>117</v>
      </c>
      <c r="D531">
        <v>0</v>
      </c>
      <c r="E531">
        <v>0</v>
      </c>
      <c r="F531">
        <v>0</v>
      </c>
      <c r="G531" s="10">
        <f t="shared" si="8"/>
        <v>0</v>
      </c>
      <c r="H531" t="str">
        <f>$A531&amp;Keys!$C$54&amp;$B531&amp;Keys!$C$54&amp;$C531</f>
        <v>GA|production|LPG propane or butane</v>
      </c>
    </row>
    <row r="532" spans="1:8" x14ac:dyDescent="0.25">
      <c r="A532" t="s">
        <v>84</v>
      </c>
      <c r="B532" t="s">
        <v>188</v>
      </c>
      <c r="C532" t="s">
        <v>120</v>
      </c>
      <c r="D532">
        <v>0</v>
      </c>
      <c r="E532">
        <v>0</v>
      </c>
      <c r="F532">
        <v>0</v>
      </c>
      <c r="G532" s="10">
        <f t="shared" si="8"/>
        <v>0</v>
      </c>
      <c r="H532" t="str">
        <f>$A532&amp;Keys!$C$54&amp;$B532&amp;Keys!$C$54&amp;$C532</f>
        <v>GA|production|municipal solid waste</v>
      </c>
    </row>
    <row r="533" spans="1:8" x14ac:dyDescent="0.25">
      <c r="A533" t="s">
        <v>84</v>
      </c>
      <c r="B533" t="s">
        <v>188</v>
      </c>
      <c r="C533" t="s">
        <v>123</v>
      </c>
      <c r="D533">
        <v>0</v>
      </c>
      <c r="E533">
        <v>0</v>
      </c>
      <c r="F533">
        <v>0</v>
      </c>
      <c r="G533" s="10">
        <f t="shared" si="8"/>
        <v>0</v>
      </c>
      <c r="H533" t="str">
        <f>$A533&amp;Keys!$C$54&amp;$B533&amp;Keys!$C$54&amp;$C533</f>
        <v>GA|production|hydrogen</v>
      </c>
    </row>
    <row r="534" spans="1:8" x14ac:dyDescent="0.25">
      <c r="A534" t="s">
        <v>84</v>
      </c>
      <c r="B534" t="s">
        <v>191</v>
      </c>
      <c r="C534" t="s">
        <v>60</v>
      </c>
      <c r="D534">
        <v>0</v>
      </c>
      <c r="E534">
        <v>0</v>
      </c>
      <c r="F534">
        <v>0</v>
      </c>
      <c r="G534" s="10">
        <f t="shared" si="8"/>
        <v>0</v>
      </c>
      <c r="H534" t="str">
        <f>$A534&amp;Keys!$C$54&amp;$B534&amp;Keys!$C$54&amp;$C534</f>
        <v>GA|imports|electricity (not used in this variable)</v>
      </c>
    </row>
    <row r="535" spans="1:8" x14ac:dyDescent="0.25">
      <c r="A535" t="s">
        <v>84</v>
      </c>
      <c r="B535" t="s">
        <v>191</v>
      </c>
      <c r="C535" t="s">
        <v>64</v>
      </c>
      <c r="D535">
        <v>171120000000000</v>
      </c>
      <c r="E535">
        <v>196078000000000</v>
      </c>
      <c r="F535">
        <v>274251000000000</v>
      </c>
      <c r="G535" s="10">
        <f t="shared" si="8"/>
        <v>213816333333333.34</v>
      </c>
      <c r="H535" t="str">
        <f>$A535&amp;Keys!$C$54&amp;$B535&amp;Keys!$C$54&amp;$C535</f>
        <v>GA|imports|hard coal</v>
      </c>
    </row>
    <row r="536" spans="1:8" x14ac:dyDescent="0.25">
      <c r="A536" t="s">
        <v>84</v>
      </c>
      <c r="B536" t="s">
        <v>191</v>
      </c>
      <c r="C536" t="s">
        <v>68</v>
      </c>
      <c r="D536">
        <v>1949720000000000</v>
      </c>
      <c r="E536">
        <v>1891880000000000</v>
      </c>
      <c r="F536">
        <v>1846120000000000</v>
      </c>
      <c r="G536" s="10">
        <f t="shared" si="8"/>
        <v>1895906666666666.8</v>
      </c>
      <c r="H536" t="str">
        <f>$A536&amp;Keys!$C$54&amp;$B536&amp;Keys!$C$54&amp;$C536</f>
        <v>GA|imports|natural gas</v>
      </c>
    </row>
    <row r="537" spans="1:8" x14ac:dyDescent="0.25">
      <c r="A537" t="s">
        <v>84</v>
      </c>
      <c r="B537" t="s">
        <v>191</v>
      </c>
      <c r="C537" t="s">
        <v>71</v>
      </c>
      <c r="D537">
        <v>501012000000000</v>
      </c>
      <c r="E537">
        <v>534910000000000</v>
      </c>
      <c r="F537">
        <v>517887000000000</v>
      </c>
      <c r="G537" s="10">
        <f t="shared" si="8"/>
        <v>517936333333333.31</v>
      </c>
      <c r="H537" t="str">
        <f>$A537&amp;Keys!$C$54&amp;$B537&amp;Keys!$C$54&amp;$C537</f>
        <v>GA|imports|nuclear</v>
      </c>
    </row>
    <row r="538" spans="1:8" x14ac:dyDescent="0.25">
      <c r="A538" t="s">
        <v>84</v>
      </c>
      <c r="B538" t="s">
        <v>191</v>
      </c>
      <c r="C538" t="s">
        <v>74</v>
      </c>
      <c r="D538">
        <v>0</v>
      </c>
      <c r="E538">
        <v>0</v>
      </c>
      <c r="F538">
        <v>0</v>
      </c>
      <c r="G538" s="10">
        <f t="shared" si="8"/>
        <v>0</v>
      </c>
      <c r="H538" t="str">
        <f>$A538&amp;Keys!$C$54&amp;$B538&amp;Keys!$C$54&amp;$C538</f>
        <v>GA|imports|hydro (is not a fuel)</v>
      </c>
    </row>
    <row r="539" spans="1:8" x14ac:dyDescent="0.25">
      <c r="A539" t="s">
        <v>84</v>
      </c>
      <c r="B539" t="s">
        <v>191</v>
      </c>
      <c r="C539" t="s">
        <v>77</v>
      </c>
      <c r="D539">
        <v>0</v>
      </c>
      <c r="E539">
        <v>0</v>
      </c>
      <c r="F539">
        <v>0</v>
      </c>
      <c r="G539" s="10">
        <f t="shared" si="8"/>
        <v>0</v>
      </c>
      <c r="H539" t="str">
        <f>$A539&amp;Keys!$C$54&amp;$B539&amp;Keys!$C$54&amp;$C539</f>
        <v>GA|imports|wind (is not a fuel)</v>
      </c>
    </row>
    <row r="540" spans="1:8" x14ac:dyDescent="0.25">
      <c r="A540" t="s">
        <v>84</v>
      </c>
      <c r="B540" t="s">
        <v>191</v>
      </c>
      <c r="C540" t="s">
        <v>80</v>
      </c>
      <c r="D540">
        <v>0</v>
      </c>
      <c r="E540">
        <v>0</v>
      </c>
      <c r="F540">
        <v>0</v>
      </c>
      <c r="G540" s="10">
        <f t="shared" si="8"/>
        <v>0</v>
      </c>
      <c r="H540" t="str">
        <f>$A540&amp;Keys!$C$54&amp;$B540&amp;Keys!$C$54&amp;$C540</f>
        <v>GA|imports|solar (is not a fuel)</v>
      </c>
    </row>
    <row r="541" spans="1:8" x14ac:dyDescent="0.25">
      <c r="A541" t="s">
        <v>84</v>
      </c>
      <c r="B541" t="s">
        <v>191</v>
      </c>
      <c r="C541" t="s">
        <v>82</v>
      </c>
      <c r="D541">
        <v>0</v>
      </c>
      <c r="E541">
        <v>177794000000000</v>
      </c>
      <c r="F541">
        <v>174500000000000</v>
      </c>
      <c r="G541" s="10">
        <f t="shared" si="8"/>
        <v>117431333333333.33</v>
      </c>
      <c r="H541" t="str">
        <f>$A541&amp;Keys!$C$54&amp;$B541&amp;Keys!$C$54&amp;$C541</f>
        <v>GA|imports|biomass</v>
      </c>
    </row>
    <row r="542" spans="1:8" x14ac:dyDescent="0.25">
      <c r="A542" t="s">
        <v>84</v>
      </c>
      <c r="B542" t="s">
        <v>191</v>
      </c>
      <c r="C542" t="s">
        <v>85</v>
      </c>
      <c r="D542">
        <v>0</v>
      </c>
      <c r="E542">
        <v>498352000000000</v>
      </c>
      <c r="F542">
        <v>491803000000000</v>
      </c>
      <c r="G542" s="10">
        <f t="shared" si="8"/>
        <v>330051666666666.69</v>
      </c>
      <c r="H542" t="str">
        <f>$A542&amp;Keys!$C$54&amp;$B542&amp;Keys!$C$54&amp;$C542</f>
        <v>GA|imports|petroleum gasoline</v>
      </c>
    </row>
    <row r="543" spans="1:8" x14ac:dyDescent="0.25">
      <c r="A543" t="s">
        <v>84</v>
      </c>
      <c r="B543" t="s">
        <v>191</v>
      </c>
      <c r="C543" t="s">
        <v>88</v>
      </c>
      <c r="D543">
        <v>0</v>
      </c>
      <c r="E543">
        <v>254545000000000</v>
      </c>
      <c r="F543">
        <v>254399000000000</v>
      </c>
      <c r="G543" s="10">
        <f t="shared" si="8"/>
        <v>169648000000000</v>
      </c>
      <c r="H543" t="str">
        <f>$A543&amp;Keys!$C$54&amp;$B543&amp;Keys!$C$54&amp;$C543</f>
        <v>GA|imports|petroleum diesel</v>
      </c>
    </row>
    <row r="544" spans="1:8" x14ac:dyDescent="0.25">
      <c r="A544" t="s">
        <v>84</v>
      </c>
      <c r="B544" t="s">
        <v>191</v>
      </c>
      <c r="C544" t="s">
        <v>91</v>
      </c>
      <c r="D544">
        <v>0</v>
      </c>
      <c r="E544">
        <v>34344400000000</v>
      </c>
      <c r="F544">
        <v>33898600000000</v>
      </c>
      <c r="G544" s="10">
        <f t="shared" si="8"/>
        <v>22747666666666.668</v>
      </c>
      <c r="H544" t="str">
        <f>$A544&amp;Keys!$C$54&amp;$B544&amp;Keys!$C$54&amp;$C544</f>
        <v>GA|imports|biofuel gasoline</v>
      </c>
    </row>
    <row r="545" spans="1:8" x14ac:dyDescent="0.25">
      <c r="A545" t="s">
        <v>84</v>
      </c>
      <c r="B545" t="s">
        <v>191</v>
      </c>
      <c r="C545" t="s">
        <v>94</v>
      </c>
      <c r="D545">
        <v>0</v>
      </c>
      <c r="E545">
        <v>1496090000000</v>
      </c>
      <c r="F545">
        <v>1500510000000</v>
      </c>
      <c r="G545" s="10">
        <f t="shared" si="8"/>
        <v>998866666666.66663</v>
      </c>
      <c r="H545" t="str">
        <f>$A545&amp;Keys!$C$54&amp;$B545&amp;Keys!$C$54&amp;$C545</f>
        <v>GA|imports|biofuel diesel</v>
      </c>
    </row>
    <row r="546" spans="1:8" x14ac:dyDescent="0.25">
      <c r="A546" t="s">
        <v>84</v>
      </c>
      <c r="B546" t="s">
        <v>191</v>
      </c>
      <c r="C546" t="s">
        <v>97</v>
      </c>
      <c r="D546">
        <v>0</v>
      </c>
      <c r="E546">
        <v>145856000000000</v>
      </c>
      <c r="F546">
        <v>148729000000000</v>
      </c>
      <c r="G546" s="10">
        <f t="shared" si="8"/>
        <v>98195000000000</v>
      </c>
      <c r="H546" t="str">
        <f>$A546&amp;Keys!$C$54&amp;$B546&amp;Keys!$C$54&amp;$C546</f>
        <v>GA|imports|jet fuel or kerosene</v>
      </c>
    </row>
    <row r="547" spans="1:8" x14ac:dyDescent="0.25">
      <c r="A547" t="s">
        <v>84</v>
      </c>
      <c r="B547" t="s">
        <v>191</v>
      </c>
      <c r="C547" t="s">
        <v>100</v>
      </c>
      <c r="D547">
        <v>0</v>
      </c>
      <c r="E547">
        <v>0</v>
      </c>
      <c r="F547">
        <v>0</v>
      </c>
      <c r="G547" s="10">
        <f t="shared" si="8"/>
        <v>0</v>
      </c>
      <c r="H547" t="str">
        <f>$A547&amp;Keys!$C$54&amp;$B547&amp;Keys!$C$54&amp;$C547</f>
        <v>GA|imports|heat (not used in this variable)</v>
      </c>
    </row>
    <row r="548" spans="1:8" x14ac:dyDescent="0.25">
      <c r="A548" t="s">
        <v>84</v>
      </c>
      <c r="B548" t="s">
        <v>191</v>
      </c>
      <c r="C548" t="s">
        <v>103</v>
      </c>
      <c r="D548">
        <v>0</v>
      </c>
      <c r="E548">
        <v>0</v>
      </c>
      <c r="F548">
        <v>0</v>
      </c>
      <c r="G548" s="10">
        <f t="shared" si="8"/>
        <v>0</v>
      </c>
      <c r="H548" t="str">
        <f>$A548&amp;Keys!$C$54&amp;$B548&amp;Keys!$C$54&amp;$C548</f>
        <v>GA|imports|geothermal (is not a fuel)</v>
      </c>
    </row>
    <row r="549" spans="1:8" x14ac:dyDescent="0.25">
      <c r="A549" t="s">
        <v>84</v>
      </c>
      <c r="B549" t="s">
        <v>191</v>
      </c>
      <c r="C549" t="s">
        <v>106</v>
      </c>
      <c r="D549">
        <v>0</v>
      </c>
      <c r="E549">
        <v>0</v>
      </c>
      <c r="F549">
        <v>0</v>
      </c>
      <c r="G549" s="10">
        <f t="shared" si="8"/>
        <v>0</v>
      </c>
      <c r="H549" t="str">
        <f>$A549&amp;Keys!$C$54&amp;$B549&amp;Keys!$C$54&amp;$C549</f>
        <v>GA|imports|lignite</v>
      </c>
    </row>
    <row r="550" spans="1:8" x14ac:dyDescent="0.25">
      <c r="A550" t="s">
        <v>84</v>
      </c>
      <c r="B550" t="s">
        <v>191</v>
      </c>
      <c r="C550" t="s">
        <v>109</v>
      </c>
      <c r="D550">
        <v>0</v>
      </c>
      <c r="E550">
        <v>4978000000000</v>
      </c>
      <c r="F550">
        <v>0</v>
      </c>
      <c r="G550" s="10">
        <f t="shared" si="8"/>
        <v>1659333333333.3333</v>
      </c>
      <c r="H550" t="str">
        <f>$A550&amp;Keys!$C$54&amp;$B550&amp;Keys!$C$54&amp;$C550</f>
        <v>GA|imports|crude oil</v>
      </c>
    </row>
    <row r="551" spans="1:8" x14ac:dyDescent="0.25">
      <c r="A551" t="s">
        <v>84</v>
      </c>
      <c r="B551" t="s">
        <v>191</v>
      </c>
      <c r="C551" t="s">
        <v>113</v>
      </c>
      <c r="D551">
        <v>0</v>
      </c>
      <c r="E551">
        <v>35199500000000</v>
      </c>
      <c r="F551">
        <v>35493200000000</v>
      </c>
      <c r="G551" s="10">
        <f t="shared" si="8"/>
        <v>23564233333333.332</v>
      </c>
      <c r="H551" t="str">
        <f>$A551&amp;Keys!$C$54&amp;$B551&amp;Keys!$C$54&amp;$C551</f>
        <v>GA|imports|heavy fuel oil</v>
      </c>
    </row>
    <row r="552" spans="1:8" x14ac:dyDescent="0.25">
      <c r="A552" t="s">
        <v>84</v>
      </c>
      <c r="B552" t="s">
        <v>191</v>
      </c>
      <c r="C552" t="s">
        <v>117</v>
      </c>
      <c r="D552">
        <v>0</v>
      </c>
      <c r="E552">
        <v>22551900000000</v>
      </c>
      <c r="F552">
        <v>22401700000000</v>
      </c>
      <c r="G552" s="10">
        <f t="shared" si="8"/>
        <v>14984533333333.334</v>
      </c>
      <c r="H552" t="str">
        <f>$A552&amp;Keys!$C$54&amp;$B552&amp;Keys!$C$54&amp;$C552</f>
        <v>GA|imports|LPG propane or butane</v>
      </c>
    </row>
    <row r="553" spans="1:8" x14ac:dyDescent="0.25">
      <c r="A553" t="s">
        <v>84</v>
      </c>
      <c r="B553" t="s">
        <v>191</v>
      </c>
      <c r="C553" t="s">
        <v>120</v>
      </c>
      <c r="D553">
        <v>0</v>
      </c>
      <c r="E553">
        <v>0</v>
      </c>
      <c r="F553">
        <v>0</v>
      </c>
      <c r="G553" s="10">
        <f t="shared" si="8"/>
        <v>0</v>
      </c>
      <c r="H553" t="str">
        <f>$A553&amp;Keys!$C$54&amp;$B553&amp;Keys!$C$54&amp;$C553</f>
        <v>GA|imports|municipal solid waste</v>
      </c>
    </row>
    <row r="554" spans="1:8" x14ac:dyDescent="0.25">
      <c r="A554" t="s">
        <v>84</v>
      </c>
      <c r="B554" t="s">
        <v>191</v>
      </c>
      <c r="C554" t="s">
        <v>123</v>
      </c>
      <c r="D554">
        <v>0</v>
      </c>
      <c r="E554">
        <v>3050700000</v>
      </c>
      <c r="F554">
        <v>4606280000</v>
      </c>
      <c r="G554" s="10">
        <f t="shared" si="8"/>
        <v>2552326666.6666665</v>
      </c>
      <c r="H554" t="str">
        <f>$A554&amp;Keys!$C$54&amp;$B554&amp;Keys!$C$54&amp;$C554</f>
        <v>GA|imports|hydrogen</v>
      </c>
    </row>
    <row r="555" spans="1:8" x14ac:dyDescent="0.25">
      <c r="A555" t="s">
        <v>84</v>
      </c>
      <c r="B555" t="s">
        <v>193</v>
      </c>
      <c r="C555" t="s">
        <v>60</v>
      </c>
      <c r="D555">
        <v>0</v>
      </c>
      <c r="E555">
        <v>0</v>
      </c>
      <c r="F555">
        <v>0</v>
      </c>
      <c r="G555" s="10">
        <f t="shared" si="8"/>
        <v>0</v>
      </c>
      <c r="H555" t="str">
        <f>$A555&amp;Keys!$C$54&amp;$B555&amp;Keys!$C$54&amp;$C555</f>
        <v>GA|exports|electricity (not used in this variable)</v>
      </c>
    </row>
    <row r="556" spans="1:8" x14ac:dyDescent="0.25">
      <c r="A556" t="s">
        <v>84</v>
      </c>
      <c r="B556" t="s">
        <v>193</v>
      </c>
      <c r="C556" t="s">
        <v>64</v>
      </c>
      <c r="D556">
        <v>0</v>
      </c>
      <c r="E556">
        <v>0</v>
      </c>
      <c r="F556">
        <v>0</v>
      </c>
      <c r="G556" s="10">
        <f t="shared" si="8"/>
        <v>0</v>
      </c>
      <c r="H556" t="str">
        <f>$A556&amp;Keys!$C$54&amp;$B556&amp;Keys!$C$54&amp;$C556</f>
        <v>GA|exports|hard coal</v>
      </c>
    </row>
    <row r="557" spans="1:8" x14ac:dyDescent="0.25">
      <c r="A557" t="s">
        <v>84</v>
      </c>
      <c r="B557" t="s">
        <v>193</v>
      </c>
      <c r="C557" t="s">
        <v>68</v>
      </c>
      <c r="D557">
        <v>1141260000000000</v>
      </c>
      <c r="E557">
        <v>1141260000000000</v>
      </c>
      <c r="F557">
        <v>1144810000000000</v>
      </c>
      <c r="G557" s="10">
        <f t="shared" si="8"/>
        <v>1142443333333333.3</v>
      </c>
      <c r="H557" t="str">
        <f>$A557&amp;Keys!$C$54&amp;$B557&amp;Keys!$C$54&amp;$C557</f>
        <v>GA|exports|natural gas</v>
      </c>
    </row>
    <row r="558" spans="1:8" x14ac:dyDescent="0.25">
      <c r="A558" t="s">
        <v>84</v>
      </c>
      <c r="B558" t="s">
        <v>193</v>
      </c>
      <c r="C558" t="s">
        <v>71</v>
      </c>
      <c r="D558">
        <v>0</v>
      </c>
      <c r="E558">
        <v>0</v>
      </c>
      <c r="F558">
        <v>0</v>
      </c>
      <c r="G558" s="10">
        <f t="shared" si="8"/>
        <v>0</v>
      </c>
      <c r="H558" t="str">
        <f>$A558&amp;Keys!$C$54&amp;$B558&amp;Keys!$C$54&amp;$C558</f>
        <v>GA|exports|nuclear</v>
      </c>
    </row>
    <row r="559" spans="1:8" x14ac:dyDescent="0.25">
      <c r="A559" t="s">
        <v>84</v>
      </c>
      <c r="B559" t="s">
        <v>193</v>
      </c>
      <c r="C559" t="s">
        <v>74</v>
      </c>
      <c r="D559">
        <v>0</v>
      </c>
      <c r="E559">
        <v>0</v>
      </c>
      <c r="F559">
        <v>0</v>
      </c>
      <c r="G559" s="10">
        <f t="shared" si="8"/>
        <v>0</v>
      </c>
      <c r="H559" t="str">
        <f>$A559&amp;Keys!$C$54&amp;$B559&amp;Keys!$C$54&amp;$C559</f>
        <v>GA|exports|hydro (is not a fuel)</v>
      </c>
    </row>
    <row r="560" spans="1:8" x14ac:dyDescent="0.25">
      <c r="A560" t="s">
        <v>84</v>
      </c>
      <c r="B560" t="s">
        <v>193</v>
      </c>
      <c r="C560" t="s">
        <v>77</v>
      </c>
      <c r="D560">
        <v>0</v>
      </c>
      <c r="E560">
        <v>0</v>
      </c>
      <c r="F560">
        <v>0</v>
      </c>
      <c r="G560" s="10">
        <f t="shared" si="8"/>
        <v>0</v>
      </c>
      <c r="H560" t="str">
        <f>$A560&amp;Keys!$C$54&amp;$B560&amp;Keys!$C$54&amp;$C560</f>
        <v>GA|exports|wind (is not a fuel)</v>
      </c>
    </row>
    <row r="561" spans="1:8" x14ac:dyDescent="0.25">
      <c r="A561" t="s">
        <v>84</v>
      </c>
      <c r="B561" t="s">
        <v>193</v>
      </c>
      <c r="C561" t="s">
        <v>80</v>
      </c>
      <c r="D561">
        <v>0</v>
      </c>
      <c r="E561">
        <v>0</v>
      </c>
      <c r="F561">
        <v>0</v>
      </c>
      <c r="G561" s="10">
        <f t="shared" si="8"/>
        <v>0</v>
      </c>
      <c r="H561" t="str">
        <f>$A561&amp;Keys!$C$54&amp;$B561&amp;Keys!$C$54&amp;$C561</f>
        <v>GA|exports|solar (is not a fuel)</v>
      </c>
    </row>
    <row r="562" spans="1:8" x14ac:dyDescent="0.25">
      <c r="A562" t="s">
        <v>84</v>
      </c>
      <c r="B562" t="s">
        <v>193</v>
      </c>
      <c r="C562" t="s">
        <v>82</v>
      </c>
      <c r="D562">
        <v>0</v>
      </c>
      <c r="E562">
        <v>0</v>
      </c>
      <c r="F562">
        <v>0</v>
      </c>
      <c r="G562" s="10">
        <f t="shared" si="8"/>
        <v>0</v>
      </c>
      <c r="H562" t="str">
        <f>$A562&amp;Keys!$C$54&amp;$B562&amp;Keys!$C$54&amp;$C562</f>
        <v>GA|exports|biomass</v>
      </c>
    </row>
    <row r="563" spans="1:8" x14ac:dyDescent="0.25">
      <c r="A563" t="s">
        <v>84</v>
      </c>
      <c r="B563" t="s">
        <v>193</v>
      </c>
      <c r="C563" t="s">
        <v>85</v>
      </c>
      <c r="D563">
        <v>0</v>
      </c>
      <c r="E563">
        <v>0</v>
      </c>
      <c r="F563">
        <v>0</v>
      </c>
      <c r="G563" s="10">
        <f t="shared" si="8"/>
        <v>0</v>
      </c>
      <c r="H563" t="str">
        <f>$A563&amp;Keys!$C$54&amp;$B563&amp;Keys!$C$54&amp;$C563</f>
        <v>GA|exports|petroleum gasoline</v>
      </c>
    </row>
    <row r="564" spans="1:8" x14ac:dyDescent="0.25">
      <c r="A564" t="s">
        <v>84</v>
      </c>
      <c r="B564" t="s">
        <v>193</v>
      </c>
      <c r="C564" t="s">
        <v>88</v>
      </c>
      <c r="D564">
        <v>0</v>
      </c>
      <c r="E564">
        <v>0</v>
      </c>
      <c r="F564">
        <v>0</v>
      </c>
      <c r="G564" s="10">
        <f t="shared" si="8"/>
        <v>0</v>
      </c>
      <c r="H564" t="str">
        <f>$A564&amp;Keys!$C$54&amp;$B564&amp;Keys!$C$54&amp;$C564</f>
        <v>GA|exports|petroleum diesel</v>
      </c>
    </row>
    <row r="565" spans="1:8" x14ac:dyDescent="0.25">
      <c r="A565" t="s">
        <v>84</v>
      </c>
      <c r="B565" t="s">
        <v>193</v>
      </c>
      <c r="C565" t="s">
        <v>91</v>
      </c>
      <c r="D565">
        <v>0</v>
      </c>
      <c r="E565">
        <v>0</v>
      </c>
      <c r="F565">
        <v>0</v>
      </c>
      <c r="G565" s="10">
        <f t="shared" si="8"/>
        <v>0</v>
      </c>
      <c r="H565" t="str">
        <f>$A565&amp;Keys!$C$54&amp;$B565&amp;Keys!$C$54&amp;$C565</f>
        <v>GA|exports|biofuel gasoline</v>
      </c>
    </row>
    <row r="566" spans="1:8" x14ac:dyDescent="0.25">
      <c r="A566" t="s">
        <v>84</v>
      </c>
      <c r="B566" t="s">
        <v>193</v>
      </c>
      <c r="C566" t="s">
        <v>94</v>
      </c>
      <c r="D566">
        <v>0</v>
      </c>
      <c r="E566">
        <v>0</v>
      </c>
      <c r="F566">
        <v>0</v>
      </c>
      <c r="G566" s="10">
        <f t="shared" si="8"/>
        <v>0</v>
      </c>
      <c r="H566" t="str">
        <f>$A566&amp;Keys!$C$54&amp;$B566&amp;Keys!$C$54&amp;$C566</f>
        <v>GA|exports|biofuel diesel</v>
      </c>
    </row>
    <row r="567" spans="1:8" x14ac:dyDescent="0.25">
      <c r="A567" t="s">
        <v>84</v>
      </c>
      <c r="B567" t="s">
        <v>193</v>
      </c>
      <c r="C567" t="s">
        <v>97</v>
      </c>
      <c r="D567">
        <v>0</v>
      </c>
      <c r="E567">
        <v>0</v>
      </c>
      <c r="F567">
        <v>0</v>
      </c>
      <c r="G567" s="10">
        <f t="shared" si="8"/>
        <v>0</v>
      </c>
      <c r="H567" t="str">
        <f>$A567&amp;Keys!$C$54&amp;$B567&amp;Keys!$C$54&amp;$C567</f>
        <v>GA|exports|jet fuel or kerosene</v>
      </c>
    </row>
    <row r="568" spans="1:8" x14ac:dyDescent="0.25">
      <c r="A568" t="s">
        <v>84</v>
      </c>
      <c r="B568" t="s">
        <v>193</v>
      </c>
      <c r="C568" t="s">
        <v>100</v>
      </c>
      <c r="D568">
        <v>0</v>
      </c>
      <c r="E568">
        <v>0</v>
      </c>
      <c r="F568">
        <v>0</v>
      </c>
      <c r="G568" s="10">
        <f t="shared" si="8"/>
        <v>0</v>
      </c>
      <c r="H568" t="str">
        <f>$A568&amp;Keys!$C$54&amp;$B568&amp;Keys!$C$54&amp;$C568</f>
        <v>GA|exports|heat (not used in this variable)</v>
      </c>
    </row>
    <row r="569" spans="1:8" x14ac:dyDescent="0.25">
      <c r="A569" t="s">
        <v>84</v>
      </c>
      <c r="B569" t="s">
        <v>193</v>
      </c>
      <c r="C569" t="s">
        <v>103</v>
      </c>
      <c r="D569">
        <v>0</v>
      </c>
      <c r="E569">
        <v>0</v>
      </c>
      <c r="F569">
        <v>0</v>
      </c>
      <c r="G569" s="10">
        <f t="shared" si="8"/>
        <v>0</v>
      </c>
      <c r="H569" t="str">
        <f>$A569&amp;Keys!$C$54&amp;$B569&amp;Keys!$C$54&amp;$C569</f>
        <v>GA|exports|geothermal (is not a fuel)</v>
      </c>
    </row>
    <row r="570" spans="1:8" x14ac:dyDescent="0.25">
      <c r="A570" t="s">
        <v>84</v>
      </c>
      <c r="B570" t="s">
        <v>193</v>
      </c>
      <c r="C570" t="s">
        <v>106</v>
      </c>
      <c r="D570">
        <v>0</v>
      </c>
      <c r="E570">
        <v>0</v>
      </c>
      <c r="F570">
        <v>0</v>
      </c>
      <c r="G570" s="10">
        <f t="shared" si="8"/>
        <v>0</v>
      </c>
      <c r="H570" t="str">
        <f>$A570&amp;Keys!$C$54&amp;$B570&amp;Keys!$C$54&amp;$C570</f>
        <v>GA|exports|lignite</v>
      </c>
    </row>
    <row r="571" spans="1:8" x14ac:dyDescent="0.25">
      <c r="A571" t="s">
        <v>84</v>
      </c>
      <c r="B571" t="s">
        <v>193</v>
      </c>
      <c r="C571" t="s">
        <v>109</v>
      </c>
      <c r="D571">
        <v>0</v>
      </c>
      <c r="E571">
        <v>0</v>
      </c>
      <c r="F571">
        <v>0</v>
      </c>
      <c r="G571" s="10">
        <f t="shared" si="8"/>
        <v>0</v>
      </c>
      <c r="H571" t="str">
        <f>$A571&amp;Keys!$C$54&amp;$B571&amp;Keys!$C$54&amp;$C571</f>
        <v>GA|exports|crude oil</v>
      </c>
    </row>
    <row r="572" spans="1:8" x14ac:dyDescent="0.25">
      <c r="A572" t="s">
        <v>84</v>
      </c>
      <c r="B572" t="s">
        <v>193</v>
      </c>
      <c r="C572" t="s">
        <v>113</v>
      </c>
      <c r="D572">
        <v>0</v>
      </c>
      <c r="E572">
        <v>0</v>
      </c>
      <c r="F572">
        <v>0</v>
      </c>
      <c r="G572" s="10">
        <f t="shared" si="8"/>
        <v>0</v>
      </c>
      <c r="H572" t="str">
        <f>$A572&amp;Keys!$C$54&amp;$B572&amp;Keys!$C$54&amp;$C572</f>
        <v>GA|exports|heavy fuel oil</v>
      </c>
    </row>
    <row r="573" spans="1:8" x14ac:dyDescent="0.25">
      <c r="A573" t="s">
        <v>84</v>
      </c>
      <c r="B573" t="s">
        <v>193</v>
      </c>
      <c r="C573" t="s">
        <v>117</v>
      </c>
      <c r="D573">
        <v>0</v>
      </c>
      <c r="E573">
        <v>0</v>
      </c>
      <c r="F573">
        <v>0</v>
      </c>
      <c r="G573" s="10">
        <f t="shared" si="8"/>
        <v>0</v>
      </c>
      <c r="H573" t="str">
        <f>$A573&amp;Keys!$C$54&amp;$B573&amp;Keys!$C$54&amp;$C573</f>
        <v>GA|exports|LPG propane or butane</v>
      </c>
    </row>
    <row r="574" spans="1:8" x14ac:dyDescent="0.25">
      <c r="A574" t="s">
        <v>84</v>
      </c>
      <c r="B574" t="s">
        <v>193</v>
      </c>
      <c r="C574" t="s">
        <v>120</v>
      </c>
      <c r="D574">
        <v>0</v>
      </c>
      <c r="E574">
        <v>0</v>
      </c>
      <c r="F574">
        <v>0</v>
      </c>
      <c r="G574" s="10">
        <f t="shared" si="8"/>
        <v>0</v>
      </c>
      <c r="H574" t="str">
        <f>$A574&amp;Keys!$C$54&amp;$B574&amp;Keys!$C$54&amp;$C574</f>
        <v>GA|exports|municipal solid waste</v>
      </c>
    </row>
    <row r="575" spans="1:8" x14ac:dyDescent="0.25">
      <c r="A575" t="s">
        <v>84</v>
      </c>
      <c r="B575" t="s">
        <v>193</v>
      </c>
      <c r="C575" t="s">
        <v>123</v>
      </c>
      <c r="D575">
        <v>0</v>
      </c>
      <c r="E575">
        <v>0</v>
      </c>
      <c r="F575">
        <v>0</v>
      </c>
      <c r="G575" s="10">
        <f t="shared" si="8"/>
        <v>0</v>
      </c>
      <c r="H575" t="str">
        <f>$A575&amp;Keys!$C$54&amp;$B575&amp;Keys!$C$54&amp;$C575</f>
        <v>GA|exports|hydrogen</v>
      </c>
    </row>
    <row r="576" spans="1:8" x14ac:dyDescent="0.25">
      <c r="A576" t="s">
        <v>87</v>
      </c>
      <c r="B576" t="s">
        <v>188</v>
      </c>
      <c r="C576" t="s">
        <v>60</v>
      </c>
      <c r="D576">
        <v>0</v>
      </c>
      <c r="E576">
        <v>0</v>
      </c>
      <c r="F576">
        <v>0</v>
      </c>
      <c r="G576" s="10">
        <f t="shared" si="8"/>
        <v>0</v>
      </c>
      <c r="H576" t="str">
        <f>$A576&amp;Keys!$C$54&amp;$B576&amp;Keys!$C$54&amp;$C576</f>
        <v>IA|production|electricity (not used in this variable)</v>
      </c>
    </row>
    <row r="577" spans="1:8" x14ac:dyDescent="0.25">
      <c r="A577" t="s">
        <v>87</v>
      </c>
      <c r="B577" t="s">
        <v>188</v>
      </c>
      <c r="C577" t="s">
        <v>64</v>
      </c>
      <c r="D577">
        <v>0</v>
      </c>
      <c r="E577">
        <v>0</v>
      </c>
      <c r="F577">
        <v>0</v>
      </c>
      <c r="G577" s="10">
        <f t="shared" si="8"/>
        <v>0</v>
      </c>
      <c r="H577" t="str">
        <f>$A577&amp;Keys!$C$54&amp;$B577&amp;Keys!$C$54&amp;$C577</f>
        <v>IA|production|hard coal</v>
      </c>
    </row>
    <row r="578" spans="1:8" x14ac:dyDescent="0.25">
      <c r="A578" t="s">
        <v>87</v>
      </c>
      <c r="B578" t="s">
        <v>188</v>
      </c>
      <c r="C578" t="s">
        <v>68</v>
      </c>
      <c r="D578">
        <v>0</v>
      </c>
      <c r="E578">
        <v>0</v>
      </c>
      <c r="F578">
        <v>0</v>
      </c>
      <c r="G578" s="10">
        <f t="shared" si="8"/>
        <v>0</v>
      </c>
      <c r="H578" t="str">
        <f>$A578&amp;Keys!$C$54&amp;$B578&amp;Keys!$C$54&amp;$C578</f>
        <v>IA|production|natural gas</v>
      </c>
    </row>
    <row r="579" spans="1:8" x14ac:dyDescent="0.25">
      <c r="A579" t="s">
        <v>87</v>
      </c>
      <c r="B579" t="s">
        <v>188</v>
      </c>
      <c r="C579" t="s">
        <v>71</v>
      </c>
      <c r="D579">
        <v>0</v>
      </c>
      <c r="E579">
        <v>0</v>
      </c>
      <c r="F579">
        <v>0</v>
      </c>
      <c r="G579" s="10">
        <f t="shared" si="8"/>
        <v>0</v>
      </c>
      <c r="H579" t="str">
        <f>$A579&amp;Keys!$C$54&amp;$B579&amp;Keys!$C$54&amp;$C579</f>
        <v>IA|production|nuclear</v>
      </c>
    </row>
    <row r="580" spans="1:8" x14ac:dyDescent="0.25">
      <c r="A580" t="s">
        <v>87</v>
      </c>
      <c r="B580" t="s">
        <v>188</v>
      </c>
      <c r="C580" t="s">
        <v>74</v>
      </c>
      <c r="D580">
        <v>0</v>
      </c>
      <c r="E580">
        <v>0</v>
      </c>
      <c r="F580">
        <v>0</v>
      </c>
      <c r="G580" s="10">
        <f t="shared" si="8"/>
        <v>0</v>
      </c>
      <c r="H580" t="str">
        <f>$A580&amp;Keys!$C$54&amp;$B580&amp;Keys!$C$54&amp;$C580</f>
        <v>IA|production|hydro (is not a fuel)</v>
      </c>
    </row>
    <row r="581" spans="1:8" x14ac:dyDescent="0.25">
      <c r="A581" t="s">
        <v>87</v>
      </c>
      <c r="B581" t="s">
        <v>188</v>
      </c>
      <c r="C581" t="s">
        <v>77</v>
      </c>
      <c r="D581">
        <v>0</v>
      </c>
      <c r="E581">
        <v>0</v>
      </c>
      <c r="F581">
        <v>0</v>
      </c>
      <c r="G581" s="10">
        <f t="shared" si="8"/>
        <v>0</v>
      </c>
      <c r="H581" t="str">
        <f>$A581&amp;Keys!$C$54&amp;$B581&amp;Keys!$C$54&amp;$C581</f>
        <v>IA|production|wind (is not a fuel)</v>
      </c>
    </row>
    <row r="582" spans="1:8" x14ac:dyDescent="0.25">
      <c r="A582" t="s">
        <v>87</v>
      </c>
      <c r="B582" t="s">
        <v>188</v>
      </c>
      <c r="C582" t="s">
        <v>80</v>
      </c>
      <c r="D582">
        <v>0</v>
      </c>
      <c r="E582">
        <v>0</v>
      </c>
      <c r="F582">
        <v>0</v>
      </c>
      <c r="G582" s="10">
        <f t="shared" si="8"/>
        <v>0</v>
      </c>
      <c r="H582" t="str">
        <f>$A582&amp;Keys!$C$54&amp;$B582&amp;Keys!$C$54&amp;$C582</f>
        <v>IA|production|solar (is not a fuel)</v>
      </c>
    </row>
    <row r="583" spans="1:8" x14ac:dyDescent="0.25">
      <c r="A583" t="s">
        <v>87</v>
      </c>
      <c r="B583" t="s">
        <v>188</v>
      </c>
      <c r="C583" t="s">
        <v>82</v>
      </c>
      <c r="D583">
        <v>160000000000</v>
      </c>
      <c r="E583">
        <v>160000000000</v>
      </c>
      <c r="F583">
        <v>160000000000</v>
      </c>
      <c r="G583" s="10">
        <f t="shared" si="8"/>
        <v>160000000000</v>
      </c>
      <c r="H583" t="str">
        <f>$A583&amp;Keys!$C$54&amp;$B583&amp;Keys!$C$54&amp;$C583</f>
        <v>IA|production|biomass</v>
      </c>
    </row>
    <row r="584" spans="1:8" x14ac:dyDescent="0.25">
      <c r="A584" t="s">
        <v>87</v>
      </c>
      <c r="B584" t="s">
        <v>188</v>
      </c>
      <c r="C584" t="s">
        <v>85</v>
      </c>
      <c r="D584">
        <v>0</v>
      </c>
      <c r="E584">
        <v>0</v>
      </c>
      <c r="F584">
        <v>0</v>
      </c>
      <c r="G584" s="10">
        <f t="shared" si="8"/>
        <v>0</v>
      </c>
      <c r="H584" t="str">
        <f>$A584&amp;Keys!$C$54&amp;$B584&amp;Keys!$C$54&amp;$C584</f>
        <v>IA|production|petroleum gasoline</v>
      </c>
    </row>
    <row r="585" spans="1:8" x14ac:dyDescent="0.25">
      <c r="A585" t="s">
        <v>87</v>
      </c>
      <c r="B585" t="s">
        <v>188</v>
      </c>
      <c r="C585" t="s">
        <v>88</v>
      </c>
      <c r="D585">
        <v>0</v>
      </c>
      <c r="E585">
        <v>0</v>
      </c>
      <c r="F585">
        <v>0</v>
      </c>
      <c r="G585" s="10">
        <f t="shared" ref="G585:G648" si="9">AVERAGE($D585:$F585)</f>
        <v>0</v>
      </c>
      <c r="H585" t="str">
        <f>$A585&amp;Keys!$C$54&amp;$B585&amp;Keys!$C$54&amp;$C585</f>
        <v>IA|production|petroleum diesel</v>
      </c>
    </row>
    <row r="586" spans="1:8" x14ac:dyDescent="0.25">
      <c r="A586" t="s">
        <v>87</v>
      </c>
      <c r="B586" t="s">
        <v>188</v>
      </c>
      <c r="C586" t="s">
        <v>91</v>
      </c>
      <c r="D586">
        <v>367410000000000</v>
      </c>
      <c r="E586">
        <v>367410000000000</v>
      </c>
      <c r="F586">
        <v>368444000000000</v>
      </c>
      <c r="G586" s="10">
        <f t="shared" si="9"/>
        <v>367754666666666.69</v>
      </c>
      <c r="H586" t="str">
        <f>$A586&amp;Keys!$C$54&amp;$B586&amp;Keys!$C$54&amp;$C586</f>
        <v>IA|production|biofuel gasoline</v>
      </c>
    </row>
    <row r="587" spans="1:8" x14ac:dyDescent="0.25">
      <c r="A587" t="s">
        <v>87</v>
      </c>
      <c r="B587" t="s">
        <v>188</v>
      </c>
      <c r="C587" t="s">
        <v>94</v>
      </c>
      <c r="D587">
        <v>128057000000000</v>
      </c>
      <c r="E587">
        <v>128057000000000</v>
      </c>
      <c r="F587">
        <v>152114000000000</v>
      </c>
      <c r="G587" s="10">
        <f t="shared" si="9"/>
        <v>136076000000000</v>
      </c>
      <c r="H587" t="str">
        <f>$A587&amp;Keys!$C$54&amp;$B587&amp;Keys!$C$54&amp;$C587</f>
        <v>IA|production|biofuel diesel</v>
      </c>
    </row>
    <row r="588" spans="1:8" x14ac:dyDescent="0.25">
      <c r="A588" t="s">
        <v>87</v>
      </c>
      <c r="B588" t="s">
        <v>188</v>
      </c>
      <c r="C588" t="s">
        <v>97</v>
      </c>
      <c r="D588">
        <v>0</v>
      </c>
      <c r="E588">
        <v>0</v>
      </c>
      <c r="F588">
        <v>0</v>
      </c>
      <c r="G588" s="10">
        <f t="shared" si="9"/>
        <v>0</v>
      </c>
      <c r="H588" t="str">
        <f>$A588&amp;Keys!$C$54&amp;$B588&amp;Keys!$C$54&amp;$C588</f>
        <v>IA|production|jet fuel or kerosene</v>
      </c>
    </row>
    <row r="589" spans="1:8" x14ac:dyDescent="0.25">
      <c r="A589" t="s">
        <v>87</v>
      </c>
      <c r="B589" t="s">
        <v>188</v>
      </c>
      <c r="C589" t="s">
        <v>100</v>
      </c>
      <c r="D589">
        <v>0</v>
      </c>
      <c r="E589">
        <v>0</v>
      </c>
      <c r="F589">
        <v>0</v>
      </c>
      <c r="G589" s="10">
        <f t="shared" si="9"/>
        <v>0</v>
      </c>
      <c r="H589" t="str">
        <f>$A589&amp;Keys!$C$54&amp;$B589&amp;Keys!$C$54&amp;$C589</f>
        <v>IA|production|heat (not used in this variable)</v>
      </c>
    </row>
    <row r="590" spans="1:8" x14ac:dyDescent="0.25">
      <c r="A590" t="s">
        <v>87</v>
      </c>
      <c r="B590" t="s">
        <v>188</v>
      </c>
      <c r="C590" t="s">
        <v>103</v>
      </c>
      <c r="D590">
        <v>0</v>
      </c>
      <c r="E590">
        <v>0</v>
      </c>
      <c r="F590">
        <v>0</v>
      </c>
      <c r="G590" s="10">
        <f t="shared" si="9"/>
        <v>0</v>
      </c>
      <c r="H590" t="str">
        <f>$A590&amp;Keys!$C$54&amp;$B590&amp;Keys!$C$54&amp;$C590</f>
        <v>IA|production|geothermal (is not a fuel)</v>
      </c>
    </row>
    <row r="591" spans="1:8" x14ac:dyDescent="0.25">
      <c r="A591" t="s">
        <v>87</v>
      </c>
      <c r="B591" t="s">
        <v>188</v>
      </c>
      <c r="C591" t="s">
        <v>106</v>
      </c>
      <c r="D591">
        <v>0</v>
      </c>
      <c r="E591">
        <v>0</v>
      </c>
      <c r="F591">
        <v>0</v>
      </c>
      <c r="G591" s="10">
        <f t="shared" si="9"/>
        <v>0</v>
      </c>
      <c r="H591" t="str">
        <f>$A591&amp;Keys!$C$54&amp;$B591&amp;Keys!$C$54&amp;$C591</f>
        <v>IA|production|lignite</v>
      </c>
    </row>
    <row r="592" spans="1:8" x14ac:dyDescent="0.25">
      <c r="A592" t="s">
        <v>87</v>
      </c>
      <c r="B592" t="s">
        <v>188</v>
      </c>
      <c r="C592" t="s">
        <v>109</v>
      </c>
      <c r="D592">
        <v>0</v>
      </c>
      <c r="E592">
        <v>0</v>
      </c>
      <c r="F592">
        <v>0</v>
      </c>
      <c r="G592" s="10">
        <f t="shared" si="9"/>
        <v>0</v>
      </c>
      <c r="H592" t="str">
        <f>$A592&amp;Keys!$C$54&amp;$B592&amp;Keys!$C$54&amp;$C592</f>
        <v>IA|production|crude oil</v>
      </c>
    </row>
    <row r="593" spans="1:8" x14ac:dyDescent="0.25">
      <c r="A593" t="s">
        <v>87</v>
      </c>
      <c r="B593" t="s">
        <v>188</v>
      </c>
      <c r="C593" t="s">
        <v>113</v>
      </c>
      <c r="D593">
        <v>0</v>
      </c>
      <c r="E593">
        <v>0</v>
      </c>
      <c r="F593">
        <v>0</v>
      </c>
      <c r="G593" s="10">
        <f t="shared" si="9"/>
        <v>0</v>
      </c>
      <c r="H593" t="str">
        <f>$A593&amp;Keys!$C$54&amp;$B593&amp;Keys!$C$54&amp;$C593</f>
        <v>IA|production|heavy fuel oil</v>
      </c>
    </row>
    <row r="594" spans="1:8" x14ac:dyDescent="0.25">
      <c r="A594" t="s">
        <v>87</v>
      </c>
      <c r="B594" t="s">
        <v>188</v>
      </c>
      <c r="C594" t="s">
        <v>117</v>
      </c>
      <c r="D594">
        <v>0</v>
      </c>
      <c r="E594">
        <v>0</v>
      </c>
      <c r="F594">
        <v>0</v>
      </c>
      <c r="G594" s="10">
        <f t="shared" si="9"/>
        <v>0</v>
      </c>
      <c r="H594" t="str">
        <f>$A594&amp;Keys!$C$54&amp;$B594&amp;Keys!$C$54&amp;$C594</f>
        <v>IA|production|LPG propane or butane</v>
      </c>
    </row>
    <row r="595" spans="1:8" x14ac:dyDescent="0.25">
      <c r="A595" t="s">
        <v>87</v>
      </c>
      <c r="B595" t="s">
        <v>188</v>
      </c>
      <c r="C595" t="s">
        <v>120</v>
      </c>
      <c r="D595">
        <v>0</v>
      </c>
      <c r="E595">
        <v>0</v>
      </c>
      <c r="F595">
        <v>0</v>
      </c>
      <c r="G595" s="10">
        <f t="shared" si="9"/>
        <v>0</v>
      </c>
      <c r="H595" t="str">
        <f>$A595&amp;Keys!$C$54&amp;$B595&amp;Keys!$C$54&amp;$C595</f>
        <v>IA|production|municipal solid waste</v>
      </c>
    </row>
    <row r="596" spans="1:8" x14ac:dyDescent="0.25">
      <c r="A596" t="s">
        <v>87</v>
      </c>
      <c r="B596" t="s">
        <v>188</v>
      </c>
      <c r="C596" t="s">
        <v>123</v>
      </c>
      <c r="D596">
        <v>0</v>
      </c>
      <c r="E596">
        <v>0</v>
      </c>
      <c r="F596">
        <v>0</v>
      </c>
      <c r="G596" s="10">
        <f t="shared" si="9"/>
        <v>0</v>
      </c>
      <c r="H596" t="str">
        <f>$A596&amp;Keys!$C$54&amp;$B596&amp;Keys!$C$54&amp;$C596</f>
        <v>IA|production|hydrogen</v>
      </c>
    </row>
    <row r="597" spans="1:8" x14ac:dyDescent="0.25">
      <c r="A597" t="s">
        <v>87</v>
      </c>
      <c r="B597" t="s">
        <v>191</v>
      </c>
      <c r="C597" t="s">
        <v>60</v>
      </c>
      <c r="D597">
        <v>0</v>
      </c>
      <c r="E597">
        <v>0</v>
      </c>
      <c r="F597">
        <v>0</v>
      </c>
      <c r="G597" s="10">
        <f t="shared" si="9"/>
        <v>0</v>
      </c>
      <c r="H597" t="str">
        <f>$A597&amp;Keys!$C$54&amp;$B597&amp;Keys!$C$54&amp;$C597</f>
        <v>IA|imports|electricity (not used in this variable)</v>
      </c>
    </row>
    <row r="598" spans="1:8" x14ac:dyDescent="0.25">
      <c r="A598" t="s">
        <v>87</v>
      </c>
      <c r="B598" t="s">
        <v>191</v>
      </c>
      <c r="C598" t="s">
        <v>64</v>
      </c>
      <c r="D598">
        <v>203684000000000</v>
      </c>
      <c r="E598">
        <v>210114000000000</v>
      </c>
      <c r="F598">
        <v>246675000000000</v>
      </c>
      <c r="G598" s="10">
        <f t="shared" si="9"/>
        <v>220157666666666.66</v>
      </c>
      <c r="H598" t="str">
        <f>$A598&amp;Keys!$C$54&amp;$B598&amp;Keys!$C$54&amp;$C598</f>
        <v>IA|imports|hard coal</v>
      </c>
    </row>
    <row r="599" spans="1:8" x14ac:dyDescent="0.25">
      <c r="A599" t="s">
        <v>87</v>
      </c>
      <c r="B599" t="s">
        <v>191</v>
      </c>
      <c r="C599" t="s">
        <v>68</v>
      </c>
      <c r="D599">
        <v>2071510000000000</v>
      </c>
      <c r="E599">
        <v>2012300000000000</v>
      </c>
      <c r="F599">
        <v>1849000000000000</v>
      </c>
      <c r="G599" s="10">
        <f t="shared" si="9"/>
        <v>1977603333333333.3</v>
      </c>
      <c r="H599" t="str">
        <f>$A599&amp;Keys!$C$54&amp;$B599&amp;Keys!$C$54&amp;$C599</f>
        <v>IA|imports|natural gas</v>
      </c>
    </row>
    <row r="600" spans="1:8" x14ac:dyDescent="0.25">
      <c r="A600" t="s">
        <v>87</v>
      </c>
      <c r="B600" t="s">
        <v>191</v>
      </c>
      <c r="C600" t="s">
        <v>71</v>
      </c>
      <c r="D600">
        <v>0</v>
      </c>
      <c r="E600">
        <v>0</v>
      </c>
      <c r="F600">
        <v>0</v>
      </c>
      <c r="G600" s="10">
        <f t="shared" si="9"/>
        <v>0</v>
      </c>
      <c r="H600" t="str">
        <f>$A600&amp;Keys!$C$54&amp;$B600&amp;Keys!$C$54&amp;$C600</f>
        <v>IA|imports|nuclear</v>
      </c>
    </row>
    <row r="601" spans="1:8" x14ac:dyDescent="0.25">
      <c r="A601" t="s">
        <v>87</v>
      </c>
      <c r="B601" t="s">
        <v>191</v>
      </c>
      <c r="C601" t="s">
        <v>74</v>
      </c>
      <c r="D601">
        <v>0</v>
      </c>
      <c r="E601">
        <v>0</v>
      </c>
      <c r="F601">
        <v>0</v>
      </c>
      <c r="G601" s="10">
        <f t="shared" si="9"/>
        <v>0</v>
      </c>
      <c r="H601" t="str">
        <f>$A601&amp;Keys!$C$54&amp;$B601&amp;Keys!$C$54&amp;$C601</f>
        <v>IA|imports|hydro (is not a fuel)</v>
      </c>
    </row>
    <row r="602" spans="1:8" x14ac:dyDescent="0.25">
      <c r="A602" t="s">
        <v>87</v>
      </c>
      <c r="B602" t="s">
        <v>191</v>
      </c>
      <c r="C602" t="s">
        <v>77</v>
      </c>
      <c r="D602">
        <v>0</v>
      </c>
      <c r="E602">
        <v>0</v>
      </c>
      <c r="F602">
        <v>0</v>
      </c>
      <c r="G602" s="10">
        <f t="shared" si="9"/>
        <v>0</v>
      </c>
      <c r="H602" t="str">
        <f>$A602&amp;Keys!$C$54&amp;$B602&amp;Keys!$C$54&amp;$C602</f>
        <v>IA|imports|wind (is not a fuel)</v>
      </c>
    </row>
    <row r="603" spans="1:8" x14ac:dyDescent="0.25">
      <c r="A603" t="s">
        <v>87</v>
      </c>
      <c r="B603" t="s">
        <v>191</v>
      </c>
      <c r="C603" t="s">
        <v>80</v>
      </c>
      <c r="D603">
        <v>0</v>
      </c>
      <c r="E603">
        <v>0</v>
      </c>
      <c r="F603">
        <v>0</v>
      </c>
      <c r="G603" s="10">
        <f t="shared" si="9"/>
        <v>0</v>
      </c>
      <c r="H603" t="str">
        <f>$A603&amp;Keys!$C$54&amp;$B603&amp;Keys!$C$54&amp;$C603</f>
        <v>IA|imports|solar (is not a fuel)</v>
      </c>
    </row>
    <row r="604" spans="1:8" x14ac:dyDescent="0.25">
      <c r="A604" t="s">
        <v>87</v>
      </c>
      <c r="B604" t="s">
        <v>191</v>
      </c>
      <c r="C604" t="s">
        <v>82</v>
      </c>
      <c r="D604">
        <v>0</v>
      </c>
      <c r="E604">
        <v>25436000000000</v>
      </c>
      <c r="F604">
        <v>25173200000000</v>
      </c>
      <c r="G604" s="10">
        <f t="shared" si="9"/>
        <v>16869733333333.334</v>
      </c>
      <c r="H604" t="str">
        <f>$A604&amp;Keys!$C$54&amp;$B604&amp;Keys!$C$54&amp;$C604</f>
        <v>IA|imports|biomass</v>
      </c>
    </row>
    <row r="605" spans="1:8" x14ac:dyDescent="0.25">
      <c r="A605" t="s">
        <v>87</v>
      </c>
      <c r="B605" t="s">
        <v>191</v>
      </c>
      <c r="C605" t="s">
        <v>85</v>
      </c>
      <c r="D605">
        <v>0</v>
      </c>
      <c r="E605">
        <v>153134000000000</v>
      </c>
      <c r="F605">
        <v>151408000000000</v>
      </c>
      <c r="G605" s="10">
        <f t="shared" si="9"/>
        <v>101514000000000</v>
      </c>
      <c r="H605" t="str">
        <f>$A605&amp;Keys!$C$54&amp;$B605&amp;Keys!$C$54&amp;$C605</f>
        <v>IA|imports|petroleum gasoline</v>
      </c>
    </row>
    <row r="606" spans="1:8" x14ac:dyDescent="0.25">
      <c r="A606" t="s">
        <v>87</v>
      </c>
      <c r="B606" t="s">
        <v>191</v>
      </c>
      <c r="C606" t="s">
        <v>88</v>
      </c>
      <c r="D606">
        <v>0</v>
      </c>
      <c r="E606">
        <v>154466000000000</v>
      </c>
      <c r="F606">
        <v>154927000000000</v>
      </c>
      <c r="G606" s="10">
        <f t="shared" si="9"/>
        <v>103131000000000</v>
      </c>
      <c r="H606" t="str">
        <f>$A606&amp;Keys!$C$54&amp;$B606&amp;Keys!$C$54&amp;$C606</f>
        <v>IA|imports|petroleum diesel</v>
      </c>
    </row>
    <row r="607" spans="1:8" x14ac:dyDescent="0.25">
      <c r="A607" t="s">
        <v>87</v>
      </c>
      <c r="B607" t="s">
        <v>191</v>
      </c>
      <c r="C607" t="s">
        <v>91</v>
      </c>
      <c r="D607">
        <v>0</v>
      </c>
      <c r="E607">
        <v>0</v>
      </c>
      <c r="F607">
        <v>0</v>
      </c>
      <c r="G607" s="10">
        <f t="shared" si="9"/>
        <v>0</v>
      </c>
      <c r="H607" t="str">
        <f>$A607&amp;Keys!$C$54&amp;$B607&amp;Keys!$C$54&amp;$C607</f>
        <v>IA|imports|biofuel gasoline</v>
      </c>
    </row>
    <row r="608" spans="1:8" x14ac:dyDescent="0.25">
      <c r="A608" t="s">
        <v>87</v>
      </c>
      <c r="B608" t="s">
        <v>191</v>
      </c>
      <c r="C608" t="s">
        <v>94</v>
      </c>
      <c r="D608">
        <v>0</v>
      </c>
      <c r="E608">
        <v>0</v>
      </c>
      <c r="F608">
        <v>0</v>
      </c>
      <c r="G608" s="10">
        <f t="shared" si="9"/>
        <v>0</v>
      </c>
      <c r="H608" t="str">
        <f>$A608&amp;Keys!$C$54&amp;$B608&amp;Keys!$C$54&amp;$C608</f>
        <v>IA|imports|biofuel diesel</v>
      </c>
    </row>
    <row r="609" spans="1:8" x14ac:dyDescent="0.25">
      <c r="A609" t="s">
        <v>87</v>
      </c>
      <c r="B609" t="s">
        <v>191</v>
      </c>
      <c r="C609" t="s">
        <v>97</v>
      </c>
      <c r="D609">
        <v>0</v>
      </c>
      <c r="E609">
        <v>6251890000000</v>
      </c>
      <c r="F609">
        <v>6341710000000</v>
      </c>
      <c r="G609" s="10">
        <f t="shared" si="9"/>
        <v>4197866666666.6665</v>
      </c>
      <c r="H609" t="str">
        <f>$A609&amp;Keys!$C$54&amp;$B609&amp;Keys!$C$54&amp;$C609</f>
        <v>IA|imports|jet fuel or kerosene</v>
      </c>
    </row>
    <row r="610" spans="1:8" x14ac:dyDescent="0.25">
      <c r="A610" t="s">
        <v>87</v>
      </c>
      <c r="B610" t="s">
        <v>191</v>
      </c>
      <c r="C610" t="s">
        <v>100</v>
      </c>
      <c r="D610">
        <v>0</v>
      </c>
      <c r="E610">
        <v>0</v>
      </c>
      <c r="F610">
        <v>0</v>
      </c>
      <c r="G610" s="10">
        <f t="shared" si="9"/>
        <v>0</v>
      </c>
      <c r="H610" t="str">
        <f>$A610&amp;Keys!$C$54&amp;$B610&amp;Keys!$C$54&amp;$C610</f>
        <v>IA|imports|heat (not used in this variable)</v>
      </c>
    </row>
    <row r="611" spans="1:8" x14ac:dyDescent="0.25">
      <c r="A611" t="s">
        <v>87</v>
      </c>
      <c r="B611" t="s">
        <v>191</v>
      </c>
      <c r="C611" t="s">
        <v>103</v>
      </c>
      <c r="D611">
        <v>0</v>
      </c>
      <c r="E611">
        <v>0</v>
      </c>
      <c r="F611">
        <v>0</v>
      </c>
      <c r="G611" s="10">
        <f t="shared" si="9"/>
        <v>0</v>
      </c>
      <c r="H611" t="str">
        <f>$A611&amp;Keys!$C$54&amp;$B611&amp;Keys!$C$54&amp;$C611</f>
        <v>IA|imports|geothermal (is not a fuel)</v>
      </c>
    </row>
    <row r="612" spans="1:8" x14ac:dyDescent="0.25">
      <c r="A612" t="s">
        <v>87</v>
      </c>
      <c r="B612" t="s">
        <v>191</v>
      </c>
      <c r="C612" t="s">
        <v>106</v>
      </c>
      <c r="D612">
        <v>0</v>
      </c>
      <c r="E612">
        <v>0</v>
      </c>
      <c r="F612">
        <v>0</v>
      </c>
      <c r="G612" s="10">
        <f t="shared" si="9"/>
        <v>0</v>
      </c>
      <c r="H612" t="str">
        <f>$A612&amp;Keys!$C$54&amp;$B612&amp;Keys!$C$54&amp;$C612</f>
        <v>IA|imports|lignite</v>
      </c>
    </row>
    <row r="613" spans="1:8" x14ac:dyDescent="0.25">
      <c r="A613" t="s">
        <v>87</v>
      </c>
      <c r="B613" t="s">
        <v>191</v>
      </c>
      <c r="C613" t="s">
        <v>109</v>
      </c>
      <c r="D613">
        <v>0</v>
      </c>
      <c r="E613">
        <v>1221000000000</v>
      </c>
      <c r="F613">
        <v>0</v>
      </c>
      <c r="G613" s="10">
        <f t="shared" si="9"/>
        <v>407000000000</v>
      </c>
      <c r="H613" t="str">
        <f>$A613&amp;Keys!$C$54&amp;$B613&amp;Keys!$C$54&amp;$C613</f>
        <v>IA|imports|crude oil</v>
      </c>
    </row>
    <row r="614" spans="1:8" x14ac:dyDescent="0.25">
      <c r="A614" t="s">
        <v>87</v>
      </c>
      <c r="B614" t="s">
        <v>191</v>
      </c>
      <c r="C614" t="s">
        <v>113</v>
      </c>
      <c r="D614">
        <v>0</v>
      </c>
      <c r="E614">
        <v>11397800000000</v>
      </c>
      <c r="F614">
        <v>11639300000000</v>
      </c>
      <c r="G614" s="10">
        <f t="shared" si="9"/>
        <v>7679033333333.333</v>
      </c>
      <c r="H614" t="str">
        <f>$A614&amp;Keys!$C$54&amp;$B614&amp;Keys!$C$54&amp;$C614</f>
        <v>IA|imports|heavy fuel oil</v>
      </c>
    </row>
    <row r="615" spans="1:8" x14ac:dyDescent="0.25">
      <c r="A615" t="s">
        <v>87</v>
      </c>
      <c r="B615" t="s">
        <v>191</v>
      </c>
      <c r="C615" t="s">
        <v>117</v>
      </c>
      <c r="D615">
        <v>0</v>
      </c>
      <c r="E615">
        <v>63297000000000</v>
      </c>
      <c r="F615">
        <v>62982700000000</v>
      </c>
      <c r="G615" s="10">
        <f t="shared" si="9"/>
        <v>42093233333333.336</v>
      </c>
      <c r="H615" t="str">
        <f>$A615&amp;Keys!$C$54&amp;$B615&amp;Keys!$C$54&amp;$C615</f>
        <v>IA|imports|LPG propane or butane</v>
      </c>
    </row>
    <row r="616" spans="1:8" x14ac:dyDescent="0.25">
      <c r="A616" t="s">
        <v>87</v>
      </c>
      <c r="B616" t="s">
        <v>191</v>
      </c>
      <c r="C616" t="s">
        <v>120</v>
      </c>
      <c r="D616">
        <v>0</v>
      </c>
      <c r="E616">
        <v>0</v>
      </c>
      <c r="F616">
        <v>0</v>
      </c>
      <c r="G616" s="10">
        <f t="shared" si="9"/>
        <v>0</v>
      </c>
      <c r="H616" t="str">
        <f>$A616&amp;Keys!$C$54&amp;$B616&amp;Keys!$C$54&amp;$C616</f>
        <v>IA|imports|municipal solid waste</v>
      </c>
    </row>
    <row r="617" spans="1:8" x14ac:dyDescent="0.25">
      <c r="A617" t="s">
        <v>87</v>
      </c>
      <c r="B617" t="s">
        <v>191</v>
      </c>
      <c r="C617" t="s">
        <v>123</v>
      </c>
      <c r="D617">
        <v>0</v>
      </c>
      <c r="E617">
        <v>0</v>
      </c>
      <c r="F617">
        <v>0</v>
      </c>
      <c r="G617" s="10">
        <f t="shared" si="9"/>
        <v>0</v>
      </c>
      <c r="H617" t="str">
        <f>$A617&amp;Keys!$C$54&amp;$B617&amp;Keys!$C$54&amp;$C617</f>
        <v>IA|imports|hydrogen</v>
      </c>
    </row>
    <row r="618" spans="1:8" x14ac:dyDescent="0.25">
      <c r="A618" t="s">
        <v>87</v>
      </c>
      <c r="B618" t="s">
        <v>193</v>
      </c>
      <c r="C618" t="s">
        <v>60</v>
      </c>
      <c r="D618">
        <v>0</v>
      </c>
      <c r="E618">
        <v>0</v>
      </c>
      <c r="F618">
        <v>0</v>
      </c>
      <c r="G618" s="10">
        <f t="shared" si="9"/>
        <v>0</v>
      </c>
      <c r="H618" t="str">
        <f>$A618&amp;Keys!$C$54&amp;$B618&amp;Keys!$C$54&amp;$C618</f>
        <v>IA|exports|electricity (not used in this variable)</v>
      </c>
    </row>
    <row r="619" spans="1:8" x14ac:dyDescent="0.25">
      <c r="A619" t="s">
        <v>87</v>
      </c>
      <c r="B619" t="s">
        <v>193</v>
      </c>
      <c r="C619" t="s">
        <v>64</v>
      </c>
      <c r="D619">
        <v>0</v>
      </c>
      <c r="E619">
        <v>0</v>
      </c>
      <c r="F619">
        <v>0</v>
      </c>
      <c r="G619" s="10">
        <f t="shared" si="9"/>
        <v>0</v>
      </c>
      <c r="H619" t="str">
        <f>$A619&amp;Keys!$C$54&amp;$B619&amp;Keys!$C$54&amp;$C619</f>
        <v>IA|exports|hard coal</v>
      </c>
    </row>
    <row r="620" spans="1:8" x14ac:dyDescent="0.25">
      <c r="A620" t="s">
        <v>87</v>
      </c>
      <c r="B620" t="s">
        <v>193</v>
      </c>
      <c r="C620" t="s">
        <v>68</v>
      </c>
      <c r="D620">
        <v>1573230000000000</v>
      </c>
      <c r="E620">
        <v>1573230000000000</v>
      </c>
      <c r="F620">
        <v>1426400000000000</v>
      </c>
      <c r="G620" s="10">
        <f t="shared" si="9"/>
        <v>1524286666666666.8</v>
      </c>
      <c r="H620" t="str">
        <f>$A620&amp;Keys!$C$54&amp;$B620&amp;Keys!$C$54&amp;$C620</f>
        <v>IA|exports|natural gas</v>
      </c>
    </row>
    <row r="621" spans="1:8" x14ac:dyDescent="0.25">
      <c r="A621" t="s">
        <v>87</v>
      </c>
      <c r="B621" t="s">
        <v>193</v>
      </c>
      <c r="C621" t="s">
        <v>71</v>
      </c>
      <c r="D621">
        <v>0</v>
      </c>
      <c r="E621">
        <v>0</v>
      </c>
      <c r="F621">
        <v>0</v>
      </c>
      <c r="G621" s="10">
        <f t="shared" si="9"/>
        <v>0</v>
      </c>
      <c r="H621" t="str">
        <f>$A621&amp;Keys!$C$54&amp;$B621&amp;Keys!$C$54&amp;$C621</f>
        <v>IA|exports|nuclear</v>
      </c>
    </row>
    <row r="622" spans="1:8" x14ac:dyDescent="0.25">
      <c r="A622" t="s">
        <v>87</v>
      </c>
      <c r="B622" t="s">
        <v>193</v>
      </c>
      <c r="C622" t="s">
        <v>74</v>
      </c>
      <c r="D622">
        <v>0</v>
      </c>
      <c r="E622">
        <v>0</v>
      </c>
      <c r="F622">
        <v>0</v>
      </c>
      <c r="G622" s="10">
        <f t="shared" si="9"/>
        <v>0</v>
      </c>
      <c r="H622" t="str">
        <f>$A622&amp;Keys!$C$54&amp;$B622&amp;Keys!$C$54&amp;$C622</f>
        <v>IA|exports|hydro (is not a fuel)</v>
      </c>
    </row>
    <row r="623" spans="1:8" x14ac:dyDescent="0.25">
      <c r="A623" t="s">
        <v>87</v>
      </c>
      <c r="B623" t="s">
        <v>193</v>
      </c>
      <c r="C623" t="s">
        <v>77</v>
      </c>
      <c r="D623">
        <v>0</v>
      </c>
      <c r="E623">
        <v>0</v>
      </c>
      <c r="F623">
        <v>0</v>
      </c>
      <c r="G623" s="10">
        <f t="shared" si="9"/>
        <v>0</v>
      </c>
      <c r="H623" t="str">
        <f>$A623&amp;Keys!$C$54&amp;$B623&amp;Keys!$C$54&amp;$C623</f>
        <v>IA|exports|wind (is not a fuel)</v>
      </c>
    </row>
    <row r="624" spans="1:8" x14ac:dyDescent="0.25">
      <c r="A624" t="s">
        <v>87</v>
      </c>
      <c r="B624" t="s">
        <v>193</v>
      </c>
      <c r="C624" t="s">
        <v>80</v>
      </c>
      <c r="D624">
        <v>0</v>
      </c>
      <c r="E624">
        <v>0</v>
      </c>
      <c r="F624">
        <v>0</v>
      </c>
      <c r="G624" s="10">
        <f t="shared" si="9"/>
        <v>0</v>
      </c>
      <c r="H624" t="str">
        <f>$A624&amp;Keys!$C$54&amp;$B624&amp;Keys!$C$54&amp;$C624</f>
        <v>IA|exports|solar (is not a fuel)</v>
      </c>
    </row>
    <row r="625" spans="1:8" x14ac:dyDescent="0.25">
      <c r="A625" t="s">
        <v>87</v>
      </c>
      <c r="B625" t="s">
        <v>193</v>
      </c>
      <c r="C625" t="s">
        <v>82</v>
      </c>
      <c r="D625">
        <v>0</v>
      </c>
      <c r="E625">
        <v>0</v>
      </c>
      <c r="F625">
        <v>0</v>
      </c>
      <c r="G625" s="10">
        <f t="shared" si="9"/>
        <v>0</v>
      </c>
      <c r="H625" t="str">
        <f>$A625&amp;Keys!$C$54&amp;$B625&amp;Keys!$C$54&amp;$C625</f>
        <v>IA|exports|biomass</v>
      </c>
    </row>
    <row r="626" spans="1:8" x14ac:dyDescent="0.25">
      <c r="A626" t="s">
        <v>87</v>
      </c>
      <c r="B626" t="s">
        <v>193</v>
      </c>
      <c r="C626" t="s">
        <v>85</v>
      </c>
      <c r="D626">
        <v>0</v>
      </c>
      <c r="E626">
        <v>0</v>
      </c>
      <c r="F626">
        <v>0</v>
      </c>
      <c r="G626" s="10">
        <f t="shared" si="9"/>
        <v>0</v>
      </c>
      <c r="H626" t="str">
        <f>$A626&amp;Keys!$C$54&amp;$B626&amp;Keys!$C$54&amp;$C626</f>
        <v>IA|exports|petroleum gasoline</v>
      </c>
    </row>
    <row r="627" spans="1:8" x14ac:dyDescent="0.25">
      <c r="A627" t="s">
        <v>87</v>
      </c>
      <c r="B627" t="s">
        <v>193</v>
      </c>
      <c r="C627" t="s">
        <v>88</v>
      </c>
      <c r="D627">
        <v>0</v>
      </c>
      <c r="E627">
        <v>0</v>
      </c>
      <c r="F627">
        <v>0</v>
      </c>
      <c r="G627" s="10">
        <f t="shared" si="9"/>
        <v>0</v>
      </c>
      <c r="H627" t="str">
        <f>$A627&amp;Keys!$C$54&amp;$B627&amp;Keys!$C$54&amp;$C627</f>
        <v>IA|exports|petroleum diesel</v>
      </c>
    </row>
    <row r="628" spans="1:8" x14ac:dyDescent="0.25">
      <c r="A628" t="s">
        <v>87</v>
      </c>
      <c r="B628" t="s">
        <v>193</v>
      </c>
      <c r="C628" t="s">
        <v>91</v>
      </c>
      <c r="D628">
        <v>54524600000000</v>
      </c>
      <c r="E628">
        <v>355186000000000</v>
      </c>
      <c r="F628">
        <v>356355000000000</v>
      </c>
      <c r="G628" s="10">
        <f t="shared" si="9"/>
        <v>255355200000000</v>
      </c>
      <c r="H628" t="str">
        <f>$A628&amp;Keys!$C$54&amp;$B628&amp;Keys!$C$54&amp;$C628</f>
        <v>IA|exports|biofuel gasoline</v>
      </c>
    </row>
    <row r="629" spans="1:8" x14ac:dyDescent="0.25">
      <c r="A629" t="s">
        <v>87</v>
      </c>
      <c r="B629" t="s">
        <v>193</v>
      </c>
      <c r="C629" t="s">
        <v>94</v>
      </c>
      <c r="D629">
        <v>0</v>
      </c>
      <c r="E629">
        <v>120676000000000</v>
      </c>
      <c r="F629">
        <v>144684000000000</v>
      </c>
      <c r="G629" s="10">
        <f t="shared" si="9"/>
        <v>88453333333333.328</v>
      </c>
      <c r="H629" t="str">
        <f>$A629&amp;Keys!$C$54&amp;$B629&amp;Keys!$C$54&amp;$C629</f>
        <v>IA|exports|biofuel diesel</v>
      </c>
    </row>
    <row r="630" spans="1:8" x14ac:dyDescent="0.25">
      <c r="A630" t="s">
        <v>87</v>
      </c>
      <c r="B630" t="s">
        <v>193</v>
      </c>
      <c r="C630" t="s">
        <v>97</v>
      </c>
      <c r="D630">
        <v>0</v>
      </c>
      <c r="E630">
        <v>0</v>
      </c>
      <c r="F630">
        <v>0</v>
      </c>
      <c r="G630" s="10">
        <f t="shared" si="9"/>
        <v>0</v>
      </c>
      <c r="H630" t="str">
        <f>$A630&amp;Keys!$C$54&amp;$B630&amp;Keys!$C$54&amp;$C630</f>
        <v>IA|exports|jet fuel or kerosene</v>
      </c>
    </row>
    <row r="631" spans="1:8" x14ac:dyDescent="0.25">
      <c r="A631" t="s">
        <v>87</v>
      </c>
      <c r="B631" t="s">
        <v>193</v>
      </c>
      <c r="C631" t="s">
        <v>100</v>
      </c>
      <c r="D631">
        <v>0</v>
      </c>
      <c r="E631">
        <v>0</v>
      </c>
      <c r="F631">
        <v>0</v>
      </c>
      <c r="G631" s="10">
        <f t="shared" si="9"/>
        <v>0</v>
      </c>
      <c r="H631" t="str">
        <f>$A631&amp;Keys!$C$54&amp;$B631&amp;Keys!$C$54&amp;$C631</f>
        <v>IA|exports|heat (not used in this variable)</v>
      </c>
    </row>
    <row r="632" spans="1:8" x14ac:dyDescent="0.25">
      <c r="A632" t="s">
        <v>87</v>
      </c>
      <c r="B632" t="s">
        <v>193</v>
      </c>
      <c r="C632" t="s">
        <v>103</v>
      </c>
      <c r="D632">
        <v>0</v>
      </c>
      <c r="E632">
        <v>0</v>
      </c>
      <c r="F632">
        <v>0</v>
      </c>
      <c r="G632" s="10">
        <f t="shared" si="9"/>
        <v>0</v>
      </c>
      <c r="H632" t="str">
        <f>$A632&amp;Keys!$C$54&amp;$B632&amp;Keys!$C$54&amp;$C632</f>
        <v>IA|exports|geothermal (is not a fuel)</v>
      </c>
    </row>
    <row r="633" spans="1:8" x14ac:dyDescent="0.25">
      <c r="A633" t="s">
        <v>87</v>
      </c>
      <c r="B633" t="s">
        <v>193</v>
      </c>
      <c r="C633" t="s">
        <v>106</v>
      </c>
      <c r="D633">
        <v>0</v>
      </c>
      <c r="E633">
        <v>0</v>
      </c>
      <c r="F633">
        <v>0</v>
      </c>
      <c r="G633" s="10">
        <f t="shared" si="9"/>
        <v>0</v>
      </c>
      <c r="H633" t="str">
        <f>$A633&amp;Keys!$C$54&amp;$B633&amp;Keys!$C$54&amp;$C633</f>
        <v>IA|exports|lignite</v>
      </c>
    </row>
    <row r="634" spans="1:8" x14ac:dyDescent="0.25">
      <c r="A634" t="s">
        <v>87</v>
      </c>
      <c r="B634" t="s">
        <v>193</v>
      </c>
      <c r="C634" t="s">
        <v>109</v>
      </c>
      <c r="D634">
        <v>0</v>
      </c>
      <c r="E634">
        <v>0</v>
      </c>
      <c r="F634">
        <v>0</v>
      </c>
      <c r="G634" s="10">
        <f t="shared" si="9"/>
        <v>0</v>
      </c>
      <c r="H634" t="str">
        <f>$A634&amp;Keys!$C$54&amp;$B634&amp;Keys!$C$54&amp;$C634</f>
        <v>IA|exports|crude oil</v>
      </c>
    </row>
    <row r="635" spans="1:8" x14ac:dyDescent="0.25">
      <c r="A635" t="s">
        <v>87</v>
      </c>
      <c r="B635" t="s">
        <v>193</v>
      </c>
      <c r="C635" t="s">
        <v>113</v>
      </c>
      <c r="D635">
        <v>0</v>
      </c>
      <c r="E635">
        <v>0</v>
      </c>
      <c r="F635">
        <v>0</v>
      </c>
      <c r="G635" s="10">
        <f t="shared" si="9"/>
        <v>0</v>
      </c>
      <c r="H635" t="str">
        <f>$A635&amp;Keys!$C$54&amp;$B635&amp;Keys!$C$54&amp;$C635</f>
        <v>IA|exports|heavy fuel oil</v>
      </c>
    </row>
    <row r="636" spans="1:8" x14ac:dyDescent="0.25">
      <c r="A636" t="s">
        <v>87</v>
      </c>
      <c r="B636" t="s">
        <v>193</v>
      </c>
      <c r="C636" t="s">
        <v>117</v>
      </c>
      <c r="D636">
        <v>0</v>
      </c>
      <c r="E636">
        <v>0</v>
      </c>
      <c r="F636">
        <v>0</v>
      </c>
      <c r="G636" s="10">
        <f t="shared" si="9"/>
        <v>0</v>
      </c>
      <c r="H636" t="str">
        <f>$A636&amp;Keys!$C$54&amp;$B636&amp;Keys!$C$54&amp;$C636</f>
        <v>IA|exports|LPG propane or butane</v>
      </c>
    </row>
    <row r="637" spans="1:8" x14ac:dyDescent="0.25">
      <c r="A637" t="s">
        <v>87</v>
      </c>
      <c r="B637" t="s">
        <v>193</v>
      </c>
      <c r="C637" t="s">
        <v>120</v>
      </c>
      <c r="D637">
        <v>0</v>
      </c>
      <c r="E637">
        <v>0</v>
      </c>
      <c r="F637">
        <v>0</v>
      </c>
      <c r="G637" s="10">
        <f t="shared" si="9"/>
        <v>0</v>
      </c>
      <c r="H637" t="str">
        <f>$A637&amp;Keys!$C$54&amp;$B637&amp;Keys!$C$54&amp;$C637</f>
        <v>IA|exports|municipal solid waste</v>
      </c>
    </row>
    <row r="638" spans="1:8" x14ac:dyDescent="0.25">
      <c r="A638" t="s">
        <v>87</v>
      </c>
      <c r="B638" t="s">
        <v>193</v>
      </c>
      <c r="C638" t="s">
        <v>123</v>
      </c>
      <c r="D638">
        <v>0</v>
      </c>
      <c r="E638">
        <v>0</v>
      </c>
      <c r="F638">
        <v>0</v>
      </c>
      <c r="G638" s="10">
        <f t="shared" si="9"/>
        <v>0</v>
      </c>
      <c r="H638" t="str">
        <f>$A638&amp;Keys!$C$54&amp;$B638&amp;Keys!$C$54&amp;$C638</f>
        <v>IA|exports|hydrogen</v>
      </c>
    </row>
    <row r="639" spans="1:8" x14ac:dyDescent="0.25">
      <c r="A639" t="s">
        <v>90</v>
      </c>
      <c r="B639" t="s">
        <v>188</v>
      </c>
      <c r="C639" t="s">
        <v>60</v>
      </c>
      <c r="D639">
        <v>0</v>
      </c>
      <c r="E639">
        <v>0</v>
      </c>
      <c r="F639">
        <v>0</v>
      </c>
      <c r="G639" s="10">
        <f t="shared" si="9"/>
        <v>0</v>
      </c>
      <c r="H639" t="str">
        <f>$A639&amp;Keys!$C$54&amp;$B639&amp;Keys!$C$54&amp;$C639</f>
        <v>ID|production|electricity (not used in this variable)</v>
      </c>
    </row>
    <row r="640" spans="1:8" x14ac:dyDescent="0.25">
      <c r="A640" t="s">
        <v>90</v>
      </c>
      <c r="B640" t="s">
        <v>188</v>
      </c>
      <c r="C640" t="s">
        <v>64</v>
      </c>
      <c r="D640">
        <v>0</v>
      </c>
      <c r="E640">
        <v>0</v>
      </c>
      <c r="F640">
        <v>0</v>
      </c>
      <c r="G640" s="10">
        <f t="shared" si="9"/>
        <v>0</v>
      </c>
      <c r="H640" t="str">
        <f>$A640&amp;Keys!$C$54&amp;$B640&amp;Keys!$C$54&amp;$C640</f>
        <v>ID|production|hard coal</v>
      </c>
    </row>
    <row r="641" spans="1:8" x14ac:dyDescent="0.25">
      <c r="A641" t="s">
        <v>90</v>
      </c>
      <c r="B641" t="s">
        <v>188</v>
      </c>
      <c r="C641" t="s">
        <v>68</v>
      </c>
      <c r="D641">
        <v>1165590000000</v>
      </c>
      <c r="E641">
        <v>1165590000000</v>
      </c>
      <c r="F641">
        <v>1168770000000</v>
      </c>
      <c r="G641" s="10">
        <f t="shared" si="9"/>
        <v>1166650000000</v>
      </c>
      <c r="H641" t="str">
        <f>$A641&amp;Keys!$C$54&amp;$B641&amp;Keys!$C$54&amp;$C641</f>
        <v>ID|production|natural gas</v>
      </c>
    </row>
    <row r="642" spans="1:8" x14ac:dyDescent="0.25">
      <c r="A642" t="s">
        <v>90</v>
      </c>
      <c r="B642" t="s">
        <v>188</v>
      </c>
      <c r="C642" t="s">
        <v>71</v>
      </c>
      <c r="D642">
        <v>0</v>
      </c>
      <c r="E642">
        <v>0</v>
      </c>
      <c r="F642">
        <v>0</v>
      </c>
      <c r="G642" s="10">
        <f t="shared" si="9"/>
        <v>0</v>
      </c>
      <c r="H642" t="str">
        <f>$A642&amp;Keys!$C$54&amp;$B642&amp;Keys!$C$54&amp;$C642</f>
        <v>ID|production|nuclear</v>
      </c>
    </row>
    <row r="643" spans="1:8" x14ac:dyDescent="0.25">
      <c r="A643" t="s">
        <v>90</v>
      </c>
      <c r="B643" t="s">
        <v>188</v>
      </c>
      <c r="C643" t="s">
        <v>74</v>
      </c>
      <c r="D643">
        <v>0</v>
      </c>
      <c r="E643">
        <v>0</v>
      </c>
      <c r="F643">
        <v>0</v>
      </c>
      <c r="G643" s="10">
        <f t="shared" si="9"/>
        <v>0</v>
      </c>
      <c r="H643" t="str">
        <f>$A643&amp;Keys!$C$54&amp;$B643&amp;Keys!$C$54&amp;$C643</f>
        <v>ID|production|hydro (is not a fuel)</v>
      </c>
    </row>
    <row r="644" spans="1:8" x14ac:dyDescent="0.25">
      <c r="A644" t="s">
        <v>90</v>
      </c>
      <c r="B644" t="s">
        <v>188</v>
      </c>
      <c r="C644" t="s">
        <v>77</v>
      </c>
      <c r="D644">
        <v>0</v>
      </c>
      <c r="E644">
        <v>0</v>
      </c>
      <c r="F644">
        <v>0</v>
      </c>
      <c r="G644" s="10">
        <f t="shared" si="9"/>
        <v>0</v>
      </c>
      <c r="H644" t="str">
        <f>$A644&amp;Keys!$C$54&amp;$B644&amp;Keys!$C$54&amp;$C644</f>
        <v>ID|production|wind (is not a fuel)</v>
      </c>
    </row>
    <row r="645" spans="1:8" x14ac:dyDescent="0.25">
      <c r="A645" t="s">
        <v>90</v>
      </c>
      <c r="B645" t="s">
        <v>188</v>
      </c>
      <c r="C645" t="s">
        <v>80</v>
      </c>
      <c r="D645">
        <v>0</v>
      </c>
      <c r="E645">
        <v>0</v>
      </c>
      <c r="F645">
        <v>0</v>
      </c>
      <c r="G645" s="10">
        <f t="shared" si="9"/>
        <v>0</v>
      </c>
      <c r="H645" t="str">
        <f>$A645&amp;Keys!$C$54&amp;$B645&amp;Keys!$C$54&amp;$C645</f>
        <v>ID|production|solar (is not a fuel)</v>
      </c>
    </row>
    <row r="646" spans="1:8" x14ac:dyDescent="0.25">
      <c r="A646" t="s">
        <v>90</v>
      </c>
      <c r="B646" t="s">
        <v>188</v>
      </c>
      <c r="C646" t="s">
        <v>82</v>
      </c>
      <c r="D646">
        <v>1182400000000</v>
      </c>
      <c r="E646">
        <v>1182400000000</v>
      </c>
      <c r="F646">
        <v>1182400000000</v>
      </c>
      <c r="G646" s="10">
        <f t="shared" si="9"/>
        <v>1182400000000</v>
      </c>
      <c r="H646" t="str">
        <f>$A646&amp;Keys!$C$54&amp;$B646&amp;Keys!$C$54&amp;$C646</f>
        <v>ID|production|biomass</v>
      </c>
    </row>
    <row r="647" spans="1:8" x14ac:dyDescent="0.25">
      <c r="A647" t="s">
        <v>90</v>
      </c>
      <c r="B647" t="s">
        <v>188</v>
      </c>
      <c r="C647" t="s">
        <v>85</v>
      </c>
      <c r="D647">
        <v>0</v>
      </c>
      <c r="E647">
        <v>0</v>
      </c>
      <c r="F647">
        <v>0</v>
      </c>
      <c r="G647" s="10">
        <f t="shared" si="9"/>
        <v>0</v>
      </c>
      <c r="H647" t="str">
        <f>$A647&amp;Keys!$C$54&amp;$B647&amp;Keys!$C$54&amp;$C647</f>
        <v>ID|production|petroleum gasoline</v>
      </c>
    </row>
    <row r="648" spans="1:8" x14ac:dyDescent="0.25">
      <c r="A648" t="s">
        <v>90</v>
      </c>
      <c r="B648" t="s">
        <v>188</v>
      </c>
      <c r="C648" t="s">
        <v>88</v>
      </c>
      <c r="D648">
        <v>0</v>
      </c>
      <c r="E648">
        <v>0</v>
      </c>
      <c r="F648">
        <v>0</v>
      </c>
      <c r="G648" s="10">
        <f t="shared" si="9"/>
        <v>0</v>
      </c>
      <c r="H648" t="str">
        <f>$A648&amp;Keys!$C$54&amp;$B648&amp;Keys!$C$54&amp;$C648</f>
        <v>ID|production|petroleum diesel</v>
      </c>
    </row>
    <row r="649" spans="1:8" x14ac:dyDescent="0.25">
      <c r="A649" t="s">
        <v>90</v>
      </c>
      <c r="B649" t="s">
        <v>188</v>
      </c>
      <c r="C649" t="s">
        <v>91</v>
      </c>
      <c r="D649">
        <v>3987700000000</v>
      </c>
      <c r="E649">
        <v>3987700000000</v>
      </c>
      <c r="F649">
        <v>3998930000000</v>
      </c>
      <c r="G649" s="10">
        <f t="shared" ref="G649:G712" si="10">AVERAGE($D649:$F649)</f>
        <v>3991443333333.3335</v>
      </c>
      <c r="H649" t="str">
        <f>$A649&amp;Keys!$C$54&amp;$B649&amp;Keys!$C$54&amp;$C649</f>
        <v>ID|production|biofuel gasoline</v>
      </c>
    </row>
    <row r="650" spans="1:8" x14ac:dyDescent="0.25">
      <c r="A650" t="s">
        <v>90</v>
      </c>
      <c r="B650" t="s">
        <v>188</v>
      </c>
      <c r="C650" t="s">
        <v>94</v>
      </c>
      <c r="D650">
        <v>0</v>
      </c>
      <c r="E650">
        <v>0</v>
      </c>
      <c r="F650">
        <v>0</v>
      </c>
      <c r="G650" s="10">
        <f t="shared" si="10"/>
        <v>0</v>
      </c>
      <c r="H650" t="str">
        <f>$A650&amp;Keys!$C$54&amp;$B650&amp;Keys!$C$54&amp;$C650</f>
        <v>ID|production|biofuel diesel</v>
      </c>
    </row>
    <row r="651" spans="1:8" x14ac:dyDescent="0.25">
      <c r="A651" t="s">
        <v>90</v>
      </c>
      <c r="B651" t="s">
        <v>188</v>
      </c>
      <c r="C651" t="s">
        <v>97</v>
      </c>
      <c r="D651">
        <v>0</v>
      </c>
      <c r="E651">
        <v>0</v>
      </c>
      <c r="F651">
        <v>0</v>
      </c>
      <c r="G651" s="10">
        <f t="shared" si="10"/>
        <v>0</v>
      </c>
      <c r="H651" t="str">
        <f>$A651&amp;Keys!$C$54&amp;$B651&amp;Keys!$C$54&amp;$C651</f>
        <v>ID|production|jet fuel or kerosene</v>
      </c>
    </row>
    <row r="652" spans="1:8" x14ac:dyDescent="0.25">
      <c r="A652" t="s">
        <v>90</v>
      </c>
      <c r="B652" t="s">
        <v>188</v>
      </c>
      <c r="C652" t="s">
        <v>100</v>
      </c>
      <c r="D652">
        <v>0</v>
      </c>
      <c r="E652">
        <v>0</v>
      </c>
      <c r="F652">
        <v>0</v>
      </c>
      <c r="G652" s="10">
        <f t="shared" si="10"/>
        <v>0</v>
      </c>
      <c r="H652" t="str">
        <f>$A652&amp;Keys!$C$54&amp;$B652&amp;Keys!$C$54&amp;$C652</f>
        <v>ID|production|heat (not used in this variable)</v>
      </c>
    </row>
    <row r="653" spans="1:8" x14ac:dyDescent="0.25">
      <c r="A653" t="s">
        <v>90</v>
      </c>
      <c r="B653" t="s">
        <v>188</v>
      </c>
      <c r="C653" t="s">
        <v>103</v>
      </c>
      <c r="D653">
        <v>0</v>
      </c>
      <c r="E653">
        <v>0</v>
      </c>
      <c r="F653">
        <v>0</v>
      </c>
      <c r="G653" s="10">
        <f t="shared" si="10"/>
        <v>0</v>
      </c>
      <c r="H653" t="str">
        <f>$A653&amp;Keys!$C$54&amp;$B653&amp;Keys!$C$54&amp;$C653</f>
        <v>ID|production|geothermal (is not a fuel)</v>
      </c>
    </row>
    <row r="654" spans="1:8" x14ac:dyDescent="0.25">
      <c r="A654" t="s">
        <v>90</v>
      </c>
      <c r="B654" t="s">
        <v>188</v>
      </c>
      <c r="C654" t="s">
        <v>106</v>
      </c>
      <c r="D654">
        <v>0</v>
      </c>
      <c r="E654">
        <v>0</v>
      </c>
      <c r="F654">
        <v>0</v>
      </c>
      <c r="G654" s="10">
        <f t="shared" si="10"/>
        <v>0</v>
      </c>
      <c r="H654" t="str">
        <f>$A654&amp;Keys!$C$54&amp;$B654&amp;Keys!$C$54&amp;$C654</f>
        <v>ID|production|lignite</v>
      </c>
    </row>
    <row r="655" spans="1:8" x14ac:dyDescent="0.25">
      <c r="A655" t="s">
        <v>90</v>
      </c>
      <c r="B655" t="s">
        <v>188</v>
      </c>
      <c r="C655" t="s">
        <v>109</v>
      </c>
      <c r="D655">
        <v>110200000000</v>
      </c>
      <c r="E655">
        <v>110200000000</v>
      </c>
      <c r="F655">
        <v>108194000000</v>
      </c>
      <c r="G655" s="10">
        <f t="shared" si="10"/>
        <v>109531333333.33333</v>
      </c>
      <c r="H655" t="str">
        <f>$A655&amp;Keys!$C$54&amp;$B655&amp;Keys!$C$54&amp;$C655</f>
        <v>ID|production|crude oil</v>
      </c>
    </row>
    <row r="656" spans="1:8" x14ac:dyDescent="0.25">
      <c r="A656" t="s">
        <v>90</v>
      </c>
      <c r="B656" t="s">
        <v>188</v>
      </c>
      <c r="C656" t="s">
        <v>113</v>
      </c>
      <c r="D656">
        <v>0</v>
      </c>
      <c r="E656">
        <v>0</v>
      </c>
      <c r="F656">
        <v>0</v>
      </c>
      <c r="G656" s="10">
        <f t="shared" si="10"/>
        <v>0</v>
      </c>
      <c r="H656" t="str">
        <f>$A656&amp;Keys!$C$54&amp;$B656&amp;Keys!$C$54&amp;$C656</f>
        <v>ID|production|heavy fuel oil</v>
      </c>
    </row>
    <row r="657" spans="1:8" x14ac:dyDescent="0.25">
      <c r="A657" t="s">
        <v>90</v>
      </c>
      <c r="B657" t="s">
        <v>188</v>
      </c>
      <c r="C657" t="s">
        <v>117</v>
      </c>
      <c r="D657">
        <v>142492000000</v>
      </c>
      <c r="E657">
        <v>142492000000</v>
      </c>
      <c r="F657">
        <v>145518000000</v>
      </c>
      <c r="G657" s="10">
        <f t="shared" si="10"/>
        <v>143500666666.66666</v>
      </c>
      <c r="H657" t="str">
        <f>$A657&amp;Keys!$C$54&amp;$B657&amp;Keys!$C$54&amp;$C657</f>
        <v>ID|production|LPG propane or butane</v>
      </c>
    </row>
    <row r="658" spans="1:8" x14ac:dyDescent="0.25">
      <c r="A658" t="s">
        <v>90</v>
      </c>
      <c r="B658" t="s">
        <v>188</v>
      </c>
      <c r="C658" t="s">
        <v>120</v>
      </c>
      <c r="D658">
        <v>0</v>
      </c>
      <c r="E658">
        <v>0</v>
      </c>
      <c r="F658">
        <v>0</v>
      </c>
      <c r="G658" s="10">
        <f t="shared" si="10"/>
        <v>0</v>
      </c>
      <c r="H658" t="str">
        <f>$A658&amp;Keys!$C$54&amp;$B658&amp;Keys!$C$54&amp;$C658</f>
        <v>ID|production|municipal solid waste</v>
      </c>
    </row>
    <row r="659" spans="1:8" x14ac:dyDescent="0.25">
      <c r="A659" t="s">
        <v>90</v>
      </c>
      <c r="B659" t="s">
        <v>188</v>
      </c>
      <c r="C659" t="s">
        <v>123</v>
      </c>
      <c r="D659">
        <v>0</v>
      </c>
      <c r="E659">
        <v>0</v>
      </c>
      <c r="F659">
        <v>0</v>
      </c>
      <c r="G659" s="10">
        <f t="shared" si="10"/>
        <v>0</v>
      </c>
      <c r="H659" t="str">
        <f>$A659&amp;Keys!$C$54&amp;$B659&amp;Keys!$C$54&amp;$C659</f>
        <v>ID|production|hydrogen</v>
      </c>
    </row>
    <row r="660" spans="1:8" x14ac:dyDescent="0.25">
      <c r="A660" t="s">
        <v>90</v>
      </c>
      <c r="B660" t="s">
        <v>191</v>
      </c>
      <c r="C660" t="s">
        <v>60</v>
      </c>
      <c r="D660">
        <v>0</v>
      </c>
      <c r="E660">
        <v>0</v>
      </c>
      <c r="F660">
        <v>0</v>
      </c>
      <c r="G660" s="10">
        <f t="shared" si="10"/>
        <v>0</v>
      </c>
      <c r="H660" t="str">
        <f>$A660&amp;Keys!$C$54&amp;$B660&amp;Keys!$C$54&amp;$C660</f>
        <v>ID|imports|electricity (not used in this variable)</v>
      </c>
    </row>
    <row r="661" spans="1:8" x14ac:dyDescent="0.25">
      <c r="A661" t="s">
        <v>90</v>
      </c>
      <c r="B661" t="s">
        <v>191</v>
      </c>
      <c r="C661" t="s">
        <v>64</v>
      </c>
      <c r="D661">
        <v>647492000000</v>
      </c>
      <c r="E661">
        <v>932000000000</v>
      </c>
      <c r="F661">
        <v>932000000000</v>
      </c>
      <c r="G661" s="10">
        <f t="shared" si="10"/>
        <v>837164000000</v>
      </c>
      <c r="H661" t="str">
        <f>$A661&amp;Keys!$C$54&amp;$B661&amp;Keys!$C$54&amp;$C661</f>
        <v>ID|imports|hard coal</v>
      </c>
    </row>
    <row r="662" spans="1:8" x14ac:dyDescent="0.25">
      <c r="A662" t="s">
        <v>90</v>
      </c>
      <c r="B662" t="s">
        <v>191</v>
      </c>
      <c r="C662" t="s">
        <v>68</v>
      </c>
      <c r="D662">
        <v>1099800000000000</v>
      </c>
      <c r="E662">
        <v>1130890000000000</v>
      </c>
      <c r="F662">
        <v>1136490000000000</v>
      </c>
      <c r="G662" s="10">
        <f t="shared" si="10"/>
        <v>1122393333333333.4</v>
      </c>
      <c r="H662" t="str">
        <f>$A662&amp;Keys!$C$54&amp;$B662&amp;Keys!$C$54&amp;$C662</f>
        <v>ID|imports|natural gas</v>
      </c>
    </row>
    <row r="663" spans="1:8" x14ac:dyDescent="0.25">
      <c r="A663" t="s">
        <v>90</v>
      </c>
      <c r="B663" t="s">
        <v>191</v>
      </c>
      <c r="C663" t="s">
        <v>71</v>
      </c>
      <c r="D663">
        <v>0</v>
      </c>
      <c r="E663">
        <v>0</v>
      </c>
      <c r="F663">
        <v>0</v>
      </c>
      <c r="G663" s="10">
        <f t="shared" si="10"/>
        <v>0</v>
      </c>
      <c r="H663" t="str">
        <f>$A663&amp;Keys!$C$54&amp;$B663&amp;Keys!$C$54&amp;$C663</f>
        <v>ID|imports|nuclear</v>
      </c>
    </row>
    <row r="664" spans="1:8" x14ac:dyDescent="0.25">
      <c r="A664" t="s">
        <v>90</v>
      </c>
      <c r="B664" t="s">
        <v>191</v>
      </c>
      <c r="C664" t="s">
        <v>74</v>
      </c>
      <c r="D664">
        <v>0</v>
      </c>
      <c r="E664">
        <v>0</v>
      </c>
      <c r="F664">
        <v>0</v>
      </c>
      <c r="G664" s="10">
        <f t="shared" si="10"/>
        <v>0</v>
      </c>
      <c r="H664" t="str">
        <f>$A664&amp;Keys!$C$54&amp;$B664&amp;Keys!$C$54&amp;$C664</f>
        <v>ID|imports|hydro (is not a fuel)</v>
      </c>
    </row>
    <row r="665" spans="1:8" x14ac:dyDescent="0.25">
      <c r="A665" t="s">
        <v>90</v>
      </c>
      <c r="B665" t="s">
        <v>191</v>
      </c>
      <c r="C665" t="s">
        <v>77</v>
      </c>
      <c r="D665">
        <v>0</v>
      </c>
      <c r="E665">
        <v>0</v>
      </c>
      <c r="F665">
        <v>0</v>
      </c>
      <c r="G665" s="10">
        <f t="shared" si="10"/>
        <v>0</v>
      </c>
      <c r="H665" t="str">
        <f>$A665&amp;Keys!$C$54&amp;$B665&amp;Keys!$C$54&amp;$C665</f>
        <v>ID|imports|wind (is not a fuel)</v>
      </c>
    </row>
    <row r="666" spans="1:8" x14ac:dyDescent="0.25">
      <c r="A666" t="s">
        <v>90</v>
      </c>
      <c r="B666" t="s">
        <v>191</v>
      </c>
      <c r="C666" t="s">
        <v>80</v>
      </c>
      <c r="D666">
        <v>0</v>
      </c>
      <c r="E666">
        <v>0</v>
      </c>
      <c r="F666">
        <v>0</v>
      </c>
      <c r="G666" s="10">
        <f t="shared" si="10"/>
        <v>0</v>
      </c>
      <c r="H666" t="str">
        <f>$A666&amp;Keys!$C$54&amp;$B666&amp;Keys!$C$54&amp;$C666</f>
        <v>ID|imports|solar (is not a fuel)</v>
      </c>
    </row>
    <row r="667" spans="1:8" x14ac:dyDescent="0.25">
      <c r="A667" t="s">
        <v>90</v>
      </c>
      <c r="B667" t="s">
        <v>191</v>
      </c>
      <c r="C667" t="s">
        <v>82</v>
      </c>
      <c r="D667">
        <v>0</v>
      </c>
      <c r="E667">
        <v>22051400000000</v>
      </c>
      <c r="F667">
        <v>20461000000000</v>
      </c>
      <c r="G667" s="10">
        <f t="shared" si="10"/>
        <v>14170800000000</v>
      </c>
      <c r="H667" t="str">
        <f>$A667&amp;Keys!$C$54&amp;$B667&amp;Keys!$C$54&amp;$C667</f>
        <v>ID|imports|biomass</v>
      </c>
    </row>
    <row r="668" spans="1:8" x14ac:dyDescent="0.25">
      <c r="A668" t="s">
        <v>90</v>
      </c>
      <c r="B668" t="s">
        <v>191</v>
      </c>
      <c r="C668" t="s">
        <v>85</v>
      </c>
      <c r="D668">
        <v>0</v>
      </c>
      <c r="E668">
        <v>77161200000000</v>
      </c>
      <c r="F668">
        <v>76277400000000</v>
      </c>
      <c r="G668" s="10">
        <f t="shared" si="10"/>
        <v>51146200000000</v>
      </c>
      <c r="H668" t="str">
        <f>$A668&amp;Keys!$C$54&amp;$B668&amp;Keys!$C$54&amp;$C668</f>
        <v>ID|imports|petroleum gasoline</v>
      </c>
    </row>
    <row r="669" spans="1:8" x14ac:dyDescent="0.25">
      <c r="A669" t="s">
        <v>90</v>
      </c>
      <c r="B669" t="s">
        <v>191</v>
      </c>
      <c r="C669" t="s">
        <v>88</v>
      </c>
      <c r="D669">
        <v>0</v>
      </c>
      <c r="E669">
        <v>71797900000000</v>
      </c>
      <c r="F669">
        <v>72011500000000</v>
      </c>
      <c r="G669" s="10">
        <f t="shared" si="10"/>
        <v>47936466666666.664</v>
      </c>
      <c r="H669" t="str">
        <f>$A669&amp;Keys!$C$54&amp;$B669&amp;Keys!$C$54&amp;$C669</f>
        <v>ID|imports|petroleum diesel</v>
      </c>
    </row>
    <row r="670" spans="1:8" x14ac:dyDescent="0.25">
      <c r="A670" t="s">
        <v>90</v>
      </c>
      <c r="B670" t="s">
        <v>191</v>
      </c>
      <c r="C670" t="s">
        <v>91</v>
      </c>
      <c r="D670">
        <v>0</v>
      </c>
      <c r="E670">
        <v>967395000000</v>
      </c>
      <c r="F670">
        <v>900624000000</v>
      </c>
      <c r="G670" s="10">
        <f t="shared" si="10"/>
        <v>622673000000</v>
      </c>
      <c r="H670" t="str">
        <f>$A670&amp;Keys!$C$54&amp;$B670&amp;Keys!$C$54&amp;$C670</f>
        <v>ID|imports|biofuel gasoline</v>
      </c>
    </row>
    <row r="671" spans="1:8" x14ac:dyDescent="0.25">
      <c r="A671" t="s">
        <v>90</v>
      </c>
      <c r="B671" t="s">
        <v>191</v>
      </c>
      <c r="C671" t="s">
        <v>94</v>
      </c>
      <c r="D671">
        <v>0</v>
      </c>
      <c r="E671">
        <v>262361000000</v>
      </c>
      <c r="F671">
        <v>263715000000</v>
      </c>
      <c r="G671" s="10">
        <f t="shared" si="10"/>
        <v>175358666666.66666</v>
      </c>
      <c r="H671" t="str">
        <f>$A671&amp;Keys!$C$54&amp;$B671&amp;Keys!$C$54&amp;$C671</f>
        <v>ID|imports|biofuel diesel</v>
      </c>
    </row>
    <row r="672" spans="1:8" x14ac:dyDescent="0.25">
      <c r="A672" t="s">
        <v>90</v>
      </c>
      <c r="B672" t="s">
        <v>191</v>
      </c>
      <c r="C672" t="s">
        <v>97</v>
      </c>
      <c r="D672">
        <v>0</v>
      </c>
      <c r="E672">
        <v>10031100000000</v>
      </c>
      <c r="F672">
        <v>10155800000000</v>
      </c>
      <c r="G672" s="10">
        <f t="shared" si="10"/>
        <v>6728966666666.667</v>
      </c>
      <c r="H672" t="str">
        <f>$A672&amp;Keys!$C$54&amp;$B672&amp;Keys!$C$54&amp;$C672</f>
        <v>ID|imports|jet fuel or kerosene</v>
      </c>
    </row>
    <row r="673" spans="1:8" x14ac:dyDescent="0.25">
      <c r="A673" t="s">
        <v>90</v>
      </c>
      <c r="B673" t="s">
        <v>191</v>
      </c>
      <c r="C673" t="s">
        <v>100</v>
      </c>
      <c r="D673">
        <v>0</v>
      </c>
      <c r="E673">
        <v>0</v>
      </c>
      <c r="F673">
        <v>0</v>
      </c>
      <c r="G673" s="10">
        <f t="shared" si="10"/>
        <v>0</v>
      </c>
      <c r="H673" t="str">
        <f>$A673&amp;Keys!$C$54&amp;$B673&amp;Keys!$C$54&amp;$C673</f>
        <v>ID|imports|heat (not used in this variable)</v>
      </c>
    </row>
    <row r="674" spans="1:8" x14ac:dyDescent="0.25">
      <c r="A674" t="s">
        <v>90</v>
      </c>
      <c r="B674" t="s">
        <v>191</v>
      </c>
      <c r="C674" t="s">
        <v>103</v>
      </c>
      <c r="D674">
        <v>0</v>
      </c>
      <c r="E674">
        <v>0</v>
      </c>
      <c r="F674">
        <v>0</v>
      </c>
      <c r="G674" s="10">
        <f t="shared" si="10"/>
        <v>0</v>
      </c>
      <c r="H674" t="str">
        <f>$A674&amp;Keys!$C$54&amp;$B674&amp;Keys!$C$54&amp;$C674</f>
        <v>ID|imports|geothermal (is not a fuel)</v>
      </c>
    </row>
    <row r="675" spans="1:8" x14ac:dyDescent="0.25">
      <c r="A675" t="s">
        <v>90</v>
      </c>
      <c r="B675" t="s">
        <v>191</v>
      </c>
      <c r="C675" t="s">
        <v>106</v>
      </c>
      <c r="D675">
        <v>0</v>
      </c>
      <c r="E675">
        <v>0</v>
      </c>
      <c r="F675">
        <v>0</v>
      </c>
      <c r="G675" s="10">
        <f t="shared" si="10"/>
        <v>0</v>
      </c>
      <c r="H675" t="str">
        <f>$A675&amp;Keys!$C$54&amp;$B675&amp;Keys!$C$54&amp;$C675</f>
        <v>ID|imports|lignite</v>
      </c>
    </row>
    <row r="676" spans="1:8" x14ac:dyDescent="0.25">
      <c r="A676" t="s">
        <v>90</v>
      </c>
      <c r="B676" t="s">
        <v>191</v>
      </c>
      <c r="C676" t="s">
        <v>109</v>
      </c>
      <c r="D676">
        <v>0</v>
      </c>
      <c r="E676">
        <v>252800000000</v>
      </c>
      <c r="F676">
        <v>254806000000</v>
      </c>
      <c r="G676" s="10">
        <f t="shared" si="10"/>
        <v>169202000000</v>
      </c>
      <c r="H676" t="str">
        <f>$A676&amp;Keys!$C$54&amp;$B676&amp;Keys!$C$54&amp;$C676</f>
        <v>ID|imports|crude oil</v>
      </c>
    </row>
    <row r="677" spans="1:8" x14ac:dyDescent="0.25">
      <c r="A677" t="s">
        <v>90</v>
      </c>
      <c r="B677" t="s">
        <v>191</v>
      </c>
      <c r="C677" t="s">
        <v>113</v>
      </c>
      <c r="D677">
        <v>0</v>
      </c>
      <c r="E677">
        <v>5800920000000</v>
      </c>
      <c r="F677">
        <v>5921710000000</v>
      </c>
      <c r="G677" s="10">
        <f t="shared" si="10"/>
        <v>3907543333333.3335</v>
      </c>
      <c r="H677" t="str">
        <f>$A677&amp;Keys!$C$54&amp;$B677&amp;Keys!$C$54&amp;$C677</f>
        <v>ID|imports|heavy fuel oil</v>
      </c>
    </row>
    <row r="678" spans="1:8" x14ac:dyDescent="0.25">
      <c r="A678" t="s">
        <v>90</v>
      </c>
      <c r="B678" t="s">
        <v>191</v>
      </c>
      <c r="C678" t="s">
        <v>117</v>
      </c>
      <c r="D678">
        <v>0</v>
      </c>
      <c r="E678">
        <v>7944660000000</v>
      </c>
      <c r="F678">
        <v>7805170000000</v>
      </c>
      <c r="G678" s="10">
        <f t="shared" si="10"/>
        <v>5249943333333.333</v>
      </c>
      <c r="H678" t="str">
        <f>$A678&amp;Keys!$C$54&amp;$B678&amp;Keys!$C$54&amp;$C678</f>
        <v>ID|imports|LPG propane or butane</v>
      </c>
    </row>
    <row r="679" spans="1:8" x14ac:dyDescent="0.25">
      <c r="A679" t="s">
        <v>90</v>
      </c>
      <c r="B679" t="s">
        <v>191</v>
      </c>
      <c r="C679" t="s">
        <v>120</v>
      </c>
      <c r="D679">
        <v>0</v>
      </c>
      <c r="E679">
        <v>0</v>
      </c>
      <c r="F679">
        <v>0</v>
      </c>
      <c r="G679" s="10">
        <f t="shared" si="10"/>
        <v>0</v>
      </c>
      <c r="H679" t="str">
        <f>$A679&amp;Keys!$C$54&amp;$B679&amp;Keys!$C$54&amp;$C679</f>
        <v>ID|imports|municipal solid waste</v>
      </c>
    </row>
    <row r="680" spans="1:8" x14ac:dyDescent="0.25">
      <c r="A680" t="s">
        <v>90</v>
      </c>
      <c r="B680" t="s">
        <v>191</v>
      </c>
      <c r="C680" t="s">
        <v>123</v>
      </c>
      <c r="D680">
        <v>0</v>
      </c>
      <c r="E680">
        <v>0</v>
      </c>
      <c r="F680">
        <v>0</v>
      </c>
      <c r="G680" s="10">
        <f t="shared" si="10"/>
        <v>0</v>
      </c>
      <c r="H680" t="str">
        <f>$A680&amp;Keys!$C$54&amp;$B680&amp;Keys!$C$54&amp;$C680</f>
        <v>ID|imports|hydrogen</v>
      </c>
    </row>
    <row r="681" spans="1:8" x14ac:dyDescent="0.25">
      <c r="A681" t="s">
        <v>90</v>
      </c>
      <c r="B681" t="s">
        <v>193</v>
      </c>
      <c r="C681" t="s">
        <v>60</v>
      </c>
      <c r="D681">
        <v>0</v>
      </c>
      <c r="E681">
        <v>0</v>
      </c>
      <c r="F681">
        <v>0</v>
      </c>
      <c r="G681" s="10">
        <f t="shared" si="10"/>
        <v>0</v>
      </c>
      <c r="H681" t="str">
        <f>$A681&amp;Keys!$C$54&amp;$B681&amp;Keys!$C$54&amp;$C681</f>
        <v>ID|exports|electricity (not used in this variable)</v>
      </c>
    </row>
    <row r="682" spans="1:8" x14ac:dyDescent="0.25">
      <c r="A682" t="s">
        <v>90</v>
      </c>
      <c r="B682" t="s">
        <v>193</v>
      </c>
      <c r="C682" t="s">
        <v>64</v>
      </c>
      <c r="D682">
        <v>0</v>
      </c>
      <c r="E682">
        <v>0</v>
      </c>
      <c r="F682">
        <v>0</v>
      </c>
      <c r="G682" s="10">
        <f t="shared" si="10"/>
        <v>0</v>
      </c>
      <c r="H682" t="str">
        <f>$A682&amp;Keys!$C$54&amp;$B682&amp;Keys!$C$54&amp;$C682</f>
        <v>ID|exports|hard coal</v>
      </c>
    </row>
    <row r="683" spans="1:8" x14ac:dyDescent="0.25">
      <c r="A683" t="s">
        <v>90</v>
      </c>
      <c r="B683" t="s">
        <v>193</v>
      </c>
      <c r="C683" t="s">
        <v>68</v>
      </c>
      <c r="D683">
        <v>969085000000000</v>
      </c>
      <c r="E683">
        <v>969085000000000</v>
      </c>
      <c r="F683">
        <v>971728000000000</v>
      </c>
      <c r="G683" s="10">
        <f t="shared" si="10"/>
        <v>969966000000000</v>
      </c>
      <c r="H683" t="str">
        <f>$A683&amp;Keys!$C$54&amp;$B683&amp;Keys!$C$54&amp;$C683</f>
        <v>ID|exports|natural gas</v>
      </c>
    </row>
    <row r="684" spans="1:8" x14ac:dyDescent="0.25">
      <c r="A684" t="s">
        <v>90</v>
      </c>
      <c r="B684" t="s">
        <v>193</v>
      </c>
      <c r="C684" t="s">
        <v>71</v>
      </c>
      <c r="D684">
        <v>0</v>
      </c>
      <c r="E684">
        <v>0</v>
      </c>
      <c r="F684">
        <v>0</v>
      </c>
      <c r="G684" s="10">
        <f t="shared" si="10"/>
        <v>0</v>
      </c>
      <c r="H684" t="str">
        <f>$A684&amp;Keys!$C$54&amp;$B684&amp;Keys!$C$54&amp;$C684</f>
        <v>ID|exports|nuclear</v>
      </c>
    </row>
    <row r="685" spans="1:8" x14ac:dyDescent="0.25">
      <c r="A685" t="s">
        <v>90</v>
      </c>
      <c r="B685" t="s">
        <v>193</v>
      </c>
      <c r="C685" t="s">
        <v>74</v>
      </c>
      <c r="D685">
        <v>0</v>
      </c>
      <c r="E685">
        <v>0</v>
      </c>
      <c r="F685">
        <v>0</v>
      </c>
      <c r="G685" s="10">
        <f t="shared" si="10"/>
        <v>0</v>
      </c>
      <c r="H685" t="str">
        <f>$A685&amp;Keys!$C$54&amp;$B685&amp;Keys!$C$54&amp;$C685</f>
        <v>ID|exports|hydro (is not a fuel)</v>
      </c>
    </row>
    <row r="686" spans="1:8" x14ac:dyDescent="0.25">
      <c r="A686" t="s">
        <v>90</v>
      </c>
      <c r="B686" t="s">
        <v>193</v>
      </c>
      <c r="C686" t="s">
        <v>77</v>
      </c>
      <c r="D686">
        <v>0</v>
      </c>
      <c r="E686">
        <v>0</v>
      </c>
      <c r="F686">
        <v>0</v>
      </c>
      <c r="G686" s="10">
        <f t="shared" si="10"/>
        <v>0</v>
      </c>
      <c r="H686" t="str">
        <f>$A686&amp;Keys!$C$54&amp;$B686&amp;Keys!$C$54&amp;$C686</f>
        <v>ID|exports|wind (is not a fuel)</v>
      </c>
    </row>
    <row r="687" spans="1:8" x14ac:dyDescent="0.25">
      <c r="A687" t="s">
        <v>90</v>
      </c>
      <c r="B687" t="s">
        <v>193</v>
      </c>
      <c r="C687" t="s">
        <v>80</v>
      </c>
      <c r="D687">
        <v>0</v>
      </c>
      <c r="E687">
        <v>0</v>
      </c>
      <c r="F687">
        <v>0</v>
      </c>
      <c r="G687" s="10">
        <f t="shared" si="10"/>
        <v>0</v>
      </c>
      <c r="H687" t="str">
        <f>$A687&amp;Keys!$C$54&amp;$B687&amp;Keys!$C$54&amp;$C687</f>
        <v>ID|exports|solar (is not a fuel)</v>
      </c>
    </row>
    <row r="688" spans="1:8" x14ac:dyDescent="0.25">
      <c r="A688" t="s">
        <v>90</v>
      </c>
      <c r="B688" t="s">
        <v>193</v>
      </c>
      <c r="C688" t="s">
        <v>82</v>
      </c>
      <c r="D688">
        <v>0</v>
      </c>
      <c r="E688">
        <v>0</v>
      </c>
      <c r="F688">
        <v>0</v>
      </c>
      <c r="G688" s="10">
        <f t="shared" si="10"/>
        <v>0</v>
      </c>
      <c r="H688" t="str">
        <f>$A688&amp;Keys!$C$54&amp;$B688&amp;Keys!$C$54&amp;$C688</f>
        <v>ID|exports|biomass</v>
      </c>
    </row>
    <row r="689" spans="1:8" x14ac:dyDescent="0.25">
      <c r="A689" t="s">
        <v>90</v>
      </c>
      <c r="B689" t="s">
        <v>193</v>
      </c>
      <c r="C689" t="s">
        <v>85</v>
      </c>
      <c r="D689">
        <v>0</v>
      </c>
      <c r="E689">
        <v>0</v>
      </c>
      <c r="F689">
        <v>0</v>
      </c>
      <c r="G689" s="10">
        <f t="shared" si="10"/>
        <v>0</v>
      </c>
      <c r="H689" t="str">
        <f>$A689&amp;Keys!$C$54&amp;$B689&amp;Keys!$C$54&amp;$C689</f>
        <v>ID|exports|petroleum gasoline</v>
      </c>
    </row>
    <row r="690" spans="1:8" x14ac:dyDescent="0.25">
      <c r="A690" t="s">
        <v>90</v>
      </c>
      <c r="B690" t="s">
        <v>193</v>
      </c>
      <c r="C690" t="s">
        <v>88</v>
      </c>
      <c r="D690">
        <v>0</v>
      </c>
      <c r="E690">
        <v>0</v>
      </c>
      <c r="F690">
        <v>0</v>
      </c>
      <c r="G690" s="10">
        <f t="shared" si="10"/>
        <v>0</v>
      </c>
      <c r="H690" t="str">
        <f>$A690&amp;Keys!$C$54&amp;$B690&amp;Keys!$C$54&amp;$C690</f>
        <v>ID|exports|petroleum diesel</v>
      </c>
    </row>
    <row r="691" spans="1:8" x14ac:dyDescent="0.25">
      <c r="A691" t="s">
        <v>90</v>
      </c>
      <c r="B691" t="s">
        <v>193</v>
      </c>
      <c r="C691" t="s">
        <v>91</v>
      </c>
      <c r="D691">
        <v>0</v>
      </c>
      <c r="E691">
        <v>0</v>
      </c>
      <c r="F691">
        <v>0</v>
      </c>
      <c r="G691" s="10">
        <f t="shared" si="10"/>
        <v>0</v>
      </c>
      <c r="H691" t="str">
        <f>$A691&amp;Keys!$C$54&amp;$B691&amp;Keys!$C$54&amp;$C691</f>
        <v>ID|exports|biofuel gasoline</v>
      </c>
    </row>
    <row r="692" spans="1:8" x14ac:dyDescent="0.25">
      <c r="A692" t="s">
        <v>90</v>
      </c>
      <c r="B692" t="s">
        <v>193</v>
      </c>
      <c r="C692" t="s">
        <v>94</v>
      </c>
      <c r="D692">
        <v>0</v>
      </c>
      <c r="E692">
        <v>0</v>
      </c>
      <c r="F692">
        <v>0</v>
      </c>
      <c r="G692" s="10">
        <f t="shared" si="10"/>
        <v>0</v>
      </c>
      <c r="H692" t="str">
        <f>$A692&amp;Keys!$C$54&amp;$B692&amp;Keys!$C$54&amp;$C692</f>
        <v>ID|exports|biofuel diesel</v>
      </c>
    </row>
    <row r="693" spans="1:8" x14ac:dyDescent="0.25">
      <c r="A693" t="s">
        <v>90</v>
      </c>
      <c r="B693" t="s">
        <v>193</v>
      </c>
      <c r="C693" t="s">
        <v>97</v>
      </c>
      <c r="D693">
        <v>0</v>
      </c>
      <c r="E693">
        <v>0</v>
      </c>
      <c r="F693">
        <v>0</v>
      </c>
      <c r="G693" s="10">
        <f t="shared" si="10"/>
        <v>0</v>
      </c>
      <c r="H693" t="str">
        <f>$A693&amp;Keys!$C$54&amp;$B693&amp;Keys!$C$54&amp;$C693</f>
        <v>ID|exports|jet fuel or kerosene</v>
      </c>
    </row>
    <row r="694" spans="1:8" x14ac:dyDescent="0.25">
      <c r="A694" t="s">
        <v>90</v>
      </c>
      <c r="B694" t="s">
        <v>193</v>
      </c>
      <c r="C694" t="s">
        <v>100</v>
      </c>
      <c r="D694">
        <v>0</v>
      </c>
      <c r="E694">
        <v>0</v>
      </c>
      <c r="F694">
        <v>0</v>
      </c>
      <c r="G694" s="10">
        <f t="shared" si="10"/>
        <v>0</v>
      </c>
      <c r="H694" t="str">
        <f>$A694&amp;Keys!$C$54&amp;$B694&amp;Keys!$C$54&amp;$C694</f>
        <v>ID|exports|heat (not used in this variable)</v>
      </c>
    </row>
    <row r="695" spans="1:8" x14ac:dyDescent="0.25">
      <c r="A695" t="s">
        <v>90</v>
      </c>
      <c r="B695" t="s">
        <v>193</v>
      </c>
      <c r="C695" t="s">
        <v>103</v>
      </c>
      <c r="D695">
        <v>0</v>
      </c>
      <c r="E695">
        <v>0</v>
      </c>
      <c r="F695">
        <v>0</v>
      </c>
      <c r="G695" s="10">
        <f t="shared" si="10"/>
        <v>0</v>
      </c>
      <c r="H695" t="str">
        <f>$A695&amp;Keys!$C$54&amp;$B695&amp;Keys!$C$54&amp;$C695</f>
        <v>ID|exports|geothermal (is not a fuel)</v>
      </c>
    </row>
    <row r="696" spans="1:8" x14ac:dyDescent="0.25">
      <c r="A696" t="s">
        <v>90</v>
      </c>
      <c r="B696" t="s">
        <v>193</v>
      </c>
      <c r="C696" t="s">
        <v>106</v>
      </c>
      <c r="D696">
        <v>0</v>
      </c>
      <c r="E696">
        <v>0</v>
      </c>
      <c r="F696">
        <v>0</v>
      </c>
      <c r="G696" s="10">
        <f t="shared" si="10"/>
        <v>0</v>
      </c>
      <c r="H696" t="str">
        <f>$A696&amp;Keys!$C$54&amp;$B696&amp;Keys!$C$54&amp;$C696</f>
        <v>ID|exports|lignite</v>
      </c>
    </row>
    <row r="697" spans="1:8" x14ac:dyDescent="0.25">
      <c r="A697" t="s">
        <v>90</v>
      </c>
      <c r="B697" t="s">
        <v>193</v>
      </c>
      <c r="C697" t="s">
        <v>109</v>
      </c>
      <c r="D697">
        <v>0</v>
      </c>
      <c r="E697">
        <v>0</v>
      </c>
      <c r="F697">
        <v>0</v>
      </c>
      <c r="G697" s="10">
        <f t="shared" si="10"/>
        <v>0</v>
      </c>
      <c r="H697" t="str">
        <f>$A697&amp;Keys!$C$54&amp;$B697&amp;Keys!$C$54&amp;$C697</f>
        <v>ID|exports|crude oil</v>
      </c>
    </row>
    <row r="698" spans="1:8" x14ac:dyDescent="0.25">
      <c r="A698" t="s">
        <v>90</v>
      </c>
      <c r="B698" t="s">
        <v>193</v>
      </c>
      <c r="C698" t="s">
        <v>113</v>
      </c>
      <c r="D698">
        <v>0</v>
      </c>
      <c r="E698">
        <v>0</v>
      </c>
      <c r="F698">
        <v>0</v>
      </c>
      <c r="G698" s="10">
        <f t="shared" si="10"/>
        <v>0</v>
      </c>
      <c r="H698" t="str">
        <f>$A698&amp;Keys!$C$54&amp;$B698&amp;Keys!$C$54&amp;$C698</f>
        <v>ID|exports|heavy fuel oil</v>
      </c>
    </row>
    <row r="699" spans="1:8" x14ac:dyDescent="0.25">
      <c r="A699" t="s">
        <v>90</v>
      </c>
      <c r="B699" t="s">
        <v>193</v>
      </c>
      <c r="C699" t="s">
        <v>117</v>
      </c>
      <c r="D699">
        <v>0</v>
      </c>
      <c r="E699">
        <v>0</v>
      </c>
      <c r="F699">
        <v>0</v>
      </c>
      <c r="G699" s="10">
        <f t="shared" si="10"/>
        <v>0</v>
      </c>
      <c r="H699" t="str">
        <f>$A699&amp;Keys!$C$54&amp;$B699&amp;Keys!$C$54&amp;$C699</f>
        <v>ID|exports|LPG propane or butane</v>
      </c>
    </row>
    <row r="700" spans="1:8" x14ac:dyDescent="0.25">
      <c r="A700" t="s">
        <v>90</v>
      </c>
      <c r="B700" t="s">
        <v>193</v>
      </c>
      <c r="C700" t="s">
        <v>120</v>
      </c>
      <c r="D700">
        <v>0</v>
      </c>
      <c r="E700">
        <v>0</v>
      </c>
      <c r="F700">
        <v>0</v>
      </c>
      <c r="G700" s="10">
        <f t="shared" si="10"/>
        <v>0</v>
      </c>
      <c r="H700" t="str">
        <f>$A700&amp;Keys!$C$54&amp;$B700&amp;Keys!$C$54&amp;$C700</f>
        <v>ID|exports|municipal solid waste</v>
      </c>
    </row>
    <row r="701" spans="1:8" x14ac:dyDescent="0.25">
      <c r="A701" t="s">
        <v>90</v>
      </c>
      <c r="B701" t="s">
        <v>193</v>
      </c>
      <c r="C701" t="s">
        <v>123</v>
      </c>
      <c r="D701">
        <v>0</v>
      </c>
      <c r="E701">
        <v>0</v>
      </c>
      <c r="F701">
        <v>0</v>
      </c>
      <c r="G701" s="10">
        <f t="shared" si="10"/>
        <v>0</v>
      </c>
      <c r="H701" t="str">
        <f>$A701&amp;Keys!$C$54&amp;$B701&amp;Keys!$C$54&amp;$C701</f>
        <v>ID|exports|hydrogen</v>
      </c>
    </row>
    <row r="702" spans="1:8" x14ac:dyDescent="0.25">
      <c r="A702" t="s">
        <v>93</v>
      </c>
      <c r="B702" t="s">
        <v>188</v>
      </c>
      <c r="C702" t="s">
        <v>60</v>
      </c>
      <c r="D702">
        <v>0</v>
      </c>
      <c r="E702">
        <v>0</v>
      </c>
      <c r="F702">
        <v>0</v>
      </c>
      <c r="G702" s="10">
        <f t="shared" si="10"/>
        <v>0</v>
      </c>
      <c r="H702" t="str">
        <f>$A702&amp;Keys!$C$54&amp;$B702&amp;Keys!$C$54&amp;$C702</f>
        <v>IL|production|electricity (not used in this variable)</v>
      </c>
    </row>
    <row r="703" spans="1:8" x14ac:dyDescent="0.25">
      <c r="A703" t="s">
        <v>93</v>
      </c>
      <c r="B703" t="s">
        <v>188</v>
      </c>
      <c r="C703" t="s">
        <v>64</v>
      </c>
      <c r="D703">
        <v>701721000000000</v>
      </c>
      <c r="E703">
        <v>701721000000000</v>
      </c>
      <c r="F703">
        <v>697947000000000</v>
      </c>
      <c r="G703" s="10">
        <f t="shared" si="10"/>
        <v>700463000000000</v>
      </c>
      <c r="H703" t="str">
        <f>$A703&amp;Keys!$C$54&amp;$B703&amp;Keys!$C$54&amp;$C703</f>
        <v>IL|production|hard coal</v>
      </c>
    </row>
    <row r="704" spans="1:8" x14ac:dyDescent="0.25">
      <c r="A704" t="s">
        <v>93</v>
      </c>
      <c r="B704" t="s">
        <v>188</v>
      </c>
      <c r="C704" t="s">
        <v>68</v>
      </c>
      <c r="D704">
        <v>3281070000000</v>
      </c>
      <c r="E704">
        <v>3281070000000</v>
      </c>
      <c r="F704">
        <v>3291260000000</v>
      </c>
      <c r="G704" s="10">
        <f t="shared" si="10"/>
        <v>3284466666666.6665</v>
      </c>
      <c r="H704" t="str">
        <f>$A704&amp;Keys!$C$54&amp;$B704&amp;Keys!$C$54&amp;$C704</f>
        <v>IL|production|natural gas</v>
      </c>
    </row>
    <row r="705" spans="1:8" x14ac:dyDescent="0.25">
      <c r="A705" t="s">
        <v>93</v>
      </c>
      <c r="B705" t="s">
        <v>188</v>
      </c>
      <c r="C705" t="s">
        <v>71</v>
      </c>
      <c r="D705">
        <v>0</v>
      </c>
      <c r="E705">
        <v>0</v>
      </c>
      <c r="F705">
        <v>0</v>
      </c>
      <c r="G705" s="10">
        <f t="shared" si="10"/>
        <v>0</v>
      </c>
      <c r="H705" t="str">
        <f>$A705&amp;Keys!$C$54&amp;$B705&amp;Keys!$C$54&amp;$C705</f>
        <v>IL|production|nuclear</v>
      </c>
    </row>
    <row r="706" spans="1:8" x14ac:dyDescent="0.25">
      <c r="A706" t="s">
        <v>93</v>
      </c>
      <c r="B706" t="s">
        <v>188</v>
      </c>
      <c r="C706" t="s">
        <v>74</v>
      </c>
      <c r="D706">
        <v>0</v>
      </c>
      <c r="E706">
        <v>0</v>
      </c>
      <c r="F706">
        <v>0</v>
      </c>
      <c r="G706" s="10">
        <f t="shared" si="10"/>
        <v>0</v>
      </c>
      <c r="H706" t="str">
        <f>$A706&amp;Keys!$C$54&amp;$B706&amp;Keys!$C$54&amp;$C706</f>
        <v>IL|production|hydro (is not a fuel)</v>
      </c>
    </row>
    <row r="707" spans="1:8" x14ac:dyDescent="0.25">
      <c r="A707" t="s">
        <v>93</v>
      </c>
      <c r="B707" t="s">
        <v>188</v>
      </c>
      <c r="C707" t="s">
        <v>77</v>
      </c>
      <c r="D707">
        <v>0</v>
      </c>
      <c r="E707">
        <v>0</v>
      </c>
      <c r="F707">
        <v>0</v>
      </c>
      <c r="G707" s="10">
        <f t="shared" si="10"/>
        <v>0</v>
      </c>
      <c r="H707" t="str">
        <f>$A707&amp;Keys!$C$54&amp;$B707&amp;Keys!$C$54&amp;$C707</f>
        <v>IL|production|wind (is not a fuel)</v>
      </c>
    </row>
    <row r="708" spans="1:8" x14ac:dyDescent="0.25">
      <c r="A708" t="s">
        <v>93</v>
      </c>
      <c r="B708" t="s">
        <v>188</v>
      </c>
      <c r="C708" t="s">
        <v>80</v>
      </c>
      <c r="D708">
        <v>0</v>
      </c>
      <c r="E708">
        <v>0</v>
      </c>
      <c r="F708">
        <v>0</v>
      </c>
      <c r="G708" s="10">
        <f t="shared" si="10"/>
        <v>0</v>
      </c>
      <c r="H708" t="str">
        <f>$A708&amp;Keys!$C$54&amp;$B708&amp;Keys!$C$54&amp;$C708</f>
        <v>IL|production|solar (is not a fuel)</v>
      </c>
    </row>
    <row r="709" spans="1:8" x14ac:dyDescent="0.25">
      <c r="A709" t="s">
        <v>93</v>
      </c>
      <c r="B709" t="s">
        <v>188</v>
      </c>
      <c r="C709" t="s">
        <v>82</v>
      </c>
      <c r="D709">
        <v>0</v>
      </c>
      <c r="E709">
        <v>0</v>
      </c>
      <c r="F709">
        <v>0</v>
      </c>
      <c r="G709" s="10">
        <f t="shared" si="10"/>
        <v>0</v>
      </c>
      <c r="H709" t="str">
        <f>$A709&amp;Keys!$C$54&amp;$B709&amp;Keys!$C$54&amp;$C709</f>
        <v>IL|production|biomass</v>
      </c>
    </row>
    <row r="710" spans="1:8" x14ac:dyDescent="0.25">
      <c r="A710" t="s">
        <v>93</v>
      </c>
      <c r="B710" t="s">
        <v>188</v>
      </c>
      <c r="C710" t="s">
        <v>85</v>
      </c>
      <c r="D710">
        <v>1019050000000000</v>
      </c>
      <c r="E710">
        <v>1019050000000000</v>
      </c>
      <c r="F710">
        <v>994348000000000</v>
      </c>
      <c r="G710" s="10">
        <f t="shared" si="10"/>
        <v>1010816000000000</v>
      </c>
      <c r="H710" t="str">
        <f>$A710&amp;Keys!$C$54&amp;$B710&amp;Keys!$C$54&amp;$C710</f>
        <v>IL|production|petroleum gasoline</v>
      </c>
    </row>
    <row r="711" spans="1:8" x14ac:dyDescent="0.25">
      <c r="A711" t="s">
        <v>93</v>
      </c>
      <c r="B711" t="s">
        <v>188</v>
      </c>
      <c r="C711" t="s">
        <v>88</v>
      </c>
      <c r="D711">
        <v>602782000000000</v>
      </c>
      <c r="E711">
        <v>602782000000000</v>
      </c>
      <c r="F711">
        <v>588172000000000</v>
      </c>
      <c r="G711" s="10">
        <f t="shared" si="10"/>
        <v>597912000000000</v>
      </c>
      <c r="H711" t="str">
        <f>$A711&amp;Keys!$C$54&amp;$B711&amp;Keys!$C$54&amp;$C711</f>
        <v>IL|production|petroleum diesel</v>
      </c>
    </row>
    <row r="712" spans="1:8" x14ac:dyDescent="0.25">
      <c r="A712" t="s">
        <v>93</v>
      </c>
      <c r="B712" t="s">
        <v>188</v>
      </c>
      <c r="C712" t="s">
        <v>91</v>
      </c>
      <c r="D712">
        <v>136200000000000</v>
      </c>
      <c r="E712">
        <v>136200000000000</v>
      </c>
      <c r="F712">
        <v>136584000000000</v>
      </c>
      <c r="G712" s="10">
        <f t="shared" si="10"/>
        <v>136328000000000</v>
      </c>
      <c r="H712" t="str">
        <f>$A712&amp;Keys!$C$54&amp;$B712&amp;Keys!$C$54&amp;$C712</f>
        <v>IL|production|biofuel gasoline</v>
      </c>
    </row>
    <row r="713" spans="1:8" x14ac:dyDescent="0.25">
      <c r="A713" t="s">
        <v>93</v>
      </c>
      <c r="B713" t="s">
        <v>188</v>
      </c>
      <c r="C713" t="s">
        <v>94</v>
      </c>
      <c r="D713">
        <v>62174600000000</v>
      </c>
      <c r="E713">
        <v>62174600000000</v>
      </c>
      <c r="F713">
        <v>73854900000000</v>
      </c>
      <c r="G713" s="10">
        <f t="shared" ref="G713:G776" si="11">AVERAGE($D713:$F713)</f>
        <v>66068033333333.336</v>
      </c>
      <c r="H713" t="str">
        <f>$A713&amp;Keys!$C$54&amp;$B713&amp;Keys!$C$54&amp;$C713</f>
        <v>IL|production|biofuel diesel</v>
      </c>
    </row>
    <row r="714" spans="1:8" x14ac:dyDescent="0.25">
      <c r="A714" t="s">
        <v>93</v>
      </c>
      <c r="B714" t="s">
        <v>188</v>
      </c>
      <c r="C714" t="s">
        <v>97</v>
      </c>
      <c r="D714">
        <v>214578000000000</v>
      </c>
      <c r="E714">
        <v>214578000000000</v>
      </c>
      <c r="F714">
        <v>209377000000000</v>
      </c>
      <c r="G714" s="10">
        <f t="shared" si="11"/>
        <v>212844333333333.34</v>
      </c>
      <c r="H714" t="str">
        <f>$A714&amp;Keys!$C$54&amp;$B714&amp;Keys!$C$54&amp;$C714</f>
        <v>IL|production|jet fuel or kerosene</v>
      </c>
    </row>
    <row r="715" spans="1:8" x14ac:dyDescent="0.25">
      <c r="A715" t="s">
        <v>93</v>
      </c>
      <c r="B715" t="s">
        <v>188</v>
      </c>
      <c r="C715" t="s">
        <v>100</v>
      </c>
      <c r="D715">
        <v>0</v>
      </c>
      <c r="E715">
        <v>0</v>
      </c>
      <c r="F715">
        <v>0</v>
      </c>
      <c r="G715" s="10">
        <f t="shared" si="11"/>
        <v>0</v>
      </c>
      <c r="H715" t="str">
        <f>$A715&amp;Keys!$C$54&amp;$B715&amp;Keys!$C$54&amp;$C715</f>
        <v>IL|production|heat (not used in this variable)</v>
      </c>
    </row>
    <row r="716" spans="1:8" x14ac:dyDescent="0.25">
      <c r="A716" t="s">
        <v>93</v>
      </c>
      <c r="B716" t="s">
        <v>188</v>
      </c>
      <c r="C716" t="s">
        <v>103</v>
      </c>
      <c r="D716">
        <v>0</v>
      </c>
      <c r="E716">
        <v>0</v>
      </c>
      <c r="F716">
        <v>0</v>
      </c>
      <c r="G716" s="10">
        <f t="shared" si="11"/>
        <v>0</v>
      </c>
      <c r="H716" t="str">
        <f>$A716&amp;Keys!$C$54&amp;$B716&amp;Keys!$C$54&amp;$C716</f>
        <v>IL|production|geothermal (is not a fuel)</v>
      </c>
    </row>
    <row r="717" spans="1:8" x14ac:dyDescent="0.25">
      <c r="A717" t="s">
        <v>93</v>
      </c>
      <c r="B717" t="s">
        <v>188</v>
      </c>
      <c r="C717" t="s">
        <v>106</v>
      </c>
      <c r="D717">
        <v>0</v>
      </c>
      <c r="E717">
        <v>0</v>
      </c>
      <c r="F717">
        <v>0</v>
      </c>
      <c r="G717" s="10">
        <f t="shared" si="11"/>
        <v>0</v>
      </c>
      <c r="H717" t="str">
        <f>$A717&amp;Keys!$C$54&amp;$B717&amp;Keys!$C$54&amp;$C717</f>
        <v>IL|production|lignite</v>
      </c>
    </row>
    <row r="718" spans="1:8" x14ac:dyDescent="0.25">
      <c r="A718" t="s">
        <v>93</v>
      </c>
      <c r="B718" t="s">
        <v>188</v>
      </c>
      <c r="C718" t="s">
        <v>109</v>
      </c>
      <c r="D718">
        <v>40431800000000</v>
      </c>
      <c r="E718">
        <v>40431800000000</v>
      </c>
      <c r="F718">
        <v>36740700000000</v>
      </c>
      <c r="G718" s="10">
        <f t="shared" si="11"/>
        <v>39201433333333.336</v>
      </c>
      <c r="H718" t="str">
        <f>$A718&amp;Keys!$C$54&amp;$B718&amp;Keys!$C$54&amp;$C718</f>
        <v>IL|production|crude oil</v>
      </c>
    </row>
    <row r="719" spans="1:8" x14ac:dyDescent="0.25">
      <c r="A719" t="s">
        <v>93</v>
      </c>
      <c r="B719" t="s">
        <v>188</v>
      </c>
      <c r="C719" t="s">
        <v>113</v>
      </c>
      <c r="D719">
        <v>41682500000000</v>
      </c>
      <c r="E719">
        <v>41682500000000</v>
      </c>
      <c r="F719">
        <v>40672200000000</v>
      </c>
      <c r="G719" s="10">
        <f t="shared" si="11"/>
        <v>41345733333333.336</v>
      </c>
      <c r="H719" t="str">
        <f>$A719&amp;Keys!$C$54&amp;$B719&amp;Keys!$C$54&amp;$C719</f>
        <v>IL|production|heavy fuel oil</v>
      </c>
    </row>
    <row r="720" spans="1:8" x14ac:dyDescent="0.25">
      <c r="A720" t="s">
        <v>93</v>
      </c>
      <c r="B720" t="s">
        <v>188</v>
      </c>
      <c r="C720" t="s">
        <v>117</v>
      </c>
      <c r="D720">
        <v>401109000000</v>
      </c>
      <c r="E720">
        <v>401109000000</v>
      </c>
      <c r="F720">
        <v>409626000000</v>
      </c>
      <c r="G720" s="10">
        <f t="shared" si="11"/>
        <v>403948000000</v>
      </c>
      <c r="H720" t="str">
        <f>$A720&amp;Keys!$C$54&amp;$B720&amp;Keys!$C$54&amp;$C720</f>
        <v>IL|production|LPG propane or butane</v>
      </c>
    </row>
    <row r="721" spans="1:8" x14ac:dyDescent="0.25">
      <c r="A721" t="s">
        <v>93</v>
      </c>
      <c r="B721" t="s">
        <v>188</v>
      </c>
      <c r="C721" t="s">
        <v>120</v>
      </c>
      <c r="D721">
        <v>0</v>
      </c>
      <c r="E721">
        <v>0</v>
      </c>
      <c r="F721">
        <v>0</v>
      </c>
      <c r="G721" s="10">
        <f t="shared" si="11"/>
        <v>0</v>
      </c>
      <c r="H721" t="str">
        <f>$A721&amp;Keys!$C$54&amp;$B721&amp;Keys!$C$54&amp;$C721</f>
        <v>IL|production|municipal solid waste</v>
      </c>
    </row>
    <row r="722" spans="1:8" x14ac:dyDescent="0.25">
      <c r="A722" t="s">
        <v>93</v>
      </c>
      <c r="B722" t="s">
        <v>188</v>
      </c>
      <c r="C722" t="s">
        <v>123</v>
      </c>
      <c r="D722">
        <v>21708400000000</v>
      </c>
      <c r="E722">
        <v>21708400000000</v>
      </c>
      <c r="F722">
        <v>20616300000000</v>
      </c>
      <c r="G722" s="10">
        <f t="shared" si="11"/>
        <v>21344366666666.668</v>
      </c>
      <c r="H722" t="str">
        <f>$A722&amp;Keys!$C$54&amp;$B722&amp;Keys!$C$54&amp;$C722</f>
        <v>IL|production|hydrogen</v>
      </c>
    </row>
    <row r="723" spans="1:8" x14ac:dyDescent="0.25">
      <c r="A723" t="s">
        <v>93</v>
      </c>
      <c r="B723" t="s">
        <v>191</v>
      </c>
      <c r="C723" t="s">
        <v>60</v>
      </c>
      <c r="D723">
        <v>0</v>
      </c>
      <c r="E723">
        <v>0</v>
      </c>
      <c r="F723">
        <v>0</v>
      </c>
      <c r="G723" s="10">
        <f t="shared" si="11"/>
        <v>0</v>
      </c>
      <c r="H723" t="str">
        <f>$A723&amp;Keys!$C$54&amp;$B723&amp;Keys!$C$54&amp;$C723</f>
        <v>IL|imports|electricity (not used in this variable)</v>
      </c>
    </row>
    <row r="724" spans="1:8" x14ac:dyDescent="0.25">
      <c r="A724" t="s">
        <v>93</v>
      </c>
      <c r="B724" t="s">
        <v>191</v>
      </c>
      <c r="C724" t="s">
        <v>64</v>
      </c>
      <c r="D724">
        <v>281050000000000</v>
      </c>
      <c r="E724">
        <v>2687650000000</v>
      </c>
      <c r="F724">
        <v>69646000000000</v>
      </c>
      <c r="G724" s="10">
        <f t="shared" si="11"/>
        <v>117794550000000</v>
      </c>
      <c r="H724" t="str">
        <f>$A724&amp;Keys!$C$54&amp;$B724&amp;Keys!$C$54&amp;$C724</f>
        <v>IL|imports|hard coal</v>
      </c>
    </row>
    <row r="725" spans="1:8" x14ac:dyDescent="0.25">
      <c r="A725" t="s">
        <v>93</v>
      </c>
      <c r="B725" t="s">
        <v>191</v>
      </c>
      <c r="C725" t="s">
        <v>68</v>
      </c>
      <c r="D725">
        <v>2100490000000000</v>
      </c>
      <c r="E725">
        <v>2257290000000000</v>
      </c>
      <c r="F725">
        <v>2161210000000000</v>
      </c>
      <c r="G725" s="10">
        <f t="shared" si="11"/>
        <v>2172996666666666.8</v>
      </c>
      <c r="H725" t="str">
        <f>$A725&amp;Keys!$C$54&amp;$B725&amp;Keys!$C$54&amp;$C725</f>
        <v>IL|imports|natural gas</v>
      </c>
    </row>
    <row r="726" spans="1:8" x14ac:dyDescent="0.25">
      <c r="A726" t="s">
        <v>93</v>
      </c>
      <c r="B726" t="s">
        <v>191</v>
      </c>
      <c r="C726" t="s">
        <v>71</v>
      </c>
      <c r="D726">
        <v>1036070000000000</v>
      </c>
      <c r="E726">
        <v>1019930000000000</v>
      </c>
      <c r="F726">
        <v>1028070000000000</v>
      </c>
      <c r="G726" s="10">
        <f t="shared" si="11"/>
        <v>1028023333333333.4</v>
      </c>
      <c r="H726" t="str">
        <f>$A726&amp;Keys!$C$54&amp;$B726&amp;Keys!$C$54&amp;$C726</f>
        <v>IL|imports|nuclear</v>
      </c>
    </row>
    <row r="727" spans="1:8" x14ac:dyDescent="0.25">
      <c r="A727" t="s">
        <v>93</v>
      </c>
      <c r="B727" t="s">
        <v>191</v>
      </c>
      <c r="C727" t="s">
        <v>74</v>
      </c>
      <c r="D727">
        <v>0</v>
      </c>
      <c r="E727">
        <v>0</v>
      </c>
      <c r="F727">
        <v>0</v>
      </c>
      <c r="G727" s="10">
        <f t="shared" si="11"/>
        <v>0</v>
      </c>
      <c r="H727" t="str">
        <f>$A727&amp;Keys!$C$54&amp;$B727&amp;Keys!$C$54&amp;$C727</f>
        <v>IL|imports|hydro (is not a fuel)</v>
      </c>
    </row>
    <row r="728" spans="1:8" x14ac:dyDescent="0.25">
      <c r="A728" t="s">
        <v>93</v>
      </c>
      <c r="B728" t="s">
        <v>191</v>
      </c>
      <c r="C728" t="s">
        <v>77</v>
      </c>
      <c r="D728">
        <v>0</v>
      </c>
      <c r="E728">
        <v>0</v>
      </c>
      <c r="F728">
        <v>0</v>
      </c>
      <c r="G728" s="10">
        <f t="shared" si="11"/>
        <v>0</v>
      </c>
      <c r="H728" t="str">
        <f>$A728&amp;Keys!$C$54&amp;$B728&amp;Keys!$C$54&amp;$C728</f>
        <v>IL|imports|wind (is not a fuel)</v>
      </c>
    </row>
    <row r="729" spans="1:8" x14ac:dyDescent="0.25">
      <c r="A729" t="s">
        <v>93</v>
      </c>
      <c r="B729" t="s">
        <v>191</v>
      </c>
      <c r="C729" t="s">
        <v>80</v>
      </c>
      <c r="D729">
        <v>0</v>
      </c>
      <c r="E729">
        <v>0</v>
      </c>
      <c r="F729">
        <v>0</v>
      </c>
      <c r="G729" s="10">
        <f t="shared" si="11"/>
        <v>0</v>
      </c>
      <c r="H729" t="str">
        <f>$A729&amp;Keys!$C$54&amp;$B729&amp;Keys!$C$54&amp;$C729</f>
        <v>IL|imports|solar (is not a fuel)</v>
      </c>
    </row>
    <row r="730" spans="1:8" x14ac:dyDescent="0.25">
      <c r="A730" t="s">
        <v>93</v>
      </c>
      <c r="B730" t="s">
        <v>191</v>
      </c>
      <c r="C730" t="s">
        <v>82</v>
      </c>
      <c r="D730">
        <v>0</v>
      </c>
      <c r="E730">
        <v>22092400000000</v>
      </c>
      <c r="F730">
        <v>21227300000000</v>
      </c>
      <c r="G730" s="10">
        <f t="shared" si="11"/>
        <v>14439900000000</v>
      </c>
      <c r="H730" t="str">
        <f>$A730&amp;Keys!$C$54&amp;$B730&amp;Keys!$C$54&amp;$C730</f>
        <v>IL|imports|biomass</v>
      </c>
    </row>
    <row r="731" spans="1:8" x14ac:dyDescent="0.25">
      <c r="A731" t="s">
        <v>93</v>
      </c>
      <c r="B731" t="s">
        <v>191</v>
      </c>
      <c r="C731" t="s">
        <v>85</v>
      </c>
      <c r="D731">
        <v>0</v>
      </c>
      <c r="E731">
        <v>0</v>
      </c>
      <c r="F731">
        <v>0</v>
      </c>
      <c r="G731" s="10">
        <f t="shared" si="11"/>
        <v>0</v>
      </c>
      <c r="H731" t="str">
        <f>$A731&amp;Keys!$C$54&amp;$B731&amp;Keys!$C$54&amp;$C731</f>
        <v>IL|imports|petroleum gasoline</v>
      </c>
    </row>
    <row r="732" spans="1:8" x14ac:dyDescent="0.25">
      <c r="A732" t="s">
        <v>93</v>
      </c>
      <c r="B732" t="s">
        <v>191</v>
      </c>
      <c r="C732" t="s">
        <v>88</v>
      </c>
      <c r="D732">
        <v>0</v>
      </c>
      <c r="E732">
        <v>0</v>
      </c>
      <c r="F732">
        <v>0</v>
      </c>
      <c r="G732" s="10">
        <f t="shared" si="11"/>
        <v>0</v>
      </c>
      <c r="H732" t="str">
        <f>$A732&amp;Keys!$C$54&amp;$B732&amp;Keys!$C$54&amp;$C732</f>
        <v>IL|imports|petroleum diesel</v>
      </c>
    </row>
    <row r="733" spans="1:8" x14ac:dyDescent="0.25">
      <c r="A733" t="s">
        <v>93</v>
      </c>
      <c r="B733" t="s">
        <v>191</v>
      </c>
      <c r="C733" t="s">
        <v>91</v>
      </c>
      <c r="D733">
        <v>0</v>
      </c>
      <c r="E733">
        <v>0</v>
      </c>
      <c r="F733">
        <v>0</v>
      </c>
      <c r="G733" s="10">
        <f t="shared" si="11"/>
        <v>0</v>
      </c>
      <c r="H733" t="str">
        <f>$A733&amp;Keys!$C$54&amp;$B733&amp;Keys!$C$54&amp;$C733</f>
        <v>IL|imports|biofuel gasoline</v>
      </c>
    </row>
    <row r="734" spans="1:8" x14ac:dyDescent="0.25">
      <c r="A734" t="s">
        <v>93</v>
      </c>
      <c r="B734" t="s">
        <v>191</v>
      </c>
      <c r="C734" t="s">
        <v>94</v>
      </c>
      <c r="D734">
        <v>0</v>
      </c>
      <c r="E734">
        <v>0</v>
      </c>
      <c r="F734">
        <v>0</v>
      </c>
      <c r="G734" s="10">
        <f t="shared" si="11"/>
        <v>0</v>
      </c>
      <c r="H734" t="str">
        <f>$A734&amp;Keys!$C$54&amp;$B734&amp;Keys!$C$54&amp;$C734</f>
        <v>IL|imports|biofuel diesel</v>
      </c>
    </row>
    <row r="735" spans="1:8" x14ac:dyDescent="0.25">
      <c r="A735" t="s">
        <v>93</v>
      </c>
      <c r="B735" t="s">
        <v>191</v>
      </c>
      <c r="C735" t="s">
        <v>97</v>
      </c>
      <c r="D735">
        <v>0</v>
      </c>
      <c r="E735">
        <v>0</v>
      </c>
      <c r="F735">
        <v>0</v>
      </c>
      <c r="G735" s="10">
        <f t="shared" si="11"/>
        <v>0</v>
      </c>
      <c r="H735" t="str">
        <f>$A735&amp;Keys!$C$54&amp;$B735&amp;Keys!$C$54&amp;$C735</f>
        <v>IL|imports|jet fuel or kerosene</v>
      </c>
    </row>
    <row r="736" spans="1:8" x14ac:dyDescent="0.25">
      <c r="A736" t="s">
        <v>93</v>
      </c>
      <c r="B736" t="s">
        <v>191</v>
      </c>
      <c r="C736" t="s">
        <v>100</v>
      </c>
      <c r="D736">
        <v>0</v>
      </c>
      <c r="E736">
        <v>0</v>
      </c>
      <c r="F736">
        <v>0</v>
      </c>
      <c r="G736" s="10">
        <f t="shared" si="11"/>
        <v>0</v>
      </c>
      <c r="H736" t="str">
        <f>$A736&amp;Keys!$C$54&amp;$B736&amp;Keys!$C$54&amp;$C736</f>
        <v>IL|imports|heat (not used in this variable)</v>
      </c>
    </row>
    <row r="737" spans="1:8" x14ac:dyDescent="0.25">
      <c r="A737" t="s">
        <v>93</v>
      </c>
      <c r="B737" t="s">
        <v>191</v>
      </c>
      <c r="C737" t="s">
        <v>103</v>
      </c>
      <c r="D737">
        <v>0</v>
      </c>
      <c r="E737">
        <v>0</v>
      </c>
      <c r="F737">
        <v>0</v>
      </c>
      <c r="G737" s="10">
        <f t="shared" si="11"/>
        <v>0</v>
      </c>
      <c r="H737" t="str">
        <f>$A737&amp;Keys!$C$54&amp;$B737&amp;Keys!$C$54&amp;$C737</f>
        <v>IL|imports|geothermal (is not a fuel)</v>
      </c>
    </row>
    <row r="738" spans="1:8" x14ac:dyDescent="0.25">
      <c r="A738" t="s">
        <v>93</v>
      </c>
      <c r="B738" t="s">
        <v>191</v>
      </c>
      <c r="C738" t="s">
        <v>106</v>
      </c>
      <c r="D738">
        <v>0</v>
      </c>
      <c r="E738">
        <v>0</v>
      </c>
      <c r="F738">
        <v>0</v>
      </c>
      <c r="G738" s="10">
        <f t="shared" si="11"/>
        <v>0</v>
      </c>
      <c r="H738" t="str">
        <f>$A738&amp;Keys!$C$54&amp;$B738&amp;Keys!$C$54&amp;$C738</f>
        <v>IL|imports|lignite</v>
      </c>
    </row>
    <row r="739" spans="1:8" x14ac:dyDescent="0.25">
      <c r="A739" t="s">
        <v>93</v>
      </c>
      <c r="B739" t="s">
        <v>191</v>
      </c>
      <c r="C739" t="s">
        <v>109</v>
      </c>
      <c r="D739">
        <v>0</v>
      </c>
      <c r="E739">
        <v>2097140000000000</v>
      </c>
      <c r="F739">
        <v>2100830000000000</v>
      </c>
      <c r="G739" s="10">
        <f t="shared" si="11"/>
        <v>1399323333333333.3</v>
      </c>
      <c r="H739" t="str">
        <f>$A739&amp;Keys!$C$54&amp;$B739&amp;Keys!$C$54&amp;$C739</f>
        <v>IL|imports|crude oil</v>
      </c>
    </row>
    <row r="740" spans="1:8" x14ac:dyDescent="0.25">
      <c r="A740" t="s">
        <v>93</v>
      </c>
      <c r="B740" t="s">
        <v>191</v>
      </c>
      <c r="C740" t="s">
        <v>113</v>
      </c>
      <c r="D740">
        <v>0</v>
      </c>
      <c r="E740">
        <v>0</v>
      </c>
      <c r="F740">
        <v>0</v>
      </c>
      <c r="G740" s="10">
        <f t="shared" si="11"/>
        <v>0</v>
      </c>
      <c r="H740" t="str">
        <f>$A740&amp;Keys!$C$54&amp;$B740&amp;Keys!$C$54&amp;$C740</f>
        <v>IL|imports|heavy fuel oil</v>
      </c>
    </row>
    <row r="741" spans="1:8" x14ac:dyDescent="0.25">
      <c r="A741" t="s">
        <v>93</v>
      </c>
      <c r="B741" t="s">
        <v>191</v>
      </c>
      <c r="C741" t="s">
        <v>117</v>
      </c>
      <c r="D741">
        <v>0</v>
      </c>
      <c r="E741">
        <v>86129100000000</v>
      </c>
      <c r="F741">
        <v>85683600000000</v>
      </c>
      <c r="G741" s="10">
        <f t="shared" si="11"/>
        <v>57270900000000</v>
      </c>
      <c r="H741" t="str">
        <f>$A741&amp;Keys!$C$54&amp;$B741&amp;Keys!$C$54&amp;$C741</f>
        <v>IL|imports|LPG propane or butane</v>
      </c>
    </row>
    <row r="742" spans="1:8" x14ac:dyDescent="0.25">
      <c r="A742" t="s">
        <v>93</v>
      </c>
      <c r="B742" t="s">
        <v>191</v>
      </c>
      <c r="C742" t="s">
        <v>120</v>
      </c>
      <c r="D742">
        <v>0</v>
      </c>
      <c r="E742">
        <v>0</v>
      </c>
      <c r="F742">
        <v>0</v>
      </c>
      <c r="G742" s="10">
        <f t="shared" si="11"/>
        <v>0</v>
      </c>
      <c r="H742" t="str">
        <f>$A742&amp;Keys!$C$54&amp;$B742&amp;Keys!$C$54&amp;$C742</f>
        <v>IL|imports|municipal solid waste</v>
      </c>
    </row>
    <row r="743" spans="1:8" x14ac:dyDescent="0.25">
      <c r="A743" t="s">
        <v>93</v>
      </c>
      <c r="B743" t="s">
        <v>191</v>
      </c>
      <c r="C743" t="s">
        <v>123</v>
      </c>
      <c r="D743">
        <v>0</v>
      </c>
      <c r="E743">
        <v>5397980000000</v>
      </c>
      <c r="F743">
        <v>6332460000000</v>
      </c>
      <c r="G743" s="10">
        <f t="shared" si="11"/>
        <v>3910146666666.6665</v>
      </c>
      <c r="H743" t="str">
        <f>$A743&amp;Keys!$C$54&amp;$B743&amp;Keys!$C$54&amp;$C743</f>
        <v>IL|imports|hydrogen</v>
      </c>
    </row>
    <row r="744" spans="1:8" x14ac:dyDescent="0.25">
      <c r="A744" t="s">
        <v>93</v>
      </c>
      <c r="B744" t="s">
        <v>193</v>
      </c>
      <c r="C744" t="s">
        <v>60</v>
      </c>
      <c r="D744">
        <v>0</v>
      </c>
      <c r="E744">
        <v>0</v>
      </c>
      <c r="F744">
        <v>0</v>
      </c>
      <c r="G744" s="10">
        <f t="shared" si="11"/>
        <v>0</v>
      </c>
      <c r="H744" t="str">
        <f>$A744&amp;Keys!$C$54&amp;$B744&amp;Keys!$C$54&amp;$C744</f>
        <v>IL|exports|electricity (not used in this variable)</v>
      </c>
    </row>
    <row r="745" spans="1:8" x14ac:dyDescent="0.25">
      <c r="A745" t="s">
        <v>93</v>
      </c>
      <c r="B745" t="s">
        <v>193</v>
      </c>
      <c r="C745" t="s">
        <v>64</v>
      </c>
      <c r="D745">
        <v>348545000000000</v>
      </c>
      <c r="E745">
        <v>348545000000000</v>
      </c>
      <c r="F745">
        <v>346670000000000</v>
      </c>
      <c r="G745" s="10">
        <f t="shared" si="11"/>
        <v>347920000000000</v>
      </c>
      <c r="H745" t="str">
        <f>$A745&amp;Keys!$C$54&amp;$B745&amp;Keys!$C$54&amp;$C745</f>
        <v>IL|exports|hard coal</v>
      </c>
    </row>
    <row r="746" spans="1:8" x14ac:dyDescent="0.25">
      <c r="A746" t="s">
        <v>93</v>
      </c>
      <c r="B746" t="s">
        <v>193</v>
      </c>
      <c r="C746" t="s">
        <v>68</v>
      </c>
      <c r="D746">
        <v>1176880000000000</v>
      </c>
      <c r="E746">
        <v>1176880000000000</v>
      </c>
      <c r="F746">
        <v>1180540000000000</v>
      </c>
      <c r="G746" s="10">
        <f t="shared" si="11"/>
        <v>1178100000000000</v>
      </c>
      <c r="H746" t="str">
        <f>$A746&amp;Keys!$C$54&amp;$B746&amp;Keys!$C$54&amp;$C746</f>
        <v>IL|exports|natural gas</v>
      </c>
    </row>
    <row r="747" spans="1:8" x14ac:dyDescent="0.25">
      <c r="A747" t="s">
        <v>93</v>
      </c>
      <c r="B747" t="s">
        <v>193</v>
      </c>
      <c r="C747" t="s">
        <v>71</v>
      </c>
      <c r="D747">
        <v>0</v>
      </c>
      <c r="E747">
        <v>0</v>
      </c>
      <c r="F747">
        <v>0</v>
      </c>
      <c r="G747" s="10">
        <f t="shared" si="11"/>
        <v>0</v>
      </c>
      <c r="H747" t="str">
        <f>$A747&amp;Keys!$C$54&amp;$B747&amp;Keys!$C$54&amp;$C747</f>
        <v>IL|exports|nuclear</v>
      </c>
    </row>
    <row r="748" spans="1:8" x14ac:dyDescent="0.25">
      <c r="A748" t="s">
        <v>93</v>
      </c>
      <c r="B748" t="s">
        <v>193</v>
      </c>
      <c r="C748" t="s">
        <v>74</v>
      </c>
      <c r="D748">
        <v>0</v>
      </c>
      <c r="E748">
        <v>0</v>
      </c>
      <c r="F748">
        <v>0</v>
      </c>
      <c r="G748" s="10">
        <f t="shared" si="11"/>
        <v>0</v>
      </c>
      <c r="H748" t="str">
        <f>$A748&amp;Keys!$C$54&amp;$B748&amp;Keys!$C$54&amp;$C748</f>
        <v>IL|exports|hydro (is not a fuel)</v>
      </c>
    </row>
    <row r="749" spans="1:8" x14ac:dyDescent="0.25">
      <c r="A749" t="s">
        <v>93</v>
      </c>
      <c r="B749" t="s">
        <v>193</v>
      </c>
      <c r="C749" t="s">
        <v>77</v>
      </c>
      <c r="D749">
        <v>0</v>
      </c>
      <c r="E749">
        <v>0</v>
      </c>
      <c r="F749">
        <v>0</v>
      </c>
      <c r="G749" s="10">
        <f t="shared" si="11"/>
        <v>0</v>
      </c>
      <c r="H749" t="str">
        <f>$A749&amp;Keys!$C$54&amp;$B749&amp;Keys!$C$54&amp;$C749</f>
        <v>IL|exports|wind (is not a fuel)</v>
      </c>
    </row>
    <row r="750" spans="1:8" x14ac:dyDescent="0.25">
      <c r="A750" t="s">
        <v>93</v>
      </c>
      <c r="B750" t="s">
        <v>193</v>
      </c>
      <c r="C750" t="s">
        <v>80</v>
      </c>
      <c r="D750">
        <v>0</v>
      </c>
      <c r="E750">
        <v>0</v>
      </c>
      <c r="F750">
        <v>0</v>
      </c>
      <c r="G750" s="10">
        <f t="shared" si="11"/>
        <v>0</v>
      </c>
      <c r="H750" t="str">
        <f>$A750&amp;Keys!$C$54&amp;$B750&amp;Keys!$C$54&amp;$C750</f>
        <v>IL|exports|solar (is not a fuel)</v>
      </c>
    </row>
    <row r="751" spans="1:8" x14ac:dyDescent="0.25">
      <c r="A751" t="s">
        <v>93</v>
      </c>
      <c r="B751" t="s">
        <v>193</v>
      </c>
      <c r="C751" t="s">
        <v>82</v>
      </c>
      <c r="D751">
        <v>0</v>
      </c>
      <c r="E751">
        <v>0</v>
      </c>
      <c r="F751">
        <v>0</v>
      </c>
      <c r="G751" s="10">
        <f t="shared" si="11"/>
        <v>0</v>
      </c>
      <c r="H751" t="str">
        <f>$A751&amp;Keys!$C$54&amp;$B751&amp;Keys!$C$54&amp;$C751</f>
        <v>IL|exports|biomass</v>
      </c>
    </row>
    <row r="752" spans="1:8" x14ac:dyDescent="0.25">
      <c r="A752" t="s">
        <v>93</v>
      </c>
      <c r="B752" t="s">
        <v>193</v>
      </c>
      <c r="C752" t="s">
        <v>85</v>
      </c>
      <c r="D752">
        <v>42693400000000</v>
      </c>
      <c r="E752">
        <v>602810000000000</v>
      </c>
      <c r="F752">
        <v>584253000000000</v>
      </c>
      <c r="G752" s="10">
        <f t="shared" si="11"/>
        <v>409918800000000</v>
      </c>
      <c r="H752" t="str">
        <f>$A752&amp;Keys!$C$54&amp;$B752&amp;Keys!$C$54&amp;$C752</f>
        <v>IL|exports|petroleum gasoline</v>
      </c>
    </row>
    <row r="753" spans="1:8" x14ac:dyDescent="0.25">
      <c r="A753" t="s">
        <v>93</v>
      </c>
      <c r="B753" t="s">
        <v>193</v>
      </c>
      <c r="C753" t="s">
        <v>88</v>
      </c>
      <c r="D753">
        <v>0</v>
      </c>
      <c r="E753">
        <v>318202000000000</v>
      </c>
      <c r="F753">
        <v>304970000000000</v>
      </c>
      <c r="G753" s="10">
        <f t="shared" si="11"/>
        <v>207724000000000</v>
      </c>
      <c r="H753" t="str">
        <f>$A753&amp;Keys!$C$54&amp;$B753&amp;Keys!$C$54&amp;$C753</f>
        <v>IL|exports|petroleum diesel</v>
      </c>
    </row>
    <row r="754" spans="1:8" x14ac:dyDescent="0.25">
      <c r="A754" t="s">
        <v>93</v>
      </c>
      <c r="B754" t="s">
        <v>193</v>
      </c>
      <c r="C754" t="s">
        <v>91</v>
      </c>
      <c r="D754">
        <v>0</v>
      </c>
      <c r="E754">
        <v>106311000000000</v>
      </c>
      <c r="F754">
        <v>107052000000000</v>
      </c>
      <c r="G754" s="10">
        <f t="shared" si="11"/>
        <v>71121000000000</v>
      </c>
      <c r="H754" t="str">
        <f>$A754&amp;Keys!$C$54&amp;$B754&amp;Keys!$C$54&amp;$C754</f>
        <v>IL|exports|biofuel gasoline</v>
      </c>
    </row>
    <row r="755" spans="1:8" x14ac:dyDescent="0.25">
      <c r="A755" t="s">
        <v>93</v>
      </c>
      <c r="B755" t="s">
        <v>193</v>
      </c>
      <c r="C755" t="s">
        <v>94</v>
      </c>
      <c r="D755">
        <v>0</v>
      </c>
      <c r="E755">
        <v>48046700000000</v>
      </c>
      <c r="F755">
        <v>59633100000000</v>
      </c>
      <c r="G755" s="10">
        <f t="shared" si="11"/>
        <v>35893266666666.664</v>
      </c>
      <c r="H755" t="str">
        <f>$A755&amp;Keys!$C$54&amp;$B755&amp;Keys!$C$54&amp;$C755</f>
        <v>IL|exports|biofuel diesel</v>
      </c>
    </row>
    <row r="756" spans="1:8" x14ac:dyDescent="0.25">
      <c r="A756" t="s">
        <v>93</v>
      </c>
      <c r="B756" t="s">
        <v>193</v>
      </c>
      <c r="C756" t="s">
        <v>97</v>
      </c>
      <c r="D756">
        <v>0</v>
      </c>
      <c r="E756">
        <v>59602800000000</v>
      </c>
      <c r="F756">
        <v>51732600000000</v>
      </c>
      <c r="G756" s="10">
        <f t="shared" si="11"/>
        <v>37111800000000</v>
      </c>
      <c r="H756" t="str">
        <f>$A756&amp;Keys!$C$54&amp;$B756&amp;Keys!$C$54&amp;$C756</f>
        <v>IL|exports|jet fuel or kerosene</v>
      </c>
    </row>
    <row r="757" spans="1:8" x14ac:dyDescent="0.25">
      <c r="A757" t="s">
        <v>93</v>
      </c>
      <c r="B757" t="s">
        <v>193</v>
      </c>
      <c r="C757" t="s">
        <v>100</v>
      </c>
      <c r="D757">
        <v>0</v>
      </c>
      <c r="E757">
        <v>0</v>
      </c>
      <c r="F757">
        <v>0</v>
      </c>
      <c r="G757" s="10">
        <f t="shared" si="11"/>
        <v>0</v>
      </c>
      <c r="H757" t="str">
        <f>$A757&amp;Keys!$C$54&amp;$B757&amp;Keys!$C$54&amp;$C757</f>
        <v>IL|exports|heat (not used in this variable)</v>
      </c>
    </row>
    <row r="758" spans="1:8" x14ac:dyDescent="0.25">
      <c r="A758" t="s">
        <v>93</v>
      </c>
      <c r="B758" t="s">
        <v>193</v>
      </c>
      <c r="C758" t="s">
        <v>103</v>
      </c>
      <c r="D758">
        <v>0</v>
      </c>
      <c r="E758">
        <v>0</v>
      </c>
      <c r="F758">
        <v>0</v>
      </c>
      <c r="G758" s="10">
        <f t="shared" si="11"/>
        <v>0</v>
      </c>
      <c r="H758" t="str">
        <f>$A758&amp;Keys!$C$54&amp;$B758&amp;Keys!$C$54&amp;$C758</f>
        <v>IL|exports|geothermal (is not a fuel)</v>
      </c>
    </row>
    <row r="759" spans="1:8" x14ac:dyDescent="0.25">
      <c r="A759" t="s">
        <v>93</v>
      </c>
      <c r="B759" t="s">
        <v>193</v>
      </c>
      <c r="C759" t="s">
        <v>106</v>
      </c>
      <c r="D759">
        <v>0</v>
      </c>
      <c r="E759">
        <v>0</v>
      </c>
      <c r="F759">
        <v>0</v>
      </c>
      <c r="G759" s="10">
        <f t="shared" si="11"/>
        <v>0</v>
      </c>
      <c r="H759" t="str">
        <f>$A759&amp;Keys!$C$54&amp;$B759&amp;Keys!$C$54&amp;$C759</f>
        <v>IL|exports|lignite</v>
      </c>
    </row>
    <row r="760" spans="1:8" x14ac:dyDescent="0.25">
      <c r="A760" t="s">
        <v>93</v>
      </c>
      <c r="B760" t="s">
        <v>193</v>
      </c>
      <c r="C760" t="s">
        <v>109</v>
      </c>
      <c r="D760">
        <v>0</v>
      </c>
      <c r="E760">
        <v>0</v>
      </c>
      <c r="F760">
        <v>0</v>
      </c>
      <c r="G760" s="10">
        <f t="shared" si="11"/>
        <v>0</v>
      </c>
      <c r="H760" t="str">
        <f>$A760&amp;Keys!$C$54&amp;$B760&amp;Keys!$C$54&amp;$C760</f>
        <v>IL|exports|crude oil</v>
      </c>
    </row>
    <row r="761" spans="1:8" x14ac:dyDescent="0.25">
      <c r="A761" t="s">
        <v>93</v>
      </c>
      <c r="B761" t="s">
        <v>193</v>
      </c>
      <c r="C761" t="s">
        <v>113</v>
      </c>
      <c r="D761">
        <v>0</v>
      </c>
      <c r="E761">
        <v>14579600000000</v>
      </c>
      <c r="F761">
        <v>13009300000000</v>
      </c>
      <c r="G761" s="10">
        <f t="shared" si="11"/>
        <v>9196300000000</v>
      </c>
      <c r="H761" t="str">
        <f>$A761&amp;Keys!$C$54&amp;$B761&amp;Keys!$C$54&amp;$C761</f>
        <v>IL|exports|heavy fuel oil</v>
      </c>
    </row>
    <row r="762" spans="1:8" x14ac:dyDescent="0.25">
      <c r="A762" t="s">
        <v>93</v>
      </c>
      <c r="B762" t="s">
        <v>193</v>
      </c>
      <c r="C762" t="s">
        <v>117</v>
      </c>
      <c r="D762">
        <v>0</v>
      </c>
      <c r="E762">
        <v>0</v>
      </c>
      <c r="F762">
        <v>0</v>
      </c>
      <c r="G762" s="10">
        <f t="shared" si="11"/>
        <v>0</v>
      </c>
      <c r="H762" t="str">
        <f>$A762&amp;Keys!$C$54&amp;$B762&amp;Keys!$C$54&amp;$C762</f>
        <v>IL|exports|LPG propane or butane</v>
      </c>
    </row>
    <row r="763" spans="1:8" x14ac:dyDescent="0.25">
      <c r="A763" t="s">
        <v>93</v>
      </c>
      <c r="B763" t="s">
        <v>193</v>
      </c>
      <c r="C763" t="s">
        <v>120</v>
      </c>
      <c r="D763">
        <v>0</v>
      </c>
      <c r="E763">
        <v>0</v>
      </c>
      <c r="F763">
        <v>0</v>
      </c>
      <c r="G763" s="10">
        <f t="shared" si="11"/>
        <v>0</v>
      </c>
      <c r="H763" t="str">
        <f>$A763&amp;Keys!$C$54&amp;$B763&amp;Keys!$C$54&amp;$C763</f>
        <v>IL|exports|municipal solid waste</v>
      </c>
    </row>
    <row r="764" spans="1:8" x14ac:dyDescent="0.25">
      <c r="A764" t="s">
        <v>93</v>
      </c>
      <c r="B764" t="s">
        <v>193</v>
      </c>
      <c r="C764" t="s">
        <v>123</v>
      </c>
      <c r="D764">
        <v>0</v>
      </c>
      <c r="E764">
        <v>0</v>
      </c>
      <c r="F764">
        <v>0</v>
      </c>
      <c r="G764" s="10">
        <f t="shared" si="11"/>
        <v>0</v>
      </c>
      <c r="H764" t="str">
        <f>$A764&amp;Keys!$C$54&amp;$B764&amp;Keys!$C$54&amp;$C764</f>
        <v>IL|exports|hydrogen</v>
      </c>
    </row>
    <row r="765" spans="1:8" x14ac:dyDescent="0.25">
      <c r="A765" t="s">
        <v>96</v>
      </c>
      <c r="B765" t="s">
        <v>188</v>
      </c>
      <c r="C765" t="s">
        <v>60</v>
      </c>
      <c r="D765">
        <v>0</v>
      </c>
      <c r="E765">
        <v>0</v>
      </c>
      <c r="F765">
        <v>0</v>
      </c>
      <c r="G765" s="10">
        <f t="shared" si="11"/>
        <v>0</v>
      </c>
      <c r="H765" t="str">
        <f>$A765&amp;Keys!$C$54&amp;$B765&amp;Keys!$C$54&amp;$C765</f>
        <v>IN|production|electricity (not used in this variable)</v>
      </c>
    </row>
    <row r="766" spans="1:8" x14ac:dyDescent="0.25">
      <c r="A766" t="s">
        <v>96</v>
      </c>
      <c r="B766" t="s">
        <v>188</v>
      </c>
      <c r="C766" t="s">
        <v>64</v>
      </c>
      <c r="D766">
        <v>413016000000000</v>
      </c>
      <c r="E766">
        <v>413016000000000</v>
      </c>
      <c r="F766">
        <v>410795000000000</v>
      </c>
      <c r="G766" s="10">
        <f t="shared" si="11"/>
        <v>412275666666666.69</v>
      </c>
      <c r="H766" t="str">
        <f>$A766&amp;Keys!$C$54&amp;$B766&amp;Keys!$C$54&amp;$C766</f>
        <v>IN|production|hard coal</v>
      </c>
    </row>
    <row r="767" spans="1:8" x14ac:dyDescent="0.25">
      <c r="A767" t="s">
        <v>96</v>
      </c>
      <c r="B767" t="s">
        <v>188</v>
      </c>
      <c r="C767" t="s">
        <v>68</v>
      </c>
      <c r="D767">
        <v>3371290000000</v>
      </c>
      <c r="E767">
        <v>3371290000000</v>
      </c>
      <c r="F767">
        <v>3381760000000</v>
      </c>
      <c r="G767" s="10">
        <f t="shared" si="11"/>
        <v>3374780000000</v>
      </c>
      <c r="H767" t="str">
        <f>$A767&amp;Keys!$C$54&amp;$B767&amp;Keys!$C$54&amp;$C767</f>
        <v>IN|production|natural gas</v>
      </c>
    </row>
    <row r="768" spans="1:8" x14ac:dyDescent="0.25">
      <c r="A768" t="s">
        <v>96</v>
      </c>
      <c r="B768" t="s">
        <v>188</v>
      </c>
      <c r="C768" t="s">
        <v>71</v>
      </c>
      <c r="D768">
        <v>0</v>
      </c>
      <c r="E768">
        <v>0</v>
      </c>
      <c r="F768">
        <v>0</v>
      </c>
      <c r="G768" s="10">
        <f t="shared" si="11"/>
        <v>0</v>
      </c>
      <c r="H768" t="str">
        <f>$A768&amp;Keys!$C$54&amp;$B768&amp;Keys!$C$54&amp;$C768</f>
        <v>IN|production|nuclear</v>
      </c>
    </row>
    <row r="769" spans="1:8" x14ac:dyDescent="0.25">
      <c r="A769" t="s">
        <v>96</v>
      </c>
      <c r="B769" t="s">
        <v>188</v>
      </c>
      <c r="C769" t="s">
        <v>74</v>
      </c>
      <c r="D769">
        <v>0</v>
      </c>
      <c r="E769">
        <v>0</v>
      </c>
      <c r="F769">
        <v>0</v>
      </c>
      <c r="G769" s="10">
        <f t="shared" si="11"/>
        <v>0</v>
      </c>
      <c r="H769" t="str">
        <f>$A769&amp;Keys!$C$54&amp;$B769&amp;Keys!$C$54&amp;$C769</f>
        <v>IN|production|hydro (is not a fuel)</v>
      </c>
    </row>
    <row r="770" spans="1:8" x14ac:dyDescent="0.25">
      <c r="A770" t="s">
        <v>96</v>
      </c>
      <c r="B770" t="s">
        <v>188</v>
      </c>
      <c r="C770" t="s">
        <v>77</v>
      </c>
      <c r="D770">
        <v>0</v>
      </c>
      <c r="E770">
        <v>0</v>
      </c>
      <c r="F770">
        <v>0</v>
      </c>
      <c r="G770" s="10">
        <f t="shared" si="11"/>
        <v>0</v>
      </c>
      <c r="H770" t="str">
        <f>$A770&amp;Keys!$C$54&amp;$B770&amp;Keys!$C$54&amp;$C770</f>
        <v>IN|production|wind (is not a fuel)</v>
      </c>
    </row>
    <row r="771" spans="1:8" x14ac:dyDescent="0.25">
      <c r="A771" t="s">
        <v>96</v>
      </c>
      <c r="B771" t="s">
        <v>188</v>
      </c>
      <c r="C771" t="s">
        <v>80</v>
      </c>
      <c r="D771">
        <v>0</v>
      </c>
      <c r="E771">
        <v>0</v>
      </c>
      <c r="F771">
        <v>0</v>
      </c>
      <c r="G771" s="10">
        <f t="shared" si="11"/>
        <v>0</v>
      </c>
      <c r="H771" t="str">
        <f>$A771&amp;Keys!$C$54&amp;$B771&amp;Keys!$C$54&amp;$C771</f>
        <v>IN|production|solar (is not a fuel)</v>
      </c>
    </row>
    <row r="772" spans="1:8" x14ac:dyDescent="0.25">
      <c r="A772" t="s">
        <v>96</v>
      </c>
      <c r="B772" t="s">
        <v>188</v>
      </c>
      <c r="C772" t="s">
        <v>82</v>
      </c>
      <c r="D772">
        <v>112000000000</v>
      </c>
      <c r="E772">
        <v>112000000000</v>
      </c>
      <c r="F772">
        <v>112000000000</v>
      </c>
      <c r="G772" s="10">
        <f t="shared" si="11"/>
        <v>112000000000</v>
      </c>
      <c r="H772" t="str">
        <f>$A772&amp;Keys!$C$54&amp;$B772&amp;Keys!$C$54&amp;$C772</f>
        <v>IN|production|biomass</v>
      </c>
    </row>
    <row r="773" spans="1:8" x14ac:dyDescent="0.25">
      <c r="A773" t="s">
        <v>96</v>
      </c>
      <c r="B773" t="s">
        <v>188</v>
      </c>
      <c r="C773" t="s">
        <v>85</v>
      </c>
      <c r="D773">
        <v>455650000000000</v>
      </c>
      <c r="E773">
        <v>455650000000000</v>
      </c>
      <c r="F773">
        <v>444606000000000</v>
      </c>
      <c r="G773" s="10">
        <f t="shared" si="11"/>
        <v>451968666666666.69</v>
      </c>
      <c r="H773" t="str">
        <f>$A773&amp;Keys!$C$54&amp;$B773&amp;Keys!$C$54&amp;$C773</f>
        <v>IN|production|petroleum gasoline</v>
      </c>
    </row>
    <row r="774" spans="1:8" x14ac:dyDescent="0.25">
      <c r="A774" t="s">
        <v>96</v>
      </c>
      <c r="B774" t="s">
        <v>188</v>
      </c>
      <c r="C774" t="s">
        <v>88</v>
      </c>
      <c r="D774">
        <v>269524000000000</v>
      </c>
      <c r="E774">
        <v>269524000000000</v>
      </c>
      <c r="F774">
        <v>262991000000000</v>
      </c>
      <c r="G774" s="10">
        <f t="shared" si="11"/>
        <v>267346333333333.34</v>
      </c>
      <c r="H774" t="str">
        <f>$A774&amp;Keys!$C$54&amp;$B774&amp;Keys!$C$54&amp;$C774</f>
        <v>IN|production|petroleum diesel</v>
      </c>
    </row>
    <row r="775" spans="1:8" x14ac:dyDescent="0.25">
      <c r="A775" t="s">
        <v>96</v>
      </c>
      <c r="B775" t="s">
        <v>188</v>
      </c>
      <c r="C775" t="s">
        <v>91</v>
      </c>
      <c r="D775">
        <v>110398000000000</v>
      </c>
      <c r="E775">
        <v>110398000000000</v>
      </c>
      <c r="F775">
        <v>110708000000000</v>
      </c>
      <c r="G775" s="10">
        <f t="shared" si="11"/>
        <v>110501333333333.33</v>
      </c>
      <c r="H775" t="str">
        <f>$A775&amp;Keys!$C$54&amp;$B775&amp;Keys!$C$54&amp;$C775</f>
        <v>IN|production|biofuel gasoline</v>
      </c>
    </row>
    <row r="776" spans="1:8" x14ac:dyDescent="0.25">
      <c r="A776" t="s">
        <v>96</v>
      </c>
      <c r="B776" t="s">
        <v>188</v>
      </c>
      <c r="C776" t="s">
        <v>94</v>
      </c>
      <c r="D776">
        <v>32068700000000</v>
      </c>
      <c r="E776">
        <v>32068700000000</v>
      </c>
      <c r="F776">
        <v>38093300000000</v>
      </c>
      <c r="G776" s="10">
        <f t="shared" si="11"/>
        <v>34076900000000</v>
      </c>
      <c r="H776" t="str">
        <f>$A776&amp;Keys!$C$54&amp;$B776&amp;Keys!$C$54&amp;$C776</f>
        <v>IN|production|biofuel diesel</v>
      </c>
    </row>
    <row r="777" spans="1:8" x14ac:dyDescent="0.25">
      <c r="A777" t="s">
        <v>96</v>
      </c>
      <c r="B777" t="s">
        <v>188</v>
      </c>
      <c r="C777" t="s">
        <v>97</v>
      </c>
      <c r="D777">
        <v>95945000000000</v>
      </c>
      <c r="E777">
        <v>95945000000000</v>
      </c>
      <c r="F777">
        <v>93619500000000</v>
      </c>
      <c r="G777" s="10">
        <f t="shared" ref="G777:G840" si="12">AVERAGE($D777:$F777)</f>
        <v>95169833333333.328</v>
      </c>
      <c r="H777" t="str">
        <f>$A777&amp;Keys!$C$54&amp;$B777&amp;Keys!$C$54&amp;$C777</f>
        <v>IN|production|jet fuel or kerosene</v>
      </c>
    </row>
    <row r="778" spans="1:8" x14ac:dyDescent="0.25">
      <c r="A778" t="s">
        <v>96</v>
      </c>
      <c r="B778" t="s">
        <v>188</v>
      </c>
      <c r="C778" t="s">
        <v>100</v>
      </c>
      <c r="D778">
        <v>0</v>
      </c>
      <c r="E778">
        <v>0</v>
      </c>
      <c r="F778">
        <v>0</v>
      </c>
      <c r="G778" s="10">
        <f t="shared" si="12"/>
        <v>0</v>
      </c>
      <c r="H778" t="str">
        <f>$A778&amp;Keys!$C$54&amp;$B778&amp;Keys!$C$54&amp;$C778</f>
        <v>IN|production|heat (not used in this variable)</v>
      </c>
    </row>
    <row r="779" spans="1:8" x14ac:dyDescent="0.25">
      <c r="A779" t="s">
        <v>96</v>
      </c>
      <c r="B779" t="s">
        <v>188</v>
      </c>
      <c r="C779" t="s">
        <v>103</v>
      </c>
      <c r="D779">
        <v>0</v>
      </c>
      <c r="E779">
        <v>0</v>
      </c>
      <c r="F779">
        <v>0</v>
      </c>
      <c r="G779" s="10">
        <f t="shared" si="12"/>
        <v>0</v>
      </c>
      <c r="H779" t="str">
        <f>$A779&amp;Keys!$C$54&amp;$B779&amp;Keys!$C$54&amp;$C779</f>
        <v>IN|production|geothermal (is not a fuel)</v>
      </c>
    </row>
    <row r="780" spans="1:8" x14ac:dyDescent="0.25">
      <c r="A780" t="s">
        <v>96</v>
      </c>
      <c r="B780" t="s">
        <v>188</v>
      </c>
      <c r="C780" t="s">
        <v>106</v>
      </c>
      <c r="D780">
        <v>0</v>
      </c>
      <c r="E780">
        <v>0</v>
      </c>
      <c r="F780">
        <v>0</v>
      </c>
      <c r="G780" s="10">
        <f t="shared" si="12"/>
        <v>0</v>
      </c>
      <c r="H780" t="str">
        <f>$A780&amp;Keys!$C$54&amp;$B780&amp;Keys!$C$54&amp;$C780</f>
        <v>IN|production|lignite</v>
      </c>
    </row>
    <row r="781" spans="1:8" x14ac:dyDescent="0.25">
      <c r="A781" t="s">
        <v>96</v>
      </c>
      <c r="B781" t="s">
        <v>188</v>
      </c>
      <c r="C781" t="s">
        <v>109</v>
      </c>
      <c r="D781">
        <v>9442400000000</v>
      </c>
      <c r="E781">
        <v>9442400000000</v>
      </c>
      <c r="F781">
        <v>8580370000000</v>
      </c>
      <c r="G781" s="10">
        <f t="shared" si="12"/>
        <v>9155056666666.666</v>
      </c>
      <c r="H781" t="str">
        <f>$A781&amp;Keys!$C$54&amp;$B781&amp;Keys!$C$54&amp;$C781</f>
        <v>IN|production|crude oil</v>
      </c>
    </row>
    <row r="782" spans="1:8" x14ac:dyDescent="0.25">
      <c r="A782" t="s">
        <v>96</v>
      </c>
      <c r="B782" t="s">
        <v>188</v>
      </c>
      <c r="C782" t="s">
        <v>113</v>
      </c>
      <c r="D782">
        <v>18637600000000</v>
      </c>
      <c r="E782">
        <v>18637600000000</v>
      </c>
      <c r="F782">
        <v>18185900000000</v>
      </c>
      <c r="G782" s="10">
        <f t="shared" si="12"/>
        <v>18487033333333.332</v>
      </c>
      <c r="H782" t="str">
        <f>$A782&amp;Keys!$C$54&amp;$B782&amp;Keys!$C$54&amp;$C782</f>
        <v>IN|production|heavy fuel oil</v>
      </c>
    </row>
    <row r="783" spans="1:8" x14ac:dyDescent="0.25">
      <c r="A783" t="s">
        <v>96</v>
      </c>
      <c r="B783" t="s">
        <v>188</v>
      </c>
      <c r="C783" t="s">
        <v>117</v>
      </c>
      <c r="D783">
        <v>412138000000</v>
      </c>
      <c r="E783">
        <v>412138000000</v>
      </c>
      <c r="F783">
        <v>420889000000</v>
      </c>
      <c r="G783" s="10">
        <f t="shared" si="12"/>
        <v>415055000000</v>
      </c>
      <c r="H783" t="str">
        <f>$A783&amp;Keys!$C$54&amp;$B783&amp;Keys!$C$54&amp;$C783</f>
        <v>IN|production|LPG propane or butane</v>
      </c>
    </row>
    <row r="784" spans="1:8" x14ac:dyDescent="0.25">
      <c r="A784" t="s">
        <v>96</v>
      </c>
      <c r="B784" t="s">
        <v>188</v>
      </c>
      <c r="C784" t="s">
        <v>120</v>
      </c>
      <c r="D784">
        <v>0</v>
      </c>
      <c r="E784">
        <v>0</v>
      </c>
      <c r="F784">
        <v>0</v>
      </c>
      <c r="G784" s="10">
        <f t="shared" si="12"/>
        <v>0</v>
      </c>
      <c r="H784" t="str">
        <f>$A784&amp;Keys!$C$54&amp;$B784&amp;Keys!$C$54&amp;$C784</f>
        <v>IN|production|municipal solid waste</v>
      </c>
    </row>
    <row r="785" spans="1:8" x14ac:dyDescent="0.25">
      <c r="A785" t="s">
        <v>96</v>
      </c>
      <c r="B785" t="s">
        <v>188</v>
      </c>
      <c r="C785" t="s">
        <v>123</v>
      </c>
      <c r="D785">
        <v>0</v>
      </c>
      <c r="E785">
        <v>0</v>
      </c>
      <c r="F785">
        <v>0</v>
      </c>
      <c r="G785" s="10">
        <f t="shared" si="12"/>
        <v>0</v>
      </c>
      <c r="H785" t="str">
        <f>$A785&amp;Keys!$C$54&amp;$B785&amp;Keys!$C$54&amp;$C785</f>
        <v>IN|production|hydrogen</v>
      </c>
    </row>
    <row r="786" spans="1:8" x14ac:dyDescent="0.25">
      <c r="A786" t="s">
        <v>96</v>
      </c>
      <c r="B786" t="s">
        <v>191</v>
      </c>
      <c r="C786" t="s">
        <v>60</v>
      </c>
      <c r="D786">
        <v>0</v>
      </c>
      <c r="E786">
        <v>0</v>
      </c>
      <c r="F786">
        <v>0</v>
      </c>
      <c r="G786" s="10">
        <f t="shared" si="12"/>
        <v>0</v>
      </c>
      <c r="H786" t="str">
        <f>$A786&amp;Keys!$C$54&amp;$B786&amp;Keys!$C$54&amp;$C786</f>
        <v>IN|imports|electricity (not used in this variable)</v>
      </c>
    </row>
    <row r="787" spans="1:8" x14ac:dyDescent="0.25">
      <c r="A787" t="s">
        <v>96</v>
      </c>
      <c r="B787" t="s">
        <v>191</v>
      </c>
      <c r="C787" t="s">
        <v>64</v>
      </c>
      <c r="D787">
        <v>180139000000000</v>
      </c>
      <c r="E787">
        <v>256577000000000</v>
      </c>
      <c r="F787">
        <v>359869000000000</v>
      </c>
      <c r="G787" s="10">
        <f t="shared" si="12"/>
        <v>265528333333333.34</v>
      </c>
      <c r="H787" t="str">
        <f>$A787&amp;Keys!$C$54&amp;$B787&amp;Keys!$C$54&amp;$C787</f>
        <v>IN|imports|hard coal</v>
      </c>
    </row>
    <row r="788" spans="1:8" x14ac:dyDescent="0.25">
      <c r="A788" t="s">
        <v>96</v>
      </c>
      <c r="B788" t="s">
        <v>191</v>
      </c>
      <c r="C788" t="s">
        <v>68</v>
      </c>
      <c r="D788">
        <v>2110080000000000</v>
      </c>
      <c r="E788">
        <v>2337720000000000</v>
      </c>
      <c r="F788">
        <v>2234620000000000</v>
      </c>
      <c r="G788" s="10">
        <f t="shared" si="12"/>
        <v>2227473333333333.3</v>
      </c>
      <c r="H788" t="str">
        <f>$A788&amp;Keys!$C$54&amp;$B788&amp;Keys!$C$54&amp;$C788</f>
        <v>IN|imports|natural gas</v>
      </c>
    </row>
    <row r="789" spans="1:8" x14ac:dyDescent="0.25">
      <c r="A789" t="s">
        <v>96</v>
      </c>
      <c r="B789" t="s">
        <v>191</v>
      </c>
      <c r="C789" t="s">
        <v>71</v>
      </c>
      <c r="D789">
        <v>0</v>
      </c>
      <c r="E789">
        <v>0</v>
      </c>
      <c r="F789">
        <v>0</v>
      </c>
      <c r="G789" s="10">
        <f t="shared" si="12"/>
        <v>0</v>
      </c>
      <c r="H789" t="str">
        <f>$A789&amp;Keys!$C$54&amp;$B789&amp;Keys!$C$54&amp;$C789</f>
        <v>IN|imports|nuclear</v>
      </c>
    </row>
    <row r="790" spans="1:8" x14ac:dyDescent="0.25">
      <c r="A790" t="s">
        <v>96</v>
      </c>
      <c r="B790" t="s">
        <v>191</v>
      </c>
      <c r="C790" t="s">
        <v>74</v>
      </c>
      <c r="D790">
        <v>0</v>
      </c>
      <c r="E790">
        <v>0</v>
      </c>
      <c r="F790">
        <v>0</v>
      </c>
      <c r="G790" s="10">
        <f t="shared" si="12"/>
        <v>0</v>
      </c>
      <c r="H790" t="str">
        <f>$A790&amp;Keys!$C$54&amp;$B790&amp;Keys!$C$54&amp;$C790</f>
        <v>IN|imports|hydro (is not a fuel)</v>
      </c>
    </row>
    <row r="791" spans="1:8" x14ac:dyDescent="0.25">
      <c r="A791" t="s">
        <v>96</v>
      </c>
      <c r="B791" t="s">
        <v>191</v>
      </c>
      <c r="C791" t="s">
        <v>77</v>
      </c>
      <c r="D791">
        <v>0</v>
      </c>
      <c r="E791">
        <v>0</v>
      </c>
      <c r="F791">
        <v>0</v>
      </c>
      <c r="G791" s="10">
        <f t="shared" si="12"/>
        <v>0</v>
      </c>
      <c r="H791" t="str">
        <f>$A791&amp;Keys!$C$54&amp;$B791&amp;Keys!$C$54&amp;$C791</f>
        <v>IN|imports|wind (is not a fuel)</v>
      </c>
    </row>
    <row r="792" spans="1:8" x14ac:dyDescent="0.25">
      <c r="A792" t="s">
        <v>96</v>
      </c>
      <c r="B792" t="s">
        <v>191</v>
      </c>
      <c r="C792" t="s">
        <v>80</v>
      </c>
      <c r="D792">
        <v>0</v>
      </c>
      <c r="E792">
        <v>0</v>
      </c>
      <c r="F792">
        <v>0</v>
      </c>
      <c r="G792" s="10">
        <f t="shared" si="12"/>
        <v>0</v>
      </c>
      <c r="H792" t="str">
        <f>$A792&amp;Keys!$C$54&amp;$B792&amp;Keys!$C$54&amp;$C792</f>
        <v>IN|imports|solar (is not a fuel)</v>
      </c>
    </row>
    <row r="793" spans="1:8" x14ac:dyDescent="0.25">
      <c r="A793" t="s">
        <v>96</v>
      </c>
      <c r="B793" t="s">
        <v>191</v>
      </c>
      <c r="C793" t="s">
        <v>82</v>
      </c>
      <c r="D793">
        <v>0</v>
      </c>
      <c r="E793">
        <v>33896700000000</v>
      </c>
      <c r="F793">
        <v>33592000000000</v>
      </c>
      <c r="G793" s="10">
        <f t="shared" si="12"/>
        <v>22496233333333.332</v>
      </c>
      <c r="H793" t="str">
        <f>$A793&amp;Keys!$C$54&amp;$B793&amp;Keys!$C$54&amp;$C793</f>
        <v>IN|imports|biomass</v>
      </c>
    </row>
    <row r="794" spans="1:8" x14ac:dyDescent="0.25">
      <c r="A794" t="s">
        <v>96</v>
      </c>
      <c r="B794" t="s">
        <v>191</v>
      </c>
      <c r="C794" t="s">
        <v>85</v>
      </c>
      <c r="D794">
        <v>0</v>
      </c>
      <c r="E794">
        <v>0</v>
      </c>
      <c r="F794">
        <v>0</v>
      </c>
      <c r="G794" s="10">
        <f t="shared" si="12"/>
        <v>0</v>
      </c>
      <c r="H794" t="str">
        <f>$A794&amp;Keys!$C$54&amp;$B794&amp;Keys!$C$54&amp;$C794</f>
        <v>IN|imports|petroleum gasoline</v>
      </c>
    </row>
    <row r="795" spans="1:8" x14ac:dyDescent="0.25">
      <c r="A795" t="s">
        <v>96</v>
      </c>
      <c r="B795" t="s">
        <v>191</v>
      </c>
      <c r="C795" t="s">
        <v>88</v>
      </c>
      <c r="D795">
        <v>0</v>
      </c>
      <c r="E795">
        <v>0</v>
      </c>
      <c r="F795">
        <v>0</v>
      </c>
      <c r="G795" s="10">
        <f t="shared" si="12"/>
        <v>0</v>
      </c>
      <c r="H795" t="str">
        <f>$A795&amp;Keys!$C$54&amp;$B795&amp;Keys!$C$54&amp;$C795</f>
        <v>IN|imports|petroleum diesel</v>
      </c>
    </row>
    <row r="796" spans="1:8" x14ac:dyDescent="0.25">
      <c r="A796" t="s">
        <v>96</v>
      </c>
      <c r="B796" t="s">
        <v>191</v>
      </c>
      <c r="C796" t="s">
        <v>91</v>
      </c>
      <c r="D796">
        <v>0</v>
      </c>
      <c r="E796">
        <v>0</v>
      </c>
      <c r="F796">
        <v>0</v>
      </c>
      <c r="G796" s="10">
        <f t="shared" si="12"/>
        <v>0</v>
      </c>
      <c r="H796" t="str">
        <f>$A796&amp;Keys!$C$54&amp;$B796&amp;Keys!$C$54&amp;$C796</f>
        <v>IN|imports|biofuel gasoline</v>
      </c>
    </row>
    <row r="797" spans="1:8" x14ac:dyDescent="0.25">
      <c r="A797" t="s">
        <v>96</v>
      </c>
      <c r="B797" t="s">
        <v>191</v>
      </c>
      <c r="C797" t="s">
        <v>94</v>
      </c>
      <c r="D797">
        <v>0</v>
      </c>
      <c r="E797">
        <v>0</v>
      </c>
      <c r="F797">
        <v>0</v>
      </c>
      <c r="G797" s="10">
        <f t="shared" si="12"/>
        <v>0</v>
      </c>
      <c r="H797" t="str">
        <f>$A797&amp;Keys!$C$54&amp;$B797&amp;Keys!$C$54&amp;$C797</f>
        <v>IN|imports|biofuel diesel</v>
      </c>
    </row>
    <row r="798" spans="1:8" x14ac:dyDescent="0.25">
      <c r="A798" t="s">
        <v>96</v>
      </c>
      <c r="B798" t="s">
        <v>191</v>
      </c>
      <c r="C798" t="s">
        <v>97</v>
      </c>
      <c r="D798">
        <v>0</v>
      </c>
      <c r="E798">
        <v>0</v>
      </c>
      <c r="F798">
        <v>0</v>
      </c>
      <c r="G798" s="10">
        <f t="shared" si="12"/>
        <v>0</v>
      </c>
      <c r="H798" t="str">
        <f>$A798&amp;Keys!$C$54&amp;$B798&amp;Keys!$C$54&amp;$C798</f>
        <v>IN|imports|jet fuel or kerosene</v>
      </c>
    </row>
    <row r="799" spans="1:8" x14ac:dyDescent="0.25">
      <c r="A799" t="s">
        <v>96</v>
      </c>
      <c r="B799" t="s">
        <v>191</v>
      </c>
      <c r="C799" t="s">
        <v>100</v>
      </c>
      <c r="D799">
        <v>0</v>
      </c>
      <c r="E799">
        <v>0</v>
      </c>
      <c r="F799">
        <v>0</v>
      </c>
      <c r="G799" s="10">
        <f t="shared" si="12"/>
        <v>0</v>
      </c>
      <c r="H799" t="str">
        <f>$A799&amp;Keys!$C$54&amp;$B799&amp;Keys!$C$54&amp;$C799</f>
        <v>IN|imports|heat (not used in this variable)</v>
      </c>
    </row>
    <row r="800" spans="1:8" x14ac:dyDescent="0.25">
      <c r="A800" t="s">
        <v>96</v>
      </c>
      <c r="B800" t="s">
        <v>191</v>
      </c>
      <c r="C800" t="s">
        <v>103</v>
      </c>
      <c r="D800">
        <v>0</v>
      </c>
      <c r="E800">
        <v>0</v>
      </c>
      <c r="F800">
        <v>0</v>
      </c>
      <c r="G800" s="10">
        <f t="shared" si="12"/>
        <v>0</v>
      </c>
      <c r="H800" t="str">
        <f>$A800&amp;Keys!$C$54&amp;$B800&amp;Keys!$C$54&amp;$C800</f>
        <v>IN|imports|geothermal (is not a fuel)</v>
      </c>
    </row>
    <row r="801" spans="1:8" x14ac:dyDescent="0.25">
      <c r="A801" t="s">
        <v>96</v>
      </c>
      <c r="B801" t="s">
        <v>191</v>
      </c>
      <c r="C801" t="s">
        <v>106</v>
      </c>
      <c r="D801">
        <v>0</v>
      </c>
      <c r="E801">
        <v>0</v>
      </c>
      <c r="F801">
        <v>0</v>
      </c>
      <c r="G801" s="10">
        <f t="shared" si="12"/>
        <v>0</v>
      </c>
      <c r="H801" t="str">
        <f>$A801&amp;Keys!$C$54&amp;$B801&amp;Keys!$C$54&amp;$C801</f>
        <v>IN|imports|lignite</v>
      </c>
    </row>
    <row r="802" spans="1:8" x14ac:dyDescent="0.25">
      <c r="A802" t="s">
        <v>96</v>
      </c>
      <c r="B802" t="s">
        <v>191</v>
      </c>
      <c r="C802" t="s">
        <v>109</v>
      </c>
      <c r="D802">
        <v>0</v>
      </c>
      <c r="E802">
        <v>944584000000000</v>
      </c>
      <c r="F802">
        <v>945446000000000</v>
      </c>
      <c r="G802" s="10">
        <f t="shared" si="12"/>
        <v>630010000000000</v>
      </c>
      <c r="H802" t="str">
        <f>$A802&amp;Keys!$C$54&amp;$B802&amp;Keys!$C$54&amp;$C802</f>
        <v>IN|imports|crude oil</v>
      </c>
    </row>
    <row r="803" spans="1:8" x14ac:dyDescent="0.25">
      <c r="A803" t="s">
        <v>96</v>
      </c>
      <c r="B803" t="s">
        <v>191</v>
      </c>
      <c r="C803" t="s">
        <v>113</v>
      </c>
      <c r="D803">
        <v>0</v>
      </c>
      <c r="E803">
        <v>8634460000000</v>
      </c>
      <c r="F803">
        <v>9517140000000</v>
      </c>
      <c r="G803" s="10">
        <f t="shared" si="12"/>
        <v>6050533333333.333</v>
      </c>
      <c r="H803" t="str">
        <f>$A803&amp;Keys!$C$54&amp;$B803&amp;Keys!$C$54&amp;$C803</f>
        <v>IN|imports|heavy fuel oil</v>
      </c>
    </row>
    <row r="804" spans="1:8" x14ac:dyDescent="0.25">
      <c r="A804" t="s">
        <v>96</v>
      </c>
      <c r="B804" t="s">
        <v>191</v>
      </c>
      <c r="C804" t="s">
        <v>117</v>
      </c>
      <c r="D804">
        <v>0</v>
      </c>
      <c r="E804">
        <v>24542000000000</v>
      </c>
      <c r="F804">
        <v>24362700000000</v>
      </c>
      <c r="G804" s="10">
        <f t="shared" si="12"/>
        <v>16301566666666.666</v>
      </c>
      <c r="H804" t="str">
        <f>$A804&amp;Keys!$C$54&amp;$B804&amp;Keys!$C$54&amp;$C804</f>
        <v>IN|imports|LPG propane or butane</v>
      </c>
    </row>
    <row r="805" spans="1:8" x14ac:dyDescent="0.25">
      <c r="A805" t="s">
        <v>96</v>
      </c>
      <c r="B805" t="s">
        <v>191</v>
      </c>
      <c r="C805" t="s">
        <v>120</v>
      </c>
      <c r="D805">
        <v>0</v>
      </c>
      <c r="E805">
        <v>0</v>
      </c>
      <c r="F805">
        <v>0</v>
      </c>
      <c r="G805" s="10">
        <f t="shared" si="12"/>
        <v>0</v>
      </c>
      <c r="H805" t="str">
        <f>$A805&amp;Keys!$C$54&amp;$B805&amp;Keys!$C$54&amp;$C805</f>
        <v>IN|imports|municipal solid waste</v>
      </c>
    </row>
    <row r="806" spans="1:8" x14ac:dyDescent="0.25">
      <c r="A806" t="s">
        <v>96</v>
      </c>
      <c r="B806" t="s">
        <v>191</v>
      </c>
      <c r="C806" t="s">
        <v>123</v>
      </c>
      <c r="D806">
        <v>0</v>
      </c>
      <c r="E806">
        <v>26692600000000</v>
      </c>
      <c r="F806">
        <v>26180900000000</v>
      </c>
      <c r="G806" s="10">
        <f t="shared" si="12"/>
        <v>17624500000000</v>
      </c>
      <c r="H806" t="str">
        <f>$A806&amp;Keys!$C$54&amp;$B806&amp;Keys!$C$54&amp;$C806</f>
        <v>IN|imports|hydrogen</v>
      </c>
    </row>
    <row r="807" spans="1:8" x14ac:dyDescent="0.25">
      <c r="A807" t="s">
        <v>96</v>
      </c>
      <c r="B807" t="s">
        <v>193</v>
      </c>
      <c r="C807" t="s">
        <v>60</v>
      </c>
      <c r="D807">
        <v>0</v>
      </c>
      <c r="E807">
        <v>0</v>
      </c>
      <c r="F807">
        <v>0</v>
      </c>
      <c r="G807" s="10">
        <f t="shared" si="12"/>
        <v>0</v>
      </c>
      <c r="H807" t="str">
        <f>$A807&amp;Keys!$C$54&amp;$B807&amp;Keys!$C$54&amp;$C807</f>
        <v>IN|exports|electricity (not used in this variable)</v>
      </c>
    </row>
    <row r="808" spans="1:8" x14ac:dyDescent="0.25">
      <c r="A808" t="s">
        <v>96</v>
      </c>
      <c r="B808" t="s">
        <v>193</v>
      </c>
      <c r="C808" t="s">
        <v>64</v>
      </c>
      <c r="D808">
        <v>46266900000000</v>
      </c>
      <c r="E808">
        <v>46266900000000</v>
      </c>
      <c r="F808">
        <v>46018000000000</v>
      </c>
      <c r="G808" s="10">
        <f t="shared" si="12"/>
        <v>46183933333333.336</v>
      </c>
      <c r="H808" t="str">
        <f>$A808&amp;Keys!$C$54&amp;$B808&amp;Keys!$C$54&amp;$C808</f>
        <v>IN|exports|hard coal</v>
      </c>
    </row>
    <row r="809" spans="1:8" x14ac:dyDescent="0.25">
      <c r="A809" t="s">
        <v>96</v>
      </c>
      <c r="B809" t="s">
        <v>193</v>
      </c>
      <c r="C809" t="s">
        <v>68</v>
      </c>
      <c r="D809">
        <v>1409520000000000</v>
      </c>
      <c r="E809">
        <v>1409520000000000</v>
      </c>
      <c r="F809">
        <v>1413900000000000</v>
      </c>
      <c r="G809" s="10">
        <f t="shared" si="12"/>
        <v>1410980000000000</v>
      </c>
      <c r="H809" t="str">
        <f>$A809&amp;Keys!$C$54&amp;$B809&amp;Keys!$C$54&amp;$C809</f>
        <v>IN|exports|natural gas</v>
      </c>
    </row>
    <row r="810" spans="1:8" x14ac:dyDescent="0.25">
      <c r="A810" t="s">
        <v>96</v>
      </c>
      <c r="B810" t="s">
        <v>193</v>
      </c>
      <c r="C810" t="s">
        <v>71</v>
      </c>
      <c r="D810">
        <v>0</v>
      </c>
      <c r="E810">
        <v>0</v>
      </c>
      <c r="F810">
        <v>0</v>
      </c>
      <c r="G810" s="10">
        <f t="shared" si="12"/>
        <v>0</v>
      </c>
      <c r="H810" t="str">
        <f>$A810&amp;Keys!$C$54&amp;$B810&amp;Keys!$C$54&amp;$C810</f>
        <v>IN|exports|nuclear</v>
      </c>
    </row>
    <row r="811" spans="1:8" x14ac:dyDescent="0.25">
      <c r="A811" t="s">
        <v>96</v>
      </c>
      <c r="B811" t="s">
        <v>193</v>
      </c>
      <c r="C811" t="s">
        <v>74</v>
      </c>
      <c r="D811">
        <v>0</v>
      </c>
      <c r="E811">
        <v>0</v>
      </c>
      <c r="F811">
        <v>0</v>
      </c>
      <c r="G811" s="10">
        <f t="shared" si="12"/>
        <v>0</v>
      </c>
      <c r="H811" t="str">
        <f>$A811&amp;Keys!$C$54&amp;$B811&amp;Keys!$C$54&amp;$C811</f>
        <v>IN|exports|hydro (is not a fuel)</v>
      </c>
    </row>
    <row r="812" spans="1:8" x14ac:dyDescent="0.25">
      <c r="A812" t="s">
        <v>96</v>
      </c>
      <c r="B812" t="s">
        <v>193</v>
      </c>
      <c r="C812" t="s">
        <v>77</v>
      </c>
      <c r="D812">
        <v>0</v>
      </c>
      <c r="E812">
        <v>0</v>
      </c>
      <c r="F812">
        <v>0</v>
      </c>
      <c r="G812" s="10">
        <f t="shared" si="12"/>
        <v>0</v>
      </c>
      <c r="H812" t="str">
        <f>$A812&amp;Keys!$C$54&amp;$B812&amp;Keys!$C$54&amp;$C812</f>
        <v>IN|exports|wind (is not a fuel)</v>
      </c>
    </row>
    <row r="813" spans="1:8" x14ac:dyDescent="0.25">
      <c r="A813" t="s">
        <v>96</v>
      </c>
      <c r="B813" t="s">
        <v>193</v>
      </c>
      <c r="C813" t="s">
        <v>80</v>
      </c>
      <c r="D813">
        <v>0</v>
      </c>
      <c r="E813">
        <v>0</v>
      </c>
      <c r="F813">
        <v>0</v>
      </c>
      <c r="G813" s="10">
        <f t="shared" si="12"/>
        <v>0</v>
      </c>
      <c r="H813" t="str">
        <f>$A813&amp;Keys!$C$54&amp;$B813&amp;Keys!$C$54&amp;$C813</f>
        <v>IN|exports|solar (is not a fuel)</v>
      </c>
    </row>
    <row r="814" spans="1:8" x14ac:dyDescent="0.25">
      <c r="A814" t="s">
        <v>96</v>
      </c>
      <c r="B814" t="s">
        <v>193</v>
      </c>
      <c r="C814" t="s">
        <v>82</v>
      </c>
      <c r="D814">
        <v>0</v>
      </c>
      <c r="E814">
        <v>0</v>
      </c>
      <c r="F814">
        <v>0</v>
      </c>
      <c r="G814" s="10">
        <f t="shared" si="12"/>
        <v>0</v>
      </c>
      <c r="H814" t="str">
        <f>$A814&amp;Keys!$C$54&amp;$B814&amp;Keys!$C$54&amp;$C814</f>
        <v>IN|exports|biomass</v>
      </c>
    </row>
    <row r="815" spans="1:8" x14ac:dyDescent="0.25">
      <c r="A815" t="s">
        <v>96</v>
      </c>
      <c r="B815" t="s">
        <v>193</v>
      </c>
      <c r="C815" t="s">
        <v>85</v>
      </c>
      <c r="D815">
        <v>0</v>
      </c>
      <c r="E815">
        <v>154959000000000</v>
      </c>
      <c r="F815">
        <v>148391000000000</v>
      </c>
      <c r="G815" s="10">
        <f t="shared" si="12"/>
        <v>101116666666666.67</v>
      </c>
      <c r="H815" t="str">
        <f>$A815&amp;Keys!$C$54&amp;$B815&amp;Keys!$C$54&amp;$C815</f>
        <v>IN|exports|petroleum gasoline</v>
      </c>
    </row>
    <row r="816" spans="1:8" x14ac:dyDescent="0.25">
      <c r="A816" t="s">
        <v>96</v>
      </c>
      <c r="B816" t="s">
        <v>193</v>
      </c>
      <c r="C816" t="s">
        <v>88</v>
      </c>
      <c r="D816">
        <v>0</v>
      </c>
      <c r="E816">
        <v>42648400000000</v>
      </c>
      <c r="F816">
        <v>35778400000000</v>
      </c>
      <c r="G816" s="10">
        <f t="shared" si="12"/>
        <v>26142266666666.668</v>
      </c>
      <c r="H816" t="str">
        <f>$A816&amp;Keys!$C$54&amp;$B816&amp;Keys!$C$54&amp;$C816</f>
        <v>IN|exports|petroleum diesel</v>
      </c>
    </row>
    <row r="817" spans="1:8" x14ac:dyDescent="0.25">
      <c r="A817" t="s">
        <v>96</v>
      </c>
      <c r="B817" t="s">
        <v>193</v>
      </c>
      <c r="C817" t="s">
        <v>91</v>
      </c>
      <c r="D817">
        <v>0</v>
      </c>
      <c r="E817">
        <v>89377200000000</v>
      </c>
      <c r="F817">
        <v>90013600000000</v>
      </c>
      <c r="G817" s="10">
        <f t="shared" si="12"/>
        <v>59796933333333.336</v>
      </c>
      <c r="H817" t="str">
        <f>$A817&amp;Keys!$C$54&amp;$B817&amp;Keys!$C$54&amp;$C817</f>
        <v>IN|exports|biofuel gasoline</v>
      </c>
    </row>
    <row r="818" spans="1:8" x14ac:dyDescent="0.25">
      <c r="A818" t="s">
        <v>96</v>
      </c>
      <c r="B818" t="s">
        <v>193</v>
      </c>
      <c r="C818" t="s">
        <v>94</v>
      </c>
      <c r="D818">
        <v>0</v>
      </c>
      <c r="E818">
        <v>27896500000000</v>
      </c>
      <c r="F818">
        <v>33923800000000</v>
      </c>
      <c r="G818" s="10">
        <f t="shared" si="12"/>
        <v>20606766666666.668</v>
      </c>
      <c r="H818" t="str">
        <f>$A818&amp;Keys!$C$54&amp;$B818&amp;Keys!$C$54&amp;$C818</f>
        <v>IN|exports|biofuel diesel</v>
      </c>
    </row>
    <row r="819" spans="1:8" x14ac:dyDescent="0.25">
      <c r="A819" t="s">
        <v>96</v>
      </c>
      <c r="B819" t="s">
        <v>193</v>
      </c>
      <c r="C819" t="s">
        <v>97</v>
      </c>
      <c r="D819">
        <v>0</v>
      </c>
      <c r="E819">
        <v>73600000000000</v>
      </c>
      <c r="F819">
        <v>70785000000000</v>
      </c>
      <c r="G819" s="10">
        <f t="shared" si="12"/>
        <v>48128333333333.336</v>
      </c>
      <c r="H819" t="str">
        <f>$A819&amp;Keys!$C$54&amp;$B819&amp;Keys!$C$54&amp;$C819</f>
        <v>IN|exports|jet fuel or kerosene</v>
      </c>
    </row>
    <row r="820" spans="1:8" x14ac:dyDescent="0.25">
      <c r="A820" t="s">
        <v>96</v>
      </c>
      <c r="B820" t="s">
        <v>193</v>
      </c>
      <c r="C820" t="s">
        <v>100</v>
      </c>
      <c r="D820">
        <v>0</v>
      </c>
      <c r="E820">
        <v>0</v>
      </c>
      <c r="F820">
        <v>0</v>
      </c>
      <c r="G820" s="10">
        <f t="shared" si="12"/>
        <v>0</v>
      </c>
      <c r="H820" t="str">
        <f>$A820&amp;Keys!$C$54&amp;$B820&amp;Keys!$C$54&amp;$C820</f>
        <v>IN|exports|heat (not used in this variable)</v>
      </c>
    </row>
    <row r="821" spans="1:8" x14ac:dyDescent="0.25">
      <c r="A821" t="s">
        <v>96</v>
      </c>
      <c r="B821" t="s">
        <v>193</v>
      </c>
      <c r="C821" t="s">
        <v>103</v>
      </c>
      <c r="D821">
        <v>0</v>
      </c>
      <c r="E821">
        <v>0</v>
      </c>
      <c r="F821">
        <v>0</v>
      </c>
      <c r="G821" s="10">
        <f t="shared" si="12"/>
        <v>0</v>
      </c>
      <c r="H821" t="str">
        <f>$A821&amp;Keys!$C$54&amp;$B821&amp;Keys!$C$54&amp;$C821</f>
        <v>IN|exports|geothermal (is not a fuel)</v>
      </c>
    </row>
    <row r="822" spans="1:8" x14ac:dyDescent="0.25">
      <c r="A822" t="s">
        <v>96</v>
      </c>
      <c r="B822" t="s">
        <v>193</v>
      </c>
      <c r="C822" t="s">
        <v>106</v>
      </c>
      <c r="D822">
        <v>0</v>
      </c>
      <c r="E822">
        <v>0</v>
      </c>
      <c r="F822">
        <v>0</v>
      </c>
      <c r="G822" s="10">
        <f t="shared" si="12"/>
        <v>0</v>
      </c>
      <c r="H822" t="str">
        <f>$A822&amp;Keys!$C$54&amp;$B822&amp;Keys!$C$54&amp;$C822</f>
        <v>IN|exports|lignite</v>
      </c>
    </row>
    <row r="823" spans="1:8" x14ac:dyDescent="0.25">
      <c r="A823" t="s">
        <v>96</v>
      </c>
      <c r="B823" t="s">
        <v>193</v>
      </c>
      <c r="C823" t="s">
        <v>109</v>
      </c>
      <c r="D823">
        <v>0</v>
      </c>
      <c r="E823">
        <v>0</v>
      </c>
      <c r="F823">
        <v>0</v>
      </c>
      <c r="G823" s="10">
        <f t="shared" si="12"/>
        <v>0</v>
      </c>
      <c r="H823" t="str">
        <f>$A823&amp;Keys!$C$54&amp;$B823&amp;Keys!$C$54&amp;$C823</f>
        <v>IN|exports|crude oil</v>
      </c>
    </row>
    <row r="824" spans="1:8" x14ac:dyDescent="0.25">
      <c r="A824" t="s">
        <v>96</v>
      </c>
      <c r="B824" t="s">
        <v>193</v>
      </c>
      <c r="C824" t="s">
        <v>113</v>
      </c>
      <c r="D824">
        <v>0</v>
      </c>
      <c r="E824">
        <v>0</v>
      </c>
      <c r="F824">
        <v>0</v>
      </c>
      <c r="G824" s="10">
        <f t="shared" si="12"/>
        <v>0</v>
      </c>
      <c r="H824" t="str">
        <f>$A824&amp;Keys!$C$54&amp;$B824&amp;Keys!$C$54&amp;$C824</f>
        <v>IN|exports|heavy fuel oil</v>
      </c>
    </row>
    <row r="825" spans="1:8" x14ac:dyDescent="0.25">
      <c r="A825" t="s">
        <v>96</v>
      </c>
      <c r="B825" t="s">
        <v>193</v>
      </c>
      <c r="C825" t="s">
        <v>117</v>
      </c>
      <c r="D825">
        <v>0</v>
      </c>
      <c r="E825">
        <v>0</v>
      </c>
      <c r="F825">
        <v>0</v>
      </c>
      <c r="G825" s="10">
        <f t="shared" si="12"/>
        <v>0</v>
      </c>
      <c r="H825" t="str">
        <f>$A825&amp;Keys!$C$54&amp;$B825&amp;Keys!$C$54&amp;$C825</f>
        <v>IN|exports|LPG propane or butane</v>
      </c>
    </row>
    <row r="826" spans="1:8" x14ac:dyDescent="0.25">
      <c r="A826" t="s">
        <v>96</v>
      </c>
      <c r="B826" t="s">
        <v>193</v>
      </c>
      <c r="C826" t="s">
        <v>120</v>
      </c>
      <c r="D826">
        <v>0</v>
      </c>
      <c r="E826">
        <v>0</v>
      </c>
      <c r="F826">
        <v>0</v>
      </c>
      <c r="G826" s="10">
        <f t="shared" si="12"/>
        <v>0</v>
      </c>
      <c r="H826" t="str">
        <f>$A826&amp;Keys!$C$54&amp;$B826&amp;Keys!$C$54&amp;$C826</f>
        <v>IN|exports|municipal solid waste</v>
      </c>
    </row>
    <row r="827" spans="1:8" x14ac:dyDescent="0.25">
      <c r="A827" t="s">
        <v>96</v>
      </c>
      <c r="B827" t="s">
        <v>193</v>
      </c>
      <c r="C827" t="s">
        <v>123</v>
      </c>
      <c r="D827">
        <v>0</v>
      </c>
      <c r="E827">
        <v>0</v>
      </c>
      <c r="F827">
        <v>0</v>
      </c>
      <c r="G827" s="10">
        <f t="shared" si="12"/>
        <v>0</v>
      </c>
      <c r="H827" t="str">
        <f>$A827&amp;Keys!$C$54&amp;$B827&amp;Keys!$C$54&amp;$C827</f>
        <v>IN|exports|hydrogen</v>
      </c>
    </row>
    <row r="828" spans="1:8" x14ac:dyDescent="0.25">
      <c r="A828" t="s">
        <v>99</v>
      </c>
      <c r="B828" t="s">
        <v>188</v>
      </c>
      <c r="C828" t="s">
        <v>60</v>
      </c>
      <c r="D828">
        <v>0</v>
      </c>
      <c r="E828">
        <v>0</v>
      </c>
      <c r="F828">
        <v>0</v>
      </c>
      <c r="G828" s="10">
        <f t="shared" si="12"/>
        <v>0</v>
      </c>
      <c r="H828" t="str">
        <f>$A828&amp;Keys!$C$54&amp;$B828&amp;Keys!$C$54&amp;$C828</f>
        <v>KS|production|electricity (not used in this variable)</v>
      </c>
    </row>
    <row r="829" spans="1:8" x14ac:dyDescent="0.25">
      <c r="A829" t="s">
        <v>99</v>
      </c>
      <c r="B829" t="s">
        <v>188</v>
      </c>
      <c r="C829" t="s">
        <v>64</v>
      </c>
      <c r="D829">
        <v>0</v>
      </c>
      <c r="E829">
        <v>0</v>
      </c>
      <c r="F829">
        <v>0</v>
      </c>
      <c r="G829" s="10">
        <f t="shared" si="12"/>
        <v>0</v>
      </c>
      <c r="H829" t="str">
        <f>$A829&amp;Keys!$C$54&amp;$B829&amp;Keys!$C$54&amp;$C829</f>
        <v>KS|production|hard coal</v>
      </c>
    </row>
    <row r="830" spans="1:8" x14ac:dyDescent="0.25">
      <c r="A830" t="s">
        <v>99</v>
      </c>
      <c r="B830" t="s">
        <v>188</v>
      </c>
      <c r="C830" t="s">
        <v>68</v>
      </c>
      <c r="D830">
        <v>119878000000000</v>
      </c>
      <c r="E830">
        <v>119878000000000</v>
      </c>
      <c r="F830">
        <v>108690000000000</v>
      </c>
      <c r="G830" s="10">
        <f t="shared" si="12"/>
        <v>116148666666666.67</v>
      </c>
      <c r="H830" t="str">
        <f>$A830&amp;Keys!$C$54&amp;$B830&amp;Keys!$C$54&amp;$C830</f>
        <v>KS|production|natural gas</v>
      </c>
    </row>
    <row r="831" spans="1:8" x14ac:dyDescent="0.25">
      <c r="A831" t="s">
        <v>99</v>
      </c>
      <c r="B831" t="s">
        <v>188</v>
      </c>
      <c r="C831" t="s">
        <v>71</v>
      </c>
      <c r="D831">
        <v>0</v>
      </c>
      <c r="E831">
        <v>0</v>
      </c>
      <c r="F831">
        <v>0</v>
      </c>
      <c r="G831" s="10">
        <f t="shared" si="12"/>
        <v>0</v>
      </c>
      <c r="H831" t="str">
        <f>$A831&amp;Keys!$C$54&amp;$B831&amp;Keys!$C$54&amp;$C831</f>
        <v>KS|production|nuclear</v>
      </c>
    </row>
    <row r="832" spans="1:8" x14ac:dyDescent="0.25">
      <c r="A832" t="s">
        <v>99</v>
      </c>
      <c r="B832" t="s">
        <v>188</v>
      </c>
      <c r="C832" t="s">
        <v>74</v>
      </c>
      <c r="D832">
        <v>0</v>
      </c>
      <c r="E832">
        <v>0</v>
      </c>
      <c r="F832">
        <v>0</v>
      </c>
      <c r="G832" s="10">
        <f t="shared" si="12"/>
        <v>0</v>
      </c>
      <c r="H832" t="str">
        <f>$A832&amp;Keys!$C$54&amp;$B832&amp;Keys!$C$54&amp;$C832</f>
        <v>KS|production|hydro (is not a fuel)</v>
      </c>
    </row>
    <row r="833" spans="1:8" x14ac:dyDescent="0.25">
      <c r="A833" t="s">
        <v>99</v>
      </c>
      <c r="B833" t="s">
        <v>188</v>
      </c>
      <c r="C833" t="s">
        <v>77</v>
      </c>
      <c r="D833">
        <v>0</v>
      </c>
      <c r="E833">
        <v>0</v>
      </c>
      <c r="F833">
        <v>0</v>
      </c>
      <c r="G833" s="10">
        <f t="shared" si="12"/>
        <v>0</v>
      </c>
      <c r="H833" t="str">
        <f>$A833&amp;Keys!$C$54&amp;$B833&amp;Keys!$C$54&amp;$C833</f>
        <v>KS|production|wind (is not a fuel)</v>
      </c>
    </row>
    <row r="834" spans="1:8" x14ac:dyDescent="0.25">
      <c r="A834" t="s">
        <v>99</v>
      </c>
      <c r="B834" t="s">
        <v>188</v>
      </c>
      <c r="C834" t="s">
        <v>80</v>
      </c>
      <c r="D834">
        <v>0</v>
      </c>
      <c r="E834">
        <v>0</v>
      </c>
      <c r="F834">
        <v>0</v>
      </c>
      <c r="G834" s="10">
        <f t="shared" si="12"/>
        <v>0</v>
      </c>
      <c r="H834" t="str">
        <f>$A834&amp;Keys!$C$54&amp;$B834&amp;Keys!$C$54&amp;$C834</f>
        <v>KS|production|solar (is not a fuel)</v>
      </c>
    </row>
    <row r="835" spans="1:8" x14ac:dyDescent="0.25">
      <c r="A835" t="s">
        <v>99</v>
      </c>
      <c r="B835" t="s">
        <v>188</v>
      </c>
      <c r="C835" t="s">
        <v>82</v>
      </c>
      <c r="D835">
        <v>0</v>
      </c>
      <c r="E835">
        <v>0</v>
      </c>
      <c r="F835">
        <v>0</v>
      </c>
      <c r="G835" s="10">
        <f t="shared" si="12"/>
        <v>0</v>
      </c>
      <c r="H835" t="str">
        <f>$A835&amp;Keys!$C$54&amp;$B835&amp;Keys!$C$54&amp;$C835</f>
        <v>KS|production|biomass</v>
      </c>
    </row>
    <row r="836" spans="1:8" x14ac:dyDescent="0.25">
      <c r="A836" t="s">
        <v>99</v>
      </c>
      <c r="B836" t="s">
        <v>188</v>
      </c>
      <c r="C836" t="s">
        <v>85</v>
      </c>
      <c r="D836">
        <v>396158000000000</v>
      </c>
      <c r="E836">
        <v>396158000000000</v>
      </c>
      <c r="F836">
        <v>386556000000000</v>
      </c>
      <c r="G836" s="10">
        <f t="shared" si="12"/>
        <v>392957333333333.31</v>
      </c>
      <c r="H836" t="str">
        <f>$A836&amp;Keys!$C$54&amp;$B836&amp;Keys!$C$54&amp;$C836</f>
        <v>KS|production|petroleum gasoline</v>
      </c>
    </row>
    <row r="837" spans="1:8" x14ac:dyDescent="0.25">
      <c r="A837" t="s">
        <v>99</v>
      </c>
      <c r="B837" t="s">
        <v>188</v>
      </c>
      <c r="C837" t="s">
        <v>88</v>
      </c>
      <c r="D837">
        <v>234334000000000</v>
      </c>
      <c r="E837">
        <v>234334000000000</v>
      </c>
      <c r="F837">
        <v>228654000000000</v>
      </c>
      <c r="G837" s="10">
        <f t="shared" si="12"/>
        <v>232440666666666.66</v>
      </c>
      <c r="H837" t="str">
        <f>$A837&amp;Keys!$C$54&amp;$B837&amp;Keys!$C$54&amp;$C837</f>
        <v>KS|production|petroleum diesel</v>
      </c>
    </row>
    <row r="838" spans="1:8" x14ac:dyDescent="0.25">
      <c r="A838" t="s">
        <v>99</v>
      </c>
      <c r="B838" t="s">
        <v>188</v>
      </c>
      <c r="C838" t="s">
        <v>91</v>
      </c>
      <c r="D838">
        <v>45080000000000</v>
      </c>
      <c r="E838">
        <v>45080000000000</v>
      </c>
      <c r="F838">
        <v>45206900000000</v>
      </c>
      <c r="G838" s="10">
        <f t="shared" si="12"/>
        <v>45122300000000</v>
      </c>
      <c r="H838" t="str">
        <f>$A838&amp;Keys!$C$54&amp;$B838&amp;Keys!$C$54&amp;$C838</f>
        <v>KS|production|biofuel gasoline</v>
      </c>
    </row>
    <row r="839" spans="1:8" x14ac:dyDescent="0.25">
      <c r="A839" t="s">
        <v>99</v>
      </c>
      <c r="B839" t="s">
        <v>188</v>
      </c>
      <c r="C839" t="s">
        <v>94</v>
      </c>
      <c r="D839">
        <v>30233100000000</v>
      </c>
      <c r="E839">
        <v>30233100000000</v>
      </c>
      <c r="F839">
        <v>35912800000000</v>
      </c>
      <c r="G839" s="10">
        <f t="shared" si="12"/>
        <v>32126333333333.332</v>
      </c>
      <c r="H839" t="str">
        <f>$A839&amp;Keys!$C$54&amp;$B839&amp;Keys!$C$54&amp;$C839</f>
        <v>KS|production|biofuel diesel</v>
      </c>
    </row>
    <row r="840" spans="1:8" x14ac:dyDescent="0.25">
      <c r="A840" t="s">
        <v>99</v>
      </c>
      <c r="B840" t="s">
        <v>188</v>
      </c>
      <c r="C840" t="s">
        <v>97</v>
      </c>
      <c r="D840">
        <v>83418000000000</v>
      </c>
      <c r="E840">
        <v>83418000000000</v>
      </c>
      <c r="F840">
        <v>81396100000000</v>
      </c>
      <c r="G840" s="10">
        <f t="shared" si="12"/>
        <v>82744033333333.328</v>
      </c>
      <c r="H840" t="str">
        <f>$A840&amp;Keys!$C$54&amp;$B840&amp;Keys!$C$54&amp;$C840</f>
        <v>KS|production|jet fuel or kerosene</v>
      </c>
    </row>
    <row r="841" spans="1:8" x14ac:dyDescent="0.25">
      <c r="A841" t="s">
        <v>99</v>
      </c>
      <c r="B841" t="s">
        <v>188</v>
      </c>
      <c r="C841" t="s">
        <v>100</v>
      </c>
      <c r="D841">
        <v>0</v>
      </c>
      <c r="E841">
        <v>0</v>
      </c>
      <c r="F841">
        <v>0</v>
      </c>
      <c r="G841" s="10">
        <f t="shared" ref="G841:G904" si="13">AVERAGE($D841:$F841)</f>
        <v>0</v>
      </c>
      <c r="H841" t="str">
        <f>$A841&amp;Keys!$C$54&amp;$B841&amp;Keys!$C$54&amp;$C841</f>
        <v>KS|production|heat (not used in this variable)</v>
      </c>
    </row>
    <row r="842" spans="1:8" x14ac:dyDescent="0.25">
      <c r="A842" t="s">
        <v>99</v>
      </c>
      <c r="B842" t="s">
        <v>188</v>
      </c>
      <c r="C842" t="s">
        <v>103</v>
      </c>
      <c r="D842">
        <v>0</v>
      </c>
      <c r="E842">
        <v>0</v>
      </c>
      <c r="F842">
        <v>0</v>
      </c>
      <c r="G842" s="10">
        <f t="shared" si="13"/>
        <v>0</v>
      </c>
      <c r="H842" t="str">
        <f>$A842&amp;Keys!$C$54&amp;$B842&amp;Keys!$C$54&amp;$C842</f>
        <v>KS|production|geothermal (is not a fuel)</v>
      </c>
    </row>
    <row r="843" spans="1:8" x14ac:dyDescent="0.25">
      <c r="A843" t="s">
        <v>99</v>
      </c>
      <c r="B843" t="s">
        <v>188</v>
      </c>
      <c r="C843" t="s">
        <v>106</v>
      </c>
      <c r="D843">
        <v>0</v>
      </c>
      <c r="E843">
        <v>0</v>
      </c>
      <c r="F843">
        <v>0</v>
      </c>
      <c r="G843" s="10">
        <f t="shared" si="13"/>
        <v>0</v>
      </c>
      <c r="H843" t="str">
        <f>$A843&amp;Keys!$C$54&amp;$B843&amp;Keys!$C$54&amp;$C843</f>
        <v>KS|production|lignite</v>
      </c>
    </row>
    <row r="844" spans="1:8" x14ac:dyDescent="0.25">
      <c r="A844" t="s">
        <v>99</v>
      </c>
      <c r="B844" t="s">
        <v>188</v>
      </c>
      <c r="C844" t="s">
        <v>109</v>
      </c>
      <c r="D844">
        <v>155608000000000</v>
      </c>
      <c r="E844">
        <v>155608000000000</v>
      </c>
      <c r="F844">
        <v>150838000000000</v>
      </c>
      <c r="G844" s="10">
        <f t="shared" si="13"/>
        <v>154018000000000</v>
      </c>
      <c r="H844" t="str">
        <f>$A844&amp;Keys!$C$54&amp;$B844&amp;Keys!$C$54&amp;$C844</f>
        <v>KS|production|crude oil</v>
      </c>
    </row>
    <row r="845" spans="1:8" x14ac:dyDescent="0.25">
      <c r="A845" t="s">
        <v>99</v>
      </c>
      <c r="B845" t="s">
        <v>188</v>
      </c>
      <c r="C845" t="s">
        <v>113</v>
      </c>
      <c r="D845">
        <v>16204200000000</v>
      </c>
      <c r="E845">
        <v>16204200000000</v>
      </c>
      <c r="F845">
        <v>15811500000000</v>
      </c>
      <c r="G845" s="10">
        <f t="shared" si="13"/>
        <v>16073300000000</v>
      </c>
      <c r="H845" t="str">
        <f>$A845&amp;Keys!$C$54&amp;$B845&amp;Keys!$C$54&amp;$C845</f>
        <v>KS|production|heavy fuel oil</v>
      </c>
    </row>
    <row r="846" spans="1:8" x14ac:dyDescent="0.25">
      <c r="A846" t="s">
        <v>99</v>
      </c>
      <c r="B846" t="s">
        <v>188</v>
      </c>
      <c r="C846" t="s">
        <v>117</v>
      </c>
      <c r="D846">
        <v>14655000000000</v>
      </c>
      <c r="E846">
        <v>14655000000000</v>
      </c>
      <c r="F846">
        <v>14966200000000</v>
      </c>
      <c r="G846" s="10">
        <f t="shared" si="13"/>
        <v>14758733333333.334</v>
      </c>
      <c r="H846" t="str">
        <f>$A846&amp;Keys!$C$54&amp;$B846&amp;Keys!$C$54&amp;$C846</f>
        <v>KS|production|LPG propane or butane</v>
      </c>
    </row>
    <row r="847" spans="1:8" x14ac:dyDescent="0.25">
      <c r="A847" t="s">
        <v>99</v>
      </c>
      <c r="B847" t="s">
        <v>188</v>
      </c>
      <c r="C847" t="s">
        <v>120</v>
      </c>
      <c r="D847">
        <v>0</v>
      </c>
      <c r="E847">
        <v>0</v>
      </c>
      <c r="F847">
        <v>0</v>
      </c>
      <c r="G847" s="10">
        <f t="shared" si="13"/>
        <v>0</v>
      </c>
      <c r="H847" t="str">
        <f>$A847&amp;Keys!$C$54&amp;$B847&amp;Keys!$C$54&amp;$C847</f>
        <v>KS|production|municipal solid waste</v>
      </c>
    </row>
    <row r="848" spans="1:8" x14ac:dyDescent="0.25">
      <c r="A848" t="s">
        <v>99</v>
      </c>
      <c r="B848" t="s">
        <v>188</v>
      </c>
      <c r="C848" t="s">
        <v>123</v>
      </c>
      <c r="D848">
        <v>18505500000000</v>
      </c>
      <c r="E848">
        <v>18505500000000</v>
      </c>
      <c r="F848">
        <v>17574600000000</v>
      </c>
      <c r="G848" s="10">
        <f t="shared" si="13"/>
        <v>18195200000000</v>
      </c>
      <c r="H848" t="str">
        <f>$A848&amp;Keys!$C$54&amp;$B848&amp;Keys!$C$54&amp;$C848</f>
        <v>KS|production|hydrogen</v>
      </c>
    </row>
    <row r="849" spans="1:8" x14ac:dyDescent="0.25">
      <c r="A849" t="s">
        <v>99</v>
      </c>
      <c r="B849" t="s">
        <v>191</v>
      </c>
      <c r="C849" t="s">
        <v>60</v>
      </c>
      <c r="D849">
        <v>0</v>
      </c>
      <c r="E849">
        <v>0</v>
      </c>
      <c r="F849">
        <v>0</v>
      </c>
      <c r="G849" s="10">
        <f t="shared" si="13"/>
        <v>0</v>
      </c>
      <c r="H849" t="str">
        <f>$A849&amp;Keys!$C$54&amp;$B849&amp;Keys!$C$54&amp;$C849</f>
        <v>KS|imports|electricity (not used in this variable)</v>
      </c>
    </row>
    <row r="850" spans="1:8" x14ac:dyDescent="0.25">
      <c r="A850" t="s">
        <v>99</v>
      </c>
      <c r="B850" t="s">
        <v>191</v>
      </c>
      <c r="C850" t="s">
        <v>64</v>
      </c>
      <c r="D850">
        <v>189609000000000</v>
      </c>
      <c r="E850">
        <v>184468000000000</v>
      </c>
      <c r="F850">
        <v>172424000000000</v>
      </c>
      <c r="G850" s="10">
        <f t="shared" si="13"/>
        <v>182167000000000</v>
      </c>
      <c r="H850" t="str">
        <f>$A850&amp;Keys!$C$54&amp;$B850&amp;Keys!$C$54&amp;$C850</f>
        <v>KS|imports|hard coal</v>
      </c>
    </row>
    <row r="851" spans="1:8" x14ac:dyDescent="0.25">
      <c r="A851" t="s">
        <v>99</v>
      </c>
      <c r="B851" t="s">
        <v>191</v>
      </c>
      <c r="C851" t="s">
        <v>68</v>
      </c>
      <c r="D851">
        <v>1391840000000000</v>
      </c>
      <c r="E851">
        <v>1387380000000000</v>
      </c>
      <c r="F851">
        <v>1281970000000000</v>
      </c>
      <c r="G851" s="10">
        <f t="shared" si="13"/>
        <v>1353730000000000</v>
      </c>
      <c r="H851" t="str">
        <f>$A851&amp;Keys!$C$54&amp;$B851&amp;Keys!$C$54&amp;$C851</f>
        <v>KS|imports|natural gas</v>
      </c>
    </row>
    <row r="852" spans="1:8" x14ac:dyDescent="0.25">
      <c r="A852" t="s">
        <v>99</v>
      </c>
      <c r="B852" t="s">
        <v>191</v>
      </c>
      <c r="C852" t="s">
        <v>71</v>
      </c>
      <c r="D852">
        <v>96120000000000</v>
      </c>
      <c r="E852">
        <v>96743800000000</v>
      </c>
      <c r="F852">
        <v>96430400000000</v>
      </c>
      <c r="G852" s="10">
        <f t="shared" si="13"/>
        <v>96431400000000</v>
      </c>
      <c r="H852" t="str">
        <f>$A852&amp;Keys!$C$54&amp;$B852&amp;Keys!$C$54&amp;$C852</f>
        <v>KS|imports|nuclear</v>
      </c>
    </row>
    <row r="853" spans="1:8" x14ac:dyDescent="0.25">
      <c r="A853" t="s">
        <v>99</v>
      </c>
      <c r="B853" t="s">
        <v>191</v>
      </c>
      <c r="C853" t="s">
        <v>74</v>
      </c>
      <c r="D853">
        <v>0</v>
      </c>
      <c r="E853">
        <v>0</v>
      </c>
      <c r="F853">
        <v>0</v>
      </c>
      <c r="G853" s="10">
        <f t="shared" si="13"/>
        <v>0</v>
      </c>
      <c r="H853" t="str">
        <f>$A853&amp;Keys!$C$54&amp;$B853&amp;Keys!$C$54&amp;$C853</f>
        <v>KS|imports|hydro (is not a fuel)</v>
      </c>
    </row>
    <row r="854" spans="1:8" x14ac:dyDescent="0.25">
      <c r="A854" t="s">
        <v>99</v>
      </c>
      <c r="B854" t="s">
        <v>191</v>
      </c>
      <c r="C854" t="s">
        <v>77</v>
      </c>
      <c r="D854">
        <v>0</v>
      </c>
      <c r="E854">
        <v>0</v>
      </c>
      <c r="F854">
        <v>0</v>
      </c>
      <c r="G854" s="10">
        <f t="shared" si="13"/>
        <v>0</v>
      </c>
      <c r="H854" t="str">
        <f>$A854&amp;Keys!$C$54&amp;$B854&amp;Keys!$C$54&amp;$C854</f>
        <v>KS|imports|wind (is not a fuel)</v>
      </c>
    </row>
    <row r="855" spans="1:8" x14ac:dyDescent="0.25">
      <c r="A855" t="s">
        <v>99</v>
      </c>
      <c r="B855" t="s">
        <v>191</v>
      </c>
      <c r="C855" t="s">
        <v>80</v>
      </c>
      <c r="D855">
        <v>0</v>
      </c>
      <c r="E855">
        <v>0</v>
      </c>
      <c r="F855">
        <v>0</v>
      </c>
      <c r="G855" s="10">
        <f t="shared" si="13"/>
        <v>0</v>
      </c>
      <c r="H855" t="str">
        <f>$A855&amp;Keys!$C$54&amp;$B855&amp;Keys!$C$54&amp;$C855</f>
        <v>KS|imports|solar (is not a fuel)</v>
      </c>
    </row>
    <row r="856" spans="1:8" x14ac:dyDescent="0.25">
      <c r="A856" t="s">
        <v>99</v>
      </c>
      <c r="B856" t="s">
        <v>191</v>
      </c>
      <c r="C856" t="s">
        <v>82</v>
      </c>
      <c r="D856">
        <v>0</v>
      </c>
      <c r="E856">
        <v>5441410000000</v>
      </c>
      <c r="F856">
        <v>5172420000000</v>
      </c>
      <c r="G856" s="10">
        <f t="shared" si="13"/>
        <v>3537943333333.3335</v>
      </c>
      <c r="H856" t="str">
        <f>$A856&amp;Keys!$C$54&amp;$B856&amp;Keys!$C$54&amp;$C856</f>
        <v>KS|imports|biomass</v>
      </c>
    </row>
    <row r="857" spans="1:8" x14ac:dyDescent="0.25">
      <c r="A857" t="s">
        <v>99</v>
      </c>
      <c r="B857" t="s">
        <v>191</v>
      </c>
      <c r="C857" t="s">
        <v>85</v>
      </c>
      <c r="D857">
        <v>0</v>
      </c>
      <c r="E857">
        <v>0</v>
      </c>
      <c r="F857">
        <v>0</v>
      </c>
      <c r="G857" s="10">
        <f t="shared" si="13"/>
        <v>0</v>
      </c>
      <c r="H857" t="str">
        <f>$A857&amp;Keys!$C$54&amp;$B857&amp;Keys!$C$54&amp;$C857</f>
        <v>KS|imports|petroleum gasoline</v>
      </c>
    </row>
    <row r="858" spans="1:8" x14ac:dyDescent="0.25">
      <c r="A858" t="s">
        <v>99</v>
      </c>
      <c r="B858" t="s">
        <v>191</v>
      </c>
      <c r="C858" t="s">
        <v>88</v>
      </c>
      <c r="D858">
        <v>0</v>
      </c>
      <c r="E858">
        <v>0</v>
      </c>
      <c r="F858">
        <v>0</v>
      </c>
      <c r="G858" s="10">
        <f t="shared" si="13"/>
        <v>0</v>
      </c>
      <c r="H858" t="str">
        <f>$A858&amp;Keys!$C$54&amp;$B858&amp;Keys!$C$54&amp;$C858</f>
        <v>KS|imports|petroleum diesel</v>
      </c>
    </row>
    <row r="859" spans="1:8" x14ac:dyDescent="0.25">
      <c r="A859" t="s">
        <v>99</v>
      </c>
      <c r="B859" t="s">
        <v>191</v>
      </c>
      <c r="C859" t="s">
        <v>91</v>
      </c>
      <c r="D859">
        <v>0</v>
      </c>
      <c r="E859">
        <v>3627530000000</v>
      </c>
      <c r="F859">
        <v>3481330000000</v>
      </c>
      <c r="G859" s="10">
        <f t="shared" si="13"/>
        <v>2369620000000</v>
      </c>
      <c r="H859" t="str">
        <f>$A859&amp;Keys!$C$54&amp;$B859&amp;Keys!$C$54&amp;$C859</f>
        <v>KS|imports|biofuel gasoline</v>
      </c>
    </row>
    <row r="860" spans="1:8" x14ac:dyDescent="0.25">
      <c r="A860" t="s">
        <v>99</v>
      </c>
      <c r="B860" t="s">
        <v>191</v>
      </c>
      <c r="C860" t="s">
        <v>94</v>
      </c>
      <c r="D860">
        <v>0</v>
      </c>
      <c r="E860">
        <v>0</v>
      </c>
      <c r="F860">
        <v>0</v>
      </c>
      <c r="G860" s="10">
        <f t="shared" si="13"/>
        <v>0</v>
      </c>
      <c r="H860" t="str">
        <f>$A860&amp;Keys!$C$54&amp;$B860&amp;Keys!$C$54&amp;$C860</f>
        <v>KS|imports|biofuel diesel</v>
      </c>
    </row>
    <row r="861" spans="1:8" x14ac:dyDescent="0.25">
      <c r="A861" t="s">
        <v>99</v>
      </c>
      <c r="B861" t="s">
        <v>191</v>
      </c>
      <c r="C861" t="s">
        <v>97</v>
      </c>
      <c r="D861">
        <v>0</v>
      </c>
      <c r="E861">
        <v>0</v>
      </c>
      <c r="F861">
        <v>0</v>
      </c>
      <c r="G861" s="10">
        <f t="shared" si="13"/>
        <v>0</v>
      </c>
      <c r="H861" t="str">
        <f>$A861&amp;Keys!$C$54&amp;$B861&amp;Keys!$C$54&amp;$C861</f>
        <v>KS|imports|jet fuel or kerosene</v>
      </c>
    </row>
    <row r="862" spans="1:8" x14ac:dyDescent="0.25">
      <c r="A862" t="s">
        <v>99</v>
      </c>
      <c r="B862" t="s">
        <v>191</v>
      </c>
      <c r="C862" t="s">
        <v>100</v>
      </c>
      <c r="D862">
        <v>0</v>
      </c>
      <c r="E862">
        <v>0</v>
      </c>
      <c r="F862">
        <v>0</v>
      </c>
      <c r="G862" s="10">
        <f t="shared" si="13"/>
        <v>0</v>
      </c>
      <c r="H862" t="str">
        <f>$A862&amp;Keys!$C$54&amp;$B862&amp;Keys!$C$54&amp;$C862</f>
        <v>KS|imports|heat (not used in this variable)</v>
      </c>
    </row>
    <row r="863" spans="1:8" x14ac:dyDescent="0.25">
      <c r="A863" t="s">
        <v>99</v>
      </c>
      <c r="B863" t="s">
        <v>191</v>
      </c>
      <c r="C863" t="s">
        <v>103</v>
      </c>
      <c r="D863">
        <v>0</v>
      </c>
      <c r="E863">
        <v>0</v>
      </c>
      <c r="F863">
        <v>0</v>
      </c>
      <c r="G863" s="10">
        <f t="shared" si="13"/>
        <v>0</v>
      </c>
      <c r="H863" t="str">
        <f>$A863&amp;Keys!$C$54&amp;$B863&amp;Keys!$C$54&amp;$C863</f>
        <v>KS|imports|geothermal (is not a fuel)</v>
      </c>
    </row>
    <row r="864" spans="1:8" x14ac:dyDescent="0.25">
      <c r="A864" t="s">
        <v>99</v>
      </c>
      <c r="B864" t="s">
        <v>191</v>
      </c>
      <c r="C864" t="s">
        <v>106</v>
      </c>
      <c r="D864">
        <v>0</v>
      </c>
      <c r="E864">
        <v>0</v>
      </c>
      <c r="F864">
        <v>0</v>
      </c>
      <c r="G864" s="10">
        <f t="shared" si="13"/>
        <v>0</v>
      </c>
      <c r="H864" t="str">
        <f>$A864&amp;Keys!$C$54&amp;$B864&amp;Keys!$C$54&amp;$C864</f>
        <v>KS|imports|lignite</v>
      </c>
    </row>
    <row r="865" spans="1:8" x14ac:dyDescent="0.25">
      <c r="A865" t="s">
        <v>99</v>
      </c>
      <c r="B865" t="s">
        <v>191</v>
      </c>
      <c r="C865" t="s">
        <v>109</v>
      </c>
      <c r="D865">
        <v>0</v>
      </c>
      <c r="E865">
        <v>671384000000000</v>
      </c>
      <c r="F865">
        <v>676154000000000</v>
      </c>
      <c r="G865" s="10">
        <f t="shared" si="13"/>
        <v>449179333333333.31</v>
      </c>
      <c r="H865" t="str">
        <f>$A865&amp;Keys!$C$54&amp;$B865&amp;Keys!$C$54&amp;$C865</f>
        <v>KS|imports|crude oil</v>
      </c>
    </row>
    <row r="866" spans="1:8" x14ac:dyDescent="0.25">
      <c r="A866" t="s">
        <v>99</v>
      </c>
      <c r="B866" t="s">
        <v>191</v>
      </c>
      <c r="C866" t="s">
        <v>113</v>
      </c>
      <c r="D866">
        <v>0</v>
      </c>
      <c r="E866">
        <v>0</v>
      </c>
      <c r="F866">
        <v>0</v>
      </c>
      <c r="G866" s="10">
        <f t="shared" si="13"/>
        <v>0</v>
      </c>
      <c r="H866" t="str">
        <f>$A866&amp;Keys!$C$54&amp;$B866&amp;Keys!$C$54&amp;$C866</f>
        <v>KS|imports|heavy fuel oil</v>
      </c>
    </row>
    <row r="867" spans="1:8" x14ac:dyDescent="0.25">
      <c r="A867" t="s">
        <v>99</v>
      </c>
      <c r="B867" t="s">
        <v>191</v>
      </c>
      <c r="C867" t="s">
        <v>117</v>
      </c>
      <c r="D867">
        <v>0</v>
      </c>
      <c r="E867">
        <v>0</v>
      </c>
      <c r="F867">
        <v>0</v>
      </c>
      <c r="G867" s="10">
        <f t="shared" si="13"/>
        <v>0</v>
      </c>
      <c r="H867" t="str">
        <f>$A867&amp;Keys!$C$54&amp;$B867&amp;Keys!$C$54&amp;$C867</f>
        <v>KS|imports|LPG propane or butane</v>
      </c>
    </row>
    <row r="868" spans="1:8" x14ac:dyDescent="0.25">
      <c r="A868" t="s">
        <v>99</v>
      </c>
      <c r="B868" t="s">
        <v>191</v>
      </c>
      <c r="C868" t="s">
        <v>120</v>
      </c>
      <c r="D868">
        <v>0</v>
      </c>
      <c r="E868">
        <v>0</v>
      </c>
      <c r="F868">
        <v>0</v>
      </c>
      <c r="G868" s="10">
        <f t="shared" si="13"/>
        <v>0</v>
      </c>
      <c r="H868" t="str">
        <f>$A868&amp;Keys!$C$54&amp;$B868&amp;Keys!$C$54&amp;$C868</f>
        <v>KS|imports|municipal solid waste</v>
      </c>
    </row>
    <row r="869" spans="1:8" x14ac:dyDescent="0.25">
      <c r="A869" t="s">
        <v>99</v>
      </c>
      <c r="B869" t="s">
        <v>191</v>
      </c>
      <c r="C869" t="s">
        <v>123</v>
      </c>
      <c r="D869">
        <v>0</v>
      </c>
      <c r="E869">
        <v>0</v>
      </c>
      <c r="F869">
        <v>0</v>
      </c>
      <c r="G869" s="10">
        <f t="shared" si="13"/>
        <v>0</v>
      </c>
      <c r="H869" t="str">
        <f>$A869&amp;Keys!$C$54&amp;$B869&amp;Keys!$C$54&amp;$C869</f>
        <v>KS|imports|hydrogen</v>
      </c>
    </row>
    <row r="870" spans="1:8" x14ac:dyDescent="0.25">
      <c r="A870" t="s">
        <v>99</v>
      </c>
      <c r="B870" t="s">
        <v>193</v>
      </c>
      <c r="C870" t="s">
        <v>60</v>
      </c>
      <c r="D870">
        <v>0</v>
      </c>
      <c r="E870">
        <v>0</v>
      </c>
      <c r="F870">
        <v>0</v>
      </c>
      <c r="G870" s="10">
        <f t="shared" si="13"/>
        <v>0</v>
      </c>
      <c r="H870" t="str">
        <f>$A870&amp;Keys!$C$54&amp;$B870&amp;Keys!$C$54&amp;$C870</f>
        <v>KS|exports|electricity (not used in this variable)</v>
      </c>
    </row>
    <row r="871" spans="1:8" x14ac:dyDescent="0.25">
      <c r="A871" t="s">
        <v>99</v>
      </c>
      <c r="B871" t="s">
        <v>193</v>
      </c>
      <c r="C871" t="s">
        <v>64</v>
      </c>
      <c r="D871">
        <v>0</v>
      </c>
      <c r="E871">
        <v>0</v>
      </c>
      <c r="F871">
        <v>0</v>
      </c>
      <c r="G871" s="10">
        <f t="shared" si="13"/>
        <v>0</v>
      </c>
      <c r="H871" t="str">
        <f>$A871&amp;Keys!$C$54&amp;$B871&amp;Keys!$C$54&amp;$C871</f>
        <v>KS|exports|hard coal</v>
      </c>
    </row>
    <row r="872" spans="1:8" x14ac:dyDescent="0.25">
      <c r="A872" t="s">
        <v>99</v>
      </c>
      <c r="B872" t="s">
        <v>193</v>
      </c>
      <c r="C872" t="s">
        <v>68</v>
      </c>
      <c r="D872">
        <v>1219810000000000</v>
      </c>
      <c r="E872">
        <v>1219810000000000</v>
      </c>
      <c r="F872">
        <v>1105970000000000</v>
      </c>
      <c r="G872" s="10">
        <f t="shared" si="13"/>
        <v>1181863333333333.3</v>
      </c>
      <c r="H872" t="str">
        <f>$A872&amp;Keys!$C$54&amp;$B872&amp;Keys!$C$54&amp;$C872</f>
        <v>KS|exports|natural gas</v>
      </c>
    </row>
    <row r="873" spans="1:8" x14ac:dyDescent="0.25">
      <c r="A873" t="s">
        <v>99</v>
      </c>
      <c r="B873" t="s">
        <v>193</v>
      </c>
      <c r="C873" t="s">
        <v>71</v>
      </c>
      <c r="D873">
        <v>0</v>
      </c>
      <c r="E873">
        <v>0</v>
      </c>
      <c r="F873">
        <v>0</v>
      </c>
      <c r="G873" s="10">
        <f t="shared" si="13"/>
        <v>0</v>
      </c>
      <c r="H873" t="str">
        <f>$A873&amp;Keys!$C$54&amp;$B873&amp;Keys!$C$54&amp;$C873</f>
        <v>KS|exports|nuclear</v>
      </c>
    </row>
    <row r="874" spans="1:8" x14ac:dyDescent="0.25">
      <c r="A874" t="s">
        <v>99</v>
      </c>
      <c r="B874" t="s">
        <v>193</v>
      </c>
      <c r="C874" t="s">
        <v>74</v>
      </c>
      <c r="D874">
        <v>0</v>
      </c>
      <c r="E874">
        <v>0</v>
      </c>
      <c r="F874">
        <v>0</v>
      </c>
      <c r="G874" s="10">
        <f t="shared" si="13"/>
        <v>0</v>
      </c>
      <c r="H874" t="str">
        <f>$A874&amp;Keys!$C$54&amp;$B874&amp;Keys!$C$54&amp;$C874</f>
        <v>KS|exports|hydro (is not a fuel)</v>
      </c>
    </row>
    <row r="875" spans="1:8" x14ac:dyDescent="0.25">
      <c r="A875" t="s">
        <v>99</v>
      </c>
      <c r="B875" t="s">
        <v>193</v>
      </c>
      <c r="C875" t="s">
        <v>77</v>
      </c>
      <c r="D875">
        <v>0</v>
      </c>
      <c r="E875">
        <v>0</v>
      </c>
      <c r="F875">
        <v>0</v>
      </c>
      <c r="G875" s="10">
        <f t="shared" si="13"/>
        <v>0</v>
      </c>
      <c r="H875" t="str">
        <f>$A875&amp;Keys!$C$54&amp;$B875&amp;Keys!$C$54&amp;$C875</f>
        <v>KS|exports|wind (is not a fuel)</v>
      </c>
    </row>
    <row r="876" spans="1:8" x14ac:dyDescent="0.25">
      <c r="A876" t="s">
        <v>99</v>
      </c>
      <c r="B876" t="s">
        <v>193</v>
      </c>
      <c r="C876" t="s">
        <v>80</v>
      </c>
      <c r="D876">
        <v>0</v>
      </c>
      <c r="E876">
        <v>0</v>
      </c>
      <c r="F876">
        <v>0</v>
      </c>
      <c r="G876" s="10">
        <f t="shared" si="13"/>
        <v>0</v>
      </c>
      <c r="H876" t="str">
        <f>$A876&amp;Keys!$C$54&amp;$B876&amp;Keys!$C$54&amp;$C876</f>
        <v>KS|exports|solar (is not a fuel)</v>
      </c>
    </row>
    <row r="877" spans="1:8" x14ac:dyDescent="0.25">
      <c r="A877" t="s">
        <v>99</v>
      </c>
      <c r="B877" t="s">
        <v>193</v>
      </c>
      <c r="C877" t="s">
        <v>82</v>
      </c>
      <c r="D877">
        <v>0</v>
      </c>
      <c r="E877">
        <v>0</v>
      </c>
      <c r="F877">
        <v>0</v>
      </c>
      <c r="G877" s="10">
        <f t="shared" si="13"/>
        <v>0</v>
      </c>
      <c r="H877" t="str">
        <f>$A877&amp;Keys!$C$54&amp;$B877&amp;Keys!$C$54&amp;$C877</f>
        <v>KS|exports|biomass</v>
      </c>
    </row>
    <row r="878" spans="1:8" x14ac:dyDescent="0.25">
      <c r="A878" t="s">
        <v>99</v>
      </c>
      <c r="B878" t="s">
        <v>193</v>
      </c>
      <c r="C878" t="s">
        <v>85</v>
      </c>
      <c r="D878">
        <v>0</v>
      </c>
      <c r="E878">
        <v>257761000000000</v>
      </c>
      <c r="F878">
        <v>250150000000000</v>
      </c>
      <c r="G878" s="10">
        <f t="shared" si="13"/>
        <v>169303666666666.66</v>
      </c>
      <c r="H878" t="str">
        <f>$A878&amp;Keys!$C$54&amp;$B878&amp;Keys!$C$54&amp;$C878</f>
        <v>KS|exports|petroleum gasoline</v>
      </c>
    </row>
    <row r="879" spans="1:8" x14ac:dyDescent="0.25">
      <c r="A879" t="s">
        <v>99</v>
      </c>
      <c r="B879" t="s">
        <v>193</v>
      </c>
      <c r="C879" t="s">
        <v>88</v>
      </c>
      <c r="D879">
        <v>0</v>
      </c>
      <c r="E879">
        <v>108214000000000</v>
      </c>
      <c r="F879">
        <v>102242000000000</v>
      </c>
      <c r="G879" s="10">
        <f t="shared" si="13"/>
        <v>70152000000000</v>
      </c>
      <c r="H879" t="str">
        <f>$A879&amp;Keys!$C$54&amp;$B879&amp;Keys!$C$54&amp;$C879</f>
        <v>KS|exports|petroleum diesel</v>
      </c>
    </row>
    <row r="880" spans="1:8" x14ac:dyDescent="0.25">
      <c r="A880" t="s">
        <v>99</v>
      </c>
      <c r="B880" t="s">
        <v>193</v>
      </c>
      <c r="C880" t="s">
        <v>91</v>
      </c>
      <c r="D880">
        <v>39480900000000</v>
      </c>
      <c r="E880">
        <v>39480900000000</v>
      </c>
      <c r="F880">
        <v>39592000000000</v>
      </c>
      <c r="G880" s="10">
        <f t="shared" si="13"/>
        <v>39517933333333.336</v>
      </c>
      <c r="H880" t="str">
        <f>$A880&amp;Keys!$C$54&amp;$B880&amp;Keys!$C$54&amp;$C880</f>
        <v>KS|exports|biofuel gasoline</v>
      </c>
    </row>
    <row r="881" spans="1:8" x14ac:dyDescent="0.25">
      <c r="A881" t="s">
        <v>99</v>
      </c>
      <c r="B881" t="s">
        <v>193</v>
      </c>
      <c r="C881" t="s">
        <v>94</v>
      </c>
      <c r="D881">
        <v>0</v>
      </c>
      <c r="E881">
        <v>27946400000000</v>
      </c>
      <c r="F881">
        <v>33628400000000</v>
      </c>
      <c r="G881" s="10">
        <f t="shared" si="13"/>
        <v>20524933333333.332</v>
      </c>
      <c r="H881" t="str">
        <f>$A881&amp;Keys!$C$54&amp;$B881&amp;Keys!$C$54&amp;$C881</f>
        <v>KS|exports|biofuel diesel</v>
      </c>
    </row>
    <row r="882" spans="1:8" x14ac:dyDescent="0.25">
      <c r="A882" t="s">
        <v>99</v>
      </c>
      <c r="B882" t="s">
        <v>193</v>
      </c>
      <c r="C882" t="s">
        <v>97</v>
      </c>
      <c r="D882">
        <v>0</v>
      </c>
      <c r="E882">
        <v>72607300000000</v>
      </c>
      <c r="F882">
        <v>70393900000000</v>
      </c>
      <c r="G882" s="10">
        <f t="shared" si="13"/>
        <v>47667066666666.664</v>
      </c>
      <c r="H882" t="str">
        <f>$A882&amp;Keys!$C$54&amp;$B882&amp;Keys!$C$54&amp;$C882</f>
        <v>KS|exports|jet fuel or kerosene</v>
      </c>
    </row>
    <row r="883" spans="1:8" x14ac:dyDescent="0.25">
      <c r="A883" t="s">
        <v>99</v>
      </c>
      <c r="B883" t="s">
        <v>193</v>
      </c>
      <c r="C883" t="s">
        <v>100</v>
      </c>
      <c r="D883">
        <v>0</v>
      </c>
      <c r="E883">
        <v>0</v>
      </c>
      <c r="F883">
        <v>0</v>
      </c>
      <c r="G883" s="10">
        <f t="shared" si="13"/>
        <v>0</v>
      </c>
      <c r="H883" t="str">
        <f>$A883&amp;Keys!$C$54&amp;$B883&amp;Keys!$C$54&amp;$C883</f>
        <v>KS|exports|heat (not used in this variable)</v>
      </c>
    </row>
    <row r="884" spans="1:8" x14ac:dyDescent="0.25">
      <c r="A884" t="s">
        <v>99</v>
      </c>
      <c r="B884" t="s">
        <v>193</v>
      </c>
      <c r="C884" t="s">
        <v>103</v>
      </c>
      <c r="D884">
        <v>0</v>
      </c>
      <c r="E884">
        <v>0</v>
      </c>
      <c r="F884">
        <v>0</v>
      </c>
      <c r="G884" s="10">
        <f t="shared" si="13"/>
        <v>0</v>
      </c>
      <c r="H884" t="str">
        <f>$A884&amp;Keys!$C$54&amp;$B884&amp;Keys!$C$54&amp;$C884</f>
        <v>KS|exports|geothermal (is not a fuel)</v>
      </c>
    </row>
    <row r="885" spans="1:8" x14ac:dyDescent="0.25">
      <c r="A885" t="s">
        <v>99</v>
      </c>
      <c r="B885" t="s">
        <v>193</v>
      </c>
      <c r="C885" t="s">
        <v>106</v>
      </c>
      <c r="D885">
        <v>0</v>
      </c>
      <c r="E885">
        <v>0</v>
      </c>
      <c r="F885">
        <v>0</v>
      </c>
      <c r="G885" s="10">
        <f t="shared" si="13"/>
        <v>0</v>
      </c>
      <c r="H885" t="str">
        <f>$A885&amp;Keys!$C$54&amp;$B885&amp;Keys!$C$54&amp;$C885</f>
        <v>KS|exports|lignite</v>
      </c>
    </row>
    <row r="886" spans="1:8" x14ac:dyDescent="0.25">
      <c r="A886" t="s">
        <v>99</v>
      </c>
      <c r="B886" t="s">
        <v>193</v>
      </c>
      <c r="C886" t="s">
        <v>109</v>
      </c>
      <c r="D886">
        <v>0</v>
      </c>
      <c r="E886">
        <v>0</v>
      </c>
      <c r="F886">
        <v>0</v>
      </c>
      <c r="G886" s="10">
        <f t="shared" si="13"/>
        <v>0</v>
      </c>
      <c r="H886" t="str">
        <f>$A886&amp;Keys!$C$54&amp;$B886&amp;Keys!$C$54&amp;$C886</f>
        <v>KS|exports|crude oil</v>
      </c>
    </row>
    <row r="887" spans="1:8" x14ac:dyDescent="0.25">
      <c r="A887" t="s">
        <v>99</v>
      </c>
      <c r="B887" t="s">
        <v>193</v>
      </c>
      <c r="C887" t="s">
        <v>113</v>
      </c>
      <c r="D887">
        <v>0</v>
      </c>
      <c r="E887">
        <v>6524060000000</v>
      </c>
      <c r="F887">
        <v>5932840000000</v>
      </c>
      <c r="G887" s="10">
        <f t="shared" si="13"/>
        <v>4152300000000</v>
      </c>
      <c r="H887" t="str">
        <f>$A887&amp;Keys!$C$54&amp;$B887&amp;Keys!$C$54&amp;$C887</f>
        <v>KS|exports|heavy fuel oil</v>
      </c>
    </row>
    <row r="888" spans="1:8" x14ac:dyDescent="0.25">
      <c r="A888" t="s">
        <v>99</v>
      </c>
      <c r="B888" t="s">
        <v>193</v>
      </c>
      <c r="C888" t="s">
        <v>117</v>
      </c>
      <c r="D888">
        <v>0</v>
      </c>
      <c r="E888">
        <v>4851920000000</v>
      </c>
      <c r="F888">
        <v>5279220000000</v>
      </c>
      <c r="G888" s="10">
        <f t="shared" si="13"/>
        <v>3377046666666.6665</v>
      </c>
      <c r="H888" t="str">
        <f>$A888&amp;Keys!$C$54&amp;$B888&amp;Keys!$C$54&amp;$C888</f>
        <v>KS|exports|LPG propane or butane</v>
      </c>
    </row>
    <row r="889" spans="1:8" x14ac:dyDescent="0.25">
      <c r="A889" t="s">
        <v>99</v>
      </c>
      <c r="B889" t="s">
        <v>193</v>
      </c>
      <c r="C889" t="s">
        <v>120</v>
      </c>
      <c r="D889">
        <v>0</v>
      </c>
      <c r="E889">
        <v>0</v>
      </c>
      <c r="F889">
        <v>0</v>
      </c>
      <c r="G889" s="10">
        <f t="shared" si="13"/>
        <v>0</v>
      </c>
      <c r="H889" t="str">
        <f>$A889&amp;Keys!$C$54&amp;$B889&amp;Keys!$C$54&amp;$C889</f>
        <v>KS|exports|municipal solid waste</v>
      </c>
    </row>
    <row r="890" spans="1:8" x14ac:dyDescent="0.25">
      <c r="A890" t="s">
        <v>99</v>
      </c>
      <c r="B890" t="s">
        <v>193</v>
      </c>
      <c r="C890" t="s">
        <v>123</v>
      </c>
      <c r="D890">
        <v>0</v>
      </c>
      <c r="E890">
        <v>3684570000000</v>
      </c>
      <c r="F890">
        <v>2752520000000</v>
      </c>
      <c r="G890" s="10">
        <f t="shared" si="13"/>
        <v>2145696666666.6667</v>
      </c>
      <c r="H890" t="str">
        <f>$A890&amp;Keys!$C$54&amp;$B890&amp;Keys!$C$54&amp;$C890</f>
        <v>KS|exports|hydrogen</v>
      </c>
    </row>
    <row r="891" spans="1:8" x14ac:dyDescent="0.25">
      <c r="A891" t="s">
        <v>102</v>
      </c>
      <c r="B891" t="s">
        <v>188</v>
      </c>
      <c r="C891" t="s">
        <v>60</v>
      </c>
      <c r="D891">
        <v>0</v>
      </c>
      <c r="E891">
        <v>0</v>
      </c>
      <c r="F891">
        <v>0</v>
      </c>
      <c r="G891" s="10">
        <f t="shared" si="13"/>
        <v>0</v>
      </c>
      <c r="H891" t="str">
        <f>$A891&amp;Keys!$C$54&amp;$B891&amp;Keys!$C$54&amp;$C891</f>
        <v>KY|production|electricity (not used in this variable)</v>
      </c>
    </row>
    <row r="892" spans="1:8" x14ac:dyDescent="0.25">
      <c r="A892" t="s">
        <v>102</v>
      </c>
      <c r="B892" t="s">
        <v>188</v>
      </c>
      <c r="C892" t="s">
        <v>64</v>
      </c>
      <c r="D892">
        <v>498326000000000</v>
      </c>
      <c r="E892">
        <v>498326000000000</v>
      </c>
      <c r="F892">
        <v>497238000000000</v>
      </c>
      <c r="G892" s="10">
        <f t="shared" si="13"/>
        <v>497963333333333.31</v>
      </c>
      <c r="H892" t="str">
        <f>$A892&amp;Keys!$C$54&amp;$B892&amp;Keys!$C$54&amp;$C892</f>
        <v>KY|production|hard coal</v>
      </c>
    </row>
    <row r="893" spans="1:8" x14ac:dyDescent="0.25">
      <c r="A893" t="s">
        <v>102</v>
      </c>
      <c r="B893" t="s">
        <v>188</v>
      </c>
      <c r="C893" t="s">
        <v>68</v>
      </c>
      <c r="D893">
        <v>55543800000000</v>
      </c>
      <c r="E893">
        <v>55543800000000</v>
      </c>
      <c r="F893">
        <v>55716300000000</v>
      </c>
      <c r="G893" s="10">
        <f t="shared" si="13"/>
        <v>55601300000000</v>
      </c>
      <c r="H893" t="str">
        <f>$A893&amp;Keys!$C$54&amp;$B893&amp;Keys!$C$54&amp;$C893</f>
        <v>KY|production|natural gas</v>
      </c>
    </row>
    <row r="894" spans="1:8" x14ac:dyDescent="0.25">
      <c r="A894" t="s">
        <v>102</v>
      </c>
      <c r="B894" t="s">
        <v>188</v>
      </c>
      <c r="C894" t="s">
        <v>71</v>
      </c>
      <c r="D894">
        <v>0</v>
      </c>
      <c r="E894">
        <v>0</v>
      </c>
      <c r="F894">
        <v>0</v>
      </c>
      <c r="G894" s="10">
        <f t="shared" si="13"/>
        <v>0</v>
      </c>
      <c r="H894" t="str">
        <f>$A894&amp;Keys!$C$54&amp;$B894&amp;Keys!$C$54&amp;$C894</f>
        <v>KY|production|nuclear</v>
      </c>
    </row>
    <row r="895" spans="1:8" x14ac:dyDescent="0.25">
      <c r="A895" t="s">
        <v>102</v>
      </c>
      <c r="B895" t="s">
        <v>188</v>
      </c>
      <c r="C895" t="s">
        <v>74</v>
      </c>
      <c r="D895">
        <v>0</v>
      </c>
      <c r="E895">
        <v>0</v>
      </c>
      <c r="F895">
        <v>0</v>
      </c>
      <c r="G895" s="10">
        <f t="shared" si="13"/>
        <v>0</v>
      </c>
      <c r="H895" t="str">
        <f>$A895&amp;Keys!$C$54&amp;$B895&amp;Keys!$C$54&amp;$C895</f>
        <v>KY|production|hydro (is not a fuel)</v>
      </c>
    </row>
    <row r="896" spans="1:8" x14ac:dyDescent="0.25">
      <c r="A896" t="s">
        <v>102</v>
      </c>
      <c r="B896" t="s">
        <v>188</v>
      </c>
      <c r="C896" t="s">
        <v>77</v>
      </c>
      <c r="D896">
        <v>0</v>
      </c>
      <c r="E896">
        <v>0</v>
      </c>
      <c r="F896">
        <v>0</v>
      </c>
      <c r="G896" s="10">
        <f t="shared" si="13"/>
        <v>0</v>
      </c>
      <c r="H896" t="str">
        <f>$A896&amp;Keys!$C$54&amp;$B896&amp;Keys!$C$54&amp;$C896</f>
        <v>KY|production|wind (is not a fuel)</v>
      </c>
    </row>
    <row r="897" spans="1:8" x14ac:dyDescent="0.25">
      <c r="A897" t="s">
        <v>102</v>
      </c>
      <c r="B897" t="s">
        <v>188</v>
      </c>
      <c r="C897" t="s">
        <v>80</v>
      </c>
      <c r="D897">
        <v>0</v>
      </c>
      <c r="E897">
        <v>0</v>
      </c>
      <c r="F897">
        <v>0</v>
      </c>
      <c r="G897" s="10">
        <f t="shared" si="13"/>
        <v>0</v>
      </c>
      <c r="H897" t="str">
        <f>$A897&amp;Keys!$C$54&amp;$B897&amp;Keys!$C$54&amp;$C897</f>
        <v>KY|production|solar (is not a fuel)</v>
      </c>
    </row>
    <row r="898" spans="1:8" x14ac:dyDescent="0.25">
      <c r="A898" t="s">
        <v>102</v>
      </c>
      <c r="B898" t="s">
        <v>188</v>
      </c>
      <c r="C898" t="s">
        <v>82</v>
      </c>
      <c r="D898">
        <v>1280000000000</v>
      </c>
      <c r="E898">
        <v>1280000000000</v>
      </c>
      <c r="F898">
        <v>1280000000000</v>
      </c>
      <c r="G898" s="10">
        <f t="shared" si="13"/>
        <v>1280000000000</v>
      </c>
      <c r="H898" t="str">
        <f>$A898&amp;Keys!$C$54&amp;$B898&amp;Keys!$C$54&amp;$C898</f>
        <v>KY|production|biomass</v>
      </c>
    </row>
    <row r="899" spans="1:8" x14ac:dyDescent="0.25">
      <c r="A899" t="s">
        <v>102</v>
      </c>
      <c r="B899" t="s">
        <v>188</v>
      </c>
      <c r="C899" t="s">
        <v>85</v>
      </c>
      <c r="D899">
        <v>291150000000000</v>
      </c>
      <c r="E899">
        <v>291150000000000</v>
      </c>
      <c r="F899">
        <v>284093000000000</v>
      </c>
      <c r="G899" s="10">
        <f t="shared" si="13"/>
        <v>288797666666666.69</v>
      </c>
      <c r="H899" t="str">
        <f>$A899&amp;Keys!$C$54&amp;$B899&amp;Keys!$C$54&amp;$C899</f>
        <v>KY|production|petroleum gasoline</v>
      </c>
    </row>
    <row r="900" spans="1:8" x14ac:dyDescent="0.25">
      <c r="A900" t="s">
        <v>102</v>
      </c>
      <c r="B900" t="s">
        <v>188</v>
      </c>
      <c r="C900" t="s">
        <v>88</v>
      </c>
      <c r="D900">
        <v>172220000000000</v>
      </c>
      <c r="E900">
        <v>172220000000000</v>
      </c>
      <c r="F900">
        <v>168045000000000</v>
      </c>
      <c r="G900" s="10">
        <f t="shared" si="13"/>
        <v>170828333333333.34</v>
      </c>
      <c r="H900" t="str">
        <f>$A900&amp;Keys!$C$54&amp;$B900&amp;Keys!$C$54&amp;$C900</f>
        <v>KY|production|petroleum diesel</v>
      </c>
    </row>
    <row r="901" spans="1:8" x14ac:dyDescent="0.25">
      <c r="A901" t="s">
        <v>102</v>
      </c>
      <c r="B901" t="s">
        <v>188</v>
      </c>
      <c r="C901" t="s">
        <v>91</v>
      </c>
      <c r="D901">
        <v>3033920000000</v>
      </c>
      <c r="E901">
        <v>3033920000000</v>
      </c>
      <c r="F901">
        <v>3042460000000</v>
      </c>
      <c r="G901" s="10">
        <f t="shared" si="13"/>
        <v>3036766666666.6665</v>
      </c>
      <c r="H901" t="str">
        <f>$A901&amp;Keys!$C$54&amp;$B901&amp;Keys!$C$54&amp;$C901</f>
        <v>KY|production|biofuel gasoline</v>
      </c>
    </row>
    <row r="902" spans="1:8" x14ac:dyDescent="0.25">
      <c r="A902" t="s">
        <v>102</v>
      </c>
      <c r="B902" t="s">
        <v>188</v>
      </c>
      <c r="C902" t="s">
        <v>94</v>
      </c>
      <c r="D902">
        <v>19219200000000</v>
      </c>
      <c r="E902">
        <v>19219200000000</v>
      </c>
      <c r="F902">
        <v>22829800000000</v>
      </c>
      <c r="G902" s="10">
        <f t="shared" si="13"/>
        <v>20422733333333.332</v>
      </c>
      <c r="H902" t="str">
        <f>$A902&amp;Keys!$C$54&amp;$B902&amp;Keys!$C$54&amp;$C902</f>
        <v>KY|production|biofuel diesel</v>
      </c>
    </row>
    <row r="903" spans="1:8" x14ac:dyDescent="0.25">
      <c r="A903" t="s">
        <v>102</v>
      </c>
      <c r="B903" t="s">
        <v>188</v>
      </c>
      <c r="C903" t="s">
        <v>97</v>
      </c>
      <c r="D903">
        <v>61306700000000</v>
      </c>
      <c r="E903">
        <v>61306700000000</v>
      </c>
      <c r="F903">
        <v>59820800000000</v>
      </c>
      <c r="G903" s="10">
        <f t="shared" si="13"/>
        <v>60811400000000</v>
      </c>
      <c r="H903" t="str">
        <f>$A903&amp;Keys!$C$54&amp;$B903&amp;Keys!$C$54&amp;$C903</f>
        <v>KY|production|jet fuel or kerosene</v>
      </c>
    </row>
    <row r="904" spans="1:8" x14ac:dyDescent="0.25">
      <c r="A904" t="s">
        <v>102</v>
      </c>
      <c r="B904" t="s">
        <v>188</v>
      </c>
      <c r="C904" t="s">
        <v>100</v>
      </c>
      <c r="D904">
        <v>0</v>
      </c>
      <c r="E904">
        <v>0</v>
      </c>
      <c r="F904">
        <v>0</v>
      </c>
      <c r="G904" s="10">
        <f t="shared" si="13"/>
        <v>0</v>
      </c>
      <c r="H904" t="str">
        <f>$A904&amp;Keys!$C$54&amp;$B904&amp;Keys!$C$54&amp;$C904</f>
        <v>KY|production|heat (not used in this variable)</v>
      </c>
    </row>
    <row r="905" spans="1:8" x14ac:dyDescent="0.25">
      <c r="A905" t="s">
        <v>102</v>
      </c>
      <c r="B905" t="s">
        <v>188</v>
      </c>
      <c r="C905" t="s">
        <v>103</v>
      </c>
      <c r="D905">
        <v>0</v>
      </c>
      <c r="E905">
        <v>0</v>
      </c>
      <c r="F905">
        <v>0</v>
      </c>
      <c r="G905" s="10">
        <f t="shared" ref="G905:G968" si="14">AVERAGE($D905:$F905)</f>
        <v>0</v>
      </c>
      <c r="H905" t="str">
        <f>$A905&amp;Keys!$C$54&amp;$B905&amp;Keys!$C$54&amp;$C905</f>
        <v>KY|production|geothermal (is not a fuel)</v>
      </c>
    </row>
    <row r="906" spans="1:8" x14ac:dyDescent="0.25">
      <c r="A906" t="s">
        <v>102</v>
      </c>
      <c r="B906" t="s">
        <v>188</v>
      </c>
      <c r="C906" t="s">
        <v>106</v>
      </c>
      <c r="D906">
        <v>0</v>
      </c>
      <c r="E906">
        <v>0</v>
      </c>
      <c r="F906">
        <v>0</v>
      </c>
      <c r="G906" s="10">
        <f t="shared" si="14"/>
        <v>0</v>
      </c>
      <c r="H906" t="str">
        <f>$A906&amp;Keys!$C$54&amp;$B906&amp;Keys!$C$54&amp;$C906</f>
        <v>KY|production|lignite</v>
      </c>
    </row>
    <row r="907" spans="1:8" x14ac:dyDescent="0.25">
      <c r="A907" t="s">
        <v>102</v>
      </c>
      <c r="B907" t="s">
        <v>188</v>
      </c>
      <c r="C907" t="s">
        <v>109</v>
      </c>
      <c r="D907">
        <v>11832000000000</v>
      </c>
      <c r="E907">
        <v>11832000000000</v>
      </c>
      <c r="F907">
        <v>10751800000000</v>
      </c>
      <c r="G907" s="10">
        <f t="shared" si="14"/>
        <v>11471933333333.334</v>
      </c>
      <c r="H907" t="str">
        <f>$A907&amp;Keys!$C$54&amp;$B907&amp;Keys!$C$54&amp;$C907</f>
        <v>KY|production|crude oil</v>
      </c>
    </row>
    <row r="908" spans="1:8" x14ac:dyDescent="0.25">
      <c r="A908" t="s">
        <v>102</v>
      </c>
      <c r="B908" t="s">
        <v>188</v>
      </c>
      <c r="C908" t="s">
        <v>113</v>
      </c>
      <c r="D908">
        <v>11909000000000</v>
      </c>
      <c r="E908">
        <v>11909000000000</v>
      </c>
      <c r="F908">
        <v>11620400000000</v>
      </c>
      <c r="G908" s="10">
        <f t="shared" si="14"/>
        <v>11812800000000</v>
      </c>
      <c r="H908" t="str">
        <f>$A908&amp;Keys!$C$54&amp;$B908&amp;Keys!$C$54&amp;$C908</f>
        <v>KY|production|heavy fuel oil</v>
      </c>
    </row>
    <row r="909" spans="1:8" x14ac:dyDescent="0.25">
      <c r="A909" t="s">
        <v>102</v>
      </c>
      <c r="B909" t="s">
        <v>188</v>
      </c>
      <c r="C909" t="s">
        <v>117</v>
      </c>
      <c r="D909">
        <v>6790200000000</v>
      </c>
      <c r="E909">
        <v>6790200000000</v>
      </c>
      <c r="F909">
        <v>6934380000000</v>
      </c>
      <c r="G909" s="10">
        <f t="shared" si="14"/>
        <v>6838260000000</v>
      </c>
      <c r="H909" t="str">
        <f>$A909&amp;Keys!$C$54&amp;$B909&amp;Keys!$C$54&amp;$C909</f>
        <v>KY|production|LPG propane or butane</v>
      </c>
    </row>
    <row r="910" spans="1:8" x14ac:dyDescent="0.25">
      <c r="A910" t="s">
        <v>102</v>
      </c>
      <c r="B910" t="s">
        <v>188</v>
      </c>
      <c r="C910" t="s">
        <v>120</v>
      </c>
      <c r="D910">
        <v>0</v>
      </c>
      <c r="E910">
        <v>0</v>
      </c>
      <c r="F910">
        <v>0</v>
      </c>
      <c r="G910" s="10">
        <f t="shared" si="14"/>
        <v>0</v>
      </c>
      <c r="H910" t="str">
        <f>$A910&amp;Keys!$C$54&amp;$B910&amp;Keys!$C$54&amp;$C910</f>
        <v>KY|production|municipal solid waste</v>
      </c>
    </row>
    <row r="911" spans="1:8" x14ac:dyDescent="0.25">
      <c r="A911" t="s">
        <v>102</v>
      </c>
      <c r="B911" t="s">
        <v>188</v>
      </c>
      <c r="C911" t="s">
        <v>123</v>
      </c>
      <c r="D911">
        <v>0</v>
      </c>
      <c r="E911">
        <v>0</v>
      </c>
      <c r="F911">
        <v>0</v>
      </c>
      <c r="G911" s="10">
        <f t="shared" si="14"/>
        <v>0</v>
      </c>
      <c r="H911" t="str">
        <f>$A911&amp;Keys!$C$54&amp;$B911&amp;Keys!$C$54&amp;$C911</f>
        <v>KY|production|hydrogen</v>
      </c>
    </row>
    <row r="912" spans="1:8" x14ac:dyDescent="0.25">
      <c r="A912" t="s">
        <v>102</v>
      </c>
      <c r="B912" t="s">
        <v>191</v>
      </c>
      <c r="C912" t="s">
        <v>60</v>
      </c>
      <c r="D912">
        <v>0</v>
      </c>
      <c r="E912">
        <v>0</v>
      </c>
      <c r="F912">
        <v>0</v>
      </c>
      <c r="G912" s="10">
        <f t="shared" si="14"/>
        <v>0</v>
      </c>
      <c r="H912" t="str">
        <f>$A912&amp;Keys!$C$54&amp;$B912&amp;Keys!$C$54&amp;$C912</f>
        <v>KY|imports|electricity (not used in this variable)</v>
      </c>
    </row>
    <row r="913" spans="1:8" x14ac:dyDescent="0.25">
      <c r="A913" t="s">
        <v>102</v>
      </c>
      <c r="B913" t="s">
        <v>191</v>
      </c>
      <c r="C913" t="s">
        <v>64</v>
      </c>
      <c r="D913">
        <v>545062000000000</v>
      </c>
      <c r="E913">
        <v>0</v>
      </c>
      <c r="F913">
        <v>40469600000000</v>
      </c>
      <c r="G913" s="10">
        <f t="shared" si="14"/>
        <v>195177200000000</v>
      </c>
      <c r="H913" t="str">
        <f>$A913&amp;Keys!$C$54&amp;$B913&amp;Keys!$C$54&amp;$C913</f>
        <v>KY|imports|hard coal</v>
      </c>
    </row>
    <row r="914" spans="1:8" x14ac:dyDescent="0.25">
      <c r="A914" t="s">
        <v>102</v>
      </c>
      <c r="B914" t="s">
        <v>191</v>
      </c>
      <c r="C914" t="s">
        <v>68</v>
      </c>
      <c r="D914">
        <v>2803510000000000</v>
      </c>
      <c r="E914">
        <v>2814910000000000</v>
      </c>
      <c r="F914">
        <v>2779990000000000</v>
      </c>
      <c r="G914" s="10">
        <f t="shared" si="14"/>
        <v>2799470000000000</v>
      </c>
      <c r="H914" t="str">
        <f>$A914&amp;Keys!$C$54&amp;$B914&amp;Keys!$C$54&amp;$C914</f>
        <v>KY|imports|natural gas</v>
      </c>
    </row>
    <row r="915" spans="1:8" x14ac:dyDescent="0.25">
      <c r="A915" t="s">
        <v>102</v>
      </c>
      <c r="B915" t="s">
        <v>191</v>
      </c>
      <c r="C915" t="s">
        <v>71</v>
      </c>
      <c r="D915">
        <v>0</v>
      </c>
      <c r="E915">
        <v>0</v>
      </c>
      <c r="F915">
        <v>0</v>
      </c>
      <c r="G915" s="10">
        <f t="shared" si="14"/>
        <v>0</v>
      </c>
      <c r="H915" t="str">
        <f>$A915&amp;Keys!$C$54&amp;$B915&amp;Keys!$C$54&amp;$C915</f>
        <v>KY|imports|nuclear</v>
      </c>
    </row>
    <row r="916" spans="1:8" x14ac:dyDescent="0.25">
      <c r="A916" t="s">
        <v>102</v>
      </c>
      <c r="B916" t="s">
        <v>191</v>
      </c>
      <c r="C916" t="s">
        <v>74</v>
      </c>
      <c r="D916">
        <v>0</v>
      </c>
      <c r="E916">
        <v>0</v>
      </c>
      <c r="F916">
        <v>0</v>
      </c>
      <c r="G916" s="10">
        <f t="shared" si="14"/>
        <v>0</v>
      </c>
      <c r="H916" t="str">
        <f>$A916&amp;Keys!$C$54&amp;$B916&amp;Keys!$C$54&amp;$C916</f>
        <v>KY|imports|hydro (is not a fuel)</v>
      </c>
    </row>
    <row r="917" spans="1:8" x14ac:dyDescent="0.25">
      <c r="A917" t="s">
        <v>102</v>
      </c>
      <c r="B917" t="s">
        <v>191</v>
      </c>
      <c r="C917" t="s">
        <v>77</v>
      </c>
      <c r="D917">
        <v>0</v>
      </c>
      <c r="E917">
        <v>0</v>
      </c>
      <c r="F917">
        <v>0</v>
      </c>
      <c r="G917" s="10">
        <f t="shared" si="14"/>
        <v>0</v>
      </c>
      <c r="H917" t="str">
        <f>$A917&amp;Keys!$C$54&amp;$B917&amp;Keys!$C$54&amp;$C917</f>
        <v>KY|imports|wind (is not a fuel)</v>
      </c>
    </row>
    <row r="918" spans="1:8" x14ac:dyDescent="0.25">
      <c r="A918" t="s">
        <v>102</v>
      </c>
      <c r="B918" t="s">
        <v>191</v>
      </c>
      <c r="C918" t="s">
        <v>80</v>
      </c>
      <c r="D918">
        <v>0</v>
      </c>
      <c r="E918">
        <v>0</v>
      </c>
      <c r="F918">
        <v>0</v>
      </c>
      <c r="G918" s="10">
        <f t="shared" si="14"/>
        <v>0</v>
      </c>
      <c r="H918" t="str">
        <f>$A918&amp;Keys!$C$54&amp;$B918&amp;Keys!$C$54&amp;$C918</f>
        <v>KY|imports|solar (is not a fuel)</v>
      </c>
    </row>
    <row r="919" spans="1:8" x14ac:dyDescent="0.25">
      <c r="A919" t="s">
        <v>102</v>
      </c>
      <c r="B919" t="s">
        <v>191</v>
      </c>
      <c r="C919" t="s">
        <v>82</v>
      </c>
      <c r="D919">
        <v>0</v>
      </c>
      <c r="E919">
        <v>31563500000000</v>
      </c>
      <c r="F919">
        <v>32590300000000</v>
      </c>
      <c r="G919" s="10">
        <f t="shared" si="14"/>
        <v>21384600000000</v>
      </c>
      <c r="H919" t="str">
        <f>$A919&amp;Keys!$C$54&amp;$B919&amp;Keys!$C$54&amp;$C919</f>
        <v>KY|imports|biomass</v>
      </c>
    </row>
    <row r="920" spans="1:8" x14ac:dyDescent="0.25">
      <c r="A920" t="s">
        <v>102</v>
      </c>
      <c r="B920" t="s">
        <v>191</v>
      </c>
      <c r="C920" t="s">
        <v>85</v>
      </c>
      <c r="D920">
        <v>0</v>
      </c>
      <c r="E920">
        <v>0</v>
      </c>
      <c r="F920">
        <v>0</v>
      </c>
      <c r="G920" s="10">
        <f t="shared" si="14"/>
        <v>0</v>
      </c>
      <c r="H920" t="str">
        <f>$A920&amp;Keys!$C$54&amp;$B920&amp;Keys!$C$54&amp;$C920</f>
        <v>KY|imports|petroleum gasoline</v>
      </c>
    </row>
    <row r="921" spans="1:8" x14ac:dyDescent="0.25">
      <c r="A921" t="s">
        <v>102</v>
      </c>
      <c r="B921" t="s">
        <v>191</v>
      </c>
      <c r="C921" t="s">
        <v>88</v>
      </c>
      <c r="D921">
        <v>0</v>
      </c>
      <c r="E921">
        <v>0</v>
      </c>
      <c r="F921">
        <v>0</v>
      </c>
      <c r="G921" s="10">
        <f t="shared" si="14"/>
        <v>0</v>
      </c>
      <c r="H921" t="str">
        <f>$A921&amp;Keys!$C$54&amp;$B921&amp;Keys!$C$54&amp;$C921</f>
        <v>KY|imports|petroleum diesel</v>
      </c>
    </row>
    <row r="922" spans="1:8" x14ac:dyDescent="0.25">
      <c r="A922" t="s">
        <v>102</v>
      </c>
      <c r="B922" t="s">
        <v>191</v>
      </c>
      <c r="C922" t="s">
        <v>91</v>
      </c>
      <c r="D922">
        <v>0</v>
      </c>
      <c r="E922">
        <v>12628900000000</v>
      </c>
      <c r="F922">
        <v>12395700000000</v>
      </c>
      <c r="G922" s="10">
        <f t="shared" si="14"/>
        <v>8341533333333.333</v>
      </c>
      <c r="H922" t="str">
        <f>$A922&amp;Keys!$C$54&amp;$B922&amp;Keys!$C$54&amp;$C922</f>
        <v>KY|imports|biofuel gasoline</v>
      </c>
    </row>
    <row r="923" spans="1:8" x14ac:dyDescent="0.25">
      <c r="A923" t="s">
        <v>102</v>
      </c>
      <c r="B923" t="s">
        <v>191</v>
      </c>
      <c r="C923" t="s">
        <v>94</v>
      </c>
      <c r="D923">
        <v>0</v>
      </c>
      <c r="E923">
        <v>0</v>
      </c>
      <c r="F923">
        <v>0</v>
      </c>
      <c r="G923" s="10">
        <f t="shared" si="14"/>
        <v>0</v>
      </c>
      <c r="H923" t="str">
        <f>$A923&amp;Keys!$C$54&amp;$B923&amp;Keys!$C$54&amp;$C923</f>
        <v>KY|imports|biofuel diesel</v>
      </c>
    </row>
    <row r="924" spans="1:8" x14ac:dyDescent="0.25">
      <c r="A924" t="s">
        <v>102</v>
      </c>
      <c r="B924" t="s">
        <v>191</v>
      </c>
      <c r="C924" t="s">
        <v>97</v>
      </c>
      <c r="D924">
        <v>0</v>
      </c>
      <c r="E924">
        <v>23790500000000</v>
      </c>
      <c r="F924">
        <v>26949200000000</v>
      </c>
      <c r="G924" s="10">
        <f t="shared" si="14"/>
        <v>16913233333333.334</v>
      </c>
      <c r="H924" t="str">
        <f>$A924&amp;Keys!$C$54&amp;$B924&amp;Keys!$C$54&amp;$C924</f>
        <v>KY|imports|jet fuel or kerosene</v>
      </c>
    </row>
    <row r="925" spans="1:8" x14ac:dyDescent="0.25">
      <c r="A925" t="s">
        <v>102</v>
      </c>
      <c r="B925" t="s">
        <v>191</v>
      </c>
      <c r="C925" t="s">
        <v>100</v>
      </c>
      <c r="D925">
        <v>0</v>
      </c>
      <c r="E925">
        <v>0</v>
      </c>
      <c r="F925">
        <v>0</v>
      </c>
      <c r="G925" s="10">
        <f t="shared" si="14"/>
        <v>0</v>
      </c>
      <c r="H925" t="str">
        <f>$A925&amp;Keys!$C$54&amp;$B925&amp;Keys!$C$54&amp;$C925</f>
        <v>KY|imports|heat (not used in this variable)</v>
      </c>
    </row>
    <row r="926" spans="1:8" x14ac:dyDescent="0.25">
      <c r="A926" t="s">
        <v>102</v>
      </c>
      <c r="B926" t="s">
        <v>191</v>
      </c>
      <c r="C926" t="s">
        <v>103</v>
      </c>
      <c r="D926">
        <v>0</v>
      </c>
      <c r="E926">
        <v>0</v>
      </c>
      <c r="F926">
        <v>0</v>
      </c>
      <c r="G926" s="10">
        <f t="shared" si="14"/>
        <v>0</v>
      </c>
      <c r="H926" t="str">
        <f>$A926&amp;Keys!$C$54&amp;$B926&amp;Keys!$C$54&amp;$C926</f>
        <v>KY|imports|geothermal (is not a fuel)</v>
      </c>
    </row>
    <row r="927" spans="1:8" x14ac:dyDescent="0.25">
      <c r="A927" t="s">
        <v>102</v>
      </c>
      <c r="B927" t="s">
        <v>191</v>
      </c>
      <c r="C927" t="s">
        <v>106</v>
      </c>
      <c r="D927">
        <v>0</v>
      </c>
      <c r="E927">
        <v>0</v>
      </c>
      <c r="F927">
        <v>0</v>
      </c>
      <c r="G927" s="10">
        <f t="shared" si="14"/>
        <v>0</v>
      </c>
      <c r="H927" t="str">
        <f>$A927&amp;Keys!$C$54&amp;$B927&amp;Keys!$C$54&amp;$C927</f>
        <v>KY|imports|lignite</v>
      </c>
    </row>
    <row r="928" spans="1:8" x14ac:dyDescent="0.25">
      <c r="A928" t="s">
        <v>102</v>
      </c>
      <c r="B928" t="s">
        <v>191</v>
      </c>
      <c r="C928" t="s">
        <v>109</v>
      </c>
      <c r="D928">
        <v>0</v>
      </c>
      <c r="E928">
        <v>609184000000000</v>
      </c>
      <c r="F928">
        <v>610264000000000</v>
      </c>
      <c r="G928" s="10">
        <f t="shared" si="14"/>
        <v>406482666666666.69</v>
      </c>
      <c r="H928" t="str">
        <f>$A928&amp;Keys!$C$54&amp;$B928&amp;Keys!$C$54&amp;$C928</f>
        <v>KY|imports|crude oil</v>
      </c>
    </row>
    <row r="929" spans="1:8" x14ac:dyDescent="0.25">
      <c r="A929" t="s">
        <v>102</v>
      </c>
      <c r="B929" t="s">
        <v>191</v>
      </c>
      <c r="C929" t="s">
        <v>113</v>
      </c>
      <c r="D929">
        <v>0</v>
      </c>
      <c r="E929">
        <v>1837630000000</v>
      </c>
      <c r="F929">
        <v>2407600000000</v>
      </c>
      <c r="G929" s="10">
        <f t="shared" si="14"/>
        <v>1415076666666.6667</v>
      </c>
      <c r="H929" t="str">
        <f>$A929&amp;Keys!$C$54&amp;$B929&amp;Keys!$C$54&amp;$C929</f>
        <v>KY|imports|heavy fuel oil</v>
      </c>
    </row>
    <row r="930" spans="1:8" x14ac:dyDescent="0.25">
      <c r="A930" t="s">
        <v>102</v>
      </c>
      <c r="B930" t="s">
        <v>191</v>
      </c>
      <c r="C930" t="s">
        <v>117</v>
      </c>
      <c r="D930">
        <v>0</v>
      </c>
      <c r="E930">
        <v>31883500000000</v>
      </c>
      <c r="F930">
        <v>31599600000000</v>
      </c>
      <c r="G930" s="10">
        <f t="shared" si="14"/>
        <v>21161033333333.332</v>
      </c>
      <c r="H930" t="str">
        <f>$A930&amp;Keys!$C$54&amp;$B930&amp;Keys!$C$54&amp;$C930</f>
        <v>KY|imports|LPG propane or butane</v>
      </c>
    </row>
    <row r="931" spans="1:8" x14ac:dyDescent="0.25">
      <c r="A931" t="s">
        <v>102</v>
      </c>
      <c r="B931" t="s">
        <v>191</v>
      </c>
      <c r="C931" t="s">
        <v>120</v>
      </c>
      <c r="D931">
        <v>0</v>
      </c>
      <c r="E931">
        <v>0</v>
      </c>
      <c r="F931">
        <v>0</v>
      </c>
      <c r="G931" s="10">
        <f t="shared" si="14"/>
        <v>0</v>
      </c>
      <c r="H931" t="str">
        <f>$A931&amp;Keys!$C$54&amp;$B931&amp;Keys!$C$54&amp;$C931</f>
        <v>KY|imports|municipal solid waste</v>
      </c>
    </row>
    <row r="932" spans="1:8" x14ac:dyDescent="0.25">
      <c r="A932" t="s">
        <v>102</v>
      </c>
      <c r="B932" t="s">
        <v>191</v>
      </c>
      <c r="C932" t="s">
        <v>123</v>
      </c>
      <c r="D932">
        <v>0</v>
      </c>
      <c r="E932">
        <v>2214440000000</v>
      </c>
      <c r="F932">
        <v>2172200000000</v>
      </c>
      <c r="G932" s="10">
        <f t="shared" si="14"/>
        <v>1462213333333.3333</v>
      </c>
      <c r="H932" t="str">
        <f>$A932&amp;Keys!$C$54&amp;$B932&amp;Keys!$C$54&amp;$C932</f>
        <v>KY|imports|hydrogen</v>
      </c>
    </row>
    <row r="933" spans="1:8" x14ac:dyDescent="0.25">
      <c r="A933" t="s">
        <v>102</v>
      </c>
      <c r="B933" t="s">
        <v>193</v>
      </c>
      <c r="C933" t="s">
        <v>60</v>
      </c>
      <c r="D933">
        <v>0</v>
      </c>
      <c r="E933">
        <v>0</v>
      </c>
      <c r="F933">
        <v>0</v>
      </c>
      <c r="G933" s="10">
        <f t="shared" si="14"/>
        <v>0</v>
      </c>
      <c r="H933" t="str">
        <f>$A933&amp;Keys!$C$54&amp;$B933&amp;Keys!$C$54&amp;$C933</f>
        <v>KY|exports|electricity (not used in this variable)</v>
      </c>
    </row>
    <row r="934" spans="1:8" x14ac:dyDescent="0.25">
      <c r="A934" t="s">
        <v>102</v>
      </c>
      <c r="B934" t="s">
        <v>193</v>
      </c>
      <c r="C934" t="s">
        <v>64</v>
      </c>
      <c r="D934">
        <v>0</v>
      </c>
      <c r="E934">
        <v>12140800000000</v>
      </c>
      <c r="F934">
        <v>0</v>
      </c>
      <c r="G934" s="10">
        <f t="shared" si="14"/>
        <v>4046933333333.3335</v>
      </c>
      <c r="H934" t="str">
        <f>$A934&amp;Keys!$C$54&amp;$B934&amp;Keys!$C$54&amp;$C934</f>
        <v>KY|exports|hard coal</v>
      </c>
    </row>
    <row r="935" spans="1:8" x14ac:dyDescent="0.25">
      <c r="A935" t="s">
        <v>102</v>
      </c>
      <c r="B935" t="s">
        <v>193</v>
      </c>
      <c r="C935" t="s">
        <v>68</v>
      </c>
      <c r="D935">
        <v>2472450000000000</v>
      </c>
      <c r="E935">
        <v>2472450000000000</v>
      </c>
      <c r="F935">
        <v>2480120000000000</v>
      </c>
      <c r="G935" s="10">
        <f t="shared" si="14"/>
        <v>2475006666666666.5</v>
      </c>
      <c r="H935" t="str">
        <f>$A935&amp;Keys!$C$54&amp;$B935&amp;Keys!$C$54&amp;$C935</f>
        <v>KY|exports|natural gas</v>
      </c>
    </row>
    <row r="936" spans="1:8" x14ac:dyDescent="0.25">
      <c r="A936" t="s">
        <v>102</v>
      </c>
      <c r="B936" t="s">
        <v>193</v>
      </c>
      <c r="C936" t="s">
        <v>71</v>
      </c>
      <c r="D936">
        <v>0</v>
      </c>
      <c r="E936">
        <v>0</v>
      </c>
      <c r="F936">
        <v>0</v>
      </c>
      <c r="G936" s="10">
        <f t="shared" si="14"/>
        <v>0</v>
      </c>
      <c r="H936" t="str">
        <f>$A936&amp;Keys!$C$54&amp;$B936&amp;Keys!$C$54&amp;$C936</f>
        <v>KY|exports|nuclear</v>
      </c>
    </row>
    <row r="937" spans="1:8" x14ac:dyDescent="0.25">
      <c r="A937" t="s">
        <v>102</v>
      </c>
      <c r="B937" t="s">
        <v>193</v>
      </c>
      <c r="C937" t="s">
        <v>74</v>
      </c>
      <c r="D937">
        <v>0</v>
      </c>
      <c r="E937">
        <v>0</v>
      </c>
      <c r="F937">
        <v>0</v>
      </c>
      <c r="G937" s="10">
        <f t="shared" si="14"/>
        <v>0</v>
      </c>
      <c r="H937" t="str">
        <f>$A937&amp;Keys!$C$54&amp;$B937&amp;Keys!$C$54&amp;$C937</f>
        <v>KY|exports|hydro (is not a fuel)</v>
      </c>
    </row>
    <row r="938" spans="1:8" x14ac:dyDescent="0.25">
      <c r="A938" t="s">
        <v>102</v>
      </c>
      <c r="B938" t="s">
        <v>193</v>
      </c>
      <c r="C938" t="s">
        <v>77</v>
      </c>
      <c r="D938">
        <v>0</v>
      </c>
      <c r="E938">
        <v>0</v>
      </c>
      <c r="F938">
        <v>0</v>
      </c>
      <c r="G938" s="10">
        <f t="shared" si="14"/>
        <v>0</v>
      </c>
      <c r="H938" t="str">
        <f>$A938&amp;Keys!$C$54&amp;$B938&amp;Keys!$C$54&amp;$C938</f>
        <v>KY|exports|wind (is not a fuel)</v>
      </c>
    </row>
    <row r="939" spans="1:8" x14ac:dyDescent="0.25">
      <c r="A939" t="s">
        <v>102</v>
      </c>
      <c r="B939" t="s">
        <v>193</v>
      </c>
      <c r="C939" t="s">
        <v>80</v>
      </c>
      <c r="D939">
        <v>0</v>
      </c>
      <c r="E939">
        <v>0</v>
      </c>
      <c r="F939">
        <v>0</v>
      </c>
      <c r="G939" s="10">
        <f t="shared" si="14"/>
        <v>0</v>
      </c>
      <c r="H939" t="str">
        <f>$A939&amp;Keys!$C$54&amp;$B939&amp;Keys!$C$54&amp;$C939</f>
        <v>KY|exports|solar (is not a fuel)</v>
      </c>
    </row>
    <row r="940" spans="1:8" x14ac:dyDescent="0.25">
      <c r="A940" t="s">
        <v>102</v>
      </c>
      <c r="B940" t="s">
        <v>193</v>
      </c>
      <c r="C940" t="s">
        <v>82</v>
      </c>
      <c r="D940">
        <v>0</v>
      </c>
      <c r="E940">
        <v>0</v>
      </c>
      <c r="F940">
        <v>0</v>
      </c>
      <c r="G940" s="10">
        <f t="shared" si="14"/>
        <v>0</v>
      </c>
      <c r="H940" t="str">
        <f>$A940&amp;Keys!$C$54&amp;$B940&amp;Keys!$C$54&amp;$C940</f>
        <v>KY|exports|biomass</v>
      </c>
    </row>
    <row r="941" spans="1:8" x14ac:dyDescent="0.25">
      <c r="A941" t="s">
        <v>102</v>
      </c>
      <c r="B941" t="s">
        <v>193</v>
      </c>
      <c r="C941" t="s">
        <v>85</v>
      </c>
      <c r="D941">
        <v>0</v>
      </c>
      <c r="E941">
        <v>66284700000000</v>
      </c>
      <c r="F941">
        <v>62497100000000</v>
      </c>
      <c r="G941" s="10">
        <f t="shared" si="14"/>
        <v>42927266666666.664</v>
      </c>
      <c r="H941" t="str">
        <f>$A941&amp;Keys!$C$54&amp;$B941&amp;Keys!$C$54&amp;$C941</f>
        <v>KY|exports|petroleum gasoline</v>
      </c>
    </row>
    <row r="942" spans="1:8" x14ac:dyDescent="0.25">
      <c r="A942" t="s">
        <v>102</v>
      </c>
      <c r="B942" t="s">
        <v>193</v>
      </c>
      <c r="C942" t="s">
        <v>88</v>
      </c>
      <c r="D942">
        <v>0</v>
      </c>
      <c r="E942">
        <v>9898320000000</v>
      </c>
      <c r="F942">
        <v>3360750000000</v>
      </c>
      <c r="G942" s="10">
        <f t="shared" si="14"/>
        <v>4419690000000</v>
      </c>
      <c r="H942" t="str">
        <f>$A942&amp;Keys!$C$54&amp;$B942&amp;Keys!$C$54&amp;$C942</f>
        <v>KY|exports|petroleum diesel</v>
      </c>
    </row>
    <row r="943" spans="1:8" x14ac:dyDescent="0.25">
      <c r="A943" t="s">
        <v>102</v>
      </c>
      <c r="B943" t="s">
        <v>193</v>
      </c>
      <c r="C943" t="s">
        <v>91</v>
      </c>
      <c r="D943">
        <v>0</v>
      </c>
      <c r="E943">
        <v>0</v>
      </c>
      <c r="F943">
        <v>0</v>
      </c>
      <c r="G943" s="10">
        <f t="shared" si="14"/>
        <v>0</v>
      </c>
      <c r="H943" t="str">
        <f>$A943&amp;Keys!$C$54&amp;$B943&amp;Keys!$C$54&amp;$C943</f>
        <v>KY|exports|biofuel gasoline</v>
      </c>
    </row>
    <row r="944" spans="1:8" x14ac:dyDescent="0.25">
      <c r="A944" t="s">
        <v>102</v>
      </c>
      <c r="B944" t="s">
        <v>193</v>
      </c>
      <c r="C944" t="s">
        <v>94</v>
      </c>
      <c r="D944">
        <v>0</v>
      </c>
      <c r="E944">
        <v>16338900000000</v>
      </c>
      <c r="F944">
        <v>19951200000000</v>
      </c>
      <c r="G944" s="10">
        <f t="shared" si="14"/>
        <v>12096700000000</v>
      </c>
      <c r="H944" t="str">
        <f>$A944&amp;Keys!$C$54&amp;$B944&amp;Keys!$C$54&amp;$C944</f>
        <v>KY|exports|biofuel diesel</v>
      </c>
    </row>
    <row r="945" spans="1:8" x14ac:dyDescent="0.25">
      <c r="A945" t="s">
        <v>102</v>
      </c>
      <c r="B945" t="s">
        <v>193</v>
      </c>
      <c r="C945" t="s">
        <v>97</v>
      </c>
      <c r="D945">
        <v>0</v>
      </c>
      <c r="E945">
        <v>0</v>
      </c>
      <c r="F945">
        <v>0</v>
      </c>
      <c r="G945" s="10">
        <f t="shared" si="14"/>
        <v>0</v>
      </c>
      <c r="H945" t="str">
        <f>$A945&amp;Keys!$C$54&amp;$B945&amp;Keys!$C$54&amp;$C945</f>
        <v>KY|exports|jet fuel or kerosene</v>
      </c>
    </row>
    <row r="946" spans="1:8" x14ac:dyDescent="0.25">
      <c r="A946" t="s">
        <v>102</v>
      </c>
      <c r="B946" t="s">
        <v>193</v>
      </c>
      <c r="C946" t="s">
        <v>100</v>
      </c>
      <c r="D946">
        <v>0</v>
      </c>
      <c r="E946">
        <v>0</v>
      </c>
      <c r="F946">
        <v>0</v>
      </c>
      <c r="G946" s="10">
        <f t="shared" si="14"/>
        <v>0</v>
      </c>
      <c r="H946" t="str">
        <f>$A946&amp;Keys!$C$54&amp;$B946&amp;Keys!$C$54&amp;$C946</f>
        <v>KY|exports|heat (not used in this variable)</v>
      </c>
    </row>
    <row r="947" spans="1:8" x14ac:dyDescent="0.25">
      <c r="A947" t="s">
        <v>102</v>
      </c>
      <c r="B947" t="s">
        <v>193</v>
      </c>
      <c r="C947" t="s">
        <v>103</v>
      </c>
      <c r="D947">
        <v>0</v>
      </c>
      <c r="E947">
        <v>0</v>
      </c>
      <c r="F947">
        <v>0</v>
      </c>
      <c r="G947" s="10">
        <f t="shared" si="14"/>
        <v>0</v>
      </c>
      <c r="H947" t="str">
        <f>$A947&amp;Keys!$C$54&amp;$B947&amp;Keys!$C$54&amp;$C947</f>
        <v>KY|exports|geothermal (is not a fuel)</v>
      </c>
    </row>
    <row r="948" spans="1:8" x14ac:dyDescent="0.25">
      <c r="A948" t="s">
        <v>102</v>
      </c>
      <c r="B948" t="s">
        <v>193</v>
      </c>
      <c r="C948" t="s">
        <v>106</v>
      </c>
      <c r="D948">
        <v>0</v>
      </c>
      <c r="E948">
        <v>0</v>
      </c>
      <c r="F948">
        <v>0</v>
      </c>
      <c r="G948" s="10">
        <f t="shared" si="14"/>
        <v>0</v>
      </c>
      <c r="H948" t="str">
        <f>$A948&amp;Keys!$C$54&amp;$B948&amp;Keys!$C$54&amp;$C948</f>
        <v>KY|exports|lignite</v>
      </c>
    </row>
    <row r="949" spans="1:8" x14ac:dyDescent="0.25">
      <c r="A949" t="s">
        <v>102</v>
      </c>
      <c r="B949" t="s">
        <v>193</v>
      </c>
      <c r="C949" t="s">
        <v>109</v>
      </c>
      <c r="D949">
        <v>0</v>
      </c>
      <c r="E949">
        <v>0</v>
      </c>
      <c r="F949">
        <v>0</v>
      </c>
      <c r="G949" s="10">
        <f t="shared" si="14"/>
        <v>0</v>
      </c>
      <c r="H949" t="str">
        <f>$A949&amp;Keys!$C$54&amp;$B949&amp;Keys!$C$54&amp;$C949</f>
        <v>KY|exports|crude oil</v>
      </c>
    </row>
    <row r="950" spans="1:8" x14ac:dyDescent="0.25">
      <c r="A950" t="s">
        <v>102</v>
      </c>
      <c r="B950" t="s">
        <v>193</v>
      </c>
      <c r="C950" t="s">
        <v>113</v>
      </c>
      <c r="D950">
        <v>0</v>
      </c>
      <c r="E950">
        <v>0</v>
      </c>
      <c r="F950">
        <v>0</v>
      </c>
      <c r="G950" s="10">
        <f t="shared" si="14"/>
        <v>0</v>
      </c>
      <c r="H950" t="str">
        <f>$A950&amp;Keys!$C$54&amp;$B950&amp;Keys!$C$54&amp;$C950</f>
        <v>KY|exports|heavy fuel oil</v>
      </c>
    </row>
    <row r="951" spans="1:8" x14ac:dyDescent="0.25">
      <c r="A951" t="s">
        <v>102</v>
      </c>
      <c r="B951" t="s">
        <v>193</v>
      </c>
      <c r="C951" t="s">
        <v>117</v>
      </c>
      <c r="D951">
        <v>0</v>
      </c>
      <c r="E951">
        <v>0</v>
      </c>
      <c r="F951">
        <v>0</v>
      </c>
      <c r="G951" s="10">
        <f t="shared" si="14"/>
        <v>0</v>
      </c>
      <c r="H951" t="str">
        <f>$A951&amp;Keys!$C$54&amp;$B951&amp;Keys!$C$54&amp;$C951</f>
        <v>KY|exports|LPG propane or butane</v>
      </c>
    </row>
    <row r="952" spans="1:8" x14ac:dyDescent="0.25">
      <c r="A952" t="s">
        <v>102</v>
      </c>
      <c r="B952" t="s">
        <v>193</v>
      </c>
      <c r="C952" t="s">
        <v>120</v>
      </c>
      <c r="D952">
        <v>0</v>
      </c>
      <c r="E952">
        <v>0</v>
      </c>
      <c r="F952">
        <v>0</v>
      </c>
      <c r="G952" s="10">
        <f t="shared" si="14"/>
        <v>0</v>
      </c>
      <c r="H952" t="str">
        <f>$A952&amp;Keys!$C$54&amp;$B952&amp;Keys!$C$54&amp;$C952</f>
        <v>KY|exports|municipal solid waste</v>
      </c>
    </row>
    <row r="953" spans="1:8" x14ac:dyDescent="0.25">
      <c r="A953" t="s">
        <v>102</v>
      </c>
      <c r="B953" t="s">
        <v>193</v>
      </c>
      <c r="C953" t="s">
        <v>123</v>
      </c>
      <c r="D953">
        <v>0</v>
      </c>
      <c r="E953">
        <v>0</v>
      </c>
      <c r="F953">
        <v>0</v>
      </c>
      <c r="G953" s="10">
        <f t="shared" si="14"/>
        <v>0</v>
      </c>
      <c r="H953" t="str">
        <f>$A953&amp;Keys!$C$54&amp;$B953&amp;Keys!$C$54&amp;$C953</f>
        <v>KY|exports|hydrogen</v>
      </c>
    </row>
    <row r="954" spans="1:8" x14ac:dyDescent="0.25">
      <c r="A954" t="s">
        <v>105</v>
      </c>
      <c r="B954" t="s">
        <v>188</v>
      </c>
      <c r="C954" t="s">
        <v>60</v>
      </c>
      <c r="D954">
        <v>0</v>
      </c>
      <c r="E954">
        <v>0</v>
      </c>
      <c r="F954">
        <v>0</v>
      </c>
      <c r="G954" s="10">
        <f t="shared" si="14"/>
        <v>0</v>
      </c>
      <c r="H954" t="str">
        <f>$A954&amp;Keys!$C$54&amp;$B954&amp;Keys!$C$54&amp;$C954</f>
        <v>LA|production|electricity (not used in this variable)</v>
      </c>
    </row>
    <row r="955" spans="1:8" x14ac:dyDescent="0.25">
      <c r="A955" t="s">
        <v>105</v>
      </c>
      <c r="B955" t="s">
        <v>188</v>
      </c>
      <c r="C955" t="s">
        <v>64</v>
      </c>
      <c r="D955">
        <v>0</v>
      </c>
      <c r="E955">
        <v>0</v>
      </c>
      <c r="F955">
        <v>0</v>
      </c>
      <c r="G955" s="10">
        <f t="shared" si="14"/>
        <v>0</v>
      </c>
      <c r="H955" t="str">
        <f>$A955&amp;Keys!$C$54&amp;$B955&amp;Keys!$C$54&amp;$C955</f>
        <v>LA|production|hard coal</v>
      </c>
    </row>
    <row r="956" spans="1:8" x14ac:dyDescent="0.25">
      <c r="A956" t="s">
        <v>105</v>
      </c>
      <c r="B956" t="s">
        <v>188</v>
      </c>
      <c r="C956" t="s">
        <v>68</v>
      </c>
      <c r="D956">
        <v>3731200000000000</v>
      </c>
      <c r="E956">
        <v>3731200000000000</v>
      </c>
      <c r="F956">
        <v>3688360000000000</v>
      </c>
      <c r="G956" s="10">
        <f t="shared" si="14"/>
        <v>3716920000000000</v>
      </c>
      <c r="H956" t="str">
        <f>$A956&amp;Keys!$C$54&amp;$B956&amp;Keys!$C$54&amp;$C956</f>
        <v>LA|production|natural gas</v>
      </c>
    </row>
    <row r="957" spans="1:8" x14ac:dyDescent="0.25">
      <c r="A957" t="s">
        <v>105</v>
      </c>
      <c r="B957" t="s">
        <v>188</v>
      </c>
      <c r="C957" t="s">
        <v>71</v>
      </c>
      <c r="D957">
        <v>0</v>
      </c>
      <c r="E957">
        <v>0</v>
      </c>
      <c r="F957">
        <v>0</v>
      </c>
      <c r="G957" s="10">
        <f t="shared" si="14"/>
        <v>0</v>
      </c>
      <c r="H957" t="str">
        <f>$A957&amp;Keys!$C$54&amp;$B957&amp;Keys!$C$54&amp;$C957</f>
        <v>LA|production|nuclear</v>
      </c>
    </row>
    <row r="958" spans="1:8" x14ac:dyDescent="0.25">
      <c r="A958" t="s">
        <v>105</v>
      </c>
      <c r="B958" t="s">
        <v>188</v>
      </c>
      <c r="C958" t="s">
        <v>74</v>
      </c>
      <c r="D958">
        <v>0</v>
      </c>
      <c r="E958">
        <v>0</v>
      </c>
      <c r="F958">
        <v>0</v>
      </c>
      <c r="G958" s="10">
        <f t="shared" si="14"/>
        <v>0</v>
      </c>
      <c r="H958" t="str">
        <f>$A958&amp;Keys!$C$54&amp;$B958&amp;Keys!$C$54&amp;$C958</f>
        <v>LA|production|hydro (is not a fuel)</v>
      </c>
    </row>
    <row r="959" spans="1:8" x14ac:dyDescent="0.25">
      <c r="A959" t="s">
        <v>105</v>
      </c>
      <c r="B959" t="s">
        <v>188</v>
      </c>
      <c r="C959" t="s">
        <v>77</v>
      </c>
      <c r="D959">
        <v>0</v>
      </c>
      <c r="E959">
        <v>0</v>
      </c>
      <c r="F959">
        <v>0</v>
      </c>
      <c r="G959" s="10">
        <f t="shared" si="14"/>
        <v>0</v>
      </c>
      <c r="H959" t="str">
        <f>$A959&amp;Keys!$C$54&amp;$B959&amp;Keys!$C$54&amp;$C959</f>
        <v>LA|production|wind (is not a fuel)</v>
      </c>
    </row>
    <row r="960" spans="1:8" x14ac:dyDescent="0.25">
      <c r="A960" t="s">
        <v>105</v>
      </c>
      <c r="B960" t="s">
        <v>188</v>
      </c>
      <c r="C960" t="s">
        <v>80</v>
      </c>
      <c r="D960">
        <v>0</v>
      </c>
      <c r="E960">
        <v>0</v>
      </c>
      <c r="F960">
        <v>0</v>
      </c>
      <c r="G960" s="10">
        <f t="shared" si="14"/>
        <v>0</v>
      </c>
      <c r="H960" t="str">
        <f>$A960&amp;Keys!$C$54&amp;$B960&amp;Keys!$C$54&amp;$C960</f>
        <v>LA|production|solar (is not a fuel)</v>
      </c>
    </row>
    <row r="961" spans="1:8" x14ac:dyDescent="0.25">
      <c r="A961" t="s">
        <v>105</v>
      </c>
      <c r="B961" t="s">
        <v>188</v>
      </c>
      <c r="C961" t="s">
        <v>82</v>
      </c>
      <c r="D961">
        <v>20518800000000</v>
      </c>
      <c r="E961">
        <v>20518800000000</v>
      </c>
      <c r="F961">
        <v>20518800000000</v>
      </c>
      <c r="G961" s="10">
        <f t="shared" si="14"/>
        <v>20518800000000</v>
      </c>
      <c r="H961" t="str">
        <f>$A961&amp;Keys!$C$54&amp;$B961&amp;Keys!$C$54&amp;$C961</f>
        <v>LA|production|biomass</v>
      </c>
    </row>
    <row r="962" spans="1:8" x14ac:dyDescent="0.25">
      <c r="A962" t="s">
        <v>105</v>
      </c>
      <c r="B962" t="s">
        <v>188</v>
      </c>
      <c r="C962" t="s">
        <v>85</v>
      </c>
      <c r="D962">
        <v>2894660000000000</v>
      </c>
      <c r="E962">
        <v>2894660000000000</v>
      </c>
      <c r="F962">
        <v>2824500000000000</v>
      </c>
      <c r="G962" s="10">
        <f t="shared" si="14"/>
        <v>2871273333333333.5</v>
      </c>
      <c r="H962" t="str">
        <f>$A962&amp;Keys!$C$54&amp;$B962&amp;Keys!$C$54&amp;$C962</f>
        <v>LA|production|petroleum gasoline</v>
      </c>
    </row>
    <row r="963" spans="1:8" x14ac:dyDescent="0.25">
      <c r="A963" t="s">
        <v>105</v>
      </c>
      <c r="B963" t="s">
        <v>188</v>
      </c>
      <c r="C963" t="s">
        <v>88</v>
      </c>
      <c r="D963">
        <v>1712240000000000</v>
      </c>
      <c r="E963">
        <v>1712240000000000</v>
      </c>
      <c r="F963">
        <v>1670730000000000</v>
      </c>
      <c r="G963" s="10">
        <f t="shared" si="14"/>
        <v>1698403333333333.3</v>
      </c>
      <c r="H963" t="str">
        <f>$A963&amp;Keys!$C$54&amp;$B963&amp;Keys!$C$54&amp;$C963</f>
        <v>LA|production|petroleum diesel</v>
      </c>
    </row>
    <row r="964" spans="1:8" x14ac:dyDescent="0.25">
      <c r="A964" t="s">
        <v>105</v>
      </c>
      <c r="B964" t="s">
        <v>188</v>
      </c>
      <c r="C964" t="s">
        <v>91</v>
      </c>
      <c r="D964">
        <v>0</v>
      </c>
      <c r="E964">
        <v>0</v>
      </c>
      <c r="F964">
        <v>0</v>
      </c>
      <c r="G964" s="10">
        <f t="shared" si="14"/>
        <v>0</v>
      </c>
      <c r="H964" t="str">
        <f>$A964&amp;Keys!$C$54&amp;$B964&amp;Keys!$C$54&amp;$C964</f>
        <v>LA|production|biofuel gasoline</v>
      </c>
    </row>
    <row r="965" spans="1:8" x14ac:dyDescent="0.25">
      <c r="A965" t="s">
        <v>105</v>
      </c>
      <c r="B965" t="s">
        <v>188</v>
      </c>
      <c r="C965" t="s">
        <v>94</v>
      </c>
      <c r="D965">
        <v>0</v>
      </c>
      <c r="E965">
        <v>0</v>
      </c>
      <c r="F965">
        <v>0</v>
      </c>
      <c r="G965" s="10">
        <f t="shared" si="14"/>
        <v>0</v>
      </c>
      <c r="H965" t="str">
        <f>$A965&amp;Keys!$C$54&amp;$B965&amp;Keys!$C$54&amp;$C965</f>
        <v>LA|production|biofuel diesel</v>
      </c>
    </row>
    <row r="966" spans="1:8" x14ac:dyDescent="0.25">
      <c r="A966" t="s">
        <v>105</v>
      </c>
      <c r="B966" t="s">
        <v>188</v>
      </c>
      <c r="C966" t="s">
        <v>97</v>
      </c>
      <c r="D966">
        <v>609521000000000</v>
      </c>
      <c r="E966">
        <v>609521000000000</v>
      </c>
      <c r="F966">
        <v>594747000000000</v>
      </c>
      <c r="G966" s="10">
        <f t="shared" si="14"/>
        <v>604596333333333.38</v>
      </c>
      <c r="H966" t="str">
        <f>$A966&amp;Keys!$C$54&amp;$B966&amp;Keys!$C$54&amp;$C966</f>
        <v>LA|production|jet fuel or kerosene</v>
      </c>
    </row>
    <row r="967" spans="1:8" x14ac:dyDescent="0.25">
      <c r="A967" t="s">
        <v>105</v>
      </c>
      <c r="B967" t="s">
        <v>188</v>
      </c>
      <c r="C967" t="s">
        <v>100</v>
      </c>
      <c r="D967">
        <v>0</v>
      </c>
      <c r="E967">
        <v>0</v>
      </c>
      <c r="F967">
        <v>0</v>
      </c>
      <c r="G967" s="10">
        <f t="shared" si="14"/>
        <v>0</v>
      </c>
      <c r="H967" t="str">
        <f>$A967&amp;Keys!$C$54&amp;$B967&amp;Keys!$C$54&amp;$C967</f>
        <v>LA|production|heat (not used in this variable)</v>
      </c>
    </row>
    <row r="968" spans="1:8" x14ac:dyDescent="0.25">
      <c r="A968" t="s">
        <v>105</v>
      </c>
      <c r="B968" t="s">
        <v>188</v>
      </c>
      <c r="C968" t="s">
        <v>103</v>
      </c>
      <c r="D968">
        <v>0</v>
      </c>
      <c r="E968">
        <v>0</v>
      </c>
      <c r="F968">
        <v>0</v>
      </c>
      <c r="G968" s="10">
        <f t="shared" si="14"/>
        <v>0</v>
      </c>
      <c r="H968" t="str">
        <f>$A968&amp;Keys!$C$54&amp;$B968&amp;Keys!$C$54&amp;$C968</f>
        <v>LA|production|geothermal (is not a fuel)</v>
      </c>
    </row>
    <row r="969" spans="1:8" x14ac:dyDescent="0.25">
      <c r="A969" t="s">
        <v>105</v>
      </c>
      <c r="B969" t="s">
        <v>188</v>
      </c>
      <c r="C969" t="s">
        <v>106</v>
      </c>
      <c r="D969">
        <v>3701240000000</v>
      </c>
      <c r="E969">
        <v>3701240000000</v>
      </c>
      <c r="F969">
        <v>3681330000000</v>
      </c>
      <c r="G969" s="10">
        <f t="shared" ref="G969:G1032" si="15">AVERAGE($D969:$F969)</f>
        <v>3694603333333.3335</v>
      </c>
      <c r="H969" t="str">
        <f>$A969&amp;Keys!$C$54&amp;$B969&amp;Keys!$C$54&amp;$C969</f>
        <v>LA|production|lignite</v>
      </c>
    </row>
    <row r="970" spans="1:8" x14ac:dyDescent="0.25">
      <c r="A970" t="s">
        <v>105</v>
      </c>
      <c r="B970" t="s">
        <v>188</v>
      </c>
      <c r="C970" t="s">
        <v>109</v>
      </c>
      <c r="D970">
        <v>176082000000000</v>
      </c>
      <c r="E970">
        <v>176082000000000</v>
      </c>
      <c r="F970">
        <v>165798000000000</v>
      </c>
      <c r="G970" s="10">
        <f t="shared" si="15"/>
        <v>172654000000000</v>
      </c>
      <c r="H970" t="str">
        <f>$A970&amp;Keys!$C$54&amp;$B970&amp;Keys!$C$54&amp;$C970</f>
        <v>LA|production|crude oil</v>
      </c>
    </row>
    <row r="971" spans="1:8" x14ac:dyDescent="0.25">
      <c r="A971" t="s">
        <v>105</v>
      </c>
      <c r="B971" t="s">
        <v>188</v>
      </c>
      <c r="C971" t="s">
        <v>113</v>
      </c>
      <c r="D971">
        <v>118402000000000</v>
      </c>
      <c r="E971">
        <v>118402000000000</v>
      </c>
      <c r="F971">
        <v>115532000000000</v>
      </c>
      <c r="G971" s="10">
        <f t="shared" si="15"/>
        <v>117445333333333.33</v>
      </c>
      <c r="H971" t="str">
        <f>$A971&amp;Keys!$C$54&amp;$B971&amp;Keys!$C$54&amp;$C971</f>
        <v>LA|production|heavy fuel oil</v>
      </c>
    </row>
    <row r="972" spans="1:8" x14ac:dyDescent="0.25">
      <c r="A972" t="s">
        <v>105</v>
      </c>
      <c r="B972" t="s">
        <v>188</v>
      </c>
      <c r="C972" t="s">
        <v>117</v>
      </c>
      <c r="D972">
        <v>456137000000000</v>
      </c>
      <c r="E972">
        <v>456137000000000</v>
      </c>
      <c r="F972">
        <v>465823000000000</v>
      </c>
      <c r="G972" s="10">
        <f t="shared" si="15"/>
        <v>459365666666666.69</v>
      </c>
      <c r="H972" t="str">
        <f>$A972&amp;Keys!$C$54&amp;$B972&amp;Keys!$C$54&amp;$C972</f>
        <v>LA|production|LPG propane or butane</v>
      </c>
    </row>
    <row r="973" spans="1:8" x14ac:dyDescent="0.25">
      <c r="A973" t="s">
        <v>105</v>
      </c>
      <c r="B973" t="s">
        <v>188</v>
      </c>
      <c r="C973" t="s">
        <v>120</v>
      </c>
      <c r="D973">
        <v>0</v>
      </c>
      <c r="E973">
        <v>0</v>
      </c>
      <c r="F973">
        <v>0</v>
      </c>
      <c r="G973" s="10">
        <f t="shared" si="15"/>
        <v>0</v>
      </c>
      <c r="H973" t="str">
        <f>$A973&amp;Keys!$C$54&amp;$B973&amp;Keys!$C$54&amp;$C973</f>
        <v>LA|production|municipal solid waste</v>
      </c>
    </row>
    <row r="974" spans="1:8" x14ac:dyDescent="0.25">
      <c r="A974" t="s">
        <v>105</v>
      </c>
      <c r="B974" t="s">
        <v>188</v>
      </c>
      <c r="C974" t="s">
        <v>123</v>
      </c>
      <c r="D974">
        <v>13997800000000</v>
      </c>
      <c r="E974">
        <v>13997800000000</v>
      </c>
      <c r="F974">
        <v>13293600000000</v>
      </c>
      <c r="G974" s="10">
        <f t="shared" si="15"/>
        <v>13763066666666.666</v>
      </c>
      <c r="H974" t="str">
        <f>$A974&amp;Keys!$C$54&amp;$B974&amp;Keys!$C$54&amp;$C974</f>
        <v>LA|production|hydrogen</v>
      </c>
    </row>
    <row r="975" spans="1:8" x14ac:dyDescent="0.25">
      <c r="A975" t="s">
        <v>105</v>
      </c>
      <c r="B975" t="s">
        <v>191</v>
      </c>
      <c r="C975" t="s">
        <v>60</v>
      </c>
      <c r="D975">
        <v>0</v>
      </c>
      <c r="E975">
        <v>0</v>
      </c>
      <c r="F975">
        <v>0</v>
      </c>
      <c r="G975" s="10">
        <f t="shared" si="15"/>
        <v>0</v>
      </c>
      <c r="H975" t="str">
        <f>$A975&amp;Keys!$C$54&amp;$B975&amp;Keys!$C$54&amp;$C975</f>
        <v>LA|imports|electricity (not used in this variable)</v>
      </c>
    </row>
    <row r="976" spans="1:8" x14ac:dyDescent="0.25">
      <c r="A976" t="s">
        <v>105</v>
      </c>
      <c r="B976" t="s">
        <v>191</v>
      </c>
      <c r="C976" t="s">
        <v>64</v>
      </c>
      <c r="D976">
        <v>64248200000000</v>
      </c>
      <c r="E976">
        <v>68347700000000</v>
      </c>
      <c r="F976">
        <v>132241000000000</v>
      </c>
      <c r="G976" s="10">
        <f t="shared" si="15"/>
        <v>88278966666666.672</v>
      </c>
      <c r="H976" t="str">
        <f>$A976&amp;Keys!$C$54&amp;$B976&amp;Keys!$C$54&amp;$C976</f>
        <v>LA|imports|hard coal</v>
      </c>
    </row>
    <row r="977" spans="1:8" x14ac:dyDescent="0.25">
      <c r="A977" t="s">
        <v>105</v>
      </c>
      <c r="B977" t="s">
        <v>191</v>
      </c>
      <c r="C977" t="s">
        <v>68</v>
      </c>
      <c r="D977">
        <v>4958120000000000</v>
      </c>
      <c r="E977">
        <v>5020630000000000</v>
      </c>
      <c r="F977">
        <v>4962000000000000</v>
      </c>
      <c r="G977" s="10">
        <f t="shared" si="15"/>
        <v>4980250000000000</v>
      </c>
      <c r="H977" t="str">
        <f>$A977&amp;Keys!$C$54&amp;$B977&amp;Keys!$C$54&amp;$C977</f>
        <v>LA|imports|natural gas</v>
      </c>
    </row>
    <row r="978" spans="1:8" x14ac:dyDescent="0.25">
      <c r="A978" t="s">
        <v>105</v>
      </c>
      <c r="B978" t="s">
        <v>191</v>
      </c>
      <c r="C978" t="s">
        <v>71</v>
      </c>
      <c r="D978">
        <v>153007000000000</v>
      </c>
      <c r="E978">
        <v>159250000000000</v>
      </c>
      <c r="F978">
        <v>156221000000000</v>
      </c>
      <c r="G978" s="10">
        <f t="shared" si="15"/>
        <v>156159333333333.34</v>
      </c>
      <c r="H978" t="str">
        <f>$A978&amp;Keys!$C$54&amp;$B978&amp;Keys!$C$54&amp;$C978</f>
        <v>LA|imports|nuclear</v>
      </c>
    </row>
    <row r="979" spans="1:8" x14ac:dyDescent="0.25">
      <c r="A979" t="s">
        <v>105</v>
      </c>
      <c r="B979" t="s">
        <v>191</v>
      </c>
      <c r="C979" t="s">
        <v>74</v>
      </c>
      <c r="D979">
        <v>0</v>
      </c>
      <c r="E979">
        <v>0</v>
      </c>
      <c r="F979">
        <v>0</v>
      </c>
      <c r="G979" s="10">
        <f t="shared" si="15"/>
        <v>0</v>
      </c>
      <c r="H979" t="str">
        <f>$A979&amp;Keys!$C$54&amp;$B979&amp;Keys!$C$54&amp;$C979</f>
        <v>LA|imports|hydro (is not a fuel)</v>
      </c>
    </row>
    <row r="980" spans="1:8" x14ac:dyDescent="0.25">
      <c r="A980" t="s">
        <v>105</v>
      </c>
      <c r="B980" t="s">
        <v>191</v>
      </c>
      <c r="C980" t="s">
        <v>77</v>
      </c>
      <c r="D980">
        <v>0</v>
      </c>
      <c r="E980">
        <v>0</v>
      </c>
      <c r="F980">
        <v>0</v>
      </c>
      <c r="G980" s="10">
        <f t="shared" si="15"/>
        <v>0</v>
      </c>
      <c r="H980" t="str">
        <f>$A980&amp;Keys!$C$54&amp;$B980&amp;Keys!$C$54&amp;$C980</f>
        <v>LA|imports|wind (is not a fuel)</v>
      </c>
    </row>
    <row r="981" spans="1:8" x14ac:dyDescent="0.25">
      <c r="A981" t="s">
        <v>105</v>
      </c>
      <c r="B981" t="s">
        <v>191</v>
      </c>
      <c r="C981" t="s">
        <v>80</v>
      </c>
      <c r="D981">
        <v>0</v>
      </c>
      <c r="E981">
        <v>0</v>
      </c>
      <c r="F981">
        <v>0</v>
      </c>
      <c r="G981" s="10">
        <f t="shared" si="15"/>
        <v>0</v>
      </c>
      <c r="H981" t="str">
        <f>$A981&amp;Keys!$C$54&amp;$B981&amp;Keys!$C$54&amp;$C981</f>
        <v>LA|imports|solar (is not a fuel)</v>
      </c>
    </row>
    <row r="982" spans="1:8" x14ac:dyDescent="0.25">
      <c r="A982" t="s">
        <v>105</v>
      </c>
      <c r="B982" t="s">
        <v>191</v>
      </c>
      <c r="C982" t="s">
        <v>82</v>
      </c>
      <c r="D982">
        <v>0</v>
      </c>
      <c r="E982">
        <v>107127000000000</v>
      </c>
      <c r="F982">
        <v>114926000000000</v>
      </c>
      <c r="G982" s="10">
        <f t="shared" si="15"/>
        <v>74017666666666.672</v>
      </c>
      <c r="H982" t="str">
        <f>$A982&amp;Keys!$C$54&amp;$B982&amp;Keys!$C$54&amp;$C982</f>
        <v>LA|imports|biomass</v>
      </c>
    </row>
    <row r="983" spans="1:8" x14ac:dyDescent="0.25">
      <c r="A983" t="s">
        <v>105</v>
      </c>
      <c r="B983" t="s">
        <v>191</v>
      </c>
      <c r="C983" t="s">
        <v>85</v>
      </c>
      <c r="D983">
        <v>0</v>
      </c>
      <c r="E983">
        <v>0</v>
      </c>
      <c r="F983">
        <v>0</v>
      </c>
      <c r="G983" s="10">
        <f t="shared" si="15"/>
        <v>0</v>
      </c>
      <c r="H983" t="str">
        <f>$A983&amp;Keys!$C$54&amp;$B983&amp;Keys!$C$54&amp;$C983</f>
        <v>LA|imports|petroleum gasoline</v>
      </c>
    </row>
    <row r="984" spans="1:8" x14ac:dyDescent="0.25">
      <c r="A984" t="s">
        <v>105</v>
      </c>
      <c r="B984" t="s">
        <v>191</v>
      </c>
      <c r="C984" t="s">
        <v>88</v>
      </c>
      <c r="D984">
        <v>0</v>
      </c>
      <c r="E984">
        <v>0</v>
      </c>
      <c r="F984">
        <v>0</v>
      </c>
      <c r="G984" s="10">
        <f t="shared" si="15"/>
        <v>0</v>
      </c>
      <c r="H984" t="str">
        <f>$A984&amp;Keys!$C$54&amp;$B984&amp;Keys!$C$54&amp;$C984</f>
        <v>LA|imports|petroleum diesel</v>
      </c>
    </row>
    <row r="985" spans="1:8" x14ac:dyDescent="0.25">
      <c r="A985" t="s">
        <v>105</v>
      </c>
      <c r="B985" t="s">
        <v>191</v>
      </c>
      <c r="C985" t="s">
        <v>91</v>
      </c>
      <c r="D985">
        <v>0</v>
      </c>
      <c r="E985">
        <v>15582700000000</v>
      </c>
      <c r="F985">
        <v>15428800000000</v>
      </c>
      <c r="G985" s="10">
        <f t="shared" si="15"/>
        <v>10337166666666.666</v>
      </c>
      <c r="H985" t="str">
        <f>$A985&amp;Keys!$C$54&amp;$B985&amp;Keys!$C$54&amp;$C985</f>
        <v>LA|imports|biofuel gasoline</v>
      </c>
    </row>
    <row r="986" spans="1:8" x14ac:dyDescent="0.25">
      <c r="A986" t="s">
        <v>105</v>
      </c>
      <c r="B986" t="s">
        <v>191</v>
      </c>
      <c r="C986" t="s">
        <v>94</v>
      </c>
      <c r="D986">
        <v>0</v>
      </c>
      <c r="E986">
        <v>3174380000000</v>
      </c>
      <c r="F986">
        <v>3207980000000</v>
      </c>
      <c r="G986" s="10">
        <f t="shared" si="15"/>
        <v>2127453333333.3333</v>
      </c>
      <c r="H986" t="str">
        <f>$A986&amp;Keys!$C$54&amp;$B986&amp;Keys!$C$54&amp;$C986</f>
        <v>LA|imports|biofuel diesel</v>
      </c>
    </row>
    <row r="987" spans="1:8" x14ac:dyDescent="0.25">
      <c r="A987" t="s">
        <v>105</v>
      </c>
      <c r="B987" t="s">
        <v>191</v>
      </c>
      <c r="C987" t="s">
        <v>97</v>
      </c>
      <c r="D987">
        <v>0</v>
      </c>
      <c r="E987">
        <v>0</v>
      </c>
      <c r="F987">
        <v>0</v>
      </c>
      <c r="G987" s="10">
        <f t="shared" si="15"/>
        <v>0</v>
      </c>
      <c r="H987" t="str">
        <f>$A987&amp;Keys!$C$54&amp;$B987&amp;Keys!$C$54&amp;$C987</f>
        <v>LA|imports|jet fuel or kerosene</v>
      </c>
    </row>
    <row r="988" spans="1:8" x14ac:dyDescent="0.25">
      <c r="A988" t="s">
        <v>105</v>
      </c>
      <c r="B988" t="s">
        <v>191</v>
      </c>
      <c r="C988" t="s">
        <v>100</v>
      </c>
      <c r="D988">
        <v>0</v>
      </c>
      <c r="E988">
        <v>0</v>
      </c>
      <c r="F988">
        <v>0</v>
      </c>
      <c r="G988" s="10">
        <f t="shared" si="15"/>
        <v>0</v>
      </c>
      <c r="H988" t="str">
        <f>$A988&amp;Keys!$C$54&amp;$B988&amp;Keys!$C$54&amp;$C988</f>
        <v>LA|imports|heat (not used in this variable)</v>
      </c>
    </row>
    <row r="989" spans="1:8" x14ac:dyDescent="0.25">
      <c r="A989" t="s">
        <v>105</v>
      </c>
      <c r="B989" t="s">
        <v>191</v>
      </c>
      <c r="C989" t="s">
        <v>103</v>
      </c>
      <c r="D989">
        <v>0</v>
      </c>
      <c r="E989">
        <v>0</v>
      </c>
      <c r="F989">
        <v>0</v>
      </c>
      <c r="G989" s="10">
        <f t="shared" si="15"/>
        <v>0</v>
      </c>
      <c r="H989" t="str">
        <f>$A989&amp;Keys!$C$54&amp;$B989&amp;Keys!$C$54&amp;$C989</f>
        <v>LA|imports|geothermal (is not a fuel)</v>
      </c>
    </row>
    <row r="990" spans="1:8" x14ac:dyDescent="0.25">
      <c r="A990" t="s">
        <v>105</v>
      </c>
      <c r="B990" t="s">
        <v>191</v>
      </c>
      <c r="C990" t="s">
        <v>106</v>
      </c>
      <c r="D990">
        <v>0</v>
      </c>
      <c r="E990">
        <v>0</v>
      </c>
      <c r="F990">
        <v>0</v>
      </c>
      <c r="G990" s="10">
        <f t="shared" si="15"/>
        <v>0</v>
      </c>
      <c r="H990" t="str">
        <f>$A990&amp;Keys!$C$54&amp;$B990&amp;Keys!$C$54&amp;$C990</f>
        <v>LA|imports|lignite</v>
      </c>
    </row>
    <row r="991" spans="1:8" x14ac:dyDescent="0.25">
      <c r="A991" t="s">
        <v>105</v>
      </c>
      <c r="B991" t="s">
        <v>191</v>
      </c>
      <c r="C991" t="s">
        <v>109</v>
      </c>
      <c r="D991">
        <v>0</v>
      </c>
      <c r="E991">
        <v>6496270000000000</v>
      </c>
      <c r="F991">
        <v>6460660000000000</v>
      </c>
      <c r="G991" s="10">
        <f t="shared" si="15"/>
        <v>4318976666666666.5</v>
      </c>
      <c r="H991" t="str">
        <f>$A991&amp;Keys!$C$54&amp;$B991&amp;Keys!$C$54&amp;$C991</f>
        <v>LA|imports|crude oil</v>
      </c>
    </row>
    <row r="992" spans="1:8" x14ac:dyDescent="0.25">
      <c r="A992" t="s">
        <v>105</v>
      </c>
      <c r="B992" t="s">
        <v>191</v>
      </c>
      <c r="C992" t="s">
        <v>113</v>
      </c>
      <c r="D992">
        <v>0</v>
      </c>
      <c r="E992">
        <v>23670600000000</v>
      </c>
      <c r="F992">
        <v>24370100000000</v>
      </c>
      <c r="G992" s="10">
        <f t="shared" si="15"/>
        <v>16013566666666.666</v>
      </c>
      <c r="H992" t="str">
        <f>$A992&amp;Keys!$C$54&amp;$B992&amp;Keys!$C$54&amp;$C992</f>
        <v>LA|imports|heavy fuel oil</v>
      </c>
    </row>
    <row r="993" spans="1:8" x14ac:dyDescent="0.25">
      <c r="A993" t="s">
        <v>105</v>
      </c>
      <c r="B993" t="s">
        <v>191</v>
      </c>
      <c r="C993" t="s">
        <v>117</v>
      </c>
      <c r="D993">
        <v>0</v>
      </c>
      <c r="E993">
        <v>335821000000000</v>
      </c>
      <c r="F993">
        <v>326128000000000</v>
      </c>
      <c r="G993" s="10">
        <f t="shared" si="15"/>
        <v>220649666666666.66</v>
      </c>
      <c r="H993" t="str">
        <f>$A993&amp;Keys!$C$54&amp;$B993&amp;Keys!$C$54&amp;$C993</f>
        <v>LA|imports|LPG propane or butane</v>
      </c>
    </row>
    <row r="994" spans="1:8" x14ac:dyDescent="0.25">
      <c r="A994" t="s">
        <v>105</v>
      </c>
      <c r="B994" t="s">
        <v>191</v>
      </c>
      <c r="C994" t="s">
        <v>120</v>
      </c>
      <c r="D994">
        <v>0</v>
      </c>
      <c r="E994">
        <v>0</v>
      </c>
      <c r="F994">
        <v>0</v>
      </c>
      <c r="G994" s="10">
        <f t="shared" si="15"/>
        <v>0</v>
      </c>
      <c r="H994" t="str">
        <f>$A994&amp;Keys!$C$54&amp;$B994&amp;Keys!$C$54&amp;$C994</f>
        <v>LA|imports|municipal solid waste</v>
      </c>
    </row>
    <row r="995" spans="1:8" x14ac:dyDescent="0.25">
      <c r="A995" t="s">
        <v>105</v>
      </c>
      <c r="B995" t="s">
        <v>191</v>
      </c>
      <c r="C995" t="s">
        <v>123</v>
      </c>
      <c r="D995">
        <v>0</v>
      </c>
      <c r="E995">
        <v>103136000000000</v>
      </c>
      <c r="F995">
        <v>101800000000000</v>
      </c>
      <c r="G995" s="10">
        <f t="shared" si="15"/>
        <v>68312000000000</v>
      </c>
      <c r="H995" t="str">
        <f>$A995&amp;Keys!$C$54&amp;$B995&amp;Keys!$C$54&amp;$C995</f>
        <v>LA|imports|hydrogen</v>
      </c>
    </row>
    <row r="996" spans="1:8" x14ac:dyDescent="0.25">
      <c r="A996" t="s">
        <v>105</v>
      </c>
      <c r="B996" t="s">
        <v>193</v>
      </c>
      <c r="C996" t="s">
        <v>60</v>
      </c>
      <c r="D996">
        <v>0</v>
      </c>
      <c r="E996">
        <v>0</v>
      </c>
      <c r="F996">
        <v>0</v>
      </c>
      <c r="G996" s="10">
        <f t="shared" si="15"/>
        <v>0</v>
      </c>
      <c r="H996" t="str">
        <f>$A996&amp;Keys!$C$54&amp;$B996&amp;Keys!$C$54&amp;$C996</f>
        <v>LA|exports|electricity (not used in this variable)</v>
      </c>
    </row>
    <row r="997" spans="1:8" x14ac:dyDescent="0.25">
      <c r="A997" t="s">
        <v>105</v>
      </c>
      <c r="B997" t="s">
        <v>193</v>
      </c>
      <c r="C997" t="s">
        <v>64</v>
      </c>
      <c r="D997">
        <v>0</v>
      </c>
      <c r="E997">
        <v>0</v>
      </c>
      <c r="F997">
        <v>0</v>
      </c>
      <c r="G997" s="10">
        <f t="shared" si="15"/>
        <v>0</v>
      </c>
      <c r="H997" t="str">
        <f>$A997&amp;Keys!$C$54&amp;$B997&amp;Keys!$C$54&amp;$C997</f>
        <v>LA|exports|hard coal</v>
      </c>
    </row>
    <row r="998" spans="1:8" x14ac:dyDescent="0.25">
      <c r="A998" t="s">
        <v>105</v>
      </c>
      <c r="B998" t="s">
        <v>193</v>
      </c>
      <c r="C998" t="s">
        <v>68</v>
      </c>
      <c r="D998">
        <v>6632050000000000</v>
      </c>
      <c r="E998">
        <v>6632050000000000</v>
      </c>
      <c r="F998">
        <v>6555900000000000</v>
      </c>
      <c r="G998" s="10">
        <f t="shared" si="15"/>
        <v>6606666666666667</v>
      </c>
      <c r="H998" t="str">
        <f>$A998&amp;Keys!$C$54&amp;$B998&amp;Keys!$C$54&amp;$C998</f>
        <v>LA|exports|natural gas</v>
      </c>
    </row>
    <row r="999" spans="1:8" x14ac:dyDescent="0.25">
      <c r="A999" t="s">
        <v>105</v>
      </c>
      <c r="B999" t="s">
        <v>193</v>
      </c>
      <c r="C999" t="s">
        <v>71</v>
      </c>
      <c r="D999">
        <v>0</v>
      </c>
      <c r="E999">
        <v>0</v>
      </c>
      <c r="F999">
        <v>0</v>
      </c>
      <c r="G999" s="10">
        <f t="shared" si="15"/>
        <v>0</v>
      </c>
      <c r="H999" t="str">
        <f>$A999&amp;Keys!$C$54&amp;$B999&amp;Keys!$C$54&amp;$C999</f>
        <v>LA|exports|nuclear</v>
      </c>
    </row>
    <row r="1000" spans="1:8" x14ac:dyDescent="0.25">
      <c r="A1000" t="s">
        <v>105</v>
      </c>
      <c r="B1000" t="s">
        <v>193</v>
      </c>
      <c r="C1000" t="s">
        <v>74</v>
      </c>
      <c r="D1000">
        <v>0</v>
      </c>
      <c r="E1000">
        <v>0</v>
      </c>
      <c r="F1000">
        <v>0</v>
      </c>
      <c r="G1000" s="10">
        <f t="shared" si="15"/>
        <v>0</v>
      </c>
      <c r="H1000" t="str">
        <f>$A1000&amp;Keys!$C$54&amp;$B1000&amp;Keys!$C$54&amp;$C1000</f>
        <v>LA|exports|hydro (is not a fuel)</v>
      </c>
    </row>
    <row r="1001" spans="1:8" x14ac:dyDescent="0.25">
      <c r="A1001" t="s">
        <v>105</v>
      </c>
      <c r="B1001" t="s">
        <v>193</v>
      </c>
      <c r="C1001" t="s">
        <v>77</v>
      </c>
      <c r="D1001">
        <v>0</v>
      </c>
      <c r="E1001">
        <v>0</v>
      </c>
      <c r="F1001">
        <v>0</v>
      </c>
      <c r="G1001" s="10">
        <f t="shared" si="15"/>
        <v>0</v>
      </c>
      <c r="H1001" t="str">
        <f>$A1001&amp;Keys!$C$54&amp;$B1001&amp;Keys!$C$54&amp;$C1001</f>
        <v>LA|exports|wind (is not a fuel)</v>
      </c>
    </row>
    <row r="1002" spans="1:8" x14ac:dyDescent="0.25">
      <c r="A1002" t="s">
        <v>105</v>
      </c>
      <c r="B1002" t="s">
        <v>193</v>
      </c>
      <c r="C1002" t="s">
        <v>80</v>
      </c>
      <c r="D1002">
        <v>0</v>
      </c>
      <c r="E1002">
        <v>0</v>
      </c>
      <c r="F1002">
        <v>0</v>
      </c>
      <c r="G1002" s="10">
        <f t="shared" si="15"/>
        <v>0</v>
      </c>
      <c r="H1002" t="str">
        <f>$A1002&amp;Keys!$C$54&amp;$B1002&amp;Keys!$C$54&amp;$C1002</f>
        <v>LA|exports|solar (is not a fuel)</v>
      </c>
    </row>
    <row r="1003" spans="1:8" x14ac:dyDescent="0.25">
      <c r="A1003" t="s">
        <v>105</v>
      </c>
      <c r="B1003" t="s">
        <v>193</v>
      </c>
      <c r="C1003" t="s">
        <v>82</v>
      </c>
      <c r="D1003">
        <v>0</v>
      </c>
      <c r="E1003">
        <v>0</v>
      </c>
      <c r="F1003">
        <v>0</v>
      </c>
      <c r="G1003" s="10">
        <f t="shared" si="15"/>
        <v>0</v>
      </c>
      <c r="H1003" t="str">
        <f>$A1003&amp;Keys!$C$54&amp;$B1003&amp;Keys!$C$54&amp;$C1003</f>
        <v>LA|exports|biomass</v>
      </c>
    </row>
    <row r="1004" spans="1:8" x14ac:dyDescent="0.25">
      <c r="A1004" t="s">
        <v>105</v>
      </c>
      <c r="B1004" t="s">
        <v>193</v>
      </c>
      <c r="C1004" t="s">
        <v>85</v>
      </c>
      <c r="D1004">
        <v>172361000000000</v>
      </c>
      <c r="E1004">
        <v>2673790000000000</v>
      </c>
      <c r="F1004">
        <v>2605890000000000</v>
      </c>
      <c r="G1004" s="10">
        <f t="shared" si="15"/>
        <v>1817347000000000</v>
      </c>
      <c r="H1004" t="str">
        <f>$A1004&amp;Keys!$C$54&amp;$B1004&amp;Keys!$C$54&amp;$C1004</f>
        <v>LA|exports|petroleum gasoline</v>
      </c>
    </row>
    <row r="1005" spans="1:8" x14ac:dyDescent="0.25">
      <c r="A1005" t="s">
        <v>105</v>
      </c>
      <c r="B1005" t="s">
        <v>193</v>
      </c>
      <c r="C1005" t="s">
        <v>88</v>
      </c>
      <c r="D1005">
        <v>745269000000000</v>
      </c>
      <c r="E1005">
        <v>1504930000000000</v>
      </c>
      <c r="F1005">
        <v>1461370000000000</v>
      </c>
      <c r="G1005" s="10">
        <f t="shared" si="15"/>
        <v>1237189666666666.8</v>
      </c>
      <c r="H1005" t="str">
        <f>$A1005&amp;Keys!$C$54&amp;$B1005&amp;Keys!$C$54&amp;$C1005</f>
        <v>LA|exports|petroleum diesel</v>
      </c>
    </row>
    <row r="1006" spans="1:8" x14ac:dyDescent="0.25">
      <c r="A1006" t="s">
        <v>105</v>
      </c>
      <c r="B1006" t="s">
        <v>193</v>
      </c>
      <c r="C1006" t="s">
        <v>91</v>
      </c>
      <c r="D1006">
        <v>0</v>
      </c>
      <c r="E1006">
        <v>0</v>
      </c>
      <c r="F1006">
        <v>0</v>
      </c>
      <c r="G1006" s="10">
        <f t="shared" si="15"/>
        <v>0</v>
      </c>
      <c r="H1006" t="str">
        <f>$A1006&amp;Keys!$C$54&amp;$B1006&amp;Keys!$C$54&amp;$C1006</f>
        <v>LA|exports|biofuel gasoline</v>
      </c>
    </row>
    <row r="1007" spans="1:8" x14ac:dyDescent="0.25">
      <c r="A1007" t="s">
        <v>105</v>
      </c>
      <c r="B1007" t="s">
        <v>193</v>
      </c>
      <c r="C1007" t="s">
        <v>94</v>
      </c>
      <c r="D1007">
        <v>0</v>
      </c>
      <c r="E1007">
        <v>0</v>
      </c>
      <c r="F1007">
        <v>0</v>
      </c>
      <c r="G1007" s="10">
        <f t="shared" si="15"/>
        <v>0</v>
      </c>
      <c r="H1007" t="str">
        <f>$A1007&amp;Keys!$C$54&amp;$B1007&amp;Keys!$C$54&amp;$C1007</f>
        <v>LA|exports|biofuel diesel</v>
      </c>
    </row>
    <row r="1008" spans="1:8" x14ac:dyDescent="0.25">
      <c r="A1008" t="s">
        <v>105</v>
      </c>
      <c r="B1008" t="s">
        <v>193</v>
      </c>
      <c r="C1008" t="s">
        <v>97</v>
      </c>
      <c r="D1008">
        <v>118044000000000</v>
      </c>
      <c r="E1008">
        <v>588316000000000</v>
      </c>
      <c r="F1008">
        <v>573151000000000</v>
      </c>
      <c r="G1008" s="10">
        <f t="shared" si="15"/>
        <v>426503666666666.69</v>
      </c>
      <c r="H1008" t="str">
        <f>$A1008&amp;Keys!$C$54&amp;$B1008&amp;Keys!$C$54&amp;$C1008</f>
        <v>LA|exports|jet fuel or kerosene</v>
      </c>
    </row>
    <row r="1009" spans="1:8" x14ac:dyDescent="0.25">
      <c r="A1009" t="s">
        <v>105</v>
      </c>
      <c r="B1009" t="s">
        <v>193</v>
      </c>
      <c r="C1009" t="s">
        <v>100</v>
      </c>
      <c r="D1009">
        <v>0</v>
      </c>
      <c r="E1009">
        <v>0</v>
      </c>
      <c r="F1009">
        <v>0</v>
      </c>
      <c r="G1009" s="10">
        <f t="shared" si="15"/>
        <v>0</v>
      </c>
      <c r="H1009" t="str">
        <f>$A1009&amp;Keys!$C$54&amp;$B1009&amp;Keys!$C$54&amp;$C1009</f>
        <v>LA|exports|heat (not used in this variable)</v>
      </c>
    </row>
    <row r="1010" spans="1:8" x14ac:dyDescent="0.25">
      <c r="A1010" t="s">
        <v>105</v>
      </c>
      <c r="B1010" t="s">
        <v>193</v>
      </c>
      <c r="C1010" t="s">
        <v>103</v>
      </c>
      <c r="D1010">
        <v>0</v>
      </c>
      <c r="E1010">
        <v>0</v>
      </c>
      <c r="F1010">
        <v>0</v>
      </c>
      <c r="G1010" s="10">
        <f t="shared" si="15"/>
        <v>0</v>
      </c>
      <c r="H1010" t="str">
        <f>$A1010&amp;Keys!$C$54&amp;$B1010&amp;Keys!$C$54&amp;$C1010</f>
        <v>LA|exports|geothermal (is not a fuel)</v>
      </c>
    </row>
    <row r="1011" spans="1:8" x14ac:dyDescent="0.25">
      <c r="A1011" t="s">
        <v>105</v>
      </c>
      <c r="B1011" t="s">
        <v>193</v>
      </c>
      <c r="C1011" t="s">
        <v>106</v>
      </c>
      <c r="D1011">
        <v>0</v>
      </c>
      <c r="E1011">
        <v>3701240000000</v>
      </c>
      <c r="F1011">
        <v>3681330000000</v>
      </c>
      <c r="G1011" s="10">
        <f t="shared" si="15"/>
        <v>2460856666666.6665</v>
      </c>
      <c r="H1011" t="str">
        <f>$A1011&amp;Keys!$C$54&amp;$B1011&amp;Keys!$C$54&amp;$C1011</f>
        <v>LA|exports|lignite</v>
      </c>
    </row>
    <row r="1012" spans="1:8" x14ac:dyDescent="0.25">
      <c r="A1012" t="s">
        <v>105</v>
      </c>
      <c r="B1012" t="s">
        <v>193</v>
      </c>
      <c r="C1012" t="s">
        <v>109</v>
      </c>
      <c r="D1012">
        <v>785728000000000</v>
      </c>
      <c r="E1012">
        <v>785728000000000</v>
      </c>
      <c r="F1012">
        <v>739835000000000</v>
      </c>
      <c r="G1012" s="10">
        <f t="shared" si="15"/>
        <v>770430333333333.38</v>
      </c>
      <c r="H1012" t="str">
        <f>$A1012&amp;Keys!$C$54&amp;$B1012&amp;Keys!$C$54&amp;$C1012</f>
        <v>LA|exports|crude oil</v>
      </c>
    </row>
    <row r="1013" spans="1:8" x14ac:dyDescent="0.25">
      <c r="A1013" t="s">
        <v>105</v>
      </c>
      <c r="B1013" t="s">
        <v>193</v>
      </c>
      <c r="C1013" t="s">
        <v>113</v>
      </c>
      <c r="D1013">
        <v>85101000000000</v>
      </c>
      <c r="E1013">
        <v>85101000000000</v>
      </c>
      <c r="F1013">
        <v>83038300000000</v>
      </c>
      <c r="G1013" s="10">
        <f t="shared" si="15"/>
        <v>84413433333333.328</v>
      </c>
      <c r="H1013" t="str">
        <f>$A1013&amp;Keys!$C$54&amp;$B1013&amp;Keys!$C$54&amp;$C1013</f>
        <v>LA|exports|heavy fuel oil</v>
      </c>
    </row>
    <row r="1014" spans="1:8" x14ac:dyDescent="0.25">
      <c r="A1014" t="s">
        <v>105</v>
      </c>
      <c r="B1014" t="s">
        <v>193</v>
      </c>
      <c r="C1014" t="s">
        <v>117</v>
      </c>
      <c r="D1014">
        <v>0</v>
      </c>
      <c r="E1014">
        <v>0</v>
      </c>
      <c r="F1014">
        <v>0</v>
      </c>
      <c r="G1014" s="10">
        <f t="shared" si="15"/>
        <v>0</v>
      </c>
      <c r="H1014" t="str">
        <f>$A1014&amp;Keys!$C$54&amp;$B1014&amp;Keys!$C$54&amp;$C1014</f>
        <v>LA|exports|LPG propane or butane</v>
      </c>
    </row>
    <row r="1015" spans="1:8" x14ac:dyDescent="0.25">
      <c r="A1015" t="s">
        <v>105</v>
      </c>
      <c r="B1015" t="s">
        <v>193</v>
      </c>
      <c r="C1015" t="s">
        <v>120</v>
      </c>
      <c r="D1015">
        <v>0</v>
      </c>
      <c r="E1015">
        <v>0</v>
      </c>
      <c r="F1015">
        <v>0</v>
      </c>
      <c r="G1015" s="10">
        <f t="shared" si="15"/>
        <v>0</v>
      </c>
      <c r="H1015" t="str">
        <f>$A1015&amp;Keys!$C$54&amp;$B1015&amp;Keys!$C$54&amp;$C1015</f>
        <v>LA|exports|municipal solid waste</v>
      </c>
    </row>
    <row r="1016" spans="1:8" x14ac:dyDescent="0.25">
      <c r="A1016" t="s">
        <v>105</v>
      </c>
      <c r="B1016" t="s">
        <v>193</v>
      </c>
      <c r="C1016" t="s">
        <v>123</v>
      </c>
      <c r="D1016">
        <v>0</v>
      </c>
      <c r="E1016">
        <v>0</v>
      </c>
      <c r="F1016">
        <v>0</v>
      </c>
      <c r="G1016" s="10">
        <f t="shared" si="15"/>
        <v>0</v>
      </c>
      <c r="H1016" t="str">
        <f>$A1016&amp;Keys!$C$54&amp;$B1016&amp;Keys!$C$54&amp;$C1016</f>
        <v>LA|exports|hydrogen</v>
      </c>
    </row>
    <row r="1017" spans="1:8" x14ac:dyDescent="0.25">
      <c r="A1017" t="s">
        <v>108</v>
      </c>
      <c r="B1017" t="s">
        <v>188</v>
      </c>
      <c r="C1017" t="s">
        <v>60</v>
      </c>
      <c r="D1017">
        <v>0</v>
      </c>
      <c r="E1017">
        <v>0</v>
      </c>
      <c r="F1017">
        <v>0</v>
      </c>
      <c r="G1017" s="10">
        <f t="shared" si="15"/>
        <v>0</v>
      </c>
      <c r="H1017" t="str">
        <f>$A1017&amp;Keys!$C$54&amp;$B1017&amp;Keys!$C$54&amp;$C1017</f>
        <v>MA|production|electricity (not used in this variable)</v>
      </c>
    </row>
    <row r="1018" spans="1:8" x14ac:dyDescent="0.25">
      <c r="A1018" t="s">
        <v>108</v>
      </c>
      <c r="B1018" t="s">
        <v>188</v>
      </c>
      <c r="C1018" t="s">
        <v>64</v>
      </c>
      <c r="D1018">
        <v>0</v>
      </c>
      <c r="E1018">
        <v>0</v>
      </c>
      <c r="F1018">
        <v>0</v>
      </c>
      <c r="G1018" s="10">
        <f t="shared" si="15"/>
        <v>0</v>
      </c>
      <c r="H1018" t="str">
        <f>$A1018&amp;Keys!$C$54&amp;$B1018&amp;Keys!$C$54&amp;$C1018</f>
        <v>MA|production|hard coal</v>
      </c>
    </row>
    <row r="1019" spans="1:8" x14ac:dyDescent="0.25">
      <c r="A1019" t="s">
        <v>108</v>
      </c>
      <c r="B1019" t="s">
        <v>188</v>
      </c>
      <c r="C1019" t="s">
        <v>68</v>
      </c>
      <c r="D1019">
        <v>0</v>
      </c>
      <c r="E1019">
        <v>0</v>
      </c>
      <c r="F1019">
        <v>0</v>
      </c>
      <c r="G1019" s="10">
        <f t="shared" si="15"/>
        <v>0</v>
      </c>
      <c r="H1019" t="str">
        <f>$A1019&amp;Keys!$C$54&amp;$B1019&amp;Keys!$C$54&amp;$C1019</f>
        <v>MA|production|natural gas</v>
      </c>
    </row>
    <row r="1020" spans="1:8" x14ac:dyDescent="0.25">
      <c r="A1020" t="s">
        <v>108</v>
      </c>
      <c r="B1020" t="s">
        <v>188</v>
      </c>
      <c r="C1020" t="s">
        <v>71</v>
      </c>
      <c r="D1020">
        <v>0</v>
      </c>
      <c r="E1020">
        <v>0</v>
      </c>
      <c r="F1020">
        <v>0</v>
      </c>
      <c r="G1020" s="10">
        <f t="shared" si="15"/>
        <v>0</v>
      </c>
      <c r="H1020" t="str">
        <f>$A1020&amp;Keys!$C$54&amp;$B1020&amp;Keys!$C$54&amp;$C1020</f>
        <v>MA|production|nuclear</v>
      </c>
    </row>
    <row r="1021" spans="1:8" x14ac:dyDescent="0.25">
      <c r="A1021" t="s">
        <v>108</v>
      </c>
      <c r="B1021" t="s">
        <v>188</v>
      </c>
      <c r="C1021" t="s">
        <v>74</v>
      </c>
      <c r="D1021">
        <v>0</v>
      </c>
      <c r="E1021">
        <v>0</v>
      </c>
      <c r="F1021">
        <v>0</v>
      </c>
      <c r="G1021" s="10">
        <f t="shared" si="15"/>
        <v>0</v>
      </c>
      <c r="H1021" t="str">
        <f>$A1021&amp;Keys!$C$54&amp;$B1021&amp;Keys!$C$54&amp;$C1021</f>
        <v>MA|production|hydro (is not a fuel)</v>
      </c>
    </row>
    <row r="1022" spans="1:8" x14ac:dyDescent="0.25">
      <c r="A1022" t="s">
        <v>108</v>
      </c>
      <c r="B1022" t="s">
        <v>188</v>
      </c>
      <c r="C1022" t="s">
        <v>77</v>
      </c>
      <c r="D1022">
        <v>0</v>
      </c>
      <c r="E1022">
        <v>0</v>
      </c>
      <c r="F1022">
        <v>0</v>
      </c>
      <c r="G1022" s="10">
        <f t="shared" si="15"/>
        <v>0</v>
      </c>
      <c r="H1022" t="str">
        <f>$A1022&amp;Keys!$C$54&amp;$B1022&amp;Keys!$C$54&amp;$C1022</f>
        <v>MA|production|wind (is not a fuel)</v>
      </c>
    </row>
    <row r="1023" spans="1:8" x14ac:dyDescent="0.25">
      <c r="A1023" t="s">
        <v>108</v>
      </c>
      <c r="B1023" t="s">
        <v>188</v>
      </c>
      <c r="C1023" t="s">
        <v>80</v>
      </c>
      <c r="D1023">
        <v>0</v>
      </c>
      <c r="E1023">
        <v>0</v>
      </c>
      <c r="F1023">
        <v>0</v>
      </c>
      <c r="G1023" s="10">
        <f t="shared" si="15"/>
        <v>0</v>
      </c>
      <c r="H1023" t="str">
        <f>$A1023&amp;Keys!$C$54&amp;$B1023&amp;Keys!$C$54&amp;$C1023</f>
        <v>MA|production|solar (is not a fuel)</v>
      </c>
    </row>
    <row r="1024" spans="1:8" x14ac:dyDescent="0.25">
      <c r="A1024" t="s">
        <v>108</v>
      </c>
      <c r="B1024" t="s">
        <v>188</v>
      </c>
      <c r="C1024" t="s">
        <v>82</v>
      </c>
      <c r="D1024">
        <v>0</v>
      </c>
      <c r="E1024">
        <v>0</v>
      </c>
      <c r="F1024">
        <v>0</v>
      </c>
      <c r="G1024" s="10">
        <f t="shared" si="15"/>
        <v>0</v>
      </c>
      <c r="H1024" t="str">
        <f>$A1024&amp;Keys!$C$54&amp;$B1024&amp;Keys!$C$54&amp;$C1024</f>
        <v>MA|production|biomass</v>
      </c>
    </row>
    <row r="1025" spans="1:8" x14ac:dyDescent="0.25">
      <c r="A1025" t="s">
        <v>108</v>
      </c>
      <c r="B1025" t="s">
        <v>188</v>
      </c>
      <c r="C1025" t="s">
        <v>85</v>
      </c>
      <c r="D1025">
        <v>0</v>
      </c>
      <c r="E1025">
        <v>0</v>
      </c>
      <c r="F1025">
        <v>0</v>
      </c>
      <c r="G1025" s="10">
        <f t="shared" si="15"/>
        <v>0</v>
      </c>
      <c r="H1025" t="str">
        <f>$A1025&amp;Keys!$C$54&amp;$B1025&amp;Keys!$C$54&amp;$C1025</f>
        <v>MA|production|petroleum gasoline</v>
      </c>
    </row>
    <row r="1026" spans="1:8" x14ac:dyDescent="0.25">
      <c r="A1026" t="s">
        <v>108</v>
      </c>
      <c r="B1026" t="s">
        <v>188</v>
      </c>
      <c r="C1026" t="s">
        <v>88</v>
      </c>
      <c r="D1026">
        <v>0</v>
      </c>
      <c r="E1026">
        <v>0</v>
      </c>
      <c r="F1026">
        <v>0</v>
      </c>
      <c r="G1026" s="10">
        <f t="shared" si="15"/>
        <v>0</v>
      </c>
      <c r="H1026" t="str">
        <f>$A1026&amp;Keys!$C$54&amp;$B1026&amp;Keys!$C$54&amp;$C1026</f>
        <v>MA|production|petroleum diesel</v>
      </c>
    </row>
    <row r="1027" spans="1:8" x14ac:dyDescent="0.25">
      <c r="A1027" t="s">
        <v>108</v>
      </c>
      <c r="B1027" t="s">
        <v>188</v>
      </c>
      <c r="C1027" t="s">
        <v>91</v>
      </c>
      <c r="D1027">
        <v>0</v>
      </c>
      <c r="E1027">
        <v>0</v>
      </c>
      <c r="F1027">
        <v>0</v>
      </c>
      <c r="G1027" s="10">
        <f t="shared" si="15"/>
        <v>0</v>
      </c>
      <c r="H1027" t="str">
        <f>$A1027&amp;Keys!$C$54&amp;$B1027&amp;Keys!$C$54&amp;$C1027</f>
        <v>MA|production|biofuel gasoline</v>
      </c>
    </row>
    <row r="1028" spans="1:8" x14ac:dyDescent="0.25">
      <c r="A1028" t="s">
        <v>108</v>
      </c>
      <c r="B1028" t="s">
        <v>188</v>
      </c>
      <c r="C1028" t="s">
        <v>94</v>
      </c>
      <c r="D1028">
        <v>364868000000</v>
      </c>
      <c r="E1028">
        <v>364868000000</v>
      </c>
      <c r="F1028">
        <v>433413000000</v>
      </c>
      <c r="G1028" s="10">
        <f t="shared" si="15"/>
        <v>387716333333.33331</v>
      </c>
      <c r="H1028" t="str">
        <f>$A1028&amp;Keys!$C$54&amp;$B1028&amp;Keys!$C$54&amp;$C1028</f>
        <v>MA|production|biofuel diesel</v>
      </c>
    </row>
    <row r="1029" spans="1:8" x14ac:dyDescent="0.25">
      <c r="A1029" t="s">
        <v>108</v>
      </c>
      <c r="B1029" t="s">
        <v>188</v>
      </c>
      <c r="C1029" t="s">
        <v>97</v>
      </c>
      <c r="D1029">
        <v>0</v>
      </c>
      <c r="E1029">
        <v>0</v>
      </c>
      <c r="F1029">
        <v>0</v>
      </c>
      <c r="G1029" s="10">
        <f t="shared" si="15"/>
        <v>0</v>
      </c>
      <c r="H1029" t="str">
        <f>$A1029&amp;Keys!$C$54&amp;$B1029&amp;Keys!$C$54&amp;$C1029</f>
        <v>MA|production|jet fuel or kerosene</v>
      </c>
    </row>
    <row r="1030" spans="1:8" x14ac:dyDescent="0.25">
      <c r="A1030" t="s">
        <v>108</v>
      </c>
      <c r="B1030" t="s">
        <v>188</v>
      </c>
      <c r="C1030" t="s">
        <v>100</v>
      </c>
      <c r="D1030">
        <v>0</v>
      </c>
      <c r="E1030">
        <v>0</v>
      </c>
      <c r="F1030">
        <v>0</v>
      </c>
      <c r="G1030" s="10">
        <f t="shared" si="15"/>
        <v>0</v>
      </c>
      <c r="H1030" t="str">
        <f>$A1030&amp;Keys!$C$54&amp;$B1030&amp;Keys!$C$54&amp;$C1030</f>
        <v>MA|production|heat (not used in this variable)</v>
      </c>
    </row>
    <row r="1031" spans="1:8" x14ac:dyDescent="0.25">
      <c r="A1031" t="s">
        <v>108</v>
      </c>
      <c r="B1031" t="s">
        <v>188</v>
      </c>
      <c r="C1031" t="s">
        <v>103</v>
      </c>
      <c r="D1031">
        <v>0</v>
      </c>
      <c r="E1031">
        <v>0</v>
      </c>
      <c r="F1031">
        <v>0</v>
      </c>
      <c r="G1031" s="10">
        <f t="shared" si="15"/>
        <v>0</v>
      </c>
      <c r="H1031" t="str">
        <f>$A1031&amp;Keys!$C$54&amp;$B1031&amp;Keys!$C$54&amp;$C1031</f>
        <v>MA|production|geothermal (is not a fuel)</v>
      </c>
    </row>
    <row r="1032" spans="1:8" x14ac:dyDescent="0.25">
      <c r="A1032" t="s">
        <v>108</v>
      </c>
      <c r="B1032" t="s">
        <v>188</v>
      </c>
      <c r="C1032" t="s">
        <v>106</v>
      </c>
      <c r="D1032">
        <v>0</v>
      </c>
      <c r="E1032">
        <v>0</v>
      </c>
      <c r="F1032">
        <v>0</v>
      </c>
      <c r="G1032" s="10">
        <f t="shared" si="15"/>
        <v>0</v>
      </c>
      <c r="H1032" t="str">
        <f>$A1032&amp;Keys!$C$54&amp;$B1032&amp;Keys!$C$54&amp;$C1032</f>
        <v>MA|production|lignite</v>
      </c>
    </row>
    <row r="1033" spans="1:8" x14ac:dyDescent="0.25">
      <c r="A1033" t="s">
        <v>108</v>
      </c>
      <c r="B1033" t="s">
        <v>188</v>
      </c>
      <c r="C1033" t="s">
        <v>109</v>
      </c>
      <c r="D1033">
        <v>0</v>
      </c>
      <c r="E1033">
        <v>0</v>
      </c>
      <c r="F1033">
        <v>0</v>
      </c>
      <c r="G1033" s="10">
        <f t="shared" ref="G1033:G1096" si="16">AVERAGE($D1033:$F1033)</f>
        <v>0</v>
      </c>
      <c r="H1033" t="str">
        <f>$A1033&amp;Keys!$C$54&amp;$B1033&amp;Keys!$C$54&amp;$C1033</f>
        <v>MA|production|crude oil</v>
      </c>
    </row>
    <row r="1034" spans="1:8" x14ac:dyDescent="0.25">
      <c r="A1034" t="s">
        <v>108</v>
      </c>
      <c r="B1034" t="s">
        <v>188</v>
      </c>
      <c r="C1034" t="s">
        <v>113</v>
      </c>
      <c r="D1034">
        <v>0</v>
      </c>
      <c r="E1034">
        <v>0</v>
      </c>
      <c r="F1034">
        <v>0</v>
      </c>
      <c r="G1034" s="10">
        <f t="shared" si="16"/>
        <v>0</v>
      </c>
      <c r="H1034" t="str">
        <f>$A1034&amp;Keys!$C$54&amp;$B1034&amp;Keys!$C$54&amp;$C1034</f>
        <v>MA|production|heavy fuel oil</v>
      </c>
    </row>
    <row r="1035" spans="1:8" x14ac:dyDescent="0.25">
      <c r="A1035" t="s">
        <v>108</v>
      </c>
      <c r="B1035" t="s">
        <v>188</v>
      </c>
      <c r="C1035" t="s">
        <v>117</v>
      </c>
      <c r="D1035">
        <v>0</v>
      </c>
      <c r="E1035">
        <v>0</v>
      </c>
      <c r="F1035">
        <v>0</v>
      </c>
      <c r="G1035" s="10">
        <f t="shared" si="16"/>
        <v>0</v>
      </c>
      <c r="H1035" t="str">
        <f>$A1035&amp;Keys!$C$54&amp;$B1035&amp;Keys!$C$54&amp;$C1035</f>
        <v>MA|production|LPG propane or butane</v>
      </c>
    </row>
    <row r="1036" spans="1:8" x14ac:dyDescent="0.25">
      <c r="A1036" t="s">
        <v>108</v>
      </c>
      <c r="B1036" t="s">
        <v>188</v>
      </c>
      <c r="C1036" t="s">
        <v>120</v>
      </c>
      <c r="D1036">
        <v>0</v>
      </c>
      <c r="E1036">
        <v>0</v>
      </c>
      <c r="F1036">
        <v>0</v>
      </c>
      <c r="G1036" s="10">
        <f t="shared" si="16"/>
        <v>0</v>
      </c>
      <c r="H1036" t="str">
        <f>$A1036&amp;Keys!$C$54&amp;$B1036&amp;Keys!$C$54&amp;$C1036</f>
        <v>MA|production|municipal solid waste</v>
      </c>
    </row>
    <row r="1037" spans="1:8" x14ac:dyDescent="0.25">
      <c r="A1037" t="s">
        <v>108</v>
      </c>
      <c r="B1037" t="s">
        <v>188</v>
      </c>
      <c r="C1037" t="s">
        <v>123</v>
      </c>
      <c r="D1037">
        <v>0</v>
      </c>
      <c r="E1037">
        <v>0</v>
      </c>
      <c r="F1037">
        <v>0</v>
      </c>
      <c r="G1037" s="10">
        <f t="shared" si="16"/>
        <v>0</v>
      </c>
      <c r="H1037" t="str">
        <f>$A1037&amp;Keys!$C$54&amp;$B1037&amp;Keys!$C$54&amp;$C1037</f>
        <v>MA|production|hydrogen</v>
      </c>
    </row>
    <row r="1038" spans="1:8" x14ac:dyDescent="0.25">
      <c r="A1038" t="s">
        <v>108</v>
      </c>
      <c r="B1038" t="s">
        <v>191</v>
      </c>
      <c r="C1038" t="s">
        <v>60</v>
      </c>
      <c r="D1038">
        <v>0</v>
      </c>
      <c r="E1038">
        <v>0</v>
      </c>
      <c r="F1038">
        <v>0</v>
      </c>
      <c r="G1038" s="10">
        <f t="shared" si="16"/>
        <v>0</v>
      </c>
      <c r="H1038" t="str">
        <f>$A1038&amp;Keys!$C$54&amp;$B1038&amp;Keys!$C$54&amp;$C1038</f>
        <v>MA|imports|electricity (not used in this variable)</v>
      </c>
    </row>
    <row r="1039" spans="1:8" x14ac:dyDescent="0.25">
      <c r="A1039" t="s">
        <v>108</v>
      </c>
      <c r="B1039" t="s">
        <v>191</v>
      </c>
      <c r="C1039" t="s">
        <v>64</v>
      </c>
      <c r="D1039">
        <v>0</v>
      </c>
      <c r="E1039">
        <v>0</v>
      </c>
      <c r="F1039">
        <v>0</v>
      </c>
      <c r="G1039" s="10">
        <f t="shared" si="16"/>
        <v>0</v>
      </c>
      <c r="H1039" t="str">
        <f>$A1039&amp;Keys!$C$54&amp;$B1039&amp;Keys!$C$54&amp;$C1039</f>
        <v>MA|imports|hard coal</v>
      </c>
    </row>
    <row r="1040" spans="1:8" x14ac:dyDescent="0.25">
      <c r="A1040" t="s">
        <v>108</v>
      </c>
      <c r="B1040" t="s">
        <v>191</v>
      </c>
      <c r="C1040" t="s">
        <v>68</v>
      </c>
      <c r="D1040">
        <v>506893000000000</v>
      </c>
      <c r="E1040">
        <v>479322000000000</v>
      </c>
      <c r="F1040">
        <v>452500000000000</v>
      </c>
      <c r="G1040" s="10">
        <f t="shared" si="16"/>
        <v>479571666666666.69</v>
      </c>
      <c r="H1040" t="str">
        <f>$A1040&amp;Keys!$C$54&amp;$B1040&amp;Keys!$C$54&amp;$C1040</f>
        <v>MA|imports|natural gas</v>
      </c>
    </row>
    <row r="1041" spans="1:8" x14ac:dyDescent="0.25">
      <c r="A1041" t="s">
        <v>108</v>
      </c>
      <c r="B1041" t="s">
        <v>191</v>
      </c>
      <c r="C1041" t="s">
        <v>71</v>
      </c>
      <c r="D1041">
        <v>0</v>
      </c>
      <c r="E1041">
        <v>0</v>
      </c>
      <c r="F1041">
        <v>0</v>
      </c>
      <c r="G1041" s="10">
        <f t="shared" si="16"/>
        <v>0</v>
      </c>
      <c r="H1041" t="str">
        <f>$A1041&amp;Keys!$C$54&amp;$B1041&amp;Keys!$C$54&amp;$C1041</f>
        <v>MA|imports|nuclear</v>
      </c>
    </row>
    <row r="1042" spans="1:8" x14ac:dyDescent="0.25">
      <c r="A1042" t="s">
        <v>108</v>
      </c>
      <c r="B1042" t="s">
        <v>191</v>
      </c>
      <c r="C1042" t="s">
        <v>74</v>
      </c>
      <c r="D1042">
        <v>0</v>
      </c>
      <c r="E1042">
        <v>0</v>
      </c>
      <c r="F1042">
        <v>0</v>
      </c>
      <c r="G1042" s="10">
        <f t="shared" si="16"/>
        <v>0</v>
      </c>
      <c r="H1042" t="str">
        <f>$A1042&amp;Keys!$C$54&amp;$B1042&amp;Keys!$C$54&amp;$C1042</f>
        <v>MA|imports|hydro (is not a fuel)</v>
      </c>
    </row>
    <row r="1043" spans="1:8" x14ac:dyDescent="0.25">
      <c r="A1043" t="s">
        <v>108</v>
      </c>
      <c r="B1043" t="s">
        <v>191</v>
      </c>
      <c r="C1043" t="s">
        <v>77</v>
      </c>
      <c r="D1043">
        <v>0</v>
      </c>
      <c r="E1043">
        <v>0</v>
      </c>
      <c r="F1043">
        <v>0</v>
      </c>
      <c r="G1043" s="10">
        <f t="shared" si="16"/>
        <v>0</v>
      </c>
      <c r="H1043" t="str">
        <f>$A1043&amp;Keys!$C$54&amp;$B1043&amp;Keys!$C$54&amp;$C1043</f>
        <v>MA|imports|wind (is not a fuel)</v>
      </c>
    </row>
    <row r="1044" spans="1:8" x14ac:dyDescent="0.25">
      <c r="A1044" t="s">
        <v>108</v>
      </c>
      <c r="B1044" t="s">
        <v>191</v>
      </c>
      <c r="C1044" t="s">
        <v>80</v>
      </c>
      <c r="D1044">
        <v>0</v>
      </c>
      <c r="E1044">
        <v>0</v>
      </c>
      <c r="F1044">
        <v>0</v>
      </c>
      <c r="G1044" s="10">
        <f t="shared" si="16"/>
        <v>0</v>
      </c>
      <c r="H1044" t="str">
        <f>$A1044&amp;Keys!$C$54&amp;$B1044&amp;Keys!$C$54&amp;$C1044</f>
        <v>MA|imports|solar (is not a fuel)</v>
      </c>
    </row>
    <row r="1045" spans="1:8" x14ac:dyDescent="0.25">
      <c r="A1045" t="s">
        <v>108</v>
      </c>
      <c r="B1045" t="s">
        <v>191</v>
      </c>
      <c r="C1045" t="s">
        <v>82</v>
      </c>
      <c r="D1045">
        <v>0</v>
      </c>
      <c r="E1045">
        <v>26917100000000</v>
      </c>
      <c r="F1045">
        <v>24529100000000</v>
      </c>
      <c r="G1045" s="10">
        <f t="shared" si="16"/>
        <v>17148733333333.334</v>
      </c>
      <c r="H1045" t="str">
        <f>$A1045&amp;Keys!$C$54&amp;$B1045&amp;Keys!$C$54&amp;$C1045</f>
        <v>MA|imports|biomass</v>
      </c>
    </row>
    <row r="1046" spans="1:8" x14ac:dyDescent="0.25">
      <c r="A1046" t="s">
        <v>108</v>
      </c>
      <c r="B1046" t="s">
        <v>191</v>
      </c>
      <c r="C1046" t="s">
        <v>85</v>
      </c>
      <c r="D1046">
        <v>0</v>
      </c>
      <c r="E1046">
        <v>252766000000000</v>
      </c>
      <c r="F1046">
        <v>250336000000000</v>
      </c>
      <c r="G1046" s="10">
        <f t="shared" si="16"/>
        <v>167700666666666.66</v>
      </c>
      <c r="H1046" t="str">
        <f>$A1046&amp;Keys!$C$54&amp;$B1046&amp;Keys!$C$54&amp;$C1046</f>
        <v>MA|imports|petroleum gasoline</v>
      </c>
    </row>
    <row r="1047" spans="1:8" x14ac:dyDescent="0.25">
      <c r="A1047" t="s">
        <v>108</v>
      </c>
      <c r="B1047" t="s">
        <v>191</v>
      </c>
      <c r="C1047" t="s">
        <v>88</v>
      </c>
      <c r="D1047">
        <v>0</v>
      </c>
      <c r="E1047">
        <v>163300000000000</v>
      </c>
      <c r="F1047">
        <v>160504000000000</v>
      </c>
      <c r="G1047" s="10">
        <f t="shared" si="16"/>
        <v>107934666666666.67</v>
      </c>
      <c r="H1047" t="str">
        <f>$A1047&amp;Keys!$C$54&amp;$B1047&amp;Keys!$C$54&amp;$C1047</f>
        <v>MA|imports|petroleum diesel</v>
      </c>
    </row>
    <row r="1048" spans="1:8" x14ac:dyDescent="0.25">
      <c r="A1048" t="s">
        <v>108</v>
      </c>
      <c r="B1048" t="s">
        <v>191</v>
      </c>
      <c r="C1048" t="s">
        <v>91</v>
      </c>
      <c r="D1048">
        <v>0</v>
      </c>
      <c r="E1048">
        <v>18547500000000</v>
      </c>
      <c r="F1048">
        <v>18371700000000</v>
      </c>
      <c r="G1048" s="10">
        <f t="shared" si="16"/>
        <v>12306400000000</v>
      </c>
      <c r="H1048" t="str">
        <f>$A1048&amp;Keys!$C$54&amp;$B1048&amp;Keys!$C$54&amp;$C1048</f>
        <v>MA|imports|biofuel gasoline</v>
      </c>
    </row>
    <row r="1049" spans="1:8" x14ac:dyDescent="0.25">
      <c r="A1049" t="s">
        <v>108</v>
      </c>
      <c r="B1049" t="s">
        <v>191</v>
      </c>
      <c r="C1049" t="s">
        <v>94</v>
      </c>
      <c r="D1049">
        <v>0</v>
      </c>
      <c r="E1049">
        <v>630574000000</v>
      </c>
      <c r="F1049">
        <v>575386000000</v>
      </c>
      <c r="G1049" s="10">
        <f t="shared" si="16"/>
        <v>401986666666.66669</v>
      </c>
      <c r="H1049" t="str">
        <f>$A1049&amp;Keys!$C$54&amp;$B1049&amp;Keys!$C$54&amp;$C1049</f>
        <v>MA|imports|biofuel diesel</v>
      </c>
    </row>
    <row r="1050" spans="1:8" x14ac:dyDescent="0.25">
      <c r="A1050" t="s">
        <v>108</v>
      </c>
      <c r="B1050" t="s">
        <v>191</v>
      </c>
      <c r="C1050" t="s">
        <v>97</v>
      </c>
      <c r="D1050">
        <v>0</v>
      </c>
      <c r="E1050">
        <v>73855600000000</v>
      </c>
      <c r="F1050">
        <v>75477300000000</v>
      </c>
      <c r="G1050" s="10">
        <f t="shared" si="16"/>
        <v>49777633333333.336</v>
      </c>
      <c r="H1050" t="str">
        <f>$A1050&amp;Keys!$C$54&amp;$B1050&amp;Keys!$C$54&amp;$C1050</f>
        <v>MA|imports|jet fuel or kerosene</v>
      </c>
    </row>
    <row r="1051" spans="1:8" x14ac:dyDescent="0.25">
      <c r="A1051" t="s">
        <v>108</v>
      </c>
      <c r="B1051" t="s">
        <v>191</v>
      </c>
      <c r="C1051" t="s">
        <v>100</v>
      </c>
      <c r="D1051">
        <v>0</v>
      </c>
      <c r="E1051">
        <v>0</v>
      </c>
      <c r="F1051">
        <v>0</v>
      </c>
      <c r="G1051" s="10">
        <f t="shared" si="16"/>
        <v>0</v>
      </c>
      <c r="H1051" t="str">
        <f>$A1051&amp;Keys!$C$54&amp;$B1051&amp;Keys!$C$54&amp;$C1051</f>
        <v>MA|imports|heat (not used in this variable)</v>
      </c>
    </row>
    <row r="1052" spans="1:8" x14ac:dyDescent="0.25">
      <c r="A1052" t="s">
        <v>108</v>
      </c>
      <c r="B1052" t="s">
        <v>191</v>
      </c>
      <c r="C1052" t="s">
        <v>103</v>
      </c>
      <c r="D1052">
        <v>0</v>
      </c>
      <c r="E1052">
        <v>0</v>
      </c>
      <c r="F1052">
        <v>0</v>
      </c>
      <c r="G1052" s="10">
        <f t="shared" si="16"/>
        <v>0</v>
      </c>
      <c r="H1052" t="str">
        <f>$A1052&amp;Keys!$C$54&amp;$B1052&amp;Keys!$C$54&amp;$C1052</f>
        <v>MA|imports|geothermal (is not a fuel)</v>
      </c>
    </row>
    <row r="1053" spans="1:8" x14ac:dyDescent="0.25">
      <c r="A1053" t="s">
        <v>108</v>
      </c>
      <c r="B1053" t="s">
        <v>191</v>
      </c>
      <c r="C1053" t="s">
        <v>106</v>
      </c>
      <c r="D1053">
        <v>0</v>
      </c>
      <c r="E1053">
        <v>0</v>
      </c>
      <c r="F1053">
        <v>0</v>
      </c>
      <c r="G1053" s="10">
        <f t="shared" si="16"/>
        <v>0</v>
      </c>
      <c r="H1053" t="str">
        <f>$A1053&amp;Keys!$C$54&amp;$B1053&amp;Keys!$C$54&amp;$C1053</f>
        <v>MA|imports|lignite</v>
      </c>
    </row>
    <row r="1054" spans="1:8" x14ac:dyDescent="0.25">
      <c r="A1054" t="s">
        <v>108</v>
      </c>
      <c r="B1054" t="s">
        <v>191</v>
      </c>
      <c r="C1054" t="s">
        <v>109</v>
      </c>
      <c r="D1054">
        <v>0</v>
      </c>
      <c r="E1054">
        <v>1395000000000</v>
      </c>
      <c r="F1054">
        <v>0</v>
      </c>
      <c r="G1054" s="10">
        <f t="shared" si="16"/>
        <v>465000000000</v>
      </c>
      <c r="H1054" t="str">
        <f>$A1054&amp;Keys!$C$54&amp;$B1054&amp;Keys!$C$54&amp;$C1054</f>
        <v>MA|imports|crude oil</v>
      </c>
    </row>
    <row r="1055" spans="1:8" x14ac:dyDescent="0.25">
      <c r="A1055" t="s">
        <v>108</v>
      </c>
      <c r="B1055" t="s">
        <v>191</v>
      </c>
      <c r="C1055" t="s">
        <v>113</v>
      </c>
      <c r="D1055">
        <v>0</v>
      </c>
      <c r="E1055">
        <v>14973000000000</v>
      </c>
      <c r="F1055">
        <v>15324000000000</v>
      </c>
      <c r="G1055" s="10">
        <f t="shared" si="16"/>
        <v>10099000000000</v>
      </c>
      <c r="H1055" t="str">
        <f>$A1055&amp;Keys!$C$54&amp;$B1055&amp;Keys!$C$54&amp;$C1055</f>
        <v>MA|imports|heavy fuel oil</v>
      </c>
    </row>
    <row r="1056" spans="1:8" x14ac:dyDescent="0.25">
      <c r="A1056" t="s">
        <v>108</v>
      </c>
      <c r="B1056" t="s">
        <v>191</v>
      </c>
      <c r="C1056" t="s">
        <v>117</v>
      </c>
      <c r="D1056">
        <v>0</v>
      </c>
      <c r="E1056">
        <v>14640800000000</v>
      </c>
      <c r="F1056">
        <v>14539500000000</v>
      </c>
      <c r="G1056" s="10">
        <f t="shared" si="16"/>
        <v>9726766666666.666</v>
      </c>
      <c r="H1056" t="str">
        <f>$A1056&amp;Keys!$C$54&amp;$B1056&amp;Keys!$C$54&amp;$C1056</f>
        <v>MA|imports|LPG propane or butane</v>
      </c>
    </row>
    <row r="1057" spans="1:8" x14ac:dyDescent="0.25">
      <c r="A1057" t="s">
        <v>108</v>
      </c>
      <c r="B1057" t="s">
        <v>191</v>
      </c>
      <c r="C1057" t="s">
        <v>120</v>
      </c>
      <c r="D1057">
        <v>0</v>
      </c>
      <c r="E1057">
        <v>12938100000000</v>
      </c>
      <c r="F1057">
        <v>13117800000000</v>
      </c>
      <c r="G1057" s="10">
        <f t="shared" si="16"/>
        <v>8685300000000</v>
      </c>
      <c r="H1057" t="str">
        <f>$A1057&amp;Keys!$C$54&amp;$B1057&amp;Keys!$C$54&amp;$C1057</f>
        <v>MA|imports|municipal solid waste</v>
      </c>
    </row>
    <row r="1058" spans="1:8" x14ac:dyDescent="0.25">
      <c r="A1058" t="s">
        <v>108</v>
      </c>
      <c r="B1058" t="s">
        <v>191</v>
      </c>
      <c r="C1058" t="s">
        <v>123</v>
      </c>
      <c r="D1058">
        <v>0</v>
      </c>
      <c r="E1058">
        <v>1262500000</v>
      </c>
      <c r="F1058">
        <v>1994110000</v>
      </c>
      <c r="G1058" s="10">
        <f t="shared" si="16"/>
        <v>1085536666.6666667</v>
      </c>
      <c r="H1058" t="str">
        <f>$A1058&amp;Keys!$C$54&amp;$B1058&amp;Keys!$C$54&amp;$C1058</f>
        <v>MA|imports|hydrogen</v>
      </c>
    </row>
    <row r="1059" spans="1:8" x14ac:dyDescent="0.25">
      <c r="A1059" t="s">
        <v>108</v>
      </c>
      <c r="B1059" t="s">
        <v>193</v>
      </c>
      <c r="C1059" t="s">
        <v>60</v>
      </c>
      <c r="D1059">
        <v>0</v>
      </c>
      <c r="E1059">
        <v>0</v>
      </c>
      <c r="F1059">
        <v>0</v>
      </c>
      <c r="G1059" s="10">
        <f t="shared" si="16"/>
        <v>0</v>
      </c>
      <c r="H1059" t="str">
        <f>$A1059&amp;Keys!$C$54&amp;$B1059&amp;Keys!$C$54&amp;$C1059</f>
        <v>MA|exports|electricity (not used in this variable)</v>
      </c>
    </row>
    <row r="1060" spans="1:8" x14ac:dyDescent="0.25">
      <c r="A1060" t="s">
        <v>108</v>
      </c>
      <c r="B1060" t="s">
        <v>193</v>
      </c>
      <c r="C1060" t="s">
        <v>64</v>
      </c>
      <c r="D1060">
        <v>0</v>
      </c>
      <c r="E1060">
        <v>0</v>
      </c>
      <c r="F1060">
        <v>0</v>
      </c>
      <c r="G1060" s="10">
        <f t="shared" si="16"/>
        <v>0</v>
      </c>
      <c r="H1060" t="str">
        <f>$A1060&amp;Keys!$C$54&amp;$B1060&amp;Keys!$C$54&amp;$C1060</f>
        <v>MA|exports|hard coal</v>
      </c>
    </row>
    <row r="1061" spans="1:8" x14ac:dyDescent="0.25">
      <c r="A1061" t="s">
        <v>108</v>
      </c>
      <c r="B1061" t="s">
        <v>193</v>
      </c>
      <c r="C1061" t="s">
        <v>68</v>
      </c>
      <c r="D1061">
        <v>86455700000000</v>
      </c>
      <c r="E1061">
        <v>86455700000000</v>
      </c>
      <c r="F1061">
        <v>86724300000000</v>
      </c>
      <c r="G1061" s="10">
        <f t="shared" si="16"/>
        <v>86545233333333.328</v>
      </c>
      <c r="H1061" t="str">
        <f>$A1061&amp;Keys!$C$54&amp;$B1061&amp;Keys!$C$54&amp;$C1061</f>
        <v>MA|exports|natural gas</v>
      </c>
    </row>
    <row r="1062" spans="1:8" x14ac:dyDescent="0.25">
      <c r="A1062" t="s">
        <v>108</v>
      </c>
      <c r="B1062" t="s">
        <v>193</v>
      </c>
      <c r="C1062" t="s">
        <v>71</v>
      </c>
      <c r="D1062">
        <v>0</v>
      </c>
      <c r="E1062">
        <v>0</v>
      </c>
      <c r="F1062">
        <v>0</v>
      </c>
      <c r="G1062" s="10">
        <f t="shared" si="16"/>
        <v>0</v>
      </c>
      <c r="H1062" t="str">
        <f>$A1062&amp;Keys!$C$54&amp;$B1062&amp;Keys!$C$54&amp;$C1062</f>
        <v>MA|exports|nuclear</v>
      </c>
    </row>
    <row r="1063" spans="1:8" x14ac:dyDescent="0.25">
      <c r="A1063" t="s">
        <v>108</v>
      </c>
      <c r="B1063" t="s">
        <v>193</v>
      </c>
      <c r="C1063" t="s">
        <v>74</v>
      </c>
      <c r="D1063">
        <v>0</v>
      </c>
      <c r="E1063">
        <v>0</v>
      </c>
      <c r="F1063">
        <v>0</v>
      </c>
      <c r="G1063" s="10">
        <f t="shared" si="16"/>
        <v>0</v>
      </c>
      <c r="H1063" t="str">
        <f>$A1063&amp;Keys!$C$54&amp;$B1063&amp;Keys!$C$54&amp;$C1063</f>
        <v>MA|exports|hydro (is not a fuel)</v>
      </c>
    </row>
    <row r="1064" spans="1:8" x14ac:dyDescent="0.25">
      <c r="A1064" t="s">
        <v>108</v>
      </c>
      <c r="B1064" t="s">
        <v>193</v>
      </c>
      <c r="C1064" t="s">
        <v>77</v>
      </c>
      <c r="D1064">
        <v>0</v>
      </c>
      <c r="E1064">
        <v>0</v>
      </c>
      <c r="F1064">
        <v>0</v>
      </c>
      <c r="G1064" s="10">
        <f t="shared" si="16"/>
        <v>0</v>
      </c>
      <c r="H1064" t="str">
        <f>$A1064&amp;Keys!$C$54&amp;$B1064&amp;Keys!$C$54&amp;$C1064</f>
        <v>MA|exports|wind (is not a fuel)</v>
      </c>
    </row>
    <row r="1065" spans="1:8" x14ac:dyDescent="0.25">
      <c r="A1065" t="s">
        <v>108</v>
      </c>
      <c r="B1065" t="s">
        <v>193</v>
      </c>
      <c r="C1065" t="s">
        <v>80</v>
      </c>
      <c r="D1065">
        <v>0</v>
      </c>
      <c r="E1065">
        <v>0</v>
      </c>
      <c r="F1065">
        <v>0</v>
      </c>
      <c r="G1065" s="10">
        <f t="shared" si="16"/>
        <v>0</v>
      </c>
      <c r="H1065" t="str">
        <f>$A1065&amp;Keys!$C$54&amp;$B1065&amp;Keys!$C$54&amp;$C1065</f>
        <v>MA|exports|solar (is not a fuel)</v>
      </c>
    </row>
    <row r="1066" spans="1:8" x14ac:dyDescent="0.25">
      <c r="A1066" t="s">
        <v>108</v>
      </c>
      <c r="B1066" t="s">
        <v>193</v>
      </c>
      <c r="C1066" t="s">
        <v>82</v>
      </c>
      <c r="D1066">
        <v>0</v>
      </c>
      <c r="E1066">
        <v>0</v>
      </c>
      <c r="F1066">
        <v>0</v>
      </c>
      <c r="G1066" s="10">
        <f t="shared" si="16"/>
        <v>0</v>
      </c>
      <c r="H1066" t="str">
        <f>$A1066&amp;Keys!$C$54&amp;$B1066&amp;Keys!$C$54&amp;$C1066</f>
        <v>MA|exports|biomass</v>
      </c>
    </row>
    <row r="1067" spans="1:8" x14ac:dyDescent="0.25">
      <c r="A1067" t="s">
        <v>108</v>
      </c>
      <c r="B1067" t="s">
        <v>193</v>
      </c>
      <c r="C1067" t="s">
        <v>85</v>
      </c>
      <c r="D1067">
        <v>0</v>
      </c>
      <c r="E1067">
        <v>0</v>
      </c>
      <c r="F1067">
        <v>0</v>
      </c>
      <c r="G1067" s="10">
        <f t="shared" si="16"/>
        <v>0</v>
      </c>
      <c r="H1067" t="str">
        <f>$A1067&amp;Keys!$C$54&amp;$B1067&amp;Keys!$C$54&amp;$C1067</f>
        <v>MA|exports|petroleum gasoline</v>
      </c>
    </row>
    <row r="1068" spans="1:8" x14ac:dyDescent="0.25">
      <c r="A1068" t="s">
        <v>108</v>
      </c>
      <c r="B1068" t="s">
        <v>193</v>
      </c>
      <c r="C1068" t="s">
        <v>88</v>
      </c>
      <c r="D1068">
        <v>0</v>
      </c>
      <c r="E1068">
        <v>0</v>
      </c>
      <c r="F1068">
        <v>0</v>
      </c>
      <c r="G1068" s="10">
        <f t="shared" si="16"/>
        <v>0</v>
      </c>
      <c r="H1068" t="str">
        <f>$A1068&amp;Keys!$C$54&amp;$B1068&amp;Keys!$C$54&amp;$C1068</f>
        <v>MA|exports|petroleum diesel</v>
      </c>
    </row>
    <row r="1069" spans="1:8" x14ac:dyDescent="0.25">
      <c r="A1069" t="s">
        <v>108</v>
      </c>
      <c r="B1069" t="s">
        <v>193</v>
      </c>
      <c r="C1069" t="s">
        <v>91</v>
      </c>
      <c r="D1069">
        <v>0</v>
      </c>
      <c r="E1069">
        <v>0</v>
      </c>
      <c r="F1069">
        <v>0</v>
      </c>
      <c r="G1069" s="10">
        <f t="shared" si="16"/>
        <v>0</v>
      </c>
      <c r="H1069" t="str">
        <f>$A1069&amp;Keys!$C$54&amp;$B1069&amp;Keys!$C$54&amp;$C1069</f>
        <v>MA|exports|biofuel gasoline</v>
      </c>
    </row>
    <row r="1070" spans="1:8" x14ac:dyDescent="0.25">
      <c r="A1070" t="s">
        <v>108</v>
      </c>
      <c r="B1070" t="s">
        <v>193</v>
      </c>
      <c r="C1070" t="s">
        <v>94</v>
      </c>
      <c r="D1070">
        <v>0</v>
      </c>
      <c r="E1070">
        <v>0</v>
      </c>
      <c r="F1070">
        <v>0</v>
      </c>
      <c r="G1070" s="10">
        <f t="shared" si="16"/>
        <v>0</v>
      </c>
      <c r="H1070" t="str">
        <f>$A1070&amp;Keys!$C$54&amp;$B1070&amp;Keys!$C$54&amp;$C1070</f>
        <v>MA|exports|biofuel diesel</v>
      </c>
    </row>
    <row r="1071" spans="1:8" x14ac:dyDescent="0.25">
      <c r="A1071" t="s">
        <v>108</v>
      </c>
      <c r="B1071" t="s">
        <v>193</v>
      </c>
      <c r="C1071" t="s">
        <v>97</v>
      </c>
      <c r="D1071">
        <v>0</v>
      </c>
      <c r="E1071">
        <v>0</v>
      </c>
      <c r="F1071">
        <v>0</v>
      </c>
      <c r="G1071" s="10">
        <f t="shared" si="16"/>
        <v>0</v>
      </c>
      <c r="H1071" t="str">
        <f>$A1071&amp;Keys!$C$54&amp;$B1071&amp;Keys!$C$54&amp;$C1071</f>
        <v>MA|exports|jet fuel or kerosene</v>
      </c>
    </row>
    <row r="1072" spans="1:8" x14ac:dyDescent="0.25">
      <c r="A1072" t="s">
        <v>108</v>
      </c>
      <c r="B1072" t="s">
        <v>193</v>
      </c>
      <c r="C1072" t="s">
        <v>100</v>
      </c>
      <c r="D1072">
        <v>0</v>
      </c>
      <c r="E1072">
        <v>0</v>
      </c>
      <c r="F1072">
        <v>0</v>
      </c>
      <c r="G1072" s="10">
        <f t="shared" si="16"/>
        <v>0</v>
      </c>
      <c r="H1072" t="str">
        <f>$A1072&amp;Keys!$C$54&amp;$B1072&amp;Keys!$C$54&amp;$C1072</f>
        <v>MA|exports|heat (not used in this variable)</v>
      </c>
    </row>
    <row r="1073" spans="1:8" x14ac:dyDescent="0.25">
      <c r="A1073" t="s">
        <v>108</v>
      </c>
      <c r="B1073" t="s">
        <v>193</v>
      </c>
      <c r="C1073" t="s">
        <v>103</v>
      </c>
      <c r="D1073">
        <v>0</v>
      </c>
      <c r="E1073">
        <v>0</v>
      </c>
      <c r="F1073">
        <v>0</v>
      </c>
      <c r="G1073" s="10">
        <f t="shared" si="16"/>
        <v>0</v>
      </c>
      <c r="H1073" t="str">
        <f>$A1073&amp;Keys!$C$54&amp;$B1073&amp;Keys!$C$54&amp;$C1073</f>
        <v>MA|exports|geothermal (is not a fuel)</v>
      </c>
    </row>
    <row r="1074" spans="1:8" x14ac:dyDescent="0.25">
      <c r="A1074" t="s">
        <v>108</v>
      </c>
      <c r="B1074" t="s">
        <v>193</v>
      </c>
      <c r="C1074" t="s">
        <v>106</v>
      </c>
      <c r="D1074">
        <v>0</v>
      </c>
      <c r="E1074">
        <v>0</v>
      </c>
      <c r="F1074">
        <v>0</v>
      </c>
      <c r="G1074" s="10">
        <f t="shared" si="16"/>
        <v>0</v>
      </c>
      <c r="H1074" t="str">
        <f>$A1074&amp;Keys!$C$54&amp;$B1074&amp;Keys!$C$54&amp;$C1074</f>
        <v>MA|exports|lignite</v>
      </c>
    </row>
    <row r="1075" spans="1:8" x14ac:dyDescent="0.25">
      <c r="A1075" t="s">
        <v>108</v>
      </c>
      <c r="B1075" t="s">
        <v>193</v>
      </c>
      <c r="C1075" t="s">
        <v>109</v>
      </c>
      <c r="D1075">
        <v>0</v>
      </c>
      <c r="E1075">
        <v>0</v>
      </c>
      <c r="F1075">
        <v>0</v>
      </c>
      <c r="G1075" s="10">
        <f t="shared" si="16"/>
        <v>0</v>
      </c>
      <c r="H1075" t="str">
        <f>$A1075&amp;Keys!$C$54&amp;$B1075&amp;Keys!$C$54&amp;$C1075</f>
        <v>MA|exports|crude oil</v>
      </c>
    </row>
    <row r="1076" spans="1:8" x14ac:dyDescent="0.25">
      <c r="A1076" t="s">
        <v>108</v>
      </c>
      <c r="B1076" t="s">
        <v>193</v>
      </c>
      <c r="C1076" t="s">
        <v>113</v>
      </c>
      <c r="D1076">
        <v>0</v>
      </c>
      <c r="E1076">
        <v>0</v>
      </c>
      <c r="F1076">
        <v>0</v>
      </c>
      <c r="G1076" s="10">
        <f t="shared" si="16"/>
        <v>0</v>
      </c>
      <c r="H1076" t="str">
        <f>$A1076&amp;Keys!$C$54&amp;$B1076&amp;Keys!$C$54&amp;$C1076</f>
        <v>MA|exports|heavy fuel oil</v>
      </c>
    </row>
    <row r="1077" spans="1:8" x14ac:dyDescent="0.25">
      <c r="A1077" t="s">
        <v>108</v>
      </c>
      <c r="B1077" t="s">
        <v>193</v>
      </c>
      <c r="C1077" t="s">
        <v>117</v>
      </c>
      <c r="D1077">
        <v>0</v>
      </c>
      <c r="E1077">
        <v>0</v>
      </c>
      <c r="F1077">
        <v>0</v>
      </c>
      <c r="G1077" s="10">
        <f t="shared" si="16"/>
        <v>0</v>
      </c>
      <c r="H1077" t="str">
        <f>$A1077&amp;Keys!$C$54&amp;$B1077&amp;Keys!$C$54&amp;$C1077</f>
        <v>MA|exports|LPG propane or butane</v>
      </c>
    </row>
    <row r="1078" spans="1:8" x14ac:dyDescent="0.25">
      <c r="A1078" t="s">
        <v>108</v>
      </c>
      <c r="B1078" t="s">
        <v>193</v>
      </c>
      <c r="C1078" t="s">
        <v>120</v>
      </c>
      <c r="D1078">
        <v>0</v>
      </c>
      <c r="E1078">
        <v>0</v>
      </c>
      <c r="F1078">
        <v>0</v>
      </c>
      <c r="G1078" s="10">
        <f t="shared" si="16"/>
        <v>0</v>
      </c>
      <c r="H1078" t="str">
        <f>$A1078&amp;Keys!$C$54&amp;$B1078&amp;Keys!$C$54&amp;$C1078</f>
        <v>MA|exports|municipal solid waste</v>
      </c>
    </row>
    <row r="1079" spans="1:8" x14ac:dyDescent="0.25">
      <c r="A1079" t="s">
        <v>108</v>
      </c>
      <c r="B1079" t="s">
        <v>193</v>
      </c>
      <c r="C1079" t="s">
        <v>123</v>
      </c>
      <c r="D1079">
        <v>0</v>
      </c>
      <c r="E1079">
        <v>0</v>
      </c>
      <c r="F1079">
        <v>0</v>
      </c>
      <c r="G1079" s="10">
        <f t="shared" si="16"/>
        <v>0</v>
      </c>
      <c r="H1079" t="str">
        <f>$A1079&amp;Keys!$C$54&amp;$B1079&amp;Keys!$C$54&amp;$C1079</f>
        <v>MA|exports|hydrogen</v>
      </c>
    </row>
    <row r="1080" spans="1:8" x14ac:dyDescent="0.25">
      <c r="A1080" t="s">
        <v>112</v>
      </c>
      <c r="B1080" t="s">
        <v>188</v>
      </c>
      <c r="C1080" t="s">
        <v>60</v>
      </c>
      <c r="D1080">
        <v>0</v>
      </c>
      <c r="E1080">
        <v>0</v>
      </c>
      <c r="F1080">
        <v>0</v>
      </c>
      <c r="G1080" s="10">
        <f t="shared" si="16"/>
        <v>0</v>
      </c>
      <c r="H1080" t="str">
        <f>$A1080&amp;Keys!$C$54&amp;$B1080&amp;Keys!$C$54&amp;$C1080</f>
        <v>MD|production|electricity (not used in this variable)</v>
      </c>
    </row>
    <row r="1081" spans="1:8" x14ac:dyDescent="0.25">
      <c r="A1081" t="s">
        <v>112</v>
      </c>
      <c r="B1081" t="s">
        <v>188</v>
      </c>
      <c r="C1081" t="s">
        <v>64</v>
      </c>
      <c r="D1081">
        <v>27079000000000</v>
      </c>
      <c r="E1081">
        <v>27079000000000</v>
      </c>
      <c r="F1081">
        <v>27079700000000</v>
      </c>
      <c r="G1081" s="10">
        <f t="shared" si="16"/>
        <v>27079233333333.332</v>
      </c>
      <c r="H1081" t="str">
        <f>$A1081&amp;Keys!$C$54&amp;$B1081&amp;Keys!$C$54&amp;$C1081</f>
        <v>MD|production|hard coal</v>
      </c>
    </row>
    <row r="1082" spans="1:8" x14ac:dyDescent="0.25">
      <c r="A1082" t="s">
        <v>112</v>
      </c>
      <c r="B1082" t="s">
        <v>188</v>
      </c>
      <c r="C1082" t="s">
        <v>68</v>
      </c>
      <c r="D1082">
        <v>5185000000</v>
      </c>
      <c r="E1082">
        <v>5185000000</v>
      </c>
      <c r="F1082">
        <v>5201100000</v>
      </c>
      <c r="G1082" s="10">
        <f t="shared" si="16"/>
        <v>5190366666.666667</v>
      </c>
      <c r="H1082" t="str">
        <f>$A1082&amp;Keys!$C$54&amp;$B1082&amp;Keys!$C$54&amp;$C1082</f>
        <v>MD|production|natural gas</v>
      </c>
    </row>
    <row r="1083" spans="1:8" x14ac:dyDescent="0.25">
      <c r="A1083" t="s">
        <v>112</v>
      </c>
      <c r="B1083" t="s">
        <v>188</v>
      </c>
      <c r="C1083" t="s">
        <v>71</v>
      </c>
      <c r="D1083">
        <v>0</v>
      </c>
      <c r="E1083">
        <v>0</v>
      </c>
      <c r="F1083">
        <v>0</v>
      </c>
      <c r="G1083" s="10">
        <f t="shared" si="16"/>
        <v>0</v>
      </c>
      <c r="H1083" t="str">
        <f>$A1083&amp;Keys!$C$54&amp;$B1083&amp;Keys!$C$54&amp;$C1083</f>
        <v>MD|production|nuclear</v>
      </c>
    </row>
    <row r="1084" spans="1:8" x14ac:dyDescent="0.25">
      <c r="A1084" t="s">
        <v>112</v>
      </c>
      <c r="B1084" t="s">
        <v>188</v>
      </c>
      <c r="C1084" t="s">
        <v>74</v>
      </c>
      <c r="D1084">
        <v>0</v>
      </c>
      <c r="E1084">
        <v>0</v>
      </c>
      <c r="F1084">
        <v>0</v>
      </c>
      <c r="G1084" s="10">
        <f t="shared" si="16"/>
        <v>0</v>
      </c>
      <c r="H1084" t="str">
        <f>$A1084&amp;Keys!$C$54&amp;$B1084&amp;Keys!$C$54&amp;$C1084</f>
        <v>MD|production|hydro (is not a fuel)</v>
      </c>
    </row>
    <row r="1085" spans="1:8" x14ac:dyDescent="0.25">
      <c r="A1085" t="s">
        <v>112</v>
      </c>
      <c r="B1085" t="s">
        <v>188</v>
      </c>
      <c r="C1085" t="s">
        <v>77</v>
      </c>
      <c r="D1085">
        <v>0</v>
      </c>
      <c r="E1085">
        <v>0</v>
      </c>
      <c r="F1085">
        <v>0</v>
      </c>
      <c r="G1085" s="10">
        <f t="shared" si="16"/>
        <v>0</v>
      </c>
      <c r="H1085" t="str">
        <f>$A1085&amp;Keys!$C$54&amp;$B1085&amp;Keys!$C$54&amp;$C1085</f>
        <v>MD|production|wind (is not a fuel)</v>
      </c>
    </row>
    <row r="1086" spans="1:8" x14ac:dyDescent="0.25">
      <c r="A1086" t="s">
        <v>112</v>
      </c>
      <c r="B1086" t="s">
        <v>188</v>
      </c>
      <c r="C1086" t="s">
        <v>80</v>
      </c>
      <c r="D1086">
        <v>0</v>
      </c>
      <c r="E1086">
        <v>0</v>
      </c>
      <c r="F1086">
        <v>0</v>
      </c>
      <c r="G1086" s="10">
        <f t="shared" si="16"/>
        <v>0</v>
      </c>
      <c r="H1086" t="str">
        <f>$A1086&amp;Keys!$C$54&amp;$B1086&amp;Keys!$C$54&amp;$C1086</f>
        <v>MD|production|solar (is not a fuel)</v>
      </c>
    </row>
    <row r="1087" spans="1:8" x14ac:dyDescent="0.25">
      <c r="A1087" t="s">
        <v>112</v>
      </c>
      <c r="B1087" t="s">
        <v>188</v>
      </c>
      <c r="C1087" t="s">
        <v>82</v>
      </c>
      <c r="D1087">
        <v>0</v>
      </c>
      <c r="E1087">
        <v>0</v>
      </c>
      <c r="F1087">
        <v>0</v>
      </c>
      <c r="G1087" s="10">
        <f t="shared" si="16"/>
        <v>0</v>
      </c>
      <c r="H1087" t="str">
        <f>$A1087&amp;Keys!$C$54&amp;$B1087&amp;Keys!$C$54&amp;$C1087</f>
        <v>MD|production|biomass</v>
      </c>
    </row>
    <row r="1088" spans="1:8" x14ac:dyDescent="0.25">
      <c r="A1088" t="s">
        <v>112</v>
      </c>
      <c r="B1088" t="s">
        <v>188</v>
      </c>
      <c r="C1088" t="s">
        <v>85</v>
      </c>
      <c r="D1088">
        <v>0</v>
      </c>
      <c r="E1088">
        <v>0</v>
      </c>
      <c r="F1088">
        <v>0</v>
      </c>
      <c r="G1088" s="10">
        <f t="shared" si="16"/>
        <v>0</v>
      </c>
      <c r="H1088" t="str">
        <f>$A1088&amp;Keys!$C$54&amp;$B1088&amp;Keys!$C$54&amp;$C1088</f>
        <v>MD|production|petroleum gasoline</v>
      </c>
    </row>
    <row r="1089" spans="1:8" x14ac:dyDescent="0.25">
      <c r="A1089" t="s">
        <v>112</v>
      </c>
      <c r="B1089" t="s">
        <v>188</v>
      </c>
      <c r="C1089" t="s">
        <v>88</v>
      </c>
      <c r="D1089">
        <v>0</v>
      </c>
      <c r="E1089">
        <v>0</v>
      </c>
      <c r="F1089">
        <v>0</v>
      </c>
      <c r="G1089" s="10">
        <f t="shared" si="16"/>
        <v>0</v>
      </c>
      <c r="H1089" t="str">
        <f>$A1089&amp;Keys!$C$54&amp;$B1089&amp;Keys!$C$54&amp;$C1089</f>
        <v>MD|production|petroleum diesel</v>
      </c>
    </row>
    <row r="1090" spans="1:8" x14ac:dyDescent="0.25">
      <c r="A1090" t="s">
        <v>112</v>
      </c>
      <c r="B1090" t="s">
        <v>188</v>
      </c>
      <c r="C1090" t="s">
        <v>91</v>
      </c>
      <c r="D1090">
        <v>0</v>
      </c>
      <c r="E1090">
        <v>0</v>
      </c>
      <c r="F1090">
        <v>0</v>
      </c>
      <c r="G1090" s="10">
        <f t="shared" si="16"/>
        <v>0</v>
      </c>
      <c r="H1090" t="str">
        <f>$A1090&amp;Keys!$C$54&amp;$B1090&amp;Keys!$C$54&amp;$C1090</f>
        <v>MD|production|biofuel gasoline</v>
      </c>
    </row>
    <row r="1091" spans="1:8" x14ac:dyDescent="0.25">
      <c r="A1091" t="s">
        <v>112</v>
      </c>
      <c r="B1091" t="s">
        <v>188</v>
      </c>
      <c r="C1091" t="s">
        <v>94</v>
      </c>
      <c r="D1091">
        <v>0</v>
      </c>
      <c r="E1091">
        <v>0</v>
      </c>
      <c r="F1091">
        <v>0</v>
      </c>
      <c r="G1091" s="10">
        <f t="shared" si="16"/>
        <v>0</v>
      </c>
      <c r="H1091" t="str">
        <f>$A1091&amp;Keys!$C$54&amp;$B1091&amp;Keys!$C$54&amp;$C1091</f>
        <v>MD|production|biofuel diesel</v>
      </c>
    </row>
    <row r="1092" spans="1:8" x14ac:dyDescent="0.25">
      <c r="A1092" t="s">
        <v>112</v>
      </c>
      <c r="B1092" t="s">
        <v>188</v>
      </c>
      <c r="C1092" t="s">
        <v>97</v>
      </c>
      <c r="D1092">
        <v>0</v>
      </c>
      <c r="E1092">
        <v>0</v>
      </c>
      <c r="F1092">
        <v>0</v>
      </c>
      <c r="G1092" s="10">
        <f t="shared" si="16"/>
        <v>0</v>
      </c>
      <c r="H1092" t="str">
        <f>$A1092&amp;Keys!$C$54&amp;$B1092&amp;Keys!$C$54&amp;$C1092</f>
        <v>MD|production|jet fuel or kerosene</v>
      </c>
    </row>
    <row r="1093" spans="1:8" x14ac:dyDescent="0.25">
      <c r="A1093" t="s">
        <v>112</v>
      </c>
      <c r="B1093" t="s">
        <v>188</v>
      </c>
      <c r="C1093" t="s">
        <v>100</v>
      </c>
      <c r="D1093">
        <v>0</v>
      </c>
      <c r="E1093">
        <v>0</v>
      </c>
      <c r="F1093">
        <v>0</v>
      </c>
      <c r="G1093" s="10">
        <f t="shared" si="16"/>
        <v>0</v>
      </c>
      <c r="H1093" t="str">
        <f>$A1093&amp;Keys!$C$54&amp;$B1093&amp;Keys!$C$54&amp;$C1093</f>
        <v>MD|production|heat (not used in this variable)</v>
      </c>
    </row>
    <row r="1094" spans="1:8" x14ac:dyDescent="0.25">
      <c r="A1094" t="s">
        <v>112</v>
      </c>
      <c r="B1094" t="s">
        <v>188</v>
      </c>
      <c r="C1094" t="s">
        <v>103</v>
      </c>
      <c r="D1094">
        <v>0</v>
      </c>
      <c r="E1094">
        <v>0</v>
      </c>
      <c r="F1094">
        <v>0</v>
      </c>
      <c r="G1094" s="10">
        <f t="shared" si="16"/>
        <v>0</v>
      </c>
      <c r="H1094" t="str">
        <f>$A1094&amp;Keys!$C$54&amp;$B1094&amp;Keys!$C$54&amp;$C1094</f>
        <v>MD|production|geothermal (is not a fuel)</v>
      </c>
    </row>
    <row r="1095" spans="1:8" x14ac:dyDescent="0.25">
      <c r="A1095" t="s">
        <v>112</v>
      </c>
      <c r="B1095" t="s">
        <v>188</v>
      </c>
      <c r="C1095" t="s">
        <v>106</v>
      </c>
      <c r="D1095">
        <v>0</v>
      </c>
      <c r="E1095">
        <v>0</v>
      </c>
      <c r="F1095">
        <v>0</v>
      </c>
      <c r="G1095" s="10">
        <f t="shared" si="16"/>
        <v>0</v>
      </c>
      <c r="H1095" t="str">
        <f>$A1095&amp;Keys!$C$54&amp;$B1095&amp;Keys!$C$54&amp;$C1095</f>
        <v>MD|production|lignite</v>
      </c>
    </row>
    <row r="1096" spans="1:8" x14ac:dyDescent="0.25">
      <c r="A1096" t="s">
        <v>112</v>
      </c>
      <c r="B1096" t="s">
        <v>188</v>
      </c>
      <c r="C1096" t="s">
        <v>109</v>
      </c>
      <c r="D1096">
        <v>0</v>
      </c>
      <c r="E1096">
        <v>0</v>
      </c>
      <c r="F1096">
        <v>0</v>
      </c>
      <c r="G1096" s="10">
        <f t="shared" si="16"/>
        <v>0</v>
      </c>
      <c r="H1096" t="str">
        <f>$A1096&amp;Keys!$C$54&amp;$B1096&amp;Keys!$C$54&amp;$C1096</f>
        <v>MD|production|crude oil</v>
      </c>
    </row>
    <row r="1097" spans="1:8" x14ac:dyDescent="0.25">
      <c r="A1097" t="s">
        <v>112</v>
      </c>
      <c r="B1097" t="s">
        <v>188</v>
      </c>
      <c r="C1097" t="s">
        <v>113</v>
      </c>
      <c r="D1097">
        <v>0</v>
      </c>
      <c r="E1097">
        <v>0</v>
      </c>
      <c r="F1097">
        <v>0</v>
      </c>
      <c r="G1097" s="10">
        <f t="shared" ref="G1097:G1160" si="17">AVERAGE($D1097:$F1097)</f>
        <v>0</v>
      </c>
      <c r="H1097" t="str">
        <f>$A1097&amp;Keys!$C$54&amp;$B1097&amp;Keys!$C$54&amp;$C1097</f>
        <v>MD|production|heavy fuel oil</v>
      </c>
    </row>
    <row r="1098" spans="1:8" x14ac:dyDescent="0.25">
      <c r="A1098" t="s">
        <v>112</v>
      </c>
      <c r="B1098" t="s">
        <v>188</v>
      </c>
      <c r="C1098" t="s">
        <v>117</v>
      </c>
      <c r="D1098">
        <v>633863000</v>
      </c>
      <c r="E1098">
        <v>633863000</v>
      </c>
      <c r="F1098">
        <v>647323000</v>
      </c>
      <c r="G1098" s="10">
        <f t="shared" si="17"/>
        <v>638349666.66666663</v>
      </c>
      <c r="H1098" t="str">
        <f>$A1098&amp;Keys!$C$54&amp;$B1098&amp;Keys!$C$54&amp;$C1098</f>
        <v>MD|production|LPG propane or butane</v>
      </c>
    </row>
    <row r="1099" spans="1:8" x14ac:dyDescent="0.25">
      <c r="A1099" t="s">
        <v>112</v>
      </c>
      <c r="B1099" t="s">
        <v>188</v>
      </c>
      <c r="C1099" t="s">
        <v>120</v>
      </c>
      <c r="D1099">
        <v>0</v>
      </c>
      <c r="E1099">
        <v>0</v>
      </c>
      <c r="F1099">
        <v>0</v>
      </c>
      <c r="G1099" s="10">
        <f t="shared" si="17"/>
        <v>0</v>
      </c>
      <c r="H1099" t="str">
        <f>$A1099&amp;Keys!$C$54&amp;$B1099&amp;Keys!$C$54&amp;$C1099</f>
        <v>MD|production|municipal solid waste</v>
      </c>
    </row>
    <row r="1100" spans="1:8" x14ac:dyDescent="0.25">
      <c r="A1100" t="s">
        <v>112</v>
      </c>
      <c r="B1100" t="s">
        <v>188</v>
      </c>
      <c r="C1100" t="s">
        <v>123</v>
      </c>
      <c r="D1100">
        <v>0</v>
      </c>
      <c r="E1100">
        <v>0</v>
      </c>
      <c r="F1100">
        <v>0</v>
      </c>
      <c r="G1100" s="10">
        <f t="shared" si="17"/>
        <v>0</v>
      </c>
      <c r="H1100" t="str">
        <f>$A1100&amp;Keys!$C$54&amp;$B1100&amp;Keys!$C$54&amp;$C1100</f>
        <v>MD|production|hydrogen</v>
      </c>
    </row>
    <row r="1101" spans="1:8" x14ac:dyDescent="0.25">
      <c r="A1101" t="s">
        <v>112</v>
      </c>
      <c r="B1101" t="s">
        <v>191</v>
      </c>
      <c r="C1101" t="s">
        <v>60</v>
      </c>
      <c r="D1101">
        <v>0</v>
      </c>
      <c r="E1101">
        <v>0</v>
      </c>
      <c r="F1101">
        <v>0</v>
      </c>
      <c r="G1101" s="10">
        <f t="shared" si="17"/>
        <v>0</v>
      </c>
      <c r="H1101" t="str">
        <f>$A1101&amp;Keys!$C$54&amp;$B1101&amp;Keys!$C$54&amp;$C1101</f>
        <v>MD|imports|electricity (not used in this variable)</v>
      </c>
    </row>
    <row r="1102" spans="1:8" x14ac:dyDescent="0.25">
      <c r="A1102" t="s">
        <v>112</v>
      </c>
      <c r="B1102" t="s">
        <v>191</v>
      </c>
      <c r="C1102" t="s">
        <v>64</v>
      </c>
      <c r="D1102">
        <v>18500100000000</v>
      </c>
      <c r="E1102">
        <v>11086000000000</v>
      </c>
      <c r="F1102">
        <v>19770200000000</v>
      </c>
      <c r="G1102" s="10">
        <f t="shared" si="17"/>
        <v>16452100000000</v>
      </c>
      <c r="H1102" t="str">
        <f>$A1102&amp;Keys!$C$54&amp;$B1102&amp;Keys!$C$54&amp;$C1102</f>
        <v>MD|imports|hard coal</v>
      </c>
    </row>
    <row r="1103" spans="1:8" x14ac:dyDescent="0.25">
      <c r="A1103" t="s">
        <v>112</v>
      </c>
      <c r="B1103" t="s">
        <v>191</v>
      </c>
      <c r="C1103" t="s">
        <v>68</v>
      </c>
      <c r="D1103">
        <v>1569160000000000</v>
      </c>
      <c r="E1103">
        <v>1575180000000000</v>
      </c>
      <c r="F1103">
        <v>1561270000000000</v>
      </c>
      <c r="G1103" s="10">
        <f t="shared" si="17"/>
        <v>1568536666666666.8</v>
      </c>
      <c r="H1103" t="str">
        <f>$A1103&amp;Keys!$C$54&amp;$B1103&amp;Keys!$C$54&amp;$C1103</f>
        <v>MD|imports|natural gas</v>
      </c>
    </row>
    <row r="1104" spans="1:8" x14ac:dyDescent="0.25">
      <c r="A1104" t="s">
        <v>112</v>
      </c>
      <c r="B1104" t="s">
        <v>191</v>
      </c>
      <c r="C1104" t="s">
        <v>71</v>
      </c>
      <c r="D1104">
        <v>153763000000000</v>
      </c>
      <c r="E1104">
        <v>154446000000000</v>
      </c>
      <c r="F1104">
        <v>154028000000000</v>
      </c>
      <c r="G1104" s="10">
        <f t="shared" si="17"/>
        <v>154079000000000</v>
      </c>
      <c r="H1104" t="str">
        <f>$A1104&amp;Keys!$C$54&amp;$B1104&amp;Keys!$C$54&amp;$C1104</f>
        <v>MD|imports|nuclear</v>
      </c>
    </row>
    <row r="1105" spans="1:8" x14ac:dyDescent="0.25">
      <c r="A1105" t="s">
        <v>112</v>
      </c>
      <c r="B1105" t="s">
        <v>191</v>
      </c>
      <c r="C1105" t="s">
        <v>74</v>
      </c>
      <c r="D1105">
        <v>0</v>
      </c>
      <c r="E1105">
        <v>0</v>
      </c>
      <c r="F1105">
        <v>0</v>
      </c>
      <c r="G1105" s="10">
        <f t="shared" si="17"/>
        <v>0</v>
      </c>
      <c r="H1105" t="str">
        <f>$A1105&amp;Keys!$C$54&amp;$B1105&amp;Keys!$C$54&amp;$C1105</f>
        <v>MD|imports|hydro (is not a fuel)</v>
      </c>
    </row>
    <row r="1106" spans="1:8" x14ac:dyDescent="0.25">
      <c r="A1106" t="s">
        <v>112</v>
      </c>
      <c r="B1106" t="s">
        <v>191</v>
      </c>
      <c r="C1106" t="s">
        <v>77</v>
      </c>
      <c r="D1106">
        <v>0</v>
      </c>
      <c r="E1106">
        <v>0</v>
      </c>
      <c r="F1106">
        <v>0</v>
      </c>
      <c r="G1106" s="10">
        <f t="shared" si="17"/>
        <v>0</v>
      </c>
      <c r="H1106" t="str">
        <f>$A1106&amp;Keys!$C$54&amp;$B1106&amp;Keys!$C$54&amp;$C1106</f>
        <v>MD|imports|wind (is not a fuel)</v>
      </c>
    </row>
    <row r="1107" spans="1:8" x14ac:dyDescent="0.25">
      <c r="A1107" t="s">
        <v>112</v>
      </c>
      <c r="B1107" t="s">
        <v>191</v>
      </c>
      <c r="C1107" t="s">
        <v>80</v>
      </c>
      <c r="D1107">
        <v>0</v>
      </c>
      <c r="E1107">
        <v>0</v>
      </c>
      <c r="F1107">
        <v>0</v>
      </c>
      <c r="G1107" s="10">
        <f t="shared" si="17"/>
        <v>0</v>
      </c>
      <c r="H1107" t="str">
        <f>$A1107&amp;Keys!$C$54&amp;$B1107&amp;Keys!$C$54&amp;$C1107</f>
        <v>MD|imports|solar (is not a fuel)</v>
      </c>
    </row>
    <row r="1108" spans="1:8" x14ac:dyDescent="0.25">
      <c r="A1108" t="s">
        <v>112</v>
      </c>
      <c r="B1108" t="s">
        <v>191</v>
      </c>
      <c r="C1108" t="s">
        <v>82</v>
      </c>
      <c r="D1108">
        <v>0</v>
      </c>
      <c r="E1108">
        <v>7952650000000</v>
      </c>
      <c r="F1108">
        <v>7553330000000</v>
      </c>
      <c r="G1108" s="10">
        <f t="shared" si="17"/>
        <v>5168660000000</v>
      </c>
      <c r="H1108" t="str">
        <f>$A1108&amp;Keys!$C$54&amp;$B1108&amp;Keys!$C$54&amp;$C1108</f>
        <v>MD|imports|biomass</v>
      </c>
    </row>
    <row r="1109" spans="1:8" x14ac:dyDescent="0.25">
      <c r="A1109" t="s">
        <v>112</v>
      </c>
      <c r="B1109" t="s">
        <v>191</v>
      </c>
      <c r="C1109" t="s">
        <v>85</v>
      </c>
      <c r="D1109">
        <v>0</v>
      </c>
      <c r="E1109">
        <v>237175000000000</v>
      </c>
      <c r="F1109">
        <v>234861000000000</v>
      </c>
      <c r="G1109" s="10">
        <f t="shared" si="17"/>
        <v>157345333333333.34</v>
      </c>
      <c r="H1109" t="str">
        <f>$A1109&amp;Keys!$C$54&amp;$B1109&amp;Keys!$C$54&amp;$C1109</f>
        <v>MD|imports|petroleum gasoline</v>
      </c>
    </row>
    <row r="1110" spans="1:8" x14ac:dyDescent="0.25">
      <c r="A1110" t="s">
        <v>112</v>
      </c>
      <c r="B1110" t="s">
        <v>191</v>
      </c>
      <c r="C1110" t="s">
        <v>88</v>
      </c>
      <c r="D1110">
        <v>0</v>
      </c>
      <c r="E1110">
        <v>108645000000000</v>
      </c>
      <c r="F1110">
        <v>108546000000000</v>
      </c>
      <c r="G1110" s="10">
        <f t="shared" si="17"/>
        <v>72397000000000</v>
      </c>
      <c r="H1110" t="str">
        <f>$A1110&amp;Keys!$C$54&amp;$B1110&amp;Keys!$C$54&amp;$C1110</f>
        <v>MD|imports|petroleum diesel</v>
      </c>
    </row>
    <row r="1111" spans="1:8" x14ac:dyDescent="0.25">
      <c r="A1111" t="s">
        <v>112</v>
      </c>
      <c r="B1111" t="s">
        <v>191</v>
      </c>
      <c r="C1111" t="s">
        <v>91</v>
      </c>
      <c r="D1111">
        <v>0</v>
      </c>
      <c r="E1111">
        <v>17271100000000</v>
      </c>
      <c r="F1111">
        <v>17105700000000</v>
      </c>
      <c r="G1111" s="10">
        <f t="shared" si="17"/>
        <v>11458933333333.334</v>
      </c>
      <c r="H1111" t="str">
        <f>$A1111&amp;Keys!$C$54&amp;$B1111&amp;Keys!$C$54&amp;$C1111</f>
        <v>MD|imports|biofuel gasoline</v>
      </c>
    </row>
    <row r="1112" spans="1:8" x14ac:dyDescent="0.25">
      <c r="A1112" t="s">
        <v>112</v>
      </c>
      <c r="B1112" t="s">
        <v>191</v>
      </c>
      <c r="C1112" t="s">
        <v>94</v>
      </c>
      <c r="D1112">
        <v>0</v>
      </c>
      <c r="E1112">
        <v>693724000000</v>
      </c>
      <c r="F1112">
        <v>702609000000</v>
      </c>
      <c r="G1112" s="10">
        <f t="shared" si="17"/>
        <v>465444333333.33331</v>
      </c>
      <c r="H1112" t="str">
        <f>$A1112&amp;Keys!$C$54&amp;$B1112&amp;Keys!$C$54&amp;$C1112</f>
        <v>MD|imports|biofuel diesel</v>
      </c>
    </row>
    <row r="1113" spans="1:8" x14ac:dyDescent="0.25">
      <c r="A1113" t="s">
        <v>112</v>
      </c>
      <c r="B1113" t="s">
        <v>191</v>
      </c>
      <c r="C1113" t="s">
        <v>97</v>
      </c>
      <c r="D1113">
        <v>0</v>
      </c>
      <c r="E1113">
        <v>36213500000000</v>
      </c>
      <c r="F1113">
        <v>36977800000000</v>
      </c>
      <c r="G1113" s="10">
        <f t="shared" si="17"/>
        <v>24397100000000</v>
      </c>
      <c r="H1113" t="str">
        <f>$A1113&amp;Keys!$C$54&amp;$B1113&amp;Keys!$C$54&amp;$C1113</f>
        <v>MD|imports|jet fuel or kerosene</v>
      </c>
    </row>
    <row r="1114" spans="1:8" x14ac:dyDescent="0.25">
      <c r="A1114" t="s">
        <v>112</v>
      </c>
      <c r="B1114" t="s">
        <v>191</v>
      </c>
      <c r="C1114" t="s">
        <v>100</v>
      </c>
      <c r="D1114">
        <v>0</v>
      </c>
      <c r="E1114">
        <v>0</v>
      </c>
      <c r="F1114">
        <v>0</v>
      </c>
      <c r="G1114" s="10">
        <f t="shared" si="17"/>
        <v>0</v>
      </c>
      <c r="H1114" t="str">
        <f>$A1114&amp;Keys!$C$54&amp;$B1114&amp;Keys!$C$54&amp;$C1114</f>
        <v>MD|imports|heat (not used in this variable)</v>
      </c>
    </row>
    <row r="1115" spans="1:8" x14ac:dyDescent="0.25">
      <c r="A1115" t="s">
        <v>112</v>
      </c>
      <c r="B1115" t="s">
        <v>191</v>
      </c>
      <c r="C1115" t="s">
        <v>103</v>
      </c>
      <c r="D1115">
        <v>0</v>
      </c>
      <c r="E1115">
        <v>0</v>
      </c>
      <c r="F1115">
        <v>0</v>
      </c>
      <c r="G1115" s="10">
        <f t="shared" si="17"/>
        <v>0</v>
      </c>
      <c r="H1115" t="str">
        <f>$A1115&amp;Keys!$C$54&amp;$B1115&amp;Keys!$C$54&amp;$C1115</f>
        <v>MD|imports|geothermal (is not a fuel)</v>
      </c>
    </row>
    <row r="1116" spans="1:8" x14ac:dyDescent="0.25">
      <c r="A1116" t="s">
        <v>112</v>
      </c>
      <c r="B1116" t="s">
        <v>191</v>
      </c>
      <c r="C1116" t="s">
        <v>106</v>
      </c>
      <c r="D1116">
        <v>0</v>
      </c>
      <c r="E1116">
        <v>0</v>
      </c>
      <c r="F1116">
        <v>0</v>
      </c>
      <c r="G1116" s="10">
        <f t="shared" si="17"/>
        <v>0</v>
      </c>
      <c r="H1116" t="str">
        <f>$A1116&amp;Keys!$C$54&amp;$B1116&amp;Keys!$C$54&amp;$C1116</f>
        <v>MD|imports|lignite</v>
      </c>
    </row>
    <row r="1117" spans="1:8" x14ac:dyDescent="0.25">
      <c r="A1117" t="s">
        <v>112</v>
      </c>
      <c r="B1117" t="s">
        <v>191</v>
      </c>
      <c r="C1117" t="s">
        <v>109</v>
      </c>
      <c r="D1117">
        <v>0</v>
      </c>
      <c r="E1117">
        <v>868000000000</v>
      </c>
      <c r="F1117">
        <v>868000000000</v>
      </c>
      <c r="G1117" s="10">
        <f t="shared" si="17"/>
        <v>578666666666.66663</v>
      </c>
      <c r="H1117" t="str">
        <f>$A1117&amp;Keys!$C$54&amp;$B1117&amp;Keys!$C$54&amp;$C1117</f>
        <v>MD|imports|crude oil</v>
      </c>
    </row>
    <row r="1118" spans="1:8" x14ac:dyDescent="0.25">
      <c r="A1118" t="s">
        <v>112</v>
      </c>
      <c r="B1118" t="s">
        <v>191</v>
      </c>
      <c r="C1118" t="s">
        <v>113</v>
      </c>
      <c r="D1118">
        <v>0</v>
      </c>
      <c r="E1118">
        <v>12226100000000</v>
      </c>
      <c r="F1118">
        <v>12444500000000</v>
      </c>
      <c r="G1118" s="10">
        <f t="shared" si="17"/>
        <v>8223533333333.333</v>
      </c>
      <c r="H1118" t="str">
        <f>$A1118&amp;Keys!$C$54&amp;$B1118&amp;Keys!$C$54&amp;$C1118</f>
        <v>MD|imports|heavy fuel oil</v>
      </c>
    </row>
    <row r="1119" spans="1:8" x14ac:dyDescent="0.25">
      <c r="A1119" t="s">
        <v>112</v>
      </c>
      <c r="B1119" t="s">
        <v>191</v>
      </c>
      <c r="C1119" t="s">
        <v>117</v>
      </c>
      <c r="D1119">
        <v>0</v>
      </c>
      <c r="E1119">
        <v>12475300000000</v>
      </c>
      <c r="F1119">
        <v>12386800000000</v>
      </c>
      <c r="G1119" s="10">
        <f t="shared" si="17"/>
        <v>8287366666666.667</v>
      </c>
      <c r="H1119" t="str">
        <f>$A1119&amp;Keys!$C$54&amp;$B1119&amp;Keys!$C$54&amp;$C1119</f>
        <v>MD|imports|LPG propane or butane</v>
      </c>
    </row>
    <row r="1120" spans="1:8" x14ac:dyDescent="0.25">
      <c r="A1120" t="s">
        <v>112</v>
      </c>
      <c r="B1120" t="s">
        <v>191</v>
      </c>
      <c r="C1120" t="s">
        <v>120</v>
      </c>
      <c r="D1120">
        <v>0</v>
      </c>
      <c r="E1120">
        <v>8106600000000</v>
      </c>
      <c r="F1120">
        <v>8583460000000</v>
      </c>
      <c r="G1120" s="10">
        <f t="shared" si="17"/>
        <v>5563353333333.333</v>
      </c>
      <c r="H1120" t="str">
        <f>$A1120&amp;Keys!$C$54&amp;$B1120&amp;Keys!$C$54&amp;$C1120</f>
        <v>MD|imports|municipal solid waste</v>
      </c>
    </row>
    <row r="1121" spans="1:8" x14ac:dyDescent="0.25">
      <c r="A1121" t="s">
        <v>112</v>
      </c>
      <c r="B1121" t="s">
        <v>191</v>
      </c>
      <c r="C1121" t="s">
        <v>123</v>
      </c>
      <c r="D1121">
        <v>0</v>
      </c>
      <c r="E1121">
        <v>911603000</v>
      </c>
      <c r="F1121">
        <v>1212580000</v>
      </c>
      <c r="G1121" s="10">
        <f t="shared" si="17"/>
        <v>708061000</v>
      </c>
      <c r="H1121" t="str">
        <f>$A1121&amp;Keys!$C$54&amp;$B1121&amp;Keys!$C$54&amp;$C1121</f>
        <v>MD|imports|hydrogen</v>
      </c>
    </row>
    <row r="1122" spans="1:8" x14ac:dyDescent="0.25">
      <c r="A1122" t="s">
        <v>112</v>
      </c>
      <c r="B1122" t="s">
        <v>193</v>
      </c>
      <c r="C1122" t="s">
        <v>60</v>
      </c>
      <c r="D1122">
        <v>0</v>
      </c>
      <c r="E1122">
        <v>0</v>
      </c>
      <c r="F1122">
        <v>0</v>
      </c>
      <c r="G1122" s="10">
        <f t="shared" si="17"/>
        <v>0</v>
      </c>
      <c r="H1122" t="str">
        <f>$A1122&amp;Keys!$C$54&amp;$B1122&amp;Keys!$C$54&amp;$C1122</f>
        <v>MD|exports|electricity (not used in this variable)</v>
      </c>
    </row>
    <row r="1123" spans="1:8" x14ac:dyDescent="0.25">
      <c r="A1123" t="s">
        <v>112</v>
      </c>
      <c r="B1123" t="s">
        <v>193</v>
      </c>
      <c r="C1123" t="s">
        <v>64</v>
      </c>
      <c r="D1123">
        <v>7523380000000</v>
      </c>
      <c r="E1123">
        <v>7523380000000</v>
      </c>
      <c r="F1123">
        <v>7523560000000</v>
      </c>
      <c r="G1123" s="10">
        <f t="shared" si="17"/>
        <v>7523440000000</v>
      </c>
      <c r="H1123" t="str">
        <f>$A1123&amp;Keys!$C$54&amp;$B1123&amp;Keys!$C$54&amp;$C1123</f>
        <v>MD|exports|hard coal</v>
      </c>
    </row>
    <row r="1124" spans="1:8" x14ac:dyDescent="0.25">
      <c r="A1124" t="s">
        <v>112</v>
      </c>
      <c r="B1124" t="s">
        <v>193</v>
      </c>
      <c r="C1124" t="s">
        <v>68</v>
      </c>
      <c r="D1124">
        <v>1275920000000000</v>
      </c>
      <c r="E1124">
        <v>1275920000000000</v>
      </c>
      <c r="F1124">
        <v>1279880000000000</v>
      </c>
      <c r="G1124" s="10">
        <f t="shared" si="17"/>
        <v>1277240000000000</v>
      </c>
      <c r="H1124" t="str">
        <f>$A1124&amp;Keys!$C$54&amp;$B1124&amp;Keys!$C$54&amp;$C1124</f>
        <v>MD|exports|natural gas</v>
      </c>
    </row>
    <row r="1125" spans="1:8" x14ac:dyDescent="0.25">
      <c r="A1125" t="s">
        <v>112</v>
      </c>
      <c r="B1125" t="s">
        <v>193</v>
      </c>
      <c r="C1125" t="s">
        <v>71</v>
      </c>
      <c r="D1125">
        <v>0</v>
      </c>
      <c r="E1125">
        <v>0</v>
      </c>
      <c r="F1125">
        <v>0</v>
      </c>
      <c r="G1125" s="10">
        <f t="shared" si="17"/>
        <v>0</v>
      </c>
      <c r="H1125" t="str">
        <f>$A1125&amp;Keys!$C$54&amp;$B1125&amp;Keys!$C$54&amp;$C1125</f>
        <v>MD|exports|nuclear</v>
      </c>
    </row>
    <row r="1126" spans="1:8" x14ac:dyDescent="0.25">
      <c r="A1126" t="s">
        <v>112</v>
      </c>
      <c r="B1126" t="s">
        <v>193</v>
      </c>
      <c r="C1126" t="s">
        <v>74</v>
      </c>
      <c r="D1126">
        <v>0</v>
      </c>
      <c r="E1126">
        <v>0</v>
      </c>
      <c r="F1126">
        <v>0</v>
      </c>
      <c r="G1126" s="10">
        <f t="shared" si="17"/>
        <v>0</v>
      </c>
      <c r="H1126" t="str">
        <f>$A1126&amp;Keys!$C$54&amp;$B1126&amp;Keys!$C$54&amp;$C1126</f>
        <v>MD|exports|hydro (is not a fuel)</v>
      </c>
    </row>
    <row r="1127" spans="1:8" x14ac:dyDescent="0.25">
      <c r="A1127" t="s">
        <v>112</v>
      </c>
      <c r="B1127" t="s">
        <v>193</v>
      </c>
      <c r="C1127" t="s">
        <v>77</v>
      </c>
      <c r="D1127">
        <v>0</v>
      </c>
      <c r="E1127">
        <v>0</v>
      </c>
      <c r="F1127">
        <v>0</v>
      </c>
      <c r="G1127" s="10">
        <f t="shared" si="17"/>
        <v>0</v>
      </c>
      <c r="H1127" t="str">
        <f>$A1127&amp;Keys!$C$54&amp;$B1127&amp;Keys!$C$54&amp;$C1127</f>
        <v>MD|exports|wind (is not a fuel)</v>
      </c>
    </row>
    <row r="1128" spans="1:8" x14ac:dyDescent="0.25">
      <c r="A1128" t="s">
        <v>112</v>
      </c>
      <c r="B1128" t="s">
        <v>193</v>
      </c>
      <c r="C1128" t="s">
        <v>80</v>
      </c>
      <c r="D1128">
        <v>0</v>
      </c>
      <c r="E1128">
        <v>0</v>
      </c>
      <c r="F1128">
        <v>0</v>
      </c>
      <c r="G1128" s="10">
        <f t="shared" si="17"/>
        <v>0</v>
      </c>
      <c r="H1128" t="str">
        <f>$A1128&amp;Keys!$C$54&amp;$B1128&amp;Keys!$C$54&amp;$C1128</f>
        <v>MD|exports|solar (is not a fuel)</v>
      </c>
    </row>
    <row r="1129" spans="1:8" x14ac:dyDescent="0.25">
      <c r="A1129" t="s">
        <v>112</v>
      </c>
      <c r="B1129" t="s">
        <v>193</v>
      </c>
      <c r="C1129" t="s">
        <v>82</v>
      </c>
      <c r="D1129">
        <v>0</v>
      </c>
      <c r="E1129">
        <v>0</v>
      </c>
      <c r="F1129">
        <v>0</v>
      </c>
      <c r="G1129" s="10">
        <f t="shared" si="17"/>
        <v>0</v>
      </c>
      <c r="H1129" t="str">
        <f>$A1129&amp;Keys!$C$54&amp;$B1129&amp;Keys!$C$54&amp;$C1129</f>
        <v>MD|exports|biomass</v>
      </c>
    </row>
    <row r="1130" spans="1:8" x14ac:dyDescent="0.25">
      <c r="A1130" t="s">
        <v>112</v>
      </c>
      <c r="B1130" t="s">
        <v>193</v>
      </c>
      <c r="C1130" t="s">
        <v>85</v>
      </c>
      <c r="D1130">
        <v>0</v>
      </c>
      <c r="E1130">
        <v>0</v>
      </c>
      <c r="F1130">
        <v>0</v>
      </c>
      <c r="G1130" s="10">
        <f t="shared" si="17"/>
        <v>0</v>
      </c>
      <c r="H1130" t="str">
        <f>$A1130&amp;Keys!$C$54&amp;$B1130&amp;Keys!$C$54&amp;$C1130</f>
        <v>MD|exports|petroleum gasoline</v>
      </c>
    </row>
    <row r="1131" spans="1:8" x14ac:dyDescent="0.25">
      <c r="A1131" t="s">
        <v>112</v>
      </c>
      <c r="B1131" t="s">
        <v>193</v>
      </c>
      <c r="C1131" t="s">
        <v>88</v>
      </c>
      <c r="D1131">
        <v>0</v>
      </c>
      <c r="E1131">
        <v>0</v>
      </c>
      <c r="F1131">
        <v>0</v>
      </c>
      <c r="G1131" s="10">
        <f t="shared" si="17"/>
        <v>0</v>
      </c>
      <c r="H1131" t="str">
        <f>$A1131&amp;Keys!$C$54&amp;$B1131&amp;Keys!$C$54&amp;$C1131</f>
        <v>MD|exports|petroleum diesel</v>
      </c>
    </row>
    <row r="1132" spans="1:8" x14ac:dyDescent="0.25">
      <c r="A1132" t="s">
        <v>112</v>
      </c>
      <c r="B1132" t="s">
        <v>193</v>
      </c>
      <c r="C1132" t="s">
        <v>91</v>
      </c>
      <c r="D1132">
        <v>0</v>
      </c>
      <c r="E1132">
        <v>0</v>
      </c>
      <c r="F1132">
        <v>0</v>
      </c>
      <c r="G1132" s="10">
        <f t="shared" si="17"/>
        <v>0</v>
      </c>
      <c r="H1132" t="str">
        <f>$A1132&amp;Keys!$C$54&amp;$B1132&amp;Keys!$C$54&amp;$C1132</f>
        <v>MD|exports|biofuel gasoline</v>
      </c>
    </row>
    <row r="1133" spans="1:8" x14ac:dyDescent="0.25">
      <c r="A1133" t="s">
        <v>112</v>
      </c>
      <c r="B1133" t="s">
        <v>193</v>
      </c>
      <c r="C1133" t="s">
        <v>94</v>
      </c>
      <c r="D1133">
        <v>0</v>
      </c>
      <c r="E1133">
        <v>0</v>
      </c>
      <c r="F1133">
        <v>0</v>
      </c>
      <c r="G1133" s="10">
        <f t="shared" si="17"/>
        <v>0</v>
      </c>
      <c r="H1133" t="str">
        <f>$A1133&amp;Keys!$C$54&amp;$B1133&amp;Keys!$C$54&amp;$C1133</f>
        <v>MD|exports|biofuel diesel</v>
      </c>
    </row>
    <row r="1134" spans="1:8" x14ac:dyDescent="0.25">
      <c r="A1134" t="s">
        <v>112</v>
      </c>
      <c r="B1134" t="s">
        <v>193</v>
      </c>
      <c r="C1134" t="s">
        <v>97</v>
      </c>
      <c r="D1134">
        <v>0</v>
      </c>
      <c r="E1134">
        <v>0</v>
      </c>
      <c r="F1134">
        <v>0</v>
      </c>
      <c r="G1134" s="10">
        <f t="shared" si="17"/>
        <v>0</v>
      </c>
      <c r="H1134" t="str">
        <f>$A1134&amp;Keys!$C$54&amp;$B1134&amp;Keys!$C$54&amp;$C1134</f>
        <v>MD|exports|jet fuel or kerosene</v>
      </c>
    </row>
    <row r="1135" spans="1:8" x14ac:dyDescent="0.25">
      <c r="A1135" t="s">
        <v>112</v>
      </c>
      <c r="B1135" t="s">
        <v>193</v>
      </c>
      <c r="C1135" t="s">
        <v>100</v>
      </c>
      <c r="D1135">
        <v>0</v>
      </c>
      <c r="E1135">
        <v>0</v>
      </c>
      <c r="F1135">
        <v>0</v>
      </c>
      <c r="G1135" s="10">
        <f t="shared" si="17"/>
        <v>0</v>
      </c>
      <c r="H1135" t="str">
        <f>$A1135&amp;Keys!$C$54&amp;$B1135&amp;Keys!$C$54&amp;$C1135</f>
        <v>MD|exports|heat (not used in this variable)</v>
      </c>
    </row>
    <row r="1136" spans="1:8" x14ac:dyDescent="0.25">
      <c r="A1136" t="s">
        <v>112</v>
      </c>
      <c r="B1136" t="s">
        <v>193</v>
      </c>
      <c r="C1136" t="s">
        <v>103</v>
      </c>
      <c r="D1136">
        <v>0</v>
      </c>
      <c r="E1136">
        <v>0</v>
      </c>
      <c r="F1136">
        <v>0</v>
      </c>
      <c r="G1136" s="10">
        <f t="shared" si="17"/>
        <v>0</v>
      </c>
      <c r="H1136" t="str">
        <f>$A1136&amp;Keys!$C$54&amp;$B1136&amp;Keys!$C$54&amp;$C1136</f>
        <v>MD|exports|geothermal (is not a fuel)</v>
      </c>
    </row>
    <row r="1137" spans="1:8" x14ac:dyDescent="0.25">
      <c r="A1137" t="s">
        <v>112</v>
      </c>
      <c r="B1137" t="s">
        <v>193</v>
      </c>
      <c r="C1137" t="s">
        <v>106</v>
      </c>
      <c r="D1137">
        <v>0</v>
      </c>
      <c r="E1137">
        <v>0</v>
      </c>
      <c r="F1137">
        <v>0</v>
      </c>
      <c r="G1137" s="10">
        <f t="shared" si="17"/>
        <v>0</v>
      </c>
      <c r="H1137" t="str">
        <f>$A1137&amp;Keys!$C$54&amp;$B1137&amp;Keys!$C$54&amp;$C1137</f>
        <v>MD|exports|lignite</v>
      </c>
    </row>
    <row r="1138" spans="1:8" x14ac:dyDescent="0.25">
      <c r="A1138" t="s">
        <v>112</v>
      </c>
      <c r="B1138" t="s">
        <v>193</v>
      </c>
      <c r="C1138" t="s">
        <v>109</v>
      </c>
      <c r="D1138">
        <v>0</v>
      </c>
      <c r="E1138">
        <v>0</v>
      </c>
      <c r="F1138">
        <v>0</v>
      </c>
      <c r="G1138" s="10">
        <f t="shared" si="17"/>
        <v>0</v>
      </c>
      <c r="H1138" t="str">
        <f>$A1138&amp;Keys!$C$54&amp;$B1138&amp;Keys!$C$54&amp;$C1138</f>
        <v>MD|exports|crude oil</v>
      </c>
    </row>
    <row r="1139" spans="1:8" x14ac:dyDescent="0.25">
      <c r="A1139" t="s">
        <v>112</v>
      </c>
      <c r="B1139" t="s">
        <v>193</v>
      </c>
      <c r="C1139" t="s">
        <v>113</v>
      </c>
      <c r="D1139">
        <v>0</v>
      </c>
      <c r="E1139">
        <v>0</v>
      </c>
      <c r="F1139">
        <v>0</v>
      </c>
      <c r="G1139" s="10">
        <f t="shared" si="17"/>
        <v>0</v>
      </c>
      <c r="H1139" t="str">
        <f>$A1139&amp;Keys!$C$54&amp;$B1139&amp;Keys!$C$54&amp;$C1139</f>
        <v>MD|exports|heavy fuel oil</v>
      </c>
    </row>
    <row r="1140" spans="1:8" x14ac:dyDescent="0.25">
      <c r="A1140" t="s">
        <v>112</v>
      </c>
      <c r="B1140" t="s">
        <v>193</v>
      </c>
      <c r="C1140" t="s">
        <v>117</v>
      </c>
      <c r="D1140">
        <v>0</v>
      </c>
      <c r="E1140">
        <v>0</v>
      </c>
      <c r="F1140">
        <v>0</v>
      </c>
      <c r="G1140" s="10">
        <f t="shared" si="17"/>
        <v>0</v>
      </c>
      <c r="H1140" t="str">
        <f>$A1140&amp;Keys!$C$54&amp;$B1140&amp;Keys!$C$54&amp;$C1140</f>
        <v>MD|exports|LPG propane or butane</v>
      </c>
    </row>
    <row r="1141" spans="1:8" x14ac:dyDescent="0.25">
      <c r="A1141" t="s">
        <v>112</v>
      </c>
      <c r="B1141" t="s">
        <v>193</v>
      </c>
      <c r="C1141" t="s">
        <v>120</v>
      </c>
      <c r="D1141">
        <v>0</v>
      </c>
      <c r="E1141">
        <v>0</v>
      </c>
      <c r="F1141">
        <v>0</v>
      </c>
      <c r="G1141" s="10">
        <f t="shared" si="17"/>
        <v>0</v>
      </c>
      <c r="H1141" t="str">
        <f>$A1141&amp;Keys!$C$54&amp;$B1141&amp;Keys!$C$54&amp;$C1141</f>
        <v>MD|exports|municipal solid waste</v>
      </c>
    </row>
    <row r="1142" spans="1:8" x14ac:dyDescent="0.25">
      <c r="A1142" t="s">
        <v>112</v>
      </c>
      <c r="B1142" t="s">
        <v>193</v>
      </c>
      <c r="C1142" t="s">
        <v>123</v>
      </c>
      <c r="D1142">
        <v>0</v>
      </c>
      <c r="E1142">
        <v>0</v>
      </c>
      <c r="F1142">
        <v>0</v>
      </c>
      <c r="G1142" s="10">
        <f t="shared" si="17"/>
        <v>0</v>
      </c>
      <c r="H1142" t="str">
        <f>$A1142&amp;Keys!$C$54&amp;$B1142&amp;Keys!$C$54&amp;$C1142</f>
        <v>MD|exports|hydrogen</v>
      </c>
    </row>
    <row r="1143" spans="1:8" x14ac:dyDescent="0.25">
      <c r="A1143" t="s">
        <v>116</v>
      </c>
      <c r="B1143" t="s">
        <v>188</v>
      </c>
      <c r="C1143" t="s">
        <v>60</v>
      </c>
      <c r="D1143">
        <v>0</v>
      </c>
      <c r="E1143">
        <v>0</v>
      </c>
      <c r="F1143">
        <v>0</v>
      </c>
      <c r="G1143" s="10">
        <f t="shared" si="17"/>
        <v>0</v>
      </c>
      <c r="H1143" t="str">
        <f>$A1143&amp;Keys!$C$54&amp;$B1143&amp;Keys!$C$54&amp;$C1143</f>
        <v>ME|production|electricity (not used in this variable)</v>
      </c>
    </row>
    <row r="1144" spans="1:8" x14ac:dyDescent="0.25">
      <c r="A1144" t="s">
        <v>116</v>
      </c>
      <c r="B1144" t="s">
        <v>188</v>
      </c>
      <c r="C1144" t="s">
        <v>64</v>
      </c>
      <c r="D1144">
        <v>0</v>
      </c>
      <c r="E1144">
        <v>0</v>
      </c>
      <c r="F1144">
        <v>0</v>
      </c>
      <c r="G1144" s="10">
        <f t="shared" si="17"/>
        <v>0</v>
      </c>
      <c r="H1144" t="str">
        <f>$A1144&amp;Keys!$C$54&amp;$B1144&amp;Keys!$C$54&amp;$C1144</f>
        <v>ME|production|hard coal</v>
      </c>
    </row>
    <row r="1145" spans="1:8" x14ac:dyDescent="0.25">
      <c r="A1145" t="s">
        <v>116</v>
      </c>
      <c r="B1145" t="s">
        <v>188</v>
      </c>
      <c r="C1145" t="s">
        <v>68</v>
      </c>
      <c r="D1145">
        <v>0</v>
      </c>
      <c r="E1145">
        <v>0</v>
      </c>
      <c r="F1145">
        <v>0</v>
      </c>
      <c r="G1145" s="10">
        <f t="shared" si="17"/>
        <v>0</v>
      </c>
      <c r="H1145" t="str">
        <f>$A1145&amp;Keys!$C$54&amp;$B1145&amp;Keys!$C$54&amp;$C1145</f>
        <v>ME|production|natural gas</v>
      </c>
    </row>
    <row r="1146" spans="1:8" x14ac:dyDescent="0.25">
      <c r="A1146" t="s">
        <v>116</v>
      </c>
      <c r="B1146" t="s">
        <v>188</v>
      </c>
      <c r="C1146" t="s">
        <v>71</v>
      </c>
      <c r="D1146">
        <v>0</v>
      </c>
      <c r="E1146">
        <v>0</v>
      </c>
      <c r="F1146">
        <v>0</v>
      </c>
      <c r="G1146" s="10">
        <f t="shared" si="17"/>
        <v>0</v>
      </c>
      <c r="H1146" t="str">
        <f>$A1146&amp;Keys!$C$54&amp;$B1146&amp;Keys!$C$54&amp;$C1146</f>
        <v>ME|production|nuclear</v>
      </c>
    </row>
    <row r="1147" spans="1:8" x14ac:dyDescent="0.25">
      <c r="A1147" t="s">
        <v>116</v>
      </c>
      <c r="B1147" t="s">
        <v>188</v>
      </c>
      <c r="C1147" t="s">
        <v>74</v>
      </c>
      <c r="D1147">
        <v>0</v>
      </c>
      <c r="E1147">
        <v>0</v>
      </c>
      <c r="F1147">
        <v>0</v>
      </c>
      <c r="G1147" s="10">
        <f t="shared" si="17"/>
        <v>0</v>
      </c>
      <c r="H1147" t="str">
        <f>$A1147&amp;Keys!$C$54&amp;$B1147&amp;Keys!$C$54&amp;$C1147</f>
        <v>ME|production|hydro (is not a fuel)</v>
      </c>
    </row>
    <row r="1148" spans="1:8" x14ac:dyDescent="0.25">
      <c r="A1148" t="s">
        <v>116</v>
      </c>
      <c r="B1148" t="s">
        <v>188</v>
      </c>
      <c r="C1148" t="s">
        <v>77</v>
      </c>
      <c r="D1148">
        <v>0</v>
      </c>
      <c r="E1148">
        <v>0</v>
      </c>
      <c r="F1148">
        <v>0</v>
      </c>
      <c r="G1148" s="10">
        <f t="shared" si="17"/>
        <v>0</v>
      </c>
      <c r="H1148" t="str">
        <f>$A1148&amp;Keys!$C$54&amp;$B1148&amp;Keys!$C$54&amp;$C1148</f>
        <v>ME|production|wind (is not a fuel)</v>
      </c>
    </row>
    <row r="1149" spans="1:8" x14ac:dyDescent="0.25">
      <c r="A1149" t="s">
        <v>116</v>
      </c>
      <c r="B1149" t="s">
        <v>188</v>
      </c>
      <c r="C1149" t="s">
        <v>80</v>
      </c>
      <c r="D1149">
        <v>0</v>
      </c>
      <c r="E1149">
        <v>0</v>
      </c>
      <c r="F1149">
        <v>0</v>
      </c>
      <c r="G1149" s="10">
        <f t="shared" si="17"/>
        <v>0</v>
      </c>
      <c r="H1149" t="str">
        <f>$A1149&amp;Keys!$C$54&amp;$B1149&amp;Keys!$C$54&amp;$C1149</f>
        <v>ME|production|solar (is not a fuel)</v>
      </c>
    </row>
    <row r="1150" spans="1:8" x14ac:dyDescent="0.25">
      <c r="A1150" t="s">
        <v>116</v>
      </c>
      <c r="B1150" t="s">
        <v>188</v>
      </c>
      <c r="C1150" t="s">
        <v>82</v>
      </c>
      <c r="D1150">
        <v>3584000000000</v>
      </c>
      <c r="E1150">
        <v>3584000000000</v>
      </c>
      <c r="F1150">
        <v>3584000000000</v>
      </c>
      <c r="G1150" s="10">
        <f t="shared" si="17"/>
        <v>3584000000000</v>
      </c>
      <c r="H1150" t="str">
        <f>$A1150&amp;Keys!$C$54&amp;$B1150&amp;Keys!$C$54&amp;$C1150</f>
        <v>ME|production|biomass</v>
      </c>
    </row>
    <row r="1151" spans="1:8" x14ac:dyDescent="0.25">
      <c r="A1151" t="s">
        <v>116</v>
      </c>
      <c r="B1151" t="s">
        <v>188</v>
      </c>
      <c r="C1151" t="s">
        <v>85</v>
      </c>
      <c r="D1151">
        <v>0</v>
      </c>
      <c r="E1151">
        <v>0</v>
      </c>
      <c r="F1151">
        <v>0</v>
      </c>
      <c r="G1151" s="10">
        <f t="shared" si="17"/>
        <v>0</v>
      </c>
      <c r="H1151" t="str">
        <f>$A1151&amp;Keys!$C$54&amp;$B1151&amp;Keys!$C$54&amp;$C1151</f>
        <v>ME|production|petroleum gasoline</v>
      </c>
    </row>
    <row r="1152" spans="1:8" x14ac:dyDescent="0.25">
      <c r="A1152" t="s">
        <v>116</v>
      </c>
      <c r="B1152" t="s">
        <v>188</v>
      </c>
      <c r="C1152" t="s">
        <v>88</v>
      </c>
      <c r="D1152">
        <v>0</v>
      </c>
      <c r="E1152">
        <v>0</v>
      </c>
      <c r="F1152">
        <v>0</v>
      </c>
      <c r="G1152" s="10">
        <f t="shared" si="17"/>
        <v>0</v>
      </c>
      <c r="H1152" t="str">
        <f>$A1152&amp;Keys!$C$54&amp;$B1152&amp;Keys!$C$54&amp;$C1152</f>
        <v>ME|production|petroleum diesel</v>
      </c>
    </row>
    <row r="1153" spans="1:8" x14ac:dyDescent="0.25">
      <c r="A1153" t="s">
        <v>116</v>
      </c>
      <c r="B1153" t="s">
        <v>188</v>
      </c>
      <c r="C1153" t="s">
        <v>91</v>
      </c>
      <c r="D1153">
        <v>0</v>
      </c>
      <c r="E1153">
        <v>0</v>
      </c>
      <c r="F1153">
        <v>0</v>
      </c>
      <c r="G1153" s="10">
        <f t="shared" si="17"/>
        <v>0</v>
      </c>
      <c r="H1153" t="str">
        <f>$A1153&amp;Keys!$C$54&amp;$B1153&amp;Keys!$C$54&amp;$C1153</f>
        <v>ME|production|biofuel gasoline</v>
      </c>
    </row>
    <row r="1154" spans="1:8" x14ac:dyDescent="0.25">
      <c r="A1154" t="s">
        <v>116</v>
      </c>
      <c r="B1154" t="s">
        <v>188</v>
      </c>
      <c r="C1154" t="s">
        <v>94</v>
      </c>
      <c r="D1154">
        <v>183848000000</v>
      </c>
      <c r="E1154">
        <v>183848000000</v>
      </c>
      <c r="F1154">
        <v>218386000000</v>
      </c>
      <c r="G1154" s="10">
        <f t="shared" si="17"/>
        <v>195360666666.66666</v>
      </c>
      <c r="H1154" t="str">
        <f>$A1154&amp;Keys!$C$54&amp;$B1154&amp;Keys!$C$54&amp;$C1154</f>
        <v>ME|production|biofuel diesel</v>
      </c>
    </row>
    <row r="1155" spans="1:8" x14ac:dyDescent="0.25">
      <c r="A1155" t="s">
        <v>116</v>
      </c>
      <c r="B1155" t="s">
        <v>188</v>
      </c>
      <c r="C1155" t="s">
        <v>97</v>
      </c>
      <c r="D1155">
        <v>0</v>
      </c>
      <c r="E1155">
        <v>0</v>
      </c>
      <c r="F1155">
        <v>0</v>
      </c>
      <c r="G1155" s="10">
        <f t="shared" si="17"/>
        <v>0</v>
      </c>
      <c r="H1155" t="str">
        <f>$A1155&amp;Keys!$C$54&amp;$B1155&amp;Keys!$C$54&amp;$C1155</f>
        <v>ME|production|jet fuel or kerosene</v>
      </c>
    </row>
    <row r="1156" spans="1:8" x14ac:dyDescent="0.25">
      <c r="A1156" t="s">
        <v>116</v>
      </c>
      <c r="B1156" t="s">
        <v>188</v>
      </c>
      <c r="C1156" t="s">
        <v>100</v>
      </c>
      <c r="D1156">
        <v>0</v>
      </c>
      <c r="E1156">
        <v>0</v>
      </c>
      <c r="F1156">
        <v>0</v>
      </c>
      <c r="G1156" s="10">
        <f t="shared" si="17"/>
        <v>0</v>
      </c>
      <c r="H1156" t="str">
        <f>$A1156&amp;Keys!$C$54&amp;$B1156&amp;Keys!$C$54&amp;$C1156</f>
        <v>ME|production|heat (not used in this variable)</v>
      </c>
    </row>
    <row r="1157" spans="1:8" x14ac:dyDescent="0.25">
      <c r="A1157" t="s">
        <v>116</v>
      </c>
      <c r="B1157" t="s">
        <v>188</v>
      </c>
      <c r="C1157" t="s">
        <v>103</v>
      </c>
      <c r="D1157">
        <v>0</v>
      </c>
      <c r="E1157">
        <v>0</v>
      </c>
      <c r="F1157">
        <v>0</v>
      </c>
      <c r="G1157" s="10">
        <f t="shared" si="17"/>
        <v>0</v>
      </c>
      <c r="H1157" t="str">
        <f>$A1157&amp;Keys!$C$54&amp;$B1157&amp;Keys!$C$54&amp;$C1157</f>
        <v>ME|production|geothermal (is not a fuel)</v>
      </c>
    </row>
    <row r="1158" spans="1:8" x14ac:dyDescent="0.25">
      <c r="A1158" t="s">
        <v>116</v>
      </c>
      <c r="B1158" t="s">
        <v>188</v>
      </c>
      <c r="C1158" t="s">
        <v>106</v>
      </c>
      <c r="D1158">
        <v>0</v>
      </c>
      <c r="E1158">
        <v>0</v>
      </c>
      <c r="F1158">
        <v>0</v>
      </c>
      <c r="G1158" s="10">
        <f t="shared" si="17"/>
        <v>0</v>
      </c>
      <c r="H1158" t="str">
        <f>$A1158&amp;Keys!$C$54&amp;$B1158&amp;Keys!$C$54&amp;$C1158</f>
        <v>ME|production|lignite</v>
      </c>
    </row>
    <row r="1159" spans="1:8" x14ac:dyDescent="0.25">
      <c r="A1159" t="s">
        <v>116</v>
      </c>
      <c r="B1159" t="s">
        <v>188</v>
      </c>
      <c r="C1159" t="s">
        <v>109</v>
      </c>
      <c r="D1159">
        <v>0</v>
      </c>
      <c r="E1159">
        <v>0</v>
      </c>
      <c r="F1159">
        <v>0</v>
      </c>
      <c r="G1159" s="10">
        <f t="shared" si="17"/>
        <v>0</v>
      </c>
      <c r="H1159" t="str">
        <f>$A1159&amp;Keys!$C$54&amp;$B1159&amp;Keys!$C$54&amp;$C1159</f>
        <v>ME|production|crude oil</v>
      </c>
    </row>
    <row r="1160" spans="1:8" x14ac:dyDescent="0.25">
      <c r="A1160" t="s">
        <v>116</v>
      </c>
      <c r="B1160" t="s">
        <v>188</v>
      </c>
      <c r="C1160" t="s">
        <v>113</v>
      </c>
      <c r="D1160">
        <v>0</v>
      </c>
      <c r="E1160">
        <v>0</v>
      </c>
      <c r="F1160">
        <v>0</v>
      </c>
      <c r="G1160" s="10">
        <f t="shared" si="17"/>
        <v>0</v>
      </c>
      <c r="H1160" t="str">
        <f>$A1160&amp;Keys!$C$54&amp;$B1160&amp;Keys!$C$54&amp;$C1160</f>
        <v>ME|production|heavy fuel oil</v>
      </c>
    </row>
    <row r="1161" spans="1:8" x14ac:dyDescent="0.25">
      <c r="A1161" t="s">
        <v>116</v>
      </c>
      <c r="B1161" t="s">
        <v>188</v>
      </c>
      <c r="C1161" t="s">
        <v>117</v>
      </c>
      <c r="D1161">
        <v>0</v>
      </c>
      <c r="E1161">
        <v>0</v>
      </c>
      <c r="F1161">
        <v>0</v>
      </c>
      <c r="G1161" s="10">
        <f t="shared" ref="G1161:G1224" si="18">AVERAGE($D1161:$F1161)</f>
        <v>0</v>
      </c>
      <c r="H1161" t="str">
        <f>$A1161&amp;Keys!$C$54&amp;$B1161&amp;Keys!$C$54&amp;$C1161</f>
        <v>ME|production|LPG propane or butane</v>
      </c>
    </row>
    <row r="1162" spans="1:8" x14ac:dyDescent="0.25">
      <c r="A1162" t="s">
        <v>116</v>
      </c>
      <c r="B1162" t="s">
        <v>188</v>
      </c>
      <c r="C1162" t="s">
        <v>120</v>
      </c>
      <c r="D1162">
        <v>0</v>
      </c>
      <c r="E1162">
        <v>0</v>
      </c>
      <c r="F1162">
        <v>0</v>
      </c>
      <c r="G1162" s="10">
        <f t="shared" si="18"/>
        <v>0</v>
      </c>
      <c r="H1162" t="str">
        <f>$A1162&amp;Keys!$C$54&amp;$B1162&amp;Keys!$C$54&amp;$C1162</f>
        <v>ME|production|municipal solid waste</v>
      </c>
    </row>
    <row r="1163" spans="1:8" x14ac:dyDescent="0.25">
      <c r="A1163" t="s">
        <v>116</v>
      </c>
      <c r="B1163" t="s">
        <v>188</v>
      </c>
      <c r="C1163" t="s">
        <v>123</v>
      </c>
      <c r="D1163">
        <v>0</v>
      </c>
      <c r="E1163">
        <v>0</v>
      </c>
      <c r="F1163">
        <v>0</v>
      </c>
      <c r="G1163" s="10">
        <f t="shared" si="18"/>
        <v>0</v>
      </c>
      <c r="H1163" t="str">
        <f>$A1163&amp;Keys!$C$54&amp;$B1163&amp;Keys!$C$54&amp;$C1163</f>
        <v>ME|production|hydrogen</v>
      </c>
    </row>
    <row r="1164" spans="1:8" x14ac:dyDescent="0.25">
      <c r="A1164" t="s">
        <v>116</v>
      </c>
      <c r="B1164" t="s">
        <v>191</v>
      </c>
      <c r="C1164" t="s">
        <v>60</v>
      </c>
      <c r="D1164">
        <v>0</v>
      </c>
      <c r="E1164">
        <v>0</v>
      </c>
      <c r="F1164">
        <v>0</v>
      </c>
      <c r="G1164" s="10">
        <f t="shared" si="18"/>
        <v>0</v>
      </c>
      <c r="H1164" t="str">
        <f>$A1164&amp;Keys!$C$54&amp;$B1164&amp;Keys!$C$54&amp;$C1164</f>
        <v>ME|imports|electricity (not used in this variable)</v>
      </c>
    </row>
    <row r="1165" spans="1:8" x14ac:dyDescent="0.25">
      <c r="A1165" t="s">
        <v>116</v>
      </c>
      <c r="B1165" t="s">
        <v>191</v>
      </c>
      <c r="C1165" t="s">
        <v>64</v>
      </c>
      <c r="D1165">
        <v>0</v>
      </c>
      <c r="E1165">
        <v>0</v>
      </c>
      <c r="F1165">
        <v>0</v>
      </c>
      <c r="G1165" s="10">
        <f t="shared" si="18"/>
        <v>0</v>
      </c>
      <c r="H1165" t="str">
        <f>$A1165&amp;Keys!$C$54&amp;$B1165&amp;Keys!$C$54&amp;$C1165</f>
        <v>ME|imports|hard coal</v>
      </c>
    </row>
    <row r="1166" spans="1:8" x14ac:dyDescent="0.25">
      <c r="A1166" t="s">
        <v>116</v>
      </c>
      <c r="B1166" t="s">
        <v>191</v>
      </c>
      <c r="C1166" t="s">
        <v>68</v>
      </c>
      <c r="D1166">
        <v>189790000000000</v>
      </c>
      <c r="E1166">
        <v>246190000000000</v>
      </c>
      <c r="F1166">
        <v>244492000000000</v>
      </c>
      <c r="G1166" s="10">
        <f t="shared" si="18"/>
        <v>226824000000000</v>
      </c>
      <c r="H1166" t="str">
        <f>$A1166&amp;Keys!$C$54&amp;$B1166&amp;Keys!$C$54&amp;$C1166</f>
        <v>ME|imports|natural gas</v>
      </c>
    </row>
    <row r="1167" spans="1:8" x14ac:dyDescent="0.25">
      <c r="A1167" t="s">
        <v>116</v>
      </c>
      <c r="B1167" t="s">
        <v>191</v>
      </c>
      <c r="C1167" t="s">
        <v>71</v>
      </c>
      <c r="D1167">
        <v>0</v>
      </c>
      <c r="E1167">
        <v>0</v>
      </c>
      <c r="F1167">
        <v>0</v>
      </c>
      <c r="G1167" s="10">
        <f t="shared" si="18"/>
        <v>0</v>
      </c>
      <c r="H1167" t="str">
        <f>$A1167&amp;Keys!$C$54&amp;$B1167&amp;Keys!$C$54&amp;$C1167</f>
        <v>ME|imports|nuclear</v>
      </c>
    </row>
    <row r="1168" spans="1:8" x14ac:dyDescent="0.25">
      <c r="A1168" t="s">
        <v>116</v>
      </c>
      <c r="B1168" t="s">
        <v>191</v>
      </c>
      <c r="C1168" t="s">
        <v>74</v>
      </c>
      <c r="D1168">
        <v>0</v>
      </c>
      <c r="E1168">
        <v>0</v>
      </c>
      <c r="F1168">
        <v>0</v>
      </c>
      <c r="G1168" s="10">
        <f t="shared" si="18"/>
        <v>0</v>
      </c>
      <c r="H1168" t="str">
        <f>$A1168&amp;Keys!$C$54&amp;$B1168&amp;Keys!$C$54&amp;$C1168</f>
        <v>ME|imports|hydro (is not a fuel)</v>
      </c>
    </row>
    <row r="1169" spans="1:8" x14ac:dyDescent="0.25">
      <c r="A1169" t="s">
        <v>116</v>
      </c>
      <c r="B1169" t="s">
        <v>191</v>
      </c>
      <c r="C1169" t="s">
        <v>77</v>
      </c>
      <c r="D1169">
        <v>0</v>
      </c>
      <c r="E1169">
        <v>0</v>
      </c>
      <c r="F1169">
        <v>0</v>
      </c>
      <c r="G1169" s="10">
        <f t="shared" si="18"/>
        <v>0</v>
      </c>
      <c r="H1169" t="str">
        <f>$A1169&amp;Keys!$C$54&amp;$B1169&amp;Keys!$C$54&amp;$C1169</f>
        <v>ME|imports|wind (is not a fuel)</v>
      </c>
    </row>
    <row r="1170" spans="1:8" x14ac:dyDescent="0.25">
      <c r="A1170" t="s">
        <v>116</v>
      </c>
      <c r="B1170" t="s">
        <v>191</v>
      </c>
      <c r="C1170" t="s">
        <v>80</v>
      </c>
      <c r="D1170">
        <v>0</v>
      </c>
      <c r="E1170">
        <v>0</v>
      </c>
      <c r="F1170">
        <v>0</v>
      </c>
      <c r="G1170" s="10">
        <f t="shared" si="18"/>
        <v>0</v>
      </c>
      <c r="H1170" t="str">
        <f>$A1170&amp;Keys!$C$54&amp;$B1170&amp;Keys!$C$54&amp;$C1170</f>
        <v>ME|imports|solar (is not a fuel)</v>
      </c>
    </row>
    <row r="1171" spans="1:8" x14ac:dyDescent="0.25">
      <c r="A1171" t="s">
        <v>116</v>
      </c>
      <c r="B1171" t="s">
        <v>191</v>
      </c>
      <c r="C1171" t="s">
        <v>82</v>
      </c>
      <c r="D1171">
        <v>0</v>
      </c>
      <c r="E1171">
        <v>52437100000000</v>
      </c>
      <c r="F1171">
        <v>40272300000000</v>
      </c>
      <c r="G1171" s="10">
        <f t="shared" si="18"/>
        <v>30903133333333.332</v>
      </c>
      <c r="H1171" t="str">
        <f>$A1171&amp;Keys!$C$54&amp;$B1171&amp;Keys!$C$54&amp;$C1171</f>
        <v>ME|imports|biomass</v>
      </c>
    </row>
    <row r="1172" spans="1:8" x14ac:dyDescent="0.25">
      <c r="A1172" t="s">
        <v>116</v>
      </c>
      <c r="B1172" t="s">
        <v>191</v>
      </c>
      <c r="C1172" t="s">
        <v>85</v>
      </c>
      <c r="D1172">
        <v>0</v>
      </c>
      <c r="E1172">
        <v>67045700000000</v>
      </c>
      <c r="F1172">
        <v>65758500000000</v>
      </c>
      <c r="G1172" s="10">
        <f t="shared" si="18"/>
        <v>44268066666666.664</v>
      </c>
      <c r="H1172" t="str">
        <f>$A1172&amp;Keys!$C$54&amp;$B1172&amp;Keys!$C$54&amp;$C1172</f>
        <v>ME|imports|petroleum gasoline</v>
      </c>
    </row>
    <row r="1173" spans="1:8" x14ac:dyDescent="0.25">
      <c r="A1173" t="s">
        <v>116</v>
      </c>
      <c r="B1173" t="s">
        <v>191</v>
      </c>
      <c r="C1173" t="s">
        <v>88</v>
      </c>
      <c r="D1173">
        <v>0</v>
      </c>
      <c r="E1173">
        <v>68603000000000</v>
      </c>
      <c r="F1173">
        <v>67148400000000</v>
      </c>
      <c r="G1173" s="10">
        <f t="shared" si="18"/>
        <v>45250466666666.664</v>
      </c>
      <c r="H1173" t="str">
        <f>$A1173&amp;Keys!$C$54&amp;$B1173&amp;Keys!$C$54&amp;$C1173</f>
        <v>ME|imports|petroleum diesel</v>
      </c>
    </row>
    <row r="1174" spans="1:8" x14ac:dyDescent="0.25">
      <c r="A1174" t="s">
        <v>116</v>
      </c>
      <c r="B1174" t="s">
        <v>191</v>
      </c>
      <c r="C1174" t="s">
        <v>91</v>
      </c>
      <c r="D1174">
        <v>0</v>
      </c>
      <c r="E1174">
        <v>4583430000000</v>
      </c>
      <c r="F1174">
        <v>4497610000000</v>
      </c>
      <c r="G1174" s="10">
        <f t="shared" si="18"/>
        <v>3027013333333.3335</v>
      </c>
      <c r="H1174" t="str">
        <f>$A1174&amp;Keys!$C$54&amp;$B1174&amp;Keys!$C$54&amp;$C1174</f>
        <v>ME|imports|biofuel gasoline</v>
      </c>
    </row>
    <row r="1175" spans="1:8" x14ac:dyDescent="0.25">
      <c r="A1175" t="s">
        <v>116</v>
      </c>
      <c r="B1175" t="s">
        <v>191</v>
      </c>
      <c r="C1175" t="s">
        <v>94</v>
      </c>
      <c r="D1175">
        <v>0</v>
      </c>
      <c r="E1175">
        <v>249121000000</v>
      </c>
      <c r="F1175">
        <v>214727000000</v>
      </c>
      <c r="G1175" s="10">
        <f t="shared" si="18"/>
        <v>154616000000</v>
      </c>
      <c r="H1175" t="str">
        <f>$A1175&amp;Keys!$C$54&amp;$B1175&amp;Keys!$C$54&amp;$C1175</f>
        <v>ME|imports|biofuel diesel</v>
      </c>
    </row>
    <row r="1176" spans="1:8" x14ac:dyDescent="0.25">
      <c r="A1176" t="s">
        <v>116</v>
      </c>
      <c r="B1176" t="s">
        <v>191</v>
      </c>
      <c r="C1176" t="s">
        <v>97</v>
      </c>
      <c r="D1176">
        <v>0</v>
      </c>
      <c r="E1176">
        <v>4374470000000</v>
      </c>
      <c r="F1176">
        <v>4483430000000</v>
      </c>
      <c r="G1176" s="10">
        <f t="shared" si="18"/>
        <v>2952633333333.3335</v>
      </c>
      <c r="H1176" t="str">
        <f>$A1176&amp;Keys!$C$54&amp;$B1176&amp;Keys!$C$54&amp;$C1176</f>
        <v>ME|imports|jet fuel or kerosene</v>
      </c>
    </row>
    <row r="1177" spans="1:8" x14ac:dyDescent="0.25">
      <c r="A1177" t="s">
        <v>116</v>
      </c>
      <c r="B1177" t="s">
        <v>191</v>
      </c>
      <c r="C1177" t="s">
        <v>100</v>
      </c>
      <c r="D1177">
        <v>0</v>
      </c>
      <c r="E1177">
        <v>0</v>
      </c>
      <c r="F1177">
        <v>0</v>
      </c>
      <c r="G1177" s="10">
        <f t="shared" si="18"/>
        <v>0</v>
      </c>
      <c r="H1177" t="str">
        <f>$A1177&amp;Keys!$C$54&amp;$B1177&amp;Keys!$C$54&amp;$C1177</f>
        <v>ME|imports|heat (not used in this variable)</v>
      </c>
    </row>
    <row r="1178" spans="1:8" x14ac:dyDescent="0.25">
      <c r="A1178" t="s">
        <v>116</v>
      </c>
      <c r="B1178" t="s">
        <v>191</v>
      </c>
      <c r="C1178" t="s">
        <v>103</v>
      </c>
      <c r="D1178">
        <v>0</v>
      </c>
      <c r="E1178">
        <v>0</v>
      </c>
      <c r="F1178">
        <v>0</v>
      </c>
      <c r="G1178" s="10">
        <f t="shared" si="18"/>
        <v>0</v>
      </c>
      <c r="H1178" t="str">
        <f>$A1178&amp;Keys!$C$54&amp;$B1178&amp;Keys!$C$54&amp;$C1178</f>
        <v>ME|imports|geothermal (is not a fuel)</v>
      </c>
    </row>
    <row r="1179" spans="1:8" x14ac:dyDescent="0.25">
      <c r="A1179" t="s">
        <v>116</v>
      </c>
      <c r="B1179" t="s">
        <v>191</v>
      </c>
      <c r="C1179" t="s">
        <v>106</v>
      </c>
      <c r="D1179">
        <v>0</v>
      </c>
      <c r="E1179">
        <v>0</v>
      </c>
      <c r="F1179">
        <v>0</v>
      </c>
      <c r="G1179" s="10">
        <f t="shared" si="18"/>
        <v>0</v>
      </c>
      <c r="H1179" t="str">
        <f>$A1179&amp;Keys!$C$54&amp;$B1179&amp;Keys!$C$54&amp;$C1179</f>
        <v>ME|imports|lignite</v>
      </c>
    </row>
    <row r="1180" spans="1:8" x14ac:dyDescent="0.25">
      <c r="A1180" t="s">
        <v>116</v>
      </c>
      <c r="B1180" t="s">
        <v>191</v>
      </c>
      <c r="C1180" t="s">
        <v>109</v>
      </c>
      <c r="D1180">
        <v>0</v>
      </c>
      <c r="E1180">
        <v>161000000000</v>
      </c>
      <c r="F1180">
        <v>0</v>
      </c>
      <c r="G1180" s="10">
        <f t="shared" si="18"/>
        <v>53666666666.666664</v>
      </c>
      <c r="H1180" t="str">
        <f>$A1180&amp;Keys!$C$54&amp;$B1180&amp;Keys!$C$54&amp;$C1180</f>
        <v>ME|imports|crude oil</v>
      </c>
    </row>
    <row r="1181" spans="1:8" x14ac:dyDescent="0.25">
      <c r="A1181" t="s">
        <v>116</v>
      </c>
      <c r="B1181" t="s">
        <v>191</v>
      </c>
      <c r="C1181" t="s">
        <v>113</v>
      </c>
      <c r="D1181">
        <v>0</v>
      </c>
      <c r="E1181">
        <v>4600730000000</v>
      </c>
      <c r="F1181">
        <v>4584670000000</v>
      </c>
      <c r="G1181" s="10">
        <f t="shared" si="18"/>
        <v>3061800000000</v>
      </c>
      <c r="H1181" t="str">
        <f>$A1181&amp;Keys!$C$54&amp;$B1181&amp;Keys!$C$54&amp;$C1181</f>
        <v>ME|imports|heavy fuel oil</v>
      </c>
    </row>
    <row r="1182" spans="1:8" x14ac:dyDescent="0.25">
      <c r="A1182" t="s">
        <v>116</v>
      </c>
      <c r="B1182" t="s">
        <v>191</v>
      </c>
      <c r="C1182" t="s">
        <v>117</v>
      </c>
      <c r="D1182">
        <v>0</v>
      </c>
      <c r="E1182">
        <v>16776300000000</v>
      </c>
      <c r="F1182">
        <v>16575900000000</v>
      </c>
      <c r="G1182" s="10">
        <f t="shared" si="18"/>
        <v>11117400000000</v>
      </c>
      <c r="H1182" t="str">
        <f>$A1182&amp;Keys!$C$54&amp;$B1182&amp;Keys!$C$54&amp;$C1182</f>
        <v>ME|imports|LPG propane or butane</v>
      </c>
    </row>
    <row r="1183" spans="1:8" x14ac:dyDescent="0.25">
      <c r="A1183" t="s">
        <v>116</v>
      </c>
      <c r="B1183" t="s">
        <v>191</v>
      </c>
      <c r="C1183" t="s">
        <v>120</v>
      </c>
      <c r="D1183">
        <v>0</v>
      </c>
      <c r="E1183">
        <v>1213300000000</v>
      </c>
      <c r="F1183">
        <v>1039970000000</v>
      </c>
      <c r="G1183" s="10">
        <f t="shared" si="18"/>
        <v>751090000000</v>
      </c>
      <c r="H1183" t="str">
        <f>$A1183&amp;Keys!$C$54&amp;$B1183&amp;Keys!$C$54&amp;$C1183</f>
        <v>ME|imports|municipal solid waste</v>
      </c>
    </row>
    <row r="1184" spans="1:8" x14ac:dyDescent="0.25">
      <c r="A1184" t="s">
        <v>116</v>
      </c>
      <c r="B1184" t="s">
        <v>191</v>
      </c>
      <c r="C1184" t="s">
        <v>123</v>
      </c>
      <c r="D1184">
        <v>0</v>
      </c>
      <c r="E1184">
        <v>441447000</v>
      </c>
      <c r="F1184">
        <v>434146000</v>
      </c>
      <c r="G1184" s="10">
        <f t="shared" si="18"/>
        <v>291864333.33333331</v>
      </c>
      <c r="H1184" t="str">
        <f>$A1184&amp;Keys!$C$54&amp;$B1184&amp;Keys!$C$54&amp;$C1184</f>
        <v>ME|imports|hydrogen</v>
      </c>
    </row>
    <row r="1185" spans="1:8" x14ac:dyDescent="0.25">
      <c r="A1185" t="s">
        <v>116</v>
      </c>
      <c r="B1185" t="s">
        <v>193</v>
      </c>
      <c r="C1185" t="s">
        <v>60</v>
      </c>
      <c r="D1185">
        <v>0</v>
      </c>
      <c r="E1185">
        <v>0</v>
      </c>
      <c r="F1185">
        <v>0</v>
      </c>
      <c r="G1185" s="10">
        <f t="shared" si="18"/>
        <v>0</v>
      </c>
      <c r="H1185" t="str">
        <f>$A1185&amp;Keys!$C$54&amp;$B1185&amp;Keys!$C$54&amp;$C1185</f>
        <v>ME|exports|electricity (not used in this variable)</v>
      </c>
    </row>
    <row r="1186" spans="1:8" x14ac:dyDescent="0.25">
      <c r="A1186" t="s">
        <v>116</v>
      </c>
      <c r="B1186" t="s">
        <v>193</v>
      </c>
      <c r="C1186" t="s">
        <v>64</v>
      </c>
      <c r="D1186">
        <v>0</v>
      </c>
      <c r="E1186">
        <v>0</v>
      </c>
      <c r="F1186">
        <v>0</v>
      </c>
      <c r="G1186" s="10">
        <f t="shared" si="18"/>
        <v>0</v>
      </c>
      <c r="H1186" t="str">
        <f>$A1186&amp;Keys!$C$54&amp;$B1186&amp;Keys!$C$54&amp;$C1186</f>
        <v>ME|exports|hard coal</v>
      </c>
    </row>
    <row r="1187" spans="1:8" x14ac:dyDescent="0.25">
      <c r="A1187" t="s">
        <v>116</v>
      </c>
      <c r="B1187" t="s">
        <v>193</v>
      </c>
      <c r="C1187" t="s">
        <v>68</v>
      </c>
      <c r="D1187">
        <v>169282000000000</v>
      </c>
      <c r="E1187">
        <v>169282000000000</v>
      </c>
      <c r="F1187">
        <v>169808000000000</v>
      </c>
      <c r="G1187" s="10">
        <f t="shared" si="18"/>
        <v>169457333333333.34</v>
      </c>
      <c r="H1187" t="str">
        <f>$A1187&amp;Keys!$C$54&amp;$B1187&amp;Keys!$C$54&amp;$C1187</f>
        <v>ME|exports|natural gas</v>
      </c>
    </row>
    <row r="1188" spans="1:8" x14ac:dyDescent="0.25">
      <c r="A1188" t="s">
        <v>116</v>
      </c>
      <c r="B1188" t="s">
        <v>193</v>
      </c>
      <c r="C1188" t="s">
        <v>71</v>
      </c>
      <c r="D1188">
        <v>0</v>
      </c>
      <c r="E1188">
        <v>0</v>
      </c>
      <c r="F1188">
        <v>0</v>
      </c>
      <c r="G1188" s="10">
        <f t="shared" si="18"/>
        <v>0</v>
      </c>
      <c r="H1188" t="str">
        <f>$A1188&amp;Keys!$C$54&amp;$B1188&amp;Keys!$C$54&amp;$C1188</f>
        <v>ME|exports|nuclear</v>
      </c>
    </row>
    <row r="1189" spans="1:8" x14ac:dyDescent="0.25">
      <c r="A1189" t="s">
        <v>116</v>
      </c>
      <c r="B1189" t="s">
        <v>193</v>
      </c>
      <c r="C1189" t="s">
        <v>74</v>
      </c>
      <c r="D1189">
        <v>0</v>
      </c>
      <c r="E1189">
        <v>0</v>
      </c>
      <c r="F1189">
        <v>0</v>
      </c>
      <c r="G1189" s="10">
        <f t="shared" si="18"/>
        <v>0</v>
      </c>
      <c r="H1189" t="str">
        <f>$A1189&amp;Keys!$C$54&amp;$B1189&amp;Keys!$C$54&amp;$C1189</f>
        <v>ME|exports|hydro (is not a fuel)</v>
      </c>
    </row>
    <row r="1190" spans="1:8" x14ac:dyDescent="0.25">
      <c r="A1190" t="s">
        <v>116</v>
      </c>
      <c r="B1190" t="s">
        <v>193</v>
      </c>
      <c r="C1190" t="s">
        <v>77</v>
      </c>
      <c r="D1190">
        <v>0</v>
      </c>
      <c r="E1190">
        <v>0</v>
      </c>
      <c r="F1190">
        <v>0</v>
      </c>
      <c r="G1190" s="10">
        <f t="shared" si="18"/>
        <v>0</v>
      </c>
      <c r="H1190" t="str">
        <f>$A1190&amp;Keys!$C$54&amp;$B1190&amp;Keys!$C$54&amp;$C1190</f>
        <v>ME|exports|wind (is not a fuel)</v>
      </c>
    </row>
    <row r="1191" spans="1:8" x14ac:dyDescent="0.25">
      <c r="A1191" t="s">
        <v>116</v>
      </c>
      <c r="B1191" t="s">
        <v>193</v>
      </c>
      <c r="C1191" t="s">
        <v>80</v>
      </c>
      <c r="D1191">
        <v>0</v>
      </c>
      <c r="E1191">
        <v>0</v>
      </c>
      <c r="F1191">
        <v>0</v>
      </c>
      <c r="G1191" s="10">
        <f t="shared" si="18"/>
        <v>0</v>
      </c>
      <c r="H1191" t="str">
        <f>$A1191&amp;Keys!$C$54&amp;$B1191&amp;Keys!$C$54&amp;$C1191</f>
        <v>ME|exports|solar (is not a fuel)</v>
      </c>
    </row>
    <row r="1192" spans="1:8" x14ac:dyDescent="0.25">
      <c r="A1192" t="s">
        <v>116</v>
      </c>
      <c r="B1192" t="s">
        <v>193</v>
      </c>
      <c r="C1192" t="s">
        <v>82</v>
      </c>
      <c r="D1192">
        <v>0</v>
      </c>
      <c r="E1192">
        <v>0</v>
      </c>
      <c r="F1192">
        <v>0</v>
      </c>
      <c r="G1192" s="10">
        <f t="shared" si="18"/>
        <v>0</v>
      </c>
      <c r="H1192" t="str">
        <f>$A1192&amp;Keys!$C$54&amp;$B1192&amp;Keys!$C$54&amp;$C1192</f>
        <v>ME|exports|biomass</v>
      </c>
    </row>
    <row r="1193" spans="1:8" x14ac:dyDescent="0.25">
      <c r="A1193" t="s">
        <v>116</v>
      </c>
      <c r="B1193" t="s">
        <v>193</v>
      </c>
      <c r="C1193" t="s">
        <v>85</v>
      </c>
      <c r="D1193">
        <v>0</v>
      </c>
      <c r="E1193">
        <v>0</v>
      </c>
      <c r="F1193">
        <v>0</v>
      </c>
      <c r="G1193" s="10">
        <f t="shared" si="18"/>
        <v>0</v>
      </c>
      <c r="H1193" t="str">
        <f>$A1193&amp;Keys!$C$54&amp;$B1193&amp;Keys!$C$54&amp;$C1193</f>
        <v>ME|exports|petroleum gasoline</v>
      </c>
    </row>
    <row r="1194" spans="1:8" x14ac:dyDescent="0.25">
      <c r="A1194" t="s">
        <v>116</v>
      </c>
      <c r="B1194" t="s">
        <v>193</v>
      </c>
      <c r="C1194" t="s">
        <v>88</v>
      </c>
      <c r="D1194">
        <v>0</v>
      </c>
      <c r="E1194">
        <v>0</v>
      </c>
      <c r="F1194">
        <v>0</v>
      </c>
      <c r="G1194" s="10">
        <f t="shared" si="18"/>
        <v>0</v>
      </c>
      <c r="H1194" t="str">
        <f>$A1194&amp;Keys!$C$54&amp;$B1194&amp;Keys!$C$54&amp;$C1194</f>
        <v>ME|exports|petroleum diesel</v>
      </c>
    </row>
    <row r="1195" spans="1:8" x14ac:dyDescent="0.25">
      <c r="A1195" t="s">
        <v>116</v>
      </c>
      <c r="B1195" t="s">
        <v>193</v>
      </c>
      <c r="C1195" t="s">
        <v>91</v>
      </c>
      <c r="D1195">
        <v>0</v>
      </c>
      <c r="E1195">
        <v>0</v>
      </c>
      <c r="F1195">
        <v>0</v>
      </c>
      <c r="G1195" s="10">
        <f t="shared" si="18"/>
        <v>0</v>
      </c>
      <c r="H1195" t="str">
        <f>$A1195&amp;Keys!$C$54&amp;$B1195&amp;Keys!$C$54&amp;$C1195</f>
        <v>ME|exports|biofuel gasoline</v>
      </c>
    </row>
    <row r="1196" spans="1:8" x14ac:dyDescent="0.25">
      <c r="A1196" t="s">
        <v>116</v>
      </c>
      <c r="B1196" t="s">
        <v>193</v>
      </c>
      <c r="C1196" t="s">
        <v>94</v>
      </c>
      <c r="D1196">
        <v>0</v>
      </c>
      <c r="E1196">
        <v>0</v>
      </c>
      <c r="F1196">
        <v>0</v>
      </c>
      <c r="G1196" s="10">
        <f t="shared" si="18"/>
        <v>0</v>
      </c>
      <c r="H1196" t="str">
        <f>$A1196&amp;Keys!$C$54&amp;$B1196&amp;Keys!$C$54&amp;$C1196</f>
        <v>ME|exports|biofuel diesel</v>
      </c>
    </row>
    <row r="1197" spans="1:8" x14ac:dyDescent="0.25">
      <c r="A1197" t="s">
        <v>116</v>
      </c>
      <c r="B1197" t="s">
        <v>193</v>
      </c>
      <c r="C1197" t="s">
        <v>97</v>
      </c>
      <c r="D1197">
        <v>0</v>
      </c>
      <c r="E1197">
        <v>0</v>
      </c>
      <c r="F1197">
        <v>0</v>
      </c>
      <c r="G1197" s="10">
        <f t="shared" si="18"/>
        <v>0</v>
      </c>
      <c r="H1197" t="str">
        <f>$A1197&amp;Keys!$C$54&amp;$B1197&amp;Keys!$C$54&amp;$C1197</f>
        <v>ME|exports|jet fuel or kerosene</v>
      </c>
    </row>
    <row r="1198" spans="1:8" x14ac:dyDescent="0.25">
      <c r="A1198" t="s">
        <v>116</v>
      </c>
      <c r="B1198" t="s">
        <v>193</v>
      </c>
      <c r="C1198" t="s">
        <v>100</v>
      </c>
      <c r="D1198">
        <v>0</v>
      </c>
      <c r="E1198">
        <v>0</v>
      </c>
      <c r="F1198">
        <v>0</v>
      </c>
      <c r="G1198" s="10">
        <f t="shared" si="18"/>
        <v>0</v>
      </c>
      <c r="H1198" t="str">
        <f>$A1198&amp;Keys!$C$54&amp;$B1198&amp;Keys!$C$54&amp;$C1198</f>
        <v>ME|exports|heat (not used in this variable)</v>
      </c>
    </row>
    <row r="1199" spans="1:8" x14ac:dyDescent="0.25">
      <c r="A1199" t="s">
        <v>116</v>
      </c>
      <c r="B1199" t="s">
        <v>193</v>
      </c>
      <c r="C1199" t="s">
        <v>103</v>
      </c>
      <c r="D1199">
        <v>0</v>
      </c>
      <c r="E1199">
        <v>0</v>
      </c>
      <c r="F1199">
        <v>0</v>
      </c>
      <c r="G1199" s="10">
        <f t="shared" si="18"/>
        <v>0</v>
      </c>
      <c r="H1199" t="str">
        <f>$A1199&amp;Keys!$C$54&amp;$B1199&amp;Keys!$C$54&amp;$C1199</f>
        <v>ME|exports|geothermal (is not a fuel)</v>
      </c>
    </row>
    <row r="1200" spans="1:8" x14ac:dyDescent="0.25">
      <c r="A1200" t="s">
        <v>116</v>
      </c>
      <c r="B1200" t="s">
        <v>193</v>
      </c>
      <c r="C1200" t="s">
        <v>106</v>
      </c>
      <c r="D1200">
        <v>0</v>
      </c>
      <c r="E1200">
        <v>0</v>
      </c>
      <c r="F1200">
        <v>0</v>
      </c>
      <c r="G1200" s="10">
        <f t="shared" si="18"/>
        <v>0</v>
      </c>
      <c r="H1200" t="str">
        <f>$A1200&amp;Keys!$C$54&amp;$B1200&amp;Keys!$C$54&amp;$C1200</f>
        <v>ME|exports|lignite</v>
      </c>
    </row>
    <row r="1201" spans="1:8" x14ac:dyDescent="0.25">
      <c r="A1201" t="s">
        <v>116</v>
      </c>
      <c r="B1201" t="s">
        <v>193</v>
      </c>
      <c r="C1201" t="s">
        <v>109</v>
      </c>
      <c r="D1201">
        <v>0</v>
      </c>
      <c r="E1201">
        <v>0</v>
      </c>
      <c r="F1201">
        <v>0</v>
      </c>
      <c r="G1201" s="10">
        <f t="shared" si="18"/>
        <v>0</v>
      </c>
      <c r="H1201" t="str">
        <f>$A1201&amp;Keys!$C$54&amp;$B1201&amp;Keys!$C$54&amp;$C1201</f>
        <v>ME|exports|crude oil</v>
      </c>
    </row>
    <row r="1202" spans="1:8" x14ac:dyDescent="0.25">
      <c r="A1202" t="s">
        <v>116</v>
      </c>
      <c r="B1202" t="s">
        <v>193</v>
      </c>
      <c r="C1202" t="s">
        <v>113</v>
      </c>
      <c r="D1202">
        <v>0</v>
      </c>
      <c r="E1202">
        <v>0</v>
      </c>
      <c r="F1202">
        <v>0</v>
      </c>
      <c r="G1202" s="10">
        <f t="shared" si="18"/>
        <v>0</v>
      </c>
      <c r="H1202" t="str">
        <f>$A1202&amp;Keys!$C$54&amp;$B1202&amp;Keys!$C$54&amp;$C1202</f>
        <v>ME|exports|heavy fuel oil</v>
      </c>
    </row>
    <row r="1203" spans="1:8" x14ac:dyDescent="0.25">
      <c r="A1203" t="s">
        <v>116</v>
      </c>
      <c r="B1203" t="s">
        <v>193</v>
      </c>
      <c r="C1203" t="s">
        <v>117</v>
      </c>
      <c r="D1203">
        <v>0</v>
      </c>
      <c r="E1203">
        <v>0</v>
      </c>
      <c r="F1203">
        <v>0</v>
      </c>
      <c r="G1203" s="10">
        <f t="shared" si="18"/>
        <v>0</v>
      </c>
      <c r="H1203" t="str">
        <f>$A1203&amp;Keys!$C$54&amp;$B1203&amp;Keys!$C$54&amp;$C1203</f>
        <v>ME|exports|LPG propane or butane</v>
      </c>
    </row>
    <row r="1204" spans="1:8" x14ac:dyDescent="0.25">
      <c r="A1204" t="s">
        <v>116</v>
      </c>
      <c r="B1204" t="s">
        <v>193</v>
      </c>
      <c r="C1204" t="s">
        <v>120</v>
      </c>
      <c r="D1204">
        <v>0</v>
      </c>
      <c r="E1204">
        <v>0</v>
      </c>
      <c r="F1204">
        <v>0</v>
      </c>
      <c r="G1204" s="10">
        <f t="shared" si="18"/>
        <v>0</v>
      </c>
      <c r="H1204" t="str">
        <f>$A1204&amp;Keys!$C$54&amp;$B1204&amp;Keys!$C$54&amp;$C1204</f>
        <v>ME|exports|municipal solid waste</v>
      </c>
    </row>
    <row r="1205" spans="1:8" x14ac:dyDescent="0.25">
      <c r="A1205" t="s">
        <v>116</v>
      </c>
      <c r="B1205" t="s">
        <v>193</v>
      </c>
      <c r="C1205" t="s">
        <v>123</v>
      </c>
      <c r="D1205">
        <v>0</v>
      </c>
      <c r="E1205">
        <v>0</v>
      </c>
      <c r="F1205">
        <v>0</v>
      </c>
      <c r="G1205" s="10">
        <f t="shared" si="18"/>
        <v>0</v>
      </c>
      <c r="H1205" t="str">
        <f>$A1205&amp;Keys!$C$54&amp;$B1205&amp;Keys!$C$54&amp;$C1205</f>
        <v>ME|exports|hydrogen</v>
      </c>
    </row>
    <row r="1206" spans="1:8" x14ac:dyDescent="0.25">
      <c r="A1206" t="s">
        <v>119</v>
      </c>
      <c r="B1206" t="s">
        <v>188</v>
      </c>
      <c r="C1206" t="s">
        <v>60</v>
      </c>
      <c r="D1206">
        <v>0</v>
      </c>
      <c r="E1206">
        <v>0</v>
      </c>
      <c r="F1206">
        <v>0</v>
      </c>
      <c r="G1206" s="10">
        <f t="shared" si="18"/>
        <v>0</v>
      </c>
      <c r="H1206" t="str">
        <f>$A1206&amp;Keys!$C$54&amp;$B1206&amp;Keys!$C$54&amp;$C1206</f>
        <v>MI|production|electricity (not used in this variable)</v>
      </c>
    </row>
    <row r="1207" spans="1:8" x14ac:dyDescent="0.25">
      <c r="A1207" t="s">
        <v>119</v>
      </c>
      <c r="B1207" t="s">
        <v>188</v>
      </c>
      <c r="C1207" t="s">
        <v>64</v>
      </c>
      <c r="D1207">
        <v>0</v>
      </c>
      <c r="E1207">
        <v>0</v>
      </c>
      <c r="F1207">
        <v>0</v>
      </c>
      <c r="G1207" s="10">
        <f t="shared" si="18"/>
        <v>0</v>
      </c>
      <c r="H1207" t="str">
        <f>$A1207&amp;Keys!$C$54&amp;$B1207&amp;Keys!$C$54&amp;$C1207</f>
        <v>MI|production|hard coal</v>
      </c>
    </row>
    <row r="1208" spans="1:8" x14ac:dyDescent="0.25">
      <c r="A1208" t="s">
        <v>119</v>
      </c>
      <c r="B1208" t="s">
        <v>188</v>
      </c>
      <c r="C1208" t="s">
        <v>68</v>
      </c>
      <c r="D1208">
        <v>65821500000000</v>
      </c>
      <c r="E1208">
        <v>65821500000000</v>
      </c>
      <c r="F1208">
        <v>66025900000000</v>
      </c>
      <c r="G1208" s="10">
        <f t="shared" si="18"/>
        <v>65889633333333.336</v>
      </c>
      <c r="H1208" t="str">
        <f>$A1208&amp;Keys!$C$54&amp;$B1208&amp;Keys!$C$54&amp;$C1208</f>
        <v>MI|production|natural gas</v>
      </c>
    </row>
    <row r="1209" spans="1:8" x14ac:dyDescent="0.25">
      <c r="A1209" t="s">
        <v>119</v>
      </c>
      <c r="B1209" t="s">
        <v>188</v>
      </c>
      <c r="C1209" t="s">
        <v>71</v>
      </c>
      <c r="D1209">
        <v>0</v>
      </c>
      <c r="E1209">
        <v>0</v>
      </c>
      <c r="F1209">
        <v>0</v>
      </c>
      <c r="G1209" s="10">
        <f t="shared" si="18"/>
        <v>0</v>
      </c>
      <c r="H1209" t="str">
        <f>$A1209&amp;Keys!$C$54&amp;$B1209&amp;Keys!$C$54&amp;$C1209</f>
        <v>MI|production|nuclear</v>
      </c>
    </row>
    <row r="1210" spans="1:8" x14ac:dyDescent="0.25">
      <c r="A1210" t="s">
        <v>119</v>
      </c>
      <c r="B1210" t="s">
        <v>188</v>
      </c>
      <c r="C1210" t="s">
        <v>74</v>
      </c>
      <c r="D1210">
        <v>0</v>
      </c>
      <c r="E1210">
        <v>0</v>
      </c>
      <c r="F1210">
        <v>0</v>
      </c>
      <c r="G1210" s="10">
        <f t="shared" si="18"/>
        <v>0</v>
      </c>
      <c r="H1210" t="str">
        <f>$A1210&amp;Keys!$C$54&amp;$B1210&amp;Keys!$C$54&amp;$C1210</f>
        <v>MI|production|hydro (is not a fuel)</v>
      </c>
    </row>
    <row r="1211" spans="1:8" x14ac:dyDescent="0.25">
      <c r="A1211" t="s">
        <v>119</v>
      </c>
      <c r="B1211" t="s">
        <v>188</v>
      </c>
      <c r="C1211" t="s">
        <v>77</v>
      </c>
      <c r="D1211">
        <v>0</v>
      </c>
      <c r="E1211">
        <v>0</v>
      </c>
      <c r="F1211">
        <v>0</v>
      </c>
      <c r="G1211" s="10">
        <f t="shared" si="18"/>
        <v>0</v>
      </c>
      <c r="H1211" t="str">
        <f>$A1211&amp;Keys!$C$54&amp;$B1211&amp;Keys!$C$54&amp;$C1211</f>
        <v>MI|production|wind (is not a fuel)</v>
      </c>
    </row>
    <row r="1212" spans="1:8" x14ac:dyDescent="0.25">
      <c r="A1212" t="s">
        <v>119</v>
      </c>
      <c r="B1212" t="s">
        <v>188</v>
      </c>
      <c r="C1212" t="s">
        <v>80</v>
      </c>
      <c r="D1212">
        <v>0</v>
      </c>
      <c r="E1212">
        <v>0</v>
      </c>
      <c r="F1212">
        <v>0</v>
      </c>
      <c r="G1212" s="10">
        <f t="shared" si="18"/>
        <v>0</v>
      </c>
      <c r="H1212" t="str">
        <f>$A1212&amp;Keys!$C$54&amp;$B1212&amp;Keys!$C$54&amp;$C1212</f>
        <v>MI|production|solar (is not a fuel)</v>
      </c>
    </row>
    <row r="1213" spans="1:8" x14ac:dyDescent="0.25">
      <c r="A1213" t="s">
        <v>119</v>
      </c>
      <c r="B1213" t="s">
        <v>188</v>
      </c>
      <c r="C1213" t="s">
        <v>82</v>
      </c>
      <c r="D1213">
        <v>2768000000000</v>
      </c>
      <c r="E1213">
        <v>2768000000000</v>
      </c>
      <c r="F1213">
        <v>2768000000000</v>
      </c>
      <c r="G1213" s="10">
        <f t="shared" si="18"/>
        <v>2768000000000</v>
      </c>
      <c r="H1213" t="str">
        <f>$A1213&amp;Keys!$C$54&amp;$B1213&amp;Keys!$C$54&amp;$C1213</f>
        <v>MI|production|biomass</v>
      </c>
    </row>
    <row r="1214" spans="1:8" x14ac:dyDescent="0.25">
      <c r="A1214" t="s">
        <v>119</v>
      </c>
      <c r="B1214" t="s">
        <v>188</v>
      </c>
      <c r="C1214" t="s">
        <v>85</v>
      </c>
      <c r="D1214">
        <v>139752000000000</v>
      </c>
      <c r="E1214">
        <v>139752000000000</v>
      </c>
      <c r="F1214">
        <v>136365000000000</v>
      </c>
      <c r="G1214" s="10">
        <f t="shared" si="18"/>
        <v>138623000000000</v>
      </c>
      <c r="H1214" t="str">
        <f>$A1214&amp;Keys!$C$54&amp;$B1214&amp;Keys!$C$54&amp;$C1214</f>
        <v>MI|production|petroleum gasoline</v>
      </c>
    </row>
    <row r="1215" spans="1:8" x14ac:dyDescent="0.25">
      <c r="A1215" t="s">
        <v>119</v>
      </c>
      <c r="B1215" t="s">
        <v>188</v>
      </c>
      <c r="C1215" t="s">
        <v>88</v>
      </c>
      <c r="D1215">
        <v>82665400000000</v>
      </c>
      <c r="E1215">
        <v>82665400000000</v>
      </c>
      <c r="F1215">
        <v>80661800000000</v>
      </c>
      <c r="G1215" s="10">
        <f t="shared" si="18"/>
        <v>81997533333333.328</v>
      </c>
      <c r="H1215" t="str">
        <f>$A1215&amp;Keys!$C$54&amp;$B1215&amp;Keys!$C$54&amp;$C1215</f>
        <v>MI|production|petroleum diesel</v>
      </c>
    </row>
    <row r="1216" spans="1:8" x14ac:dyDescent="0.25">
      <c r="A1216" t="s">
        <v>119</v>
      </c>
      <c r="B1216" t="s">
        <v>188</v>
      </c>
      <c r="C1216" t="s">
        <v>91</v>
      </c>
      <c r="D1216">
        <v>29089600000000</v>
      </c>
      <c r="E1216">
        <v>29089600000000</v>
      </c>
      <c r="F1216">
        <v>29171500000000</v>
      </c>
      <c r="G1216" s="10">
        <f t="shared" si="18"/>
        <v>29116900000000</v>
      </c>
      <c r="H1216" t="str">
        <f>$A1216&amp;Keys!$C$54&amp;$B1216&amp;Keys!$C$54&amp;$C1216</f>
        <v>MI|production|biofuel gasoline</v>
      </c>
    </row>
    <row r="1217" spans="1:8" x14ac:dyDescent="0.25">
      <c r="A1217" t="s">
        <v>119</v>
      </c>
      <c r="B1217" t="s">
        <v>188</v>
      </c>
      <c r="C1217" t="s">
        <v>94</v>
      </c>
      <c r="D1217">
        <v>5221280000000</v>
      </c>
      <c r="E1217">
        <v>5221280000000</v>
      </c>
      <c r="F1217">
        <v>6202170000000</v>
      </c>
      <c r="G1217" s="10">
        <f t="shared" si="18"/>
        <v>5548243333333.333</v>
      </c>
      <c r="H1217" t="str">
        <f>$A1217&amp;Keys!$C$54&amp;$B1217&amp;Keys!$C$54&amp;$C1217</f>
        <v>MI|production|biofuel diesel</v>
      </c>
    </row>
    <row r="1218" spans="1:8" x14ac:dyDescent="0.25">
      <c r="A1218" t="s">
        <v>119</v>
      </c>
      <c r="B1218" t="s">
        <v>188</v>
      </c>
      <c r="C1218" t="s">
        <v>97</v>
      </c>
      <c r="D1218">
        <v>29427200000000</v>
      </c>
      <c r="E1218">
        <v>29427200000000</v>
      </c>
      <c r="F1218">
        <v>28714000000000</v>
      </c>
      <c r="G1218" s="10">
        <f t="shared" si="18"/>
        <v>29189466666666.668</v>
      </c>
      <c r="H1218" t="str">
        <f>$A1218&amp;Keys!$C$54&amp;$B1218&amp;Keys!$C$54&amp;$C1218</f>
        <v>MI|production|jet fuel or kerosene</v>
      </c>
    </row>
    <row r="1219" spans="1:8" x14ac:dyDescent="0.25">
      <c r="A1219" t="s">
        <v>119</v>
      </c>
      <c r="B1219" t="s">
        <v>188</v>
      </c>
      <c r="C1219" t="s">
        <v>100</v>
      </c>
      <c r="D1219">
        <v>0</v>
      </c>
      <c r="E1219">
        <v>0</v>
      </c>
      <c r="F1219">
        <v>0</v>
      </c>
      <c r="G1219" s="10">
        <f t="shared" si="18"/>
        <v>0</v>
      </c>
      <c r="H1219" t="str">
        <f>$A1219&amp;Keys!$C$54&amp;$B1219&amp;Keys!$C$54&amp;$C1219</f>
        <v>MI|production|heat (not used in this variable)</v>
      </c>
    </row>
    <row r="1220" spans="1:8" x14ac:dyDescent="0.25">
      <c r="A1220" t="s">
        <v>119</v>
      </c>
      <c r="B1220" t="s">
        <v>188</v>
      </c>
      <c r="C1220" t="s">
        <v>103</v>
      </c>
      <c r="D1220">
        <v>0</v>
      </c>
      <c r="E1220">
        <v>0</v>
      </c>
      <c r="F1220">
        <v>0</v>
      </c>
      <c r="G1220" s="10">
        <f t="shared" si="18"/>
        <v>0</v>
      </c>
      <c r="H1220" t="str">
        <f>$A1220&amp;Keys!$C$54&amp;$B1220&amp;Keys!$C$54&amp;$C1220</f>
        <v>MI|production|geothermal (is not a fuel)</v>
      </c>
    </row>
    <row r="1221" spans="1:8" x14ac:dyDescent="0.25">
      <c r="A1221" t="s">
        <v>119</v>
      </c>
      <c r="B1221" t="s">
        <v>188</v>
      </c>
      <c r="C1221" t="s">
        <v>106</v>
      </c>
      <c r="D1221">
        <v>0</v>
      </c>
      <c r="E1221">
        <v>0</v>
      </c>
      <c r="F1221">
        <v>0</v>
      </c>
      <c r="G1221" s="10">
        <f t="shared" si="18"/>
        <v>0</v>
      </c>
      <c r="H1221" t="str">
        <f>$A1221&amp;Keys!$C$54&amp;$B1221&amp;Keys!$C$54&amp;$C1221</f>
        <v>MI|production|lignite</v>
      </c>
    </row>
    <row r="1222" spans="1:8" x14ac:dyDescent="0.25">
      <c r="A1222" t="s">
        <v>119</v>
      </c>
      <c r="B1222" t="s">
        <v>188</v>
      </c>
      <c r="C1222" t="s">
        <v>109</v>
      </c>
      <c r="D1222">
        <v>26366800000000</v>
      </c>
      <c r="E1222">
        <v>26366800000000</v>
      </c>
      <c r="F1222">
        <v>23959700000000</v>
      </c>
      <c r="G1222" s="10">
        <f t="shared" si="18"/>
        <v>25564433333333.332</v>
      </c>
      <c r="H1222" t="str">
        <f>$A1222&amp;Keys!$C$54&amp;$B1222&amp;Keys!$C$54&amp;$C1222</f>
        <v>MI|production|crude oil</v>
      </c>
    </row>
    <row r="1223" spans="1:8" x14ac:dyDescent="0.25">
      <c r="A1223" t="s">
        <v>119</v>
      </c>
      <c r="B1223" t="s">
        <v>188</v>
      </c>
      <c r="C1223" t="s">
        <v>113</v>
      </c>
      <c r="D1223">
        <v>5716340000000</v>
      </c>
      <c r="E1223">
        <v>5716340000000</v>
      </c>
      <c r="F1223">
        <v>5577780000000</v>
      </c>
      <c r="G1223" s="10">
        <f t="shared" si="18"/>
        <v>5670153333333.333</v>
      </c>
      <c r="H1223" t="str">
        <f>$A1223&amp;Keys!$C$54&amp;$B1223&amp;Keys!$C$54&amp;$C1223</f>
        <v>MI|production|heavy fuel oil</v>
      </c>
    </row>
    <row r="1224" spans="1:8" x14ac:dyDescent="0.25">
      <c r="A1224" t="s">
        <v>119</v>
      </c>
      <c r="B1224" t="s">
        <v>188</v>
      </c>
      <c r="C1224" t="s">
        <v>117</v>
      </c>
      <c r="D1224">
        <v>8046640000000</v>
      </c>
      <c r="E1224">
        <v>8046640000000</v>
      </c>
      <c r="F1224">
        <v>8217500000000</v>
      </c>
      <c r="G1224" s="10">
        <f t="shared" si="18"/>
        <v>8103593333333.333</v>
      </c>
      <c r="H1224" t="str">
        <f>$A1224&amp;Keys!$C$54&amp;$B1224&amp;Keys!$C$54&amp;$C1224</f>
        <v>MI|production|LPG propane or butane</v>
      </c>
    </row>
    <row r="1225" spans="1:8" x14ac:dyDescent="0.25">
      <c r="A1225" t="s">
        <v>119</v>
      </c>
      <c r="B1225" t="s">
        <v>188</v>
      </c>
      <c r="C1225" t="s">
        <v>120</v>
      </c>
      <c r="D1225">
        <v>0</v>
      </c>
      <c r="E1225">
        <v>0</v>
      </c>
      <c r="F1225">
        <v>0</v>
      </c>
      <c r="G1225" s="10">
        <f t="shared" ref="G1225:G1288" si="19">AVERAGE($D1225:$F1225)</f>
        <v>0</v>
      </c>
      <c r="H1225" t="str">
        <f>$A1225&amp;Keys!$C$54&amp;$B1225&amp;Keys!$C$54&amp;$C1225</f>
        <v>MI|production|municipal solid waste</v>
      </c>
    </row>
    <row r="1226" spans="1:8" x14ac:dyDescent="0.25">
      <c r="A1226" t="s">
        <v>119</v>
      </c>
      <c r="B1226" t="s">
        <v>188</v>
      </c>
      <c r="C1226" t="s">
        <v>123</v>
      </c>
      <c r="D1226">
        <v>0</v>
      </c>
      <c r="E1226">
        <v>0</v>
      </c>
      <c r="F1226">
        <v>0</v>
      </c>
      <c r="G1226" s="10">
        <f t="shared" si="19"/>
        <v>0</v>
      </c>
      <c r="H1226" t="str">
        <f>$A1226&amp;Keys!$C$54&amp;$B1226&amp;Keys!$C$54&amp;$C1226</f>
        <v>MI|production|hydrogen</v>
      </c>
    </row>
    <row r="1227" spans="1:8" x14ac:dyDescent="0.25">
      <c r="A1227" t="s">
        <v>119</v>
      </c>
      <c r="B1227" t="s">
        <v>191</v>
      </c>
      <c r="C1227" t="s">
        <v>60</v>
      </c>
      <c r="D1227">
        <v>0</v>
      </c>
      <c r="E1227">
        <v>0</v>
      </c>
      <c r="F1227">
        <v>0</v>
      </c>
      <c r="G1227" s="10">
        <f t="shared" si="19"/>
        <v>0</v>
      </c>
      <c r="H1227" t="str">
        <f>$A1227&amp;Keys!$C$54&amp;$B1227&amp;Keys!$C$54&amp;$C1227</f>
        <v>MI|imports|electricity (not used in this variable)</v>
      </c>
    </row>
    <row r="1228" spans="1:8" x14ac:dyDescent="0.25">
      <c r="A1228" t="s">
        <v>119</v>
      </c>
      <c r="B1228" t="s">
        <v>191</v>
      </c>
      <c r="C1228" t="s">
        <v>64</v>
      </c>
      <c r="D1228">
        <v>310244000000000</v>
      </c>
      <c r="E1228">
        <v>343246000000000</v>
      </c>
      <c r="F1228">
        <v>386239000000000</v>
      </c>
      <c r="G1228" s="10">
        <f t="shared" si="19"/>
        <v>346576333333333.31</v>
      </c>
      <c r="H1228" t="str">
        <f>$A1228&amp;Keys!$C$54&amp;$B1228&amp;Keys!$C$54&amp;$C1228</f>
        <v>MI|imports|hard coal</v>
      </c>
    </row>
    <row r="1229" spans="1:8" x14ac:dyDescent="0.25">
      <c r="A1229" t="s">
        <v>119</v>
      </c>
      <c r="B1229" t="s">
        <v>191</v>
      </c>
      <c r="C1229" t="s">
        <v>68</v>
      </c>
      <c r="D1229">
        <v>2232720000000000</v>
      </c>
      <c r="E1229">
        <v>1725830000000000</v>
      </c>
      <c r="F1229">
        <v>1635060000000000</v>
      </c>
      <c r="G1229" s="10">
        <f t="shared" si="19"/>
        <v>1864536666666666.8</v>
      </c>
      <c r="H1229" t="str">
        <f>$A1229&amp;Keys!$C$54&amp;$B1229&amp;Keys!$C$54&amp;$C1229</f>
        <v>MI|imports|natural gas</v>
      </c>
    </row>
    <row r="1230" spans="1:8" x14ac:dyDescent="0.25">
      <c r="A1230" t="s">
        <v>119</v>
      </c>
      <c r="B1230" t="s">
        <v>191</v>
      </c>
      <c r="C1230" t="s">
        <v>71</v>
      </c>
      <c r="D1230">
        <v>274450000000000</v>
      </c>
      <c r="E1230">
        <v>287529000000000</v>
      </c>
      <c r="F1230">
        <v>280949000000000</v>
      </c>
      <c r="G1230" s="10">
        <f t="shared" si="19"/>
        <v>280976000000000</v>
      </c>
      <c r="H1230" t="str">
        <f>$A1230&amp;Keys!$C$54&amp;$B1230&amp;Keys!$C$54&amp;$C1230</f>
        <v>MI|imports|nuclear</v>
      </c>
    </row>
    <row r="1231" spans="1:8" x14ac:dyDescent="0.25">
      <c r="A1231" t="s">
        <v>119</v>
      </c>
      <c r="B1231" t="s">
        <v>191</v>
      </c>
      <c r="C1231" t="s">
        <v>74</v>
      </c>
      <c r="D1231">
        <v>0</v>
      </c>
      <c r="E1231">
        <v>0</v>
      </c>
      <c r="F1231">
        <v>0</v>
      </c>
      <c r="G1231" s="10">
        <f t="shared" si="19"/>
        <v>0</v>
      </c>
      <c r="H1231" t="str">
        <f>$A1231&amp;Keys!$C$54&amp;$B1231&amp;Keys!$C$54&amp;$C1231</f>
        <v>MI|imports|hydro (is not a fuel)</v>
      </c>
    </row>
    <row r="1232" spans="1:8" x14ac:dyDescent="0.25">
      <c r="A1232" t="s">
        <v>119</v>
      </c>
      <c r="B1232" t="s">
        <v>191</v>
      </c>
      <c r="C1232" t="s">
        <v>77</v>
      </c>
      <c r="D1232">
        <v>0</v>
      </c>
      <c r="E1232">
        <v>0</v>
      </c>
      <c r="F1232">
        <v>0</v>
      </c>
      <c r="G1232" s="10">
        <f t="shared" si="19"/>
        <v>0</v>
      </c>
      <c r="H1232" t="str">
        <f>$A1232&amp;Keys!$C$54&amp;$B1232&amp;Keys!$C$54&amp;$C1232</f>
        <v>MI|imports|wind (is not a fuel)</v>
      </c>
    </row>
    <row r="1233" spans="1:8" x14ac:dyDescent="0.25">
      <c r="A1233" t="s">
        <v>119</v>
      </c>
      <c r="B1233" t="s">
        <v>191</v>
      </c>
      <c r="C1233" t="s">
        <v>80</v>
      </c>
      <c r="D1233">
        <v>0</v>
      </c>
      <c r="E1233">
        <v>0</v>
      </c>
      <c r="F1233">
        <v>0</v>
      </c>
      <c r="G1233" s="10">
        <f t="shared" si="19"/>
        <v>0</v>
      </c>
      <c r="H1233" t="str">
        <f>$A1233&amp;Keys!$C$54&amp;$B1233&amp;Keys!$C$54&amp;$C1233</f>
        <v>MI|imports|solar (is not a fuel)</v>
      </c>
    </row>
    <row r="1234" spans="1:8" x14ac:dyDescent="0.25">
      <c r="A1234" t="s">
        <v>119</v>
      </c>
      <c r="B1234" t="s">
        <v>191</v>
      </c>
      <c r="C1234" t="s">
        <v>82</v>
      </c>
      <c r="D1234">
        <v>0</v>
      </c>
      <c r="E1234">
        <v>99620000000000</v>
      </c>
      <c r="F1234">
        <v>134815000000000</v>
      </c>
      <c r="G1234" s="10">
        <f t="shared" si="19"/>
        <v>78145000000000</v>
      </c>
      <c r="H1234" t="str">
        <f>$A1234&amp;Keys!$C$54&amp;$B1234&amp;Keys!$C$54&amp;$C1234</f>
        <v>MI|imports|biomass</v>
      </c>
    </row>
    <row r="1235" spans="1:8" x14ac:dyDescent="0.25">
      <c r="A1235" t="s">
        <v>119</v>
      </c>
      <c r="B1235" t="s">
        <v>191</v>
      </c>
      <c r="C1235" t="s">
        <v>85</v>
      </c>
      <c r="D1235">
        <v>0</v>
      </c>
      <c r="E1235">
        <v>305342000000000</v>
      </c>
      <c r="F1235">
        <v>302111000000000</v>
      </c>
      <c r="G1235" s="10">
        <f t="shared" si="19"/>
        <v>202484333333333.34</v>
      </c>
      <c r="H1235" t="str">
        <f>$A1235&amp;Keys!$C$54&amp;$B1235&amp;Keys!$C$54&amp;$C1235</f>
        <v>MI|imports|petroleum gasoline</v>
      </c>
    </row>
    <row r="1236" spans="1:8" x14ac:dyDescent="0.25">
      <c r="A1236" t="s">
        <v>119</v>
      </c>
      <c r="B1236" t="s">
        <v>191</v>
      </c>
      <c r="C1236" t="s">
        <v>88</v>
      </c>
      <c r="D1236">
        <v>0</v>
      </c>
      <c r="E1236">
        <v>108846000000000</v>
      </c>
      <c r="F1236">
        <v>109739000000000</v>
      </c>
      <c r="G1236" s="10">
        <f t="shared" si="19"/>
        <v>72861666666666.672</v>
      </c>
      <c r="H1236" t="str">
        <f>$A1236&amp;Keys!$C$54&amp;$B1236&amp;Keys!$C$54&amp;$C1236</f>
        <v>MI|imports|petroleum diesel</v>
      </c>
    </row>
    <row r="1237" spans="1:8" x14ac:dyDescent="0.25">
      <c r="A1237" t="s">
        <v>119</v>
      </c>
      <c r="B1237" t="s">
        <v>191</v>
      </c>
      <c r="C1237" t="s">
        <v>91</v>
      </c>
      <c r="D1237">
        <v>0</v>
      </c>
      <c r="E1237">
        <v>1214920000000</v>
      </c>
      <c r="F1237">
        <v>693662000000</v>
      </c>
      <c r="G1237" s="10">
        <f t="shared" si="19"/>
        <v>636194000000</v>
      </c>
      <c r="H1237" t="str">
        <f>$A1237&amp;Keys!$C$54&amp;$B1237&amp;Keys!$C$54&amp;$C1237</f>
        <v>MI|imports|biofuel gasoline</v>
      </c>
    </row>
    <row r="1238" spans="1:8" x14ac:dyDescent="0.25">
      <c r="A1238" t="s">
        <v>119</v>
      </c>
      <c r="B1238" t="s">
        <v>191</v>
      </c>
      <c r="C1238" t="s">
        <v>94</v>
      </c>
      <c r="D1238">
        <v>0</v>
      </c>
      <c r="E1238">
        <v>0</v>
      </c>
      <c r="F1238">
        <v>0</v>
      </c>
      <c r="G1238" s="10">
        <f t="shared" si="19"/>
        <v>0</v>
      </c>
      <c r="H1238" t="str">
        <f>$A1238&amp;Keys!$C$54&amp;$B1238&amp;Keys!$C$54&amp;$C1238</f>
        <v>MI|imports|biofuel diesel</v>
      </c>
    </row>
    <row r="1239" spans="1:8" x14ac:dyDescent="0.25">
      <c r="A1239" t="s">
        <v>119</v>
      </c>
      <c r="B1239" t="s">
        <v>191</v>
      </c>
      <c r="C1239" t="s">
        <v>97</v>
      </c>
      <c r="D1239">
        <v>0</v>
      </c>
      <c r="E1239">
        <v>21224600000000</v>
      </c>
      <c r="F1239">
        <v>22807600000000</v>
      </c>
      <c r="G1239" s="10">
        <f t="shared" si="19"/>
        <v>14677400000000</v>
      </c>
      <c r="H1239" t="str">
        <f>$A1239&amp;Keys!$C$54&amp;$B1239&amp;Keys!$C$54&amp;$C1239</f>
        <v>MI|imports|jet fuel or kerosene</v>
      </c>
    </row>
    <row r="1240" spans="1:8" x14ac:dyDescent="0.25">
      <c r="A1240" t="s">
        <v>119</v>
      </c>
      <c r="B1240" t="s">
        <v>191</v>
      </c>
      <c r="C1240" t="s">
        <v>100</v>
      </c>
      <c r="D1240">
        <v>0</v>
      </c>
      <c r="E1240">
        <v>0</v>
      </c>
      <c r="F1240">
        <v>0</v>
      </c>
      <c r="G1240" s="10">
        <f t="shared" si="19"/>
        <v>0</v>
      </c>
      <c r="H1240" t="str">
        <f>$A1240&amp;Keys!$C$54&amp;$B1240&amp;Keys!$C$54&amp;$C1240</f>
        <v>MI|imports|heat (not used in this variable)</v>
      </c>
    </row>
    <row r="1241" spans="1:8" x14ac:dyDescent="0.25">
      <c r="A1241" t="s">
        <v>119</v>
      </c>
      <c r="B1241" t="s">
        <v>191</v>
      </c>
      <c r="C1241" t="s">
        <v>103</v>
      </c>
      <c r="D1241">
        <v>0</v>
      </c>
      <c r="E1241">
        <v>0</v>
      </c>
      <c r="F1241">
        <v>0</v>
      </c>
      <c r="G1241" s="10">
        <f t="shared" si="19"/>
        <v>0</v>
      </c>
      <c r="H1241" t="str">
        <f>$A1241&amp;Keys!$C$54&amp;$B1241&amp;Keys!$C$54&amp;$C1241</f>
        <v>MI|imports|geothermal (is not a fuel)</v>
      </c>
    </row>
    <row r="1242" spans="1:8" x14ac:dyDescent="0.25">
      <c r="A1242" t="s">
        <v>119</v>
      </c>
      <c r="B1242" t="s">
        <v>191</v>
      </c>
      <c r="C1242" t="s">
        <v>106</v>
      </c>
      <c r="D1242">
        <v>0</v>
      </c>
      <c r="E1242">
        <v>0</v>
      </c>
      <c r="F1242">
        <v>0</v>
      </c>
      <c r="G1242" s="10">
        <f t="shared" si="19"/>
        <v>0</v>
      </c>
      <c r="H1242" t="str">
        <f>$A1242&amp;Keys!$C$54&amp;$B1242&amp;Keys!$C$54&amp;$C1242</f>
        <v>MI|imports|lignite</v>
      </c>
    </row>
    <row r="1243" spans="1:8" x14ac:dyDescent="0.25">
      <c r="A1243" t="s">
        <v>119</v>
      </c>
      <c r="B1243" t="s">
        <v>191</v>
      </c>
      <c r="C1243" t="s">
        <v>109</v>
      </c>
      <c r="D1243">
        <v>0</v>
      </c>
      <c r="E1243">
        <v>271518000000000</v>
      </c>
      <c r="F1243">
        <v>273925000000000</v>
      </c>
      <c r="G1243" s="10">
        <f t="shared" si="19"/>
        <v>181814333333333.34</v>
      </c>
      <c r="H1243" t="str">
        <f>$A1243&amp;Keys!$C$54&amp;$B1243&amp;Keys!$C$54&amp;$C1243</f>
        <v>MI|imports|crude oil</v>
      </c>
    </row>
    <row r="1244" spans="1:8" x14ac:dyDescent="0.25">
      <c r="A1244" t="s">
        <v>119</v>
      </c>
      <c r="B1244" t="s">
        <v>191</v>
      </c>
      <c r="C1244" t="s">
        <v>113</v>
      </c>
      <c r="D1244">
        <v>0</v>
      </c>
      <c r="E1244">
        <v>20359800000000</v>
      </c>
      <c r="F1244">
        <v>21043100000000</v>
      </c>
      <c r="G1244" s="10">
        <f t="shared" si="19"/>
        <v>13800966666666.666</v>
      </c>
      <c r="H1244" t="str">
        <f>$A1244&amp;Keys!$C$54&amp;$B1244&amp;Keys!$C$54&amp;$C1244</f>
        <v>MI|imports|heavy fuel oil</v>
      </c>
    </row>
    <row r="1245" spans="1:8" x14ac:dyDescent="0.25">
      <c r="A1245" t="s">
        <v>119</v>
      </c>
      <c r="B1245" t="s">
        <v>191</v>
      </c>
      <c r="C1245" t="s">
        <v>117</v>
      </c>
      <c r="D1245">
        <v>0</v>
      </c>
      <c r="E1245">
        <v>35777200000000</v>
      </c>
      <c r="F1245">
        <v>35211800000000</v>
      </c>
      <c r="G1245" s="10">
        <f t="shared" si="19"/>
        <v>23663000000000</v>
      </c>
      <c r="H1245" t="str">
        <f>$A1245&amp;Keys!$C$54&amp;$B1245&amp;Keys!$C$54&amp;$C1245</f>
        <v>MI|imports|LPG propane or butane</v>
      </c>
    </row>
    <row r="1246" spans="1:8" x14ac:dyDescent="0.25">
      <c r="A1246" t="s">
        <v>119</v>
      </c>
      <c r="B1246" t="s">
        <v>191</v>
      </c>
      <c r="C1246" t="s">
        <v>120</v>
      </c>
      <c r="D1246">
        <v>0</v>
      </c>
      <c r="E1246">
        <v>0</v>
      </c>
      <c r="F1246">
        <v>27891400000000</v>
      </c>
      <c r="G1246" s="10">
        <f t="shared" si="19"/>
        <v>9297133333333.334</v>
      </c>
      <c r="H1246" t="str">
        <f>$A1246&amp;Keys!$C$54&amp;$B1246&amp;Keys!$C$54&amp;$C1246</f>
        <v>MI|imports|municipal solid waste</v>
      </c>
    </row>
    <row r="1247" spans="1:8" x14ac:dyDescent="0.25">
      <c r="A1247" t="s">
        <v>119</v>
      </c>
      <c r="B1247" t="s">
        <v>191</v>
      </c>
      <c r="C1247" t="s">
        <v>123</v>
      </c>
      <c r="D1247">
        <v>0</v>
      </c>
      <c r="E1247">
        <v>6237360000000</v>
      </c>
      <c r="F1247">
        <v>6118350000000</v>
      </c>
      <c r="G1247" s="10">
        <f t="shared" si="19"/>
        <v>4118570000000</v>
      </c>
      <c r="H1247" t="str">
        <f>$A1247&amp;Keys!$C$54&amp;$B1247&amp;Keys!$C$54&amp;$C1247</f>
        <v>MI|imports|hydrogen</v>
      </c>
    </row>
    <row r="1248" spans="1:8" x14ac:dyDescent="0.25">
      <c r="A1248" t="s">
        <v>119</v>
      </c>
      <c r="B1248" t="s">
        <v>193</v>
      </c>
      <c r="C1248" t="s">
        <v>60</v>
      </c>
      <c r="D1248">
        <v>0</v>
      </c>
      <c r="E1248">
        <v>0</v>
      </c>
      <c r="F1248">
        <v>0</v>
      </c>
      <c r="G1248" s="10">
        <f t="shared" si="19"/>
        <v>0</v>
      </c>
      <c r="H1248" t="str">
        <f>$A1248&amp;Keys!$C$54&amp;$B1248&amp;Keys!$C$54&amp;$C1248</f>
        <v>MI|exports|electricity (not used in this variable)</v>
      </c>
    </row>
    <row r="1249" spans="1:8" x14ac:dyDescent="0.25">
      <c r="A1249" t="s">
        <v>119</v>
      </c>
      <c r="B1249" t="s">
        <v>193</v>
      </c>
      <c r="C1249" t="s">
        <v>64</v>
      </c>
      <c r="D1249">
        <v>0</v>
      </c>
      <c r="E1249">
        <v>0</v>
      </c>
      <c r="F1249">
        <v>0</v>
      </c>
      <c r="G1249" s="10">
        <f t="shared" si="19"/>
        <v>0</v>
      </c>
      <c r="H1249" t="str">
        <f>$A1249&amp;Keys!$C$54&amp;$B1249&amp;Keys!$C$54&amp;$C1249</f>
        <v>MI|exports|hard coal</v>
      </c>
    </row>
    <row r="1250" spans="1:8" x14ac:dyDescent="0.25">
      <c r="A1250" t="s">
        <v>119</v>
      </c>
      <c r="B1250" t="s">
        <v>193</v>
      </c>
      <c r="C1250" t="s">
        <v>68</v>
      </c>
      <c r="D1250">
        <v>774254000000000</v>
      </c>
      <c r="E1250">
        <v>774254000000000</v>
      </c>
      <c r="F1250">
        <v>776659000000000</v>
      </c>
      <c r="G1250" s="10">
        <f t="shared" si="19"/>
        <v>775055666666666.63</v>
      </c>
      <c r="H1250" t="str">
        <f>$A1250&amp;Keys!$C$54&amp;$B1250&amp;Keys!$C$54&amp;$C1250</f>
        <v>MI|exports|natural gas</v>
      </c>
    </row>
    <row r="1251" spans="1:8" x14ac:dyDescent="0.25">
      <c r="A1251" t="s">
        <v>119</v>
      </c>
      <c r="B1251" t="s">
        <v>193</v>
      </c>
      <c r="C1251" t="s">
        <v>71</v>
      </c>
      <c r="D1251">
        <v>0</v>
      </c>
      <c r="E1251">
        <v>0</v>
      </c>
      <c r="F1251">
        <v>0</v>
      </c>
      <c r="G1251" s="10">
        <f t="shared" si="19"/>
        <v>0</v>
      </c>
      <c r="H1251" t="str">
        <f>$A1251&amp;Keys!$C$54&amp;$B1251&amp;Keys!$C$54&amp;$C1251</f>
        <v>MI|exports|nuclear</v>
      </c>
    </row>
    <row r="1252" spans="1:8" x14ac:dyDescent="0.25">
      <c r="A1252" t="s">
        <v>119</v>
      </c>
      <c r="B1252" t="s">
        <v>193</v>
      </c>
      <c r="C1252" t="s">
        <v>74</v>
      </c>
      <c r="D1252">
        <v>0</v>
      </c>
      <c r="E1252">
        <v>0</v>
      </c>
      <c r="F1252">
        <v>0</v>
      </c>
      <c r="G1252" s="10">
        <f t="shared" si="19"/>
        <v>0</v>
      </c>
      <c r="H1252" t="str">
        <f>$A1252&amp;Keys!$C$54&amp;$B1252&amp;Keys!$C$54&amp;$C1252</f>
        <v>MI|exports|hydro (is not a fuel)</v>
      </c>
    </row>
    <row r="1253" spans="1:8" x14ac:dyDescent="0.25">
      <c r="A1253" t="s">
        <v>119</v>
      </c>
      <c r="B1253" t="s">
        <v>193</v>
      </c>
      <c r="C1253" t="s">
        <v>77</v>
      </c>
      <c r="D1253">
        <v>0</v>
      </c>
      <c r="E1253">
        <v>0</v>
      </c>
      <c r="F1253">
        <v>0</v>
      </c>
      <c r="G1253" s="10">
        <f t="shared" si="19"/>
        <v>0</v>
      </c>
      <c r="H1253" t="str">
        <f>$A1253&amp;Keys!$C$54&amp;$B1253&amp;Keys!$C$54&amp;$C1253</f>
        <v>MI|exports|wind (is not a fuel)</v>
      </c>
    </row>
    <row r="1254" spans="1:8" x14ac:dyDescent="0.25">
      <c r="A1254" t="s">
        <v>119</v>
      </c>
      <c r="B1254" t="s">
        <v>193</v>
      </c>
      <c r="C1254" t="s">
        <v>80</v>
      </c>
      <c r="D1254">
        <v>0</v>
      </c>
      <c r="E1254">
        <v>0</v>
      </c>
      <c r="F1254">
        <v>0</v>
      </c>
      <c r="G1254" s="10">
        <f t="shared" si="19"/>
        <v>0</v>
      </c>
      <c r="H1254" t="str">
        <f>$A1254&amp;Keys!$C$54&amp;$B1254&amp;Keys!$C$54&amp;$C1254</f>
        <v>MI|exports|solar (is not a fuel)</v>
      </c>
    </row>
    <row r="1255" spans="1:8" x14ac:dyDescent="0.25">
      <c r="A1255" t="s">
        <v>119</v>
      </c>
      <c r="B1255" t="s">
        <v>193</v>
      </c>
      <c r="C1255" t="s">
        <v>82</v>
      </c>
      <c r="D1255">
        <v>0</v>
      </c>
      <c r="E1255">
        <v>0</v>
      </c>
      <c r="F1255">
        <v>0</v>
      </c>
      <c r="G1255" s="10">
        <f t="shared" si="19"/>
        <v>0</v>
      </c>
      <c r="H1255" t="str">
        <f>$A1255&amp;Keys!$C$54&amp;$B1255&amp;Keys!$C$54&amp;$C1255</f>
        <v>MI|exports|biomass</v>
      </c>
    </row>
    <row r="1256" spans="1:8" x14ac:dyDescent="0.25">
      <c r="A1256" t="s">
        <v>119</v>
      </c>
      <c r="B1256" t="s">
        <v>193</v>
      </c>
      <c r="C1256" t="s">
        <v>85</v>
      </c>
      <c r="D1256">
        <v>0</v>
      </c>
      <c r="E1256">
        <v>0</v>
      </c>
      <c r="F1256">
        <v>0</v>
      </c>
      <c r="G1256" s="10">
        <f t="shared" si="19"/>
        <v>0</v>
      </c>
      <c r="H1256" t="str">
        <f>$A1256&amp;Keys!$C$54&amp;$B1256&amp;Keys!$C$54&amp;$C1256</f>
        <v>MI|exports|petroleum gasoline</v>
      </c>
    </row>
    <row r="1257" spans="1:8" x14ac:dyDescent="0.25">
      <c r="A1257" t="s">
        <v>119</v>
      </c>
      <c r="B1257" t="s">
        <v>193</v>
      </c>
      <c r="C1257" t="s">
        <v>88</v>
      </c>
      <c r="D1257">
        <v>0</v>
      </c>
      <c r="E1257">
        <v>0</v>
      </c>
      <c r="F1257">
        <v>0</v>
      </c>
      <c r="G1257" s="10">
        <f t="shared" si="19"/>
        <v>0</v>
      </c>
      <c r="H1257" t="str">
        <f>$A1257&amp;Keys!$C$54&amp;$B1257&amp;Keys!$C$54&amp;$C1257</f>
        <v>MI|exports|petroleum diesel</v>
      </c>
    </row>
    <row r="1258" spans="1:8" x14ac:dyDescent="0.25">
      <c r="A1258" t="s">
        <v>119</v>
      </c>
      <c r="B1258" t="s">
        <v>193</v>
      </c>
      <c r="C1258" t="s">
        <v>91</v>
      </c>
      <c r="D1258">
        <v>0</v>
      </c>
      <c r="E1258">
        <v>0</v>
      </c>
      <c r="F1258">
        <v>0</v>
      </c>
      <c r="G1258" s="10">
        <f t="shared" si="19"/>
        <v>0</v>
      </c>
      <c r="H1258" t="str">
        <f>$A1258&amp;Keys!$C$54&amp;$B1258&amp;Keys!$C$54&amp;$C1258</f>
        <v>MI|exports|biofuel gasoline</v>
      </c>
    </row>
    <row r="1259" spans="1:8" x14ac:dyDescent="0.25">
      <c r="A1259" t="s">
        <v>119</v>
      </c>
      <c r="B1259" t="s">
        <v>193</v>
      </c>
      <c r="C1259" t="s">
        <v>94</v>
      </c>
      <c r="D1259">
        <v>0</v>
      </c>
      <c r="E1259">
        <v>2011830000000</v>
      </c>
      <c r="F1259">
        <v>2941260000000</v>
      </c>
      <c r="G1259" s="10">
        <f t="shared" si="19"/>
        <v>1651030000000</v>
      </c>
      <c r="H1259" t="str">
        <f>$A1259&amp;Keys!$C$54&amp;$B1259&amp;Keys!$C$54&amp;$C1259</f>
        <v>MI|exports|biofuel diesel</v>
      </c>
    </row>
    <row r="1260" spans="1:8" x14ac:dyDescent="0.25">
      <c r="A1260" t="s">
        <v>119</v>
      </c>
      <c r="B1260" t="s">
        <v>193</v>
      </c>
      <c r="C1260" t="s">
        <v>97</v>
      </c>
      <c r="D1260">
        <v>0</v>
      </c>
      <c r="E1260">
        <v>0</v>
      </c>
      <c r="F1260">
        <v>0</v>
      </c>
      <c r="G1260" s="10">
        <f t="shared" si="19"/>
        <v>0</v>
      </c>
      <c r="H1260" t="str">
        <f>$A1260&amp;Keys!$C$54&amp;$B1260&amp;Keys!$C$54&amp;$C1260</f>
        <v>MI|exports|jet fuel or kerosene</v>
      </c>
    </row>
    <row r="1261" spans="1:8" x14ac:dyDescent="0.25">
      <c r="A1261" t="s">
        <v>119</v>
      </c>
      <c r="B1261" t="s">
        <v>193</v>
      </c>
      <c r="C1261" t="s">
        <v>100</v>
      </c>
      <c r="D1261">
        <v>0</v>
      </c>
      <c r="E1261">
        <v>0</v>
      </c>
      <c r="F1261">
        <v>0</v>
      </c>
      <c r="G1261" s="10">
        <f t="shared" si="19"/>
        <v>0</v>
      </c>
      <c r="H1261" t="str">
        <f>$A1261&amp;Keys!$C$54&amp;$B1261&amp;Keys!$C$54&amp;$C1261</f>
        <v>MI|exports|heat (not used in this variable)</v>
      </c>
    </row>
    <row r="1262" spans="1:8" x14ac:dyDescent="0.25">
      <c r="A1262" t="s">
        <v>119</v>
      </c>
      <c r="B1262" t="s">
        <v>193</v>
      </c>
      <c r="C1262" t="s">
        <v>103</v>
      </c>
      <c r="D1262">
        <v>0</v>
      </c>
      <c r="E1262">
        <v>0</v>
      </c>
      <c r="F1262">
        <v>0</v>
      </c>
      <c r="G1262" s="10">
        <f t="shared" si="19"/>
        <v>0</v>
      </c>
      <c r="H1262" t="str">
        <f>$A1262&amp;Keys!$C$54&amp;$B1262&amp;Keys!$C$54&amp;$C1262</f>
        <v>MI|exports|geothermal (is not a fuel)</v>
      </c>
    </row>
    <row r="1263" spans="1:8" x14ac:dyDescent="0.25">
      <c r="A1263" t="s">
        <v>119</v>
      </c>
      <c r="B1263" t="s">
        <v>193</v>
      </c>
      <c r="C1263" t="s">
        <v>106</v>
      </c>
      <c r="D1263">
        <v>0</v>
      </c>
      <c r="E1263">
        <v>0</v>
      </c>
      <c r="F1263">
        <v>0</v>
      </c>
      <c r="G1263" s="10">
        <f t="shared" si="19"/>
        <v>0</v>
      </c>
      <c r="H1263" t="str">
        <f>$A1263&amp;Keys!$C$54&amp;$B1263&amp;Keys!$C$54&amp;$C1263</f>
        <v>MI|exports|lignite</v>
      </c>
    </row>
    <row r="1264" spans="1:8" x14ac:dyDescent="0.25">
      <c r="A1264" t="s">
        <v>119</v>
      </c>
      <c r="B1264" t="s">
        <v>193</v>
      </c>
      <c r="C1264" t="s">
        <v>109</v>
      </c>
      <c r="D1264">
        <v>0</v>
      </c>
      <c r="E1264">
        <v>0</v>
      </c>
      <c r="F1264">
        <v>0</v>
      </c>
      <c r="G1264" s="10">
        <f t="shared" si="19"/>
        <v>0</v>
      </c>
      <c r="H1264" t="str">
        <f>$A1264&amp;Keys!$C$54&amp;$B1264&amp;Keys!$C$54&amp;$C1264</f>
        <v>MI|exports|crude oil</v>
      </c>
    </row>
    <row r="1265" spans="1:8" x14ac:dyDescent="0.25">
      <c r="A1265" t="s">
        <v>119</v>
      </c>
      <c r="B1265" t="s">
        <v>193</v>
      </c>
      <c r="C1265" t="s">
        <v>113</v>
      </c>
      <c r="D1265">
        <v>0</v>
      </c>
      <c r="E1265">
        <v>0</v>
      </c>
      <c r="F1265">
        <v>0</v>
      </c>
      <c r="G1265" s="10">
        <f t="shared" si="19"/>
        <v>0</v>
      </c>
      <c r="H1265" t="str">
        <f>$A1265&amp;Keys!$C$54&amp;$B1265&amp;Keys!$C$54&amp;$C1265</f>
        <v>MI|exports|heavy fuel oil</v>
      </c>
    </row>
    <row r="1266" spans="1:8" x14ac:dyDescent="0.25">
      <c r="A1266" t="s">
        <v>119</v>
      </c>
      <c r="B1266" t="s">
        <v>193</v>
      </c>
      <c r="C1266" t="s">
        <v>117</v>
      </c>
      <c r="D1266">
        <v>0</v>
      </c>
      <c r="E1266">
        <v>0</v>
      </c>
      <c r="F1266">
        <v>0</v>
      </c>
      <c r="G1266" s="10">
        <f t="shared" si="19"/>
        <v>0</v>
      </c>
      <c r="H1266" t="str">
        <f>$A1266&amp;Keys!$C$54&amp;$B1266&amp;Keys!$C$54&amp;$C1266</f>
        <v>MI|exports|LPG propane or butane</v>
      </c>
    </row>
    <row r="1267" spans="1:8" x14ac:dyDescent="0.25">
      <c r="A1267" t="s">
        <v>119</v>
      </c>
      <c r="B1267" t="s">
        <v>193</v>
      </c>
      <c r="C1267" t="s">
        <v>120</v>
      </c>
      <c r="D1267">
        <v>0</v>
      </c>
      <c r="E1267">
        <v>0</v>
      </c>
      <c r="F1267">
        <v>0</v>
      </c>
      <c r="G1267" s="10">
        <f t="shared" si="19"/>
        <v>0</v>
      </c>
      <c r="H1267" t="str">
        <f>$A1267&amp;Keys!$C$54&amp;$B1267&amp;Keys!$C$54&amp;$C1267</f>
        <v>MI|exports|municipal solid waste</v>
      </c>
    </row>
    <row r="1268" spans="1:8" x14ac:dyDescent="0.25">
      <c r="A1268" t="s">
        <v>119</v>
      </c>
      <c r="B1268" t="s">
        <v>193</v>
      </c>
      <c r="C1268" t="s">
        <v>123</v>
      </c>
      <c r="D1268">
        <v>0</v>
      </c>
      <c r="E1268">
        <v>0</v>
      </c>
      <c r="F1268">
        <v>0</v>
      </c>
      <c r="G1268" s="10">
        <f t="shared" si="19"/>
        <v>0</v>
      </c>
      <c r="H1268" t="str">
        <f>$A1268&amp;Keys!$C$54&amp;$B1268&amp;Keys!$C$54&amp;$C1268</f>
        <v>MI|exports|hydrogen</v>
      </c>
    </row>
    <row r="1269" spans="1:8" x14ac:dyDescent="0.25">
      <c r="A1269" t="s">
        <v>122</v>
      </c>
      <c r="B1269" t="s">
        <v>188</v>
      </c>
      <c r="C1269" t="s">
        <v>60</v>
      </c>
      <c r="D1269">
        <v>0</v>
      </c>
      <c r="E1269">
        <v>0</v>
      </c>
      <c r="F1269">
        <v>0</v>
      </c>
      <c r="G1269" s="10">
        <f t="shared" si="19"/>
        <v>0</v>
      </c>
      <c r="H1269" t="str">
        <f>$A1269&amp;Keys!$C$54&amp;$B1269&amp;Keys!$C$54&amp;$C1269</f>
        <v>MN|production|electricity (not used in this variable)</v>
      </c>
    </row>
    <row r="1270" spans="1:8" x14ac:dyDescent="0.25">
      <c r="A1270" t="s">
        <v>122</v>
      </c>
      <c r="B1270" t="s">
        <v>188</v>
      </c>
      <c r="C1270" t="s">
        <v>64</v>
      </c>
      <c r="D1270">
        <v>0</v>
      </c>
      <c r="E1270">
        <v>0</v>
      </c>
      <c r="F1270">
        <v>0</v>
      </c>
      <c r="G1270" s="10">
        <f t="shared" si="19"/>
        <v>0</v>
      </c>
      <c r="H1270" t="str">
        <f>$A1270&amp;Keys!$C$54&amp;$B1270&amp;Keys!$C$54&amp;$C1270</f>
        <v>MN|production|hard coal</v>
      </c>
    </row>
    <row r="1271" spans="1:8" x14ac:dyDescent="0.25">
      <c r="A1271" t="s">
        <v>122</v>
      </c>
      <c r="B1271" t="s">
        <v>188</v>
      </c>
      <c r="C1271" t="s">
        <v>68</v>
      </c>
      <c r="D1271">
        <v>0</v>
      </c>
      <c r="E1271">
        <v>0</v>
      </c>
      <c r="F1271">
        <v>0</v>
      </c>
      <c r="G1271" s="10">
        <f t="shared" si="19"/>
        <v>0</v>
      </c>
      <c r="H1271" t="str">
        <f>$A1271&amp;Keys!$C$54&amp;$B1271&amp;Keys!$C$54&amp;$C1271</f>
        <v>MN|production|natural gas</v>
      </c>
    </row>
    <row r="1272" spans="1:8" x14ac:dyDescent="0.25">
      <c r="A1272" t="s">
        <v>122</v>
      </c>
      <c r="B1272" t="s">
        <v>188</v>
      </c>
      <c r="C1272" t="s">
        <v>71</v>
      </c>
      <c r="D1272">
        <v>0</v>
      </c>
      <c r="E1272">
        <v>0</v>
      </c>
      <c r="F1272">
        <v>0</v>
      </c>
      <c r="G1272" s="10">
        <f t="shared" si="19"/>
        <v>0</v>
      </c>
      <c r="H1272" t="str">
        <f>$A1272&amp;Keys!$C$54&amp;$B1272&amp;Keys!$C$54&amp;$C1272</f>
        <v>MN|production|nuclear</v>
      </c>
    </row>
    <row r="1273" spans="1:8" x14ac:dyDescent="0.25">
      <c r="A1273" t="s">
        <v>122</v>
      </c>
      <c r="B1273" t="s">
        <v>188</v>
      </c>
      <c r="C1273" t="s">
        <v>74</v>
      </c>
      <c r="D1273">
        <v>0</v>
      </c>
      <c r="E1273">
        <v>0</v>
      </c>
      <c r="F1273">
        <v>0</v>
      </c>
      <c r="G1273" s="10">
        <f t="shared" si="19"/>
        <v>0</v>
      </c>
      <c r="H1273" t="str">
        <f>$A1273&amp;Keys!$C$54&amp;$B1273&amp;Keys!$C$54&amp;$C1273</f>
        <v>MN|production|hydro (is not a fuel)</v>
      </c>
    </row>
    <row r="1274" spans="1:8" x14ac:dyDescent="0.25">
      <c r="A1274" t="s">
        <v>122</v>
      </c>
      <c r="B1274" t="s">
        <v>188</v>
      </c>
      <c r="C1274" t="s">
        <v>77</v>
      </c>
      <c r="D1274">
        <v>0</v>
      </c>
      <c r="E1274">
        <v>0</v>
      </c>
      <c r="F1274">
        <v>0</v>
      </c>
      <c r="G1274" s="10">
        <f t="shared" si="19"/>
        <v>0</v>
      </c>
      <c r="H1274" t="str">
        <f>$A1274&amp;Keys!$C$54&amp;$B1274&amp;Keys!$C$54&amp;$C1274</f>
        <v>MN|production|wind (is not a fuel)</v>
      </c>
    </row>
    <row r="1275" spans="1:8" x14ac:dyDescent="0.25">
      <c r="A1275" t="s">
        <v>122</v>
      </c>
      <c r="B1275" t="s">
        <v>188</v>
      </c>
      <c r="C1275" t="s">
        <v>80</v>
      </c>
      <c r="D1275">
        <v>0</v>
      </c>
      <c r="E1275">
        <v>0</v>
      </c>
      <c r="F1275">
        <v>0</v>
      </c>
      <c r="G1275" s="10">
        <f t="shared" si="19"/>
        <v>0</v>
      </c>
      <c r="H1275" t="str">
        <f>$A1275&amp;Keys!$C$54&amp;$B1275&amp;Keys!$C$54&amp;$C1275</f>
        <v>MN|production|solar (is not a fuel)</v>
      </c>
    </row>
    <row r="1276" spans="1:8" x14ac:dyDescent="0.25">
      <c r="A1276" t="s">
        <v>122</v>
      </c>
      <c r="B1276" t="s">
        <v>188</v>
      </c>
      <c r="C1276" t="s">
        <v>82</v>
      </c>
      <c r="D1276">
        <v>0</v>
      </c>
      <c r="E1276">
        <v>0</v>
      </c>
      <c r="F1276">
        <v>0</v>
      </c>
      <c r="G1276" s="10">
        <f t="shared" si="19"/>
        <v>0</v>
      </c>
      <c r="H1276" t="str">
        <f>$A1276&amp;Keys!$C$54&amp;$B1276&amp;Keys!$C$54&amp;$C1276</f>
        <v>MN|production|biomass</v>
      </c>
    </row>
    <row r="1277" spans="1:8" x14ac:dyDescent="0.25">
      <c r="A1277" t="s">
        <v>122</v>
      </c>
      <c r="B1277" t="s">
        <v>188</v>
      </c>
      <c r="C1277" t="s">
        <v>85</v>
      </c>
      <c r="D1277">
        <v>427020000000000</v>
      </c>
      <c r="E1277">
        <v>427020000000000</v>
      </c>
      <c r="F1277">
        <v>416670000000000</v>
      </c>
      <c r="G1277" s="10">
        <f t="shared" si="19"/>
        <v>423570000000000</v>
      </c>
      <c r="H1277" t="str">
        <f>$A1277&amp;Keys!$C$54&amp;$B1277&amp;Keys!$C$54&amp;$C1277</f>
        <v>MN|production|petroleum gasoline</v>
      </c>
    </row>
    <row r="1278" spans="1:8" x14ac:dyDescent="0.25">
      <c r="A1278" t="s">
        <v>122</v>
      </c>
      <c r="B1278" t="s">
        <v>188</v>
      </c>
      <c r="C1278" t="s">
        <v>88</v>
      </c>
      <c r="D1278">
        <v>252589000000000</v>
      </c>
      <c r="E1278">
        <v>252589000000000</v>
      </c>
      <c r="F1278">
        <v>246467000000000</v>
      </c>
      <c r="G1278" s="10">
        <f t="shared" si="19"/>
        <v>250548333333333.34</v>
      </c>
      <c r="H1278" t="str">
        <f>$A1278&amp;Keys!$C$54&amp;$B1278&amp;Keys!$C$54&amp;$C1278</f>
        <v>MN|production|petroleum diesel</v>
      </c>
    </row>
    <row r="1279" spans="1:8" x14ac:dyDescent="0.25">
      <c r="A1279" t="s">
        <v>122</v>
      </c>
      <c r="B1279" t="s">
        <v>188</v>
      </c>
      <c r="C1279" t="s">
        <v>91</v>
      </c>
      <c r="D1279">
        <v>118377000000000</v>
      </c>
      <c r="E1279">
        <v>118377000000000</v>
      </c>
      <c r="F1279">
        <v>118710000000000</v>
      </c>
      <c r="G1279" s="10">
        <f t="shared" si="19"/>
        <v>118488000000000</v>
      </c>
      <c r="H1279" t="str">
        <f>$A1279&amp;Keys!$C$54&amp;$B1279&amp;Keys!$C$54&amp;$C1279</f>
        <v>MN|production|biofuel gasoline</v>
      </c>
    </row>
    <row r="1280" spans="1:8" x14ac:dyDescent="0.25">
      <c r="A1280" t="s">
        <v>122</v>
      </c>
      <c r="B1280" t="s">
        <v>188</v>
      </c>
      <c r="C1280" t="s">
        <v>94</v>
      </c>
      <c r="D1280">
        <v>27597000000000</v>
      </c>
      <c r="E1280">
        <v>27597000000000</v>
      </c>
      <c r="F1280">
        <v>32781500000000</v>
      </c>
      <c r="G1280" s="10">
        <f t="shared" si="19"/>
        <v>29325166666666.668</v>
      </c>
      <c r="H1280" t="str">
        <f>$A1280&amp;Keys!$C$54&amp;$B1280&amp;Keys!$C$54&amp;$C1280</f>
        <v>MN|production|biofuel diesel</v>
      </c>
    </row>
    <row r="1281" spans="1:8" x14ac:dyDescent="0.25">
      <c r="A1281" t="s">
        <v>122</v>
      </c>
      <c r="B1281" t="s">
        <v>188</v>
      </c>
      <c r="C1281" t="s">
        <v>97</v>
      </c>
      <c r="D1281">
        <v>89916500000000</v>
      </c>
      <c r="E1281">
        <v>89916500000000</v>
      </c>
      <c r="F1281">
        <v>87737100000000</v>
      </c>
      <c r="G1281" s="10">
        <f t="shared" si="19"/>
        <v>89190033333333.328</v>
      </c>
      <c r="H1281" t="str">
        <f>$A1281&amp;Keys!$C$54&amp;$B1281&amp;Keys!$C$54&amp;$C1281</f>
        <v>MN|production|jet fuel or kerosene</v>
      </c>
    </row>
    <row r="1282" spans="1:8" x14ac:dyDescent="0.25">
      <c r="A1282" t="s">
        <v>122</v>
      </c>
      <c r="B1282" t="s">
        <v>188</v>
      </c>
      <c r="C1282" t="s">
        <v>100</v>
      </c>
      <c r="D1282">
        <v>0</v>
      </c>
      <c r="E1282">
        <v>0</v>
      </c>
      <c r="F1282">
        <v>0</v>
      </c>
      <c r="G1282" s="10">
        <f t="shared" si="19"/>
        <v>0</v>
      </c>
      <c r="H1282" t="str">
        <f>$A1282&amp;Keys!$C$54&amp;$B1282&amp;Keys!$C$54&amp;$C1282</f>
        <v>MN|production|heat (not used in this variable)</v>
      </c>
    </row>
    <row r="1283" spans="1:8" x14ac:dyDescent="0.25">
      <c r="A1283" t="s">
        <v>122</v>
      </c>
      <c r="B1283" t="s">
        <v>188</v>
      </c>
      <c r="C1283" t="s">
        <v>103</v>
      </c>
      <c r="D1283">
        <v>0</v>
      </c>
      <c r="E1283">
        <v>0</v>
      </c>
      <c r="F1283">
        <v>0</v>
      </c>
      <c r="G1283" s="10">
        <f t="shared" si="19"/>
        <v>0</v>
      </c>
      <c r="H1283" t="str">
        <f>$A1283&amp;Keys!$C$54&amp;$B1283&amp;Keys!$C$54&amp;$C1283</f>
        <v>MN|production|geothermal (is not a fuel)</v>
      </c>
    </row>
    <row r="1284" spans="1:8" x14ac:dyDescent="0.25">
      <c r="A1284" t="s">
        <v>122</v>
      </c>
      <c r="B1284" t="s">
        <v>188</v>
      </c>
      <c r="C1284" t="s">
        <v>106</v>
      </c>
      <c r="D1284">
        <v>0</v>
      </c>
      <c r="E1284">
        <v>0</v>
      </c>
      <c r="F1284">
        <v>0</v>
      </c>
      <c r="G1284" s="10">
        <f t="shared" si="19"/>
        <v>0</v>
      </c>
      <c r="H1284" t="str">
        <f>$A1284&amp;Keys!$C$54&amp;$B1284&amp;Keys!$C$54&amp;$C1284</f>
        <v>MN|production|lignite</v>
      </c>
    </row>
    <row r="1285" spans="1:8" x14ac:dyDescent="0.25">
      <c r="A1285" t="s">
        <v>122</v>
      </c>
      <c r="B1285" t="s">
        <v>188</v>
      </c>
      <c r="C1285" t="s">
        <v>109</v>
      </c>
      <c r="D1285">
        <v>0</v>
      </c>
      <c r="E1285">
        <v>0</v>
      </c>
      <c r="F1285">
        <v>0</v>
      </c>
      <c r="G1285" s="10">
        <f t="shared" si="19"/>
        <v>0</v>
      </c>
      <c r="H1285" t="str">
        <f>$A1285&amp;Keys!$C$54&amp;$B1285&amp;Keys!$C$54&amp;$C1285</f>
        <v>MN|production|crude oil</v>
      </c>
    </row>
    <row r="1286" spans="1:8" x14ac:dyDescent="0.25">
      <c r="A1286" t="s">
        <v>122</v>
      </c>
      <c r="B1286" t="s">
        <v>188</v>
      </c>
      <c r="C1286" t="s">
        <v>113</v>
      </c>
      <c r="D1286">
        <v>17466600000000</v>
      </c>
      <c r="E1286">
        <v>17466600000000</v>
      </c>
      <c r="F1286">
        <v>17043200000000</v>
      </c>
      <c r="G1286" s="10">
        <f t="shared" si="19"/>
        <v>17325466666666.666</v>
      </c>
      <c r="H1286" t="str">
        <f>$A1286&amp;Keys!$C$54&amp;$B1286&amp;Keys!$C$54&amp;$C1286</f>
        <v>MN|production|heavy fuel oil</v>
      </c>
    </row>
    <row r="1287" spans="1:8" x14ac:dyDescent="0.25">
      <c r="A1287" t="s">
        <v>122</v>
      </c>
      <c r="B1287" t="s">
        <v>188</v>
      </c>
      <c r="C1287" t="s">
        <v>117</v>
      </c>
      <c r="D1287">
        <v>0</v>
      </c>
      <c r="E1287">
        <v>0</v>
      </c>
      <c r="F1287">
        <v>0</v>
      </c>
      <c r="G1287" s="10">
        <f t="shared" si="19"/>
        <v>0</v>
      </c>
      <c r="H1287" t="str">
        <f>$A1287&amp;Keys!$C$54&amp;$B1287&amp;Keys!$C$54&amp;$C1287</f>
        <v>MN|production|LPG propane or butane</v>
      </c>
    </row>
    <row r="1288" spans="1:8" x14ac:dyDescent="0.25">
      <c r="A1288" t="s">
        <v>122</v>
      </c>
      <c r="B1288" t="s">
        <v>188</v>
      </c>
      <c r="C1288" t="s">
        <v>120</v>
      </c>
      <c r="D1288">
        <v>0</v>
      </c>
      <c r="E1288">
        <v>0</v>
      </c>
      <c r="F1288">
        <v>0</v>
      </c>
      <c r="G1288" s="10">
        <f t="shared" si="19"/>
        <v>0</v>
      </c>
      <c r="H1288" t="str">
        <f>$A1288&amp;Keys!$C$54&amp;$B1288&amp;Keys!$C$54&amp;$C1288</f>
        <v>MN|production|municipal solid waste</v>
      </c>
    </row>
    <row r="1289" spans="1:8" x14ac:dyDescent="0.25">
      <c r="A1289" t="s">
        <v>122</v>
      </c>
      <c r="B1289" t="s">
        <v>188</v>
      </c>
      <c r="C1289" t="s">
        <v>123</v>
      </c>
      <c r="D1289">
        <v>24792600000000</v>
      </c>
      <c r="E1289">
        <v>24792600000000</v>
      </c>
      <c r="F1289">
        <v>23545400000000</v>
      </c>
      <c r="G1289" s="10">
        <f t="shared" ref="G1289:G1352" si="20">AVERAGE($D1289:$F1289)</f>
        <v>24376866666666.668</v>
      </c>
      <c r="H1289" t="str">
        <f>$A1289&amp;Keys!$C$54&amp;$B1289&amp;Keys!$C$54&amp;$C1289</f>
        <v>MN|production|hydrogen</v>
      </c>
    </row>
    <row r="1290" spans="1:8" x14ac:dyDescent="0.25">
      <c r="A1290" t="s">
        <v>122</v>
      </c>
      <c r="B1290" t="s">
        <v>191</v>
      </c>
      <c r="C1290" t="s">
        <v>60</v>
      </c>
      <c r="D1290">
        <v>0</v>
      </c>
      <c r="E1290">
        <v>0</v>
      </c>
      <c r="F1290">
        <v>0</v>
      </c>
      <c r="G1290" s="10">
        <f t="shared" si="20"/>
        <v>0</v>
      </c>
      <c r="H1290" t="str">
        <f>$A1290&amp;Keys!$C$54&amp;$B1290&amp;Keys!$C$54&amp;$C1290</f>
        <v>MN|imports|electricity (not used in this variable)</v>
      </c>
    </row>
    <row r="1291" spans="1:8" x14ac:dyDescent="0.25">
      <c r="A1291" t="s">
        <v>122</v>
      </c>
      <c r="B1291" t="s">
        <v>191</v>
      </c>
      <c r="C1291" t="s">
        <v>64</v>
      </c>
      <c r="D1291">
        <v>152117000000000</v>
      </c>
      <c r="E1291">
        <v>161316000000000</v>
      </c>
      <c r="F1291">
        <v>165554000000000</v>
      </c>
      <c r="G1291" s="10">
        <f t="shared" si="20"/>
        <v>159662333333333.34</v>
      </c>
      <c r="H1291" t="str">
        <f>$A1291&amp;Keys!$C$54&amp;$B1291&amp;Keys!$C$54&amp;$C1291</f>
        <v>MN|imports|hard coal</v>
      </c>
    </row>
    <row r="1292" spans="1:8" x14ac:dyDescent="0.25">
      <c r="A1292" t="s">
        <v>122</v>
      </c>
      <c r="B1292" t="s">
        <v>191</v>
      </c>
      <c r="C1292" t="s">
        <v>68</v>
      </c>
      <c r="D1292">
        <v>2420600000000000</v>
      </c>
      <c r="E1292">
        <v>2348640000000000</v>
      </c>
      <c r="F1292">
        <v>2167240000000000</v>
      </c>
      <c r="G1292" s="10">
        <f t="shared" si="20"/>
        <v>2312160000000000</v>
      </c>
      <c r="H1292" t="str">
        <f>$A1292&amp;Keys!$C$54&amp;$B1292&amp;Keys!$C$54&amp;$C1292</f>
        <v>MN|imports|natural gas</v>
      </c>
    </row>
    <row r="1293" spans="1:8" x14ac:dyDescent="0.25">
      <c r="A1293" t="s">
        <v>122</v>
      </c>
      <c r="B1293" t="s">
        <v>191</v>
      </c>
      <c r="C1293" t="s">
        <v>71</v>
      </c>
      <c r="D1293">
        <v>123693000000000</v>
      </c>
      <c r="E1293">
        <v>138951000000000</v>
      </c>
      <c r="F1293">
        <v>131693000000000</v>
      </c>
      <c r="G1293" s="10">
        <f t="shared" si="20"/>
        <v>131445666666666.67</v>
      </c>
      <c r="H1293" t="str">
        <f>$A1293&amp;Keys!$C$54&amp;$B1293&amp;Keys!$C$54&amp;$C1293</f>
        <v>MN|imports|nuclear</v>
      </c>
    </row>
    <row r="1294" spans="1:8" x14ac:dyDescent="0.25">
      <c r="A1294" t="s">
        <v>122</v>
      </c>
      <c r="B1294" t="s">
        <v>191</v>
      </c>
      <c r="C1294" t="s">
        <v>74</v>
      </c>
      <c r="D1294">
        <v>0</v>
      </c>
      <c r="E1294">
        <v>0</v>
      </c>
      <c r="F1294">
        <v>0</v>
      </c>
      <c r="G1294" s="10">
        <f t="shared" si="20"/>
        <v>0</v>
      </c>
      <c r="H1294" t="str">
        <f>$A1294&amp;Keys!$C$54&amp;$B1294&amp;Keys!$C$54&amp;$C1294</f>
        <v>MN|imports|hydro (is not a fuel)</v>
      </c>
    </row>
    <row r="1295" spans="1:8" x14ac:dyDescent="0.25">
      <c r="A1295" t="s">
        <v>122</v>
      </c>
      <c r="B1295" t="s">
        <v>191</v>
      </c>
      <c r="C1295" t="s">
        <v>77</v>
      </c>
      <c r="D1295">
        <v>0</v>
      </c>
      <c r="E1295">
        <v>0</v>
      </c>
      <c r="F1295">
        <v>0</v>
      </c>
      <c r="G1295" s="10">
        <f t="shared" si="20"/>
        <v>0</v>
      </c>
      <c r="H1295" t="str">
        <f>$A1295&amp;Keys!$C$54&amp;$B1295&amp;Keys!$C$54&amp;$C1295</f>
        <v>MN|imports|wind (is not a fuel)</v>
      </c>
    </row>
    <row r="1296" spans="1:8" x14ac:dyDescent="0.25">
      <c r="A1296" t="s">
        <v>122</v>
      </c>
      <c r="B1296" t="s">
        <v>191</v>
      </c>
      <c r="C1296" t="s">
        <v>80</v>
      </c>
      <c r="D1296">
        <v>0</v>
      </c>
      <c r="E1296">
        <v>0</v>
      </c>
      <c r="F1296">
        <v>0</v>
      </c>
      <c r="G1296" s="10">
        <f t="shared" si="20"/>
        <v>0</v>
      </c>
      <c r="H1296" t="str">
        <f>$A1296&amp;Keys!$C$54&amp;$B1296&amp;Keys!$C$54&amp;$C1296</f>
        <v>MN|imports|solar (is not a fuel)</v>
      </c>
    </row>
    <row r="1297" spans="1:8" x14ac:dyDescent="0.25">
      <c r="A1297" t="s">
        <v>122</v>
      </c>
      <c r="B1297" t="s">
        <v>191</v>
      </c>
      <c r="C1297" t="s">
        <v>82</v>
      </c>
      <c r="D1297">
        <v>0</v>
      </c>
      <c r="E1297">
        <v>44900100000000</v>
      </c>
      <c r="F1297">
        <v>44766400000000</v>
      </c>
      <c r="G1297" s="10">
        <f t="shared" si="20"/>
        <v>29888833333333.332</v>
      </c>
      <c r="H1297" t="str">
        <f>$A1297&amp;Keys!$C$54&amp;$B1297&amp;Keys!$C$54&amp;$C1297</f>
        <v>MN|imports|biomass</v>
      </c>
    </row>
    <row r="1298" spans="1:8" x14ac:dyDescent="0.25">
      <c r="A1298" t="s">
        <v>122</v>
      </c>
      <c r="B1298" t="s">
        <v>191</v>
      </c>
      <c r="C1298" t="s">
        <v>85</v>
      </c>
      <c r="D1298">
        <v>0</v>
      </c>
      <c r="E1298">
        <v>0</v>
      </c>
      <c r="F1298">
        <v>0</v>
      </c>
      <c r="G1298" s="10">
        <f t="shared" si="20"/>
        <v>0</v>
      </c>
      <c r="H1298" t="str">
        <f>$A1298&amp;Keys!$C$54&amp;$B1298&amp;Keys!$C$54&amp;$C1298</f>
        <v>MN|imports|petroleum gasoline</v>
      </c>
    </row>
    <row r="1299" spans="1:8" x14ac:dyDescent="0.25">
      <c r="A1299" t="s">
        <v>122</v>
      </c>
      <c r="B1299" t="s">
        <v>191</v>
      </c>
      <c r="C1299" t="s">
        <v>88</v>
      </c>
      <c r="D1299">
        <v>0</v>
      </c>
      <c r="E1299">
        <v>0</v>
      </c>
      <c r="F1299">
        <v>0</v>
      </c>
      <c r="G1299" s="10">
        <f t="shared" si="20"/>
        <v>0</v>
      </c>
      <c r="H1299" t="str">
        <f>$A1299&amp;Keys!$C$54&amp;$B1299&amp;Keys!$C$54&amp;$C1299</f>
        <v>MN|imports|petroleum diesel</v>
      </c>
    </row>
    <row r="1300" spans="1:8" x14ac:dyDescent="0.25">
      <c r="A1300" t="s">
        <v>122</v>
      </c>
      <c r="B1300" t="s">
        <v>191</v>
      </c>
      <c r="C1300" t="s">
        <v>91</v>
      </c>
      <c r="D1300">
        <v>0</v>
      </c>
      <c r="E1300">
        <v>0</v>
      </c>
      <c r="F1300">
        <v>0</v>
      </c>
      <c r="G1300" s="10">
        <f t="shared" si="20"/>
        <v>0</v>
      </c>
      <c r="H1300" t="str">
        <f>$A1300&amp;Keys!$C$54&amp;$B1300&amp;Keys!$C$54&amp;$C1300</f>
        <v>MN|imports|biofuel gasoline</v>
      </c>
    </row>
    <row r="1301" spans="1:8" x14ac:dyDescent="0.25">
      <c r="A1301" t="s">
        <v>122</v>
      </c>
      <c r="B1301" t="s">
        <v>191</v>
      </c>
      <c r="C1301" t="s">
        <v>94</v>
      </c>
      <c r="D1301">
        <v>0</v>
      </c>
      <c r="E1301">
        <v>0</v>
      </c>
      <c r="F1301">
        <v>0</v>
      </c>
      <c r="G1301" s="10">
        <f t="shared" si="20"/>
        <v>0</v>
      </c>
      <c r="H1301" t="str">
        <f>$A1301&amp;Keys!$C$54&amp;$B1301&amp;Keys!$C$54&amp;$C1301</f>
        <v>MN|imports|biofuel diesel</v>
      </c>
    </row>
    <row r="1302" spans="1:8" x14ac:dyDescent="0.25">
      <c r="A1302" t="s">
        <v>122</v>
      </c>
      <c r="B1302" t="s">
        <v>191</v>
      </c>
      <c r="C1302" t="s">
        <v>97</v>
      </c>
      <c r="D1302">
        <v>0</v>
      </c>
      <c r="E1302">
        <v>0</v>
      </c>
      <c r="F1302">
        <v>0</v>
      </c>
      <c r="G1302" s="10">
        <f t="shared" si="20"/>
        <v>0</v>
      </c>
      <c r="H1302" t="str">
        <f>$A1302&amp;Keys!$C$54&amp;$B1302&amp;Keys!$C$54&amp;$C1302</f>
        <v>MN|imports|jet fuel or kerosene</v>
      </c>
    </row>
    <row r="1303" spans="1:8" x14ac:dyDescent="0.25">
      <c r="A1303" t="s">
        <v>122</v>
      </c>
      <c r="B1303" t="s">
        <v>191</v>
      </c>
      <c r="C1303" t="s">
        <v>100</v>
      </c>
      <c r="D1303">
        <v>0</v>
      </c>
      <c r="E1303">
        <v>0</v>
      </c>
      <c r="F1303">
        <v>0</v>
      </c>
      <c r="G1303" s="10">
        <f t="shared" si="20"/>
        <v>0</v>
      </c>
      <c r="H1303" t="str">
        <f>$A1303&amp;Keys!$C$54&amp;$B1303&amp;Keys!$C$54&amp;$C1303</f>
        <v>MN|imports|heat (not used in this variable)</v>
      </c>
    </row>
    <row r="1304" spans="1:8" x14ac:dyDescent="0.25">
      <c r="A1304" t="s">
        <v>122</v>
      </c>
      <c r="B1304" t="s">
        <v>191</v>
      </c>
      <c r="C1304" t="s">
        <v>103</v>
      </c>
      <c r="D1304">
        <v>0</v>
      </c>
      <c r="E1304">
        <v>0</v>
      </c>
      <c r="F1304">
        <v>0</v>
      </c>
      <c r="G1304" s="10">
        <f t="shared" si="20"/>
        <v>0</v>
      </c>
      <c r="H1304" t="str">
        <f>$A1304&amp;Keys!$C$54&amp;$B1304&amp;Keys!$C$54&amp;$C1304</f>
        <v>MN|imports|geothermal (is not a fuel)</v>
      </c>
    </row>
    <row r="1305" spans="1:8" x14ac:dyDescent="0.25">
      <c r="A1305" t="s">
        <v>122</v>
      </c>
      <c r="B1305" t="s">
        <v>191</v>
      </c>
      <c r="C1305" t="s">
        <v>106</v>
      </c>
      <c r="D1305">
        <v>0</v>
      </c>
      <c r="E1305">
        <v>0</v>
      </c>
      <c r="F1305">
        <v>0</v>
      </c>
      <c r="G1305" s="10">
        <f t="shared" si="20"/>
        <v>0</v>
      </c>
      <c r="H1305" t="str">
        <f>$A1305&amp;Keys!$C$54&amp;$B1305&amp;Keys!$C$54&amp;$C1305</f>
        <v>MN|imports|lignite</v>
      </c>
    </row>
    <row r="1306" spans="1:8" x14ac:dyDescent="0.25">
      <c r="A1306" t="s">
        <v>122</v>
      </c>
      <c r="B1306" t="s">
        <v>191</v>
      </c>
      <c r="C1306" t="s">
        <v>109</v>
      </c>
      <c r="D1306">
        <v>0</v>
      </c>
      <c r="E1306">
        <v>888164000000000</v>
      </c>
      <c r="F1306">
        <v>888164000000000</v>
      </c>
      <c r="G1306" s="10">
        <f t="shared" si="20"/>
        <v>592109333333333.38</v>
      </c>
      <c r="H1306" t="str">
        <f>$A1306&amp;Keys!$C$54&amp;$B1306&amp;Keys!$C$54&amp;$C1306</f>
        <v>MN|imports|crude oil</v>
      </c>
    </row>
    <row r="1307" spans="1:8" x14ac:dyDescent="0.25">
      <c r="A1307" t="s">
        <v>122</v>
      </c>
      <c r="B1307" t="s">
        <v>191</v>
      </c>
      <c r="C1307" t="s">
        <v>113</v>
      </c>
      <c r="D1307">
        <v>0</v>
      </c>
      <c r="E1307">
        <v>6874380000000</v>
      </c>
      <c r="F1307">
        <v>7805250000000</v>
      </c>
      <c r="G1307" s="10">
        <f t="shared" si="20"/>
        <v>4893210000000</v>
      </c>
      <c r="H1307" t="str">
        <f>$A1307&amp;Keys!$C$54&amp;$B1307&amp;Keys!$C$54&amp;$C1307</f>
        <v>MN|imports|heavy fuel oil</v>
      </c>
    </row>
    <row r="1308" spans="1:8" x14ac:dyDescent="0.25">
      <c r="A1308" t="s">
        <v>122</v>
      </c>
      <c r="B1308" t="s">
        <v>191</v>
      </c>
      <c r="C1308" t="s">
        <v>117</v>
      </c>
      <c r="D1308">
        <v>0</v>
      </c>
      <c r="E1308">
        <v>38914200000000</v>
      </c>
      <c r="F1308">
        <v>38696000000000</v>
      </c>
      <c r="G1308" s="10">
        <f t="shared" si="20"/>
        <v>25870066666666.668</v>
      </c>
      <c r="H1308" t="str">
        <f>$A1308&amp;Keys!$C$54&amp;$B1308&amp;Keys!$C$54&amp;$C1308</f>
        <v>MN|imports|LPG propane or butane</v>
      </c>
    </row>
    <row r="1309" spans="1:8" x14ac:dyDescent="0.25">
      <c r="A1309" t="s">
        <v>122</v>
      </c>
      <c r="B1309" t="s">
        <v>191</v>
      </c>
      <c r="C1309" t="s">
        <v>120</v>
      </c>
      <c r="D1309">
        <v>0</v>
      </c>
      <c r="E1309">
        <v>7121980000000</v>
      </c>
      <c r="F1309">
        <v>14041900000000</v>
      </c>
      <c r="G1309" s="10">
        <f t="shared" si="20"/>
        <v>7054626666666.667</v>
      </c>
      <c r="H1309" t="str">
        <f>$A1309&amp;Keys!$C$54&amp;$B1309&amp;Keys!$C$54&amp;$C1309</f>
        <v>MN|imports|municipal solid waste</v>
      </c>
    </row>
    <row r="1310" spans="1:8" x14ac:dyDescent="0.25">
      <c r="A1310" t="s">
        <v>122</v>
      </c>
      <c r="B1310" t="s">
        <v>191</v>
      </c>
      <c r="C1310" t="s">
        <v>123</v>
      </c>
      <c r="D1310">
        <v>0</v>
      </c>
      <c r="E1310">
        <v>0</v>
      </c>
      <c r="F1310">
        <v>805211000000</v>
      </c>
      <c r="G1310" s="10">
        <f t="shared" si="20"/>
        <v>268403666666.66666</v>
      </c>
      <c r="H1310" t="str">
        <f>$A1310&amp;Keys!$C$54&amp;$B1310&amp;Keys!$C$54&amp;$C1310</f>
        <v>MN|imports|hydrogen</v>
      </c>
    </row>
    <row r="1311" spans="1:8" x14ac:dyDescent="0.25">
      <c r="A1311" t="s">
        <v>122</v>
      </c>
      <c r="B1311" t="s">
        <v>193</v>
      </c>
      <c r="C1311" t="s">
        <v>60</v>
      </c>
      <c r="D1311">
        <v>0</v>
      </c>
      <c r="E1311">
        <v>0</v>
      </c>
      <c r="F1311">
        <v>0</v>
      </c>
      <c r="G1311" s="10">
        <f t="shared" si="20"/>
        <v>0</v>
      </c>
      <c r="H1311" t="str">
        <f>$A1311&amp;Keys!$C$54&amp;$B1311&amp;Keys!$C$54&amp;$C1311</f>
        <v>MN|exports|electricity (not used in this variable)</v>
      </c>
    </row>
    <row r="1312" spans="1:8" x14ac:dyDescent="0.25">
      <c r="A1312" t="s">
        <v>122</v>
      </c>
      <c r="B1312" t="s">
        <v>193</v>
      </c>
      <c r="C1312" t="s">
        <v>64</v>
      </c>
      <c r="D1312">
        <v>0</v>
      </c>
      <c r="E1312">
        <v>0</v>
      </c>
      <c r="F1312">
        <v>0</v>
      </c>
      <c r="G1312" s="10">
        <f t="shared" si="20"/>
        <v>0</v>
      </c>
      <c r="H1312" t="str">
        <f>$A1312&amp;Keys!$C$54&amp;$B1312&amp;Keys!$C$54&amp;$C1312</f>
        <v>MN|exports|hard coal</v>
      </c>
    </row>
    <row r="1313" spans="1:8" x14ac:dyDescent="0.25">
      <c r="A1313" t="s">
        <v>122</v>
      </c>
      <c r="B1313" t="s">
        <v>193</v>
      </c>
      <c r="C1313" t="s">
        <v>68</v>
      </c>
      <c r="D1313">
        <v>1852590000000000</v>
      </c>
      <c r="E1313">
        <v>1852590000000000</v>
      </c>
      <c r="F1313">
        <v>1679690000000000</v>
      </c>
      <c r="G1313" s="10">
        <f t="shared" si="20"/>
        <v>1794956666666666.8</v>
      </c>
      <c r="H1313" t="str">
        <f>$A1313&amp;Keys!$C$54&amp;$B1313&amp;Keys!$C$54&amp;$C1313</f>
        <v>MN|exports|natural gas</v>
      </c>
    </row>
    <row r="1314" spans="1:8" x14ac:dyDescent="0.25">
      <c r="A1314" t="s">
        <v>122</v>
      </c>
      <c r="B1314" t="s">
        <v>193</v>
      </c>
      <c r="C1314" t="s">
        <v>71</v>
      </c>
      <c r="D1314">
        <v>0</v>
      </c>
      <c r="E1314">
        <v>0</v>
      </c>
      <c r="F1314">
        <v>0</v>
      </c>
      <c r="G1314" s="10">
        <f t="shared" si="20"/>
        <v>0</v>
      </c>
      <c r="H1314" t="str">
        <f>$A1314&amp;Keys!$C$54&amp;$B1314&amp;Keys!$C$54&amp;$C1314</f>
        <v>MN|exports|nuclear</v>
      </c>
    </row>
    <row r="1315" spans="1:8" x14ac:dyDescent="0.25">
      <c r="A1315" t="s">
        <v>122</v>
      </c>
      <c r="B1315" t="s">
        <v>193</v>
      </c>
      <c r="C1315" t="s">
        <v>74</v>
      </c>
      <c r="D1315">
        <v>0</v>
      </c>
      <c r="E1315">
        <v>0</v>
      </c>
      <c r="F1315">
        <v>0</v>
      </c>
      <c r="G1315" s="10">
        <f t="shared" si="20"/>
        <v>0</v>
      </c>
      <c r="H1315" t="str">
        <f>$A1315&amp;Keys!$C$54&amp;$B1315&amp;Keys!$C$54&amp;$C1315</f>
        <v>MN|exports|hydro (is not a fuel)</v>
      </c>
    </row>
    <row r="1316" spans="1:8" x14ac:dyDescent="0.25">
      <c r="A1316" t="s">
        <v>122</v>
      </c>
      <c r="B1316" t="s">
        <v>193</v>
      </c>
      <c r="C1316" t="s">
        <v>77</v>
      </c>
      <c r="D1316">
        <v>0</v>
      </c>
      <c r="E1316">
        <v>0</v>
      </c>
      <c r="F1316">
        <v>0</v>
      </c>
      <c r="G1316" s="10">
        <f t="shared" si="20"/>
        <v>0</v>
      </c>
      <c r="H1316" t="str">
        <f>$A1316&amp;Keys!$C$54&amp;$B1316&amp;Keys!$C$54&amp;$C1316</f>
        <v>MN|exports|wind (is not a fuel)</v>
      </c>
    </row>
    <row r="1317" spans="1:8" x14ac:dyDescent="0.25">
      <c r="A1317" t="s">
        <v>122</v>
      </c>
      <c r="B1317" t="s">
        <v>193</v>
      </c>
      <c r="C1317" t="s">
        <v>80</v>
      </c>
      <c r="D1317">
        <v>0</v>
      </c>
      <c r="E1317">
        <v>0</v>
      </c>
      <c r="F1317">
        <v>0</v>
      </c>
      <c r="G1317" s="10">
        <f t="shared" si="20"/>
        <v>0</v>
      </c>
      <c r="H1317" t="str">
        <f>$A1317&amp;Keys!$C$54&amp;$B1317&amp;Keys!$C$54&amp;$C1317</f>
        <v>MN|exports|solar (is not a fuel)</v>
      </c>
    </row>
    <row r="1318" spans="1:8" x14ac:dyDescent="0.25">
      <c r="A1318" t="s">
        <v>122</v>
      </c>
      <c r="B1318" t="s">
        <v>193</v>
      </c>
      <c r="C1318" t="s">
        <v>82</v>
      </c>
      <c r="D1318">
        <v>0</v>
      </c>
      <c r="E1318">
        <v>0</v>
      </c>
      <c r="F1318">
        <v>0</v>
      </c>
      <c r="G1318" s="10">
        <f t="shared" si="20"/>
        <v>0</v>
      </c>
      <c r="H1318" t="str">
        <f>$A1318&amp;Keys!$C$54&amp;$B1318&amp;Keys!$C$54&amp;$C1318</f>
        <v>MN|exports|biomass</v>
      </c>
    </row>
    <row r="1319" spans="1:8" x14ac:dyDescent="0.25">
      <c r="A1319" t="s">
        <v>122</v>
      </c>
      <c r="B1319" t="s">
        <v>193</v>
      </c>
      <c r="C1319" t="s">
        <v>85</v>
      </c>
      <c r="D1319">
        <v>58870700000000</v>
      </c>
      <c r="E1319">
        <v>184383000000000</v>
      </c>
      <c r="F1319">
        <v>176372000000000</v>
      </c>
      <c r="G1319" s="10">
        <f t="shared" si="20"/>
        <v>139875233333333.33</v>
      </c>
      <c r="H1319" t="str">
        <f>$A1319&amp;Keys!$C$54&amp;$B1319&amp;Keys!$C$54&amp;$C1319</f>
        <v>MN|exports|petroleum gasoline</v>
      </c>
    </row>
    <row r="1320" spans="1:8" x14ac:dyDescent="0.25">
      <c r="A1320" t="s">
        <v>122</v>
      </c>
      <c r="B1320" t="s">
        <v>193</v>
      </c>
      <c r="C1320" t="s">
        <v>88</v>
      </c>
      <c r="D1320">
        <v>0</v>
      </c>
      <c r="E1320">
        <v>100472000000000</v>
      </c>
      <c r="F1320">
        <v>94401800000000</v>
      </c>
      <c r="G1320" s="10">
        <f t="shared" si="20"/>
        <v>64957933333333.336</v>
      </c>
      <c r="H1320" t="str">
        <f>$A1320&amp;Keys!$C$54&amp;$B1320&amp;Keys!$C$54&amp;$C1320</f>
        <v>MN|exports|petroleum diesel</v>
      </c>
    </row>
    <row r="1321" spans="1:8" x14ac:dyDescent="0.25">
      <c r="A1321" t="s">
        <v>122</v>
      </c>
      <c r="B1321" t="s">
        <v>193</v>
      </c>
      <c r="C1321" t="s">
        <v>91</v>
      </c>
      <c r="D1321">
        <v>0</v>
      </c>
      <c r="E1321">
        <v>97668800000000</v>
      </c>
      <c r="F1321">
        <v>98211600000000</v>
      </c>
      <c r="G1321" s="10">
        <f t="shared" si="20"/>
        <v>65293466666666.664</v>
      </c>
      <c r="H1321" t="str">
        <f>$A1321&amp;Keys!$C$54&amp;$B1321&amp;Keys!$C$54&amp;$C1321</f>
        <v>MN|exports|biofuel gasoline</v>
      </c>
    </row>
    <row r="1322" spans="1:8" x14ac:dyDescent="0.25">
      <c r="A1322" t="s">
        <v>122</v>
      </c>
      <c r="B1322" t="s">
        <v>193</v>
      </c>
      <c r="C1322" t="s">
        <v>94</v>
      </c>
      <c r="D1322">
        <v>0</v>
      </c>
      <c r="E1322">
        <v>15239200000000</v>
      </c>
      <c r="F1322">
        <v>20304200000000</v>
      </c>
      <c r="G1322" s="10">
        <f t="shared" si="20"/>
        <v>11847800000000</v>
      </c>
      <c r="H1322" t="str">
        <f>$A1322&amp;Keys!$C$54&amp;$B1322&amp;Keys!$C$54&amp;$C1322</f>
        <v>MN|exports|biofuel diesel</v>
      </c>
    </row>
    <row r="1323" spans="1:8" x14ac:dyDescent="0.25">
      <c r="A1323" t="s">
        <v>122</v>
      </c>
      <c r="B1323" t="s">
        <v>193</v>
      </c>
      <c r="C1323" t="s">
        <v>97</v>
      </c>
      <c r="D1323">
        <v>0</v>
      </c>
      <c r="E1323">
        <v>41944500000000</v>
      </c>
      <c r="F1323">
        <v>38785700000000</v>
      </c>
      <c r="G1323" s="10">
        <f t="shared" si="20"/>
        <v>26910066666666.668</v>
      </c>
      <c r="H1323" t="str">
        <f>$A1323&amp;Keys!$C$54&amp;$B1323&amp;Keys!$C$54&amp;$C1323</f>
        <v>MN|exports|jet fuel or kerosene</v>
      </c>
    </row>
    <row r="1324" spans="1:8" x14ac:dyDescent="0.25">
      <c r="A1324" t="s">
        <v>122</v>
      </c>
      <c r="B1324" t="s">
        <v>193</v>
      </c>
      <c r="C1324" t="s">
        <v>100</v>
      </c>
      <c r="D1324">
        <v>0</v>
      </c>
      <c r="E1324">
        <v>0</v>
      </c>
      <c r="F1324">
        <v>0</v>
      </c>
      <c r="G1324" s="10">
        <f t="shared" si="20"/>
        <v>0</v>
      </c>
      <c r="H1324" t="str">
        <f>$A1324&amp;Keys!$C$54&amp;$B1324&amp;Keys!$C$54&amp;$C1324</f>
        <v>MN|exports|heat (not used in this variable)</v>
      </c>
    </row>
    <row r="1325" spans="1:8" x14ac:dyDescent="0.25">
      <c r="A1325" t="s">
        <v>122</v>
      </c>
      <c r="B1325" t="s">
        <v>193</v>
      </c>
      <c r="C1325" t="s">
        <v>103</v>
      </c>
      <c r="D1325">
        <v>0</v>
      </c>
      <c r="E1325">
        <v>0</v>
      </c>
      <c r="F1325">
        <v>0</v>
      </c>
      <c r="G1325" s="10">
        <f t="shared" si="20"/>
        <v>0</v>
      </c>
      <c r="H1325" t="str">
        <f>$A1325&amp;Keys!$C$54&amp;$B1325&amp;Keys!$C$54&amp;$C1325</f>
        <v>MN|exports|geothermal (is not a fuel)</v>
      </c>
    </row>
    <row r="1326" spans="1:8" x14ac:dyDescent="0.25">
      <c r="A1326" t="s">
        <v>122</v>
      </c>
      <c r="B1326" t="s">
        <v>193</v>
      </c>
      <c r="C1326" t="s">
        <v>106</v>
      </c>
      <c r="D1326">
        <v>0</v>
      </c>
      <c r="E1326">
        <v>0</v>
      </c>
      <c r="F1326">
        <v>0</v>
      </c>
      <c r="G1326" s="10">
        <f t="shared" si="20"/>
        <v>0</v>
      </c>
      <c r="H1326" t="str">
        <f>$A1326&amp;Keys!$C$54&amp;$B1326&amp;Keys!$C$54&amp;$C1326</f>
        <v>MN|exports|lignite</v>
      </c>
    </row>
    <row r="1327" spans="1:8" x14ac:dyDescent="0.25">
      <c r="A1327" t="s">
        <v>122</v>
      </c>
      <c r="B1327" t="s">
        <v>193</v>
      </c>
      <c r="C1327" t="s">
        <v>109</v>
      </c>
      <c r="D1327">
        <v>0</v>
      </c>
      <c r="E1327">
        <v>0</v>
      </c>
      <c r="F1327">
        <v>0</v>
      </c>
      <c r="G1327" s="10">
        <f t="shared" si="20"/>
        <v>0</v>
      </c>
      <c r="H1327" t="str">
        <f>$A1327&amp;Keys!$C$54&amp;$B1327&amp;Keys!$C$54&amp;$C1327</f>
        <v>MN|exports|crude oil</v>
      </c>
    </row>
    <row r="1328" spans="1:8" x14ac:dyDescent="0.25">
      <c r="A1328" t="s">
        <v>122</v>
      </c>
      <c r="B1328" t="s">
        <v>193</v>
      </c>
      <c r="C1328" t="s">
        <v>113</v>
      </c>
      <c r="D1328">
        <v>0</v>
      </c>
      <c r="E1328">
        <v>0</v>
      </c>
      <c r="F1328">
        <v>0</v>
      </c>
      <c r="G1328" s="10">
        <f t="shared" si="20"/>
        <v>0</v>
      </c>
      <c r="H1328" t="str">
        <f>$A1328&amp;Keys!$C$54&amp;$B1328&amp;Keys!$C$54&amp;$C1328</f>
        <v>MN|exports|heavy fuel oil</v>
      </c>
    </row>
    <row r="1329" spans="1:8" x14ac:dyDescent="0.25">
      <c r="A1329" t="s">
        <v>122</v>
      </c>
      <c r="B1329" t="s">
        <v>193</v>
      </c>
      <c r="C1329" t="s">
        <v>117</v>
      </c>
      <c r="D1329">
        <v>0</v>
      </c>
      <c r="E1329">
        <v>0</v>
      </c>
      <c r="F1329">
        <v>0</v>
      </c>
      <c r="G1329" s="10">
        <f t="shared" si="20"/>
        <v>0</v>
      </c>
      <c r="H1329" t="str">
        <f>$A1329&amp;Keys!$C$54&amp;$B1329&amp;Keys!$C$54&amp;$C1329</f>
        <v>MN|exports|LPG propane or butane</v>
      </c>
    </row>
    <row r="1330" spans="1:8" x14ac:dyDescent="0.25">
      <c r="A1330" t="s">
        <v>122</v>
      </c>
      <c r="B1330" t="s">
        <v>193</v>
      </c>
      <c r="C1330" t="s">
        <v>120</v>
      </c>
      <c r="D1330">
        <v>0</v>
      </c>
      <c r="E1330">
        <v>0</v>
      </c>
      <c r="F1330">
        <v>0</v>
      </c>
      <c r="G1330" s="10">
        <f t="shared" si="20"/>
        <v>0</v>
      </c>
      <c r="H1330" t="str">
        <f>$A1330&amp;Keys!$C$54&amp;$B1330&amp;Keys!$C$54&amp;$C1330</f>
        <v>MN|exports|municipal solid waste</v>
      </c>
    </row>
    <row r="1331" spans="1:8" x14ac:dyDescent="0.25">
      <c r="A1331" t="s">
        <v>122</v>
      </c>
      <c r="B1331" t="s">
        <v>193</v>
      </c>
      <c r="C1331" t="s">
        <v>123</v>
      </c>
      <c r="D1331">
        <v>0</v>
      </c>
      <c r="E1331">
        <v>441920000000</v>
      </c>
      <c r="F1331">
        <v>0</v>
      </c>
      <c r="G1331" s="10">
        <f t="shared" si="20"/>
        <v>147306666666.66666</v>
      </c>
      <c r="H1331" t="str">
        <f>$A1331&amp;Keys!$C$54&amp;$B1331&amp;Keys!$C$54&amp;$C1331</f>
        <v>MN|exports|hydrogen</v>
      </c>
    </row>
    <row r="1332" spans="1:8" x14ac:dyDescent="0.25">
      <c r="A1332" t="s">
        <v>125</v>
      </c>
      <c r="B1332" t="s">
        <v>188</v>
      </c>
      <c r="C1332" t="s">
        <v>60</v>
      </c>
      <c r="D1332">
        <v>0</v>
      </c>
      <c r="E1332">
        <v>0</v>
      </c>
      <c r="F1332">
        <v>0</v>
      </c>
      <c r="G1332" s="10">
        <f t="shared" si="20"/>
        <v>0</v>
      </c>
      <c r="H1332" t="str">
        <f>$A1332&amp;Keys!$C$54&amp;$B1332&amp;Keys!$C$54&amp;$C1332</f>
        <v>MO|production|electricity (not used in this variable)</v>
      </c>
    </row>
    <row r="1333" spans="1:8" x14ac:dyDescent="0.25">
      <c r="A1333" t="s">
        <v>125</v>
      </c>
      <c r="B1333" t="s">
        <v>188</v>
      </c>
      <c r="C1333" t="s">
        <v>64</v>
      </c>
      <c r="D1333">
        <v>3019940000000</v>
      </c>
      <c r="E1333">
        <v>3019940000000</v>
      </c>
      <c r="F1333">
        <v>3003690000000</v>
      </c>
      <c r="G1333" s="10">
        <f t="shared" si="20"/>
        <v>3014523333333.3335</v>
      </c>
      <c r="H1333" t="str">
        <f>$A1333&amp;Keys!$C$54&amp;$B1333&amp;Keys!$C$54&amp;$C1333</f>
        <v>MO|production|hard coal</v>
      </c>
    </row>
    <row r="1334" spans="1:8" x14ac:dyDescent="0.25">
      <c r="A1334" t="s">
        <v>125</v>
      </c>
      <c r="B1334" t="s">
        <v>188</v>
      </c>
      <c r="C1334" t="s">
        <v>68</v>
      </c>
      <c r="D1334">
        <v>1037000000</v>
      </c>
      <c r="E1334">
        <v>1037000000</v>
      </c>
      <c r="F1334">
        <v>940219000</v>
      </c>
      <c r="G1334" s="10">
        <f t="shared" si="20"/>
        <v>1004739666.6666666</v>
      </c>
      <c r="H1334" t="str">
        <f>$A1334&amp;Keys!$C$54&amp;$B1334&amp;Keys!$C$54&amp;$C1334</f>
        <v>MO|production|natural gas</v>
      </c>
    </row>
    <row r="1335" spans="1:8" x14ac:dyDescent="0.25">
      <c r="A1335" t="s">
        <v>125</v>
      </c>
      <c r="B1335" t="s">
        <v>188</v>
      </c>
      <c r="C1335" t="s">
        <v>71</v>
      </c>
      <c r="D1335">
        <v>0</v>
      </c>
      <c r="E1335">
        <v>0</v>
      </c>
      <c r="F1335">
        <v>0</v>
      </c>
      <c r="G1335" s="10">
        <f t="shared" si="20"/>
        <v>0</v>
      </c>
      <c r="H1335" t="str">
        <f>$A1335&amp;Keys!$C$54&amp;$B1335&amp;Keys!$C$54&amp;$C1335</f>
        <v>MO|production|nuclear</v>
      </c>
    </row>
    <row r="1336" spans="1:8" x14ac:dyDescent="0.25">
      <c r="A1336" t="s">
        <v>125</v>
      </c>
      <c r="B1336" t="s">
        <v>188</v>
      </c>
      <c r="C1336" t="s">
        <v>74</v>
      </c>
      <c r="D1336">
        <v>0</v>
      </c>
      <c r="E1336">
        <v>0</v>
      </c>
      <c r="F1336">
        <v>0</v>
      </c>
      <c r="G1336" s="10">
        <f t="shared" si="20"/>
        <v>0</v>
      </c>
      <c r="H1336" t="str">
        <f>$A1336&amp;Keys!$C$54&amp;$B1336&amp;Keys!$C$54&amp;$C1336</f>
        <v>MO|production|hydro (is not a fuel)</v>
      </c>
    </row>
    <row r="1337" spans="1:8" x14ac:dyDescent="0.25">
      <c r="A1337" t="s">
        <v>125</v>
      </c>
      <c r="B1337" t="s">
        <v>188</v>
      </c>
      <c r="C1337" t="s">
        <v>77</v>
      </c>
      <c r="D1337">
        <v>0</v>
      </c>
      <c r="E1337">
        <v>0</v>
      </c>
      <c r="F1337">
        <v>0</v>
      </c>
      <c r="G1337" s="10">
        <f t="shared" si="20"/>
        <v>0</v>
      </c>
      <c r="H1337" t="str">
        <f>$A1337&amp;Keys!$C$54&amp;$B1337&amp;Keys!$C$54&amp;$C1337</f>
        <v>MO|production|wind (is not a fuel)</v>
      </c>
    </row>
    <row r="1338" spans="1:8" x14ac:dyDescent="0.25">
      <c r="A1338" t="s">
        <v>125</v>
      </c>
      <c r="B1338" t="s">
        <v>188</v>
      </c>
      <c r="C1338" t="s">
        <v>80</v>
      </c>
      <c r="D1338">
        <v>0</v>
      </c>
      <c r="E1338">
        <v>0</v>
      </c>
      <c r="F1338">
        <v>0</v>
      </c>
      <c r="G1338" s="10">
        <f t="shared" si="20"/>
        <v>0</v>
      </c>
      <c r="H1338" t="str">
        <f>$A1338&amp;Keys!$C$54&amp;$B1338&amp;Keys!$C$54&amp;$C1338</f>
        <v>MO|production|solar (is not a fuel)</v>
      </c>
    </row>
    <row r="1339" spans="1:8" x14ac:dyDescent="0.25">
      <c r="A1339" t="s">
        <v>125</v>
      </c>
      <c r="B1339" t="s">
        <v>188</v>
      </c>
      <c r="C1339" t="s">
        <v>82</v>
      </c>
      <c r="D1339">
        <v>272000000000</v>
      </c>
      <c r="E1339">
        <v>272000000000</v>
      </c>
      <c r="F1339">
        <v>272000000000</v>
      </c>
      <c r="G1339" s="10">
        <f t="shared" si="20"/>
        <v>272000000000</v>
      </c>
      <c r="H1339" t="str">
        <f>$A1339&amp;Keys!$C$54&amp;$B1339&amp;Keys!$C$54&amp;$C1339</f>
        <v>MO|production|biomass</v>
      </c>
    </row>
    <row r="1340" spans="1:8" x14ac:dyDescent="0.25">
      <c r="A1340" t="s">
        <v>125</v>
      </c>
      <c r="B1340" t="s">
        <v>188</v>
      </c>
      <c r="C1340" t="s">
        <v>85</v>
      </c>
      <c r="D1340">
        <v>0</v>
      </c>
      <c r="E1340">
        <v>0</v>
      </c>
      <c r="F1340">
        <v>0</v>
      </c>
      <c r="G1340" s="10">
        <f t="shared" si="20"/>
        <v>0</v>
      </c>
      <c r="H1340" t="str">
        <f>$A1340&amp;Keys!$C$54&amp;$B1340&amp;Keys!$C$54&amp;$C1340</f>
        <v>MO|production|petroleum gasoline</v>
      </c>
    </row>
    <row r="1341" spans="1:8" x14ac:dyDescent="0.25">
      <c r="A1341" t="s">
        <v>125</v>
      </c>
      <c r="B1341" t="s">
        <v>188</v>
      </c>
      <c r="C1341" t="s">
        <v>88</v>
      </c>
      <c r="D1341">
        <v>0</v>
      </c>
      <c r="E1341">
        <v>0</v>
      </c>
      <c r="F1341">
        <v>0</v>
      </c>
      <c r="G1341" s="10">
        <f t="shared" si="20"/>
        <v>0</v>
      </c>
      <c r="H1341" t="str">
        <f>$A1341&amp;Keys!$C$54&amp;$B1341&amp;Keys!$C$54&amp;$C1341</f>
        <v>MO|production|petroleum diesel</v>
      </c>
    </row>
    <row r="1342" spans="1:8" x14ac:dyDescent="0.25">
      <c r="A1342" t="s">
        <v>125</v>
      </c>
      <c r="B1342" t="s">
        <v>188</v>
      </c>
      <c r="C1342" t="s">
        <v>91</v>
      </c>
      <c r="D1342">
        <v>24800200000000</v>
      </c>
      <c r="E1342">
        <v>24800200000000</v>
      </c>
      <c r="F1342">
        <v>24870000000000</v>
      </c>
      <c r="G1342" s="10">
        <f t="shared" si="20"/>
        <v>24823466666666.668</v>
      </c>
      <c r="H1342" t="str">
        <f>$A1342&amp;Keys!$C$54&amp;$B1342&amp;Keys!$C$54&amp;$C1342</f>
        <v>MO|production|biofuel gasoline</v>
      </c>
    </row>
    <row r="1343" spans="1:8" x14ac:dyDescent="0.25">
      <c r="A1343" t="s">
        <v>125</v>
      </c>
      <c r="B1343" t="s">
        <v>188</v>
      </c>
      <c r="C1343" t="s">
        <v>94</v>
      </c>
      <c r="D1343">
        <v>79883400000000</v>
      </c>
      <c r="E1343">
        <v>79883400000000</v>
      </c>
      <c r="F1343">
        <v>94890500000000</v>
      </c>
      <c r="G1343" s="10">
        <f t="shared" si="20"/>
        <v>84885766666666.672</v>
      </c>
      <c r="H1343" t="str">
        <f>$A1343&amp;Keys!$C$54&amp;$B1343&amp;Keys!$C$54&amp;$C1343</f>
        <v>MO|production|biofuel diesel</v>
      </c>
    </row>
    <row r="1344" spans="1:8" x14ac:dyDescent="0.25">
      <c r="A1344" t="s">
        <v>125</v>
      </c>
      <c r="B1344" t="s">
        <v>188</v>
      </c>
      <c r="C1344" t="s">
        <v>97</v>
      </c>
      <c r="D1344">
        <v>0</v>
      </c>
      <c r="E1344">
        <v>0</v>
      </c>
      <c r="F1344">
        <v>0</v>
      </c>
      <c r="G1344" s="10">
        <f t="shared" si="20"/>
        <v>0</v>
      </c>
      <c r="H1344" t="str">
        <f>$A1344&amp;Keys!$C$54&amp;$B1344&amp;Keys!$C$54&amp;$C1344</f>
        <v>MO|production|jet fuel or kerosene</v>
      </c>
    </row>
    <row r="1345" spans="1:8" x14ac:dyDescent="0.25">
      <c r="A1345" t="s">
        <v>125</v>
      </c>
      <c r="B1345" t="s">
        <v>188</v>
      </c>
      <c r="C1345" t="s">
        <v>100</v>
      </c>
      <c r="D1345">
        <v>0</v>
      </c>
      <c r="E1345">
        <v>0</v>
      </c>
      <c r="F1345">
        <v>0</v>
      </c>
      <c r="G1345" s="10">
        <f t="shared" si="20"/>
        <v>0</v>
      </c>
      <c r="H1345" t="str">
        <f>$A1345&amp;Keys!$C$54&amp;$B1345&amp;Keys!$C$54&amp;$C1345</f>
        <v>MO|production|heat (not used in this variable)</v>
      </c>
    </row>
    <row r="1346" spans="1:8" x14ac:dyDescent="0.25">
      <c r="A1346" t="s">
        <v>125</v>
      </c>
      <c r="B1346" t="s">
        <v>188</v>
      </c>
      <c r="C1346" t="s">
        <v>103</v>
      </c>
      <c r="D1346">
        <v>0</v>
      </c>
      <c r="E1346">
        <v>0</v>
      </c>
      <c r="F1346">
        <v>0</v>
      </c>
      <c r="G1346" s="10">
        <f t="shared" si="20"/>
        <v>0</v>
      </c>
      <c r="H1346" t="str">
        <f>$A1346&amp;Keys!$C$54&amp;$B1346&amp;Keys!$C$54&amp;$C1346</f>
        <v>MO|production|geothermal (is not a fuel)</v>
      </c>
    </row>
    <row r="1347" spans="1:8" x14ac:dyDescent="0.25">
      <c r="A1347" t="s">
        <v>125</v>
      </c>
      <c r="B1347" t="s">
        <v>188</v>
      </c>
      <c r="C1347" t="s">
        <v>106</v>
      </c>
      <c r="D1347">
        <v>0</v>
      </c>
      <c r="E1347">
        <v>0</v>
      </c>
      <c r="F1347">
        <v>0</v>
      </c>
      <c r="G1347" s="10">
        <f t="shared" si="20"/>
        <v>0</v>
      </c>
      <c r="H1347" t="str">
        <f>$A1347&amp;Keys!$C$54&amp;$B1347&amp;Keys!$C$54&amp;$C1347</f>
        <v>MO|production|lignite</v>
      </c>
    </row>
    <row r="1348" spans="1:8" x14ac:dyDescent="0.25">
      <c r="A1348" t="s">
        <v>125</v>
      </c>
      <c r="B1348" t="s">
        <v>188</v>
      </c>
      <c r="C1348" t="s">
        <v>109</v>
      </c>
      <c r="D1348">
        <v>330600000000</v>
      </c>
      <c r="E1348">
        <v>330600000000</v>
      </c>
      <c r="F1348">
        <v>320466000000</v>
      </c>
      <c r="G1348" s="10">
        <f t="shared" si="20"/>
        <v>327222000000</v>
      </c>
      <c r="H1348" t="str">
        <f>$A1348&amp;Keys!$C$54&amp;$B1348&amp;Keys!$C$54&amp;$C1348</f>
        <v>MO|production|crude oil</v>
      </c>
    </row>
    <row r="1349" spans="1:8" x14ac:dyDescent="0.25">
      <c r="A1349" t="s">
        <v>125</v>
      </c>
      <c r="B1349" t="s">
        <v>188</v>
      </c>
      <c r="C1349" t="s">
        <v>113</v>
      </c>
      <c r="D1349">
        <v>0</v>
      </c>
      <c r="E1349">
        <v>0</v>
      </c>
      <c r="F1349">
        <v>0</v>
      </c>
      <c r="G1349" s="10">
        <f t="shared" si="20"/>
        <v>0</v>
      </c>
      <c r="H1349" t="str">
        <f>$A1349&amp;Keys!$C$54&amp;$B1349&amp;Keys!$C$54&amp;$C1349</f>
        <v>MO|production|heavy fuel oil</v>
      </c>
    </row>
    <row r="1350" spans="1:8" x14ac:dyDescent="0.25">
      <c r="A1350" t="s">
        <v>125</v>
      </c>
      <c r="B1350" t="s">
        <v>188</v>
      </c>
      <c r="C1350" t="s">
        <v>117</v>
      </c>
      <c r="D1350">
        <v>126773000</v>
      </c>
      <c r="E1350">
        <v>126773000</v>
      </c>
      <c r="F1350">
        <v>129465000</v>
      </c>
      <c r="G1350" s="10">
        <f t="shared" si="20"/>
        <v>127670333.33333333</v>
      </c>
      <c r="H1350" t="str">
        <f>$A1350&amp;Keys!$C$54&amp;$B1350&amp;Keys!$C$54&amp;$C1350</f>
        <v>MO|production|LPG propane or butane</v>
      </c>
    </row>
    <row r="1351" spans="1:8" x14ac:dyDescent="0.25">
      <c r="A1351" t="s">
        <v>125</v>
      </c>
      <c r="B1351" t="s">
        <v>188</v>
      </c>
      <c r="C1351" t="s">
        <v>120</v>
      </c>
      <c r="D1351">
        <v>0</v>
      </c>
      <c r="E1351">
        <v>0</v>
      </c>
      <c r="F1351">
        <v>0</v>
      </c>
      <c r="G1351" s="10">
        <f t="shared" si="20"/>
        <v>0</v>
      </c>
      <c r="H1351" t="str">
        <f>$A1351&amp;Keys!$C$54&amp;$B1351&amp;Keys!$C$54&amp;$C1351</f>
        <v>MO|production|municipal solid waste</v>
      </c>
    </row>
    <row r="1352" spans="1:8" x14ac:dyDescent="0.25">
      <c r="A1352" t="s">
        <v>125</v>
      </c>
      <c r="B1352" t="s">
        <v>188</v>
      </c>
      <c r="C1352" t="s">
        <v>123</v>
      </c>
      <c r="D1352">
        <v>0</v>
      </c>
      <c r="E1352">
        <v>0</v>
      </c>
      <c r="F1352">
        <v>0</v>
      </c>
      <c r="G1352" s="10">
        <f t="shared" si="20"/>
        <v>0</v>
      </c>
      <c r="H1352" t="str">
        <f>$A1352&amp;Keys!$C$54&amp;$B1352&amp;Keys!$C$54&amp;$C1352</f>
        <v>MO|production|hydrogen</v>
      </c>
    </row>
    <row r="1353" spans="1:8" x14ac:dyDescent="0.25">
      <c r="A1353" t="s">
        <v>125</v>
      </c>
      <c r="B1353" t="s">
        <v>191</v>
      </c>
      <c r="C1353" t="s">
        <v>60</v>
      </c>
      <c r="D1353">
        <v>0</v>
      </c>
      <c r="E1353">
        <v>0</v>
      </c>
      <c r="F1353">
        <v>0</v>
      </c>
      <c r="G1353" s="10">
        <f t="shared" ref="G1353:G1416" si="21">AVERAGE($D1353:$F1353)</f>
        <v>0</v>
      </c>
      <c r="H1353" t="str">
        <f>$A1353&amp;Keys!$C$54&amp;$B1353&amp;Keys!$C$54&amp;$C1353</f>
        <v>MO|imports|electricity (not used in this variable)</v>
      </c>
    </row>
    <row r="1354" spans="1:8" x14ac:dyDescent="0.25">
      <c r="A1354" t="s">
        <v>125</v>
      </c>
      <c r="B1354" t="s">
        <v>191</v>
      </c>
      <c r="C1354" t="s">
        <v>64</v>
      </c>
      <c r="D1354">
        <v>472368000000000</v>
      </c>
      <c r="E1354">
        <v>457669000000000</v>
      </c>
      <c r="F1354">
        <v>480514000000000</v>
      </c>
      <c r="G1354" s="10">
        <f t="shared" si="21"/>
        <v>470183666666666.69</v>
      </c>
      <c r="H1354" t="str">
        <f>$A1354&amp;Keys!$C$54&amp;$B1354&amp;Keys!$C$54&amp;$C1354</f>
        <v>MO|imports|hard coal</v>
      </c>
    </row>
    <row r="1355" spans="1:8" x14ac:dyDescent="0.25">
      <c r="A1355" t="s">
        <v>125</v>
      </c>
      <c r="B1355" t="s">
        <v>191</v>
      </c>
      <c r="C1355" t="s">
        <v>68</v>
      </c>
      <c r="D1355">
        <v>926770000000000</v>
      </c>
      <c r="E1355">
        <v>936302000000000</v>
      </c>
      <c r="F1355">
        <v>830048000000000</v>
      </c>
      <c r="G1355" s="10">
        <f t="shared" si="21"/>
        <v>897706666666666.63</v>
      </c>
      <c r="H1355" t="str">
        <f>$A1355&amp;Keys!$C$54&amp;$B1355&amp;Keys!$C$54&amp;$C1355</f>
        <v>MO|imports|natural gas</v>
      </c>
    </row>
    <row r="1356" spans="1:8" x14ac:dyDescent="0.25">
      <c r="A1356" t="s">
        <v>125</v>
      </c>
      <c r="B1356" t="s">
        <v>191</v>
      </c>
      <c r="C1356" t="s">
        <v>71</v>
      </c>
      <c r="D1356">
        <v>109921000000000</v>
      </c>
      <c r="E1356">
        <v>74246900000000</v>
      </c>
      <c r="F1356">
        <v>92103700000000</v>
      </c>
      <c r="G1356" s="10">
        <f t="shared" si="21"/>
        <v>92090533333333.328</v>
      </c>
      <c r="H1356" t="str">
        <f>$A1356&amp;Keys!$C$54&amp;$B1356&amp;Keys!$C$54&amp;$C1356</f>
        <v>MO|imports|nuclear</v>
      </c>
    </row>
    <row r="1357" spans="1:8" x14ac:dyDescent="0.25">
      <c r="A1357" t="s">
        <v>125</v>
      </c>
      <c r="B1357" t="s">
        <v>191</v>
      </c>
      <c r="C1357" t="s">
        <v>74</v>
      </c>
      <c r="D1357">
        <v>0</v>
      </c>
      <c r="E1357">
        <v>0</v>
      </c>
      <c r="F1357">
        <v>0</v>
      </c>
      <c r="G1357" s="10">
        <f t="shared" si="21"/>
        <v>0</v>
      </c>
      <c r="H1357" t="str">
        <f>$A1357&amp;Keys!$C$54&amp;$B1357&amp;Keys!$C$54&amp;$C1357</f>
        <v>MO|imports|hydro (is not a fuel)</v>
      </c>
    </row>
    <row r="1358" spans="1:8" x14ac:dyDescent="0.25">
      <c r="A1358" t="s">
        <v>125</v>
      </c>
      <c r="B1358" t="s">
        <v>191</v>
      </c>
      <c r="C1358" t="s">
        <v>77</v>
      </c>
      <c r="D1358">
        <v>0</v>
      </c>
      <c r="E1358">
        <v>0</v>
      </c>
      <c r="F1358">
        <v>0</v>
      </c>
      <c r="G1358" s="10">
        <f t="shared" si="21"/>
        <v>0</v>
      </c>
      <c r="H1358" t="str">
        <f>$A1358&amp;Keys!$C$54&amp;$B1358&amp;Keys!$C$54&amp;$C1358</f>
        <v>MO|imports|wind (is not a fuel)</v>
      </c>
    </row>
    <row r="1359" spans="1:8" x14ac:dyDescent="0.25">
      <c r="A1359" t="s">
        <v>125</v>
      </c>
      <c r="B1359" t="s">
        <v>191</v>
      </c>
      <c r="C1359" t="s">
        <v>80</v>
      </c>
      <c r="D1359">
        <v>0</v>
      </c>
      <c r="E1359">
        <v>0</v>
      </c>
      <c r="F1359">
        <v>0</v>
      </c>
      <c r="G1359" s="10">
        <f t="shared" si="21"/>
        <v>0</v>
      </c>
      <c r="H1359" t="str">
        <f>$A1359&amp;Keys!$C$54&amp;$B1359&amp;Keys!$C$54&amp;$C1359</f>
        <v>MO|imports|solar (is not a fuel)</v>
      </c>
    </row>
    <row r="1360" spans="1:8" x14ac:dyDescent="0.25">
      <c r="A1360" t="s">
        <v>125</v>
      </c>
      <c r="B1360" t="s">
        <v>191</v>
      </c>
      <c r="C1360" t="s">
        <v>82</v>
      </c>
      <c r="D1360">
        <v>0</v>
      </c>
      <c r="E1360">
        <v>14789800000000</v>
      </c>
      <c r="F1360">
        <v>14448200000000</v>
      </c>
      <c r="G1360" s="10">
        <f t="shared" si="21"/>
        <v>9746000000000</v>
      </c>
      <c r="H1360" t="str">
        <f>$A1360&amp;Keys!$C$54&amp;$B1360&amp;Keys!$C$54&amp;$C1360</f>
        <v>MO|imports|biomass</v>
      </c>
    </row>
    <row r="1361" spans="1:8" x14ac:dyDescent="0.25">
      <c r="A1361" t="s">
        <v>125</v>
      </c>
      <c r="B1361" t="s">
        <v>191</v>
      </c>
      <c r="C1361" t="s">
        <v>85</v>
      </c>
      <c r="D1361">
        <v>0</v>
      </c>
      <c r="E1361">
        <v>327942000000000</v>
      </c>
      <c r="F1361">
        <v>322874000000000</v>
      </c>
      <c r="G1361" s="10">
        <f t="shared" si="21"/>
        <v>216938666666666.66</v>
      </c>
      <c r="H1361" t="str">
        <f>$A1361&amp;Keys!$C$54&amp;$B1361&amp;Keys!$C$54&amp;$C1361</f>
        <v>MO|imports|petroleum gasoline</v>
      </c>
    </row>
    <row r="1362" spans="1:8" x14ac:dyDescent="0.25">
      <c r="A1362" t="s">
        <v>125</v>
      </c>
      <c r="B1362" t="s">
        <v>191</v>
      </c>
      <c r="C1362" t="s">
        <v>88</v>
      </c>
      <c r="D1362">
        <v>0</v>
      </c>
      <c r="E1362">
        <v>172766000000000</v>
      </c>
      <c r="F1362">
        <v>174134000000000</v>
      </c>
      <c r="G1362" s="10">
        <f t="shared" si="21"/>
        <v>115633333333333.33</v>
      </c>
      <c r="H1362" t="str">
        <f>$A1362&amp;Keys!$C$54&amp;$B1362&amp;Keys!$C$54&amp;$C1362</f>
        <v>MO|imports|petroleum diesel</v>
      </c>
    </row>
    <row r="1363" spans="1:8" x14ac:dyDescent="0.25">
      <c r="A1363" t="s">
        <v>125</v>
      </c>
      <c r="B1363" t="s">
        <v>191</v>
      </c>
      <c r="C1363" t="s">
        <v>91</v>
      </c>
      <c r="D1363">
        <v>0</v>
      </c>
      <c r="E1363">
        <v>0</v>
      </c>
      <c r="F1363">
        <v>0</v>
      </c>
      <c r="G1363" s="10">
        <f t="shared" si="21"/>
        <v>0</v>
      </c>
      <c r="H1363" t="str">
        <f>$A1363&amp;Keys!$C$54&amp;$B1363&amp;Keys!$C$54&amp;$C1363</f>
        <v>MO|imports|biofuel gasoline</v>
      </c>
    </row>
    <row r="1364" spans="1:8" x14ac:dyDescent="0.25">
      <c r="A1364" t="s">
        <v>125</v>
      </c>
      <c r="B1364" t="s">
        <v>191</v>
      </c>
      <c r="C1364" t="s">
        <v>94</v>
      </c>
      <c r="D1364">
        <v>0</v>
      </c>
      <c r="E1364">
        <v>0</v>
      </c>
      <c r="F1364">
        <v>0</v>
      </c>
      <c r="G1364" s="10">
        <f t="shared" si="21"/>
        <v>0</v>
      </c>
      <c r="H1364" t="str">
        <f>$A1364&amp;Keys!$C$54&amp;$B1364&amp;Keys!$C$54&amp;$C1364</f>
        <v>MO|imports|biofuel diesel</v>
      </c>
    </row>
    <row r="1365" spans="1:8" x14ac:dyDescent="0.25">
      <c r="A1365" t="s">
        <v>125</v>
      </c>
      <c r="B1365" t="s">
        <v>191</v>
      </c>
      <c r="C1365" t="s">
        <v>97</v>
      </c>
      <c r="D1365">
        <v>0</v>
      </c>
      <c r="E1365">
        <v>32288300000000</v>
      </c>
      <c r="F1365">
        <v>32747900000000</v>
      </c>
      <c r="G1365" s="10">
        <f t="shared" si="21"/>
        <v>21678733333333.332</v>
      </c>
      <c r="H1365" t="str">
        <f>$A1365&amp;Keys!$C$54&amp;$B1365&amp;Keys!$C$54&amp;$C1365</f>
        <v>MO|imports|jet fuel or kerosene</v>
      </c>
    </row>
    <row r="1366" spans="1:8" x14ac:dyDescent="0.25">
      <c r="A1366" t="s">
        <v>125</v>
      </c>
      <c r="B1366" t="s">
        <v>191</v>
      </c>
      <c r="C1366" t="s">
        <v>100</v>
      </c>
      <c r="D1366">
        <v>0</v>
      </c>
      <c r="E1366">
        <v>0</v>
      </c>
      <c r="F1366">
        <v>0</v>
      </c>
      <c r="G1366" s="10">
        <f t="shared" si="21"/>
        <v>0</v>
      </c>
      <c r="H1366" t="str">
        <f>$A1366&amp;Keys!$C$54&amp;$B1366&amp;Keys!$C$54&amp;$C1366</f>
        <v>MO|imports|heat (not used in this variable)</v>
      </c>
    </row>
    <row r="1367" spans="1:8" x14ac:dyDescent="0.25">
      <c r="A1367" t="s">
        <v>125</v>
      </c>
      <c r="B1367" t="s">
        <v>191</v>
      </c>
      <c r="C1367" t="s">
        <v>103</v>
      </c>
      <c r="D1367">
        <v>0</v>
      </c>
      <c r="E1367">
        <v>0</v>
      </c>
      <c r="F1367">
        <v>0</v>
      </c>
      <c r="G1367" s="10">
        <f t="shared" si="21"/>
        <v>0</v>
      </c>
      <c r="H1367" t="str">
        <f>$A1367&amp;Keys!$C$54&amp;$B1367&amp;Keys!$C$54&amp;$C1367</f>
        <v>MO|imports|geothermal (is not a fuel)</v>
      </c>
    </row>
    <row r="1368" spans="1:8" x14ac:dyDescent="0.25">
      <c r="A1368" t="s">
        <v>125</v>
      </c>
      <c r="B1368" t="s">
        <v>191</v>
      </c>
      <c r="C1368" t="s">
        <v>106</v>
      </c>
      <c r="D1368">
        <v>0</v>
      </c>
      <c r="E1368">
        <v>0</v>
      </c>
      <c r="F1368">
        <v>0</v>
      </c>
      <c r="G1368" s="10">
        <f t="shared" si="21"/>
        <v>0</v>
      </c>
      <c r="H1368" t="str">
        <f>$A1368&amp;Keys!$C$54&amp;$B1368&amp;Keys!$C$54&amp;$C1368</f>
        <v>MO|imports|lignite</v>
      </c>
    </row>
    <row r="1369" spans="1:8" x14ac:dyDescent="0.25">
      <c r="A1369" t="s">
        <v>125</v>
      </c>
      <c r="B1369" t="s">
        <v>191</v>
      </c>
      <c r="C1369" t="s">
        <v>109</v>
      </c>
      <c r="D1369">
        <v>0</v>
      </c>
      <c r="E1369">
        <v>1353400000000</v>
      </c>
      <c r="F1369">
        <v>1363530000000</v>
      </c>
      <c r="G1369" s="10">
        <f t="shared" si="21"/>
        <v>905643333333.33337</v>
      </c>
      <c r="H1369" t="str">
        <f>$A1369&amp;Keys!$C$54&amp;$B1369&amp;Keys!$C$54&amp;$C1369</f>
        <v>MO|imports|crude oil</v>
      </c>
    </row>
    <row r="1370" spans="1:8" x14ac:dyDescent="0.25">
      <c r="A1370" t="s">
        <v>125</v>
      </c>
      <c r="B1370" t="s">
        <v>191</v>
      </c>
      <c r="C1370" t="s">
        <v>113</v>
      </c>
      <c r="D1370">
        <v>0</v>
      </c>
      <c r="E1370">
        <v>20688900000000</v>
      </c>
      <c r="F1370">
        <v>21117400000000</v>
      </c>
      <c r="G1370" s="10">
        <f t="shared" si="21"/>
        <v>13935433333333.334</v>
      </c>
      <c r="H1370" t="str">
        <f>$A1370&amp;Keys!$C$54&amp;$B1370&amp;Keys!$C$54&amp;$C1370</f>
        <v>MO|imports|heavy fuel oil</v>
      </c>
    </row>
    <row r="1371" spans="1:8" x14ac:dyDescent="0.25">
      <c r="A1371" t="s">
        <v>125</v>
      </c>
      <c r="B1371" t="s">
        <v>191</v>
      </c>
      <c r="C1371" t="s">
        <v>117</v>
      </c>
      <c r="D1371">
        <v>0</v>
      </c>
      <c r="E1371">
        <v>23828200000000</v>
      </c>
      <c r="F1371">
        <v>23547200000000</v>
      </c>
      <c r="G1371" s="10">
        <f t="shared" si="21"/>
        <v>15791800000000</v>
      </c>
      <c r="H1371" t="str">
        <f>$A1371&amp;Keys!$C$54&amp;$B1371&amp;Keys!$C$54&amp;$C1371</f>
        <v>MO|imports|LPG propane or butane</v>
      </c>
    </row>
    <row r="1372" spans="1:8" x14ac:dyDescent="0.25">
      <c r="A1372" t="s">
        <v>125</v>
      </c>
      <c r="B1372" t="s">
        <v>191</v>
      </c>
      <c r="C1372" t="s">
        <v>120</v>
      </c>
      <c r="D1372">
        <v>0</v>
      </c>
      <c r="E1372">
        <v>0</v>
      </c>
      <c r="F1372">
        <v>0</v>
      </c>
      <c r="G1372" s="10">
        <f t="shared" si="21"/>
        <v>0</v>
      </c>
      <c r="H1372" t="str">
        <f>$A1372&amp;Keys!$C$54&amp;$B1372&amp;Keys!$C$54&amp;$C1372</f>
        <v>MO|imports|municipal solid waste</v>
      </c>
    </row>
    <row r="1373" spans="1:8" x14ac:dyDescent="0.25">
      <c r="A1373" t="s">
        <v>125</v>
      </c>
      <c r="B1373" t="s">
        <v>191</v>
      </c>
      <c r="C1373" t="s">
        <v>123</v>
      </c>
      <c r="D1373">
        <v>0</v>
      </c>
      <c r="E1373">
        <v>3189860000</v>
      </c>
      <c r="F1373">
        <v>4911130000</v>
      </c>
      <c r="G1373" s="10">
        <f t="shared" si="21"/>
        <v>2700330000</v>
      </c>
      <c r="H1373" t="str">
        <f>$A1373&amp;Keys!$C$54&amp;$B1373&amp;Keys!$C$54&amp;$C1373</f>
        <v>MO|imports|hydrogen</v>
      </c>
    </row>
    <row r="1374" spans="1:8" x14ac:dyDescent="0.25">
      <c r="A1374" t="s">
        <v>125</v>
      </c>
      <c r="B1374" t="s">
        <v>193</v>
      </c>
      <c r="C1374" t="s">
        <v>60</v>
      </c>
      <c r="D1374">
        <v>0</v>
      </c>
      <c r="E1374">
        <v>0</v>
      </c>
      <c r="F1374">
        <v>0</v>
      </c>
      <c r="G1374" s="10">
        <f t="shared" si="21"/>
        <v>0</v>
      </c>
      <c r="H1374" t="str">
        <f>$A1374&amp;Keys!$C$54&amp;$B1374&amp;Keys!$C$54&amp;$C1374</f>
        <v>MO|exports|electricity (not used in this variable)</v>
      </c>
    </row>
    <row r="1375" spans="1:8" x14ac:dyDescent="0.25">
      <c r="A1375" t="s">
        <v>125</v>
      </c>
      <c r="B1375" t="s">
        <v>193</v>
      </c>
      <c r="C1375" t="s">
        <v>64</v>
      </c>
      <c r="D1375">
        <v>2151330000000</v>
      </c>
      <c r="E1375">
        <v>2151330000000</v>
      </c>
      <c r="F1375">
        <v>2139760000000</v>
      </c>
      <c r="G1375" s="10">
        <f t="shared" si="21"/>
        <v>2147473333333.3333</v>
      </c>
      <c r="H1375" t="str">
        <f>$A1375&amp;Keys!$C$54&amp;$B1375&amp;Keys!$C$54&amp;$C1375</f>
        <v>MO|exports|hard coal</v>
      </c>
    </row>
    <row r="1376" spans="1:8" x14ac:dyDescent="0.25">
      <c r="A1376" t="s">
        <v>125</v>
      </c>
      <c r="B1376" t="s">
        <v>193</v>
      </c>
      <c r="C1376" t="s">
        <v>68</v>
      </c>
      <c r="D1376">
        <v>640112000000000</v>
      </c>
      <c r="E1376">
        <v>640112000000000</v>
      </c>
      <c r="F1376">
        <v>580372000000000</v>
      </c>
      <c r="G1376" s="10">
        <f t="shared" si="21"/>
        <v>620198666666666.63</v>
      </c>
      <c r="H1376" t="str">
        <f>$A1376&amp;Keys!$C$54&amp;$B1376&amp;Keys!$C$54&amp;$C1376</f>
        <v>MO|exports|natural gas</v>
      </c>
    </row>
    <row r="1377" spans="1:8" x14ac:dyDescent="0.25">
      <c r="A1377" t="s">
        <v>125</v>
      </c>
      <c r="B1377" t="s">
        <v>193</v>
      </c>
      <c r="C1377" t="s">
        <v>71</v>
      </c>
      <c r="D1377">
        <v>0</v>
      </c>
      <c r="E1377">
        <v>0</v>
      </c>
      <c r="F1377">
        <v>0</v>
      </c>
      <c r="G1377" s="10">
        <f t="shared" si="21"/>
        <v>0</v>
      </c>
      <c r="H1377" t="str">
        <f>$A1377&amp;Keys!$C$54&amp;$B1377&amp;Keys!$C$54&amp;$C1377</f>
        <v>MO|exports|nuclear</v>
      </c>
    </row>
    <row r="1378" spans="1:8" x14ac:dyDescent="0.25">
      <c r="A1378" t="s">
        <v>125</v>
      </c>
      <c r="B1378" t="s">
        <v>193</v>
      </c>
      <c r="C1378" t="s">
        <v>74</v>
      </c>
      <c r="D1378">
        <v>0</v>
      </c>
      <c r="E1378">
        <v>0</v>
      </c>
      <c r="F1378">
        <v>0</v>
      </c>
      <c r="G1378" s="10">
        <f t="shared" si="21"/>
        <v>0</v>
      </c>
      <c r="H1378" t="str">
        <f>$A1378&amp;Keys!$C$54&amp;$B1378&amp;Keys!$C$54&amp;$C1378</f>
        <v>MO|exports|hydro (is not a fuel)</v>
      </c>
    </row>
    <row r="1379" spans="1:8" x14ac:dyDescent="0.25">
      <c r="A1379" t="s">
        <v>125</v>
      </c>
      <c r="B1379" t="s">
        <v>193</v>
      </c>
      <c r="C1379" t="s">
        <v>77</v>
      </c>
      <c r="D1379">
        <v>0</v>
      </c>
      <c r="E1379">
        <v>0</v>
      </c>
      <c r="F1379">
        <v>0</v>
      </c>
      <c r="G1379" s="10">
        <f t="shared" si="21"/>
        <v>0</v>
      </c>
      <c r="H1379" t="str">
        <f>$A1379&amp;Keys!$C$54&amp;$B1379&amp;Keys!$C$54&amp;$C1379</f>
        <v>MO|exports|wind (is not a fuel)</v>
      </c>
    </row>
    <row r="1380" spans="1:8" x14ac:dyDescent="0.25">
      <c r="A1380" t="s">
        <v>125</v>
      </c>
      <c r="B1380" t="s">
        <v>193</v>
      </c>
      <c r="C1380" t="s">
        <v>80</v>
      </c>
      <c r="D1380">
        <v>0</v>
      </c>
      <c r="E1380">
        <v>0</v>
      </c>
      <c r="F1380">
        <v>0</v>
      </c>
      <c r="G1380" s="10">
        <f t="shared" si="21"/>
        <v>0</v>
      </c>
      <c r="H1380" t="str">
        <f>$A1380&amp;Keys!$C$54&amp;$B1380&amp;Keys!$C$54&amp;$C1380</f>
        <v>MO|exports|solar (is not a fuel)</v>
      </c>
    </row>
    <row r="1381" spans="1:8" x14ac:dyDescent="0.25">
      <c r="A1381" t="s">
        <v>125</v>
      </c>
      <c r="B1381" t="s">
        <v>193</v>
      </c>
      <c r="C1381" t="s">
        <v>82</v>
      </c>
      <c r="D1381">
        <v>0</v>
      </c>
      <c r="E1381">
        <v>0</v>
      </c>
      <c r="F1381">
        <v>0</v>
      </c>
      <c r="G1381" s="10">
        <f t="shared" si="21"/>
        <v>0</v>
      </c>
      <c r="H1381" t="str">
        <f>$A1381&amp;Keys!$C$54&amp;$B1381&amp;Keys!$C$54&amp;$C1381</f>
        <v>MO|exports|biomass</v>
      </c>
    </row>
    <row r="1382" spans="1:8" x14ac:dyDescent="0.25">
      <c r="A1382" t="s">
        <v>125</v>
      </c>
      <c r="B1382" t="s">
        <v>193</v>
      </c>
      <c r="C1382" t="s">
        <v>85</v>
      </c>
      <c r="D1382">
        <v>0</v>
      </c>
      <c r="E1382">
        <v>0</v>
      </c>
      <c r="F1382">
        <v>0</v>
      </c>
      <c r="G1382" s="10">
        <f t="shared" si="21"/>
        <v>0</v>
      </c>
      <c r="H1382" t="str">
        <f>$A1382&amp;Keys!$C$54&amp;$B1382&amp;Keys!$C$54&amp;$C1382</f>
        <v>MO|exports|petroleum gasoline</v>
      </c>
    </row>
    <row r="1383" spans="1:8" x14ac:dyDescent="0.25">
      <c r="A1383" t="s">
        <v>125</v>
      </c>
      <c r="B1383" t="s">
        <v>193</v>
      </c>
      <c r="C1383" t="s">
        <v>88</v>
      </c>
      <c r="D1383">
        <v>0</v>
      </c>
      <c r="E1383">
        <v>0</v>
      </c>
      <c r="F1383">
        <v>0</v>
      </c>
      <c r="G1383" s="10">
        <f t="shared" si="21"/>
        <v>0</v>
      </c>
      <c r="H1383" t="str">
        <f>$A1383&amp;Keys!$C$54&amp;$B1383&amp;Keys!$C$54&amp;$C1383</f>
        <v>MO|exports|petroleum diesel</v>
      </c>
    </row>
    <row r="1384" spans="1:8" x14ac:dyDescent="0.25">
      <c r="A1384" t="s">
        <v>125</v>
      </c>
      <c r="B1384" t="s">
        <v>193</v>
      </c>
      <c r="C1384" t="s">
        <v>91</v>
      </c>
      <c r="D1384">
        <v>0</v>
      </c>
      <c r="E1384">
        <v>2477280000000</v>
      </c>
      <c r="F1384">
        <v>2885630000000</v>
      </c>
      <c r="G1384" s="10">
        <f t="shared" si="21"/>
        <v>1787636666666.6667</v>
      </c>
      <c r="H1384" t="str">
        <f>$A1384&amp;Keys!$C$54&amp;$B1384&amp;Keys!$C$54&amp;$C1384</f>
        <v>MO|exports|biofuel gasoline</v>
      </c>
    </row>
    <row r="1385" spans="1:8" x14ac:dyDescent="0.25">
      <c r="A1385" t="s">
        <v>125</v>
      </c>
      <c r="B1385" t="s">
        <v>193</v>
      </c>
      <c r="C1385" t="s">
        <v>94</v>
      </c>
      <c r="D1385">
        <v>0</v>
      </c>
      <c r="E1385">
        <v>76648800000000</v>
      </c>
      <c r="F1385">
        <v>91638700000000</v>
      </c>
      <c r="G1385" s="10">
        <f t="shared" si="21"/>
        <v>56095833333333.336</v>
      </c>
      <c r="H1385" t="str">
        <f>$A1385&amp;Keys!$C$54&amp;$B1385&amp;Keys!$C$54&amp;$C1385</f>
        <v>MO|exports|biofuel diesel</v>
      </c>
    </row>
    <row r="1386" spans="1:8" x14ac:dyDescent="0.25">
      <c r="A1386" t="s">
        <v>125</v>
      </c>
      <c r="B1386" t="s">
        <v>193</v>
      </c>
      <c r="C1386" t="s">
        <v>97</v>
      </c>
      <c r="D1386">
        <v>0</v>
      </c>
      <c r="E1386">
        <v>0</v>
      </c>
      <c r="F1386">
        <v>0</v>
      </c>
      <c r="G1386" s="10">
        <f t="shared" si="21"/>
        <v>0</v>
      </c>
      <c r="H1386" t="str">
        <f>$A1386&amp;Keys!$C$54&amp;$B1386&amp;Keys!$C$54&amp;$C1386</f>
        <v>MO|exports|jet fuel or kerosene</v>
      </c>
    </row>
    <row r="1387" spans="1:8" x14ac:dyDescent="0.25">
      <c r="A1387" t="s">
        <v>125</v>
      </c>
      <c r="B1387" t="s">
        <v>193</v>
      </c>
      <c r="C1387" t="s">
        <v>100</v>
      </c>
      <c r="D1387">
        <v>0</v>
      </c>
      <c r="E1387">
        <v>0</v>
      </c>
      <c r="F1387">
        <v>0</v>
      </c>
      <c r="G1387" s="10">
        <f t="shared" si="21"/>
        <v>0</v>
      </c>
      <c r="H1387" t="str">
        <f>$A1387&amp;Keys!$C$54&amp;$B1387&amp;Keys!$C$54&amp;$C1387</f>
        <v>MO|exports|heat (not used in this variable)</v>
      </c>
    </row>
    <row r="1388" spans="1:8" x14ac:dyDescent="0.25">
      <c r="A1388" t="s">
        <v>125</v>
      </c>
      <c r="B1388" t="s">
        <v>193</v>
      </c>
      <c r="C1388" t="s">
        <v>103</v>
      </c>
      <c r="D1388">
        <v>0</v>
      </c>
      <c r="E1388">
        <v>0</v>
      </c>
      <c r="F1388">
        <v>0</v>
      </c>
      <c r="G1388" s="10">
        <f t="shared" si="21"/>
        <v>0</v>
      </c>
      <c r="H1388" t="str">
        <f>$A1388&amp;Keys!$C$54&amp;$B1388&amp;Keys!$C$54&amp;$C1388</f>
        <v>MO|exports|geothermal (is not a fuel)</v>
      </c>
    </row>
    <row r="1389" spans="1:8" x14ac:dyDescent="0.25">
      <c r="A1389" t="s">
        <v>125</v>
      </c>
      <c r="B1389" t="s">
        <v>193</v>
      </c>
      <c r="C1389" t="s">
        <v>106</v>
      </c>
      <c r="D1389">
        <v>0</v>
      </c>
      <c r="E1389">
        <v>0</v>
      </c>
      <c r="F1389">
        <v>0</v>
      </c>
      <c r="G1389" s="10">
        <f t="shared" si="21"/>
        <v>0</v>
      </c>
      <c r="H1389" t="str">
        <f>$A1389&amp;Keys!$C$54&amp;$B1389&amp;Keys!$C$54&amp;$C1389</f>
        <v>MO|exports|lignite</v>
      </c>
    </row>
    <row r="1390" spans="1:8" x14ac:dyDescent="0.25">
      <c r="A1390" t="s">
        <v>125</v>
      </c>
      <c r="B1390" t="s">
        <v>193</v>
      </c>
      <c r="C1390" t="s">
        <v>109</v>
      </c>
      <c r="D1390">
        <v>0</v>
      </c>
      <c r="E1390">
        <v>0</v>
      </c>
      <c r="F1390">
        <v>0</v>
      </c>
      <c r="G1390" s="10">
        <f t="shared" si="21"/>
        <v>0</v>
      </c>
      <c r="H1390" t="str">
        <f>$A1390&amp;Keys!$C$54&amp;$B1390&amp;Keys!$C$54&amp;$C1390</f>
        <v>MO|exports|crude oil</v>
      </c>
    </row>
    <row r="1391" spans="1:8" x14ac:dyDescent="0.25">
      <c r="A1391" t="s">
        <v>125</v>
      </c>
      <c r="B1391" t="s">
        <v>193</v>
      </c>
      <c r="C1391" t="s">
        <v>113</v>
      </c>
      <c r="D1391">
        <v>0</v>
      </c>
      <c r="E1391">
        <v>0</v>
      </c>
      <c r="F1391">
        <v>0</v>
      </c>
      <c r="G1391" s="10">
        <f t="shared" si="21"/>
        <v>0</v>
      </c>
      <c r="H1391" t="str">
        <f>$A1391&amp;Keys!$C$54&amp;$B1391&amp;Keys!$C$54&amp;$C1391</f>
        <v>MO|exports|heavy fuel oil</v>
      </c>
    </row>
    <row r="1392" spans="1:8" x14ac:dyDescent="0.25">
      <c r="A1392" t="s">
        <v>125</v>
      </c>
      <c r="B1392" t="s">
        <v>193</v>
      </c>
      <c r="C1392" t="s">
        <v>117</v>
      </c>
      <c r="D1392">
        <v>0</v>
      </c>
      <c r="E1392">
        <v>0</v>
      </c>
      <c r="F1392">
        <v>0</v>
      </c>
      <c r="G1392" s="10">
        <f t="shared" si="21"/>
        <v>0</v>
      </c>
      <c r="H1392" t="str">
        <f>$A1392&amp;Keys!$C$54&amp;$B1392&amp;Keys!$C$54&amp;$C1392</f>
        <v>MO|exports|LPG propane or butane</v>
      </c>
    </row>
    <row r="1393" spans="1:8" x14ac:dyDescent="0.25">
      <c r="A1393" t="s">
        <v>125</v>
      </c>
      <c r="B1393" t="s">
        <v>193</v>
      </c>
      <c r="C1393" t="s">
        <v>120</v>
      </c>
      <c r="D1393">
        <v>0</v>
      </c>
      <c r="E1393">
        <v>0</v>
      </c>
      <c r="F1393">
        <v>0</v>
      </c>
      <c r="G1393" s="10">
        <f t="shared" si="21"/>
        <v>0</v>
      </c>
      <c r="H1393" t="str">
        <f>$A1393&amp;Keys!$C$54&amp;$B1393&amp;Keys!$C$54&amp;$C1393</f>
        <v>MO|exports|municipal solid waste</v>
      </c>
    </row>
    <row r="1394" spans="1:8" x14ac:dyDescent="0.25">
      <c r="A1394" t="s">
        <v>125</v>
      </c>
      <c r="B1394" t="s">
        <v>193</v>
      </c>
      <c r="C1394" t="s">
        <v>123</v>
      </c>
      <c r="D1394">
        <v>0</v>
      </c>
      <c r="E1394">
        <v>0</v>
      </c>
      <c r="F1394">
        <v>0</v>
      </c>
      <c r="G1394" s="10">
        <f t="shared" si="21"/>
        <v>0</v>
      </c>
      <c r="H1394" t="str">
        <f>$A1394&amp;Keys!$C$54&amp;$B1394&amp;Keys!$C$54&amp;$C1394</f>
        <v>MO|exports|hydrogen</v>
      </c>
    </row>
    <row r="1395" spans="1:8" x14ac:dyDescent="0.25">
      <c r="A1395" t="s">
        <v>127</v>
      </c>
      <c r="B1395" t="s">
        <v>188</v>
      </c>
      <c r="C1395" t="s">
        <v>60</v>
      </c>
      <c r="D1395">
        <v>0</v>
      </c>
      <c r="E1395">
        <v>0</v>
      </c>
      <c r="F1395">
        <v>0</v>
      </c>
      <c r="G1395" s="10">
        <f t="shared" si="21"/>
        <v>0</v>
      </c>
      <c r="H1395" t="str">
        <f>$A1395&amp;Keys!$C$54&amp;$B1395&amp;Keys!$C$54&amp;$C1395</f>
        <v>MS|production|electricity (not used in this variable)</v>
      </c>
    </row>
    <row r="1396" spans="1:8" x14ac:dyDescent="0.25">
      <c r="A1396" t="s">
        <v>127</v>
      </c>
      <c r="B1396" t="s">
        <v>188</v>
      </c>
      <c r="C1396" t="s">
        <v>64</v>
      </c>
      <c r="D1396">
        <v>0</v>
      </c>
      <c r="E1396">
        <v>0</v>
      </c>
      <c r="F1396">
        <v>0</v>
      </c>
      <c r="G1396" s="10">
        <f t="shared" si="21"/>
        <v>0</v>
      </c>
      <c r="H1396" t="str">
        <f>$A1396&amp;Keys!$C$54&amp;$B1396&amp;Keys!$C$54&amp;$C1396</f>
        <v>MS|production|hard coal</v>
      </c>
    </row>
    <row r="1397" spans="1:8" x14ac:dyDescent="0.25">
      <c r="A1397" t="s">
        <v>127</v>
      </c>
      <c r="B1397" t="s">
        <v>188</v>
      </c>
      <c r="C1397" t="s">
        <v>68</v>
      </c>
      <c r="D1397">
        <v>26702800000000</v>
      </c>
      <c r="E1397">
        <v>26702800000000</v>
      </c>
      <c r="F1397">
        <v>26396200000000</v>
      </c>
      <c r="G1397" s="10">
        <f t="shared" si="21"/>
        <v>26600600000000</v>
      </c>
      <c r="H1397" t="str">
        <f>$A1397&amp;Keys!$C$54&amp;$B1397&amp;Keys!$C$54&amp;$C1397</f>
        <v>MS|production|natural gas</v>
      </c>
    </row>
    <row r="1398" spans="1:8" x14ac:dyDescent="0.25">
      <c r="A1398" t="s">
        <v>127</v>
      </c>
      <c r="B1398" t="s">
        <v>188</v>
      </c>
      <c r="C1398" t="s">
        <v>71</v>
      </c>
      <c r="D1398">
        <v>0</v>
      </c>
      <c r="E1398">
        <v>0</v>
      </c>
      <c r="F1398">
        <v>0</v>
      </c>
      <c r="G1398" s="10">
        <f t="shared" si="21"/>
        <v>0</v>
      </c>
      <c r="H1398" t="str">
        <f>$A1398&amp;Keys!$C$54&amp;$B1398&amp;Keys!$C$54&amp;$C1398</f>
        <v>MS|production|nuclear</v>
      </c>
    </row>
    <row r="1399" spans="1:8" x14ac:dyDescent="0.25">
      <c r="A1399" t="s">
        <v>127</v>
      </c>
      <c r="B1399" t="s">
        <v>188</v>
      </c>
      <c r="C1399" t="s">
        <v>74</v>
      </c>
      <c r="D1399">
        <v>0</v>
      </c>
      <c r="E1399">
        <v>0</v>
      </c>
      <c r="F1399">
        <v>0</v>
      </c>
      <c r="G1399" s="10">
        <f t="shared" si="21"/>
        <v>0</v>
      </c>
      <c r="H1399" t="str">
        <f>$A1399&amp;Keys!$C$54&amp;$B1399&amp;Keys!$C$54&amp;$C1399</f>
        <v>MS|production|hydro (is not a fuel)</v>
      </c>
    </row>
    <row r="1400" spans="1:8" x14ac:dyDescent="0.25">
      <c r="A1400" t="s">
        <v>127</v>
      </c>
      <c r="B1400" t="s">
        <v>188</v>
      </c>
      <c r="C1400" t="s">
        <v>77</v>
      </c>
      <c r="D1400">
        <v>0</v>
      </c>
      <c r="E1400">
        <v>0</v>
      </c>
      <c r="F1400">
        <v>0</v>
      </c>
      <c r="G1400" s="10">
        <f t="shared" si="21"/>
        <v>0</v>
      </c>
      <c r="H1400" t="str">
        <f>$A1400&amp;Keys!$C$54&amp;$B1400&amp;Keys!$C$54&amp;$C1400</f>
        <v>MS|production|wind (is not a fuel)</v>
      </c>
    </row>
    <row r="1401" spans="1:8" x14ac:dyDescent="0.25">
      <c r="A1401" t="s">
        <v>127</v>
      </c>
      <c r="B1401" t="s">
        <v>188</v>
      </c>
      <c r="C1401" t="s">
        <v>80</v>
      </c>
      <c r="D1401">
        <v>0</v>
      </c>
      <c r="E1401">
        <v>0</v>
      </c>
      <c r="F1401">
        <v>0</v>
      </c>
      <c r="G1401" s="10">
        <f t="shared" si="21"/>
        <v>0</v>
      </c>
      <c r="H1401" t="str">
        <f>$A1401&amp;Keys!$C$54&amp;$B1401&amp;Keys!$C$54&amp;$C1401</f>
        <v>MS|production|solar (is not a fuel)</v>
      </c>
    </row>
    <row r="1402" spans="1:8" x14ac:dyDescent="0.25">
      <c r="A1402" t="s">
        <v>127</v>
      </c>
      <c r="B1402" t="s">
        <v>188</v>
      </c>
      <c r="C1402" t="s">
        <v>82</v>
      </c>
      <c r="D1402">
        <v>8379090000000</v>
      </c>
      <c r="E1402">
        <v>8379090000000</v>
      </c>
      <c r="F1402">
        <v>8379090000000</v>
      </c>
      <c r="G1402" s="10">
        <f t="shared" si="21"/>
        <v>8379090000000</v>
      </c>
      <c r="H1402" t="str">
        <f>$A1402&amp;Keys!$C$54&amp;$B1402&amp;Keys!$C$54&amp;$C1402</f>
        <v>MS|production|biomass</v>
      </c>
    </row>
    <row r="1403" spans="1:8" x14ac:dyDescent="0.25">
      <c r="A1403" t="s">
        <v>127</v>
      </c>
      <c r="B1403" t="s">
        <v>188</v>
      </c>
      <c r="C1403" t="s">
        <v>85</v>
      </c>
      <c r="D1403">
        <v>382319000000000</v>
      </c>
      <c r="E1403">
        <v>382319000000000</v>
      </c>
      <c r="F1403">
        <v>373052000000000</v>
      </c>
      <c r="G1403" s="10">
        <f t="shared" si="21"/>
        <v>379230000000000</v>
      </c>
      <c r="H1403" t="str">
        <f>$A1403&amp;Keys!$C$54&amp;$B1403&amp;Keys!$C$54&amp;$C1403</f>
        <v>MS|production|petroleum gasoline</v>
      </c>
    </row>
    <row r="1404" spans="1:8" x14ac:dyDescent="0.25">
      <c r="A1404" t="s">
        <v>127</v>
      </c>
      <c r="B1404" t="s">
        <v>188</v>
      </c>
      <c r="C1404" t="s">
        <v>88</v>
      </c>
      <c r="D1404">
        <v>226147000000000</v>
      </c>
      <c r="E1404">
        <v>226147000000000</v>
      </c>
      <c r="F1404">
        <v>220666000000000</v>
      </c>
      <c r="G1404" s="10">
        <f t="shared" si="21"/>
        <v>224320000000000</v>
      </c>
      <c r="H1404" t="str">
        <f>$A1404&amp;Keys!$C$54&amp;$B1404&amp;Keys!$C$54&amp;$C1404</f>
        <v>MS|production|petroleum diesel</v>
      </c>
    </row>
    <row r="1405" spans="1:8" x14ac:dyDescent="0.25">
      <c r="A1405" t="s">
        <v>127</v>
      </c>
      <c r="B1405" t="s">
        <v>188</v>
      </c>
      <c r="C1405" t="s">
        <v>91</v>
      </c>
      <c r="D1405">
        <v>0</v>
      </c>
      <c r="E1405">
        <v>0</v>
      </c>
      <c r="F1405">
        <v>0</v>
      </c>
      <c r="G1405" s="10">
        <f t="shared" si="21"/>
        <v>0</v>
      </c>
      <c r="H1405" t="str">
        <f>$A1405&amp;Keys!$C$54&amp;$B1405&amp;Keys!$C$54&amp;$C1405</f>
        <v>MS|production|biofuel gasoline</v>
      </c>
    </row>
    <row r="1406" spans="1:8" x14ac:dyDescent="0.25">
      <c r="A1406" t="s">
        <v>127</v>
      </c>
      <c r="B1406" t="s">
        <v>188</v>
      </c>
      <c r="C1406" t="s">
        <v>94</v>
      </c>
      <c r="D1406">
        <v>8649340000000</v>
      </c>
      <c r="E1406">
        <v>8649340000000</v>
      </c>
      <c r="F1406">
        <v>10274200000000</v>
      </c>
      <c r="G1406" s="10">
        <f t="shared" si="21"/>
        <v>9190960000000</v>
      </c>
      <c r="H1406" t="str">
        <f>$A1406&amp;Keys!$C$54&amp;$B1406&amp;Keys!$C$54&amp;$C1406</f>
        <v>MS|production|biofuel diesel</v>
      </c>
    </row>
    <row r="1407" spans="1:8" x14ac:dyDescent="0.25">
      <c r="A1407" t="s">
        <v>127</v>
      </c>
      <c r="B1407" t="s">
        <v>188</v>
      </c>
      <c r="C1407" t="s">
        <v>97</v>
      </c>
      <c r="D1407">
        <v>80503900000000</v>
      </c>
      <c r="E1407">
        <v>80503900000000</v>
      </c>
      <c r="F1407">
        <v>78552600000000</v>
      </c>
      <c r="G1407" s="10">
        <f t="shared" si="21"/>
        <v>79853466666666.672</v>
      </c>
      <c r="H1407" t="str">
        <f>$A1407&amp;Keys!$C$54&amp;$B1407&amp;Keys!$C$54&amp;$C1407</f>
        <v>MS|production|jet fuel or kerosene</v>
      </c>
    </row>
    <row r="1408" spans="1:8" x14ac:dyDescent="0.25">
      <c r="A1408" t="s">
        <v>127</v>
      </c>
      <c r="B1408" t="s">
        <v>188</v>
      </c>
      <c r="C1408" t="s">
        <v>100</v>
      </c>
      <c r="D1408">
        <v>0</v>
      </c>
      <c r="E1408">
        <v>0</v>
      </c>
      <c r="F1408">
        <v>0</v>
      </c>
      <c r="G1408" s="10">
        <f t="shared" si="21"/>
        <v>0</v>
      </c>
      <c r="H1408" t="str">
        <f>$A1408&amp;Keys!$C$54&amp;$B1408&amp;Keys!$C$54&amp;$C1408</f>
        <v>MS|production|heat (not used in this variable)</v>
      </c>
    </row>
    <row r="1409" spans="1:8" x14ac:dyDescent="0.25">
      <c r="A1409" t="s">
        <v>127</v>
      </c>
      <c r="B1409" t="s">
        <v>188</v>
      </c>
      <c r="C1409" t="s">
        <v>103</v>
      </c>
      <c r="D1409">
        <v>0</v>
      </c>
      <c r="E1409">
        <v>0</v>
      </c>
      <c r="F1409">
        <v>0</v>
      </c>
      <c r="G1409" s="10">
        <f t="shared" si="21"/>
        <v>0</v>
      </c>
      <c r="H1409" t="str">
        <f>$A1409&amp;Keys!$C$54&amp;$B1409&amp;Keys!$C$54&amp;$C1409</f>
        <v>MS|production|geothermal (is not a fuel)</v>
      </c>
    </row>
    <row r="1410" spans="1:8" x14ac:dyDescent="0.25">
      <c r="A1410" t="s">
        <v>127</v>
      </c>
      <c r="B1410" t="s">
        <v>188</v>
      </c>
      <c r="C1410" t="s">
        <v>106</v>
      </c>
      <c r="D1410">
        <v>28579600000000</v>
      </c>
      <c r="E1410">
        <v>28579600000000</v>
      </c>
      <c r="F1410">
        <v>28425900000000</v>
      </c>
      <c r="G1410" s="10">
        <f t="shared" si="21"/>
        <v>28528366666666.668</v>
      </c>
      <c r="H1410" t="str">
        <f>$A1410&amp;Keys!$C$54&amp;$B1410&amp;Keys!$C$54&amp;$C1410</f>
        <v>MS|production|lignite</v>
      </c>
    </row>
    <row r="1411" spans="1:8" x14ac:dyDescent="0.25">
      <c r="A1411" t="s">
        <v>127</v>
      </c>
      <c r="B1411" t="s">
        <v>188</v>
      </c>
      <c r="C1411" t="s">
        <v>109</v>
      </c>
      <c r="D1411">
        <v>70383000000000</v>
      </c>
      <c r="E1411">
        <v>70383000000000</v>
      </c>
      <c r="F1411">
        <v>66272100000000</v>
      </c>
      <c r="G1411" s="10">
        <f t="shared" si="21"/>
        <v>69012700000000</v>
      </c>
      <c r="H1411" t="str">
        <f>$A1411&amp;Keys!$C$54&amp;$B1411&amp;Keys!$C$54&amp;$C1411</f>
        <v>MS|production|crude oil</v>
      </c>
    </row>
    <row r="1412" spans="1:8" x14ac:dyDescent="0.25">
      <c r="A1412" t="s">
        <v>127</v>
      </c>
      <c r="B1412" t="s">
        <v>188</v>
      </c>
      <c r="C1412" t="s">
        <v>113</v>
      </c>
      <c r="D1412">
        <v>15638200000000</v>
      </c>
      <c r="E1412">
        <v>15638200000000</v>
      </c>
      <c r="F1412">
        <v>15259100000000</v>
      </c>
      <c r="G1412" s="10">
        <f t="shared" si="21"/>
        <v>15511833333333.334</v>
      </c>
      <c r="H1412" t="str">
        <f>$A1412&amp;Keys!$C$54&amp;$B1412&amp;Keys!$C$54&amp;$C1412</f>
        <v>MS|production|heavy fuel oil</v>
      </c>
    </row>
    <row r="1413" spans="1:8" x14ac:dyDescent="0.25">
      <c r="A1413" t="s">
        <v>127</v>
      </c>
      <c r="B1413" t="s">
        <v>188</v>
      </c>
      <c r="C1413" t="s">
        <v>117</v>
      </c>
      <c r="D1413">
        <v>3264400000000</v>
      </c>
      <c r="E1413">
        <v>3264400000000</v>
      </c>
      <c r="F1413">
        <v>3333710000000</v>
      </c>
      <c r="G1413" s="10">
        <f t="shared" si="21"/>
        <v>3287503333333.3335</v>
      </c>
      <c r="H1413" t="str">
        <f>$A1413&amp;Keys!$C$54&amp;$B1413&amp;Keys!$C$54&amp;$C1413</f>
        <v>MS|production|LPG propane or butane</v>
      </c>
    </row>
    <row r="1414" spans="1:8" x14ac:dyDescent="0.25">
      <c r="A1414" t="s">
        <v>127</v>
      </c>
      <c r="B1414" t="s">
        <v>188</v>
      </c>
      <c r="C1414" t="s">
        <v>120</v>
      </c>
      <c r="D1414">
        <v>0</v>
      </c>
      <c r="E1414">
        <v>0</v>
      </c>
      <c r="F1414">
        <v>0</v>
      </c>
      <c r="G1414" s="10">
        <f t="shared" si="21"/>
        <v>0</v>
      </c>
      <c r="H1414" t="str">
        <f>$A1414&amp;Keys!$C$54&amp;$B1414&amp;Keys!$C$54&amp;$C1414</f>
        <v>MS|production|municipal solid waste</v>
      </c>
    </row>
    <row r="1415" spans="1:8" x14ac:dyDescent="0.25">
      <c r="A1415" t="s">
        <v>127</v>
      </c>
      <c r="B1415" t="s">
        <v>188</v>
      </c>
      <c r="C1415" t="s">
        <v>123</v>
      </c>
      <c r="D1415">
        <v>28707200000000</v>
      </c>
      <c r="E1415">
        <v>28707200000000</v>
      </c>
      <c r="F1415">
        <v>27263100000000</v>
      </c>
      <c r="G1415" s="10">
        <f t="shared" si="21"/>
        <v>28225833333333.332</v>
      </c>
      <c r="H1415" t="str">
        <f>$A1415&amp;Keys!$C$54&amp;$B1415&amp;Keys!$C$54&amp;$C1415</f>
        <v>MS|production|hydrogen</v>
      </c>
    </row>
    <row r="1416" spans="1:8" x14ac:dyDescent="0.25">
      <c r="A1416" t="s">
        <v>127</v>
      </c>
      <c r="B1416" t="s">
        <v>191</v>
      </c>
      <c r="C1416" t="s">
        <v>60</v>
      </c>
      <c r="D1416">
        <v>0</v>
      </c>
      <c r="E1416">
        <v>0</v>
      </c>
      <c r="F1416">
        <v>0</v>
      </c>
      <c r="G1416" s="10">
        <f t="shared" si="21"/>
        <v>0</v>
      </c>
      <c r="H1416" t="str">
        <f>$A1416&amp;Keys!$C$54&amp;$B1416&amp;Keys!$C$54&amp;$C1416</f>
        <v>MS|imports|electricity (not used in this variable)</v>
      </c>
    </row>
    <row r="1417" spans="1:8" x14ac:dyDescent="0.25">
      <c r="A1417" t="s">
        <v>127</v>
      </c>
      <c r="B1417" t="s">
        <v>191</v>
      </c>
      <c r="C1417" t="s">
        <v>64</v>
      </c>
      <c r="D1417">
        <v>23136600000000</v>
      </c>
      <c r="E1417">
        <v>39001700000000</v>
      </c>
      <c r="F1417">
        <v>66087000000000</v>
      </c>
      <c r="G1417" s="10">
        <f t="shared" ref="G1417:G1480" si="22">AVERAGE($D1417:$F1417)</f>
        <v>42741766666666.664</v>
      </c>
      <c r="H1417" t="str">
        <f>$A1417&amp;Keys!$C$54&amp;$B1417&amp;Keys!$C$54&amp;$C1417</f>
        <v>MS|imports|hard coal</v>
      </c>
    </row>
    <row r="1418" spans="1:8" x14ac:dyDescent="0.25">
      <c r="A1418" t="s">
        <v>127</v>
      </c>
      <c r="B1418" t="s">
        <v>191</v>
      </c>
      <c r="C1418" t="s">
        <v>68</v>
      </c>
      <c r="D1418">
        <v>6084930000000000</v>
      </c>
      <c r="E1418">
        <v>5999130000000000</v>
      </c>
      <c r="F1418">
        <v>5911100000000000</v>
      </c>
      <c r="G1418" s="10">
        <f t="shared" si="22"/>
        <v>5998386666666667</v>
      </c>
      <c r="H1418" t="str">
        <f>$A1418&amp;Keys!$C$54&amp;$B1418&amp;Keys!$C$54&amp;$C1418</f>
        <v>MS|imports|natural gas</v>
      </c>
    </row>
    <row r="1419" spans="1:8" x14ac:dyDescent="0.25">
      <c r="A1419" t="s">
        <v>127</v>
      </c>
      <c r="B1419" t="s">
        <v>191</v>
      </c>
      <c r="C1419" t="s">
        <v>71</v>
      </c>
      <c r="D1419">
        <v>111253000000000</v>
      </c>
      <c r="E1419">
        <v>123223000000000</v>
      </c>
      <c r="F1419">
        <v>117479000000000</v>
      </c>
      <c r="G1419" s="10">
        <f t="shared" si="22"/>
        <v>117318333333333.33</v>
      </c>
      <c r="H1419" t="str">
        <f>$A1419&amp;Keys!$C$54&amp;$B1419&amp;Keys!$C$54&amp;$C1419</f>
        <v>MS|imports|nuclear</v>
      </c>
    </row>
    <row r="1420" spans="1:8" x14ac:dyDescent="0.25">
      <c r="A1420" t="s">
        <v>127</v>
      </c>
      <c r="B1420" t="s">
        <v>191</v>
      </c>
      <c r="C1420" t="s">
        <v>74</v>
      </c>
      <c r="D1420">
        <v>0</v>
      </c>
      <c r="E1420">
        <v>0</v>
      </c>
      <c r="F1420">
        <v>0</v>
      </c>
      <c r="G1420" s="10">
        <f t="shared" si="22"/>
        <v>0</v>
      </c>
      <c r="H1420" t="str">
        <f>$A1420&amp;Keys!$C$54&amp;$B1420&amp;Keys!$C$54&amp;$C1420</f>
        <v>MS|imports|hydro (is not a fuel)</v>
      </c>
    </row>
    <row r="1421" spans="1:8" x14ac:dyDescent="0.25">
      <c r="A1421" t="s">
        <v>127</v>
      </c>
      <c r="B1421" t="s">
        <v>191</v>
      </c>
      <c r="C1421" t="s">
        <v>77</v>
      </c>
      <c r="D1421">
        <v>0</v>
      </c>
      <c r="E1421">
        <v>0</v>
      </c>
      <c r="F1421">
        <v>0</v>
      </c>
      <c r="G1421" s="10">
        <f t="shared" si="22"/>
        <v>0</v>
      </c>
      <c r="H1421" t="str">
        <f>$A1421&amp;Keys!$C$54&amp;$B1421&amp;Keys!$C$54&amp;$C1421</f>
        <v>MS|imports|wind (is not a fuel)</v>
      </c>
    </row>
    <row r="1422" spans="1:8" x14ac:dyDescent="0.25">
      <c r="A1422" t="s">
        <v>127</v>
      </c>
      <c r="B1422" t="s">
        <v>191</v>
      </c>
      <c r="C1422" t="s">
        <v>80</v>
      </c>
      <c r="D1422">
        <v>0</v>
      </c>
      <c r="E1422">
        <v>0</v>
      </c>
      <c r="F1422">
        <v>0</v>
      </c>
      <c r="G1422" s="10">
        <f t="shared" si="22"/>
        <v>0</v>
      </c>
      <c r="H1422" t="str">
        <f>$A1422&amp;Keys!$C$54&amp;$B1422&amp;Keys!$C$54&amp;$C1422</f>
        <v>MS|imports|solar (is not a fuel)</v>
      </c>
    </row>
    <row r="1423" spans="1:8" x14ac:dyDescent="0.25">
      <c r="A1423" t="s">
        <v>127</v>
      </c>
      <c r="B1423" t="s">
        <v>191</v>
      </c>
      <c r="C1423" t="s">
        <v>82</v>
      </c>
      <c r="D1423">
        <v>0</v>
      </c>
      <c r="E1423">
        <v>37326300000000</v>
      </c>
      <c r="F1423">
        <v>38115900000000</v>
      </c>
      <c r="G1423" s="10">
        <f t="shared" si="22"/>
        <v>25147400000000</v>
      </c>
      <c r="H1423" t="str">
        <f>$A1423&amp;Keys!$C$54&amp;$B1423&amp;Keys!$C$54&amp;$C1423</f>
        <v>MS|imports|biomass</v>
      </c>
    </row>
    <row r="1424" spans="1:8" x14ac:dyDescent="0.25">
      <c r="A1424" t="s">
        <v>127</v>
      </c>
      <c r="B1424" t="s">
        <v>191</v>
      </c>
      <c r="C1424" t="s">
        <v>85</v>
      </c>
      <c r="D1424">
        <v>0</v>
      </c>
      <c r="E1424">
        <v>0</v>
      </c>
      <c r="F1424">
        <v>0</v>
      </c>
      <c r="G1424" s="10">
        <f t="shared" si="22"/>
        <v>0</v>
      </c>
      <c r="H1424" t="str">
        <f>$A1424&amp;Keys!$C$54&amp;$B1424&amp;Keys!$C$54&amp;$C1424</f>
        <v>MS|imports|petroleum gasoline</v>
      </c>
    </row>
    <row r="1425" spans="1:8" x14ac:dyDescent="0.25">
      <c r="A1425" t="s">
        <v>127</v>
      </c>
      <c r="B1425" t="s">
        <v>191</v>
      </c>
      <c r="C1425" t="s">
        <v>88</v>
      </c>
      <c r="D1425">
        <v>0</v>
      </c>
      <c r="E1425">
        <v>28707000000000</v>
      </c>
      <c r="F1425">
        <v>31231100000000</v>
      </c>
      <c r="G1425" s="10">
        <f t="shared" si="22"/>
        <v>19979366666666.668</v>
      </c>
      <c r="H1425" t="str">
        <f>$A1425&amp;Keys!$C$54&amp;$B1425&amp;Keys!$C$54&amp;$C1425</f>
        <v>MS|imports|petroleum diesel</v>
      </c>
    </row>
    <row r="1426" spans="1:8" x14ac:dyDescent="0.25">
      <c r="A1426" t="s">
        <v>127</v>
      </c>
      <c r="B1426" t="s">
        <v>191</v>
      </c>
      <c r="C1426" t="s">
        <v>91</v>
      </c>
      <c r="D1426">
        <v>0</v>
      </c>
      <c r="E1426">
        <v>12073000000000</v>
      </c>
      <c r="F1426">
        <v>11885500000000</v>
      </c>
      <c r="G1426" s="10">
        <f t="shared" si="22"/>
        <v>7986166666666.667</v>
      </c>
      <c r="H1426" t="str">
        <f>$A1426&amp;Keys!$C$54&amp;$B1426&amp;Keys!$C$54&amp;$C1426</f>
        <v>MS|imports|biofuel gasoline</v>
      </c>
    </row>
    <row r="1427" spans="1:8" x14ac:dyDescent="0.25">
      <c r="A1427" t="s">
        <v>127</v>
      </c>
      <c r="B1427" t="s">
        <v>191</v>
      </c>
      <c r="C1427" t="s">
        <v>94</v>
      </c>
      <c r="D1427">
        <v>0</v>
      </c>
      <c r="E1427">
        <v>0</v>
      </c>
      <c r="F1427">
        <v>0</v>
      </c>
      <c r="G1427" s="10">
        <f t="shared" si="22"/>
        <v>0</v>
      </c>
      <c r="H1427" t="str">
        <f>$A1427&amp;Keys!$C$54&amp;$B1427&amp;Keys!$C$54&amp;$C1427</f>
        <v>MS|imports|biofuel diesel</v>
      </c>
    </row>
    <row r="1428" spans="1:8" x14ac:dyDescent="0.25">
      <c r="A1428" t="s">
        <v>127</v>
      </c>
      <c r="B1428" t="s">
        <v>191</v>
      </c>
      <c r="C1428" t="s">
        <v>97</v>
      </c>
      <c r="D1428">
        <v>0</v>
      </c>
      <c r="E1428">
        <v>0</v>
      </c>
      <c r="F1428">
        <v>0</v>
      </c>
      <c r="G1428" s="10">
        <f t="shared" si="22"/>
        <v>0</v>
      </c>
      <c r="H1428" t="str">
        <f>$A1428&amp;Keys!$C$54&amp;$B1428&amp;Keys!$C$54&amp;$C1428</f>
        <v>MS|imports|jet fuel or kerosene</v>
      </c>
    </row>
    <row r="1429" spans="1:8" x14ac:dyDescent="0.25">
      <c r="A1429" t="s">
        <v>127</v>
      </c>
      <c r="B1429" t="s">
        <v>191</v>
      </c>
      <c r="C1429" t="s">
        <v>100</v>
      </c>
      <c r="D1429">
        <v>0</v>
      </c>
      <c r="E1429">
        <v>0</v>
      </c>
      <c r="F1429">
        <v>0</v>
      </c>
      <c r="G1429" s="10">
        <f t="shared" si="22"/>
        <v>0</v>
      </c>
      <c r="H1429" t="str">
        <f>$A1429&amp;Keys!$C$54&amp;$B1429&amp;Keys!$C$54&amp;$C1429</f>
        <v>MS|imports|heat (not used in this variable)</v>
      </c>
    </row>
    <row r="1430" spans="1:8" x14ac:dyDescent="0.25">
      <c r="A1430" t="s">
        <v>127</v>
      </c>
      <c r="B1430" t="s">
        <v>191</v>
      </c>
      <c r="C1430" t="s">
        <v>103</v>
      </c>
      <c r="D1430">
        <v>0</v>
      </c>
      <c r="E1430">
        <v>0</v>
      </c>
      <c r="F1430">
        <v>0</v>
      </c>
      <c r="G1430" s="10">
        <f t="shared" si="22"/>
        <v>0</v>
      </c>
      <c r="H1430" t="str">
        <f>$A1430&amp;Keys!$C$54&amp;$B1430&amp;Keys!$C$54&amp;$C1430</f>
        <v>MS|imports|geothermal (is not a fuel)</v>
      </c>
    </row>
    <row r="1431" spans="1:8" x14ac:dyDescent="0.25">
      <c r="A1431" t="s">
        <v>127</v>
      </c>
      <c r="B1431" t="s">
        <v>191</v>
      </c>
      <c r="C1431" t="s">
        <v>106</v>
      </c>
      <c r="D1431">
        <v>0</v>
      </c>
      <c r="E1431">
        <v>0</v>
      </c>
      <c r="F1431">
        <v>0</v>
      </c>
      <c r="G1431" s="10">
        <f t="shared" si="22"/>
        <v>0</v>
      </c>
      <c r="H1431" t="str">
        <f>$A1431&amp;Keys!$C$54&amp;$B1431&amp;Keys!$C$54&amp;$C1431</f>
        <v>MS|imports|lignite</v>
      </c>
    </row>
    <row r="1432" spans="1:8" x14ac:dyDescent="0.25">
      <c r="A1432" t="s">
        <v>127</v>
      </c>
      <c r="B1432" t="s">
        <v>191</v>
      </c>
      <c r="C1432" t="s">
        <v>109</v>
      </c>
      <c r="D1432">
        <v>0</v>
      </c>
      <c r="E1432">
        <v>701024000000000</v>
      </c>
      <c r="F1432">
        <v>705135000000000</v>
      </c>
      <c r="G1432" s="10">
        <f t="shared" si="22"/>
        <v>468719666666666.69</v>
      </c>
      <c r="H1432" t="str">
        <f>$A1432&amp;Keys!$C$54&amp;$B1432&amp;Keys!$C$54&amp;$C1432</f>
        <v>MS|imports|crude oil</v>
      </c>
    </row>
    <row r="1433" spans="1:8" x14ac:dyDescent="0.25">
      <c r="A1433" t="s">
        <v>127</v>
      </c>
      <c r="B1433" t="s">
        <v>191</v>
      </c>
      <c r="C1433" t="s">
        <v>113</v>
      </c>
      <c r="D1433">
        <v>0</v>
      </c>
      <c r="E1433">
        <v>13681100000000</v>
      </c>
      <c r="F1433">
        <v>13751900000000</v>
      </c>
      <c r="G1433" s="10">
        <f t="shared" si="22"/>
        <v>9144333333333.334</v>
      </c>
      <c r="H1433" t="str">
        <f>$A1433&amp;Keys!$C$54&amp;$B1433&amp;Keys!$C$54&amp;$C1433</f>
        <v>MS|imports|heavy fuel oil</v>
      </c>
    </row>
    <row r="1434" spans="1:8" x14ac:dyDescent="0.25">
      <c r="A1434" t="s">
        <v>127</v>
      </c>
      <c r="B1434" t="s">
        <v>191</v>
      </c>
      <c r="C1434" t="s">
        <v>117</v>
      </c>
      <c r="D1434">
        <v>0</v>
      </c>
      <c r="E1434">
        <v>6481730000000</v>
      </c>
      <c r="F1434">
        <v>6302640000000</v>
      </c>
      <c r="G1434" s="10">
        <f t="shared" si="22"/>
        <v>4261456666666.6665</v>
      </c>
      <c r="H1434" t="str">
        <f>$A1434&amp;Keys!$C$54&amp;$B1434&amp;Keys!$C$54&amp;$C1434</f>
        <v>MS|imports|LPG propane or butane</v>
      </c>
    </row>
    <row r="1435" spans="1:8" x14ac:dyDescent="0.25">
      <c r="A1435" t="s">
        <v>127</v>
      </c>
      <c r="B1435" t="s">
        <v>191</v>
      </c>
      <c r="C1435" t="s">
        <v>120</v>
      </c>
      <c r="D1435">
        <v>0</v>
      </c>
      <c r="E1435">
        <v>0</v>
      </c>
      <c r="F1435">
        <v>0</v>
      </c>
      <c r="G1435" s="10">
        <f t="shared" si="22"/>
        <v>0</v>
      </c>
      <c r="H1435" t="str">
        <f>$A1435&amp;Keys!$C$54&amp;$B1435&amp;Keys!$C$54&amp;$C1435</f>
        <v>MS|imports|municipal solid waste</v>
      </c>
    </row>
    <row r="1436" spans="1:8" x14ac:dyDescent="0.25">
      <c r="A1436" t="s">
        <v>127</v>
      </c>
      <c r="B1436" t="s">
        <v>191</v>
      </c>
      <c r="C1436" t="s">
        <v>123</v>
      </c>
      <c r="D1436">
        <v>0</v>
      </c>
      <c r="E1436">
        <v>0</v>
      </c>
      <c r="F1436">
        <v>0</v>
      </c>
      <c r="G1436" s="10">
        <f t="shared" si="22"/>
        <v>0</v>
      </c>
      <c r="H1436" t="str">
        <f>$A1436&amp;Keys!$C$54&amp;$B1436&amp;Keys!$C$54&amp;$C1436</f>
        <v>MS|imports|hydrogen</v>
      </c>
    </row>
    <row r="1437" spans="1:8" x14ac:dyDescent="0.25">
      <c r="A1437" t="s">
        <v>127</v>
      </c>
      <c r="B1437" t="s">
        <v>193</v>
      </c>
      <c r="C1437" t="s">
        <v>60</v>
      </c>
      <c r="D1437">
        <v>0</v>
      </c>
      <c r="E1437">
        <v>0</v>
      </c>
      <c r="F1437">
        <v>0</v>
      </c>
      <c r="G1437" s="10">
        <f t="shared" si="22"/>
        <v>0</v>
      </c>
      <c r="H1437" t="str">
        <f>$A1437&amp;Keys!$C$54&amp;$B1437&amp;Keys!$C$54&amp;$C1437</f>
        <v>MS|exports|electricity (not used in this variable)</v>
      </c>
    </row>
    <row r="1438" spans="1:8" x14ac:dyDescent="0.25">
      <c r="A1438" t="s">
        <v>127</v>
      </c>
      <c r="B1438" t="s">
        <v>193</v>
      </c>
      <c r="C1438" t="s">
        <v>64</v>
      </c>
      <c r="D1438">
        <v>0</v>
      </c>
      <c r="E1438">
        <v>0</v>
      </c>
      <c r="F1438">
        <v>0</v>
      </c>
      <c r="G1438" s="10">
        <f t="shared" si="22"/>
        <v>0</v>
      </c>
      <c r="H1438" t="str">
        <f>$A1438&amp;Keys!$C$54&amp;$B1438&amp;Keys!$C$54&amp;$C1438</f>
        <v>MS|exports|hard coal</v>
      </c>
    </row>
    <row r="1439" spans="1:8" x14ac:dyDescent="0.25">
      <c r="A1439" t="s">
        <v>127</v>
      </c>
      <c r="B1439" t="s">
        <v>193</v>
      </c>
      <c r="C1439" t="s">
        <v>68</v>
      </c>
      <c r="D1439">
        <v>5382070000000000</v>
      </c>
      <c r="E1439">
        <v>5382070000000000</v>
      </c>
      <c r="F1439">
        <v>5320280000000000</v>
      </c>
      <c r="G1439" s="10">
        <f t="shared" si="22"/>
        <v>5361473333333333</v>
      </c>
      <c r="H1439" t="str">
        <f>$A1439&amp;Keys!$C$54&amp;$B1439&amp;Keys!$C$54&amp;$C1439</f>
        <v>MS|exports|natural gas</v>
      </c>
    </row>
    <row r="1440" spans="1:8" x14ac:dyDescent="0.25">
      <c r="A1440" t="s">
        <v>127</v>
      </c>
      <c r="B1440" t="s">
        <v>193</v>
      </c>
      <c r="C1440" t="s">
        <v>71</v>
      </c>
      <c r="D1440">
        <v>0</v>
      </c>
      <c r="E1440">
        <v>0</v>
      </c>
      <c r="F1440">
        <v>0</v>
      </c>
      <c r="G1440" s="10">
        <f t="shared" si="22"/>
        <v>0</v>
      </c>
      <c r="H1440" t="str">
        <f>$A1440&amp;Keys!$C$54&amp;$B1440&amp;Keys!$C$54&amp;$C1440</f>
        <v>MS|exports|nuclear</v>
      </c>
    </row>
    <row r="1441" spans="1:8" x14ac:dyDescent="0.25">
      <c r="A1441" t="s">
        <v>127</v>
      </c>
      <c r="B1441" t="s">
        <v>193</v>
      </c>
      <c r="C1441" t="s">
        <v>74</v>
      </c>
      <c r="D1441">
        <v>0</v>
      </c>
      <c r="E1441">
        <v>0</v>
      </c>
      <c r="F1441">
        <v>0</v>
      </c>
      <c r="G1441" s="10">
        <f t="shared" si="22"/>
        <v>0</v>
      </c>
      <c r="H1441" t="str">
        <f>$A1441&amp;Keys!$C$54&amp;$B1441&amp;Keys!$C$54&amp;$C1441</f>
        <v>MS|exports|hydro (is not a fuel)</v>
      </c>
    </row>
    <row r="1442" spans="1:8" x14ac:dyDescent="0.25">
      <c r="A1442" t="s">
        <v>127</v>
      </c>
      <c r="B1442" t="s">
        <v>193</v>
      </c>
      <c r="C1442" t="s">
        <v>77</v>
      </c>
      <c r="D1442">
        <v>0</v>
      </c>
      <c r="E1442">
        <v>0</v>
      </c>
      <c r="F1442">
        <v>0</v>
      </c>
      <c r="G1442" s="10">
        <f t="shared" si="22"/>
        <v>0</v>
      </c>
      <c r="H1442" t="str">
        <f>$A1442&amp;Keys!$C$54&amp;$B1442&amp;Keys!$C$54&amp;$C1442</f>
        <v>MS|exports|wind (is not a fuel)</v>
      </c>
    </row>
    <row r="1443" spans="1:8" x14ac:dyDescent="0.25">
      <c r="A1443" t="s">
        <v>127</v>
      </c>
      <c r="B1443" t="s">
        <v>193</v>
      </c>
      <c r="C1443" t="s">
        <v>80</v>
      </c>
      <c r="D1443">
        <v>0</v>
      </c>
      <c r="E1443">
        <v>0</v>
      </c>
      <c r="F1443">
        <v>0</v>
      </c>
      <c r="G1443" s="10">
        <f t="shared" si="22"/>
        <v>0</v>
      </c>
      <c r="H1443" t="str">
        <f>$A1443&amp;Keys!$C$54&amp;$B1443&amp;Keys!$C$54&amp;$C1443</f>
        <v>MS|exports|solar (is not a fuel)</v>
      </c>
    </row>
    <row r="1444" spans="1:8" x14ac:dyDescent="0.25">
      <c r="A1444" t="s">
        <v>127</v>
      </c>
      <c r="B1444" t="s">
        <v>193</v>
      </c>
      <c r="C1444" t="s">
        <v>82</v>
      </c>
      <c r="D1444">
        <v>0</v>
      </c>
      <c r="E1444">
        <v>0</v>
      </c>
      <c r="F1444">
        <v>0</v>
      </c>
      <c r="G1444" s="10">
        <f t="shared" si="22"/>
        <v>0</v>
      </c>
      <c r="H1444" t="str">
        <f>$A1444&amp;Keys!$C$54&amp;$B1444&amp;Keys!$C$54&amp;$C1444</f>
        <v>MS|exports|biomass</v>
      </c>
    </row>
    <row r="1445" spans="1:8" x14ac:dyDescent="0.25">
      <c r="A1445" t="s">
        <v>127</v>
      </c>
      <c r="B1445" t="s">
        <v>193</v>
      </c>
      <c r="C1445" t="s">
        <v>85</v>
      </c>
      <c r="D1445">
        <v>30595200000000</v>
      </c>
      <c r="E1445">
        <v>211539000000000</v>
      </c>
      <c r="F1445">
        <v>204975000000000</v>
      </c>
      <c r="G1445" s="10">
        <f t="shared" si="22"/>
        <v>149036400000000</v>
      </c>
      <c r="H1445" t="str">
        <f>$A1445&amp;Keys!$C$54&amp;$B1445&amp;Keys!$C$54&amp;$C1445</f>
        <v>MS|exports|petroleum gasoline</v>
      </c>
    </row>
    <row r="1446" spans="1:8" x14ac:dyDescent="0.25">
      <c r="A1446" t="s">
        <v>127</v>
      </c>
      <c r="B1446" t="s">
        <v>193</v>
      </c>
      <c r="C1446" t="s">
        <v>88</v>
      </c>
      <c r="D1446">
        <v>141067000000000</v>
      </c>
      <c r="E1446">
        <v>141067000000000</v>
      </c>
      <c r="F1446">
        <v>137647000000000</v>
      </c>
      <c r="G1446" s="10">
        <f t="shared" si="22"/>
        <v>139927000000000</v>
      </c>
      <c r="H1446" t="str">
        <f>$A1446&amp;Keys!$C$54&amp;$B1446&amp;Keys!$C$54&amp;$C1446</f>
        <v>MS|exports|petroleum diesel</v>
      </c>
    </row>
    <row r="1447" spans="1:8" x14ac:dyDescent="0.25">
      <c r="A1447" t="s">
        <v>127</v>
      </c>
      <c r="B1447" t="s">
        <v>193</v>
      </c>
      <c r="C1447" t="s">
        <v>91</v>
      </c>
      <c r="D1447">
        <v>0</v>
      </c>
      <c r="E1447">
        <v>0</v>
      </c>
      <c r="F1447">
        <v>0</v>
      </c>
      <c r="G1447" s="10">
        <f t="shared" si="22"/>
        <v>0</v>
      </c>
      <c r="H1447" t="str">
        <f>$A1447&amp;Keys!$C$54&amp;$B1447&amp;Keys!$C$54&amp;$C1447</f>
        <v>MS|exports|biofuel gasoline</v>
      </c>
    </row>
    <row r="1448" spans="1:8" x14ac:dyDescent="0.25">
      <c r="A1448" t="s">
        <v>127</v>
      </c>
      <c r="B1448" t="s">
        <v>193</v>
      </c>
      <c r="C1448" t="s">
        <v>94</v>
      </c>
      <c r="D1448">
        <v>0</v>
      </c>
      <c r="E1448">
        <v>6434250000000</v>
      </c>
      <c r="F1448">
        <v>8047690000000</v>
      </c>
      <c r="G1448" s="10">
        <f t="shared" si="22"/>
        <v>4827313333333.333</v>
      </c>
      <c r="H1448" t="str">
        <f>$A1448&amp;Keys!$C$54&amp;$B1448&amp;Keys!$C$54&amp;$C1448</f>
        <v>MS|exports|biofuel diesel</v>
      </c>
    </row>
    <row r="1449" spans="1:8" x14ac:dyDescent="0.25">
      <c r="A1449" t="s">
        <v>127</v>
      </c>
      <c r="B1449" t="s">
        <v>193</v>
      </c>
      <c r="C1449" t="s">
        <v>97</v>
      </c>
      <c r="D1449">
        <v>22343700000000</v>
      </c>
      <c r="E1449">
        <v>73664400000000</v>
      </c>
      <c r="F1449">
        <v>71625600000000</v>
      </c>
      <c r="G1449" s="10">
        <f t="shared" si="22"/>
        <v>55877900000000</v>
      </c>
      <c r="H1449" t="str">
        <f>$A1449&amp;Keys!$C$54&amp;$B1449&amp;Keys!$C$54&amp;$C1449</f>
        <v>MS|exports|jet fuel or kerosene</v>
      </c>
    </row>
    <row r="1450" spans="1:8" x14ac:dyDescent="0.25">
      <c r="A1450" t="s">
        <v>127</v>
      </c>
      <c r="B1450" t="s">
        <v>193</v>
      </c>
      <c r="C1450" t="s">
        <v>100</v>
      </c>
      <c r="D1450">
        <v>0</v>
      </c>
      <c r="E1450">
        <v>0</v>
      </c>
      <c r="F1450">
        <v>0</v>
      </c>
      <c r="G1450" s="10">
        <f t="shared" si="22"/>
        <v>0</v>
      </c>
      <c r="H1450" t="str">
        <f>$A1450&amp;Keys!$C$54&amp;$B1450&amp;Keys!$C$54&amp;$C1450</f>
        <v>MS|exports|heat (not used in this variable)</v>
      </c>
    </row>
    <row r="1451" spans="1:8" x14ac:dyDescent="0.25">
      <c r="A1451" t="s">
        <v>127</v>
      </c>
      <c r="B1451" t="s">
        <v>193</v>
      </c>
      <c r="C1451" t="s">
        <v>103</v>
      </c>
      <c r="D1451">
        <v>0</v>
      </c>
      <c r="E1451">
        <v>0</v>
      </c>
      <c r="F1451">
        <v>0</v>
      </c>
      <c r="G1451" s="10">
        <f t="shared" si="22"/>
        <v>0</v>
      </c>
      <c r="H1451" t="str">
        <f>$A1451&amp;Keys!$C$54&amp;$B1451&amp;Keys!$C$54&amp;$C1451</f>
        <v>MS|exports|geothermal (is not a fuel)</v>
      </c>
    </row>
    <row r="1452" spans="1:8" x14ac:dyDescent="0.25">
      <c r="A1452" t="s">
        <v>127</v>
      </c>
      <c r="B1452" t="s">
        <v>193</v>
      </c>
      <c r="C1452" t="s">
        <v>106</v>
      </c>
      <c r="D1452">
        <v>0</v>
      </c>
      <c r="E1452">
        <v>16459200000000</v>
      </c>
      <c r="F1452">
        <v>4791130000000</v>
      </c>
      <c r="G1452" s="10">
        <f t="shared" si="22"/>
        <v>7083443333333.333</v>
      </c>
      <c r="H1452" t="str">
        <f>$A1452&amp;Keys!$C$54&amp;$B1452&amp;Keys!$C$54&amp;$C1452</f>
        <v>MS|exports|lignite</v>
      </c>
    </row>
    <row r="1453" spans="1:8" x14ac:dyDescent="0.25">
      <c r="A1453" t="s">
        <v>127</v>
      </c>
      <c r="B1453" t="s">
        <v>193</v>
      </c>
      <c r="C1453" t="s">
        <v>109</v>
      </c>
      <c r="D1453">
        <v>0</v>
      </c>
      <c r="E1453">
        <v>0</v>
      </c>
      <c r="F1453">
        <v>0</v>
      </c>
      <c r="G1453" s="10">
        <f t="shared" si="22"/>
        <v>0</v>
      </c>
      <c r="H1453" t="str">
        <f>$A1453&amp;Keys!$C$54&amp;$B1453&amp;Keys!$C$54&amp;$C1453</f>
        <v>MS|exports|crude oil</v>
      </c>
    </row>
    <row r="1454" spans="1:8" x14ac:dyDescent="0.25">
      <c r="A1454" t="s">
        <v>127</v>
      </c>
      <c r="B1454" t="s">
        <v>193</v>
      </c>
      <c r="C1454" t="s">
        <v>113</v>
      </c>
      <c r="D1454">
        <v>16108100000000</v>
      </c>
      <c r="E1454">
        <v>16108100000000</v>
      </c>
      <c r="F1454">
        <v>15717700000000</v>
      </c>
      <c r="G1454" s="10">
        <f t="shared" si="22"/>
        <v>15977966666666.666</v>
      </c>
      <c r="H1454" t="str">
        <f>$A1454&amp;Keys!$C$54&amp;$B1454&amp;Keys!$C$54&amp;$C1454</f>
        <v>MS|exports|heavy fuel oil</v>
      </c>
    </row>
    <row r="1455" spans="1:8" x14ac:dyDescent="0.25">
      <c r="A1455" t="s">
        <v>127</v>
      </c>
      <c r="B1455" t="s">
        <v>193</v>
      </c>
      <c r="C1455" t="s">
        <v>117</v>
      </c>
      <c r="D1455">
        <v>0</v>
      </c>
      <c r="E1455">
        <v>0</v>
      </c>
      <c r="F1455">
        <v>0</v>
      </c>
      <c r="G1455" s="10">
        <f t="shared" si="22"/>
        <v>0</v>
      </c>
      <c r="H1455" t="str">
        <f>$A1455&amp;Keys!$C$54&amp;$B1455&amp;Keys!$C$54&amp;$C1455</f>
        <v>MS|exports|LPG propane or butane</v>
      </c>
    </row>
    <row r="1456" spans="1:8" x14ac:dyDescent="0.25">
      <c r="A1456" t="s">
        <v>127</v>
      </c>
      <c r="B1456" t="s">
        <v>193</v>
      </c>
      <c r="C1456" t="s">
        <v>120</v>
      </c>
      <c r="D1456">
        <v>0</v>
      </c>
      <c r="E1456">
        <v>0</v>
      </c>
      <c r="F1456">
        <v>0</v>
      </c>
      <c r="G1456" s="10">
        <f t="shared" si="22"/>
        <v>0</v>
      </c>
      <c r="H1456" t="str">
        <f>$A1456&amp;Keys!$C$54&amp;$B1456&amp;Keys!$C$54&amp;$C1456</f>
        <v>MS|exports|municipal solid waste</v>
      </c>
    </row>
    <row r="1457" spans="1:8" x14ac:dyDescent="0.25">
      <c r="A1457" t="s">
        <v>127</v>
      </c>
      <c r="B1457" t="s">
        <v>193</v>
      </c>
      <c r="C1457" t="s">
        <v>123</v>
      </c>
      <c r="D1457">
        <v>0</v>
      </c>
      <c r="E1457">
        <v>14670200000000</v>
      </c>
      <c r="F1457">
        <v>13159100000000</v>
      </c>
      <c r="G1457" s="10">
        <f t="shared" si="22"/>
        <v>9276433333333.334</v>
      </c>
      <c r="H1457" t="str">
        <f>$A1457&amp;Keys!$C$54&amp;$B1457&amp;Keys!$C$54&amp;$C1457</f>
        <v>MS|exports|hydrogen</v>
      </c>
    </row>
    <row r="1458" spans="1:8" x14ac:dyDescent="0.25">
      <c r="A1458" t="s">
        <v>129</v>
      </c>
      <c r="B1458" t="s">
        <v>188</v>
      </c>
      <c r="C1458" t="s">
        <v>60</v>
      </c>
      <c r="D1458">
        <v>0</v>
      </c>
      <c r="E1458">
        <v>0</v>
      </c>
      <c r="F1458">
        <v>0</v>
      </c>
      <c r="G1458" s="10">
        <f t="shared" si="22"/>
        <v>0</v>
      </c>
      <c r="H1458" t="str">
        <f>$A1458&amp;Keys!$C$54&amp;$B1458&amp;Keys!$C$54&amp;$C1458</f>
        <v>MT|production|electricity (not used in this variable)</v>
      </c>
    </row>
    <row r="1459" spans="1:8" x14ac:dyDescent="0.25">
      <c r="A1459" t="s">
        <v>129</v>
      </c>
      <c r="B1459" t="s">
        <v>188</v>
      </c>
      <c r="C1459" t="s">
        <v>64</v>
      </c>
      <c r="D1459">
        <v>553161000000000</v>
      </c>
      <c r="E1459">
        <v>553161000000000</v>
      </c>
      <c r="F1459">
        <v>516543000000000</v>
      </c>
      <c r="G1459" s="10">
        <f t="shared" si="22"/>
        <v>540955000000000</v>
      </c>
      <c r="H1459" t="str">
        <f>$A1459&amp;Keys!$C$54&amp;$B1459&amp;Keys!$C$54&amp;$C1459</f>
        <v>MT|production|hard coal</v>
      </c>
    </row>
    <row r="1460" spans="1:8" x14ac:dyDescent="0.25">
      <c r="A1460" t="s">
        <v>129</v>
      </c>
      <c r="B1460" t="s">
        <v>188</v>
      </c>
      <c r="C1460" t="s">
        <v>68</v>
      </c>
      <c r="D1460">
        <v>41508000000000</v>
      </c>
      <c r="E1460">
        <v>41508000000000</v>
      </c>
      <c r="F1460">
        <v>38452700000000</v>
      </c>
      <c r="G1460" s="10">
        <f t="shared" si="22"/>
        <v>40489566666666.664</v>
      </c>
      <c r="H1460" t="str">
        <f>$A1460&amp;Keys!$C$54&amp;$B1460&amp;Keys!$C$54&amp;$C1460</f>
        <v>MT|production|natural gas</v>
      </c>
    </row>
    <row r="1461" spans="1:8" x14ac:dyDescent="0.25">
      <c r="A1461" t="s">
        <v>129</v>
      </c>
      <c r="B1461" t="s">
        <v>188</v>
      </c>
      <c r="C1461" t="s">
        <v>71</v>
      </c>
      <c r="D1461">
        <v>0</v>
      </c>
      <c r="E1461">
        <v>0</v>
      </c>
      <c r="F1461">
        <v>0</v>
      </c>
      <c r="G1461" s="10">
        <f t="shared" si="22"/>
        <v>0</v>
      </c>
      <c r="H1461" t="str">
        <f>$A1461&amp;Keys!$C$54&amp;$B1461&amp;Keys!$C$54&amp;$C1461</f>
        <v>MT|production|nuclear</v>
      </c>
    </row>
    <row r="1462" spans="1:8" x14ac:dyDescent="0.25">
      <c r="A1462" t="s">
        <v>129</v>
      </c>
      <c r="B1462" t="s">
        <v>188</v>
      </c>
      <c r="C1462" t="s">
        <v>74</v>
      </c>
      <c r="D1462">
        <v>0</v>
      </c>
      <c r="E1462">
        <v>0</v>
      </c>
      <c r="F1462">
        <v>0</v>
      </c>
      <c r="G1462" s="10">
        <f t="shared" si="22"/>
        <v>0</v>
      </c>
      <c r="H1462" t="str">
        <f>$A1462&amp;Keys!$C$54&amp;$B1462&amp;Keys!$C$54&amp;$C1462</f>
        <v>MT|production|hydro (is not a fuel)</v>
      </c>
    </row>
    <row r="1463" spans="1:8" x14ac:dyDescent="0.25">
      <c r="A1463" t="s">
        <v>129</v>
      </c>
      <c r="B1463" t="s">
        <v>188</v>
      </c>
      <c r="C1463" t="s">
        <v>77</v>
      </c>
      <c r="D1463">
        <v>0</v>
      </c>
      <c r="E1463">
        <v>0</v>
      </c>
      <c r="F1463">
        <v>0</v>
      </c>
      <c r="G1463" s="10">
        <f t="shared" si="22"/>
        <v>0</v>
      </c>
      <c r="H1463" t="str">
        <f>$A1463&amp;Keys!$C$54&amp;$B1463&amp;Keys!$C$54&amp;$C1463</f>
        <v>MT|production|wind (is not a fuel)</v>
      </c>
    </row>
    <row r="1464" spans="1:8" x14ac:dyDescent="0.25">
      <c r="A1464" t="s">
        <v>129</v>
      </c>
      <c r="B1464" t="s">
        <v>188</v>
      </c>
      <c r="C1464" t="s">
        <v>80</v>
      </c>
      <c r="D1464">
        <v>0</v>
      </c>
      <c r="E1464">
        <v>0</v>
      </c>
      <c r="F1464">
        <v>0</v>
      </c>
      <c r="G1464" s="10">
        <f t="shared" si="22"/>
        <v>0</v>
      </c>
      <c r="H1464" t="str">
        <f>$A1464&amp;Keys!$C$54&amp;$B1464&amp;Keys!$C$54&amp;$C1464</f>
        <v>MT|production|solar (is not a fuel)</v>
      </c>
    </row>
    <row r="1465" spans="1:8" x14ac:dyDescent="0.25">
      <c r="A1465" t="s">
        <v>129</v>
      </c>
      <c r="B1465" t="s">
        <v>188</v>
      </c>
      <c r="C1465" t="s">
        <v>82</v>
      </c>
      <c r="D1465">
        <v>0</v>
      </c>
      <c r="E1465">
        <v>0</v>
      </c>
      <c r="F1465">
        <v>0</v>
      </c>
      <c r="G1465" s="10">
        <f t="shared" si="22"/>
        <v>0</v>
      </c>
      <c r="H1465" t="str">
        <f>$A1465&amp;Keys!$C$54&amp;$B1465&amp;Keys!$C$54&amp;$C1465</f>
        <v>MT|production|biomass</v>
      </c>
    </row>
    <row r="1466" spans="1:8" x14ac:dyDescent="0.25">
      <c r="A1466" t="s">
        <v>129</v>
      </c>
      <c r="B1466" t="s">
        <v>188</v>
      </c>
      <c r="C1466" t="s">
        <v>85</v>
      </c>
      <c r="D1466">
        <v>198953000000000</v>
      </c>
      <c r="E1466">
        <v>198953000000000</v>
      </c>
      <c r="F1466">
        <v>194130000000000</v>
      </c>
      <c r="G1466" s="10">
        <f t="shared" si="22"/>
        <v>197345333333333.34</v>
      </c>
      <c r="H1466" t="str">
        <f>$A1466&amp;Keys!$C$54&amp;$B1466&amp;Keys!$C$54&amp;$C1466</f>
        <v>MT|production|petroleum gasoline</v>
      </c>
    </row>
    <row r="1467" spans="1:8" x14ac:dyDescent="0.25">
      <c r="A1467" t="s">
        <v>129</v>
      </c>
      <c r="B1467" t="s">
        <v>188</v>
      </c>
      <c r="C1467" t="s">
        <v>88</v>
      </c>
      <c r="D1467">
        <v>117683000000000</v>
      </c>
      <c r="E1467">
        <v>117683000000000</v>
      </c>
      <c r="F1467">
        <v>114831000000000</v>
      </c>
      <c r="G1467" s="10">
        <f t="shared" si="22"/>
        <v>116732333333333.33</v>
      </c>
      <c r="H1467" t="str">
        <f>$A1467&amp;Keys!$C$54&amp;$B1467&amp;Keys!$C$54&amp;$C1467</f>
        <v>MT|production|petroleum diesel</v>
      </c>
    </row>
    <row r="1468" spans="1:8" x14ac:dyDescent="0.25">
      <c r="A1468" t="s">
        <v>129</v>
      </c>
      <c r="B1468" t="s">
        <v>188</v>
      </c>
      <c r="C1468" t="s">
        <v>91</v>
      </c>
      <c r="D1468">
        <v>0</v>
      </c>
      <c r="E1468">
        <v>0</v>
      </c>
      <c r="F1468">
        <v>0</v>
      </c>
      <c r="G1468" s="10">
        <f t="shared" si="22"/>
        <v>0</v>
      </c>
      <c r="H1468" t="str">
        <f>$A1468&amp;Keys!$C$54&amp;$B1468&amp;Keys!$C$54&amp;$C1468</f>
        <v>MT|production|biofuel gasoline</v>
      </c>
    </row>
    <row r="1469" spans="1:8" x14ac:dyDescent="0.25">
      <c r="A1469" t="s">
        <v>129</v>
      </c>
      <c r="B1469" t="s">
        <v>188</v>
      </c>
      <c r="C1469" t="s">
        <v>94</v>
      </c>
      <c r="D1469">
        <v>0</v>
      </c>
      <c r="E1469">
        <v>0</v>
      </c>
      <c r="F1469">
        <v>0</v>
      </c>
      <c r="G1469" s="10">
        <f t="shared" si="22"/>
        <v>0</v>
      </c>
      <c r="H1469" t="str">
        <f>$A1469&amp;Keys!$C$54&amp;$B1469&amp;Keys!$C$54&amp;$C1469</f>
        <v>MT|production|biofuel diesel</v>
      </c>
    </row>
    <row r="1470" spans="1:8" x14ac:dyDescent="0.25">
      <c r="A1470" t="s">
        <v>129</v>
      </c>
      <c r="B1470" t="s">
        <v>188</v>
      </c>
      <c r="C1470" t="s">
        <v>97</v>
      </c>
      <c r="D1470">
        <v>41892900000000</v>
      </c>
      <c r="E1470">
        <v>41892900000000</v>
      </c>
      <c r="F1470">
        <v>40877500000000</v>
      </c>
      <c r="G1470" s="10">
        <f t="shared" si="22"/>
        <v>41554433333333.336</v>
      </c>
      <c r="H1470" t="str">
        <f>$A1470&amp;Keys!$C$54&amp;$B1470&amp;Keys!$C$54&amp;$C1470</f>
        <v>MT|production|jet fuel or kerosene</v>
      </c>
    </row>
    <row r="1471" spans="1:8" x14ac:dyDescent="0.25">
      <c r="A1471" t="s">
        <v>129</v>
      </c>
      <c r="B1471" t="s">
        <v>188</v>
      </c>
      <c r="C1471" t="s">
        <v>100</v>
      </c>
      <c r="D1471">
        <v>0</v>
      </c>
      <c r="E1471">
        <v>0</v>
      </c>
      <c r="F1471">
        <v>0</v>
      </c>
      <c r="G1471" s="10">
        <f t="shared" si="22"/>
        <v>0</v>
      </c>
      <c r="H1471" t="str">
        <f>$A1471&amp;Keys!$C$54&amp;$B1471&amp;Keys!$C$54&amp;$C1471</f>
        <v>MT|production|heat (not used in this variable)</v>
      </c>
    </row>
    <row r="1472" spans="1:8" x14ac:dyDescent="0.25">
      <c r="A1472" t="s">
        <v>129</v>
      </c>
      <c r="B1472" t="s">
        <v>188</v>
      </c>
      <c r="C1472" t="s">
        <v>103</v>
      </c>
      <c r="D1472">
        <v>0</v>
      </c>
      <c r="E1472">
        <v>0</v>
      </c>
      <c r="F1472">
        <v>0</v>
      </c>
      <c r="G1472" s="10">
        <f t="shared" si="22"/>
        <v>0</v>
      </c>
      <c r="H1472" t="str">
        <f>$A1472&amp;Keys!$C$54&amp;$B1472&amp;Keys!$C$54&amp;$C1472</f>
        <v>MT|production|geothermal (is not a fuel)</v>
      </c>
    </row>
    <row r="1473" spans="1:8" x14ac:dyDescent="0.25">
      <c r="A1473" t="s">
        <v>129</v>
      </c>
      <c r="B1473" t="s">
        <v>188</v>
      </c>
      <c r="C1473" t="s">
        <v>106</v>
      </c>
      <c r="D1473">
        <v>0</v>
      </c>
      <c r="E1473">
        <v>0</v>
      </c>
      <c r="F1473">
        <v>0</v>
      </c>
      <c r="G1473" s="10">
        <f t="shared" si="22"/>
        <v>0</v>
      </c>
      <c r="H1473" t="str">
        <f>$A1473&amp;Keys!$C$54&amp;$B1473&amp;Keys!$C$54&amp;$C1473</f>
        <v>MT|production|lignite</v>
      </c>
    </row>
    <row r="1474" spans="1:8" x14ac:dyDescent="0.25">
      <c r="A1474" t="s">
        <v>129</v>
      </c>
      <c r="B1474" t="s">
        <v>188</v>
      </c>
      <c r="C1474" t="s">
        <v>109</v>
      </c>
      <c r="D1474">
        <v>154599000000000</v>
      </c>
      <c r="E1474">
        <v>154599000000000</v>
      </c>
      <c r="F1474">
        <v>149378000000000</v>
      </c>
      <c r="G1474" s="10">
        <f t="shared" si="22"/>
        <v>152858666666666.66</v>
      </c>
      <c r="H1474" t="str">
        <f>$A1474&amp;Keys!$C$54&amp;$B1474&amp;Keys!$C$54&amp;$C1474</f>
        <v>MT|production|crude oil</v>
      </c>
    </row>
    <row r="1475" spans="1:8" x14ac:dyDescent="0.25">
      <c r="A1475" t="s">
        <v>129</v>
      </c>
      <c r="B1475" t="s">
        <v>188</v>
      </c>
      <c r="C1475" t="s">
        <v>113</v>
      </c>
      <c r="D1475">
        <v>8137840000000</v>
      </c>
      <c r="E1475">
        <v>8137840000000</v>
      </c>
      <c r="F1475">
        <v>7940600000000</v>
      </c>
      <c r="G1475" s="10">
        <f t="shared" si="22"/>
        <v>8072093333333.333</v>
      </c>
      <c r="H1475" t="str">
        <f>$A1475&amp;Keys!$C$54&amp;$B1475&amp;Keys!$C$54&amp;$C1475</f>
        <v>MT|production|heavy fuel oil</v>
      </c>
    </row>
    <row r="1476" spans="1:8" x14ac:dyDescent="0.25">
      <c r="A1476" t="s">
        <v>129</v>
      </c>
      <c r="B1476" t="s">
        <v>188</v>
      </c>
      <c r="C1476" t="s">
        <v>117</v>
      </c>
      <c r="D1476">
        <v>5074330000000</v>
      </c>
      <c r="E1476">
        <v>5074330000000</v>
      </c>
      <c r="F1476">
        <v>5182080000000</v>
      </c>
      <c r="G1476" s="10">
        <f t="shared" si="22"/>
        <v>5110246666666.667</v>
      </c>
      <c r="H1476" t="str">
        <f>$A1476&amp;Keys!$C$54&amp;$B1476&amp;Keys!$C$54&amp;$C1476</f>
        <v>MT|production|LPG propane or butane</v>
      </c>
    </row>
    <row r="1477" spans="1:8" x14ac:dyDescent="0.25">
      <c r="A1477" t="s">
        <v>129</v>
      </c>
      <c r="B1477" t="s">
        <v>188</v>
      </c>
      <c r="C1477" t="s">
        <v>120</v>
      </c>
      <c r="D1477">
        <v>0</v>
      </c>
      <c r="E1477">
        <v>0</v>
      </c>
      <c r="F1477">
        <v>0</v>
      </c>
      <c r="G1477" s="10">
        <f t="shared" si="22"/>
        <v>0</v>
      </c>
      <c r="H1477" t="str">
        <f>$A1477&amp;Keys!$C$54&amp;$B1477&amp;Keys!$C$54&amp;$C1477</f>
        <v>MT|production|municipal solid waste</v>
      </c>
    </row>
    <row r="1478" spans="1:8" x14ac:dyDescent="0.25">
      <c r="A1478" t="s">
        <v>129</v>
      </c>
      <c r="B1478" t="s">
        <v>188</v>
      </c>
      <c r="C1478" t="s">
        <v>123</v>
      </c>
      <c r="D1478">
        <v>17082000000000</v>
      </c>
      <c r="E1478">
        <v>17082000000000</v>
      </c>
      <c r="F1478">
        <v>16222700000000</v>
      </c>
      <c r="G1478" s="10">
        <f t="shared" si="22"/>
        <v>16795566666666.666</v>
      </c>
      <c r="H1478" t="str">
        <f>$A1478&amp;Keys!$C$54&amp;$B1478&amp;Keys!$C$54&amp;$C1478</f>
        <v>MT|production|hydrogen</v>
      </c>
    </row>
    <row r="1479" spans="1:8" x14ac:dyDescent="0.25">
      <c r="A1479" t="s">
        <v>129</v>
      </c>
      <c r="B1479" t="s">
        <v>191</v>
      </c>
      <c r="C1479" t="s">
        <v>60</v>
      </c>
      <c r="D1479">
        <v>0</v>
      </c>
      <c r="E1479">
        <v>0</v>
      </c>
      <c r="F1479">
        <v>0</v>
      </c>
      <c r="G1479" s="10">
        <f t="shared" si="22"/>
        <v>0</v>
      </c>
      <c r="H1479" t="str">
        <f>$A1479&amp;Keys!$C$54&amp;$B1479&amp;Keys!$C$54&amp;$C1479</f>
        <v>MT|imports|electricity (not used in this variable)</v>
      </c>
    </row>
    <row r="1480" spans="1:8" x14ac:dyDescent="0.25">
      <c r="A1480" t="s">
        <v>129</v>
      </c>
      <c r="B1480" t="s">
        <v>191</v>
      </c>
      <c r="C1480" t="s">
        <v>64</v>
      </c>
      <c r="D1480">
        <v>1014220000000</v>
      </c>
      <c r="E1480">
        <v>0</v>
      </c>
      <c r="F1480">
        <v>0</v>
      </c>
      <c r="G1480" s="10">
        <f t="shared" si="22"/>
        <v>338073333333.33331</v>
      </c>
      <c r="H1480" t="str">
        <f>$A1480&amp;Keys!$C$54&amp;$B1480&amp;Keys!$C$54&amp;$C1480</f>
        <v>MT|imports|hard coal</v>
      </c>
    </row>
    <row r="1481" spans="1:8" x14ac:dyDescent="0.25">
      <c r="A1481" t="s">
        <v>129</v>
      </c>
      <c r="B1481" t="s">
        <v>191</v>
      </c>
      <c r="C1481" t="s">
        <v>68</v>
      </c>
      <c r="D1481">
        <v>279218000000000</v>
      </c>
      <c r="E1481">
        <v>280019000000000</v>
      </c>
      <c r="F1481">
        <v>256803000000000</v>
      </c>
      <c r="G1481" s="10">
        <f t="shared" ref="G1481:G1544" si="23">AVERAGE($D1481:$F1481)</f>
        <v>272013333333333.34</v>
      </c>
      <c r="H1481" t="str">
        <f>$A1481&amp;Keys!$C$54&amp;$B1481&amp;Keys!$C$54&amp;$C1481</f>
        <v>MT|imports|natural gas</v>
      </c>
    </row>
    <row r="1482" spans="1:8" x14ac:dyDescent="0.25">
      <c r="A1482" t="s">
        <v>129</v>
      </c>
      <c r="B1482" t="s">
        <v>191</v>
      </c>
      <c r="C1482" t="s">
        <v>71</v>
      </c>
      <c r="D1482">
        <v>0</v>
      </c>
      <c r="E1482">
        <v>0</v>
      </c>
      <c r="F1482">
        <v>0</v>
      </c>
      <c r="G1482" s="10">
        <f t="shared" si="23"/>
        <v>0</v>
      </c>
      <c r="H1482" t="str">
        <f>$A1482&amp;Keys!$C$54&amp;$B1482&amp;Keys!$C$54&amp;$C1482</f>
        <v>MT|imports|nuclear</v>
      </c>
    </row>
    <row r="1483" spans="1:8" x14ac:dyDescent="0.25">
      <c r="A1483" t="s">
        <v>129</v>
      </c>
      <c r="B1483" t="s">
        <v>191</v>
      </c>
      <c r="C1483" t="s">
        <v>74</v>
      </c>
      <c r="D1483">
        <v>0</v>
      </c>
      <c r="E1483">
        <v>0</v>
      </c>
      <c r="F1483">
        <v>0</v>
      </c>
      <c r="G1483" s="10">
        <f t="shared" si="23"/>
        <v>0</v>
      </c>
      <c r="H1483" t="str">
        <f>$A1483&amp;Keys!$C$54&amp;$B1483&amp;Keys!$C$54&amp;$C1483</f>
        <v>MT|imports|hydro (is not a fuel)</v>
      </c>
    </row>
    <row r="1484" spans="1:8" x14ac:dyDescent="0.25">
      <c r="A1484" t="s">
        <v>129</v>
      </c>
      <c r="B1484" t="s">
        <v>191</v>
      </c>
      <c r="C1484" t="s">
        <v>77</v>
      </c>
      <c r="D1484">
        <v>0</v>
      </c>
      <c r="E1484">
        <v>0</v>
      </c>
      <c r="F1484">
        <v>0</v>
      </c>
      <c r="G1484" s="10">
        <f t="shared" si="23"/>
        <v>0</v>
      </c>
      <c r="H1484" t="str">
        <f>$A1484&amp;Keys!$C$54&amp;$B1484&amp;Keys!$C$54&amp;$C1484</f>
        <v>MT|imports|wind (is not a fuel)</v>
      </c>
    </row>
    <row r="1485" spans="1:8" x14ac:dyDescent="0.25">
      <c r="A1485" t="s">
        <v>129</v>
      </c>
      <c r="B1485" t="s">
        <v>191</v>
      </c>
      <c r="C1485" t="s">
        <v>80</v>
      </c>
      <c r="D1485">
        <v>0</v>
      </c>
      <c r="E1485">
        <v>0</v>
      </c>
      <c r="F1485">
        <v>0</v>
      </c>
      <c r="G1485" s="10">
        <f t="shared" si="23"/>
        <v>0</v>
      </c>
      <c r="H1485" t="str">
        <f>$A1485&amp;Keys!$C$54&amp;$B1485&amp;Keys!$C$54&amp;$C1485</f>
        <v>MT|imports|solar (is not a fuel)</v>
      </c>
    </row>
    <row r="1486" spans="1:8" x14ac:dyDescent="0.25">
      <c r="A1486" t="s">
        <v>129</v>
      </c>
      <c r="B1486" t="s">
        <v>191</v>
      </c>
      <c r="C1486" t="s">
        <v>82</v>
      </c>
      <c r="D1486">
        <v>0</v>
      </c>
      <c r="E1486">
        <v>7363590000000</v>
      </c>
      <c r="F1486">
        <v>7270850000000</v>
      </c>
      <c r="G1486" s="10">
        <f t="shared" si="23"/>
        <v>4878146666666.667</v>
      </c>
      <c r="H1486" t="str">
        <f>$A1486&amp;Keys!$C$54&amp;$B1486&amp;Keys!$C$54&amp;$C1486</f>
        <v>MT|imports|biomass</v>
      </c>
    </row>
    <row r="1487" spans="1:8" x14ac:dyDescent="0.25">
      <c r="A1487" t="s">
        <v>129</v>
      </c>
      <c r="B1487" t="s">
        <v>191</v>
      </c>
      <c r="C1487" t="s">
        <v>85</v>
      </c>
      <c r="D1487">
        <v>0</v>
      </c>
      <c r="E1487">
        <v>0</v>
      </c>
      <c r="F1487">
        <v>0</v>
      </c>
      <c r="G1487" s="10">
        <f t="shared" si="23"/>
        <v>0</v>
      </c>
      <c r="H1487" t="str">
        <f>$A1487&amp;Keys!$C$54&amp;$B1487&amp;Keys!$C$54&amp;$C1487</f>
        <v>MT|imports|petroleum gasoline</v>
      </c>
    </row>
    <row r="1488" spans="1:8" x14ac:dyDescent="0.25">
      <c r="A1488" t="s">
        <v>129</v>
      </c>
      <c r="B1488" t="s">
        <v>191</v>
      </c>
      <c r="C1488" t="s">
        <v>88</v>
      </c>
      <c r="D1488">
        <v>0</v>
      </c>
      <c r="E1488">
        <v>0</v>
      </c>
      <c r="F1488">
        <v>0</v>
      </c>
      <c r="G1488" s="10">
        <f t="shared" si="23"/>
        <v>0</v>
      </c>
      <c r="H1488" t="str">
        <f>$A1488&amp;Keys!$C$54&amp;$B1488&amp;Keys!$C$54&amp;$C1488</f>
        <v>MT|imports|petroleum diesel</v>
      </c>
    </row>
    <row r="1489" spans="1:8" x14ac:dyDescent="0.25">
      <c r="A1489" t="s">
        <v>129</v>
      </c>
      <c r="B1489" t="s">
        <v>191</v>
      </c>
      <c r="C1489" t="s">
        <v>91</v>
      </c>
      <c r="D1489">
        <v>0</v>
      </c>
      <c r="E1489">
        <v>3703420000000</v>
      </c>
      <c r="F1489">
        <v>3651740000000</v>
      </c>
      <c r="G1489" s="10">
        <f t="shared" si="23"/>
        <v>2451720000000</v>
      </c>
      <c r="H1489" t="str">
        <f>$A1489&amp;Keys!$C$54&amp;$B1489&amp;Keys!$C$54&amp;$C1489</f>
        <v>MT|imports|biofuel gasoline</v>
      </c>
    </row>
    <row r="1490" spans="1:8" x14ac:dyDescent="0.25">
      <c r="A1490" t="s">
        <v>129</v>
      </c>
      <c r="B1490" t="s">
        <v>191</v>
      </c>
      <c r="C1490" t="s">
        <v>94</v>
      </c>
      <c r="D1490">
        <v>0</v>
      </c>
      <c r="E1490">
        <v>6369110000</v>
      </c>
      <c r="F1490">
        <v>6404280000</v>
      </c>
      <c r="G1490" s="10">
        <f t="shared" si="23"/>
        <v>4257796666.6666665</v>
      </c>
      <c r="H1490" t="str">
        <f>$A1490&amp;Keys!$C$54&amp;$B1490&amp;Keys!$C$54&amp;$C1490</f>
        <v>MT|imports|biofuel diesel</v>
      </c>
    </row>
    <row r="1491" spans="1:8" x14ac:dyDescent="0.25">
      <c r="A1491" t="s">
        <v>129</v>
      </c>
      <c r="B1491" t="s">
        <v>191</v>
      </c>
      <c r="C1491" t="s">
        <v>97</v>
      </c>
      <c r="D1491">
        <v>0</v>
      </c>
      <c r="E1491">
        <v>0</v>
      </c>
      <c r="F1491">
        <v>0</v>
      </c>
      <c r="G1491" s="10">
        <f t="shared" si="23"/>
        <v>0</v>
      </c>
      <c r="H1491" t="str">
        <f>$A1491&amp;Keys!$C$54&amp;$B1491&amp;Keys!$C$54&amp;$C1491</f>
        <v>MT|imports|jet fuel or kerosene</v>
      </c>
    </row>
    <row r="1492" spans="1:8" x14ac:dyDescent="0.25">
      <c r="A1492" t="s">
        <v>129</v>
      </c>
      <c r="B1492" t="s">
        <v>191</v>
      </c>
      <c r="C1492" t="s">
        <v>100</v>
      </c>
      <c r="D1492">
        <v>0</v>
      </c>
      <c r="E1492">
        <v>0</v>
      </c>
      <c r="F1492">
        <v>0</v>
      </c>
      <c r="G1492" s="10">
        <f t="shared" si="23"/>
        <v>0</v>
      </c>
      <c r="H1492" t="str">
        <f>$A1492&amp;Keys!$C$54&amp;$B1492&amp;Keys!$C$54&amp;$C1492</f>
        <v>MT|imports|heat (not used in this variable)</v>
      </c>
    </row>
    <row r="1493" spans="1:8" x14ac:dyDescent="0.25">
      <c r="A1493" t="s">
        <v>129</v>
      </c>
      <c r="B1493" t="s">
        <v>191</v>
      </c>
      <c r="C1493" t="s">
        <v>103</v>
      </c>
      <c r="D1493">
        <v>0</v>
      </c>
      <c r="E1493">
        <v>0</v>
      </c>
      <c r="F1493">
        <v>0</v>
      </c>
      <c r="G1493" s="10">
        <f t="shared" si="23"/>
        <v>0</v>
      </c>
      <c r="H1493" t="str">
        <f>$A1493&amp;Keys!$C$54&amp;$B1493&amp;Keys!$C$54&amp;$C1493</f>
        <v>MT|imports|geothermal (is not a fuel)</v>
      </c>
    </row>
    <row r="1494" spans="1:8" x14ac:dyDescent="0.25">
      <c r="A1494" t="s">
        <v>129</v>
      </c>
      <c r="B1494" t="s">
        <v>191</v>
      </c>
      <c r="C1494" t="s">
        <v>106</v>
      </c>
      <c r="D1494">
        <v>0</v>
      </c>
      <c r="E1494">
        <v>0</v>
      </c>
      <c r="F1494">
        <v>0</v>
      </c>
      <c r="G1494" s="10">
        <f t="shared" si="23"/>
        <v>0</v>
      </c>
      <c r="H1494" t="str">
        <f>$A1494&amp;Keys!$C$54&amp;$B1494&amp;Keys!$C$54&amp;$C1494</f>
        <v>MT|imports|lignite</v>
      </c>
    </row>
    <row r="1495" spans="1:8" x14ac:dyDescent="0.25">
      <c r="A1495" t="s">
        <v>129</v>
      </c>
      <c r="B1495" t="s">
        <v>191</v>
      </c>
      <c r="C1495" t="s">
        <v>109</v>
      </c>
      <c r="D1495">
        <v>0</v>
      </c>
      <c r="E1495">
        <v>269029000000000</v>
      </c>
      <c r="F1495">
        <v>274250000000000</v>
      </c>
      <c r="G1495" s="10">
        <f t="shared" si="23"/>
        <v>181093000000000</v>
      </c>
      <c r="H1495" t="str">
        <f>$A1495&amp;Keys!$C$54&amp;$B1495&amp;Keys!$C$54&amp;$C1495</f>
        <v>MT|imports|crude oil</v>
      </c>
    </row>
    <row r="1496" spans="1:8" x14ac:dyDescent="0.25">
      <c r="A1496" t="s">
        <v>129</v>
      </c>
      <c r="B1496" t="s">
        <v>191</v>
      </c>
      <c r="C1496" t="s">
        <v>113</v>
      </c>
      <c r="D1496">
        <v>0</v>
      </c>
      <c r="E1496">
        <v>1758140000000</v>
      </c>
      <c r="F1496">
        <v>2161400000000</v>
      </c>
      <c r="G1496" s="10">
        <f t="shared" si="23"/>
        <v>1306513333333.3333</v>
      </c>
      <c r="H1496" t="str">
        <f>$A1496&amp;Keys!$C$54&amp;$B1496&amp;Keys!$C$54&amp;$C1496</f>
        <v>MT|imports|heavy fuel oil</v>
      </c>
    </row>
    <row r="1497" spans="1:8" x14ac:dyDescent="0.25">
      <c r="A1497" t="s">
        <v>129</v>
      </c>
      <c r="B1497" t="s">
        <v>191</v>
      </c>
      <c r="C1497" t="s">
        <v>117</v>
      </c>
      <c r="D1497">
        <v>0</v>
      </c>
      <c r="E1497">
        <v>5069890000000</v>
      </c>
      <c r="F1497">
        <v>4793690000000</v>
      </c>
      <c r="G1497" s="10">
        <f t="shared" si="23"/>
        <v>3287860000000</v>
      </c>
      <c r="H1497" t="str">
        <f>$A1497&amp;Keys!$C$54&amp;$B1497&amp;Keys!$C$54&amp;$C1497</f>
        <v>MT|imports|LPG propane or butane</v>
      </c>
    </row>
    <row r="1498" spans="1:8" x14ac:dyDescent="0.25">
      <c r="A1498" t="s">
        <v>129</v>
      </c>
      <c r="B1498" t="s">
        <v>191</v>
      </c>
      <c r="C1498" t="s">
        <v>120</v>
      </c>
      <c r="D1498">
        <v>0</v>
      </c>
      <c r="E1498">
        <v>0</v>
      </c>
      <c r="F1498">
        <v>0</v>
      </c>
      <c r="G1498" s="10">
        <f t="shared" si="23"/>
        <v>0</v>
      </c>
      <c r="H1498" t="str">
        <f>$A1498&amp;Keys!$C$54&amp;$B1498&amp;Keys!$C$54&amp;$C1498</f>
        <v>MT|imports|municipal solid waste</v>
      </c>
    </row>
    <row r="1499" spans="1:8" x14ac:dyDescent="0.25">
      <c r="A1499" t="s">
        <v>129</v>
      </c>
      <c r="B1499" t="s">
        <v>191</v>
      </c>
      <c r="C1499" t="s">
        <v>123</v>
      </c>
      <c r="D1499">
        <v>0</v>
      </c>
      <c r="E1499">
        <v>0</v>
      </c>
      <c r="F1499">
        <v>0</v>
      </c>
      <c r="G1499" s="10">
        <f t="shared" si="23"/>
        <v>0</v>
      </c>
      <c r="H1499" t="str">
        <f>$A1499&amp;Keys!$C$54&amp;$B1499&amp;Keys!$C$54&amp;$C1499</f>
        <v>MT|imports|hydrogen</v>
      </c>
    </row>
    <row r="1500" spans="1:8" x14ac:dyDescent="0.25">
      <c r="A1500" t="s">
        <v>129</v>
      </c>
      <c r="B1500" t="s">
        <v>193</v>
      </c>
      <c r="C1500" t="s">
        <v>60</v>
      </c>
      <c r="D1500">
        <v>0</v>
      </c>
      <c r="E1500">
        <v>0</v>
      </c>
      <c r="F1500">
        <v>0</v>
      </c>
      <c r="G1500" s="10">
        <f t="shared" si="23"/>
        <v>0</v>
      </c>
      <c r="H1500" t="str">
        <f>$A1500&amp;Keys!$C$54&amp;$B1500&amp;Keys!$C$54&amp;$C1500</f>
        <v>MT|exports|electricity (not used in this variable)</v>
      </c>
    </row>
    <row r="1501" spans="1:8" x14ac:dyDescent="0.25">
      <c r="A1501" t="s">
        <v>129</v>
      </c>
      <c r="B1501" t="s">
        <v>193</v>
      </c>
      <c r="C1501" t="s">
        <v>64</v>
      </c>
      <c r="D1501">
        <v>166613000000000</v>
      </c>
      <c r="E1501">
        <v>439294000000000</v>
      </c>
      <c r="F1501">
        <v>398018000000000</v>
      </c>
      <c r="G1501" s="10">
        <f t="shared" si="23"/>
        <v>334641666666666.69</v>
      </c>
      <c r="H1501" t="str">
        <f>$A1501&amp;Keys!$C$54&amp;$B1501&amp;Keys!$C$54&amp;$C1501</f>
        <v>MT|exports|hard coal</v>
      </c>
    </row>
    <row r="1502" spans="1:8" x14ac:dyDescent="0.25">
      <c r="A1502" t="s">
        <v>129</v>
      </c>
      <c r="B1502" t="s">
        <v>193</v>
      </c>
      <c r="C1502" t="s">
        <v>68</v>
      </c>
      <c r="D1502">
        <v>221433000000000</v>
      </c>
      <c r="E1502">
        <v>221433000000000</v>
      </c>
      <c r="F1502">
        <v>205133000000000</v>
      </c>
      <c r="G1502" s="10">
        <f t="shared" si="23"/>
        <v>215999666666666.66</v>
      </c>
      <c r="H1502" t="str">
        <f>$A1502&amp;Keys!$C$54&amp;$B1502&amp;Keys!$C$54&amp;$C1502</f>
        <v>MT|exports|natural gas</v>
      </c>
    </row>
    <row r="1503" spans="1:8" x14ac:dyDescent="0.25">
      <c r="A1503" t="s">
        <v>129</v>
      </c>
      <c r="B1503" t="s">
        <v>193</v>
      </c>
      <c r="C1503" t="s">
        <v>71</v>
      </c>
      <c r="D1503">
        <v>0</v>
      </c>
      <c r="E1503">
        <v>0</v>
      </c>
      <c r="F1503">
        <v>0</v>
      </c>
      <c r="G1503" s="10">
        <f t="shared" si="23"/>
        <v>0</v>
      </c>
      <c r="H1503" t="str">
        <f>$A1503&amp;Keys!$C$54&amp;$B1503&amp;Keys!$C$54&amp;$C1503</f>
        <v>MT|exports|nuclear</v>
      </c>
    </row>
    <row r="1504" spans="1:8" x14ac:dyDescent="0.25">
      <c r="A1504" t="s">
        <v>129</v>
      </c>
      <c r="B1504" t="s">
        <v>193</v>
      </c>
      <c r="C1504" t="s">
        <v>74</v>
      </c>
      <c r="D1504">
        <v>0</v>
      </c>
      <c r="E1504">
        <v>0</v>
      </c>
      <c r="F1504">
        <v>0</v>
      </c>
      <c r="G1504" s="10">
        <f t="shared" si="23"/>
        <v>0</v>
      </c>
      <c r="H1504" t="str">
        <f>$A1504&amp;Keys!$C$54&amp;$B1504&amp;Keys!$C$54&amp;$C1504</f>
        <v>MT|exports|hydro (is not a fuel)</v>
      </c>
    </row>
    <row r="1505" spans="1:8" x14ac:dyDescent="0.25">
      <c r="A1505" t="s">
        <v>129</v>
      </c>
      <c r="B1505" t="s">
        <v>193</v>
      </c>
      <c r="C1505" t="s">
        <v>77</v>
      </c>
      <c r="D1505">
        <v>0</v>
      </c>
      <c r="E1505">
        <v>0</v>
      </c>
      <c r="F1505">
        <v>0</v>
      </c>
      <c r="G1505" s="10">
        <f t="shared" si="23"/>
        <v>0</v>
      </c>
      <c r="H1505" t="str">
        <f>$A1505&amp;Keys!$C$54&amp;$B1505&amp;Keys!$C$54&amp;$C1505</f>
        <v>MT|exports|wind (is not a fuel)</v>
      </c>
    </row>
    <row r="1506" spans="1:8" x14ac:dyDescent="0.25">
      <c r="A1506" t="s">
        <v>129</v>
      </c>
      <c r="B1506" t="s">
        <v>193</v>
      </c>
      <c r="C1506" t="s">
        <v>80</v>
      </c>
      <c r="D1506">
        <v>0</v>
      </c>
      <c r="E1506">
        <v>0</v>
      </c>
      <c r="F1506">
        <v>0</v>
      </c>
      <c r="G1506" s="10">
        <f t="shared" si="23"/>
        <v>0</v>
      </c>
      <c r="H1506" t="str">
        <f>$A1506&amp;Keys!$C$54&amp;$B1506&amp;Keys!$C$54&amp;$C1506</f>
        <v>MT|exports|solar (is not a fuel)</v>
      </c>
    </row>
    <row r="1507" spans="1:8" x14ac:dyDescent="0.25">
      <c r="A1507" t="s">
        <v>129</v>
      </c>
      <c r="B1507" t="s">
        <v>193</v>
      </c>
      <c r="C1507" t="s">
        <v>82</v>
      </c>
      <c r="D1507">
        <v>0</v>
      </c>
      <c r="E1507">
        <v>0</v>
      </c>
      <c r="F1507">
        <v>0</v>
      </c>
      <c r="G1507" s="10">
        <f t="shared" si="23"/>
        <v>0</v>
      </c>
      <c r="H1507" t="str">
        <f>$A1507&amp;Keys!$C$54&amp;$B1507&amp;Keys!$C$54&amp;$C1507</f>
        <v>MT|exports|biomass</v>
      </c>
    </row>
    <row r="1508" spans="1:8" x14ac:dyDescent="0.25">
      <c r="A1508" t="s">
        <v>129</v>
      </c>
      <c r="B1508" t="s">
        <v>193</v>
      </c>
      <c r="C1508" t="s">
        <v>85</v>
      </c>
      <c r="D1508">
        <v>1515680000000</v>
      </c>
      <c r="E1508">
        <v>142621000000000</v>
      </c>
      <c r="F1508">
        <v>138627000000000</v>
      </c>
      <c r="G1508" s="10">
        <f t="shared" si="23"/>
        <v>94254560000000</v>
      </c>
      <c r="H1508" t="str">
        <f>$A1508&amp;Keys!$C$54&amp;$B1508&amp;Keys!$C$54&amp;$C1508</f>
        <v>MT|exports|petroleum gasoline</v>
      </c>
    </row>
    <row r="1509" spans="1:8" x14ac:dyDescent="0.25">
      <c r="A1509" t="s">
        <v>129</v>
      </c>
      <c r="B1509" t="s">
        <v>193</v>
      </c>
      <c r="C1509" t="s">
        <v>88</v>
      </c>
      <c r="D1509">
        <v>0</v>
      </c>
      <c r="E1509">
        <v>62071600000000</v>
      </c>
      <c r="F1509">
        <v>59603200000000</v>
      </c>
      <c r="G1509" s="10">
        <f t="shared" si="23"/>
        <v>40558266666666.664</v>
      </c>
      <c r="H1509" t="str">
        <f>$A1509&amp;Keys!$C$54&amp;$B1509&amp;Keys!$C$54&amp;$C1509</f>
        <v>MT|exports|petroleum diesel</v>
      </c>
    </row>
    <row r="1510" spans="1:8" x14ac:dyDescent="0.25">
      <c r="A1510" t="s">
        <v>129</v>
      </c>
      <c r="B1510" t="s">
        <v>193</v>
      </c>
      <c r="C1510" t="s">
        <v>91</v>
      </c>
      <c r="D1510">
        <v>0</v>
      </c>
      <c r="E1510">
        <v>0</v>
      </c>
      <c r="F1510">
        <v>0</v>
      </c>
      <c r="G1510" s="10">
        <f t="shared" si="23"/>
        <v>0</v>
      </c>
      <c r="H1510" t="str">
        <f>$A1510&amp;Keys!$C$54&amp;$B1510&amp;Keys!$C$54&amp;$C1510</f>
        <v>MT|exports|biofuel gasoline</v>
      </c>
    </row>
    <row r="1511" spans="1:8" x14ac:dyDescent="0.25">
      <c r="A1511" t="s">
        <v>129</v>
      </c>
      <c r="B1511" t="s">
        <v>193</v>
      </c>
      <c r="C1511" t="s">
        <v>94</v>
      </c>
      <c r="D1511">
        <v>0</v>
      </c>
      <c r="E1511">
        <v>0</v>
      </c>
      <c r="F1511">
        <v>0</v>
      </c>
      <c r="G1511" s="10">
        <f t="shared" si="23"/>
        <v>0</v>
      </c>
      <c r="H1511" t="str">
        <f>$A1511&amp;Keys!$C$54&amp;$B1511&amp;Keys!$C$54&amp;$C1511</f>
        <v>MT|exports|biofuel diesel</v>
      </c>
    </row>
    <row r="1512" spans="1:8" x14ac:dyDescent="0.25">
      <c r="A1512" t="s">
        <v>129</v>
      </c>
      <c r="B1512" t="s">
        <v>193</v>
      </c>
      <c r="C1512" t="s">
        <v>97</v>
      </c>
      <c r="D1512">
        <v>0</v>
      </c>
      <c r="E1512">
        <v>33819800000000</v>
      </c>
      <c r="F1512">
        <v>32707900000000</v>
      </c>
      <c r="G1512" s="10">
        <f t="shared" si="23"/>
        <v>22175900000000</v>
      </c>
      <c r="H1512" t="str">
        <f>$A1512&amp;Keys!$C$54&amp;$B1512&amp;Keys!$C$54&amp;$C1512</f>
        <v>MT|exports|jet fuel or kerosene</v>
      </c>
    </row>
    <row r="1513" spans="1:8" x14ac:dyDescent="0.25">
      <c r="A1513" t="s">
        <v>129</v>
      </c>
      <c r="B1513" t="s">
        <v>193</v>
      </c>
      <c r="C1513" t="s">
        <v>100</v>
      </c>
      <c r="D1513">
        <v>0</v>
      </c>
      <c r="E1513">
        <v>0</v>
      </c>
      <c r="F1513">
        <v>0</v>
      </c>
      <c r="G1513" s="10">
        <f t="shared" si="23"/>
        <v>0</v>
      </c>
      <c r="H1513" t="str">
        <f>$A1513&amp;Keys!$C$54&amp;$B1513&amp;Keys!$C$54&amp;$C1513</f>
        <v>MT|exports|heat (not used in this variable)</v>
      </c>
    </row>
    <row r="1514" spans="1:8" x14ac:dyDescent="0.25">
      <c r="A1514" t="s">
        <v>129</v>
      </c>
      <c r="B1514" t="s">
        <v>193</v>
      </c>
      <c r="C1514" t="s">
        <v>103</v>
      </c>
      <c r="D1514">
        <v>0</v>
      </c>
      <c r="E1514">
        <v>0</v>
      </c>
      <c r="F1514">
        <v>0</v>
      </c>
      <c r="G1514" s="10">
        <f t="shared" si="23"/>
        <v>0</v>
      </c>
      <c r="H1514" t="str">
        <f>$A1514&amp;Keys!$C$54&amp;$B1514&amp;Keys!$C$54&amp;$C1514</f>
        <v>MT|exports|geothermal (is not a fuel)</v>
      </c>
    </row>
    <row r="1515" spans="1:8" x14ac:dyDescent="0.25">
      <c r="A1515" t="s">
        <v>129</v>
      </c>
      <c r="B1515" t="s">
        <v>193</v>
      </c>
      <c r="C1515" t="s">
        <v>106</v>
      </c>
      <c r="D1515">
        <v>0</v>
      </c>
      <c r="E1515">
        <v>0</v>
      </c>
      <c r="F1515">
        <v>0</v>
      </c>
      <c r="G1515" s="10">
        <f t="shared" si="23"/>
        <v>0</v>
      </c>
      <c r="H1515" t="str">
        <f>$A1515&amp;Keys!$C$54&amp;$B1515&amp;Keys!$C$54&amp;$C1515</f>
        <v>MT|exports|lignite</v>
      </c>
    </row>
    <row r="1516" spans="1:8" x14ac:dyDescent="0.25">
      <c r="A1516" t="s">
        <v>129</v>
      </c>
      <c r="B1516" t="s">
        <v>193</v>
      </c>
      <c r="C1516" t="s">
        <v>109</v>
      </c>
      <c r="D1516">
        <v>0</v>
      </c>
      <c r="E1516">
        <v>0</v>
      </c>
      <c r="F1516">
        <v>0</v>
      </c>
      <c r="G1516" s="10">
        <f t="shared" si="23"/>
        <v>0</v>
      </c>
      <c r="H1516" t="str">
        <f>$A1516&amp;Keys!$C$54&amp;$B1516&amp;Keys!$C$54&amp;$C1516</f>
        <v>MT|exports|crude oil</v>
      </c>
    </row>
    <row r="1517" spans="1:8" x14ac:dyDescent="0.25">
      <c r="A1517" t="s">
        <v>129</v>
      </c>
      <c r="B1517" t="s">
        <v>193</v>
      </c>
      <c r="C1517" t="s">
        <v>113</v>
      </c>
      <c r="D1517">
        <v>0</v>
      </c>
      <c r="E1517">
        <v>0</v>
      </c>
      <c r="F1517">
        <v>0</v>
      </c>
      <c r="G1517" s="10">
        <f t="shared" si="23"/>
        <v>0</v>
      </c>
      <c r="H1517" t="str">
        <f>$A1517&amp;Keys!$C$54&amp;$B1517&amp;Keys!$C$54&amp;$C1517</f>
        <v>MT|exports|heavy fuel oil</v>
      </c>
    </row>
    <row r="1518" spans="1:8" x14ac:dyDescent="0.25">
      <c r="A1518" t="s">
        <v>129</v>
      </c>
      <c r="B1518" t="s">
        <v>193</v>
      </c>
      <c r="C1518" t="s">
        <v>117</v>
      </c>
      <c r="D1518">
        <v>0</v>
      </c>
      <c r="E1518">
        <v>0</v>
      </c>
      <c r="F1518">
        <v>0</v>
      </c>
      <c r="G1518" s="10">
        <f t="shared" si="23"/>
        <v>0</v>
      </c>
      <c r="H1518" t="str">
        <f>$A1518&amp;Keys!$C$54&amp;$B1518&amp;Keys!$C$54&amp;$C1518</f>
        <v>MT|exports|LPG propane or butane</v>
      </c>
    </row>
    <row r="1519" spans="1:8" x14ac:dyDescent="0.25">
      <c r="A1519" t="s">
        <v>129</v>
      </c>
      <c r="B1519" t="s">
        <v>193</v>
      </c>
      <c r="C1519" t="s">
        <v>120</v>
      </c>
      <c r="D1519">
        <v>0</v>
      </c>
      <c r="E1519">
        <v>0</v>
      </c>
      <c r="F1519">
        <v>0</v>
      </c>
      <c r="G1519" s="10">
        <f t="shared" si="23"/>
        <v>0</v>
      </c>
      <c r="H1519" t="str">
        <f>$A1519&amp;Keys!$C$54&amp;$B1519&amp;Keys!$C$54&amp;$C1519</f>
        <v>MT|exports|municipal solid waste</v>
      </c>
    </row>
    <row r="1520" spans="1:8" x14ac:dyDescent="0.25">
      <c r="A1520" t="s">
        <v>129</v>
      </c>
      <c r="B1520" t="s">
        <v>193</v>
      </c>
      <c r="C1520" t="s">
        <v>123</v>
      </c>
      <c r="D1520">
        <v>0</v>
      </c>
      <c r="E1520">
        <v>1379600000000</v>
      </c>
      <c r="F1520">
        <v>520234000000</v>
      </c>
      <c r="G1520" s="10">
        <f t="shared" si="23"/>
        <v>633278000000</v>
      </c>
      <c r="H1520" t="str">
        <f>$A1520&amp;Keys!$C$54&amp;$B1520&amp;Keys!$C$54&amp;$C1520</f>
        <v>MT|exports|hydrogen</v>
      </c>
    </row>
    <row r="1521" spans="1:8" x14ac:dyDescent="0.25">
      <c r="A1521" t="s">
        <v>131</v>
      </c>
      <c r="B1521" t="s">
        <v>188</v>
      </c>
      <c r="C1521" t="s">
        <v>60</v>
      </c>
      <c r="D1521">
        <v>0</v>
      </c>
      <c r="E1521">
        <v>0</v>
      </c>
      <c r="F1521">
        <v>0</v>
      </c>
      <c r="G1521" s="10">
        <f t="shared" si="23"/>
        <v>0</v>
      </c>
      <c r="H1521" t="str">
        <f>$A1521&amp;Keys!$C$54&amp;$B1521&amp;Keys!$C$54&amp;$C1521</f>
        <v>NC|production|electricity (not used in this variable)</v>
      </c>
    </row>
    <row r="1522" spans="1:8" x14ac:dyDescent="0.25">
      <c r="A1522" t="s">
        <v>131</v>
      </c>
      <c r="B1522" t="s">
        <v>188</v>
      </c>
      <c r="C1522" t="s">
        <v>64</v>
      </c>
      <c r="D1522">
        <v>0</v>
      </c>
      <c r="E1522">
        <v>0</v>
      </c>
      <c r="F1522">
        <v>0</v>
      </c>
      <c r="G1522" s="10">
        <f t="shared" si="23"/>
        <v>0</v>
      </c>
      <c r="H1522" t="str">
        <f>$A1522&amp;Keys!$C$54&amp;$B1522&amp;Keys!$C$54&amp;$C1522</f>
        <v>NC|production|hard coal</v>
      </c>
    </row>
    <row r="1523" spans="1:8" x14ac:dyDescent="0.25">
      <c r="A1523" t="s">
        <v>131</v>
      </c>
      <c r="B1523" t="s">
        <v>188</v>
      </c>
      <c r="C1523" t="s">
        <v>68</v>
      </c>
      <c r="D1523">
        <v>0</v>
      </c>
      <c r="E1523">
        <v>0</v>
      </c>
      <c r="F1523">
        <v>0</v>
      </c>
      <c r="G1523" s="10">
        <f t="shared" si="23"/>
        <v>0</v>
      </c>
      <c r="H1523" t="str">
        <f>$A1523&amp;Keys!$C$54&amp;$B1523&amp;Keys!$C$54&amp;$C1523</f>
        <v>NC|production|natural gas</v>
      </c>
    </row>
    <row r="1524" spans="1:8" x14ac:dyDescent="0.25">
      <c r="A1524" t="s">
        <v>131</v>
      </c>
      <c r="B1524" t="s">
        <v>188</v>
      </c>
      <c r="C1524" t="s">
        <v>71</v>
      </c>
      <c r="D1524">
        <v>0</v>
      </c>
      <c r="E1524">
        <v>0</v>
      </c>
      <c r="F1524">
        <v>0</v>
      </c>
      <c r="G1524" s="10">
        <f t="shared" si="23"/>
        <v>0</v>
      </c>
      <c r="H1524" t="str">
        <f>$A1524&amp;Keys!$C$54&amp;$B1524&amp;Keys!$C$54&amp;$C1524</f>
        <v>NC|production|nuclear</v>
      </c>
    </row>
    <row r="1525" spans="1:8" x14ac:dyDescent="0.25">
      <c r="A1525" t="s">
        <v>131</v>
      </c>
      <c r="B1525" t="s">
        <v>188</v>
      </c>
      <c r="C1525" t="s">
        <v>74</v>
      </c>
      <c r="D1525">
        <v>0</v>
      </c>
      <c r="E1525">
        <v>0</v>
      </c>
      <c r="F1525">
        <v>0</v>
      </c>
      <c r="G1525" s="10">
        <f t="shared" si="23"/>
        <v>0</v>
      </c>
      <c r="H1525" t="str">
        <f>$A1525&amp;Keys!$C$54&amp;$B1525&amp;Keys!$C$54&amp;$C1525</f>
        <v>NC|production|hydro (is not a fuel)</v>
      </c>
    </row>
    <row r="1526" spans="1:8" x14ac:dyDescent="0.25">
      <c r="A1526" t="s">
        <v>131</v>
      </c>
      <c r="B1526" t="s">
        <v>188</v>
      </c>
      <c r="C1526" t="s">
        <v>77</v>
      </c>
      <c r="D1526">
        <v>0</v>
      </c>
      <c r="E1526">
        <v>0</v>
      </c>
      <c r="F1526">
        <v>0</v>
      </c>
      <c r="G1526" s="10">
        <f t="shared" si="23"/>
        <v>0</v>
      </c>
      <c r="H1526" t="str">
        <f>$A1526&amp;Keys!$C$54&amp;$B1526&amp;Keys!$C$54&amp;$C1526</f>
        <v>NC|production|wind (is not a fuel)</v>
      </c>
    </row>
    <row r="1527" spans="1:8" x14ac:dyDescent="0.25">
      <c r="A1527" t="s">
        <v>131</v>
      </c>
      <c r="B1527" t="s">
        <v>188</v>
      </c>
      <c r="C1527" t="s">
        <v>80</v>
      </c>
      <c r="D1527">
        <v>0</v>
      </c>
      <c r="E1527">
        <v>0</v>
      </c>
      <c r="F1527">
        <v>0</v>
      </c>
      <c r="G1527" s="10">
        <f t="shared" si="23"/>
        <v>0</v>
      </c>
      <c r="H1527" t="str">
        <f>$A1527&amp;Keys!$C$54&amp;$B1527&amp;Keys!$C$54&amp;$C1527</f>
        <v>NC|production|solar (is not a fuel)</v>
      </c>
    </row>
    <row r="1528" spans="1:8" x14ac:dyDescent="0.25">
      <c r="A1528" t="s">
        <v>131</v>
      </c>
      <c r="B1528" t="s">
        <v>188</v>
      </c>
      <c r="C1528" t="s">
        <v>82</v>
      </c>
      <c r="D1528">
        <v>34205100000000</v>
      </c>
      <c r="E1528">
        <v>34205100000000</v>
      </c>
      <c r="F1528">
        <v>34205100000000</v>
      </c>
      <c r="G1528" s="10">
        <f t="shared" si="23"/>
        <v>34205100000000</v>
      </c>
      <c r="H1528" t="str">
        <f>$A1528&amp;Keys!$C$54&amp;$B1528&amp;Keys!$C$54&amp;$C1528</f>
        <v>NC|production|biomass</v>
      </c>
    </row>
    <row r="1529" spans="1:8" x14ac:dyDescent="0.25">
      <c r="A1529" t="s">
        <v>131</v>
      </c>
      <c r="B1529" t="s">
        <v>188</v>
      </c>
      <c r="C1529" t="s">
        <v>85</v>
      </c>
      <c r="D1529">
        <v>0</v>
      </c>
      <c r="E1529">
        <v>0</v>
      </c>
      <c r="F1529">
        <v>0</v>
      </c>
      <c r="G1529" s="10">
        <f t="shared" si="23"/>
        <v>0</v>
      </c>
      <c r="H1529" t="str">
        <f>$A1529&amp;Keys!$C$54&amp;$B1529&amp;Keys!$C$54&amp;$C1529</f>
        <v>NC|production|petroleum gasoline</v>
      </c>
    </row>
    <row r="1530" spans="1:8" x14ac:dyDescent="0.25">
      <c r="A1530" t="s">
        <v>131</v>
      </c>
      <c r="B1530" t="s">
        <v>188</v>
      </c>
      <c r="C1530" t="s">
        <v>88</v>
      </c>
      <c r="D1530">
        <v>0</v>
      </c>
      <c r="E1530">
        <v>0</v>
      </c>
      <c r="F1530">
        <v>0</v>
      </c>
      <c r="G1530" s="10">
        <f t="shared" si="23"/>
        <v>0</v>
      </c>
      <c r="H1530" t="str">
        <f>$A1530&amp;Keys!$C$54&amp;$B1530&amp;Keys!$C$54&amp;$C1530</f>
        <v>NC|production|petroleum diesel</v>
      </c>
    </row>
    <row r="1531" spans="1:8" x14ac:dyDescent="0.25">
      <c r="A1531" t="s">
        <v>131</v>
      </c>
      <c r="B1531" t="s">
        <v>188</v>
      </c>
      <c r="C1531" t="s">
        <v>91</v>
      </c>
      <c r="D1531">
        <v>0</v>
      </c>
      <c r="E1531">
        <v>0</v>
      </c>
      <c r="F1531">
        <v>0</v>
      </c>
      <c r="G1531" s="10">
        <f t="shared" si="23"/>
        <v>0</v>
      </c>
      <c r="H1531" t="str">
        <f>$A1531&amp;Keys!$C$54&amp;$B1531&amp;Keys!$C$54&amp;$C1531</f>
        <v>NC|production|biofuel gasoline</v>
      </c>
    </row>
    <row r="1532" spans="1:8" x14ac:dyDescent="0.25">
      <c r="A1532" t="s">
        <v>131</v>
      </c>
      <c r="B1532" t="s">
        <v>188</v>
      </c>
      <c r="C1532" t="s">
        <v>94</v>
      </c>
      <c r="D1532">
        <v>610941000000</v>
      </c>
      <c r="E1532">
        <v>610941000000</v>
      </c>
      <c r="F1532">
        <v>725714000000</v>
      </c>
      <c r="G1532" s="10">
        <f t="shared" si="23"/>
        <v>649198666666.66663</v>
      </c>
      <c r="H1532" t="str">
        <f>$A1532&amp;Keys!$C$54&amp;$B1532&amp;Keys!$C$54&amp;$C1532</f>
        <v>NC|production|biofuel diesel</v>
      </c>
    </row>
    <row r="1533" spans="1:8" x14ac:dyDescent="0.25">
      <c r="A1533" t="s">
        <v>131</v>
      </c>
      <c r="B1533" t="s">
        <v>188</v>
      </c>
      <c r="C1533" t="s">
        <v>97</v>
      </c>
      <c r="D1533">
        <v>0</v>
      </c>
      <c r="E1533">
        <v>0</v>
      </c>
      <c r="F1533">
        <v>0</v>
      </c>
      <c r="G1533" s="10">
        <f t="shared" si="23"/>
        <v>0</v>
      </c>
      <c r="H1533" t="str">
        <f>$A1533&amp;Keys!$C$54&amp;$B1533&amp;Keys!$C$54&amp;$C1533</f>
        <v>NC|production|jet fuel or kerosene</v>
      </c>
    </row>
    <row r="1534" spans="1:8" x14ac:dyDescent="0.25">
      <c r="A1534" t="s">
        <v>131</v>
      </c>
      <c r="B1534" t="s">
        <v>188</v>
      </c>
      <c r="C1534" t="s">
        <v>100</v>
      </c>
      <c r="D1534">
        <v>0</v>
      </c>
      <c r="E1534">
        <v>0</v>
      </c>
      <c r="F1534">
        <v>0</v>
      </c>
      <c r="G1534" s="10">
        <f t="shared" si="23"/>
        <v>0</v>
      </c>
      <c r="H1534" t="str">
        <f>$A1534&amp;Keys!$C$54&amp;$B1534&amp;Keys!$C$54&amp;$C1534</f>
        <v>NC|production|heat (not used in this variable)</v>
      </c>
    </row>
    <row r="1535" spans="1:8" x14ac:dyDescent="0.25">
      <c r="A1535" t="s">
        <v>131</v>
      </c>
      <c r="B1535" t="s">
        <v>188</v>
      </c>
      <c r="C1535" t="s">
        <v>103</v>
      </c>
      <c r="D1535">
        <v>0</v>
      </c>
      <c r="E1535">
        <v>0</v>
      </c>
      <c r="F1535">
        <v>0</v>
      </c>
      <c r="G1535" s="10">
        <f t="shared" si="23"/>
        <v>0</v>
      </c>
      <c r="H1535" t="str">
        <f>$A1535&amp;Keys!$C$54&amp;$B1535&amp;Keys!$C$54&amp;$C1535</f>
        <v>NC|production|geothermal (is not a fuel)</v>
      </c>
    </row>
    <row r="1536" spans="1:8" x14ac:dyDescent="0.25">
      <c r="A1536" t="s">
        <v>131</v>
      </c>
      <c r="B1536" t="s">
        <v>188</v>
      </c>
      <c r="C1536" t="s">
        <v>106</v>
      </c>
      <c r="D1536">
        <v>0</v>
      </c>
      <c r="E1536">
        <v>0</v>
      </c>
      <c r="F1536">
        <v>0</v>
      </c>
      <c r="G1536" s="10">
        <f t="shared" si="23"/>
        <v>0</v>
      </c>
      <c r="H1536" t="str">
        <f>$A1536&amp;Keys!$C$54&amp;$B1536&amp;Keys!$C$54&amp;$C1536</f>
        <v>NC|production|lignite</v>
      </c>
    </row>
    <row r="1537" spans="1:8" x14ac:dyDescent="0.25">
      <c r="A1537" t="s">
        <v>131</v>
      </c>
      <c r="B1537" t="s">
        <v>188</v>
      </c>
      <c r="C1537" t="s">
        <v>109</v>
      </c>
      <c r="D1537">
        <v>0</v>
      </c>
      <c r="E1537">
        <v>0</v>
      </c>
      <c r="F1537">
        <v>0</v>
      </c>
      <c r="G1537" s="10">
        <f t="shared" si="23"/>
        <v>0</v>
      </c>
      <c r="H1537" t="str">
        <f>$A1537&amp;Keys!$C$54&amp;$B1537&amp;Keys!$C$54&amp;$C1537</f>
        <v>NC|production|crude oil</v>
      </c>
    </row>
    <row r="1538" spans="1:8" x14ac:dyDescent="0.25">
      <c r="A1538" t="s">
        <v>131</v>
      </c>
      <c r="B1538" t="s">
        <v>188</v>
      </c>
      <c r="C1538" t="s">
        <v>113</v>
      </c>
      <c r="D1538">
        <v>0</v>
      </c>
      <c r="E1538">
        <v>0</v>
      </c>
      <c r="F1538">
        <v>0</v>
      </c>
      <c r="G1538" s="10">
        <f t="shared" si="23"/>
        <v>0</v>
      </c>
      <c r="H1538" t="str">
        <f>$A1538&amp;Keys!$C$54&amp;$B1538&amp;Keys!$C$54&amp;$C1538</f>
        <v>NC|production|heavy fuel oil</v>
      </c>
    </row>
    <row r="1539" spans="1:8" x14ac:dyDescent="0.25">
      <c r="A1539" t="s">
        <v>131</v>
      </c>
      <c r="B1539" t="s">
        <v>188</v>
      </c>
      <c r="C1539" t="s">
        <v>117</v>
      </c>
      <c r="D1539">
        <v>0</v>
      </c>
      <c r="E1539">
        <v>0</v>
      </c>
      <c r="F1539">
        <v>0</v>
      </c>
      <c r="G1539" s="10">
        <f t="shared" si="23"/>
        <v>0</v>
      </c>
      <c r="H1539" t="str">
        <f>$A1539&amp;Keys!$C$54&amp;$B1539&amp;Keys!$C$54&amp;$C1539</f>
        <v>NC|production|LPG propane or butane</v>
      </c>
    </row>
    <row r="1540" spans="1:8" x14ac:dyDescent="0.25">
      <c r="A1540" t="s">
        <v>131</v>
      </c>
      <c r="B1540" t="s">
        <v>188</v>
      </c>
      <c r="C1540" t="s">
        <v>120</v>
      </c>
      <c r="D1540">
        <v>0</v>
      </c>
      <c r="E1540">
        <v>0</v>
      </c>
      <c r="F1540">
        <v>0</v>
      </c>
      <c r="G1540" s="10">
        <f t="shared" si="23"/>
        <v>0</v>
      </c>
      <c r="H1540" t="str">
        <f>$A1540&amp;Keys!$C$54&amp;$B1540&amp;Keys!$C$54&amp;$C1540</f>
        <v>NC|production|municipal solid waste</v>
      </c>
    </row>
    <row r="1541" spans="1:8" x14ac:dyDescent="0.25">
      <c r="A1541" t="s">
        <v>131</v>
      </c>
      <c r="B1541" t="s">
        <v>188</v>
      </c>
      <c r="C1541" t="s">
        <v>123</v>
      </c>
      <c r="D1541">
        <v>0</v>
      </c>
      <c r="E1541">
        <v>0</v>
      </c>
      <c r="F1541">
        <v>0</v>
      </c>
      <c r="G1541" s="10">
        <f t="shared" si="23"/>
        <v>0</v>
      </c>
      <c r="H1541" t="str">
        <f>$A1541&amp;Keys!$C$54&amp;$B1541&amp;Keys!$C$54&amp;$C1541</f>
        <v>NC|production|hydrogen</v>
      </c>
    </row>
    <row r="1542" spans="1:8" x14ac:dyDescent="0.25">
      <c r="A1542" t="s">
        <v>131</v>
      </c>
      <c r="B1542" t="s">
        <v>191</v>
      </c>
      <c r="C1542" t="s">
        <v>60</v>
      </c>
      <c r="D1542">
        <v>0</v>
      </c>
      <c r="E1542">
        <v>0</v>
      </c>
      <c r="F1542">
        <v>0</v>
      </c>
      <c r="G1542" s="10">
        <f t="shared" si="23"/>
        <v>0</v>
      </c>
      <c r="H1542" t="str">
        <f>$A1542&amp;Keys!$C$54&amp;$B1542&amp;Keys!$C$54&amp;$C1542</f>
        <v>NC|imports|electricity (not used in this variable)</v>
      </c>
    </row>
    <row r="1543" spans="1:8" x14ac:dyDescent="0.25">
      <c r="A1543" t="s">
        <v>131</v>
      </c>
      <c r="B1543" t="s">
        <v>191</v>
      </c>
      <c r="C1543" t="s">
        <v>64</v>
      </c>
      <c r="D1543">
        <v>135782000000000</v>
      </c>
      <c r="E1543">
        <v>191930000000000</v>
      </c>
      <c r="F1543">
        <v>239465000000000</v>
      </c>
      <c r="G1543" s="10">
        <f t="shared" si="23"/>
        <v>189059000000000</v>
      </c>
      <c r="H1543" t="str">
        <f>$A1543&amp;Keys!$C$54&amp;$B1543&amp;Keys!$C$54&amp;$C1543</f>
        <v>NC|imports|hard coal</v>
      </c>
    </row>
    <row r="1544" spans="1:8" x14ac:dyDescent="0.25">
      <c r="A1544" t="s">
        <v>131</v>
      </c>
      <c r="B1544" t="s">
        <v>191</v>
      </c>
      <c r="C1544" t="s">
        <v>68</v>
      </c>
      <c r="D1544">
        <v>747322000000000</v>
      </c>
      <c r="E1544">
        <v>717388000000000</v>
      </c>
      <c r="F1544">
        <v>652076000000000</v>
      </c>
      <c r="G1544" s="10">
        <f t="shared" si="23"/>
        <v>705595333333333.38</v>
      </c>
      <c r="H1544" t="str">
        <f>$A1544&amp;Keys!$C$54&amp;$B1544&amp;Keys!$C$54&amp;$C1544</f>
        <v>NC|imports|natural gas</v>
      </c>
    </row>
    <row r="1545" spans="1:8" x14ac:dyDescent="0.25">
      <c r="A1545" t="s">
        <v>131</v>
      </c>
      <c r="B1545" t="s">
        <v>191</v>
      </c>
      <c r="C1545" t="s">
        <v>71</v>
      </c>
      <c r="D1545">
        <v>452697000000000</v>
      </c>
      <c r="E1545">
        <v>449450000000000</v>
      </c>
      <c r="F1545">
        <v>451016000000000</v>
      </c>
      <c r="G1545" s="10">
        <f t="shared" ref="G1545:G1608" si="24">AVERAGE($D1545:$F1545)</f>
        <v>451054333333333.31</v>
      </c>
      <c r="H1545" t="str">
        <f>$A1545&amp;Keys!$C$54&amp;$B1545&amp;Keys!$C$54&amp;$C1545</f>
        <v>NC|imports|nuclear</v>
      </c>
    </row>
    <row r="1546" spans="1:8" x14ac:dyDescent="0.25">
      <c r="A1546" t="s">
        <v>131</v>
      </c>
      <c r="B1546" t="s">
        <v>191</v>
      </c>
      <c r="C1546" t="s">
        <v>74</v>
      </c>
      <c r="D1546">
        <v>0</v>
      </c>
      <c r="E1546">
        <v>0</v>
      </c>
      <c r="F1546">
        <v>0</v>
      </c>
      <c r="G1546" s="10">
        <f t="shared" si="24"/>
        <v>0</v>
      </c>
      <c r="H1546" t="str">
        <f>$A1546&amp;Keys!$C$54&amp;$B1546&amp;Keys!$C$54&amp;$C1546</f>
        <v>NC|imports|hydro (is not a fuel)</v>
      </c>
    </row>
    <row r="1547" spans="1:8" x14ac:dyDescent="0.25">
      <c r="A1547" t="s">
        <v>131</v>
      </c>
      <c r="B1547" t="s">
        <v>191</v>
      </c>
      <c r="C1547" t="s">
        <v>77</v>
      </c>
      <c r="D1547">
        <v>0</v>
      </c>
      <c r="E1547">
        <v>0</v>
      </c>
      <c r="F1547">
        <v>0</v>
      </c>
      <c r="G1547" s="10">
        <f t="shared" si="24"/>
        <v>0</v>
      </c>
      <c r="H1547" t="str">
        <f>$A1547&amp;Keys!$C$54&amp;$B1547&amp;Keys!$C$54&amp;$C1547</f>
        <v>NC|imports|wind (is not a fuel)</v>
      </c>
    </row>
    <row r="1548" spans="1:8" x14ac:dyDescent="0.25">
      <c r="A1548" t="s">
        <v>131</v>
      </c>
      <c r="B1548" t="s">
        <v>191</v>
      </c>
      <c r="C1548" t="s">
        <v>80</v>
      </c>
      <c r="D1548">
        <v>0</v>
      </c>
      <c r="E1548">
        <v>0</v>
      </c>
      <c r="F1548">
        <v>0</v>
      </c>
      <c r="G1548" s="10">
        <f t="shared" si="24"/>
        <v>0</v>
      </c>
      <c r="H1548" t="str">
        <f>$A1548&amp;Keys!$C$54&amp;$B1548&amp;Keys!$C$54&amp;$C1548</f>
        <v>NC|imports|solar (is not a fuel)</v>
      </c>
    </row>
    <row r="1549" spans="1:8" x14ac:dyDescent="0.25">
      <c r="A1549" t="s">
        <v>131</v>
      </c>
      <c r="B1549" t="s">
        <v>191</v>
      </c>
      <c r="C1549" t="s">
        <v>82</v>
      </c>
      <c r="D1549">
        <v>0</v>
      </c>
      <c r="E1549">
        <v>50206700000000</v>
      </c>
      <c r="F1549">
        <v>55970200000000</v>
      </c>
      <c r="G1549" s="10">
        <f t="shared" si="24"/>
        <v>35392300000000</v>
      </c>
      <c r="H1549" t="str">
        <f>$A1549&amp;Keys!$C$54&amp;$B1549&amp;Keys!$C$54&amp;$C1549</f>
        <v>NC|imports|biomass</v>
      </c>
    </row>
    <row r="1550" spans="1:8" x14ac:dyDescent="0.25">
      <c r="A1550" t="s">
        <v>131</v>
      </c>
      <c r="B1550" t="s">
        <v>191</v>
      </c>
      <c r="C1550" t="s">
        <v>85</v>
      </c>
      <c r="D1550">
        <v>0</v>
      </c>
      <c r="E1550">
        <v>528675000000000</v>
      </c>
      <c r="F1550">
        <v>519289000000000</v>
      </c>
      <c r="G1550" s="10">
        <f t="shared" si="24"/>
        <v>349321333333333.31</v>
      </c>
      <c r="H1550" t="str">
        <f>$A1550&amp;Keys!$C$54&amp;$B1550&amp;Keys!$C$54&amp;$C1550</f>
        <v>NC|imports|petroleum gasoline</v>
      </c>
    </row>
    <row r="1551" spans="1:8" x14ac:dyDescent="0.25">
      <c r="A1551" t="s">
        <v>131</v>
      </c>
      <c r="B1551" t="s">
        <v>191</v>
      </c>
      <c r="C1551" t="s">
        <v>88</v>
      </c>
      <c r="D1551">
        <v>0</v>
      </c>
      <c r="E1551">
        <v>211622000000000</v>
      </c>
      <c r="F1551">
        <v>210999000000000</v>
      </c>
      <c r="G1551" s="10">
        <f t="shared" si="24"/>
        <v>140873666666666.66</v>
      </c>
      <c r="H1551" t="str">
        <f>$A1551&amp;Keys!$C$54&amp;$B1551&amp;Keys!$C$54&amp;$C1551</f>
        <v>NC|imports|petroleum diesel</v>
      </c>
    </row>
    <row r="1552" spans="1:8" x14ac:dyDescent="0.25">
      <c r="A1552" t="s">
        <v>131</v>
      </c>
      <c r="B1552" t="s">
        <v>191</v>
      </c>
      <c r="C1552" t="s">
        <v>91</v>
      </c>
      <c r="D1552">
        <v>0</v>
      </c>
      <c r="E1552">
        <v>36321500000000</v>
      </c>
      <c r="F1552">
        <v>35684300000000</v>
      </c>
      <c r="G1552" s="10">
        <f t="shared" si="24"/>
        <v>24001933333333.332</v>
      </c>
      <c r="H1552" t="str">
        <f>$A1552&amp;Keys!$C$54&amp;$B1552&amp;Keys!$C$54&amp;$C1552</f>
        <v>NC|imports|biofuel gasoline</v>
      </c>
    </row>
    <row r="1553" spans="1:8" x14ac:dyDescent="0.25">
      <c r="A1553" t="s">
        <v>131</v>
      </c>
      <c r="B1553" t="s">
        <v>191</v>
      </c>
      <c r="C1553" t="s">
        <v>94</v>
      </c>
      <c r="D1553">
        <v>0</v>
      </c>
      <c r="E1553">
        <v>745595000000</v>
      </c>
      <c r="F1553">
        <v>637698000000</v>
      </c>
      <c r="G1553" s="10">
        <f t="shared" si="24"/>
        <v>461097666666.66669</v>
      </c>
      <c r="H1553" t="str">
        <f>$A1553&amp;Keys!$C$54&amp;$B1553&amp;Keys!$C$54&amp;$C1553</f>
        <v>NC|imports|biofuel diesel</v>
      </c>
    </row>
    <row r="1554" spans="1:8" x14ac:dyDescent="0.25">
      <c r="A1554" t="s">
        <v>131</v>
      </c>
      <c r="B1554" t="s">
        <v>191</v>
      </c>
      <c r="C1554" t="s">
        <v>97</v>
      </c>
      <c r="D1554">
        <v>0</v>
      </c>
      <c r="E1554">
        <v>99791600000000</v>
      </c>
      <c r="F1554">
        <v>101251000000000</v>
      </c>
      <c r="G1554" s="10">
        <f t="shared" si="24"/>
        <v>67014200000000</v>
      </c>
      <c r="H1554" t="str">
        <f>$A1554&amp;Keys!$C$54&amp;$B1554&amp;Keys!$C$54&amp;$C1554</f>
        <v>NC|imports|jet fuel or kerosene</v>
      </c>
    </row>
    <row r="1555" spans="1:8" x14ac:dyDescent="0.25">
      <c r="A1555" t="s">
        <v>131</v>
      </c>
      <c r="B1555" t="s">
        <v>191</v>
      </c>
      <c r="C1555" t="s">
        <v>100</v>
      </c>
      <c r="D1555">
        <v>0</v>
      </c>
      <c r="E1555">
        <v>0</v>
      </c>
      <c r="F1555">
        <v>0</v>
      </c>
      <c r="G1555" s="10">
        <f t="shared" si="24"/>
        <v>0</v>
      </c>
      <c r="H1555" t="str">
        <f>$A1555&amp;Keys!$C$54&amp;$B1555&amp;Keys!$C$54&amp;$C1555</f>
        <v>NC|imports|heat (not used in this variable)</v>
      </c>
    </row>
    <row r="1556" spans="1:8" x14ac:dyDescent="0.25">
      <c r="A1556" t="s">
        <v>131</v>
      </c>
      <c r="B1556" t="s">
        <v>191</v>
      </c>
      <c r="C1556" t="s">
        <v>103</v>
      </c>
      <c r="D1556">
        <v>0</v>
      </c>
      <c r="E1556">
        <v>0</v>
      </c>
      <c r="F1556">
        <v>0</v>
      </c>
      <c r="G1556" s="10">
        <f t="shared" si="24"/>
        <v>0</v>
      </c>
      <c r="H1556" t="str">
        <f>$A1556&amp;Keys!$C$54&amp;$B1556&amp;Keys!$C$54&amp;$C1556</f>
        <v>NC|imports|geothermal (is not a fuel)</v>
      </c>
    </row>
    <row r="1557" spans="1:8" x14ac:dyDescent="0.25">
      <c r="A1557" t="s">
        <v>131</v>
      </c>
      <c r="B1557" t="s">
        <v>191</v>
      </c>
      <c r="C1557" t="s">
        <v>106</v>
      </c>
      <c r="D1557">
        <v>0</v>
      </c>
      <c r="E1557">
        <v>0</v>
      </c>
      <c r="F1557">
        <v>0</v>
      </c>
      <c r="G1557" s="10">
        <f t="shared" si="24"/>
        <v>0</v>
      </c>
      <c r="H1557" t="str">
        <f>$A1557&amp;Keys!$C$54&amp;$B1557&amp;Keys!$C$54&amp;$C1557</f>
        <v>NC|imports|lignite</v>
      </c>
    </row>
    <row r="1558" spans="1:8" x14ac:dyDescent="0.25">
      <c r="A1558" t="s">
        <v>131</v>
      </c>
      <c r="B1558" t="s">
        <v>191</v>
      </c>
      <c r="C1558" t="s">
        <v>109</v>
      </c>
      <c r="D1558">
        <v>0</v>
      </c>
      <c r="E1558">
        <v>2314000000000</v>
      </c>
      <c r="F1558">
        <v>0</v>
      </c>
      <c r="G1558" s="10">
        <f t="shared" si="24"/>
        <v>771333333333.33337</v>
      </c>
      <c r="H1558" t="str">
        <f>$A1558&amp;Keys!$C$54&amp;$B1558&amp;Keys!$C$54&amp;$C1558</f>
        <v>NC|imports|crude oil</v>
      </c>
    </row>
    <row r="1559" spans="1:8" x14ac:dyDescent="0.25">
      <c r="A1559" t="s">
        <v>131</v>
      </c>
      <c r="B1559" t="s">
        <v>191</v>
      </c>
      <c r="C1559" t="s">
        <v>113</v>
      </c>
      <c r="D1559">
        <v>0</v>
      </c>
      <c r="E1559">
        <v>27860400000000</v>
      </c>
      <c r="F1559">
        <v>28442100000000</v>
      </c>
      <c r="G1559" s="10">
        <f t="shared" si="24"/>
        <v>18767500000000</v>
      </c>
      <c r="H1559" t="str">
        <f>$A1559&amp;Keys!$C$54&amp;$B1559&amp;Keys!$C$54&amp;$C1559</f>
        <v>NC|imports|heavy fuel oil</v>
      </c>
    </row>
    <row r="1560" spans="1:8" x14ac:dyDescent="0.25">
      <c r="A1560" t="s">
        <v>131</v>
      </c>
      <c r="B1560" t="s">
        <v>191</v>
      </c>
      <c r="C1560" t="s">
        <v>117</v>
      </c>
      <c r="D1560">
        <v>0</v>
      </c>
      <c r="E1560">
        <v>38182000000000</v>
      </c>
      <c r="F1560">
        <v>37828200000000</v>
      </c>
      <c r="G1560" s="10">
        <f t="shared" si="24"/>
        <v>25336733333333.332</v>
      </c>
      <c r="H1560" t="str">
        <f>$A1560&amp;Keys!$C$54&amp;$B1560&amp;Keys!$C$54&amp;$C1560</f>
        <v>NC|imports|LPG propane or butane</v>
      </c>
    </row>
    <row r="1561" spans="1:8" x14ac:dyDescent="0.25">
      <c r="A1561" t="s">
        <v>131</v>
      </c>
      <c r="B1561" t="s">
        <v>191</v>
      </c>
      <c r="C1561" t="s">
        <v>120</v>
      </c>
      <c r="D1561">
        <v>0</v>
      </c>
      <c r="E1561">
        <v>0</v>
      </c>
      <c r="F1561">
        <v>0</v>
      </c>
      <c r="G1561" s="10">
        <f t="shared" si="24"/>
        <v>0</v>
      </c>
      <c r="H1561" t="str">
        <f>$A1561&amp;Keys!$C$54&amp;$B1561&amp;Keys!$C$54&amp;$C1561</f>
        <v>NC|imports|municipal solid waste</v>
      </c>
    </row>
    <row r="1562" spans="1:8" x14ac:dyDescent="0.25">
      <c r="A1562" t="s">
        <v>131</v>
      </c>
      <c r="B1562" t="s">
        <v>191</v>
      </c>
      <c r="C1562" t="s">
        <v>123</v>
      </c>
      <c r="D1562">
        <v>0</v>
      </c>
      <c r="E1562">
        <v>5063330000</v>
      </c>
      <c r="F1562">
        <v>7674070000</v>
      </c>
      <c r="G1562" s="10">
        <f t="shared" si="24"/>
        <v>4245800000</v>
      </c>
      <c r="H1562" t="str">
        <f>$A1562&amp;Keys!$C$54&amp;$B1562&amp;Keys!$C$54&amp;$C1562</f>
        <v>NC|imports|hydrogen</v>
      </c>
    </row>
    <row r="1563" spans="1:8" x14ac:dyDescent="0.25">
      <c r="A1563" t="s">
        <v>131</v>
      </c>
      <c r="B1563" t="s">
        <v>193</v>
      </c>
      <c r="C1563" t="s">
        <v>60</v>
      </c>
      <c r="D1563">
        <v>0</v>
      </c>
      <c r="E1563">
        <v>0</v>
      </c>
      <c r="F1563">
        <v>0</v>
      </c>
      <c r="G1563" s="10">
        <f t="shared" si="24"/>
        <v>0</v>
      </c>
      <c r="H1563" t="str">
        <f>$A1563&amp;Keys!$C$54&amp;$B1563&amp;Keys!$C$54&amp;$C1563</f>
        <v>NC|exports|electricity (not used in this variable)</v>
      </c>
    </row>
    <row r="1564" spans="1:8" x14ac:dyDescent="0.25">
      <c r="A1564" t="s">
        <v>131</v>
      </c>
      <c r="B1564" t="s">
        <v>193</v>
      </c>
      <c r="C1564" t="s">
        <v>64</v>
      </c>
      <c r="D1564">
        <v>0</v>
      </c>
      <c r="E1564">
        <v>0</v>
      </c>
      <c r="F1564">
        <v>0</v>
      </c>
      <c r="G1564" s="10">
        <f t="shared" si="24"/>
        <v>0</v>
      </c>
      <c r="H1564" t="str">
        <f>$A1564&amp;Keys!$C$54&amp;$B1564&amp;Keys!$C$54&amp;$C1564</f>
        <v>NC|exports|hard coal</v>
      </c>
    </row>
    <row r="1565" spans="1:8" x14ac:dyDescent="0.25">
      <c r="A1565" t="s">
        <v>131</v>
      </c>
      <c r="B1565" t="s">
        <v>193</v>
      </c>
      <c r="C1565" t="s">
        <v>68</v>
      </c>
      <c r="D1565">
        <v>1037000000</v>
      </c>
      <c r="E1565">
        <v>1037000000</v>
      </c>
      <c r="F1565">
        <v>1040220000</v>
      </c>
      <c r="G1565" s="10">
        <f t="shared" si="24"/>
        <v>1038073333.3333334</v>
      </c>
      <c r="H1565" t="str">
        <f>$A1565&amp;Keys!$C$54&amp;$B1565&amp;Keys!$C$54&amp;$C1565</f>
        <v>NC|exports|natural gas</v>
      </c>
    </row>
    <row r="1566" spans="1:8" x14ac:dyDescent="0.25">
      <c r="A1566" t="s">
        <v>131</v>
      </c>
      <c r="B1566" t="s">
        <v>193</v>
      </c>
      <c r="C1566" t="s">
        <v>71</v>
      </c>
      <c r="D1566">
        <v>0</v>
      </c>
      <c r="E1566">
        <v>0</v>
      </c>
      <c r="F1566">
        <v>0</v>
      </c>
      <c r="G1566" s="10">
        <f t="shared" si="24"/>
        <v>0</v>
      </c>
      <c r="H1566" t="str">
        <f>$A1566&amp;Keys!$C$54&amp;$B1566&amp;Keys!$C$54&amp;$C1566</f>
        <v>NC|exports|nuclear</v>
      </c>
    </row>
    <row r="1567" spans="1:8" x14ac:dyDescent="0.25">
      <c r="A1567" t="s">
        <v>131</v>
      </c>
      <c r="B1567" t="s">
        <v>193</v>
      </c>
      <c r="C1567" t="s">
        <v>74</v>
      </c>
      <c r="D1567">
        <v>0</v>
      </c>
      <c r="E1567">
        <v>0</v>
      </c>
      <c r="F1567">
        <v>0</v>
      </c>
      <c r="G1567" s="10">
        <f t="shared" si="24"/>
        <v>0</v>
      </c>
      <c r="H1567" t="str">
        <f>$A1567&amp;Keys!$C$54&amp;$B1567&amp;Keys!$C$54&amp;$C1567</f>
        <v>NC|exports|hydro (is not a fuel)</v>
      </c>
    </row>
    <row r="1568" spans="1:8" x14ac:dyDescent="0.25">
      <c r="A1568" t="s">
        <v>131</v>
      </c>
      <c r="B1568" t="s">
        <v>193</v>
      </c>
      <c r="C1568" t="s">
        <v>77</v>
      </c>
      <c r="D1568">
        <v>0</v>
      </c>
      <c r="E1568">
        <v>0</v>
      </c>
      <c r="F1568">
        <v>0</v>
      </c>
      <c r="G1568" s="10">
        <f t="shared" si="24"/>
        <v>0</v>
      </c>
      <c r="H1568" t="str">
        <f>$A1568&amp;Keys!$C$54&amp;$B1568&amp;Keys!$C$54&amp;$C1568</f>
        <v>NC|exports|wind (is not a fuel)</v>
      </c>
    </row>
    <row r="1569" spans="1:8" x14ac:dyDescent="0.25">
      <c r="A1569" t="s">
        <v>131</v>
      </c>
      <c r="B1569" t="s">
        <v>193</v>
      </c>
      <c r="C1569" t="s">
        <v>80</v>
      </c>
      <c r="D1569">
        <v>0</v>
      </c>
      <c r="E1569">
        <v>0</v>
      </c>
      <c r="F1569">
        <v>0</v>
      </c>
      <c r="G1569" s="10">
        <f t="shared" si="24"/>
        <v>0</v>
      </c>
      <c r="H1569" t="str">
        <f>$A1569&amp;Keys!$C$54&amp;$B1569&amp;Keys!$C$54&amp;$C1569</f>
        <v>NC|exports|solar (is not a fuel)</v>
      </c>
    </row>
    <row r="1570" spans="1:8" x14ac:dyDescent="0.25">
      <c r="A1570" t="s">
        <v>131</v>
      </c>
      <c r="B1570" t="s">
        <v>193</v>
      </c>
      <c r="C1570" t="s">
        <v>82</v>
      </c>
      <c r="D1570">
        <v>0</v>
      </c>
      <c r="E1570">
        <v>0</v>
      </c>
      <c r="F1570">
        <v>0</v>
      </c>
      <c r="G1570" s="10">
        <f t="shared" si="24"/>
        <v>0</v>
      </c>
      <c r="H1570" t="str">
        <f>$A1570&amp;Keys!$C$54&amp;$B1570&amp;Keys!$C$54&amp;$C1570</f>
        <v>NC|exports|biomass</v>
      </c>
    </row>
    <row r="1571" spans="1:8" x14ac:dyDescent="0.25">
      <c r="A1571" t="s">
        <v>131</v>
      </c>
      <c r="B1571" t="s">
        <v>193</v>
      </c>
      <c r="C1571" t="s">
        <v>85</v>
      </c>
      <c r="D1571">
        <v>0</v>
      </c>
      <c r="E1571">
        <v>0</v>
      </c>
      <c r="F1571">
        <v>0</v>
      </c>
      <c r="G1571" s="10">
        <f t="shared" si="24"/>
        <v>0</v>
      </c>
      <c r="H1571" t="str">
        <f>$A1571&amp;Keys!$C$54&amp;$B1571&amp;Keys!$C$54&amp;$C1571</f>
        <v>NC|exports|petroleum gasoline</v>
      </c>
    </row>
    <row r="1572" spans="1:8" x14ac:dyDescent="0.25">
      <c r="A1572" t="s">
        <v>131</v>
      </c>
      <c r="B1572" t="s">
        <v>193</v>
      </c>
      <c r="C1572" t="s">
        <v>88</v>
      </c>
      <c r="D1572">
        <v>0</v>
      </c>
      <c r="E1572">
        <v>0</v>
      </c>
      <c r="F1572">
        <v>0</v>
      </c>
      <c r="G1572" s="10">
        <f t="shared" si="24"/>
        <v>0</v>
      </c>
      <c r="H1572" t="str">
        <f>$A1572&amp;Keys!$C$54&amp;$B1572&amp;Keys!$C$54&amp;$C1572</f>
        <v>NC|exports|petroleum diesel</v>
      </c>
    </row>
    <row r="1573" spans="1:8" x14ac:dyDescent="0.25">
      <c r="A1573" t="s">
        <v>131</v>
      </c>
      <c r="B1573" t="s">
        <v>193</v>
      </c>
      <c r="C1573" t="s">
        <v>91</v>
      </c>
      <c r="D1573">
        <v>0</v>
      </c>
      <c r="E1573">
        <v>0</v>
      </c>
      <c r="F1573">
        <v>0</v>
      </c>
      <c r="G1573" s="10">
        <f t="shared" si="24"/>
        <v>0</v>
      </c>
      <c r="H1573" t="str">
        <f>$A1573&amp;Keys!$C$54&amp;$B1573&amp;Keys!$C$54&amp;$C1573</f>
        <v>NC|exports|biofuel gasoline</v>
      </c>
    </row>
    <row r="1574" spans="1:8" x14ac:dyDescent="0.25">
      <c r="A1574" t="s">
        <v>131</v>
      </c>
      <c r="B1574" t="s">
        <v>193</v>
      </c>
      <c r="C1574" t="s">
        <v>94</v>
      </c>
      <c r="D1574">
        <v>0</v>
      </c>
      <c r="E1574">
        <v>0</v>
      </c>
      <c r="F1574">
        <v>0</v>
      </c>
      <c r="G1574" s="10">
        <f t="shared" si="24"/>
        <v>0</v>
      </c>
      <c r="H1574" t="str">
        <f>$A1574&amp;Keys!$C$54&amp;$B1574&amp;Keys!$C$54&amp;$C1574</f>
        <v>NC|exports|biofuel diesel</v>
      </c>
    </row>
    <row r="1575" spans="1:8" x14ac:dyDescent="0.25">
      <c r="A1575" t="s">
        <v>131</v>
      </c>
      <c r="B1575" t="s">
        <v>193</v>
      </c>
      <c r="C1575" t="s">
        <v>97</v>
      </c>
      <c r="D1575">
        <v>0</v>
      </c>
      <c r="E1575">
        <v>0</v>
      </c>
      <c r="F1575">
        <v>0</v>
      </c>
      <c r="G1575" s="10">
        <f t="shared" si="24"/>
        <v>0</v>
      </c>
      <c r="H1575" t="str">
        <f>$A1575&amp;Keys!$C$54&amp;$B1575&amp;Keys!$C$54&amp;$C1575</f>
        <v>NC|exports|jet fuel or kerosene</v>
      </c>
    </row>
    <row r="1576" spans="1:8" x14ac:dyDescent="0.25">
      <c r="A1576" t="s">
        <v>131</v>
      </c>
      <c r="B1576" t="s">
        <v>193</v>
      </c>
      <c r="C1576" t="s">
        <v>100</v>
      </c>
      <c r="D1576">
        <v>0</v>
      </c>
      <c r="E1576">
        <v>0</v>
      </c>
      <c r="F1576">
        <v>0</v>
      </c>
      <c r="G1576" s="10">
        <f t="shared" si="24"/>
        <v>0</v>
      </c>
      <c r="H1576" t="str">
        <f>$A1576&amp;Keys!$C$54&amp;$B1576&amp;Keys!$C$54&amp;$C1576</f>
        <v>NC|exports|heat (not used in this variable)</v>
      </c>
    </row>
    <row r="1577" spans="1:8" x14ac:dyDescent="0.25">
      <c r="A1577" t="s">
        <v>131</v>
      </c>
      <c r="B1577" t="s">
        <v>193</v>
      </c>
      <c r="C1577" t="s">
        <v>103</v>
      </c>
      <c r="D1577">
        <v>0</v>
      </c>
      <c r="E1577">
        <v>0</v>
      </c>
      <c r="F1577">
        <v>0</v>
      </c>
      <c r="G1577" s="10">
        <f t="shared" si="24"/>
        <v>0</v>
      </c>
      <c r="H1577" t="str">
        <f>$A1577&amp;Keys!$C$54&amp;$B1577&amp;Keys!$C$54&amp;$C1577</f>
        <v>NC|exports|geothermal (is not a fuel)</v>
      </c>
    </row>
    <row r="1578" spans="1:8" x14ac:dyDescent="0.25">
      <c r="A1578" t="s">
        <v>131</v>
      </c>
      <c r="B1578" t="s">
        <v>193</v>
      </c>
      <c r="C1578" t="s">
        <v>106</v>
      </c>
      <c r="D1578">
        <v>0</v>
      </c>
      <c r="E1578">
        <v>0</v>
      </c>
      <c r="F1578">
        <v>0</v>
      </c>
      <c r="G1578" s="10">
        <f t="shared" si="24"/>
        <v>0</v>
      </c>
      <c r="H1578" t="str">
        <f>$A1578&amp;Keys!$C$54&amp;$B1578&amp;Keys!$C$54&amp;$C1578</f>
        <v>NC|exports|lignite</v>
      </c>
    </row>
    <row r="1579" spans="1:8" x14ac:dyDescent="0.25">
      <c r="A1579" t="s">
        <v>131</v>
      </c>
      <c r="B1579" t="s">
        <v>193</v>
      </c>
      <c r="C1579" t="s">
        <v>109</v>
      </c>
      <c r="D1579">
        <v>0</v>
      </c>
      <c r="E1579">
        <v>0</v>
      </c>
      <c r="F1579">
        <v>0</v>
      </c>
      <c r="G1579" s="10">
        <f t="shared" si="24"/>
        <v>0</v>
      </c>
      <c r="H1579" t="str">
        <f>$A1579&amp;Keys!$C$54&amp;$B1579&amp;Keys!$C$54&amp;$C1579</f>
        <v>NC|exports|crude oil</v>
      </c>
    </row>
    <row r="1580" spans="1:8" x14ac:dyDescent="0.25">
      <c r="A1580" t="s">
        <v>131</v>
      </c>
      <c r="B1580" t="s">
        <v>193</v>
      </c>
      <c r="C1580" t="s">
        <v>113</v>
      </c>
      <c r="D1580">
        <v>0</v>
      </c>
      <c r="E1580">
        <v>0</v>
      </c>
      <c r="F1580">
        <v>0</v>
      </c>
      <c r="G1580" s="10">
        <f t="shared" si="24"/>
        <v>0</v>
      </c>
      <c r="H1580" t="str">
        <f>$A1580&amp;Keys!$C$54&amp;$B1580&amp;Keys!$C$54&amp;$C1580</f>
        <v>NC|exports|heavy fuel oil</v>
      </c>
    </row>
    <row r="1581" spans="1:8" x14ac:dyDescent="0.25">
      <c r="A1581" t="s">
        <v>131</v>
      </c>
      <c r="B1581" t="s">
        <v>193</v>
      </c>
      <c r="C1581" t="s">
        <v>117</v>
      </c>
      <c r="D1581">
        <v>0</v>
      </c>
      <c r="E1581">
        <v>0</v>
      </c>
      <c r="F1581">
        <v>0</v>
      </c>
      <c r="G1581" s="10">
        <f t="shared" si="24"/>
        <v>0</v>
      </c>
      <c r="H1581" t="str">
        <f>$A1581&amp;Keys!$C$54&amp;$B1581&amp;Keys!$C$54&amp;$C1581</f>
        <v>NC|exports|LPG propane or butane</v>
      </c>
    </row>
    <row r="1582" spans="1:8" x14ac:dyDescent="0.25">
      <c r="A1582" t="s">
        <v>131</v>
      </c>
      <c r="B1582" t="s">
        <v>193</v>
      </c>
      <c r="C1582" t="s">
        <v>120</v>
      </c>
      <c r="D1582">
        <v>0</v>
      </c>
      <c r="E1582">
        <v>0</v>
      </c>
      <c r="F1582">
        <v>0</v>
      </c>
      <c r="G1582" s="10">
        <f t="shared" si="24"/>
        <v>0</v>
      </c>
      <c r="H1582" t="str">
        <f>$A1582&amp;Keys!$C$54&amp;$B1582&amp;Keys!$C$54&amp;$C1582</f>
        <v>NC|exports|municipal solid waste</v>
      </c>
    </row>
    <row r="1583" spans="1:8" x14ac:dyDescent="0.25">
      <c r="A1583" t="s">
        <v>131</v>
      </c>
      <c r="B1583" t="s">
        <v>193</v>
      </c>
      <c r="C1583" t="s">
        <v>123</v>
      </c>
      <c r="D1583">
        <v>0</v>
      </c>
      <c r="E1583">
        <v>0</v>
      </c>
      <c r="F1583">
        <v>0</v>
      </c>
      <c r="G1583" s="10">
        <f t="shared" si="24"/>
        <v>0</v>
      </c>
      <c r="H1583" t="str">
        <f>$A1583&amp;Keys!$C$54&amp;$B1583&amp;Keys!$C$54&amp;$C1583</f>
        <v>NC|exports|hydrogen</v>
      </c>
    </row>
    <row r="1584" spans="1:8" x14ac:dyDescent="0.25">
      <c r="A1584" t="s">
        <v>133</v>
      </c>
      <c r="B1584" t="s">
        <v>188</v>
      </c>
      <c r="C1584" t="s">
        <v>60</v>
      </c>
      <c r="D1584">
        <v>0</v>
      </c>
      <c r="E1584">
        <v>0</v>
      </c>
      <c r="F1584">
        <v>0</v>
      </c>
      <c r="G1584" s="10">
        <f t="shared" si="24"/>
        <v>0</v>
      </c>
      <c r="H1584" t="str">
        <f>$A1584&amp;Keys!$C$54&amp;$B1584&amp;Keys!$C$54&amp;$C1584</f>
        <v>ND|production|electricity (not used in this variable)</v>
      </c>
    </row>
    <row r="1585" spans="1:8" x14ac:dyDescent="0.25">
      <c r="A1585" t="s">
        <v>133</v>
      </c>
      <c r="B1585" t="s">
        <v>188</v>
      </c>
      <c r="C1585" t="s">
        <v>64</v>
      </c>
      <c r="D1585">
        <v>0</v>
      </c>
      <c r="E1585">
        <v>0</v>
      </c>
      <c r="F1585">
        <v>0</v>
      </c>
      <c r="G1585" s="10">
        <f t="shared" si="24"/>
        <v>0</v>
      </c>
      <c r="H1585" t="str">
        <f>$A1585&amp;Keys!$C$54&amp;$B1585&amp;Keys!$C$54&amp;$C1585</f>
        <v>ND|production|hard coal</v>
      </c>
    </row>
    <row r="1586" spans="1:8" x14ac:dyDescent="0.25">
      <c r="A1586" t="s">
        <v>133</v>
      </c>
      <c r="B1586" t="s">
        <v>188</v>
      </c>
      <c r="C1586" t="s">
        <v>68</v>
      </c>
      <c r="D1586">
        <v>983409000000000</v>
      </c>
      <c r="E1586">
        <v>983409000000000</v>
      </c>
      <c r="F1586">
        <v>911022000000000</v>
      </c>
      <c r="G1586" s="10">
        <f t="shared" si="24"/>
        <v>959280000000000</v>
      </c>
      <c r="H1586" t="str">
        <f>$A1586&amp;Keys!$C$54&amp;$B1586&amp;Keys!$C$54&amp;$C1586</f>
        <v>ND|production|natural gas</v>
      </c>
    </row>
    <row r="1587" spans="1:8" x14ac:dyDescent="0.25">
      <c r="A1587" t="s">
        <v>133</v>
      </c>
      <c r="B1587" t="s">
        <v>188</v>
      </c>
      <c r="C1587" t="s">
        <v>71</v>
      </c>
      <c r="D1587">
        <v>0</v>
      </c>
      <c r="E1587">
        <v>0</v>
      </c>
      <c r="F1587">
        <v>0</v>
      </c>
      <c r="G1587" s="10">
        <f t="shared" si="24"/>
        <v>0</v>
      </c>
      <c r="H1587" t="str">
        <f>$A1587&amp;Keys!$C$54&amp;$B1587&amp;Keys!$C$54&amp;$C1587</f>
        <v>ND|production|nuclear</v>
      </c>
    </row>
    <row r="1588" spans="1:8" x14ac:dyDescent="0.25">
      <c r="A1588" t="s">
        <v>133</v>
      </c>
      <c r="B1588" t="s">
        <v>188</v>
      </c>
      <c r="C1588" t="s">
        <v>74</v>
      </c>
      <c r="D1588">
        <v>0</v>
      </c>
      <c r="E1588">
        <v>0</v>
      </c>
      <c r="F1588">
        <v>0</v>
      </c>
      <c r="G1588" s="10">
        <f t="shared" si="24"/>
        <v>0</v>
      </c>
      <c r="H1588" t="str">
        <f>$A1588&amp;Keys!$C$54&amp;$B1588&amp;Keys!$C$54&amp;$C1588</f>
        <v>ND|production|hydro (is not a fuel)</v>
      </c>
    </row>
    <row r="1589" spans="1:8" x14ac:dyDescent="0.25">
      <c r="A1589" t="s">
        <v>133</v>
      </c>
      <c r="B1589" t="s">
        <v>188</v>
      </c>
      <c r="C1589" t="s">
        <v>77</v>
      </c>
      <c r="D1589">
        <v>0</v>
      </c>
      <c r="E1589">
        <v>0</v>
      </c>
      <c r="F1589">
        <v>0</v>
      </c>
      <c r="G1589" s="10">
        <f t="shared" si="24"/>
        <v>0</v>
      </c>
      <c r="H1589" t="str">
        <f>$A1589&amp;Keys!$C$54&amp;$B1589&amp;Keys!$C$54&amp;$C1589</f>
        <v>ND|production|wind (is not a fuel)</v>
      </c>
    </row>
    <row r="1590" spans="1:8" x14ac:dyDescent="0.25">
      <c r="A1590" t="s">
        <v>133</v>
      </c>
      <c r="B1590" t="s">
        <v>188</v>
      </c>
      <c r="C1590" t="s">
        <v>80</v>
      </c>
      <c r="D1590">
        <v>0</v>
      </c>
      <c r="E1590">
        <v>0</v>
      </c>
      <c r="F1590">
        <v>0</v>
      </c>
      <c r="G1590" s="10">
        <f t="shared" si="24"/>
        <v>0</v>
      </c>
      <c r="H1590" t="str">
        <f>$A1590&amp;Keys!$C$54&amp;$B1590&amp;Keys!$C$54&amp;$C1590</f>
        <v>ND|production|solar (is not a fuel)</v>
      </c>
    </row>
    <row r="1591" spans="1:8" x14ac:dyDescent="0.25">
      <c r="A1591" t="s">
        <v>133</v>
      </c>
      <c r="B1591" t="s">
        <v>188</v>
      </c>
      <c r="C1591" t="s">
        <v>82</v>
      </c>
      <c r="D1591">
        <v>0</v>
      </c>
      <c r="E1591">
        <v>0</v>
      </c>
      <c r="F1591">
        <v>0</v>
      </c>
      <c r="G1591" s="10">
        <f t="shared" si="24"/>
        <v>0</v>
      </c>
      <c r="H1591" t="str">
        <f>$A1591&amp;Keys!$C$54&amp;$B1591&amp;Keys!$C$54&amp;$C1591</f>
        <v>ND|production|biomass</v>
      </c>
    </row>
    <row r="1592" spans="1:8" x14ac:dyDescent="0.25">
      <c r="A1592" t="s">
        <v>133</v>
      </c>
      <c r="B1592" t="s">
        <v>188</v>
      </c>
      <c r="C1592" t="s">
        <v>85</v>
      </c>
      <c r="D1592">
        <v>68905500000000</v>
      </c>
      <c r="E1592">
        <v>68905500000000</v>
      </c>
      <c r="F1592">
        <v>67235400000000</v>
      </c>
      <c r="G1592" s="10">
        <f t="shared" si="24"/>
        <v>68348800000000</v>
      </c>
      <c r="H1592" t="str">
        <f>$A1592&amp;Keys!$C$54&amp;$B1592&amp;Keys!$C$54&amp;$C1592</f>
        <v>ND|production|petroleum gasoline</v>
      </c>
    </row>
    <row r="1593" spans="1:8" x14ac:dyDescent="0.25">
      <c r="A1593" t="s">
        <v>133</v>
      </c>
      <c r="B1593" t="s">
        <v>188</v>
      </c>
      <c r="C1593" t="s">
        <v>88</v>
      </c>
      <c r="D1593">
        <v>40758700000000</v>
      </c>
      <c r="E1593">
        <v>40758700000000</v>
      </c>
      <c r="F1593">
        <v>39770700000000</v>
      </c>
      <c r="G1593" s="10">
        <f t="shared" si="24"/>
        <v>40429366666666.664</v>
      </c>
      <c r="H1593" t="str">
        <f>$A1593&amp;Keys!$C$54&amp;$B1593&amp;Keys!$C$54&amp;$C1593</f>
        <v>ND|production|petroleum diesel</v>
      </c>
    </row>
    <row r="1594" spans="1:8" x14ac:dyDescent="0.25">
      <c r="A1594" t="s">
        <v>133</v>
      </c>
      <c r="B1594" t="s">
        <v>188</v>
      </c>
      <c r="C1594" t="s">
        <v>91</v>
      </c>
      <c r="D1594">
        <v>47832300000000</v>
      </c>
      <c r="E1594">
        <v>47832300000000</v>
      </c>
      <c r="F1594">
        <v>47966900000000</v>
      </c>
      <c r="G1594" s="10">
        <f t="shared" si="24"/>
        <v>47877166666666.664</v>
      </c>
      <c r="H1594" t="str">
        <f>$A1594&amp;Keys!$C$54&amp;$B1594&amp;Keys!$C$54&amp;$C1594</f>
        <v>ND|production|biofuel gasoline</v>
      </c>
    </row>
    <row r="1595" spans="1:8" x14ac:dyDescent="0.25">
      <c r="A1595" t="s">
        <v>133</v>
      </c>
      <c r="B1595" t="s">
        <v>188</v>
      </c>
      <c r="C1595" t="s">
        <v>94</v>
      </c>
      <c r="D1595">
        <v>27534800000000</v>
      </c>
      <c r="E1595">
        <v>27534800000000</v>
      </c>
      <c r="F1595">
        <v>32707500000000</v>
      </c>
      <c r="G1595" s="10">
        <f t="shared" si="24"/>
        <v>29259033333333.332</v>
      </c>
      <c r="H1595" t="str">
        <f>$A1595&amp;Keys!$C$54&amp;$B1595&amp;Keys!$C$54&amp;$C1595</f>
        <v>ND|production|biofuel diesel</v>
      </c>
    </row>
    <row r="1596" spans="1:8" x14ac:dyDescent="0.25">
      <c r="A1596" t="s">
        <v>133</v>
      </c>
      <c r="B1596" t="s">
        <v>188</v>
      </c>
      <c r="C1596" t="s">
        <v>97</v>
      </c>
      <c r="D1596">
        <v>14509300000000</v>
      </c>
      <c r="E1596">
        <v>14509300000000</v>
      </c>
      <c r="F1596">
        <v>14157600000000</v>
      </c>
      <c r="G1596" s="10">
        <f t="shared" si="24"/>
        <v>14392066666666.666</v>
      </c>
      <c r="H1596" t="str">
        <f>$A1596&amp;Keys!$C$54&amp;$B1596&amp;Keys!$C$54&amp;$C1596</f>
        <v>ND|production|jet fuel or kerosene</v>
      </c>
    </row>
    <row r="1597" spans="1:8" x14ac:dyDescent="0.25">
      <c r="A1597" t="s">
        <v>133</v>
      </c>
      <c r="B1597" t="s">
        <v>188</v>
      </c>
      <c r="C1597" t="s">
        <v>100</v>
      </c>
      <c r="D1597">
        <v>0</v>
      </c>
      <c r="E1597">
        <v>0</v>
      </c>
      <c r="F1597">
        <v>0</v>
      </c>
      <c r="G1597" s="10">
        <f t="shared" si="24"/>
        <v>0</v>
      </c>
      <c r="H1597" t="str">
        <f>$A1597&amp;Keys!$C$54&amp;$B1597&amp;Keys!$C$54&amp;$C1597</f>
        <v>ND|production|heat (not used in this variable)</v>
      </c>
    </row>
    <row r="1598" spans="1:8" x14ac:dyDescent="0.25">
      <c r="A1598" t="s">
        <v>133</v>
      </c>
      <c r="B1598" t="s">
        <v>188</v>
      </c>
      <c r="C1598" t="s">
        <v>103</v>
      </c>
      <c r="D1598">
        <v>0</v>
      </c>
      <c r="E1598">
        <v>0</v>
      </c>
      <c r="F1598">
        <v>0</v>
      </c>
      <c r="G1598" s="10">
        <f t="shared" si="24"/>
        <v>0</v>
      </c>
      <c r="H1598" t="str">
        <f>$A1598&amp;Keys!$C$54&amp;$B1598&amp;Keys!$C$54&amp;$C1598</f>
        <v>ND|production|geothermal (is not a fuel)</v>
      </c>
    </row>
    <row r="1599" spans="1:8" x14ac:dyDescent="0.25">
      <c r="A1599" t="s">
        <v>133</v>
      </c>
      <c r="B1599" t="s">
        <v>188</v>
      </c>
      <c r="C1599" t="s">
        <v>106</v>
      </c>
      <c r="D1599">
        <v>355805000000000</v>
      </c>
      <c r="E1599">
        <v>355805000000000</v>
      </c>
      <c r="F1599">
        <v>332252000000000</v>
      </c>
      <c r="G1599" s="10">
        <f t="shared" si="24"/>
        <v>347954000000000</v>
      </c>
      <c r="H1599" t="str">
        <f>$A1599&amp;Keys!$C$54&amp;$B1599&amp;Keys!$C$54&amp;$C1599</f>
        <v>ND|production|lignite</v>
      </c>
    </row>
    <row r="1600" spans="1:8" x14ac:dyDescent="0.25">
      <c r="A1600" t="s">
        <v>133</v>
      </c>
      <c r="B1600" t="s">
        <v>188</v>
      </c>
      <c r="C1600" t="s">
        <v>109</v>
      </c>
      <c r="D1600">
        <v>2534650000000000</v>
      </c>
      <c r="E1600">
        <v>2534650000000000</v>
      </c>
      <c r="F1600">
        <v>2449050000000000</v>
      </c>
      <c r="G1600" s="10">
        <f t="shared" si="24"/>
        <v>2506116666666666.5</v>
      </c>
      <c r="H1600" t="str">
        <f>$A1600&amp;Keys!$C$54&amp;$B1600&amp;Keys!$C$54&amp;$C1600</f>
        <v>ND|production|crude oil</v>
      </c>
    </row>
    <row r="1601" spans="1:8" x14ac:dyDescent="0.25">
      <c r="A1601" t="s">
        <v>133</v>
      </c>
      <c r="B1601" t="s">
        <v>188</v>
      </c>
      <c r="C1601" t="s">
        <v>113</v>
      </c>
      <c r="D1601">
        <v>2818470000000</v>
      </c>
      <c r="E1601">
        <v>2818470000000</v>
      </c>
      <c r="F1601">
        <v>2750160000000</v>
      </c>
      <c r="G1601" s="10">
        <f t="shared" si="24"/>
        <v>2795700000000</v>
      </c>
      <c r="H1601" t="str">
        <f>$A1601&amp;Keys!$C$54&amp;$B1601&amp;Keys!$C$54&amp;$C1601</f>
        <v>ND|production|heavy fuel oil</v>
      </c>
    </row>
    <row r="1602" spans="1:8" x14ac:dyDescent="0.25">
      <c r="A1602" t="s">
        <v>133</v>
      </c>
      <c r="B1602" t="s">
        <v>188</v>
      </c>
      <c r="C1602" t="s">
        <v>117</v>
      </c>
      <c r="D1602">
        <v>120221000000000</v>
      </c>
      <c r="E1602">
        <v>120221000000000</v>
      </c>
      <c r="F1602">
        <v>122774000000000</v>
      </c>
      <c r="G1602" s="10">
        <f t="shared" si="24"/>
        <v>121072000000000</v>
      </c>
      <c r="H1602" t="str">
        <f>$A1602&amp;Keys!$C$54&amp;$B1602&amp;Keys!$C$54&amp;$C1602</f>
        <v>ND|production|LPG propane or butane</v>
      </c>
    </row>
    <row r="1603" spans="1:8" x14ac:dyDescent="0.25">
      <c r="A1603" t="s">
        <v>133</v>
      </c>
      <c r="B1603" t="s">
        <v>188</v>
      </c>
      <c r="C1603" t="s">
        <v>120</v>
      </c>
      <c r="D1603">
        <v>0</v>
      </c>
      <c r="E1603">
        <v>0</v>
      </c>
      <c r="F1603">
        <v>0</v>
      </c>
      <c r="G1603" s="10">
        <f t="shared" si="24"/>
        <v>0</v>
      </c>
      <c r="H1603" t="str">
        <f>$A1603&amp;Keys!$C$54&amp;$B1603&amp;Keys!$C$54&amp;$C1603</f>
        <v>ND|production|municipal solid waste</v>
      </c>
    </row>
    <row r="1604" spans="1:8" x14ac:dyDescent="0.25">
      <c r="A1604" t="s">
        <v>133</v>
      </c>
      <c r="B1604" t="s">
        <v>188</v>
      </c>
      <c r="C1604" t="s">
        <v>123</v>
      </c>
      <c r="D1604">
        <v>0</v>
      </c>
      <c r="E1604">
        <v>0</v>
      </c>
      <c r="F1604">
        <v>0</v>
      </c>
      <c r="G1604" s="10">
        <f t="shared" si="24"/>
        <v>0</v>
      </c>
      <c r="H1604" t="str">
        <f>$A1604&amp;Keys!$C$54&amp;$B1604&amp;Keys!$C$54&amp;$C1604</f>
        <v>ND|production|hydrogen</v>
      </c>
    </row>
    <row r="1605" spans="1:8" x14ac:dyDescent="0.25">
      <c r="A1605" t="s">
        <v>133</v>
      </c>
      <c r="B1605" t="s">
        <v>191</v>
      </c>
      <c r="C1605" t="s">
        <v>60</v>
      </c>
      <c r="D1605">
        <v>0</v>
      </c>
      <c r="E1605">
        <v>0</v>
      </c>
      <c r="F1605">
        <v>0</v>
      </c>
      <c r="G1605" s="10">
        <f t="shared" si="24"/>
        <v>0</v>
      </c>
      <c r="H1605" t="str">
        <f>$A1605&amp;Keys!$C$54&amp;$B1605&amp;Keys!$C$54&amp;$C1605</f>
        <v>ND|imports|electricity (not used in this variable)</v>
      </c>
    </row>
    <row r="1606" spans="1:8" x14ac:dyDescent="0.25">
      <c r="A1606" t="s">
        <v>133</v>
      </c>
      <c r="B1606" t="s">
        <v>191</v>
      </c>
      <c r="C1606" t="s">
        <v>64</v>
      </c>
      <c r="D1606">
        <v>11948300000000</v>
      </c>
      <c r="E1606">
        <v>160230000000000</v>
      </c>
      <c r="F1606">
        <v>159850000000000</v>
      </c>
      <c r="G1606" s="10">
        <f t="shared" si="24"/>
        <v>110676100000000</v>
      </c>
      <c r="H1606" t="str">
        <f>$A1606&amp;Keys!$C$54&amp;$B1606&amp;Keys!$C$54&amp;$C1606</f>
        <v>ND|imports|hard coal</v>
      </c>
    </row>
    <row r="1607" spans="1:8" x14ac:dyDescent="0.25">
      <c r="A1607" t="s">
        <v>133</v>
      </c>
      <c r="B1607" t="s">
        <v>191</v>
      </c>
      <c r="C1607" t="s">
        <v>68</v>
      </c>
      <c r="D1607">
        <v>665620000000000</v>
      </c>
      <c r="E1607">
        <v>685573000000000</v>
      </c>
      <c r="F1607">
        <v>653574000000000</v>
      </c>
      <c r="G1607" s="10">
        <f t="shared" si="24"/>
        <v>668255666666666.63</v>
      </c>
      <c r="H1607" t="str">
        <f>$A1607&amp;Keys!$C$54&amp;$B1607&amp;Keys!$C$54&amp;$C1607</f>
        <v>ND|imports|natural gas</v>
      </c>
    </row>
    <row r="1608" spans="1:8" x14ac:dyDescent="0.25">
      <c r="A1608" t="s">
        <v>133</v>
      </c>
      <c r="B1608" t="s">
        <v>191</v>
      </c>
      <c r="C1608" t="s">
        <v>71</v>
      </c>
      <c r="D1608">
        <v>0</v>
      </c>
      <c r="E1608">
        <v>0</v>
      </c>
      <c r="F1608">
        <v>0</v>
      </c>
      <c r="G1608" s="10">
        <f t="shared" si="24"/>
        <v>0</v>
      </c>
      <c r="H1608" t="str">
        <f>$A1608&amp;Keys!$C$54&amp;$B1608&amp;Keys!$C$54&amp;$C1608</f>
        <v>ND|imports|nuclear</v>
      </c>
    </row>
    <row r="1609" spans="1:8" x14ac:dyDescent="0.25">
      <c r="A1609" t="s">
        <v>133</v>
      </c>
      <c r="B1609" t="s">
        <v>191</v>
      </c>
      <c r="C1609" t="s">
        <v>74</v>
      </c>
      <c r="D1609">
        <v>0</v>
      </c>
      <c r="E1609">
        <v>0</v>
      </c>
      <c r="F1609">
        <v>0</v>
      </c>
      <c r="G1609" s="10">
        <f t="shared" ref="G1609:G1672" si="25">AVERAGE($D1609:$F1609)</f>
        <v>0</v>
      </c>
      <c r="H1609" t="str">
        <f>$A1609&amp;Keys!$C$54&amp;$B1609&amp;Keys!$C$54&amp;$C1609</f>
        <v>ND|imports|hydro (is not a fuel)</v>
      </c>
    </row>
    <row r="1610" spans="1:8" x14ac:dyDescent="0.25">
      <c r="A1610" t="s">
        <v>133</v>
      </c>
      <c r="B1610" t="s">
        <v>191</v>
      </c>
      <c r="C1610" t="s">
        <v>77</v>
      </c>
      <c r="D1610">
        <v>0</v>
      </c>
      <c r="E1610">
        <v>0</v>
      </c>
      <c r="F1610">
        <v>0</v>
      </c>
      <c r="G1610" s="10">
        <f t="shared" si="25"/>
        <v>0</v>
      </c>
      <c r="H1610" t="str">
        <f>$A1610&amp;Keys!$C$54&amp;$B1610&amp;Keys!$C$54&amp;$C1610</f>
        <v>ND|imports|wind (is not a fuel)</v>
      </c>
    </row>
    <row r="1611" spans="1:8" x14ac:dyDescent="0.25">
      <c r="A1611" t="s">
        <v>133</v>
      </c>
      <c r="B1611" t="s">
        <v>191</v>
      </c>
      <c r="C1611" t="s">
        <v>80</v>
      </c>
      <c r="D1611">
        <v>0</v>
      </c>
      <c r="E1611">
        <v>0</v>
      </c>
      <c r="F1611">
        <v>0</v>
      </c>
      <c r="G1611" s="10">
        <f t="shared" si="25"/>
        <v>0</v>
      </c>
      <c r="H1611" t="str">
        <f>$A1611&amp;Keys!$C$54&amp;$B1611&amp;Keys!$C$54&amp;$C1611</f>
        <v>ND|imports|solar (is not a fuel)</v>
      </c>
    </row>
    <row r="1612" spans="1:8" x14ac:dyDescent="0.25">
      <c r="A1612" t="s">
        <v>133</v>
      </c>
      <c r="B1612" t="s">
        <v>191</v>
      </c>
      <c r="C1612" t="s">
        <v>82</v>
      </c>
      <c r="D1612">
        <v>0</v>
      </c>
      <c r="E1612">
        <v>857550000000</v>
      </c>
      <c r="F1612">
        <v>840667000000</v>
      </c>
      <c r="G1612" s="10">
        <f t="shared" si="25"/>
        <v>566072333333.33337</v>
      </c>
      <c r="H1612" t="str">
        <f>$A1612&amp;Keys!$C$54&amp;$B1612&amp;Keys!$C$54&amp;$C1612</f>
        <v>ND|imports|biomass</v>
      </c>
    </row>
    <row r="1613" spans="1:8" x14ac:dyDescent="0.25">
      <c r="A1613" t="s">
        <v>133</v>
      </c>
      <c r="B1613" t="s">
        <v>191</v>
      </c>
      <c r="C1613" t="s">
        <v>85</v>
      </c>
      <c r="D1613">
        <v>0</v>
      </c>
      <c r="E1613">
        <v>79190500000000</v>
      </c>
      <c r="F1613">
        <v>78369400000000</v>
      </c>
      <c r="G1613" s="10">
        <f t="shared" si="25"/>
        <v>52519966666666.664</v>
      </c>
      <c r="H1613" t="str">
        <f>$A1613&amp;Keys!$C$54&amp;$B1613&amp;Keys!$C$54&amp;$C1613</f>
        <v>ND|imports|petroleum gasoline</v>
      </c>
    </row>
    <row r="1614" spans="1:8" x14ac:dyDescent="0.25">
      <c r="A1614" t="s">
        <v>133</v>
      </c>
      <c r="B1614" t="s">
        <v>191</v>
      </c>
      <c r="C1614" t="s">
        <v>88</v>
      </c>
      <c r="D1614">
        <v>0</v>
      </c>
      <c r="E1614">
        <v>49775900000000</v>
      </c>
      <c r="F1614">
        <v>52686700000000</v>
      </c>
      <c r="G1614" s="10">
        <f t="shared" si="25"/>
        <v>34154200000000</v>
      </c>
      <c r="H1614" t="str">
        <f>$A1614&amp;Keys!$C$54&amp;$B1614&amp;Keys!$C$54&amp;$C1614</f>
        <v>ND|imports|petroleum diesel</v>
      </c>
    </row>
    <row r="1615" spans="1:8" x14ac:dyDescent="0.25">
      <c r="A1615" t="s">
        <v>133</v>
      </c>
      <c r="B1615" t="s">
        <v>191</v>
      </c>
      <c r="C1615" t="s">
        <v>91</v>
      </c>
      <c r="D1615">
        <v>0</v>
      </c>
      <c r="E1615">
        <v>0</v>
      </c>
      <c r="F1615">
        <v>0</v>
      </c>
      <c r="G1615" s="10">
        <f t="shared" si="25"/>
        <v>0</v>
      </c>
      <c r="H1615" t="str">
        <f>$A1615&amp;Keys!$C$54&amp;$B1615&amp;Keys!$C$54&amp;$C1615</f>
        <v>ND|imports|biofuel gasoline</v>
      </c>
    </row>
    <row r="1616" spans="1:8" x14ac:dyDescent="0.25">
      <c r="A1616" t="s">
        <v>133</v>
      </c>
      <c r="B1616" t="s">
        <v>191</v>
      </c>
      <c r="C1616" t="s">
        <v>94</v>
      </c>
      <c r="D1616">
        <v>0</v>
      </c>
      <c r="E1616">
        <v>0</v>
      </c>
      <c r="F1616">
        <v>0</v>
      </c>
      <c r="G1616" s="10">
        <f t="shared" si="25"/>
        <v>0</v>
      </c>
      <c r="H1616" t="str">
        <f>$A1616&amp;Keys!$C$54&amp;$B1616&amp;Keys!$C$54&amp;$C1616</f>
        <v>ND|imports|biofuel diesel</v>
      </c>
    </row>
    <row r="1617" spans="1:8" x14ac:dyDescent="0.25">
      <c r="A1617" t="s">
        <v>133</v>
      </c>
      <c r="B1617" t="s">
        <v>191</v>
      </c>
      <c r="C1617" t="s">
        <v>97</v>
      </c>
      <c r="D1617">
        <v>0</v>
      </c>
      <c r="E1617">
        <v>0</v>
      </c>
      <c r="F1617">
        <v>0</v>
      </c>
      <c r="G1617" s="10">
        <f t="shared" si="25"/>
        <v>0</v>
      </c>
      <c r="H1617" t="str">
        <f>$A1617&amp;Keys!$C$54&amp;$B1617&amp;Keys!$C$54&amp;$C1617</f>
        <v>ND|imports|jet fuel or kerosene</v>
      </c>
    </row>
    <row r="1618" spans="1:8" x14ac:dyDescent="0.25">
      <c r="A1618" t="s">
        <v>133</v>
      </c>
      <c r="B1618" t="s">
        <v>191</v>
      </c>
      <c r="C1618" t="s">
        <v>100</v>
      </c>
      <c r="D1618">
        <v>0</v>
      </c>
      <c r="E1618">
        <v>0</v>
      </c>
      <c r="F1618">
        <v>0</v>
      </c>
      <c r="G1618" s="10">
        <f t="shared" si="25"/>
        <v>0</v>
      </c>
      <c r="H1618" t="str">
        <f>$A1618&amp;Keys!$C$54&amp;$B1618&amp;Keys!$C$54&amp;$C1618</f>
        <v>ND|imports|heat (not used in this variable)</v>
      </c>
    </row>
    <row r="1619" spans="1:8" x14ac:dyDescent="0.25">
      <c r="A1619" t="s">
        <v>133</v>
      </c>
      <c r="B1619" t="s">
        <v>191</v>
      </c>
      <c r="C1619" t="s">
        <v>103</v>
      </c>
      <c r="D1619">
        <v>0</v>
      </c>
      <c r="E1619">
        <v>0</v>
      </c>
      <c r="F1619">
        <v>0</v>
      </c>
      <c r="G1619" s="10">
        <f t="shared" si="25"/>
        <v>0</v>
      </c>
      <c r="H1619" t="str">
        <f>$A1619&amp;Keys!$C$54&amp;$B1619&amp;Keys!$C$54&amp;$C1619</f>
        <v>ND|imports|geothermal (is not a fuel)</v>
      </c>
    </row>
    <row r="1620" spans="1:8" x14ac:dyDescent="0.25">
      <c r="A1620" t="s">
        <v>133</v>
      </c>
      <c r="B1620" t="s">
        <v>191</v>
      </c>
      <c r="C1620" t="s">
        <v>106</v>
      </c>
      <c r="D1620">
        <v>0</v>
      </c>
      <c r="E1620">
        <v>0</v>
      </c>
      <c r="F1620">
        <v>0</v>
      </c>
      <c r="G1620" s="10">
        <f t="shared" si="25"/>
        <v>0</v>
      </c>
      <c r="H1620" t="str">
        <f>$A1620&amp;Keys!$C$54&amp;$B1620&amp;Keys!$C$54&amp;$C1620</f>
        <v>ND|imports|lignite</v>
      </c>
    </row>
    <row r="1621" spans="1:8" x14ac:dyDescent="0.25">
      <c r="A1621" t="s">
        <v>133</v>
      </c>
      <c r="B1621" t="s">
        <v>191</v>
      </c>
      <c r="C1621" t="s">
        <v>109</v>
      </c>
      <c r="D1621">
        <v>0</v>
      </c>
      <c r="E1621">
        <v>0</v>
      </c>
      <c r="F1621">
        <v>0</v>
      </c>
      <c r="G1621" s="10">
        <f t="shared" si="25"/>
        <v>0</v>
      </c>
      <c r="H1621" t="str">
        <f>$A1621&amp;Keys!$C$54&amp;$B1621&amp;Keys!$C$54&amp;$C1621</f>
        <v>ND|imports|crude oil</v>
      </c>
    </row>
    <row r="1622" spans="1:8" x14ac:dyDescent="0.25">
      <c r="A1622" t="s">
        <v>133</v>
      </c>
      <c r="B1622" t="s">
        <v>191</v>
      </c>
      <c r="C1622" t="s">
        <v>113</v>
      </c>
      <c r="D1622">
        <v>0</v>
      </c>
      <c r="E1622">
        <v>1326960000000</v>
      </c>
      <c r="F1622">
        <v>1508720000000</v>
      </c>
      <c r="G1622" s="10">
        <f t="shared" si="25"/>
        <v>945226666666.66663</v>
      </c>
      <c r="H1622" t="str">
        <f>$A1622&amp;Keys!$C$54&amp;$B1622&amp;Keys!$C$54&amp;$C1622</f>
        <v>ND|imports|heavy fuel oil</v>
      </c>
    </row>
    <row r="1623" spans="1:8" x14ac:dyDescent="0.25">
      <c r="A1623" t="s">
        <v>133</v>
      </c>
      <c r="B1623" t="s">
        <v>191</v>
      </c>
      <c r="C1623" t="s">
        <v>117</v>
      </c>
      <c r="D1623">
        <v>0</v>
      </c>
      <c r="E1623">
        <v>0</v>
      </c>
      <c r="F1623">
        <v>0</v>
      </c>
      <c r="G1623" s="10">
        <f t="shared" si="25"/>
        <v>0</v>
      </c>
      <c r="H1623" t="str">
        <f>$A1623&amp;Keys!$C$54&amp;$B1623&amp;Keys!$C$54&amp;$C1623</f>
        <v>ND|imports|LPG propane or butane</v>
      </c>
    </row>
    <row r="1624" spans="1:8" x14ac:dyDescent="0.25">
      <c r="A1624" t="s">
        <v>133</v>
      </c>
      <c r="B1624" t="s">
        <v>191</v>
      </c>
      <c r="C1624" t="s">
        <v>120</v>
      </c>
      <c r="D1624">
        <v>0</v>
      </c>
      <c r="E1624">
        <v>0</v>
      </c>
      <c r="F1624">
        <v>0</v>
      </c>
      <c r="G1624" s="10">
        <f t="shared" si="25"/>
        <v>0</v>
      </c>
      <c r="H1624" t="str">
        <f>$A1624&amp;Keys!$C$54&amp;$B1624&amp;Keys!$C$54&amp;$C1624</f>
        <v>ND|imports|municipal solid waste</v>
      </c>
    </row>
    <row r="1625" spans="1:8" x14ac:dyDescent="0.25">
      <c r="A1625" t="s">
        <v>133</v>
      </c>
      <c r="B1625" t="s">
        <v>191</v>
      </c>
      <c r="C1625" t="s">
        <v>123</v>
      </c>
      <c r="D1625">
        <v>0</v>
      </c>
      <c r="E1625">
        <v>0</v>
      </c>
      <c r="F1625">
        <v>0</v>
      </c>
      <c r="G1625" s="10">
        <f t="shared" si="25"/>
        <v>0</v>
      </c>
      <c r="H1625" t="str">
        <f>$A1625&amp;Keys!$C$54&amp;$B1625&amp;Keys!$C$54&amp;$C1625</f>
        <v>ND|imports|hydrogen</v>
      </c>
    </row>
    <row r="1626" spans="1:8" x14ac:dyDescent="0.25">
      <c r="A1626" t="s">
        <v>133</v>
      </c>
      <c r="B1626" t="s">
        <v>193</v>
      </c>
      <c r="C1626" t="s">
        <v>60</v>
      </c>
      <c r="D1626">
        <v>0</v>
      </c>
      <c r="E1626">
        <v>0</v>
      </c>
      <c r="F1626">
        <v>0</v>
      </c>
      <c r="G1626" s="10">
        <f t="shared" si="25"/>
        <v>0</v>
      </c>
      <c r="H1626" t="str">
        <f>$A1626&amp;Keys!$C$54&amp;$B1626&amp;Keys!$C$54&amp;$C1626</f>
        <v>ND|exports|electricity (not used in this variable)</v>
      </c>
    </row>
    <row r="1627" spans="1:8" x14ac:dyDescent="0.25">
      <c r="A1627" t="s">
        <v>133</v>
      </c>
      <c r="B1627" t="s">
        <v>193</v>
      </c>
      <c r="C1627" t="s">
        <v>64</v>
      </c>
      <c r="D1627">
        <v>0</v>
      </c>
      <c r="E1627">
        <v>0</v>
      </c>
      <c r="F1627">
        <v>0</v>
      </c>
      <c r="G1627" s="10">
        <f t="shared" si="25"/>
        <v>0</v>
      </c>
      <c r="H1627" t="str">
        <f>$A1627&amp;Keys!$C$54&amp;$B1627&amp;Keys!$C$54&amp;$C1627</f>
        <v>ND|exports|hard coal</v>
      </c>
    </row>
    <row r="1628" spans="1:8" x14ac:dyDescent="0.25">
      <c r="A1628" t="s">
        <v>133</v>
      </c>
      <c r="B1628" t="s">
        <v>193</v>
      </c>
      <c r="C1628" t="s">
        <v>68</v>
      </c>
      <c r="D1628">
        <v>1454560000000000</v>
      </c>
      <c r="E1628">
        <v>1454560000000000</v>
      </c>
      <c r="F1628">
        <v>1347500000000000</v>
      </c>
      <c r="G1628" s="10">
        <f t="shared" si="25"/>
        <v>1418873333333333.3</v>
      </c>
      <c r="H1628" t="str">
        <f>$A1628&amp;Keys!$C$54&amp;$B1628&amp;Keys!$C$54&amp;$C1628</f>
        <v>ND|exports|natural gas</v>
      </c>
    </row>
    <row r="1629" spans="1:8" x14ac:dyDescent="0.25">
      <c r="A1629" t="s">
        <v>133</v>
      </c>
      <c r="B1629" t="s">
        <v>193</v>
      </c>
      <c r="C1629" t="s">
        <v>71</v>
      </c>
      <c r="D1629">
        <v>0</v>
      </c>
      <c r="E1629">
        <v>0</v>
      </c>
      <c r="F1629">
        <v>0</v>
      </c>
      <c r="G1629" s="10">
        <f t="shared" si="25"/>
        <v>0</v>
      </c>
      <c r="H1629" t="str">
        <f>$A1629&amp;Keys!$C$54&amp;$B1629&amp;Keys!$C$54&amp;$C1629</f>
        <v>ND|exports|nuclear</v>
      </c>
    </row>
    <row r="1630" spans="1:8" x14ac:dyDescent="0.25">
      <c r="A1630" t="s">
        <v>133</v>
      </c>
      <c r="B1630" t="s">
        <v>193</v>
      </c>
      <c r="C1630" t="s">
        <v>74</v>
      </c>
      <c r="D1630">
        <v>0</v>
      </c>
      <c r="E1630">
        <v>0</v>
      </c>
      <c r="F1630">
        <v>0</v>
      </c>
      <c r="G1630" s="10">
        <f t="shared" si="25"/>
        <v>0</v>
      </c>
      <c r="H1630" t="str">
        <f>$A1630&amp;Keys!$C$54&amp;$B1630&amp;Keys!$C$54&amp;$C1630</f>
        <v>ND|exports|hydro (is not a fuel)</v>
      </c>
    </row>
    <row r="1631" spans="1:8" x14ac:dyDescent="0.25">
      <c r="A1631" t="s">
        <v>133</v>
      </c>
      <c r="B1631" t="s">
        <v>193</v>
      </c>
      <c r="C1631" t="s">
        <v>77</v>
      </c>
      <c r="D1631">
        <v>0</v>
      </c>
      <c r="E1631">
        <v>0</v>
      </c>
      <c r="F1631">
        <v>0</v>
      </c>
      <c r="G1631" s="10">
        <f t="shared" si="25"/>
        <v>0</v>
      </c>
      <c r="H1631" t="str">
        <f>$A1631&amp;Keys!$C$54&amp;$B1631&amp;Keys!$C$54&amp;$C1631</f>
        <v>ND|exports|wind (is not a fuel)</v>
      </c>
    </row>
    <row r="1632" spans="1:8" x14ac:dyDescent="0.25">
      <c r="A1632" t="s">
        <v>133</v>
      </c>
      <c r="B1632" t="s">
        <v>193</v>
      </c>
      <c r="C1632" t="s">
        <v>80</v>
      </c>
      <c r="D1632">
        <v>0</v>
      </c>
      <c r="E1632">
        <v>0</v>
      </c>
      <c r="F1632">
        <v>0</v>
      </c>
      <c r="G1632" s="10">
        <f t="shared" si="25"/>
        <v>0</v>
      </c>
      <c r="H1632" t="str">
        <f>$A1632&amp;Keys!$C$54&amp;$B1632&amp;Keys!$C$54&amp;$C1632</f>
        <v>ND|exports|solar (is not a fuel)</v>
      </c>
    </row>
    <row r="1633" spans="1:8" x14ac:dyDescent="0.25">
      <c r="A1633" t="s">
        <v>133</v>
      </c>
      <c r="B1633" t="s">
        <v>193</v>
      </c>
      <c r="C1633" t="s">
        <v>82</v>
      </c>
      <c r="D1633">
        <v>0</v>
      </c>
      <c r="E1633">
        <v>0</v>
      </c>
      <c r="F1633">
        <v>0</v>
      </c>
      <c r="G1633" s="10">
        <f t="shared" si="25"/>
        <v>0</v>
      </c>
      <c r="H1633" t="str">
        <f>$A1633&amp;Keys!$C$54&amp;$B1633&amp;Keys!$C$54&amp;$C1633</f>
        <v>ND|exports|biomass</v>
      </c>
    </row>
    <row r="1634" spans="1:8" x14ac:dyDescent="0.25">
      <c r="A1634" t="s">
        <v>133</v>
      </c>
      <c r="B1634" t="s">
        <v>193</v>
      </c>
      <c r="C1634" t="s">
        <v>85</v>
      </c>
      <c r="D1634">
        <v>106189000000000</v>
      </c>
      <c r="E1634">
        <v>106189000000000</v>
      </c>
      <c r="F1634">
        <v>103615000000000</v>
      </c>
      <c r="G1634" s="10">
        <f t="shared" si="25"/>
        <v>105331000000000</v>
      </c>
      <c r="H1634" t="str">
        <f>$A1634&amp;Keys!$C$54&amp;$B1634&amp;Keys!$C$54&amp;$C1634</f>
        <v>ND|exports|petroleum gasoline</v>
      </c>
    </row>
    <row r="1635" spans="1:8" x14ac:dyDescent="0.25">
      <c r="A1635" t="s">
        <v>133</v>
      </c>
      <c r="B1635" t="s">
        <v>193</v>
      </c>
      <c r="C1635" t="s">
        <v>88</v>
      </c>
      <c r="D1635">
        <v>0</v>
      </c>
      <c r="E1635">
        <v>0</v>
      </c>
      <c r="F1635">
        <v>0</v>
      </c>
      <c r="G1635" s="10">
        <f t="shared" si="25"/>
        <v>0</v>
      </c>
      <c r="H1635" t="str">
        <f>$A1635&amp;Keys!$C$54&amp;$B1635&amp;Keys!$C$54&amp;$C1635</f>
        <v>ND|exports|petroleum diesel</v>
      </c>
    </row>
    <row r="1636" spans="1:8" x14ac:dyDescent="0.25">
      <c r="A1636" t="s">
        <v>133</v>
      </c>
      <c r="B1636" t="s">
        <v>193</v>
      </c>
      <c r="C1636" t="s">
        <v>91</v>
      </c>
      <c r="D1636">
        <v>40163200000000</v>
      </c>
      <c r="E1636">
        <v>44818300000000</v>
      </c>
      <c r="F1636">
        <v>44945900000000</v>
      </c>
      <c r="G1636" s="10">
        <f t="shared" si="25"/>
        <v>43309133333333.336</v>
      </c>
      <c r="H1636" t="str">
        <f>$A1636&amp;Keys!$C$54&amp;$B1636&amp;Keys!$C$54&amp;$C1636</f>
        <v>ND|exports|biofuel gasoline</v>
      </c>
    </row>
    <row r="1637" spans="1:8" x14ac:dyDescent="0.25">
      <c r="A1637" t="s">
        <v>133</v>
      </c>
      <c r="B1637" t="s">
        <v>193</v>
      </c>
      <c r="C1637" t="s">
        <v>94</v>
      </c>
      <c r="D1637">
        <v>20388700000000</v>
      </c>
      <c r="E1637">
        <v>25942200000000</v>
      </c>
      <c r="F1637">
        <v>31084000000000</v>
      </c>
      <c r="G1637" s="10">
        <f t="shared" si="25"/>
        <v>25804966666666.668</v>
      </c>
      <c r="H1637" t="str">
        <f>$A1637&amp;Keys!$C$54&amp;$B1637&amp;Keys!$C$54&amp;$C1637</f>
        <v>ND|exports|biofuel diesel</v>
      </c>
    </row>
    <row r="1638" spans="1:8" x14ac:dyDescent="0.25">
      <c r="A1638" t="s">
        <v>133</v>
      </c>
      <c r="B1638" t="s">
        <v>193</v>
      </c>
      <c r="C1638" t="s">
        <v>97</v>
      </c>
      <c r="D1638">
        <v>0</v>
      </c>
      <c r="E1638">
        <v>9543720000000</v>
      </c>
      <c r="F1638">
        <v>9094060000000</v>
      </c>
      <c r="G1638" s="10">
        <f t="shared" si="25"/>
        <v>6212593333333.333</v>
      </c>
      <c r="H1638" t="str">
        <f>$A1638&amp;Keys!$C$54&amp;$B1638&amp;Keys!$C$54&amp;$C1638</f>
        <v>ND|exports|jet fuel or kerosene</v>
      </c>
    </row>
    <row r="1639" spans="1:8" x14ac:dyDescent="0.25">
      <c r="A1639" t="s">
        <v>133</v>
      </c>
      <c r="B1639" t="s">
        <v>193</v>
      </c>
      <c r="C1639" t="s">
        <v>100</v>
      </c>
      <c r="D1639">
        <v>0</v>
      </c>
      <c r="E1639">
        <v>0</v>
      </c>
      <c r="F1639">
        <v>0</v>
      </c>
      <c r="G1639" s="10">
        <f t="shared" si="25"/>
        <v>0</v>
      </c>
      <c r="H1639" t="str">
        <f>$A1639&amp;Keys!$C$54&amp;$B1639&amp;Keys!$C$54&amp;$C1639</f>
        <v>ND|exports|heat (not used in this variable)</v>
      </c>
    </row>
    <row r="1640" spans="1:8" x14ac:dyDescent="0.25">
      <c r="A1640" t="s">
        <v>133</v>
      </c>
      <c r="B1640" t="s">
        <v>193</v>
      </c>
      <c r="C1640" t="s">
        <v>103</v>
      </c>
      <c r="D1640">
        <v>0</v>
      </c>
      <c r="E1640">
        <v>0</v>
      </c>
      <c r="F1640">
        <v>0</v>
      </c>
      <c r="G1640" s="10">
        <f t="shared" si="25"/>
        <v>0</v>
      </c>
      <c r="H1640" t="str">
        <f>$A1640&amp;Keys!$C$54&amp;$B1640&amp;Keys!$C$54&amp;$C1640</f>
        <v>ND|exports|geothermal (is not a fuel)</v>
      </c>
    </row>
    <row r="1641" spans="1:8" x14ac:dyDescent="0.25">
      <c r="A1641" t="s">
        <v>133</v>
      </c>
      <c r="B1641" t="s">
        <v>193</v>
      </c>
      <c r="C1641" t="s">
        <v>106</v>
      </c>
      <c r="D1641">
        <v>0</v>
      </c>
      <c r="E1641">
        <v>178752000000000</v>
      </c>
      <c r="F1641">
        <v>152000000000000</v>
      </c>
      <c r="G1641" s="10">
        <f t="shared" si="25"/>
        <v>110250666666666.67</v>
      </c>
      <c r="H1641" t="str">
        <f>$A1641&amp;Keys!$C$54&amp;$B1641&amp;Keys!$C$54&amp;$C1641</f>
        <v>ND|exports|lignite</v>
      </c>
    </row>
    <row r="1642" spans="1:8" x14ac:dyDescent="0.25">
      <c r="A1642" t="s">
        <v>133</v>
      </c>
      <c r="B1642" t="s">
        <v>193</v>
      </c>
      <c r="C1642" t="s">
        <v>109</v>
      </c>
      <c r="D1642">
        <v>252331000000000</v>
      </c>
      <c r="E1642">
        <v>2390300000000000</v>
      </c>
      <c r="F1642">
        <v>2304700000000000</v>
      </c>
      <c r="G1642" s="10">
        <f t="shared" si="25"/>
        <v>1649110333333333.3</v>
      </c>
      <c r="H1642" t="str">
        <f>$A1642&amp;Keys!$C$54&amp;$B1642&amp;Keys!$C$54&amp;$C1642</f>
        <v>ND|exports|crude oil</v>
      </c>
    </row>
    <row r="1643" spans="1:8" x14ac:dyDescent="0.25">
      <c r="A1643" t="s">
        <v>133</v>
      </c>
      <c r="B1643" t="s">
        <v>193</v>
      </c>
      <c r="C1643" t="s">
        <v>113</v>
      </c>
      <c r="D1643">
        <v>0</v>
      </c>
      <c r="E1643">
        <v>0</v>
      </c>
      <c r="F1643">
        <v>0</v>
      </c>
      <c r="G1643" s="10">
        <f t="shared" si="25"/>
        <v>0</v>
      </c>
      <c r="H1643" t="str">
        <f>$A1643&amp;Keys!$C$54&amp;$B1643&amp;Keys!$C$54&amp;$C1643</f>
        <v>ND|exports|heavy fuel oil</v>
      </c>
    </row>
    <row r="1644" spans="1:8" x14ac:dyDescent="0.25">
      <c r="A1644" t="s">
        <v>133</v>
      </c>
      <c r="B1644" t="s">
        <v>193</v>
      </c>
      <c r="C1644" t="s">
        <v>117</v>
      </c>
      <c r="D1644">
        <v>0</v>
      </c>
      <c r="E1644">
        <v>110225000000000</v>
      </c>
      <c r="F1644">
        <v>112724000000000</v>
      </c>
      <c r="G1644" s="10">
        <f t="shared" si="25"/>
        <v>74316333333333.328</v>
      </c>
      <c r="H1644" t="str">
        <f>$A1644&amp;Keys!$C$54&amp;$B1644&amp;Keys!$C$54&amp;$C1644</f>
        <v>ND|exports|LPG propane or butane</v>
      </c>
    </row>
    <row r="1645" spans="1:8" x14ac:dyDescent="0.25">
      <c r="A1645" t="s">
        <v>133</v>
      </c>
      <c r="B1645" t="s">
        <v>193</v>
      </c>
      <c r="C1645" t="s">
        <v>120</v>
      </c>
      <c r="D1645">
        <v>0</v>
      </c>
      <c r="E1645">
        <v>0</v>
      </c>
      <c r="F1645">
        <v>0</v>
      </c>
      <c r="G1645" s="10">
        <f t="shared" si="25"/>
        <v>0</v>
      </c>
      <c r="H1645" t="str">
        <f>$A1645&amp;Keys!$C$54&amp;$B1645&amp;Keys!$C$54&amp;$C1645</f>
        <v>ND|exports|municipal solid waste</v>
      </c>
    </row>
    <row r="1646" spans="1:8" x14ac:dyDescent="0.25">
      <c r="A1646" t="s">
        <v>133</v>
      </c>
      <c r="B1646" t="s">
        <v>193</v>
      </c>
      <c r="C1646" t="s">
        <v>123</v>
      </c>
      <c r="D1646">
        <v>0</v>
      </c>
      <c r="E1646">
        <v>0</v>
      </c>
      <c r="F1646">
        <v>0</v>
      </c>
      <c r="G1646" s="10">
        <f t="shared" si="25"/>
        <v>0</v>
      </c>
      <c r="H1646" t="str">
        <f>$A1646&amp;Keys!$C$54&amp;$B1646&amp;Keys!$C$54&amp;$C1646</f>
        <v>ND|exports|hydrogen</v>
      </c>
    </row>
    <row r="1647" spans="1:8" x14ac:dyDescent="0.25">
      <c r="A1647" t="s">
        <v>135</v>
      </c>
      <c r="B1647" t="s">
        <v>188</v>
      </c>
      <c r="C1647" t="s">
        <v>60</v>
      </c>
      <c r="D1647">
        <v>0</v>
      </c>
      <c r="E1647">
        <v>0</v>
      </c>
      <c r="F1647">
        <v>0</v>
      </c>
      <c r="G1647" s="10">
        <f t="shared" si="25"/>
        <v>0</v>
      </c>
      <c r="H1647" t="str">
        <f>$A1647&amp;Keys!$C$54&amp;$B1647&amp;Keys!$C$54&amp;$C1647</f>
        <v>NE|production|electricity (not used in this variable)</v>
      </c>
    </row>
    <row r="1648" spans="1:8" x14ac:dyDescent="0.25">
      <c r="A1648" t="s">
        <v>135</v>
      </c>
      <c r="B1648" t="s">
        <v>188</v>
      </c>
      <c r="C1648" t="s">
        <v>64</v>
      </c>
      <c r="D1648">
        <v>0</v>
      </c>
      <c r="E1648">
        <v>0</v>
      </c>
      <c r="F1648">
        <v>0</v>
      </c>
      <c r="G1648" s="10">
        <f t="shared" si="25"/>
        <v>0</v>
      </c>
      <c r="H1648" t="str">
        <f>$A1648&amp;Keys!$C$54&amp;$B1648&amp;Keys!$C$54&amp;$C1648</f>
        <v>NE|production|hard coal</v>
      </c>
    </row>
    <row r="1649" spans="1:8" x14ac:dyDescent="0.25">
      <c r="A1649" t="s">
        <v>135</v>
      </c>
      <c r="B1649" t="s">
        <v>188</v>
      </c>
      <c r="C1649" t="s">
        <v>68</v>
      </c>
      <c r="D1649">
        <v>270657000000</v>
      </c>
      <c r="E1649">
        <v>270657000000</v>
      </c>
      <c r="F1649">
        <v>245397000000</v>
      </c>
      <c r="G1649" s="10">
        <f t="shared" si="25"/>
        <v>262237000000</v>
      </c>
      <c r="H1649" t="str">
        <f>$A1649&amp;Keys!$C$54&amp;$B1649&amp;Keys!$C$54&amp;$C1649</f>
        <v>NE|production|natural gas</v>
      </c>
    </row>
    <row r="1650" spans="1:8" x14ac:dyDescent="0.25">
      <c r="A1650" t="s">
        <v>135</v>
      </c>
      <c r="B1650" t="s">
        <v>188</v>
      </c>
      <c r="C1650" t="s">
        <v>71</v>
      </c>
      <c r="D1650">
        <v>0</v>
      </c>
      <c r="E1650">
        <v>0</v>
      </c>
      <c r="F1650">
        <v>0</v>
      </c>
      <c r="G1650" s="10">
        <f t="shared" si="25"/>
        <v>0</v>
      </c>
      <c r="H1650" t="str">
        <f>$A1650&amp;Keys!$C$54&amp;$B1650&amp;Keys!$C$54&amp;$C1650</f>
        <v>NE|production|nuclear</v>
      </c>
    </row>
    <row r="1651" spans="1:8" x14ac:dyDescent="0.25">
      <c r="A1651" t="s">
        <v>135</v>
      </c>
      <c r="B1651" t="s">
        <v>188</v>
      </c>
      <c r="C1651" t="s">
        <v>74</v>
      </c>
      <c r="D1651">
        <v>0</v>
      </c>
      <c r="E1651">
        <v>0</v>
      </c>
      <c r="F1651">
        <v>0</v>
      </c>
      <c r="G1651" s="10">
        <f t="shared" si="25"/>
        <v>0</v>
      </c>
      <c r="H1651" t="str">
        <f>$A1651&amp;Keys!$C$54&amp;$B1651&amp;Keys!$C$54&amp;$C1651</f>
        <v>NE|production|hydro (is not a fuel)</v>
      </c>
    </row>
    <row r="1652" spans="1:8" x14ac:dyDescent="0.25">
      <c r="A1652" t="s">
        <v>135</v>
      </c>
      <c r="B1652" t="s">
        <v>188</v>
      </c>
      <c r="C1652" t="s">
        <v>77</v>
      </c>
      <c r="D1652">
        <v>0</v>
      </c>
      <c r="E1652">
        <v>0</v>
      </c>
      <c r="F1652">
        <v>0</v>
      </c>
      <c r="G1652" s="10">
        <f t="shared" si="25"/>
        <v>0</v>
      </c>
      <c r="H1652" t="str">
        <f>$A1652&amp;Keys!$C$54&amp;$B1652&amp;Keys!$C$54&amp;$C1652</f>
        <v>NE|production|wind (is not a fuel)</v>
      </c>
    </row>
    <row r="1653" spans="1:8" x14ac:dyDescent="0.25">
      <c r="A1653" t="s">
        <v>135</v>
      </c>
      <c r="B1653" t="s">
        <v>188</v>
      </c>
      <c r="C1653" t="s">
        <v>80</v>
      </c>
      <c r="D1653">
        <v>0</v>
      </c>
      <c r="E1653">
        <v>0</v>
      </c>
      <c r="F1653">
        <v>0</v>
      </c>
      <c r="G1653" s="10">
        <f t="shared" si="25"/>
        <v>0</v>
      </c>
      <c r="H1653" t="str">
        <f>$A1653&amp;Keys!$C$54&amp;$B1653&amp;Keys!$C$54&amp;$C1653</f>
        <v>NE|production|solar (is not a fuel)</v>
      </c>
    </row>
    <row r="1654" spans="1:8" x14ac:dyDescent="0.25">
      <c r="A1654" t="s">
        <v>135</v>
      </c>
      <c r="B1654" t="s">
        <v>188</v>
      </c>
      <c r="C1654" t="s">
        <v>82</v>
      </c>
      <c r="D1654">
        <v>0</v>
      </c>
      <c r="E1654">
        <v>0</v>
      </c>
      <c r="F1654">
        <v>0</v>
      </c>
      <c r="G1654" s="10">
        <f t="shared" si="25"/>
        <v>0</v>
      </c>
      <c r="H1654" t="str">
        <f>$A1654&amp;Keys!$C$54&amp;$B1654&amp;Keys!$C$54&amp;$C1654</f>
        <v>NE|production|biomass</v>
      </c>
    </row>
    <row r="1655" spans="1:8" x14ac:dyDescent="0.25">
      <c r="A1655" t="s">
        <v>135</v>
      </c>
      <c r="B1655" t="s">
        <v>188</v>
      </c>
      <c r="C1655" t="s">
        <v>85</v>
      </c>
      <c r="D1655">
        <v>0</v>
      </c>
      <c r="E1655">
        <v>0</v>
      </c>
      <c r="F1655">
        <v>0</v>
      </c>
      <c r="G1655" s="10">
        <f t="shared" si="25"/>
        <v>0</v>
      </c>
      <c r="H1655" t="str">
        <f>$A1655&amp;Keys!$C$54&amp;$B1655&amp;Keys!$C$54&amp;$C1655</f>
        <v>NE|production|petroleum gasoline</v>
      </c>
    </row>
    <row r="1656" spans="1:8" x14ac:dyDescent="0.25">
      <c r="A1656" t="s">
        <v>135</v>
      </c>
      <c r="B1656" t="s">
        <v>188</v>
      </c>
      <c r="C1656" t="s">
        <v>88</v>
      </c>
      <c r="D1656">
        <v>0</v>
      </c>
      <c r="E1656">
        <v>0</v>
      </c>
      <c r="F1656">
        <v>0</v>
      </c>
      <c r="G1656" s="10">
        <f t="shared" si="25"/>
        <v>0</v>
      </c>
      <c r="H1656" t="str">
        <f>$A1656&amp;Keys!$C$54&amp;$B1656&amp;Keys!$C$54&amp;$C1656</f>
        <v>NE|production|petroleum diesel</v>
      </c>
    </row>
    <row r="1657" spans="1:8" x14ac:dyDescent="0.25">
      <c r="A1657" t="s">
        <v>135</v>
      </c>
      <c r="B1657" t="s">
        <v>188</v>
      </c>
      <c r="C1657" t="s">
        <v>91</v>
      </c>
      <c r="D1657">
        <v>174403000000000</v>
      </c>
      <c r="E1657">
        <v>174403000000000</v>
      </c>
      <c r="F1657">
        <v>174894000000000</v>
      </c>
      <c r="G1657" s="10">
        <f t="shared" si="25"/>
        <v>174566666666666.66</v>
      </c>
      <c r="H1657" t="str">
        <f>$A1657&amp;Keys!$C$54&amp;$B1657&amp;Keys!$C$54&amp;$C1657</f>
        <v>NE|production|biofuel gasoline</v>
      </c>
    </row>
    <row r="1658" spans="1:8" x14ac:dyDescent="0.25">
      <c r="A1658" t="s">
        <v>135</v>
      </c>
      <c r="B1658" t="s">
        <v>188</v>
      </c>
      <c r="C1658" t="s">
        <v>94</v>
      </c>
      <c r="D1658">
        <v>0</v>
      </c>
      <c r="E1658">
        <v>0</v>
      </c>
      <c r="F1658">
        <v>0</v>
      </c>
      <c r="G1658" s="10">
        <f t="shared" si="25"/>
        <v>0</v>
      </c>
      <c r="H1658" t="str">
        <f>$A1658&amp;Keys!$C$54&amp;$B1658&amp;Keys!$C$54&amp;$C1658</f>
        <v>NE|production|biofuel diesel</v>
      </c>
    </row>
    <row r="1659" spans="1:8" x14ac:dyDescent="0.25">
      <c r="A1659" t="s">
        <v>135</v>
      </c>
      <c r="B1659" t="s">
        <v>188</v>
      </c>
      <c r="C1659" t="s">
        <v>97</v>
      </c>
      <c r="D1659">
        <v>0</v>
      </c>
      <c r="E1659">
        <v>0</v>
      </c>
      <c r="F1659">
        <v>0</v>
      </c>
      <c r="G1659" s="10">
        <f t="shared" si="25"/>
        <v>0</v>
      </c>
      <c r="H1659" t="str">
        <f>$A1659&amp;Keys!$C$54&amp;$B1659&amp;Keys!$C$54&amp;$C1659</f>
        <v>NE|production|jet fuel or kerosene</v>
      </c>
    </row>
    <row r="1660" spans="1:8" x14ac:dyDescent="0.25">
      <c r="A1660" t="s">
        <v>135</v>
      </c>
      <c r="B1660" t="s">
        <v>188</v>
      </c>
      <c r="C1660" t="s">
        <v>100</v>
      </c>
      <c r="D1660">
        <v>0</v>
      </c>
      <c r="E1660">
        <v>0</v>
      </c>
      <c r="F1660">
        <v>0</v>
      </c>
      <c r="G1660" s="10">
        <f t="shared" si="25"/>
        <v>0</v>
      </c>
      <c r="H1660" t="str">
        <f>$A1660&amp;Keys!$C$54&amp;$B1660&amp;Keys!$C$54&amp;$C1660</f>
        <v>NE|production|heat (not used in this variable)</v>
      </c>
    </row>
    <row r="1661" spans="1:8" x14ac:dyDescent="0.25">
      <c r="A1661" t="s">
        <v>135</v>
      </c>
      <c r="B1661" t="s">
        <v>188</v>
      </c>
      <c r="C1661" t="s">
        <v>103</v>
      </c>
      <c r="D1661">
        <v>0</v>
      </c>
      <c r="E1661">
        <v>0</v>
      </c>
      <c r="F1661">
        <v>0</v>
      </c>
      <c r="G1661" s="10">
        <f t="shared" si="25"/>
        <v>0</v>
      </c>
      <c r="H1661" t="str">
        <f>$A1661&amp;Keys!$C$54&amp;$B1661&amp;Keys!$C$54&amp;$C1661</f>
        <v>NE|production|geothermal (is not a fuel)</v>
      </c>
    </row>
    <row r="1662" spans="1:8" x14ac:dyDescent="0.25">
      <c r="A1662" t="s">
        <v>135</v>
      </c>
      <c r="B1662" t="s">
        <v>188</v>
      </c>
      <c r="C1662" t="s">
        <v>106</v>
      </c>
      <c r="D1662">
        <v>0</v>
      </c>
      <c r="E1662">
        <v>0</v>
      </c>
      <c r="F1662">
        <v>0</v>
      </c>
      <c r="G1662" s="10">
        <f t="shared" si="25"/>
        <v>0</v>
      </c>
      <c r="H1662" t="str">
        <f>$A1662&amp;Keys!$C$54&amp;$B1662&amp;Keys!$C$54&amp;$C1662</f>
        <v>NE|production|lignite</v>
      </c>
    </row>
    <row r="1663" spans="1:8" x14ac:dyDescent="0.25">
      <c r="A1663" t="s">
        <v>135</v>
      </c>
      <c r="B1663" t="s">
        <v>188</v>
      </c>
      <c r="C1663" t="s">
        <v>109</v>
      </c>
      <c r="D1663">
        <v>7464600000000</v>
      </c>
      <c r="E1663">
        <v>7464600000000</v>
      </c>
      <c r="F1663">
        <v>7235780000000</v>
      </c>
      <c r="G1663" s="10">
        <f t="shared" si="25"/>
        <v>7388326666666.667</v>
      </c>
      <c r="H1663" t="str">
        <f>$A1663&amp;Keys!$C$54&amp;$B1663&amp;Keys!$C$54&amp;$C1663</f>
        <v>NE|production|crude oil</v>
      </c>
    </row>
    <row r="1664" spans="1:8" x14ac:dyDescent="0.25">
      <c r="A1664" t="s">
        <v>135</v>
      </c>
      <c r="B1664" t="s">
        <v>188</v>
      </c>
      <c r="C1664" t="s">
        <v>113</v>
      </c>
      <c r="D1664">
        <v>0</v>
      </c>
      <c r="E1664">
        <v>0</v>
      </c>
      <c r="F1664">
        <v>0</v>
      </c>
      <c r="G1664" s="10">
        <f t="shared" si="25"/>
        <v>0</v>
      </c>
      <c r="H1664" t="str">
        <f>$A1664&amp;Keys!$C$54&amp;$B1664&amp;Keys!$C$54&amp;$C1664</f>
        <v>NE|production|heavy fuel oil</v>
      </c>
    </row>
    <row r="1665" spans="1:8" x14ac:dyDescent="0.25">
      <c r="A1665" t="s">
        <v>135</v>
      </c>
      <c r="B1665" t="s">
        <v>188</v>
      </c>
      <c r="C1665" t="s">
        <v>117</v>
      </c>
      <c r="D1665">
        <v>33087700000</v>
      </c>
      <c r="E1665">
        <v>33087700000</v>
      </c>
      <c r="F1665">
        <v>33790300000</v>
      </c>
      <c r="G1665" s="10">
        <f t="shared" si="25"/>
        <v>33321900000</v>
      </c>
      <c r="H1665" t="str">
        <f>$A1665&amp;Keys!$C$54&amp;$B1665&amp;Keys!$C$54&amp;$C1665</f>
        <v>NE|production|LPG propane or butane</v>
      </c>
    </row>
    <row r="1666" spans="1:8" x14ac:dyDescent="0.25">
      <c r="A1666" t="s">
        <v>135</v>
      </c>
      <c r="B1666" t="s">
        <v>188</v>
      </c>
      <c r="C1666" t="s">
        <v>120</v>
      </c>
      <c r="D1666">
        <v>0</v>
      </c>
      <c r="E1666">
        <v>0</v>
      </c>
      <c r="F1666">
        <v>0</v>
      </c>
      <c r="G1666" s="10">
        <f t="shared" si="25"/>
        <v>0</v>
      </c>
      <c r="H1666" t="str">
        <f>$A1666&amp;Keys!$C$54&amp;$B1666&amp;Keys!$C$54&amp;$C1666</f>
        <v>NE|production|municipal solid waste</v>
      </c>
    </row>
    <row r="1667" spans="1:8" x14ac:dyDescent="0.25">
      <c r="A1667" t="s">
        <v>135</v>
      </c>
      <c r="B1667" t="s">
        <v>188</v>
      </c>
      <c r="C1667" t="s">
        <v>123</v>
      </c>
      <c r="D1667">
        <v>0</v>
      </c>
      <c r="E1667">
        <v>0</v>
      </c>
      <c r="F1667">
        <v>0</v>
      </c>
      <c r="G1667" s="10">
        <f t="shared" si="25"/>
        <v>0</v>
      </c>
      <c r="H1667" t="str">
        <f>$A1667&amp;Keys!$C$54&amp;$B1667&amp;Keys!$C$54&amp;$C1667</f>
        <v>NE|production|hydrogen</v>
      </c>
    </row>
    <row r="1668" spans="1:8" x14ac:dyDescent="0.25">
      <c r="A1668" t="s">
        <v>135</v>
      </c>
      <c r="B1668" t="s">
        <v>191</v>
      </c>
      <c r="C1668" t="s">
        <v>60</v>
      </c>
      <c r="D1668">
        <v>0</v>
      </c>
      <c r="E1668">
        <v>0</v>
      </c>
      <c r="F1668">
        <v>0</v>
      </c>
      <c r="G1668" s="10">
        <f t="shared" si="25"/>
        <v>0</v>
      </c>
      <c r="H1668" t="str">
        <f>$A1668&amp;Keys!$C$54&amp;$B1668&amp;Keys!$C$54&amp;$C1668</f>
        <v>NE|imports|electricity (not used in this variable)</v>
      </c>
    </row>
    <row r="1669" spans="1:8" x14ac:dyDescent="0.25">
      <c r="A1669" t="s">
        <v>135</v>
      </c>
      <c r="B1669" t="s">
        <v>191</v>
      </c>
      <c r="C1669" t="s">
        <v>64</v>
      </c>
      <c r="D1669">
        <v>200736000000000</v>
      </c>
      <c r="E1669">
        <v>180402000000000</v>
      </c>
      <c r="F1669">
        <v>197292000000000</v>
      </c>
      <c r="G1669" s="10">
        <f t="shared" si="25"/>
        <v>192810000000000</v>
      </c>
      <c r="H1669" t="str">
        <f>$A1669&amp;Keys!$C$54&amp;$B1669&amp;Keys!$C$54&amp;$C1669</f>
        <v>NE|imports|hard coal</v>
      </c>
    </row>
    <row r="1670" spans="1:8" x14ac:dyDescent="0.25">
      <c r="A1670" t="s">
        <v>135</v>
      </c>
      <c r="B1670" t="s">
        <v>191</v>
      </c>
      <c r="C1670" t="s">
        <v>68</v>
      </c>
      <c r="D1670">
        <v>1507050000000000</v>
      </c>
      <c r="E1670">
        <v>1601520000000000</v>
      </c>
      <c r="F1670">
        <v>1466200000000000</v>
      </c>
      <c r="G1670" s="10">
        <f t="shared" si="25"/>
        <v>1524923333333333.3</v>
      </c>
      <c r="H1670" t="str">
        <f>$A1670&amp;Keys!$C$54&amp;$B1670&amp;Keys!$C$54&amp;$C1670</f>
        <v>NE|imports|natural gas</v>
      </c>
    </row>
    <row r="1671" spans="1:8" x14ac:dyDescent="0.25">
      <c r="A1671" t="s">
        <v>135</v>
      </c>
      <c r="B1671" t="s">
        <v>191</v>
      </c>
      <c r="C1671" t="s">
        <v>71</v>
      </c>
      <c r="D1671">
        <v>63658000000000</v>
      </c>
      <c r="E1671">
        <v>72262800000000</v>
      </c>
      <c r="F1671">
        <v>67772500000000</v>
      </c>
      <c r="G1671" s="10">
        <f t="shared" si="25"/>
        <v>67897766666666.664</v>
      </c>
      <c r="H1671" t="str">
        <f>$A1671&amp;Keys!$C$54&amp;$B1671&amp;Keys!$C$54&amp;$C1671</f>
        <v>NE|imports|nuclear</v>
      </c>
    </row>
    <row r="1672" spans="1:8" x14ac:dyDescent="0.25">
      <c r="A1672" t="s">
        <v>135</v>
      </c>
      <c r="B1672" t="s">
        <v>191</v>
      </c>
      <c r="C1672" t="s">
        <v>74</v>
      </c>
      <c r="D1672">
        <v>0</v>
      </c>
      <c r="E1672">
        <v>0</v>
      </c>
      <c r="F1672">
        <v>0</v>
      </c>
      <c r="G1672" s="10">
        <f t="shared" si="25"/>
        <v>0</v>
      </c>
      <c r="H1672" t="str">
        <f>$A1672&amp;Keys!$C$54&amp;$B1672&amp;Keys!$C$54&amp;$C1672</f>
        <v>NE|imports|hydro (is not a fuel)</v>
      </c>
    </row>
    <row r="1673" spans="1:8" x14ac:dyDescent="0.25">
      <c r="A1673" t="s">
        <v>135</v>
      </c>
      <c r="B1673" t="s">
        <v>191</v>
      </c>
      <c r="C1673" t="s">
        <v>77</v>
      </c>
      <c r="D1673">
        <v>0</v>
      </c>
      <c r="E1673">
        <v>0</v>
      </c>
      <c r="F1673">
        <v>0</v>
      </c>
      <c r="G1673" s="10">
        <f t="shared" ref="G1673:G1736" si="26">AVERAGE($D1673:$F1673)</f>
        <v>0</v>
      </c>
      <c r="H1673" t="str">
        <f>$A1673&amp;Keys!$C$54&amp;$B1673&amp;Keys!$C$54&amp;$C1673</f>
        <v>NE|imports|wind (is not a fuel)</v>
      </c>
    </row>
    <row r="1674" spans="1:8" x14ac:dyDescent="0.25">
      <c r="A1674" t="s">
        <v>135</v>
      </c>
      <c r="B1674" t="s">
        <v>191</v>
      </c>
      <c r="C1674" t="s">
        <v>80</v>
      </c>
      <c r="D1674">
        <v>0</v>
      </c>
      <c r="E1674">
        <v>0</v>
      </c>
      <c r="F1674">
        <v>0</v>
      </c>
      <c r="G1674" s="10">
        <f t="shared" si="26"/>
        <v>0</v>
      </c>
      <c r="H1674" t="str">
        <f>$A1674&amp;Keys!$C$54&amp;$B1674&amp;Keys!$C$54&amp;$C1674</f>
        <v>NE|imports|solar (is not a fuel)</v>
      </c>
    </row>
    <row r="1675" spans="1:8" x14ac:dyDescent="0.25">
      <c r="A1675" t="s">
        <v>135</v>
      </c>
      <c r="B1675" t="s">
        <v>191</v>
      </c>
      <c r="C1675" t="s">
        <v>82</v>
      </c>
      <c r="D1675">
        <v>0</v>
      </c>
      <c r="E1675">
        <v>4010250000000</v>
      </c>
      <c r="F1675">
        <v>3563770000000</v>
      </c>
      <c r="G1675" s="10">
        <f t="shared" si="26"/>
        <v>2524673333333.3335</v>
      </c>
      <c r="H1675" t="str">
        <f>$A1675&amp;Keys!$C$54&amp;$B1675&amp;Keys!$C$54&amp;$C1675</f>
        <v>NE|imports|biomass</v>
      </c>
    </row>
    <row r="1676" spans="1:8" x14ac:dyDescent="0.25">
      <c r="A1676" t="s">
        <v>135</v>
      </c>
      <c r="B1676" t="s">
        <v>191</v>
      </c>
      <c r="C1676" t="s">
        <v>85</v>
      </c>
      <c r="D1676">
        <v>0</v>
      </c>
      <c r="E1676">
        <v>92270800000000</v>
      </c>
      <c r="F1676">
        <v>91266700000000</v>
      </c>
      <c r="G1676" s="10">
        <f t="shared" si="26"/>
        <v>61179166666666.664</v>
      </c>
      <c r="H1676" t="str">
        <f>$A1676&amp;Keys!$C$54&amp;$B1676&amp;Keys!$C$54&amp;$C1676</f>
        <v>NE|imports|petroleum gasoline</v>
      </c>
    </row>
    <row r="1677" spans="1:8" x14ac:dyDescent="0.25">
      <c r="A1677" t="s">
        <v>135</v>
      </c>
      <c r="B1677" t="s">
        <v>191</v>
      </c>
      <c r="C1677" t="s">
        <v>88</v>
      </c>
      <c r="D1677">
        <v>0</v>
      </c>
      <c r="E1677">
        <v>107597000000000</v>
      </c>
      <c r="F1677">
        <v>108069000000000</v>
      </c>
      <c r="G1677" s="10">
        <f t="shared" si="26"/>
        <v>71888666666666.672</v>
      </c>
      <c r="H1677" t="str">
        <f>$A1677&amp;Keys!$C$54&amp;$B1677&amp;Keys!$C$54&amp;$C1677</f>
        <v>NE|imports|petroleum diesel</v>
      </c>
    </row>
    <row r="1678" spans="1:8" x14ac:dyDescent="0.25">
      <c r="A1678" t="s">
        <v>135</v>
      </c>
      <c r="B1678" t="s">
        <v>191</v>
      </c>
      <c r="C1678" t="s">
        <v>91</v>
      </c>
      <c r="D1678">
        <v>0</v>
      </c>
      <c r="E1678">
        <v>0</v>
      </c>
      <c r="F1678">
        <v>0</v>
      </c>
      <c r="G1678" s="10">
        <f t="shared" si="26"/>
        <v>0</v>
      </c>
      <c r="H1678" t="str">
        <f>$A1678&amp;Keys!$C$54&amp;$B1678&amp;Keys!$C$54&amp;$C1678</f>
        <v>NE|imports|biofuel gasoline</v>
      </c>
    </row>
    <row r="1679" spans="1:8" x14ac:dyDescent="0.25">
      <c r="A1679" t="s">
        <v>135</v>
      </c>
      <c r="B1679" t="s">
        <v>191</v>
      </c>
      <c r="C1679" t="s">
        <v>94</v>
      </c>
      <c r="D1679">
        <v>0</v>
      </c>
      <c r="E1679">
        <v>1967180000000</v>
      </c>
      <c r="F1679">
        <v>1983730000000</v>
      </c>
      <c r="G1679" s="10">
        <f t="shared" si="26"/>
        <v>1316970000000</v>
      </c>
      <c r="H1679" t="str">
        <f>$A1679&amp;Keys!$C$54&amp;$B1679&amp;Keys!$C$54&amp;$C1679</f>
        <v>NE|imports|biofuel diesel</v>
      </c>
    </row>
    <row r="1680" spans="1:8" x14ac:dyDescent="0.25">
      <c r="A1680" t="s">
        <v>135</v>
      </c>
      <c r="B1680" t="s">
        <v>191</v>
      </c>
      <c r="C1680" t="s">
        <v>97</v>
      </c>
      <c r="D1680">
        <v>0</v>
      </c>
      <c r="E1680">
        <v>6048110000000</v>
      </c>
      <c r="F1680">
        <v>6135400000000</v>
      </c>
      <c r="G1680" s="10">
        <f t="shared" si="26"/>
        <v>4061170000000</v>
      </c>
      <c r="H1680" t="str">
        <f>$A1680&amp;Keys!$C$54&amp;$B1680&amp;Keys!$C$54&amp;$C1680</f>
        <v>NE|imports|jet fuel or kerosene</v>
      </c>
    </row>
    <row r="1681" spans="1:8" x14ac:dyDescent="0.25">
      <c r="A1681" t="s">
        <v>135</v>
      </c>
      <c r="B1681" t="s">
        <v>191</v>
      </c>
      <c r="C1681" t="s">
        <v>100</v>
      </c>
      <c r="D1681">
        <v>0</v>
      </c>
      <c r="E1681">
        <v>0</v>
      </c>
      <c r="F1681">
        <v>0</v>
      </c>
      <c r="G1681" s="10">
        <f t="shared" si="26"/>
        <v>0</v>
      </c>
      <c r="H1681" t="str">
        <f>$A1681&amp;Keys!$C$54&amp;$B1681&amp;Keys!$C$54&amp;$C1681</f>
        <v>NE|imports|heat (not used in this variable)</v>
      </c>
    </row>
    <row r="1682" spans="1:8" x14ac:dyDescent="0.25">
      <c r="A1682" t="s">
        <v>135</v>
      </c>
      <c r="B1682" t="s">
        <v>191</v>
      </c>
      <c r="C1682" t="s">
        <v>103</v>
      </c>
      <c r="D1682">
        <v>0</v>
      </c>
      <c r="E1682">
        <v>0</v>
      </c>
      <c r="F1682">
        <v>0</v>
      </c>
      <c r="G1682" s="10">
        <f t="shared" si="26"/>
        <v>0</v>
      </c>
      <c r="H1682" t="str">
        <f>$A1682&amp;Keys!$C$54&amp;$B1682&amp;Keys!$C$54&amp;$C1682</f>
        <v>NE|imports|geothermal (is not a fuel)</v>
      </c>
    </row>
    <row r="1683" spans="1:8" x14ac:dyDescent="0.25">
      <c r="A1683" t="s">
        <v>135</v>
      </c>
      <c r="B1683" t="s">
        <v>191</v>
      </c>
      <c r="C1683" t="s">
        <v>106</v>
      </c>
      <c r="D1683">
        <v>0</v>
      </c>
      <c r="E1683">
        <v>0</v>
      </c>
      <c r="F1683">
        <v>0</v>
      </c>
      <c r="G1683" s="10">
        <f t="shared" si="26"/>
        <v>0</v>
      </c>
      <c r="H1683" t="str">
        <f>$A1683&amp;Keys!$C$54&amp;$B1683&amp;Keys!$C$54&amp;$C1683</f>
        <v>NE|imports|lignite</v>
      </c>
    </row>
    <row r="1684" spans="1:8" x14ac:dyDescent="0.25">
      <c r="A1684" t="s">
        <v>135</v>
      </c>
      <c r="B1684" t="s">
        <v>191</v>
      </c>
      <c r="C1684" t="s">
        <v>109</v>
      </c>
      <c r="D1684">
        <v>0</v>
      </c>
      <c r="E1684">
        <v>0</v>
      </c>
      <c r="F1684">
        <v>0</v>
      </c>
      <c r="G1684" s="10">
        <f t="shared" si="26"/>
        <v>0</v>
      </c>
      <c r="H1684" t="str">
        <f>$A1684&amp;Keys!$C$54&amp;$B1684&amp;Keys!$C$54&amp;$C1684</f>
        <v>NE|imports|crude oil</v>
      </c>
    </row>
    <row r="1685" spans="1:8" x14ac:dyDescent="0.25">
      <c r="A1685" t="s">
        <v>135</v>
      </c>
      <c r="B1685" t="s">
        <v>191</v>
      </c>
      <c r="C1685" t="s">
        <v>113</v>
      </c>
      <c r="D1685">
        <v>0</v>
      </c>
      <c r="E1685">
        <v>5622390000000</v>
      </c>
      <c r="F1685">
        <v>5742850000000</v>
      </c>
      <c r="G1685" s="10">
        <f t="shared" si="26"/>
        <v>3788413333333.3335</v>
      </c>
      <c r="H1685" t="str">
        <f>$A1685&amp;Keys!$C$54&amp;$B1685&amp;Keys!$C$54&amp;$C1685</f>
        <v>NE|imports|heavy fuel oil</v>
      </c>
    </row>
    <row r="1686" spans="1:8" x14ac:dyDescent="0.25">
      <c r="A1686" t="s">
        <v>135</v>
      </c>
      <c r="B1686" t="s">
        <v>191</v>
      </c>
      <c r="C1686" t="s">
        <v>117</v>
      </c>
      <c r="D1686">
        <v>0</v>
      </c>
      <c r="E1686">
        <v>6966210000000</v>
      </c>
      <c r="F1686">
        <v>6915050000000</v>
      </c>
      <c r="G1686" s="10">
        <f t="shared" si="26"/>
        <v>4627086666666.667</v>
      </c>
      <c r="H1686" t="str">
        <f>$A1686&amp;Keys!$C$54&amp;$B1686&amp;Keys!$C$54&amp;$C1686</f>
        <v>NE|imports|LPG propane or butane</v>
      </c>
    </row>
    <row r="1687" spans="1:8" x14ac:dyDescent="0.25">
      <c r="A1687" t="s">
        <v>135</v>
      </c>
      <c r="B1687" t="s">
        <v>191</v>
      </c>
      <c r="C1687" t="s">
        <v>120</v>
      </c>
      <c r="D1687">
        <v>0</v>
      </c>
      <c r="E1687">
        <v>0</v>
      </c>
      <c r="F1687">
        <v>0</v>
      </c>
      <c r="G1687" s="10">
        <f t="shared" si="26"/>
        <v>0</v>
      </c>
      <c r="H1687" t="str">
        <f>$A1687&amp;Keys!$C$54&amp;$B1687&amp;Keys!$C$54&amp;$C1687</f>
        <v>NE|imports|municipal solid waste</v>
      </c>
    </row>
    <row r="1688" spans="1:8" x14ac:dyDescent="0.25">
      <c r="A1688" t="s">
        <v>135</v>
      </c>
      <c r="B1688" t="s">
        <v>191</v>
      </c>
      <c r="C1688" t="s">
        <v>123</v>
      </c>
      <c r="D1688">
        <v>0</v>
      </c>
      <c r="E1688">
        <v>0</v>
      </c>
      <c r="F1688">
        <v>0</v>
      </c>
      <c r="G1688" s="10">
        <f t="shared" si="26"/>
        <v>0</v>
      </c>
      <c r="H1688" t="str">
        <f>$A1688&amp;Keys!$C$54&amp;$B1688&amp;Keys!$C$54&amp;$C1688</f>
        <v>NE|imports|hydrogen</v>
      </c>
    </row>
    <row r="1689" spans="1:8" x14ac:dyDescent="0.25">
      <c r="A1689" t="s">
        <v>135</v>
      </c>
      <c r="B1689" t="s">
        <v>193</v>
      </c>
      <c r="C1689" t="s">
        <v>60</v>
      </c>
      <c r="D1689">
        <v>0</v>
      </c>
      <c r="E1689">
        <v>0</v>
      </c>
      <c r="F1689">
        <v>0</v>
      </c>
      <c r="G1689" s="10">
        <f t="shared" si="26"/>
        <v>0</v>
      </c>
      <c r="H1689" t="str">
        <f>$A1689&amp;Keys!$C$54&amp;$B1689&amp;Keys!$C$54&amp;$C1689</f>
        <v>NE|exports|electricity (not used in this variable)</v>
      </c>
    </row>
    <row r="1690" spans="1:8" x14ac:dyDescent="0.25">
      <c r="A1690" t="s">
        <v>135</v>
      </c>
      <c r="B1690" t="s">
        <v>193</v>
      </c>
      <c r="C1690" t="s">
        <v>64</v>
      </c>
      <c r="D1690">
        <v>0</v>
      </c>
      <c r="E1690">
        <v>0</v>
      </c>
      <c r="F1690">
        <v>0</v>
      </c>
      <c r="G1690" s="10">
        <f t="shared" si="26"/>
        <v>0</v>
      </c>
      <c r="H1690" t="str">
        <f>$A1690&amp;Keys!$C$54&amp;$B1690&amp;Keys!$C$54&amp;$C1690</f>
        <v>NE|exports|hard coal</v>
      </c>
    </row>
    <row r="1691" spans="1:8" x14ac:dyDescent="0.25">
      <c r="A1691" t="s">
        <v>135</v>
      </c>
      <c r="B1691" t="s">
        <v>193</v>
      </c>
      <c r="C1691" t="s">
        <v>68</v>
      </c>
      <c r="D1691">
        <v>1397360000000000</v>
      </c>
      <c r="E1691">
        <v>1397360000000000</v>
      </c>
      <c r="F1691">
        <v>1266950000000000</v>
      </c>
      <c r="G1691" s="10">
        <f t="shared" si="26"/>
        <v>1353890000000000</v>
      </c>
      <c r="H1691" t="str">
        <f>$A1691&amp;Keys!$C$54&amp;$B1691&amp;Keys!$C$54&amp;$C1691</f>
        <v>NE|exports|natural gas</v>
      </c>
    </row>
    <row r="1692" spans="1:8" x14ac:dyDescent="0.25">
      <c r="A1692" t="s">
        <v>135</v>
      </c>
      <c r="B1692" t="s">
        <v>193</v>
      </c>
      <c r="C1692" t="s">
        <v>71</v>
      </c>
      <c r="D1692">
        <v>0</v>
      </c>
      <c r="E1692">
        <v>0</v>
      </c>
      <c r="F1692">
        <v>0</v>
      </c>
      <c r="G1692" s="10">
        <f t="shared" si="26"/>
        <v>0</v>
      </c>
      <c r="H1692" t="str">
        <f>$A1692&amp;Keys!$C$54&amp;$B1692&amp;Keys!$C$54&amp;$C1692</f>
        <v>NE|exports|nuclear</v>
      </c>
    </row>
    <row r="1693" spans="1:8" x14ac:dyDescent="0.25">
      <c r="A1693" t="s">
        <v>135</v>
      </c>
      <c r="B1693" t="s">
        <v>193</v>
      </c>
      <c r="C1693" t="s">
        <v>74</v>
      </c>
      <c r="D1693">
        <v>0</v>
      </c>
      <c r="E1693">
        <v>0</v>
      </c>
      <c r="F1693">
        <v>0</v>
      </c>
      <c r="G1693" s="10">
        <f t="shared" si="26"/>
        <v>0</v>
      </c>
      <c r="H1693" t="str">
        <f>$A1693&amp;Keys!$C$54&amp;$B1693&amp;Keys!$C$54&amp;$C1693</f>
        <v>NE|exports|hydro (is not a fuel)</v>
      </c>
    </row>
    <row r="1694" spans="1:8" x14ac:dyDescent="0.25">
      <c r="A1694" t="s">
        <v>135</v>
      </c>
      <c r="B1694" t="s">
        <v>193</v>
      </c>
      <c r="C1694" t="s">
        <v>77</v>
      </c>
      <c r="D1694">
        <v>0</v>
      </c>
      <c r="E1694">
        <v>0</v>
      </c>
      <c r="F1694">
        <v>0</v>
      </c>
      <c r="G1694" s="10">
        <f t="shared" si="26"/>
        <v>0</v>
      </c>
      <c r="H1694" t="str">
        <f>$A1694&amp;Keys!$C$54&amp;$B1694&amp;Keys!$C$54&amp;$C1694</f>
        <v>NE|exports|wind (is not a fuel)</v>
      </c>
    </row>
    <row r="1695" spans="1:8" x14ac:dyDescent="0.25">
      <c r="A1695" t="s">
        <v>135</v>
      </c>
      <c r="B1695" t="s">
        <v>193</v>
      </c>
      <c r="C1695" t="s">
        <v>80</v>
      </c>
      <c r="D1695">
        <v>0</v>
      </c>
      <c r="E1695">
        <v>0</v>
      </c>
      <c r="F1695">
        <v>0</v>
      </c>
      <c r="G1695" s="10">
        <f t="shared" si="26"/>
        <v>0</v>
      </c>
      <c r="H1695" t="str">
        <f>$A1695&amp;Keys!$C$54&amp;$B1695&amp;Keys!$C$54&amp;$C1695</f>
        <v>NE|exports|solar (is not a fuel)</v>
      </c>
    </row>
    <row r="1696" spans="1:8" x14ac:dyDescent="0.25">
      <c r="A1696" t="s">
        <v>135</v>
      </c>
      <c r="B1696" t="s">
        <v>193</v>
      </c>
      <c r="C1696" t="s">
        <v>82</v>
      </c>
      <c r="D1696">
        <v>0</v>
      </c>
      <c r="E1696">
        <v>0</v>
      </c>
      <c r="F1696">
        <v>0</v>
      </c>
      <c r="G1696" s="10">
        <f t="shared" si="26"/>
        <v>0</v>
      </c>
      <c r="H1696" t="str">
        <f>$A1696&amp;Keys!$C$54&amp;$B1696&amp;Keys!$C$54&amp;$C1696</f>
        <v>NE|exports|biomass</v>
      </c>
    </row>
    <row r="1697" spans="1:8" x14ac:dyDescent="0.25">
      <c r="A1697" t="s">
        <v>135</v>
      </c>
      <c r="B1697" t="s">
        <v>193</v>
      </c>
      <c r="C1697" t="s">
        <v>85</v>
      </c>
      <c r="D1697">
        <v>0</v>
      </c>
      <c r="E1697">
        <v>0</v>
      </c>
      <c r="F1697">
        <v>0</v>
      </c>
      <c r="G1697" s="10">
        <f t="shared" si="26"/>
        <v>0</v>
      </c>
      <c r="H1697" t="str">
        <f>$A1697&amp;Keys!$C$54&amp;$B1697&amp;Keys!$C$54&amp;$C1697</f>
        <v>NE|exports|petroleum gasoline</v>
      </c>
    </row>
    <row r="1698" spans="1:8" x14ac:dyDescent="0.25">
      <c r="A1698" t="s">
        <v>135</v>
      </c>
      <c r="B1698" t="s">
        <v>193</v>
      </c>
      <c r="C1698" t="s">
        <v>88</v>
      </c>
      <c r="D1698">
        <v>0</v>
      </c>
      <c r="E1698">
        <v>0</v>
      </c>
      <c r="F1698">
        <v>0</v>
      </c>
      <c r="G1698" s="10">
        <f t="shared" si="26"/>
        <v>0</v>
      </c>
      <c r="H1698" t="str">
        <f>$A1698&amp;Keys!$C$54&amp;$B1698&amp;Keys!$C$54&amp;$C1698</f>
        <v>NE|exports|petroleum diesel</v>
      </c>
    </row>
    <row r="1699" spans="1:8" x14ac:dyDescent="0.25">
      <c r="A1699" t="s">
        <v>135</v>
      </c>
      <c r="B1699" t="s">
        <v>193</v>
      </c>
      <c r="C1699" t="s">
        <v>91</v>
      </c>
      <c r="D1699">
        <v>0</v>
      </c>
      <c r="E1699">
        <v>168263000000000</v>
      </c>
      <c r="F1699">
        <v>168819000000000</v>
      </c>
      <c r="G1699" s="10">
        <f t="shared" si="26"/>
        <v>112360666666666.67</v>
      </c>
      <c r="H1699" t="str">
        <f>$A1699&amp;Keys!$C$54&amp;$B1699&amp;Keys!$C$54&amp;$C1699</f>
        <v>NE|exports|biofuel gasoline</v>
      </c>
    </row>
    <row r="1700" spans="1:8" x14ac:dyDescent="0.25">
      <c r="A1700" t="s">
        <v>135</v>
      </c>
      <c r="B1700" t="s">
        <v>193</v>
      </c>
      <c r="C1700" t="s">
        <v>94</v>
      </c>
      <c r="D1700">
        <v>0</v>
      </c>
      <c r="E1700">
        <v>0</v>
      </c>
      <c r="F1700">
        <v>0</v>
      </c>
      <c r="G1700" s="10">
        <f t="shared" si="26"/>
        <v>0</v>
      </c>
      <c r="H1700" t="str">
        <f>$A1700&amp;Keys!$C$54&amp;$B1700&amp;Keys!$C$54&amp;$C1700</f>
        <v>NE|exports|biofuel diesel</v>
      </c>
    </row>
    <row r="1701" spans="1:8" x14ac:dyDescent="0.25">
      <c r="A1701" t="s">
        <v>135</v>
      </c>
      <c r="B1701" t="s">
        <v>193</v>
      </c>
      <c r="C1701" t="s">
        <v>97</v>
      </c>
      <c r="D1701">
        <v>0</v>
      </c>
      <c r="E1701">
        <v>0</v>
      </c>
      <c r="F1701">
        <v>0</v>
      </c>
      <c r="G1701" s="10">
        <f t="shared" si="26"/>
        <v>0</v>
      </c>
      <c r="H1701" t="str">
        <f>$A1701&amp;Keys!$C$54&amp;$B1701&amp;Keys!$C$54&amp;$C1701</f>
        <v>NE|exports|jet fuel or kerosene</v>
      </c>
    </row>
    <row r="1702" spans="1:8" x14ac:dyDescent="0.25">
      <c r="A1702" t="s">
        <v>135</v>
      </c>
      <c r="B1702" t="s">
        <v>193</v>
      </c>
      <c r="C1702" t="s">
        <v>100</v>
      </c>
      <c r="D1702">
        <v>0</v>
      </c>
      <c r="E1702">
        <v>0</v>
      </c>
      <c r="F1702">
        <v>0</v>
      </c>
      <c r="G1702" s="10">
        <f t="shared" si="26"/>
        <v>0</v>
      </c>
      <c r="H1702" t="str">
        <f>$A1702&amp;Keys!$C$54&amp;$B1702&amp;Keys!$C$54&amp;$C1702</f>
        <v>NE|exports|heat (not used in this variable)</v>
      </c>
    </row>
    <row r="1703" spans="1:8" x14ac:dyDescent="0.25">
      <c r="A1703" t="s">
        <v>135</v>
      </c>
      <c r="B1703" t="s">
        <v>193</v>
      </c>
      <c r="C1703" t="s">
        <v>103</v>
      </c>
      <c r="D1703">
        <v>0</v>
      </c>
      <c r="E1703">
        <v>0</v>
      </c>
      <c r="F1703">
        <v>0</v>
      </c>
      <c r="G1703" s="10">
        <f t="shared" si="26"/>
        <v>0</v>
      </c>
      <c r="H1703" t="str">
        <f>$A1703&amp;Keys!$C$54&amp;$B1703&amp;Keys!$C$54&amp;$C1703</f>
        <v>NE|exports|geothermal (is not a fuel)</v>
      </c>
    </row>
    <row r="1704" spans="1:8" x14ac:dyDescent="0.25">
      <c r="A1704" t="s">
        <v>135</v>
      </c>
      <c r="B1704" t="s">
        <v>193</v>
      </c>
      <c r="C1704" t="s">
        <v>106</v>
      </c>
      <c r="D1704">
        <v>0</v>
      </c>
      <c r="E1704">
        <v>0</v>
      </c>
      <c r="F1704">
        <v>0</v>
      </c>
      <c r="G1704" s="10">
        <f t="shared" si="26"/>
        <v>0</v>
      </c>
      <c r="H1704" t="str">
        <f>$A1704&amp;Keys!$C$54&amp;$B1704&amp;Keys!$C$54&amp;$C1704</f>
        <v>NE|exports|lignite</v>
      </c>
    </row>
    <row r="1705" spans="1:8" x14ac:dyDescent="0.25">
      <c r="A1705" t="s">
        <v>135</v>
      </c>
      <c r="B1705" t="s">
        <v>193</v>
      </c>
      <c r="C1705" t="s">
        <v>109</v>
      </c>
      <c r="D1705">
        <v>0</v>
      </c>
      <c r="E1705">
        <v>6894400000000</v>
      </c>
      <c r="F1705">
        <v>6689780000000</v>
      </c>
      <c r="G1705" s="10">
        <f t="shared" si="26"/>
        <v>4528060000000</v>
      </c>
      <c r="H1705" t="str">
        <f>$A1705&amp;Keys!$C$54&amp;$B1705&amp;Keys!$C$54&amp;$C1705</f>
        <v>NE|exports|crude oil</v>
      </c>
    </row>
    <row r="1706" spans="1:8" x14ac:dyDescent="0.25">
      <c r="A1706" t="s">
        <v>135</v>
      </c>
      <c r="B1706" t="s">
        <v>193</v>
      </c>
      <c r="C1706" t="s">
        <v>113</v>
      </c>
      <c r="D1706">
        <v>0</v>
      </c>
      <c r="E1706">
        <v>0</v>
      </c>
      <c r="F1706">
        <v>0</v>
      </c>
      <c r="G1706" s="10">
        <f t="shared" si="26"/>
        <v>0</v>
      </c>
      <c r="H1706" t="str">
        <f>$A1706&amp;Keys!$C$54&amp;$B1706&amp;Keys!$C$54&amp;$C1706</f>
        <v>NE|exports|heavy fuel oil</v>
      </c>
    </row>
    <row r="1707" spans="1:8" x14ac:dyDescent="0.25">
      <c r="A1707" t="s">
        <v>135</v>
      </c>
      <c r="B1707" t="s">
        <v>193</v>
      </c>
      <c r="C1707" t="s">
        <v>117</v>
      </c>
      <c r="D1707">
        <v>0</v>
      </c>
      <c r="E1707">
        <v>0</v>
      </c>
      <c r="F1707">
        <v>0</v>
      </c>
      <c r="G1707" s="10">
        <f t="shared" si="26"/>
        <v>0</v>
      </c>
      <c r="H1707" t="str">
        <f>$A1707&amp;Keys!$C$54&amp;$B1707&amp;Keys!$C$54&amp;$C1707</f>
        <v>NE|exports|LPG propane or butane</v>
      </c>
    </row>
    <row r="1708" spans="1:8" x14ac:dyDescent="0.25">
      <c r="A1708" t="s">
        <v>135</v>
      </c>
      <c r="B1708" t="s">
        <v>193</v>
      </c>
      <c r="C1708" t="s">
        <v>120</v>
      </c>
      <c r="D1708">
        <v>0</v>
      </c>
      <c r="E1708">
        <v>0</v>
      </c>
      <c r="F1708">
        <v>0</v>
      </c>
      <c r="G1708" s="10">
        <f t="shared" si="26"/>
        <v>0</v>
      </c>
      <c r="H1708" t="str">
        <f>$A1708&amp;Keys!$C$54&amp;$B1708&amp;Keys!$C$54&amp;$C1708</f>
        <v>NE|exports|municipal solid waste</v>
      </c>
    </row>
    <row r="1709" spans="1:8" x14ac:dyDescent="0.25">
      <c r="A1709" t="s">
        <v>135</v>
      </c>
      <c r="B1709" t="s">
        <v>193</v>
      </c>
      <c r="C1709" t="s">
        <v>123</v>
      </c>
      <c r="D1709">
        <v>0</v>
      </c>
      <c r="E1709">
        <v>0</v>
      </c>
      <c r="F1709">
        <v>0</v>
      </c>
      <c r="G1709" s="10">
        <f t="shared" si="26"/>
        <v>0</v>
      </c>
      <c r="H1709" t="str">
        <f>$A1709&amp;Keys!$C$54&amp;$B1709&amp;Keys!$C$54&amp;$C1709</f>
        <v>NE|exports|hydrogen</v>
      </c>
    </row>
    <row r="1710" spans="1:8" x14ac:dyDescent="0.25">
      <c r="A1710" t="s">
        <v>137</v>
      </c>
      <c r="B1710" t="s">
        <v>188</v>
      </c>
      <c r="C1710" t="s">
        <v>60</v>
      </c>
      <c r="D1710">
        <v>0</v>
      </c>
      <c r="E1710">
        <v>0</v>
      </c>
      <c r="F1710">
        <v>0</v>
      </c>
      <c r="G1710" s="10">
        <f t="shared" si="26"/>
        <v>0</v>
      </c>
      <c r="H1710" t="str">
        <f>$A1710&amp;Keys!$C$54&amp;$B1710&amp;Keys!$C$54&amp;$C1710</f>
        <v>NH|production|electricity (not used in this variable)</v>
      </c>
    </row>
    <row r="1711" spans="1:8" x14ac:dyDescent="0.25">
      <c r="A1711" t="s">
        <v>137</v>
      </c>
      <c r="B1711" t="s">
        <v>188</v>
      </c>
      <c r="C1711" t="s">
        <v>64</v>
      </c>
      <c r="D1711">
        <v>0</v>
      </c>
      <c r="E1711">
        <v>0</v>
      </c>
      <c r="F1711">
        <v>0</v>
      </c>
      <c r="G1711" s="10">
        <f t="shared" si="26"/>
        <v>0</v>
      </c>
      <c r="H1711" t="str">
        <f>$A1711&amp;Keys!$C$54&amp;$B1711&amp;Keys!$C$54&amp;$C1711</f>
        <v>NH|production|hard coal</v>
      </c>
    </row>
    <row r="1712" spans="1:8" x14ac:dyDescent="0.25">
      <c r="A1712" t="s">
        <v>137</v>
      </c>
      <c r="B1712" t="s">
        <v>188</v>
      </c>
      <c r="C1712" t="s">
        <v>68</v>
      </c>
      <c r="D1712">
        <v>0</v>
      </c>
      <c r="E1712">
        <v>0</v>
      </c>
      <c r="F1712">
        <v>0</v>
      </c>
      <c r="G1712" s="10">
        <f t="shared" si="26"/>
        <v>0</v>
      </c>
      <c r="H1712" t="str">
        <f>$A1712&amp;Keys!$C$54&amp;$B1712&amp;Keys!$C$54&amp;$C1712</f>
        <v>NH|production|natural gas</v>
      </c>
    </row>
    <row r="1713" spans="1:8" x14ac:dyDescent="0.25">
      <c r="A1713" t="s">
        <v>137</v>
      </c>
      <c r="B1713" t="s">
        <v>188</v>
      </c>
      <c r="C1713" t="s">
        <v>71</v>
      </c>
      <c r="D1713">
        <v>0</v>
      </c>
      <c r="E1713">
        <v>0</v>
      </c>
      <c r="F1713">
        <v>0</v>
      </c>
      <c r="G1713" s="10">
        <f t="shared" si="26"/>
        <v>0</v>
      </c>
      <c r="H1713" t="str">
        <f>$A1713&amp;Keys!$C$54&amp;$B1713&amp;Keys!$C$54&amp;$C1713</f>
        <v>NH|production|nuclear</v>
      </c>
    </row>
    <row r="1714" spans="1:8" x14ac:dyDescent="0.25">
      <c r="A1714" t="s">
        <v>137</v>
      </c>
      <c r="B1714" t="s">
        <v>188</v>
      </c>
      <c r="C1714" t="s">
        <v>74</v>
      </c>
      <c r="D1714">
        <v>0</v>
      </c>
      <c r="E1714">
        <v>0</v>
      </c>
      <c r="F1714">
        <v>0</v>
      </c>
      <c r="G1714" s="10">
        <f t="shared" si="26"/>
        <v>0</v>
      </c>
      <c r="H1714" t="str">
        <f>$A1714&amp;Keys!$C$54&amp;$B1714&amp;Keys!$C$54&amp;$C1714</f>
        <v>NH|production|hydro (is not a fuel)</v>
      </c>
    </row>
    <row r="1715" spans="1:8" x14ac:dyDescent="0.25">
      <c r="A1715" t="s">
        <v>137</v>
      </c>
      <c r="B1715" t="s">
        <v>188</v>
      </c>
      <c r="C1715" t="s">
        <v>77</v>
      </c>
      <c r="D1715">
        <v>0</v>
      </c>
      <c r="E1715">
        <v>0</v>
      </c>
      <c r="F1715">
        <v>0</v>
      </c>
      <c r="G1715" s="10">
        <f t="shared" si="26"/>
        <v>0</v>
      </c>
      <c r="H1715" t="str">
        <f>$A1715&amp;Keys!$C$54&amp;$B1715&amp;Keys!$C$54&amp;$C1715</f>
        <v>NH|production|wind (is not a fuel)</v>
      </c>
    </row>
    <row r="1716" spans="1:8" x14ac:dyDescent="0.25">
      <c r="A1716" t="s">
        <v>137</v>
      </c>
      <c r="B1716" t="s">
        <v>188</v>
      </c>
      <c r="C1716" t="s">
        <v>80</v>
      </c>
      <c r="D1716">
        <v>0</v>
      </c>
      <c r="E1716">
        <v>0</v>
      </c>
      <c r="F1716">
        <v>0</v>
      </c>
      <c r="G1716" s="10">
        <f t="shared" si="26"/>
        <v>0</v>
      </c>
      <c r="H1716" t="str">
        <f>$A1716&amp;Keys!$C$54&amp;$B1716&amp;Keys!$C$54&amp;$C1716</f>
        <v>NH|production|solar (is not a fuel)</v>
      </c>
    </row>
    <row r="1717" spans="1:8" x14ac:dyDescent="0.25">
      <c r="A1717" t="s">
        <v>137</v>
      </c>
      <c r="B1717" t="s">
        <v>188</v>
      </c>
      <c r="C1717" t="s">
        <v>82</v>
      </c>
      <c r="D1717">
        <v>1440000000000</v>
      </c>
      <c r="E1717">
        <v>1440000000000</v>
      </c>
      <c r="F1717">
        <v>1440000000000</v>
      </c>
      <c r="G1717" s="10">
        <f t="shared" si="26"/>
        <v>1440000000000</v>
      </c>
      <c r="H1717" t="str">
        <f>$A1717&amp;Keys!$C$54&amp;$B1717&amp;Keys!$C$54&amp;$C1717</f>
        <v>NH|production|biomass</v>
      </c>
    </row>
    <row r="1718" spans="1:8" x14ac:dyDescent="0.25">
      <c r="A1718" t="s">
        <v>137</v>
      </c>
      <c r="B1718" t="s">
        <v>188</v>
      </c>
      <c r="C1718" t="s">
        <v>85</v>
      </c>
      <c r="D1718">
        <v>0</v>
      </c>
      <c r="E1718">
        <v>0</v>
      </c>
      <c r="F1718">
        <v>0</v>
      </c>
      <c r="G1718" s="10">
        <f t="shared" si="26"/>
        <v>0</v>
      </c>
      <c r="H1718" t="str">
        <f>$A1718&amp;Keys!$C$54&amp;$B1718&amp;Keys!$C$54&amp;$C1718</f>
        <v>NH|production|petroleum gasoline</v>
      </c>
    </row>
    <row r="1719" spans="1:8" x14ac:dyDescent="0.25">
      <c r="A1719" t="s">
        <v>137</v>
      </c>
      <c r="B1719" t="s">
        <v>188</v>
      </c>
      <c r="C1719" t="s">
        <v>88</v>
      </c>
      <c r="D1719">
        <v>0</v>
      </c>
      <c r="E1719">
        <v>0</v>
      </c>
      <c r="F1719">
        <v>0</v>
      </c>
      <c r="G1719" s="10">
        <f t="shared" si="26"/>
        <v>0</v>
      </c>
      <c r="H1719" t="str">
        <f>$A1719&amp;Keys!$C$54&amp;$B1719&amp;Keys!$C$54&amp;$C1719</f>
        <v>NH|production|petroleum diesel</v>
      </c>
    </row>
    <row r="1720" spans="1:8" x14ac:dyDescent="0.25">
      <c r="A1720" t="s">
        <v>137</v>
      </c>
      <c r="B1720" t="s">
        <v>188</v>
      </c>
      <c r="C1720" t="s">
        <v>91</v>
      </c>
      <c r="D1720">
        <v>0</v>
      </c>
      <c r="E1720">
        <v>0</v>
      </c>
      <c r="F1720">
        <v>0</v>
      </c>
      <c r="G1720" s="10">
        <f t="shared" si="26"/>
        <v>0</v>
      </c>
      <c r="H1720" t="str">
        <f>$A1720&amp;Keys!$C$54&amp;$B1720&amp;Keys!$C$54&amp;$C1720</f>
        <v>NH|production|biofuel gasoline</v>
      </c>
    </row>
    <row r="1721" spans="1:8" x14ac:dyDescent="0.25">
      <c r="A1721" t="s">
        <v>137</v>
      </c>
      <c r="B1721" t="s">
        <v>188</v>
      </c>
      <c r="C1721" t="s">
        <v>94</v>
      </c>
      <c r="D1721">
        <v>2381540000000</v>
      </c>
      <c r="E1721">
        <v>2381540000000</v>
      </c>
      <c r="F1721">
        <v>2828940000000</v>
      </c>
      <c r="G1721" s="10">
        <f t="shared" si="26"/>
        <v>2530673333333.3335</v>
      </c>
      <c r="H1721" t="str">
        <f>$A1721&amp;Keys!$C$54&amp;$B1721&amp;Keys!$C$54&amp;$C1721</f>
        <v>NH|production|biofuel diesel</v>
      </c>
    </row>
    <row r="1722" spans="1:8" x14ac:dyDescent="0.25">
      <c r="A1722" t="s">
        <v>137</v>
      </c>
      <c r="B1722" t="s">
        <v>188</v>
      </c>
      <c r="C1722" t="s">
        <v>97</v>
      </c>
      <c r="D1722">
        <v>0</v>
      </c>
      <c r="E1722">
        <v>0</v>
      </c>
      <c r="F1722">
        <v>0</v>
      </c>
      <c r="G1722" s="10">
        <f t="shared" si="26"/>
        <v>0</v>
      </c>
      <c r="H1722" t="str">
        <f>$A1722&amp;Keys!$C$54&amp;$B1722&amp;Keys!$C$54&amp;$C1722</f>
        <v>NH|production|jet fuel or kerosene</v>
      </c>
    </row>
    <row r="1723" spans="1:8" x14ac:dyDescent="0.25">
      <c r="A1723" t="s">
        <v>137</v>
      </c>
      <c r="B1723" t="s">
        <v>188</v>
      </c>
      <c r="C1723" t="s">
        <v>100</v>
      </c>
      <c r="D1723">
        <v>0</v>
      </c>
      <c r="E1723">
        <v>0</v>
      </c>
      <c r="F1723">
        <v>0</v>
      </c>
      <c r="G1723" s="10">
        <f t="shared" si="26"/>
        <v>0</v>
      </c>
      <c r="H1723" t="str">
        <f>$A1723&amp;Keys!$C$54&amp;$B1723&amp;Keys!$C$54&amp;$C1723</f>
        <v>NH|production|heat (not used in this variable)</v>
      </c>
    </row>
    <row r="1724" spans="1:8" x14ac:dyDescent="0.25">
      <c r="A1724" t="s">
        <v>137</v>
      </c>
      <c r="B1724" t="s">
        <v>188</v>
      </c>
      <c r="C1724" t="s">
        <v>103</v>
      </c>
      <c r="D1724">
        <v>0</v>
      </c>
      <c r="E1724">
        <v>0</v>
      </c>
      <c r="F1724">
        <v>0</v>
      </c>
      <c r="G1724" s="10">
        <f t="shared" si="26"/>
        <v>0</v>
      </c>
      <c r="H1724" t="str">
        <f>$A1724&amp;Keys!$C$54&amp;$B1724&amp;Keys!$C$54&amp;$C1724</f>
        <v>NH|production|geothermal (is not a fuel)</v>
      </c>
    </row>
    <row r="1725" spans="1:8" x14ac:dyDescent="0.25">
      <c r="A1725" t="s">
        <v>137</v>
      </c>
      <c r="B1725" t="s">
        <v>188</v>
      </c>
      <c r="C1725" t="s">
        <v>106</v>
      </c>
      <c r="D1725">
        <v>0</v>
      </c>
      <c r="E1725">
        <v>0</v>
      </c>
      <c r="F1725">
        <v>0</v>
      </c>
      <c r="G1725" s="10">
        <f t="shared" si="26"/>
        <v>0</v>
      </c>
      <c r="H1725" t="str">
        <f>$A1725&amp;Keys!$C$54&amp;$B1725&amp;Keys!$C$54&amp;$C1725</f>
        <v>NH|production|lignite</v>
      </c>
    </row>
    <row r="1726" spans="1:8" x14ac:dyDescent="0.25">
      <c r="A1726" t="s">
        <v>137</v>
      </c>
      <c r="B1726" t="s">
        <v>188</v>
      </c>
      <c r="C1726" t="s">
        <v>109</v>
      </c>
      <c r="D1726">
        <v>0</v>
      </c>
      <c r="E1726">
        <v>0</v>
      </c>
      <c r="F1726">
        <v>0</v>
      </c>
      <c r="G1726" s="10">
        <f t="shared" si="26"/>
        <v>0</v>
      </c>
      <c r="H1726" t="str">
        <f>$A1726&amp;Keys!$C$54&amp;$B1726&amp;Keys!$C$54&amp;$C1726</f>
        <v>NH|production|crude oil</v>
      </c>
    </row>
    <row r="1727" spans="1:8" x14ac:dyDescent="0.25">
      <c r="A1727" t="s">
        <v>137</v>
      </c>
      <c r="B1727" t="s">
        <v>188</v>
      </c>
      <c r="C1727" t="s">
        <v>113</v>
      </c>
      <c r="D1727">
        <v>0</v>
      </c>
      <c r="E1727">
        <v>0</v>
      </c>
      <c r="F1727">
        <v>0</v>
      </c>
      <c r="G1727" s="10">
        <f t="shared" si="26"/>
        <v>0</v>
      </c>
      <c r="H1727" t="str">
        <f>$A1727&amp;Keys!$C$54&amp;$B1727&amp;Keys!$C$54&amp;$C1727</f>
        <v>NH|production|heavy fuel oil</v>
      </c>
    </row>
    <row r="1728" spans="1:8" x14ac:dyDescent="0.25">
      <c r="A1728" t="s">
        <v>137</v>
      </c>
      <c r="B1728" t="s">
        <v>188</v>
      </c>
      <c r="C1728" t="s">
        <v>117</v>
      </c>
      <c r="D1728">
        <v>0</v>
      </c>
      <c r="E1728">
        <v>0</v>
      </c>
      <c r="F1728">
        <v>0</v>
      </c>
      <c r="G1728" s="10">
        <f t="shared" si="26"/>
        <v>0</v>
      </c>
      <c r="H1728" t="str">
        <f>$A1728&amp;Keys!$C$54&amp;$B1728&amp;Keys!$C$54&amp;$C1728</f>
        <v>NH|production|LPG propane or butane</v>
      </c>
    </row>
    <row r="1729" spans="1:8" x14ac:dyDescent="0.25">
      <c r="A1729" t="s">
        <v>137</v>
      </c>
      <c r="B1729" t="s">
        <v>188</v>
      </c>
      <c r="C1729" t="s">
        <v>120</v>
      </c>
      <c r="D1729">
        <v>0</v>
      </c>
      <c r="E1729">
        <v>0</v>
      </c>
      <c r="F1729">
        <v>0</v>
      </c>
      <c r="G1729" s="10">
        <f t="shared" si="26"/>
        <v>0</v>
      </c>
      <c r="H1729" t="str">
        <f>$A1729&amp;Keys!$C$54&amp;$B1729&amp;Keys!$C$54&amp;$C1729</f>
        <v>NH|production|municipal solid waste</v>
      </c>
    </row>
    <row r="1730" spans="1:8" x14ac:dyDescent="0.25">
      <c r="A1730" t="s">
        <v>137</v>
      </c>
      <c r="B1730" t="s">
        <v>188</v>
      </c>
      <c r="C1730" t="s">
        <v>123</v>
      </c>
      <c r="D1730">
        <v>0</v>
      </c>
      <c r="E1730">
        <v>0</v>
      </c>
      <c r="F1730">
        <v>0</v>
      </c>
      <c r="G1730" s="10">
        <f t="shared" si="26"/>
        <v>0</v>
      </c>
      <c r="H1730" t="str">
        <f>$A1730&amp;Keys!$C$54&amp;$B1730&amp;Keys!$C$54&amp;$C1730</f>
        <v>NH|production|hydrogen</v>
      </c>
    </row>
    <row r="1731" spans="1:8" x14ac:dyDescent="0.25">
      <c r="A1731" t="s">
        <v>137</v>
      </c>
      <c r="B1731" t="s">
        <v>191</v>
      </c>
      <c r="C1731" t="s">
        <v>60</v>
      </c>
      <c r="D1731">
        <v>0</v>
      </c>
      <c r="E1731">
        <v>0</v>
      </c>
      <c r="F1731">
        <v>0</v>
      </c>
      <c r="G1731" s="10">
        <f t="shared" si="26"/>
        <v>0</v>
      </c>
      <c r="H1731" t="str">
        <f>$A1731&amp;Keys!$C$54&amp;$B1731&amp;Keys!$C$54&amp;$C1731</f>
        <v>NH|imports|electricity (not used in this variable)</v>
      </c>
    </row>
    <row r="1732" spans="1:8" x14ac:dyDescent="0.25">
      <c r="A1732" t="s">
        <v>137</v>
      </c>
      <c r="B1732" t="s">
        <v>191</v>
      </c>
      <c r="C1732" t="s">
        <v>64</v>
      </c>
      <c r="D1732">
        <v>0</v>
      </c>
      <c r="E1732">
        <v>3014490000000</v>
      </c>
      <c r="F1732">
        <v>8231880000000</v>
      </c>
      <c r="G1732" s="10">
        <f t="shared" si="26"/>
        <v>3748790000000</v>
      </c>
      <c r="H1732" t="str">
        <f>$A1732&amp;Keys!$C$54&amp;$B1732&amp;Keys!$C$54&amp;$C1732</f>
        <v>NH|imports|hard coal</v>
      </c>
    </row>
    <row r="1733" spans="1:8" x14ac:dyDescent="0.25">
      <c r="A1733" t="s">
        <v>137</v>
      </c>
      <c r="B1733" t="s">
        <v>191</v>
      </c>
      <c r="C1733" t="s">
        <v>68</v>
      </c>
      <c r="D1733">
        <v>405637000000000</v>
      </c>
      <c r="E1733">
        <v>394926000000000</v>
      </c>
      <c r="F1733">
        <v>395946000000000</v>
      </c>
      <c r="G1733" s="10">
        <f t="shared" si="26"/>
        <v>398836333333333.31</v>
      </c>
      <c r="H1733" t="str">
        <f>$A1733&amp;Keys!$C$54&amp;$B1733&amp;Keys!$C$54&amp;$C1733</f>
        <v>NH|imports|natural gas</v>
      </c>
    </row>
    <row r="1734" spans="1:8" x14ac:dyDescent="0.25">
      <c r="A1734" t="s">
        <v>137</v>
      </c>
      <c r="B1734" t="s">
        <v>191</v>
      </c>
      <c r="C1734" t="s">
        <v>71</v>
      </c>
      <c r="D1734">
        <v>101055000000000</v>
      </c>
      <c r="E1734">
        <v>113929000000000</v>
      </c>
      <c r="F1734">
        <v>107350000000000</v>
      </c>
      <c r="G1734" s="10">
        <f t="shared" si="26"/>
        <v>107444666666666.67</v>
      </c>
      <c r="H1734" t="str">
        <f>$A1734&amp;Keys!$C$54&amp;$B1734&amp;Keys!$C$54&amp;$C1734</f>
        <v>NH|imports|nuclear</v>
      </c>
    </row>
    <row r="1735" spans="1:8" x14ac:dyDescent="0.25">
      <c r="A1735" t="s">
        <v>137</v>
      </c>
      <c r="B1735" t="s">
        <v>191</v>
      </c>
      <c r="C1735" t="s">
        <v>74</v>
      </c>
      <c r="D1735">
        <v>0</v>
      </c>
      <c r="E1735">
        <v>0</v>
      </c>
      <c r="F1735">
        <v>0</v>
      </c>
      <c r="G1735" s="10">
        <f t="shared" si="26"/>
        <v>0</v>
      </c>
      <c r="H1735" t="str">
        <f>$A1735&amp;Keys!$C$54&amp;$B1735&amp;Keys!$C$54&amp;$C1735</f>
        <v>NH|imports|hydro (is not a fuel)</v>
      </c>
    </row>
    <row r="1736" spans="1:8" x14ac:dyDescent="0.25">
      <c r="A1736" t="s">
        <v>137</v>
      </c>
      <c r="B1736" t="s">
        <v>191</v>
      </c>
      <c r="C1736" t="s">
        <v>77</v>
      </c>
      <c r="D1736">
        <v>0</v>
      </c>
      <c r="E1736">
        <v>0</v>
      </c>
      <c r="F1736">
        <v>0</v>
      </c>
      <c r="G1736" s="10">
        <f t="shared" si="26"/>
        <v>0</v>
      </c>
      <c r="H1736" t="str">
        <f>$A1736&amp;Keys!$C$54&amp;$B1736&amp;Keys!$C$54&amp;$C1736</f>
        <v>NH|imports|wind (is not a fuel)</v>
      </c>
    </row>
    <row r="1737" spans="1:8" x14ac:dyDescent="0.25">
      <c r="A1737" t="s">
        <v>137</v>
      </c>
      <c r="B1737" t="s">
        <v>191</v>
      </c>
      <c r="C1737" t="s">
        <v>80</v>
      </c>
      <c r="D1737">
        <v>0</v>
      </c>
      <c r="E1737">
        <v>0</v>
      </c>
      <c r="F1737">
        <v>0</v>
      </c>
      <c r="G1737" s="10">
        <f t="shared" ref="G1737:G1800" si="27">AVERAGE($D1737:$F1737)</f>
        <v>0</v>
      </c>
      <c r="H1737" t="str">
        <f>$A1737&amp;Keys!$C$54&amp;$B1737&amp;Keys!$C$54&amp;$C1737</f>
        <v>NH|imports|solar (is not a fuel)</v>
      </c>
    </row>
    <row r="1738" spans="1:8" x14ac:dyDescent="0.25">
      <c r="A1738" t="s">
        <v>137</v>
      </c>
      <c r="B1738" t="s">
        <v>191</v>
      </c>
      <c r="C1738" t="s">
        <v>82</v>
      </c>
      <c r="D1738">
        <v>0</v>
      </c>
      <c r="E1738">
        <v>22861300000000</v>
      </c>
      <c r="F1738">
        <v>18848700000000</v>
      </c>
      <c r="G1738" s="10">
        <f t="shared" si="27"/>
        <v>13903333333333.334</v>
      </c>
      <c r="H1738" t="str">
        <f>$A1738&amp;Keys!$C$54&amp;$B1738&amp;Keys!$C$54&amp;$C1738</f>
        <v>NH|imports|biomass</v>
      </c>
    </row>
    <row r="1739" spans="1:8" x14ac:dyDescent="0.25">
      <c r="A1739" t="s">
        <v>137</v>
      </c>
      <c r="B1739" t="s">
        <v>191</v>
      </c>
      <c r="C1739" t="s">
        <v>85</v>
      </c>
      <c r="D1739">
        <v>0</v>
      </c>
      <c r="E1739">
        <v>71368900000000</v>
      </c>
      <c r="F1739">
        <v>70341400000000</v>
      </c>
      <c r="G1739" s="10">
        <f t="shared" si="27"/>
        <v>47236766666666.664</v>
      </c>
      <c r="H1739" t="str">
        <f>$A1739&amp;Keys!$C$54&amp;$B1739&amp;Keys!$C$54&amp;$C1739</f>
        <v>NH|imports|petroleum gasoline</v>
      </c>
    </row>
    <row r="1740" spans="1:8" x14ac:dyDescent="0.25">
      <c r="A1740" t="s">
        <v>137</v>
      </c>
      <c r="B1740" t="s">
        <v>191</v>
      </c>
      <c r="C1740" t="s">
        <v>88</v>
      </c>
      <c r="D1740">
        <v>0</v>
      </c>
      <c r="E1740">
        <v>46550300000000</v>
      </c>
      <c r="F1740">
        <v>46013300000000</v>
      </c>
      <c r="G1740" s="10">
        <f t="shared" si="27"/>
        <v>30854533333333.332</v>
      </c>
      <c r="H1740" t="str">
        <f>$A1740&amp;Keys!$C$54&amp;$B1740&amp;Keys!$C$54&amp;$C1740</f>
        <v>NH|imports|petroleum diesel</v>
      </c>
    </row>
    <row r="1741" spans="1:8" x14ac:dyDescent="0.25">
      <c r="A1741" t="s">
        <v>137</v>
      </c>
      <c r="B1741" t="s">
        <v>191</v>
      </c>
      <c r="C1741" t="s">
        <v>91</v>
      </c>
      <c r="D1741">
        <v>0</v>
      </c>
      <c r="E1741">
        <v>5116440000000</v>
      </c>
      <c r="F1741">
        <v>5044680000000</v>
      </c>
      <c r="G1741" s="10">
        <f t="shared" si="27"/>
        <v>3387040000000</v>
      </c>
      <c r="H1741" t="str">
        <f>$A1741&amp;Keys!$C$54&amp;$B1741&amp;Keys!$C$54&amp;$C1741</f>
        <v>NH|imports|biofuel gasoline</v>
      </c>
    </row>
    <row r="1742" spans="1:8" x14ac:dyDescent="0.25">
      <c r="A1742" t="s">
        <v>137</v>
      </c>
      <c r="B1742" t="s">
        <v>191</v>
      </c>
      <c r="C1742" t="s">
        <v>94</v>
      </c>
      <c r="D1742">
        <v>0</v>
      </c>
      <c r="E1742">
        <v>0</v>
      </c>
      <c r="F1742">
        <v>0</v>
      </c>
      <c r="G1742" s="10">
        <f t="shared" si="27"/>
        <v>0</v>
      </c>
      <c r="H1742" t="str">
        <f>$A1742&amp;Keys!$C$54&amp;$B1742&amp;Keys!$C$54&amp;$C1742</f>
        <v>NH|imports|biofuel diesel</v>
      </c>
    </row>
    <row r="1743" spans="1:8" x14ac:dyDescent="0.25">
      <c r="A1743" t="s">
        <v>137</v>
      </c>
      <c r="B1743" t="s">
        <v>191</v>
      </c>
      <c r="C1743" t="s">
        <v>97</v>
      </c>
      <c r="D1743">
        <v>0</v>
      </c>
      <c r="E1743">
        <v>5580250000000</v>
      </c>
      <c r="F1743">
        <v>5660960000000</v>
      </c>
      <c r="G1743" s="10">
        <f t="shared" si="27"/>
        <v>3747070000000</v>
      </c>
      <c r="H1743" t="str">
        <f>$A1743&amp;Keys!$C$54&amp;$B1743&amp;Keys!$C$54&amp;$C1743</f>
        <v>NH|imports|jet fuel or kerosene</v>
      </c>
    </row>
    <row r="1744" spans="1:8" x14ac:dyDescent="0.25">
      <c r="A1744" t="s">
        <v>137</v>
      </c>
      <c r="B1744" t="s">
        <v>191</v>
      </c>
      <c r="C1744" t="s">
        <v>100</v>
      </c>
      <c r="D1744">
        <v>0</v>
      </c>
      <c r="E1744">
        <v>0</v>
      </c>
      <c r="F1744">
        <v>0</v>
      </c>
      <c r="G1744" s="10">
        <f t="shared" si="27"/>
        <v>0</v>
      </c>
      <c r="H1744" t="str">
        <f>$A1744&amp;Keys!$C$54&amp;$B1744&amp;Keys!$C$54&amp;$C1744</f>
        <v>NH|imports|heat (not used in this variable)</v>
      </c>
    </row>
    <row r="1745" spans="1:8" x14ac:dyDescent="0.25">
      <c r="A1745" t="s">
        <v>137</v>
      </c>
      <c r="B1745" t="s">
        <v>191</v>
      </c>
      <c r="C1745" t="s">
        <v>103</v>
      </c>
      <c r="D1745">
        <v>0</v>
      </c>
      <c r="E1745">
        <v>0</v>
      </c>
      <c r="F1745">
        <v>0</v>
      </c>
      <c r="G1745" s="10">
        <f t="shared" si="27"/>
        <v>0</v>
      </c>
      <c r="H1745" t="str">
        <f>$A1745&amp;Keys!$C$54&amp;$B1745&amp;Keys!$C$54&amp;$C1745</f>
        <v>NH|imports|geothermal (is not a fuel)</v>
      </c>
    </row>
    <row r="1746" spans="1:8" x14ac:dyDescent="0.25">
      <c r="A1746" t="s">
        <v>137</v>
      </c>
      <c r="B1746" t="s">
        <v>191</v>
      </c>
      <c r="C1746" t="s">
        <v>106</v>
      </c>
      <c r="D1746">
        <v>0</v>
      </c>
      <c r="E1746">
        <v>0</v>
      </c>
      <c r="F1746">
        <v>0</v>
      </c>
      <c r="G1746" s="10">
        <f t="shared" si="27"/>
        <v>0</v>
      </c>
      <c r="H1746" t="str">
        <f>$A1746&amp;Keys!$C$54&amp;$B1746&amp;Keys!$C$54&amp;$C1746</f>
        <v>NH|imports|lignite</v>
      </c>
    </row>
    <row r="1747" spans="1:8" x14ac:dyDescent="0.25">
      <c r="A1747" t="s">
        <v>137</v>
      </c>
      <c r="B1747" t="s">
        <v>191</v>
      </c>
      <c r="C1747" t="s">
        <v>109</v>
      </c>
      <c r="D1747">
        <v>0</v>
      </c>
      <c r="E1747">
        <v>226000000000</v>
      </c>
      <c r="F1747">
        <v>0</v>
      </c>
      <c r="G1747" s="10">
        <f t="shared" si="27"/>
        <v>75333333333.333328</v>
      </c>
      <c r="H1747" t="str">
        <f>$A1747&amp;Keys!$C$54&amp;$B1747&amp;Keys!$C$54&amp;$C1747</f>
        <v>NH|imports|crude oil</v>
      </c>
    </row>
    <row r="1748" spans="1:8" x14ac:dyDescent="0.25">
      <c r="A1748" t="s">
        <v>137</v>
      </c>
      <c r="B1748" t="s">
        <v>191</v>
      </c>
      <c r="C1748" t="s">
        <v>113</v>
      </c>
      <c r="D1748">
        <v>0</v>
      </c>
      <c r="E1748">
        <v>3751890000000</v>
      </c>
      <c r="F1748">
        <v>3811370000000</v>
      </c>
      <c r="G1748" s="10">
        <f t="shared" si="27"/>
        <v>2521086666666.6665</v>
      </c>
      <c r="H1748" t="str">
        <f>$A1748&amp;Keys!$C$54&amp;$B1748&amp;Keys!$C$54&amp;$C1748</f>
        <v>NH|imports|heavy fuel oil</v>
      </c>
    </row>
    <row r="1749" spans="1:8" x14ac:dyDescent="0.25">
      <c r="A1749" t="s">
        <v>137</v>
      </c>
      <c r="B1749" t="s">
        <v>191</v>
      </c>
      <c r="C1749" t="s">
        <v>117</v>
      </c>
      <c r="D1749">
        <v>0</v>
      </c>
      <c r="E1749">
        <v>16991200000000</v>
      </c>
      <c r="F1749">
        <v>16782600000000</v>
      </c>
      <c r="G1749" s="10">
        <f t="shared" si="27"/>
        <v>11257933333333.334</v>
      </c>
      <c r="H1749" t="str">
        <f>$A1749&amp;Keys!$C$54&amp;$B1749&amp;Keys!$C$54&amp;$C1749</f>
        <v>NH|imports|LPG propane or butane</v>
      </c>
    </row>
    <row r="1750" spans="1:8" x14ac:dyDescent="0.25">
      <c r="A1750" t="s">
        <v>137</v>
      </c>
      <c r="B1750" t="s">
        <v>191</v>
      </c>
      <c r="C1750" t="s">
        <v>120</v>
      </c>
      <c r="D1750">
        <v>0</v>
      </c>
      <c r="E1750">
        <v>997170000000</v>
      </c>
      <c r="F1750">
        <v>1196600000000</v>
      </c>
      <c r="G1750" s="10">
        <f t="shared" si="27"/>
        <v>731256666666.66663</v>
      </c>
      <c r="H1750" t="str">
        <f>$A1750&amp;Keys!$C$54&amp;$B1750&amp;Keys!$C$54&amp;$C1750</f>
        <v>NH|imports|municipal solid waste</v>
      </c>
    </row>
    <row r="1751" spans="1:8" x14ac:dyDescent="0.25">
      <c r="A1751" t="s">
        <v>137</v>
      </c>
      <c r="B1751" t="s">
        <v>191</v>
      </c>
      <c r="C1751" t="s">
        <v>123</v>
      </c>
      <c r="D1751">
        <v>0</v>
      </c>
      <c r="E1751">
        <v>420720000</v>
      </c>
      <c r="F1751">
        <v>415734000</v>
      </c>
      <c r="G1751" s="10">
        <f t="shared" si="27"/>
        <v>278818000</v>
      </c>
      <c r="H1751" t="str">
        <f>$A1751&amp;Keys!$C$54&amp;$B1751&amp;Keys!$C$54&amp;$C1751</f>
        <v>NH|imports|hydrogen</v>
      </c>
    </row>
    <row r="1752" spans="1:8" x14ac:dyDescent="0.25">
      <c r="A1752" t="s">
        <v>137</v>
      </c>
      <c r="B1752" t="s">
        <v>193</v>
      </c>
      <c r="C1752" t="s">
        <v>60</v>
      </c>
      <c r="D1752">
        <v>0</v>
      </c>
      <c r="E1752">
        <v>0</v>
      </c>
      <c r="F1752">
        <v>0</v>
      </c>
      <c r="G1752" s="10">
        <f t="shared" si="27"/>
        <v>0</v>
      </c>
      <c r="H1752" t="str">
        <f>$A1752&amp;Keys!$C$54&amp;$B1752&amp;Keys!$C$54&amp;$C1752</f>
        <v>NH|exports|electricity (not used in this variable)</v>
      </c>
    </row>
    <row r="1753" spans="1:8" x14ac:dyDescent="0.25">
      <c r="A1753" t="s">
        <v>137</v>
      </c>
      <c r="B1753" t="s">
        <v>193</v>
      </c>
      <c r="C1753" t="s">
        <v>64</v>
      </c>
      <c r="D1753">
        <v>0</v>
      </c>
      <c r="E1753">
        <v>0</v>
      </c>
      <c r="F1753">
        <v>0</v>
      </c>
      <c r="G1753" s="10">
        <f t="shared" si="27"/>
        <v>0</v>
      </c>
      <c r="H1753" t="str">
        <f>$A1753&amp;Keys!$C$54&amp;$B1753&amp;Keys!$C$54&amp;$C1753</f>
        <v>NH|exports|hard coal</v>
      </c>
    </row>
    <row r="1754" spans="1:8" x14ac:dyDescent="0.25">
      <c r="A1754" t="s">
        <v>137</v>
      </c>
      <c r="B1754" t="s">
        <v>193</v>
      </c>
      <c r="C1754" t="s">
        <v>68</v>
      </c>
      <c r="D1754">
        <v>343566000000000</v>
      </c>
      <c r="E1754">
        <v>343566000000000</v>
      </c>
      <c r="F1754">
        <v>344633000000000</v>
      </c>
      <c r="G1754" s="10">
        <f t="shared" si="27"/>
        <v>343921666666666.69</v>
      </c>
      <c r="H1754" t="str">
        <f>$A1754&amp;Keys!$C$54&amp;$B1754&amp;Keys!$C$54&amp;$C1754</f>
        <v>NH|exports|natural gas</v>
      </c>
    </row>
    <row r="1755" spans="1:8" x14ac:dyDescent="0.25">
      <c r="A1755" t="s">
        <v>137</v>
      </c>
      <c r="B1755" t="s">
        <v>193</v>
      </c>
      <c r="C1755" t="s">
        <v>71</v>
      </c>
      <c r="D1755">
        <v>0</v>
      </c>
      <c r="E1755">
        <v>0</v>
      </c>
      <c r="F1755">
        <v>0</v>
      </c>
      <c r="G1755" s="10">
        <f t="shared" si="27"/>
        <v>0</v>
      </c>
      <c r="H1755" t="str">
        <f>$A1755&amp;Keys!$C$54&amp;$B1755&amp;Keys!$C$54&amp;$C1755</f>
        <v>NH|exports|nuclear</v>
      </c>
    </row>
    <row r="1756" spans="1:8" x14ac:dyDescent="0.25">
      <c r="A1756" t="s">
        <v>137</v>
      </c>
      <c r="B1756" t="s">
        <v>193</v>
      </c>
      <c r="C1756" t="s">
        <v>74</v>
      </c>
      <c r="D1756">
        <v>0</v>
      </c>
      <c r="E1756">
        <v>0</v>
      </c>
      <c r="F1756">
        <v>0</v>
      </c>
      <c r="G1756" s="10">
        <f t="shared" si="27"/>
        <v>0</v>
      </c>
      <c r="H1756" t="str">
        <f>$A1756&amp;Keys!$C$54&amp;$B1756&amp;Keys!$C$54&amp;$C1756</f>
        <v>NH|exports|hydro (is not a fuel)</v>
      </c>
    </row>
    <row r="1757" spans="1:8" x14ac:dyDescent="0.25">
      <c r="A1757" t="s">
        <v>137</v>
      </c>
      <c r="B1757" t="s">
        <v>193</v>
      </c>
      <c r="C1757" t="s">
        <v>77</v>
      </c>
      <c r="D1757">
        <v>0</v>
      </c>
      <c r="E1757">
        <v>0</v>
      </c>
      <c r="F1757">
        <v>0</v>
      </c>
      <c r="G1757" s="10">
        <f t="shared" si="27"/>
        <v>0</v>
      </c>
      <c r="H1757" t="str">
        <f>$A1757&amp;Keys!$C$54&amp;$B1757&amp;Keys!$C$54&amp;$C1757</f>
        <v>NH|exports|wind (is not a fuel)</v>
      </c>
    </row>
    <row r="1758" spans="1:8" x14ac:dyDescent="0.25">
      <c r="A1758" t="s">
        <v>137</v>
      </c>
      <c r="B1758" t="s">
        <v>193</v>
      </c>
      <c r="C1758" t="s">
        <v>80</v>
      </c>
      <c r="D1758">
        <v>0</v>
      </c>
      <c r="E1758">
        <v>0</v>
      </c>
      <c r="F1758">
        <v>0</v>
      </c>
      <c r="G1758" s="10">
        <f t="shared" si="27"/>
        <v>0</v>
      </c>
      <c r="H1758" t="str">
        <f>$A1758&amp;Keys!$C$54&amp;$B1758&amp;Keys!$C$54&amp;$C1758</f>
        <v>NH|exports|solar (is not a fuel)</v>
      </c>
    </row>
    <row r="1759" spans="1:8" x14ac:dyDescent="0.25">
      <c r="A1759" t="s">
        <v>137</v>
      </c>
      <c r="B1759" t="s">
        <v>193</v>
      </c>
      <c r="C1759" t="s">
        <v>82</v>
      </c>
      <c r="D1759">
        <v>0</v>
      </c>
      <c r="E1759">
        <v>0</v>
      </c>
      <c r="F1759">
        <v>0</v>
      </c>
      <c r="G1759" s="10">
        <f t="shared" si="27"/>
        <v>0</v>
      </c>
      <c r="H1759" t="str">
        <f>$A1759&amp;Keys!$C$54&amp;$B1759&amp;Keys!$C$54&amp;$C1759</f>
        <v>NH|exports|biomass</v>
      </c>
    </row>
    <row r="1760" spans="1:8" x14ac:dyDescent="0.25">
      <c r="A1760" t="s">
        <v>137</v>
      </c>
      <c r="B1760" t="s">
        <v>193</v>
      </c>
      <c r="C1760" t="s">
        <v>85</v>
      </c>
      <c r="D1760">
        <v>0</v>
      </c>
      <c r="E1760">
        <v>0</v>
      </c>
      <c r="F1760">
        <v>0</v>
      </c>
      <c r="G1760" s="10">
        <f t="shared" si="27"/>
        <v>0</v>
      </c>
      <c r="H1760" t="str">
        <f>$A1760&amp;Keys!$C$54&amp;$B1760&amp;Keys!$C$54&amp;$C1760</f>
        <v>NH|exports|petroleum gasoline</v>
      </c>
    </row>
    <row r="1761" spans="1:8" x14ac:dyDescent="0.25">
      <c r="A1761" t="s">
        <v>137</v>
      </c>
      <c r="B1761" t="s">
        <v>193</v>
      </c>
      <c r="C1761" t="s">
        <v>88</v>
      </c>
      <c r="D1761">
        <v>0</v>
      </c>
      <c r="E1761">
        <v>0</v>
      </c>
      <c r="F1761">
        <v>0</v>
      </c>
      <c r="G1761" s="10">
        <f t="shared" si="27"/>
        <v>0</v>
      </c>
      <c r="H1761" t="str">
        <f>$A1761&amp;Keys!$C$54&amp;$B1761&amp;Keys!$C$54&amp;$C1761</f>
        <v>NH|exports|petroleum diesel</v>
      </c>
    </row>
    <row r="1762" spans="1:8" x14ac:dyDescent="0.25">
      <c r="A1762" t="s">
        <v>137</v>
      </c>
      <c r="B1762" t="s">
        <v>193</v>
      </c>
      <c r="C1762" t="s">
        <v>91</v>
      </c>
      <c r="D1762">
        <v>0</v>
      </c>
      <c r="E1762">
        <v>0</v>
      </c>
      <c r="F1762">
        <v>0</v>
      </c>
      <c r="G1762" s="10">
        <f t="shared" si="27"/>
        <v>0</v>
      </c>
      <c r="H1762" t="str">
        <f>$A1762&amp;Keys!$C$54&amp;$B1762&amp;Keys!$C$54&amp;$C1762</f>
        <v>NH|exports|biofuel gasoline</v>
      </c>
    </row>
    <row r="1763" spans="1:8" x14ac:dyDescent="0.25">
      <c r="A1763" t="s">
        <v>137</v>
      </c>
      <c r="B1763" t="s">
        <v>193</v>
      </c>
      <c r="C1763" t="s">
        <v>94</v>
      </c>
      <c r="D1763">
        <v>0</v>
      </c>
      <c r="E1763">
        <v>2054220000000</v>
      </c>
      <c r="F1763">
        <v>2499490000000</v>
      </c>
      <c r="G1763" s="10">
        <f t="shared" si="27"/>
        <v>1517903333333.3333</v>
      </c>
      <c r="H1763" t="str">
        <f>$A1763&amp;Keys!$C$54&amp;$B1763&amp;Keys!$C$54&amp;$C1763</f>
        <v>NH|exports|biofuel diesel</v>
      </c>
    </row>
    <row r="1764" spans="1:8" x14ac:dyDescent="0.25">
      <c r="A1764" t="s">
        <v>137</v>
      </c>
      <c r="B1764" t="s">
        <v>193</v>
      </c>
      <c r="C1764" t="s">
        <v>97</v>
      </c>
      <c r="D1764">
        <v>0</v>
      </c>
      <c r="E1764">
        <v>0</v>
      </c>
      <c r="F1764">
        <v>0</v>
      </c>
      <c r="G1764" s="10">
        <f t="shared" si="27"/>
        <v>0</v>
      </c>
      <c r="H1764" t="str">
        <f>$A1764&amp;Keys!$C$54&amp;$B1764&amp;Keys!$C$54&amp;$C1764</f>
        <v>NH|exports|jet fuel or kerosene</v>
      </c>
    </row>
    <row r="1765" spans="1:8" x14ac:dyDescent="0.25">
      <c r="A1765" t="s">
        <v>137</v>
      </c>
      <c r="B1765" t="s">
        <v>193</v>
      </c>
      <c r="C1765" t="s">
        <v>100</v>
      </c>
      <c r="D1765">
        <v>0</v>
      </c>
      <c r="E1765">
        <v>0</v>
      </c>
      <c r="F1765">
        <v>0</v>
      </c>
      <c r="G1765" s="10">
        <f t="shared" si="27"/>
        <v>0</v>
      </c>
      <c r="H1765" t="str">
        <f>$A1765&amp;Keys!$C$54&amp;$B1765&amp;Keys!$C$54&amp;$C1765</f>
        <v>NH|exports|heat (not used in this variable)</v>
      </c>
    </row>
    <row r="1766" spans="1:8" x14ac:dyDescent="0.25">
      <c r="A1766" t="s">
        <v>137</v>
      </c>
      <c r="B1766" t="s">
        <v>193</v>
      </c>
      <c r="C1766" t="s">
        <v>103</v>
      </c>
      <c r="D1766">
        <v>0</v>
      </c>
      <c r="E1766">
        <v>0</v>
      </c>
      <c r="F1766">
        <v>0</v>
      </c>
      <c r="G1766" s="10">
        <f t="shared" si="27"/>
        <v>0</v>
      </c>
      <c r="H1766" t="str">
        <f>$A1766&amp;Keys!$C$54&amp;$B1766&amp;Keys!$C$54&amp;$C1766</f>
        <v>NH|exports|geothermal (is not a fuel)</v>
      </c>
    </row>
    <row r="1767" spans="1:8" x14ac:dyDescent="0.25">
      <c r="A1767" t="s">
        <v>137</v>
      </c>
      <c r="B1767" t="s">
        <v>193</v>
      </c>
      <c r="C1767" t="s">
        <v>106</v>
      </c>
      <c r="D1767">
        <v>0</v>
      </c>
      <c r="E1767">
        <v>0</v>
      </c>
      <c r="F1767">
        <v>0</v>
      </c>
      <c r="G1767" s="10">
        <f t="shared" si="27"/>
        <v>0</v>
      </c>
      <c r="H1767" t="str">
        <f>$A1767&amp;Keys!$C$54&amp;$B1767&amp;Keys!$C$54&amp;$C1767</f>
        <v>NH|exports|lignite</v>
      </c>
    </row>
    <row r="1768" spans="1:8" x14ac:dyDescent="0.25">
      <c r="A1768" t="s">
        <v>137</v>
      </c>
      <c r="B1768" t="s">
        <v>193</v>
      </c>
      <c r="C1768" t="s">
        <v>109</v>
      </c>
      <c r="D1768">
        <v>0</v>
      </c>
      <c r="E1768">
        <v>0</v>
      </c>
      <c r="F1768">
        <v>0</v>
      </c>
      <c r="G1768" s="10">
        <f t="shared" si="27"/>
        <v>0</v>
      </c>
      <c r="H1768" t="str">
        <f>$A1768&amp;Keys!$C$54&amp;$B1768&amp;Keys!$C$54&amp;$C1768</f>
        <v>NH|exports|crude oil</v>
      </c>
    </row>
    <row r="1769" spans="1:8" x14ac:dyDescent="0.25">
      <c r="A1769" t="s">
        <v>137</v>
      </c>
      <c r="B1769" t="s">
        <v>193</v>
      </c>
      <c r="C1769" t="s">
        <v>113</v>
      </c>
      <c r="D1769">
        <v>0</v>
      </c>
      <c r="E1769">
        <v>0</v>
      </c>
      <c r="F1769">
        <v>0</v>
      </c>
      <c r="G1769" s="10">
        <f t="shared" si="27"/>
        <v>0</v>
      </c>
      <c r="H1769" t="str">
        <f>$A1769&amp;Keys!$C$54&amp;$B1769&amp;Keys!$C$54&amp;$C1769</f>
        <v>NH|exports|heavy fuel oil</v>
      </c>
    </row>
    <row r="1770" spans="1:8" x14ac:dyDescent="0.25">
      <c r="A1770" t="s">
        <v>137</v>
      </c>
      <c r="B1770" t="s">
        <v>193</v>
      </c>
      <c r="C1770" t="s">
        <v>117</v>
      </c>
      <c r="D1770">
        <v>0</v>
      </c>
      <c r="E1770">
        <v>0</v>
      </c>
      <c r="F1770">
        <v>0</v>
      </c>
      <c r="G1770" s="10">
        <f t="shared" si="27"/>
        <v>0</v>
      </c>
      <c r="H1770" t="str">
        <f>$A1770&amp;Keys!$C$54&amp;$B1770&amp;Keys!$C$54&amp;$C1770</f>
        <v>NH|exports|LPG propane or butane</v>
      </c>
    </row>
    <row r="1771" spans="1:8" x14ac:dyDescent="0.25">
      <c r="A1771" t="s">
        <v>137</v>
      </c>
      <c r="B1771" t="s">
        <v>193</v>
      </c>
      <c r="C1771" t="s">
        <v>120</v>
      </c>
      <c r="D1771">
        <v>0</v>
      </c>
      <c r="E1771">
        <v>0</v>
      </c>
      <c r="F1771">
        <v>0</v>
      </c>
      <c r="G1771" s="10">
        <f t="shared" si="27"/>
        <v>0</v>
      </c>
      <c r="H1771" t="str">
        <f>$A1771&amp;Keys!$C$54&amp;$B1771&amp;Keys!$C$54&amp;$C1771</f>
        <v>NH|exports|municipal solid waste</v>
      </c>
    </row>
    <row r="1772" spans="1:8" x14ac:dyDescent="0.25">
      <c r="A1772" t="s">
        <v>137</v>
      </c>
      <c r="B1772" t="s">
        <v>193</v>
      </c>
      <c r="C1772" t="s">
        <v>123</v>
      </c>
      <c r="D1772">
        <v>0</v>
      </c>
      <c r="E1772">
        <v>0</v>
      </c>
      <c r="F1772">
        <v>0</v>
      </c>
      <c r="G1772" s="10">
        <f t="shared" si="27"/>
        <v>0</v>
      </c>
      <c r="H1772" t="str">
        <f>$A1772&amp;Keys!$C$54&amp;$B1772&amp;Keys!$C$54&amp;$C1772</f>
        <v>NH|exports|hydrogen</v>
      </c>
    </row>
    <row r="1773" spans="1:8" x14ac:dyDescent="0.25">
      <c r="A1773" t="s">
        <v>139</v>
      </c>
      <c r="B1773" t="s">
        <v>188</v>
      </c>
      <c r="C1773" t="s">
        <v>60</v>
      </c>
      <c r="D1773">
        <v>0</v>
      </c>
      <c r="E1773">
        <v>0</v>
      </c>
      <c r="F1773">
        <v>0</v>
      </c>
      <c r="G1773" s="10">
        <f t="shared" si="27"/>
        <v>0</v>
      </c>
      <c r="H1773" t="str">
        <f>$A1773&amp;Keys!$C$54&amp;$B1773&amp;Keys!$C$54&amp;$C1773</f>
        <v>NJ|production|electricity (not used in this variable)</v>
      </c>
    </row>
    <row r="1774" spans="1:8" x14ac:dyDescent="0.25">
      <c r="A1774" t="s">
        <v>139</v>
      </c>
      <c r="B1774" t="s">
        <v>188</v>
      </c>
      <c r="C1774" t="s">
        <v>64</v>
      </c>
      <c r="D1774">
        <v>0</v>
      </c>
      <c r="E1774">
        <v>0</v>
      </c>
      <c r="F1774">
        <v>0</v>
      </c>
      <c r="G1774" s="10">
        <f t="shared" si="27"/>
        <v>0</v>
      </c>
      <c r="H1774" t="str">
        <f>$A1774&amp;Keys!$C$54&amp;$B1774&amp;Keys!$C$54&amp;$C1774</f>
        <v>NJ|production|hard coal</v>
      </c>
    </row>
    <row r="1775" spans="1:8" x14ac:dyDescent="0.25">
      <c r="A1775" t="s">
        <v>139</v>
      </c>
      <c r="B1775" t="s">
        <v>188</v>
      </c>
      <c r="C1775" t="s">
        <v>68</v>
      </c>
      <c r="D1775">
        <v>0</v>
      </c>
      <c r="E1775">
        <v>0</v>
      </c>
      <c r="F1775">
        <v>0</v>
      </c>
      <c r="G1775" s="10">
        <f t="shared" si="27"/>
        <v>0</v>
      </c>
      <c r="H1775" t="str">
        <f>$A1775&amp;Keys!$C$54&amp;$B1775&amp;Keys!$C$54&amp;$C1775</f>
        <v>NJ|production|natural gas</v>
      </c>
    </row>
    <row r="1776" spans="1:8" x14ac:dyDescent="0.25">
      <c r="A1776" t="s">
        <v>139</v>
      </c>
      <c r="B1776" t="s">
        <v>188</v>
      </c>
      <c r="C1776" t="s">
        <v>71</v>
      </c>
      <c r="D1776">
        <v>0</v>
      </c>
      <c r="E1776">
        <v>0</v>
      </c>
      <c r="F1776">
        <v>0</v>
      </c>
      <c r="G1776" s="10">
        <f t="shared" si="27"/>
        <v>0</v>
      </c>
      <c r="H1776" t="str">
        <f>$A1776&amp;Keys!$C$54&amp;$B1776&amp;Keys!$C$54&amp;$C1776</f>
        <v>NJ|production|nuclear</v>
      </c>
    </row>
    <row r="1777" spans="1:8" x14ac:dyDescent="0.25">
      <c r="A1777" t="s">
        <v>139</v>
      </c>
      <c r="B1777" t="s">
        <v>188</v>
      </c>
      <c r="C1777" t="s">
        <v>74</v>
      </c>
      <c r="D1777">
        <v>0</v>
      </c>
      <c r="E1777">
        <v>0</v>
      </c>
      <c r="F1777">
        <v>0</v>
      </c>
      <c r="G1777" s="10">
        <f t="shared" si="27"/>
        <v>0</v>
      </c>
      <c r="H1777" t="str">
        <f>$A1777&amp;Keys!$C$54&amp;$B1777&amp;Keys!$C$54&amp;$C1777</f>
        <v>NJ|production|hydro (is not a fuel)</v>
      </c>
    </row>
    <row r="1778" spans="1:8" x14ac:dyDescent="0.25">
      <c r="A1778" t="s">
        <v>139</v>
      </c>
      <c r="B1778" t="s">
        <v>188</v>
      </c>
      <c r="C1778" t="s">
        <v>77</v>
      </c>
      <c r="D1778">
        <v>0</v>
      </c>
      <c r="E1778">
        <v>0</v>
      </c>
      <c r="F1778">
        <v>0</v>
      </c>
      <c r="G1778" s="10">
        <f t="shared" si="27"/>
        <v>0</v>
      </c>
      <c r="H1778" t="str">
        <f>$A1778&amp;Keys!$C$54&amp;$B1778&amp;Keys!$C$54&amp;$C1778</f>
        <v>NJ|production|wind (is not a fuel)</v>
      </c>
    </row>
    <row r="1779" spans="1:8" x14ac:dyDescent="0.25">
      <c r="A1779" t="s">
        <v>139</v>
      </c>
      <c r="B1779" t="s">
        <v>188</v>
      </c>
      <c r="C1779" t="s">
        <v>80</v>
      </c>
      <c r="D1779">
        <v>0</v>
      </c>
      <c r="E1779">
        <v>0</v>
      </c>
      <c r="F1779">
        <v>0</v>
      </c>
      <c r="G1779" s="10">
        <f t="shared" si="27"/>
        <v>0</v>
      </c>
      <c r="H1779" t="str">
        <f>$A1779&amp;Keys!$C$54&amp;$B1779&amp;Keys!$C$54&amp;$C1779</f>
        <v>NJ|production|solar (is not a fuel)</v>
      </c>
    </row>
    <row r="1780" spans="1:8" x14ac:dyDescent="0.25">
      <c r="A1780" t="s">
        <v>139</v>
      </c>
      <c r="B1780" t="s">
        <v>188</v>
      </c>
      <c r="C1780" t="s">
        <v>82</v>
      </c>
      <c r="D1780">
        <v>0</v>
      </c>
      <c r="E1780">
        <v>0</v>
      </c>
      <c r="F1780">
        <v>0</v>
      </c>
      <c r="G1780" s="10">
        <f t="shared" si="27"/>
        <v>0</v>
      </c>
      <c r="H1780" t="str">
        <f>$A1780&amp;Keys!$C$54&amp;$B1780&amp;Keys!$C$54&amp;$C1780</f>
        <v>NJ|production|biomass</v>
      </c>
    </row>
    <row r="1781" spans="1:8" x14ac:dyDescent="0.25">
      <c r="A1781" t="s">
        <v>139</v>
      </c>
      <c r="B1781" t="s">
        <v>188</v>
      </c>
      <c r="C1781" t="s">
        <v>85</v>
      </c>
      <c r="D1781">
        <v>347924000000000</v>
      </c>
      <c r="E1781">
        <v>347924000000000</v>
      </c>
      <c r="F1781">
        <v>339491000000000</v>
      </c>
      <c r="G1781" s="10">
        <f t="shared" si="27"/>
        <v>345113000000000</v>
      </c>
      <c r="H1781" t="str">
        <f>$A1781&amp;Keys!$C$54&amp;$B1781&amp;Keys!$C$54&amp;$C1781</f>
        <v>NJ|production|petroleum gasoline</v>
      </c>
    </row>
    <row r="1782" spans="1:8" x14ac:dyDescent="0.25">
      <c r="A1782" t="s">
        <v>139</v>
      </c>
      <c r="B1782" t="s">
        <v>188</v>
      </c>
      <c r="C1782" t="s">
        <v>88</v>
      </c>
      <c r="D1782">
        <v>205803000000000</v>
      </c>
      <c r="E1782">
        <v>205803000000000</v>
      </c>
      <c r="F1782">
        <v>200814000000000</v>
      </c>
      <c r="G1782" s="10">
        <f t="shared" si="27"/>
        <v>204140000000000</v>
      </c>
      <c r="H1782" t="str">
        <f>$A1782&amp;Keys!$C$54&amp;$B1782&amp;Keys!$C$54&amp;$C1782</f>
        <v>NJ|production|petroleum diesel</v>
      </c>
    </row>
    <row r="1783" spans="1:8" x14ac:dyDescent="0.25">
      <c r="A1783" t="s">
        <v>139</v>
      </c>
      <c r="B1783" t="s">
        <v>188</v>
      </c>
      <c r="C1783" t="s">
        <v>91</v>
      </c>
      <c r="D1783">
        <v>0</v>
      </c>
      <c r="E1783">
        <v>0</v>
      </c>
      <c r="F1783">
        <v>0</v>
      </c>
      <c r="G1783" s="10">
        <f t="shared" si="27"/>
        <v>0</v>
      </c>
      <c r="H1783" t="str">
        <f>$A1783&amp;Keys!$C$54&amp;$B1783&amp;Keys!$C$54&amp;$C1783</f>
        <v>NJ|production|biofuel gasoline</v>
      </c>
    </row>
    <row r="1784" spans="1:8" x14ac:dyDescent="0.25">
      <c r="A1784" t="s">
        <v>139</v>
      </c>
      <c r="B1784" t="s">
        <v>188</v>
      </c>
      <c r="C1784" t="s">
        <v>94</v>
      </c>
      <c r="D1784">
        <v>0</v>
      </c>
      <c r="E1784">
        <v>0</v>
      </c>
      <c r="F1784">
        <v>0</v>
      </c>
      <c r="G1784" s="10">
        <f t="shared" si="27"/>
        <v>0</v>
      </c>
      <c r="H1784" t="str">
        <f>$A1784&amp;Keys!$C$54&amp;$B1784&amp;Keys!$C$54&amp;$C1784</f>
        <v>NJ|production|biofuel diesel</v>
      </c>
    </row>
    <row r="1785" spans="1:8" x14ac:dyDescent="0.25">
      <c r="A1785" t="s">
        <v>139</v>
      </c>
      <c r="B1785" t="s">
        <v>188</v>
      </c>
      <c r="C1785" t="s">
        <v>97</v>
      </c>
      <c r="D1785">
        <v>73261500000000</v>
      </c>
      <c r="E1785">
        <v>73261500000000</v>
      </c>
      <c r="F1785">
        <v>71485800000000</v>
      </c>
      <c r="G1785" s="10">
        <f t="shared" si="27"/>
        <v>72669600000000</v>
      </c>
      <c r="H1785" t="str">
        <f>$A1785&amp;Keys!$C$54&amp;$B1785&amp;Keys!$C$54&amp;$C1785</f>
        <v>NJ|production|jet fuel or kerosene</v>
      </c>
    </row>
    <row r="1786" spans="1:8" x14ac:dyDescent="0.25">
      <c r="A1786" t="s">
        <v>139</v>
      </c>
      <c r="B1786" t="s">
        <v>188</v>
      </c>
      <c r="C1786" t="s">
        <v>100</v>
      </c>
      <c r="D1786">
        <v>0</v>
      </c>
      <c r="E1786">
        <v>0</v>
      </c>
      <c r="F1786">
        <v>0</v>
      </c>
      <c r="G1786" s="10">
        <f t="shared" si="27"/>
        <v>0</v>
      </c>
      <c r="H1786" t="str">
        <f>$A1786&amp;Keys!$C$54&amp;$B1786&amp;Keys!$C$54&amp;$C1786</f>
        <v>NJ|production|heat (not used in this variable)</v>
      </c>
    </row>
    <row r="1787" spans="1:8" x14ac:dyDescent="0.25">
      <c r="A1787" t="s">
        <v>139</v>
      </c>
      <c r="B1787" t="s">
        <v>188</v>
      </c>
      <c r="C1787" t="s">
        <v>103</v>
      </c>
      <c r="D1787">
        <v>0</v>
      </c>
      <c r="E1787">
        <v>0</v>
      </c>
      <c r="F1787">
        <v>0</v>
      </c>
      <c r="G1787" s="10">
        <f t="shared" si="27"/>
        <v>0</v>
      </c>
      <c r="H1787" t="str">
        <f>$A1787&amp;Keys!$C$54&amp;$B1787&amp;Keys!$C$54&amp;$C1787</f>
        <v>NJ|production|geothermal (is not a fuel)</v>
      </c>
    </row>
    <row r="1788" spans="1:8" x14ac:dyDescent="0.25">
      <c r="A1788" t="s">
        <v>139</v>
      </c>
      <c r="B1788" t="s">
        <v>188</v>
      </c>
      <c r="C1788" t="s">
        <v>106</v>
      </c>
      <c r="D1788">
        <v>0</v>
      </c>
      <c r="E1788">
        <v>0</v>
      </c>
      <c r="F1788">
        <v>0</v>
      </c>
      <c r="G1788" s="10">
        <f t="shared" si="27"/>
        <v>0</v>
      </c>
      <c r="H1788" t="str">
        <f>$A1788&amp;Keys!$C$54&amp;$B1788&amp;Keys!$C$54&amp;$C1788</f>
        <v>NJ|production|lignite</v>
      </c>
    </row>
    <row r="1789" spans="1:8" x14ac:dyDescent="0.25">
      <c r="A1789" t="s">
        <v>139</v>
      </c>
      <c r="B1789" t="s">
        <v>188</v>
      </c>
      <c r="C1789" t="s">
        <v>109</v>
      </c>
      <c r="D1789">
        <v>0</v>
      </c>
      <c r="E1789">
        <v>0</v>
      </c>
      <c r="F1789">
        <v>0</v>
      </c>
      <c r="G1789" s="10">
        <f t="shared" si="27"/>
        <v>0</v>
      </c>
      <c r="H1789" t="str">
        <f>$A1789&amp;Keys!$C$54&amp;$B1789&amp;Keys!$C$54&amp;$C1789</f>
        <v>NJ|production|crude oil</v>
      </c>
    </row>
    <row r="1790" spans="1:8" x14ac:dyDescent="0.25">
      <c r="A1790" t="s">
        <v>139</v>
      </c>
      <c r="B1790" t="s">
        <v>188</v>
      </c>
      <c r="C1790" t="s">
        <v>113</v>
      </c>
      <c r="D1790">
        <v>14231300000000</v>
      </c>
      <c r="E1790">
        <v>14231300000000</v>
      </c>
      <c r="F1790">
        <v>13886400000000</v>
      </c>
      <c r="G1790" s="10">
        <f t="shared" si="27"/>
        <v>14116333333333.334</v>
      </c>
      <c r="H1790" t="str">
        <f>$A1790&amp;Keys!$C$54&amp;$B1790&amp;Keys!$C$54&amp;$C1790</f>
        <v>NJ|production|heavy fuel oil</v>
      </c>
    </row>
    <row r="1791" spans="1:8" x14ac:dyDescent="0.25">
      <c r="A1791" t="s">
        <v>139</v>
      </c>
      <c r="B1791" t="s">
        <v>188</v>
      </c>
      <c r="C1791" t="s">
        <v>117</v>
      </c>
      <c r="D1791">
        <v>0</v>
      </c>
      <c r="E1791">
        <v>0</v>
      </c>
      <c r="F1791">
        <v>0</v>
      </c>
      <c r="G1791" s="10">
        <f t="shared" si="27"/>
        <v>0</v>
      </c>
      <c r="H1791" t="str">
        <f>$A1791&amp;Keys!$C$54&amp;$B1791&amp;Keys!$C$54&amp;$C1791</f>
        <v>NJ|production|LPG propane or butane</v>
      </c>
    </row>
    <row r="1792" spans="1:8" x14ac:dyDescent="0.25">
      <c r="A1792" t="s">
        <v>139</v>
      </c>
      <c r="B1792" t="s">
        <v>188</v>
      </c>
      <c r="C1792" t="s">
        <v>120</v>
      </c>
      <c r="D1792">
        <v>0</v>
      </c>
      <c r="E1792">
        <v>0</v>
      </c>
      <c r="F1792">
        <v>0</v>
      </c>
      <c r="G1792" s="10">
        <f t="shared" si="27"/>
        <v>0</v>
      </c>
      <c r="H1792" t="str">
        <f>$A1792&amp;Keys!$C$54&amp;$B1792&amp;Keys!$C$54&amp;$C1792</f>
        <v>NJ|production|municipal solid waste</v>
      </c>
    </row>
    <row r="1793" spans="1:8" x14ac:dyDescent="0.25">
      <c r="A1793" t="s">
        <v>139</v>
      </c>
      <c r="B1793" t="s">
        <v>188</v>
      </c>
      <c r="C1793" t="s">
        <v>123</v>
      </c>
      <c r="D1793">
        <v>3677380000000</v>
      </c>
      <c r="E1793">
        <v>3677380000000</v>
      </c>
      <c r="F1793">
        <v>3492380000000</v>
      </c>
      <c r="G1793" s="10">
        <f t="shared" si="27"/>
        <v>3615713333333.3335</v>
      </c>
      <c r="H1793" t="str">
        <f>$A1793&amp;Keys!$C$54&amp;$B1793&amp;Keys!$C$54&amp;$C1793</f>
        <v>NJ|production|hydrogen</v>
      </c>
    </row>
    <row r="1794" spans="1:8" x14ac:dyDescent="0.25">
      <c r="A1794" t="s">
        <v>139</v>
      </c>
      <c r="B1794" t="s">
        <v>191</v>
      </c>
      <c r="C1794" t="s">
        <v>60</v>
      </c>
      <c r="D1794">
        <v>0</v>
      </c>
      <c r="E1794">
        <v>0</v>
      </c>
      <c r="F1794">
        <v>0</v>
      </c>
      <c r="G1794" s="10">
        <f t="shared" si="27"/>
        <v>0</v>
      </c>
      <c r="H1794" t="str">
        <f>$A1794&amp;Keys!$C$54&amp;$B1794&amp;Keys!$C$54&amp;$C1794</f>
        <v>NJ|imports|electricity (not used in this variable)</v>
      </c>
    </row>
    <row r="1795" spans="1:8" x14ac:dyDescent="0.25">
      <c r="A1795" t="s">
        <v>139</v>
      </c>
      <c r="B1795" t="s">
        <v>191</v>
      </c>
      <c r="C1795" t="s">
        <v>64</v>
      </c>
      <c r="D1795">
        <v>0</v>
      </c>
      <c r="E1795">
        <v>0</v>
      </c>
      <c r="F1795">
        <v>0</v>
      </c>
      <c r="G1795" s="10">
        <f t="shared" si="27"/>
        <v>0</v>
      </c>
      <c r="H1795" t="str">
        <f>$A1795&amp;Keys!$C$54&amp;$B1795&amp;Keys!$C$54&amp;$C1795</f>
        <v>NJ|imports|hard coal</v>
      </c>
    </row>
    <row r="1796" spans="1:8" x14ac:dyDescent="0.25">
      <c r="A1796" t="s">
        <v>139</v>
      </c>
      <c r="B1796" t="s">
        <v>191</v>
      </c>
      <c r="C1796" t="s">
        <v>68</v>
      </c>
      <c r="D1796">
        <v>1669410000000000</v>
      </c>
      <c r="E1796">
        <v>1447870000000000</v>
      </c>
      <c r="F1796">
        <v>1446510000000000</v>
      </c>
      <c r="G1796" s="10">
        <f t="shared" si="27"/>
        <v>1521263333333333.3</v>
      </c>
      <c r="H1796" t="str">
        <f>$A1796&amp;Keys!$C$54&amp;$B1796&amp;Keys!$C$54&amp;$C1796</f>
        <v>NJ|imports|natural gas</v>
      </c>
    </row>
    <row r="1797" spans="1:8" x14ac:dyDescent="0.25">
      <c r="A1797" t="s">
        <v>139</v>
      </c>
      <c r="B1797" t="s">
        <v>191</v>
      </c>
      <c r="C1797" t="s">
        <v>71</v>
      </c>
      <c r="D1797">
        <v>289029000000000</v>
      </c>
      <c r="E1797">
        <v>291453000000000</v>
      </c>
      <c r="F1797">
        <v>290304000000000</v>
      </c>
      <c r="G1797" s="10">
        <f t="shared" si="27"/>
        <v>290262000000000</v>
      </c>
      <c r="H1797" t="str">
        <f>$A1797&amp;Keys!$C$54&amp;$B1797&amp;Keys!$C$54&amp;$C1797</f>
        <v>NJ|imports|nuclear</v>
      </c>
    </row>
    <row r="1798" spans="1:8" x14ac:dyDescent="0.25">
      <c r="A1798" t="s">
        <v>139</v>
      </c>
      <c r="B1798" t="s">
        <v>191</v>
      </c>
      <c r="C1798" t="s">
        <v>74</v>
      </c>
      <c r="D1798">
        <v>0</v>
      </c>
      <c r="E1798">
        <v>0</v>
      </c>
      <c r="F1798">
        <v>0</v>
      </c>
      <c r="G1798" s="10">
        <f t="shared" si="27"/>
        <v>0</v>
      </c>
      <c r="H1798" t="str">
        <f>$A1798&amp;Keys!$C$54&amp;$B1798&amp;Keys!$C$54&amp;$C1798</f>
        <v>NJ|imports|hydro (is not a fuel)</v>
      </c>
    </row>
    <row r="1799" spans="1:8" x14ac:dyDescent="0.25">
      <c r="A1799" t="s">
        <v>139</v>
      </c>
      <c r="B1799" t="s">
        <v>191</v>
      </c>
      <c r="C1799" t="s">
        <v>77</v>
      </c>
      <c r="D1799">
        <v>0</v>
      </c>
      <c r="E1799">
        <v>0</v>
      </c>
      <c r="F1799">
        <v>0</v>
      </c>
      <c r="G1799" s="10">
        <f t="shared" si="27"/>
        <v>0</v>
      </c>
      <c r="H1799" t="str">
        <f>$A1799&amp;Keys!$C$54&amp;$B1799&amp;Keys!$C$54&amp;$C1799</f>
        <v>NJ|imports|wind (is not a fuel)</v>
      </c>
    </row>
    <row r="1800" spans="1:8" x14ac:dyDescent="0.25">
      <c r="A1800" t="s">
        <v>139</v>
      </c>
      <c r="B1800" t="s">
        <v>191</v>
      </c>
      <c r="C1800" t="s">
        <v>80</v>
      </c>
      <c r="D1800">
        <v>0</v>
      </c>
      <c r="E1800">
        <v>0</v>
      </c>
      <c r="F1800">
        <v>0</v>
      </c>
      <c r="G1800" s="10">
        <f t="shared" si="27"/>
        <v>0</v>
      </c>
      <c r="H1800" t="str">
        <f>$A1800&amp;Keys!$C$54&amp;$B1800&amp;Keys!$C$54&amp;$C1800</f>
        <v>NJ|imports|solar (is not a fuel)</v>
      </c>
    </row>
    <row r="1801" spans="1:8" x14ac:dyDescent="0.25">
      <c r="A1801" t="s">
        <v>139</v>
      </c>
      <c r="B1801" t="s">
        <v>191</v>
      </c>
      <c r="C1801" t="s">
        <v>82</v>
      </c>
      <c r="D1801">
        <v>0</v>
      </c>
      <c r="E1801">
        <v>17212700000000</v>
      </c>
      <c r="F1801">
        <v>16697700000000</v>
      </c>
      <c r="G1801" s="10">
        <f t="shared" ref="G1801:G1864" si="28">AVERAGE($D1801:$F1801)</f>
        <v>11303466666666.666</v>
      </c>
      <c r="H1801" t="str">
        <f>$A1801&amp;Keys!$C$54&amp;$B1801&amp;Keys!$C$54&amp;$C1801</f>
        <v>NJ|imports|biomass</v>
      </c>
    </row>
    <row r="1802" spans="1:8" x14ac:dyDescent="0.25">
      <c r="A1802" t="s">
        <v>139</v>
      </c>
      <c r="B1802" t="s">
        <v>191</v>
      </c>
      <c r="C1802" t="s">
        <v>85</v>
      </c>
      <c r="D1802">
        <v>0</v>
      </c>
      <c r="E1802">
        <v>8816200000000</v>
      </c>
      <c r="F1802">
        <v>11915300000000</v>
      </c>
      <c r="G1802" s="10">
        <f t="shared" si="28"/>
        <v>6910500000000</v>
      </c>
      <c r="H1802" t="str">
        <f>$A1802&amp;Keys!$C$54&amp;$B1802&amp;Keys!$C$54&amp;$C1802</f>
        <v>NJ|imports|petroleum gasoline</v>
      </c>
    </row>
    <row r="1803" spans="1:8" x14ac:dyDescent="0.25">
      <c r="A1803" t="s">
        <v>139</v>
      </c>
      <c r="B1803" t="s">
        <v>191</v>
      </c>
      <c r="C1803" t="s">
        <v>88</v>
      </c>
      <c r="D1803">
        <v>0</v>
      </c>
      <c r="E1803">
        <v>22699900000000</v>
      </c>
      <c r="F1803">
        <v>24421300000000</v>
      </c>
      <c r="G1803" s="10">
        <f t="shared" si="28"/>
        <v>15707066666666.666</v>
      </c>
      <c r="H1803" t="str">
        <f>$A1803&amp;Keys!$C$54&amp;$B1803&amp;Keys!$C$54&amp;$C1803</f>
        <v>NJ|imports|petroleum diesel</v>
      </c>
    </row>
    <row r="1804" spans="1:8" x14ac:dyDescent="0.25">
      <c r="A1804" t="s">
        <v>139</v>
      </c>
      <c r="B1804" t="s">
        <v>191</v>
      </c>
      <c r="C1804" t="s">
        <v>91</v>
      </c>
      <c r="D1804">
        <v>0</v>
      </c>
      <c r="E1804">
        <v>26165300000000</v>
      </c>
      <c r="F1804">
        <v>25777200000000</v>
      </c>
      <c r="G1804" s="10">
        <f t="shared" si="28"/>
        <v>17314166666666.666</v>
      </c>
      <c r="H1804" t="str">
        <f>$A1804&amp;Keys!$C$54&amp;$B1804&amp;Keys!$C$54&amp;$C1804</f>
        <v>NJ|imports|biofuel gasoline</v>
      </c>
    </row>
    <row r="1805" spans="1:8" x14ac:dyDescent="0.25">
      <c r="A1805" t="s">
        <v>139</v>
      </c>
      <c r="B1805" t="s">
        <v>191</v>
      </c>
      <c r="C1805" t="s">
        <v>94</v>
      </c>
      <c r="D1805">
        <v>0</v>
      </c>
      <c r="E1805">
        <v>1028830000000</v>
      </c>
      <c r="F1805">
        <v>1038440000000</v>
      </c>
      <c r="G1805" s="10">
        <f t="shared" si="28"/>
        <v>689090000000</v>
      </c>
      <c r="H1805" t="str">
        <f>$A1805&amp;Keys!$C$54&amp;$B1805&amp;Keys!$C$54&amp;$C1805</f>
        <v>NJ|imports|biofuel diesel</v>
      </c>
    </row>
    <row r="1806" spans="1:8" x14ac:dyDescent="0.25">
      <c r="A1806" t="s">
        <v>139</v>
      </c>
      <c r="B1806" t="s">
        <v>191</v>
      </c>
      <c r="C1806" t="s">
        <v>97</v>
      </c>
      <c r="D1806">
        <v>0</v>
      </c>
      <c r="E1806">
        <v>42727300000000</v>
      </c>
      <c r="F1806">
        <v>46249200000000</v>
      </c>
      <c r="G1806" s="10">
        <f t="shared" si="28"/>
        <v>29658833333333.332</v>
      </c>
      <c r="H1806" t="str">
        <f>$A1806&amp;Keys!$C$54&amp;$B1806&amp;Keys!$C$54&amp;$C1806</f>
        <v>NJ|imports|jet fuel or kerosene</v>
      </c>
    </row>
    <row r="1807" spans="1:8" x14ac:dyDescent="0.25">
      <c r="A1807" t="s">
        <v>139</v>
      </c>
      <c r="B1807" t="s">
        <v>191</v>
      </c>
      <c r="C1807" t="s">
        <v>100</v>
      </c>
      <c r="D1807">
        <v>0</v>
      </c>
      <c r="E1807">
        <v>0</v>
      </c>
      <c r="F1807">
        <v>0</v>
      </c>
      <c r="G1807" s="10">
        <f t="shared" si="28"/>
        <v>0</v>
      </c>
      <c r="H1807" t="str">
        <f>$A1807&amp;Keys!$C$54&amp;$B1807&amp;Keys!$C$54&amp;$C1807</f>
        <v>NJ|imports|heat (not used in this variable)</v>
      </c>
    </row>
    <row r="1808" spans="1:8" x14ac:dyDescent="0.25">
      <c r="A1808" t="s">
        <v>139</v>
      </c>
      <c r="B1808" t="s">
        <v>191</v>
      </c>
      <c r="C1808" t="s">
        <v>103</v>
      </c>
      <c r="D1808">
        <v>0</v>
      </c>
      <c r="E1808">
        <v>0</v>
      </c>
      <c r="F1808">
        <v>0</v>
      </c>
      <c r="G1808" s="10">
        <f t="shared" si="28"/>
        <v>0</v>
      </c>
      <c r="H1808" t="str">
        <f>$A1808&amp;Keys!$C$54&amp;$B1808&amp;Keys!$C$54&amp;$C1808</f>
        <v>NJ|imports|geothermal (is not a fuel)</v>
      </c>
    </row>
    <row r="1809" spans="1:8" x14ac:dyDescent="0.25">
      <c r="A1809" t="s">
        <v>139</v>
      </c>
      <c r="B1809" t="s">
        <v>191</v>
      </c>
      <c r="C1809" t="s">
        <v>106</v>
      </c>
      <c r="D1809">
        <v>0</v>
      </c>
      <c r="E1809">
        <v>0</v>
      </c>
      <c r="F1809">
        <v>0</v>
      </c>
      <c r="G1809" s="10">
        <f t="shared" si="28"/>
        <v>0</v>
      </c>
      <c r="H1809" t="str">
        <f>$A1809&amp;Keys!$C$54&amp;$B1809&amp;Keys!$C$54&amp;$C1809</f>
        <v>NJ|imports|lignite</v>
      </c>
    </row>
    <row r="1810" spans="1:8" x14ac:dyDescent="0.25">
      <c r="A1810" t="s">
        <v>139</v>
      </c>
      <c r="B1810" t="s">
        <v>191</v>
      </c>
      <c r="C1810" t="s">
        <v>109</v>
      </c>
      <c r="D1810">
        <v>0</v>
      </c>
      <c r="E1810">
        <v>752684000000000</v>
      </c>
      <c r="F1810">
        <v>752684000000000</v>
      </c>
      <c r="G1810" s="10">
        <f t="shared" si="28"/>
        <v>501789333333333.31</v>
      </c>
      <c r="H1810" t="str">
        <f>$A1810&amp;Keys!$C$54&amp;$B1810&amp;Keys!$C$54&amp;$C1810</f>
        <v>NJ|imports|crude oil</v>
      </c>
    </row>
    <row r="1811" spans="1:8" x14ac:dyDescent="0.25">
      <c r="A1811" t="s">
        <v>139</v>
      </c>
      <c r="B1811" t="s">
        <v>191</v>
      </c>
      <c r="C1811" t="s">
        <v>113</v>
      </c>
      <c r="D1811">
        <v>0</v>
      </c>
      <c r="E1811">
        <v>38076500000000</v>
      </c>
      <c r="F1811">
        <v>37994400000000</v>
      </c>
      <c r="G1811" s="10">
        <f t="shared" si="28"/>
        <v>25356966666666.668</v>
      </c>
      <c r="H1811" t="str">
        <f>$A1811&amp;Keys!$C$54&amp;$B1811&amp;Keys!$C$54&amp;$C1811</f>
        <v>NJ|imports|heavy fuel oil</v>
      </c>
    </row>
    <row r="1812" spans="1:8" x14ac:dyDescent="0.25">
      <c r="A1812" t="s">
        <v>139</v>
      </c>
      <c r="B1812" t="s">
        <v>191</v>
      </c>
      <c r="C1812" t="s">
        <v>117</v>
      </c>
      <c r="D1812">
        <v>0</v>
      </c>
      <c r="E1812">
        <v>23481700000000</v>
      </c>
      <c r="F1812">
        <v>23395700000000</v>
      </c>
      <c r="G1812" s="10">
        <f t="shared" si="28"/>
        <v>15625800000000</v>
      </c>
      <c r="H1812" t="str">
        <f>$A1812&amp;Keys!$C$54&amp;$B1812&amp;Keys!$C$54&amp;$C1812</f>
        <v>NJ|imports|LPG propane or butane</v>
      </c>
    </row>
    <row r="1813" spans="1:8" x14ac:dyDescent="0.25">
      <c r="A1813" t="s">
        <v>139</v>
      </c>
      <c r="B1813" t="s">
        <v>191</v>
      </c>
      <c r="C1813" t="s">
        <v>120</v>
      </c>
      <c r="D1813">
        <v>0</v>
      </c>
      <c r="E1813">
        <v>5170300000000</v>
      </c>
      <c r="F1813">
        <v>5170300000000</v>
      </c>
      <c r="G1813" s="10">
        <f t="shared" si="28"/>
        <v>3446866666666.6665</v>
      </c>
      <c r="H1813" t="str">
        <f>$A1813&amp;Keys!$C$54&amp;$B1813&amp;Keys!$C$54&amp;$C1813</f>
        <v>NJ|imports|municipal solid waste</v>
      </c>
    </row>
    <row r="1814" spans="1:8" x14ac:dyDescent="0.25">
      <c r="A1814" t="s">
        <v>139</v>
      </c>
      <c r="B1814" t="s">
        <v>191</v>
      </c>
      <c r="C1814" t="s">
        <v>123</v>
      </c>
      <c r="D1814">
        <v>0</v>
      </c>
      <c r="E1814">
        <v>0</v>
      </c>
      <c r="F1814">
        <v>0</v>
      </c>
      <c r="G1814" s="10">
        <f t="shared" si="28"/>
        <v>0</v>
      </c>
      <c r="H1814" t="str">
        <f>$A1814&amp;Keys!$C$54&amp;$B1814&amp;Keys!$C$54&amp;$C1814</f>
        <v>NJ|imports|hydrogen</v>
      </c>
    </row>
    <row r="1815" spans="1:8" x14ac:dyDescent="0.25">
      <c r="A1815" t="s">
        <v>139</v>
      </c>
      <c r="B1815" t="s">
        <v>193</v>
      </c>
      <c r="C1815" t="s">
        <v>60</v>
      </c>
      <c r="D1815">
        <v>0</v>
      </c>
      <c r="E1815">
        <v>0</v>
      </c>
      <c r="F1815">
        <v>0</v>
      </c>
      <c r="G1815" s="10">
        <f t="shared" si="28"/>
        <v>0</v>
      </c>
      <c r="H1815" t="str">
        <f>$A1815&amp;Keys!$C$54&amp;$B1815&amp;Keys!$C$54&amp;$C1815</f>
        <v>NJ|exports|electricity (not used in this variable)</v>
      </c>
    </row>
    <row r="1816" spans="1:8" x14ac:dyDescent="0.25">
      <c r="A1816" t="s">
        <v>139</v>
      </c>
      <c r="B1816" t="s">
        <v>193</v>
      </c>
      <c r="C1816" t="s">
        <v>64</v>
      </c>
      <c r="D1816">
        <v>0</v>
      </c>
      <c r="E1816">
        <v>0</v>
      </c>
      <c r="F1816">
        <v>0</v>
      </c>
      <c r="G1816" s="10">
        <f t="shared" si="28"/>
        <v>0</v>
      </c>
      <c r="H1816" t="str">
        <f>$A1816&amp;Keys!$C$54&amp;$B1816&amp;Keys!$C$54&amp;$C1816</f>
        <v>NJ|exports|hard coal</v>
      </c>
    </row>
    <row r="1817" spans="1:8" x14ac:dyDescent="0.25">
      <c r="A1817" t="s">
        <v>139</v>
      </c>
      <c r="B1817" t="s">
        <v>193</v>
      </c>
      <c r="C1817" t="s">
        <v>68</v>
      </c>
      <c r="D1817">
        <v>789327000000000</v>
      </c>
      <c r="E1817">
        <v>789327000000000</v>
      </c>
      <c r="F1817">
        <v>791779000000000</v>
      </c>
      <c r="G1817" s="10">
        <f t="shared" si="28"/>
        <v>790144333333333.38</v>
      </c>
      <c r="H1817" t="str">
        <f>$A1817&amp;Keys!$C$54&amp;$B1817&amp;Keys!$C$54&amp;$C1817</f>
        <v>NJ|exports|natural gas</v>
      </c>
    </row>
    <row r="1818" spans="1:8" x14ac:dyDescent="0.25">
      <c r="A1818" t="s">
        <v>139</v>
      </c>
      <c r="B1818" t="s">
        <v>193</v>
      </c>
      <c r="C1818" t="s">
        <v>71</v>
      </c>
      <c r="D1818">
        <v>0</v>
      </c>
      <c r="E1818">
        <v>0</v>
      </c>
      <c r="F1818">
        <v>0</v>
      </c>
      <c r="G1818" s="10">
        <f t="shared" si="28"/>
        <v>0</v>
      </c>
      <c r="H1818" t="str">
        <f>$A1818&amp;Keys!$C$54&amp;$B1818&amp;Keys!$C$54&amp;$C1818</f>
        <v>NJ|exports|nuclear</v>
      </c>
    </row>
    <row r="1819" spans="1:8" x14ac:dyDescent="0.25">
      <c r="A1819" t="s">
        <v>139</v>
      </c>
      <c r="B1819" t="s">
        <v>193</v>
      </c>
      <c r="C1819" t="s">
        <v>74</v>
      </c>
      <c r="D1819">
        <v>0</v>
      </c>
      <c r="E1819">
        <v>0</v>
      </c>
      <c r="F1819">
        <v>0</v>
      </c>
      <c r="G1819" s="10">
        <f t="shared" si="28"/>
        <v>0</v>
      </c>
      <c r="H1819" t="str">
        <f>$A1819&amp;Keys!$C$54&amp;$B1819&amp;Keys!$C$54&amp;$C1819</f>
        <v>NJ|exports|hydro (is not a fuel)</v>
      </c>
    </row>
    <row r="1820" spans="1:8" x14ac:dyDescent="0.25">
      <c r="A1820" t="s">
        <v>139</v>
      </c>
      <c r="B1820" t="s">
        <v>193</v>
      </c>
      <c r="C1820" t="s">
        <v>77</v>
      </c>
      <c r="D1820">
        <v>0</v>
      </c>
      <c r="E1820">
        <v>0</v>
      </c>
      <c r="F1820">
        <v>0</v>
      </c>
      <c r="G1820" s="10">
        <f t="shared" si="28"/>
        <v>0</v>
      </c>
      <c r="H1820" t="str">
        <f>$A1820&amp;Keys!$C$54&amp;$B1820&amp;Keys!$C$54&amp;$C1820</f>
        <v>NJ|exports|wind (is not a fuel)</v>
      </c>
    </row>
    <row r="1821" spans="1:8" x14ac:dyDescent="0.25">
      <c r="A1821" t="s">
        <v>139</v>
      </c>
      <c r="B1821" t="s">
        <v>193</v>
      </c>
      <c r="C1821" t="s">
        <v>80</v>
      </c>
      <c r="D1821">
        <v>0</v>
      </c>
      <c r="E1821">
        <v>0</v>
      </c>
      <c r="F1821">
        <v>0</v>
      </c>
      <c r="G1821" s="10">
        <f t="shared" si="28"/>
        <v>0</v>
      </c>
      <c r="H1821" t="str">
        <f>$A1821&amp;Keys!$C$54&amp;$B1821&amp;Keys!$C$54&amp;$C1821</f>
        <v>NJ|exports|solar (is not a fuel)</v>
      </c>
    </row>
    <row r="1822" spans="1:8" x14ac:dyDescent="0.25">
      <c r="A1822" t="s">
        <v>139</v>
      </c>
      <c r="B1822" t="s">
        <v>193</v>
      </c>
      <c r="C1822" t="s">
        <v>82</v>
      </c>
      <c r="D1822">
        <v>0</v>
      </c>
      <c r="E1822">
        <v>0</v>
      </c>
      <c r="F1822">
        <v>0</v>
      </c>
      <c r="G1822" s="10">
        <f t="shared" si="28"/>
        <v>0</v>
      </c>
      <c r="H1822" t="str">
        <f>$A1822&amp;Keys!$C$54&amp;$B1822&amp;Keys!$C$54&amp;$C1822</f>
        <v>NJ|exports|biomass</v>
      </c>
    </row>
    <row r="1823" spans="1:8" x14ac:dyDescent="0.25">
      <c r="A1823" t="s">
        <v>139</v>
      </c>
      <c r="B1823" t="s">
        <v>193</v>
      </c>
      <c r="C1823" t="s">
        <v>85</v>
      </c>
      <c r="D1823">
        <v>0</v>
      </c>
      <c r="E1823">
        <v>0</v>
      </c>
      <c r="F1823">
        <v>0</v>
      </c>
      <c r="G1823" s="10">
        <f t="shared" si="28"/>
        <v>0</v>
      </c>
      <c r="H1823" t="str">
        <f>$A1823&amp;Keys!$C$54&amp;$B1823&amp;Keys!$C$54&amp;$C1823</f>
        <v>NJ|exports|petroleum gasoline</v>
      </c>
    </row>
    <row r="1824" spans="1:8" x14ac:dyDescent="0.25">
      <c r="A1824" t="s">
        <v>139</v>
      </c>
      <c r="B1824" t="s">
        <v>193</v>
      </c>
      <c r="C1824" t="s">
        <v>88</v>
      </c>
      <c r="D1824">
        <v>53363200000000</v>
      </c>
      <c r="E1824">
        <v>53363200000000</v>
      </c>
      <c r="F1824">
        <v>52069800000000</v>
      </c>
      <c r="G1824" s="10">
        <f t="shared" si="28"/>
        <v>52932066666666.664</v>
      </c>
      <c r="H1824" t="str">
        <f>$A1824&amp;Keys!$C$54&amp;$B1824&amp;Keys!$C$54&amp;$C1824</f>
        <v>NJ|exports|petroleum diesel</v>
      </c>
    </row>
    <row r="1825" spans="1:8" x14ac:dyDescent="0.25">
      <c r="A1825" t="s">
        <v>139</v>
      </c>
      <c r="B1825" t="s">
        <v>193</v>
      </c>
      <c r="C1825" t="s">
        <v>91</v>
      </c>
      <c r="D1825">
        <v>0</v>
      </c>
      <c r="E1825">
        <v>0</v>
      </c>
      <c r="F1825">
        <v>0</v>
      </c>
      <c r="G1825" s="10">
        <f t="shared" si="28"/>
        <v>0</v>
      </c>
      <c r="H1825" t="str">
        <f>$A1825&amp;Keys!$C$54&amp;$B1825&amp;Keys!$C$54&amp;$C1825</f>
        <v>NJ|exports|biofuel gasoline</v>
      </c>
    </row>
    <row r="1826" spans="1:8" x14ac:dyDescent="0.25">
      <c r="A1826" t="s">
        <v>139</v>
      </c>
      <c r="B1826" t="s">
        <v>193</v>
      </c>
      <c r="C1826" t="s">
        <v>94</v>
      </c>
      <c r="D1826">
        <v>0</v>
      </c>
      <c r="E1826">
        <v>0</v>
      </c>
      <c r="F1826">
        <v>0</v>
      </c>
      <c r="G1826" s="10">
        <f t="shared" si="28"/>
        <v>0</v>
      </c>
      <c r="H1826" t="str">
        <f>$A1826&amp;Keys!$C$54&amp;$B1826&amp;Keys!$C$54&amp;$C1826</f>
        <v>NJ|exports|biofuel diesel</v>
      </c>
    </row>
    <row r="1827" spans="1:8" x14ac:dyDescent="0.25">
      <c r="A1827" t="s">
        <v>139</v>
      </c>
      <c r="B1827" t="s">
        <v>193</v>
      </c>
      <c r="C1827" t="s">
        <v>97</v>
      </c>
      <c r="D1827">
        <v>8452250000000</v>
      </c>
      <c r="E1827">
        <v>8452250000000</v>
      </c>
      <c r="F1827">
        <v>8247390000000</v>
      </c>
      <c r="G1827" s="10">
        <f t="shared" si="28"/>
        <v>8383963333333.333</v>
      </c>
      <c r="H1827" t="str">
        <f>$A1827&amp;Keys!$C$54&amp;$B1827&amp;Keys!$C$54&amp;$C1827</f>
        <v>NJ|exports|jet fuel or kerosene</v>
      </c>
    </row>
    <row r="1828" spans="1:8" x14ac:dyDescent="0.25">
      <c r="A1828" t="s">
        <v>139</v>
      </c>
      <c r="B1828" t="s">
        <v>193</v>
      </c>
      <c r="C1828" t="s">
        <v>100</v>
      </c>
      <c r="D1828">
        <v>0</v>
      </c>
      <c r="E1828">
        <v>0</v>
      </c>
      <c r="F1828">
        <v>0</v>
      </c>
      <c r="G1828" s="10">
        <f t="shared" si="28"/>
        <v>0</v>
      </c>
      <c r="H1828" t="str">
        <f>$A1828&amp;Keys!$C$54&amp;$B1828&amp;Keys!$C$54&amp;$C1828</f>
        <v>NJ|exports|heat (not used in this variable)</v>
      </c>
    </row>
    <row r="1829" spans="1:8" x14ac:dyDescent="0.25">
      <c r="A1829" t="s">
        <v>139</v>
      </c>
      <c r="B1829" t="s">
        <v>193</v>
      </c>
      <c r="C1829" t="s">
        <v>103</v>
      </c>
      <c r="D1829">
        <v>0</v>
      </c>
      <c r="E1829">
        <v>0</v>
      </c>
      <c r="F1829">
        <v>0</v>
      </c>
      <c r="G1829" s="10">
        <f t="shared" si="28"/>
        <v>0</v>
      </c>
      <c r="H1829" t="str">
        <f>$A1829&amp;Keys!$C$54&amp;$B1829&amp;Keys!$C$54&amp;$C1829</f>
        <v>NJ|exports|geothermal (is not a fuel)</v>
      </c>
    </row>
    <row r="1830" spans="1:8" x14ac:dyDescent="0.25">
      <c r="A1830" t="s">
        <v>139</v>
      </c>
      <c r="B1830" t="s">
        <v>193</v>
      </c>
      <c r="C1830" t="s">
        <v>106</v>
      </c>
      <c r="D1830">
        <v>0</v>
      </c>
      <c r="E1830">
        <v>0</v>
      </c>
      <c r="F1830">
        <v>0</v>
      </c>
      <c r="G1830" s="10">
        <f t="shared" si="28"/>
        <v>0</v>
      </c>
      <c r="H1830" t="str">
        <f>$A1830&amp;Keys!$C$54&amp;$B1830&amp;Keys!$C$54&amp;$C1830</f>
        <v>NJ|exports|lignite</v>
      </c>
    </row>
    <row r="1831" spans="1:8" x14ac:dyDescent="0.25">
      <c r="A1831" t="s">
        <v>139</v>
      </c>
      <c r="B1831" t="s">
        <v>193</v>
      </c>
      <c r="C1831" t="s">
        <v>109</v>
      </c>
      <c r="D1831">
        <v>0</v>
      </c>
      <c r="E1831">
        <v>0</v>
      </c>
      <c r="F1831">
        <v>0</v>
      </c>
      <c r="G1831" s="10">
        <f t="shared" si="28"/>
        <v>0</v>
      </c>
      <c r="H1831" t="str">
        <f>$A1831&amp;Keys!$C$54&amp;$B1831&amp;Keys!$C$54&amp;$C1831</f>
        <v>NJ|exports|crude oil</v>
      </c>
    </row>
    <row r="1832" spans="1:8" x14ac:dyDescent="0.25">
      <c r="A1832" t="s">
        <v>139</v>
      </c>
      <c r="B1832" t="s">
        <v>193</v>
      </c>
      <c r="C1832" t="s">
        <v>113</v>
      </c>
      <c r="D1832">
        <v>6093450000000</v>
      </c>
      <c r="E1832">
        <v>6093450000000</v>
      </c>
      <c r="F1832">
        <v>5945760000000</v>
      </c>
      <c r="G1832" s="10">
        <f t="shared" si="28"/>
        <v>6044220000000</v>
      </c>
      <c r="H1832" t="str">
        <f>$A1832&amp;Keys!$C$54&amp;$B1832&amp;Keys!$C$54&amp;$C1832</f>
        <v>NJ|exports|heavy fuel oil</v>
      </c>
    </row>
    <row r="1833" spans="1:8" x14ac:dyDescent="0.25">
      <c r="A1833" t="s">
        <v>139</v>
      </c>
      <c r="B1833" t="s">
        <v>193</v>
      </c>
      <c r="C1833" t="s">
        <v>117</v>
      </c>
      <c r="D1833">
        <v>0</v>
      </c>
      <c r="E1833">
        <v>0</v>
      </c>
      <c r="F1833">
        <v>0</v>
      </c>
      <c r="G1833" s="10">
        <f t="shared" si="28"/>
        <v>0</v>
      </c>
      <c r="H1833" t="str">
        <f>$A1833&amp;Keys!$C$54&amp;$B1833&amp;Keys!$C$54&amp;$C1833</f>
        <v>NJ|exports|LPG propane or butane</v>
      </c>
    </row>
    <row r="1834" spans="1:8" x14ac:dyDescent="0.25">
      <c r="A1834" t="s">
        <v>139</v>
      </c>
      <c r="B1834" t="s">
        <v>193</v>
      </c>
      <c r="C1834" t="s">
        <v>120</v>
      </c>
      <c r="D1834">
        <v>0</v>
      </c>
      <c r="E1834">
        <v>0</v>
      </c>
      <c r="F1834">
        <v>0</v>
      </c>
      <c r="G1834" s="10">
        <f t="shared" si="28"/>
        <v>0</v>
      </c>
      <c r="H1834" t="str">
        <f>$A1834&amp;Keys!$C$54&amp;$B1834&amp;Keys!$C$54&amp;$C1834</f>
        <v>NJ|exports|municipal solid waste</v>
      </c>
    </row>
    <row r="1835" spans="1:8" x14ac:dyDescent="0.25">
      <c r="A1835" t="s">
        <v>139</v>
      </c>
      <c r="B1835" t="s">
        <v>193</v>
      </c>
      <c r="C1835" t="s">
        <v>123</v>
      </c>
      <c r="D1835">
        <v>0</v>
      </c>
      <c r="E1835">
        <v>1976880000000</v>
      </c>
      <c r="F1835">
        <v>1796180000000</v>
      </c>
      <c r="G1835" s="10">
        <f t="shared" si="28"/>
        <v>1257686666666.6667</v>
      </c>
      <c r="H1835" t="str">
        <f>$A1835&amp;Keys!$C$54&amp;$B1835&amp;Keys!$C$54&amp;$C1835</f>
        <v>NJ|exports|hydrogen</v>
      </c>
    </row>
    <row r="1836" spans="1:8" x14ac:dyDescent="0.25">
      <c r="A1836" t="s">
        <v>141</v>
      </c>
      <c r="B1836" t="s">
        <v>188</v>
      </c>
      <c r="C1836" t="s">
        <v>60</v>
      </c>
      <c r="D1836">
        <v>0</v>
      </c>
      <c r="E1836">
        <v>0</v>
      </c>
      <c r="F1836">
        <v>0</v>
      </c>
      <c r="G1836" s="10">
        <f t="shared" si="28"/>
        <v>0</v>
      </c>
      <c r="H1836" t="str">
        <f>$A1836&amp;Keys!$C$54&amp;$B1836&amp;Keys!$C$54&amp;$C1836</f>
        <v>NM|production|electricity (not used in this variable)</v>
      </c>
    </row>
    <row r="1837" spans="1:8" x14ac:dyDescent="0.25">
      <c r="A1837" t="s">
        <v>141</v>
      </c>
      <c r="B1837" t="s">
        <v>188</v>
      </c>
      <c r="C1837" t="s">
        <v>64</v>
      </c>
      <c r="D1837">
        <v>147575000000000</v>
      </c>
      <c r="E1837">
        <v>147575000000000</v>
      </c>
      <c r="F1837">
        <v>137806000000000</v>
      </c>
      <c r="G1837" s="10">
        <f t="shared" si="28"/>
        <v>144318666666666.66</v>
      </c>
      <c r="H1837" t="str">
        <f>$A1837&amp;Keys!$C$54&amp;$B1837&amp;Keys!$C$54&amp;$C1837</f>
        <v>NM|production|hard coal</v>
      </c>
    </row>
    <row r="1838" spans="1:8" x14ac:dyDescent="0.25">
      <c r="A1838" t="s">
        <v>141</v>
      </c>
      <c r="B1838" t="s">
        <v>188</v>
      </c>
      <c r="C1838" t="s">
        <v>68</v>
      </c>
      <c r="D1838">
        <v>3452590000000000</v>
      </c>
      <c r="E1838">
        <v>3452590000000000</v>
      </c>
      <c r="F1838">
        <v>3496970000000000</v>
      </c>
      <c r="G1838" s="10">
        <f t="shared" si="28"/>
        <v>3467383333333333.5</v>
      </c>
      <c r="H1838" t="str">
        <f>$A1838&amp;Keys!$C$54&amp;$B1838&amp;Keys!$C$54&amp;$C1838</f>
        <v>NM|production|natural gas</v>
      </c>
    </row>
    <row r="1839" spans="1:8" x14ac:dyDescent="0.25">
      <c r="A1839" t="s">
        <v>141</v>
      </c>
      <c r="B1839" t="s">
        <v>188</v>
      </c>
      <c r="C1839" t="s">
        <v>71</v>
      </c>
      <c r="D1839">
        <v>0</v>
      </c>
      <c r="E1839">
        <v>0</v>
      </c>
      <c r="F1839">
        <v>0</v>
      </c>
      <c r="G1839" s="10">
        <f t="shared" si="28"/>
        <v>0</v>
      </c>
      <c r="H1839" t="str">
        <f>$A1839&amp;Keys!$C$54&amp;$B1839&amp;Keys!$C$54&amp;$C1839</f>
        <v>NM|production|nuclear</v>
      </c>
    </row>
    <row r="1840" spans="1:8" x14ac:dyDescent="0.25">
      <c r="A1840" t="s">
        <v>141</v>
      </c>
      <c r="B1840" t="s">
        <v>188</v>
      </c>
      <c r="C1840" t="s">
        <v>74</v>
      </c>
      <c r="D1840">
        <v>0</v>
      </c>
      <c r="E1840">
        <v>0</v>
      </c>
      <c r="F1840">
        <v>0</v>
      </c>
      <c r="G1840" s="10">
        <f t="shared" si="28"/>
        <v>0</v>
      </c>
      <c r="H1840" t="str">
        <f>$A1840&amp;Keys!$C$54&amp;$B1840&amp;Keys!$C$54&amp;$C1840</f>
        <v>NM|production|hydro (is not a fuel)</v>
      </c>
    </row>
    <row r="1841" spans="1:8" x14ac:dyDescent="0.25">
      <c r="A1841" t="s">
        <v>141</v>
      </c>
      <c r="B1841" t="s">
        <v>188</v>
      </c>
      <c r="C1841" t="s">
        <v>77</v>
      </c>
      <c r="D1841">
        <v>0</v>
      </c>
      <c r="E1841">
        <v>0</v>
      </c>
      <c r="F1841">
        <v>0</v>
      </c>
      <c r="G1841" s="10">
        <f t="shared" si="28"/>
        <v>0</v>
      </c>
      <c r="H1841" t="str">
        <f>$A1841&amp;Keys!$C$54&amp;$B1841&amp;Keys!$C$54&amp;$C1841</f>
        <v>NM|production|wind (is not a fuel)</v>
      </c>
    </row>
    <row r="1842" spans="1:8" x14ac:dyDescent="0.25">
      <c r="A1842" t="s">
        <v>141</v>
      </c>
      <c r="B1842" t="s">
        <v>188</v>
      </c>
      <c r="C1842" t="s">
        <v>80</v>
      </c>
      <c r="D1842">
        <v>0</v>
      </c>
      <c r="E1842">
        <v>0</v>
      </c>
      <c r="F1842">
        <v>0</v>
      </c>
      <c r="G1842" s="10">
        <f t="shared" si="28"/>
        <v>0</v>
      </c>
      <c r="H1842" t="str">
        <f>$A1842&amp;Keys!$C$54&amp;$B1842&amp;Keys!$C$54&amp;$C1842</f>
        <v>NM|production|solar (is not a fuel)</v>
      </c>
    </row>
    <row r="1843" spans="1:8" x14ac:dyDescent="0.25">
      <c r="A1843" t="s">
        <v>141</v>
      </c>
      <c r="B1843" t="s">
        <v>188</v>
      </c>
      <c r="C1843" t="s">
        <v>82</v>
      </c>
      <c r="D1843">
        <v>304000000000</v>
      </c>
      <c r="E1843">
        <v>304000000000</v>
      </c>
      <c r="F1843">
        <v>304000000000</v>
      </c>
      <c r="G1843" s="10">
        <f t="shared" si="28"/>
        <v>304000000000</v>
      </c>
      <c r="H1843" t="str">
        <f>$A1843&amp;Keys!$C$54&amp;$B1843&amp;Keys!$C$54&amp;$C1843</f>
        <v>NM|production|biomass</v>
      </c>
    </row>
    <row r="1844" spans="1:8" x14ac:dyDescent="0.25">
      <c r="A1844" t="s">
        <v>141</v>
      </c>
      <c r="B1844" t="s">
        <v>188</v>
      </c>
      <c r="C1844" t="s">
        <v>85</v>
      </c>
      <c r="D1844">
        <v>106755000000000</v>
      </c>
      <c r="E1844">
        <v>106755000000000</v>
      </c>
      <c r="F1844">
        <v>104167000000000</v>
      </c>
      <c r="G1844" s="10">
        <f t="shared" si="28"/>
        <v>105892333333333.33</v>
      </c>
      <c r="H1844" t="str">
        <f>$A1844&amp;Keys!$C$54&amp;$B1844&amp;Keys!$C$54&amp;$C1844</f>
        <v>NM|production|petroleum gasoline</v>
      </c>
    </row>
    <row r="1845" spans="1:8" x14ac:dyDescent="0.25">
      <c r="A1845" t="s">
        <v>141</v>
      </c>
      <c r="B1845" t="s">
        <v>188</v>
      </c>
      <c r="C1845" t="s">
        <v>88</v>
      </c>
      <c r="D1845">
        <v>63147200000000</v>
      </c>
      <c r="E1845">
        <v>63147200000000</v>
      </c>
      <c r="F1845">
        <v>61616600000000</v>
      </c>
      <c r="G1845" s="10">
        <f t="shared" si="28"/>
        <v>62637000000000</v>
      </c>
      <c r="H1845" t="str">
        <f>$A1845&amp;Keys!$C$54&amp;$B1845&amp;Keys!$C$54&amp;$C1845</f>
        <v>NM|production|petroleum diesel</v>
      </c>
    </row>
    <row r="1846" spans="1:8" x14ac:dyDescent="0.25">
      <c r="A1846" t="s">
        <v>141</v>
      </c>
      <c r="B1846" t="s">
        <v>188</v>
      </c>
      <c r="C1846" t="s">
        <v>91</v>
      </c>
      <c r="D1846">
        <v>0</v>
      </c>
      <c r="E1846">
        <v>0</v>
      </c>
      <c r="F1846">
        <v>0</v>
      </c>
      <c r="G1846" s="10">
        <f t="shared" si="28"/>
        <v>0</v>
      </c>
      <c r="H1846" t="str">
        <f>$A1846&amp;Keys!$C$54&amp;$B1846&amp;Keys!$C$54&amp;$C1846</f>
        <v>NM|production|biofuel gasoline</v>
      </c>
    </row>
    <row r="1847" spans="1:8" x14ac:dyDescent="0.25">
      <c r="A1847" t="s">
        <v>141</v>
      </c>
      <c r="B1847" t="s">
        <v>188</v>
      </c>
      <c r="C1847" t="s">
        <v>94</v>
      </c>
      <c r="D1847">
        <v>0</v>
      </c>
      <c r="E1847">
        <v>0</v>
      </c>
      <c r="F1847">
        <v>0</v>
      </c>
      <c r="G1847" s="10">
        <f t="shared" si="28"/>
        <v>0</v>
      </c>
      <c r="H1847" t="str">
        <f>$A1847&amp;Keys!$C$54&amp;$B1847&amp;Keys!$C$54&amp;$C1847</f>
        <v>NM|production|biofuel diesel</v>
      </c>
    </row>
    <row r="1848" spans="1:8" x14ac:dyDescent="0.25">
      <c r="A1848" t="s">
        <v>141</v>
      </c>
      <c r="B1848" t="s">
        <v>188</v>
      </c>
      <c r="C1848" t="s">
        <v>97</v>
      </c>
      <c r="D1848">
        <v>22479100000000</v>
      </c>
      <c r="E1848">
        <v>22479100000000</v>
      </c>
      <c r="F1848">
        <v>21934300000000</v>
      </c>
      <c r="G1848" s="10">
        <f t="shared" si="28"/>
        <v>22297500000000</v>
      </c>
      <c r="H1848" t="str">
        <f>$A1848&amp;Keys!$C$54&amp;$B1848&amp;Keys!$C$54&amp;$C1848</f>
        <v>NM|production|jet fuel or kerosene</v>
      </c>
    </row>
    <row r="1849" spans="1:8" x14ac:dyDescent="0.25">
      <c r="A1849" t="s">
        <v>141</v>
      </c>
      <c r="B1849" t="s">
        <v>188</v>
      </c>
      <c r="C1849" t="s">
        <v>100</v>
      </c>
      <c r="D1849">
        <v>0</v>
      </c>
      <c r="E1849">
        <v>0</v>
      </c>
      <c r="F1849">
        <v>0</v>
      </c>
      <c r="G1849" s="10">
        <f t="shared" si="28"/>
        <v>0</v>
      </c>
      <c r="H1849" t="str">
        <f>$A1849&amp;Keys!$C$54&amp;$B1849&amp;Keys!$C$54&amp;$C1849</f>
        <v>NM|production|heat (not used in this variable)</v>
      </c>
    </row>
    <row r="1850" spans="1:8" x14ac:dyDescent="0.25">
      <c r="A1850" t="s">
        <v>141</v>
      </c>
      <c r="B1850" t="s">
        <v>188</v>
      </c>
      <c r="C1850" t="s">
        <v>103</v>
      </c>
      <c r="D1850">
        <v>0</v>
      </c>
      <c r="E1850">
        <v>0</v>
      </c>
      <c r="F1850">
        <v>0</v>
      </c>
      <c r="G1850" s="10">
        <f t="shared" si="28"/>
        <v>0</v>
      </c>
      <c r="H1850" t="str">
        <f>$A1850&amp;Keys!$C$54&amp;$B1850&amp;Keys!$C$54&amp;$C1850</f>
        <v>NM|production|geothermal (is not a fuel)</v>
      </c>
    </row>
    <row r="1851" spans="1:8" x14ac:dyDescent="0.25">
      <c r="A1851" t="s">
        <v>141</v>
      </c>
      <c r="B1851" t="s">
        <v>188</v>
      </c>
      <c r="C1851" t="s">
        <v>106</v>
      </c>
      <c r="D1851">
        <v>0</v>
      </c>
      <c r="E1851">
        <v>0</v>
      </c>
      <c r="F1851">
        <v>0</v>
      </c>
      <c r="G1851" s="10">
        <f t="shared" si="28"/>
        <v>0</v>
      </c>
      <c r="H1851" t="str">
        <f>$A1851&amp;Keys!$C$54&amp;$B1851&amp;Keys!$C$54&amp;$C1851</f>
        <v>NM|production|lignite</v>
      </c>
    </row>
    <row r="1852" spans="1:8" x14ac:dyDescent="0.25">
      <c r="A1852" t="s">
        <v>141</v>
      </c>
      <c r="B1852" t="s">
        <v>188</v>
      </c>
      <c r="C1852" t="s">
        <v>109</v>
      </c>
      <c r="D1852">
        <v>4294330000000000</v>
      </c>
      <c r="E1852">
        <v>4294330000000000</v>
      </c>
      <c r="F1852">
        <v>4360600000000000</v>
      </c>
      <c r="G1852" s="10">
        <f t="shared" si="28"/>
        <v>4316420000000000</v>
      </c>
      <c r="H1852" t="str">
        <f>$A1852&amp;Keys!$C$54&amp;$B1852&amp;Keys!$C$54&amp;$C1852</f>
        <v>NM|production|crude oil</v>
      </c>
    </row>
    <row r="1853" spans="1:8" x14ac:dyDescent="0.25">
      <c r="A1853" t="s">
        <v>141</v>
      </c>
      <c r="B1853" t="s">
        <v>188</v>
      </c>
      <c r="C1853" t="s">
        <v>113</v>
      </c>
      <c r="D1853">
        <v>4366650000000</v>
      </c>
      <c r="E1853">
        <v>4366650000000</v>
      </c>
      <c r="F1853">
        <v>4260810000000</v>
      </c>
      <c r="G1853" s="10">
        <f t="shared" si="28"/>
        <v>4331370000000</v>
      </c>
      <c r="H1853" t="str">
        <f>$A1853&amp;Keys!$C$54&amp;$B1853&amp;Keys!$C$54&amp;$C1853</f>
        <v>NM|production|heavy fuel oil</v>
      </c>
    </row>
    <row r="1854" spans="1:8" x14ac:dyDescent="0.25">
      <c r="A1854" t="s">
        <v>141</v>
      </c>
      <c r="B1854" t="s">
        <v>188</v>
      </c>
      <c r="C1854" t="s">
        <v>117</v>
      </c>
      <c r="D1854">
        <v>422077000000000</v>
      </c>
      <c r="E1854">
        <v>422077000000000</v>
      </c>
      <c r="F1854">
        <v>431039000000000</v>
      </c>
      <c r="G1854" s="10">
        <f t="shared" si="28"/>
        <v>425064333333333.31</v>
      </c>
      <c r="H1854" t="str">
        <f>$A1854&amp;Keys!$C$54&amp;$B1854&amp;Keys!$C$54&amp;$C1854</f>
        <v>NM|production|LPG propane or butane</v>
      </c>
    </row>
    <row r="1855" spans="1:8" x14ac:dyDescent="0.25">
      <c r="A1855" t="s">
        <v>141</v>
      </c>
      <c r="B1855" t="s">
        <v>188</v>
      </c>
      <c r="C1855" t="s">
        <v>120</v>
      </c>
      <c r="D1855">
        <v>0</v>
      </c>
      <c r="E1855">
        <v>0</v>
      </c>
      <c r="F1855">
        <v>0</v>
      </c>
      <c r="G1855" s="10">
        <f t="shared" si="28"/>
        <v>0</v>
      </c>
      <c r="H1855" t="str">
        <f>$A1855&amp;Keys!$C$54&amp;$B1855&amp;Keys!$C$54&amp;$C1855</f>
        <v>NM|production|municipal solid waste</v>
      </c>
    </row>
    <row r="1856" spans="1:8" x14ac:dyDescent="0.25">
      <c r="A1856" t="s">
        <v>141</v>
      </c>
      <c r="B1856" t="s">
        <v>188</v>
      </c>
      <c r="C1856" t="s">
        <v>123</v>
      </c>
      <c r="D1856">
        <v>4507750000000</v>
      </c>
      <c r="E1856">
        <v>4507750000000</v>
      </c>
      <c r="F1856">
        <v>4280980000000</v>
      </c>
      <c r="G1856" s="10">
        <f t="shared" si="28"/>
        <v>4432160000000</v>
      </c>
      <c r="H1856" t="str">
        <f>$A1856&amp;Keys!$C$54&amp;$B1856&amp;Keys!$C$54&amp;$C1856</f>
        <v>NM|production|hydrogen</v>
      </c>
    </row>
    <row r="1857" spans="1:8" x14ac:dyDescent="0.25">
      <c r="A1857" t="s">
        <v>141</v>
      </c>
      <c r="B1857" t="s">
        <v>191</v>
      </c>
      <c r="C1857" t="s">
        <v>60</v>
      </c>
      <c r="D1857">
        <v>0</v>
      </c>
      <c r="E1857">
        <v>0</v>
      </c>
      <c r="F1857">
        <v>0</v>
      </c>
      <c r="G1857" s="10">
        <f t="shared" si="28"/>
        <v>0</v>
      </c>
      <c r="H1857" t="str">
        <f>$A1857&amp;Keys!$C$54&amp;$B1857&amp;Keys!$C$54&amp;$C1857</f>
        <v>NM|imports|electricity (not used in this variable)</v>
      </c>
    </row>
    <row r="1858" spans="1:8" x14ac:dyDescent="0.25">
      <c r="A1858" t="s">
        <v>141</v>
      </c>
      <c r="B1858" t="s">
        <v>191</v>
      </c>
      <c r="C1858" t="s">
        <v>64</v>
      </c>
      <c r="D1858">
        <v>1015690000000</v>
      </c>
      <c r="E1858">
        <v>0</v>
      </c>
      <c r="F1858">
        <v>0</v>
      </c>
      <c r="G1858" s="10">
        <f t="shared" si="28"/>
        <v>338563333333.33331</v>
      </c>
      <c r="H1858" t="str">
        <f>$A1858&amp;Keys!$C$54&amp;$B1858&amp;Keys!$C$54&amp;$C1858</f>
        <v>NM|imports|hard coal</v>
      </c>
    </row>
    <row r="1859" spans="1:8" x14ac:dyDescent="0.25">
      <c r="A1859" t="s">
        <v>141</v>
      </c>
      <c r="B1859" t="s">
        <v>191</v>
      </c>
      <c r="C1859" t="s">
        <v>68</v>
      </c>
      <c r="D1859">
        <v>704887000000000</v>
      </c>
      <c r="E1859">
        <v>0</v>
      </c>
      <c r="F1859">
        <v>0</v>
      </c>
      <c r="G1859" s="10">
        <f t="shared" si="28"/>
        <v>234962333333333.34</v>
      </c>
      <c r="H1859" t="str">
        <f>$A1859&amp;Keys!$C$54&amp;$B1859&amp;Keys!$C$54&amp;$C1859</f>
        <v>NM|imports|natural gas</v>
      </c>
    </row>
    <row r="1860" spans="1:8" x14ac:dyDescent="0.25">
      <c r="A1860" t="s">
        <v>141</v>
      </c>
      <c r="B1860" t="s">
        <v>191</v>
      </c>
      <c r="C1860" t="s">
        <v>71</v>
      </c>
      <c r="D1860">
        <v>0</v>
      </c>
      <c r="E1860">
        <v>0</v>
      </c>
      <c r="F1860">
        <v>0</v>
      </c>
      <c r="G1860" s="10">
        <f t="shared" si="28"/>
        <v>0</v>
      </c>
      <c r="H1860" t="str">
        <f>$A1860&amp;Keys!$C$54&amp;$B1860&amp;Keys!$C$54&amp;$C1860</f>
        <v>NM|imports|nuclear</v>
      </c>
    </row>
    <row r="1861" spans="1:8" x14ac:dyDescent="0.25">
      <c r="A1861" t="s">
        <v>141</v>
      </c>
      <c r="B1861" t="s">
        <v>191</v>
      </c>
      <c r="C1861" t="s">
        <v>74</v>
      </c>
      <c r="D1861">
        <v>0</v>
      </c>
      <c r="E1861">
        <v>0</v>
      </c>
      <c r="F1861">
        <v>0</v>
      </c>
      <c r="G1861" s="10">
        <f t="shared" si="28"/>
        <v>0</v>
      </c>
      <c r="H1861" t="str">
        <f>$A1861&amp;Keys!$C$54&amp;$B1861&amp;Keys!$C$54&amp;$C1861</f>
        <v>NM|imports|hydro (is not a fuel)</v>
      </c>
    </row>
    <row r="1862" spans="1:8" x14ac:dyDescent="0.25">
      <c r="A1862" t="s">
        <v>141</v>
      </c>
      <c r="B1862" t="s">
        <v>191</v>
      </c>
      <c r="C1862" t="s">
        <v>77</v>
      </c>
      <c r="D1862">
        <v>0</v>
      </c>
      <c r="E1862">
        <v>0</v>
      </c>
      <c r="F1862">
        <v>0</v>
      </c>
      <c r="G1862" s="10">
        <f t="shared" si="28"/>
        <v>0</v>
      </c>
      <c r="H1862" t="str">
        <f>$A1862&amp;Keys!$C$54&amp;$B1862&amp;Keys!$C$54&amp;$C1862</f>
        <v>NM|imports|wind (is not a fuel)</v>
      </c>
    </row>
    <row r="1863" spans="1:8" x14ac:dyDescent="0.25">
      <c r="A1863" t="s">
        <v>141</v>
      </c>
      <c r="B1863" t="s">
        <v>191</v>
      </c>
      <c r="C1863" t="s">
        <v>80</v>
      </c>
      <c r="D1863">
        <v>0</v>
      </c>
      <c r="E1863">
        <v>0</v>
      </c>
      <c r="F1863">
        <v>0</v>
      </c>
      <c r="G1863" s="10">
        <f t="shared" si="28"/>
        <v>0</v>
      </c>
      <c r="H1863" t="str">
        <f>$A1863&amp;Keys!$C$54&amp;$B1863&amp;Keys!$C$54&amp;$C1863</f>
        <v>NM|imports|solar (is not a fuel)</v>
      </c>
    </row>
    <row r="1864" spans="1:8" x14ac:dyDescent="0.25">
      <c r="A1864" t="s">
        <v>141</v>
      </c>
      <c r="B1864" t="s">
        <v>191</v>
      </c>
      <c r="C1864" t="s">
        <v>82</v>
      </c>
      <c r="D1864">
        <v>0</v>
      </c>
      <c r="E1864">
        <v>6224210000000</v>
      </c>
      <c r="F1864">
        <v>6135510000000</v>
      </c>
      <c r="G1864" s="10">
        <f t="shared" si="28"/>
        <v>4119906666666.6665</v>
      </c>
      <c r="H1864" t="str">
        <f>$A1864&amp;Keys!$C$54&amp;$B1864&amp;Keys!$C$54&amp;$C1864</f>
        <v>NM|imports|biomass</v>
      </c>
    </row>
    <row r="1865" spans="1:8" x14ac:dyDescent="0.25">
      <c r="A1865" t="s">
        <v>141</v>
      </c>
      <c r="B1865" t="s">
        <v>191</v>
      </c>
      <c r="C1865" t="s">
        <v>85</v>
      </c>
      <c r="D1865">
        <v>0</v>
      </c>
      <c r="E1865">
        <v>0</v>
      </c>
      <c r="F1865">
        <v>0</v>
      </c>
      <c r="G1865" s="10">
        <f t="shared" ref="G1865:G1928" si="29">AVERAGE($D1865:$F1865)</f>
        <v>0</v>
      </c>
      <c r="H1865" t="str">
        <f>$A1865&amp;Keys!$C$54&amp;$B1865&amp;Keys!$C$54&amp;$C1865</f>
        <v>NM|imports|petroleum gasoline</v>
      </c>
    </row>
    <row r="1866" spans="1:8" x14ac:dyDescent="0.25">
      <c r="A1866" t="s">
        <v>141</v>
      </c>
      <c r="B1866" t="s">
        <v>191</v>
      </c>
      <c r="C1866" t="s">
        <v>88</v>
      </c>
      <c r="D1866">
        <v>0</v>
      </c>
      <c r="E1866">
        <v>27248600000000</v>
      </c>
      <c r="F1866">
        <v>26969900000000</v>
      </c>
      <c r="G1866" s="10">
        <f t="shared" si="29"/>
        <v>18072833333333.332</v>
      </c>
      <c r="H1866" t="str">
        <f>$A1866&amp;Keys!$C$54&amp;$B1866&amp;Keys!$C$54&amp;$C1866</f>
        <v>NM|imports|petroleum diesel</v>
      </c>
    </row>
    <row r="1867" spans="1:8" x14ac:dyDescent="0.25">
      <c r="A1867" t="s">
        <v>141</v>
      </c>
      <c r="B1867" t="s">
        <v>191</v>
      </c>
      <c r="C1867" t="s">
        <v>91</v>
      </c>
      <c r="D1867">
        <v>0</v>
      </c>
      <c r="E1867">
        <v>7881050000000</v>
      </c>
      <c r="F1867">
        <v>8087440000000</v>
      </c>
      <c r="G1867" s="10">
        <f t="shared" si="29"/>
        <v>5322830000000</v>
      </c>
      <c r="H1867" t="str">
        <f>$A1867&amp;Keys!$C$54&amp;$B1867&amp;Keys!$C$54&amp;$C1867</f>
        <v>NM|imports|biofuel gasoline</v>
      </c>
    </row>
    <row r="1868" spans="1:8" x14ac:dyDescent="0.25">
      <c r="A1868" t="s">
        <v>141</v>
      </c>
      <c r="B1868" t="s">
        <v>191</v>
      </c>
      <c r="C1868" t="s">
        <v>94</v>
      </c>
      <c r="D1868">
        <v>0</v>
      </c>
      <c r="E1868">
        <v>9886460000000</v>
      </c>
      <c r="F1868">
        <v>12852000000000</v>
      </c>
      <c r="G1868" s="10">
        <f t="shared" si="29"/>
        <v>7579486666666.667</v>
      </c>
      <c r="H1868" t="str">
        <f>$A1868&amp;Keys!$C$54&amp;$B1868&amp;Keys!$C$54&amp;$C1868</f>
        <v>NM|imports|biofuel diesel</v>
      </c>
    </row>
    <row r="1869" spans="1:8" x14ac:dyDescent="0.25">
      <c r="A1869" t="s">
        <v>141</v>
      </c>
      <c r="B1869" t="s">
        <v>191</v>
      </c>
      <c r="C1869" t="s">
        <v>97</v>
      </c>
      <c r="D1869">
        <v>0</v>
      </c>
      <c r="E1869">
        <v>0</v>
      </c>
      <c r="F1869">
        <v>0</v>
      </c>
      <c r="G1869" s="10">
        <f t="shared" si="29"/>
        <v>0</v>
      </c>
      <c r="H1869" t="str">
        <f>$A1869&amp;Keys!$C$54&amp;$B1869&amp;Keys!$C$54&amp;$C1869</f>
        <v>NM|imports|jet fuel or kerosene</v>
      </c>
    </row>
    <row r="1870" spans="1:8" x14ac:dyDescent="0.25">
      <c r="A1870" t="s">
        <v>141</v>
      </c>
      <c r="B1870" t="s">
        <v>191</v>
      </c>
      <c r="C1870" t="s">
        <v>100</v>
      </c>
      <c r="D1870">
        <v>0</v>
      </c>
      <c r="E1870">
        <v>0</v>
      </c>
      <c r="F1870">
        <v>0</v>
      </c>
      <c r="G1870" s="10">
        <f t="shared" si="29"/>
        <v>0</v>
      </c>
      <c r="H1870" t="str">
        <f>$A1870&amp;Keys!$C$54&amp;$B1870&amp;Keys!$C$54&amp;$C1870</f>
        <v>NM|imports|heat (not used in this variable)</v>
      </c>
    </row>
    <row r="1871" spans="1:8" x14ac:dyDescent="0.25">
      <c r="A1871" t="s">
        <v>141</v>
      </c>
      <c r="B1871" t="s">
        <v>191</v>
      </c>
      <c r="C1871" t="s">
        <v>103</v>
      </c>
      <c r="D1871">
        <v>0</v>
      </c>
      <c r="E1871">
        <v>0</v>
      </c>
      <c r="F1871">
        <v>0</v>
      </c>
      <c r="G1871" s="10">
        <f t="shared" si="29"/>
        <v>0</v>
      </c>
      <c r="H1871" t="str">
        <f>$A1871&amp;Keys!$C$54&amp;$B1871&amp;Keys!$C$54&amp;$C1871</f>
        <v>NM|imports|geothermal (is not a fuel)</v>
      </c>
    </row>
    <row r="1872" spans="1:8" x14ac:dyDescent="0.25">
      <c r="A1872" t="s">
        <v>141</v>
      </c>
      <c r="B1872" t="s">
        <v>191</v>
      </c>
      <c r="C1872" t="s">
        <v>106</v>
      </c>
      <c r="D1872">
        <v>0</v>
      </c>
      <c r="E1872">
        <v>0</v>
      </c>
      <c r="F1872">
        <v>0</v>
      </c>
      <c r="G1872" s="10">
        <f t="shared" si="29"/>
        <v>0</v>
      </c>
      <c r="H1872" t="str">
        <f>$A1872&amp;Keys!$C$54&amp;$B1872&amp;Keys!$C$54&amp;$C1872</f>
        <v>NM|imports|lignite</v>
      </c>
    </row>
    <row r="1873" spans="1:8" x14ac:dyDescent="0.25">
      <c r="A1873" t="s">
        <v>141</v>
      </c>
      <c r="B1873" t="s">
        <v>191</v>
      </c>
      <c r="C1873" t="s">
        <v>109</v>
      </c>
      <c r="D1873">
        <v>0</v>
      </c>
      <c r="E1873">
        <v>0</v>
      </c>
      <c r="F1873">
        <v>0</v>
      </c>
      <c r="G1873" s="10">
        <f t="shared" si="29"/>
        <v>0</v>
      </c>
      <c r="H1873" t="str">
        <f>$A1873&amp;Keys!$C$54&amp;$B1873&amp;Keys!$C$54&amp;$C1873</f>
        <v>NM|imports|crude oil</v>
      </c>
    </row>
    <row r="1874" spans="1:8" x14ac:dyDescent="0.25">
      <c r="A1874" t="s">
        <v>141</v>
      </c>
      <c r="B1874" t="s">
        <v>191</v>
      </c>
      <c r="C1874" t="s">
        <v>113</v>
      </c>
      <c r="D1874">
        <v>0</v>
      </c>
      <c r="E1874">
        <v>3716790000000</v>
      </c>
      <c r="F1874">
        <v>3990880000000</v>
      </c>
      <c r="G1874" s="10">
        <f t="shared" si="29"/>
        <v>2569223333333.3335</v>
      </c>
      <c r="H1874" t="str">
        <f>$A1874&amp;Keys!$C$54&amp;$B1874&amp;Keys!$C$54&amp;$C1874</f>
        <v>NM|imports|heavy fuel oil</v>
      </c>
    </row>
    <row r="1875" spans="1:8" x14ac:dyDescent="0.25">
      <c r="A1875" t="s">
        <v>141</v>
      </c>
      <c r="B1875" t="s">
        <v>191</v>
      </c>
      <c r="C1875" t="s">
        <v>117</v>
      </c>
      <c r="D1875">
        <v>0</v>
      </c>
      <c r="E1875">
        <v>0</v>
      </c>
      <c r="F1875">
        <v>0</v>
      </c>
      <c r="G1875" s="10">
        <f t="shared" si="29"/>
        <v>0</v>
      </c>
      <c r="H1875" t="str">
        <f>$A1875&amp;Keys!$C$54&amp;$B1875&amp;Keys!$C$54&amp;$C1875</f>
        <v>NM|imports|LPG propane or butane</v>
      </c>
    </row>
    <row r="1876" spans="1:8" x14ac:dyDescent="0.25">
      <c r="A1876" t="s">
        <v>141</v>
      </c>
      <c r="B1876" t="s">
        <v>191</v>
      </c>
      <c r="C1876" t="s">
        <v>120</v>
      </c>
      <c r="D1876">
        <v>0</v>
      </c>
      <c r="E1876">
        <v>0</v>
      </c>
      <c r="F1876">
        <v>0</v>
      </c>
      <c r="G1876" s="10">
        <f t="shared" si="29"/>
        <v>0</v>
      </c>
      <c r="H1876" t="str">
        <f>$A1876&amp;Keys!$C$54&amp;$B1876&amp;Keys!$C$54&amp;$C1876</f>
        <v>NM|imports|municipal solid waste</v>
      </c>
    </row>
    <row r="1877" spans="1:8" x14ac:dyDescent="0.25">
      <c r="A1877" t="s">
        <v>141</v>
      </c>
      <c r="B1877" t="s">
        <v>191</v>
      </c>
      <c r="C1877" t="s">
        <v>123</v>
      </c>
      <c r="D1877">
        <v>0</v>
      </c>
      <c r="E1877">
        <v>0</v>
      </c>
      <c r="F1877">
        <v>0</v>
      </c>
      <c r="G1877" s="10">
        <f t="shared" si="29"/>
        <v>0</v>
      </c>
      <c r="H1877" t="str">
        <f>$A1877&amp;Keys!$C$54&amp;$B1877&amp;Keys!$C$54&amp;$C1877</f>
        <v>NM|imports|hydrogen</v>
      </c>
    </row>
    <row r="1878" spans="1:8" x14ac:dyDescent="0.25">
      <c r="A1878" t="s">
        <v>141</v>
      </c>
      <c r="B1878" t="s">
        <v>193</v>
      </c>
      <c r="C1878" t="s">
        <v>60</v>
      </c>
      <c r="D1878">
        <v>0</v>
      </c>
      <c r="E1878">
        <v>0</v>
      </c>
      <c r="F1878">
        <v>0</v>
      </c>
      <c r="G1878" s="10">
        <f t="shared" si="29"/>
        <v>0</v>
      </c>
      <c r="H1878" t="str">
        <f>$A1878&amp;Keys!$C$54&amp;$B1878&amp;Keys!$C$54&amp;$C1878</f>
        <v>NM|exports|electricity (not used in this variable)</v>
      </c>
    </row>
    <row r="1879" spans="1:8" x14ac:dyDescent="0.25">
      <c r="A1879" t="s">
        <v>141</v>
      </c>
      <c r="B1879" t="s">
        <v>193</v>
      </c>
      <c r="C1879" t="s">
        <v>64</v>
      </c>
      <c r="D1879">
        <v>49242600000000</v>
      </c>
      <c r="E1879">
        <v>64885300000000</v>
      </c>
      <c r="F1879">
        <v>54992100000000</v>
      </c>
      <c r="G1879" s="10">
        <f t="shared" si="29"/>
        <v>56373333333333.336</v>
      </c>
      <c r="H1879" t="str">
        <f>$A1879&amp;Keys!$C$54&amp;$B1879&amp;Keys!$C$54&amp;$C1879</f>
        <v>NM|exports|hard coal</v>
      </c>
    </row>
    <row r="1880" spans="1:8" x14ac:dyDescent="0.25">
      <c r="A1880" t="s">
        <v>141</v>
      </c>
      <c r="B1880" t="s">
        <v>193</v>
      </c>
      <c r="C1880" t="s">
        <v>68</v>
      </c>
      <c r="D1880">
        <v>1737220000000000</v>
      </c>
      <c r="E1880">
        <v>3139150000000000</v>
      </c>
      <c r="F1880">
        <v>3242210000000000</v>
      </c>
      <c r="G1880" s="10">
        <f t="shared" si="29"/>
        <v>2706193333333333.5</v>
      </c>
      <c r="H1880" t="str">
        <f>$A1880&amp;Keys!$C$54&amp;$B1880&amp;Keys!$C$54&amp;$C1880</f>
        <v>NM|exports|natural gas</v>
      </c>
    </row>
    <row r="1881" spans="1:8" x14ac:dyDescent="0.25">
      <c r="A1881" t="s">
        <v>141</v>
      </c>
      <c r="B1881" t="s">
        <v>193</v>
      </c>
      <c r="C1881" t="s">
        <v>71</v>
      </c>
      <c r="D1881">
        <v>0</v>
      </c>
      <c r="E1881">
        <v>0</v>
      </c>
      <c r="F1881">
        <v>0</v>
      </c>
      <c r="G1881" s="10">
        <f t="shared" si="29"/>
        <v>0</v>
      </c>
      <c r="H1881" t="str">
        <f>$A1881&amp;Keys!$C$54&amp;$B1881&amp;Keys!$C$54&amp;$C1881</f>
        <v>NM|exports|nuclear</v>
      </c>
    </row>
    <row r="1882" spans="1:8" x14ac:dyDescent="0.25">
      <c r="A1882" t="s">
        <v>141</v>
      </c>
      <c r="B1882" t="s">
        <v>193</v>
      </c>
      <c r="C1882" t="s">
        <v>74</v>
      </c>
      <c r="D1882">
        <v>0</v>
      </c>
      <c r="E1882">
        <v>0</v>
      </c>
      <c r="F1882">
        <v>0</v>
      </c>
      <c r="G1882" s="10">
        <f t="shared" si="29"/>
        <v>0</v>
      </c>
      <c r="H1882" t="str">
        <f>$A1882&amp;Keys!$C$54&amp;$B1882&amp;Keys!$C$54&amp;$C1882</f>
        <v>NM|exports|hydro (is not a fuel)</v>
      </c>
    </row>
    <row r="1883" spans="1:8" x14ac:dyDescent="0.25">
      <c r="A1883" t="s">
        <v>141</v>
      </c>
      <c r="B1883" t="s">
        <v>193</v>
      </c>
      <c r="C1883" t="s">
        <v>77</v>
      </c>
      <c r="D1883">
        <v>0</v>
      </c>
      <c r="E1883">
        <v>0</v>
      </c>
      <c r="F1883">
        <v>0</v>
      </c>
      <c r="G1883" s="10">
        <f t="shared" si="29"/>
        <v>0</v>
      </c>
      <c r="H1883" t="str">
        <f>$A1883&amp;Keys!$C$54&amp;$B1883&amp;Keys!$C$54&amp;$C1883</f>
        <v>NM|exports|wind (is not a fuel)</v>
      </c>
    </row>
    <row r="1884" spans="1:8" x14ac:dyDescent="0.25">
      <c r="A1884" t="s">
        <v>141</v>
      </c>
      <c r="B1884" t="s">
        <v>193</v>
      </c>
      <c r="C1884" t="s">
        <v>80</v>
      </c>
      <c r="D1884">
        <v>0</v>
      </c>
      <c r="E1884">
        <v>0</v>
      </c>
      <c r="F1884">
        <v>0</v>
      </c>
      <c r="G1884" s="10">
        <f t="shared" si="29"/>
        <v>0</v>
      </c>
      <c r="H1884" t="str">
        <f>$A1884&amp;Keys!$C$54&amp;$B1884&amp;Keys!$C$54&amp;$C1884</f>
        <v>NM|exports|solar (is not a fuel)</v>
      </c>
    </row>
    <row r="1885" spans="1:8" x14ac:dyDescent="0.25">
      <c r="A1885" t="s">
        <v>141</v>
      </c>
      <c r="B1885" t="s">
        <v>193</v>
      </c>
      <c r="C1885" t="s">
        <v>82</v>
      </c>
      <c r="D1885">
        <v>0</v>
      </c>
      <c r="E1885">
        <v>0</v>
      </c>
      <c r="F1885">
        <v>0</v>
      </c>
      <c r="G1885" s="10">
        <f t="shared" si="29"/>
        <v>0</v>
      </c>
      <c r="H1885" t="str">
        <f>$A1885&amp;Keys!$C$54&amp;$B1885&amp;Keys!$C$54&amp;$C1885</f>
        <v>NM|exports|biomass</v>
      </c>
    </row>
    <row r="1886" spans="1:8" x14ac:dyDescent="0.25">
      <c r="A1886" t="s">
        <v>141</v>
      </c>
      <c r="B1886" t="s">
        <v>193</v>
      </c>
      <c r="C1886" t="s">
        <v>85</v>
      </c>
      <c r="D1886">
        <v>0</v>
      </c>
      <c r="E1886">
        <v>12775100000000</v>
      </c>
      <c r="F1886">
        <v>11650500000000</v>
      </c>
      <c r="G1886" s="10">
        <f t="shared" si="29"/>
        <v>8141866666666.667</v>
      </c>
      <c r="H1886" t="str">
        <f>$A1886&amp;Keys!$C$54&amp;$B1886&amp;Keys!$C$54&amp;$C1886</f>
        <v>NM|exports|petroleum gasoline</v>
      </c>
    </row>
    <row r="1887" spans="1:8" x14ac:dyDescent="0.25">
      <c r="A1887" t="s">
        <v>141</v>
      </c>
      <c r="B1887" t="s">
        <v>193</v>
      </c>
      <c r="C1887" t="s">
        <v>88</v>
      </c>
      <c r="D1887">
        <v>0</v>
      </c>
      <c r="E1887">
        <v>0</v>
      </c>
      <c r="F1887">
        <v>0</v>
      </c>
      <c r="G1887" s="10">
        <f t="shared" si="29"/>
        <v>0</v>
      </c>
      <c r="H1887" t="str">
        <f>$A1887&amp;Keys!$C$54&amp;$B1887&amp;Keys!$C$54&amp;$C1887</f>
        <v>NM|exports|petroleum diesel</v>
      </c>
    </row>
    <row r="1888" spans="1:8" x14ac:dyDescent="0.25">
      <c r="A1888" t="s">
        <v>141</v>
      </c>
      <c r="B1888" t="s">
        <v>193</v>
      </c>
      <c r="C1888" t="s">
        <v>91</v>
      </c>
      <c r="D1888">
        <v>0</v>
      </c>
      <c r="E1888">
        <v>0</v>
      </c>
      <c r="F1888">
        <v>0</v>
      </c>
      <c r="G1888" s="10">
        <f t="shared" si="29"/>
        <v>0</v>
      </c>
      <c r="H1888" t="str">
        <f>$A1888&amp;Keys!$C$54&amp;$B1888&amp;Keys!$C$54&amp;$C1888</f>
        <v>NM|exports|biofuel gasoline</v>
      </c>
    </row>
    <row r="1889" spans="1:8" x14ac:dyDescent="0.25">
      <c r="A1889" t="s">
        <v>141</v>
      </c>
      <c r="B1889" t="s">
        <v>193</v>
      </c>
      <c r="C1889" t="s">
        <v>94</v>
      </c>
      <c r="D1889">
        <v>0</v>
      </c>
      <c r="E1889">
        <v>0</v>
      </c>
      <c r="F1889">
        <v>0</v>
      </c>
      <c r="G1889" s="10">
        <f t="shared" si="29"/>
        <v>0</v>
      </c>
      <c r="H1889" t="str">
        <f>$A1889&amp;Keys!$C$54&amp;$B1889&amp;Keys!$C$54&amp;$C1889</f>
        <v>NM|exports|biofuel diesel</v>
      </c>
    </row>
    <row r="1890" spans="1:8" x14ac:dyDescent="0.25">
      <c r="A1890" t="s">
        <v>141</v>
      </c>
      <c r="B1890" t="s">
        <v>193</v>
      </c>
      <c r="C1890" t="s">
        <v>97</v>
      </c>
      <c r="D1890">
        <v>0</v>
      </c>
      <c r="E1890">
        <v>14868600000000</v>
      </c>
      <c r="F1890">
        <v>14228400000000</v>
      </c>
      <c r="G1890" s="10">
        <f t="shared" si="29"/>
        <v>9699000000000</v>
      </c>
      <c r="H1890" t="str">
        <f>$A1890&amp;Keys!$C$54&amp;$B1890&amp;Keys!$C$54&amp;$C1890</f>
        <v>NM|exports|jet fuel or kerosene</v>
      </c>
    </row>
    <row r="1891" spans="1:8" x14ac:dyDescent="0.25">
      <c r="A1891" t="s">
        <v>141</v>
      </c>
      <c r="B1891" t="s">
        <v>193</v>
      </c>
      <c r="C1891" t="s">
        <v>100</v>
      </c>
      <c r="D1891">
        <v>0</v>
      </c>
      <c r="E1891">
        <v>0</v>
      </c>
      <c r="F1891">
        <v>0</v>
      </c>
      <c r="G1891" s="10">
        <f t="shared" si="29"/>
        <v>0</v>
      </c>
      <c r="H1891" t="str">
        <f>$A1891&amp;Keys!$C$54&amp;$B1891&amp;Keys!$C$54&amp;$C1891</f>
        <v>NM|exports|heat (not used in this variable)</v>
      </c>
    </row>
    <row r="1892" spans="1:8" x14ac:dyDescent="0.25">
      <c r="A1892" t="s">
        <v>141</v>
      </c>
      <c r="B1892" t="s">
        <v>193</v>
      </c>
      <c r="C1892" t="s">
        <v>103</v>
      </c>
      <c r="D1892">
        <v>0</v>
      </c>
      <c r="E1892">
        <v>0</v>
      </c>
      <c r="F1892">
        <v>0</v>
      </c>
      <c r="G1892" s="10">
        <f t="shared" si="29"/>
        <v>0</v>
      </c>
      <c r="H1892" t="str">
        <f>$A1892&amp;Keys!$C$54&amp;$B1892&amp;Keys!$C$54&amp;$C1892</f>
        <v>NM|exports|geothermal (is not a fuel)</v>
      </c>
    </row>
    <row r="1893" spans="1:8" x14ac:dyDescent="0.25">
      <c r="A1893" t="s">
        <v>141</v>
      </c>
      <c r="B1893" t="s">
        <v>193</v>
      </c>
      <c r="C1893" t="s">
        <v>106</v>
      </c>
      <c r="D1893">
        <v>0</v>
      </c>
      <c r="E1893">
        <v>0</v>
      </c>
      <c r="F1893">
        <v>0</v>
      </c>
      <c r="G1893" s="10">
        <f t="shared" si="29"/>
        <v>0</v>
      </c>
      <c r="H1893" t="str">
        <f>$A1893&amp;Keys!$C$54&amp;$B1893&amp;Keys!$C$54&amp;$C1893</f>
        <v>NM|exports|lignite</v>
      </c>
    </row>
    <row r="1894" spans="1:8" x14ac:dyDescent="0.25">
      <c r="A1894" t="s">
        <v>141</v>
      </c>
      <c r="B1894" t="s">
        <v>193</v>
      </c>
      <c r="C1894" t="s">
        <v>109</v>
      </c>
      <c r="D1894">
        <v>0</v>
      </c>
      <c r="E1894">
        <v>4077940000000000</v>
      </c>
      <c r="F1894">
        <v>4144210000000000</v>
      </c>
      <c r="G1894" s="10">
        <f t="shared" si="29"/>
        <v>2740716666666666.5</v>
      </c>
      <c r="H1894" t="str">
        <f>$A1894&amp;Keys!$C$54&amp;$B1894&amp;Keys!$C$54&amp;$C1894</f>
        <v>NM|exports|crude oil</v>
      </c>
    </row>
    <row r="1895" spans="1:8" x14ac:dyDescent="0.25">
      <c r="A1895" t="s">
        <v>141</v>
      </c>
      <c r="B1895" t="s">
        <v>193</v>
      </c>
      <c r="C1895" t="s">
        <v>113</v>
      </c>
      <c r="D1895">
        <v>0</v>
      </c>
      <c r="E1895">
        <v>0</v>
      </c>
      <c r="F1895">
        <v>0</v>
      </c>
      <c r="G1895" s="10">
        <f t="shared" si="29"/>
        <v>0</v>
      </c>
      <c r="H1895" t="str">
        <f>$A1895&amp;Keys!$C$54&amp;$B1895&amp;Keys!$C$54&amp;$C1895</f>
        <v>NM|exports|heavy fuel oil</v>
      </c>
    </row>
    <row r="1896" spans="1:8" x14ac:dyDescent="0.25">
      <c r="A1896" t="s">
        <v>141</v>
      </c>
      <c r="B1896" t="s">
        <v>193</v>
      </c>
      <c r="C1896" t="s">
        <v>117</v>
      </c>
      <c r="D1896">
        <v>0</v>
      </c>
      <c r="E1896">
        <v>414730000000000</v>
      </c>
      <c r="F1896">
        <v>423807000000000</v>
      </c>
      <c r="G1896" s="10">
        <f t="shared" si="29"/>
        <v>279512333333333.34</v>
      </c>
      <c r="H1896" t="str">
        <f>$A1896&amp;Keys!$C$54&amp;$B1896&amp;Keys!$C$54&amp;$C1896</f>
        <v>NM|exports|LPG propane or butane</v>
      </c>
    </row>
    <row r="1897" spans="1:8" x14ac:dyDescent="0.25">
      <c r="A1897" t="s">
        <v>141</v>
      </c>
      <c r="B1897" t="s">
        <v>193</v>
      </c>
      <c r="C1897" t="s">
        <v>120</v>
      </c>
      <c r="D1897">
        <v>0</v>
      </c>
      <c r="E1897">
        <v>0</v>
      </c>
      <c r="F1897">
        <v>0</v>
      </c>
      <c r="G1897" s="10">
        <f t="shared" si="29"/>
        <v>0</v>
      </c>
      <c r="H1897" t="str">
        <f>$A1897&amp;Keys!$C$54&amp;$B1897&amp;Keys!$C$54&amp;$C1897</f>
        <v>NM|exports|municipal solid waste</v>
      </c>
    </row>
    <row r="1898" spans="1:8" x14ac:dyDescent="0.25">
      <c r="A1898" t="s">
        <v>141</v>
      </c>
      <c r="B1898" t="s">
        <v>193</v>
      </c>
      <c r="C1898" t="s">
        <v>123</v>
      </c>
      <c r="D1898">
        <v>0</v>
      </c>
      <c r="E1898">
        <v>1870470000000</v>
      </c>
      <c r="F1898">
        <v>1643700000000</v>
      </c>
      <c r="G1898" s="10">
        <f t="shared" si="29"/>
        <v>1171390000000</v>
      </c>
      <c r="H1898" t="str">
        <f>$A1898&amp;Keys!$C$54&amp;$B1898&amp;Keys!$C$54&amp;$C1898</f>
        <v>NM|exports|hydrogen</v>
      </c>
    </row>
    <row r="1899" spans="1:8" x14ac:dyDescent="0.25">
      <c r="A1899" t="s">
        <v>143</v>
      </c>
      <c r="B1899" t="s">
        <v>188</v>
      </c>
      <c r="C1899" t="s">
        <v>60</v>
      </c>
      <c r="D1899">
        <v>0</v>
      </c>
      <c r="E1899">
        <v>0</v>
      </c>
      <c r="F1899">
        <v>0</v>
      </c>
      <c r="G1899" s="10">
        <f t="shared" si="29"/>
        <v>0</v>
      </c>
      <c r="H1899" t="str">
        <f>$A1899&amp;Keys!$C$54&amp;$B1899&amp;Keys!$C$54&amp;$C1899</f>
        <v>NV|production|electricity (not used in this variable)</v>
      </c>
    </row>
    <row r="1900" spans="1:8" x14ac:dyDescent="0.25">
      <c r="A1900" t="s">
        <v>143</v>
      </c>
      <c r="B1900" t="s">
        <v>188</v>
      </c>
      <c r="C1900" t="s">
        <v>64</v>
      </c>
      <c r="D1900">
        <v>0</v>
      </c>
      <c r="E1900">
        <v>0</v>
      </c>
      <c r="F1900">
        <v>0</v>
      </c>
      <c r="G1900" s="10">
        <f t="shared" si="29"/>
        <v>0</v>
      </c>
      <c r="H1900" t="str">
        <f>$A1900&amp;Keys!$C$54&amp;$B1900&amp;Keys!$C$54&amp;$C1900</f>
        <v>NV|production|hard coal</v>
      </c>
    </row>
    <row r="1901" spans="1:8" x14ac:dyDescent="0.25">
      <c r="A1901" t="s">
        <v>143</v>
      </c>
      <c r="B1901" t="s">
        <v>188</v>
      </c>
      <c r="C1901" t="s">
        <v>68</v>
      </c>
      <c r="D1901">
        <v>4148000000</v>
      </c>
      <c r="E1901">
        <v>4148000000</v>
      </c>
      <c r="F1901">
        <v>4159310000</v>
      </c>
      <c r="G1901" s="10">
        <f t="shared" si="29"/>
        <v>4151770000</v>
      </c>
      <c r="H1901" t="str">
        <f>$A1901&amp;Keys!$C$54&amp;$B1901&amp;Keys!$C$54&amp;$C1901</f>
        <v>NV|production|natural gas</v>
      </c>
    </row>
    <row r="1902" spans="1:8" x14ac:dyDescent="0.25">
      <c r="A1902" t="s">
        <v>143</v>
      </c>
      <c r="B1902" t="s">
        <v>188</v>
      </c>
      <c r="C1902" t="s">
        <v>71</v>
      </c>
      <c r="D1902">
        <v>0</v>
      </c>
      <c r="E1902">
        <v>0</v>
      </c>
      <c r="F1902">
        <v>0</v>
      </c>
      <c r="G1902" s="10">
        <f t="shared" si="29"/>
        <v>0</v>
      </c>
      <c r="H1902" t="str">
        <f>$A1902&amp;Keys!$C$54&amp;$B1902&amp;Keys!$C$54&amp;$C1902</f>
        <v>NV|production|nuclear</v>
      </c>
    </row>
    <row r="1903" spans="1:8" x14ac:dyDescent="0.25">
      <c r="A1903" t="s">
        <v>143</v>
      </c>
      <c r="B1903" t="s">
        <v>188</v>
      </c>
      <c r="C1903" t="s">
        <v>74</v>
      </c>
      <c r="D1903">
        <v>0</v>
      </c>
      <c r="E1903">
        <v>0</v>
      </c>
      <c r="F1903">
        <v>0</v>
      </c>
      <c r="G1903" s="10">
        <f t="shared" si="29"/>
        <v>0</v>
      </c>
      <c r="H1903" t="str">
        <f>$A1903&amp;Keys!$C$54&amp;$B1903&amp;Keys!$C$54&amp;$C1903</f>
        <v>NV|production|hydro (is not a fuel)</v>
      </c>
    </row>
    <row r="1904" spans="1:8" x14ac:dyDescent="0.25">
      <c r="A1904" t="s">
        <v>143</v>
      </c>
      <c r="B1904" t="s">
        <v>188</v>
      </c>
      <c r="C1904" t="s">
        <v>77</v>
      </c>
      <c r="D1904">
        <v>0</v>
      </c>
      <c r="E1904">
        <v>0</v>
      </c>
      <c r="F1904">
        <v>0</v>
      </c>
      <c r="G1904" s="10">
        <f t="shared" si="29"/>
        <v>0</v>
      </c>
      <c r="H1904" t="str">
        <f>$A1904&amp;Keys!$C$54&amp;$B1904&amp;Keys!$C$54&amp;$C1904</f>
        <v>NV|production|wind (is not a fuel)</v>
      </c>
    </row>
    <row r="1905" spans="1:8" x14ac:dyDescent="0.25">
      <c r="A1905" t="s">
        <v>143</v>
      </c>
      <c r="B1905" t="s">
        <v>188</v>
      </c>
      <c r="C1905" t="s">
        <v>80</v>
      </c>
      <c r="D1905">
        <v>0</v>
      </c>
      <c r="E1905">
        <v>0</v>
      </c>
      <c r="F1905">
        <v>0</v>
      </c>
      <c r="G1905" s="10">
        <f t="shared" si="29"/>
        <v>0</v>
      </c>
      <c r="H1905" t="str">
        <f>$A1905&amp;Keys!$C$54&amp;$B1905&amp;Keys!$C$54&amp;$C1905</f>
        <v>NV|production|solar (is not a fuel)</v>
      </c>
    </row>
    <row r="1906" spans="1:8" x14ac:dyDescent="0.25">
      <c r="A1906" t="s">
        <v>143</v>
      </c>
      <c r="B1906" t="s">
        <v>188</v>
      </c>
      <c r="C1906" t="s">
        <v>82</v>
      </c>
      <c r="D1906">
        <v>0</v>
      </c>
      <c r="E1906">
        <v>0</v>
      </c>
      <c r="F1906">
        <v>0</v>
      </c>
      <c r="G1906" s="10">
        <f t="shared" si="29"/>
        <v>0</v>
      </c>
      <c r="H1906" t="str">
        <f>$A1906&amp;Keys!$C$54&amp;$B1906&amp;Keys!$C$54&amp;$C1906</f>
        <v>NV|production|biomass</v>
      </c>
    </row>
    <row r="1907" spans="1:8" x14ac:dyDescent="0.25">
      <c r="A1907" t="s">
        <v>143</v>
      </c>
      <c r="B1907" t="s">
        <v>188</v>
      </c>
      <c r="C1907" t="s">
        <v>85</v>
      </c>
      <c r="D1907">
        <v>1941000000000</v>
      </c>
      <c r="E1907">
        <v>1941000000000</v>
      </c>
      <c r="F1907">
        <v>1893950000000</v>
      </c>
      <c r="G1907" s="10">
        <f t="shared" si="29"/>
        <v>1925316666666.6667</v>
      </c>
      <c r="H1907" t="str">
        <f>$A1907&amp;Keys!$C$54&amp;$B1907&amp;Keys!$C$54&amp;$C1907</f>
        <v>NV|production|petroleum gasoline</v>
      </c>
    </row>
    <row r="1908" spans="1:8" x14ac:dyDescent="0.25">
      <c r="A1908" t="s">
        <v>143</v>
      </c>
      <c r="B1908" t="s">
        <v>188</v>
      </c>
      <c r="C1908" t="s">
        <v>88</v>
      </c>
      <c r="D1908">
        <v>1148130000000</v>
      </c>
      <c r="E1908">
        <v>1148130000000</v>
      </c>
      <c r="F1908">
        <v>1120300000000</v>
      </c>
      <c r="G1908" s="10">
        <f t="shared" si="29"/>
        <v>1138853333333.3333</v>
      </c>
      <c r="H1908" t="str">
        <f>$A1908&amp;Keys!$C$54&amp;$B1908&amp;Keys!$C$54&amp;$C1908</f>
        <v>NV|production|petroleum diesel</v>
      </c>
    </row>
    <row r="1909" spans="1:8" x14ac:dyDescent="0.25">
      <c r="A1909" t="s">
        <v>143</v>
      </c>
      <c r="B1909" t="s">
        <v>188</v>
      </c>
      <c r="C1909" t="s">
        <v>91</v>
      </c>
      <c r="D1909">
        <v>0</v>
      </c>
      <c r="E1909">
        <v>0</v>
      </c>
      <c r="F1909">
        <v>0</v>
      </c>
      <c r="G1909" s="10">
        <f t="shared" si="29"/>
        <v>0</v>
      </c>
      <c r="H1909" t="str">
        <f>$A1909&amp;Keys!$C$54&amp;$B1909&amp;Keys!$C$54&amp;$C1909</f>
        <v>NV|production|biofuel gasoline</v>
      </c>
    </row>
    <row r="1910" spans="1:8" x14ac:dyDescent="0.25">
      <c r="A1910" t="s">
        <v>143</v>
      </c>
      <c r="B1910" t="s">
        <v>188</v>
      </c>
      <c r="C1910" t="s">
        <v>94</v>
      </c>
      <c r="D1910">
        <v>0</v>
      </c>
      <c r="E1910">
        <v>0</v>
      </c>
      <c r="F1910">
        <v>0</v>
      </c>
      <c r="G1910" s="10">
        <f t="shared" si="29"/>
        <v>0</v>
      </c>
      <c r="H1910" t="str">
        <f>$A1910&amp;Keys!$C$54&amp;$B1910&amp;Keys!$C$54&amp;$C1910</f>
        <v>NV|production|biofuel diesel</v>
      </c>
    </row>
    <row r="1911" spans="1:8" x14ac:dyDescent="0.25">
      <c r="A1911" t="s">
        <v>143</v>
      </c>
      <c r="B1911" t="s">
        <v>188</v>
      </c>
      <c r="C1911" t="s">
        <v>97</v>
      </c>
      <c r="D1911">
        <v>408712000000</v>
      </c>
      <c r="E1911">
        <v>408712000000</v>
      </c>
      <c r="F1911">
        <v>398805000000</v>
      </c>
      <c r="G1911" s="10">
        <f t="shared" si="29"/>
        <v>405409666666.66669</v>
      </c>
      <c r="H1911" t="str">
        <f>$A1911&amp;Keys!$C$54&amp;$B1911&amp;Keys!$C$54&amp;$C1911</f>
        <v>NV|production|jet fuel or kerosene</v>
      </c>
    </row>
    <row r="1912" spans="1:8" x14ac:dyDescent="0.25">
      <c r="A1912" t="s">
        <v>143</v>
      </c>
      <c r="B1912" t="s">
        <v>188</v>
      </c>
      <c r="C1912" t="s">
        <v>100</v>
      </c>
      <c r="D1912">
        <v>0</v>
      </c>
      <c r="E1912">
        <v>0</v>
      </c>
      <c r="F1912">
        <v>0</v>
      </c>
      <c r="G1912" s="10">
        <f t="shared" si="29"/>
        <v>0</v>
      </c>
      <c r="H1912" t="str">
        <f>$A1912&amp;Keys!$C$54&amp;$B1912&amp;Keys!$C$54&amp;$C1912</f>
        <v>NV|production|heat (not used in this variable)</v>
      </c>
    </row>
    <row r="1913" spans="1:8" x14ac:dyDescent="0.25">
      <c r="A1913" t="s">
        <v>143</v>
      </c>
      <c r="B1913" t="s">
        <v>188</v>
      </c>
      <c r="C1913" t="s">
        <v>103</v>
      </c>
      <c r="D1913">
        <v>0</v>
      </c>
      <c r="E1913">
        <v>0</v>
      </c>
      <c r="F1913">
        <v>0</v>
      </c>
      <c r="G1913" s="10">
        <f t="shared" si="29"/>
        <v>0</v>
      </c>
      <c r="H1913" t="str">
        <f>$A1913&amp;Keys!$C$54&amp;$B1913&amp;Keys!$C$54&amp;$C1913</f>
        <v>NV|production|geothermal (is not a fuel)</v>
      </c>
    </row>
    <row r="1914" spans="1:8" x14ac:dyDescent="0.25">
      <c r="A1914" t="s">
        <v>143</v>
      </c>
      <c r="B1914" t="s">
        <v>188</v>
      </c>
      <c r="C1914" t="s">
        <v>106</v>
      </c>
      <c r="D1914">
        <v>0</v>
      </c>
      <c r="E1914">
        <v>0</v>
      </c>
      <c r="F1914">
        <v>0</v>
      </c>
      <c r="G1914" s="10">
        <f t="shared" si="29"/>
        <v>0</v>
      </c>
      <c r="H1914" t="str">
        <f>$A1914&amp;Keys!$C$54&amp;$B1914&amp;Keys!$C$54&amp;$C1914</f>
        <v>NV|production|lignite</v>
      </c>
    </row>
    <row r="1915" spans="1:8" x14ac:dyDescent="0.25">
      <c r="A1915" t="s">
        <v>143</v>
      </c>
      <c r="B1915" t="s">
        <v>188</v>
      </c>
      <c r="C1915" t="s">
        <v>109</v>
      </c>
      <c r="D1915">
        <v>1026600000000</v>
      </c>
      <c r="E1915">
        <v>1026600000000</v>
      </c>
      <c r="F1915">
        <v>1007910000000</v>
      </c>
      <c r="G1915" s="10">
        <f t="shared" si="29"/>
        <v>1020370000000</v>
      </c>
      <c r="H1915" t="str">
        <f>$A1915&amp;Keys!$C$54&amp;$B1915&amp;Keys!$C$54&amp;$C1915</f>
        <v>NV|production|crude oil</v>
      </c>
    </row>
    <row r="1916" spans="1:8" x14ac:dyDescent="0.25">
      <c r="A1916" t="s">
        <v>143</v>
      </c>
      <c r="B1916" t="s">
        <v>188</v>
      </c>
      <c r="C1916" t="s">
        <v>113</v>
      </c>
      <c r="D1916">
        <v>79393600000</v>
      </c>
      <c r="E1916">
        <v>79393600000</v>
      </c>
      <c r="F1916">
        <v>77469200000</v>
      </c>
      <c r="G1916" s="10">
        <f t="shared" si="29"/>
        <v>78752133333.333328</v>
      </c>
      <c r="H1916" t="str">
        <f>$A1916&amp;Keys!$C$54&amp;$B1916&amp;Keys!$C$54&amp;$C1916</f>
        <v>NV|production|heavy fuel oil</v>
      </c>
    </row>
    <row r="1917" spans="1:8" x14ac:dyDescent="0.25">
      <c r="A1917" t="s">
        <v>143</v>
      </c>
      <c r="B1917" t="s">
        <v>188</v>
      </c>
      <c r="C1917" t="s">
        <v>117</v>
      </c>
      <c r="D1917">
        <v>507091000</v>
      </c>
      <c r="E1917">
        <v>507091000</v>
      </c>
      <c r="F1917">
        <v>517858000</v>
      </c>
      <c r="G1917" s="10">
        <f t="shared" si="29"/>
        <v>510680000</v>
      </c>
      <c r="H1917" t="str">
        <f>$A1917&amp;Keys!$C$54&amp;$B1917&amp;Keys!$C$54&amp;$C1917</f>
        <v>NV|production|LPG propane or butane</v>
      </c>
    </row>
    <row r="1918" spans="1:8" x14ac:dyDescent="0.25">
      <c r="A1918" t="s">
        <v>143</v>
      </c>
      <c r="B1918" t="s">
        <v>188</v>
      </c>
      <c r="C1918" t="s">
        <v>120</v>
      </c>
      <c r="D1918">
        <v>0</v>
      </c>
      <c r="E1918">
        <v>0</v>
      </c>
      <c r="F1918">
        <v>0</v>
      </c>
      <c r="G1918" s="10">
        <f t="shared" si="29"/>
        <v>0</v>
      </c>
      <c r="H1918" t="str">
        <f>$A1918&amp;Keys!$C$54&amp;$B1918&amp;Keys!$C$54&amp;$C1918</f>
        <v>NV|production|municipal solid waste</v>
      </c>
    </row>
    <row r="1919" spans="1:8" x14ac:dyDescent="0.25">
      <c r="A1919" t="s">
        <v>143</v>
      </c>
      <c r="B1919" t="s">
        <v>188</v>
      </c>
      <c r="C1919" t="s">
        <v>123</v>
      </c>
      <c r="D1919">
        <v>0</v>
      </c>
      <c r="E1919">
        <v>0</v>
      </c>
      <c r="F1919">
        <v>0</v>
      </c>
      <c r="G1919" s="10">
        <f t="shared" si="29"/>
        <v>0</v>
      </c>
      <c r="H1919" t="str">
        <f>$A1919&amp;Keys!$C$54&amp;$B1919&amp;Keys!$C$54&amp;$C1919</f>
        <v>NV|production|hydrogen</v>
      </c>
    </row>
    <row r="1920" spans="1:8" x14ac:dyDescent="0.25">
      <c r="A1920" t="s">
        <v>143</v>
      </c>
      <c r="B1920" t="s">
        <v>191</v>
      </c>
      <c r="C1920" t="s">
        <v>60</v>
      </c>
      <c r="D1920">
        <v>0</v>
      </c>
      <c r="E1920">
        <v>0</v>
      </c>
      <c r="F1920">
        <v>0</v>
      </c>
      <c r="G1920" s="10">
        <f t="shared" si="29"/>
        <v>0</v>
      </c>
      <c r="H1920" t="str">
        <f>$A1920&amp;Keys!$C$54&amp;$B1920&amp;Keys!$C$54&amp;$C1920</f>
        <v>NV|imports|electricity (not used in this variable)</v>
      </c>
    </row>
    <row r="1921" spans="1:8" x14ac:dyDescent="0.25">
      <c r="A1921" t="s">
        <v>143</v>
      </c>
      <c r="B1921" t="s">
        <v>191</v>
      </c>
      <c r="C1921" t="s">
        <v>64</v>
      </c>
      <c r="D1921">
        <v>38890100000000</v>
      </c>
      <c r="E1921">
        <v>35928100000000</v>
      </c>
      <c r="F1921">
        <v>39432000000000</v>
      </c>
      <c r="G1921" s="10">
        <f t="shared" si="29"/>
        <v>38083400000000</v>
      </c>
      <c r="H1921" t="str">
        <f>$A1921&amp;Keys!$C$54&amp;$B1921&amp;Keys!$C$54&amp;$C1921</f>
        <v>NV|imports|hard coal</v>
      </c>
    </row>
    <row r="1922" spans="1:8" x14ac:dyDescent="0.25">
      <c r="A1922" t="s">
        <v>143</v>
      </c>
      <c r="B1922" t="s">
        <v>191</v>
      </c>
      <c r="C1922" t="s">
        <v>68</v>
      </c>
      <c r="D1922">
        <v>886707000000000</v>
      </c>
      <c r="E1922">
        <v>892619000000000</v>
      </c>
      <c r="F1922">
        <v>882603000000000</v>
      </c>
      <c r="G1922" s="10">
        <f t="shared" si="29"/>
        <v>887309666666666.63</v>
      </c>
      <c r="H1922" t="str">
        <f>$A1922&amp;Keys!$C$54&amp;$B1922&amp;Keys!$C$54&amp;$C1922</f>
        <v>NV|imports|natural gas</v>
      </c>
    </row>
    <row r="1923" spans="1:8" x14ac:dyDescent="0.25">
      <c r="A1923" t="s">
        <v>143</v>
      </c>
      <c r="B1923" t="s">
        <v>191</v>
      </c>
      <c r="C1923" t="s">
        <v>71</v>
      </c>
      <c r="D1923">
        <v>0</v>
      </c>
      <c r="E1923">
        <v>0</v>
      </c>
      <c r="F1923">
        <v>0</v>
      </c>
      <c r="G1923" s="10">
        <f t="shared" si="29"/>
        <v>0</v>
      </c>
      <c r="H1923" t="str">
        <f>$A1923&amp;Keys!$C$54&amp;$B1923&amp;Keys!$C$54&amp;$C1923</f>
        <v>NV|imports|nuclear</v>
      </c>
    </row>
    <row r="1924" spans="1:8" x14ac:dyDescent="0.25">
      <c r="A1924" t="s">
        <v>143</v>
      </c>
      <c r="B1924" t="s">
        <v>191</v>
      </c>
      <c r="C1924" t="s">
        <v>74</v>
      </c>
      <c r="D1924">
        <v>0</v>
      </c>
      <c r="E1924">
        <v>0</v>
      </c>
      <c r="F1924">
        <v>0</v>
      </c>
      <c r="G1924" s="10">
        <f t="shared" si="29"/>
        <v>0</v>
      </c>
      <c r="H1924" t="str">
        <f>$A1924&amp;Keys!$C$54&amp;$B1924&amp;Keys!$C$54&amp;$C1924</f>
        <v>NV|imports|hydro (is not a fuel)</v>
      </c>
    </row>
    <row r="1925" spans="1:8" x14ac:dyDescent="0.25">
      <c r="A1925" t="s">
        <v>143</v>
      </c>
      <c r="B1925" t="s">
        <v>191</v>
      </c>
      <c r="C1925" t="s">
        <v>77</v>
      </c>
      <c r="D1925">
        <v>0</v>
      </c>
      <c r="E1925">
        <v>0</v>
      </c>
      <c r="F1925">
        <v>0</v>
      </c>
      <c r="G1925" s="10">
        <f t="shared" si="29"/>
        <v>0</v>
      </c>
      <c r="H1925" t="str">
        <f>$A1925&amp;Keys!$C$54&amp;$B1925&amp;Keys!$C$54&amp;$C1925</f>
        <v>NV|imports|wind (is not a fuel)</v>
      </c>
    </row>
    <row r="1926" spans="1:8" x14ac:dyDescent="0.25">
      <c r="A1926" t="s">
        <v>143</v>
      </c>
      <c r="B1926" t="s">
        <v>191</v>
      </c>
      <c r="C1926" t="s">
        <v>80</v>
      </c>
      <c r="D1926">
        <v>0</v>
      </c>
      <c r="E1926">
        <v>0</v>
      </c>
      <c r="F1926">
        <v>0</v>
      </c>
      <c r="G1926" s="10">
        <f t="shared" si="29"/>
        <v>0</v>
      </c>
      <c r="H1926" t="str">
        <f>$A1926&amp;Keys!$C$54&amp;$B1926&amp;Keys!$C$54&amp;$C1926</f>
        <v>NV|imports|solar (is not a fuel)</v>
      </c>
    </row>
    <row r="1927" spans="1:8" x14ac:dyDescent="0.25">
      <c r="A1927" t="s">
        <v>143</v>
      </c>
      <c r="B1927" t="s">
        <v>191</v>
      </c>
      <c r="C1927" t="s">
        <v>82</v>
      </c>
      <c r="D1927">
        <v>0</v>
      </c>
      <c r="E1927">
        <v>3524720000000</v>
      </c>
      <c r="F1927">
        <v>3378290000000</v>
      </c>
      <c r="G1927" s="10">
        <f t="shared" si="29"/>
        <v>2301003333333.3335</v>
      </c>
      <c r="H1927" t="str">
        <f>$A1927&amp;Keys!$C$54&amp;$B1927&amp;Keys!$C$54&amp;$C1927</f>
        <v>NV|imports|biomass</v>
      </c>
    </row>
    <row r="1928" spans="1:8" x14ac:dyDescent="0.25">
      <c r="A1928" t="s">
        <v>143</v>
      </c>
      <c r="B1928" t="s">
        <v>191</v>
      </c>
      <c r="C1928" t="s">
        <v>85</v>
      </c>
      <c r="D1928">
        <v>0</v>
      </c>
      <c r="E1928">
        <v>115722000000000</v>
      </c>
      <c r="F1928">
        <v>114563000000000</v>
      </c>
      <c r="G1928" s="10">
        <f t="shared" si="29"/>
        <v>76761666666666.672</v>
      </c>
      <c r="H1928" t="str">
        <f>$A1928&amp;Keys!$C$54&amp;$B1928&amp;Keys!$C$54&amp;$C1928</f>
        <v>NV|imports|petroleum gasoline</v>
      </c>
    </row>
    <row r="1929" spans="1:8" x14ac:dyDescent="0.25">
      <c r="A1929" t="s">
        <v>143</v>
      </c>
      <c r="B1929" t="s">
        <v>191</v>
      </c>
      <c r="C1929" t="s">
        <v>88</v>
      </c>
      <c r="D1929">
        <v>0</v>
      </c>
      <c r="E1929">
        <v>74536300000000</v>
      </c>
      <c r="F1929">
        <v>75051200000000</v>
      </c>
      <c r="G1929" s="10">
        <f t="shared" ref="G1929:G1992" si="30">AVERAGE($D1929:$F1929)</f>
        <v>49862500000000</v>
      </c>
      <c r="H1929" t="str">
        <f>$A1929&amp;Keys!$C$54&amp;$B1929&amp;Keys!$C$54&amp;$C1929</f>
        <v>NV|imports|petroleum diesel</v>
      </c>
    </row>
    <row r="1930" spans="1:8" x14ac:dyDescent="0.25">
      <c r="A1930" t="s">
        <v>143</v>
      </c>
      <c r="B1930" t="s">
        <v>191</v>
      </c>
      <c r="C1930" t="s">
        <v>91</v>
      </c>
      <c r="D1930">
        <v>0</v>
      </c>
      <c r="E1930">
        <v>8654350000000</v>
      </c>
      <c r="F1930">
        <v>8566330000000</v>
      </c>
      <c r="G1930" s="10">
        <f t="shared" si="30"/>
        <v>5740226666666.667</v>
      </c>
      <c r="H1930" t="str">
        <f>$A1930&amp;Keys!$C$54&amp;$B1930&amp;Keys!$C$54&amp;$C1930</f>
        <v>NV|imports|biofuel gasoline</v>
      </c>
    </row>
    <row r="1931" spans="1:8" x14ac:dyDescent="0.25">
      <c r="A1931" t="s">
        <v>143</v>
      </c>
      <c r="B1931" t="s">
        <v>191</v>
      </c>
      <c r="C1931" t="s">
        <v>94</v>
      </c>
      <c r="D1931">
        <v>0</v>
      </c>
      <c r="E1931">
        <v>971229000000</v>
      </c>
      <c r="F1931">
        <v>984864000000</v>
      </c>
      <c r="G1931" s="10">
        <f t="shared" si="30"/>
        <v>652031000000</v>
      </c>
      <c r="H1931" t="str">
        <f>$A1931&amp;Keys!$C$54&amp;$B1931&amp;Keys!$C$54&amp;$C1931</f>
        <v>NV|imports|biofuel diesel</v>
      </c>
    </row>
    <row r="1932" spans="1:8" x14ac:dyDescent="0.25">
      <c r="A1932" t="s">
        <v>143</v>
      </c>
      <c r="B1932" t="s">
        <v>191</v>
      </c>
      <c r="C1932" t="s">
        <v>97</v>
      </c>
      <c r="D1932">
        <v>0</v>
      </c>
      <c r="E1932">
        <v>78311500000000</v>
      </c>
      <c r="F1932">
        <v>80224200000000</v>
      </c>
      <c r="G1932" s="10">
        <f t="shared" si="30"/>
        <v>52845233333333.336</v>
      </c>
      <c r="H1932" t="str">
        <f>$A1932&amp;Keys!$C$54&amp;$B1932&amp;Keys!$C$54&amp;$C1932</f>
        <v>NV|imports|jet fuel or kerosene</v>
      </c>
    </row>
    <row r="1933" spans="1:8" x14ac:dyDescent="0.25">
      <c r="A1933" t="s">
        <v>143</v>
      </c>
      <c r="B1933" t="s">
        <v>191</v>
      </c>
      <c r="C1933" t="s">
        <v>100</v>
      </c>
      <c r="D1933">
        <v>0</v>
      </c>
      <c r="E1933">
        <v>0</v>
      </c>
      <c r="F1933">
        <v>0</v>
      </c>
      <c r="G1933" s="10">
        <f t="shared" si="30"/>
        <v>0</v>
      </c>
      <c r="H1933" t="str">
        <f>$A1933&amp;Keys!$C$54&amp;$B1933&amp;Keys!$C$54&amp;$C1933</f>
        <v>NV|imports|heat (not used in this variable)</v>
      </c>
    </row>
    <row r="1934" spans="1:8" x14ac:dyDescent="0.25">
      <c r="A1934" t="s">
        <v>143</v>
      </c>
      <c r="B1934" t="s">
        <v>191</v>
      </c>
      <c r="C1934" t="s">
        <v>103</v>
      </c>
      <c r="D1934">
        <v>0</v>
      </c>
      <c r="E1934">
        <v>0</v>
      </c>
      <c r="F1934">
        <v>0</v>
      </c>
      <c r="G1934" s="10">
        <f t="shared" si="30"/>
        <v>0</v>
      </c>
      <c r="H1934" t="str">
        <f>$A1934&amp;Keys!$C$54&amp;$B1934&amp;Keys!$C$54&amp;$C1934</f>
        <v>NV|imports|geothermal (is not a fuel)</v>
      </c>
    </row>
    <row r="1935" spans="1:8" x14ac:dyDescent="0.25">
      <c r="A1935" t="s">
        <v>143</v>
      </c>
      <c r="B1935" t="s">
        <v>191</v>
      </c>
      <c r="C1935" t="s">
        <v>106</v>
      </c>
      <c r="D1935">
        <v>0</v>
      </c>
      <c r="E1935">
        <v>0</v>
      </c>
      <c r="F1935">
        <v>0</v>
      </c>
      <c r="G1935" s="10">
        <f t="shared" si="30"/>
        <v>0</v>
      </c>
      <c r="H1935" t="str">
        <f>$A1935&amp;Keys!$C$54&amp;$B1935&amp;Keys!$C$54&amp;$C1935</f>
        <v>NV|imports|lignite</v>
      </c>
    </row>
    <row r="1936" spans="1:8" x14ac:dyDescent="0.25">
      <c r="A1936" t="s">
        <v>143</v>
      </c>
      <c r="B1936" t="s">
        <v>191</v>
      </c>
      <c r="C1936" t="s">
        <v>109</v>
      </c>
      <c r="D1936">
        <v>0</v>
      </c>
      <c r="E1936">
        <v>3401660000000</v>
      </c>
      <c r="F1936">
        <v>3420350000000</v>
      </c>
      <c r="G1936" s="10">
        <f t="shared" si="30"/>
        <v>2274003333333.3335</v>
      </c>
      <c r="H1936" t="str">
        <f>$A1936&amp;Keys!$C$54&amp;$B1936&amp;Keys!$C$54&amp;$C1936</f>
        <v>NV|imports|crude oil</v>
      </c>
    </row>
    <row r="1937" spans="1:8" x14ac:dyDescent="0.25">
      <c r="A1937" t="s">
        <v>143</v>
      </c>
      <c r="B1937" t="s">
        <v>191</v>
      </c>
      <c r="C1937" t="s">
        <v>113</v>
      </c>
      <c r="D1937">
        <v>0</v>
      </c>
      <c r="E1937">
        <v>7648310000000</v>
      </c>
      <c r="F1937">
        <v>7811070000000</v>
      </c>
      <c r="G1937" s="10">
        <f t="shared" si="30"/>
        <v>5153126666666.667</v>
      </c>
      <c r="H1937" t="str">
        <f>$A1937&amp;Keys!$C$54&amp;$B1937&amp;Keys!$C$54&amp;$C1937</f>
        <v>NV|imports|heavy fuel oil</v>
      </c>
    </row>
    <row r="1938" spans="1:8" x14ac:dyDescent="0.25">
      <c r="A1938" t="s">
        <v>143</v>
      </c>
      <c r="B1938" t="s">
        <v>191</v>
      </c>
      <c r="C1938" t="s">
        <v>117</v>
      </c>
      <c r="D1938">
        <v>0</v>
      </c>
      <c r="E1938">
        <v>5557100000000</v>
      </c>
      <c r="F1938">
        <v>5532470000000</v>
      </c>
      <c r="G1938" s="10">
        <f t="shared" si="30"/>
        <v>3696523333333.3335</v>
      </c>
      <c r="H1938" t="str">
        <f>$A1938&amp;Keys!$C$54&amp;$B1938&amp;Keys!$C$54&amp;$C1938</f>
        <v>NV|imports|LPG propane or butane</v>
      </c>
    </row>
    <row r="1939" spans="1:8" x14ac:dyDescent="0.25">
      <c r="A1939" t="s">
        <v>143</v>
      </c>
      <c r="B1939" t="s">
        <v>191</v>
      </c>
      <c r="C1939" t="s">
        <v>120</v>
      </c>
      <c r="D1939">
        <v>0</v>
      </c>
      <c r="E1939">
        <v>0</v>
      </c>
      <c r="F1939">
        <v>0</v>
      </c>
      <c r="G1939" s="10">
        <f t="shared" si="30"/>
        <v>0</v>
      </c>
      <c r="H1939" t="str">
        <f>$A1939&amp;Keys!$C$54&amp;$B1939&amp;Keys!$C$54&amp;$C1939</f>
        <v>NV|imports|municipal solid waste</v>
      </c>
    </row>
    <row r="1940" spans="1:8" x14ac:dyDescent="0.25">
      <c r="A1940" t="s">
        <v>143</v>
      </c>
      <c r="B1940" t="s">
        <v>191</v>
      </c>
      <c r="C1940" t="s">
        <v>123</v>
      </c>
      <c r="D1940">
        <v>0</v>
      </c>
      <c r="E1940">
        <v>1316190000000</v>
      </c>
      <c r="F1940">
        <v>1291330000000</v>
      </c>
      <c r="G1940" s="10">
        <f t="shared" si="30"/>
        <v>869173333333.33337</v>
      </c>
      <c r="H1940" t="str">
        <f>$A1940&amp;Keys!$C$54&amp;$B1940&amp;Keys!$C$54&amp;$C1940</f>
        <v>NV|imports|hydrogen</v>
      </c>
    </row>
    <row r="1941" spans="1:8" x14ac:dyDescent="0.25">
      <c r="A1941" t="s">
        <v>143</v>
      </c>
      <c r="B1941" t="s">
        <v>193</v>
      </c>
      <c r="C1941" t="s">
        <v>60</v>
      </c>
      <c r="D1941">
        <v>0</v>
      </c>
      <c r="E1941">
        <v>0</v>
      </c>
      <c r="F1941">
        <v>0</v>
      </c>
      <c r="G1941" s="10">
        <f t="shared" si="30"/>
        <v>0</v>
      </c>
      <c r="H1941" t="str">
        <f>$A1941&amp;Keys!$C$54&amp;$B1941&amp;Keys!$C$54&amp;$C1941</f>
        <v>NV|exports|electricity (not used in this variable)</v>
      </c>
    </row>
    <row r="1942" spans="1:8" x14ac:dyDescent="0.25">
      <c r="A1942" t="s">
        <v>143</v>
      </c>
      <c r="B1942" t="s">
        <v>193</v>
      </c>
      <c r="C1942" t="s">
        <v>64</v>
      </c>
      <c r="D1942">
        <v>0</v>
      </c>
      <c r="E1942">
        <v>0</v>
      </c>
      <c r="F1942">
        <v>0</v>
      </c>
      <c r="G1942" s="10">
        <f t="shared" si="30"/>
        <v>0</v>
      </c>
      <c r="H1942" t="str">
        <f>$A1942&amp;Keys!$C$54&amp;$B1942&amp;Keys!$C$54&amp;$C1942</f>
        <v>NV|exports|hard coal</v>
      </c>
    </row>
    <row r="1943" spans="1:8" x14ac:dyDescent="0.25">
      <c r="A1943" t="s">
        <v>143</v>
      </c>
      <c r="B1943" t="s">
        <v>193</v>
      </c>
      <c r="C1943" t="s">
        <v>68</v>
      </c>
      <c r="D1943">
        <v>602443000000000</v>
      </c>
      <c r="E1943">
        <v>602443000000000</v>
      </c>
      <c r="F1943">
        <v>604086000000000</v>
      </c>
      <c r="G1943" s="10">
        <f t="shared" si="30"/>
        <v>602990666666666.63</v>
      </c>
      <c r="H1943" t="str">
        <f>$A1943&amp;Keys!$C$54&amp;$B1943&amp;Keys!$C$54&amp;$C1943</f>
        <v>NV|exports|natural gas</v>
      </c>
    </row>
    <row r="1944" spans="1:8" x14ac:dyDescent="0.25">
      <c r="A1944" t="s">
        <v>143</v>
      </c>
      <c r="B1944" t="s">
        <v>193</v>
      </c>
      <c r="C1944" t="s">
        <v>71</v>
      </c>
      <c r="D1944">
        <v>0</v>
      </c>
      <c r="E1944">
        <v>0</v>
      </c>
      <c r="F1944">
        <v>0</v>
      </c>
      <c r="G1944" s="10">
        <f t="shared" si="30"/>
        <v>0</v>
      </c>
      <c r="H1944" t="str">
        <f>$A1944&amp;Keys!$C$54&amp;$B1944&amp;Keys!$C$54&amp;$C1944</f>
        <v>NV|exports|nuclear</v>
      </c>
    </row>
    <row r="1945" spans="1:8" x14ac:dyDescent="0.25">
      <c r="A1945" t="s">
        <v>143</v>
      </c>
      <c r="B1945" t="s">
        <v>193</v>
      </c>
      <c r="C1945" t="s">
        <v>74</v>
      </c>
      <c r="D1945">
        <v>0</v>
      </c>
      <c r="E1945">
        <v>0</v>
      </c>
      <c r="F1945">
        <v>0</v>
      </c>
      <c r="G1945" s="10">
        <f t="shared" si="30"/>
        <v>0</v>
      </c>
      <c r="H1945" t="str">
        <f>$A1945&amp;Keys!$C$54&amp;$B1945&amp;Keys!$C$54&amp;$C1945</f>
        <v>NV|exports|hydro (is not a fuel)</v>
      </c>
    </row>
    <row r="1946" spans="1:8" x14ac:dyDescent="0.25">
      <c r="A1946" t="s">
        <v>143</v>
      </c>
      <c r="B1946" t="s">
        <v>193</v>
      </c>
      <c r="C1946" t="s">
        <v>77</v>
      </c>
      <c r="D1946">
        <v>0</v>
      </c>
      <c r="E1946">
        <v>0</v>
      </c>
      <c r="F1946">
        <v>0</v>
      </c>
      <c r="G1946" s="10">
        <f t="shared" si="30"/>
        <v>0</v>
      </c>
      <c r="H1946" t="str">
        <f>$A1946&amp;Keys!$C$54&amp;$B1946&amp;Keys!$C$54&amp;$C1946</f>
        <v>NV|exports|wind (is not a fuel)</v>
      </c>
    </row>
    <row r="1947" spans="1:8" x14ac:dyDescent="0.25">
      <c r="A1947" t="s">
        <v>143</v>
      </c>
      <c r="B1947" t="s">
        <v>193</v>
      </c>
      <c r="C1947" t="s">
        <v>80</v>
      </c>
      <c r="D1947">
        <v>0</v>
      </c>
      <c r="E1947">
        <v>0</v>
      </c>
      <c r="F1947">
        <v>0</v>
      </c>
      <c r="G1947" s="10">
        <f t="shared" si="30"/>
        <v>0</v>
      </c>
      <c r="H1947" t="str">
        <f>$A1947&amp;Keys!$C$54&amp;$B1947&amp;Keys!$C$54&amp;$C1947</f>
        <v>NV|exports|solar (is not a fuel)</v>
      </c>
    </row>
    <row r="1948" spans="1:8" x14ac:dyDescent="0.25">
      <c r="A1948" t="s">
        <v>143</v>
      </c>
      <c r="B1948" t="s">
        <v>193</v>
      </c>
      <c r="C1948" t="s">
        <v>82</v>
      </c>
      <c r="D1948">
        <v>0</v>
      </c>
      <c r="E1948">
        <v>0</v>
      </c>
      <c r="F1948">
        <v>0</v>
      </c>
      <c r="G1948" s="10">
        <f t="shared" si="30"/>
        <v>0</v>
      </c>
      <c r="H1948" t="str">
        <f>$A1948&amp;Keys!$C$54&amp;$B1948&amp;Keys!$C$54&amp;$C1948</f>
        <v>NV|exports|biomass</v>
      </c>
    </row>
    <row r="1949" spans="1:8" x14ac:dyDescent="0.25">
      <c r="A1949" t="s">
        <v>143</v>
      </c>
      <c r="B1949" t="s">
        <v>193</v>
      </c>
      <c r="C1949" t="s">
        <v>85</v>
      </c>
      <c r="D1949">
        <v>0</v>
      </c>
      <c r="E1949">
        <v>0</v>
      </c>
      <c r="F1949">
        <v>0</v>
      </c>
      <c r="G1949" s="10">
        <f t="shared" si="30"/>
        <v>0</v>
      </c>
      <c r="H1949" t="str">
        <f>$A1949&amp;Keys!$C$54&amp;$B1949&amp;Keys!$C$54&amp;$C1949</f>
        <v>NV|exports|petroleum gasoline</v>
      </c>
    </row>
    <row r="1950" spans="1:8" x14ac:dyDescent="0.25">
      <c r="A1950" t="s">
        <v>143</v>
      </c>
      <c r="B1950" t="s">
        <v>193</v>
      </c>
      <c r="C1950" t="s">
        <v>88</v>
      </c>
      <c r="D1950">
        <v>0</v>
      </c>
      <c r="E1950">
        <v>0</v>
      </c>
      <c r="F1950">
        <v>0</v>
      </c>
      <c r="G1950" s="10">
        <f t="shared" si="30"/>
        <v>0</v>
      </c>
      <c r="H1950" t="str">
        <f>$A1950&amp;Keys!$C$54&amp;$B1950&amp;Keys!$C$54&amp;$C1950</f>
        <v>NV|exports|petroleum diesel</v>
      </c>
    </row>
    <row r="1951" spans="1:8" x14ac:dyDescent="0.25">
      <c r="A1951" t="s">
        <v>143</v>
      </c>
      <c r="B1951" t="s">
        <v>193</v>
      </c>
      <c r="C1951" t="s">
        <v>91</v>
      </c>
      <c r="D1951">
        <v>0</v>
      </c>
      <c r="E1951">
        <v>0</v>
      </c>
      <c r="F1951">
        <v>0</v>
      </c>
      <c r="G1951" s="10">
        <f t="shared" si="30"/>
        <v>0</v>
      </c>
      <c r="H1951" t="str">
        <f>$A1951&amp;Keys!$C$54&amp;$B1951&amp;Keys!$C$54&amp;$C1951</f>
        <v>NV|exports|biofuel gasoline</v>
      </c>
    </row>
    <row r="1952" spans="1:8" x14ac:dyDescent="0.25">
      <c r="A1952" t="s">
        <v>143</v>
      </c>
      <c r="B1952" t="s">
        <v>193</v>
      </c>
      <c r="C1952" t="s">
        <v>94</v>
      </c>
      <c r="D1952">
        <v>0</v>
      </c>
      <c r="E1952">
        <v>0</v>
      </c>
      <c r="F1952">
        <v>0</v>
      </c>
      <c r="G1952" s="10">
        <f t="shared" si="30"/>
        <v>0</v>
      </c>
      <c r="H1952" t="str">
        <f>$A1952&amp;Keys!$C$54&amp;$B1952&amp;Keys!$C$54&amp;$C1952</f>
        <v>NV|exports|biofuel diesel</v>
      </c>
    </row>
    <row r="1953" spans="1:8" x14ac:dyDescent="0.25">
      <c r="A1953" t="s">
        <v>143</v>
      </c>
      <c r="B1953" t="s">
        <v>193</v>
      </c>
      <c r="C1953" t="s">
        <v>97</v>
      </c>
      <c r="D1953">
        <v>0</v>
      </c>
      <c r="E1953">
        <v>0</v>
      </c>
      <c r="F1953">
        <v>0</v>
      </c>
      <c r="G1953" s="10">
        <f t="shared" si="30"/>
        <v>0</v>
      </c>
      <c r="H1953" t="str">
        <f>$A1953&amp;Keys!$C$54&amp;$B1953&amp;Keys!$C$54&amp;$C1953</f>
        <v>NV|exports|jet fuel or kerosene</v>
      </c>
    </row>
    <row r="1954" spans="1:8" x14ac:dyDescent="0.25">
      <c r="A1954" t="s">
        <v>143</v>
      </c>
      <c r="B1954" t="s">
        <v>193</v>
      </c>
      <c r="C1954" t="s">
        <v>100</v>
      </c>
      <c r="D1954">
        <v>0</v>
      </c>
      <c r="E1954">
        <v>0</v>
      </c>
      <c r="F1954">
        <v>0</v>
      </c>
      <c r="G1954" s="10">
        <f t="shared" si="30"/>
        <v>0</v>
      </c>
      <c r="H1954" t="str">
        <f>$A1954&amp;Keys!$C$54&amp;$B1954&amp;Keys!$C$54&amp;$C1954</f>
        <v>NV|exports|heat (not used in this variable)</v>
      </c>
    </row>
    <row r="1955" spans="1:8" x14ac:dyDescent="0.25">
      <c r="A1955" t="s">
        <v>143</v>
      </c>
      <c r="B1955" t="s">
        <v>193</v>
      </c>
      <c r="C1955" t="s">
        <v>103</v>
      </c>
      <c r="D1955">
        <v>0</v>
      </c>
      <c r="E1955">
        <v>0</v>
      </c>
      <c r="F1955">
        <v>0</v>
      </c>
      <c r="G1955" s="10">
        <f t="shared" si="30"/>
        <v>0</v>
      </c>
      <c r="H1955" t="str">
        <f>$A1955&amp;Keys!$C$54&amp;$B1955&amp;Keys!$C$54&amp;$C1955</f>
        <v>NV|exports|geothermal (is not a fuel)</v>
      </c>
    </row>
    <row r="1956" spans="1:8" x14ac:dyDescent="0.25">
      <c r="A1956" t="s">
        <v>143</v>
      </c>
      <c r="B1956" t="s">
        <v>193</v>
      </c>
      <c r="C1956" t="s">
        <v>106</v>
      </c>
      <c r="D1956">
        <v>0</v>
      </c>
      <c r="E1956">
        <v>0</v>
      </c>
      <c r="F1956">
        <v>0</v>
      </c>
      <c r="G1956" s="10">
        <f t="shared" si="30"/>
        <v>0</v>
      </c>
      <c r="H1956" t="str">
        <f>$A1956&amp;Keys!$C$54&amp;$B1956&amp;Keys!$C$54&amp;$C1956</f>
        <v>NV|exports|lignite</v>
      </c>
    </row>
    <row r="1957" spans="1:8" x14ac:dyDescent="0.25">
      <c r="A1957" t="s">
        <v>143</v>
      </c>
      <c r="B1957" t="s">
        <v>193</v>
      </c>
      <c r="C1957" t="s">
        <v>109</v>
      </c>
      <c r="D1957">
        <v>0</v>
      </c>
      <c r="E1957">
        <v>0</v>
      </c>
      <c r="F1957">
        <v>0</v>
      </c>
      <c r="G1957" s="10">
        <f t="shared" si="30"/>
        <v>0</v>
      </c>
      <c r="H1957" t="str">
        <f>$A1957&amp;Keys!$C$54&amp;$B1957&amp;Keys!$C$54&amp;$C1957</f>
        <v>NV|exports|crude oil</v>
      </c>
    </row>
    <row r="1958" spans="1:8" x14ac:dyDescent="0.25">
      <c r="A1958" t="s">
        <v>143</v>
      </c>
      <c r="B1958" t="s">
        <v>193</v>
      </c>
      <c r="C1958" t="s">
        <v>113</v>
      </c>
      <c r="D1958">
        <v>0</v>
      </c>
      <c r="E1958">
        <v>0</v>
      </c>
      <c r="F1958">
        <v>0</v>
      </c>
      <c r="G1958" s="10">
        <f t="shared" si="30"/>
        <v>0</v>
      </c>
      <c r="H1958" t="str">
        <f>$A1958&amp;Keys!$C$54&amp;$B1958&amp;Keys!$C$54&amp;$C1958</f>
        <v>NV|exports|heavy fuel oil</v>
      </c>
    </row>
    <row r="1959" spans="1:8" x14ac:dyDescent="0.25">
      <c r="A1959" t="s">
        <v>143</v>
      </c>
      <c r="B1959" t="s">
        <v>193</v>
      </c>
      <c r="C1959" t="s">
        <v>117</v>
      </c>
      <c r="D1959">
        <v>0</v>
      </c>
      <c r="E1959">
        <v>0</v>
      </c>
      <c r="F1959">
        <v>0</v>
      </c>
      <c r="G1959" s="10">
        <f t="shared" si="30"/>
        <v>0</v>
      </c>
      <c r="H1959" t="str">
        <f>$A1959&amp;Keys!$C$54&amp;$B1959&amp;Keys!$C$54&amp;$C1959</f>
        <v>NV|exports|LPG propane or butane</v>
      </c>
    </row>
    <row r="1960" spans="1:8" x14ac:dyDescent="0.25">
      <c r="A1960" t="s">
        <v>143</v>
      </c>
      <c r="B1960" t="s">
        <v>193</v>
      </c>
      <c r="C1960" t="s">
        <v>120</v>
      </c>
      <c r="D1960">
        <v>0</v>
      </c>
      <c r="E1960">
        <v>0</v>
      </c>
      <c r="F1960">
        <v>0</v>
      </c>
      <c r="G1960" s="10">
        <f t="shared" si="30"/>
        <v>0</v>
      </c>
      <c r="H1960" t="str">
        <f>$A1960&amp;Keys!$C$54&amp;$B1960&amp;Keys!$C$54&amp;$C1960</f>
        <v>NV|exports|municipal solid waste</v>
      </c>
    </row>
    <row r="1961" spans="1:8" x14ac:dyDescent="0.25">
      <c r="A1961" t="s">
        <v>143</v>
      </c>
      <c r="B1961" t="s">
        <v>193</v>
      </c>
      <c r="C1961" t="s">
        <v>123</v>
      </c>
      <c r="D1961">
        <v>0</v>
      </c>
      <c r="E1961">
        <v>0</v>
      </c>
      <c r="F1961">
        <v>0</v>
      </c>
      <c r="G1961" s="10">
        <f t="shared" si="30"/>
        <v>0</v>
      </c>
      <c r="H1961" t="str">
        <f>$A1961&amp;Keys!$C$54&amp;$B1961&amp;Keys!$C$54&amp;$C1961</f>
        <v>NV|exports|hydrogen</v>
      </c>
    </row>
    <row r="1962" spans="1:8" x14ac:dyDescent="0.25">
      <c r="A1962" t="s">
        <v>145</v>
      </c>
      <c r="B1962" t="s">
        <v>188</v>
      </c>
      <c r="C1962" t="s">
        <v>60</v>
      </c>
      <c r="D1962">
        <v>0</v>
      </c>
      <c r="E1962">
        <v>0</v>
      </c>
      <c r="F1962">
        <v>0</v>
      </c>
      <c r="G1962" s="10">
        <f t="shared" si="30"/>
        <v>0</v>
      </c>
      <c r="H1962" t="str">
        <f>$A1962&amp;Keys!$C$54&amp;$B1962&amp;Keys!$C$54&amp;$C1962</f>
        <v>NY|production|electricity (not used in this variable)</v>
      </c>
    </row>
    <row r="1963" spans="1:8" x14ac:dyDescent="0.25">
      <c r="A1963" t="s">
        <v>145</v>
      </c>
      <c r="B1963" t="s">
        <v>188</v>
      </c>
      <c r="C1963" t="s">
        <v>64</v>
      </c>
      <c r="D1963">
        <v>0</v>
      </c>
      <c r="E1963">
        <v>0</v>
      </c>
      <c r="F1963">
        <v>0</v>
      </c>
      <c r="G1963" s="10">
        <f t="shared" si="30"/>
        <v>0</v>
      </c>
      <c r="H1963" t="str">
        <f>$A1963&amp;Keys!$C$54&amp;$B1963&amp;Keys!$C$54&amp;$C1963</f>
        <v>NY|production|hard coal</v>
      </c>
    </row>
    <row r="1964" spans="1:8" x14ac:dyDescent="0.25">
      <c r="A1964" t="s">
        <v>145</v>
      </c>
      <c r="B1964" t="s">
        <v>188</v>
      </c>
      <c r="C1964" t="s">
        <v>68</v>
      </c>
      <c r="D1964">
        <v>9162930000000</v>
      </c>
      <c r="E1964">
        <v>9162930000000</v>
      </c>
      <c r="F1964">
        <v>9191390000000</v>
      </c>
      <c r="G1964" s="10">
        <f t="shared" si="30"/>
        <v>9172416666666.666</v>
      </c>
      <c r="H1964" t="str">
        <f>$A1964&amp;Keys!$C$54&amp;$B1964&amp;Keys!$C$54&amp;$C1964</f>
        <v>NY|production|natural gas</v>
      </c>
    </row>
    <row r="1965" spans="1:8" x14ac:dyDescent="0.25">
      <c r="A1965" t="s">
        <v>145</v>
      </c>
      <c r="B1965" t="s">
        <v>188</v>
      </c>
      <c r="C1965" t="s">
        <v>71</v>
      </c>
      <c r="D1965">
        <v>0</v>
      </c>
      <c r="E1965">
        <v>0</v>
      </c>
      <c r="F1965">
        <v>0</v>
      </c>
      <c r="G1965" s="10">
        <f t="shared" si="30"/>
        <v>0</v>
      </c>
      <c r="H1965" t="str">
        <f>$A1965&amp;Keys!$C$54&amp;$B1965&amp;Keys!$C$54&amp;$C1965</f>
        <v>NY|production|nuclear</v>
      </c>
    </row>
    <row r="1966" spans="1:8" x14ac:dyDescent="0.25">
      <c r="A1966" t="s">
        <v>145</v>
      </c>
      <c r="B1966" t="s">
        <v>188</v>
      </c>
      <c r="C1966" t="s">
        <v>74</v>
      </c>
      <c r="D1966">
        <v>0</v>
      </c>
      <c r="E1966">
        <v>0</v>
      </c>
      <c r="F1966">
        <v>0</v>
      </c>
      <c r="G1966" s="10">
        <f t="shared" si="30"/>
        <v>0</v>
      </c>
      <c r="H1966" t="str">
        <f>$A1966&amp;Keys!$C$54&amp;$B1966&amp;Keys!$C$54&amp;$C1966</f>
        <v>NY|production|hydro (is not a fuel)</v>
      </c>
    </row>
    <row r="1967" spans="1:8" x14ac:dyDescent="0.25">
      <c r="A1967" t="s">
        <v>145</v>
      </c>
      <c r="B1967" t="s">
        <v>188</v>
      </c>
      <c r="C1967" t="s">
        <v>77</v>
      </c>
      <c r="D1967">
        <v>0</v>
      </c>
      <c r="E1967">
        <v>0</v>
      </c>
      <c r="F1967">
        <v>0</v>
      </c>
      <c r="G1967" s="10">
        <f t="shared" si="30"/>
        <v>0</v>
      </c>
      <c r="H1967" t="str">
        <f>$A1967&amp;Keys!$C$54&amp;$B1967&amp;Keys!$C$54&amp;$C1967</f>
        <v>NY|production|wind (is not a fuel)</v>
      </c>
    </row>
    <row r="1968" spans="1:8" x14ac:dyDescent="0.25">
      <c r="A1968" t="s">
        <v>145</v>
      </c>
      <c r="B1968" t="s">
        <v>188</v>
      </c>
      <c r="C1968" t="s">
        <v>80</v>
      </c>
      <c r="D1968">
        <v>0</v>
      </c>
      <c r="E1968">
        <v>0</v>
      </c>
      <c r="F1968">
        <v>0</v>
      </c>
      <c r="G1968" s="10">
        <f t="shared" si="30"/>
        <v>0</v>
      </c>
      <c r="H1968" t="str">
        <f>$A1968&amp;Keys!$C$54&amp;$B1968&amp;Keys!$C$54&amp;$C1968</f>
        <v>NY|production|solar (is not a fuel)</v>
      </c>
    </row>
    <row r="1969" spans="1:8" x14ac:dyDescent="0.25">
      <c r="A1969" t="s">
        <v>145</v>
      </c>
      <c r="B1969" t="s">
        <v>188</v>
      </c>
      <c r="C1969" t="s">
        <v>82</v>
      </c>
      <c r="D1969">
        <v>5033180000000</v>
      </c>
      <c r="E1969">
        <v>5033180000000</v>
      </c>
      <c r="F1969">
        <v>5033180000000</v>
      </c>
      <c r="G1969" s="10">
        <f t="shared" si="30"/>
        <v>5033180000000</v>
      </c>
      <c r="H1969" t="str">
        <f>$A1969&amp;Keys!$C$54&amp;$B1969&amp;Keys!$C$54&amp;$C1969</f>
        <v>NY|production|biomass</v>
      </c>
    </row>
    <row r="1970" spans="1:8" x14ac:dyDescent="0.25">
      <c r="A1970" t="s">
        <v>145</v>
      </c>
      <c r="B1970" t="s">
        <v>188</v>
      </c>
      <c r="C1970" t="s">
        <v>85</v>
      </c>
      <c r="D1970">
        <v>0</v>
      </c>
      <c r="E1970">
        <v>0</v>
      </c>
      <c r="F1970">
        <v>0</v>
      </c>
      <c r="G1970" s="10">
        <f t="shared" si="30"/>
        <v>0</v>
      </c>
      <c r="H1970" t="str">
        <f>$A1970&amp;Keys!$C$54&amp;$B1970&amp;Keys!$C$54&amp;$C1970</f>
        <v>NY|production|petroleum gasoline</v>
      </c>
    </row>
    <row r="1971" spans="1:8" x14ac:dyDescent="0.25">
      <c r="A1971" t="s">
        <v>145</v>
      </c>
      <c r="B1971" t="s">
        <v>188</v>
      </c>
      <c r="C1971" t="s">
        <v>88</v>
      </c>
      <c r="D1971">
        <v>0</v>
      </c>
      <c r="E1971">
        <v>0</v>
      </c>
      <c r="F1971">
        <v>0</v>
      </c>
      <c r="G1971" s="10">
        <f t="shared" si="30"/>
        <v>0</v>
      </c>
      <c r="H1971" t="str">
        <f>$A1971&amp;Keys!$C$54&amp;$B1971&amp;Keys!$C$54&amp;$C1971</f>
        <v>NY|production|petroleum diesel</v>
      </c>
    </row>
    <row r="1972" spans="1:8" x14ac:dyDescent="0.25">
      <c r="A1972" t="s">
        <v>145</v>
      </c>
      <c r="B1972" t="s">
        <v>188</v>
      </c>
      <c r="C1972" t="s">
        <v>91</v>
      </c>
      <c r="D1972">
        <v>5097200000000</v>
      </c>
      <c r="E1972">
        <v>5097200000000</v>
      </c>
      <c r="F1972">
        <v>5111550000000</v>
      </c>
      <c r="G1972" s="10">
        <f t="shared" si="30"/>
        <v>5101983333333.333</v>
      </c>
      <c r="H1972" t="str">
        <f>$A1972&amp;Keys!$C$54&amp;$B1972&amp;Keys!$C$54&amp;$C1972</f>
        <v>NY|production|biofuel gasoline</v>
      </c>
    </row>
    <row r="1973" spans="1:8" x14ac:dyDescent="0.25">
      <c r="A1973" t="s">
        <v>145</v>
      </c>
      <c r="B1973" t="s">
        <v>188</v>
      </c>
      <c r="C1973" t="s">
        <v>94</v>
      </c>
      <c r="D1973">
        <v>0</v>
      </c>
      <c r="E1973">
        <v>0</v>
      </c>
      <c r="F1973">
        <v>0</v>
      </c>
      <c r="G1973" s="10">
        <f t="shared" si="30"/>
        <v>0</v>
      </c>
      <c r="H1973" t="str">
        <f>$A1973&amp;Keys!$C$54&amp;$B1973&amp;Keys!$C$54&amp;$C1973</f>
        <v>NY|production|biofuel diesel</v>
      </c>
    </row>
    <row r="1974" spans="1:8" x14ac:dyDescent="0.25">
      <c r="A1974" t="s">
        <v>145</v>
      </c>
      <c r="B1974" t="s">
        <v>188</v>
      </c>
      <c r="C1974" t="s">
        <v>97</v>
      </c>
      <c r="D1974">
        <v>0</v>
      </c>
      <c r="E1974">
        <v>0</v>
      </c>
      <c r="F1974">
        <v>0</v>
      </c>
      <c r="G1974" s="10">
        <f t="shared" si="30"/>
        <v>0</v>
      </c>
      <c r="H1974" t="str">
        <f>$A1974&amp;Keys!$C$54&amp;$B1974&amp;Keys!$C$54&amp;$C1974</f>
        <v>NY|production|jet fuel or kerosene</v>
      </c>
    </row>
    <row r="1975" spans="1:8" x14ac:dyDescent="0.25">
      <c r="A1975" t="s">
        <v>145</v>
      </c>
      <c r="B1975" t="s">
        <v>188</v>
      </c>
      <c r="C1975" t="s">
        <v>100</v>
      </c>
      <c r="D1975">
        <v>0</v>
      </c>
      <c r="E1975">
        <v>0</v>
      </c>
      <c r="F1975">
        <v>0</v>
      </c>
      <c r="G1975" s="10">
        <f t="shared" si="30"/>
        <v>0</v>
      </c>
      <c r="H1975" t="str">
        <f>$A1975&amp;Keys!$C$54&amp;$B1975&amp;Keys!$C$54&amp;$C1975</f>
        <v>NY|production|heat (not used in this variable)</v>
      </c>
    </row>
    <row r="1976" spans="1:8" x14ac:dyDescent="0.25">
      <c r="A1976" t="s">
        <v>145</v>
      </c>
      <c r="B1976" t="s">
        <v>188</v>
      </c>
      <c r="C1976" t="s">
        <v>103</v>
      </c>
      <c r="D1976">
        <v>0</v>
      </c>
      <c r="E1976">
        <v>0</v>
      </c>
      <c r="F1976">
        <v>0</v>
      </c>
      <c r="G1976" s="10">
        <f t="shared" si="30"/>
        <v>0</v>
      </c>
      <c r="H1976" t="str">
        <f>$A1976&amp;Keys!$C$54&amp;$B1976&amp;Keys!$C$54&amp;$C1976</f>
        <v>NY|production|geothermal (is not a fuel)</v>
      </c>
    </row>
    <row r="1977" spans="1:8" x14ac:dyDescent="0.25">
      <c r="A1977" t="s">
        <v>145</v>
      </c>
      <c r="B1977" t="s">
        <v>188</v>
      </c>
      <c r="C1977" t="s">
        <v>106</v>
      </c>
      <c r="D1977">
        <v>0</v>
      </c>
      <c r="E1977">
        <v>0</v>
      </c>
      <c r="F1977">
        <v>0</v>
      </c>
      <c r="G1977" s="10">
        <f t="shared" si="30"/>
        <v>0</v>
      </c>
      <c r="H1977" t="str">
        <f>$A1977&amp;Keys!$C$54&amp;$B1977&amp;Keys!$C$54&amp;$C1977</f>
        <v>NY|production|lignite</v>
      </c>
    </row>
    <row r="1978" spans="1:8" x14ac:dyDescent="0.25">
      <c r="A1978" t="s">
        <v>145</v>
      </c>
      <c r="B1978" t="s">
        <v>188</v>
      </c>
      <c r="C1978" t="s">
        <v>109</v>
      </c>
      <c r="D1978">
        <v>1194800000000</v>
      </c>
      <c r="E1978">
        <v>1194800000000</v>
      </c>
      <c r="F1978">
        <v>1085720000000</v>
      </c>
      <c r="G1978" s="10">
        <f t="shared" si="30"/>
        <v>1158440000000</v>
      </c>
      <c r="H1978" t="str">
        <f>$A1978&amp;Keys!$C$54&amp;$B1978&amp;Keys!$C$54&amp;$C1978</f>
        <v>NY|production|crude oil</v>
      </c>
    </row>
    <row r="1979" spans="1:8" x14ac:dyDescent="0.25">
      <c r="A1979" t="s">
        <v>145</v>
      </c>
      <c r="B1979" t="s">
        <v>188</v>
      </c>
      <c r="C1979" t="s">
        <v>113</v>
      </c>
      <c r="D1979">
        <v>0</v>
      </c>
      <c r="E1979">
        <v>0</v>
      </c>
      <c r="F1979">
        <v>0</v>
      </c>
      <c r="G1979" s="10">
        <f t="shared" si="30"/>
        <v>0</v>
      </c>
      <c r="H1979" t="str">
        <f>$A1979&amp;Keys!$C$54&amp;$B1979&amp;Keys!$C$54&amp;$C1979</f>
        <v>NY|production|heavy fuel oil</v>
      </c>
    </row>
    <row r="1980" spans="1:8" x14ac:dyDescent="0.25">
      <c r="A1980" t="s">
        <v>145</v>
      </c>
      <c r="B1980" t="s">
        <v>188</v>
      </c>
      <c r="C1980" t="s">
        <v>117</v>
      </c>
      <c r="D1980">
        <v>1120160000000</v>
      </c>
      <c r="E1980">
        <v>1120160000000</v>
      </c>
      <c r="F1980">
        <v>1143950000000</v>
      </c>
      <c r="G1980" s="10">
        <f t="shared" si="30"/>
        <v>1128090000000</v>
      </c>
      <c r="H1980" t="str">
        <f>$A1980&amp;Keys!$C$54&amp;$B1980&amp;Keys!$C$54&amp;$C1980</f>
        <v>NY|production|LPG propane or butane</v>
      </c>
    </row>
    <row r="1981" spans="1:8" x14ac:dyDescent="0.25">
      <c r="A1981" t="s">
        <v>145</v>
      </c>
      <c r="B1981" t="s">
        <v>188</v>
      </c>
      <c r="C1981" t="s">
        <v>120</v>
      </c>
      <c r="D1981">
        <v>0</v>
      </c>
      <c r="E1981">
        <v>0</v>
      </c>
      <c r="F1981">
        <v>0</v>
      </c>
      <c r="G1981" s="10">
        <f t="shared" si="30"/>
        <v>0</v>
      </c>
      <c r="H1981" t="str">
        <f>$A1981&amp;Keys!$C$54&amp;$B1981&amp;Keys!$C$54&amp;$C1981</f>
        <v>NY|production|municipal solid waste</v>
      </c>
    </row>
    <row r="1982" spans="1:8" x14ac:dyDescent="0.25">
      <c r="A1982" t="s">
        <v>145</v>
      </c>
      <c r="B1982" t="s">
        <v>188</v>
      </c>
      <c r="C1982" t="s">
        <v>123</v>
      </c>
      <c r="D1982">
        <v>0</v>
      </c>
      <c r="E1982">
        <v>0</v>
      </c>
      <c r="F1982">
        <v>0</v>
      </c>
      <c r="G1982" s="10">
        <f t="shared" si="30"/>
        <v>0</v>
      </c>
      <c r="H1982" t="str">
        <f>$A1982&amp;Keys!$C$54&amp;$B1982&amp;Keys!$C$54&amp;$C1982</f>
        <v>NY|production|hydrogen</v>
      </c>
    </row>
    <row r="1983" spans="1:8" x14ac:dyDescent="0.25">
      <c r="A1983" t="s">
        <v>145</v>
      </c>
      <c r="B1983" t="s">
        <v>191</v>
      </c>
      <c r="C1983" t="s">
        <v>60</v>
      </c>
      <c r="D1983">
        <v>0</v>
      </c>
      <c r="E1983">
        <v>0</v>
      </c>
      <c r="F1983">
        <v>0</v>
      </c>
      <c r="G1983" s="10">
        <f t="shared" si="30"/>
        <v>0</v>
      </c>
      <c r="H1983" t="str">
        <f>$A1983&amp;Keys!$C$54&amp;$B1983&amp;Keys!$C$54&amp;$C1983</f>
        <v>NY|imports|electricity (not used in this variable)</v>
      </c>
    </row>
    <row r="1984" spans="1:8" x14ac:dyDescent="0.25">
      <c r="A1984" t="s">
        <v>145</v>
      </c>
      <c r="B1984" t="s">
        <v>191</v>
      </c>
      <c r="C1984" t="s">
        <v>64</v>
      </c>
      <c r="D1984">
        <v>2566910000000</v>
      </c>
      <c r="E1984">
        <v>2650000000000</v>
      </c>
      <c r="F1984">
        <v>2650000000000</v>
      </c>
      <c r="G1984" s="10">
        <f t="shared" si="30"/>
        <v>2622303333333.3335</v>
      </c>
      <c r="H1984" t="str">
        <f>$A1984&amp;Keys!$C$54&amp;$B1984&amp;Keys!$C$54&amp;$C1984</f>
        <v>NY|imports|hard coal</v>
      </c>
    </row>
    <row r="1985" spans="1:8" x14ac:dyDescent="0.25">
      <c r="A1985" t="s">
        <v>145</v>
      </c>
      <c r="B1985" t="s">
        <v>191</v>
      </c>
      <c r="C1985" t="s">
        <v>68</v>
      </c>
      <c r="D1985">
        <v>2313710000000000</v>
      </c>
      <c r="E1985">
        <v>2586120000000000</v>
      </c>
      <c r="F1985">
        <v>2520270000000000</v>
      </c>
      <c r="G1985" s="10">
        <f t="shared" si="30"/>
        <v>2473366666666666.5</v>
      </c>
      <c r="H1985" t="str">
        <f>$A1985&amp;Keys!$C$54&amp;$B1985&amp;Keys!$C$54&amp;$C1985</f>
        <v>NY|imports|natural gas</v>
      </c>
    </row>
    <row r="1986" spans="1:8" x14ac:dyDescent="0.25">
      <c r="A1986" t="s">
        <v>145</v>
      </c>
      <c r="B1986" t="s">
        <v>191</v>
      </c>
      <c r="C1986" t="s">
        <v>71</v>
      </c>
      <c r="D1986">
        <v>282727000000000</v>
      </c>
      <c r="E1986">
        <v>296570000000000</v>
      </c>
      <c r="F1986">
        <v>289469000000000</v>
      </c>
      <c r="G1986" s="10">
        <f t="shared" si="30"/>
        <v>289588666666666.69</v>
      </c>
      <c r="H1986" t="str">
        <f>$A1986&amp;Keys!$C$54&amp;$B1986&amp;Keys!$C$54&amp;$C1986</f>
        <v>NY|imports|nuclear</v>
      </c>
    </row>
    <row r="1987" spans="1:8" x14ac:dyDescent="0.25">
      <c r="A1987" t="s">
        <v>145</v>
      </c>
      <c r="B1987" t="s">
        <v>191</v>
      </c>
      <c r="C1987" t="s">
        <v>74</v>
      </c>
      <c r="D1987">
        <v>0</v>
      </c>
      <c r="E1987">
        <v>0</v>
      </c>
      <c r="F1987">
        <v>0</v>
      </c>
      <c r="G1987" s="10">
        <f t="shared" si="30"/>
        <v>0</v>
      </c>
      <c r="H1987" t="str">
        <f>$A1987&amp;Keys!$C$54&amp;$B1987&amp;Keys!$C$54&amp;$C1987</f>
        <v>NY|imports|hydro (is not a fuel)</v>
      </c>
    </row>
    <row r="1988" spans="1:8" x14ac:dyDescent="0.25">
      <c r="A1988" t="s">
        <v>145</v>
      </c>
      <c r="B1988" t="s">
        <v>191</v>
      </c>
      <c r="C1988" t="s">
        <v>77</v>
      </c>
      <c r="D1988">
        <v>0</v>
      </c>
      <c r="E1988">
        <v>0</v>
      </c>
      <c r="F1988">
        <v>0</v>
      </c>
      <c r="G1988" s="10">
        <f t="shared" si="30"/>
        <v>0</v>
      </c>
      <c r="H1988" t="str">
        <f>$A1988&amp;Keys!$C$54&amp;$B1988&amp;Keys!$C$54&amp;$C1988</f>
        <v>NY|imports|wind (is not a fuel)</v>
      </c>
    </row>
    <row r="1989" spans="1:8" x14ac:dyDescent="0.25">
      <c r="A1989" t="s">
        <v>145</v>
      </c>
      <c r="B1989" t="s">
        <v>191</v>
      </c>
      <c r="C1989" t="s">
        <v>80</v>
      </c>
      <c r="D1989">
        <v>0</v>
      </c>
      <c r="E1989">
        <v>0</v>
      </c>
      <c r="F1989">
        <v>0</v>
      </c>
      <c r="G1989" s="10">
        <f t="shared" si="30"/>
        <v>0</v>
      </c>
      <c r="H1989" t="str">
        <f>$A1989&amp;Keys!$C$54&amp;$B1989&amp;Keys!$C$54&amp;$C1989</f>
        <v>NY|imports|solar (is not a fuel)</v>
      </c>
    </row>
    <row r="1990" spans="1:8" x14ac:dyDescent="0.25">
      <c r="A1990" t="s">
        <v>145</v>
      </c>
      <c r="B1990" t="s">
        <v>191</v>
      </c>
      <c r="C1990" t="s">
        <v>82</v>
      </c>
      <c r="D1990">
        <v>0</v>
      </c>
      <c r="E1990">
        <v>66975500000000</v>
      </c>
      <c r="F1990">
        <v>121698000000000</v>
      </c>
      <c r="G1990" s="10">
        <f t="shared" si="30"/>
        <v>62891166666666.664</v>
      </c>
      <c r="H1990" t="str">
        <f>$A1990&amp;Keys!$C$54&amp;$B1990&amp;Keys!$C$54&amp;$C1990</f>
        <v>NY|imports|biomass</v>
      </c>
    </row>
    <row r="1991" spans="1:8" x14ac:dyDescent="0.25">
      <c r="A1991" t="s">
        <v>145</v>
      </c>
      <c r="B1991" t="s">
        <v>191</v>
      </c>
      <c r="C1991" t="s">
        <v>85</v>
      </c>
      <c r="D1991">
        <v>0</v>
      </c>
      <c r="E1991">
        <v>519154000000000</v>
      </c>
      <c r="F1991">
        <v>512428000000000</v>
      </c>
      <c r="G1991" s="10">
        <f t="shared" si="30"/>
        <v>343860666666666.69</v>
      </c>
      <c r="H1991" t="str">
        <f>$A1991&amp;Keys!$C$54&amp;$B1991&amp;Keys!$C$54&amp;$C1991</f>
        <v>NY|imports|petroleum gasoline</v>
      </c>
    </row>
    <row r="1992" spans="1:8" x14ac:dyDescent="0.25">
      <c r="A1992" t="s">
        <v>145</v>
      </c>
      <c r="B1992" t="s">
        <v>191</v>
      </c>
      <c r="C1992" t="s">
        <v>88</v>
      </c>
      <c r="D1992">
        <v>0</v>
      </c>
      <c r="E1992">
        <v>415768000000000</v>
      </c>
      <c r="F1992">
        <v>408196000000000</v>
      </c>
      <c r="G1992" s="10">
        <f t="shared" si="30"/>
        <v>274654666666666.66</v>
      </c>
      <c r="H1992" t="str">
        <f>$A1992&amp;Keys!$C$54&amp;$B1992&amp;Keys!$C$54&amp;$C1992</f>
        <v>NY|imports|petroleum diesel</v>
      </c>
    </row>
    <row r="1993" spans="1:8" x14ac:dyDescent="0.25">
      <c r="A1993" t="s">
        <v>145</v>
      </c>
      <c r="B1993" t="s">
        <v>191</v>
      </c>
      <c r="C1993" t="s">
        <v>91</v>
      </c>
      <c r="D1993">
        <v>0</v>
      </c>
      <c r="E1993">
        <v>31922500000000</v>
      </c>
      <c r="F1993">
        <v>31433300000000</v>
      </c>
      <c r="G1993" s="10">
        <f t="shared" ref="G1993:G2056" si="31">AVERAGE($D1993:$F1993)</f>
        <v>21118600000000</v>
      </c>
      <c r="H1993" t="str">
        <f>$A1993&amp;Keys!$C$54&amp;$B1993&amp;Keys!$C$54&amp;$C1993</f>
        <v>NY|imports|biofuel gasoline</v>
      </c>
    </row>
    <row r="1994" spans="1:8" x14ac:dyDescent="0.25">
      <c r="A1994" t="s">
        <v>145</v>
      </c>
      <c r="B1994" t="s">
        <v>191</v>
      </c>
      <c r="C1994" t="s">
        <v>94</v>
      </c>
      <c r="D1994">
        <v>0</v>
      </c>
      <c r="E1994">
        <v>8396400000000</v>
      </c>
      <c r="F1994">
        <v>8523770000000</v>
      </c>
      <c r="G1994" s="10">
        <f t="shared" si="31"/>
        <v>5640056666666.667</v>
      </c>
      <c r="H1994" t="str">
        <f>$A1994&amp;Keys!$C$54&amp;$B1994&amp;Keys!$C$54&amp;$C1994</f>
        <v>NY|imports|biofuel diesel</v>
      </c>
    </row>
    <row r="1995" spans="1:8" x14ac:dyDescent="0.25">
      <c r="A1995" t="s">
        <v>145</v>
      </c>
      <c r="B1995" t="s">
        <v>191</v>
      </c>
      <c r="C1995" t="s">
        <v>97</v>
      </c>
      <c r="D1995">
        <v>0</v>
      </c>
      <c r="E1995">
        <v>274968000000000</v>
      </c>
      <c r="F1995">
        <v>281481000000000</v>
      </c>
      <c r="G1995" s="10">
        <f t="shared" si="31"/>
        <v>185483000000000</v>
      </c>
      <c r="H1995" t="str">
        <f>$A1995&amp;Keys!$C$54&amp;$B1995&amp;Keys!$C$54&amp;$C1995</f>
        <v>NY|imports|jet fuel or kerosene</v>
      </c>
    </row>
    <row r="1996" spans="1:8" x14ac:dyDescent="0.25">
      <c r="A1996" t="s">
        <v>145</v>
      </c>
      <c r="B1996" t="s">
        <v>191</v>
      </c>
      <c r="C1996" t="s">
        <v>100</v>
      </c>
      <c r="D1996">
        <v>0</v>
      </c>
      <c r="E1996">
        <v>0</v>
      </c>
      <c r="F1996">
        <v>0</v>
      </c>
      <c r="G1996" s="10">
        <f t="shared" si="31"/>
        <v>0</v>
      </c>
      <c r="H1996" t="str">
        <f>$A1996&amp;Keys!$C$54&amp;$B1996&amp;Keys!$C$54&amp;$C1996</f>
        <v>NY|imports|heat (not used in this variable)</v>
      </c>
    </row>
    <row r="1997" spans="1:8" x14ac:dyDescent="0.25">
      <c r="A1997" t="s">
        <v>145</v>
      </c>
      <c r="B1997" t="s">
        <v>191</v>
      </c>
      <c r="C1997" t="s">
        <v>103</v>
      </c>
      <c r="D1997">
        <v>0</v>
      </c>
      <c r="E1997">
        <v>0</v>
      </c>
      <c r="F1997">
        <v>0</v>
      </c>
      <c r="G1997" s="10">
        <f t="shared" si="31"/>
        <v>0</v>
      </c>
      <c r="H1997" t="str">
        <f>$A1997&amp;Keys!$C$54&amp;$B1997&amp;Keys!$C$54&amp;$C1997</f>
        <v>NY|imports|geothermal (is not a fuel)</v>
      </c>
    </row>
    <row r="1998" spans="1:8" x14ac:dyDescent="0.25">
      <c r="A1998" t="s">
        <v>145</v>
      </c>
      <c r="B1998" t="s">
        <v>191</v>
      </c>
      <c r="C1998" t="s">
        <v>106</v>
      </c>
      <c r="D1998">
        <v>0</v>
      </c>
      <c r="E1998">
        <v>0</v>
      </c>
      <c r="F1998">
        <v>0</v>
      </c>
      <c r="G1998" s="10">
        <f t="shared" si="31"/>
        <v>0</v>
      </c>
      <c r="H1998" t="str">
        <f>$A1998&amp;Keys!$C$54&amp;$B1998&amp;Keys!$C$54&amp;$C1998</f>
        <v>NY|imports|lignite</v>
      </c>
    </row>
    <row r="1999" spans="1:8" x14ac:dyDescent="0.25">
      <c r="A1999" t="s">
        <v>145</v>
      </c>
      <c r="B1999" t="s">
        <v>191</v>
      </c>
      <c r="C1999" t="s">
        <v>109</v>
      </c>
      <c r="D1999">
        <v>0</v>
      </c>
      <c r="E1999">
        <v>9428200000000</v>
      </c>
      <c r="F1999">
        <v>9537270000000</v>
      </c>
      <c r="G1999" s="10">
        <f t="shared" si="31"/>
        <v>6321823333333.333</v>
      </c>
      <c r="H1999" t="str">
        <f>$A1999&amp;Keys!$C$54&amp;$B1999&amp;Keys!$C$54&amp;$C1999</f>
        <v>NY|imports|crude oil</v>
      </c>
    </row>
    <row r="2000" spans="1:8" x14ac:dyDescent="0.25">
      <c r="A2000" t="s">
        <v>145</v>
      </c>
      <c r="B2000" t="s">
        <v>191</v>
      </c>
      <c r="C2000" t="s">
        <v>113</v>
      </c>
      <c r="D2000">
        <v>0</v>
      </c>
      <c r="E2000">
        <v>58054100000000</v>
      </c>
      <c r="F2000">
        <v>58203400000000</v>
      </c>
      <c r="G2000" s="10">
        <f t="shared" si="31"/>
        <v>38752500000000</v>
      </c>
      <c r="H2000" t="str">
        <f>$A2000&amp;Keys!$C$54&amp;$B2000&amp;Keys!$C$54&amp;$C2000</f>
        <v>NY|imports|heavy fuel oil</v>
      </c>
    </row>
    <row r="2001" spans="1:8" x14ac:dyDescent="0.25">
      <c r="A2001" t="s">
        <v>145</v>
      </c>
      <c r="B2001" t="s">
        <v>191</v>
      </c>
      <c r="C2001" t="s">
        <v>117</v>
      </c>
      <c r="D2001">
        <v>0</v>
      </c>
      <c r="E2001">
        <v>40684000000000</v>
      </c>
      <c r="F2001">
        <v>40265200000000</v>
      </c>
      <c r="G2001" s="10">
        <f t="shared" si="31"/>
        <v>26983066666666.668</v>
      </c>
      <c r="H2001" t="str">
        <f>$A2001&amp;Keys!$C$54&amp;$B2001&amp;Keys!$C$54&amp;$C2001</f>
        <v>NY|imports|LPG propane or butane</v>
      </c>
    </row>
    <row r="2002" spans="1:8" x14ac:dyDescent="0.25">
      <c r="A2002" t="s">
        <v>145</v>
      </c>
      <c r="B2002" t="s">
        <v>191</v>
      </c>
      <c r="C2002" t="s">
        <v>120</v>
      </c>
      <c r="D2002">
        <v>0</v>
      </c>
      <c r="E2002">
        <v>5031340000000</v>
      </c>
      <c r="F2002">
        <v>63442600000000</v>
      </c>
      <c r="G2002" s="10">
        <f t="shared" si="31"/>
        <v>22824646666666.668</v>
      </c>
      <c r="H2002" t="str">
        <f>$A2002&amp;Keys!$C$54&amp;$B2002&amp;Keys!$C$54&amp;$C2002</f>
        <v>NY|imports|municipal solid waste</v>
      </c>
    </row>
    <row r="2003" spans="1:8" x14ac:dyDescent="0.25">
      <c r="A2003" t="s">
        <v>145</v>
      </c>
      <c r="B2003" t="s">
        <v>191</v>
      </c>
      <c r="C2003" t="s">
        <v>123</v>
      </c>
      <c r="D2003">
        <v>0</v>
      </c>
      <c r="E2003">
        <v>492127000000</v>
      </c>
      <c r="F2003">
        <v>483274000000</v>
      </c>
      <c r="G2003" s="10">
        <f t="shared" si="31"/>
        <v>325133666666.66669</v>
      </c>
      <c r="H2003" t="str">
        <f>$A2003&amp;Keys!$C$54&amp;$B2003&amp;Keys!$C$54&amp;$C2003</f>
        <v>NY|imports|hydrogen</v>
      </c>
    </row>
    <row r="2004" spans="1:8" x14ac:dyDescent="0.25">
      <c r="A2004" t="s">
        <v>145</v>
      </c>
      <c r="B2004" t="s">
        <v>193</v>
      </c>
      <c r="C2004" t="s">
        <v>60</v>
      </c>
      <c r="D2004">
        <v>0</v>
      </c>
      <c r="E2004">
        <v>0</v>
      </c>
      <c r="F2004">
        <v>0</v>
      </c>
      <c r="G2004" s="10">
        <f t="shared" si="31"/>
        <v>0</v>
      </c>
      <c r="H2004" t="str">
        <f>$A2004&amp;Keys!$C$54&amp;$B2004&amp;Keys!$C$54&amp;$C2004</f>
        <v>NY|exports|electricity (not used in this variable)</v>
      </c>
    </row>
    <row r="2005" spans="1:8" x14ac:dyDescent="0.25">
      <c r="A2005" t="s">
        <v>145</v>
      </c>
      <c r="B2005" t="s">
        <v>193</v>
      </c>
      <c r="C2005" t="s">
        <v>64</v>
      </c>
      <c r="D2005">
        <v>0</v>
      </c>
      <c r="E2005">
        <v>0</v>
      </c>
      <c r="F2005">
        <v>0</v>
      </c>
      <c r="G2005" s="10">
        <f t="shared" si="31"/>
        <v>0</v>
      </c>
      <c r="H2005" t="str">
        <f>$A2005&amp;Keys!$C$54&amp;$B2005&amp;Keys!$C$54&amp;$C2005</f>
        <v>NY|exports|hard coal</v>
      </c>
    </row>
    <row r="2006" spans="1:8" x14ac:dyDescent="0.25">
      <c r="A2006" t="s">
        <v>145</v>
      </c>
      <c r="B2006" t="s">
        <v>193</v>
      </c>
      <c r="C2006" t="s">
        <v>68</v>
      </c>
      <c r="D2006">
        <v>1272100000000000</v>
      </c>
      <c r="E2006">
        <v>1272100000000000</v>
      </c>
      <c r="F2006">
        <v>1276060000000000</v>
      </c>
      <c r="G2006" s="10">
        <f t="shared" si="31"/>
        <v>1273420000000000</v>
      </c>
      <c r="H2006" t="str">
        <f>$A2006&amp;Keys!$C$54&amp;$B2006&amp;Keys!$C$54&amp;$C2006</f>
        <v>NY|exports|natural gas</v>
      </c>
    </row>
    <row r="2007" spans="1:8" x14ac:dyDescent="0.25">
      <c r="A2007" t="s">
        <v>145</v>
      </c>
      <c r="B2007" t="s">
        <v>193</v>
      </c>
      <c r="C2007" t="s">
        <v>71</v>
      </c>
      <c r="D2007">
        <v>0</v>
      </c>
      <c r="E2007">
        <v>0</v>
      </c>
      <c r="F2007">
        <v>0</v>
      </c>
      <c r="G2007" s="10">
        <f t="shared" si="31"/>
        <v>0</v>
      </c>
      <c r="H2007" t="str">
        <f>$A2007&amp;Keys!$C$54&amp;$B2007&amp;Keys!$C$54&amp;$C2007</f>
        <v>NY|exports|nuclear</v>
      </c>
    </row>
    <row r="2008" spans="1:8" x14ac:dyDescent="0.25">
      <c r="A2008" t="s">
        <v>145</v>
      </c>
      <c r="B2008" t="s">
        <v>193</v>
      </c>
      <c r="C2008" t="s">
        <v>74</v>
      </c>
      <c r="D2008">
        <v>0</v>
      </c>
      <c r="E2008">
        <v>0</v>
      </c>
      <c r="F2008">
        <v>0</v>
      </c>
      <c r="G2008" s="10">
        <f t="shared" si="31"/>
        <v>0</v>
      </c>
      <c r="H2008" t="str">
        <f>$A2008&amp;Keys!$C$54&amp;$B2008&amp;Keys!$C$54&amp;$C2008</f>
        <v>NY|exports|hydro (is not a fuel)</v>
      </c>
    </row>
    <row r="2009" spans="1:8" x14ac:dyDescent="0.25">
      <c r="A2009" t="s">
        <v>145</v>
      </c>
      <c r="B2009" t="s">
        <v>193</v>
      </c>
      <c r="C2009" t="s">
        <v>77</v>
      </c>
      <c r="D2009">
        <v>0</v>
      </c>
      <c r="E2009">
        <v>0</v>
      </c>
      <c r="F2009">
        <v>0</v>
      </c>
      <c r="G2009" s="10">
        <f t="shared" si="31"/>
        <v>0</v>
      </c>
      <c r="H2009" t="str">
        <f>$A2009&amp;Keys!$C$54&amp;$B2009&amp;Keys!$C$54&amp;$C2009</f>
        <v>NY|exports|wind (is not a fuel)</v>
      </c>
    </row>
    <row r="2010" spans="1:8" x14ac:dyDescent="0.25">
      <c r="A2010" t="s">
        <v>145</v>
      </c>
      <c r="B2010" t="s">
        <v>193</v>
      </c>
      <c r="C2010" t="s">
        <v>80</v>
      </c>
      <c r="D2010">
        <v>0</v>
      </c>
      <c r="E2010">
        <v>0</v>
      </c>
      <c r="F2010">
        <v>0</v>
      </c>
      <c r="G2010" s="10">
        <f t="shared" si="31"/>
        <v>0</v>
      </c>
      <c r="H2010" t="str">
        <f>$A2010&amp;Keys!$C$54&amp;$B2010&amp;Keys!$C$54&amp;$C2010</f>
        <v>NY|exports|solar (is not a fuel)</v>
      </c>
    </row>
    <row r="2011" spans="1:8" x14ac:dyDescent="0.25">
      <c r="A2011" t="s">
        <v>145</v>
      </c>
      <c r="B2011" t="s">
        <v>193</v>
      </c>
      <c r="C2011" t="s">
        <v>82</v>
      </c>
      <c r="D2011">
        <v>0</v>
      </c>
      <c r="E2011">
        <v>0</v>
      </c>
      <c r="F2011">
        <v>0</v>
      </c>
      <c r="G2011" s="10">
        <f t="shared" si="31"/>
        <v>0</v>
      </c>
      <c r="H2011" t="str">
        <f>$A2011&amp;Keys!$C$54&amp;$B2011&amp;Keys!$C$54&amp;$C2011</f>
        <v>NY|exports|biomass</v>
      </c>
    </row>
    <row r="2012" spans="1:8" x14ac:dyDescent="0.25">
      <c r="A2012" t="s">
        <v>145</v>
      </c>
      <c r="B2012" t="s">
        <v>193</v>
      </c>
      <c r="C2012" t="s">
        <v>85</v>
      </c>
      <c r="D2012">
        <v>0</v>
      </c>
      <c r="E2012">
        <v>0</v>
      </c>
      <c r="F2012">
        <v>0</v>
      </c>
      <c r="G2012" s="10">
        <f t="shared" si="31"/>
        <v>0</v>
      </c>
      <c r="H2012" t="str">
        <f>$A2012&amp;Keys!$C$54&amp;$B2012&amp;Keys!$C$54&amp;$C2012</f>
        <v>NY|exports|petroleum gasoline</v>
      </c>
    </row>
    <row r="2013" spans="1:8" x14ac:dyDescent="0.25">
      <c r="A2013" t="s">
        <v>145</v>
      </c>
      <c r="B2013" t="s">
        <v>193</v>
      </c>
      <c r="C2013" t="s">
        <v>88</v>
      </c>
      <c r="D2013">
        <v>29136300000000</v>
      </c>
      <c r="E2013">
        <v>29136300000000</v>
      </c>
      <c r="F2013">
        <v>28430100000000</v>
      </c>
      <c r="G2013" s="10">
        <f t="shared" si="31"/>
        <v>28900900000000</v>
      </c>
      <c r="H2013" t="str">
        <f>$A2013&amp;Keys!$C$54&amp;$B2013&amp;Keys!$C$54&amp;$C2013</f>
        <v>NY|exports|petroleum diesel</v>
      </c>
    </row>
    <row r="2014" spans="1:8" x14ac:dyDescent="0.25">
      <c r="A2014" t="s">
        <v>145</v>
      </c>
      <c r="B2014" t="s">
        <v>193</v>
      </c>
      <c r="C2014" t="s">
        <v>91</v>
      </c>
      <c r="D2014">
        <v>0</v>
      </c>
      <c r="E2014">
        <v>0</v>
      </c>
      <c r="F2014">
        <v>0</v>
      </c>
      <c r="G2014" s="10">
        <f t="shared" si="31"/>
        <v>0</v>
      </c>
      <c r="H2014" t="str">
        <f>$A2014&amp;Keys!$C$54&amp;$B2014&amp;Keys!$C$54&amp;$C2014</f>
        <v>NY|exports|biofuel gasoline</v>
      </c>
    </row>
    <row r="2015" spans="1:8" x14ac:dyDescent="0.25">
      <c r="A2015" t="s">
        <v>145</v>
      </c>
      <c r="B2015" t="s">
        <v>193</v>
      </c>
      <c r="C2015" t="s">
        <v>94</v>
      </c>
      <c r="D2015">
        <v>0</v>
      </c>
      <c r="E2015">
        <v>0</v>
      </c>
      <c r="F2015">
        <v>0</v>
      </c>
      <c r="G2015" s="10">
        <f t="shared" si="31"/>
        <v>0</v>
      </c>
      <c r="H2015" t="str">
        <f>$A2015&amp;Keys!$C$54&amp;$B2015&amp;Keys!$C$54&amp;$C2015</f>
        <v>NY|exports|biofuel diesel</v>
      </c>
    </row>
    <row r="2016" spans="1:8" x14ac:dyDescent="0.25">
      <c r="A2016" t="s">
        <v>145</v>
      </c>
      <c r="B2016" t="s">
        <v>193</v>
      </c>
      <c r="C2016" t="s">
        <v>97</v>
      </c>
      <c r="D2016">
        <v>4614930000000</v>
      </c>
      <c r="E2016">
        <v>4614930000000</v>
      </c>
      <c r="F2016">
        <v>4503070000000</v>
      </c>
      <c r="G2016" s="10">
        <f t="shared" si="31"/>
        <v>4577643333333.333</v>
      </c>
      <c r="H2016" t="str">
        <f>$A2016&amp;Keys!$C$54&amp;$B2016&amp;Keys!$C$54&amp;$C2016</f>
        <v>NY|exports|jet fuel or kerosene</v>
      </c>
    </row>
    <row r="2017" spans="1:8" x14ac:dyDescent="0.25">
      <c r="A2017" t="s">
        <v>145</v>
      </c>
      <c r="B2017" t="s">
        <v>193</v>
      </c>
      <c r="C2017" t="s">
        <v>100</v>
      </c>
      <c r="D2017">
        <v>0</v>
      </c>
      <c r="E2017">
        <v>0</v>
      </c>
      <c r="F2017">
        <v>0</v>
      </c>
      <c r="G2017" s="10">
        <f t="shared" si="31"/>
        <v>0</v>
      </c>
      <c r="H2017" t="str">
        <f>$A2017&amp;Keys!$C$54&amp;$B2017&amp;Keys!$C$54&amp;$C2017</f>
        <v>NY|exports|heat (not used in this variable)</v>
      </c>
    </row>
    <row r="2018" spans="1:8" x14ac:dyDescent="0.25">
      <c r="A2018" t="s">
        <v>145</v>
      </c>
      <c r="B2018" t="s">
        <v>193</v>
      </c>
      <c r="C2018" t="s">
        <v>103</v>
      </c>
      <c r="D2018">
        <v>0</v>
      </c>
      <c r="E2018">
        <v>0</v>
      </c>
      <c r="F2018">
        <v>0</v>
      </c>
      <c r="G2018" s="10">
        <f t="shared" si="31"/>
        <v>0</v>
      </c>
      <c r="H2018" t="str">
        <f>$A2018&amp;Keys!$C$54&amp;$B2018&amp;Keys!$C$54&amp;$C2018</f>
        <v>NY|exports|geothermal (is not a fuel)</v>
      </c>
    </row>
    <row r="2019" spans="1:8" x14ac:dyDescent="0.25">
      <c r="A2019" t="s">
        <v>145</v>
      </c>
      <c r="B2019" t="s">
        <v>193</v>
      </c>
      <c r="C2019" t="s">
        <v>106</v>
      </c>
      <c r="D2019">
        <v>0</v>
      </c>
      <c r="E2019">
        <v>0</v>
      </c>
      <c r="F2019">
        <v>0</v>
      </c>
      <c r="G2019" s="10">
        <f t="shared" si="31"/>
        <v>0</v>
      </c>
      <c r="H2019" t="str">
        <f>$A2019&amp;Keys!$C$54&amp;$B2019&amp;Keys!$C$54&amp;$C2019</f>
        <v>NY|exports|lignite</v>
      </c>
    </row>
    <row r="2020" spans="1:8" x14ac:dyDescent="0.25">
      <c r="A2020" t="s">
        <v>145</v>
      </c>
      <c r="B2020" t="s">
        <v>193</v>
      </c>
      <c r="C2020" t="s">
        <v>109</v>
      </c>
      <c r="D2020">
        <v>0</v>
      </c>
      <c r="E2020">
        <v>0</v>
      </c>
      <c r="F2020">
        <v>0</v>
      </c>
      <c r="G2020" s="10">
        <f t="shared" si="31"/>
        <v>0</v>
      </c>
      <c r="H2020" t="str">
        <f>$A2020&amp;Keys!$C$54&amp;$B2020&amp;Keys!$C$54&amp;$C2020</f>
        <v>NY|exports|crude oil</v>
      </c>
    </row>
    <row r="2021" spans="1:8" x14ac:dyDescent="0.25">
      <c r="A2021" t="s">
        <v>145</v>
      </c>
      <c r="B2021" t="s">
        <v>193</v>
      </c>
      <c r="C2021" t="s">
        <v>113</v>
      </c>
      <c r="D2021">
        <v>3327020000000</v>
      </c>
      <c r="E2021">
        <v>3327020000000</v>
      </c>
      <c r="F2021">
        <v>3246380000000</v>
      </c>
      <c r="G2021" s="10">
        <f t="shared" si="31"/>
        <v>3300140000000</v>
      </c>
      <c r="H2021" t="str">
        <f>$A2021&amp;Keys!$C$54&amp;$B2021&amp;Keys!$C$54&amp;$C2021</f>
        <v>NY|exports|heavy fuel oil</v>
      </c>
    </row>
    <row r="2022" spans="1:8" x14ac:dyDescent="0.25">
      <c r="A2022" t="s">
        <v>145</v>
      </c>
      <c r="B2022" t="s">
        <v>193</v>
      </c>
      <c r="C2022" t="s">
        <v>117</v>
      </c>
      <c r="D2022">
        <v>0</v>
      </c>
      <c r="E2022">
        <v>0</v>
      </c>
      <c r="F2022">
        <v>0</v>
      </c>
      <c r="G2022" s="10">
        <f t="shared" si="31"/>
        <v>0</v>
      </c>
      <c r="H2022" t="str">
        <f>$A2022&amp;Keys!$C$54&amp;$B2022&amp;Keys!$C$54&amp;$C2022</f>
        <v>NY|exports|LPG propane or butane</v>
      </c>
    </row>
    <row r="2023" spans="1:8" x14ac:dyDescent="0.25">
      <c r="A2023" t="s">
        <v>145</v>
      </c>
      <c r="B2023" t="s">
        <v>193</v>
      </c>
      <c r="C2023" t="s">
        <v>120</v>
      </c>
      <c r="D2023">
        <v>0</v>
      </c>
      <c r="E2023">
        <v>0</v>
      </c>
      <c r="F2023">
        <v>0</v>
      </c>
      <c r="G2023" s="10">
        <f t="shared" si="31"/>
        <v>0</v>
      </c>
      <c r="H2023" t="str">
        <f>$A2023&amp;Keys!$C$54&amp;$B2023&amp;Keys!$C$54&amp;$C2023</f>
        <v>NY|exports|municipal solid waste</v>
      </c>
    </row>
    <row r="2024" spans="1:8" x14ac:dyDescent="0.25">
      <c r="A2024" t="s">
        <v>145</v>
      </c>
      <c r="B2024" t="s">
        <v>193</v>
      </c>
      <c r="C2024" t="s">
        <v>123</v>
      </c>
      <c r="D2024">
        <v>0</v>
      </c>
      <c r="E2024">
        <v>0</v>
      </c>
      <c r="F2024">
        <v>0</v>
      </c>
      <c r="G2024" s="10">
        <f t="shared" si="31"/>
        <v>0</v>
      </c>
      <c r="H2024" t="str">
        <f>$A2024&amp;Keys!$C$54&amp;$B2024&amp;Keys!$C$54&amp;$C2024</f>
        <v>NY|exports|hydrogen</v>
      </c>
    </row>
    <row r="2025" spans="1:8" x14ac:dyDescent="0.25">
      <c r="A2025" t="s">
        <v>147</v>
      </c>
      <c r="B2025" t="s">
        <v>188</v>
      </c>
      <c r="C2025" t="s">
        <v>60</v>
      </c>
      <c r="D2025">
        <v>0</v>
      </c>
      <c r="E2025">
        <v>0</v>
      </c>
      <c r="F2025">
        <v>0</v>
      </c>
      <c r="G2025" s="10">
        <f t="shared" si="31"/>
        <v>0</v>
      </c>
      <c r="H2025" t="str">
        <f>$A2025&amp;Keys!$C$54&amp;$B2025&amp;Keys!$C$54&amp;$C2025</f>
        <v>OH|production|electricity (not used in this variable)</v>
      </c>
    </row>
    <row r="2026" spans="1:8" x14ac:dyDescent="0.25">
      <c r="A2026" t="s">
        <v>147</v>
      </c>
      <c r="B2026" t="s">
        <v>188</v>
      </c>
      <c r="C2026" t="s">
        <v>64</v>
      </c>
      <c r="D2026">
        <v>36799500000000</v>
      </c>
      <c r="E2026">
        <v>36799500000000</v>
      </c>
      <c r="F2026">
        <v>36800400000000</v>
      </c>
      <c r="G2026" s="10">
        <f t="shared" si="31"/>
        <v>36799800000000</v>
      </c>
      <c r="H2026" t="str">
        <f>$A2026&amp;Keys!$C$54&amp;$B2026&amp;Keys!$C$54&amp;$C2026</f>
        <v>OH|production|hard coal</v>
      </c>
    </row>
    <row r="2027" spans="1:8" x14ac:dyDescent="0.25">
      <c r="A2027" t="s">
        <v>147</v>
      </c>
      <c r="B2027" t="s">
        <v>188</v>
      </c>
      <c r="C2027" t="s">
        <v>68</v>
      </c>
      <c r="D2027">
        <v>2159520000000000</v>
      </c>
      <c r="E2027">
        <v>2159520000000000</v>
      </c>
      <c r="F2027">
        <v>2166220000000000</v>
      </c>
      <c r="G2027" s="10">
        <f t="shared" si="31"/>
        <v>2161753333333333.3</v>
      </c>
      <c r="H2027" t="str">
        <f>$A2027&amp;Keys!$C$54&amp;$B2027&amp;Keys!$C$54&amp;$C2027</f>
        <v>OH|production|natural gas</v>
      </c>
    </row>
    <row r="2028" spans="1:8" x14ac:dyDescent="0.25">
      <c r="A2028" t="s">
        <v>147</v>
      </c>
      <c r="B2028" t="s">
        <v>188</v>
      </c>
      <c r="C2028" t="s">
        <v>71</v>
      </c>
      <c r="D2028">
        <v>0</v>
      </c>
      <c r="E2028">
        <v>0</v>
      </c>
      <c r="F2028">
        <v>0</v>
      </c>
      <c r="G2028" s="10">
        <f t="shared" si="31"/>
        <v>0</v>
      </c>
      <c r="H2028" t="str">
        <f>$A2028&amp;Keys!$C$54&amp;$B2028&amp;Keys!$C$54&amp;$C2028</f>
        <v>OH|production|nuclear</v>
      </c>
    </row>
    <row r="2029" spans="1:8" x14ac:dyDescent="0.25">
      <c r="A2029" t="s">
        <v>147</v>
      </c>
      <c r="B2029" t="s">
        <v>188</v>
      </c>
      <c r="C2029" t="s">
        <v>74</v>
      </c>
      <c r="D2029">
        <v>0</v>
      </c>
      <c r="E2029">
        <v>0</v>
      </c>
      <c r="F2029">
        <v>0</v>
      </c>
      <c r="G2029" s="10">
        <f t="shared" si="31"/>
        <v>0</v>
      </c>
      <c r="H2029" t="str">
        <f>$A2029&amp;Keys!$C$54&amp;$B2029&amp;Keys!$C$54&amp;$C2029</f>
        <v>OH|production|hydro (is not a fuel)</v>
      </c>
    </row>
    <row r="2030" spans="1:8" x14ac:dyDescent="0.25">
      <c r="A2030" t="s">
        <v>147</v>
      </c>
      <c r="B2030" t="s">
        <v>188</v>
      </c>
      <c r="C2030" t="s">
        <v>77</v>
      </c>
      <c r="D2030">
        <v>0</v>
      </c>
      <c r="E2030">
        <v>0</v>
      </c>
      <c r="F2030">
        <v>0</v>
      </c>
      <c r="G2030" s="10">
        <f t="shared" si="31"/>
        <v>0</v>
      </c>
      <c r="H2030" t="str">
        <f>$A2030&amp;Keys!$C$54&amp;$B2030&amp;Keys!$C$54&amp;$C2030</f>
        <v>OH|production|wind (is not a fuel)</v>
      </c>
    </row>
    <row r="2031" spans="1:8" x14ac:dyDescent="0.25">
      <c r="A2031" t="s">
        <v>147</v>
      </c>
      <c r="B2031" t="s">
        <v>188</v>
      </c>
      <c r="C2031" t="s">
        <v>80</v>
      </c>
      <c r="D2031">
        <v>0</v>
      </c>
      <c r="E2031">
        <v>0</v>
      </c>
      <c r="F2031">
        <v>0</v>
      </c>
      <c r="G2031" s="10">
        <f t="shared" si="31"/>
        <v>0</v>
      </c>
      <c r="H2031" t="str">
        <f>$A2031&amp;Keys!$C$54&amp;$B2031&amp;Keys!$C$54&amp;$C2031</f>
        <v>OH|production|solar (is not a fuel)</v>
      </c>
    </row>
    <row r="2032" spans="1:8" x14ac:dyDescent="0.25">
      <c r="A2032" t="s">
        <v>147</v>
      </c>
      <c r="B2032" t="s">
        <v>188</v>
      </c>
      <c r="C2032" t="s">
        <v>82</v>
      </c>
      <c r="D2032">
        <v>1720000000000</v>
      </c>
      <c r="E2032">
        <v>1720000000000</v>
      </c>
      <c r="F2032">
        <v>1720000000000</v>
      </c>
      <c r="G2032" s="10">
        <f t="shared" si="31"/>
        <v>1720000000000</v>
      </c>
      <c r="H2032" t="str">
        <f>$A2032&amp;Keys!$C$54&amp;$B2032&amp;Keys!$C$54&amp;$C2032</f>
        <v>OH|production|biomass</v>
      </c>
    </row>
    <row r="2033" spans="1:8" x14ac:dyDescent="0.25">
      <c r="A2033" t="s">
        <v>147</v>
      </c>
      <c r="B2033" t="s">
        <v>188</v>
      </c>
      <c r="C2033" t="s">
        <v>85</v>
      </c>
      <c r="D2033">
        <v>588705000000000</v>
      </c>
      <c r="E2033">
        <v>588705000000000</v>
      </c>
      <c r="F2033">
        <v>574436000000000</v>
      </c>
      <c r="G2033" s="10">
        <f t="shared" si="31"/>
        <v>583948666666666.63</v>
      </c>
      <c r="H2033" t="str">
        <f>$A2033&amp;Keys!$C$54&amp;$B2033&amp;Keys!$C$54&amp;$C2033</f>
        <v>OH|production|petroleum gasoline</v>
      </c>
    </row>
    <row r="2034" spans="1:8" x14ac:dyDescent="0.25">
      <c r="A2034" t="s">
        <v>147</v>
      </c>
      <c r="B2034" t="s">
        <v>188</v>
      </c>
      <c r="C2034" t="s">
        <v>88</v>
      </c>
      <c r="D2034">
        <v>348228000000000</v>
      </c>
      <c r="E2034">
        <v>348228000000000</v>
      </c>
      <c r="F2034">
        <v>339788000000000</v>
      </c>
      <c r="G2034" s="10">
        <f t="shared" si="31"/>
        <v>345414666666666.69</v>
      </c>
      <c r="H2034" t="str">
        <f>$A2034&amp;Keys!$C$54&amp;$B2034&amp;Keys!$C$54&amp;$C2034</f>
        <v>OH|production|petroleum diesel</v>
      </c>
    </row>
    <row r="2035" spans="1:8" x14ac:dyDescent="0.25">
      <c r="A2035" t="s">
        <v>147</v>
      </c>
      <c r="B2035" t="s">
        <v>188</v>
      </c>
      <c r="C2035" t="s">
        <v>91</v>
      </c>
      <c r="D2035">
        <v>60383900000000</v>
      </c>
      <c r="E2035">
        <v>60383900000000</v>
      </c>
      <c r="F2035">
        <v>60553900000000</v>
      </c>
      <c r="G2035" s="10">
        <f t="shared" si="31"/>
        <v>60440566666666.664</v>
      </c>
      <c r="H2035" t="str">
        <f>$A2035&amp;Keys!$C$54&amp;$B2035&amp;Keys!$C$54&amp;$C2035</f>
        <v>OH|production|biofuel gasoline</v>
      </c>
    </row>
    <row r="2036" spans="1:8" x14ac:dyDescent="0.25">
      <c r="A2036" t="s">
        <v>147</v>
      </c>
      <c r="B2036" t="s">
        <v>188</v>
      </c>
      <c r="C2036" t="s">
        <v>94</v>
      </c>
      <c r="D2036">
        <v>0</v>
      </c>
      <c r="E2036">
        <v>0</v>
      </c>
      <c r="F2036">
        <v>0</v>
      </c>
      <c r="G2036" s="10">
        <f t="shared" si="31"/>
        <v>0</v>
      </c>
      <c r="H2036" t="str">
        <f>$A2036&amp;Keys!$C$54&amp;$B2036&amp;Keys!$C$54&amp;$C2036</f>
        <v>OH|production|biofuel diesel</v>
      </c>
    </row>
    <row r="2037" spans="1:8" x14ac:dyDescent="0.25">
      <c r="A2037" t="s">
        <v>147</v>
      </c>
      <c r="B2037" t="s">
        <v>188</v>
      </c>
      <c r="C2037" t="s">
        <v>97</v>
      </c>
      <c r="D2037">
        <v>123962000000000</v>
      </c>
      <c r="E2037">
        <v>123962000000000</v>
      </c>
      <c r="F2037">
        <v>120958000000000</v>
      </c>
      <c r="G2037" s="10">
        <f t="shared" si="31"/>
        <v>122960666666666.67</v>
      </c>
      <c r="H2037" t="str">
        <f>$A2037&amp;Keys!$C$54&amp;$B2037&amp;Keys!$C$54&amp;$C2037</f>
        <v>OH|production|jet fuel or kerosene</v>
      </c>
    </row>
    <row r="2038" spans="1:8" x14ac:dyDescent="0.25">
      <c r="A2038" t="s">
        <v>147</v>
      </c>
      <c r="B2038" t="s">
        <v>188</v>
      </c>
      <c r="C2038" t="s">
        <v>100</v>
      </c>
      <c r="D2038">
        <v>0</v>
      </c>
      <c r="E2038">
        <v>0</v>
      </c>
      <c r="F2038">
        <v>0</v>
      </c>
      <c r="G2038" s="10">
        <f t="shared" si="31"/>
        <v>0</v>
      </c>
      <c r="H2038" t="str">
        <f>$A2038&amp;Keys!$C$54&amp;$B2038&amp;Keys!$C$54&amp;$C2038</f>
        <v>OH|production|heat (not used in this variable)</v>
      </c>
    </row>
    <row r="2039" spans="1:8" x14ac:dyDescent="0.25">
      <c r="A2039" t="s">
        <v>147</v>
      </c>
      <c r="B2039" t="s">
        <v>188</v>
      </c>
      <c r="C2039" t="s">
        <v>103</v>
      </c>
      <c r="D2039">
        <v>0</v>
      </c>
      <c r="E2039">
        <v>0</v>
      </c>
      <c r="F2039">
        <v>0</v>
      </c>
      <c r="G2039" s="10">
        <f t="shared" si="31"/>
        <v>0</v>
      </c>
      <c r="H2039" t="str">
        <f>$A2039&amp;Keys!$C$54&amp;$B2039&amp;Keys!$C$54&amp;$C2039</f>
        <v>OH|production|geothermal (is not a fuel)</v>
      </c>
    </row>
    <row r="2040" spans="1:8" x14ac:dyDescent="0.25">
      <c r="A2040" t="s">
        <v>147</v>
      </c>
      <c r="B2040" t="s">
        <v>188</v>
      </c>
      <c r="C2040" t="s">
        <v>106</v>
      </c>
      <c r="D2040">
        <v>0</v>
      </c>
      <c r="E2040">
        <v>0</v>
      </c>
      <c r="F2040">
        <v>0</v>
      </c>
      <c r="G2040" s="10">
        <f t="shared" si="31"/>
        <v>0</v>
      </c>
      <c r="H2040" t="str">
        <f>$A2040&amp;Keys!$C$54&amp;$B2040&amp;Keys!$C$54&amp;$C2040</f>
        <v>OH|production|lignite</v>
      </c>
    </row>
    <row r="2041" spans="1:8" x14ac:dyDescent="0.25">
      <c r="A2041" t="s">
        <v>147</v>
      </c>
      <c r="B2041" t="s">
        <v>188</v>
      </c>
      <c r="C2041" t="s">
        <v>109</v>
      </c>
      <c r="D2041">
        <v>212239000000000</v>
      </c>
      <c r="E2041">
        <v>212239000000000</v>
      </c>
      <c r="F2041">
        <v>192863000000000</v>
      </c>
      <c r="G2041" s="10">
        <f t="shared" si="31"/>
        <v>205780333333333.34</v>
      </c>
      <c r="H2041" t="str">
        <f>$A2041&amp;Keys!$C$54&amp;$B2041&amp;Keys!$C$54&amp;$C2041</f>
        <v>OH|production|crude oil</v>
      </c>
    </row>
    <row r="2042" spans="1:8" x14ac:dyDescent="0.25">
      <c r="A2042" t="s">
        <v>147</v>
      </c>
      <c r="B2042" t="s">
        <v>188</v>
      </c>
      <c r="C2042" t="s">
        <v>113</v>
      </c>
      <c r="D2042">
        <v>24080100000000</v>
      </c>
      <c r="E2042">
        <v>24080100000000</v>
      </c>
      <c r="F2042">
        <v>23496400000000</v>
      </c>
      <c r="G2042" s="10">
        <f t="shared" si="31"/>
        <v>23885533333333.332</v>
      </c>
      <c r="H2042" t="str">
        <f>$A2042&amp;Keys!$C$54&amp;$B2042&amp;Keys!$C$54&amp;$C2042</f>
        <v>OH|production|heavy fuel oil</v>
      </c>
    </row>
    <row r="2043" spans="1:8" x14ac:dyDescent="0.25">
      <c r="A2043" t="s">
        <v>147</v>
      </c>
      <c r="B2043" t="s">
        <v>188</v>
      </c>
      <c r="C2043" t="s">
        <v>117</v>
      </c>
      <c r="D2043">
        <v>264000000000000</v>
      </c>
      <c r="E2043">
        <v>264000000000000</v>
      </c>
      <c r="F2043">
        <v>269606000000000</v>
      </c>
      <c r="G2043" s="10">
        <f t="shared" si="31"/>
        <v>265868666666666.66</v>
      </c>
      <c r="H2043" t="str">
        <f>$A2043&amp;Keys!$C$54&amp;$B2043&amp;Keys!$C$54&amp;$C2043</f>
        <v>OH|production|LPG propane or butane</v>
      </c>
    </row>
    <row r="2044" spans="1:8" x14ac:dyDescent="0.25">
      <c r="A2044" t="s">
        <v>147</v>
      </c>
      <c r="B2044" t="s">
        <v>188</v>
      </c>
      <c r="C2044" t="s">
        <v>120</v>
      </c>
      <c r="D2044">
        <v>0</v>
      </c>
      <c r="E2044">
        <v>0</v>
      </c>
      <c r="F2044">
        <v>0</v>
      </c>
      <c r="G2044" s="10">
        <f t="shared" si="31"/>
        <v>0</v>
      </c>
      <c r="H2044" t="str">
        <f>$A2044&amp;Keys!$C$54&amp;$B2044&amp;Keys!$C$54&amp;$C2044</f>
        <v>OH|production|municipal solid waste</v>
      </c>
    </row>
    <row r="2045" spans="1:8" x14ac:dyDescent="0.25">
      <c r="A2045" t="s">
        <v>147</v>
      </c>
      <c r="B2045" t="s">
        <v>188</v>
      </c>
      <c r="C2045" t="s">
        <v>123</v>
      </c>
      <c r="D2045">
        <v>0</v>
      </c>
      <c r="E2045">
        <v>0</v>
      </c>
      <c r="F2045">
        <v>0</v>
      </c>
      <c r="G2045" s="10">
        <f t="shared" si="31"/>
        <v>0</v>
      </c>
      <c r="H2045" t="str">
        <f>$A2045&amp;Keys!$C$54&amp;$B2045&amp;Keys!$C$54&amp;$C2045</f>
        <v>OH|production|hydrogen</v>
      </c>
    </row>
    <row r="2046" spans="1:8" x14ac:dyDescent="0.25">
      <c r="A2046" t="s">
        <v>147</v>
      </c>
      <c r="B2046" t="s">
        <v>191</v>
      </c>
      <c r="C2046" t="s">
        <v>60</v>
      </c>
      <c r="D2046">
        <v>0</v>
      </c>
      <c r="E2046">
        <v>0</v>
      </c>
      <c r="F2046">
        <v>0</v>
      </c>
      <c r="G2046" s="10">
        <f t="shared" si="31"/>
        <v>0</v>
      </c>
      <c r="H2046" t="str">
        <f>$A2046&amp;Keys!$C$54&amp;$B2046&amp;Keys!$C$54&amp;$C2046</f>
        <v>OH|imports|electricity (not used in this variable)</v>
      </c>
    </row>
    <row r="2047" spans="1:8" x14ac:dyDescent="0.25">
      <c r="A2047" t="s">
        <v>147</v>
      </c>
      <c r="B2047" t="s">
        <v>191</v>
      </c>
      <c r="C2047" t="s">
        <v>64</v>
      </c>
      <c r="D2047">
        <v>310521000000000</v>
      </c>
      <c r="E2047">
        <v>446348000000000</v>
      </c>
      <c r="F2047">
        <v>504264000000000</v>
      </c>
      <c r="G2047" s="10">
        <f t="shared" si="31"/>
        <v>420377666666666.69</v>
      </c>
      <c r="H2047" t="str">
        <f>$A2047&amp;Keys!$C$54&amp;$B2047&amp;Keys!$C$54&amp;$C2047</f>
        <v>OH|imports|hard coal</v>
      </c>
    </row>
    <row r="2048" spans="1:8" x14ac:dyDescent="0.25">
      <c r="A2048" t="s">
        <v>147</v>
      </c>
      <c r="B2048" t="s">
        <v>191</v>
      </c>
      <c r="C2048" t="s">
        <v>68</v>
      </c>
      <c r="D2048">
        <v>3143390000000000</v>
      </c>
      <c r="E2048">
        <v>3083900000000000</v>
      </c>
      <c r="F2048">
        <v>3122760000000000</v>
      </c>
      <c r="G2048" s="10">
        <f t="shared" si="31"/>
        <v>3116683333333333.5</v>
      </c>
      <c r="H2048" t="str">
        <f>$A2048&amp;Keys!$C$54&amp;$B2048&amp;Keys!$C$54&amp;$C2048</f>
        <v>OH|imports|natural gas</v>
      </c>
    </row>
    <row r="2049" spans="1:8" x14ac:dyDescent="0.25">
      <c r="A2049" t="s">
        <v>147</v>
      </c>
      <c r="B2049" t="s">
        <v>191</v>
      </c>
      <c r="C2049" t="s">
        <v>71</v>
      </c>
      <c r="D2049">
        <v>187420000000000</v>
      </c>
      <c r="E2049">
        <v>178986000000000</v>
      </c>
      <c r="F2049">
        <v>76648700000000</v>
      </c>
      <c r="G2049" s="10">
        <f t="shared" si="31"/>
        <v>147684900000000</v>
      </c>
      <c r="H2049" t="str">
        <f>$A2049&amp;Keys!$C$54&amp;$B2049&amp;Keys!$C$54&amp;$C2049</f>
        <v>OH|imports|nuclear</v>
      </c>
    </row>
    <row r="2050" spans="1:8" x14ac:dyDescent="0.25">
      <c r="A2050" t="s">
        <v>147</v>
      </c>
      <c r="B2050" t="s">
        <v>191</v>
      </c>
      <c r="C2050" t="s">
        <v>74</v>
      </c>
      <c r="D2050">
        <v>0</v>
      </c>
      <c r="E2050">
        <v>0</v>
      </c>
      <c r="F2050">
        <v>0</v>
      </c>
      <c r="G2050" s="10">
        <f t="shared" si="31"/>
        <v>0</v>
      </c>
      <c r="H2050" t="str">
        <f>$A2050&amp;Keys!$C$54&amp;$B2050&amp;Keys!$C$54&amp;$C2050</f>
        <v>OH|imports|hydro (is not a fuel)</v>
      </c>
    </row>
    <row r="2051" spans="1:8" x14ac:dyDescent="0.25">
      <c r="A2051" t="s">
        <v>147</v>
      </c>
      <c r="B2051" t="s">
        <v>191</v>
      </c>
      <c r="C2051" t="s">
        <v>77</v>
      </c>
      <c r="D2051">
        <v>0</v>
      </c>
      <c r="E2051">
        <v>0</v>
      </c>
      <c r="F2051">
        <v>0</v>
      </c>
      <c r="G2051" s="10">
        <f t="shared" si="31"/>
        <v>0</v>
      </c>
      <c r="H2051" t="str">
        <f>$A2051&amp;Keys!$C$54&amp;$B2051&amp;Keys!$C$54&amp;$C2051</f>
        <v>OH|imports|wind (is not a fuel)</v>
      </c>
    </row>
    <row r="2052" spans="1:8" x14ac:dyDescent="0.25">
      <c r="A2052" t="s">
        <v>147</v>
      </c>
      <c r="B2052" t="s">
        <v>191</v>
      </c>
      <c r="C2052" t="s">
        <v>80</v>
      </c>
      <c r="D2052">
        <v>0</v>
      </c>
      <c r="E2052">
        <v>0</v>
      </c>
      <c r="F2052">
        <v>0</v>
      </c>
      <c r="G2052" s="10">
        <f t="shared" si="31"/>
        <v>0</v>
      </c>
      <c r="H2052" t="str">
        <f>$A2052&amp;Keys!$C$54&amp;$B2052&amp;Keys!$C$54&amp;$C2052</f>
        <v>OH|imports|solar (is not a fuel)</v>
      </c>
    </row>
    <row r="2053" spans="1:8" x14ac:dyDescent="0.25">
      <c r="A2053" t="s">
        <v>147</v>
      </c>
      <c r="B2053" t="s">
        <v>191</v>
      </c>
      <c r="C2053" t="s">
        <v>82</v>
      </c>
      <c r="D2053">
        <v>0</v>
      </c>
      <c r="E2053">
        <v>48209400000000</v>
      </c>
      <c r="F2053">
        <v>46782500000000</v>
      </c>
      <c r="G2053" s="10">
        <f t="shared" si="31"/>
        <v>31663966666666.668</v>
      </c>
      <c r="H2053" t="str">
        <f>$A2053&amp;Keys!$C$54&amp;$B2053&amp;Keys!$C$54&amp;$C2053</f>
        <v>OH|imports|biomass</v>
      </c>
    </row>
    <row r="2054" spans="1:8" x14ac:dyDescent="0.25">
      <c r="A2054" t="s">
        <v>147</v>
      </c>
      <c r="B2054" t="s">
        <v>191</v>
      </c>
      <c r="C2054" t="s">
        <v>85</v>
      </c>
      <c r="D2054">
        <v>0</v>
      </c>
      <c r="E2054">
        <v>0</v>
      </c>
      <c r="F2054">
        <v>0</v>
      </c>
      <c r="G2054" s="10">
        <f t="shared" si="31"/>
        <v>0</v>
      </c>
      <c r="H2054" t="str">
        <f>$A2054&amp;Keys!$C$54&amp;$B2054&amp;Keys!$C$54&amp;$C2054</f>
        <v>OH|imports|petroleum gasoline</v>
      </c>
    </row>
    <row r="2055" spans="1:8" x14ac:dyDescent="0.25">
      <c r="A2055" t="s">
        <v>147</v>
      </c>
      <c r="B2055" t="s">
        <v>191</v>
      </c>
      <c r="C2055" t="s">
        <v>88</v>
      </c>
      <c r="D2055">
        <v>0</v>
      </c>
      <c r="E2055">
        <v>0</v>
      </c>
      <c r="F2055">
        <v>0</v>
      </c>
      <c r="G2055" s="10">
        <f t="shared" si="31"/>
        <v>0</v>
      </c>
      <c r="H2055" t="str">
        <f>$A2055&amp;Keys!$C$54&amp;$B2055&amp;Keys!$C$54&amp;$C2055</f>
        <v>OH|imports|petroleum diesel</v>
      </c>
    </row>
    <row r="2056" spans="1:8" x14ac:dyDescent="0.25">
      <c r="A2056" t="s">
        <v>147</v>
      </c>
      <c r="B2056" t="s">
        <v>191</v>
      </c>
      <c r="C2056" t="s">
        <v>91</v>
      </c>
      <c r="D2056">
        <v>0</v>
      </c>
      <c r="E2056">
        <v>0</v>
      </c>
      <c r="F2056">
        <v>0</v>
      </c>
      <c r="G2056" s="10">
        <f t="shared" si="31"/>
        <v>0</v>
      </c>
      <c r="H2056" t="str">
        <f>$A2056&amp;Keys!$C$54&amp;$B2056&amp;Keys!$C$54&amp;$C2056</f>
        <v>OH|imports|biofuel gasoline</v>
      </c>
    </row>
    <row r="2057" spans="1:8" x14ac:dyDescent="0.25">
      <c r="A2057" t="s">
        <v>147</v>
      </c>
      <c r="B2057" t="s">
        <v>191</v>
      </c>
      <c r="C2057" t="s">
        <v>94</v>
      </c>
      <c r="D2057">
        <v>0</v>
      </c>
      <c r="E2057">
        <v>5552610000000</v>
      </c>
      <c r="F2057">
        <v>5584390000000</v>
      </c>
      <c r="G2057" s="10">
        <f t="shared" ref="G2057:G2120" si="32">AVERAGE($D2057:$F2057)</f>
        <v>3712333333333.3335</v>
      </c>
      <c r="H2057" t="str">
        <f>$A2057&amp;Keys!$C$54&amp;$B2057&amp;Keys!$C$54&amp;$C2057</f>
        <v>OH|imports|biofuel diesel</v>
      </c>
    </row>
    <row r="2058" spans="1:8" x14ac:dyDescent="0.25">
      <c r="A2058" t="s">
        <v>147</v>
      </c>
      <c r="B2058" t="s">
        <v>191</v>
      </c>
      <c r="C2058" t="s">
        <v>97</v>
      </c>
      <c r="D2058">
        <v>0</v>
      </c>
      <c r="E2058">
        <v>0</v>
      </c>
      <c r="F2058">
        <v>0</v>
      </c>
      <c r="G2058" s="10">
        <f t="shared" si="32"/>
        <v>0</v>
      </c>
      <c r="H2058" t="str">
        <f>$A2058&amp;Keys!$C$54&amp;$B2058&amp;Keys!$C$54&amp;$C2058</f>
        <v>OH|imports|jet fuel or kerosene</v>
      </c>
    </row>
    <row r="2059" spans="1:8" x14ac:dyDescent="0.25">
      <c r="A2059" t="s">
        <v>147</v>
      </c>
      <c r="B2059" t="s">
        <v>191</v>
      </c>
      <c r="C2059" t="s">
        <v>100</v>
      </c>
      <c r="D2059">
        <v>0</v>
      </c>
      <c r="E2059">
        <v>0</v>
      </c>
      <c r="F2059">
        <v>0</v>
      </c>
      <c r="G2059" s="10">
        <f t="shared" si="32"/>
        <v>0</v>
      </c>
      <c r="H2059" t="str">
        <f>$A2059&amp;Keys!$C$54&amp;$B2059&amp;Keys!$C$54&amp;$C2059</f>
        <v>OH|imports|heat (not used in this variable)</v>
      </c>
    </row>
    <row r="2060" spans="1:8" x14ac:dyDescent="0.25">
      <c r="A2060" t="s">
        <v>147</v>
      </c>
      <c r="B2060" t="s">
        <v>191</v>
      </c>
      <c r="C2060" t="s">
        <v>103</v>
      </c>
      <c r="D2060">
        <v>0</v>
      </c>
      <c r="E2060">
        <v>0</v>
      </c>
      <c r="F2060">
        <v>0</v>
      </c>
      <c r="G2060" s="10">
        <f t="shared" si="32"/>
        <v>0</v>
      </c>
      <c r="H2060" t="str">
        <f>$A2060&amp;Keys!$C$54&amp;$B2060&amp;Keys!$C$54&amp;$C2060</f>
        <v>OH|imports|geothermal (is not a fuel)</v>
      </c>
    </row>
    <row r="2061" spans="1:8" x14ac:dyDescent="0.25">
      <c r="A2061" t="s">
        <v>147</v>
      </c>
      <c r="B2061" t="s">
        <v>191</v>
      </c>
      <c r="C2061" t="s">
        <v>106</v>
      </c>
      <c r="D2061">
        <v>0</v>
      </c>
      <c r="E2061">
        <v>0</v>
      </c>
      <c r="F2061">
        <v>0</v>
      </c>
      <c r="G2061" s="10">
        <f t="shared" si="32"/>
        <v>0</v>
      </c>
      <c r="H2061" t="str">
        <f>$A2061&amp;Keys!$C$54&amp;$B2061&amp;Keys!$C$54&amp;$C2061</f>
        <v>OH|imports|lignite</v>
      </c>
    </row>
    <row r="2062" spans="1:8" x14ac:dyDescent="0.25">
      <c r="A2062" t="s">
        <v>147</v>
      </c>
      <c r="B2062" t="s">
        <v>191</v>
      </c>
      <c r="C2062" t="s">
        <v>109</v>
      </c>
      <c r="D2062">
        <v>0</v>
      </c>
      <c r="E2062">
        <v>1029620000000000</v>
      </c>
      <c r="F2062">
        <v>1049000000000000</v>
      </c>
      <c r="G2062" s="10">
        <f t="shared" si="32"/>
        <v>692873333333333.38</v>
      </c>
      <c r="H2062" t="str">
        <f>$A2062&amp;Keys!$C$54&amp;$B2062&amp;Keys!$C$54&amp;$C2062</f>
        <v>OH|imports|crude oil</v>
      </c>
    </row>
    <row r="2063" spans="1:8" x14ac:dyDescent="0.25">
      <c r="A2063" t="s">
        <v>147</v>
      </c>
      <c r="B2063" t="s">
        <v>191</v>
      </c>
      <c r="C2063" t="s">
        <v>113</v>
      </c>
      <c r="D2063">
        <v>0</v>
      </c>
      <c r="E2063">
        <v>7048100000000</v>
      </c>
      <c r="F2063">
        <v>8276240000000</v>
      </c>
      <c r="G2063" s="10">
        <f t="shared" si="32"/>
        <v>5108113333333.333</v>
      </c>
      <c r="H2063" t="str">
        <f>$A2063&amp;Keys!$C$54&amp;$B2063&amp;Keys!$C$54&amp;$C2063</f>
        <v>OH|imports|heavy fuel oil</v>
      </c>
    </row>
    <row r="2064" spans="1:8" x14ac:dyDescent="0.25">
      <c r="A2064" t="s">
        <v>147</v>
      </c>
      <c r="B2064" t="s">
        <v>191</v>
      </c>
      <c r="C2064" t="s">
        <v>117</v>
      </c>
      <c r="D2064">
        <v>0</v>
      </c>
      <c r="E2064">
        <v>0</v>
      </c>
      <c r="F2064">
        <v>0</v>
      </c>
      <c r="G2064" s="10">
        <f t="shared" si="32"/>
        <v>0</v>
      </c>
      <c r="H2064" t="str">
        <f>$A2064&amp;Keys!$C$54&amp;$B2064&amp;Keys!$C$54&amp;$C2064</f>
        <v>OH|imports|LPG propane or butane</v>
      </c>
    </row>
    <row r="2065" spans="1:8" x14ac:dyDescent="0.25">
      <c r="A2065" t="s">
        <v>147</v>
      </c>
      <c r="B2065" t="s">
        <v>191</v>
      </c>
      <c r="C2065" t="s">
        <v>120</v>
      </c>
      <c r="D2065">
        <v>0</v>
      </c>
      <c r="E2065">
        <v>0</v>
      </c>
      <c r="F2065">
        <v>0</v>
      </c>
      <c r="G2065" s="10">
        <f t="shared" si="32"/>
        <v>0</v>
      </c>
      <c r="H2065" t="str">
        <f>$A2065&amp;Keys!$C$54&amp;$B2065&amp;Keys!$C$54&amp;$C2065</f>
        <v>OH|imports|municipal solid waste</v>
      </c>
    </row>
    <row r="2066" spans="1:8" x14ac:dyDescent="0.25">
      <c r="A2066" t="s">
        <v>147</v>
      </c>
      <c r="B2066" t="s">
        <v>191</v>
      </c>
      <c r="C2066" t="s">
        <v>123</v>
      </c>
      <c r="D2066">
        <v>0</v>
      </c>
      <c r="E2066">
        <v>13079500000000</v>
      </c>
      <c r="F2066">
        <v>12828700000000</v>
      </c>
      <c r="G2066" s="10">
        <f t="shared" si="32"/>
        <v>8636066666666.667</v>
      </c>
      <c r="H2066" t="str">
        <f>$A2066&amp;Keys!$C$54&amp;$B2066&amp;Keys!$C$54&amp;$C2066</f>
        <v>OH|imports|hydrogen</v>
      </c>
    </row>
    <row r="2067" spans="1:8" x14ac:dyDescent="0.25">
      <c r="A2067" t="s">
        <v>147</v>
      </c>
      <c r="B2067" t="s">
        <v>193</v>
      </c>
      <c r="C2067" t="s">
        <v>60</v>
      </c>
      <c r="D2067">
        <v>0</v>
      </c>
      <c r="E2067">
        <v>0</v>
      </c>
      <c r="F2067">
        <v>0</v>
      </c>
      <c r="G2067" s="10">
        <f t="shared" si="32"/>
        <v>0</v>
      </c>
      <c r="H2067" t="str">
        <f>$A2067&amp;Keys!$C$54&amp;$B2067&amp;Keys!$C$54&amp;$C2067</f>
        <v>OH|exports|electricity (not used in this variable)</v>
      </c>
    </row>
    <row r="2068" spans="1:8" x14ac:dyDescent="0.25">
      <c r="A2068" t="s">
        <v>147</v>
      </c>
      <c r="B2068" t="s">
        <v>193</v>
      </c>
      <c r="C2068" t="s">
        <v>64</v>
      </c>
      <c r="D2068">
        <v>24302000000000</v>
      </c>
      <c r="E2068">
        <v>24302000000000</v>
      </c>
      <c r="F2068">
        <v>24302600000000</v>
      </c>
      <c r="G2068" s="10">
        <f t="shared" si="32"/>
        <v>24302200000000</v>
      </c>
      <c r="H2068" t="str">
        <f>$A2068&amp;Keys!$C$54&amp;$B2068&amp;Keys!$C$54&amp;$C2068</f>
        <v>OH|exports|hard coal</v>
      </c>
    </row>
    <row r="2069" spans="1:8" x14ac:dyDescent="0.25">
      <c r="A2069" t="s">
        <v>147</v>
      </c>
      <c r="B2069" t="s">
        <v>193</v>
      </c>
      <c r="C2069" t="s">
        <v>68</v>
      </c>
      <c r="D2069">
        <v>3774360000000000</v>
      </c>
      <c r="E2069">
        <v>3774360000000000</v>
      </c>
      <c r="F2069">
        <v>3786080000000000</v>
      </c>
      <c r="G2069" s="10">
        <f t="shared" si="32"/>
        <v>3778266666666666.5</v>
      </c>
      <c r="H2069" t="str">
        <f>$A2069&amp;Keys!$C$54&amp;$B2069&amp;Keys!$C$54&amp;$C2069</f>
        <v>OH|exports|natural gas</v>
      </c>
    </row>
    <row r="2070" spans="1:8" x14ac:dyDescent="0.25">
      <c r="A2070" t="s">
        <v>147</v>
      </c>
      <c r="B2070" t="s">
        <v>193</v>
      </c>
      <c r="C2070" t="s">
        <v>71</v>
      </c>
      <c r="D2070">
        <v>0</v>
      </c>
      <c r="E2070">
        <v>0</v>
      </c>
      <c r="F2070">
        <v>0</v>
      </c>
      <c r="G2070" s="10">
        <f t="shared" si="32"/>
        <v>0</v>
      </c>
      <c r="H2070" t="str">
        <f>$A2070&amp;Keys!$C$54&amp;$B2070&amp;Keys!$C$54&amp;$C2070</f>
        <v>OH|exports|nuclear</v>
      </c>
    </row>
    <row r="2071" spans="1:8" x14ac:dyDescent="0.25">
      <c r="A2071" t="s">
        <v>147</v>
      </c>
      <c r="B2071" t="s">
        <v>193</v>
      </c>
      <c r="C2071" t="s">
        <v>74</v>
      </c>
      <c r="D2071">
        <v>0</v>
      </c>
      <c r="E2071">
        <v>0</v>
      </c>
      <c r="F2071">
        <v>0</v>
      </c>
      <c r="G2071" s="10">
        <f t="shared" si="32"/>
        <v>0</v>
      </c>
      <c r="H2071" t="str">
        <f>$A2071&amp;Keys!$C$54&amp;$B2071&amp;Keys!$C$54&amp;$C2071</f>
        <v>OH|exports|hydro (is not a fuel)</v>
      </c>
    </row>
    <row r="2072" spans="1:8" x14ac:dyDescent="0.25">
      <c r="A2072" t="s">
        <v>147</v>
      </c>
      <c r="B2072" t="s">
        <v>193</v>
      </c>
      <c r="C2072" t="s">
        <v>77</v>
      </c>
      <c r="D2072">
        <v>0</v>
      </c>
      <c r="E2072">
        <v>0</v>
      </c>
      <c r="F2072">
        <v>0</v>
      </c>
      <c r="G2072" s="10">
        <f t="shared" si="32"/>
        <v>0</v>
      </c>
      <c r="H2072" t="str">
        <f>$A2072&amp;Keys!$C$54&amp;$B2072&amp;Keys!$C$54&amp;$C2072</f>
        <v>OH|exports|wind (is not a fuel)</v>
      </c>
    </row>
    <row r="2073" spans="1:8" x14ac:dyDescent="0.25">
      <c r="A2073" t="s">
        <v>147</v>
      </c>
      <c r="B2073" t="s">
        <v>193</v>
      </c>
      <c r="C2073" t="s">
        <v>80</v>
      </c>
      <c r="D2073">
        <v>0</v>
      </c>
      <c r="E2073">
        <v>0</v>
      </c>
      <c r="F2073">
        <v>0</v>
      </c>
      <c r="G2073" s="10">
        <f t="shared" si="32"/>
        <v>0</v>
      </c>
      <c r="H2073" t="str">
        <f>$A2073&amp;Keys!$C$54&amp;$B2073&amp;Keys!$C$54&amp;$C2073</f>
        <v>OH|exports|solar (is not a fuel)</v>
      </c>
    </row>
    <row r="2074" spans="1:8" x14ac:dyDescent="0.25">
      <c r="A2074" t="s">
        <v>147</v>
      </c>
      <c r="B2074" t="s">
        <v>193</v>
      </c>
      <c r="C2074" t="s">
        <v>82</v>
      </c>
      <c r="D2074">
        <v>0</v>
      </c>
      <c r="E2074">
        <v>0</v>
      </c>
      <c r="F2074">
        <v>0</v>
      </c>
      <c r="G2074" s="10">
        <f t="shared" si="32"/>
        <v>0</v>
      </c>
      <c r="H2074" t="str">
        <f>$A2074&amp;Keys!$C$54&amp;$B2074&amp;Keys!$C$54&amp;$C2074</f>
        <v>OH|exports|biomass</v>
      </c>
    </row>
    <row r="2075" spans="1:8" x14ac:dyDescent="0.25">
      <c r="A2075" t="s">
        <v>147</v>
      </c>
      <c r="B2075" t="s">
        <v>193</v>
      </c>
      <c r="C2075" t="s">
        <v>85</v>
      </c>
      <c r="D2075">
        <v>0</v>
      </c>
      <c r="E2075">
        <v>107130000000000</v>
      </c>
      <c r="F2075">
        <v>99676100000000</v>
      </c>
      <c r="G2075" s="10">
        <f t="shared" si="32"/>
        <v>68935366666666.664</v>
      </c>
      <c r="H2075" t="str">
        <f>$A2075&amp;Keys!$C$54&amp;$B2075&amp;Keys!$C$54&amp;$C2075</f>
        <v>OH|exports|petroleum gasoline</v>
      </c>
    </row>
    <row r="2076" spans="1:8" x14ac:dyDescent="0.25">
      <c r="A2076" t="s">
        <v>147</v>
      </c>
      <c r="B2076" t="s">
        <v>193</v>
      </c>
      <c r="C2076" t="s">
        <v>88</v>
      </c>
      <c r="D2076">
        <v>0</v>
      </c>
      <c r="E2076">
        <v>39564800000000</v>
      </c>
      <c r="F2076">
        <v>30822100000000</v>
      </c>
      <c r="G2076" s="10">
        <f t="shared" si="32"/>
        <v>23462300000000</v>
      </c>
      <c r="H2076" t="str">
        <f>$A2076&amp;Keys!$C$54&amp;$B2076&amp;Keys!$C$54&amp;$C2076</f>
        <v>OH|exports|petroleum diesel</v>
      </c>
    </row>
    <row r="2077" spans="1:8" x14ac:dyDescent="0.25">
      <c r="A2077" t="s">
        <v>147</v>
      </c>
      <c r="B2077" t="s">
        <v>193</v>
      </c>
      <c r="C2077" t="s">
        <v>91</v>
      </c>
      <c r="D2077">
        <v>0</v>
      </c>
      <c r="E2077">
        <v>27123900000000</v>
      </c>
      <c r="F2077">
        <v>27727900000000</v>
      </c>
      <c r="G2077" s="10">
        <f t="shared" si="32"/>
        <v>18283933333333.332</v>
      </c>
      <c r="H2077" t="str">
        <f>$A2077&amp;Keys!$C$54&amp;$B2077&amp;Keys!$C$54&amp;$C2077</f>
        <v>OH|exports|biofuel gasoline</v>
      </c>
    </row>
    <row r="2078" spans="1:8" x14ac:dyDescent="0.25">
      <c r="A2078" t="s">
        <v>147</v>
      </c>
      <c r="B2078" t="s">
        <v>193</v>
      </c>
      <c r="C2078" t="s">
        <v>94</v>
      </c>
      <c r="D2078">
        <v>0</v>
      </c>
      <c r="E2078">
        <v>0</v>
      </c>
      <c r="F2078">
        <v>0</v>
      </c>
      <c r="G2078" s="10">
        <f t="shared" si="32"/>
        <v>0</v>
      </c>
      <c r="H2078" t="str">
        <f>$A2078&amp;Keys!$C$54&amp;$B2078&amp;Keys!$C$54&amp;$C2078</f>
        <v>OH|exports|biofuel diesel</v>
      </c>
    </row>
    <row r="2079" spans="1:8" x14ac:dyDescent="0.25">
      <c r="A2079" t="s">
        <v>147</v>
      </c>
      <c r="B2079" t="s">
        <v>193</v>
      </c>
      <c r="C2079" t="s">
        <v>97</v>
      </c>
      <c r="D2079">
        <v>0</v>
      </c>
      <c r="E2079">
        <v>73953100000000</v>
      </c>
      <c r="F2079">
        <v>70180000000000</v>
      </c>
      <c r="G2079" s="10">
        <f t="shared" si="32"/>
        <v>48044366666666.664</v>
      </c>
      <c r="H2079" t="str">
        <f>$A2079&amp;Keys!$C$54&amp;$B2079&amp;Keys!$C$54&amp;$C2079</f>
        <v>OH|exports|jet fuel or kerosene</v>
      </c>
    </row>
    <row r="2080" spans="1:8" x14ac:dyDescent="0.25">
      <c r="A2080" t="s">
        <v>147</v>
      </c>
      <c r="B2080" t="s">
        <v>193</v>
      </c>
      <c r="C2080" t="s">
        <v>100</v>
      </c>
      <c r="D2080">
        <v>0</v>
      </c>
      <c r="E2080">
        <v>0</v>
      </c>
      <c r="F2080">
        <v>0</v>
      </c>
      <c r="G2080" s="10">
        <f t="shared" si="32"/>
        <v>0</v>
      </c>
      <c r="H2080" t="str">
        <f>$A2080&amp;Keys!$C$54&amp;$B2080&amp;Keys!$C$54&amp;$C2080</f>
        <v>OH|exports|heat (not used in this variable)</v>
      </c>
    </row>
    <row r="2081" spans="1:8" x14ac:dyDescent="0.25">
      <c r="A2081" t="s">
        <v>147</v>
      </c>
      <c r="B2081" t="s">
        <v>193</v>
      </c>
      <c r="C2081" t="s">
        <v>103</v>
      </c>
      <c r="D2081">
        <v>0</v>
      </c>
      <c r="E2081">
        <v>0</v>
      </c>
      <c r="F2081">
        <v>0</v>
      </c>
      <c r="G2081" s="10">
        <f t="shared" si="32"/>
        <v>0</v>
      </c>
      <c r="H2081" t="str">
        <f>$A2081&amp;Keys!$C$54&amp;$B2081&amp;Keys!$C$54&amp;$C2081</f>
        <v>OH|exports|geothermal (is not a fuel)</v>
      </c>
    </row>
    <row r="2082" spans="1:8" x14ac:dyDescent="0.25">
      <c r="A2082" t="s">
        <v>147</v>
      </c>
      <c r="B2082" t="s">
        <v>193</v>
      </c>
      <c r="C2082" t="s">
        <v>106</v>
      </c>
      <c r="D2082">
        <v>0</v>
      </c>
      <c r="E2082">
        <v>0</v>
      </c>
      <c r="F2082">
        <v>0</v>
      </c>
      <c r="G2082" s="10">
        <f t="shared" si="32"/>
        <v>0</v>
      </c>
      <c r="H2082" t="str">
        <f>$A2082&amp;Keys!$C$54&amp;$B2082&amp;Keys!$C$54&amp;$C2082</f>
        <v>OH|exports|lignite</v>
      </c>
    </row>
    <row r="2083" spans="1:8" x14ac:dyDescent="0.25">
      <c r="A2083" t="s">
        <v>147</v>
      </c>
      <c r="B2083" t="s">
        <v>193</v>
      </c>
      <c r="C2083" t="s">
        <v>109</v>
      </c>
      <c r="D2083">
        <v>0</v>
      </c>
      <c r="E2083">
        <v>0</v>
      </c>
      <c r="F2083">
        <v>0</v>
      </c>
      <c r="G2083" s="10">
        <f t="shared" si="32"/>
        <v>0</v>
      </c>
      <c r="H2083" t="str">
        <f>$A2083&amp;Keys!$C$54&amp;$B2083&amp;Keys!$C$54&amp;$C2083</f>
        <v>OH|exports|crude oil</v>
      </c>
    </row>
    <row r="2084" spans="1:8" x14ac:dyDescent="0.25">
      <c r="A2084" t="s">
        <v>147</v>
      </c>
      <c r="B2084" t="s">
        <v>193</v>
      </c>
      <c r="C2084" t="s">
        <v>113</v>
      </c>
      <c r="D2084">
        <v>0</v>
      </c>
      <c r="E2084">
        <v>0</v>
      </c>
      <c r="F2084">
        <v>0</v>
      </c>
      <c r="G2084" s="10">
        <f t="shared" si="32"/>
        <v>0</v>
      </c>
      <c r="H2084" t="str">
        <f>$A2084&amp;Keys!$C$54&amp;$B2084&amp;Keys!$C$54&amp;$C2084</f>
        <v>OH|exports|heavy fuel oil</v>
      </c>
    </row>
    <row r="2085" spans="1:8" x14ac:dyDescent="0.25">
      <c r="A2085" t="s">
        <v>147</v>
      </c>
      <c r="B2085" t="s">
        <v>193</v>
      </c>
      <c r="C2085" t="s">
        <v>117</v>
      </c>
      <c r="D2085">
        <v>0</v>
      </c>
      <c r="E2085">
        <v>220531000000000</v>
      </c>
      <c r="F2085">
        <v>226253000000000</v>
      </c>
      <c r="G2085" s="10">
        <f t="shared" si="32"/>
        <v>148928000000000</v>
      </c>
      <c r="H2085" t="str">
        <f>$A2085&amp;Keys!$C$54&amp;$B2085&amp;Keys!$C$54&amp;$C2085</f>
        <v>OH|exports|LPG propane or butane</v>
      </c>
    </row>
    <row r="2086" spans="1:8" x14ac:dyDescent="0.25">
      <c r="A2086" t="s">
        <v>147</v>
      </c>
      <c r="B2086" t="s">
        <v>193</v>
      </c>
      <c r="C2086" t="s">
        <v>120</v>
      </c>
      <c r="D2086">
        <v>0</v>
      </c>
      <c r="E2086">
        <v>0</v>
      </c>
      <c r="F2086">
        <v>0</v>
      </c>
      <c r="G2086" s="10">
        <f t="shared" si="32"/>
        <v>0</v>
      </c>
      <c r="H2086" t="str">
        <f>$A2086&amp;Keys!$C$54&amp;$B2086&amp;Keys!$C$54&amp;$C2086</f>
        <v>OH|exports|municipal solid waste</v>
      </c>
    </row>
    <row r="2087" spans="1:8" x14ac:dyDescent="0.25">
      <c r="A2087" t="s">
        <v>147</v>
      </c>
      <c r="B2087" t="s">
        <v>193</v>
      </c>
      <c r="C2087" t="s">
        <v>123</v>
      </c>
      <c r="D2087">
        <v>0</v>
      </c>
      <c r="E2087">
        <v>0</v>
      </c>
      <c r="F2087">
        <v>0</v>
      </c>
      <c r="G2087" s="10">
        <f t="shared" si="32"/>
        <v>0</v>
      </c>
      <c r="H2087" t="str">
        <f>$A2087&amp;Keys!$C$54&amp;$B2087&amp;Keys!$C$54&amp;$C2087</f>
        <v>OH|exports|hydrogen</v>
      </c>
    </row>
    <row r="2088" spans="1:8" x14ac:dyDescent="0.25">
      <c r="A2088" t="s">
        <v>149</v>
      </c>
      <c r="B2088" t="s">
        <v>188</v>
      </c>
      <c r="C2088" t="s">
        <v>60</v>
      </c>
      <c r="D2088">
        <v>0</v>
      </c>
      <c r="E2088">
        <v>0</v>
      </c>
      <c r="F2088">
        <v>0</v>
      </c>
      <c r="G2088" s="10">
        <f t="shared" si="32"/>
        <v>0</v>
      </c>
      <c r="H2088" t="str">
        <f>$A2088&amp;Keys!$C$54&amp;$B2088&amp;Keys!$C$54&amp;$C2088</f>
        <v>OK|production|electricity (not used in this variable)</v>
      </c>
    </row>
    <row r="2089" spans="1:8" x14ac:dyDescent="0.25">
      <c r="A2089" t="s">
        <v>149</v>
      </c>
      <c r="B2089" t="s">
        <v>188</v>
      </c>
      <c r="C2089" t="s">
        <v>64</v>
      </c>
      <c r="D2089">
        <v>2419000000</v>
      </c>
      <c r="E2089">
        <v>2419000000</v>
      </c>
      <c r="F2089">
        <v>2405990000</v>
      </c>
      <c r="G2089" s="10">
        <f t="shared" si="32"/>
        <v>2414663333.3333335</v>
      </c>
      <c r="H2089" t="str">
        <f>$A2089&amp;Keys!$C$54&amp;$B2089&amp;Keys!$C$54&amp;$C2089</f>
        <v>OK|production|hard coal</v>
      </c>
    </row>
    <row r="2090" spans="1:8" x14ac:dyDescent="0.25">
      <c r="A2090" t="s">
        <v>149</v>
      </c>
      <c r="B2090" t="s">
        <v>188</v>
      </c>
      <c r="C2090" t="s">
        <v>68</v>
      </c>
      <c r="D2090">
        <v>2579530000000000</v>
      </c>
      <c r="E2090">
        <v>2579530000000000</v>
      </c>
      <c r="F2090">
        <v>2338790000000000</v>
      </c>
      <c r="G2090" s="10">
        <f t="shared" si="32"/>
        <v>2499283333333333.5</v>
      </c>
      <c r="H2090" t="str">
        <f>$A2090&amp;Keys!$C$54&amp;$B2090&amp;Keys!$C$54&amp;$C2090</f>
        <v>OK|production|natural gas</v>
      </c>
    </row>
    <row r="2091" spans="1:8" x14ac:dyDescent="0.25">
      <c r="A2091" t="s">
        <v>149</v>
      </c>
      <c r="B2091" t="s">
        <v>188</v>
      </c>
      <c r="C2091" t="s">
        <v>71</v>
      </c>
      <c r="D2091">
        <v>0</v>
      </c>
      <c r="E2091">
        <v>0</v>
      </c>
      <c r="F2091">
        <v>0</v>
      </c>
      <c r="G2091" s="10">
        <f t="shared" si="32"/>
        <v>0</v>
      </c>
      <c r="H2091" t="str">
        <f>$A2091&amp;Keys!$C$54&amp;$B2091&amp;Keys!$C$54&amp;$C2091</f>
        <v>OK|production|nuclear</v>
      </c>
    </row>
    <row r="2092" spans="1:8" x14ac:dyDescent="0.25">
      <c r="A2092" t="s">
        <v>149</v>
      </c>
      <c r="B2092" t="s">
        <v>188</v>
      </c>
      <c r="C2092" t="s">
        <v>74</v>
      </c>
      <c r="D2092">
        <v>0</v>
      </c>
      <c r="E2092">
        <v>0</v>
      </c>
      <c r="F2092">
        <v>0</v>
      </c>
      <c r="G2092" s="10">
        <f t="shared" si="32"/>
        <v>0</v>
      </c>
      <c r="H2092" t="str">
        <f>$A2092&amp;Keys!$C$54&amp;$B2092&amp;Keys!$C$54&amp;$C2092</f>
        <v>OK|production|hydro (is not a fuel)</v>
      </c>
    </row>
    <row r="2093" spans="1:8" x14ac:dyDescent="0.25">
      <c r="A2093" t="s">
        <v>149</v>
      </c>
      <c r="B2093" t="s">
        <v>188</v>
      </c>
      <c r="C2093" t="s">
        <v>77</v>
      </c>
      <c r="D2093">
        <v>0</v>
      </c>
      <c r="E2093">
        <v>0</v>
      </c>
      <c r="F2093">
        <v>0</v>
      </c>
      <c r="G2093" s="10">
        <f t="shared" si="32"/>
        <v>0</v>
      </c>
      <c r="H2093" t="str">
        <f>$A2093&amp;Keys!$C$54&amp;$B2093&amp;Keys!$C$54&amp;$C2093</f>
        <v>OK|production|wind (is not a fuel)</v>
      </c>
    </row>
    <row r="2094" spans="1:8" x14ac:dyDescent="0.25">
      <c r="A2094" t="s">
        <v>149</v>
      </c>
      <c r="B2094" t="s">
        <v>188</v>
      </c>
      <c r="C2094" t="s">
        <v>80</v>
      </c>
      <c r="D2094">
        <v>0</v>
      </c>
      <c r="E2094">
        <v>0</v>
      </c>
      <c r="F2094">
        <v>0</v>
      </c>
      <c r="G2094" s="10">
        <f t="shared" si="32"/>
        <v>0</v>
      </c>
      <c r="H2094" t="str">
        <f>$A2094&amp;Keys!$C$54&amp;$B2094&amp;Keys!$C$54&amp;$C2094</f>
        <v>OK|production|solar (is not a fuel)</v>
      </c>
    </row>
    <row r="2095" spans="1:8" x14ac:dyDescent="0.25">
      <c r="A2095" t="s">
        <v>149</v>
      </c>
      <c r="B2095" t="s">
        <v>188</v>
      </c>
      <c r="C2095" t="s">
        <v>82</v>
      </c>
      <c r="D2095">
        <v>0</v>
      </c>
      <c r="E2095">
        <v>0</v>
      </c>
      <c r="F2095">
        <v>0</v>
      </c>
      <c r="G2095" s="10">
        <f t="shared" si="32"/>
        <v>0</v>
      </c>
      <c r="H2095" t="str">
        <f>$A2095&amp;Keys!$C$54&amp;$B2095&amp;Keys!$C$54&amp;$C2095</f>
        <v>OK|production|biomass</v>
      </c>
    </row>
    <row r="2096" spans="1:8" x14ac:dyDescent="0.25">
      <c r="A2096" t="s">
        <v>149</v>
      </c>
      <c r="B2096" t="s">
        <v>188</v>
      </c>
      <c r="C2096" t="s">
        <v>85</v>
      </c>
      <c r="D2096">
        <v>516791000000000</v>
      </c>
      <c r="E2096">
        <v>516791000000000</v>
      </c>
      <c r="F2096">
        <v>504265000000000</v>
      </c>
      <c r="G2096" s="10">
        <f t="shared" si="32"/>
        <v>512615666666666.69</v>
      </c>
      <c r="H2096" t="str">
        <f>$A2096&amp;Keys!$C$54&amp;$B2096&amp;Keys!$C$54&amp;$C2096</f>
        <v>OK|production|petroleum gasoline</v>
      </c>
    </row>
    <row r="2097" spans="1:8" x14ac:dyDescent="0.25">
      <c r="A2097" t="s">
        <v>149</v>
      </c>
      <c r="B2097" t="s">
        <v>188</v>
      </c>
      <c r="C2097" t="s">
        <v>88</v>
      </c>
      <c r="D2097">
        <v>305690000000000</v>
      </c>
      <c r="E2097">
        <v>305690000000000</v>
      </c>
      <c r="F2097">
        <v>298281000000000</v>
      </c>
      <c r="G2097" s="10">
        <f t="shared" si="32"/>
        <v>303220333333333.31</v>
      </c>
      <c r="H2097" t="str">
        <f>$A2097&amp;Keys!$C$54&amp;$B2097&amp;Keys!$C$54&amp;$C2097</f>
        <v>OK|production|petroleum diesel</v>
      </c>
    </row>
    <row r="2098" spans="1:8" x14ac:dyDescent="0.25">
      <c r="A2098" t="s">
        <v>149</v>
      </c>
      <c r="B2098" t="s">
        <v>188</v>
      </c>
      <c r="C2098" t="s">
        <v>91</v>
      </c>
      <c r="D2098">
        <v>0</v>
      </c>
      <c r="E2098">
        <v>0</v>
      </c>
      <c r="F2098">
        <v>0</v>
      </c>
      <c r="G2098" s="10">
        <f t="shared" si="32"/>
        <v>0</v>
      </c>
      <c r="H2098" t="str">
        <f>$A2098&amp;Keys!$C$54&amp;$B2098&amp;Keys!$C$54&amp;$C2098</f>
        <v>OK|production|biofuel gasoline</v>
      </c>
    </row>
    <row r="2099" spans="1:8" x14ac:dyDescent="0.25">
      <c r="A2099" t="s">
        <v>149</v>
      </c>
      <c r="B2099" t="s">
        <v>188</v>
      </c>
      <c r="C2099" t="s">
        <v>94</v>
      </c>
      <c r="D2099">
        <v>12957000000000</v>
      </c>
      <c r="E2099">
        <v>12957000000000</v>
      </c>
      <c r="F2099">
        <v>15391200000000</v>
      </c>
      <c r="G2099" s="10">
        <f t="shared" si="32"/>
        <v>13768400000000</v>
      </c>
      <c r="H2099" t="str">
        <f>$A2099&amp;Keys!$C$54&amp;$B2099&amp;Keys!$C$54&amp;$C2099</f>
        <v>OK|production|biofuel diesel</v>
      </c>
    </row>
    <row r="2100" spans="1:8" x14ac:dyDescent="0.25">
      <c r="A2100" t="s">
        <v>149</v>
      </c>
      <c r="B2100" t="s">
        <v>188</v>
      </c>
      <c r="C2100" t="s">
        <v>97</v>
      </c>
      <c r="D2100">
        <v>108819000000000</v>
      </c>
      <c r="E2100">
        <v>108819000000000</v>
      </c>
      <c r="F2100">
        <v>106182000000000</v>
      </c>
      <c r="G2100" s="10">
        <f t="shared" si="32"/>
        <v>107940000000000</v>
      </c>
      <c r="H2100" t="str">
        <f>$A2100&amp;Keys!$C$54&amp;$B2100&amp;Keys!$C$54&amp;$C2100</f>
        <v>OK|production|jet fuel or kerosene</v>
      </c>
    </row>
    <row r="2101" spans="1:8" x14ac:dyDescent="0.25">
      <c r="A2101" t="s">
        <v>149</v>
      </c>
      <c r="B2101" t="s">
        <v>188</v>
      </c>
      <c r="C2101" t="s">
        <v>100</v>
      </c>
      <c r="D2101">
        <v>0</v>
      </c>
      <c r="E2101">
        <v>0</v>
      </c>
      <c r="F2101">
        <v>0</v>
      </c>
      <c r="G2101" s="10">
        <f t="shared" si="32"/>
        <v>0</v>
      </c>
      <c r="H2101" t="str">
        <f>$A2101&amp;Keys!$C$54&amp;$B2101&amp;Keys!$C$54&amp;$C2101</f>
        <v>OK|production|heat (not used in this variable)</v>
      </c>
    </row>
    <row r="2102" spans="1:8" x14ac:dyDescent="0.25">
      <c r="A2102" t="s">
        <v>149</v>
      </c>
      <c r="B2102" t="s">
        <v>188</v>
      </c>
      <c r="C2102" t="s">
        <v>103</v>
      </c>
      <c r="D2102">
        <v>0</v>
      </c>
      <c r="E2102">
        <v>0</v>
      </c>
      <c r="F2102">
        <v>0</v>
      </c>
      <c r="G2102" s="10">
        <f t="shared" si="32"/>
        <v>0</v>
      </c>
      <c r="H2102" t="str">
        <f>$A2102&amp;Keys!$C$54&amp;$B2102&amp;Keys!$C$54&amp;$C2102</f>
        <v>OK|production|geothermal (is not a fuel)</v>
      </c>
    </row>
    <row r="2103" spans="1:8" x14ac:dyDescent="0.25">
      <c r="A2103" t="s">
        <v>149</v>
      </c>
      <c r="B2103" t="s">
        <v>188</v>
      </c>
      <c r="C2103" t="s">
        <v>106</v>
      </c>
      <c r="D2103">
        <v>0</v>
      </c>
      <c r="E2103">
        <v>0</v>
      </c>
      <c r="F2103">
        <v>0</v>
      </c>
      <c r="G2103" s="10">
        <f t="shared" si="32"/>
        <v>0</v>
      </c>
      <c r="H2103" t="str">
        <f>$A2103&amp;Keys!$C$54&amp;$B2103&amp;Keys!$C$54&amp;$C2103</f>
        <v>OK|production|lignite</v>
      </c>
    </row>
    <row r="2104" spans="1:8" x14ac:dyDescent="0.25">
      <c r="A2104" t="s">
        <v>149</v>
      </c>
      <c r="B2104" t="s">
        <v>188</v>
      </c>
      <c r="C2104" t="s">
        <v>109</v>
      </c>
      <c r="D2104">
        <v>847769000000000</v>
      </c>
      <c r="E2104">
        <v>847769000000000</v>
      </c>
      <c r="F2104">
        <v>821781000000000</v>
      </c>
      <c r="G2104" s="10">
        <f t="shared" si="32"/>
        <v>839106333333333.38</v>
      </c>
      <c r="H2104" t="str">
        <f>$A2104&amp;Keys!$C$54&amp;$B2104&amp;Keys!$C$54&amp;$C2104</f>
        <v>OK|production|crude oil</v>
      </c>
    </row>
    <row r="2105" spans="1:8" x14ac:dyDescent="0.25">
      <c r="A2105" t="s">
        <v>149</v>
      </c>
      <c r="B2105" t="s">
        <v>188</v>
      </c>
      <c r="C2105" t="s">
        <v>113</v>
      </c>
      <c r="D2105">
        <v>21138500000000</v>
      </c>
      <c r="E2105">
        <v>21138500000000</v>
      </c>
      <c r="F2105">
        <v>20626200000000</v>
      </c>
      <c r="G2105" s="10">
        <f t="shared" si="32"/>
        <v>20967733333333.332</v>
      </c>
      <c r="H2105" t="str">
        <f>$A2105&amp;Keys!$C$54&amp;$B2105&amp;Keys!$C$54&amp;$C2105</f>
        <v>OK|production|heavy fuel oil</v>
      </c>
    </row>
    <row r="2106" spans="1:8" x14ac:dyDescent="0.25">
      <c r="A2106" t="s">
        <v>149</v>
      </c>
      <c r="B2106" t="s">
        <v>188</v>
      </c>
      <c r="C2106" t="s">
        <v>117</v>
      </c>
      <c r="D2106">
        <v>315346000000000</v>
      </c>
      <c r="E2106">
        <v>315346000000000</v>
      </c>
      <c r="F2106">
        <v>322042000000000</v>
      </c>
      <c r="G2106" s="10">
        <f t="shared" si="32"/>
        <v>317578000000000</v>
      </c>
      <c r="H2106" t="str">
        <f>$A2106&amp;Keys!$C$54&amp;$B2106&amp;Keys!$C$54&amp;$C2106</f>
        <v>OK|production|LPG propane or butane</v>
      </c>
    </row>
    <row r="2107" spans="1:8" x14ac:dyDescent="0.25">
      <c r="A2107" t="s">
        <v>149</v>
      </c>
      <c r="B2107" t="s">
        <v>188</v>
      </c>
      <c r="C2107" t="s">
        <v>120</v>
      </c>
      <c r="D2107">
        <v>0</v>
      </c>
      <c r="E2107">
        <v>0</v>
      </c>
      <c r="F2107">
        <v>0</v>
      </c>
      <c r="G2107" s="10">
        <f t="shared" si="32"/>
        <v>0</v>
      </c>
      <c r="H2107" t="str">
        <f>$A2107&amp;Keys!$C$54&amp;$B2107&amp;Keys!$C$54&amp;$C2107</f>
        <v>OK|production|municipal solid waste</v>
      </c>
    </row>
    <row r="2108" spans="1:8" x14ac:dyDescent="0.25">
      <c r="A2108" t="s">
        <v>149</v>
      </c>
      <c r="B2108" t="s">
        <v>188</v>
      </c>
      <c r="C2108" t="s">
        <v>123</v>
      </c>
      <c r="D2108">
        <v>7354750000000</v>
      </c>
      <c r="E2108">
        <v>7354750000000</v>
      </c>
      <c r="F2108">
        <v>6984760000000</v>
      </c>
      <c r="G2108" s="10">
        <f t="shared" si="32"/>
        <v>7231420000000</v>
      </c>
      <c r="H2108" t="str">
        <f>$A2108&amp;Keys!$C$54&amp;$B2108&amp;Keys!$C$54&amp;$C2108</f>
        <v>OK|production|hydrogen</v>
      </c>
    </row>
    <row r="2109" spans="1:8" x14ac:dyDescent="0.25">
      <c r="A2109" t="s">
        <v>149</v>
      </c>
      <c r="B2109" t="s">
        <v>191</v>
      </c>
      <c r="C2109" t="s">
        <v>60</v>
      </c>
      <c r="D2109">
        <v>0</v>
      </c>
      <c r="E2109">
        <v>0</v>
      </c>
      <c r="F2109">
        <v>0</v>
      </c>
      <c r="G2109" s="10">
        <f t="shared" si="32"/>
        <v>0</v>
      </c>
      <c r="H2109" t="str">
        <f>$A2109&amp;Keys!$C$54&amp;$B2109&amp;Keys!$C$54&amp;$C2109</f>
        <v>OK|imports|electricity (not used in this variable)</v>
      </c>
    </row>
    <row r="2110" spans="1:8" x14ac:dyDescent="0.25">
      <c r="A2110" t="s">
        <v>149</v>
      </c>
      <c r="B2110" t="s">
        <v>191</v>
      </c>
      <c r="C2110" t="s">
        <v>64</v>
      </c>
      <c r="D2110">
        <v>68543500000000</v>
      </c>
      <c r="E2110">
        <v>114095000000000</v>
      </c>
      <c r="F2110">
        <v>150995000000000</v>
      </c>
      <c r="G2110" s="10">
        <f t="shared" si="32"/>
        <v>111211166666666.67</v>
      </c>
      <c r="H2110" t="str">
        <f>$A2110&amp;Keys!$C$54&amp;$B2110&amp;Keys!$C$54&amp;$C2110</f>
        <v>OK|imports|hard coal</v>
      </c>
    </row>
    <row r="2111" spans="1:8" x14ac:dyDescent="0.25">
      <c r="A2111" t="s">
        <v>149</v>
      </c>
      <c r="B2111" t="s">
        <v>191</v>
      </c>
      <c r="C2111" t="s">
        <v>68</v>
      </c>
      <c r="D2111">
        <v>865357000000000</v>
      </c>
      <c r="E2111">
        <v>567713000000000</v>
      </c>
      <c r="F2111">
        <v>552785000000000</v>
      </c>
      <c r="G2111" s="10">
        <f t="shared" si="32"/>
        <v>661951666666666.63</v>
      </c>
      <c r="H2111" t="str">
        <f>$A2111&amp;Keys!$C$54&amp;$B2111&amp;Keys!$C$54&amp;$C2111</f>
        <v>OK|imports|natural gas</v>
      </c>
    </row>
    <row r="2112" spans="1:8" x14ac:dyDescent="0.25">
      <c r="A2112" t="s">
        <v>149</v>
      </c>
      <c r="B2112" t="s">
        <v>191</v>
      </c>
      <c r="C2112" t="s">
        <v>71</v>
      </c>
      <c r="D2112">
        <v>0</v>
      </c>
      <c r="E2112">
        <v>0</v>
      </c>
      <c r="F2112">
        <v>0</v>
      </c>
      <c r="G2112" s="10">
        <f t="shared" si="32"/>
        <v>0</v>
      </c>
      <c r="H2112" t="str">
        <f>$A2112&amp;Keys!$C$54&amp;$B2112&amp;Keys!$C$54&amp;$C2112</f>
        <v>OK|imports|nuclear</v>
      </c>
    </row>
    <row r="2113" spans="1:8" x14ac:dyDescent="0.25">
      <c r="A2113" t="s">
        <v>149</v>
      </c>
      <c r="B2113" t="s">
        <v>191</v>
      </c>
      <c r="C2113" t="s">
        <v>74</v>
      </c>
      <c r="D2113">
        <v>0</v>
      </c>
      <c r="E2113">
        <v>0</v>
      </c>
      <c r="F2113">
        <v>0</v>
      </c>
      <c r="G2113" s="10">
        <f t="shared" si="32"/>
        <v>0</v>
      </c>
      <c r="H2113" t="str">
        <f>$A2113&amp;Keys!$C$54&amp;$B2113&amp;Keys!$C$54&amp;$C2113</f>
        <v>OK|imports|hydro (is not a fuel)</v>
      </c>
    </row>
    <row r="2114" spans="1:8" x14ac:dyDescent="0.25">
      <c r="A2114" t="s">
        <v>149</v>
      </c>
      <c r="B2114" t="s">
        <v>191</v>
      </c>
      <c r="C2114" t="s">
        <v>77</v>
      </c>
      <c r="D2114">
        <v>0</v>
      </c>
      <c r="E2114">
        <v>0</v>
      </c>
      <c r="F2114">
        <v>0</v>
      </c>
      <c r="G2114" s="10">
        <f t="shared" si="32"/>
        <v>0</v>
      </c>
      <c r="H2114" t="str">
        <f>$A2114&amp;Keys!$C$54&amp;$B2114&amp;Keys!$C$54&amp;$C2114</f>
        <v>OK|imports|wind (is not a fuel)</v>
      </c>
    </row>
    <row r="2115" spans="1:8" x14ac:dyDescent="0.25">
      <c r="A2115" t="s">
        <v>149</v>
      </c>
      <c r="B2115" t="s">
        <v>191</v>
      </c>
      <c r="C2115" t="s">
        <v>80</v>
      </c>
      <c r="D2115">
        <v>0</v>
      </c>
      <c r="E2115">
        <v>0</v>
      </c>
      <c r="F2115">
        <v>0</v>
      </c>
      <c r="G2115" s="10">
        <f t="shared" si="32"/>
        <v>0</v>
      </c>
      <c r="H2115" t="str">
        <f>$A2115&amp;Keys!$C$54&amp;$B2115&amp;Keys!$C$54&amp;$C2115</f>
        <v>OK|imports|solar (is not a fuel)</v>
      </c>
    </row>
    <row r="2116" spans="1:8" x14ac:dyDescent="0.25">
      <c r="A2116" t="s">
        <v>149</v>
      </c>
      <c r="B2116" t="s">
        <v>191</v>
      </c>
      <c r="C2116" t="s">
        <v>82</v>
      </c>
      <c r="D2116">
        <v>0</v>
      </c>
      <c r="E2116">
        <v>40639800000000</v>
      </c>
      <c r="F2116">
        <v>42291400000000</v>
      </c>
      <c r="G2116" s="10">
        <f t="shared" si="32"/>
        <v>27643733333333.332</v>
      </c>
      <c r="H2116" t="str">
        <f>$A2116&amp;Keys!$C$54&amp;$B2116&amp;Keys!$C$54&amp;$C2116</f>
        <v>OK|imports|biomass</v>
      </c>
    </row>
    <row r="2117" spans="1:8" x14ac:dyDescent="0.25">
      <c r="A2117" t="s">
        <v>149</v>
      </c>
      <c r="B2117" t="s">
        <v>191</v>
      </c>
      <c r="C2117" t="s">
        <v>85</v>
      </c>
      <c r="D2117">
        <v>0</v>
      </c>
      <c r="E2117">
        <v>0</v>
      </c>
      <c r="F2117">
        <v>0</v>
      </c>
      <c r="G2117" s="10">
        <f t="shared" si="32"/>
        <v>0</v>
      </c>
      <c r="H2117" t="str">
        <f>$A2117&amp;Keys!$C$54&amp;$B2117&amp;Keys!$C$54&amp;$C2117</f>
        <v>OK|imports|petroleum gasoline</v>
      </c>
    </row>
    <row r="2118" spans="1:8" x14ac:dyDescent="0.25">
      <c r="A2118" t="s">
        <v>149</v>
      </c>
      <c r="B2118" t="s">
        <v>191</v>
      </c>
      <c r="C2118" t="s">
        <v>88</v>
      </c>
      <c r="D2118">
        <v>0</v>
      </c>
      <c r="E2118">
        <v>0</v>
      </c>
      <c r="F2118">
        <v>0</v>
      </c>
      <c r="G2118" s="10">
        <f t="shared" si="32"/>
        <v>0</v>
      </c>
      <c r="H2118" t="str">
        <f>$A2118&amp;Keys!$C$54&amp;$B2118&amp;Keys!$C$54&amp;$C2118</f>
        <v>OK|imports|petroleum diesel</v>
      </c>
    </row>
    <row r="2119" spans="1:8" x14ac:dyDescent="0.25">
      <c r="A2119" t="s">
        <v>149</v>
      </c>
      <c r="B2119" t="s">
        <v>191</v>
      </c>
      <c r="C2119" t="s">
        <v>91</v>
      </c>
      <c r="D2119">
        <v>0</v>
      </c>
      <c r="E2119">
        <v>13022000000000</v>
      </c>
      <c r="F2119">
        <v>12835500000000</v>
      </c>
      <c r="G2119" s="10">
        <f t="shared" si="32"/>
        <v>8619166666666.667</v>
      </c>
      <c r="H2119" t="str">
        <f>$A2119&amp;Keys!$C$54&amp;$B2119&amp;Keys!$C$54&amp;$C2119</f>
        <v>OK|imports|biofuel gasoline</v>
      </c>
    </row>
    <row r="2120" spans="1:8" x14ac:dyDescent="0.25">
      <c r="A2120" t="s">
        <v>149</v>
      </c>
      <c r="B2120" t="s">
        <v>191</v>
      </c>
      <c r="C2120" t="s">
        <v>94</v>
      </c>
      <c r="D2120">
        <v>0</v>
      </c>
      <c r="E2120">
        <v>0</v>
      </c>
      <c r="F2120">
        <v>0</v>
      </c>
      <c r="G2120" s="10">
        <f t="shared" si="32"/>
        <v>0</v>
      </c>
      <c r="H2120" t="str">
        <f>$A2120&amp;Keys!$C$54&amp;$B2120&amp;Keys!$C$54&amp;$C2120</f>
        <v>OK|imports|biofuel diesel</v>
      </c>
    </row>
    <row r="2121" spans="1:8" x14ac:dyDescent="0.25">
      <c r="A2121" t="s">
        <v>149</v>
      </c>
      <c r="B2121" t="s">
        <v>191</v>
      </c>
      <c r="C2121" t="s">
        <v>97</v>
      </c>
      <c r="D2121">
        <v>0</v>
      </c>
      <c r="E2121">
        <v>0</v>
      </c>
      <c r="F2121">
        <v>0</v>
      </c>
      <c r="G2121" s="10">
        <f t="shared" ref="G2121:G2184" si="33">AVERAGE($D2121:$F2121)</f>
        <v>0</v>
      </c>
      <c r="H2121" t="str">
        <f>$A2121&amp;Keys!$C$54&amp;$B2121&amp;Keys!$C$54&amp;$C2121</f>
        <v>OK|imports|jet fuel or kerosene</v>
      </c>
    </row>
    <row r="2122" spans="1:8" x14ac:dyDescent="0.25">
      <c r="A2122" t="s">
        <v>149</v>
      </c>
      <c r="B2122" t="s">
        <v>191</v>
      </c>
      <c r="C2122" t="s">
        <v>100</v>
      </c>
      <c r="D2122">
        <v>0</v>
      </c>
      <c r="E2122">
        <v>0</v>
      </c>
      <c r="F2122">
        <v>0</v>
      </c>
      <c r="G2122" s="10">
        <f t="shared" si="33"/>
        <v>0</v>
      </c>
      <c r="H2122" t="str">
        <f>$A2122&amp;Keys!$C$54&amp;$B2122&amp;Keys!$C$54&amp;$C2122</f>
        <v>OK|imports|heat (not used in this variable)</v>
      </c>
    </row>
    <row r="2123" spans="1:8" x14ac:dyDescent="0.25">
      <c r="A2123" t="s">
        <v>149</v>
      </c>
      <c r="B2123" t="s">
        <v>191</v>
      </c>
      <c r="C2123" t="s">
        <v>103</v>
      </c>
      <c r="D2123">
        <v>0</v>
      </c>
      <c r="E2123">
        <v>0</v>
      </c>
      <c r="F2123">
        <v>0</v>
      </c>
      <c r="G2123" s="10">
        <f t="shared" si="33"/>
        <v>0</v>
      </c>
      <c r="H2123" t="str">
        <f>$A2123&amp;Keys!$C$54&amp;$B2123&amp;Keys!$C$54&amp;$C2123</f>
        <v>OK|imports|geothermal (is not a fuel)</v>
      </c>
    </row>
    <row r="2124" spans="1:8" x14ac:dyDescent="0.25">
      <c r="A2124" t="s">
        <v>149</v>
      </c>
      <c r="B2124" t="s">
        <v>191</v>
      </c>
      <c r="C2124" t="s">
        <v>106</v>
      </c>
      <c r="D2124">
        <v>0</v>
      </c>
      <c r="E2124">
        <v>0</v>
      </c>
      <c r="F2124">
        <v>0</v>
      </c>
      <c r="G2124" s="10">
        <f t="shared" si="33"/>
        <v>0</v>
      </c>
      <c r="H2124" t="str">
        <f>$A2124&amp;Keys!$C$54&amp;$B2124&amp;Keys!$C$54&amp;$C2124</f>
        <v>OK|imports|lignite</v>
      </c>
    </row>
    <row r="2125" spans="1:8" x14ac:dyDescent="0.25">
      <c r="A2125" t="s">
        <v>149</v>
      </c>
      <c r="B2125" t="s">
        <v>191</v>
      </c>
      <c r="C2125" t="s">
        <v>109</v>
      </c>
      <c r="D2125">
        <v>0</v>
      </c>
      <c r="E2125">
        <v>234931000000000</v>
      </c>
      <c r="F2125">
        <v>260919000000000</v>
      </c>
      <c r="G2125" s="10">
        <f t="shared" si="33"/>
        <v>165283333333333.34</v>
      </c>
      <c r="H2125" t="str">
        <f>$A2125&amp;Keys!$C$54&amp;$B2125&amp;Keys!$C$54&amp;$C2125</f>
        <v>OK|imports|crude oil</v>
      </c>
    </row>
    <row r="2126" spans="1:8" x14ac:dyDescent="0.25">
      <c r="A2126" t="s">
        <v>149</v>
      </c>
      <c r="B2126" t="s">
        <v>191</v>
      </c>
      <c r="C2126" t="s">
        <v>113</v>
      </c>
      <c r="D2126">
        <v>0</v>
      </c>
      <c r="E2126">
        <v>0</v>
      </c>
      <c r="F2126">
        <v>0</v>
      </c>
      <c r="G2126" s="10">
        <f t="shared" si="33"/>
        <v>0</v>
      </c>
      <c r="H2126" t="str">
        <f>$A2126&amp;Keys!$C$54&amp;$B2126&amp;Keys!$C$54&amp;$C2126</f>
        <v>OK|imports|heavy fuel oil</v>
      </c>
    </row>
    <row r="2127" spans="1:8" x14ac:dyDescent="0.25">
      <c r="A2127" t="s">
        <v>149</v>
      </c>
      <c r="B2127" t="s">
        <v>191</v>
      </c>
      <c r="C2127" t="s">
        <v>117</v>
      </c>
      <c r="D2127">
        <v>0</v>
      </c>
      <c r="E2127">
        <v>0</v>
      </c>
      <c r="F2127">
        <v>0</v>
      </c>
      <c r="G2127" s="10">
        <f t="shared" si="33"/>
        <v>0</v>
      </c>
      <c r="H2127" t="str">
        <f>$A2127&amp;Keys!$C$54&amp;$B2127&amp;Keys!$C$54&amp;$C2127</f>
        <v>OK|imports|LPG propane or butane</v>
      </c>
    </row>
    <row r="2128" spans="1:8" x14ac:dyDescent="0.25">
      <c r="A2128" t="s">
        <v>149</v>
      </c>
      <c r="B2128" t="s">
        <v>191</v>
      </c>
      <c r="C2128" t="s">
        <v>120</v>
      </c>
      <c r="D2128">
        <v>0</v>
      </c>
      <c r="E2128">
        <v>0</v>
      </c>
      <c r="F2128">
        <v>0</v>
      </c>
      <c r="G2128" s="10">
        <f t="shared" si="33"/>
        <v>0</v>
      </c>
      <c r="H2128" t="str">
        <f>$A2128&amp;Keys!$C$54&amp;$B2128&amp;Keys!$C$54&amp;$C2128</f>
        <v>OK|imports|municipal solid waste</v>
      </c>
    </row>
    <row r="2129" spans="1:8" x14ac:dyDescent="0.25">
      <c r="A2129" t="s">
        <v>149</v>
      </c>
      <c r="B2129" t="s">
        <v>191</v>
      </c>
      <c r="C2129" t="s">
        <v>123</v>
      </c>
      <c r="D2129">
        <v>0</v>
      </c>
      <c r="E2129">
        <v>0</v>
      </c>
      <c r="F2129">
        <v>0</v>
      </c>
      <c r="G2129" s="10">
        <f t="shared" si="33"/>
        <v>0</v>
      </c>
      <c r="H2129" t="str">
        <f>$A2129&amp;Keys!$C$54&amp;$B2129&amp;Keys!$C$54&amp;$C2129</f>
        <v>OK|imports|hydrogen</v>
      </c>
    </row>
    <row r="2130" spans="1:8" x14ac:dyDescent="0.25">
      <c r="A2130" t="s">
        <v>149</v>
      </c>
      <c r="B2130" t="s">
        <v>193</v>
      </c>
      <c r="C2130" t="s">
        <v>60</v>
      </c>
      <c r="D2130">
        <v>0</v>
      </c>
      <c r="E2130">
        <v>0</v>
      </c>
      <c r="F2130">
        <v>0</v>
      </c>
      <c r="G2130" s="10">
        <f t="shared" si="33"/>
        <v>0</v>
      </c>
      <c r="H2130" t="str">
        <f>$A2130&amp;Keys!$C$54&amp;$B2130&amp;Keys!$C$54&amp;$C2130</f>
        <v>OK|exports|electricity (not used in this variable)</v>
      </c>
    </row>
    <row r="2131" spans="1:8" x14ac:dyDescent="0.25">
      <c r="A2131" t="s">
        <v>149</v>
      </c>
      <c r="B2131" t="s">
        <v>193</v>
      </c>
      <c r="C2131" t="s">
        <v>64</v>
      </c>
      <c r="D2131">
        <v>0</v>
      </c>
      <c r="E2131">
        <v>0</v>
      </c>
      <c r="F2131">
        <v>0</v>
      </c>
      <c r="G2131" s="10">
        <f t="shared" si="33"/>
        <v>0</v>
      </c>
      <c r="H2131" t="str">
        <f>$A2131&amp;Keys!$C$54&amp;$B2131&amp;Keys!$C$54&amp;$C2131</f>
        <v>OK|exports|hard coal</v>
      </c>
    </row>
    <row r="2132" spans="1:8" x14ac:dyDescent="0.25">
      <c r="A2132" t="s">
        <v>149</v>
      </c>
      <c r="B2132" t="s">
        <v>193</v>
      </c>
      <c r="C2132" t="s">
        <v>68</v>
      </c>
      <c r="D2132">
        <v>2317560000000000</v>
      </c>
      <c r="E2132">
        <v>2317560000000000</v>
      </c>
      <c r="F2132">
        <v>2101260000000000</v>
      </c>
      <c r="G2132" s="10">
        <f t="shared" si="33"/>
        <v>2245460000000000</v>
      </c>
      <c r="H2132" t="str">
        <f>$A2132&amp;Keys!$C$54&amp;$B2132&amp;Keys!$C$54&amp;$C2132</f>
        <v>OK|exports|natural gas</v>
      </c>
    </row>
    <row r="2133" spans="1:8" x14ac:dyDescent="0.25">
      <c r="A2133" t="s">
        <v>149</v>
      </c>
      <c r="B2133" t="s">
        <v>193</v>
      </c>
      <c r="C2133" t="s">
        <v>71</v>
      </c>
      <c r="D2133">
        <v>0</v>
      </c>
      <c r="E2133">
        <v>0</v>
      </c>
      <c r="F2133">
        <v>0</v>
      </c>
      <c r="G2133" s="10">
        <f t="shared" si="33"/>
        <v>0</v>
      </c>
      <c r="H2133" t="str">
        <f>$A2133&amp;Keys!$C$54&amp;$B2133&amp;Keys!$C$54&amp;$C2133</f>
        <v>OK|exports|nuclear</v>
      </c>
    </row>
    <row r="2134" spans="1:8" x14ac:dyDescent="0.25">
      <c r="A2134" t="s">
        <v>149</v>
      </c>
      <c r="B2134" t="s">
        <v>193</v>
      </c>
      <c r="C2134" t="s">
        <v>74</v>
      </c>
      <c r="D2134">
        <v>0</v>
      </c>
      <c r="E2134">
        <v>0</v>
      </c>
      <c r="F2134">
        <v>0</v>
      </c>
      <c r="G2134" s="10">
        <f t="shared" si="33"/>
        <v>0</v>
      </c>
      <c r="H2134" t="str">
        <f>$A2134&amp;Keys!$C$54&amp;$B2134&amp;Keys!$C$54&amp;$C2134</f>
        <v>OK|exports|hydro (is not a fuel)</v>
      </c>
    </row>
    <row r="2135" spans="1:8" x14ac:dyDescent="0.25">
      <c r="A2135" t="s">
        <v>149</v>
      </c>
      <c r="B2135" t="s">
        <v>193</v>
      </c>
      <c r="C2135" t="s">
        <v>77</v>
      </c>
      <c r="D2135">
        <v>0</v>
      </c>
      <c r="E2135">
        <v>0</v>
      </c>
      <c r="F2135">
        <v>0</v>
      </c>
      <c r="G2135" s="10">
        <f t="shared" si="33"/>
        <v>0</v>
      </c>
      <c r="H2135" t="str">
        <f>$A2135&amp;Keys!$C$54&amp;$B2135&amp;Keys!$C$54&amp;$C2135</f>
        <v>OK|exports|wind (is not a fuel)</v>
      </c>
    </row>
    <row r="2136" spans="1:8" x14ac:dyDescent="0.25">
      <c r="A2136" t="s">
        <v>149</v>
      </c>
      <c r="B2136" t="s">
        <v>193</v>
      </c>
      <c r="C2136" t="s">
        <v>80</v>
      </c>
      <c r="D2136">
        <v>0</v>
      </c>
      <c r="E2136">
        <v>0</v>
      </c>
      <c r="F2136">
        <v>0</v>
      </c>
      <c r="G2136" s="10">
        <f t="shared" si="33"/>
        <v>0</v>
      </c>
      <c r="H2136" t="str">
        <f>$A2136&amp;Keys!$C$54&amp;$B2136&amp;Keys!$C$54&amp;$C2136</f>
        <v>OK|exports|solar (is not a fuel)</v>
      </c>
    </row>
    <row r="2137" spans="1:8" x14ac:dyDescent="0.25">
      <c r="A2137" t="s">
        <v>149</v>
      </c>
      <c r="B2137" t="s">
        <v>193</v>
      </c>
      <c r="C2137" t="s">
        <v>82</v>
      </c>
      <c r="D2137">
        <v>0</v>
      </c>
      <c r="E2137">
        <v>0</v>
      </c>
      <c r="F2137">
        <v>0</v>
      </c>
      <c r="G2137" s="10">
        <f t="shared" si="33"/>
        <v>0</v>
      </c>
      <c r="H2137" t="str">
        <f>$A2137&amp;Keys!$C$54&amp;$B2137&amp;Keys!$C$54&amp;$C2137</f>
        <v>OK|exports|biomass</v>
      </c>
    </row>
    <row r="2138" spans="1:8" x14ac:dyDescent="0.25">
      <c r="A2138" t="s">
        <v>149</v>
      </c>
      <c r="B2138" t="s">
        <v>193</v>
      </c>
      <c r="C2138" t="s">
        <v>85</v>
      </c>
      <c r="D2138">
        <v>0</v>
      </c>
      <c r="E2138">
        <v>320530000000000</v>
      </c>
      <c r="F2138">
        <v>310975000000000</v>
      </c>
      <c r="G2138" s="10">
        <f t="shared" si="33"/>
        <v>210501666666666.66</v>
      </c>
      <c r="H2138" t="str">
        <f>$A2138&amp;Keys!$C$54&amp;$B2138&amp;Keys!$C$54&amp;$C2138</f>
        <v>OK|exports|petroleum gasoline</v>
      </c>
    </row>
    <row r="2139" spans="1:8" x14ac:dyDescent="0.25">
      <c r="A2139" t="s">
        <v>149</v>
      </c>
      <c r="B2139" t="s">
        <v>193</v>
      </c>
      <c r="C2139" t="s">
        <v>88</v>
      </c>
      <c r="D2139">
        <v>4422120000000</v>
      </c>
      <c r="E2139">
        <v>130956000000000</v>
      </c>
      <c r="F2139">
        <v>122228000000000</v>
      </c>
      <c r="G2139" s="10">
        <f t="shared" si="33"/>
        <v>85868706666666.672</v>
      </c>
      <c r="H2139" t="str">
        <f>$A2139&amp;Keys!$C$54&amp;$B2139&amp;Keys!$C$54&amp;$C2139</f>
        <v>OK|exports|petroleum diesel</v>
      </c>
    </row>
    <row r="2140" spans="1:8" x14ac:dyDescent="0.25">
      <c r="A2140" t="s">
        <v>149</v>
      </c>
      <c r="B2140" t="s">
        <v>193</v>
      </c>
      <c r="C2140" t="s">
        <v>91</v>
      </c>
      <c r="D2140">
        <v>0</v>
      </c>
      <c r="E2140">
        <v>0</v>
      </c>
      <c r="F2140">
        <v>0</v>
      </c>
      <c r="G2140" s="10">
        <f t="shared" si="33"/>
        <v>0</v>
      </c>
      <c r="H2140" t="str">
        <f>$A2140&amp;Keys!$C$54&amp;$B2140&amp;Keys!$C$54&amp;$C2140</f>
        <v>OK|exports|biofuel gasoline</v>
      </c>
    </row>
    <row r="2141" spans="1:8" x14ac:dyDescent="0.25">
      <c r="A2141" t="s">
        <v>149</v>
      </c>
      <c r="B2141" t="s">
        <v>193</v>
      </c>
      <c r="C2141" t="s">
        <v>94</v>
      </c>
      <c r="D2141">
        <v>0</v>
      </c>
      <c r="E2141">
        <v>9397930000000</v>
      </c>
      <c r="F2141">
        <v>11835200000000</v>
      </c>
      <c r="G2141" s="10">
        <f t="shared" si="33"/>
        <v>7077710000000</v>
      </c>
      <c r="H2141" t="str">
        <f>$A2141&amp;Keys!$C$54&amp;$B2141&amp;Keys!$C$54&amp;$C2141</f>
        <v>OK|exports|biofuel diesel</v>
      </c>
    </row>
    <row r="2142" spans="1:8" x14ac:dyDescent="0.25">
      <c r="A2142" t="s">
        <v>149</v>
      </c>
      <c r="B2142" t="s">
        <v>193</v>
      </c>
      <c r="C2142" t="s">
        <v>97</v>
      </c>
      <c r="D2142">
        <v>700424000000</v>
      </c>
      <c r="E2142">
        <v>60911500000000</v>
      </c>
      <c r="F2142">
        <v>58011000000000</v>
      </c>
      <c r="G2142" s="10">
        <f t="shared" si="33"/>
        <v>39874308000000</v>
      </c>
      <c r="H2142" t="str">
        <f>$A2142&amp;Keys!$C$54&amp;$B2142&amp;Keys!$C$54&amp;$C2142</f>
        <v>OK|exports|jet fuel or kerosene</v>
      </c>
    </row>
    <row r="2143" spans="1:8" x14ac:dyDescent="0.25">
      <c r="A2143" t="s">
        <v>149</v>
      </c>
      <c r="B2143" t="s">
        <v>193</v>
      </c>
      <c r="C2143" t="s">
        <v>100</v>
      </c>
      <c r="D2143">
        <v>0</v>
      </c>
      <c r="E2143">
        <v>0</v>
      </c>
      <c r="F2143">
        <v>0</v>
      </c>
      <c r="G2143" s="10">
        <f t="shared" si="33"/>
        <v>0</v>
      </c>
      <c r="H2143" t="str">
        <f>$A2143&amp;Keys!$C$54&amp;$B2143&amp;Keys!$C$54&amp;$C2143</f>
        <v>OK|exports|heat (not used in this variable)</v>
      </c>
    </row>
    <row r="2144" spans="1:8" x14ac:dyDescent="0.25">
      <c r="A2144" t="s">
        <v>149</v>
      </c>
      <c r="B2144" t="s">
        <v>193</v>
      </c>
      <c r="C2144" t="s">
        <v>103</v>
      </c>
      <c r="D2144">
        <v>0</v>
      </c>
      <c r="E2144">
        <v>0</v>
      </c>
      <c r="F2144">
        <v>0</v>
      </c>
      <c r="G2144" s="10">
        <f t="shared" si="33"/>
        <v>0</v>
      </c>
      <c r="H2144" t="str">
        <f>$A2144&amp;Keys!$C$54&amp;$B2144&amp;Keys!$C$54&amp;$C2144</f>
        <v>OK|exports|geothermal (is not a fuel)</v>
      </c>
    </row>
    <row r="2145" spans="1:8" x14ac:dyDescent="0.25">
      <c r="A2145" t="s">
        <v>149</v>
      </c>
      <c r="B2145" t="s">
        <v>193</v>
      </c>
      <c r="C2145" t="s">
        <v>106</v>
      </c>
      <c r="D2145">
        <v>0</v>
      </c>
      <c r="E2145">
        <v>0</v>
      </c>
      <c r="F2145">
        <v>0</v>
      </c>
      <c r="G2145" s="10">
        <f t="shared" si="33"/>
        <v>0</v>
      </c>
      <c r="H2145" t="str">
        <f>$A2145&amp;Keys!$C$54&amp;$B2145&amp;Keys!$C$54&amp;$C2145</f>
        <v>OK|exports|lignite</v>
      </c>
    </row>
    <row r="2146" spans="1:8" x14ac:dyDescent="0.25">
      <c r="A2146" t="s">
        <v>149</v>
      </c>
      <c r="B2146" t="s">
        <v>193</v>
      </c>
      <c r="C2146" t="s">
        <v>109</v>
      </c>
      <c r="D2146">
        <v>0</v>
      </c>
      <c r="E2146">
        <v>0</v>
      </c>
      <c r="F2146">
        <v>0</v>
      </c>
      <c r="G2146" s="10">
        <f t="shared" si="33"/>
        <v>0</v>
      </c>
      <c r="H2146" t="str">
        <f>$A2146&amp;Keys!$C$54&amp;$B2146&amp;Keys!$C$54&amp;$C2146</f>
        <v>OK|exports|crude oil</v>
      </c>
    </row>
    <row r="2147" spans="1:8" x14ac:dyDescent="0.25">
      <c r="A2147" t="s">
        <v>149</v>
      </c>
      <c r="B2147" t="s">
        <v>193</v>
      </c>
      <c r="C2147" t="s">
        <v>113</v>
      </c>
      <c r="D2147">
        <v>504954000000</v>
      </c>
      <c r="E2147">
        <v>9173320000000</v>
      </c>
      <c r="F2147">
        <v>8429650000000</v>
      </c>
      <c r="G2147" s="10">
        <f t="shared" si="33"/>
        <v>6035974666666.667</v>
      </c>
      <c r="H2147" t="str">
        <f>$A2147&amp;Keys!$C$54&amp;$B2147&amp;Keys!$C$54&amp;$C2147</f>
        <v>OK|exports|heavy fuel oil</v>
      </c>
    </row>
    <row r="2148" spans="1:8" x14ac:dyDescent="0.25">
      <c r="A2148" t="s">
        <v>149</v>
      </c>
      <c r="B2148" t="s">
        <v>193</v>
      </c>
      <c r="C2148" t="s">
        <v>117</v>
      </c>
      <c r="D2148">
        <v>0</v>
      </c>
      <c r="E2148">
        <v>306470000000000</v>
      </c>
      <c r="F2148">
        <v>313246000000000</v>
      </c>
      <c r="G2148" s="10">
        <f t="shared" si="33"/>
        <v>206572000000000</v>
      </c>
      <c r="H2148" t="str">
        <f>$A2148&amp;Keys!$C$54&amp;$B2148&amp;Keys!$C$54&amp;$C2148</f>
        <v>OK|exports|LPG propane or butane</v>
      </c>
    </row>
    <row r="2149" spans="1:8" x14ac:dyDescent="0.25">
      <c r="A2149" t="s">
        <v>149</v>
      </c>
      <c r="B2149" t="s">
        <v>193</v>
      </c>
      <c r="C2149" t="s">
        <v>120</v>
      </c>
      <c r="D2149">
        <v>0</v>
      </c>
      <c r="E2149">
        <v>0</v>
      </c>
      <c r="F2149">
        <v>0</v>
      </c>
      <c r="G2149" s="10">
        <f t="shared" si="33"/>
        <v>0</v>
      </c>
      <c r="H2149" t="str">
        <f>$A2149&amp;Keys!$C$54&amp;$B2149&amp;Keys!$C$54&amp;$C2149</f>
        <v>OK|exports|municipal solid waste</v>
      </c>
    </row>
    <row r="2150" spans="1:8" x14ac:dyDescent="0.25">
      <c r="A2150" t="s">
        <v>149</v>
      </c>
      <c r="B2150" t="s">
        <v>193</v>
      </c>
      <c r="C2150" t="s">
        <v>123</v>
      </c>
      <c r="D2150">
        <v>0</v>
      </c>
      <c r="E2150">
        <v>2799750000000</v>
      </c>
      <c r="F2150">
        <v>2429360000000</v>
      </c>
      <c r="G2150" s="10">
        <f t="shared" si="33"/>
        <v>1743036666666.6667</v>
      </c>
      <c r="H2150" t="str">
        <f>$A2150&amp;Keys!$C$54&amp;$B2150&amp;Keys!$C$54&amp;$C2150</f>
        <v>OK|exports|hydrogen</v>
      </c>
    </row>
    <row r="2151" spans="1:8" x14ac:dyDescent="0.25">
      <c r="A2151" t="s">
        <v>151</v>
      </c>
      <c r="B2151" t="s">
        <v>188</v>
      </c>
      <c r="C2151" t="s">
        <v>60</v>
      </c>
      <c r="D2151">
        <v>0</v>
      </c>
      <c r="E2151">
        <v>0</v>
      </c>
      <c r="F2151">
        <v>0</v>
      </c>
      <c r="G2151" s="10">
        <f t="shared" si="33"/>
        <v>0</v>
      </c>
      <c r="H2151" t="str">
        <f>$A2151&amp;Keys!$C$54&amp;$B2151&amp;Keys!$C$54&amp;$C2151</f>
        <v>OR|production|electricity (not used in this variable)</v>
      </c>
    </row>
    <row r="2152" spans="1:8" x14ac:dyDescent="0.25">
      <c r="A2152" t="s">
        <v>151</v>
      </c>
      <c r="B2152" t="s">
        <v>188</v>
      </c>
      <c r="C2152" t="s">
        <v>64</v>
      </c>
      <c r="D2152">
        <v>0</v>
      </c>
      <c r="E2152">
        <v>0</v>
      </c>
      <c r="F2152">
        <v>0</v>
      </c>
      <c r="G2152" s="10">
        <f t="shared" si="33"/>
        <v>0</v>
      </c>
      <c r="H2152" t="str">
        <f>$A2152&amp;Keys!$C$54&amp;$B2152&amp;Keys!$C$54&amp;$C2152</f>
        <v>OR|production|hard coal</v>
      </c>
    </row>
    <row r="2153" spans="1:8" x14ac:dyDescent="0.25">
      <c r="A2153" t="s">
        <v>151</v>
      </c>
      <c r="B2153" t="s">
        <v>188</v>
      </c>
      <c r="C2153" t="s">
        <v>68</v>
      </c>
      <c r="D2153">
        <v>87108000000</v>
      </c>
      <c r="E2153">
        <v>87108000000</v>
      </c>
      <c r="F2153">
        <v>80965400000</v>
      </c>
      <c r="G2153" s="10">
        <f t="shared" si="33"/>
        <v>85060466666.666672</v>
      </c>
      <c r="H2153" t="str">
        <f>$A2153&amp;Keys!$C$54&amp;$B2153&amp;Keys!$C$54&amp;$C2153</f>
        <v>OR|production|natural gas</v>
      </c>
    </row>
    <row r="2154" spans="1:8" x14ac:dyDescent="0.25">
      <c r="A2154" t="s">
        <v>151</v>
      </c>
      <c r="B2154" t="s">
        <v>188</v>
      </c>
      <c r="C2154" t="s">
        <v>71</v>
      </c>
      <c r="D2154">
        <v>0</v>
      </c>
      <c r="E2154">
        <v>0</v>
      </c>
      <c r="F2154">
        <v>0</v>
      </c>
      <c r="G2154" s="10">
        <f t="shared" si="33"/>
        <v>0</v>
      </c>
      <c r="H2154" t="str">
        <f>$A2154&amp;Keys!$C$54&amp;$B2154&amp;Keys!$C$54&amp;$C2154</f>
        <v>OR|production|nuclear</v>
      </c>
    </row>
    <row r="2155" spans="1:8" x14ac:dyDescent="0.25">
      <c r="A2155" t="s">
        <v>151</v>
      </c>
      <c r="B2155" t="s">
        <v>188</v>
      </c>
      <c r="C2155" t="s">
        <v>74</v>
      </c>
      <c r="D2155">
        <v>0</v>
      </c>
      <c r="E2155">
        <v>0</v>
      </c>
      <c r="F2155">
        <v>0</v>
      </c>
      <c r="G2155" s="10">
        <f t="shared" si="33"/>
        <v>0</v>
      </c>
      <c r="H2155" t="str">
        <f>$A2155&amp;Keys!$C$54&amp;$B2155&amp;Keys!$C$54&amp;$C2155</f>
        <v>OR|production|hydro (is not a fuel)</v>
      </c>
    </row>
    <row r="2156" spans="1:8" x14ac:dyDescent="0.25">
      <c r="A2156" t="s">
        <v>151</v>
      </c>
      <c r="B2156" t="s">
        <v>188</v>
      </c>
      <c r="C2156" t="s">
        <v>77</v>
      </c>
      <c r="D2156">
        <v>0</v>
      </c>
      <c r="E2156">
        <v>0</v>
      </c>
      <c r="F2156">
        <v>0</v>
      </c>
      <c r="G2156" s="10">
        <f t="shared" si="33"/>
        <v>0</v>
      </c>
      <c r="H2156" t="str">
        <f>$A2156&amp;Keys!$C$54&amp;$B2156&amp;Keys!$C$54&amp;$C2156</f>
        <v>OR|production|wind (is not a fuel)</v>
      </c>
    </row>
    <row r="2157" spans="1:8" x14ac:dyDescent="0.25">
      <c r="A2157" t="s">
        <v>151</v>
      </c>
      <c r="B2157" t="s">
        <v>188</v>
      </c>
      <c r="C2157" t="s">
        <v>80</v>
      </c>
      <c r="D2157">
        <v>0</v>
      </c>
      <c r="E2157">
        <v>0</v>
      </c>
      <c r="F2157">
        <v>0</v>
      </c>
      <c r="G2157" s="10">
        <f t="shared" si="33"/>
        <v>0</v>
      </c>
      <c r="H2157" t="str">
        <f>$A2157&amp;Keys!$C$54&amp;$B2157&amp;Keys!$C$54&amp;$C2157</f>
        <v>OR|production|solar (is not a fuel)</v>
      </c>
    </row>
    <row r="2158" spans="1:8" x14ac:dyDescent="0.25">
      <c r="A2158" t="s">
        <v>151</v>
      </c>
      <c r="B2158" t="s">
        <v>188</v>
      </c>
      <c r="C2158" t="s">
        <v>82</v>
      </c>
      <c r="D2158">
        <v>3045440000000</v>
      </c>
      <c r="E2158">
        <v>3045440000000</v>
      </c>
      <c r="F2158">
        <v>3045440000000</v>
      </c>
      <c r="G2158" s="10">
        <f t="shared" si="33"/>
        <v>3045440000000</v>
      </c>
      <c r="H2158" t="str">
        <f>$A2158&amp;Keys!$C$54&amp;$B2158&amp;Keys!$C$54&amp;$C2158</f>
        <v>OR|production|biomass</v>
      </c>
    </row>
    <row r="2159" spans="1:8" x14ac:dyDescent="0.25">
      <c r="A2159" t="s">
        <v>151</v>
      </c>
      <c r="B2159" t="s">
        <v>188</v>
      </c>
      <c r="C2159" t="s">
        <v>85</v>
      </c>
      <c r="D2159">
        <v>0</v>
      </c>
      <c r="E2159">
        <v>0</v>
      </c>
      <c r="F2159">
        <v>0</v>
      </c>
      <c r="G2159" s="10">
        <f t="shared" si="33"/>
        <v>0</v>
      </c>
      <c r="H2159" t="str">
        <f>$A2159&amp;Keys!$C$54&amp;$B2159&amp;Keys!$C$54&amp;$C2159</f>
        <v>OR|production|petroleum gasoline</v>
      </c>
    </row>
    <row r="2160" spans="1:8" x14ac:dyDescent="0.25">
      <c r="A2160" t="s">
        <v>151</v>
      </c>
      <c r="B2160" t="s">
        <v>188</v>
      </c>
      <c r="C2160" t="s">
        <v>88</v>
      </c>
      <c r="D2160">
        <v>0</v>
      </c>
      <c r="E2160">
        <v>0</v>
      </c>
      <c r="F2160">
        <v>0</v>
      </c>
      <c r="G2160" s="10">
        <f t="shared" si="33"/>
        <v>0</v>
      </c>
      <c r="H2160" t="str">
        <f>$A2160&amp;Keys!$C$54&amp;$B2160&amp;Keys!$C$54&amp;$C2160</f>
        <v>OR|production|petroleum diesel</v>
      </c>
    </row>
    <row r="2161" spans="1:8" x14ac:dyDescent="0.25">
      <c r="A2161" t="s">
        <v>151</v>
      </c>
      <c r="B2161" t="s">
        <v>188</v>
      </c>
      <c r="C2161" t="s">
        <v>91</v>
      </c>
      <c r="D2161">
        <v>2245600000000</v>
      </c>
      <c r="E2161">
        <v>2245600000000</v>
      </c>
      <c r="F2161">
        <v>2251920000000</v>
      </c>
      <c r="G2161" s="10">
        <f t="shared" si="33"/>
        <v>2247706666666.6665</v>
      </c>
      <c r="H2161" t="str">
        <f>$A2161&amp;Keys!$C$54&amp;$B2161&amp;Keys!$C$54&amp;$C2161</f>
        <v>OR|production|biofuel gasoline</v>
      </c>
    </row>
    <row r="2162" spans="1:8" x14ac:dyDescent="0.25">
      <c r="A2162" t="s">
        <v>151</v>
      </c>
      <c r="B2162" t="s">
        <v>188</v>
      </c>
      <c r="C2162" t="s">
        <v>94</v>
      </c>
      <c r="D2162">
        <v>291328000000</v>
      </c>
      <c r="E2162">
        <v>291328000000</v>
      </c>
      <c r="F2162">
        <v>346058000000</v>
      </c>
      <c r="G2162" s="10">
        <f t="shared" si="33"/>
        <v>309571333333.33331</v>
      </c>
      <c r="H2162" t="str">
        <f>$A2162&amp;Keys!$C$54&amp;$B2162&amp;Keys!$C$54&amp;$C2162</f>
        <v>OR|production|biofuel diesel</v>
      </c>
    </row>
    <row r="2163" spans="1:8" x14ac:dyDescent="0.25">
      <c r="A2163" t="s">
        <v>151</v>
      </c>
      <c r="B2163" t="s">
        <v>188</v>
      </c>
      <c r="C2163" t="s">
        <v>97</v>
      </c>
      <c r="D2163">
        <v>0</v>
      </c>
      <c r="E2163">
        <v>0</v>
      </c>
      <c r="F2163">
        <v>0</v>
      </c>
      <c r="G2163" s="10">
        <f t="shared" si="33"/>
        <v>0</v>
      </c>
      <c r="H2163" t="str">
        <f>$A2163&amp;Keys!$C$54&amp;$B2163&amp;Keys!$C$54&amp;$C2163</f>
        <v>OR|production|jet fuel or kerosene</v>
      </c>
    </row>
    <row r="2164" spans="1:8" x14ac:dyDescent="0.25">
      <c r="A2164" t="s">
        <v>151</v>
      </c>
      <c r="B2164" t="s">
        <v>188</v>
      </c>
      <c r="C2164" t="s">
        <v>100</v>
      </c>
      <c r="D2164">
        <v>0</v>
      </c>
      <c r="E2164">
        <v>0</v>
      </c>
      <c r="F2164">
        <v>0</v>
      </c>
      <c r="G2164" s="10">
        <f t="shared" si="33"/>
        <v>0</v>
      </c>
      <c r="H2164" t="str">
        <f>$A2164&amp;Keys!$C$54&amp;$B2164&amp;Keys!$C$54&amp;$C2164</f>
        <v>OR|production|heat (not used in this variable)</v>
      </c>
    </row>
    <row r="2165" spans="1:8" x14ac:dyDescent="0.25">
      <c r="A2165" t="s">
        <v>151</v>
      </c>
      <c r="B2165" t="s">
        <v>188</v>
      </c>
      <c r="C2165" t="s">
        <v>103</v>
      </c>
      <c r="D2165">
        <v>0</v>
      </c>
      <c r="E2165">
        <v>0</v>
      </c>
      <c r="F2165">
        <v>0</v>
      </c>
      <c r="G2165" s="10">
        <f t="shared" si="33"/>
        <v>0</v>
      </c>
      <c r="H2165" t="str">
        <f>$A2165&amp;Keys!$C$54&amp;$B2165&amp;Keys!$C$54&amp;$C2165</f>
        <v>OR|production|geothermal (is not a fuel)</v>
      </c>
    </row>
    <row r="2166" spans="1:8" x14ac:dyDescent="0.25">
      <c r="A2166" t="s">
        <v>151</v>
      </c>
      <c r="B2166" t="s">
        <v>188</v>
      </c>
      <c r="C2166" t="s">
        <v>106</v>
      </c>
      <c r="D2166">
        <v>0</v>
      </c>
      <c r="E2166">
        <v>0</v>
      </c>
      <c r="F2166">
        <v>0</v>
      </c>
      <c r="G2166" s="10">
        <f t="shared" si="33"/>
        <v>0</v>
      </c>
      <c r="H2166" t="str">
        <f>$A2166&amp;Keys!$C$54&amp;$B2166&amp;Keys!$C$54&amp;$C2166</f>
        <v>OR|production|lignite</v>
      </c>
    </row>
    <row r="2167" spans="1:8" x14ac:dyDescent="0.25">
      <c r="A2167" t="s">
        <v>151</v>
      </c>
      <c r="B2167" t="s">
        <v>188</v>
      </c>
      <c r="C2167" t="s">
        <v>109</v>
      </c>
      <c r="D2167">
        <v>0</v>
      </c>
      <c r="E2167">
        <v>0</v>
      </c>
      <c r="F2167">
        <v>0</v>
      </c>
      <c r="G2167" s="10">
        <f t="shared" si="33"/>
        <v>0</v>
      </c>
      <c r="H2167" t="str">
        <f>$A2167&amp;Keys!$C$54&amp;$B2167&amp;Keys!$C$54&amp;$C2167</f>
        <v>OR|production|crude oil</v>
      </c>
    </row>
    <row r="2168" spans="1:8" x14ac:dyDescent="0.25">
      <c r="A2168" t="s">
        <v>151</v>
      </c>
      <c r="B2168" t="s">
        <v>188</v>
      </c>
      <c r="C2168" t="s">
        <v>113</v>
      </c>
      <c r="D2168">
        <v>0</v>
      </c>
      <c r="E2168">
        <v>0</v>
      </c>
      <c r="F2168">
        <v>0</v>
      </c>
      <c r="G2168" s="10">
        <f t="shared" si="33"/>
        <v>0</v>
      </c>
      <c r="H2168" t="str">
        <f>$A2168&amp;Keys!$C$54&amp;$B2168&amp;Keys!$C$54&amp;$C2168</f>
        <v>OR|production|heavy fuel oil</v>
      </c>
    </row>
    <row r="2169" spans="1:8" x14ac:dyDescent="0.25">
      <c r="A2169" t="s">
        <v>151</v>
      </c>
      <c r="B2169" t="s">
        <v>188</v>
      </c>
      <c r="C2169" t="s">
        <v>117</v>
      </c>
      <c r="D2169">
        <v>10648900000</v>
      </c>
      <c r="E2169">
        <v>10648900000</v>
      </c>
      <c r="F2169">
        <v>10875000000</v>
      </c>
      <c r="G2169" s="10">
        <f t="shared" si="33"/>
        <v>10724266666.666666</v>
      </c>
      <c r="H2169" t="str">
        <f>$A2169&amp;Keys!$C$54&amp;$B2169&amp;Keys!$C$54&amp;$C2169</f>
        <v>OR|production|LPG propane or butane</v>
      </c>
    </row>
    <row r="2170" spans="1:8" x14ac:dyDescent="0.25">
      <c r="A2170" t="s">
        <v>151</v>
      </c>
      <c r="B2170" t="s">
        <v>188</v>
      </c>
      <c r="C2170" t="s">
        <v>120</v>
      </c>
      <c r="D2170">
        <v>0</v>
      </c>
      <c r="E2170">
        <v>0</v>
      </c>
      <c r="F2170">
        <v>0</v>
      </c>
      <c r="G2170" s="10">
        <f t="shared" si="33"/>
        <v>0</v>
      </c>
      <c r="H2170" t="str">
        <f>$A2170&amp;Keys!$C$54&amp;$B2170&amp;Keys!$C$54&amp;$C2170</f>
        <v>OR|production|municipal solid waste</v>
      </c>
    </row>
    <row r="2171" spans="1:8" x14ac:dyDescent="0.25">
      <c r="A2171" t="s">
        <v>151</v>
      </c>
      <c r="B2171" t="s">
        <v>188</v>
      </c>
      <c r="C2171" t="s">
        <v>123</v>
      </c>
      <c r="D2171">
        <v>0</v>
      </c>
      <c r="E2171">
        <v>0</v>
      </c>
      <c r="F2171">
        <v>0</v>
      </c>
      <c r="G2171" s="10">
        <f t="shared" si="33"/>
        <v>0</v>
      </c>
      <c r="H2171" t="str">
        <f>$A2171&amp;Keys!$C$54&amp;$B2171&amp;Keys!$C$54&amp;$C2171</f>
        <v>OR|production|hydrogen</v>
      </c>
    </row>
    <row r="2172" spans="1:8" x14ac:dyDescent="0.25">
      <c r="A2172" t="s">
        <v>151</v>
      </c>
      <c r="B2172" t="s">
        <v>191</v>
      </c>
      <c r="C2172" t="s">
        <v>60</v>
      </c>
      <c r="D2172">
        <v>0</v>
      </c>
      <c r="E2172">
        <v>0</v>
      </c>
      <c r="F2172">
        <v>0</v>
      </c>
      <c r="G2172" s="10">
        <f t="shared" si="33"/>
        <v>0</v>
      </c>
      <c r="H2172" t="str">
        <f>$A2172&amp;Keys!$C$54&amp;$B2172&amp;Keys!$C$54&amp;$C2172</f>
        <v>OR|imports|electricity (not used in this variable)</v>
      </c>
    </row>
    <row r="2173" spans="1:8" x14ac:dyDescent="0.25">
      <c r="A2173" t="s">
        <v>151</v>
      </c>
      <c r="B2173" t="s">
        <v>191</v>
      </c>
      <c r="C2173" t="s">
        <v>64</v>
      </c>
      <c r="D2173">
        <v>1107000000</v>
      </c>
      <c r="E2173">
        <v>108000000000</v>
      </c>
      <c r="F2173">
        <v>108000000000</v>
      </c>
      <c r="G2173" s="10">
        <f t="shared" si="33"/>
        <v>72369000000</v>
      </c>
      <c r="H2173" t="str">
        <f>$A2173&amp;Keys!$C$54&amp;$B2173&amp;Keys!$C$54&amp;$C2173</f>
        <v>OR|imports|hard coal</v>
      </c>
    </row>
    <row r="2174" spans="1:8" x14ac:dyDescent="0.25">
      <c r="A2174" t="s">
        <v>151</v>
      </c>
      <c r="B2174" t="s">
        <v>191</v>
      </c>
      <c r="C2174" t="s">
        <v>68</v>
      </c>
      <c r="D2174">
        <v>1086560000000000</v>
      </c>
      <c r="E2174">
        <v>1125410000000000</v>
      </c>
      <c r="F2174">
        <v>1039360000000000</v>
      </c>
      <c r="G2174" s="10">
        <f t="shared" si="33"/>
        <v>1083776666666666.6</v>
      </c>
      <c r="H2174" t="str">
        <f>$A2174&amp;Keys!$C$54&amp;$B2174&amp;Keys!$C$54&amp;$C2174</f>
        <v>OR|imports|natural gas</v>
      </c>
    </row>
    <row r="2175" spans="1:8" x14ac:dyDescent="0.25">
      <c r="A2175" t="s">
        <v>151</v>
      </c>
      <c r="B2175" t="s">
        <v>191</v>
      </c>
      <c r="C2175" t="s">
        <v>71</v>
      </c>
      <c r="D2175">
        <v>0</v>
      </c>
      <c r="E2175">
        <v>0</v>
      </c>
      <c r="F2175">
        <v>0</v>
      </c>
      <c r="G2175" s="10">
        <f t="shared" si="33"/>
        <v>0</v>
      </c>
      <c r="H2175" t="str">
        <f>$A2175&amp;Keys!$C$54&amp;$B2175&amp;Keys!$C$54&amp;$C2175</f>
        <v>OR|imports|nuclear</v>
      </c>
    </row>
    <row r="2176" spans="1:8" x14ac:dyDescent="0.25">
      <c r="A2176" t="s">
        <v>151</v>
      </c>
      <c r="B2176" t="s">
        <v>191</v>
      </c>
      <c r="C2176" t="s">
        <v>74</v>
      </c>
      <c r="D2176">
        <v>0</v>
      </c>
      <c r="E2176">
        <v>0</v>
      </c>
      <c r="F2176">
        <v>0</v>
      </c>
      <c r="G2176" s="10">
        <f t="shared" si="33"/>
        <v>0</v>
      </c>
      <c r="H2176" t="str">
        <f>$A2176&amp;Keys!$C$54&amp;$B2176&amp;Keys!$C$54&amp;$C2176</f>
        <v>OR|imports|hydro (is not a fuel)</v>
      </c>
    </row>
    <row r="2177" spans="1:8" x14ac:dyDescent="0.25">
      <c r="A2177" t="s">
        <v>151</v>
      </c>
      <c r="B2177" t="s">
        <v>191</v>
      </c>
      <c r="C2177" t="s">
        <v>77</v>
      </c>
      <c r="D2177">
        <v>0</v>
      </c>
      <c r="E2177">
        <v>0</v>
      </c>
      <c r="F2177">
        <v>0</v>
      </c>
      <c r="G2177" s="10">
        <f t="shared" si="33"/>
        <v>0</v>
      </c>
      <c r="H2177" t="str">
        <f>$A2177&amp;Keys!$C$54&amp;$B2177&amp;Keys!$C$54&amp;$C2177</f>
        <v>OR|imports|wind (is not a fuel)</v>
      </c>
    </row>
    <row r="2178" spans="1:8" x14ac:dyDescent="0.25">
      <c r="A2178" t="s">
        <v>151</v>
      </c>
      <c r="B2178" t="s">
        <v>191</v>
      </c>
      <c r="C2178" t="s">
        <v>80</v>
      </c>
      <c r="D2178">
        <v>0</v>
      </c>
      <c r="E2178">
        <v>0</v>
      </c>
      <c r="F2178">
        <v>0</v>
      </c>
      <c r="G2178" s="10">
        <f t="shared" si="33"/>
        <v>0</v>
      </c>
      <c r="H2178" t="str">
        <f>$A2178&amp;Keys!$C$54&amp;$B2178&amp;Keys!$C$54&amp;$C2178</f>
        <v>OR|imports|solar (is not a fuel)</v>
      </c>
    </row>
    <row r="2179" spans="1:8" x14ac:dyDescent="0.25">
      <c r="A2179" t="s">
        <v>151</v>
      </c>
      <c r="B2179" t="s">
        <v>191</v>
      </c>
      <c r="C2179" t="s">
        <v>82</v>
      </c>
      <c r="D2179">
        <v>0</v>
      </c>
      <c r="E2179">
        <v>60127100000000</v>
      </c>
      <c r="F2179">
        <v>57188800000000</v>
      </c>
      <c r="G2179" s="10">
        <f t="shared" si="33"/>
        <v>39105300000000</v>
      </c>
      <c r="H2179" t="str">
        <f>$A2179&amp;Keys!$C$54&amp;$B2179&amp;Keys!$C$54&amp;$C2179</f>
        <v>OR|imports|biomass</v>
      </c>
    </row>
    <row r="2180" spans="1:8" x14ac:dyDescent="0.25">
      <c r="A2180" t="s">
        <v>151</v>
      </c>
      <c r="B2180" t="s">
        <v>191</v>
      </c>
      <c r="C2180" t="s">
        <v>85</v>
      </c>
      <c r="D2180">
        <v>0</v>
      </c>
      <c r="E2180">
        <v>140716000000000</v>
      </c>
      <c r="F2180">
        <v>139519000000000</v>
      </c>
      <c r="G2180" s="10">
        <f t="shared" si="33"/>
        <v>93411666666666.672</v>
      </c>
      <c r="H2180" t="str">
        <f>$A2180&amp;Keys!$C$54&amp;$B2180&amp;Keys!$C$54&amp;$C2180</f>
        <v>OR|imports|petroleum gasoline</v>
      </c>
    </row>
    <row r="2181" spans="1:8" x14ac:dyDescent="0.25">
      <c r="A2181" t="s">
        <v>151</v>
      </c>
      <c r="B2181" t="s">
        <v>191</v>
      </c>
      <c r="C2181" t="s">
        <v>88</v>
      </c>
      <c r="D2181">
        <v>0</v>
      </c>
      <c r="E2181">
        <v>99311800000000</v>
      </c>
      <c r="F2181">
        <v>98489300000000</v>
      </c>
      <c r="G2181" s="10">
        <f t="shared" si="33"/>
        <v>65933700000000</v>
      </c>
      <c r="H2181" t="str">
        <f>$A2181&amp;Keys!$C$54&amp;$B2181&amp;Keys!$C$54&amp;$C2181</f>
        <v>OR|imports|petroleum diesel</v>
      </c>
    </row>
    <row r="2182" spans="1:8" x14ac:dyDescent="0.25">
      <c r="A2182" t="s">
        <v>151</v>
      </c>
      <c r="B2182" t="s">
        <v>191</v>
      </c>
      <c r="C2182" t="s">
        <v>91</v>
      </c>
      <c r="D2182">
        <v>0</v>
      </c>
      <c r="E2182">
        <v>8966770000000</v>
      </c>
      <c r="F2182">
        <v>9282520000000</v>
      </c>
      <c r="G2182" s="10">
        <f t="shared" si="33"/>
        <v>6083096666666.667</v>
      </c>
      <c r="H2182" t="str">
        <f>$A2182&amp;Keys!$C$54&amp;$B2182&amp;Keys!$C$54&amp;$C2182</f>
        <v>OR|imports|biofuel gasoline</v>
      </c>
    </row>
    <row r="2183" spans="1:8" x14ac:dyDescent="0.25">
      <c r="A2183" t="s">
        <v>151</v>
      </c>
      <c r="B2183" t="s">
        <v>191</v>
      </c>
      <c r="C2183" t="s">
        <v>94</v>
      </c>
      <c r="D2183">
        <v>0</v>
      </c>
      <c r="E2183">
        <v>13237500000000</v>
      </c>
      <c r="F2183">
        <v>15655400000000</v>
      </c>
      <c r="G2183" s="10">
        <f t="shared" si="33"/>
        <v>9630966666666.666</v>
      </c>
      <c r="H2183" t="str">
        <f>$A2183&amp;Keys!$C$54&amp;$B2183&amp;Keys!$C$54&amp;$C2183</f>
        <v>OR|imports|biofuel diesel</v>
      </c>
    </row>
    <row r="2184" spans="1:8" x14ac:dyDescent="0.25">
      <c r="A2184" t="s">
        <v>151</v>
      </c>
      <c r="B2184" t="s">
        <v>191</v>
      </c>
      <c r="C2184" t="s">
        <v>97</v>
      </c>
      <c r="D2184">
        <v>0</v>
      </c>
      <c r="E2184">
        <v>32668700000000</v>
      </c>
      <c r="F2184">
        <v>33586900000000</v>
      </c>
      <c r="G2184" s="10">
        <f t="shared" si="33"/>
        <v>22085200000000</v>
      </c>
      <c r="H2184" t="str">
        <f>$A2184&amp;Keys!$C$54&amp;$B2184&amp;Keys!$C$54&amp;$C2184</f>
        <v>OR|imports|jet fuel or kerosene</v>
      </c>
    </row>
    <row r="2185" spans="1:8" x14ac:dyDescent="0.25">
      <c r="A2185" t="s">
        <v>151</v>
      </c>
      <c r="B2185" t="s">
        <v>191</v>
      </c>
      <c r="C2185" t="s">
        <v>100</v>
      </c>
      <c r="D2185">
        <v>0</v>
      </c>
      <c r="E2185">
        <v>0</v>
      </c>
      <c r="F2185">
        <v>0</v>
      </c>
      <c r="G2185" s="10">
        <f t="shared" ref="G2185:G2248" si="34">AVERAGE($D2185:$F2185)</f>
        <v>0</v>
      </c>
      <c r="H2185" t="str">
        <f>$A2185&amp;Keys!$C$54&amp;$B2185&amp;Keys!$C$54&amp;$C2185</f>
        <v>OR|imports|heat (not used in this variable)</v>
      </c>
    </row>
    <row r="2186" spans="1:8" x14ac:dyDescent="0.25">
      <c r="A2186" t="s">
        <v>151</v>
      </c>
      <c r="B2186" t="s">
        <v>191</v>
      </c>
      <c r="C2186" t="s">
        <v>103</v>
      </c>
      <c r="D2186">
        <v>0</v>
      </c>
      <c r="E2186">
        <v>0</v>
      </c>
      <c r="F2186">
        <v>0</v>
      </c>
      <c r="G2186" s="10">
        <f t="shared" si="34"/>
        <v>0</v>
      </c>
      <c r="H2186" t="str">
        <f>$A2186&amp;Keys!$C$54&amp;$B2186&amp;Keys!$C$54&amp;$C2186</f>
        <v>OR|imports|geothermal (is not a fuel)</v>
      </c>
    </row>
    <row r="2187" spans="1:8" x14ac:dyDescent="0.25">
      <c r="A2187" t="s">
        <v>151</v>
      </c>
      <c r="B2187" t="s">
        <v>191</v>
      </c>
      <c r="C2187" t="s">
        <v>106</v>
      </c>
      <c r="D2187">
        <v>0</v>
      </c>
      <c r="E2187">
        <v>0</v>
      </c>
      <c r="F2187">
        <v>0</v>
      </c>
      <c r="G2187" s="10">
        <f t="shared" si="34"/>
        <v>0</v>
      </c>
      <c r="H2187" t="str">
        <f>$A2187&amp;Keys!$C$54&amp;$B2187&amp;Keys!$C$54&amp;$C2187</f>
        <v>OR|imports|lignite</v>
      </c>
    </row>
    <row r="2188" spans="1:8" x14ac:dyDescent="0.25">
      <c r="A2188" t="s">
        <v>151</v>
      </c>
      <c r="B2188" t="s">
        <v>191</v>
      </c>
      <c r="C2188" t="s">
        <v>109</v>
      </c>
      <c r="D2188">
        <v>0</v>
      </c>
      <c r="E2188">
        <v>766000000000</v>
      </c>
      <c r="F2188">
        <v>766000000000</v>
      </c>
      <c r="G2188" s="10">
        <f t="shared" si="34"/>
        <v>510666666666.66669</v>
      </c>
      <c r="H2188" t="str">
        <f>$A2188&amp;Keys!$C$54&amp;$B2188&amp;Keys!$C$54&amp;$C2188</f>
        <v>OR|imports|crude oil</v>
      </c>
    </row>
    <row r="2189" spans="1:8" x14ac:dyDescent="0.25">
      <c r="A2189" t="s">
        <v>151</v>
      </c>
      <c r="B2189" t="s">
        <v>191</v>
      </c>
      <c r="C2189" t="s">
        <v>113</v>
      </c>
      <c r="D2189">
        <v>0</v>
      </c>
      <c r="E2189">
        <v>11339700000000</v>
      </c>
      <c r="F2189">
        <v>11521300000000</v>
      </c>
      <c r="G2189" s="10">
        <f t="shared" si="34"/>
        <v>7620333333333.333</v>
      </c>
      <c r="H2189" t="str">
        <f>$A2189&amp;Keys!$C$54&amp;$B2189&amp;Keys!$C$54&amp;$C2189</f>
        <v>OR|imports|heavy fuel oil</v>
      </c>
    </row>
    <row r="2190" spans="1:8" x14ac:dyDescent="0.25">
      <c r="A2190" t="s">
        <v>151</v>
      </c>
      <c r="B2190" t="s">
        <v>191</v>
      </c>
      <c r="C2190" t="s">
        <v>117</v>
      </c>
      <c r="D2190">
        <v>0</v>
      </c>
      <c r="E2190">
        <v>8496120000000</v>
      </c>
      <c r="F2190">
        <v>8483750000000</v>
      </c>
      <c r="G2190" s="10">
        <f t="shared" si="34"/>
        <v>5659956666666.667</v>
      </c>
      <c r="H2190" t="str">
        <f>$A2190&amp;Keys!$C$54&amp;$B2190&amp;Keys!$C$54&amp;$C2190</f>
        <v>OR|imports|LPG propane or butane</v>
      </c>
    </row>
    <row r="2191" spans="1:8" x14ac:dyDescent="0.25">
      <c r="A2191" t="s">
        <v>151</v>
      </c>
      <c r="B2191" t="s">
        <v>191</v>
      </c>
      <c r="C2191" t="s">
        <v>120</v>
      </c>
      <c r="D2191">
        <v>0</v>
      </c>
      <c r="E2191">
        <v>0</v>
      </c>
      <c r="F2191">
        <v>0</v>
      </c>
      <c r="G2191" s="10">
        <f t="shared" si="34"/>
        <v>0</v>
      </c>
      <c r="H2191" t="str">
        <f>$A2191&amp;Keys!$C$54&amp;$B2191&amp;Keys!$C$54&amp;$C2191</f>
        <v>OR|imports|municipal solid waste</v>
      </c>
    </row>
    <row r="2192" spans="1:8" x14ac:dyDescent="0.25">
      <c r="A2192" t="s">
        <v>151</v>
      </c>
      <c r="B2192" t="s">
        <v>191</v>
      </c>
      <c r="C2192" t="s">
        <v>123</v>
      </c>
      <c r="D2192">
        <v>0</v>
      </c>
      <c r="E2192">
        <v>191996000</v>
      </c>
      <c r="F2192">
        <v>98614700</v>
      </c>
      <c r="G2192" s="10">
        <f t="shared" si="34"/>
        <v>96870233.333333328</v>
      </c>
      <c r="H2192" t="str">
        <f>$A2192&amp;Keys!$C$54&amp;$B2192&amp;Keys!$C$54&amp;$C2192</f>
        <v>OR|imports|hydrogen</v>
      </c>
    </row>
    <row r="2193" spans="1:8" x14ac:dyDescent="0.25">
      <c r="A2193" t="s">
        <v>151</v>
      </c>
      <c r="B2193" t="s">
        <v>193</v>
      </c>
      <c r="C2193" t="s">
        <v>60</v>
      </c>
      <c r="D2193">
        <v>0</v>
      </c>
      <c r="E2193">
        <v>0</v>
      </c>
      <c r="F2193">
        <v>0</v>
      </c>
      <c r="G2193" s="10">
        <f t="shared" si="34"/>
        <v>0</v>
      </c>
      <c r="H2193" t="str">
        <f>$A2193&amp;Keys!$C$54&amp;$B2193&amp;Keys!$C$54&amp;$C2193</f>
        <v>OR|exports|electricity (not used in this variable)</v>
      </c>
    </row>
    <row r="2194" spans="1:8" x14ac:dyDescent="0.25">
      <c r="A2194" t="s">
        <v>151</v>
      </c>
      <c r="B2194" t="s">
        <v>193</v>
      </c>
      <c r="C2194" t="s">
        <v>64</v>
      </c>
      <c r="D2194">
        <v>0</v>
      </c>
      <c r="E2194">
        <v>0</v>
      </c>
      <c r="F2194">
        <v>0</v>
      </c>
      <c r="G2194" s="10">
        <f t="shared" si="34"/>
        <v>0</v>
      </c>
      <c r="H2194" t="str">
        <f>$A2194&amp;Keys!$C$54&amp;$B2194&amp;Keys!$C$54&amp;$C2194</f>
        <v>OR|exports|hard coal</v>
      </c>
    </row>
    <row r="2195" spans="1:8" x14ac:dyDescent="0.25">
      <c r="A2195" t="s">
        <v>151</v>
      </c>
      <c r="B2195" t="s">
        <v>193</v>
      </c>
      <c r="C2195" t="s">
        <v>68</v>
      </c>
      <c r="D2195">
        <v>784351000000000</v>
      </c>
      <c r="E2195">
        <v>784351000000000</v>
      </c>
      <c r="F2195">
        <v>729041000000000</v>
      </c>
      <c r="G2195" s="10">
        <f t="shared" si="34"/>
        <v>765914333333333.38</v>
      </c>
      <c r="H2195" t="str">
        <f>$A2195&amp;Keys!$C$54&amp;$B2195&amp;Keys!$C$54&amp;$C2195</f>
        <v>OR|exports|natural gas</v>
      </c>
    </row>
    <row r="2196" spans="1:8" x14ac:dyDescent="0.25">
      <c r="A2196" t="s">
        <v>151</v>
      </c>
      <c r="B2196" t="s">
        <v>193</v>
      </c>
      <c r="C2196" t="s">
        <v>71</v>
      </c>
      <c r="D2196">
        <v>0</v>
      </c>
      <c r="E2196">
        <v>0</v>
      </c>
      <c r="F2196">
        <v>0</v>
      </c>
      <c r="G2196" s="10">
        <f t="shared" si="34"/>
        <v>0</v>
      </c>
      <c r="H2196" t="str">
        <f>$A2196&amp;Keys!$C$54&amp;$B2196&amp;Keys!$C$54&amp;$C2196</f>
        <v>OR|exports|nuclear</v>
      </c>
    </row>
    <row r="2197" spans="1:8" x14ac:dyDescent="0.25">
      <c r="A2197" t="s">
        <v>151</v>
      </c>
      <c r="B2197" t="s">
        <v>193</v>
      </c>
      <c r="C2197" t="s">
        <v>74</v>
      </c>
      <c r="D2197">
        <v>0</v>
      </c>
      <c r="E2197">
        <v>0</v>
      </c>
      <c r="F2197">
        <v>0</v>
      </c>
      <c r="G2197" s="10">
        <f t="shared" si="34"/>
        <v>0</v>
      </c>
      <c r="H2197" t="str">
        <f>$A2197&amp;Keys!$C$54&amp;$B2197&amp;Keys!$C$54&amp;$C2197</f>
        <v>OR|exports|hydro (is not a fuel)</v>
      </c>
    </row>
    <row r="2198" spans="1:8" x14ac:dyDescent="0.25">
      <c r="A2198" t="s">
        <v>151</v>
      </c>
      <c r="B2198" t="s">
        <v>193</v>
      </c>
      <c r="C2198" t="s">
        <v>77</v>
      </c>
      <c r="D2198">
        <v>0</v>
      </c>
      <c r="E2198">
        <v>0</v>
      </c>
      <c r="F2198">
        <v>0</v>
      </c>
      <c r="G2198" s="10">
        <f t="shared" si="34"/>
        <v>0</v>
      </c>
      <c r="H2198" t="str">
        <f>$A2198&amp;Keys!$C$54&amp;$B2198&amp;Keys!$C$54&amp;$C2198</f>
        <v>OR|exports|wind (is not a fuel)</v>
      </c>
    </row>
    <row r="2199" spans="1:8" x14ac:dyDescent="0.25">
      <c r="A2199" t="s">
        <v>151</v>
      </c>
      <c r="B2199" t="s">
        <v>193</v>
      </c>
      <c r="C2199" t="s">
        <v>80</v>
      </c>
      <c r="D2199">
        <v>0</v>
      </c>
      <c r="E2199">
        <v>0</v>
      </c>
      <c r="F2199">
        <v>0</v>
      </c>
      <c r="G2199" s="10">
        <f t="shared" si="34"/>
        <v>0</v>
      </c>
      <c r="H2199" t="str">
        <f>$A2199&amp;Keys!$C$54&amp;$B2199&amp;Keys!$C$54&amp;$C2199</f>
        <v>OR|exports|solar (is not a fuel)</v>
      </c>
    </row>
    <row r="2200" spans="1:8" x14ac:dyDescent="0.25">
      <c r="A2200" t="s">
        <v>151</v>
      </c>
      <c r="B2200" t="s">
        <v>193</v>
      </c>
      <c r="C2200" t="s">
        <v>82</v>
      </c>
      <c r="D2200">
        <v>0</v>
      </c>
      <c r="E2200">
        <v>0</v>
      </c>
      <c r="F2200">
        <v>0</v>
      </c>
      <c r="G2200" s="10">
        <f t="shared" si="34"/>
        <v>0</v>
      </c>
      <c r="H2200" t="str">
        <f>$A2200&amp;Keys!$C$54&amp;$B2200&amp;Keys!$C$54&amp;$C2200</f>
        <v>OR|exports|biomass</v>
      </c>
    </row>
    <row r="2201" spans="1:8" x14ac:dyDescent="0.25">
      <c r="A2201" t="s">
        <v>151</v>
      </c>
      <c r="B2201" t="s">
        <v>193</v>
      </c>
      <c r="C2201" t="s">
        <v>85</v>
      </c>
      <c r="D2201">
        <v>0</v>
      </c>
      <c r="E2201">
        <v>0</v>
      </c>
      <c r="F2201">
        <v>0</v>
      </c>
      <c r="G2201" s="10">
        <f t="shared" si="34"/>
        <v>0</v>
      </c>
      <c r="H2201" t="str">
        <f>$A2201&amp;Keys!$C$54&amp;$B2201&amp;Keys!$C$54&amp;$C2201</f>
        <v>OR|exports|petroleum gasoline</v>
      </c>
    </row>
    <row r="2202" spans="1:8" x14ac:dyDescent="0.25">
      <c r="A2202" t="s">
        <v>151</v>
      </c>
      <c r="B2202" t="s">
        <v>193</v>
      </c>
      <c r="C2202" t="s">
        <v>88</v>
      </c>
      <c r="D2202">
        <v>0</v>
      </c>
      <c r="E2202">
        <v>0</v>
      </c>
      <c r="F2202">
        <v>0</v>
      </c>
      <c r="G2202" s="10">
        <f t="shared" si="34"/>
        <v>0</v>
      </c>
      <c r="H2202" t="str">
        <f>$A2202&amp;Keys!$C$54&amp;$B2202&amp;Keys!$C$54&amp;$C2202</f>
        <v>OR|exports|petroleum diesel</v>
      </c>
    </row>
    <row r="2203" spans="1:8" x14ac:dyDescent="0.25">
      <c r="A2203" t="s">
        <v>151</v>
      </c>
      <c r="B2203" t="s">
        <v>193</v>
      </c>
      <c r="C2203" t="s">
        <v>91</v>
      </c>
      <c r="D2203">
        <v>0</v>
      </c>
      <c r="E2203">
        <v>0</v>
      </c>
      <c r="F2203">
        <v>0</v>
      </c>
      <c r="G2203" s="10">
        <f t="shared" si="34"/>
        <v>0</v>
      </c>
      <c r="H2203" t="str">
        <f>$A2203&amp;Keys!$C$54&amp;$B2203&amp;Keys!$C$54&amp;$C2203</f>
        <v>OR|exports|biofuel gasoline</v>
      </c>
    </row>
    <row r="2204" spans="1:8" x14ac:dyDescent="0.25">
      <c r="A2204" t="s">
        <v>151</v>
      </c>
      <c r="B2204" t="s">
        <v>193</v>
      </c>
      <c r="C2204" t="s">
        <v>94</v>
      </c>
      <c r="D2204">
        <v>0</v>
      </c>
      <c r="E2204">
        <v>0</v>
      </c>
      <c r="F2204">
        <v>0</v>
      </c>
      <c r="G2204" s="10">
        <f t="shared" si="34"/>
        <v>0</v>
      </c>
      <c r="H2204" t="str">
        <f>$A2204&amp;Keys!$C$54&amp;$B2204&amp;Keys!$C$54&amp;$C2204</f>
        <v>OR|exports|biofuel diesel</v>
      </c>
    </row>
    <row r="2205" spans="1:8" x14ac:dyDescent="0.25">
      <c r="A2205" t="s">
        <v>151</v>
      </c>
      <c r="B2205" t="s">
        <v>193</v>
      </c>
      <c r="C2205" t="s">
        <v>97</v>
      </c>
      <c r="D2205">
        <v>0</v>
      </c>
      <c r="E2205">
        <v>0</v>
      </c>
      <c r="F2205">
        <v>0</v>
      </c>
      <c r="G2205" s="10">
        <f t="shared" si="34"/>
        <v>0</v>
      </c>
      <c r="H2205" t="str">
        <f>$A2205&amp;Keys!$C$54&amp;$B2205&amp;Keys!$C$54&amp;$C2205</f>
        <v>OR|exports|jet fuel or kerosene</v>
      </c>
    </row>
    <row r="2206" spans="1:8" x14ac:dyDescent="0.25">
      <c r="A2206" t="s">
        <v>151</v>
      </c>
      <c r="B2206" t="s">
        <v>193</v>
      </c>
      <c r="C2206" t="s">
        <v>100</v>
      </c>
      <c r="D2206">
        <v>0</v>
      </c>
      <c r="E2206">
        <v>0</v>
      </c>
      <c r="F2206">
        <v>0</v>
      </c>
      <c r="G2206" s="10">
        <f t="shared" si="34"/>
        <v>0</v>
      </c>
      <c r="H2206" t="str">
        <f>$A2206&amp;Keys!$C$54&amp;$B2206&amp;Keys!$C$54&amp;$C2206</f>
        <v>OR|exports|heat (not used in this variable)</v>
      </c>
    </row>
    <row r="2207" spans="1:8" x14ac:dyDescent="0.25">
      <c r="A2207" t="s">
        <v>151</v>
      </c>
      <c r="B2207" t="s">
        <v>193</v>
      </c>
      <c r="C2207" t="s">
        <v>103</v>
      </c>
      <c r="D2207">
        <v>0</v>
      </c>
      <c r="E2207">
        <v>0</v>
      </c>
      <c r="F2207">
        <v>0</v>
      </c>
      <c r="G2207" s="10">
        <f t="shared" si="34"/>
        <v>0</v>
      </c>
      <c r="H2207" t="str">
        <f>$A2207&amp;Keys!$C$54&amp;$B2207&amp;Keys!$C$54&amp;$C2207</f>
        <v>OR|exports|geothermal (is not a fuel)</v>
      </c>
    </row>
    <row r="2208" spans="1:8" x14ac:dyDescent="0.25">
      <c r="A2208" t="s">
        <v>151</v>
      </c>
      <c r="B2208" t="s">
        <v>193</v>
      </c>
      <c r="C2208" t="s">
        <v>106</v>
      </c>
      <c r="D2208">
        <v>0</v>
      </c>
      <c r="E2208">
        <v>0</v>
      </c>
      <c r="F2208">
        <v>0</v>
      </c>
      <c r="G2208" s="10">
        <f t="shared" si="34"/>
        <v>0</v>
      </c>
      <c r="H2208" t="str">
        <f>$A2208&amp;Keys!$C$54&amp;$B2208&amp;Keys!$C$54&amp;$C2208</f>
        <v>OR|exports|lignite</v>
      </c>
    </row>
    <row r="2209" spans="1:8" x14ac:dyDescent="0.25">
      <c r="A2209" t="s">
        <v>151</v>
      </c>
      <c r="B2209" t="s">
        <v>193</v>
      </c>
      <c r="C2209" t="s">
        <v>109</v>
      </c>
      <c r="D2209">
        <v>0</v>
      </c>
      <c r="E2209">
        <v>0</v>
      </c>
      <c r="F2209">
        <v>0</v>
      </c>
      <c r="G2209" s="10">
        <f t="shared" si="34"/>
        <v>0</v>
      </c>
      <c r="H2209" t="str">
        <f>$A2209&amp;Keys!$C$54&amp;$B2209&amp;Keys!$C$54&amp;$C2209</f>
        <v>OR|exports|crude oil</v>
      </c>
    </row>
    <row r="2210" spans="1:8" x14ac:dyDescent="0.25">
      <c r="A2210" t="s">
        <v>151</v>
      </c>
      <c r="B2210" t="s">
        <v>193</v>
      </c>
      <c r="C2210" t="s">
        <v>113</v>
      </c>
      <c r="D2210">
        <v>0</v>
      </c>
      <c r="E2210">
        <v>0</v>
      </c>
      <c r="F2210">
        <v>0</v>
      </c>
      <c r="G2210" s="10">
        <f t="shared" si="34"/>
        <v>0</v>
      </c>
      <c r="H2210" t="str">
        <f>$A2210&amp;Keys!$C$54&amp;$B2210&amp;Keys!$C$54&amp;$C2210</f>
        <v>OR|exports|heavy fuel oil</v>
      </c>
    </row>
    <row r="2211" spans="1:8" x14ac:dyDescent="0.25">
      <c r="A2211" t="s">
        <v>151</v>
      </c>
      <c r="B2211" t="s">
        <v>193</v>
      </c>
      <c r="C2211" t="s">
        <v>117</v>
      </c>
      <c r="D2211">
        <v>0</v>
      </c>
      <c r="E2211">
        <v>0</v>
      </c>
      <c r="F2211">
        <v>0</v>
      </c>
      <c r="G2211" s="10">
        <f t="shared" si="34"/>
        <v>0</v>
      </c>
      <c r="H2211" t="str">
        <f>$A2211&amp;Keys!$C$54&amp;$B2211&amp;Keys!$C$54&amp;$C2211</f>
        <v>OR|exports|LPG propane or butane</v>
      </c>
    </row>
    <row r="2212" spans="1:8" x14ac:dyDescent="0.25">
      <c r="A2212" t="s">
        <v>151</v>
      </c>
      <c r="B2212" t="s">
        <v>193</v>
      </c>
      <c r="C2212" t="s">
        <v>120</v>
      </c>
      <c r="D2212">
        <v>0</v>
      </c>
      <c r="E2212">
        <v>0</v>
      </c>
      <c r="F2212">
        <v>0</v>
      </c>
      <c r="G2212" s="10">
        <f t="shared" si="34"/>
        <v>0</v>
      </c>
      <c r="H2212" t="str">
        <f>$A2212&amp;Keys!$C$54&amp;$B2212&amp;Keys!$C$54&amp;$C2212</f>
        <v>OR|exports|municipal solid waste</v>
      </c>
    </row>
    <row r="2213" spans="1:8" x14ac:dyDescent="0.25">
      <c r="A2213" t="s">
        <v>151</v>
      </c>
      <c r="B2213" t="s">
        <v>193</v>
      </c>
      <c r="C2213" t="s">
        <v>123</v>
      </c>
      <c r="D2213">
        <v>0</v>
      </c>
      <c r="E2213">
        <v>0</v>
      </c>
      <c r="F2213">
        <v>0</v>
      </c>
      <c r="G2213" s="10">
        <f t="shared" si="34"/>
        <v>0</v>
      </c>
      <c r="H2213" t="str">
        <f>$A2213&amp;Keys!$C$54&amp;$B2213&amp;Keys!$C$54&amp;$C2213</f>
        <v>OR|exports|hydrogen</v>
      </c>
    </row>
    <row r="2214" spans="1:8" x14ac:dyDescent="0.25">
      <c r="A2214" t="s">
        <v>153</v>
      </c>
      <c r="B2214" t="s">
        <v>188</v>
      </c>
      <c r="C2214" t="s">
        <v>60</v>
      </c>
      <c r="D2214">
        <v>0</v>
      </c>
      <c r="E2214">
        <v>0</v>
      </c>
      <c r="F2214">
        <v>0</v>
      </c>
      <c r="G2214" s="10">
        <f t="shared" si="34"/>
        <v>0</v>
      </c>
      <c r="H2214" t="str">
        <f>$A2214&amp;Keys!$C$54&amp;$B2214&amp;Keys!$C$54&amp;$C2214</f>
        <v>PA|production|electricity (not used in this variable)</v>
      </c>
    </row>
    <row r="2215" spans="1:8" x14ac:dyDescent="0.25">
      <c r="A2215" t="s">
        <v>153</v>
      </c>
      <c r="B2215" t="s">
        <v>188</v>
      </c>
      <c r="C2215" t="s">
        <v>64</v>
      </c>
      <c r="D2215">
        <v>832230000000000</v>
      </c>
      <c r="E2215">
        <v>832230000000000</v>
      </c>
      <c r="F2215">
        <v>832250000000000</v>
      </c>
      <c r="G2215" s="10">
        <f t="shared" si="34"/>
        <v>832236666666666.63</v>
      </c>
      <c r="H2215" t="str">
        <f>$A2215&amp;Keys!$C$54&amp;$B2215&amp;Keys!$C$54&amp;$C2215</f>
        <v>PA|production|hard coal</v>
      </c>
    </row>
    <row r="2216" spans="1:8" x14ac:dyDescent="0.25">
      <c r="A2216" t="s">
        <v>153</v>
      </c>
      <c r="B2216" t="s">
        <v>188</v>
      </c>
      <c r="C2216" t="s">
        <v>68</v>
      </c>
      <c r="D2216">
        <v>7569180000000000</v>
      </c>
      <c r="E2216">
        <v>7569180000000000</v>
      </c>
      <c r="F2216">
        <v>7592690000000000</v>
      </c>
      <c r="G2216" s="10">
        <f t="shared" si="34"/>
        <v>7577016666666667</v>
      </c>
      <c r="H2216" t="str">
        <f>$A2216&amp;Keys!$C$54&amp;$B2216&amp;Keys!$C$54&amp;$C2216</f>
        <v>PA|production|natural gas</v>
      </c>
    </row>
    <row r="2217" spans="1:8" x14ac:dyDescent="0.25">
      <c r="A2217" t="s">
        <v>153</v>
      </c>
      <c r="B2217" t="s">
        <v>188</v>
      </c>
      <c r="C2217" t="s">
        <v>71</v>
      </c>
      <c r="D2217">
        <v>0</v>
      </c>
      <c r="E2217">
        <v>0</v>
      </c>
      <c r="F2217">
        <v>0</v>
      </c>
      <c r="G2217" s="10">
        <f t="shared" si="34"/>
        <v>0</v>
      </c>
      <c r="H2217" t="str">
        <f>$A2217&amp;Keys!$C$54&amp;$B2217&amp;Keys!$C$54&amp;$C2217</f>
        <v>PA|production|nuclear</v>
      </c>
    </row>
    <row r="2218" spans="1:8" x14ac:dyDescent="0.25">
      <c r="A2218" t="s">
        <v>153</v>
      </c>
      <c r="B2218" t="s">
        <v>188</v>
      </c>
      <c r="C2218" t="s">
        <v>74</v>
      </c>
      <c r="D2218">
        <v>0</v>
      </c>
      <c r="E2218">
        <v>0</v>
      </c>
      <c r="F2218">
        <v>0</v>
      </c>
      <c r="G2218" s="10">
        <f t="shared" si="34"/>
        <v>0</v>
      </c>
      <c r="H2218" t="str">
        <f>$A2218&amp;Keys!$C$54&amp;$B2218&amp;Keys!$C$54&amp;$C2218</f>
        <v>PA|production|hydro (is not a fuel)</v>
      </c>
    </row>
    <row r="2219" spans="1:8" x14ac:dyDescent="0.25">
      <c r="A2219" t="s">
        <v>153</v>
      </c>
      <c r="B2219" t="s">
        <v>188</v>
      </c>
      <c r="C2219" t="s">
        <v>77</v>
      </c>
      <c r="D2219">
        <v>0</v>
      </c>
      <c r="E2219">
        <v>0</v>
      </c>
      <c r="F2219">
        <v>0</v>
      </c>
      <c r="G2219" s="10">
        <f t="shared" si="34"/>
        <v>0</v>
      </c>
      <c r="H2219" t="str">
        <f>$A2219&amp;Keys!$C$54&amp;$B2219&amp;Keys!$C$54&amp;$C2219</f>
        <v>PA|production|wind (is not a fuel)</v>
      </c>
    </row>
    <row r="2220" spans="1:8" x14ac:dyDescent="0.25">
      <c r="A2220" t="s">
        <v>153</v>
      </c>
      <c r="B2220" t="s">
        <v>188</v>
      </c>
      <c r="C2220" t="s">
        <v>80</v>
      </c>
      <c r="D2220">
        <v>0</v>
      </c>
      <c r="E2220">
        <v>0</v>
      </c>
      <c r="F2220">
        <v>0</v>
      </c>
      <c r="G2220" s="10">
        <f t="shared" si="34"/>
        <v>0</v>
      </c>
      <c r="H2220" t="str">
        <f>$A2220&amp;Keys!$C$54&amp;$B2220&amp;Keys!$C$54&amp;$C2220</f>
        <v>PA|production|solar (is not a fuel)</v>
      </c>
    </row>
    <row r="2221" spans="1:8" x14ac:dyDescent="0.25">
      <c r="A2221" t="s">
        <v>153</v>
      </c>
      <c r="B2221" t="s">
        <v>188</v>
      </c>
      <c r="C2221" t="s">
        <v>82</v>
      </c>
      <c r="D2221">
        <v>6178450000000</v>
      </c>
      <c r="E2221">
        <v>6178450000000</v>
      </c>
      <c r="F2221">
        <v>6178450000000</v>
      </c>
      <c r="G2221" s="10">
        <f t="shared" si="34"/>
        <v>6178450000000</v>
      </c>
      <c r="H2221" t="str">
        <f>$A2221&amp;Keys!$C$54&amp;$B2221&amp;Keys!$C$54&amp;$C2221</f>
        <v>PA|production|biomass</v>
      </c>
    </row>
    <row r="2222" spans="1:8" x14ac:dyDescent="0.25">
      <c r="A2222" t="s">
        <v>153</v>
      </c>
      <c r="B2222" t="s">
        <v>188</v>
      </c>
      <c r="C2222" t="s">
        <v>85</v>
      </c>
      <c r="D2222">
        <v>260094000000000</v>
      </c>
      <c r="E2222">
        <v>260094000000000</v>
      </c>
      <c r="F2222">
        <v>253790000000000</v>
      </c>
      <c r="G2222" s="10">
        <f t="shared" si="34"/>
        <v>257992666666666.66</v>
      </c>
      <c r="H2222" t="str">
        <f>$A2222&amp;Keys!$C$54&amp;$B2222&amp;Keys!$C$54&amp;$C2222</f>
        <v>PA|production|petroleum gasoline</v>
      </c>
    </row>
    <row r="2223" spans="1:8" x14ac:dyDescent="0.25">
      <c r="A2223" t="s">
        <v>153</v>
      </c>
      <c r="B2223" t="s">
        <v>188</v>
      </c>
      <c r="C2223" t="s">
        <v>88</v>
      </c>
      <c r="D2223">
        <v>153850000000000</v>
      </c>
      <c r="E2223">
        <v>153850000000000</v>
      </c>
      <c r="F2223">
        <v>150121000000000</v>
      </c>
      <c r="G2223" s="10">
        <f t="shared" si="34"/>
        <v>152607000000000</v>
      </c>
      <c r="H2223" t="str">
        <f>$A2223&amp;Keys!$C$54&amp;$B2223&amp;Keys!$C$54&amp;$C2223</f>
        <v>PA|production|petroleum diesel</v>
      </c>
    </row>
    <row r="2224" spans="1:8" x14ac:dyDescent="0.25">
      <c r="A2224" t="s">
        <v>153</v>
      </c>
      <c r="B2224" t="s">
        <v>188</v>
      </c>
      <c r="C2224" t="s">
        <v>91</v>
      </c>
      <c r="D2224">
        <v>10523400000000</v>
      </c>
      <c r="E2224">
        <v>10523400000000</v>
      </c>
      <c r="F2224">
        <v>10553000000000</v>
      </c>
      <c r="G2224" s="10">
        <f t="shared" si="34"/>
        <v>10533266666666.666</v>
      </c>
      <c r="H2224" t="str">
        <f>$A2224&amp;Keys!$C$54&amp;$B2224&amp;Keys!$C$54&amp;$C2224</f>
        <v>PA|production|biofuel gasoline</v>
      </c>
    </row>
    <row r="2225" spans="1:8" x14ac:dyDescent="0.25">
      <c r="A2225" t="s">
        <v>153</v>
      </c>
      <c r="B2225" t="s">
        <v>188</v>
      </c>
      <c r="C2225" t="s">
        <v>94</v>
      </c>
      <c r="D2225">
        <v>19530300000000</v>
      </c>
      <c r="E2225">
        <v>19530300000000</v>
      </c>
      <c r="F2225">
        <v>23199300000000</v>
      </c>
      <c r="G2225" s="10">
        <f t="shared" si="34"/>
        <v>20753300000000</v>
      </c>
      <c r="H2225" t="str">
        <f>$A2225&amp;Keys!$C$54&amp;$B2225&amp;Keys!$C$54&amp;$C2225</f>
        <v>PA|production|biofuel diesel</v>
      </c>
    </row>
    <row r="2226" spans="1:8" x14ac:dyDescent="0.25">
      <c r="A2226" t="s">
        <v>153</v>
      </c>
      <c r="B2226" t="s">
        <v>188</v>
      </c>
      <c r="C2226" t="s">
        <v>97</v>
      </c>
      <c r="D2226">
        <v>54767300000000</v>
      </c>
      <c r="E2226">
        <v>54767300000000</v>
      </c>
      <c r="F2226">
        <v>53439900000000</v>
      </c>
      <c r="G2226" s="10">
        <f t="shared" si="34"/>
        <v>54324833333333.336</v>
      </c>
      <c r="H2226" t="str">
        <f>$A2226&amp;Keys!$C$54&amp;$B2226&amp;Keys!$C$54&amp;$C2226</f>
        <v>PA|production|jet fuel or kerosene</v>
      </c>
    </row>
    <row r="2227" spans="1:8" x14ac:dyDescent="0.25">
      <c r="A2227" t="s">
        <v>153</v>
      </c>
      <c r="B2227" t="s">
        <v>188</v>
      </c>
      <c r="C2227" t="s">
        <v>100</v>
      </c>
      <c r="D2227">
        <v>0</v>
      </c>
      <c r="E2227">
        <v>0</v>
      </c>
      <c r="F2227">
        <v>0</v>
      </c>
      <c r="G2227" s="10">
        <f t="shared" si="34"/>
        <v>0</v>
      </c>
      <c r="H2227" t="str">
        <f>$A2227&amp;Keys!$C$54&amp;$B2227&amp;Keys!$C$54&amp;$C2227</f>
        <v>PA|production|heat (not used in this variable)</v>
      </c>
    </row>
    <row r="2228" spans="1:8" x14ac:dyDescent="0.25">
      <c r="A2228" t="s">
        <v>153</v>
      </c>
      <c r="B2228" t="s">
        <v>188</v>
      </c>
      <c r="C2228" t="s">
        <v>103</v>
      </c>
      <c r="D2228">
        <v>0</v>
      </c>
      <c r="E2228">
        <v>0</v>
      </c>
      <c r="F2228">
        <v>0</v>
      </c>
      <c r="G2228" s="10">
        <f t="shared" si="34"/>
        <v>0</v>
      </c>
      <c r="H2228" t="str">
        <f>$A2228&amp;Keys!$C$54&amp;$B2228&amp;Keys!$C$54&amp;$C2228</f>
        <v>PA|production|geothermal (is not a fuel)</v>
      </c>
    </row>
    <row r="2229" spans="1:8" x14ac:dyDescent="0.25">
      <c r="A2229" t="s">
        <v>153</v>
      </c>
      <c r="B2229" t="s">
        <v>188</v>
      </c>
      <c r="C2229" t="s">
        <v>106</v>
      </c>
      <c r="D2229">
        <v>0</v>
      </c>
      <c r="E2229">
        <v>0</v>
      </c>
      <c r="F2229">
        <v>0</v>
      </c>
      <c r="G2229" s="10">
        <f t="shared" si="34"/>
        <v>0</v>
      </c>
      <c r="H2229" t="str">
        <f>$A2229&amp;Keys!$C$54&amp;$B2229&amp;Keys!$C$54&amp;$C2229</f>
        <v>PA|production|lignite</v>
      </c>
    </row>
    <row r="2230" spans="1:8" x14ac:dyDescent="0.25">
      <c r="A2230" t="s">
        <v>153</v>
      </c>
      <c r="B2230" t="s">
        <v>188</v>
      </c>
      <c r="C2230" t="s">
        <v>109</v>
      </c>
      <c r="D2230">
        <v>25810000000000</v>
      </c>
      <c r="E2230">
        <v>25810000000000</v>
      </c>
      <c r="F2230">
        <v>23453700000000</v>
      </c>
      <c r="G2230" s="10">
        <f t="shared" si="34"/>
        <v>25024566666666.668</v>
      </c>
      <c r="H2230" t="str">
        <f>$A2230&amp;Keys!$C$54&amp;$B2230&amp;Keys!$C$54&amp;$C2230</f>
        <v>PA|production|crude oil</v>
      </c>
    </row>
    <row r="2231" spans="1:8" x14ac:dyDescent="0.25">
      <c r="A2231" t="s">
        <v>153</v>
      </c>
      <c r="B2231" t="s">
        <v>188</v>
      </c>
      <c r="C2231" t="s">
        <v>113</v>
      </c>
      <c r="D2231">
        <v>10638700000000</v>
      </c>
      <c r="E2231">
        <v>10638700000000</v>
      </c>
      <c r="F2231">
        <v>10380900000000</v>
      </c>
      <c r="G2231" s="10">
        <f t="shared" si="34"/>
        <v>10552766666666.666</v>
      </c>
      <c r="H2231" t="str">
        <f>$A2231&amp;Keys!$C$54&amp;$B2231&amp;Keys!$C$54&amp;$C2231</f>
        <v>PA|production|heavy fuel oil</v>
      </c>
    </row>
    <row r="2232" spans="1:8" x14ac:dyDescent="0.25">
      <c r="A2232" t="s">
        <v>153</v>
      </c>
      <c r="B2232" t="s">
        <v>188</v>
      </c>
      <c r="C2232" t="s">
        <v>117</v>
      </c>
      <c r="D2232">
        <v>925328000000000</v>
      </c>
      <c r="E2232">
        <v>925328000000000</v>
      </c>
      <c r="F2232">
        <v>944977000000000</v>
      </c>
      <c r="G2232" s="10">
        <f t="shared" si="34"/>
        <v>931877666666666.63</v>
      </c>
      <c r="H2232" t="str">
        <f>$A2232&amp;Keys!$C$54&amp;$B2232&amp;Keys!$C$54&amp;$C2232</f>
        <v>PA|production|LPG propane or butane</v>
      </c>
    </row>
    <row r="2233" spans="1:8" x14ac:dyDescent="0.25">
      <c r="A2233" t="s">
        <v>153</v>
      </c>
      <c r="B2233" t="s">
        <v>188</v>
      </c>
      <c r="C2233" t="s">
        <v>120</v>
      </c>
      <c r="D2233">
        <v>0</v>
      </c>
      <c r="E2233">
        <v>0</v>
      </c>
      <c r="F2233">
        <v>0</v>
      </c>
      <c r="G2233" s="10">
        <f t="shared" si="34"/>
        <v>0</v>
      </c>
      <c r="H2233" t="str">
        <f>$A2233&amp;Keys!$C$54&amp;$B2233&amp;Keys!$C$54&amp;$C2233</f>
        <v>PA|production|municipal solid waste</v>
      </c>
    </row>
    <row r="2234" spans="1:8" x14ac:dyDescent="0.25">
      <c r="A2234" t="s">
        <v>153</v>
      </c>
      <c r="B2234" t="s">
        <v>188</v>
      </c>
      <c r="C2234" t="s">
        <v>123</v>
      </c>
      <c r="D2234">
        <v>1186250000000</v>
      </c>
      <c r="E2234">
        <v>1186250000000</v>
      </c>
      <c r="F2234">
        <v>1126570000000</v>
      </c>
      <c r="G2234" s="10">
        <f t="shared" si="34"/>
        <v>1166356666666.6667</v>
      </c>
      <c r="H2234" t="str">
        <f>$A2234&amp;Keys!$C$54&amp;$B2234&amp;Keys!$C$54&amp;$C2234</f>
        <v>PA|production|hydrogen</v>
      </c>
    </row>
    <row r="2235" spans="1:8" x14ac:dyDescent="0.25">
      <c r="A2235" t="s">
        <v>153</v>
      </c>
      <c r="B2235" t="s">
        <v>191</v>
      </c>
      <c r="C2235" t="s">
        <v>60</v>
      </c>
      <c r="D2235">
        <v>0</v>
      </c>
      <c r="E2235">
        <v>0</v>
      </c>
      <c r="F2235">
        <v>0</v>
      </c>
      <c r="G2235" s="10">
        <f t="shared" si="34"/>
        <v>0</v>
      </c>
      <c r="H2235" t="str">
        <f>$A2235&amp;Keys!$C$54&amp;$B2235&amp;Keys!$C$54&amp;$C2235</f>
        <v>PA|imports|electricity (not used in this variable)</v>
      </c>
    </row>
    <row r="2236" spans="1:8" x14ac:dyDescent="0.25">
      <c r="A2236" t="s">
        <v>153</v>
      </c>
      <c r="B2236" t="s">
        <v>191</v>
      </c>
      <c r="C2236" t="s">
        <v>64</v>
      </c>
      <c r="D2236">
        <v>155849000000000</v>
      </c>
      <c r="E2236">
        <v>0</v>
      </c>
      <c r="F2236">
        <v>0</v>
      </c>
      <c r="G2236" s="10">
        <f t="shared" si="34"/>
        <v>51949666666666.664</v>
      </c>
      <c r="H2236" t="str">
        <f>$A2236&amp;Keys!$C$54&amp;$B2236&amp;Keys!$C$54&amp;$C2236</f>
        <v>PA|imports|hard coal</v>
      </c>
    </row>
    <row r="2237" spans="1:8" x14ac:dyDescent="0.25">
      <c r="A2237" t="s">
        <v>153</v>
      </c>
      <c r="B2237" t="s">
        <v>191</v>
      </c>
      <c r="C2237" t="s">
        <v>68</v>
      </c>
      <c r="D2237">
        <v>447615000000000</v>
      </c>
      <c r="E2237">
        <v>435216000000000</v>
      </c>
      <c r="F2237">
        <v>434288000000000</v>
      </c>
      <c r="G2237" s="10">
        <f t="shared" si="34"/>
        <v>439039666666666.69</v>
      </c>
      <c r="H2237" t="str">
        <f>$A2237&amp;Keys!$C$54&amp;$B2237&amp;Keys!$C$54&amp;$C2237</f>
        <v>PA|imports|natural gas</v>
      </c>
    </row>
    <row r="2238" spans="1:8" x14ac:dyDescent="0.25">
      <c r="A2238" t="s">
        <v>153</v>
      </c>
      <c r="B2238" t="s">
        <v>191</v>
      </c>
      <c r="C2238" t="s">
        <v>71</v>
      </c>
      <c r="D2238">
        <v>787449000000000</v>
      </c>
      <c r="E2238">
        <v>783613000000000</v>
      </c>
      <c r="F2238">
        <v>785492000000000</v>
      </c>
      <c r="G2238" s="10">
        <f t="shared" si="34"/>
        <v>785518000000000</v>
      </c>
      <c r="H2238" t="str">
        <f>$A2238&amp;Keys!$C$54&amp;$B2238&amp;Keys!$C$54&amp;$C2238</f>
        <v>PA|imports|nuclear</v>
      </c>
    </row>
    <row r="2239" spans="1:8" x14ac:dyDescent="0.25">
      <c r="A2239" t="s">
        <v>153</v>
      </c>
      <c r="B2239" t="s">
        <v>191</v>
      </c>
      <c r="C2239" t="s">
        <v>74</v>
      </c>
      <c r="D2239">
        <v>0</v>
      </c>
      <c r="E2239">
        <v>0</v>
      </c>
      <c r="F2239">
        <v>0</v>
      </c>
      <c r="G2239" s="10">
        <f t="shared" si="34"/>
        <v>0</v>
      </c>
      <c r="H2239" t="str">
        <f>$A2239&amp;Keys!$C$54&amp;$B2239&amp;Keys!$C$54&amp;$C2239</f>
        <v>PA|imports|hydro (is not a fuel)</v>
      </c>
    </row>
    <row r="2240" spans="1:8" x14ac:dyDescent="0.25">
      <c r="A2240" t="s">
        <v>153</v>
      </c>
      <c r="B2240" t="s">
        <v>191</v>
      </c>
      <c r="C2240" t="s">
        <v>77</v>
      </c>
      <c r="D2240">
        <v>0</v>
      </c>
      <c r="E2240">
        <v>0</v>
      </c>
      <c r="F2240">
        <v>0</v>
      </c>
      <c r="G2240" s="10">
        <f t="shared" si="34"/>
        <v>0</v>
      </c>
      <c r="H2240" t="str">
        <f>$A2240&amp;Keys!$C$54&amp;$B2240&amp;Keys!$C$54&amp;$C2240</f>
        <v>PA|imports|wind (is not a fuel)</v>
      </c>
    </row>
    <row r="2241" spans="1:8" x14ac:dyDescent="0.25">
      <c r="A2241" t="s">
        <v>153</v>
      </c>
      <c r="B2241" t="s">
        <v>191</v>
      </c>
      <c r="C2241" t="s">
        <v>80</v>
      </c>
      <c r="D2241">
        <v>0</v>
      </c>
      <c r="E2241">
        <v>0</v>
      </c>
      <c r="F2241">
        <v>0</v>
      </c>
      <c r="G2241" s="10">
        <f t="shared" si="34"/>
        <v>0</v>
      </c>
      <c r="H2241" t="str">
        <f>$A2241&amp;Keys!$C$54&amp;$B2241&amp;Keys!$C$54&amp;$C2241</f>
        <v>PA|imports|solar (is not a fuel)</v>
      </c>
    </row>
    <row r="2242" spans="1:8" x14ac:dyDescent="0.25">
      <c r="A2242" t="s">
        <v>153</v>
      </c>
      <c r="B2242" t="s">
        <v>191</v>
      </c>
      <c r="C2242" t="s">
        <v>82</v>
      </c>
      <c r="D2242">
        <v>0</v>
      </c>
      <c r="E2242">
        <v>84982700000000</v>
      </c>
      <c r="F2242">
        <v>83946500000000</v>
      </c>
      <c r="G2242" s="10">
        <f t="shared" si="34"/>
        <v>56309733333333.336</v>
      </c>
      <c r="H2242" t="str">
        <f>$A2242&amp;Keys!$C$54&amp;$B2242&amp;Keys!$C$54&amp;$C2242</f>
        <v>PA|imports|biomass</v>
      </c>
    </row>
    <row r="2243" spans="1:8" x14ac:dyDescent="0.25">
      <c r="A2243" t="s">
        <v>153</v>
      </c>
      <c r="B2243" t="s">
        <v>191</v>
      </c>
      <c r="C2243" t="s">
        <v>85</v>
      </c>
      <c r="D2243">
        <v>0</v>
      </c>
      <c r="E2243">
        <v>184513000000000</v>
      </c>
      <c r="F2243">
        <v>184966000000000</v>
      </c>
      <c r="G2243" s="10">
        <f t="shared" si="34"/>
        <v>123159666666666.67</v>
      </c>
      <c r="H2243" t="str">
        <f>$A2243&amp;Keys!$C$54&amp;$B2243&amp;Keys!$C$54&amp;$C2243</f>
        <v>PA|imports|petroleum gasoline</v>
      </c>
    </row>
    <row r="2244" spans="1:8" x14ac:dyDescent="0.25">
      <c r="A2244" t="s">
        <v>153</v>
      </c>
      <c r="B2244" t="s">
        <v>191</v>
      </c>
      <c r="C2244" t="s">
        <v>88</v>
      </c>
      <c r="D2244">
        <v>0</v>
      </c>
      <c r="E2244">
        <v>195196000000000</v>
      </c>
      <c r="F2244">
        <v>197081000000000</v>
      </c>
      <c r="G2244" s="10">
        <f t="shared" si="34"/>
        <v>130759000000000</v>
      </c>
      <c r="H2244" t="str">
        <f>$A2244&amp;Keys!$C$54&amp;$B2244&amp;Keys!$C$54&amp;$C2244</f>
        <v>PA|imports|petroleum diesel</v>
      </c>
    </row>
    <row r="2245" spans="1:8" x14ac:dyDescent="0.25">
      <c r="A2245" t="s">
        <v>153</v>
      </c>
      <c r="B2245" t="s">
        <v>191</v>
      </c>
      <c r="C2245" t="s">
        <v>91</v>
      </c>
      <c r="D2245">
        <v>0</v>
      </c>
      <c r="E2245">
        <v>20610000000000</v>
      </c>
      <c r="F2245">
        <v>20175600000000</v>
      </c>
      <c r="G2245" s="10">
        <f t="shared" si="34"/>
        <v>13595200000000</v>
      </c>
      <c r="H2245" t="str">
        <f>$A2245&amp;Keys!$C$54&amp;$B2245&amp;Keys!$C$54&amp;$C2245</f>
        <v>PA|imports|biofuel gasoline</v>
      </c>
    </row>
    <row r="2246" spans="1:8" x14ac:dyDescent="0.25">
      <c r="A2246" t="s">
        <v>153</v>
      </c>
      <c r="B2246" t="s">
        <v>191</v>
      </c>
      <c r="C2246" t="s">
        <v>94</v>
      </c>
      <c r="D2246">
        <v>0</v>
      </c>
      <c r="E2246">
        <v>0</v>
      </c>
      <c r="F2246">
        <v>0</v>
      </c>
      <c r="G2246" s="10">
        <f t="shared" si="34"/>
        <v>0</v>
      </c>
      <c r="H2246" t="str">
        <f>$A2246&amp;Keys!$C$54&amp;$B2246&amp;Keys!$C$54&amp;$C2246</f>
        <v>PA|imports|biofuel diesel</v>
      </c>
    </row>
    <row r="2247" spans="1:8" x14ac:dyDescent="0.25">
      <c r="A2247" t="s">
        <v>153</v>
      </c>
      <c r="B2247" t="s">
        <v>191</v>
      </c>
      <c r="C2247" t="s">
        <v>97</v>
      </c>
      <c r="D2247">
        <v>0</v>
      </c>
      <c r="E2247">
        <v>11539700000000</v>
      </c>
      <c r="F2247">
        <v>14128100000000</v>
      </c>
      <c r="G2247" s="10">
        <f t="shared" si="34"/>
        <v>8555933333333.333</v>
      </c>
      <c r="H2247" t="str">
        <f>$A2247&amp;Keys!$C$54&amp;$B2247&amp;Keys!$C$54&amp;$C2247</f>
        <v>PA|imports|jet fuel or kerosene</v>
      </c>
    </row>
    <row r="2248" spans="1:8" x14ac:dyDescent="0.25">
      <c r="A2248" t="s">
        <v>153</v>
      </c>
      <c r="B2248" t="s">
        <v>191</v>
      </c>
      <c r="C2248" t="s">
        <v>100</v>
      </c>
      <c r="D2248">
        <v>0</v>
      </c>
      <c r="E2248">
        <v>0</v>
      </c>
      <c r="F2248">
        <v>0</v>
      </c>
      <c r="G2248" s="10">
        <f t="shared" si="34"/>
        <v>0</v>
      </c>
      <c r="H2248" t="str">
        <f>$A2248&amp;Keys!$C$54&amp;$B2248&amp;Keys!$C$54&amp;$C2248</f>
        <v>PA|imports|heat (not used in this variable)</v>
      </c>
    </row>
    <row r="2249" spans="1:8" x14ac:dyDescent="0.25">
      <c r="A2249" t="s">
        <v>153</v>
      </c>
      <c r="B2249" t="s">
        <v>191</v>
      </c>
      <c r="C2249" t="s">
        <v>103</v>
      </c>
      <c r="D2249">
        <v>0</v>
      </c>
      <c r="E2249">
        <v>0</v>
      </c>
      <c r="F2249">
        <v>0</v>
      </c>
      <c r="G2249" s="10">
        <f t="shared" ref="G2249:G2312" si="35">AVERAGE($D2249:$F2249)</f>
        <v>0</v>
      </c>
      <c r="H2249" t="str">
        <f>$A2249&amp;Keys!$C$54&amp;$B2249&amp;Keys!$C$54&amp;$C2249</f>
        <v>PA|imports|geothermal (is not a fuel)</v>
      </c>
    </row>
    <row r="2250" spans="1:8" x14ac:dyDescent="0.25">
      <c r="A2250" t="s">
        <v>153</v>
      </c>
      <c r="B2250" t="s">
        <v>191</v>
      </c>
      <c r="C2250" t="s">
        <v>106</v>
      </c>
      <c r="D2250">
        <v>0</v>
      </c>
      <c r="E2250">
        <v>0</v>
      </c>
      <c r="F2250">
        <v>0</v>
      </c>
      <c r="G2250" s="10">
        <f t="shared" si="35"/>
        <v>0</v>
      </c>
      <c r="H2250" t="str">
        <f>$A2250&amp;Keys!$C$54&amp;$B2250&amp;Keys!$C$54&amp;$C2250</f>
        <v>PA|imports|lignite</v>
      </c>
    </row>
    <row r="2251" spans="1:8" x14ac:dyDescent="0.25">
      <c r="A2251" t="s">
        <v>153</v>
      </c>
      <c r="B2251" t="s">
        <v>191</v>
      </c>
      <c r="C2251" t="s">
        <v>109</v>
      </c>
      <c r="D2251">
        <v>0</v>
      </c>
      <c r="E2251">
        <v>533665000000000</v>
      </c>
      <c r="F2251">
        <v>536021000000000</v>
      </c>
      <c r="G2251" s="10">
        <f t="shared" si="35"/>
        <v>356562000000000</v>
      </c>
      <c r="H2251" t="str">
        <f>$A2251&amp;Keys!$C$54&amp;$B2251&amp;Keys!$C$54&amp;$C2251</f>
        <v>PA|imports|crude oil</v>
      </c>
    </row>
    <row r="2252" spans="1:8" x14ac:dyDescent="0.25">
      <c r="A2252" t="s">
        <v>153</v>
      </c>
      <c r="B2252" t="s">
        <v>191</v>
      </c>
      <c r="C2252" t="s">
        <v>113</v>
      </c>
      <c r="D2252">
        <v>0</v>
      </c>
      <c r="E2252">
        <v>30520700000000</v>
      </c>
      <c r="F2252">
        <v>31568000000000</v>
      </c>
      <c r="G2252" s="10">
        <f t="shared" si="35"/>
        <v>20696233333333.332</v>
      </c>
      <c r="H2252" t="str">
        <f>$A2252&amp;Keys!$C$54&amp;$B2252&amp;Keys!$C$54&amp;$C2252</f>
        <v>PA|imports|heavy fuel oil</v>
      </c>
    </row>
    <row r="2253" spans="1:8" x14ac:dyDescent="0.25">
      <c r="A2253" t="s">
        <v>153</v>
      </c>
      <c r="B2253" t="s">
        <v>191</v>
      </c>
      <c r="C2253" t="s">
        <v>117</v>
      </c>
      <c r="D2253">
        <v>0</v>
      </c>
      <c r="E2253">
        <v>0</v>
      </c>
      <c r="F2253">
        <v>0</v>
      </c>
      <c r="G2253" s="10">
        <f t="shared" si="35"/>
        <v>0</v>
      </c>
      <c r="H2253" t="str">
        <f>$A2253&amp;Keys!$C$54&amp;$B2253&amp;Keys!$C$54&amp;$C2253</f>
        <v>PA|imports|LPG propane or butane</v>
      </c>
    </row>
    <row r="2254" spans="1:8" x14ac:dyDescent="0.25">
      <c r="A2254" t="s">
        <v>153</v>
      </c>
      <c r="B2254" t="s">
        <v>191</v>
      </c>
      <c r="C2254" t="s">
        <v>120</v>
      </c>
      <c r="D2254">
        <v>0</v>
      </c>
      <c r="E2254">
        <v>19514100000000</v>
      </c>
      <c r="F2254">
        <v>35973300000000</v>
      </c>
      <c r="G2254" s="10">
        <f t="shared" si="35"/>
        <v>18495800000000</v>
      </c>
      <c r="H2254" t="str">
        <f>$A2254&amp;Keys!$C$54&amp;$B2254&amp;Keys!$C$54&amp;$C2254</f>
        <v>PA|imports|municipal solid waste</v>
      </c>
    </row>
    <row r="2255" spans="1:8" x14ac:dyDescent="0.25">
      <c r="A2255" t="s">
        <v>153</v>
      </c>
      <c r="B2255" t="s">
        <v>191</v>
      </c>
      <c r="C2255" t="s">
        <v>123</v>
      </c>
      <c r="D2255">
        <v>0</v>
      </c>
      <c r="E2255">
        <v>0</v>
      </c>
      <c r="F2255">
        <v>0</v>
      </c>
      <c r="G2255" s="10">
        <f t="shared" si="35"/>
        <v>0</v>
      </c>
      <c r="H2255" t="str">
        <f>$A2255&amp;Keys!$C$54&amp;$B2255&amp;Keys!$C$54&amp;$C2255</f>
        <v>PA|imports|hydrogen</v>
      </c>
    </row>
    <row r="2256" spans="1:8" x14ac:dyDescent="0.25">
      <c r="A2256" t="s">
        <v>153</v>
      </c>
      <c r="B2256" t="s">
        <v>193</v>
      </c>
      <c r="C2256" t="s">
        <v>60</v>
      </c>
      <c r="D2256">
        <v>0</v>
      </c>
      <c r="E2256">
        <v>0</v>
      </c>
      <c r="F2256">
        <v>0</v>
      </c>
      <c r="G2256" s="10">
        <f t="shared" si="35"/>
        <v>0</v>
      </c>
      <c r="H2256" t="str">
        <f>$A2256&amp;Keys!$C$54&amp;$B2256&amp;Keys!$C$54&amp;$C2256</f>
        <v>PA|exports|electricity (not used in this variable)</v>
      </c>
    </row>
    <row r="2257" spans="1:8" x14ac:dyDescent="0.25">
      <c r="A2257" t="s">
        <v>153</v>
      </c>
      <c r="B2257" t="s">
        <v>193</v>
      </c>
      <c r="C2257" t="s">
        <v>64</v>
      </c>
      <c r="D2257">
        <v>0</v>
      </c>
      <c r="E2257">
        <v>485549000000000</v>
      </c>
      <c r="F2257">
        <v>485447000000000</v>
      </c>
      <c r="G2257" s="10">
        <f t="shared" si="35"/>
        <v>323665333333333.31</v>
      </c>
      <c r="H2257" t="str">
        <f>$A2257&amp;Keys!$C$54&amp;$B2257&amp;Keys!$C$54&amp;$C2257</f>
        <v>PA|exports|hard coal</v>
      </c>
    </row>
    <row r="2258" spans="1:8" x14ac:dyDescent="0.25">
      <c r="A2258" t="s">
        <v>153</v>
      </c>
      <c r="B2258" t="s">
        <v>193</v>
      </c>
      <c r="C2258" t="s">
        <v>68</v>
      </c>
      <c r="D2258">
        <v>6109100000000000</v>
      </c>
      <c r="E2258">
        <v>6109100000000000</v>
      </c>
      <c r="F2258">
        <v>6128070000000000</v>
      </c>
      <c r="G2258" s="10">
        <f t="shared" si="35"/>
        <v>6115423333333333</v>
      </c>
      <c r="H2258" t="str">
        <f>$A2258&amp;Keys!$C$54&amp;$B2258&amp;Keys!$C$54&amp;$C2258</f>
        <v>PA|exports|natural gas</v>
      </c>
    </row>
    <row r="2259" spans="1:8" x14ac:dyDescent="0.25">
      <c r="A2259" t="s">
        <v>153</v>
      </c>
      <c r="B2259" t="s">
        <v>193</v>
      </c>
      <c r="C2259" t="s">
        <v>71</v>
      </c>
      <c r="D2259">
        <v>0</v>
      </c>
      <c r="E2259">
        <v>0</v>
      </c>
      <c r="F2259">
        <v>0</v>
      </c>
      <c r="G2259" s="10">
        <f t="shared" si="35"/>
        <v>0</v>
      </c>
      <c r="H2259" t="str">
        <f>$A2259&amp;Keys!$C$54&amp;$B2259&amp;Keys!$C$54&amp;$C2259</f>
        <v>PA|exports|nuclear</v>
      </c>
    </row>
    <row r="2260" spans="1:8" x14ac:dyDescent="0.25">
      <c r="A2260" t="s">
        <v>153</v>
      </c>
      <c r="B2260" t="s">
        <v>193</v>
      </c>
      <c r="C2260" t="s">
        <v>74</v>
      </c>
      <c r="D2260">
        <v>0</v>
      </c>
      <c r="E2260">
        <v>0</v>
      </c>
      <c r="F2260">
        <v>0</v>
      </c>
      <c r="G2260" s="10">
        <f t="shared" si="35"/>
        <v>0</v>
      </c>
      <c r="H2260" t="str">
        <f>$A2260&amp;Keys!$C$54&amp;$B2260&amp;Keys!$C$54&amp;$C2260</f>
        <v>PA|exports|hydro (is not a fuel)</v>
      </c>
    </row>
    <row r="2261" spans="1:8" x14ac:dyDescent="0.25">
      <c r="A2261" t="s">
        <v>153</v>
      </c>
      <c r="B2261" t="s">
        <v>193</v>
      </c>
      <c r="C2261" t="s">
        <v>77</v>
      </c>
      <c r="D2261">
        <v>0</v>
      </c>
      <c r="E2261">
        <v>0</v>
      </c>
      <c r="F2261">
        <v>0</v>
      </c>
      <c r="G2261" s="10">
        <f t="shared" si="35"/>
        <v>0</v>
      </c>
      <c r="H2261" t="str">
        <f>$A2261&amp;Keys!$C$54&amp;$B2261&amp;Keys!$C$54&amp;$C2261</f>
        <v>PA|exports|wind (is not a fuel)</v>
      </c>
    </row>
    <row r="2262" spans="1:8" x14ac:dyDescent="0.25">
      <c r="A2262" t="s">
        <v>153</v>
      </c>
      <c r="B2262" t="s">
        <v>193</v>
      </c>
      <c r="C2262" t="s">
        <v>80</v>
      </c>
      <c r="D2262">
        <v>0</v>
      </c>
      <c r="E2262">
        <v>0</v>
      </c>
      <c r="F2262">
        <v>0</v>
      </c>
      <c r="G2262" s="10">
        <f t="shared" si="35"/>
        <v>0</v>
      </c>
      <c r="H2262" t="str">
        <f>$A2262&amp;Keys!$C$54&amp;$B2262&amp;Keys!$C$54&amp;$C2262</f>
        <v>PA|exports|solar (is not a fuel)</v>
      </c>
    </row>
    <row r="2263" spans="1:8" x14ac:dyDescent="0.25">
      <c r="A2263" t="s">
        <v>153</v>
      </c>
      <c r="B2263" t="s">
        <v>193</v>
      </c>
      <c r="C2263" t="s">
        <v>82</v>
      </c>
      <c r="D2263">
        <v>0</v>
      </c>
      <c r="E2263">
        <v>0</v>
      </c>
      <c r="F2263">
        <v>0</v>
      </c>
      <c r="G2263" s="10">
        <f t="shared" si="35"/>
        <v>0</v>
      </c>
      <c r="H2263" t="str">
        <f>$A2263&amp;Keys!$C$54&amp;$B2263&amp;Keys!$C$54&amp;$C2263</f>
        <v>PA|exports|biomass</v>
      </c>
    </row>
    <row r="2264" spans="1:8" x14ac:dyDescent="0.25">
      <c r="A2264" t="s">
        <v>153</v>
      </c>
      <c r="B2264" t="s">
        <v>193</v>
      </c>
      <c r="C2264" t="s">
        <v>85</v>
      </c>
      <c r="D2264">
        <v>0</v>
      </c>
      <c r="E2264">
        <v>0</v>
      </c>
      <c r="F2264">
        <v>0</v>
      </c>
      <c r="G2264" s="10">
        <f t="shared" si="35"/>
        <v>0</v>
      </c>
      <c r="H2264" t="str">
        <f>$A2264&amp;Keys!$C$54&amp;$B2264&amp;Keys!$C$54&amp;$C2264</f>
        <v>PA|exports|petroleum gasoline</v>
      </c>
    </row>
    <row r="2265" spans="1:8" x14ac:dyDescent="0.25">
      <c r="A2265" t="s">
        <v>153</v>
      </c>
      <c r="B2265" t="s">
        <v>193</v>
      </c>
      <c r="C2265" t="s">
        <v>88</v>
      </c>
      <c r="D2265">
        <v>0</v>
      </c>
      <c r="E2265">
        <v>0</v>
      </c>
      <c r="F2265">
        <v>0</v>
      </c>
      <c r="G2265" s="10">
        <f t="shared" si="35"/>
        <v>0</v>
      </c>
      <c r="H2265" t="str">
        <f>$A2265&amp;Keys!$C$54&amp;$B2265&amp;Keys!$C$54&amp;$C2265</f>
        <v>PA|exports|petroleum diesel</v>
      </c>
    </row>
    <row r="2266" spans="1:8" x14ac:dyDescent="0.25">
      <c r="A2266" t="s">
        <v>153</v>
      </c>
      <c r="B2266" t="s">
        <v>193</v>
      </c>
      <c r="C2266" t="s">
        <v>91</v>
      </c>
      <c r="D2266">
        <v>0</v>
      </c>
      <c r="E2266">
        <v>0</v>
      </c>
      <c r="F2266">
        <v>0</v>
      </c>
      <c r="G2266" s="10">
        <f t="shared" si="35"/>
        <v>0</v>
      </c>
      <c r="H2266" t="str">
        <f>$A2266&amp;Keys!$C$54&amp;$B2266&amp;Keys!$C$54&amp;$C2266</f>
        <v>PA|exports|biofuel gasoline</v>
      </c>
    </row>
    <row r="2267" spans="1:8" x14ac:dyDescent="0.25">
      <c r="A2267" t="s">
        <v>153</v>
      </c>
      <c r="B2267" t="s">
        <v>193</v>
      </c>
      <c r="C2267" t="s">
        <v>94</v>
      </c>
      <c r="D2267">
        <v>0</v>
      </c>
      <c r="E2267">
        <v>14036500000000</v>
      </c>
      <c r="F2267">
        <v>17600800000000</v>
      </c>
      <c r="G2267" s="10">
        <f t="shared" si="35"/>
        <v>10545766666666.666</v>
      </c>
      <c r="H2267" t="str">
        <f>$A2267&amp;Keys!$C$54&amp;$B2267&amp;Keys!$C$54&amp;$C2267</f>
        <v>PA|exports|biofuel diesel</v>
      </c>
    </row>
    <row r="2268" spans="1:8" x14ac:dyDescent="0.25">
      <c r="A2268" t="s">
        <v>153</v>
      </c>
      <c r="B2268" t="s">
        <v>193</v>
      </c>
      <c r="C2268" t="s">
        <v>97</v>
      </c>
      <c r="D2268">
        <v>0</v>
      </c>
      <c r="E2268">
        <v>0</v>
      </c>
      <c r="F2268">
        <v>0</v>
      </c>
      <c r="G2268" s="10">
        <f t="shared" si="35"/>
        <v>0</v>
      </c>
      <c r="H2268" t="str">
        <f>$A2268&amp;Keys!$C$54&amp;$B2268&amp;Keys!$C$54&amp;$C2268</f>
        <v>PA|exports|jet fuel or kerosene</v>
      </c>
    </row>
    <row r="2269" spans="1:8" x14ac:dyDescent="0.25">
      <c r="A2269" t="s">
        <v>153</v>
      </c>
      <c r="B2269" t="s">
        <v>193</v>
      </c>
      <c r="C2269" t="s">
        <v>100</v>
      </c>
      <c r="D2269">
        <v>0</v>
      </c>
      <c r="E2269">
        <v>0</v>
      </c>
      <c r="F2269">
        <v>0</v>
      </c>
      <c r="G2269" s="10">
        <f t="shared" si="35"/>
        <v>0</v>
      </c>
      <c r="H2269" t="str">
        <f>$A2269&amp;Keys!$C$54&amp;$B2269&amp;Keys!$C$54&amp;$C2269</f>
        <v>PA|exports|heat (not used in this variable)</v>
      </c>
    </row>
    <row r="2270" spans="1:8" x14ac:dyDescent="0.25">
      <c r="A2270" t="s">
        <v>153</v>
      </c>
      <c r="B2270" t="s">
        <v>193</v>
      </c>
      <c r="C2270" t="s">
        <v>103</v>
      </c>
      <c r="D2270">
        <v>0</v>
      </c>
      <c r="E2270">
        <v>0</v>
      </c>
      <c r="F2270">
        <v>0</v>
      </c>
      <c r="G2270" s="10">
        <f t="shared" si="35"/>
        <v>0</v>
      </c>
      <c r="H2270" t="str">
        <f>$A2270&amp;Keys!$C$54&amp;$B2270&amp;Keys!$C$54&amp;$C2270</f>
        <v>PA|exports|geothermal (is not a fuel)</v>
      </c>
    </row>
    <row r="2271" spans="1:8" x14ac:dyDescent="0.25">
      <c r="A2271" t="s">
        <v>153</v>
      </c>
      <c r="B2271" t="s">
        <v>193</v>
      </c>
      <c r="C2271" t="s">
        <v>106</v>
      </c>
      <c r="D2271">
        <v>0</v>
      </c>
      <c r="E2271">
        <v>0</v>
      </c>
      <c r="F2271">
        <v>0</v>
      </c>
      <c r="G2271" s="10">
        <f t="shared" si="35"/>
        <v>0</v>
      </c>
      <c r="H2271" t="str">
        <f>$A2271&amp;Keys!$C$54&amp;$B2271&amp;Keys!$C$54&amp;$C2271</f>
        <v>PA|exports|lignite</v>
      </c>
    </row>
    <row r="2272" spans="1:8" x14ac:dyDescent="0.25">
      <c r="A2272" t="s">
        <v>153</v>
      </c>
      <c r="B2272" t="s">
        <v>193</v>
      </c>
      <c r="C2272" t="s">
        <v>109</v>
      </c>
      <c r="D2272">
        <v>0</v>
      </c>
      <c r="E2272">
        <v>0</v>
      </c>
      <c r="F2272">
        <v>0</v>
      </c>
      <c r="G2272" s="10">
        <f t="shared" si="35"/>
        <v>0</v>
      </c>
      <c r="H2272" t="str">
        <f>$A2272&amp;Keys!$C$54&amp;$B2272&amp;Keys!$C$54&amp;$C2272</f>
        <v>PA|exports|crude oil</v>
      </c>
    </row>
    <row r="2273" spans="1:8" x14ac:dyDescent="0.25">
      <c r="A2273" t="s">
        <v>153</v>
      </c>
      <c r="B2273" t="s">
        <v>193</v>
      </c>
      <c r="C2273" t="s">
        <v>113</v>
      </c>
      <c r="D2273">
        <v>0</v>
      </c>
      <c r="E2273">
        <v>0</v>
      </c>
      <c r="F2273">
        <v>0</v>
      </c>
      <c r="G2273" s="10">
        <f t="shared" si="35"/>
        <v>0</v>
      </c>
      <c r="H2273" t="str">
        <f>$A2273&amp;Keys!$C$54&amp;$B2273&amp;Keys!$C$54&amp;$C2273</f>
        <v>PA|exports|heavy fuel oil</v>
      </c>
    </row>
    <row r="2274" spans="1:8" x14ac:dyDescent="0.25">
      <c r="A2274" t="s">
        <v>153</v>
      </c>
      <c r="B2274" t="s">
        <v>193</v>
      </c>
      <c r="C2274" t="s">
        <v>117</v>
      </c>
      <c r="D2274">
        <v>0</v>
      </c>
      <c r="E2274">
        <v>782902000000000</v>
      </c>
      <c r="F2274">
        <v>802938000000000</v>
      </c>
      <c r="G2274" s="10">
        <f t="shared" si="35"/>
        <v>528613333333333.31</v>
      </c>
      <c r="H2274" t="str">
        <f>$A2274&amp;Keys!$C$54&amp;$B2274&amp;Keys!$C$54&amp;$C2274</f>
        <v>PA|exports|LPG propane or butane</v>
      </c>
    </row>
    <row r="2275" spans="1:8" x14ac:dyDescent="0.25">
      <c r="A2275" t="s">
        <v>153</v>
      </c>
      <c r="B2275" t="s">
        <v>193</v>
      </c>
      <c r="C2275" t="s">
        <v>120</v>
      </c>
      <c r="D2275">
        <v>0</v>
      </c>
      <c r="E2275">
        <v>0</v>
      </c>
      <c r="F2275">
        <v>0</v>
      </c>
      <c r="G2275" s="10">
        <f t="shared" si="35"/>
        <v>0</v>
      </c>
      <c r="H2275" t="str">
        <f>$A2275&amp;Keys!$C$54&amp;$B2275&amp;Keys!$C$54&amp;$C2275</f>
        <v>PA|exports|municipal solid waste</v>
      </c>
    </row>
    <row r="2276" spans="1:8" x14ac:dyDescent="0.25">
      <c r="A2276" t="s">
        <v>153</v>
      </c>
      <c r="B2276" t="s">
        <v>193</v>
      </c>
      <c r="C2276" t="s">
        <v>123</v>
      </c>
      <c r="D2276">
        <v>0</v>
      </c>
      <c r="E2276">
        <v>447427000000</v>
      </c>
      <c r="F2276">
        <v>387512000000</v>
      </c>
      <c r="G2276" s="10">
        <f t="shared" si="35"/>
        <v>278313000000</v>
      </c>
      <c r="H2276" t="str">
        <f>$A2276&amp;Keys!$C$54&amp;$B2276&amp;Keys!$C$54&amp;$C2276</f>
        <v>PA|exports|hydrogen</v>
      </c>
    </row>
    <row r="2277" spans="1:8" x14ac:dyDescent="0.25">
      <c r="A2277" t="s">
        <v>155</v>
      </c>
      <c r="B2277" t="s">
        <v>188</v>
      </c>
      <c r="C2277" t="s">
        <v>60</v>
      </c>
      <c r="D2277">
        <v>0</v>
      </c>
      <c r="E2277">
        <v>0</v>
      </c>
      <c r="F2277">
        <v>0</v>
      </c>
      <c r="G2277" s="10">
        <f t="shared" si="35"/>
        <v>0</v>
      </c>
      <c r="H2277" t="str">
        <f>$A2277&amp;Keys!$C$54&amp;$B2277&amp;Keys!$C$54&amp;$C2277</f>
        <v>RI|production|electricity (not used in this variable)</v>
      </c>
    </row>
    <row r="2278" spans="1:8" x14ac:dyDescent="0.25">
      <c r="A2278" t="s">
        <v>155</v>
      </c>
      <c r="B2278" t="s">
        <v>188</v>
      </c>
      <c r="C2278" t="s">
        <v>64</v>
      </c>
      <c r="D2278">
        <v>0</v>
      </c>
      <c r="E2278">
        <v>0</v>
      </c>
      <c r="F2278">
        <v>0</v>
      </c>
      <c r="G2278" s="10">
        <f t="shared" si="35"/>
        <v>0</v>
      </c>
      <c r="H2278" t="str">
        <f>$A2278&amp;Keys!$C$54&amp;$B2278&amp;Keys!$C$54&amp;$C2278</f>
        <v>RI|production|hard coal</v>
      </c>
    </row>
    <row r="2279" spans="1:8" x14ac:dyDescent="0.25">
      <c r="A2279" t="s">
        <v>155</v>
      </c>
      <c r="B2279" t="s">
        <v>188</v>
      </c>
      <c r="C2279" t="s">
        <v>68</v>
      </c>
      <c r="D2279">
        <v>0</v>
      </c>
      <c r="E2279">
        <v>0</v>
      </c>
      <c r="F2279">
        <v>0</v>
      </c>
      <c r="G2279" s="10">
        <f t="shared" si="35"/>
        <v>0</v>
      </c>
      <c r="H2279" t="str">
        <f>$A2279&amp;Keys!$C$54&amp;$B2279&amp;Keys!$C$54&amp;$C2279</f>
        <v>RI|production|natural gas</v>
      </c>
    </row>
    <row r="2280" spans="1:8" x14ac:dyDescent="0.25">
      <c r="A2280" t="s">
        <v>155</v>
      </c>
      <c r="B2280" t="s">
        <v>188</v>
      </c>
      <c r="C2280" t="s">
        <v>71</v>
      </c>
      <c r="D2280">
        <v>0</v>
      </c>
      <c r="E2280">
        <v>0</v>
      </c>
      <c r="F2280">
        <v>0</v>
      </c>
      <c r="G2280" s="10">
        <f t="shared" si="35"/>
        <v>0</v>
      </c>
      <c r="H2280" t="str">
        <f>$A2280&amp;Keys!$C$54&amp;$B2280&amp;Keys!$C$54&amp;$C2280</f>
        <v>RI|production|nuclear</v>
      </c>
    </row>
    <row r="2281" spans="1:8" x14ac:dyDescent="0.25">
      <c r="A2281" t="s">
        <v>155</v>
      </c>
      <c r="B2281" t="s">
        <v>188</v>
      </c>
      <c r="C2281" t="s">
        <v>74</v>
      </c>
      <c r="D2281">
        <v>0</v>
      </c>
      <c r="E2281">
        <v>0</v>
      </c>
      <c r="F2281">
        <v>0</v>
      </c>
      <c r="G2281" s="10">
        <f t="shared" si="35"/>
        <v>0</v>
      </c>
      <c r="H2281" t="str">
        <f>$A2281&amp;Keys!$C$54&amp;$B2281&amp;Keys!$C$54&amp;$C2281</f>
        <v>RI|production|hydro (is not a fuel)</v>
      </c>
    </row>
    <row r="2282" spans="1:8" x14ac:dyDescent="0.25">
      <c r="A2282" t="s">
        <v>155</v>
      </c>
      <c r="B2282" t="s">
        <v>188</v>
      </c>
      <c r="C2282" t="s">
        <v>77</v>
      </c>
      <c r="D2282">
        <v>0</v>
      </c>
      <c r="E2282">
        <v>0</v>
      </c>
      <c r="F2282">
        <v>0</v>
      </c>
      <c r="G2282" s="10">
        <f t="shared" si="35"/>
        <v>0</v>
      </c>
      <c r="H2282" t="str">
        <f>$A2282&amp;Keys!$C$54&amp;$B2282&amp;Keys!$C$54&amp;$C2282</f>
        <v>RI|production|wind (is not a fuel)</v>
      </c>
    </row>
    <row r="2283" spans="1:8" x14ac:dyDescent="0.25">
      <c r="A2283" t="s">
        <v>155</v>
      </c>
      <c r="B2283" t="s">
        <v>188</v>
      </c>
      <c r="C2283" t="s">
        <v>80</v>
      </c>
      <c r="D2283">
        <v>0</v>
      </c>
      <c r="E2283">
        <v>0</v>
      </c>
      <c r="F2283">
        <v>0</v>
      </c>
      <c r="G2283" s="10">
        <f t="shared" si="35"/>
        <v>0</v>
      </c>
      <c r="H2283" t="str">
        <f>$A2283&amp;Keys!$C$54&amp;$B2283&amp;Keys!$C$54&amp;$C2283</f>
        <v>RI|production|solar (is not a fuel)</v>
      </c>
    </row>
    <row r="2284" spans="1:8" x14ac:dyDescent="0.25">
      <c r="A2284" t="s">
        <v>155</v>
      </c>
      <c r="B2284" t="s">
        <v>188</v>
      </c>
      <c r="C2284" t="s">
        <v>82</v>
      </c>
      <c r="D2284">
        <v>0</v>
      </c>
      <c r="E2284">
        <v>0</v>
      </c>
      <c r="F2284">
        <v>0</v>
      </c>
      <c r="G2284" s="10">
        <f t="shared" si="35"/>
        <v>0</v>
      </c>
      <c r="H2284" t="str">
        <f>$A2284&amp;Keys!$C$54&amp;$B2284&amp;Keys!$C$54&amp;$C2284</f>
        <v>RI|production|biomass</v>
      </c>
    </row>
    <row r="2285" spans="1:8" x14ac:dyDescent="0.25">
      <c r="A2285" t="s">
        <v>155</v>
      </c>
      <c r="B2285" t="s">
        <v>188</v>
      </c>
      <c r="C2285" t="s">
        <v>85</v>
      </c>
      <c r="D2285">
        <v>0</v>
      </c>
      <c r="E2285">
        <v>0</v>
      </c>
      <c r="F2285">
        <v>0</v>
      </c>
      <c r="G2285" s="10">
        <f t="shared" si="35"/>
        <v>0</v>
      </c>
      <c r="H2285" t="str">
        <f>$A2285&amp;Keys!$C$54&amp;$B2285&amp;Keys!$C$54&amp;$C2285</f>
        <v>RI|production|petroleum gasoline</v>
      </c>
    </row>
    <row r="2286" spans="1:8" x14ac:dyDescent="0.25">
      <c r="A2286" t="s">
        <v>155</v>
      </c>
      <c r="B2286" t="s">
        <v>188</v>
      </c>
      <c r="C2286" t="s">
        <v>88</v>
      </c>
      <c r="D2286">
        <v>0</v>
      </c>
      <c r="E2286">
        <v>0</v>
      </c>
      <c r="F2286">
        <v>0</v>
      </c>
      <c r="G2286" s="10">
        <f t="shared" si="35"/>
        <v>0</v>
      </c>
      <c r="H2286" t="str">
        <f>$A2286&amp;Keys!$C$54&amp;$B2286&amp;Keys!$C$54&amp;$C2286</f>
        <v>RI|production|petroleum diesel</v>
      </c>
    </row>
    <row r="2287" spans="1:8" x14ac:dyDescent="0.25">
      <c r="A2287" t="s">
        <v>155</v>
      </c>
      <c r="B2287" t="s">
        <v>188</v>
      </c>
      <c r="C2287" t="s">
        <v>91</v>
      </c>
      <c r="D2287">
        <v>0</v>
      </c>
      <c r="E2287">
        <v>0</v>
      </c>
      <c r="F2287">
        <v>0</v>
      </c>
      <c r="G2287" s="10">
        <f t="shared" si="35"/>
        <v>0</v>
      </c>
      <c r="H2287" t="str">
        <f>$A2287&amp;Keys!$C$54&amp;$B2287&amp;Keys!$C$54&amp;$C2287</f>
        <v>RI|production|biofuel gasoline</v>
      </c>
    </row>
    <row r="2288" spans="1:8" x14ac:dyDescent="0.25">
      <c r="A2288" t="s">
        <v>155</v>
      </c>
      <c r="B2288" t="s">
        <v>188</v>
      </c>
      <c r="C2288" t="s">
        <v>94</v>
      </c>
      <c r="D2288">
        <v>0</v>
      </c>
      <c r="E2288">
        <v>0</v>
      </c>
      <c r="F2288">
        <v>0</v>
      </c>
      <c r="G2288" s="10">
        <f t="shared" si="35"/>
        <v>0</v>
      </c>
      <c r="H2288" t="str">
        <f>$A2288&amp;Keys!$C$54&amp;$B2288&amp;Keys!$C$54&amp;$C2288</f>
        <v>RI|production|biofuel diesel</v>
      </c>
    </row>
    <row r="2289" spans="1:8" x14ac:dyDescent="0.25">
      <c r="A2289" t="s">
        <v>155</v>
      </c>
      <c r="B2289" t="s">
        <v>188</v>
      </c>
      <c r="C2289" t="s">
        <v>97</v>
      </c>
      <c r="D2289">
        <v>0</v>
      </c>
      <c r="E2289">
        <v>0</v>
      </c>
      <c r="F2289">
        <v>0</v>
      </c>
      <c r="G2289" s="10">
        <f t="shared" si="35"/>
        <v>0</v>
      </c>
      <c r="H2289" t="str">
        <f>$A2289&amp;Keys!$C$54&amp;$B2289&amp;Keys!$C$54&amp;$C2289</f>
        <v>RI|production|jet fuel or kerosene</v>
      </c>
    </row>
    <row r="2290" spans="1:8" x14ac:dyDescent="0.25">
      <c r="A2290" t="s">
        <v>155</v>
      </c>
      <c r="B2290" t="s">
        <v>188</v>
      </c>
      <c r="C2290" t="s">
        <v>100</v>
      </c>
      <c r="D2290">
        <v>0</v>
      </c>
      <c r="E2290">
        <v>0</v>
      </c>
      <c r="F2290">
        <v>0</v>
      </c>
      <c r="G2290" s="10">
        <f t="shared" si="35"/>
        <v>0</v>
      </c>
      <c r="H2290" t="str">
        <f>$A2290&amp;Keys!$C$54&amp;$B2290&amp;Keys!$C$54&amp;$C2290</f>
        <v>RI|production|heat (not used in this variable)</v>
      </c>
    </row>
    <row r="2291" spans="1:8" x14ac:dyDescent="0.25">
      <c r="A2291" t="s">
        <v>155</v>
      </c>
      <c r="B2291" t="s">
        <v>188</v>
      </c>
      <c r="C2291" t="s">
        <v>103</v>
      </c>
      <c r="D2291">
        <v>0</v>
      </c>
      <c r="E2291">
        <v>0</v>
      </c>
      <c r="F2291">
        <v>0</v>
      </c>
      <c r="G2291" s="10">
        <f t="shared" si="35"/>
        <v>0</v>
      </c>
      <c r="H2291" t="str">
        <f>$A2291&amp;Keys!$C$54&amp;$B2291&amp;Keys!$C$54&amp;$C2291</f>
        <v>RI|production|geothermal (is not a fuel)</v>
      </c>
    </row>
    <row r="2292" spans="1:8" x14ac:dyDescent="0.25">
      <c r="A2292" t="s">
        <v>155</v>
      </c>
      <c r="B2292" t="s">
        <v>188</v>
      </c>
      <c r="C2292" t="s">
        <v>106</v>
      </c>
      <c r="D2292">
        <v>0</v>
      </c>
      <c r="E2292">
        <v>0</v>
      </c>
      <c r="F2292">
        <v>0</v>
      </c>
      <c r="G2292" s="10">
        <f t="shared" si="35"/>
        <v>0</v>
      </c>
      <c r="H2292" t="str">
        <f>$A2292&amp;Keys!$C$54&amp;$B2292&amp;Keys!$C$54&amp;$C2292</f>
        <v>RI|production|lignite</v>
      </c>
    </row>
    <row r="2293" spans="1:8" x14ac:dyDescent="0.25">
      <c r="A2293" t="s">
        <v>155</v>
      </c>
      <c r="B2293" t="s">
        <v>188</v>
      </c>
      <c r="C2293" t="s">
        <v>109</v>
      </c>
      <c r="D2293">
        <v>0</v>
      </c>
      <c r="E2293">
        <v>0</v>
      </c>
      <c r="F2293">
        <v>0</v>
      </c>
      <c r="G2293" s="10">
        <f t="shared" si="35"/>
        <v>0</v>
      </c>
      <c r="H2293" t="str">
        <f>$A2293&amp;Keys!$C$54&amp;$B2293&amp;Keys!$C$54&amp;$C2293</f>
        <v>RI|production|crude oil</v>
      </c>
    </row>
    <row r="2294" spans="1:8" x14ac:dyDescent="0.25">
      <c r="A2294" t="s">
        <v>155</v>
      </c>
      <c r="B2294" t="s">
        <v>188</v>
      </c>
      <c r="C2294" t="s">
        <v>113</v>
      </c>
      <c r="D2294">
        <v>0</v>
      </c>
      <c r="E2294">
        <v>0</v>
      </c>
      <c r="F2294">
        <v>0</v>
      </c>
      <c r="G2294" s="10">
        <f t="shared" si="35"/>
        <v>0</v>
      </c>
      <c r="H2294" t="str">
        <f>$A2294&amp;Keys!$C$54&amp;$B2294&amp;Keys!$C$54&amp;$C2294</f>
        <v>RI|production|heavy fuel oil</v>
      </c>
    </row>
    <row r="2295" spans="1:8" x14ac:dyDescent="0.25">
      <c r="A2295" t="s">
        <v>155</v>
      </c>
      <c r="B2295" t="s">
        <v>188</v>
      </c>
      <c r="C2295" t="s">
        <v>117</v>
      </c>
      <c r="D2295">
        <v>0</v>
      </c>
      <c r="E2295">
        <v>0</v>
      </c>
      <c r="F2295">
        <v>0</v>
      </c>
      <c r="G2295" s="10">
        <f t="shared" si="35"/>
        <v>0</v>
      </c>
      <c r="H2295" t="str">
        <f>$A2295&amp;Keys!$C$54&amp;$B2295&amp;Keys!$C$54&amp;$C2295</f>
        <v>RI|production|LPG propane or butane</v>
      </c>
    </row>
    <row r="2296" spans="1:8" x14ac:dyDescent="0.25">
      <c r="A2296" t="s">
        <v>155</v>
      </c>
      <c r="B2296" t="s">
        <v>188</v>
      </c>
      <c r="C2296" t="s">
        <v>120</v>
      </c>
      <c r="D2296">
        <v>0</v>
      </c>
      <c r="E2296">
        <v>0</v>
      </c>
      <c r="F2296">
        <v>0</v>
      </c>
      <c r="G2296" s="10">
        <f t="shared" si="35"/>
        <v>0</v>
      </c>
      <c r="H2296" t="str">
        <f>$A2296&amp;Keys!$C$54&amp;$B2296&amp;Keys!$C$54&amp;$C2296</f>
        <v>RI|production|municipal solid waste</v>
      </c>
    </row>
    <row r="2297" spans="1:8" x14ac:dyDescent="0.25">
      <c r="A2297" t="s">
        <v>155</v>
      </c>
      <c r="B2297" t="s">
        <v>188</v>
      </c>
      <c r="C2297" t="s">
        <v>123</v>
      </c>
      <c r="D2297">
        <v>0</v>
      </c>
      <c r="E2297">
        <v>0</v>
      </c>
      <c r="F2297">
        <v>0</v>
      </c>
      <c r="G2297" s="10">
        <f t="shared" si="35"/>
        <v>0</v>
      </c>
      <c r="H2297" t="str">
        <f>$A2297&amp;Keys!$C$54&amp;$B2297&amp;Keys!$C$54&amp;$C2297</f>
        <v>RI|production|hydrogen</v>
      </c>
    </row>
    <row r="2298" spans="1:8" x14ac:dyDescent="0.25">
      <c r="A2298" t="s">
        <v>155</v>
      </c>
      <c r="B2298" t="s">
        <v>191</v>
      </c>
      <c r="C2298" t="s">
        <v>60</v>
      </c>
      <c r="D2298">
        <v>0</v>
      </c>
      <c r="E2298">
        <v>0</v>
      </c>
      <c r="F2298">
        <v>0</v>
      </c>
      <c r="G2298" s="10">
        <f t="shared" si="35"/>
        <v>0</v>
      </c>
      <c r="H2298" t="str">
        <f>$A2298&amp;Keys!$C$54&amp;$B2298&amp;Keys!$C$54&amp;$C2298</f>
        <v>RI|imports|electricity (not used in this variable)</v>
      </c>
    </row>
    <row r="2299" spans="1:8" x14ac:dyDescent="0.25">
      <c r="A2299" t="s">
        <v>155</v>
      </c>
      <c r="B2299" t="s">
        <v>191</v>
      </c>
      <c r="C2299" t="s">
        <v>64</v>
      </c>
      <c r="D2299">
        <v>0</v>
      </c>
      <c r="E2299">
        <v>0</v>
      </c>
      <c r="F2299">
        <v>0</v>
      </c>
      <c r="G2299" s="10">
        <f t="shared" si="35"/>
        <v>0</v>
      </c>
      <c r="H2299" t="str">
        <f>$A2299&amp;Keys!$C$54&amp;$B2299&amp;Keys!$C$54&amp;$C2299</f>
        <v>RI|imports|hard coal</v>
      </c>
    </row>
    <row r="2300" spans="1:8" x14ac:dyDescent="0.25">
      <c r="A2300" t="s">
        <v>155</v>
      </c>
      <c r="B2300" t="s">
        <v>191</v>
      </c>
      <c r="C2300" t="s">
        <v>68</v>
      </c>
      <c r="D2300">
        <v>296943000000000</v>
      </c>
      <c r="E2300">
        <v>295993000000000</v>
      </c>
      <c r="F2300">
        <v>276369000000000</v>
      </c>
      <c r="G2300" s="10">
        <f t="shared" si="35"/>
        <v>289768333333333.31</v>
      </c>
      <c r="H2300" t="str">
        <f>$A2300&amp;Keys!$C$54&amp;$B2300&amp;Keys!$C$54&amp;$C2300</f>
        <v>RI|imports|natural gas</v>
      </c>
    </row>
    <row r="2301" spans="1:8" x14ac:dyDescent="0.25">
      <c r="A2301" t="s">
        <v>155</v>
      </c>
      <c r="B2301" t="s">
        <v>191</v>
      </c>
      <c r="C2301" t="s">
        <v>71</v>
      </c>
      <c r="D2301">
        <v>0</v>
      </c>
      <c r="E2301">
        <v>0</v>
      </c>
      <c r="F2301">
        <v>0</v>
      </c>
      <c r="G2301" s="10">
        <f t="shared" si="35"/>
        <v>0</v>
      </c>
      <c r="H2301" t="str">
        <f>$A2301&amp;Keys!$C$54&amp;$B2301&amp;Keys!$C$54&amp;$C2301</f>
        <v>RI|imports|nuclear</v>
      </c>
    </row>
    <row r="2302" spans="1:8" x14ac:dyDescent="0.25">
      <c r="A2302" t="s">
        <v>155</v>
      </c>
      <c r="B2302" t="s">
        <v>191</v>
      </c>
      <c r="C2302" t="s">
        <v>74</v>
      </c>
      <c r="D2302">
        <v>0</v>
      </c>
      <c r="E2302">
        <v>0</v>
      </c>
      <c r="F2302">
        <v>0</v>
      </c>
      <c r="G2302" s="10">
        <f t="shared" si="35"/>
        <v>0</v>
      </c>
      <c r="H2302" t="str">
        <f>$A2302&amp;Keys!$C$54&amp;$B2302&amp;Keys!$C$54&amp;$C2302</f>
        <v>RI|imports|hydro (is not a fuel)</v>
      </c>
    </row>
    <row r="2303" spans="1:8" x14ac:dyDescent="0.25">
      <c r="A2303" t="s">
        <v>155</v>
      </c>
      <c r="B2303" t="s">
        <v>191</v>
      </c>
      <c r="C2303" t="s">
        <v>77</v>
      </c>
      <c r="D2303">
        <v>0</v>
      </c>
      <c r="E2303">
        <v>0</v>
      </c>
      <c r="F2303">
        <v>0</v>
      </c>
      <c r="G2303" s="10">
        <f t="shared" si="35"/>
        <v>0</v>
      </c>
      <c r="H2303" t="str">
        <f>$A2303&amp;Keys!$C$54&amp;$B2303&amp;Keys!$C$54&amp;$C2303</f>
        <v>RI|imports|wind (is not a fuel)</v>
      </c>
    </row>
    <row r="2304" spans="1:8" x14ac:dyDescent="0.25">
      <c r="A2304" t="s">
        <v>155</v>
      </c>
      <c r="B2304" t="s">
        <v>191</v>
      </c>
      <c r="C2304" t="s">
        <v>80</v>
      </c>
      <c r="D2304">
        <v>0</v>
      </c>
      <c r="E2304">
        <v>0</v>
      </c>
      <c r="F2304">
        <v>0</v>
      </c>
      <c r="G2304" s="10">
        <f t="shared" si="35"/>
        <v>0</v>
      </c>
      <c r="H2304" t="str">
        <f>$A2304&amp;Keys!$C$54&amp;$B2304&amp;Keys!$C$54&amp;$C2304</f>
        <v>RI|imports|solar (is not a fuel)</v>
      </c>
    </row>
    <row r="2305" spans="1:8" x14ac:dyDescent="0.25">
      <c r="A2305" t="s">
        <v>155</v>
      </c>
      <c r="B2305" t="s">
        <v>191</v>
      </c>
      <c r="C2305" t="s">
        <v>82</v>
      </c>
      <c r="D2305">
        <v>0</v>
      </c>
      <c r="E2305">
        <v>4074580000000</v>
      </c>
      <c r="F2305">
        <v>3995300000000</v>
      </c>
      <c r="G2305" s="10">
        <f t="shared" si="35"/>
        <v>2689960000000</v>
      </c>
      <c r="H2305" t="str">
        <f>$A2305&amp;Keys!$C$54&amp;$B2305&amp;Keys!$C$54&amp;$C2305</f>
        <v>RI|imports|biomass</v>
      </c>
    </row>
    <row r="2306" spans="1:8" x14ac:dyDescent="0.25">
      <c r="A2306" t="s">
        <v>155</v>
      </c>
      <c r="B2306" t="s">
        <v>191</v>
      </c>
      <c r="C2306" t="s">
        <v>85</v>
      </c>
      <c r="D2306">
        <v>0</v>
      </c>
      <c r="E2306">
        <v>37188700000000</v>
      </c>
      <c r="F2306">
        <v>36703000000000</v>
      </c>
      <c r="G2306" s="10">
        <f t="shared" si="35"/>
        <v>24630566666666.668</v>
      </c>
      <c r="H2306" t="str">
        <f>$A2306&amp;Keys!$C$54&amp;$B2306&amp;Keys!$C$54&amp;$C2306</f>
        <v>RI|imports|petroleum gasoline</v>
      </c>
    </row>
    <row r="2307" spans="1:8" x14ac:dyDescent="0.25">
      <c r="A2307" t="s">
        <v>155</v>
      </c>
      <c r="B2307" t="s">
        <v>191</v>
      </c>
      <c r="C2307" t="s">
        <v>88</v>
      </c>
      <c r="D2307">
        <v>0</v>
      </c>
      <c r="E2307">
        <v>31228600000000</v>
      </c>
      <c r="F2307">
        <v>30282100000000</v>
      </c>
      <c r="G2307" s="10">
        <f t="shared" si="35"/>
        <v>20503566666666.668</v>
      </c>
      <c r="H2307" t="str">
        <f>$A2307&amp;Keys!$C$54&amp;$B2307&amp;Keys!$C$54&amp;$C2307</f>
        <v>RI|imports|petroleum diesel</v>
      </c>
    </row>
    <row r="2308" spans="1:8" x14ac:dyDescent="0.25">
      <c r="A2308" t="s">
        <v>155</v>
      </c>
      <c r="B2308" t="s">
        <v>191</v>
      </c>
      <c r="C2308" t="s">
        <v>91</v>
      </c>
      <c r="D2308">
        <v>0</v>
      </c>
      <c r="E2308">
        <v>2712850000000</v>
      </c>
      <c r="F2308">
        <v>2678070000000</v>
      </c>
      <c r="G2308" s="10">
        <f t="shared" si="35"/>
        <v>1796973333333.3333</v>
      </c>
      <c r="H2308" t="str">
        <f>$A2308&amp;Keys!$C$54&amp;$B2308&amp;Keys!$C$54&amp;$C2308</f>
        <v>RI|imports|biofuel gasoline</v>
      </c>
    </row>
    <row r="2309" spans="1:8" x14ac:dyDescent="0.25">
      <c r="A2309" t="s">
        <v>155</v>
      </c>
      <c r="B2309" t="s">
        <v>191</v>
      </c>
      <c r="C2309" t="s">
        <v>94</v>
      </c>
      <c r="D2309">
        <v>0</v>
      </c>
      <c r="E2309">
        <v>239730000000</v>
      </c>
      <c r="F2309">
        <v>241633000000</v>
      </c>
      <c r="G2309" s="10">
        <f t="shared" si="35"/>
        <v>160454333333.33334</v>
      </c>
      <c r="H2309" t="str">
        <f>$A2309&amp;Keys!$C$54&amp;$B2309&amp;Keys!$C$54&amp;$C2309</f>
        <v>RI|imports|biofuel diesel</v>
      </c>
    </row>
    <row r="2310" spans="1:8" x14ac:dyDescent="0.25">
      <c r="A2310" t="s">
        <v>155</v>
      </c>
      <c r="B2310" t="s">
        <v>191</v>
      </c>
      <c r="C2310" t="s">
        <v>97</v>
      </c>
      <c r="D2310">
        <v>0</v>
      </c>
      <c r="E2310">
        <v>2421680000000</v>
      </c>
      <c r="F2310">
        <v>2463780000000</v>
      </c>
      <c r="G2310" s="10">
        <f t="shared" si="35"/>
        <v>1628486666666.6667</v>
      </c>
      <c r="H2310" t="str">
        <f>$A2310&amp;Keys!$C$54&amp;$B2310&amp;Keys!$C$54&amp;$C2310</f>
        <v>RI|imports|jet fuel or kerosene</v>
      </c>
    </row>
    <row r="2311" spans="1:8" x14ac:dyDescent="0.25">
      <c r="A2311" t="s">
        <v>155</v>
      </c>
      <c r="B2311" t="s">
        <v>191</v>
      </c>
      <c r="C2311" t="s">
        <v>100</v>
      </c>
      <c r="D2311">
        <v>0</v>
      </c>
      <c r="E2311">
        <v>0</v>
      </c>
      <c r="F2311">
        <v>0</v>
      </c>
      <c r="G2311" s="10">
        <f t="shared" si="35"/>
        <v>0</v>
      </c>
      <c r="H2311" t="str">
        <f>$A2311&amp;Keys!$C$54&amp;$B2311&amp;Keys!$C$54&amp;$C2311</f>
        <v>RI|imports|heat (not used in this variable)</v>
      </c>
    </row>
    <row r="2312" spans="1:8" x14ac:dyDescent="0.25">
      <c r="A2312" t="s">
        <v>155</v>
      </c>
      <c r="B2312" t="s">
        <v>191</v>
      </c>
      <c r="C2312" t="s">
        <v>103</v>
      </c>
      <c r="D2312">
        <v>0</v>
      </c>
      <c r="E2312">
        <v>0</v>
      </c>
      <c r="F2312">
        <v>0</v>
      </c>
      <c r="G2312" s="10">
        <f t="shared" si="35"/>
        <v>0</v>
      </c>
      <c r="H2312" t="str">
        <f>$A2312&amp;Keys!$C$54&amp;$B2312&amp;Keys!$C$54&amp;$C2312</f>
        <v>RI|imports|geothermal (is not a fuel)</v>
      </c>
    </row>
    <row r="2313" spans="1:8" x14ac:dyDescent="0.25">
      <c r="A2313" t="s">
        <v>155</v>
      </c>
      <c r="B2313" t="s">
        <v>191</v>
      </c>
      <c r="C2313" t="s">
        <v>106</v>
      </c>
      <c r="D2313">
        <v>0</v>
      </c>
      <c r="E2313">
        <v>0</v>
      </c>
      <c r="F2313">
        <v>0</v>
      </c>
      <c r="G2313" s="10">
        <f t="shared" ref="G2313:G2376" si="36">AVERAGE($D2313:$F2313)</f>
        <v>0</v>
      </c>
      <c r="H2313" t="str">
        <f>$A2313&amp;Keys!$C$54&amp;$B2313&amp;Keys!$C$54&amp;$C2313</f>
        <v>RI|imports|lignite</v>
      </c>
    </row>
    <row r="2314" spans="1:8" x14ac:dyDescent="0.25">
      <c r="A2314" t="s">
        <v>155</v>
      </c>
      <c r="B2314" t="s">
        <v>191</v>
      </c>
      <c r="C2314" t="s">
        <v>109</v>
      </c>
      <c r="D2314">
        <v>0</v>
      </c>
      <c r="E2314">
        <v>142000000000</v>
      </c>
      <c r="F2314">
        <v>0</v>
      </c>
      <c r="G2314" s="10">
        <f t="shared" si="36"/>
        <v>47333333333.333336</v>
      </c>
      <c r="H2314" t="str">
        <f>$A2314&amp;Keys!$C$54&amp;$B2314&amp;Keys!$C$54&amp;$C2314</f>
        <v>RI|imports|crude oil</v>
      </c>
    </row>
    <row r="2315" spans="1:8" x14ac:dyDescent="0.25">
      <c r="A2315" t="s">
        <v>155</v>
      </c>
      <c r="B2315" t="s">
        <v>191</v>
      </c>
      <c r="C2315" t="s">
        <v>113</v>
      </c>
      <c r="D2315">
        <v>0</v>
      </c>
      <c r="E2315">
        <v>5225890000000</v>
      </c>
      <c r="F2315">
        <v>5334670000000</v>
      </c>
      <c r="G2315" s="10">
        <f t="shared" si="36"/>
        <v>3520186666666.6665</v>
      </c>
      <c r="H2315" t="str">
        <f>$A2315&amp;Keys!$C$54&amp;$B2315&amp;Keys!$C$54&amp;$C2315</f>
        <v>RI|imports|heavy fuel oil</v>
      </c>
    </row>
    <row r="2316" spans="1:8" x14ac:dyDescent="0.25">
      <c r="A2316" t="s">
        <v>155</v>
      </c>
      <c r="B2316" t="s">
        <v>191</v>
      </c>
      <c r="C2316" t="s">
        <v>117</v>
      </c>
      <c r="D2316">
        <v>0</v>
      </c>
      <c r="E2316">
        <v>2504750000000</v>
      </c>
      <c r="F2316">
        <v>2481120000000</v>
      </c>
      <c r="G2316" s="10">
        <f t="shared" si="36"/>
        <v>1661956666666.6667</v>
      </c>
      <c r="H2316" t="str">
        <f>$A2316&amp;Keys!$C$54&amp;$B2316&amp;Keys!$C$54&amp;$C2316</f>
        <v>RI|imports|LPG propane or butane</v>
      </c>
    </row>
    <row r="2317" spans="1:8" x14ac:dyDescent="0.25">
      <c r="A2317" t="s">
        <v>155</v>
      </c>
      <c r="B2317" t="s">
        <v>191</v>
      </c>
      <c r="C2317" t="s">
        <v>120</v>
      </c>
      <c r="D2317">
        <v>0</v>
      </c>
      <c r="E2317">
        <v>0</v>
      </c>
      <c r="F2317">
        <v>0</v>
      </c>
      <c r="G2317" s="10">
        <f t="shared" si="36"/>
        <v>0</v>
      </c>
      <c r="H2317" t="str">
        <f>$A2317&amp;Keys!$C$54&amp;$B2317&amp;Keys!$C$54&amp;$C2317</f>
        <v>RI|imports|municipal solid waste</v>
      </c>
    </row>
    <row r="2318" spans="1:8" x14ac:dyDescent="0.25">
      <c r="A2318" t="s">
        <v>155</v>
      </c>
      <c r="B2318" t="s">
        <v>191</v>
      </c>
      <c r="C2318" t="s">
        <v>123</v>
      </c>
      <c r="D2318">
        <v>0</v>
      </c>
      <c r="E2318">
        <v>0</v>
      </c>
      <c r="F2318">
        <v>0</v>
      </c>
      <c r="G2318" s="10">
        <f t="shared" si="36"/>
        <v>0</v>
      </c>
      <c r="H2318" t="str">
        <f>$A2318&amp;Keys!$C$54&amp;$B2318&amp;Keys!$C$54&amp;$C2318</f>
        <v>RI|imports|hydrogen</v>
      </c>
    </row>
    <row r="2319" spans="1:8" x14ac:dyDescent="0.25">
      <c r="A2319" t="s">
        <v>155</v>
      </c>
      <c r="B2319" t="s">
        <v>193</v>
      </c>
      <c r="C2319" t="s">
        <v>60</v>
      </c>
      <c r="D2319">
        <v>0</v>
      </c>
      <c r="E2319">
        <v>0</v>
      </c>
      <c r="F2319">
        <v>0</v>
      </c>
      <c r="G2319" s="10">
        <f t="shared" si="36"/>
        <v>0</v>
      </c>
      <c r="H2319" t="str">
        <f>$A2319&amp;Keys!$C$54&amp;$B2319&amp;Keys!$C$54&amp;$C2319</f>
        <v>RI|exports|electricity (not used in this variable)</v>
      </c>
    </row>
    <row r="2320" spans="1:8" x14ac:dyDescent="0.25">
      <c r="A2320" t="s">
        <v>155</v>
      </c>
      <c r="B2320" t="s">
        <v>193</v>
      </c>
      <c r="C2320" t="s">
        <v>64</v>
      </c>
      <c r="D2320">
        <v>0</v>
      </c>
      <c r="E2320">
        <v>0</v>
      </c>
      <c r="F2320">
        <v>0</v>
      </c>
      <c r="G2320" s="10">
        <f t="shared" si="36"/>
        <v>0</v>
      </c>
      <c r="H2320" t="str">
        <f>$A2320&amp;Keys!$C$54&amp;$B2320&amp;Keys!$C$54&amp;$C2320</f>
        <v>RI|exports|hard coal</v>
      </c>
    </row>
    <row r="2321" spans="1:8" x14ac:dyDescent="0.25">
      <c r="A2321" t="s">
        <v>155</v>
      </c>
      <c r="B2321" t="s">
        <v>193</v>
      </c>
      <c r="C2321" t="s">
        <v>68</v>
      </c>
      <c r="D2321">
        <v>194575000000000</v>
      </c>
      <c r="E2321">
        <v>194575000000000</v>
      </c>
      <c r="F2321">
        <v>195180000000000</v>
      </c>
      <c r="G2321" s="10">
        <f t="shared" si="36"/>
        <v>194776666666666.66</v>
      </c>
      <c r="H2321" t="str">
        <f>$A2321&amp;Keys!$C$54&amp;$B2321&amp;Keys!$C$54&amp;$C2321</f>
        <v>RI|exports|natural gas</v>
      </c>
    </row>
    <row r="2322" spans="1:8" x14ac:dyDescent="0.25">
      <c r="A2322" t="s">
        <v>155</v>
      </c>
      <c r="B2322" t="s">
        <v>193</v>
      </c>
      <c r="C2322" t="s">
        <v>71</v>
      </c>
      <c r="D2322">
        <v>0</v>
      </c>
      <c r="E2322">
        <v>0</v>
      </c>
      <c r="F2322">
        <v>0</v>
      </c>
      <c r="G2322" s="10">
        <f t="shared" si="36"/>
        <v>0</v>
      </c>
      <c r="H2322" t="str">
        <f>$A2322&amp;Keys!$C$54&amp;$B2322&amp;Keys!$C$54&amp;$C2322</f>
        <v>RI|exports|nuclear</v>
      </c>
    </row>
    <row r="2323" spans="1:8" x14ac:dyDescent="0.25">
      <c r="A2323" t="s">
        <v>155</v>
      </c>
      <c r="B2323" t="s">
        <v>193</v>
      </c>
      <c r="C2323" t="s">
        <v>74</v>
      </c>
      <c r="D2323">
        <v>0</v>
      </c>
      <c r="E2323">
        <v>0</v>
      </c>
      <c r="F2323">
        <v>0</v>
      </c>
      <c r="G2323" s="10">
        <f t="shared" si="36"/>
        <v>0</v>
      </c>
      <c r="H2323" t="str">
        <f>$A2323&amp;Keys!$C$54&amp;$B2323&amp;Keys!$C$54&amp;$C2323</f>
        <v>RI|exports|hydro (is not a fuel)</v>
      </c>
    </row>
    <row r="2324" spans="1:8" x14ac:dyDescent="0.25">
      <c r="A2324" t="s">
        <v>155</v>
      </c>
      <c r="B2324" t="s">
        <v>193</v>
      </c>
      <c r="C2324" t="s">
        <v>77</v>
      </c>
      <c r="D2324">
        <v>0</v>
      </c>
      <c r="E2324">
        <v>0</v>
      </c>
      <c r="F2324">
        <v>0</v>
      </c>
      <c r="G2324" s="10">
        <f t="shared" si="36"/>
        <v>0</v>
      </c>
      <c r="H2324" t="str">
        <f>$A2324&amp;Keys!$C$54&amp;$B2324&amp;Keys!$C$54&amp;$C2324</f>
        <v>RI|exports|wind (is not a fuel)</v>
      </c>
    </row>
    <row r="2325" spans="1:8" x14ac:dyDescent="0.25">
      <c r="A2325" t="s">
        <v>155</v>
      </c>
      <c r="B2325" t="s">
        <v>193</v>
      </c>
      <c r="C2325" t="s">
        <v>80</v>
      </c>
      <c r="D2325">
        <v>0</v>
      </c>
      <c r="E2325">
        <v>0</v>
      </c>
      <c r="F2325">
        <v>0</v>
      </c>
      <c r="G2325" s="10">
        <f t="shared" si="36"/>
        <v>0</v>
      </c>
      <c r="H2325" t="str">
        <f>$A2325&amp;Keys!$C$54&amp;$B2325&amp;Keys!$C$54&amp;$C2325</f>
        <v>RI|exports|solar (is not a fuel)</v>
      </c>
    </row>
    <row r="2326" spans="1:8" x14ac:dyDescent="0.25">
      <c r="A2326" t="s">
        <v>155</v>
      </c>
      <c r="B2326" t="s">
        <v>193</v>
      </c>
      <c r="C2326" t="s">
        <v>82</v>
      </c>
      <c r="D2326">
        <v>0</v>
      </c>
      <c r="E2326">
        <v>0</v>
      </c>
      <c r="F2326">
        <v>0</v>
      </c>
      <c r="G2326" s="10">
        <f t="shared" si="36"/>
        <v>0</v>
      </c>
      <c r="H2326" t="str">
        <f>$A2326&amp;Keys!$C$54&amp;$B2326&amp;Keys!$C$54&amp;$C2326</f>
        <v>RI|exports|biomass</v>
      </c>
    </row>
    <row r="2327" spans="1:8" x14ac:dyDescent="0.25">
      <c r="A2327" t="s">
        <v>155</v>
      </c>
      <c r="B2327" t="s">
        <v>193</v>
      </c>
      <c r="C2327" t="s">
        <v>85</v>
      </c>
      <c r="D2327">
        <v>0</v>
      </c>
      <c r="E2327">
        <v>0</v>
      </c>
      <c r="F2327">
        <v>0</v>
      </c>
      <c r="G2327" s="10">
        <f t="shared" si="36"/>
        <v>0</v>
      </c>
      <c r="H2327" t="str">
        <f>$A2327&amp;Keys!$C$54&amp;$B2327&amp;Keys!$C$54&amp;$C2327</f>
        <v>RI|exports|petroleum gasoline</v>
      </c>
    </row>
    <row r="2328" spans="1:8" x14ac:dyDescent="0.25">
      <c r="A2328" t="s">
        <v>155</v>
      </c>
      <c r="B2328" t="s">
        <v>193</v>
      </c>
      <c r="C2328" t="s">
        <v>88</v>
      </c>
      <c r="D2328">
        <v>0</v>
      </c>
      <c r="E2328">
        <v>0</v>
      </c>
      <c r="F2328">
        <v>0</v>
      </c>
      <c r="G2328" s="10">
        <f t="shared" si="36"/>
        <v>0</v>
      </c>
      <c r="H2328" t="str">
        <f>$A2328&amp;Keys!$C$54&amp;$B2328&amp;Keys!$C$54&amp;$C2328</f>
        <v>RI|exports|petroleum diesel</v>
      </c>
    </row>
    <row r="2329" spans="1:8" x14ac:dyDescent="0.25">
      <c r="A2329" t="s">
        <v>155</v>
      </c>
      <c r="B2329" t="s">
        <v>193</v>
      </c>
      <c r="C2329" t="s">
        <v>91</v>
      </c>
      <c r="D2329">
        <v>0</v>
      </c>
      <c r="E2329">
        <v>0</v>
      </c>
      <c r="F2329">
        <v>0</v>
      </c>
      <c r="G2329" s="10">
        <f t="shared" si="36"/>
        <v>0</v>
      </c>
      <c r="H2329" t="str">
        <f>$A2329&amp;Keys!$C$54&amp;$B2329&amp;Keys!$C$54&amp;$C2329</f>
        <v>RI|exports|biofuel gasoline</v>
      </c>
    </row>
    <row r="2330" spans="1:8" x14ac:dyDescent="0.25">
      <c r="A2330" t="s">
        <v>155</v>
      </c>
      <c r="B2330" t="s">
        <v>193</v>
      </c>
      <c r="C2330" t="s">
        <v>94</v>
      </c>
      <c r="D2330">
        <v>0</v>
      </c>
      <c r="E2330">
        <v>0</v>
      </c>
      <c r="F2330">
        <v>0</v>
      </c>
      <c r="G2330" s="10">
        <f t="shared" si="36"/>
        <v>0</v>
      </c>
      <c r="H2330" t="str">
        <f>$A2330&amp;Keys!$C$54&amp;$B2330&amp;Keys!$C$54&amp;$C2330</f>
        <v>RI|exports|biofuel diesel</v>
      </c>
    </row>
    <row r="2331" spans="1:8" x14ac:dyDescent="0.25">
      <c r="A2331" t="s">
        <v>155</v>
      </c>
      <c r="B2331" t="s">
        <v>193</v>
      </c>
      <c r="C2331" t="s">
        <v>97</v>
      </c>
      <c r="D2331">
        <v>0</v>
      </c>
      <c r="E2331">
        <v>0</v>
      </c>
      <c r="F2331">
        <v>0</v>
      </c>
      <c r="G2331" s="10">
        <f t="shared" si="36"/>
        <v>0</v>
      </c>
      <c r="H2331" t="str">
        <f>$A2331&amp;Keys!$C$54&amp;$B2331&amp;Keys!$C$54&amp;$C2331</f>
        <v>RI|exports|jet fuel or kerosene</v>
      </c>
    </row>
    <row r="2332" spans="1:8" x14ac:dyDescent="0.25">
      <c r="A2332" t="s">
        <v>155</v>
      </c>
      <c r="B2332" t="s">
        <v>193</v>
      </c>
      <c r="C2332" t="s">
        <v>100</v>
      </c>
      <c r="D2332">
        <v>0</v>
      </c>
      <c r="E2332">
        <v>0</v>
      </c>
      <c r="F2332">
        <v>0</v>
      </c>
      <c r="G2332" s="10">
        <f t="shared" si="36"/>
        <v>0</v>
      </c>
      <c r="H2332" t="str">
        <f>$A2332&amp;Keys!$C$54&amp;$B2332&amp;Keys!$C$54&amp;$C2332</f>
        <v>RI|exports|heat (not used in this variable)</v>
      </c>
    </row>
    <row r="2333" spans="1:8" x14ac:dyDescent="0.25">
      <c r="A2333" t="s">
        <v>155</v>
      </c>
      <c r="B2333" t="s">
        <v>193</v>
      </c>
      <c r="C2333" t="s">
        <v>103</v>
      </c>
      <c r="D2333">
        <v>0</v>
      </c>
      <c r="E2333">
        <v>0</v>
      </c>
      <c r="F2333">
        <v>0</v>
      </c>
      <c r="G2333" s="10">
        <f t="shared" si="36"/>
        <v>0</v>
      </c>
      <c r="H2333" t="str">
        <f>$A2333&amp;Keys!$C$54&amp;$B2333&amp;Keys!$C$54&amp;$C2333</f>
        <v>RI|exports|geothermal (is not a fuel)</v>
      </c>
    </row>
    <row r="2334" spans="1:8" x14ac:dyDescent="0.25">
      <c r="A2334" t="s">
        <v>155</v>
      </c>
      <c r="B2334" t="s">
        <v>193</v>
      </c>
      <c r="C2334" t="s">
        <v>106</v>
      </c>
      <c r="D2334">
        <v>0</v>
      </c>
      <c r="E2334">
        <v>0</v>
      </c>
      <c r="F2334">
        <v>0</v>
      </c>
      <c r="G2334" s="10">
        <f t="shared" si="36"/>
        <v>0</v>
      </c>
      <c r="H2334" t="str">
        <f>$A2334&amp;Keys!$C$54&amp;$B2334&amp;Keys!$C$54&amp;$C2334</f>
        <v>RI|exports|lignite</v>
      </c>
    </row>
    <row r="2335" spans="1:8" x14ac:dyDescent="0.25">
      <c r="A2335" t="s">
        <v>155</v>
      </c>
      <c r="B2335" t="s">
        <v>193</v>
      </c>
      <c r="C2335" t="s">
        <v>109</v>
      </c>
      <c r="D2335">
        <v>0</v>
      </c>
      <c r="E2335">
        <v>0</v>
      </c>
      <c r="F2335">
        <v>0</v>
      </c>
      <c r="G2335" s="10">
        <f t="shared" si="36"/>
        <v>0</v>
      </c>
      <c r="H2335" t="str">
        <f>$A2335&amp;Keys!$C$54&amp;$B2335&amp;Keys!$C$54&amp;$C2335</f>
        <v>RI|exports|crude oil</v>
      </c>
    </row>
    <row r="2336" spans="1:8" x14ac:dyDescent="0.25">
      <c r="A2336" t="s">
        <v>155</v>
      </c>
      <c r="B2336" t="s">
        <v>193</v>
      </c>
      <c r="C2336" t="s">
        <v>113</v>
      </c>
      <c r="D2336">
        <v>0</v>
      </c>
      <c r="E2336">
        <v>0</v>
      </c>
      <c r="F2336">
        <v>0</v>
      </c>
      <c r="G2336" s="10">
        <f t="shared" si="36"/>
        <v>0</v>
      </c>
      <c r="H2336" t="str">
        <f>$A2336&amp;Keys!$C$54&amp;$B2336&amp;Keys!$C$54&amp;$C2336</f>
        <v>RI|exports|heavy fuel oil</v>
      </c>
    </row>
    <row r="2337" spans="1:8" x14ac:dyDescent="0.25">
      <c r="A2337" t="s">
        <v>155</v>
      </c>
      <c r="B2337" t="s">
        <v>193</v>
      </c>
      <c r="C2337" t="s">
        <v>117</v>
      </c>
      <c r="D2337">
        <v>0</v>
      </c>
      <c r="E2337">
        <v>0</v>
      </c>
      <c r="F2337">
        <v>0</v>
      </c>
      <c r="G2337" s="10">
        <f t="shared" si="36"/>
        <v>0</v>
      </c>
      <c r="H2337" t="str">
        <f>$A2337&amp;Keys!$C$54&amp;$B2337&amp;Keys!$C$54&amp;$C2337</f>
        <v>RI|exports|LPG propane or butane</v>
      </c>
    </row>
    <row r="2338" spans="1:8" x14ac:dyDescent="0.25">
      <c r="A2338" t="s">
        <v>155</v>
      </c>
      <c r="B2338" t="s">
        <v>193</v>
      </c>
      <c r="C2338" t="s">
        <v>120</v>
      </c>
      <c r="D2338">
        <v>0</v>
      </c>
      <c r="E2338">
        <v>0</v>
      </c>
      <c r="F2338">
        <v>0</v>
      </c>
      <c r="G2338" s="10">
        <f t="shared" si="36"/>
        <v>0</v>
      </c>
      <c r="H2338" t="str">
        <f>$A2338&amp;Keys!$C$54&amp;$B2338&amp;Keys!$C$54&amp;$C2338</f>
        <v>RI|exports|municipal solid waste</v>
      </c>
    </row>
    <row r="2339" spans="1:8" x14ac:dyDescent="0.25">
      <c r="A2339" t="s">
        <v>155</v>
      </c>
      <c r="B2339" t="s">
        <v>193</v>
      </c>
      <c r="C2339" t="s">
        <v>123</v>
      </c>
      <c r="D2339">
        <v>0</v>
      </c>
      <c r="E2339">
        <v>0</v>
      </c>
      <c r="F2339">
        <v>0</v>
      </c>
      <c r="G2339" s="10">
        <f t="shared" si="36"/>
        <v>0</v>
      </c>
      <c r="H2339" t="str">
        <f>$A2339&amp;Keys!$C$54&amp;$B2339&amp;Keys!$C$54&amp;$C2339</f>
        <v>RI|exports|hydrogen</v>
      </c>
    </row>
    <row r="2340" spans="1:8" x14ac:dyDescent="0.25">
      <c r="A2340" t="s">
        <v>157</v>
      </c>
      <c r="B2340" t="s">
        <v>188</v>
      </c>
      <c r="C2340" t="s">
        <v>60</v>
      </c>
      <c r="D2340">
        <v>0</v>
      </c>
      <c r="E2340">
        <v>0</v>
      </c>
      <c r="F2340">
        <v>0</v>
      </c>
      <c r="G2340" s="10">
        <f t="shared" si="36"/>
        <v>0</v>
      </c>
      <c r="H2340" t="str">
        <f>$A2340&amp;Keys!$C$54&amp;$B2340&amp;Keys!$C$54&amp;$C2340</f>
        <v>SC|production|electricity (not used in this variable)</v>
      </c>
    </row>
    <row r="2341" spans="1:8" x14ac:dyDescent="0.25">
      <c r="A2341" t="s">
        <v>157</v>
      </c>
      <c r="B2341" t="s">
        <v>188</v>
      </c>
      <c r="C2341" t="s">
        <v>64</v>
      </c>
      <c r="D2341">
        <v>0</v>
      </c>
      <c r="E2341">
        <v>0</v>
      </c>
      <c r="F2341">
        <v>0</v>
      </c>
      <c r="G2341" s="10">
        <f t="shared" si="36"/>
        <v>0</v>
      </c>
      <c r="H2341" t="str">
        <f>$A2341&amp;Keys!$C$54&amp;$B2341&amp;Keys!$C$54&amp;$C2341</f>
        <v>SC|production|hard coal</v>
      </c>
    </row>
    <row r="2342" spans="1:8" x14ac:dyDescent="0.25">
      <c r="A2342" t="s">
        <v>157</v>
      </c>
      <c r="B2342" t="s">
        <v>188</v>
      </c>
      <c r="C2342" t="s">
        <v>68</v>
      </c>
      <c r="D2342">
        <v>0</v>
      </c>
      <c r="E2342">
        <v>0</v>
      </c>
      <c r="F2342">
        <v>0</v>
      </c>
      <c r="G2342" s="10">
        <f t="shared" si="36"/>
        <v>0</v>
      </c>
      <c r="H2342" t="str">
        <f>$A2342&amp;Keys!$C$54&amp;$B2342&amp;Keys!$C$54&amp;$C2342</f>
        <v>SC|production|natural gas</v>
      </c>
    </row>
    <row r="2343" spans="1:8" x14ac:dyDescent="0.25">
      <c r="A2343" t="s">
        <v>157</v>
      </c>
      <c r="B2343" t="s">
        <v>188</v>
      </c>
      <c r="C2343" t="s">
        <v>71</v>
      </c>
      <c r="D2343">
        <v>0</v>
      </c>
      <c r="E2343">
        <v>0</v>
      </c>
      <c r="F2343">
        <v>0</v>
      </c>
      <c r="G2343" s="10">
        <f t="shared" si="36"/>
        <v>0</v>
      </c>
      <c r="H2343" t="str">
        <f>$A2343&amp;Keys!$C$54&amp;$B2343&amp;Keys!$C$54&amp;$C2343</f>
        <v>SC|production|nuclear</v>
      </c>
    </row>
    <row r="2344" spans="1:8" x14ac:dyDescent="0.25">
      <c r="A2344" t="s">
        <v>157</v>
      </c>
      <c r="B2344" t="s">
        <v>188</v>
      </c>
      <c r="C2344" t="s">
        <v>74</v>
      </c>
      <c r="D2344">
        <v>0</v>
      </c>
      <c r="E2344">
        <v>0</v>
      </c>
      <c r="F2344">
        <v>0</v>
      </c>
      <c r="G2344" s="10">
        <f t="shared" si="36"/>
        <v>0</v>
      </c>
      <c r="H2344" t="str">
        <f>$A2344&amp;Keys!$C$54&amp;$B2344&amp;Keys!$C$54&amp;$C2344</f>
        <v>SC|production|hydro (is not a fuel)</v>
      </c>
    </row>
    <row r="2345" spans="1:8" x14ac:dyDescent="0.25">
      <c r="A2345" t="s">
        <v>157</v>
      </c>
      <c r="B2345" t="s">
        <v>188</v>
      </c>
      <c r="C2345" t="s">
        <v>77</v>
      </c>
      <c r="D2345">
        <v>0</v>
      </c>
      <c r="E2345">
        <v>0</v>
      </c>
      <c r="F2345">
        <v>0</v>
      </c>
      <c r="G2345" s="10">
        <f t="shared" si="36"/>
        <v>0</v>
      </c>
      <c r="H2345" t="str">
        <f>$A2345&amp;Keys!$C$54&amp;$B2345&amp;Keys!$C$54&amp;$C2345</f>
        <v>SC|production|wind (is not a fuel)</v>
      </c>
    </row>
    <row r="2346" spans="1:8" x14ac:dyDescent="0.25">
      <c r="A2346" t="s">
        <v>157</v>
      </c>
      <c r="B2346" t="s">
        <v>188</v>
      </c>
      <c r="C2346" t="s">
        <v>80</v>
      </c>
      <c r="D2346">
        <v>0</v>
      </c>
      <c r="E2346">
        <v>0</v>
      </c>
      <c r="F2346">
        <v>0</v>
      </c>
      <c r="G2346" s="10">
        <f t="shared" si="36"/>
        <v>0</v>
      </c>
      <c r="H2346" t="str">
        <f>$A2346&amp;Keys!$C$54&amp;$B2346&amp;Keys!$C$54&amp;$C2346</f>
        <v>SC|production|solar (is not a fuel)</v>
      </c>
    </row>
    <row r="2347" spans="1:8" x14ac:dyDescent="0.25">
      <c r="A2347" t="s">
        <v>157</v>
      </c>
      <c r="B2347" t="s">
        <v>188</v>
      </c>
      <c r="C2347" t="s">
        <v>82</v>
      </c>
      <c r="D2347">
        <v>9330400000000</v>
      </c>
      <c r="E2347">
        <v>9330400000000</v>
      </c>
      <c r="F2347">
        <v>9330400000000</v>
      </c>
      <c r="G2347" s="10">
        <f t="shared" si="36"/>
        <v>9330400000000</v>
      </c>
      <c r="H2347" t="str">
        <f>$A2347&amp;Keys!$C$54&amp;$B2347&amp;Keys!$C$54&amp;$C2347</f>
        <v>SC|production|biomass</v>
      </c>
    </row>
    <row r="2348" spans="1:8" x14ac:dyDescent="0.25">
      <c r="A2348" t="s">
        <v>157</v>
      </c>
      <c r="B2348" t="s">
        <v>188</v>
      </c>
      <c r="C2348" t="s">
        <v>85</v>
      </c>
      <c r="D2348">
        <v>0</v>
      </c>
      <c r="E2348">
        <v>0</v>
      </c>
      <c r="F2348">
        <v>0</v>
      </c>
      <c r="G2348" s="10">
        <f t="shared" si="36"/>
        <v>0</v>
      </c>
      <c r="H2348" t="str">
        <f>$A2348&amp;Keys!$C$54&amp;$B2348&amp;Keys!$C$54&amp;$C2348</f>
        <v>SC|production|petroleum gasoline</v>
      </c>
    </row>
    <row r="2349" spans="1:8" x14ac:dyDescent="0.25">
      <c r="A2349" t="s">
        <v>157</v>
      </c>
      <c r="B2349" t="s">
        <v>188</v>
      </c>
      <c r="C2349" t="s">
        <v>88</v>
      </c>
      <c r="D2349">
        <v>0</v>
      </c>
      <c r="E2349">
        <v>0</v>
      </c>
      <c r="F2349">
        <v>0</v>
      </c>
      <c r="G2349" s="10">
        <f t="shared" si="36"/>
        <v>0</v>
      </c>
      <c r="H2349" t="str">
        <f>$A2349&amp;Keys!$C$54&amp;$B2349&amp;Keys!$C$54&amp;$C2349</f>
        <v>SC|production|petroleum diesel</v>
      </c>
    </row>
    <row r="2350" spans="1:8" x14ac:dyDescent="0.25">
      <c r="A2350" t="s">
        <v>157</v>
      </c>
      <c r="B2350" t="s">
        <v>188</v>
      </c>
      <c r="C2350" t="s">
        <v>91</v>
      </c>
      <c r="D2350">
        <v>0</v>
      </c>
      <c r="E2350">
        <v>0</v>
      </c>
      <c r="F2350">
        <v>0</v>
      </c>
      <c r="G2350" s="10">
        <f t="shared" si="36"/>
        <v>0</v>
      </c>
      <c r="H2350" t="str">
        <f>$A2350&amp;Keys!$C$54&amp;$B2350&amp;Keys!$C$54&amp;$C2350</f>
        <v>SC|production|biofuel gasoline</v>
      </c>
    </row>
    <row r="2351" spans="1:8" x14ac:dyDescent="0.25">
      <c r="A2351" t="s">
        <v>157</v>
      </c>
      <c r="B2351" t="s">
        <v>188</v>
      </c>
      <c r="C2351" t="s">
        <v>94</v>
      </c>
      <c r="D2351">
        <v>0</v>
      </c>
      <c r="E2351">
        <v>0</v>
      </c>
      <c r="F2351">
        <v>0</v>
      </c>
      <c r="G2351" s="10">
        <f t="shared" si="36"/>
        <v>0</v>
      </c>
      <c r="H2351" t="str">
        <f>$A2351&amp;Keys!$C$54&amp;$B2351&amp;Keys!$C$54&amp;$C2351</f>
        <v>SC|production|biofuel diesel</v>
      </c>
    </row>
    <row r="2352" spans="1:8" x14ac:dyDescent="0.25">
      <c r="A2352" t="s">
        <v>157</v>
      </c>
      <c r="B2352" t="s">
        <v>188</v>
      </c>
      <c r="C2352" t="s">
        <v>97</v>
      </c>
      <c r="D2352">
        <v>0</v>
      </c>
      <c r="E2352">
        <v>0</v>
      </c>
      <c r="F2352">
        <v>0</v>
      </c>
      <c r="G2352" s="10">
        <f t="shared" si="36"/>
        <v>0</v>
      </c>
      <c r="H2352" t="str">
        <f>$A2352&amp;Keys!$C$54&amp;$B2352&amp;Keys!$C$54&amp;$C2352</f>
        <v>SC|production|jet fuel or kerosene</v>
      </c>
    </row>
    <row r="2353" spans="1:8" x14ac:dyDescent="0.25">
      <c r="A2353" t="s">
        <v>157</v>
      </c>
      <c r="B2353" t="s">
        <v>188</v>
      </c>
      <c r="C2353" t="s">
        <v>100</v>
      </c>
      <c r="D2353">
        <v>0</v>
      </c>
      <c r="E2353">
        <v>0</v>
      </c>
      <c r="F2353">
        <v>0</v>
      </c>
      <c r="G2353" s="10">
        <f t="shared" si="36"/>
        <v>0</v>
      </c>
      <c r="H2353" t="str">
        <f>$A2353&amp;Keys!$C$54&amp;$B2353&amp;Keys!$C$54&amp;$C2353</f>
        <v>SC|production|heat (not used in this variable)</v>
      </c>
    </row>
    <row r="2354" spans="1:8" x14ac:dyDescent="0.25">
      <c r="A2354" t="s">
        <v>157</v>
      </c>
      <c r="B2354" t="s">
        <v>188</v>
      </c>
      <c r="C2354" t="s">
        <v>103</v>
      </c>
      <c r="D2354">
        <v>0</v>
      </c>
      <c r="E2354">
        <v>0</v>
      </c>
      <c r="F2354">
        <v>0</v>
      </c>
      <c r="G2354" s="10">
        <f t="shared" si="36"/>
        <v>0</v>
      </c>
      <c r="H2354" t="str">
        <f>$A2354&amp;Keys!$C$54&amp;$B2354&amp;Keys!$C$54&amp;$C2354</f>
        <v>SC|production|geothermal (is not a fuel)</v>
      </c>
    </row>
    <row r="2355" spans="1:8" x14ac:dyDescent="0.25">
      <c r="A2355" t="s">
        <v>157</v>
      </c>
      <c r="B2355" t="s">
        <v>188</v>
      </c>
      <c r="C2355" t="s">
        <v>106</v>
      </c>
      <c r="D2355">
        <v>0</v>
      </c>
      <c r="E2355">
        <v>0</v>
      </c>
      <c r="F2355">
        <v>0</v>
      </c>
      <c r="G2355" s="10">
        <f t="shared" si="36"/>
        <v>0</v>
      </c>
      <c r="H2355" t="str">
        <f>$A2355&amp;Keys!$C$54&amp;$B2355&amp;Keys!$C$54&amp;$C2355</f>
        <v>SC|production|lignite</v>
      </c>
    </row>
    <row r="2356" spans="1:8" x14ac:dyDescent="0.25">
      <c r="A2356" t="s">
        <v>157</v>
      </c>
      <c r="B2356" t="s">
        <v>188</v>
      </c>
      <c r="C2356" t="s">
        <v>109</v>
      </c>
      <c r="D2356">
        <v>0</v>
      </c>
      <c r="E2356">
        <v>0</v>
      </c>
      <c r="F2356">
        <v>0</v>
      </c>
      <c r="G2356" s="10">
        <f t="shared" si="36"/>
        <v>0</v>
      </c>
      <c r="H2356" t="str">
        <f>$A2356&amp;Keys!$C$54&amp;$B2356&amp;Keys!$C$54&amp;$C2356</f>
        <v>SC|production|crude oil</v>
      </c>
    </row>
    <row r="2357" spans="1:8" x14ac:dyDescent="0.25">
      <c r="A2357" t="s">
        <v>157</v>
      </c>
      <c r="B2357" t="s">
        <v>188</v>
      </c>
      <c r="C2357" t="s">
        <v>113</v>
      </c>
      <c r="D2357">
        <v>0</v>
      </c>
      <c r="E2357">
        <v>0</v>
      </c>
      <c r="F2357">
        <v>0</v>
      </c>
      <c r="G2357" s="10">
        <f t="shared" si="36"/>
        <v>0</v>
      </c>
      <c r="H2357" t="str">
        <f>$A2357&amp;Keys!$C$54&amp;$B2357&amp;Keys!$C$54&amp;$C2357</f>
        <v>SC|production|heavy fuel oil</v>
      </c>
    </row>
    <row r="2358" spans="1:8" x14ac:dyDescent="0.25">
      <c r="A2358" t="s">
        <v>157</v>
      </c>
      <c r="B2358" t="s">
        <v>188</v>
      </c>
      <c r="C2358" t="s">
        <v>117</v>
      </c>
      <c r="D2358">
        <v>0</v>
      </c>
      <c r="E2358">
        <v>0</v>
      </c>
      <c r="F2358">
        <v>0</v>
      </c>
      <c r="G2358" s="10">
        <f t="shared" si="36"/>
        <v>0</v>
      </c>
      <c r="H2358" t="str">
        <f>$A2358&amp;Keys!$C$54&amp;$B2358&amp;Keys!$C$54&amp;$C2358</f>
        <v>SC|production|LPG propane or butane</v>
      </c>
    </row>
    <row r="2359" spans="1:8" x14ac:dyDescent="0.25">
      <c r="A2359" t="s">
        <v>157</v>
      </c>
      <c r="B2359" t="s">
        <v>188</v>
      </c>
      <c r="C2359" t="s">
        <v>120</v>
      </c>
      <c r="D2359">
        <v>0</v>
      </c>
      <c r="E2359">
        <v>0</v>
      </c>
      <c r="F2359">
        <v>0</v>
      </c>
      <c r="G2359" s="10">
        <f t="shared" si="36"/>
        <v>0</v>
      </c>
      <c r="H2359" t="str">
        <f>$A2359&amp;Keys!$C$54&amp;$B2359&amp;Keys!$C$54&amp;$C2359</f>
        <v>SC|production|municipal solid waste</v>
      </c>
    </row>
    <row r="2360" spans="1:8" x14ac:dyDescent="0.25">
      <c r="A2360" t="s">
        <v>157</v>
      </c>
      <c r="B2360" t="s">
        <v>188</v>
      </c>
      <c r="C2360" t="s">
        <v>123</v>
      </c>
      <c r="D2360">
        <v>0</v>
      </c>
      <c r="E2360">
        <v>0</v>
      </c>
      <c r="F2360">
        <v>0</v>
      </c>
      <c r="G2360" s="10">
        <f t="shared" si="36"/>
        <v>0</v>
      </c>
      <c r="H2360" t="str">
        <f>$A2360&amp;Keys!$C$54&amp;$B2360&amp;Keys!$C$54&amp;$C2360</f>
        <v>SC|production|hydrogen</v>
      </c>
    </row>
    <row r="2361" spans="1:8" x14ac:dyDescent="0.25">
      <c r="A2361" t="s">
        <v>157</v>
      </c>
      <c r="B2361" t="s">
        <v>191</v>
      </c>
      <c r="C2361" t="s">
        <v>60</v>
      </c>
      <c r="D2361">
        <v>0</v>
      </c>
      <c r="E2361">
        <v>0</v>
      </c>
      <c r="F2361">
        <v>0</v>
      </c>
      <c r="G2361" s="10">
        <f t="shared" si="36"/>
        <v>0</v>
      </c>
      <c r="H2361" t="str">
        <f>$A2361&amp;Keys!$C$54&amp;$B2361&amp;Keys!$C$54&amp;$C2361</f>
        <v>SC|imports|electricity (not used in this variable)</v>
      </c>
    </row>
    <row r="2362" spans="1:8" x14ac:dyDescent="0.25">
      <c r="A2362" t="s">
        <v>157</v>
      </c>
      <c r="B2362" t="s">
        <v>191</v>
      </c>
      <c r="C2362" t="s">
        <v>64</v>
      </c>
      <c r="D2362">
        <v>139942000000000</v>
      </c>
      <c r="E2362">
        <v>181384000000000</v>
      </c>
      <c r="F2362">
        <v>257386000000000</v>
      </c>
      <c r="G2362" s="10">
        <f t="shared" si="36"/>
        <v>192904000000000</v>
      </c>
      <c r="H2362" t="str">
        <f>$A2362&amp;Keys!$C$54&amp;$B2362&amp;Keys!$C$54&amp;$C2362</f>
        <v>SC|imports|hard coal</v>
      </c>
    </row>
    <row r="2363" spans="1:8" x14ac:dyDescent="0.25">
      <c r="A2363" t="s">
        <v>157</v>
      </c>
      <c r="B2363" t="s">
        <v>191</v>
      </c>
      <c r="C2363" t="s">
        <v>68</v>
      </c>
      <c r="D2363">
        <v>640447000000000</v>
      </c>
      <c r="E2363">
        <v>662509000000000</v>
      </c>
      <c r="F2363">
        <v>617279000000000</v>
      </c>
      <c r="G2363" s="10">
        <f t="shared" si="36"/>
        <v>640078333333333.38</v>
      </c>
      <c r="H2363" t="str">
        <f>$A2363&amp;Keys!$C$54&amp;$B2363&amp;Keys!$C$54&amp;$C2363</f>
        <v>SC|imports|natural gas</v>
      </c>
    </row>
    <row r="2364" spans="1:8" x14ac:dyDescent="0.25">
      <c r="A2364" t="s">
        <v>157</v>
      </c>
      <c r="B2364" t="s">
        <v>191</v>
      </c>
      <c r="C2364" t="s">
        <v>71</v>
      </c>
      <c r="D2364">
        <v>561524000000000</v>
      </c>
      <c r="E2364">
        <v>591784000000000</v>
      </c>
      <c r="F2364">
        <v>578522000000000</v>
      </c>
      <c r="G2364" s="10">
        <f t="shared" si="36"/>
        <v>577276666666666.63</v>
      </c>
      <c r="H2364" t="str">
        <f>$A2364&amp;Keys!$C$54&amp;$B2364&amp;Keys!$C$54&amp;$C2364</f>
        <v>SC|imports|nuclear</v>
      </c>
    </row>
    <row r="2365" spans="1:8" x14ac:dyDescent="0.25">
      <c r="A2365" t="s">
        <v>157</v>
      </c>
      <c r="B2365" t="s">
        <v>191</v>
      </c>
      <c r="C2365" t="s">
        <v>74</v>
      </c>
      <c r="D2365">
        <v>0</v>
      </c>
      <c r="E2365">
        <v>0</v>
      </c>
      <c r="F2365">
        <v>0</v>
      </c>
      <c r="G2365" s="10">
        <f t="shared" si="36"/>
        <v>0</v>
      </c>
      <c r="H2365" t="str">
        <f>$A2365&amp;Keys!$C$54&amp;$B2365&amp;Keys!$C$54&amp;$C2365</f>
        <v>SC|imports|hydro (is not a fuel)</v>
      </c>
    </row>
    <row r="2366" spans="1:8" x14ac:dyDescent="0.25">
      <c r="A2366" t="s">
        <v>157</v>
      </c>
      <c r="B2366" t="s">
        <v>191</v>
      </c>
      <c r="C2366" t="s">
        <v>77</v>
      </c>
      <c r="D2366">
        <v>0</v>
      </c>
      <c r="E2366">
        <v>0</v>
      </c>
      <c r="F2366">
        <v>0</v>
      </c>
      <c r="G2366" s="10">
        <f t="shared" si="36"/>
        <v>0</v>
      </c>
      <c r="H2366" t="str">
        <f>$A2366&amp;Keys!$C$54&amp;$B2366&amp;Keys!$C$54&amp;$C2366</f>
        <v>SC|imports|wind (is not a fuel)</v>
      </c>
    </row>
    <row r="2367" spans="1:8" x14ac:dyDescent="0.25">
      <c r="A2367" t="s">
        <v>157</v>
      </c>
      <c r="B2367" t="s">
        <v>191</v>
      </c>
      <c r="C2367" t="s">
        <v>80</v>
      </c>
      <c r="D2367">
        <v>0</v>
      </c>
      <c r="E2367">
        <v>0</v>
      </c>
      <c r="F2367">
        <v>0</v>
      </c>
      <c r="G2367" s="10">
        <f t="shared" si="36"/>
        <v>0</v>
      </c>
      <c r="H2367" t="str">
        <f>$A2367&amp;Keys!$C$54&amp;$B2367&amp;Keys!$C$54&amp;$C2367</f>
        <v>SC|imports|solar (is not a fuel)</v>
      </c>
    </row>
    <row r="2368" spans="1:8" x14ac:dyDescent="0.25">
      <c r="A2368" t="s">
        <v>157</v>
      </c>
      <c r="B2368" t="s">
        <v>191</v>
      </c>
      <c r="C2368" t="s">
        <v>82</v>
      </c>
      <c r="D2368">
        <v>0</v>
      </c>
      <c r="E2368">
        <v>95098700000000</v>
      </c>
      <c r="F2368">
        <v>101952000000000</v>
      </c>
      <c r="G2368" s="10">
        <f t="shared" si="36"/>
        <v>65683566666666.664</v>
      </c>
      <c r="H2368" t="str">
        <f>$A2368&amp;Keys!$C$54&amp;$B2368&amp;Keys!$C$54&amp;$C2368</f>
        <v>SC|imports|biomass</v>
      </c>
    </row>
    <row r="2369" spans="1:8" x14ac:dyDescent="0.25">
      <c r="A2369" t="s">
        <v>157</v>
      </c>
      <c r="B2369" t="s">
        <v>191</v>
      </c>
      <c r="C2369" t="s">
        <v>85</v>
      </c>
      <c r="D2369">
        <v>0</v>
      </c>
      <c r="E2369">
        <v>288674000000000</v>
      </c>
      <c r="F2369">
        <v>283404000000000</v>
      </c>
      <c r="G2369" s="10">
        <f t="shared" si="36"/>
        <v>190692666666666.66</v>
      </c>
      <c r="H2369" t="str">
        <f>$A2369&amp;Keys!$C$54&amp;$B2369&amp;Keys!$C$54&amp;$C2369</f>
        <v>SC|imports|petroleum gasoline</v>
      </c>
    </row>
    <row r="2370" spans="1:8" x14ac:dyDescent="0.25">
      <c r="A2370" t="s">
        <v>157</v>
      </c>
      <c r="B2370" t="s">
        <v>191</v>
      </c>
      <c r="C2370" t="s">
        <v>88</v>
      </c>
      <c r="D2370">
        <v>0</v>
      </c>
      <c r="E2370">
        <v>152684000000000</v>
      </c>
      <c r="F2370">
        <v>154017000000000</v>
      </c>
      <c r="G2370" s="10">
        <f t="shared" si="36"/>
        <v>102233666666666.67</v>
      </c>
      <c r="H2370" t="str">
        <f>$A2370&amp;Keys!$C$54&amp;$B2370&amp;Keys!$C$54&amp;$C2370</f>
        <v>SC|imports|petroleum diesel</v>
      </c>
    </row>
    <row r="2371" spans="1:8" x14ac:dyDescent="0.25">
      <c r="A2371" t="s">
        <v>157</v>
      </c>
      <c r="B2371" t="s">
        <v>191</v>
      </c>
      <c r="C2371" t="s">
        <v>91</v>
      </c>
      <c r="D2371">
        <v>0</v>
      </c>
      <c r="E2371">
        <v>19588900000000</v>
      </c>
      <c r="F2371">
        <v>19239800000000</v>
      </c>
      <c r="G2371" s="10">
        <f t="shared" si="36"/>
        <v>12942900000000</v>
      </c>
      <c r="H2371" t="str">
        <f>$A2371&amp;Keys!$C$54&amp;$B2371&amp;Keys!$C$54&amp;$C2371</f>
        <v>SC|imports|biofuel gasoline</v>
      </c>
    </row>
    <row r="2372" spans="1:8" x14ac:dyDescent="0.25">
      <c r="A2372" t="s">
        <v>157</v>
      </c>
      <c r="B2372" t="s">
        <v>191</v>
      </c>
      <c r="C2372" t="s">
        <v>94</v>
      </c>
      <c r="D2372">
        <v>0</v>
      </c>
      <c r="E2372">
        <v>886477000000</v>
      </c>
      <c r="F2372">
        <v>889014000000</v>
      </c>
      <c r="G2372" s="10">
        <f t="shared" si="36"/>
        <v>591830333333.33337</v>
      </c>
      <c r="H2372" t="str">
        <f>$A2372&amp;Keys!$C$54&amp;$B2372&amp;Keys!$C$54&amp;$C2372</f>
        <v>SC|imports|biofuel diesel</v>
      </c>
    </row>
    <row r="2373" spans="1:8" x14ac:dyDescent="0.25">
      <c r="A2373" t="s">
        <v>157</v>
      </c>
      <c r="B2373" t="s">
        <v>191</v>
      </c>
      <c r="C2373" t="s">
        <v>97</v>
      </c>
      <c r="D2373">
        <v>0</v>
      </c>
      <c r="E2373">
        <v>19859900000000</v>
      </c>
      <c r="F2373">
        <v>20089400000000</v>
      </c>
      <c r="G2373" s="10">
        <f t="shared" si="36"/>
        <v>13316433333333.334</v>
      </c>
      <c r="H2373" t="str">
        <f>$A2373&amp;Keys!$C$54&amp;$B2373&amp;Keys!$C$54&amp;$C2373</f>
        <v>SC|imports|jet fuel or kerosene</v>
      </c>
    </row>
    <row r="2374" spans="1:8" x14ac:dyDescent="0.25">
      <c r="A2374" t="s">
        <v>157</v>
      </c>
      <c r="B2374" t="s">
        <v>191</v>
      </c>
      <c r="C2374" t="s">
        <v>100</v>
      </c>
      <c r="D2374">
        <v>0</v>
      </c>
      <c r="E2374">
        <v>0</v>
      </c>
      <c r="F2374">
        <v>0</v>
      </c>
      <c r="G2374" s="10">
        <f t="shared" si="36"/>
        <v>0</v>
      </c>
      <c r="H2374" t="str">
        <f>$A2374&amp;Keys!$C$54&amp;$B2374&amp;Keys!$C$54&amp;$C2374</f>
        <v>SC|imports|heat (not used in this variable)</v>
      </c>
    </row>
    <row r="2375" spans="1:8" x14ac:dyDescent="0.25">
      <c r="A2375" t="s">
        <v>157</v>
      </c>
      <c r="B2375" t="s">
        <v>191</v>
      </c>
      <c r="C2375" t="s">
        <v>103</v>
      </c>
      <c r="D2375">
        <v>0</v>
      </c>
      <c r="E2375">
        <v>0</v>
      </c>
      <c r="F2375">
        <v>0</v>
      </c>
      <c r="G2375" s="10">
        <f t="shared" si="36"/>
        <v>0</v>
      </c>
      <c r="H2375" t="str">
        <f>$A2375&amp;Keys!$C$54&amp;$B2375&amp;Keys!$C$54&amp;$C2375</f>
        <v>SC|imports|geothermal (is not a fuel)</v>
      </c>
    </row>
    <row r="2376" spans="1:8" x14ac:dyDescent="0.25">
      <c r="A2376" t="s">
        <v>157</v>
      </c>
      <c r="B2376" t="s">
        <v>191</v>
      </c>
      <c r="C2376" t="s">
        <v>106</v>
      </c>
      <c r="D2376">
        <v>0</v>
      </c>
      <c r="E2376">
        <v>0</v>
      </c>
      <c r="F2376">
        <v>0</v>
      </c>
      <c r="G2376" s="10">
        <f t="shared" si="36"/>
        <v>0</v>
      </c>
      <c r="H2376" t="str">
        <f>$A2376&amp;Keys!$C$54&amp;$B2376&amp;Keys!$C$54&amp;$C2376</f>
        <v>SC|imports|lignite</v>
      </c>
    </row>
    <row r="2377" spans="1:8" x14ac:dyDescent="0.25">
      <c r="A2377" t="s">
        <v>157</v>
      </c>
      <c r="B2377" t="s">
        <v>191</v>
      </c>
      <c r="C2377" t="s">
        <v>109</v>
      </c>
      <c r="D2377">
        <v>0</v>
      </c>
      <c r="E2377">
        <v>11071000000000</v>
      </c>
      <c r="F2377">
        <v>0</v>
      </c>
      <c r="G2377" s="10">
        <f t="shared" ref="G2377:G2440" si="37">AVERAGE($D2377:$F2377)</f>
        <v>3690333333333.3335</v>
      </c>
      <c r="H2377" t="str">
        <f>$A2377&amp;Keys!$C$54&amp;$B2377&amp;Keys!$C$54&amp;$C2377</f>
        <v>SC|imports|crude oil</v>
      </c>
    </row>
    <row r="2378" spans="1:8" x14ac:dyDescent="0.25">
      <c r="A2378" t="s">
        <v>157</v>
      </c>
      <c r="B2378" t="s">
        <v>191</v>
      </c>
      <c r="C2378" t="s">
        <v>113</v>
      </c>
      <c r="D2378">
        <v>0</v>
      </c>
      <c r="E2378">
        <v>26329200000000</v>
      </c>
      <c r="F2378">
        <v>25977700000000</v>
      </c>
      <c r="G2378" s="10">
        <f t="shared" si="37"/>
        <v>17435633333333.334</v>
      </c>
      <c r="H2378" t="str">
        <f>$A2378&amp;Keys!$C$54&amp;$B2378&amp;Keys!$C$54&amp;$C2378</f>
        <v>SC|imports|heavy fuel oil</v>
      </c>
    </row>
    <row r="2379" spans="1:8" x14ac:dyDescent="0.25">
      <c r="A2379" t="s">
        <v>157</v>
      </c>
      <c r="B2379" t="s">
        <v>191</v>
      </c>
      <c r="C2379" t="s">
        <v>117</v>
      </c>
      <c r="D2379">
        <v>0</v>
      </c>
      <c r="E2379">
        <v>9137240000000</v>
      </c>
      <c r="F2379">
        <v>9039040000000</v>
      </c>
      <c r="G2379" s="10">
        <f t="shared" si="37"/>
        <v>6058760000000</v>
      </c>
      <c r="H2379" t="str">
        <f>$A2379&amp;Keys!$C$54&amp;$B2379&amp;Keys!$C$54&amp;$C2379</f>
        <v>SC|imports|LPG propane or butane</v>
      </c>
    </row>
    <row r="2380" spans="1:8" x14ac:dyDescent="0.25">
      <c r="A2380" t="s">
        <v>157</v>
      </c>
      <c r="B2380" t="s">
        <v>191</v>
      </c>
      <c r="C2380" t="s">
        <v>120</v>
      </c>
      <c r="D2380">
        <v>0</v>
      </c>
      <c r="E2380">
        <v>0</v>
      </c>
      <c r="F2380">
        <v>0</v>
      </c>
      <c r="G2380" s="10">
        <f t="shared" si="37"/>
        <v>0</v>
      </c>
      <c r="H2380" t="str">
        <f>$A2380&amp;Keys!$C$54&amp;$B2380&amp;Keys!$C$54&amp;$C2380</f>
        <v>SC|imports|municipal solid waste</v>
      </c>
    </row>
    <row r="2381" spans="1:8" x14ac:dyDescent="0.25">
      <c r="A2381" t="s">
        <v>157</v>
      </c>
      <c r="B2381" t="s">
        <v>191</v>
      </c>
      <c r="C2381" t="s">
        <v>123</v>
      </c>
      <c r="D2381">
        <v>0</v>
      </c>
      <c r="E2381">
        <v>1881800000</v>
      </c>
      <c r="F2381">
        <v>2603880000</v>
      </c>
      <c r="G2381" s="10">
        <f t="shared" si="37"/>
        <v>1495226666.6666667</v>
      </c>
      <c r="H2381" t="str">
        <f>$A2381&amp;Keys!$C$54&amp;$B2381&amp;Keys!$C$54&amp;$C2381</f>
        <v>SC|imports|hydrogen</v>
      </c>
    </row>
    <row r="2382" spans="1:8" x14ac:dyDescent="0.25">
      <c r="A2382" t="s">
        <v>157</v>
      </c>
      <c r="B2382" t="s">
        <v>193</v>
      </c>
      <c r="C2382" t="s">
        <v>60</v>
      </c>
      <c r="D2382">
        <v>0</v>
      </c>
      <c r="E2382">
        <v>0</v>
      </c>
      <c r="F2382">
        <v>0</v>
      </c>
      <c r="G2382" s="10">
        <f t="shared" si="37"/>
        <v>0</v>
      </c>
      <c r="H2382" t="str">
        <f>$A2382&amp;Keys!$C$54&amp;$B2382&amp;Keys!$C$54&amp;$C2382</f>
        <v>SC|exports|electricity (not used in this variable)</v>
      </c>
    </row>
    <row r="2383" spans="1:8" x14ac:dyDescent="0.25">
      <c r="A2383" t="s">
        <v>157</v>
      </c>
      <c r="B2383" t="s">
        <v>193</v>
      </c>
      <c r="C2383" t="s">
        <v>64</v>
      </c>
      <c r="D2383">
        <v>0</v>
      </c>
      <c r="E2383">
        <v>0</v>
      </c>
      <c r="F2383">
        <v>0</v>
      </c>
      <c r="G2383" s="10">
        <f t="shared" si="37"/>
        <v>0</v>
      </c>
      <c r="H2383" t="str">
        <f>$A2383&amp;Keys!$C$54&amp;$B2383&amp;Keys!$C$54&amp;$C2383</f>
        <v>SC|exports|hard coal</v>
      </c>
    </row>
    <row r="2384" spans="1:8" x14ac:dyDescent="0.25">
      <c r="A2384" t="s">
        <v>157</v>
      </c>
      <c r="B2384" t="s">
        <v>193</v>
      </c>
      <c r="C2384" t="s">
        <v>68</v>
      </c>
      <c r="D2384">
        <v>339254000000000</v>
      </c>
      <c r="E2384">
        <v>339254000000000</v>
      </c>
      <c r="F2384">
        <v>340307000000000</v>
      </c>
      <c r="G2384" s="10">
        <f t="shared" si="37"/>
        <v>339605000000000</v>
      </c>
      <c r="H2384" t="str">
        <f>$A2384&amp;Keys!$C$54&amp;$B2384&amp;Keys!$C$54&amp;$C2384</f>
        <v>SC|exports|natural gas</v>
      </c>
    </row>
    <row r="2385" spans="1:8" x14ac:dyDescent="0.25">
      <c r="A2385" t="s">
        <v>157</v>
      </c>
      <c r="B2385" t="s">
        <v>193</v>
      </c>
      <c r="C2385" t="s">
        <v>71</v>
      </c>
      <c r="D2385">
        <v>0</v>
      </c>
      <c r="E2385">
        <v>0</v>
      </c>
      <c r="F2385">
        <v>0</v>
      </c>
      <c r="G2385" s="10">
        <f t="shared" si="37"/>
        <v>0</v>
      </c>
      <c r="H2385" t="str">
        <f>$A2385&amp;Keys!$C$54&amp;$B2385&amp;Keys!$C$54&amp;$C2385</f>
        <v>SC|exports|nuclear</v>
      </c>
    </row>
    <row r="2386" spans="1:8" x14ac:dyDescent="0.25">
      <c r="A2386" t="s">
        <v>157</v>
      </c>
      <c r="B2386" t="s">
        <v>193</v>
      </c>
      <c r="C2386" t="s">
        <v>74</v>
      </c>
      <c r="D2386">
        <v>0</v>
      </c>
      <c r="E2386">
        <v>0</v>
      </c>
      <c r="F2386">
        <v>0</v>
      </c>
      <c r="G2386" s="10">
        <f t="shared" si="37"/>
        <v>0</v>
      </c>
      <c r="H2386" t="str">
        <f>$A2386&amp;Keys!$C$54&amp;$B2386&amp;Keys!$C$54&amp;$C2386</f>
        <v>SC|exports|hydro (is not a fuel)</v>
      </c>
    </row>
    <row r="2387" spans="1:8" x14ac:dyDescent="0.25">
      <c r="A2387" t="s">
        <v>157</v>
      </c>
      <c r="B2387" t="s">
        <v>193</v>
      </c>
      <c r="C2387" t="s">
        <v>77</v>
      </c>
      <c r="D2387">
        <v>0</v>
      </c>
      <c r="E2387">
        <v>0</v>
      </c>
      <c r="F2387">
        <v>0</v>
      </c>
      <c r="G2387" s="10">
        <f t="shared" si="37"/>
        <v>0</v>
      </c>
      <c r="H2387" t="str">
        <f>$A2387&amp;Keys!$C$54&amp;$B2387&amp;Keys!$C$54&amp;$C2387</f>
        <v>SC|exports|wind (is not a fuel)</v>
      </c>
    </row>
    <row r="2388" spans="1:8" x14ac:dyDescent="0.25">
      <c r="A2388" t="s">
        <v>157</v>
      </c>
      <c r="B2388" t="s">
        <v>193</v>
      </c>
      <c r="C2388" t="s">
        <v>80</v>
      </c>
      <c r="D2388">
        <v>0</v>
      </c>
      <c r="E2388">
        <v>0</v>
      </c>
      <c r="F2388">
        <v>0</v>
      </c>
      <c r="G2388" s="10">
        <f t="shared" si="37"/>
        <v>0</v>
      </c>
      <c r="H2388" t="str">
        <f>$A2388&amp;Keys!$C$54&amp;$B2388&amp;Keys!$C$54&amp;$C2388</f>
        <v>SC|exports|solar (is not a fuel)</v>
      </c>
    </row>
    <row r="2389" spans="1:8" x14ac:dyDescent="0.25">
      <c r="A2389" t="s">
        <v>157</v>
      </c>
      <c r="B2389" t="s">
        <v>193</v>
      </c>
      <c r="C2389" t="s">
        <v>82</v>
      </c>
      <c r="D2389">
        <v>0</v>
      </c>
      <c r="E2389">
        <v>0</v>
      </c>
      <c r="F2389">
        <v>0</v>
      </c>
      <c r="G2389" s="10">
        <f t="shared" si="37"/>
        <v>0</v>
      </c>
      <c r="H2389" t="str">
        <f>$A2389&amp;Keys!$C$54&amp;$B2389&amp;Keys!$C$54&amp;$C2389</f>
        <v>SC|exports|biomass</v>
      </c>
    </row>
    <row r="2390" spans="1:8" x14ac:dyDescent="0.25">
      <c r="A2390" t="s">
        <v>157</v>
      </c>
      <c r="B2390" t="s">
        <v>193</v>
      </c>
      <c r="C2390" t="s">
        <v>85</v>
      </c>
      <c r="D2390">
        <v>0</v>
      </c>
      <c r="E2390">
        <v>0</v>
      </c>
      <c r="F2390">
        <v>0</v>
      </c>
      <c r="G2390" s="10">
        <f t="shared" si="37"/>
        <v>0</v>
      </c>
      <c r="H2390" t="str">
        <f>$A2390&amp;Keys!$C$54&amp;$B2390&amp;Keys!$C$54&amp;$C2390</f>
        <v>SC|exports|petroleum gasoline</v>
      </c>
    </row>
    <row r="2391" spans="1:8" x14ac:dyDescent="0.25">
      <c r="A2391" t="s">
        <v>157</v>
      </c>
      <c r="B2391" t="s">
        <v>193</v>
      </c>
      <c r="C2391" t="s">
        <v>88</v>
      </c>
      <c r="D2391">
        <v>0</v>
      </c>
      <c r="E2391">
        <v>0</v>
      </c>
      <c r="F2391">
        <v>0</v>
      </c>
      <c r="G2391" s="10">
        <f t="shared" si="37"/>
        <v>0</v>
      </c>
      <c r="H2391" t="str">
        <f>$A2391&amp;Keys!$C$54&amp;$B2391&amp;Keys!$C$54&amp;$C2391</f>
        <v>SC|exports|petroleum diesel</v>
      </c>
    </row>
    <row r="2392" spans="1:8" x14ac:dyDescent="0.25">
      <c r="A2392" t="s">
        <v>157</v>
      </c>
      <c r="B2392" t="s">
        <v>193</v>
      </c>
      <c r="C2392" t="s">
        <v>91</v>
      </c>
      <c r="D2392">
        <v>0</v>
      </c>
      <c r="E2392">
        <v>0</v>
      </c>
      <c r="F2392">
        <v>0</v>
      </c>
      <c r="G2392" s="10">
        <f t="shared" si="37"/>
        <v>0</v>
      </c>
      <c r="H2392" t="str">
        <f>$A2392&amp;Keys!$C$54&amp;$B2392&amp;Keys!$C$54&amp;$C2392</f>
        <v>SC|exports|biofuel gasoline</v>
      </c>
    </row>
    <row r="2393" spans="1:8" x14ac:dyDescent="0.25">
      <c r="A2393" t="s">
        <v>157</v>
      </c>
      <c r="B2393" t="s">
        <v>193</v>
      </c>
      <c r="C2393" t="s">
        <v>94</v>
      </c>
      <c r="D2393">
        <v>0</v>
      </c>
      <c r="E2393">
        <v>0</v>
      </c>
      <c r="F2393">
        <v>0</v>
      </c>
      <c r="G2393" s="10">
        <f t="shared" si="37"/>
        <v>0</v>
      </c>
      <c r="H2393" t="str">
        <f>$A2393&amp;Keys!$C$54&amp;$B2393&amp;Keys!$C$54&amp;$C2393</f>
        <v>SC|exports|biofuel diesel</v>
      </c>
    </row>
    <row r="2394" spans="1:8" x14ac:dyDescent="0.25">
      <c r="A2394" t="s">
        <v>157</v>
      </c>
      <c r="B2394" t="s">
        <v>193</v>
      </c>
      <c r="C2394" t="s">
        <v>97</v>
      </c>
      <c r="D2394">
        <v>0</v>
      </c>
      <c r="E2394">
        <v>0</v>
      </c>
      <c r="F2394">
        <v>0</v>
      </c>
      <c r="G2394" s="10">
        <f t="shared" si="37"/>
        <v>0</v>
      </c>
      <c r="H2394" t="str">
        <f>$A2394&amp;Keys!$C$54&amp;$B2394&amp;Keys!$C$54&amp;$C2394</f>
        <v>SC|exports|jet fuel or kerosene</v>
      </c>
    </row>
    <row r="2395" spans="1:8" x14ac:dyDescent="0.25">
      <c r="A2395" t="s">
        <v>157</v>
      </c>
      <c r="B2395" t="s">
        <v>193</v>
      </c>
      <c r="C2395" t="s">
        <v>100</v>
      </c>
      <c r="D2395">
        <v>0</v>
      </c>
      <c r="E2395">
        <v>0</v>
      </c>
      <c r="F2395">
        <v>0</v>
      </c>
      <c r="G2395" s="10">
        <f t="shared" si="37"/>
        <v>0</v>
      </c>
      <c r="H2395" t="str">
        <f>$A2395&amp;Keys!$C$54&amp;$B2395&amp;Keys!$C$54&amp;$C2395</f>
        <v>SC|exports|heat (not used in this variable)</v>
      </c>
    </row>
    <row r="2396" spans="1:8" x14ac:dyDescent="0.25">
      <c r="A2396" t="s">
        <v>157</v>
      </c>
      <c r="B2396" t="s">
        <v>193</v>
      </c>
      <c r="C2396" t="s">
        <v>103</v>
      </c>
      <c r="D2396">
        <v>0</v>
      </c>
      <c r="E2396">
        <v>0</v>
      </c>
      <c r="F2396">
        <v>0</v>
      </c>
      <c r="G2396" s="10">
        <f t="shared" si="37"/>
        <v>0</v>
      </c>
      <c r="H2396" t="str">
        <f>$A2396&amp;Keys!$C$54&amp;$B2396&amp;Keys!$C$54&amp;$C2396</f>
        <v>SC|exports|geothermal (is not a fuel)</v>
      </c>
    </row>
    <row r="2397" spans="1:8" x14ac:dyDescent="0.25">
      <c r="A2397" t="s">
        <v>157</v>
      </c>
      <c r="B2397" t="s">
        <v>193</v>
      </c>
      <c r="C2397" t="s">
        <v>106</v>
      </c>
      <c r="D2397">
        <v>0</v>
      </c>
      <c r="E2397">
        <v>0</v>
      </c>
      <c r="F2397">
        <v>0</v>
      </c>
      <c r="G2397" s="10">
        <f t="shared" si="37"/>
        <v>0</v>
      </c>
      <c r="H2397" t="str">
        <f>$A2397&amp;Keys!$C$54&amp;$B2397&amp;Keys!$C$54&amp;$C2397</f>
        <v>SC|exports|lignite</v>
      </c>
    </row>
    <row r="2398" spans="1:8" x14ac:dyDescent="0.25">
      <c r="A2398" t="s">
        <v>157</v>
      </c>
      <c r="B2398" t="s">
        <v>193</v>
      </c>
      <c r="C2398" t="s">
        <v>109</v>
      </c>
      <c r="D2398">
        <v>0</v>
      </c>
      <c r="E2398">
        <v>0</v>
      </c>
      <c r="F2398">
        <v>0</v>
      </c>
      <c r="G2398" s="10">
        <f t="shared" si="37"/>
        <v>0</v>
      </c>
      <c r="H2398" t="str">
        <f>$A2398&amp;Keys!$C$54&amp;$B2398&amp;Keys!$C$54&amp;$C2398</f>
        <v>SC|exports|crude oil</v>
      </c>
    </row>
    <row r="2399" spans="1:8" x14ac:dyDescent="0.25">
      <c r="A2399" t="s">
        <v>157</v>
      </c>
      <c r="B2399" t="s">
        <v>193</v>
      </c>
      <c r="C2399" t="s">
        <v>113</v>
      </c>
      <c r="D2399">
        <v>0</v>
      </c>
      <c r="E2399">
        <v>0</v>
      </c>
      <c r="F2399">
        <v>0</v>
      </c>
      <c r="G2399" s="10">
        <f t="shared" si="37"/>
        <v>0</v>
      </c>
      <c r="H2399" t="str">
        <f>$A2399&amp;Keys!$C$54&amp;$B2399&amp;Keys!$C$54&amp;$C2399</f>
        <v>SC|exports|heavy fuel oil</v>
      </c>
    </row>
    <row r="2400" spans="1:8" x14ac:dyDescent="0.25">
      <c r="A2400" t="s">
        <v>157</v>
      </c>
      <c r="B2400" t="s">
        <v>193</v>
      </c>
      <c r="C2400" t="s">
        <v>117</v>
      </c>
      <c r="D2400">
        <v>0</v>
      </c>
      <c r="E2400">
        <v>0</v>
      </c>
      <c r="F2400">
        <v>0</v>
      </c>
      <c r="G2400" s="10">
        <f t="shared" si="37"/>
        <v>0</v>
      </c>
      <c r="H2400" t="str">
        <f>$A2400&amp;Keys!$C$54&amp;$B2400&amp;Keys!$C$54&amp;$C2400</f>
        <v>SC|exports|LPG propane or butane</v>
      </c>
    </row>
    <row r="2401" spans="1:8" x14ac:dyDescent="0.25">
      <c r="A2401" t="s">
        <v>157</v>
      </c>
      <c r="B2401" t="s">
        <v>193</v>
      </c>
      <c r="C2401" t="s">
        <v>120</v>
      </c>
      <c r="D2401">
        <v>0</v>
      </c>
      <c r="E2401">
        <v>0</v>
      </c>
      <c r="F2401">
        <v>0</v>
      </c>
      <c r="G2401" s="10">
        <f t="shared" si="37"/>
        <v>0</v>
      </c>
      <c r="H2401" t="str">
        <f>$A2401&amp;Keys!$C$54&amp;$B2401&amp;Keys!$C$54&amp;$C2401</f>
        <v>SC|exports|municipal solid waste</v>
      </c>
    </row>
    <row r="2402" spans="1:8" x14ac:dyDescent="0.25">
      <c r="A2402" t="s">
        <v>157</v>
      </c>
      <c r="B2402" t="s">
        <v>193</v>
      </c>
      <c r="C2402" t="s">
        <v>123</v>
      </c>
      <c r="D2402">
        <v>0</v>
      </c>
      <c r="E2402">
        <v>0</v>
      </c>
      <c r="F2402">
        <v>0</v>
      </c>
      <c r="G2402" s="10">
        <f t="shared" si="37"/>
        <v>0</v>
      </c>
      <c r="H2402" t="str">
        <f>$A2402&amp;Keys!$C$54&amp;$B2402&amp;Keys!$C$54&amp;$C2402</f>
        <v>SC|exports|hydrogen</v>
      </c>
    </row>
    <row r="2403" spans="1:8" x14ac:dyDescent="0.25">
      <c r="A2403" t="s">
        <v>159</v>
      </c>
      <c r="B2403" t="s">
        <v>188</v>
      </c>
      <c r="C2403" t="s">
        <v>60</v>
      </c>
      <c r="D2403">
        <v>0</v>
      </c>
      <c r="E2403">
        <v>0</v>
      </c>
      <c r="F2403">
        <v>0</v>
      </c>
      <c r="G2403" s="10">
        <f t="shared" si="37"/>
        <v>0</v>
      </c>
      <c r="H2403" t="str">
        <f>$A2403&amp;Keys!$C$54&amp;$B2403&amp;Keys!$C$54&amp;$C2403</f>
        <v>SD|production|electricity (not used in this variable)</v>
      </c>
    </row>
    <row r="2404" spans="1:8" x14ac:dyDescent="0.25">
      <c r="A2404" t="s">
        <v>159</v>
      </c>
      <c r="B2404" t="s">
        <v>188</v>
      </c>
      <c r="C2404" t="s">
        <v>64</v>
      </c>
      <c r="D2404">
        <v>0</v>
      </c>
      <c r="E2404">
        <v>0</v>
      </c>
      <c r="F2404">
        <v>0</v>
      </c>
      <c r="G2404" s="10">
        <f t="shared" si="37"/>
        <v>0</v>
      </c>
      <c r="H2404" t="str">
        <f>$A2404&amp;Keys!$C$54&amp;$B2404&amp;Keys!$C$54&amp;$C2404</f>
        <v>SD|production|hard coal</v>
      </c>
    </row>
    <row r="2405" spans="1:8" x14ac:dyDescent="0.25">
      <c r="A2405" t="s">
        <v>159</v>
      </c>
      <c r="B2405" t="s">
        <v>188</v>
      </c>
      <c r="C2405" t="s">
        <v>68</v>
      </c>
      <c r="D2405">
        <v>139995000000</v>
      </c>
      <c r="E2405">
        <v>139995000000</v>
      </c>
      <c r="F2405">
        <v>129690000000</v>
      </c>
      <c r="G2405" s="10">
        <f t="shared" si="37"/>
        <v>136560000000</v>
      </c>
      <c r="H2405" t="str">
        <f>$A2405&amp;Keys!$C$54&amp;$B2405&amp;Keys!$C$54&amp;$C2405</f>
        <v>SD|production|natural gas</v>
      </c>
    </row>
    <row r="2406" spans="1:8" x14ac:dyDescent="0.25">
      <c r="A2406" t="s">
        <v>159</v>
      </c>
      <c r="B2406" t="s">
        <v>188</v>
      </c>
      <c r="C2406" t="s">
        <v>71</v>
      </c>
      <c r="D2406">
        <v>0</v>
      </c>
      <c r="E2406">
        <v>0</v>
      </c>
      <c r="F2406">
        <v>0</v>
      </c>
      <c r="G2406" s="10">
        <f t="shared" si="37"/>
        <v>0</v>
      </c>
      <c r="H2406" t="str">
        <f>$A2406&amp;Keys!$C$54&amp;$B2406&amp;Keys!$C$54&amp;$C2406</f>
        <v>SD|production|nuclear</v>
      </c>
    </row>
    <row r="2407" spans="1:8" x14ac:dyDescent="0.25">
      <c r="A2407" t="s">
        <v>159</v>
      </c>
      <c r="B2407" t="s">
        <v>188</v>
      </c>
      <c r="C2407" t="s">
        <v>74</v>
      </c>
      <c r="D2407">
        <v>0</v>
      </c>
      <c r="E2407">
        <v>0</v>
      </c>
      <c r="F2407">
        <v>0</v>
      </c>
      <c r="G2407" s="10">
        <f t="shared" si="37"/>
        <v>0</v>
      </c>
      <c r="H2407" t="str">
        <f>$A2407&amp;Keys!$C$54&amp;$B2407&amp;Keys!$C$54&amp;$C2407</f>
        <v>SD|production|hydro (is not a fuel)</v>
      </c>
    </row>
    <row r="2408" spans="1:8" x14ac:dyDescent="0.25">
      <c r="A2408" t="s">
        <v>159</v>
      </c>
      <c r="B2408" t="s">
        <v>188</v>
      </c>
      <c r="C2408" t="s">
        <v>77</v>
      </c>
      <c r="D2408">
        <v>0</v>
      </c>
      <c r="E2408">
        <v>0</v>
      </c>
      <c r="F2408">
        <v>0</v>
      </c>
      <c r="G2408" s="10">
        <f t="shared" si="37"/>
        <v>0</v>
      </c>
      <c r="H2408" t="str">
        <f>$A2408&amp;Keys!$C$54&amp;$B2408&amp;Keys!$C$54&amp;$C2408</f>
        <v>SD|production|wind (is not a fuel)</v>
      </c>
    </row>
    <row r="2409" spans="1:8" x14ac:dyDescent="0.25">
      <c r="A2409" t="s">
        <v>159</v>
      </c>
      <c r="B2409" t="s">
        <v>188</v>
      </c>
      <c r="C2409" t="s">
        <v>80</v>
      </c>
      <c r="D2409">
        <v>0</v>
      </c>
      <c r="E2409">
        <v>0</v>
      </c>
      <c r="F2409">
        <v>0</v>
      </c>
      <c r="G2409" s="10">
        <f t="shared" si="37"/>
        <v>0</v>
      </c>
      <c r="H2409" t="str">
        <f>$A2409&amp;Keys!$C$54&amp;$B2409&amp;Keys!$C$54&amp;$C2409</f>
        <v>SD|production|solar (is not a fuel)</v>
      </c>
    </row>
    <row r="2410" spans="1:8" x14ac:dyDescent="0.25">
      <c r="A2410" t="s">
        <v>159</v>
      </c>
      <c r="B2410" t="s">
        <v>188</v>
      </c>
      <c r="C2410" t="s">
        <v>82</v>
      </c>
      <c r="D2410">
        <v>1119360000000</v>
      </c>
      <c r="E2410">
        <v>1119360000000</v>
      </c>
      <c r="F2410">
        <v>1119360000000</v>
      </c>
      <c r="G2410" s="10">
        <f t="shared" si="37"/>
        <v>1119360000000</v>
      </c>
      <c r="H2410" t="str">
        <f>$A2410&amp;Keys!$C$54&amp;$B2410&amp;Keys!$C$54&amp;$C2410</f>
        <v>SD|production|biomass</v>
      </c>
    </row>
    <row r="2411" spans="1:8" x14ac:dyDescent="0.25">
      <c r="A2411" t="s">
        <v>159</v>
      </c>
      <c r="B2411" t="s">
        <v>188</v>
      </c>
      <c r="C2411" t="s">
        <v>85</v>
      </c>
      <c r="D2411">
        <v>0</v>
      </c>
      <c r="E2411">
        <v>0</v>
      </c>
      <c r="F2411">
        <v>0</v>
      </c>
      <c r="G2411" s="10">
        <f t="shared" si="37"/>
        <v>0</v>
      </c>
      <c r="H2411" t="str">
        <f>$A2411&amp;Keys!$C$54&amp;$B2411&amp;Keys!$C$54&amp;$C2411</f>
        <v>SD|production|petroleum gasoline</v>
      </c>
    </row>
    <row r="2412" spans="1:8" x14ac:dyDescent="0.25">
      <c r="A2412" t="s">
        <v>159</v>
      </c>
      <c r="B2412" t="s">
        <v>188</v>
      </c>
      <c r="C2412" t="s">
        <v>88</v>
      </c>
      <c r="D2412">
        <v>0</v>
      </c>
      <c r="E2412">
        <v>0</v>
      </c>
      <c r="F2412">
        <v>0</v>
      </c>
      <c r="G2412" s="10">
        <f t="shared" si="37"/>
        <v>0</v>
      </c>
      <c r="H2412" t="str">
        <f>$A2412&amp;Keys!$C$54&amp;$B2412&amp;Keys!$C$54&amp;$C2412</f>
        <v>SD|production|petroleum diesel</v>
      </c>
    </row>
    <row r="2413" spans="1:8" x14ac:dyDescent="0.25">
      <c r="A2413" t="s">
        <v>159</v>
      </c>
      <c r="B2413" t="s">
        <v>188</v>
      </c>
      <c r="C2413" t="s">
        <v>91</v>
      </c>
      <c r="D2413">
        <v>115828000000000</v>
      </c>
      <c r="E2413">
        <v>115828000000000</v>
      </c>
      <c r="F2413">
        <v>116154000000000</v>
      </c>
      <c r="G2413" s="10">
        <f t="shared" si="37"/>
        <v>115936666666666.67</v>
      </c>
      <c r="H2413" t="str">
        <f>$A2413&amp;Keys!$C$54&amp;$B2413&amp;Keys!$C$54&amp;$C2413</f>
        <v>SD|production|biofuel gasoline</v>
      </c>
    </row>
    <row r="2414" spans="1:8" x14ac:dyDescent="0.25">
      <c r="A2414" t="s">
        <v>159</v>
      </c>
      <c r="B2414" t="s">
        <v>188</v>
      </c>
      <c r="C2414" t="s">
        <v>94</v>
      </c>
      <c r="D2414">
        <v>0</v>
      </c>
      <c r="E2414">
        <v>0</v>
      </c>
      <c r="F2414">
        <v>0</v>
      </c>
      <c r="G2414" s="10">
        <f t="shared" si="37"/>
        <v>0</v>
      </c>
      <c r="H2414" t="str">
        <f>$A2414&amp;Keys!$C$54&amp;$B2414&amp;Keys!$C$54&amp;$C2414</f>
        <v>SD|production|biofuel diesel</v>
      </c>
    </row>
    <row r="2415" spans="1:8" x14ac:dyDescent="0.25">
      <c r="A2415" t="s">
        <v>159</v>
      </c>
      <c r="B2415" t="s">
        <v>188</v>
      </c>
      <c r="C2415" t="s">
        <v>97</v>
      </c>
      <c r="D2415">
        <v>0</v>
      </c>
      <c r="E2415">
        <v>0</v>
      </c>
      <c r="F2415">
        <v>0</v>
      </c>
      <c r="G2415" s="10">
        <f t="shared" si="37"/>
        <v>0</v>
      </c>
      <c r="H2415" t="str">
        <f>$A2415&amp;Keys!$C$54&amp;$B2415&amp;Keys!$C$54&amp;$C2415</f>
        <v>SD|production|jet fuel or kerosene</v>
      </c>
    </row>
    <row r="2416" spans="1:8" x14ac:dyDescent="0.25">
      <c r="A2416" t="s">
        <v>159</v>
      </c>
      <c r="B2416" t="s">
        <v>188</v>
      </c>
      <c r="C2416" t="s">
        <v>100</v>
      </c>
      <c r="D2416">
        <v>0</v>
      </c>
      <c r="E2416">
        <v>0</v>
      </c>
      <c r="F2416">
        <v>0</v>
      </c>
      <c r="G2416" s="10">
        <f t="shared" si="37"/>
        <v>0</v>
      </c>
      <c r="H2416" t="str">
        <f>$A2416&amp;Keys!$C$54&amp;$B2416&amp;Keys!$C$54&amp;$C2416</f>
        <v>SD|production|heat (not used in this variable)</v>
      </c>
    </row>
    <row r="2417" spans="1:8" x14ac:dyDescent="0.25">
      <c r="A2417" t="s">
        <v>159</v>
      </c>
      <c r="B2417" t="s">
        <v>188</v>
      </c>
      <c r="C2417" t="s">
        <v>103</v>
      </c>
      <c r="D2417">
        <v>0</v>
      </c>
      <c r="E2417">
        <v>0</v>
      </c>
      <c r="F2417">
        <v>0</v>
      </c>
      <c r="G2417" s="10">
        <f t="shared" si="37"/>
        <v>0</v>
      </c>
      <c r="H2417" t="str">
        <f>$A2417&amp;Keys!$C$54&amp;$B2417&amp;Keys!$C$54&amp;$C2417</f>
        <v>SD|production|geothermal (is not a fuel)</v>
      </c>
    </row>
    <row r="2418" spans="1:8" x14ac:dyDescent="0.25">
      <c r="A2418" t="s">
        <v>159</v>
      </c>
      <c r="B2418" t="s">
        <v>188</v>
      </c>
      <c r="C2418" t="s">
        <v>106</v>
      </c>
      <c r="D2418">
        <v>0</v>
      </c>
      <c r="E2418">
        <v>0</v>
      </c>
      <c r="F2418">
        <v>0</v>
      </c>
      <c r="G2418" s="10">
        <f t="shared" si="37"/>
        <v>0</v>
      </c>
      <c r="H2418" t="str">
        <f>$A2418&amp;Keys!$C$54&amp;$B2418&amp;Keys!$C$54&amp;$C2418</f>
        <v>SD|production|lignite</v>
      </c>
    </row>
    <row r="2419" spans="1:8" x14ac:dyDescent="0.25">
      <c r="A2419" t="s">
        <v>159</v>
      </c>
      <c r="B2419" t="s">
        <v>188</v>
      </c>
      <c r="C2419" t="s">
        <v>109</v>
      </c>
      <c r="D2419">
        <v>5034400000000</v>
      </c>
      <c r="E2419">
        <v>5034400000000</v>
      </c>
      <c r="F2419">
        <v>4864390000000</v>
      </c>
      <c r="G2419" s="10">
        <f t="shared" si="37"/>
        <v>4977730000000</v>
      </c>
      <c r="H2419" t="str">
        <f>$A2419&amp;Keys!$C$54&amp;$B2419&amp;Keys!$C$54&amp;$C2419</f>
        <v>SD|production|crude oil</v>
      </c>
    </row>
    <row r="2420" spans="1:8" x14ac:dyDescent="0.25">
      <c r="A2420" t="s">
        <v>159</v>
      </c>
      <c r="B2420" t="s">
        <v>188</v>
      </c>
      <c r="C2420" t="s">
        <v>113</v>
      </c>
      <c r="D2420">
        <v>0</v>
      </c>
      <c r="E2420">
        <v>0</v>
      </c>
      <c r="F2420">
        <v>0</v>
      </c>
      <c r="G2420" s="10">
        <f t="shared" si="37"/>
        <v>0</v>
      </c>
      <c r="H2420" t="str">
        <f>$A2420&amp;Keys!$C$54&amp;$B2420&amp;Keys!$C$54&amp;$C2420</f>
        <v>SD|production|heavy fuel oil</v>
      </c>
    </row>
    <row r="2421" spans="1:8" x14ac:dyDescent="0.25">
      <c r="A2421" t="s">
        <v>159</v>
      </c>
      <c r="B2421" t="s">
        <v>188</v>
      </c>
      <c r="C2421" t="s">
        <v>117</v>
      </c>
      <c r="D2421">
        <v>17114300000</v>
      </c>
      <c r="E2421">
        <v>17114300000</v>
      </c>
      <c r="F2421">
        <v>17477700000</v>
      </c>
      <c r="G2421" s="10">
        <f t="shared" si="37"/>
        <v>17235433333.333332</v>
      </c>
      <c r="H2421" t="str">
        <f>$A2421&amp;Keys!$C$54&amp;$B2421&amp;Keys!$C$54&amp;$C2421</f>
        <v>SD|production|LPG propane or butane</v>
      </c>
    </row>
    <row r="2422" spans="1:8" x14ac:dyDescent="0.25">
      <c r="A2422" t="s">
        <v>159</v>
      </c>
      <c r="B2422" t="s">
        <v>188</v>
      </c>
      <c r="C2422" t="s">
        <v>120</v>
      </c>
      <c r="D2422">
        <v>0</v>
      </c>
      <c r="E2422">
        <v>0</v>
      </c>
      <c r="F2422">
        <v>0</v>
      </c>
      <c r="G2422" s="10">
        <f t="shared" si="37"/>
        <v>0</v>
      </c>
      <c r="H2422" t="str">
        <f>$A2422&amp;Keys!$C$54&amp;$B2422&amp;Keys!$C$54&amp;$C2422</f>
        <v>SD|production|municipal solid waste</v>
      </c>
    </row>
    <row r="2423" spans="1:8" x14ac:dyDescent="0.25">
      <c r="A2423" t="s">
        <v>159</v>
      </c>
      <c r="B2423" t="s">
        <v>188</v>
      </c>
      <c r="C2423" t="s">
        <v>123</v>
      </c>
      <c r="D2423">
        <v>0</v>
      </c>
      <c r="E2423">
        <v>0</v>
      </c>
      <c r="F2423">
        <v>0</v>
      </c>
      <c r="G2423" s="10">
        <f t="shared" si="37"/>
        <v>0</v>
      </c>
      <c r="H2423" t="str">
        <f>$A2423&amp;Keys!$C$54&amp;$B2423&amp;Keys!$C$54&amp;$C2423</f>
        <v>SD|production|hydrogen</v>
      </c>
    </row>
    <row r="2424" spans="1:8" x14ac:dyDescent="0.25">
      <c r="A2424" t="s">
        <v>159</v>
      </c>
      <c r="B2424" t="s">
        <v>191</v>
      </c>
      <c r="C2424" t="s">
        <v>60</v>
      </c>
      <c r="D2424">
        <v>0</v>
      </c>
      <c r="E2424">
        <v>0</v>
      </c>
      <c r="F2424">
        <v>0</v>
      </c>
      <c r="G2424" s="10">
        <f t="shared" si="37"/>
        <v>0</v>
      </c>
      <c r="H2424" t="str">
        <f>$A2424&amp;Keys!$C$54&amp;$B2424&amp;Keys!$C$54&amp;$C2424</f>
        <v>SD|imports|electricity (not used in this variable)</v>
      </c>
    </row>
    <row r="2425" spans="1:8" x14ac:dyDescent="0.25">
      <c r="A2425" t="s">
        <v>159</v>
      </c>
      <c r="B2425" t="s">
        <v>191</v>
      </c>
      <c r="C2425" t="s">
        <v>64</v>
      </c>
      <c r="D2425">
        <v>27412300000000</v>
      </c>
      <c r="E2425">
        <v>20407100000000</v>
      </c>
      <c r="F2425">
        <v>24854300000000</v>
      </c>
      <c r="G2425" s="10">
        <f t="shared" si="37"/>
        <v>24224566666666.668</v>
      </c>
      <c r="H2425" t="str">
        <f>$A2425&amp;Keys!$C$54&amp;$B2425&amp;Keys!$C$54&amp;$C2425</f>
        <v>SD|imports|hard coal</v>
      </c>
    </row>
    <row r="2426" spans="1:8" x14ac:dyDescent="0.25">
      <c r="A2426" t="s">
        <v>159</v>
      </c>
      <c r="B2426" t="s">
        <v>191</v>
      </c>
      <c r="C2426" t="s">
        <v>68</v>
      </c>
      <c r="D2426">
        <v>899679000000000</v>
      </c>
      <c r="E2426">
        <v>906366000000000</v>
      </c>
      <c r="F2426">
        <v>841396000000000</v>
      </c>
      <c r="G2426" s="10">
        <f t="shared" si="37"/>
        <v>882480333333333.38</v>
      </c>
      <c r="H2426" t="str">
        <f>$A2426&amp;Keys!$C$54&amp;$B2426&amp;Keys!$C$54&amp;$C2426</f>
        <v>SD|imports|natural gas</v>
      </c>
    </row>
    <row r="2427" spans="1:8" x14ac:dyDescent="0.25">
      <c r="A2427" t="s">
        <v>159</v>
      </c>
      <c r="B2427" t="s">
        <v>191</v>
      </c>
      <c r="C2427" t="s">
        <v>71</v>
      </c>
      <c r="D2427">
        <v>0</v>
      </c>
      <c r="E2427">
        <v>0</v>
      </c>
      <c r="F2427">
        <v>0</v>
      </c>
      <c r="G2427" s="10">
        <f t="shared" si="37"/>
        <v>0</v>
      </c>
      <c r="H2427" t="str">
        <f>$A2427&amp;Keys!$C$54&amp;$B2427&amp;Keys!$C$54&amp;$C2427</f>
        <v>SD|imports|nuclear</v>
      </c>
    </row>
    <row r="2428" spans="1:8" x14ac:dyDescent="0.25">
      <c r="A2428" t="s">
        <v>159</v>
      </c>
      <c r="B2428" t="s">
        <v>191</v>
      </c>
      <c r="C2428" t="s">
        <v>74</v>
      </c>
      <c r="D2428">
        <v>0</v>
      </c>
      <c r="E2428">
        <v>0</v>
      </c>
      <c r="F2428">
        <v>0</v>
      </c>
      <c r="G2428" s="10">
        <f t="shared" si="37"/>
        <v>0</v>
      </c>
      <c r="H2428" t="str">
        <f>$A2428&amp;Keys!$C$54&amp;$B2428&amp;Keys!$C$54&amp;$C2428</f>
        <v>SD|imports|hydro (is not a fuel)</v>
      </c>
    </row>
    <row r="2429" spans="1:8" x14ac:dyDescent="0.25">
      <c r="A2429" t="s">
        <v>159</v>
      </c>
      <c r="B2429" t="s">
        <v>191</v>
      </c>
      <c r="C2429" t="s">
        <v>77</v>
      </c>
      <c r="D2429">
        <v>0</v>
      </c>
      <c r="E2429">
        <v>0</v>
      </c>
      <c r="F2429">
        <v>0</v>
      </c>
      <c r="G2429" s="10">
        <f t="shared" si="37"/>
        <v>0</v>
      </c>
      <c r="H2429" t="str">
        <f>$A2429&amp;Keys!$C$54&amp;$B2429&amp;Keys!$C$54&amp;$C2429</f>
        <v>SD|imports|wind (is not a fuel)</v>
      </c>
    </row>
    <row r="2430" spans="1:8" x14ac:dyDescent="0.25">
      <c r="A2430" t="s">
        <v>159</v>
      </c>
      <c r="B2430" t="s">
        <v>191</v>
      </c>
      <c r="C2430" t="s">
        <v>80</v>
      </c>
      <c r="D2430">
        <v>0</v>
      </c>
      <c r="E2430">
        <v>0</v>
      </c>
      <c r="F2430">
        <v>0</v>
      </c>
      <c r="G2430" s="10">
        <f t="shared" si="37"/>
        <v>0</v>
      </c>
      <c r="H2430" t="str">
        <f>$A2430&amp;Keys!$C$54&amp;$B2430&amp;Keys!$C$54&amp;$C2430</f>
        <v>SD|imports|solar (is not a fuel)</v>
      </c>
    </row>
    <row r="2431" spans="1:8" x14ac:dyDescent="0.25">
      <c r="A2431" t="s">
        <v>159</v>
      </c>
      <c r="B2431" t="s">
        <v>191</v>
      </c>
      <c r="C2431" t="s">
        <v>82</v>
      </c>
      <c r="D2431">
        <v>0</v>
      </c>
      <c r="E2431">
        <v>2594780000000</v>
      </c>
      <c r="F2431">
        <v>2494620000000</v>
      </c>
      <c r="G2431" s="10">
        <f t="shared" si="37"/>
        <v>1696466666666.6667</v>
      </c>
      <c r="H2431" t="str">
        <f>$A2431&amp;Keys!$C$54&amp;$B2431&amp;Keys!$C$54&amp;$C2431</f>
        <v>SD|imports|biomass</v>
      </c>
    </row>
    <row r="2432" spans="1:8" x14ac:dyDescent="0.25">
      <c r="A2432" t="s">
        <v>159</v>
      </c>
      <c r="B2432" t="s">
        <v>191</v>
      </c>
      <c r="C2432" t="s">
        <v>85</v>
      </c>
      <c r="D2432">
        <v>0</v>
      </c>
      <c r="E2432">
        <v>48748400000000</v>
      </c>
      <c r="F2432">
        <v>48101500000000</v>
      </c>
      <c r="G2432" s="10">
        <f t="shared" si="37"/>
        <v>32283300000000</v>
      </c>
      <c r="H2432" t="str">
        <f>$A2432&amp;Keys!$C$54&amp;$B2432&amp;Keys!$C$54&amp;$C2432</f>
        <v>SD|imports|petroleum gasoline</v>
      </c>
    </row>
    <row r="2433" spans="1:8" x14ac:dyDescent="0.25">
      <c r="A2433" t="s">
        <v>159</v>
      </c>
      <c r="B2433" t="s">
        <v>191</v>
      </c>
      <c r="C2433" t="s">
        <v>88</v>
      </c>
      <c r="D2433">
        <v>0</v>
      </c>
      <c r="E2433">
        <v>44652300000000</v>
      </c>
      <c r="F2433">
        <v>44781700000000</v>
      </c>
      <c r="G2433" s="10">
        <f t="shared" si="37"/>
        <v>29811333333333.332</v>
      </c>
      <c r="H2433" t="str">
        <f>$A2433&amp;Keys!$C$54&amp;$B2433&amp;Keys!$C$54&amp;$C2433</f>
        <v>SD|imports|petroleum diesel</v>
      </c>
    </row>
    <row r="2434" spans="1:8" x14ac:dyDescent="0.25">
      <c r="A2434" t="s">
        <v>159</v>
      </c>
      <c r="B2434" t="s">
        <v>191</v>
      </c>
      <c r="C2434" t="s">
        <v>91</v>
      </c>
      <c r="D2434">
        <v>0</v>
      </c>
      <c r="E2434">
        <v>0</v>
      </c>
      <c r="F2434">
        <v>0</v>
      </c>
      <c r="G2434" s="10">
        <f t="shared" si="37"/>
        <v>0</v>
      </c>
      <c r="H2434" t="str">
        <f>$A2434&amp;Keys!$C$54&amp;$B2434&amp;Keys!$C$54&amp;$C2434</f>
        <v>SD|imports|biofuel gasoline</v>
      </c>
    </row>
    <row r="2435" spans="1:8" x14ac:dyDescent="0.25">
      <c r="A2435" t="s">
        <v>159</v>
      </c>
      <c r="B2435" t="s">
        <v>191</v>
      </c>
      <c r="C2435" t="s">
        <v>94</v>
      </c>
      <c r="D2435">
        <v>0</v>
      </c>
      <c r="E2435">
        <v>894356000000</v>
      </c>
      <c r="F2435">
        <v>901008000000</v>
      </c>
      <c r="G2435" s="10">
        <f t="shared" si="37"/>
        <v>598454666666.66663</v>
      </c>
      <c r="H2435" t="str">
        <f>$A2435&amp;Keys!$C$54&amp;$B2435&amp;Keys!$C$54&amp;$C2435</f>
        <v>SD|imports|biofuel diesel</v>
      </c>
    </row>
    <row r="2436" spans="1:8" x14ac:dyDescent="0.25">
      <c r="A2436" t="s">
        <v>159</v>
      </c>
      <c r="B2436" t="s">
        <v>191</v>
      </c>
      <c r="C2436" t="s">
        <v>97</v>
      </c>
      <c r="D2436">
        <v>0</v>
      </c>
      <c r="E2436">
        <v>3920380000000</v>
      </c>
      <c r="F2436">
        <v>3962390000000</v>
      </c>
      <c r="G2436" s="10">
        <f t="shared" si="37"/>
        <v>2627590000000</v>
      </c>
      <c r="H2436" t="str">
        <f>$A2436&amp;Keys!$C$54&amp;$B2436&amp;Keys!$C$54&amp;$C2436</f>
        <v>SD|imports|jet fuel or kerosene</v>
      </c>
    </row>
    <row r="2437" spans="1:8" x14ac:dyDescent="0.25">
      <c r="A2437" t="s">
        <v>159</v>
      </c>
      <c r="B2437" t="s">
        <v>191</v>
      </c>
      <c r="C2437" t="s">
        <v>100</v>
      </c>
      <c r="D2437">
        <v>0</v>
      </c>
      <c r="E2437">
        <v>0</v>
      </c>
      <c r="F2437">
        <v>0</v>
      </c>
      <c r="G2437" s="10">
        <f t="shared" si="37"/>
        <v>0</v>
      </c>
      <c r="H2437" t="str">
        <f>$A2437&amp;Keys!$C$54&amp;$B2437&amp;Keys!$C$54&amp;$C2437</f>
        <v>SD|imports|heat (not used in this variable)</v>
      </c>
    </row>
    <row r="2438" spans="1:8" x14ac:dyDescent="0.25">
      <c r="A2438" t="s">
        <v>159</v>
      </c>
      <c r="B2438" t="s">
        <v>191</v>
      </c>
      <c r="C2438" t="s">
        <v>103</v>
      </c>
      <c r="D2438">
        <v>0</v>
      </c>
      <c r="E2438">
        <v>0</v>
      </c>
      <c r="F2438">
        <v>0</v>
      </c>
      <c r="G2438" s="10">
        <f t="shared" si="37"/>
        <v>0</v>
      </c>
      <c r="H2438" t="str">
        <f>$A2438&amp;Keys!$C$54&amp;$B2438&amp;Keys!$C$54&amp;$C2438</f>
        <v>SD|imports|geothermal (is not a fuel)</v>
      </c>
    </row>
    <row r="2439" spans="1:8" x14ac:dyDescent="0.25">
      <c r="A2439" t="s">
        <v>159</v>
      </c>
      <c r="B2439" t="s">
        <v>191</v>
      </c>
      <c r="C2439" t="s">
        <v>106</v>
      </c>
      <c r="D2439">
        <v>0</v>
      </c>
      <c r="E2439">
        <v>0</v>
      </c>
      <c r="F2439">
        <v>0</v>
      </c>
      <c r="G2439" s="10">
        <f t="shared" si="37"/>
        <v>0</v>
      </c>
      <c r="H2439" t="str">
        <f>$A2439&amp;Keys!$C$54&amp;$B2439&amp;Keys!$C$54&amp;$C2439</f>
        <v>SD|imports|lignite</v>
      </c>
    </row>
    <row r="2440" spans="1:8" x14ac:dyDescent="0.25">
      <c r="A2440" t="s">
        <v>159</v>
      </c>
      <c r="B2440" t="s">
        <v>191</v>
      </c>
      <c r="C2440" t="s">
        <v>109</v>
      </c>
      <c r="D2440">
        <v>0</v>
      </c>
      <c r="E2440">
        <v>0</v>
      </c>
      <c r="F2440">
        <v>0</v>
      </c>
      <c r="G2440" s="10">
        <f t="shared" si="37"/>
        <v>0</v>
      </c>
      <c r="H2440" t="str">
        <f>$A2440&amp;Keys!$C$54&amp;$B2440&amp;Keys!$C$54&amp;$C2440</f>
        <v>SD|imports|crude oil</v>
      </c>
    </row>
    <row r="2441" spans="1:8" x14ac:dyDescent="0.25">
      <c r="A2441" t="s">
        <v>159</v>
      </c>
      <c r="B2441" t="s">
        <v>191</v>
      </c>
      <c r="C2441" t="s">
        <v>113</v>
      </c>
      <c r="D2441">
        <v>0</v>
      </c>
      <c r="E2441">
        <v>3925680000000</v>
      </c>
      <c r="F2441">
        <v>4010210000000</v>
      </c>
      <c r="G2441" s="10">
        <f t="shared" ref="G2441:G2504" si="38">AVERAGE($D2441:$F2441)</f>
        <v>2645296666666.6665</v>
      </c>
      <c r="H2441" t="str">
        <f>$A2441&amp;Keys!$C$54&amp;$B2441&amp;Keys!$C$54&amp;$C2441</f>
        <v>SD|imports|heavy fuel oil</v>
      </c>
    </row>
    <row r="2442" spans="1:8" x14ac:dyDescent="0.25">
      <c r="A2442" t="s">
        <v>159</v>
      </c>
      <c r="B2442" t="s">
        <v>191</v>
      </c>
      <c r="C2442" t="s">
        <v>117</v>
      </c>
      <c r="D2442">
        <v>0</v>
      </c>
      <c r="E2442">
        <v>5500380000000</v>
      </c>
      <c r="F2442">
        <v>5444560000000</v>
      </c>
      <c r="G2442" s="10">
        <f t="shared" si="38"/>
        <v>3648313333333.3335</v>
      </c>
      <c r="H2442" t="str">
        <f>$A2442&amp;Keys!$C$54&amp;$B2442&amp;Keys!$C$54&amp;$C2442</f>
        <v>SD|imports|LPG propane or butane</v>
      </c>
    </row>
    <row r="2443" spans="1:8" x14ac:dyDescent="0.25">
      <c r="A2443" t="s">
        <v>159</v>
      </c>
      <c r="B2443" t="s">
        <v>191</v>
      </c>
      <c r="C2443" t="s">
        <v>120</v>
      </c>
      <c r="D2443">
        <v>0</v>
      </c>
      <c r="E2443">
        <v>0</v>
      </c>
      <c r="F2443">
        <v>0</v>
      </c>
      <c r="G2443" s="10">
        <f t="shared" si="38"/>
        <v>0</v>
      </c>
      <c r="H2443" t="str">
        <f>$A2443&amp;Keys!$C$54&amp;$B2443&amp;Keys!$C$54&amp;$C2443</f>
        <v>SD|imports|municipal solid waste</v>
      </c>
    </row>
    <row r="2444" spans="1:8" x14ac:dyDescent="0.25">
      <c r="A2444" t="s">
        <v>159</v>
      </c>
      <c r="B2444" t="s">
        <v>191</v>
      </c>
      <c r="C2444" t="s">
        <v>123</v>
      </c>
      <c r="D2444">
        <v>0</v>
      </c>
      <c r="E2444">
        <v>283760000</v>
      </c>
      <c r="F2444">
        <v>192181000</v>
      </c>
      <c r="G2444" s="10">
        <f t="shared" si="38"/>
        <v>158647000</v>
      </c>
      <c r="H2444" t="str">
        <f>$A2444&amp;Keys!$C$54&amp;$B2444&amp;Keys!$C$54&amp;$C2444</f>
        <v>SD|imports|hydrogen</v>
      </c>
    </row>
    <row r="2445" spans="1:8" x14ac:dyDescent="0.25">
      <c r="A2445" t="s">
        <v>159</v>
      </c>
      <c r="B2445" t="s">
        <v>193</v>
      </c>
      <c r="C2445" t="s">
        <v>60</v>
      </c>
      <c r="D2445">
        <v>0</v>
      </c>
      <c r="E2445">
        <v>0</v>
      </c>
      <c r="F2445">
        <v>0</v>
      </c>
      <c r="G2445" s="10">
        <f t="shared" si="38"/>
        <v>0</v>
      </c>
      <c r="H2445" t="str">
        <f>$A2445&amp;Keys!$C$54&amp;$B2445&amp;Keys!$C$54&amp;$C2445</f>
        <v>SD|exports|electricity (not used in this variable)</v>
      </c>
    </row>
    <row r="2446" spans="1:8" x14ac:dyDescent="0.25">
      <c r="A2446" t="s">
        <v>159</v>
      </c>
      <c r="B2446" t="s">
        <v>193</v>
      </c>
      <c r="C2446" t="s">
        <v>64</v>
      </c>
      <c r="D2446">
        <v>0</v>
      </c>
      <c r="E2446">
        <v>0</v>
      </c>
      <c r="F2446">
        <v>0</v>
      </c>
      <c r="G2446" s="10">
        <f t="shared" si="38"/>
        <v>0</v>
      </c>
      <c r="H2446" t="str">
        <f>$A2446&amp;Keys!$C$54&amp;$B2446&amp;Keys!$C$54&amp;$C2446</f>
        <v>SD|exports|hard coal</v>
      </c>
    </row>
    <row r="2447" spans="1:8" x14ac:dyDescent="0.25">
      <c r="A2447" t="s">
        <v>159</v>
      </c>
      <c r="B2447" t="s">
        <v>193</v>
      </c>
      <c r="C2447" t="s">
        <v>68</v>
      </c>
      <c r="D2447">
        <v>803479000000000</v>
      </c>
      <c r="E2447">
        <v>803479000000000</v>
      </c>
      <c r="F2447">
        <v>744337000000000</v>
      </c>
      <c r="G2447" s="10">
        <f t="shared" si="38"/>
        <v>783765000000000</v>
      </c>
      <c r="H2447" t="str">
        <f>$A2447&amp;Keys!$C$54&amp;$B2447&amp;Keys!$C$54&amp;$C2447</f>
        <v>SD|exports|natural gas</v>
      </c>
    </row>
    <row r="2448" spans="1:8" x14ac:dyDescent="0.25">
      <c r="A2448" t="s">
        <v>159</v>
      </c>
      <c r="B2448" t="s">
        <v>193</v>
      </c>
      <c r="C2448" t="s">
        <v>71</v>
      </c>
      <c r="D2448">
        <v>0</v>
      </c>
      <c r="E2448">
        <v>0</v>
      </c>
      <c r="F2448">
        <v>0</v>
      </c>
      <c r="G2448" s="10">
        <f t="shared" si="38"/>
        <v>0</v>
      </c>
      <c r="H2448" t="str">
        <f>$A2448&amp;Keys!$C$54&amp;$B2448&amp;Keys!$C$54&amp;$C2448</f>
        <v>SD|exports|nuclear</v>
      </c>
    </row>
    <row r="2449" spans="1:8" x14ac:dyDescent="0.25">
      <c r="A2449" t="s">
        <v>159</v>
      </c>
      <c r="B2449" t="s">
        <v>193</v>
      </c>
      <c r="C2449" t="s">
        <v>74</v>
      </c>
      <c r="D2449">
        <v>0</v>
      </c>
      <c r="E2449">
        <v>0</v>
      </c>
      <c r="F2449">
        <v>0</v>
      </c>
      <c r="G2449" s="10">
        <f t="shared" si="38"/>
        <v>0</v>
      </c>
      <c r="H2449" t="str">
        <f>$A2449&amp;Keys!$C$54&amp;$B2449&amp;Keys!$C$54&amp;$C2449</f>
        <v>SD|exports|hydro (is not a fuel)</v>
      </c>
    </row>
    <row r="2450" spans="1:8" x14ac:dyDescent="0.25">
      <c r="A2450" t="s">
        <v>159</v>
      </c>
      <c r="B2450" t="s">
        <v>193</v>
      </c>
      <c r="C2450" t="s">
        <v>77</v>
      </c>
      <c r="D2450">
        <v>0</v>
      </c>
      <c r="E2450">
        <v>0</v>
      </c>
      <c r="F2450">
        <v>0</v>
      </c>
      <c r="G2450" s="10">
        <f t="shared" si="38"/>
        <v>0</v>
      </c>
      <c r="H2450" t="str">
        <f>$A2450&amp;Keys!$C$54&amp;$B2450&amp;Keys!$C$54&amp;$C2450</f>
        <v>SD|exports|wind (is not a fuel)</v>
      </c>
    </row>
    <row r="2451" spans="1:8" x14ac:dyDescent="0.25">
      <c r="A2451" t="s">
        <v>159</v>
      </c>
      <c r="B2451" t="s">
        <v>193</v>
      </c>
      <c r="C2451" t="s">
        <v>80</v>
      </c>
      <c r="D2451">
        <v>0</v>
      </c>
      <c r="E2451">
        <v>0</v>
      </c>
      <c r="F2451">
        <v>0</v>
      </c>
      <c r="G2451" s="10">
        <f t="shared" si="38"/>
        <v>0</v>
      </c>
      <c r="H2451" t="str">
        <f>$A2451&amp;Keys!$C$54&amp;$B2451&amp;Keys!$C$54&amp;$C2451</f>
        <v>SD|exports|solar (is not a fuel)</v>
      </c>
    </row>
    <row r="2452" spans="1:8" x14ac:dyDescent="0.25">
      <c r="A2452" t="s">
        <v>159</v>
      </c>
      <c r="B2452" t="s">
        <v>193</v>
      </c>
      <c r="C2452" t="s">
        <v>82</v>
      </c>
      <c r="D2452">
        <v>0</v>
      </c>
      <c r="E2452">
        <v>0</v>
      </c>
      <c r="F2452">
        <v>0</v>
      </c>
      <c r="G2452" s="10">
        <f t="shared" si="38"/>
        <v>0</v>
      </c>
      <c r="H2452" t="str">
        <f>$A2452&amp;Keys!$C$54&amp;$B2452&amp;Keys!$C$54&amp;$C2452</f>
        <v>SD|exports|biomass</v>
      </c>
    </row>
    <row r="2453" spans="1:8" x14ac:dyDescent="0.25">
      <c r="A2453" t="s">
        <v>159</v>
      </c>
      <c r="B2453" t="s">
        <v>193</v>
      </c>
      <c r="C2453" t="s">
        <v>85</v>
      </c>
      <c r="D2453">
        <v>0</v>
      </c>
      <c r="E2453">
        <v>0</v>
      </c>
      <c r="F2453">
        <v>0</v>
      </c>
      <c r="G2453" s="10">
        <f t="shared" si="38"/>
        <v>0</v>
      </c>
      <c r="H2453" t="str">
        <f>$A2453&amp;Keys!$C$54&amp;$B2453&amp;Keys!$C$54&amp;$C2453</f>
        <v>SD|exports|petroleum gasoline</v>
      </c>
    </row>
    <row r="2454" spans="1:8" x14ac:dyDescent="0.25">
      <c r="A2454" t="s">
        <v>159</v>
      </c>
      <c r="B2454" t="s">
        <v>193</v>
      </c>
      <c r="C2454" t="s">
        <v>88</v>
      </c>
      <c r="D2454">
        <v>0</v>
      </c>
      <c r="E2454">
        <v>0</v>
      </c>
      <c r="F2454">
        <v>0</v>
      </c>
      <c r="G2454" s="10">
        <f t="shared" si="38"/>
        <v>0</v>
      </c>
      <c r="H2454" t="str">
        <f>$A2454&amp;Keys!$C$54&amp;$B2454&amp;Keys!$C$54&amp;$C2454</f>
        <v>SD|exports|petroleum diesel</v>
      </c>
    </row>
    <row r="2455" spans="1:8" x14ac:dyDescent="0.25">
      <c r="A2455" t="s">
        <v>159</v>
      </c>
      <c r="B2455" t="s">
        <v>193</v>
      </c>
      <c r="C2455" t="s">
        <v>91</v>
      </c>
      <c r="D2455">
        <v>29414400000000</v>
      </c>
      <c r="E2455">
        <v>112283000000000</v>
      </c>
      <c r="F2455">
        <v>112655000000000</v>
      </c>
      <c r="G2455" s="10">
        <f t="shared" si="38"/>
        <v>84784133333333.328</v>
      </c>
      <c r="H2455" t="str">
        <f>$A2455&amp;Keys!$C$54&amp;$B2455&amp;Keys!$C$54&amp;$C2455</f>
        <v>SD|exports|biofuel gasoline</v>
      </c>
    </row>
    <row r="2456" spans="1:8" x14ac:dyDescent="0.25">
      <c r="A2456" t="s">
        <v>159</v>
      </c>
      <c r="B2456" t="s">
        <v>193</v>
      </c>
      <c r="C2456" t="s">
        <v>94</v>
      </c>
      <c r="D2456">
        <v>0</v>
      </c>
      <c r="E2456">
        <v>0</v>
      </c>
      <c r="F2456">
        <v>0</v>
      </c>
      <c r="G2456" s="10">
        <f t="shared" si="38"/>
        <v>0</v>
      </c>
      <c r="H2456" t="str">
        <f>$A2456&amp;Keys!$C$54&amp;$B2456&amp;Keys!$C$54&amp;$C2456</f>
        <v>SD|exports|biofuel diesel</v>
      </c>
    </row>
    <row r="2457" spans="1:8" x14ac:dyDescent="0.25">
      <c r="A2457" t="s">
        <v>159</v>
      </c>
      <c r="B2457" t="s">
        <v>193</v>
      </c>
      <c r="C2457" t="s">
        <v>97</v>
      </c>
      <c r="D2457">
        <v>0</v>
      </c>
      <c r="E2457">
        <v>0</v>
      </c>
      <c r="F2457">
        <v>0</v>
      </c>
      <c r="G2457" s="10">
        <f t="shared" si="38"/>
        <v>0</v>
      </c>
      <c r="H2457" t="str">
        <f>$A2457&amp;Keys!$C$54&amp;$B2457&amp;Keys!$C$54&amp;$C2457</f>
        <v>SD|exports|jet fuel or kerosene</v>
      </c>
    </row>
    <row r="2458" spans="1:8" x14ac:dyDescent="0.25">
      <c r="A2458" t="s">
        <v>159</v>
      </c>
      <c r="B2458" t="s">
        <v>193</v>
      </c>
      <c r="C2458" t="s">
        <v>100</v>
      </c>
      <c r="D2458">
        <v>0</v>
      </c>
      <c r="E2458">
        <v>0</v>
      </c>
      <c r="F2458">
        <v>0</v>
      </c>
      <c r="G2458" s="10">
        <f t="shared" si="38"/>
        <v>0</v>
      </c>
      <c r="H2458" t="str">
        <f>$A2458&amp;Keys!$C$54&amp;$B2458&amp;Keys!$C$54&amp;$C2458</f>
        <v>SD|exports|heat (not used in this variable)</v>
      </c>
    </row>
    <row r="2459" spans="1:8" x14ac:dyDescent="0.25">
      <c r="A2459" t="s">
        <v>159</v>
      </c>
      <c r="B2459" t="s">
        <v>193</v>
      </c>
      <c r="C2459" t="s">
        <v>103</v>
      </c>
      <c r="D2459">
        <v>0</v>
      </c>
      <c r="E2459">
        <v>0</v>
      </c>
      <c r="F2459">
        <v>0</v>
      </c>
      <c r="G2459" s="10">
        <f t="shared" si="38"/>
        <v>0</v>
      </c>
      <c r="H2459" t="str">
        <f>$A2459&amp;Keys!$C$54&amp;$B2459&amp;Keys!$C$54&amp;$C2459</f>
        <v>SD|exports|geothermal (is not a fuel)</v>
      </c>
    </row>
    <row r="2460" spans="1:8" x14ac:dyDescent="0.25">
      <c r="A2460" t="s">
        <v>159</v>
      </c>
      <c r="B2460" t="s">
        <v>193</v>
      </c>
      <c r="C2460" t="s">
        <v>106</v>
      </c>
      <c r="D2460">
        <v>0</v>
      </c>
      <c r="E2460">
        <v>0</v>
      </c>
      <c r="F2460">
        <v>0</v>
      </c>
      <c r="G2460" s="10">
        <f t="shared" si="38"/>
        <v>0</v>
      </c>
      <c r="H2460" t="str">
        <f>$A2460&amp;Keys!$C$54&amp;$B2460&amp;Keys!$C$54&amp;$C2460</f>
        <v>SD|exports|lignite</v>
      </c>
    </row>
    <row r="2461" spans="1:8" x14ac:dyDescent="0.25">
      <c r="A2461" t="s">
        <v>159</v>
      </c>
      <c r="B2461" t="s">
        <v>193</v>
      </c>
      <c r="C2461" t="s">
        <v>109</v>
      </c>
      <c r="D2461">
        <v>0</v>
      </c>
      <c r="E2461">
        <v>4772260000000</v>
      </c>
      <c r="F2461">
        <v>4689390000000</v>
      </c>
      <c r="G2461" s="10">
        <f t="shared" si="38"/>
        <v>3153883333333.3335</v>
      </c>
      <c r="H2461" t="str">
        <f>$A2461&amp;Keys!$C$54&amp;$B2461&amp;Keys!$C$54&amp;$C2461</f>
        <v>SD|exports|crude oil</v>
      </c>
    </row>
    <row r="2462" spans="1:8" x14ac:dyDescent="0.25">
      <c r="A2462" t="s">
        <v>159</v>
      </c>
      <c r="B2462" t="s">
        <v>193</v>
      </c>
      <c r="C2462" t="s">
        <v>113</v>
      </c>
      <c r="D2462">
        <v>0</v>
      </c>
      <c r="E2462">
        <v>0</v>
      </c>
      <c r="F2462">
        <v>0</v>
      </c>
      <c r="G2462" s="10">
        <f t="shared" si="38"/>
        <v>0</v>
      </c>
      <c r="H2462" t="str">
        <f>$A2462&amp;Keys!$C$54&amp;$B2462&amp;Keys!$C$54&amp;$C2462</f>
        <v>SD|exports|heavy fuel oil</v>
      </c>
    </row>
    <row r="2463" spans="1:8" x14ac:dyDescent="0.25">
      <c r="A2463" t="s">
        <v>159</v>
      </c>
      <c r="B2463" t="s">
        <v>193</v>
      </c>
      <c r="C2463" t="s">
        <v>117</v>
      </c>
      <c r="D2463">
        <v>0</v>
      </c>
      <c r="E2463">
        <v>0</v>
      </c>
      <c r="F2463">
        <v>0</v>
      </c>
      <c r="G2463" s="10">
        <f t="shared" si="38"/>
        <v>0</v>
      </c>
      <c r="H2463" t="str">
        <f>$A2463&amp;Keys!$C$54&amp;$B2463&amp;Keys!$C$54&amp;$C2463</f>
        <v>SD|exports|LPG propane or butane</v>
      </c>
    </row>
    <row r="2464" spans="1:8" x14ac:dyDescent="0.25">
      <c r="A2464" t="s">
        <v>159</v>
      </c>
      <c r="B2464" t="s">
        <v>193</v>
      </c>
      <c r="C2464" t="s">
        <v>120</v>
      </c>
      <c r="D2464">
        <v>0</v>
      </c>
      <c r="E2464">
        <v>0</v>
      </c>
      <c r="F2464">
        <v>0</v>
      </c>
      <c r="G2464" s="10">
        <f t="shared" si="38"/>
        <v>0</v>
      </c>
      <c r="H2464" t="str">
        <f>$A2464&amp;Keys!$C$54&amp;$B2464&amp;Keys!$C$54&amp;$C2464</f>
        <v>SD|exports|municipal solid waste</v>
      </c>
    </row>
    <row r="2465" spans="1:8" x14ac:dyDescent="0.25">
      <c r="A2465" t="s">
        <v>159</v>
      </c>
      <c r="B2465" t="s">
        <v>193</v>
      </c>
      <c r="C2465" t="s">
        <v>123</v>
      </c>
      <c r="D2465">
        <v>0</v>
      </c>
      <c r="E2465">
        <v>0</v>
      </c>
      <c r="F2465">
        <v>0</v>
      </c>
      <c r="G2465" s="10">
        <f t="shared" si="38"/>
        <v>0</v>
      </c>
      <c r="H2465" t="str">
        <f>$A2465&amp;Keys!$C$54&amp;$B2465&amp;Keys!$C$54&amp;$C2465</f>
        <v>SD|exports|hydrogen</v>
      </c>
    </row>
    <row r="2466" spans="1:8" x14ac:dyDescent="0.25">
      <c r="A2466" t="s">
        <v>161</v>
      </c>
      <c r="B2466" t="s">
        <v>188</v>
      </c>
      <c r="C2466" t="s">
        <v>60</v>
      </c>
      <c r="D2466">
        <v>0</v>
      </c>
      <c r="E2466">
        <v>0</v>
      </c>
      <c r="F2466">
        <v>0</v>
      </c>
      <c r="G2466" s="10">
        <f t="shared" si="38"/>
        <v>0</v>
      </c>
      <c r="H2466" t="str">
        <f>$A2466&amp;Keys!$C$54&amp;$B2466&amp;Keys!$C$54&amp;$C2466</f>
        <v>TN|production|electricity (not used in this variable)</v>
      </c>
    </row>
    <row r="2467" spans="1:8" x14ac:dyDescent="0.25">
      <c r="A2467" t="s">
        <v>161</v>
      </c>
      <c r="B2467" t="s">
        <v>188</v>
      </c>
      <c r="C2467" t="s">
        <v>64</v>
      </c>
      <c r="D2467">
        <v>0</v>
      </c>
      <c r="E2467">
        <v>0</v>
      </c>
      <c r="F2467">
        <v>0</v>
      </c>
      <c r="G2467" s="10">
        <f t="shared" si="38"/>
        <v>0</v>
      </c>
      <c r="H2467" t="str">
        <f>$A2467&amp;Keys!$C$54&amp;$B2467&amp;Keys!$C$54&amp;$C2467</f>
        <v>TN|production|hard coal</v>
      </c>
    </row>
    <row r="2468" spans="1:8" x14ac:dyDescent="0.25">
      <c r="A2468" t="s">
        <v>161</v>
      </c>
      <c r="B2468" t="s">
        <v>188</v>
      </c>
      <c r="C2468" t="s">
        <v>68</v>
      </c>
      <c r="D2468">
        <v>2739750000000</v>
      </c>
      <c r="E2468">
        <v>2739750000000</v>
      </c>
      <c r="F2468">
        <v>2748260000000</v>
      </c>
      <c r="G2468" s="10">
        <f t="shared" si="38"/>
        <v>2742586666666.6665</v>
      </c>
      <c r="H2468" t="str">
        <f>$A2468&amp;Keys!$C$54&amp;$B2468&amp;Keys!$C$54&amp;$C2468</f>
        <v>TN|production|natural gas</v>
      </c>
    </row>
    <row r="2469" spans="1:8" x14ac:dyDescent="0.25">
      <c r="A2469" t="s">
        <v>161</v>
      </c>
      <c r="B2469" t="s">
        <v>188</v>
      </c>
      <c r="C2469" t="s">
        <v>71</v>
      </c>
      <c r="D2469">
        <v>0</v>
      </c>
      <c r="E2469">
        <v>0</v>
      </c>
      <c r="F2469">
        <v>0</v>
      </c>
      <c r="G2469" s="10">
        <f t="shared" si="38"/>
        <v>0</v>
      </c>
      <c r="H2469" t="str">
        <f>$A2469&amp;Keys!$C$54&amp;$B2469&amp;Keys!$C$54&amp;$C2469</f>
        <v>TN|production|nuclear</v>
      </c>
    </row>
    <row r="2470" spans="1:8" x14ac:dyDescent="0.25">
      <c r="A2470" t="s">
        <v>161</v>
      </c>
      <c r="B2470" t="s">
        <v>188</v>
      </c>
      <c r="C2470" t="s">
        <v>74</v>
      </c>
      <c r="D2470">
        <v>0</v>
      </c>
      <c r="E2470">
        <v>0</v>
      </c>
      <c r="F2470">
        <v>0</v>
      </c>
      <c r="G2470" s="10">
        <f t="shared" si="38"/>
        <v>0</v>
      </c>
      <c r="H2470" t="str">
        <f>$A2470&amp;Keys!$C$54&amp;$B2470&amp;Keys!$C$54&amp;$C2470</f>
        <v>TN|production|hydro (is not a fuel)</v>
      </c>
    </row>
    <row r="2471" spans="1:8" x14ac:dyDescent="0.25">
      <c r="A2471" t="s">
        <v>161</v>
      </c>
      <c r="B2471" t="s">
        <v>188</v>
      </c>
      <c r="C2471" t="s">
        <v>77</v>
      </c>
      <c r="D2471">
        <v>0</v>
      </c>
      <c r="E2471">
        <v>0</v>
      </c>
      <c r="F2471">
        <v>0</v>
      </c>
      <c r="G2471" s="10">
        <f t="shared" si="38"/>
        <v>0</v>
      </c>
      <c r="H2471" t="str">
        <f>$A2471&amp;Keys!$C$54&amp;$B2471&amp;Keys!$C$54&amp;$C2471</f>
        <v>TN|production|wind (is not a fuel)</v>
      </c>
    </row>
    <row r="2472" spans="1:8" x14ac:dyDescent="0.25">
      <c r="A2472" t="s">
        <v>161</v>
      </c>
      <c r="B2472" t="s">
        <v>188</v>
      </c>
      <c r="C2472" t="s">
        <v>80</v>
      </c>
      <c r="D2472">
        <v>0</v>
      </c>
      <c r="E2472">
        <v>0</v>
      </c>
      <c r="F2472">
        <v>0</v>
      </c>
      <c r="G2472" s="10">
        <f t="shared" si="38"/>
        <v>0</v>
      </c>
      <c r="H2472" t="str">
        <f>$A2472&amp;Keys!$C$54&amp;$B2472&amp;Keys!$C$54&amp;$C2472</f>
        <v>TN|production|solar (is not a fuel)</v>
      </c>
    </row>
    <row r="2473" spans="1:8" x14ac:dyDescent="0.25">
      <c r="A2473" t="s">
        <v>161</v>
      </c>
      <c r="B2473" t="s">
        <v>188</v>
      </c>
      <c r="C2473" t="s">
        <v>82</v>
      </c>
      <c r="D2473">
        <v>2792000000000</v>
      </c>
      <c r="E2473">
        <v>2792000000000</v>
      </c>
      <c r="F2473">
        <v>2792000000000</v>
      </c>
      <c r="G2473" s="10">
        <f t="shared" si="38"/>
        <v>2792000000000</v>
      </c>
      <c r="H2473" t="str">
        <f>$A2473&amp;Keys!$C$54&amp;$B2473&amp;Keys!$C$54&amp;$C2473</f>
        <v>TN|production|biomass</v>
      </c>
    </row>
    <row r="2474" spans="1:8" x14ac:dyDescent="0.25">
      <c r="A2474" t="s">
        <v>161</v>
      </c>
      <c r="B2474" t="s">
        <v>188</v>
      </c>
      <c r="C2474" t="s">
        <v>85</v>
      </c>
      <c r="D2474">
        <v>174690000000000</v>
      </c>
      <c r="E2474">
        <v>174690000000000</v>
      </c>
      <c r="F2474">
        <v>170456000000000</v>
      </c>
      <c r="G2474" s="10">
        <f t="shared" si="38"/>
        <v>173278666666666.66</v>
      </c>
      <c r="H2474" t="str">
        <f>$A2474&amp;Keys!$C$54&amp;$B2474&amp;Keys!$C$54&amp;$C2474</f>
        <v>TN|production|petroleum gasoline</v>
      </c>
    </row>
    <row r="2475" spans="1:8" x14ac:dyDescent="0.25">
      <c r="A2475" t="s">
        <v>161</v>
      </c>
      <c r="B2475" t="s">
        <v>188</v>
      </c>
      <c r="C2475" t="s">
        <v>88</v>
      </c>
      <c r="D2475">
        <v>103332000000000</v>
      </c>
      <c r="E2475">
        <v>103332000000000</v>
      </c>
      <c r="F2475">
        <v>100827000000000</v>
      </c>
      <c r="G2475" s="10">
        <f t="shared" si="38"/>
        <v>102497000000000</v>
      </c>
      <c r="H2475" t="str">
        <f>$A2475&amp;Keys!$C$54&amp;$B2475&amp;Keys!$C$54&amp;$C2475</f>
        <v>TN|production|petroleum diesel</v>
      </c>
    </row>
    <row r="2476" spans="1:8" x14ac:dyDescent="0.25">
      <c r="A2476" t="s">
        <v>161</v>
      </c>
      <c r="B2476" t="s">
        <v>188</v>
      </c>
      <c r="C2476" t="s">
        <v>91</v>
      </c>
      <c r="D2476">
        <v>14025700000000</v>
      </c>
      <c r="E2476">
        <v>14025700000000</v>
      </c>
      <c r="F2476">
        <v>14065200000000</v>
      </c>
      <c r="G2476" s="10">
        <f t="shared" si="38"/>
        <v>14038866666666.666</v>
      </c>
      <c r="H2476" t="str">
        <f>$A2476&amp;Keys!$C$54&amp;$B2476&amp;Keys!$C$54&amp;$C2476</f>
        <v>TN|production|biofuel gasoline</v>
      </c>
    </row>
    <row r="2477" spans="1:8" x14ac:dyDescent="0.25">
      <c r="A2477" t="s">
        <v>161</v>
      </c>
      <c r="B2477" t="s">
        <v>188</v>
      </c>
      <c r="C2477" t="s">
        <v>94</v>
      </c>
      <c r="D2477">
        <v>11661600000000</v>
      </c>
      <c r="E2477">
        <v>11661600000000</v>
      </c>
      <c r="F2477">
        <v>13852400000000</v>
      </c>
      <c r="G2477" s="10">
        <f t="shared" si="38"/>
        <v>12391866666666.666</v>
      </c>
      <c r="H2477" t="str">
        <f>$A2477&amp;Keys!$C$54&amp;$B2477&amp;Keys!$C$54&amp;$C2477</f>
        <v>TN|production|biofuel diesel</v>
      </c>
    </row>
    <row r="2478" spans="1:8" x14ac:dyDescent="0.25">
      <c r="A2478" t="s">
        <v>161</v>
      </c>
      <c r="B2478" t="s">
        <v>188</v>
      </c>
      <c r="C2478" t="s">
        <v>97</v>
      </c>
      <c r="D2478">
        <v>36784000000000</v>
      </c>
      <c r="E2478">
        <v>36784000000000</v>
      </c>
      <c r="F2478">
        <v>35892500000000</v>
      </c>
      <c r="G2478" s="10">
        <f t="shared" si="38"/>
        <v>36486833333333.336</v>
      </c>
      <c r="H2478" t="str">
        <f>$A2478&amp;Keys!$C$54&amp;$B2478&amp;Keys!$C$54&amp;$C2478</f>
        <v>TN|production|jet fuel or kerosene</v>
      </c>
    </row>
    <row r="2479" spans="1:8" x14ac:dyDescent="0.25">
      <c r="A2479" t="s">
        <v>161</v>
      </c>
      <c r="B2479" t="s">
        <v>188</v>
      </c>
      <c r="C2479" t="s">
        <v>100</v>
      </c>
      <c r="D2479">
        <v>0</v>
      </c>
      <c r="E2479">
        <v>0</v>
      </c>
      <c r="F2479">
        <v>0</v>
      </c>
      <c r="G2479" s="10">
        <f t="shared" si="38"/>
        <v>0</v>
      </c>
      <c r="H2479" t="str">
        <f>$A2479&amp;Keys!$C$54&amp;$B2479&amp;Keys!$C$54&amp;$C2479</f>
        <v>TN|production|heat (not used in this variable)</v>
      </c>
    </row>
    <row r="2480" spans="1:8" x14ac:dyDescent="0.25">
      <c r="A2480" t="s">
        <v>161</v>
      </c>
      <c r="B2480" t="s">
        <v>188</v>
      </c>
      <c r="C2480" t="s">
        <v>103</v>
      </c>
      <c r="D2480">
        <v>0</v>
      </c>
      <c r="E2480">
        <v>0</v>
      </c>
      <c r="F2480">
        <v>0</v>
      </c>
      <c r="G2480" s="10">
        <f t="shared" si="38"/>
        <v>0</v>
      </c>
      <c r="H2480" t="str">
        <f>$A2480&amp;Keys!$C$54&amp;$B2480&amp;Keys!$C$54&amp;$C2480</f>
        <v>TN|production|geothermal (is not a fuel)</v>
      </c>
    </row>
    <row r="2481" spans="1:8" x14ac:dyDescent="0.25">
      <c r="A2481" t="s">
        <v>161</v>
      </c>
      <c r="B2481" t="s">
        <v>188</v>
      </c>
      <c r="C2481" t="s">
        <v>106</v>
      </c>
      <c r="D2481">
        <v>0</v>
      </c>
      <c r="E2481">
        <v>0</v>
      </c>
      <c r="F2481">
        <v>0</v>
      </c>
      <c r="G2481" s="10">
        <f t="shared" si="38"/>
        <v>0</v>
      </c>
      <c r="H2481" t="str">
        <f>$A2481&amp;Keys!$C$54&amp;$B2481&amp;Keys!$C$54&amp;$C2481</f>
        <v>TN|production|lignite</v>
      </c>
    </row>
    <row r="2482" spans="1:8" x14ac:dyDescent="0.25">
      <c r="A2482" t="s">
        <v>161</v>
      </c>
      <c r="B2482" t="s">
        <v>188</v>
      </c>
      <c r="C2482" t="s">
        <v>109</v>
      </c>
      <c r="D2482">
        <v>957000000000</v>
      </c>
      <c r="E2482">
        <v>957000000000</v>
      </c>
      <c r="F2482">
        <v>869632000000</v>
      </c>
      <c r="G2482" s="10">
        <f t="shared" si="38"/>
        <v>927877333333.33337</v>
      </c>
      <c r="H2482" t="str">
        <f>$A2482&amp;Keys!$C$54&amp;$B2482&amp;Keys!$C$54&amp;$C2482</f>
        <v>TN|production|crude oil</v>
      </c>
    </row>
    <row r="2483" spans="1:8" x14ac:dyDescent="0.25">
      <c r="A2483" t="s">
        <v>161</v>
      </c>
      <c r="B2483" t="s">
        <v>188</v>
      </c>
      <c r="C2483" t="s">
        <v>113</v>
      </c>
      <c r="D2483">
        <v>7145420000000</v>
      </c>
      <c r="E2483">
        <v>7145420000000</v>
      </c>
      <c r="F2483">
        <v>6972230000000</v>
      </c>
      <c r="G2483" s="10">
        <f t="shared" si="38"/>
        <v>7087690000000</v>
      </c>
      <c r="H2483" t="str">
        <f>$A2483&amp;Keys!$C$54&amp;$B2483&amp;Keys!$C$54&amp;$C2483</f>
        <v>TN|production|heavy fuel oil</v>
      </c>
    </row>
    <row r="2484" spans="1:8" x14ac:dyDescent="0.25">
      <c r="A2484" t="s">
        <v>161</v>
      </c>
      <c r="B2484" t="s">
        <v>188</v>
      </c>
      <c r="C2484" t="s">
        <v>117</v>
      </c>
      <c r="D2484">
        <v>334933000000</v>
      </c>
      <c r="E2484">
        <v>334933000000</v>
      </c>
      <c r="F2484">
        <v>342045000000</v>
      </c>
      <c r="G2484" s="10">
        <f t="shared" si="38"/>
        <v>337303666666.66669</v>
      </c>
      <c r="H2484" t="str">
        <f>$A2484&amp;Keys!$C$54&amp;$B2484&amp;Keys!$C$54&amp;$C2484</f>
        <v>TN|production|LPG propane or butane</v>
      </c>
    </row>
    <row r="2485" spans="1:8" x14ac:dyDescent="0.25">
      <c r="A2485" t="s">
        <v>161</v>
      </c>
      <c r="B2485" t="s">
        <v>188</v>
      </c>
      <c r="C2485" t="s">
        <v>120</v>
      </c>
      <c r="D2485">
        <v>0</v>
      </c>
      <c r="E2485">
        <v>0</v>
      </c>
      <c r="F2485">
        <v>0</v>
      </c>
      <c r="G2485" s="10">
        <f t="shared" si="38"/>
        <v>0</v>
      </c>
      <c r="H2485" t="str">
        <f>$A2485&amp;Keys!$C$54&amp;$B2485&amp;Keys!$C$54&amp;$C2485</f>
        <v>TN|production|municipal solid waste</v>
      </c>
    </row>
    <row r="2486" spans="1:8" x14ac:dyDescent="0.25">
      <c r="A2486" t="s">
        <v>161</v>
      </c>
      <c r="B2486" t="s">
        <v>188</v>
      </c>
      <c r="C2486" t="s">
        <v>123</v>
      </c>
      <c r="D2486">
        <v>3558750000000</v>
      </c>
      <c r="E2486">
        <v>3558750000000</v>
      </c>
      <c r="F2486">
        <v>3379720000000</v>
      </c>
      <c r="G2486" s="10">
        <f t="shared" si="38"/>
        <v>3499073333333.3335</v>
      </c>
      <c r="H2486" t="str">
        <f>$A2486&amp;Keys!$C$54&amp;$B2486&amp;Keys!$C$54&amp;$C2486</f>
        <v>TN|production|hydrogen</v>
      </c>
    </row>
    <row r="2487" spans="1:8" x14ac:dyDescent="0.25">
      <c r="A2487" t="s">
        <v>161</v>
      </c>
      <c r="B2487" t="s">
        <v>191</v>
      </c>
      <c r="C2487" t="s">
        <v>60</v>
      </c>
      <c r="D2487">
        <v>0</v>
      </c>
      <c r="E2487">
        <v>0</v>
      </c>
      <c r="F2487">
        <v>0</v>
      </c>
      <c r="G2487" s="10">
        <f t="shared" si="38"/>
        <v>0</v>
      </c>
      <c r="H2487" t="str">
        <f>$A2487&amp;Keys!$C$54&amp;$B2487&amp;Keys!$C$54&amp;$C2487</f>
        <v>TN|imports|electricity (not used in this variable)</v>
      </c>
    </row>
    <row r="2488" spans="1:8" x14ac:dyDescent="0.25">
      <c r="A2488" t="s">
        <v>161</v>
      </c>
      <c r="B2488" t="s">
        <v>191</v>
      </c>
      <c r="C2488" t="s">
        <v>64</v>
      </c>
      <c r="D2488">
        <v>96730800000000</v>
      </c>
      <c r="E2488">
        <v>221956000000000</v>
      </c>
      <c r="F2488">
        <v>172015000000000</v>
      </c>
      <c r="G2488" s="10">
        <f t="shared" si="38"/>
        <v>163567266666666.66</v>
      </c>
      <c r="H2488" t="str">
        <f>$A2488&amp;Keys!$C$54&amp;$B2488&amp;Keys!$C$54&amp;$C2488</f>
        <v>TN|imports|hard coal</v>
      </c>
    </row>
    <row r="2489" spans="1:8" x14ac:dyDescent="0.25">
      <c r="A2489" t="s">
        <v>161</v>
      </c>
      <c r="B2489" t="s">
        <v>191</v>
      </c>
      <c r="C2489" t="s">
        <v>68</v>
      </c>
      <c r="D2489">
        <v>2776680000000000</v>
      </c>
      <c r="E2489">
        <v>2826230000000000</v>
      </c>
      <c r="F2489">
        <v>2827870000000000</v>
      </c>
      <c r="G2489" s="10">
        <f t="shared" si="38"/>
        <v>2810260000000000</v>
      </c>
      <c r="H2489" t="str">
        <f>$A2489&amp;Keys!$C$54&amp;$B2489&amp;Keys!$C$54&amp;$C2489</f>
        <v>TN|imports|natural gas</v>
      </c>
    </row>
    <row r="2490" spans="1:8" x14ac:dyDescent="0.25">
      <c r="A2490" t="s">
        <v>161</v>
      </c>
      <c r="B2490" t="s">
        <v>191</v>
      </c>
      <c r="C2490" t="s">
        <v>71</v>
      </c>
      <c r="D2490">
        <v>336118000000000</v>
      </c>
      <c r="E2490">
        <v>306613000000000</v>
      </c>
      <c r="F2490">
        <v>321562000000000</v>
      </c>
      <c r="G2490" s="10">
        <f t="shared" si="38"/>
        <v>321431000000000</v>
      </c>
      <c r="H2490" t="str">
        <f>$A2490&amp;Keys!$C$54&amp;$B2490&amp;Keys!$C$54&amp;$C2490</f>
        <v>TN|imports|nuclear</v>
      </c>
    </row>
    <row r="2491" spans="1:8" x14ac:dyDescent="0.25">
      <c r="A2491" t="s">
        <v>161</v>
      </c>
      <c r="B2491" t="s">
        <v>191</v>
      </c>
      <c r="C2491" t="s">
        <v>74</v>
      </c>
      <c r="D2491">
        <v>0</v>
      </c>
      <c r="E2491">
        <v>0</v>
      </c>
      <c r="F2491">
        <v>0</v>
      </c>
      <c r="G2491" s="10">
        <f t="shared" si="38"/>
        <v>0</v>
      </c>
      <c r="H2491" t="str">
        <f>$A2491&amp;Keys!$C$54&amp;$B2491&amp;Keys!$C$54&amp;$C2491</f>
        <v>TN|imports|hydro (is not a fuel)</v>
      </c>
    </row>
    <row r="2492" spans="1:8" x14ac:dyDescent="0.25">
      <c r="A2492" t="s">
        <v>161</v>
      </c>
      <c r="B2492" t="s">
        <v>191</v>
      </c>
      <c r="C2492" t="s">
        <v>77</v>
      </c>
      <c r="D2492">
        <v>0</v>
      </c>
      <c r="E2492">
        <v>0</v>
      </c>
      <c r="F2492">
        <v>0</v>
      </c>
      <c r="G2492" s="10">
        <f t="shared" si="38"/>
        <v>0</v>
      </c>
      <c r="H2492" t="str">
        <f>$A2492&amp;Keys!$C$54&amp;$B2492&amp;Keys!$C$54&amp;$C2492</f>
        <v>TN|imports|wind (is not a fuel)</v>
      </c>
    </row>
    <row r="2493" spans="1:8" x14ac:dyDescent="0.25">
      <c r="A2493" t="s">
        <v>161</v>
      </c>
      <c r="B2493" t="s">
        <v>191</v>
      </c>
      <c r="C2493" t="s">
        <v>80</v>
      </c>
      <c r="D2493">
        <v>0</v>
      </c>
      <c r="E2493">
        <v>0</v>
      </c>
      <c r="F2493">
        <v>0</v>
      </c>
      <c r="G2493" s="10">
        <f t="shared" si="38"/>
        <v>0</v>
      </c>
      <c r="H2493" t="str">
        <f>$A2493&amp;Keys!$C$54&amp;$B2493&amp;Keys!$C$54&amp;$C2493</f>
        <v>TN|imports|solar (is not a fuel)</v>
      </c>
    </row>
    <row r="2494" spans="1:8" x14ac:dyDescent="0.25">
      <c r="A2494" t="s">
        <v>161</v>
      </c>
      <c r="B2494" t="s">
        <v>191</v>
      </c>
      <c r="C2494" t="s">
        <v>82</v>
      </c>
      <c r="D2494">
        <v>0</v>
      </c>
      <c r="E2494">
        <v>46533200000000</v>
      </c>
      <c r="F2494">
        <v>50754000000000</v>
      </c>
      <c r="G2494" s="10">
        <f t="shared" si="38"/>
        <v>32429066666666.668</v>
      </c>
      <c r="H2494" t="str">
        <f>$A2494&amp;Keys!$C$54&amp;$B2494&amp;Keys!$C$54&amp;$C2494</f>
        <v>TN|imports|biomass</v>
      </c>
    </row>
    <row r="2495" spans="1:8" x14ac:dyDescent="0.25">
      <c r="A2495" t="s">
        <v>161</v>
      </c>
      <c r="B2495" t="s">
        <v>191</v>
      </c>
      <c r="C2495" t="s">
        <v>85</v>
      </c>
      <c r="D2495">
        <v>0</v>
      </c>
      <c r="E2495">
        <v>179883000000000</v>
      </c>
      <c r="F2495">
        <v>178821000000000</v>
      </c>
      <c r="G2495" s="10">
        <f t="shared" si="38"/>
        <v>119568000000000</v>
      </c>
      <c r="H2495" t="str">
        <f>$A2495&amp;Keys!$C$54&amp;$B2495&amp;Keys!$C$54&amp;$C2495</f>
        <v>TN|imports|petroleum gasoline</v>
      </c>
    </row>
    <row r="2496" spans="1:8" x14ac:dyDescent="0.25">
      <c r="A2496" t="s">
        <v>161</v>
      </c>
      <c r="B2496" t="s">
        <v>191</v>
      </c>
      <c r="C2496" t="s">
        <v>88</v>
      </c>
      <c r="D2496">
        <v>0</v>
      </c>
      <c r="E2496">
        <v>75995600000000</v>
      </c>
      <c r="F2496">
        <v>78436700000000</v>
      </c>
      <c r="G2496" s="10">
        <f t="shared" si="38"/>
        <v>51477433333333.336</v>
      </c>
      <c r="H2496" t="str">
        <f>$A2496&amp;Keys!$C$54&amp;$B2496&amp;Keys!$C$54&amp;$C2496</f>
        <v>TN|imports|petroleum diesel</v>
      </c>
    </row>
    <row r="2497" spans="1:8" x14ac:dyDescent="0.25">
      <c r="A2497" t="s">
        <v>161</v>
      </c>
      <c r="B2497" t="s">
        <v>191</v>
      </c>
      <c r="C2497" t="s">
        <v>91</v>
      </c>
      <c r="D2497">
        <v>0</v>
      </c>
      <c r="E2497">
        <v>10357000000000</v>
      </c>
      <c r="F2497">
        <v>9958060000000</v>
      </c>
      <c r="G2497" s="10">
        <f t="shared" si="38"/>
        <v>6771686666666.667</v>
      </c>
      <c r="H2497" t="str">
        <f>$A2497&amp;Keys!$C$54&amp;$B2497&amp;Keys!$C$54&amp;$C2497</f>
        <v>TN|imports|biofuel gasoline</v>
      </c>
    </row>
    <row r="2498" spans="1:8" x14ac:dyDescent="0.25">
      <c r="A2498" t="s">
        <v>161</v>
      </c>
      <c r="B2498" t="s">
        <v>191</v>
      </c>
      <c r="C2498" t="s">
        <v>94</v>
      </c>
      <c r="D2498">
        <v>0</v>
      </c>
      <c r="E2498">
        <v>0</v>
      </c>
      <c r="F2498">
        <v>0</v>
      </c>
      <c r="G2498" s="10">
        <f t="shared" si="38"/>
        <v>0</v>
      </c>
      <c r="H2498" t="str">
        <f>$A2498&amp;Keys!$C$54&amp;$B2498&amp;Keys!$C$54&amp;$C2498</f>
        <v>TN|imports|biofuel diesel</v>
      </c>
    </row>
    <row r="2499" spans="1:8" x14ac:dyDescent="0.25">
      <c r="A2499" t="s">
        <v>161</v>
      </c>
      <c r="B2499" t="s">
        <v>191</v>
      </c>
      <c r="C2499" t="s">
        <v>97</v>
      </c>
      <c r="D2499">
        <v>0</v>
      </c>
      <c r="E2499">
        <v>43882200000000</v>
      </c>
      <c r="F2499">
        <v>46301700000000</v>
      </c>
      <c r="G2499" s="10">
        <f t="shared" si="38"/>
        <v>30061300000000</v>
      </c>
      <c r="H2499" t="str">
        <f>$A2499&amp;Keys!$C$54&amp;$B2499&amp;Keys!$C$54&amp;$C2499</f>
        <v>TN|imports|jet fuel or kerosene</v>
      </c>
    </row>
    <row r="2500" spans="1:8" x14ac:dyDescent="0.25">
      <c r="A2500" t="s">
        <v>161</v>
      </c>
      <c r="B2500" t="s">
        <v>191</v>
      </c>
      <c r="C2500" t="s">
        <v>100</v>
      </c>
      <c r="D2500">
        <v>0</v>
      </c>
      <c r="E2500">
        <v>0</v>
      </c>
      <c r="F2500">
        <v>0</v>
      </c>
      <c r="G2500" s="10">
        <f t="shared" si="38"/>
        <v>0</v>
      </c>
      <c r="H2500" t="str">
        <f>$A2500&amp;Keys!$C$54&amp;$B2500&amp;Keys!$C$54&amp;$C2500</f>
        <v>TN|imports|heat (not used in this variable)</v>
      </c>
    </row>
    <row r="2501" spans="1:8" x14ac:dyDescent="0.25">
      <c r="A2501" t="s">
        <v>161</v>
      </c>
      <c r="B2501" t="s">
        <v>191</v>
      </c>
      <c r="C2501" t="s">
        <v>103</v>
      </c>
      <c r="D2501">
        <v>0</v>
      </c>
      <c r="E2501">
        <v>0</v>
      </c>
      <c r="F2501">
        <v>0</v>
      </c>
      <c r="G2501" s="10">
        <f t="shared" si="38"/>
        <v>0</v>
      </c>
      <c r="H2501" t="str">
        <f>$A2501&amp;Keys!$C$54&amp;$B2501&amp;Keys!$C$54&amp;$C2501</f>
        <v>TN|imports|geothermal (is not a fuel)</v>
      </c>
    </row>
    <row r="2502" spans="1:8" x14ac:dyDescent="0.25">
      <c r="A2502" t="s">
        <v>161</v>
      </c>
      <c r="B2502" t="s">
        <v>191</v>
      </c>
      <c r="C2502" t="s">
        <v>106</v>
      </c>
      <c r="D2502">
        <v>0</v>
      </c>
      <c r="E2502">
        <v>0</v>
      </c>
      <c r="F2502">
        <v>0</v>
      </c>
      <c r="G2502" s="10">
        <f t="shared" si="38"/>
        <v>0</v>
      </c>
      <c r="H2502" t="str">
        <f>$A2502&amp;Keys!$C$54&amp;$B2502&amp;Keys!$C$54&amp;$C2502</f>
        <v>TN|imports|lignite</v>
      </c>
    </row>
    <row r="2503" spans="1:8" x14ac:dyDescent="0.25">
      <c r="A2503" t="s">
        <v>161</v>
      </c>
      <c r="B2503" t="s">
        <v>191</v>
      </c>
      <c r="C2503" t="s">
        <v>109</v>
      </c>
      <c r="D2503">
        <v>0</v>
      </c>
      <c r="E2503">
        <v>363773000000000</v>
      </c>
      <c r="F2503">
        <v>363860000000000</v>
      </c>
      <c r="G2503" s="10">
        <f t="shared" si="38"/>
        <v>242544333333333.34</v>
      </c>
      <c r="H2503" t="str">
        <f>$A2503&amp;Keys!$C$54&amp;$B2503&amp;Keys!$C$54&amp;$C2503</f>
        <v>TN|imports|crude oil</v>
      </c>
    </row>
    <row r="2504" spans="1:8" x14ac:dyDescent="0.25">
      <c r="A2504" t="s">
        <v>161</v>
      </c>
      <c r="B2504" t="s">
        <v>191</v>
      </c>
      <c r="C2504" t="s">
        <v>113</v>
      </c>
      <c r="D2504">
        <v>0</v>
      </c>
      <c r="E2504">
        <v>13959900000000</v>
      </c>
      <c r="F2504">
        <v>14573100000000</v>
      </c>
      <c r="G2504" s="10">
        <f t="shared" si="38"/>
        <v>9511000000000</v>
      </c>
      <c r="H2504" t="str">
        <f>$A2504&amp;Keys!$C$54&amp;$B2504&amp;Keys!$C$54&amp;$C2504</f>
        <v>TN|imports|heavy fuel oil</v>
      </c>
    </row>
    <row r="2505" spans="1:8" x14ac:dyDescent="0.25">
      <c r="A2505" t="s">
        <v>161</v>
      </c>
      <c r="B2505" t="s">
        <v>191</v>
      </c>
      <c r="C2505" t="s">
        <v>117</v>
      </c>
      <c r="D2505">
        <v>0</v>
      </c>
      <c r="E2505">
        <v>12509100000000</v>
      </c>
      <c r="F2505">
        <v>12387600000000</v>
      </c>
      <c r="G2505" s="10">
        <f t="shared" ref="G2505:G2568" si="39">AVERAGE($D2505:$F2505)</f>
        <v>8298900000000</v>
      </c>
      <c r="H2505" t="str">
        <f>$A2505&amp;Keys!$C$54&amp;$B2505&amp;Keys!$C$54&amp;$C2505</f>
        <v>TN|imports|LPG propane or butane</v>
      </c>
    </row>
    <row r="2506" spans="1:8" x14ac:dyDescent="0.25">
      <c r="A2506" t="s">
        <v>161</v>
      </c>
      <c r="B2506" t="s">
        <v>191</v>
      </c>
      <c r="C2506" t="s">
        <v>120</v>
      </c>
      <c r="D2506">
        <v>0</v>
      </c>
      <c r="E2506">
        <v>0</v>
      </c>
      <c r="F2506">
        <v>0</v>
      </c>
      <c r="G2506" s="10">
        <f t="shared" si="39"/>
        <v>0</v>
      </c>
      <c r="H2506" t="str">
        <f>$A2506&amp;Keys!$C$54&amp;$B2506&amp;Keys!$C$54&amp;$C2506</f>
        <v>TN|imports|municipal solid waste</v>
      </c>
    </row>
    <row r="2507" spans="1:8" x14ac:dyDescent="0.25">
      <c r="A2507" t="s">
        <v>161</v>
      </c>
      <c r="B2507" t="s">
        <v>191</v>
      </c>
      <c r="C2507" t="s">
        <v>123</v>
      </c>
      <c r="D2507">
        <v>0</v>
      </c>
      <c r="E2507">
        <v>0</v>
      </c>
      <c r="F2507">
        <v>0</v>
      </c>
      <c r="G2507" s="10">
        <f t="shared" si="39"/>
        <v>0</v>
      </c>
      <c r="H2507" t="str">
        <f>$A2507&amp;Keys!$C$54&amp;$B2507&amp;Keys!$C$54&amp;$C2507</f>
        <v>TN|imports|hydrogen</v>
      </c>
    </row>
    <row r="2508" spans="1:8" x14ac:dyDescent="0.25">
      <c r="A2508" t="s">
        <v>161</v>
      </c>
      <c r="B2508" t="s">
        <v>193</v>
      </c>
      <c r="C2508" t="s">
        <v>60</v>
      </c>
      <c r="D2508">
        <v>0</v>
      </c>
      <c r="E2508">
        <v>0</v>
      </c>
      <c r="F2508">
        <v>0</v>
      </c>
      <c r="G2508" s="10">
        <f t="shared" si="39"/>
        <v>0</v>
      </c>
      <c r="H2508" t="str">
        <f>$A2508&amp;Keys!$C$54&amp;$B2508&amp;Keys!$C$54&amp;$C2508</f>
        <v>TN|exports|electricity (not used in this variable)</v>
      </c>
    </row>
    <row r="2509" spans="1:8" x14ac:dyDescent="0.25">
      <c r="A2509" t="s">
        <v>161</v>
      </c>
      <c r="B2509" t="s">
        <v>193</v>
      </c>
      <c r="C2509" t="s">
        <v>64</v>
      </c>
      <c r="D2509">
        <v>0</v>
      </c>
      <c r="E2509">
        <v>0</v>
      </c>
      <c r="F2509">
        <v>0</v>
      </c>
      <c r="G2509" s="10">
        <f t="shared" si="39"/>
        <v>0</v>
      </c>
      <c r="H2509" t="str">
        <f>$A2509&amp;Keys!$C$54&amp;$B2509&amp;Keys!$C$54&amp;$C2509</f>
        <v>TN|exports|hard coal</v>
      </c>
    </row>
    <row r="2510" spans="1:8" x14ac:dyDescent="0.25">
      <c r="A2510" t="s">
        <v>161</v>
      </c>
      <c r="B2510" t="s">
        <v>193</v>
      </c>
      <c r="C2510" t="s">
        <v>68</v>
      </c>
      <c r="D2510">
        <v>2360000000000000</v>
      </c>
      <c r="E2510">
        <v>2360000000000000</v>
      </c>
      <c r="F2510">
        <v>2367330000000000</v>
      </c>
      <c r="G2510" s="10">
        <f t="shared" si="39"/>
        <v>2362443333333333.5</v>
      </c>
      <c r="H2510" t="str">
        <f>$A2510&amp;Keys!$C$54&amp;$B2510&amp;Keys!$C$54&amp;$C2510</f>
        <v>TN|exports|natural gas</v>
      </c>
    </row>
    <row r="2511" spans="1:8" x14ac:dyDescent="0.25">
      <c r="A2511" t="s">
        <v>161</v>
      </c>
      <c r="B2511" t="s">
        <v>193</v>
      </c>
      <c r="C2511" t="s">
        <v>71</v>
      </c>
      <c r="D2511">
        <v>0</v>
      </c>
      <c r="E2511">
        <v>0</v>
      </c>
      <c r="F2511">
        <v>0</v>
      </c>
      <c r="G2511" s="10">
        <f t="shared" si="39"/>
        <v>0</v>
      </c>
      <c r="H2511" t="str">
        <f>$A2511&amp;Keys!$C$54&amp;$B2511&amp;Keys!$C$54&amp;$C2511</f>
        <v>TN|exports|nuclear</v>
      </c>
    </row>
    <row r="2512" spans="1:8" x14ac:dyDescent="0.25">
      <c r="A2512" t="s">
        <v>161</v>
      </c>
      <c r="B2512" t="s">
        <v>193</v>
      </c>
      <c r="C2512" t="s">
        <v>74</v>
      </c>
      <c r="D2512">
        <v>0</v>
      </c>
      <c r="E2512">
        <v>0</v>
      </c>
      <c r="F2512">
        <v>0</v>
      </c>
      <c r="G2512" s="10">
        <f t="shared" si="39"/>
        <v>0</v>
      </c>
      <c r="H2512" t="str">
        <f>$A2512&amp;Keys!$C$54&amp;$B2512&amp;Keys!$C$54&amp;$C2512</f>
        <v>TN|exports|hydro (is not a fuel)</v>
      </c>
    </row>
    <row r="2513" spans="1:8" x14ac:dyDescent="0.25">
      <c r="A2513" t="s">
        <v>161</v>
      </c>
      <c r="B2513" t="s">
        <v>193</v>
      </c>
      <c r="C2513" t="s">
        <v>77</v>
      </c>
      <c r="D2513">
        <v>0</v>
      </c>
      <c r="E2513">
        <v>0</v>
      </c>
      <c r="F2513">
        <v>0</v>
      </c>
      <c r="G2513" s="10">
        <f t="shared" si="39"/>
        <v>0</v>
      </c>
      <c r="H2513" t="str">
        <f>$A2513&amp;Keys!$C$54&amp;$B2513&amp;Keys!$C$54&amp;$C2513</f>
        <v>TN|exports|wind (is not a fuel)</v>
      </c>
    </row>
    <row r="2514" spans="1:8" x14ac:dyDescent="0.25">
      <c r="A2514" t="s">
        <v>161</v>
      </c>
      <c r="B2514" t="s">
        <v>193</v>
      </c>
      <c r="C2514" t="s">
        <v>80</v>
      </c>
      <c r="D2514">
        <v>0</v>
      </c>
      <c r="E2514">
        <v>0</v>
      </c>
      <c r="F2514">
        <v>0</v>
      </c>
      <c r="G2514" s="10">
        <f t="shared" si="39"/>
        <v>0</v>
      </c>
      <c r="H2514" t="str">
        <f>$A2514&amp;Keys!$C$54&amp;$B2514&amp;Keys!$C$54&amp;$C2514</f>
        <v>TN|exports|solar (is not a fuel)</v>
      </c>
    </row>
    <row r="2515" spans="1:8" x14ac:dyDescent="0.25">
      <c r="A2515" t="s">
        <v>161</v>
      </c>
      <c r="B2515" t="s">
        <v>193</v>
      </c>
      <c r="C2515" t="s">
        <v>82</v>
      </c>
      <c r="D2515">
        <v>0</v>
      </c>
      <c r="E2515">
        <v>0</v>
      </c>
      <c r="F2515">
        <v>0</v>
      </c>
      <c r="G2515" s="10">
        <f t="shared" si="39"/>
        <v>0</v>
      </c>
      <c r="H2515" t="str">
        <f>$A2515&amp;Keys!$C$54&amp;$B2515&amp;Keys!$C$54&amp;$C2515</f>
        <v>TN|exports|biomass</v>
      </c>
    </row>
    <row r="2516" spans="1:8" x14ac:dyDescent="0.25">
      <c r="A2516" t="s">
        <v>161</v>
      </c>
      <c r="B2516" t="s">
        <v>193</v>
      </c>
      <c r="C2516" t="s">
        <v>85</v>
      </c>
      <c r="D2516">
        <v>0</v>
      </c>
      <c r="E2516">
        <v>0</v>
      </c>
      <c r="F2516">
        <v>0</v>
      </c>
      <c r="G2516" s="10">
        <f t="shared" si="39"/>
        <v>0</v>
      </c>
      <c r="H2516" t="str">
        <f>$A2516&amp;Keys!$C$54&amp;$B2516&amp;Keys!$C$54&amp;$C2516</f>
        <v>TN|exports|petroleum gasoline</v>
      </c>
    </row>
    <row r="2517" spans="1:8" x14ac:dyDescent="0.25">
      <c r="A2517" t="s">
        <v>161</v>
      </c>
      <c r="B2517" t="s">
        <v>193</v>
      </c>
      <c r="C2517" t="s">
        <v>88</v>
      </c>
      <c r="D2517">
        <v>0</v>
      </c>
      <c r="E2517">
        <v>0</v>
      </c>
      <c r="F2517">
        <v>0</v>
      </c>
      <c r="G2517" s="10">
        <f t="shared" si="39"/>
        <v>0</v>
      </c>
      <c r="H2517" t="str">
        <f>$A2517&amp;Keys!$C$54&amp;$B2517&amp;Keys!$C$54&amp;$C2517</f>
        <v>TN|exports|petroleum diesel</v>
      </c>
    </row>
    <row r="2518" spans="1:8" x14ac:dyDescent="0.25">
      <c r="A2518" t="s">
        <v>161</v>
      </c>
      <c r="B2518" t="s">
        <v>193</v>
      </c>
      <c r="C2518" t="s">
        <v>91</v>
      </c>
      <c r="D2518">
        <v>0</v>
      </c>
      <c r="E2518">
        <v>0</v>
      </c>
      <c r="F2518">
        <v>0</v>
      </c>
      <c r="G2518" s="10">
        <f t="shared" si="39"/>
        <v>0</v>
      </c>
      <c r="H2518" t="str">
        <f>$A2518&amp;Keys!$C$54&amp;$B2518&amp;Keys!$C$54&amp;$C2518</f>
        <v>TN|exports|biofuel gasoline</v>
      </c>
    </row>
    <row r="2519" spans="1:8" x14ac:dyDescent="0.25">
      <c r="A2519" t="s">
        <v>161</v>
      </c>
      <c r="B2519" t="s">
        <v>193</v>
      </c>
      <c r="C2519" t="s">
        <v>94</v>
      </c>
      <c r="D2519">
        <v>0</v>
      </c>
      <c r="E2519">
        <v>8213870000000</v>
      </c>
      <c r="F2519">
        <v>10305700000000</v>
      </c>
      <c r="G2519" s="10">
        <f t="shared" si="39"/>
        <v>6173190000000</v>
      </c>
      <c r="H2519" t="str">
        <f>$A2519&amp;Keys!$C$54&amp;$B2519&amp;Keys!$C$54&amp;$C2519</f>
        <v>TN|exports|biofuel diesel</v>
      </c>
    </row>
    <row r="2520" spans="1:8" x14ac:dyDescent="0.25">
      <c r="A2520" t="s">
        <v>161</v>
      </c>
      <c r="B2520" t="s">
        <v>193</v>
      </c>
      <c r="C2520" t="s">
        <v>97</v>
      </c>
      <c r="D2520">
        <v>0</v>
      </c>
      <c r="E2520">
        <v>0</v>
      </c>
      <c r="F2520">
        <v>0</v>
      </c>
      <c r="G2520" s="10">
        <f t="shared" si="39"/>
        <v>0</v>
      </c>
      <c r="H2520" t="str">
        <f>$A2520&amp;Keys!$C$54&amp;$B2520&amp;Keys!$C$54&amp;$C2520</f>
        <v>TN|exports|jet fuel or kerosene</v>
      </c>
    </row>
    <row r="2521" spans="1:8" x14ac:dyDescent="0.25">
      <c r="A2521" t="s">
        <v>161</v>
      </c>
      <c r="B2521" t="s">
        <v>193</v>
      </c>
      <c r="C2521" t="s">
        <v>100</v>
      </c>
      <c r="D2521">
        <v>0</v>
      </c>
      <c r="E2521">
        <v>0</v>
      </c>
      <c r="F2521">
        <v>0</v>
      </c>
      <c r="G2521" s="10">
        <f t="shared" si="39"/>
        <v>0</v>
      </c>
      <c r="H2521" t="str">
        <f>$A2521&amp;Keys!$C$54&amp;$B2521&amp;Keys!$C$54&amp;$C2521</f>
        <v>TN|exports|heat (not used in this variable)</v>
      </c>
    </row>
    <row r="2522" spans="1:8" x14ac:dyDescent="0.25">
      <c r="A2522" t="s">
        <v>161</v>
      </c>
      <c r="B2522" t="s">
        <v>193</v>
      </c>
      <c r="C2522" t="s">
        <v>103</v>
      </c>
      <c r="D2522">
        <v>0</v>
      </c>
      <c r="E2522">
        <v>0</v>
      </c>
      <c r="F2522">
        <v>0</v>
      </c>
      <c r="G2522" s="10">
        <f t="shared" si="39"/>
        <v>0</v>
      </c>
      <c r="H2522" t="str">
        <f>$A2522&amp;Keys!$C$54&amp;$B2522&amp;Keys!$C$54&amp;$C2522</f>
        <v>TN|exports|geothermal (is not a fuel)</v>
      </c>
    </row>
    <row r="2523" spans="1:8" x14ac:dyDescent="0.25">
      <c r="A2523" t="s">
        <v>161</v>
      </c>
      <c r="B2523" t="s">
        <v>193</v>
      </c>
      <c r="C2523" t="s">
        <v>106</v>
      </c>
      <c r="D2523">
        <v>0</v>
      </c>
      <c r="E2523">
        <v>0</v>
      </c>
      <c r="F2523">
        <v>0</v>
      </c>
      <c r="G2523" s="10">
        <f t="shared" si="39"/>
        <v>0</v>
      </c>
      <c r="H2523" t="str">
        <f>$A2523&amp;Keys!$C$54&amp;$B2523&amp;Keys!$C$54&amp;$C2523</f>
        <v>TN|exports|lignite</v>
      </c>
    </row>
    <row r="2524" spans="1:8" x14ac:dyDescent="0.25">
      <c r="A2524" t="s">
        <v>161</v>
      </c>
      <c r="B2524" t="s">
        <v>193</v>
      </c>
      <c r="C2524" t="s">
        <v>109</v>
      </c>
      <c r="D2524">
        <v>0</v>
      </c>
      <c r="E2524">
        <v>0</v>
      </c>
      <c r="F2524">
        <v>0</v>
      </c>
      <c r="G2524" s="10">
        <f t="shared" si="39"/>
        <v>0</v>
      </c>
      <c r="H2524" t="str">
        <f>$A2524&amp;Keys!$C$54&amp;$B2524&amp;Keys!$C$54&amp;$C2524</f>
        <v>TN|exports|crude oil</v>
      </c>
    </row>
    <row r="2525" spans="1:8" x14ac:dyDescent="0.25">
      <c r="A2525" t="s">
        <v>161</v>
      </c>
      <c r="B2525" t="s">
        <v>193</v>
      </c>
      <c r="C2525" t="s">
        <v>113</v>
      </c>
      <c r="D2525">
        <v>0</v>
      </c>
      <c r="E2525">
        <v>0</v>
      </c>
      <c r="F2525">
        <v>0</v>
      </c>
      <c r="G2525" s="10">
        <f t="shared" si="39"/>
        <v>0</v>
      </c>
      <c r="H2525" t="str">
        <f>$A2525&amp;Keys!$C$54&amp;$B2525&amp;Keys!$C$54&amp;$C2525</f>
        <v>TN|exports|heavy fuel oil</v>
      </c>
    </row>
    <row r="2526" spans="1:8" x14ac:dyDescent="0.25">
      <c r="A2526" t="s">
        <v>161</v>
      </c>
      <c r="B2526" t="s">
        <v>193</v>
      </c>
      <c r="C2526" t="s">
        <v>117</v>
      </c>
      <c r="D2526">
        <v>0</v>
      </c>
      <c r="E2526">
        <v>0</v>
      </c>
      <c r="F2526">
        <v>0</v>
      </c>
      <c r="G2526" s="10">
        <f t="shared" si="39"/>
        <v>0</v>
      </c>
      <c r="H2526" t="str">
        <f>$A2526&amp;Keys!$C$54&amp;$B2526&amp;Keys!$C$54&amp;$C2526</f>
        <v>TN|exports|LPG propane or butane</v>
      </c>
    </row>
    <row r="2527" spans="1:8" x14ac:dyDescent="0.25">
      <c r="A2527" t="s">
        <v>161</v>
      </c>
      <c r="B2527" t="s">
        <v>193</v>
      </c>
      <c r="C2527" t="s">
        <v>120</v>
      </c>
      <c r="D2527">
        <v>0</v>
      </c>
      <c r="E2527">
        <v>0</v>
      </c>
      <c r="F2527">
        <v>0</v>
      </c>
      <c r="G2527" s="10">
        <f t="shared" si="39"/>
        <v>0</v>
      </c>
      <c r="H2527" t="str">
        <f>$A2527&amp;Keys!$C$54&amp;$B2527&amp;Keys!$C$54&amp;$C2527</f>
        <v>TN|exports|municipal solid waste</v>
      </c>
    </row>
    <row r="2528" spans="1:8" x14ac:dyDescent="0.25">
      <c r="A2528" t="s">
        <v>161</v>
      </c>
      <c r="B2528" t="s">
        <v>193</v>
      </c>
      <c r="C2528" t="s">
        <v>123</v>
      </c>
      <c r="D2528">
        <v>0</v>
      </c>
      <c r="E2528">
        <v>1667910000000</v>
      </c>
      <c r="F2528">
        <v>1488230000000</v>
      </c>
      <c r="G2528" s="10">
        <f t="shared" si="39"/>
        <v>1052046666666.6666</v>
      </c>
      <c r="H2528" t="str">
        <f>$A2528&amp;Keys!$C$54&amp;$B2528&amp;Keys!$C$54&amp;$C2528</f>
        <v>TN|exports|hydrogen</v>
      </c>
    </row>
    <row r="2529" spans="1:8" x14ac:dyDescent="0.25">
      <c r="A2529" t="s">
        <v>163</v>
      </c>
      <c r="B2529" t="s">
        <v>188</v>
      </c>
      <c r="C2529" t="s">
        <v>60</v>
      </c>
      <c r="D2529">
        <v>0</v>
      </c>
      <c r="E2529">
        <v>0</v>
      </c>
      <c r="F2529">
        <v>0</v>
      </c>
      <c r="G2529" s="10">
        <f t="shared" si="39"/>
        <v>0</v>
      </c>
      <c r="H2529" t="str">
        <f>$A2529&amp;Keys!$C$54&amp;$B2529&amp;Keys!$C$54&amp;$C2529</f>
        <v>TX|production|electricity (not used in this variable)</v>
      </c>
    </row>
    <row r="2530" spans="1:8" x14ac:dyDescent="0.25">
      <c r="A2530" t="s">
        <v>163</v>
      </c>
      <c r="B2530" t="s">
        <v>188</v>
      </c>
      <c r="C2530" t="s">
        <v>64</v>
      </c>
      <c r="D2530">
        <v>0</v>
      </c>
      <c r="E2530">
        <v>0</v>
      </c>
      <c r="F2530">
        <v>0</v>
      </c>
      <c r="G2530" s="10">
        <f t="shared" si="39"/>
        <v>0</v>
      </c>
      <c r="H2530" t="str">
        <f>$A2530&amp;Keys!$C$54&amp;$B2530&amp;Keys!$C$54&amp;$C2530</f>
        <v>TX|production|hard coal</v>
      </c>
    </row>
    <row r="2531" spans="1:8" x14ac:dyDescent="0.25">
      <c r="A2531" t="s">
        <v>163</v>
      </c>
      <c r="B2531" t="s">
        <v>188</v>
      </c>
      <c r="C2531" t="s">
        <v>68</v>
      </c>
      <c r="D2531">
        <v>1.04262E+16</v>
      </c>
      <c r="E2531">
        <v>1.04262E+16</v>
      </c>
      <c r="F2531">
        <v>1.04836E+16</v>
      </c>
      <c r="G2531" s="10">
        <f t="shared" si="39"/>
        <v>1.0445333333333334E+16</v>
      </c>
      <c r="H2531" t="str">
        <f>$A2531&amp;Keys!$C$54&amp;$B2531&amp;Keys!$C$54&amp;$C2531</f>
        <v>TX|production|natural gas</v>
      </c>
    </row>
    <row r="2532" spans="1:8" x14ac:dyDescent="0.25">
      <c r="A2532" t="s">
        <v>163</v>
      </c>
      <c r="B2532" t="s">
        <v>188</v>
      </c>
      <c r="C2532" t="s">
        <v>71</v>
      </c>
      <c r="D2532">
        <v>0</v>
      </c>
      <c r="E2532">
        <v>0</v>
      </c>
      <c r="F2532">
        <v>0</v>
      </c>
      <c r="G2532" s="10">
        <f t="shared" si="39"/>
        <v>0</v>
      </c>
      <c r="H2532" t="str">
        <f>$A2532&amp;Keys!$C$54&amp;$B2532&amp;Keys!$C$54&amp;$C2532</f>
        <v>TX|production|nuclear</v>
      </c>
    </row>
    <row r="2533" spans="1:8" x14ac:dyDescent="0.25">
      <c r="A2533" t="s">
        <v>163</v>
      </c>
      <c r="B2533" t="s">
        <v>188</v>
      </c>
      <c r="C2533" t="s">
        <v>74</v>
      </c>
      <c r="D2533">
        <v>0</v>
      </c>
      <c r="E2533">
        <v>0</v>
      </c>
      <c r="F2533">
        <v>0</v>
      </c>
      <c r="G2533" s="10">
        <f t="shared" si="39"/>
        <v>0</v>
      </c>
      <c r="H2533" t="str">
        <f>$A2533&amp;Keys!$C$54&amp;$B2533&amp;Keys!$C$54&amp;$C2533</f>
        <v>TX|production|hydro (is not a fuel)</v>
      </c>
    </row>
    <row r="2534" spans="1:8" x14ac:dyDescent="0.25">
      <c r="A2534" t="s">
        <v>163</v>
      </c>
      <c r="B2534" t="s">
        <v>188</v>
      </c>
      <c r="C2534" t="s">
        <v>77</v>
      </c>
      <c r="D2534">
        <v>0</v>
      </c>
      <c r="E2534">
        <v>0</v>
      </c>
      <c r="F2534">
        <v>0</v>
      </c>
      <c r="G2534" s="10">
        <f t="shared" si="39"/>
        <v>0</v>
      </c>
      <c r="H2534" t="str">
        <f>$A2534&amp;Keys!$C$54&amp;$B2534&amp;Keys!$C$54&amp;$C2534</f>
        <v>TX|production|wind (is not a fuel)</v>
      </c>
    </row>
    <row r="2535" spans="1:8" x14ac:dyDescent="0.25">
      <c r="A2535" t="s">
        <v>163</v>
      </c>
      <c r="B2535" t="s">
        <v>188</v>
      </c>
      <c r="C2535" t="s">
        <v>80</v>
      </c>
      <c r="D2535">
        <v>0</v>
      </c>
      <c r="E2535">
        <v>0</v>
      </c>
      <c r="F2535">
        <v>0</v>
      </c>
      <c r="G2535" s="10">
        <f t="shared" si="39"/>
        <v>0</v>
      </c>
      <c r="H2535" t="str">
        <f>$A2535&amp;Keys!$C$54&amp;$B2535&amp;Keys!$C$54&amp;$C2535</f>
        <v>TX|production|solar (is not a fuel)</v>
      </c>
    </row>
    <row r="2536" spans="1:8" x14ac:dyDescent="0.25">
      <c r="A2536" t="s">
        <v>163</v>
      </c>
      <c r="B2536" t="s">
        <v>188</v>
      </c>
      <c r="C2536" t="s">
        <v>82</v>
      </c>
      <c r="D2536">
        <v>8113010000000</v>
      </c>
      <c r="E2536">
        <v>8113010000000</v>
      </c>
      <c r="F2536">
        <v>8113010000000</v>
      </c>
      <c r="G2536" s="10">
        <f t="shared" si="39"/>
        <v>8113010000000</v>
      </c>
      <c r="H2536" t="str">
        <f>$A2536&amp;Keys!$C$54&amp;$B2536&amp;Keys!$C$54&amp;$C2536</f>
        <v>TX|production|biomass</v>
      </c>
    </row>
    <row r="2537" spans="1:8" x14ac:dyDescent="0.25">
      <c r="A2537" t="s">
        <v>163</v>
      </c>
      <c r="B2537" t="s">
        <v>188</v>
      </c>
      <c r="C2537" t="s">
        <v>85</v>
      </c>
      <c r="D2537">
        <v>6156340000000000</v>
      </c>
      <c r="E2537">
        <v>6156340000000000</v>
      </c>
      <c r="F2537">
        <v>6007120000000000</v>
      </c>
      <c r="G2537" s="10">
        <f t="shared" si="39"/>
        <v>6106600000000000</v>
      </c>
      <c r="H2537" t="str">
        <f>$A2537&amp;Keys!$C$54&amp;$B2537&amp;Keys!$C$54&amp;$C2537</f>
        <v>TX|production|petroleum gasoline</v>
      </c>
    </row>
    <row r="2538" spans="1:8" x14ac:dyDescent="0.25">
      <c r="A2538" t="s">
        <v>163</v>
      </c>
      <c r="B2538" t="s">
        <v>188</v>
      </c>
      <c r="C2538" t="s">
        <v>88</v>
      </c>
      <c r="D2538">
        <v>3641570000000000</v>
      </c>
      <c r="E2538">
        <v>3641570000000000</v>
      </c>
      <c r="F2538">
        <v>3553300000000000</v>
      </c>
      <c r="G2538" s="10">
        <f t="shared" si="39"/>
        <v>3612146666666666.5</v>
      </c>
      <c r="H2538" t="str">
        <f>$A2538&amp;Keys!$C$54&amp;$B2538&amp;Keys!$C$54&amp;$C2538</f>
        <v>TX|production|petroleum diesel</v>
      </c>
    </row>
    <row r="2539" spans="1:8" x14ac:dyDescent="0.25">
      <c r="A2539" t="s">
        <v>163</v>
      </c>
      <c r="B2539" t="s">
        <v>188</v>
      </c>
      <c r="C2539" t="s">
        <v>91</v>
      </c>
      <c r="D2539">
        <v>30991300000000</v>
      </c>
      <c r="E2539">
        <v>30991300000000</v>
      </c>
      <c r="F2539">
        <v>31078500000000</v>
      </c>
      <c r="G2539" s="10">
        <f t="shared" si="39"/>
        <v>31020366666666.668</v>
      </c>
      <c r="H2539" t="str">
        <f>$A2539&amp;Keys!$C$54&amp;$B2539&amp;Keys!$C$54&amp;$C2539</f>
        <v>TX|production|biofuel gasoline</v>
      </c>
    </row>
    <row r="2540" spans="1:8" x14ac:dyDescent="0.25">
      <c r="A2540" t="s">
        <v>163</v>
      </c>
      <c r="B2540" t="s">
        <v>188</v>
      </c>
      <c r="C2540" t="s">
        <v>94</v>
      </c>
      <c r="D2540">
        <v>52215700000000</v>
      </c>
      <c r="E2540">
        <v>52215700000000</v>
      </c>
      <c r="F2540">
        <v>62025100000000</v>
      </c>
      <c r="G2540" s="10">
        <f t="shared" si="39"/>
        <v>55485500000000</v>
      </c>
      <c r="H2540" t="str">
        <f>$A2540&amp;Keys!$C$54&amp;$B2540&amp;Keys!$C$54&amp;$C2540</f>
        <v>TX|production|biofuel diesel</v>
      </c>
    </row>
    <row r="2541" spans="1:8" x14ac:dyDescent="0.25">
      <c r="A2541" t="s">
        <v>163</v>
      </c>
      <c r="B2541" t="s">
        <v>188</v>
      </c>
      <c r="C2541" t="s">
        <v>97</v>
      </c>
      <c r="D2541">
        <v>1296320000000000</v>
      </c>
      <c r="E2541">
        <v>1296320000000000</v>
      </c>
      <c r="F2541">
        <v>1264900000000000</v>
      </c>
      <c r="G2541" s="10">
        <f t="shared" si="39"/>
        <v>1285846666666666.8</v>
      </c>
      <c r="H2541" t="str">
        <f>$A2541&amp;Keys!$C$54&amp;$B2541&amp;Keys!$C$54&amp;$C2541</f>
        <v>TX|production|jet fuel or kerosene</v>
      </c>
    </row>
    <row r="2542" spans="1:8" x14ac:dyDescent="0.25">
      <c r="A2542" t="s">
        <v>163</v>
      </c>
      <c r="B2542" t="s">
        <v>188</v>
      </c>
      <c r="C2542" t="s">
        <v>100</v>
      </c>
      <c r="D2542">
        <v>0</v>
      </c>
      <c r="E2542">
        <v>0</v>
      </c>
      <c r="F2542">
        <v>0</v>
      </c>
      <c r="G2542" s="10">
        <f t="shared" si="39"/>
        <v>0</v>
      </c>
      <c r="H2542" t="str">
        <f>$A2542&amp;Keys!$C$54&amp;$B2542&amp;Keys!$C$54&amp;$C2542</f>
        <v>TX|production|heat (not used in this variable)</v>
      </c>
    </row>
    <row r="2543" spans="1:8" x14ac:dyDescent="0.25">
      <c r="A2543" t="s">
        <v>163</v>
      </c>
      <c r="B2543" t="s">
        <v>188</v>
      </c>
      <c r="C2543" t="s">
        <v>103</v>
      </c>
      <c r="D2543">
        <v>0</v>
      </c>
      <c r="E2543">
        <v>0</v>
      </c>
      <c r="F2543">
        <v>0</v>
      </c>
      <c r="G2543" s="10">
        <f t="shared" si="39"/>
        <v>0</v>
      </c>
      <c r="H2543" t="str">
        <f>$A2543&amp;Keys!$C$54&amp;$B2543&amp;Keys!$C$54&amp;$C2543</f>
        <v>TX|production|geothermal (is not a fuel)</v>
      </c>
    </row>
    <row r="2544" spans="1:8" x14ac:dyDescent="0.25">
      <c r="A2544" t="s">
        <v>163</v>
      </c>
      <c r="B2544" t="s">
        <v>188</v>
      </c>
      <c r="C2544" t="s">
        <v>106</v>
      </c>
      <c r="D2544">
        <v>172151000000000</v>
      </c>
      <c r="E2544">
        <v>172151000000000</v>
      </c>
      <c r="F2544">
        <v>171225000000000</v>
      </c>
      <c r="G2544" s="10">
        <f t="shared" si="39"/>
        <v>171842333333333.34</v>
      </c>
      <c r="H2544" t="str">
        <f>$A2544&amp;Keys!$C$54&amp;$B2544&amp;Keys!$C$54&amp;$C2544</f>
        <v>TX|production|lignite</v>
      </c>
    </row>
    <row r="2545" spans="1:8" x14ac:dyDescent="0.25">
      <c r="A2545" t="s">
        <v>163</v>
      </c>
      <c r="B2545" t="s">
        <v>188</v>
      </c>
      <c r="C2545" t="s">
        <v>109</v>
      </c>
      <c r="D2545">
        <v>1.20474E+16</v>
      </c>
      <c r="E2545">
        <v>1.20474E+16</v>
      </c>
      <c r="F2545">
        <v>1.2154E+16</v>
      </c>
      <c r="G2545" s="10">
        <f t="shared" si="39"/>
        <v>1.2082933333333334E+16</v>
      </c>
      <c r="H2545" t="str">
        <f>$A2545&amp;Keys!$C$54&amp;$B2545&amp;Keys!$C$54&amp;$C2545</f>
        <v>TX|production|crude oil</v>
      </c>
    </row>
    <row r="2546" spans="1:8" x14ac:dyDescent="0.25">
      <c r="A2546" t="s">
        <v>163</v>
      </c>
      <c r="B2546" t="s">
        <v>188</v>
      </c>
      <c r="C2546" t="s">
        <v>113</v>
      </c>
      <c r="D2546">
        <v>251815000000000</v>
      </c>
      <c r="E2546">
        <v>251815000000000</v>
      </c>
      <c r="F2546">
        <v>245712000000000</v>
      </c>
      <c r="G2546" s="10">
        <f t="shared" si="39"/>
        <v>249780666666666.66</v>
      </c>
      <c r="H2546" t="str">
        <f>$A2546&amp;Keys!$C$54&amp;$B2546&amp;Keys!$C$54&amp;$C2546</f>
        <v>TX|production|heavy fuel oil</v>
      </c>
    </row>
    <row r="2547" spans="1:8" x14ac:dyDescent="0.25">
      <c r="A2547" t="s">
        <v>163</v>
      </c>
      <c r="B2547" t="s">
        <v>188</v>
      </c>
      <c r="C2547" t="s">
        <v>117</v>
      </c>
      <c r="D2547">
        <v>1274600000000000</v>
      </c>
      <c r="E2547">
        <v>1274600000000000</v>
      </c>
      <c r="F2547">
        <v>1301660000000000</v>
      </c>
      <c r="G2547" s="10">
        <f t="shared" si="39"/>
        <v>1283620000000000</v>
      </c>
      <c r="H2547" t="str">
        <f>$A2547&amp;Keys!$C$54&amp;$B2547&amp;Keys!$C$54&amp;$C2547</f>
        <v>TX|production|LPG propane or butane</v>
      </c>
    </row>
    <row r="2548" spans="1:8" x14ac:dyDescent="0.25">
      <c r="A2548" t="s">
        <v>163</v>
      </c>
      <c r="B2548" t="s">
        <v>188</v>
      </c>
      <c r="C2548" t="s">
        <v>120</v>
      </c>
      <c r="D2548">
        <v>0</v>
      </c>
      <c r="E2548">
        <v>0</v>
      </c>
      <c r="F2548">
        <v>0</v>
      </c>
      <c r="G2548" s="10">
        <f t="shared" si="39"/>
        <v>0</v>
      </c>
      <c r="H2548" t="str">
        <f>$A2548&amp;Keys!$C$54&amp;$B2548&amp;Keys!$C$54&amp;$C2548</f>
        <v>TX|production|municipal solid waste</v>
      </c>
    </row>
    <row r="2549" spans="1:8" x14ac:dyDescent="0.25">
      <c r="A2549" t="s">
        <v>163</v>
      </c>
      <c r="B2549" t="s">
        <v>188</v>
      </c>
      <c r="C2549" t="s">
        <v>123</v>
      </c>
      <c r="D2549">
        <v>51720500000000</v>
      </c>
      <c r="E2549">
        <v>51720500000000</v>
      </c>
      <c r="F2549">
        <v>49118700000000</v>
      </c>
      <c r="G2549" s="10">
        <f t="shared" si="39"/>
        <v>50853233333333.336</v>
      </c>
      <c r="H2549" t="str">
        <f>$A2549&amp;Keys!$C$54&amp;$B2549&amp;Keys!$C$54&amp;$C2549</f>
        <v>TX|production|hydrogen</v>
      </c>
    </row>
    <row r="2550" spans="1:8" x14ac:dyDescent="0.25">
      <c r="A2550" t="s">
        <v>163</v>
      </c>
      <c r="B2550" t="s">
        <v>191</v>
      </c>
      <c r="C2550" t="s">
        <v>60</v>
      </c>
      <c r="D2550">
        <v>0</v>
      </c>
      <c r="E2550">
        <v>0</v>
      </c>
      <c r="F2550">
        <v>0</v>
      </c>
      <c r="G2550" s="10">
        <f t="shared" si="39"/>
        <v>0</v>
      </c>
      <c r="H2550" t="str">
        <f>$A2550&amp;Keys!$C$54&amp;$B2550&amp;Keys!$C$54&amp;$C2550</f>
        <v>TX|imports|electricity (not used in this variable)</v>
      </c>
    </row>
    <row r="2551" spans="1:8" x14ac:dyDescent="0.25">
      <c r="A2551" t="s">
        <v>163</v>
      </c>
      <c r="B2551" t="s">
        <v>191</v>
      </c>
      <c r="C2551" t="s">
        <v>64</v>
      </c>
      <c r="D2551">
        <v>688699000000000</v>
      </c>
      <c r="E2551">
        <v>623610000000000</v>
      </c>
      <c r="F2551">
        <v>812395000000000</v>
      </c>
      <c r="G2551" s="10">
        <f t="shared" si="39"/>
        <v>708234666666666.63</v>
      </c>
      <c r="H2551" t="str">
        <f>$A2551&amp;Keys!$C$54&amp;$B2551&amp;Keys!$C$54&amp;$C2551</f>
        <v>TX|imports|hard coal</v>
      </c>
    </row>
    <row r="2552" spans="1:8" x14ac:dyDescent="0.25">
      <c r="A2552" t="s">
        <v>163</v>
      </c>
      <c r="B2552" t="s">
        <v>191</v>
      </c>
      <c r="C2552" t="s">
        <v>68</v>
      </c>
      <c r="D2552">
        <v>1156120000000000</v>
      </c>
      <c r="E2552">
        <v>2525710000000000</v>
      </c>
      <c r="F2552">
        <v>2310510000000000</v>
      </c>
      <c r="G2552" s="10">
        <f t="shared" si="39"/>
        <v>1997446666666666.8</v>
      </c>
      <c r="H2552" t="str">
        <f>$A2552&amp;Keys!$C$54&amp;$B2552&amp;Keys!$C$54&amp;$C2552</f>
        <v>TX|imports|natural gas</v>
      </c>
    </row>
    <row r="2553" spans="1:8" x14ac:dyDescent="0.25">
      <c r="A2553" t="s">
        <v>163</v>
      </c>
      <c r="B2553" t="s">
        <v>191</v>
      </c>
      <c r="C2553" t="s">
        <v>71</v>
      </c>
      <c r="D2553">
        <v>403237000000000</v>
      </c>
      <c r="E2553">
        <v>437073000000000</v>
      </c>
      <c r="F2553">
        <v>420150000000000</v>
      </c>
      <c r="G2553" s="10">
        <f t="shared" si="39"/>
        <v>420153333333333.31</v>
      </c>
      <c r="H2553" t="str">
        <f>$A2553&amp;Keys!$C$54&amp;$B2553&amp;Keys!$C$54&amp;$C2553</f>
        <v>TX|imports|nuclear</v>
      </c>
    </row>
    <row r="2554" spans="1:8" x14ac:dyDescent="0.25">
      <c r="A2554" t="s">
        <v>163</v>
      </c>
      <c r="B2554" t="s">
        <v>191</v>
      </c>
      <c r="C2554" t="s">
        <v>74</v>
      </c>
      <c r="D2554">
        <v>0</v>
      </c>
      <c r="E2554">
        <v>0</v>
      </c>
      <c r="F2554">
        <v>0</v>
      </c>
      <c r="G2554" s="10">
        <f t="shared" si="39"/>
        <v>0</v>
      </c>
      <c r="H2554" t="str">
        <f>$A2554&amp;Keys!$C$54&amp;$B2554&amp;Keys!$C$54&amp;$C2554</f>
        <v>TX|imports|hydro (is not a fuel)</v>
      </c>
    </row>
    <row r="2555" spans="1:8" x14ac:dyDescent="0.25">
      <c r="A2555" t="s">
        <v>163</v>
      </c>
      <c r="B2555" t="s">
        <v>191</v>
      </c>
      <c r="C2555" t="s">
        <v>77</v>
      </c>
      <c r="D2555">
        <v>0</v>
      </c>
      <c r="E2555">
        <v>0</v>
      </c>
      <c r="F2555">
        <v>0</v>
      </c>
      <c r="G2555" s="10">
        <f t="shared" si="39"/>
        <v>0</v>
      </c>
      <c r="H2555" t="str">
        <f>$A2555&amp;Keys!$C$54&amp;$B2555&amp;Keys!$C$54&amp;$C2555</f>
        <v>TX|imports|wind (is not a fuel)</v>
      </c>
    </row>
    <row r="2556" spans="1:8" x14ac:dyDescent="0.25">
      <c r="A2556" t="s">
        <v>163</v>
      </c>
      <c r="B2556" t="s">
        <v>191</v>
      </c>
      <c r="C2556" t="s">
        <v>80</v>
      </c>
      <c r="D2556">
        <v>0</v>
      </c>
      <c r="E2556">
        <v>0</v>
      </c>
      <c r="F2556">
        <v>0</v>
      </c>
      <c r="G2556" s="10">
        <f t="shared" si="39"/>
        <v>0</v>
      </c>
      <c r="H2556" t="str">
        <f>$A2556&amp;Keys!$C$54&amp;$B2556&amp;Keys!$C$54&amp;$C2556</f>
        <v>TX|imports|solar (is not a fuel)</v>
      </c>
    </row>
    <row r="2557" spans="1:8" x14ac:dyDescent="0.25">
      <c r="A2557" t="s">
        <v>163</v>
      </c>
      <c r="B2557" t="s">
        <v>191</v>
      </c>
      <c r="C2557" t="s">
        <v>82</v>
      </c>
      <c r="D2557">
        <v>0</v>
      </c>
      <c r="E2557">
        <v>77993000000000</v>
      </c>
      <c r="F2557">
        <v>80993300000000</v>
      </c>
      <c r="G2557" s="10">
        <f t="shared" si="39"/>
        <v>52995433333333.336</v>
      </c>
      <c r="H2557" t="str">
        <f>$A2557&amp;Keys!$C$54&amp;$B2557&amp;Keys!$C$54&amp;$C2557</f>
        <v>TX|imports|biomass</v>
      </c>
    </row>
    <row r="2558" spans="1:8" x14ac:dyDescent="0.25">
      <c r="A2558" t="s">
        <v>163</v>
      </c>
      <c r="B2558" t="s">
        <v>191</v>
      </c>
      <c r="C2558" t="s">
        <v>85</v>
      </c>
      <c r="D2558">
        <v>0</v>
      </c>
      <c r="E2558">
        <v>0</v>
      </c>
      <c r="F2558">
        <v>0</v>
      </c>
      <c r="G2558" s="10">
        <f t="shared" si="39"/>
        <v>0</v>
      </c>
      <c r="H2558" t="str">
        <f>$A2558&amp;Keys!$C$54&amp;$B2558&amp;Keys!$C$54&amp;$C2558</f>
        <v>TX|imports|petroleum gasoline</v>
      </c>
    </row>
    <row r="2559" spans="1:8" x14ac:dyDescent="0.25">
      <c r="A2559" t="s">
        <v>163</v>
      </c>
      <c r="B2559" t="s">
        <v>191</v>
      </c>
      <c r="C2559" t="s">
        <v>88</v>
      </c>
      <c r="D2559">
        <v>0</v>
      </c>
      <c r="E2559">
        <v>0</v>
      </c>
      <c r="F2559">
        <v>0</v>
      </c>
      <c r="G2559" s="10">
        <f t="shared" si="39"/>
        <v>0</v>
      </c>
      <c r="H2559" t="str">
        <f>$A2559&amp;Keys!$C$54&amp;$B2559&amp;Keys!$C$54&amp;$C2559</f>
        <v>TX|imports|petroleum diesel</v>
      </c>
    </row>
    <row r="2560" spans="1:8" x14ac:dyDescent="0.25">
      <c r="A2560" t="s">
        <v>163</v>
      </c>
      <c r="B2560" t="s">
        <v>191</v>
      </c>
      <c r="C2560" t="s">
        <v>91</v>
      </c>
      <c r="D2560">
        <v>0</v>
      </c>
      <c r="E2560">
        <v>79328200000000</v>
      </c>
      <c r="F2560">
        <v>77917500000000</v>
      </c>
      <c r="G2560" s="10">
        <f t="shared" si="39"/>
        <v>52415233333333.336</v>
      </c>
      <c r="H2560" t="str">
        <f>$A2560&amp;Keys!$C$54&amp;$B2560&amp;Keys!$C$54&amp;$C2560</f>
        <v>TX|imports|biofuel gasoline</v>
      </c>
    </row>
    <row r="2561" spans="1:8" x14ac:dyDescent="0.25">
      <c r="A2561" t="s">
        <v>163</v>
      </c>
      <c r="B2561" t="s">
        <v>191</v>
      </c>
      <c r="C2561" t="s">
        <v>94</v>
      </c>
      <c r="D2561">
        <v>0</v>
      </c>
      <c r="E2561">
        <v>0</v>
      </c>
      <c r="F2561">
        <v>0</v>
      </c>
      <c r="G2561" s="10">
        <f t="shared" si="39"/>
        <v>0</v>
      </c>
      <c r="H2561" t="str">
        <f>$A2561&amp;Keys!$C$54&amp;$B2561&amp;Keys!$C$54&amp;$C2561</f>
        <v>TX|imports|biofuel diesel</v>
      </c>
    </row>
    <row r="2562" spans="1:8" x14ac:dyDescent="0.25">
      <c r="A2562" t="s">
        <v>163</v>
      </c>
      <c r="B2562" t="s">
        <v>191</v>
      </c>
      <c r="C2562" t="s">
        <v>97</v>
      </c>
      <c r="D2562">
        <v>0</v>
      </c>
      <c r="E2562">
        <v>0</v>
      </c>
      <c r="F2562">
        <v>0</v>
      </c>
      <c r="G2562" s="10">
        <f t="shared" si="39"/>
        <v>0</v>
      </c>
      <c r="H2562" t="str">
        <f>$A2562&amp;Keys!$C$54&amp;$B2562&amp;Keys!$C$54&amp;$C2562</f>
        <v>TX|imports|jet fuel or kerosene</v>
      </c>
    </row>
    <row r="2563" spans="1:8" x14ac:dyDescent="0.25">
      <c r="A2563" t="s">
        <v>163</v>
      </c>
      <c r="B2563" t="s">
        <v>191</v>
      </c>
      <c r="C2563" t="s">
        <v>100</v>
      </c>
      <c r="D2563">
        <v>0</v>
      </c>
      <c r="E2563">
        <v>0</v>
      </c>
      <c r="F2563">
        <v>0</v>
      </c>
      <c r="G2563" s="10">
        <f t="shared" si="39"/>
        <v>0</v>
      </c>
      <c r="H2563" t="str">
        <f>$A2563&amp;Keys!$C$54&amp;$B2563&amp;Keys!$C$54&amp;$C2563</f>
        <v>TX|imports|heat (not used in this variable)</v>
      </c>
    </row>
    <row r="2564" spans="1:8" x14ac:dyDescent="0.25">
      <c r="A2564" t="s">
        <v>163</v>
      </c>
      <c r="B2564" t="s">
        <v>191</v>
      </c>
      <c r="C2564" t="s">
        <v>103</v>
      </c>
      <c r="D2564">
        <v>0</v>
      </c>
      <c r="E2564">
        <v>0</v>
      </c>
      <c r="F2564">
        <v>0</v>
      </c>
      <c r="G2564" s="10">
        <f t="shared" si="39"/>
        <v>0</v>
      </c>
      <c r="H2564" t="str">
        <f>$A2564&amp;Keys!$C$54&amp;$B2564&amp;Keys!$C$54&amp;$C2564</f>
        <v>TX|imports|geothermal (is not a fuel)</v>
      </c>
    </row>
    <row r="2565" spans="1:8" x14ac:dyDescent="0.25">
      <c r="A2565" t="s">
        <v>163</v>
      </c>
      <c r="B2565" t="s">
        <v>191</v>
      </c>
      <c r="C2565" t="s">
        <v>106</v>
      </c>
      <c r="D2565">
        <v>0</v>
      </c>
      <c r="E2565">
        <v>0</v>
      </c>
      <c r="F2565">
        <v>0</v>
      </c>
      <c r="G2565" s="10">
        <f t="shared" si="39"/>
        <v>0</v>
      </c>
      <c r="H2565" t="str">
        <f>$A2565&amp;Keys!$C$54&amp;$B2565&amp;Keys!$C$54&amp;$C2565</f>
        <v>TX|imports|lignite</v>
      </c>
    </row>
    <row r="2566" spans="1:8" x14ac:dyDescent="0.25">
      <c r="A2566" t="s">
        <v>163</v>
      </c>
      <c r="B2566" t="s">
        <v>191</v>
      </c>
      <c r="C2566" t="s">
        <v>109</v>
      </c>
      <c r="D2566">
        <v>0</v>
      </c>
      <c r="E2566">
        <v>8001040000000000</v>
      </c>
      <c r="F2566">
        <v>7960890000000000</v>
      </c>
      <c r="G2566" s="10">
        <f t="shared" si="39"/>
        <v>5320643333333333</v>
      </c>
      <c r="H2566" t="str">
        <f>$A2566&amp;Keys!$C$54&amp;$B2566&amp;Keys!$C$54&amp;$C2566</f>
        <v>TX|imports|crude oil</v>
      </c>
    </row>
    <row r="2567" spans="1:8" x14ac:dyDescent="0.25">
      <c r="A2567" t="s">
        <v>163</v>
      </c>
      <c r="B2567" t="s">
        <v>191</v>
      </c>
      <c r="C2567" t="s">
        <v>113</v>
      </c>
      <c r="D2567">
        <v>0</v>
      </c>
      <c r="E2567">
        <v>192779000000000</v>
      </c>
      <c r="F2567">
        <v>195150000000000</v>
      </c>
      <c r="G2567" s="10">
        <f t="shared" si="39"/>
        <v>129309666666666.67</v>
      </c>
      <c r="H2567" t="str">
        <f>$A2567&amp;Keys!$C$54&amp;$B2567&amp;Keys!$C$54&amp;$C2567</f>
        <v>TX|imports|heavy fuel oil</v>
      </c>
    </row>
    <row r="2568" spans="1:8" x14ac:dyDescent="0.25">
      <c r="A2568" t="s">
        <v>163</v>
      </c>
      <c r="B2568" t="s">
        <v>191</v>
      </c>
      <c r="C2568" t="s">
        <v>117</v>
      </c>
      <c r="D2568">
        <v>0</v>
      </c>
      <c r="E2568">
        <v>1708580000000000</v>
      </c>
      <c r="F2568">
        <v>1681690000000000</v>
      </c>
      <c r="G2568" s="10">
        <f t="shared" si="39"/>
        <v>1130090000000000</v>
      </c>
      <c r="H2568" t="str">
        <f>$A2568&amp;Keys!$C$54&amp;$B2568&amp;Keys!$C$54&amp;$C2568</f>
        <v>TX|imports|LPG propane or butane</v>
      </c>
    </row>
    <row r="2569" spans="1:8" x14ac:dyDescent="0.25">
      <c r="A2569" t="s">
        <v>163</v>
      </c>
      <c r="B2569" t="s">
        <v>191</v>
      </c>
      <c r="C2569" t="s">
        <v>120</v>
      </c>
      <c r="D2569">
        <v>0</v>
      </c>
      <c r="E2569">
        <v>0</v>
      </c>
      <c r="F2569">
        <v>0</v>
      </c>
      <c r="G2569" s="10">
        <f t="shared" ref="G2569:G2632" si="40">AVERAGE($D2569:$F2569)</f>
        <v>0</v>
      </c>
      <c r="H2569" t="str">
        <f>$A2569&amp;Keys!$C$54&amp;$B2569&amp;Keys!$C$54&amp;$C2569</f>
        <v>TX|imports|municipal solid waste</v>
      </c>
    </row>
    <row r="2570" spans="1:8" x14ac:dyDescent="0.25">
      <c r="A2570" t="s">
        <v>163</v>
      </c>
      <c r="B2570" t="s">
        <v>191</v>
      </c>
      <c r="C2570" t="s">
        <v>123</v>
      </c>
      <c r="D2570">
        <v>0</v>
      </c>
      <c r="E2570">
        <v>130163000000000</v>
      </c>
      <c r="F2570">
        <v>129687000000000</v>
      </c>
      <c r="G2570" s="10">
        <f t="shared" si="40"/>
        <v>86616666666666.672</v>
      </c>
      <c r="H2570" t="str">
        <f>$A2570&amp;Keys!$C$54&amp;$B2570&amp;Keys!$C$54&amp;$C2570</f>
        <v>TX|imports|hydrogen</v>
      </c>
    </row>
    <row r="2571" spans="1:8" x14ac:dyDescent="0.25">
      <c r="A2571" t="s">
        <v>163</v>
      </c>
      <c r="B2571" t="s">
        <v>193</v>
      </c>
      <c r="C2571" t="s">
        <v>60</v>
      </c>
      <c r="D2571">
        <v>0</v>
      </c>
      <c r="E2571">
        <v>0</v>
      </c>
      <c r="F2571">
        <v>0</v>
      </c>
      <c r="G2571" s="10">
        <f t="shared" si="40"/>
        <v>0</v>
      </c>
      <c r="H2571" t="str">
        <f>$A2571&amp;Keys!$C$54&amp;$B2571&amp;Keys!$C$54&amp;$C2571</f>
        <v>TX|exports|electricity (not used in this variable)</v>
      </c>
    </row>
    <row r="2572" spans="1:8" x14ac:dyDescent="0.25">
      <c r="A2572" t="s">
        <v>163</v>
      </c>
      <c r="B2572" t="s">
        <v>193</v>
      </c>
      <c r="C2572" t="s">
        <v>64</v>
      </c>
      <c r="D2572">
        <v>0</v>
      </c>
      <c r="E2572">
        <v>0</v>
      </c>
      <c r="F2572">
        <v>0</v>
      </c>
      <c r="G2572" s="10">
        <f t="shared" si="40"/>
        <v>0</v>
      </c>
      <c r="H2572" t="str">
        <f>$A2572&amp;Keys!$C$54&amp;$B2572&amp;Keys!$C$54&amp;$C2572</f>
        <v>TX|exports|hard coal</v>
      </c>
    </row>
    <row r="2573" spans="1:8" x14ac:dyDescent="0.25">
      <c r="A2573" t="s">
        <v>163</v>
      </c>
      <c r="B2573" t="s">
        <v>193</v>
      </c>
      <c r="C2573" t="s">
        <v>68</v>
      </c>
      <c r="D2573">
        <v>7894640000000000</v>
      </c>
      <c r="E2573">
        <v>7894640000000000</v>
      </c>
      <c r="F2573">
        <v>7938100000000000</v>
      </c>
      <c r="G2573" s="10">
        <f t="shared" si="40"/>
        <v>7909126666666667</v>
      </c>
      <c r="H2573" t="str">
        <f>$A2573&amp;Keys!$C$54&amp;$B2573&amp;Keys!$C$54&amp;$C2573</f>
        <v>TX|exports|natural gas</v>
      </c>
    </row>
    <row r="2574" spans="1:8" x14ac:dyDescent="0.25">
      <c r="A2574" t="s">
        <v>163</v>
      </c>
      <c r="B2574" t="s">
        <v>193</v>
      </c>
      <c r="C2574" t="s">
        <v>71</v>
      </c>
      <c r="D2574">
        <v>0</v>
      </c>
      <c r="E2574">
        <v>0</v>
      </c>
      <c r="F2574">
        <v>0</v>
      </c>
      <c r="G2574" s="10">
        <f t="shared" si="40"/>
        <v>0</v>
      </c>
      <c r="H2574" t="str">
        <f>$A2574&amp;Keys!$C$54&amp;$B2574&amp;Keys!$C$54&amp;$C2574</f>
        <v>TX|exports|nuclear</v>
      </c>
    </row>
    <row r="2575" spans="1:8" x14ac:dyDescent="0.25">
      <c r="A2575" t="s">
        <v>163</v>
      </c>
      <c r="B2575" t="s">
        <v>193</v>
      </c>
      <c r="C2575" t="s">
        <v>74</v>
      </c>
      <c r="D2575">
        <v>0</v>
      </c>
      <c r="E2575">
        <v>0</v>
      </c>
      <c r="F2575">
        <v>0</v>
      </c>
      <c r="G2575" s="10">
        <f t="shared" si="40"/>
        <v>0</v>
      </c>
      <c r="H2575" t="str">
        <f>$A2575&amp;Keys!$C$54&amp;$B2575&amp;Keys!$C$54&amp;$C2575</f>
        <v>TX|exports|hydro (is not a fuel)</v>
      </c>
    </row>
    <row r="2576" spans="1:8" x14ac:dyDescent="0.25">
      <c r="A2576" t="s">
        <v>163</v>
      </c>
      <c r="B2576" t="s">
        <v>193</v>
      </c>
      <c r="C2576" t="s">
        <v>77</v>
      </c>
      <c r="D2576">
        <v>0</v>
      </c>
      <c r="E2576">
        <v>0</v>
      </c>
      <c r="F2576">
        <v>0</v>
      </c>
      <c r="G2576" s="10">
        <f t="shared" si="40"/>
        <v>0</v>
      </c>
      <c r="H2576" t="str">
        <f>$A2576&amp;Keys!$C$54&amp;$B2576&amp;Keys!$C$54&amp;$C2576</f>
        <v>TX|exports|wind (is not a fuel)</v>
      </c>
    </row>
    <row r="2577" spans="1:8" x14ac:dyDescent="0.25">
      <c r="A2577" t="s">
        <v>163</v>
      </c>
      <c r="B2577" t="s">
        <v>193</v>
      </c>
      <c r="C2577" t="s">
        <v>80</v>
      </c>
      <c r="D2577">
        <v>0</v>
      </c>
      <c r="E2577">
        <v>0</v>
      </c>
      <c r="F2577">
        <v>0</v>
      </c>
      <c r="G2577" s="10">
        <f t="shared" si="40"/>
        <v>0</v>
      </c>
      <c r="H2577" t="str">
        <f>$A2577&amp;Keys!$C$54&amp;$B2577&amp;Keys!$C$54&amp;$C2577</f>
        <v>TX|exports|solar (is not a fuel)</v>
      </c>
    </row>
    <row r="2578" spans="1:8" x14ac:dyDescent="0.25">
      <c r="A2578" t="s">
        <v>163</v>
      </c>
      <c r="B2578" t="s">
        <v>193</v>
      </c>
      <c r="C2578" t="s">
        <v>82</v>
      </c>
      <c r="D2578">
        <v>0</v>
      </c>
      <c r="E2578">
        <v>0</v>
      </c>
      <c r="F2578">
        <v>0</v>
      </c>
      <c r="G2578" s="10">
        <f t="shared" si="40"/>
        <v>0</v>
      </c>
      <c r="H2578" t="str">
        <f>$A2578&amp;Keys!$C$54&amp;$B2578&amp;Keys!$C$54&amp;$C2578</f>
        <v>TX|exports|biomass</v>
      </c>
    </row>
    <row r="2579" spans="1:8" x14ac:dyDescent="0.25">
      <c r="A2579" t="s">
        <v>163</v>
      </c>
      <c r="B2579" t="s">
        <v>193</v>
      </c>
      <c r="C2579" t="s">
        <v>85</v>
      </c>
      <c r="D2579">
        <v>1026170000000000</v>
      </c>
      <c r="E2579">
        <v>4652260000000000</v>
      </c>
      <c r="F2579">
        <v>4521270000000000</v>
      </c>
      <c r="G2579" s="10">
        <f t="shared" si="40"/>
        <v>3399900000000000</v>
      </c>
      <c r="H2579" t="str">
        <f>$A2579&amp;Keys!$C$54&amp;$B2579&amp;Keys!$C$54&amp;$C2579</f>
        <v>TX|exports|petroleum gasoline</v>
      </c>
    </row>
    <row r="2580" spans="1:8" x14ac:dyDescent="0.25">
      <c r="A2580" t="s">
        <v>163</v>
      </c>
      <c r="B2580" t="s">
        <v>193</v>
      </c>
      <c r="C2580" t="s">
        <v>88</v>
      </c>
      <c r="D2580">
        <v>1503480000000000</v>
      </c>
      <c r="E2580">
        <v>2454760000000000</v>
      </c>
      <c r="F2580">
        <v>2352470000000000</v>
      </c>
      <c r="G2580" s="10">
        <f t="shared" si="40"/>
        <v>2103570000000000</v>
      </c>
      <c r="H2580" t="str">
        <f>$A2580&amp;Keys!$C$54&amp;$B2580&amp;Keys!$C$54&amp;$C2580</f>
        <v>TX|exports|petroleum diesel</v>
      </c>
    </row>
    <row r="2581" spans="1:8" x14ac:dyDescent="0.25">
      <c r="A2581" t="s">
        <v>163</v>
      </c>
      <c r="B2581" t="s">
        <v>193</v>
      </c>
      <c r="C2581" t="s">
        <v>91</v>
      </c>
      <c r="D2581">
        <v>0</v>
      </c>
      <c r="E2581">
        <v>0</v>
      </c>
      <c r="F2581">
        <v>0</v>
      </c>
      <c r="G2581" s="10">
        <f t="shared" si="40"/>
        <v>0</v>
      </c>
      <c r="H2581" t="str">
        <f>$A2581&amp;Keys!$C$54&amp;$B2581&amp;Keys!$C$54&amp;$C2581</f>
        <v>TX|exports|biofuel gasoline</v>
      </c>
    </row>
    <row r="2582" spans="1:8" x14ac:dyDescent="0.25">
      <c r="A2582" t="s">
        <v>163</v>
      </c>
      <c r="B2582" t="s">
        <v>193</v>
      </c>
      <c r="C2582" t="s">
        <v>94</v>
      </c>
      <c r="D2582">
        <v>0</v>
      </c>
      <c r="E2582">
        <v>31585700000000</v>
      </c>
      <c r="F2582">
        <v>41199100000000</v>
      </c>
      <c r="G2582" s="10">
        <f t="shared" si="40"/>
        <v>24261600000000</v>
      </c>
      <c r="H2582" t="str">
        <f>$A2582&amp;Keys!$C$54&amp;$B2582&amp;Keys!$C$54&amp;$C2582</f>
        <v>TX|exports|biofuel diesel</v>
      </c>
    </row>
    <row r="2583" spans="1:8" x14ac:dyDescent="0.25">
      <c r="A2583" t="s">
        <v>163</v>
      </c>
      <c r="B2583" t="s">
        <v>193</v>
      </c>
      <c r="C2583" t="s">
        <v>97</v>
      </c>
      <c r="D2583">
        <v>238138000000000</v>
      </c>
      <c r="E2583">
        <v>978128000000000</v>
      </c>
      <c r="F2583">
        <v>940115000000000</v>
      </c>
      <c r="G2583" s="10">
        <f t="shared" si="40"/>
        <v>718793666666666.63</v>
      </c>
      <c r="H2583" t="str">
        <f>$A2583&amp;Keys!$C$54&amp;$B2583&amp;Keys!$C$54&amp;$C2583</f>
        <v>TX|exports|jet fuel or kerosene</v>
      </c>
    </row>
    <row r="2584" spans="1:8" x14ac:dyDescent="0.25">
      <c r="A2584" t="s">
        <v>163</v>
      </c>
      <c r="B2584" t="s">
        <v>193</v>
      </c>
      <c r="C2584" t="s">
        <v>100</v>
      </c>
      <c r="D2584">
        <v>0</v>
      </c>
      <c r="E2584">
        <v>0</v>
      </c>
      <c r="F2584">
        <v>0</v>
      </c>
      <c r="G2584" s="10">
        <f t="shared" si="40"/>
        <v>0</v>
      </c>
      <c r="H2584" t="str">
        <f>$A2584&amp;Keys!$C$54&amp;$B2584&amp;Keys!$C$54&amp;$C2584</f>
        <v>TX|exports|heat (not used in this variable)</v>
      </c>
    </row>
    <row r="2585" spans="1:8" x14ac:dyDescent="0.25">
      <c r="A2585" t="s">
        <v>163</v>
      </c>
      <c r="B2585" t="s">
        <v>193</v>
      </c>
      <c r="C2585" t="s">
        <v>103</v>
      </c>
      <c r="D2585">
        <v>0</v>
      </c>
      <c r="E2585">
        <v>0</v>
      </c>
      <c r="F2585">
        <v>0</v>
      </c>
      <c r="G2585" s="10">
        <f t="shared" si="40"/>
        <v>0</v>
      </c>
      <c r="H2585" t="str">
        <f>$A2585&amp;Keys!$C$54&amp;$B2585&amp;Keys!$C$54&amp;$C2585</f>
        <v>TX|exports|geothermal (is not a fuel)</v>
      </c>
    </row>
    <row r="2586" spans="1:8" x14ac:dyDescent="0.25">
      <c r="A2586" t="s">
        <v>163</v>
      </c>
      <c r="B2586" t="s">
        <v>193</v>
      </c>
      <c r="C2586" t="s">
        <v>106</v>
      </c>
      <c r="D2586">
        <v>0</v>
      </c>
      <c r="E2586">
        <v>63783200000000</v>
      </c>
      <c r="F2586">
        <v>37652800000000</v>
      </c>
      <c r="G2586" s="10">
        <f t="shared" si="40"/>
        <v>33812000000000</v>
      </c>
      <c r="H2586" t="str">
        <f>$A2586&amp;Keys!$C$54&amp;$B2586&amp;Keys!$C$54&amp;$C2586</f>
        <v>TX|exports|lignite</v>
      </c>
    </row>
    <row r="2587" spans="1:8" x14ac:dyDescent="0.25">
      <c r="A2587" t="s">
        <v>163</v>
      </c>
      <c r="B2587" t="s">
        <v>193</v>
      </c>
      <c r="C2587" t="s">
        <v>109</v>
      </c>
      <c r="D2587">
        <v>7512910000000000</v>
      </c>
      <c r="E2587">
        <v>7512910000000000</v>
      </c>
      <c r="F2587">
        <v>7579420000000000</v>
      </c>
      <c r="G2587" s="10">
        <f t="shared" si="40"/>
        <v>7535080000000000</v>
      </c>
      <c r="H2587" t="str">
        <f>$A2587&amp;Keys!$C$54&amp;$B2587&amp;Keys!$C$54&amp;$C2587</f>
        <v>TX|exports|crude oil</v>
      </c>
    </row>
    <row r="2588" spans="1:8" x14ac:dyDescent="0.25">
      <c r="A2588" t="s">
        <v>163</v>
      </c>
      <c r="B2588" t="s">
        <v>193</v>
      </c>
      <c r="C2588" t="s">
        <v>113</v>
      </c>
      <c r="D2588">
        <v>171680000000000</v>
      </c>
      <c r="E2588">
        <v>171680000000000</v>
      </c>
      <c r="F2588">
        <v>167519000000000</v>
      </c>
      <c r="G2588" s="10">
        <f t="shared" si="40"/>
        <v>170293000000000</v>
      </c>
      <c r="H2588" t="str">
        <f>$A2588&amp;Keys!$C$54&amp;$B2588&amp;Keys!$C$54&amp;$C2588</f>
        <v>TX|exports|heavy fuel oil</v>
      </c>
    </row>
    <row r="2589" spans="1:8" x14ac:dyDescent="0.25">
      <c r="A2589" t="s">
        <v>163</v>
      </c>
      <c r="B2589" t="s">
        <v>193</v>
      </c>
      <c r="C2589" t="s">
        <v>117</v>
      </c>
      <c r="D2589">
        <v>0</v>
      </c>
      <c r="E2589">
        <v>0</v>
      </c>
      <c r="F2589">
        <v>0</v>
      </c>
      <c r="G2589" s="10">
        <f t="shared" si="40"/>
        <v>0</v>
      </c>
      <c r="H2589" t="str">
        <f>$A2589&amp;Keys!$C$54&amp;$B2589&amp;Keys!$C$54&amp;$C2589</f>
        <v>TX|exports|LPG propane or butane</v>
      </c>
    </row>
    <row r="2590" spans="1:8" x14ac:dyDescent="0.25">
      <c r="A2590" t="s">
        <v>163</v>
      </c>
      <c r="B2590" t="s">
        <v>193</v>
      </c>
      <c r="C2590" t="s">
        <v>120</v>
      </c>
      <c r="D2590">
        <v>0</v>
      </c>
      <c r="E2590">
        <v>0</v>
      </c>
      <c r="F2590">
        <v>0</v>
      </c>
      <c r="G2590" s="10">
        <f t="shared" si="40"/>
        <v>0</v>
      </c>
      <c r="H2590" t="str">
        <f>$A2590&amp;Keys!$C$54&amp;$B2590&amp;Keys!$C$54&amp;$C2590</f>
        <v>TX|exports|municipal solid waste</v>
      </c>
    </row>
    <row r="2591" spans="1:8" x14ac:dyDescent="0.25">
      <c r="A2591" t="s">
        <v>163</v>
      </c>
      <c r="B2591" t="s">
        <v>193</v>
      </c>
      <c r="C2591" t="s">
        <v>123</v>
      </c>
      <c r="D2591">
        <v>0</v>
      </c>
      <c r="E2591">
        <v>0</v>
      </c>
      <c r="F2591">
        <v>0</v>
      </c>
      <c r="G2591" s="10">
        <f t="shared" si="40"/>
        <v>0</v>
      </c>
      <c r="H2591" t="str">
        <f>$A2591&amp;Keys!$C$54&amp;$B2591&amp;Keys!$C$54&amp;$C2591</f>
        <v>TX|exports|hydrogen</v>
      </c>
    </row>
    <row r="2592" spans="1:8" x14ac:dyDescent="0.25">
      <c r="A2592" t="s">
        <v>165</v>
      </c>
      <c r="B2592" t="s">
        <v>188</v>
      </c>
      <c r="C2592" t="s">
        <v>60</v>
      </c>
      <c r="D2592">
        <v>0</v>
      </c>
      <c r="E2592">
        <v>0</v>
      </c>
      <c r="F2592">
        <v>0</v>
      </c>
      <c r="G2592" s="10">
        <f t="shared" si="40"/>
        <v>0</v>
      </c>
      <c r="H2592" t="str">
        <f>$A2592&amp;Keys!$C$54&amp;$B2592&amp;Keys!$C$54&amp;$C2592</f>
        <v>UT|production|electricity (not used in this variable)</v>
      </c>
    </row>
    <row r="2593" spans="1:8" x14ac:dyDescent="0.25">
      <c r="A2593" t="s">
        <v>165</v>
      </c>
      <c r="B2593" t="s">
        <v>188</v>
      </c>
      <c r="C2593" t="s">
        <v>64</v>
      </c>
      <c r="D2593">
        <v>152104000000000</v>
      </c>
      <c r="E2593">
        <v>152104000000000</v>
      </c>
      <c r="F2593">
        <v>142035000000000</v>
      </c>
      <c r="G2593" s="10">
        <f t="shared" si="40"/>
        <v>148747666666666.66</v>
      </c>
      <c r="H2593" t="str">
        <f>$A2593&amp;Keys!$C$54&amp;$B2593&amp;Keys!$C$54&amp;$C2593</f>
        <v>UT|production|hard coal</v>
      </c>
    </row>
    <row r="2594" spans="1:8" x14ac:dyDescent="0.25">
      <c r="A2594" t="s">
        <v>165</v>
      </c>
      <c r="B2594" t="s">
        <v>188</v>
      </c>
      <c r="C2594" t="s">
        <v>68</v>
      </c>
      <c r="D2594">
        <v>302729000000000</v>
      </c>
      <c r="E2594">
        <v>302729000000000</v>
      </c>
      <c r="F2594">
        <v>303555000000000</v>
      </c>
      <c r="G2594" s="10">
        <f t="shared" si="40"/>
        <v>303004333333333.31</v>
      </c>
      <c r="H2594" t="str">
        <f>$A2594&amp;Keys!$C$54&amp;$B2594&amp;Keys!$C$54&amp;$C2594</f>
        <v>UT|production|natural gas</v>
      </c>
    </row>
    <row r="2595" spans="1:8" x14ac:dyDescent="0.25">
      <c r="A2595" t="s">
        <v>165</v>
      </c>
      <c r="B2595" t="s">
        <v>188</v>
      </c>
      <c r="C2595" t="s">
        <v>71</v>
      </c>
      <c r="D2595">
        <v>0</v>
      </c>
      <c r="E2595">
        <v>0</v>
      </c>
      <c r="F2595">
        <v>0</v>
      </c>
      <c r="G2595" s="10">
        <f t="shared" si="40"/>
        <v>0</v>
      </c>
      <c r="H2595" t="str">
        <f>$A2595&amp;Keys!$C$54&amp;$B2595&amp;Keys!$C$54&amp;$C2595</f>
        <v>UT|production|nuclear</v>
      </c>
    </row>
    <row r="2596" spans="1:8" x14ac:dyDescent="0.25">
      <c r="A2596" t="s">
        <v>165</v>
      </c>
      <c r="B2596" t="s">
        <v>188</v>
      </c>
      <c r="C2596" t="s">
        <v>74</v>
      </c>
      <c r="D2596">
        <v>0</v>
      </c>
      <c r="E2596">
        <v>0</v>
      </c>
      <c r="F2596">
        <v>0</v>
      </c>
      <c r="G2596" s="10">
        <f t="shared" si="40"/>
        <v>0</v>
      </c>
      <c r="H2596" t="str">
        <f>$A2596&amp;Keys!$C$54&amp;$B2596&amp;Keys!$C$54&amp;$C2596</f>
        <v>UT|production|hydro (is not a fuel)</v>
      </c>
    </row>
    <row r="2597" spans="1:8" x14ac:dyDescent="0.25">
      <c r="A2597" t="s">
        <v>165</v>
      </c>
      <c r="B2597" t="s">
        <v>188</v>
      </c>
      <c r="C2597" t="s">
        <v>77</v>
      </c>
      <c r="D2597">
        <v>0</v>
      </c>
      <c r="E2597">
        <v>0</v>
      </c>
      <c r="F2597">
        <v>0</v>
      </c>
      <c r="G2597" s="10">
        <f t="shared" si="40"/>
        <v>0</v>
      </c>
      <c r="H2597" t="str">
        <f>$A2597&amp;Keys!$C$54&amp;$B2597&amp;Keys!$C$54&amp;$C2597</f>
        <v>UT|production|wind (is not a fuel)</v>
      </c>
    </row>
    <row r="2598" spans="1:8" x14ac:dyDescent="0.25">
      <c r="A2598" t="s">
        <v>165</v>
      </c>
      <c r="B2598" t="s">
        <v>188</v>
      </c>
      <c r="C2598" t="s">
        <v>80</v>
      </c>
      <c r="D2598">
        <v>0</v>
      </c>
      <c r="E2598">
        <v>0</v>
      </c>
      <c r="F2598">
        <v>0</v>
      </c>
      <c r="G2598" s="10">
        <f t="shared" si="40"/>
        <v>0</v>
      </c>
      <c r="H2598" t="str">
        <f>$A2598&amp;Keys!$C$54&amp;$B2598&amp;Keys!$C$54&amp;$C2598</f>
        <v>UT|production|solar (is not a fuel)</v>
      </c>
    </row>
    <row r="2599" spans="1:8" x14ac:dyDescent="0.25">
      <c r="A2599" t="s">
        <v>165</v>
      </c>
      <c r="B2599" t="s">
        <v>188</v>
      </c>
      <c r="C2599" t="s">
        <v>82</v>
      </c>
      <c r="D2599">
        <v>152000000000</v>
      </c>
      <c r="E2599">
        <v>152000000000</v>
      </c>
      <c r="F2599">
        <v>152000000000</v>
      </c>
      <c r="G2599" s="10">
        <f t="shared" si="40"/>
        <v>152000000000</v>
      </c>
      <c r="H2599" t="str">
        <f>$A2599&amp;Keys!$C$54&amp;$B2599&amp;Keys!$C$54&amp;$C2599</f>
        <v>UT|production|biomass</v>
      </c>
    </row>
    <row r="2600" spans="1:8" x14ac:dyDescent="0.25">
      <c r="A2600" t="s">
        <v>165</v>
      </c>
      <c r="B2600" t="s">
        <v>188</v>
      </c>
      <c r="C2600" t="s">
        <v>85</v>
      </c>
      <c r="D2600">
        <v>202557000000000</v>
      </c>
      <c r="E2600">
        <v>202557000000000</v>
      </c>
      <c r="F2600">
        <v>197647000000000</v>
      </c>
      <c r="G2600" s="10">
        <f t="shared" si="40"/>
        <v>200920333333333.34</v>
      </c>
      <c r="H2600" t="str">
        <f>$A2600&amp;Keys!$C$54&amp;$B2600&amp;Keys!$C$54&amp;$C2600</f>
        <v>UT|production|petroleum gasoline</v>
      </c>
    </row>
    <row r="2601" spans="1:8" x14ac:dyDescent="0.25">
      <c r="A2601" t="s">
        <v>165</v>
      </c>
      <c r="B2601" t="s">
        <v>188</v>
      </c>
      <c r="C2601" t="s">
        <v>88</v>
      </c>
      <c r="D2601">
        <v>119816000000000</v>
      </c>
      <c r="E2601">
        <v>119816000000000</v>
      </c>
      <c r="F2601">
        <v>116911000000000</v>
      </c>
      <c r="G2601" s="10">
        <f t="shared" si="40"/>
        <v>118847666666666.67</v>
      </c>
      <c r="H2601" t="str">
        <f>$A2601&amp;Keys!$C$54&amp;$B2601&amp;Keys!$C$54&amp;$C2601</f>
        <v>UT|production|petroleum diesel</v>
      </c>
    </row>
    <row r="2602" spans="1:8" x14ac:dyDescent="0.25">
      <c r="A2602" t="s">
        <v>165</v>
      </c>
      <c r="B2602" t="s">
        <v>188</v>
      </c>
      <c r="C2602" t="s">
        <v>91</v>
      </c>
      <c r="D2602">
        <v>0</v>
      </c>
      <c r="E2602">
        <v>0</v>
      </c>
      <c r="F2602">
        <v>0</v>
      </c>
      <c r="G2602" s="10">
        <f t="shared" si="40"/>
        <v>0</v>
      </c>
      <c r="H2602" t="str">
        <f>$A2602&amp;Keys!$C$54&amp;$B2602&amp;Keys!$C$54&amp;$C2602</f>
        <v>UT|production|biofuel gasoline</v>
      </c>
    </row>
    <row r="2603" spans="1:8" x14ac:dyDescent="0.25">
      <c r="A2603" t="s">
        <v>165</v>
      </c>
      <c r="B2603" t="s">
        <v>188</v>
      </c>
      <c r="C2603" t="s">
        <v>94</v>
      </c>
      <c r="D2603">
        <v>0</v>
      </c>
      <c r="E2603">
        <v>0</v>
      </c>
      <c r="F2603">
        <v>0</v>
      </c>
      <c r="G2603" s="10">
        <f t="shared" si="40"/>
        <v>0</v>
      </c>
      <c r="H2603" t="str">
        <f>$A2603&amp;Keys!$C$54&amp;$B2603&amp;Keys!$C$54&amp;$C2603</f>
        <v>UT|production|biofuel diesel</v>
      </c>
    </row>
    <row r="2604" spans="1:8" x14ac:dyDescent="0.25">
      <c r="A2604" t="s">
        <v>165</v>
      </c>
      <c r="B2604" t="s">
        <v>188</v>
      </c>
      <c r="C2604" t="s">
        <v>97</v>
      </c>
      <c r="D2604">
        <v>42651900000000</v>
      </c>
      <c r="E2604">
        <v>42651900000000</v>
      </c>
      <c r="F2604">
        <v>41618100000000</v>
      </c>
      <c r="G2604" s="10">
        <f t="shared" si="40"/>
        <v>42307300000000</v>
      </c>
      <c r="H2604" t="str">
        <f>$A2604&amp;Keys!$C$54&amp;$B2604&amp;Keys!$C$54&amp;$C2604</f>
        <v>UT|production|jet fuel or kerosene</v>
      </c>
    </row>
    <row r="2605" spans="1:8" x14ac:dyDescent="0.25">
      <c r="A2605" t="s">
        <v>165</v>
      </c>
      <c r="B2605" t="s">
        <v>188</v>
      </c>
      <c r="C2605" t="s">
        <v>100</v>
      </c>
      <c r="D2605">
        <v>0</v>
      </c>
      <c r="E2605">
        <v>0</v>
      </c>
      <c r="F2605">
        <v>0</v>
      </c>
      <c r="G2605" s="10">
        <f t="shared" si="40"/>
        <v>0</v>
      </c>
      <c r="H2605" t="str">
        <f>$A2605&amp;Keys!$C$54&amp;$B2605&amp;Keys!$C$54&amp;$C2605</f>
        <v>UT|production|heat (not used in this variable)</v>
      </c>
    </row>
    <row r="2606" spans="1:8" x14ac:dyDescent="0.25">
      <c r="A2606" t="s">
        <v>165</v>
      </c>
      <c r="B2606" t="s">
        <v>188</v>
      </c>
      <c r="C2606" t="s">
        <v>103</v>
      </c>
      <c r="D2606">
        <v>0</v>
      </c>
      <c r="E2606">
        <v>0</v>
      </c>
      <c r="F2606">
        <v>0</v>
      </c>
      <c r="G2606" s="10">
        <f t="shared" si="40"/>
        <v>0</v>
      </c>
      <c r="H2606" t="str">
        <f>$A2606&amp;Keys!$C$54&amp;$B2606&amp;Keys!$C$54&amp;$C2606</f>
        <v>UT|production|geothermal (is not a fuel)</v>
      </c>
    </row>
    <row r="2607" spans="1:8" x14ac:dyDescent="0.25">
      <c r="A2607" t="s">
        <v>165</v>
      </c>
      <c r="B2607" t="s">
        <v>188</v>
      </c>
      <c r="C2607" t="s">
        <v>106</v>
      </c>
      <c r="D2607">
        <v>0</v>
      </c>
      <c r="E2607">
        <v>0</v>
      </c>
      <c r="F2607">
        <v>0</v>
      </c>
      <c r="G2607" s="10">
        <f t="shared" si="40"/>
        <v>0</v>
      </c>
      <c r="H2607" t="str">
        <f>$A2607&amp;Keys!$C$54&amp;$B2607&amp;Keys!$C$54&amp;$C2607</f>
        <v>UT|production|lignite</v>
      </c>
    </row>
    <row r="2608" spans="1:8" x14ac:dyDescent="0.25">
      <c r="A2608" t="s">
        <v>165</v>
      </c>
      <c r="B2608" t="s">
        <v>188</v>
      </c>
      <c r="C2608" t="s">
        <v>109</v>
      </c>
      <c r="D2608">
        <v>389215000000000</v>
      </c>
      <c r="E2608">
        <v>389215000000000</v>
      </c>
      <c r="F2608">
        <v>382128000000000</v>
      </c>
      <c r="G2608" s="10">
        <f t="shared" si="40"/>
        <v>386852666666666.69</v>
      </c>
      <c r="H2608" t="str">
        <f>$A2608&amp;Keys!$C$54&amp;$B2608&amp;Keys!$C$54&amp;$C2608</f>
        <v>UT|production|crude oil</v>
      </c>
    </row>
    <row r="2609" spans="1:8" x14ac:dyDescent="0.25">
      <c r="A2609" t="s">
        <v>165</v>
      </c>
      <c r="B2609" t="s">
        <v>188</v>
      </c>
      <c r="C2609" t="s">
        <v>113</v>
      </c>
      <c r="D2609">
        <v>8285280000000</v>
      </c>
      <c r="E2609">
        <v>8285280000000</v>
      </c>
      <c r="F2609">
        <v>8084460000000</v>
      </c>
      <c r="G2609" s="10">
        <f t="shared" si="40"/>
        <v>8218340000000</v>
      </c>
      <c r="H2609" t="str">
        <f>$A2609&amp;Keys!$C$54&amp;$B2609&amp;Keys!$C$54&amp;$C2609</f>
        <v>UT|production|heavy fuel oil</v>
      </c>
    </row>
    <row r="2610" spans="1:8" x14ac:dyDescent="0.25">
      <c r="A2610" t="s">
        <v>165</v>
      </c>
      <c r="B2610" t="s">
        <v>188</v>
      </c>
      <c r="C2610" t="s">
        <v>117</v>
      </c>
      <c r="D2610">
        <v>37008500000000</v>
      </c>
      <c r="E2610">
        <v>37008500000000</v>
      </c>
      <c r="F2610">
        <v>37794300000000</v>
      </c>
      <c r="G2610" s="10">
        <f t="shared" si="40"/>
        <v>37270433333333.336</v>
      </c>
      <c r="H2610" t="str">
        <f>$A2610&amp;Keys!$C$54&amp;$B2610&amp;Keys!$C$54&amp;$C2610</f>
        <v>UT|production|LPG propane or butane</v>
      </c>
    </row>
    <row r="2611" spans="1:8" x14ac:dyDescent="0.25">
      <c r="A2611" t="s">
        <v>165</v>
      </c>
      <c r="B2611" t="s">
        <v>188</v>
      </c>
      <c r="C2611" t="s">
        <v>120</v>
      </c>
      <c r="D2611">
        <v>0</v>
      </c>
      <c r="E2611">
        <v>0</v>
      </c>
      <c r="F2611">
        <v>0</v>
      </c>
      <c r="G2611" s="10">
        <f t="shared" si="40"/>
        <v>0</v>
      </c>
      <c r="H2611" t="str">
        <f>$A2611&amp;Keys!$C$54&amp;$B2611&amp;Keys!$C$54&amp;$C2611</f>
        <v>UT|production|municipal solid waste</v>
      </c>
    </row>
    <row r="2612" spans="1:8" x14ac:dyDescent="0.25">
      <c r="A2612" t="s">
        <v>165</v>
      </c>
      <c r="B2612" t="s">
        <v>188</v>
      </c>
      <c r="C2612" t="s">
        <v>123</v>
      </c>
      <c r="D2612">
        <v>0</v>
      </c>
      <c r="E2612">
        <v>0</v>
      </c>
      <c r="F2612">
        <v>0</v>
      </c>
      <c r="G2612" s="10">
        <f t="shared" si="40"/>
        <v>0</v>
      </c>
      <c r="H2612" t="str">
        <f>$A2612&amp;Keys!$C$54&amp;$B2612&amp;Keys!$C$54&amp;$C2612</f>
        <v>UT|production|hydrogen</v>
      </c>
    </row>
    <row r="2613" spans="1:8" x14ac:dyDescent="0.25">
      <c r="A2613" t="s">
        <v>165</v>
      </c>
      <c r="B2613" t="s">
        <v>191</v>
      </c>
      <c r="C2613" t="s">
        <v>60</v>
      </c>
      <c r="D2613">
        <v>0</v>
      </c>
      <c r="E2613">
        <v>0</v>
      </c>
      <c r="F2613">
        <v>0</v>
      </c>
      <c r="G2613" s="10">
        <f t="shared" si="40"/>
        <v>0</v>
      </c>
      <c r="H2613" t="str">
        <f>$A2613&amp;Keys!$C$54&amp;$B2613&amp;Keys!$C$54&amp;$C2613</f>
        <v>UT|imports|electricity (not used in this variable)</v>
      </c>
    </row>
    <row r="2614" spans="1:8" x14ac:dyDescent="0.25">
      <c r="A2614" t="s">
        <v>165</v>
      </c>
      <c r="B2614" t="s">
        <v>191</v>
      </c>
      <c r="C2614" t="s">
        <v>64</v>
      </c>
      <c r="D2614">
        <v>63573100000000</v>
      </c>
      <c r="E2614">
        <v>46247300000000</v>
      </c>
      <c r="F2614">
        <v>36632700000000</v>
      </c>
      <c r="G2614" s="10">
        <f t="shared" si="40"/>
        <v>48817700000000</v>
      </c>
      <c r="H2614" t="str">
        <f>$A2614&amp;Keys!$C$54&amp;$B2614&amp;Keys!$C$54&amp;$C2614</f>
        <v>UT|imports|hard coal</v>
      </c>
    </row>
    <row r="2615" spans="1:8" x14ac:dyDescent="0.25">
      <c r="A2615" t="s">
        <v>165</v>
      </c>
      <c r="B2615" t="s">
        <v>191</v>
      </c>
      <c r="C2615" t="s">
        <v>68</v>
      </c>
      <c r="D2615">
        <v>1087830000000000</v>
      </c>
      <c r="E2615">
        <v>1033620000000000</v>
      </c>
      <c r="F2615">
        <v>1047120000000000</v>
      </c>
      <c r="G2615" s="10">
        <f t="shared" si="40"/>
        <v>1056190000000000</v>
      </c>
      <c r="H2615" t="str">
        <f>$A2615&amp;Keys!$C$54&amp;$B2615&amp;Keys!$C$54&amp;$C2615</f>
        <v>UT|imports|natural gas</v>
      </c>
    </row>
    <row r="2616" spans="1:8" x14ac:dyDescent="0.25">
      <c r="A2616" t="s">
        <v>165</v>
      </c>
      <c r="B2616" t="s">
        <v>191</v>
      </c>
      <c r="C2616" t="s">
        <v>71</v>
      </c>
      <c r="D2616">
        <v>0</v>
      </c>
      <c r="E2616">
        <v>0</v>
      </c>
      <c r="F2616">
        <v>0</v>
      </c>
      <c r="G2616" s="10">
        <f t="shared" si="40"/>
        <v>0</v>
      </c>
      <c r="H2616" t="str">
        <f>$A2616&amp;Keys!$C$54&amp;$B2616&amp;Keys!$C$54&amp;$C2616</f>
        <v>UT|imports|nuclear</v>
      </c>
    </row>
    <row r="2617" spans="1:8" x14ac:dyDescent="0.25">
      <c r="A2617" t="s">
        <v>165</v>
      </c>
      <c r="B2617" t="s">
        <v>191</v>
      </c>
      <c r="C2617" t="s">
        <v>74</v>
      </c>
      <c r="D2617">
        <v>0</v>
      </c>
      <c r="E2617">
        <v>0</v>
      </c>
      <c r="F2617">
        <v>0</v>
      </c>
      <c r="G2617" s="10">
        <f t="shared" si="40"/>
        <v>0</v>
      </c>
      <c r="H2617" t="str">
        <f>$A2617&amp;Keys!$C$54&amp;$B2617&amp;Keys!$C$54&amp;$C2617</f>
        <v>UT|imports|hydro (is not a fuel)</v>
      </c>
    </row>
    <row r="2618" spans="1:8" x14ac:dyDescent="0.25">
      <c r="A2618" t="s">
        <v>165</v>
      </c>
      <c r="B2618" t="s">
        <v>191</v>
      </c>
      <c r="C2618" t="s">
        <v>77</v>
      </c>
      <c r="D2618">
        <v>0</v>
      </c>
      <c r="E2618">
        <v>0</v>
      </c>
      <c r="F2618">
        <v>0</v>
      </c>
      <c r="G2618" s="10">
        <f t="shared" si="40"/>
        <v>0</v>
      </c>
      <c r="H2618" t="str">
        <f>$A2618&amp;Keys!$C$54&amp;$B2618&amp;Keys!$C$54&amp;$C2618</f>
        <v>UT|imports|wind (is not a fuel)</v>
      </c>
    </row>
    <row r="2619" spans="1:8" x14ac:dyDescent="0.25">
      <c r="A2619" t="s">
        <v>165</v>
      </c>
      <c r="B2619" t="s">
        <v>191</v>
      </c>
      <c r="C2619" t="s">
        <v>80</v>
      </c>
      <c r="D2619">
        <v>0</v>
      </c>
      <c r="E2619">
        <v>0</v>
      </c>
      <c r="F2619">
        <v>0</v>
      </c>
      <c r="G2619" s="10">
        <f t="shared" si="40"/>
        <v>0</v>
      </c>
      <c r="H2619" t="str">
        <f>$A2619&amp;Keys!$C$54&amp;$B2619&amp;Keys!$C$54&amp;$C2619</f>
        <v>UT|imports|solar (is not a fuel)</v>
      </c>
    </row>
    <row r="2620" spans="1:8" x14ac:dyDescent="0.25">
      <c r="A2620" t="s">
        <v>165</v>
      </c>
      <c r="B2620" t="s">
        <v>191</v>
      </c>
      <c r="C2620" t="s">
        <v>82</v>
      </c>
      <c r="D2620">
        <v>0</v>
      </c>
      <c r="E2620">
        <v>5106060000000</v>
      </c>
      <c r="F2620">
        <v>5073990000000</v>
      </c>
      <c r="G2620" s="10">
        <f t="shared" si="40"/>
        <v>3393350000000</v>
      </c>
      <c r="H2620" t="str">
        <f>$A2620&amp;Keys!$C$54&amp;$B2620&amp;Keys!$C$54&amp;$C2620</f>
        <v>UT|imports|biomass</v>
      </c>
    </row>
    <row r="2621" spans="1:8" x14ac:dyDescent="0.25">
      <c r="A2621" t="s">
        <v>165</v>
      </c>
      <c r="B2621" t="s">
        <v>191</v>
      </c>
      <c r="C2621" t="s">
        <v>85</v>
      </c>
      <c r="D2621">
        <v>0</v>
      </c>
      <c r="E2621">
        <v>0</v>
      </c>
      <c r="F2621">
        <v>0</v>
      </c>
      <c r="G2621" s="10">
        <f t="shared" si="40"/>
        <v>0</v>
      </c>
      <c r="H2621" t="str">
        <f>$A2621&amp;Keys!$C$54&amp;$B2621&amp;Keys!$C$54&amp;$C2621</f>
        <v>UT|imports|petroleum gasoline</v>
      </c>
    </row>
    <row r="2622" spans="1:8" x14ac:dyDescent="0.25">
      <c r="A2622" t="s">
        <v>165</v>
      </c>
      <c r="B2622" t="s">
        <v>191</v>
      </c>
      <c r="C2622" t="s">
        <v>88</v>
      </c>
      <c r="D2622">
        <v>0</v>
      </c>
      <c r="E2622">
        <v>0</v>
      </c>
      <c r="F2622">
        <v>0</v>
      </c>
      <c r="G2622" s="10">
        <f t="shared" si="40"/>
        <v>0</v>
      </c>
      <c r="H2622" t="str">
        <f>$A2622&amp;Keys!$C$54&amp;$B2622&amp;Keys!$C$54&amp;$C2622</f>
        <v>UT|imports|petroleum diesel</v>
      </c>
    </row>
    <row r="2623" spans="1:8" x14ac:dyDescent="0.25">
      <c r="A2623" t="s">
        <v>165</v>
      </c>
      <c r="B2623" t="s">
        <v>191</v>
      </c>
      <c r="C2623" t="s">
        <v>91</v>
      </c>
      <c r="D2623">
        <v>0</v>
      </c>
      <c r="E2623">
        <v>8645960000000</v>
      </c>
      <c r="F2623">
        <v>8583360000000</v>
      </c>
      <c r="G2623" s="10">
        <f t="shared" si="40"/>
        <v>5743106666666.667</v>
      </c>
      <c r="H2623" t="str">
        <f>$A2623&amp;Keys!$C$54&amp;$B2623&amp;Keys!$C$54&amp;$C2623</f>
        <v>UT|imports|biofuel gasoline</v>
      </c>
    </row>
    <row r="2624" spans="1:8" x14ac:dyDescent="0.25">
      <c r="A2624" t="s">
        <v>165</v>
      </c>
      <c r="B2624" t="s">
        <v>191</v>
      </c>
      <c r="C2624" t="s">
        <v>94</v>
      </c>
      <c r="D2624">
        <v>0</v>
      </c>
      <c r="E2624">
        <v>315670000000</v>
      </c>
      <c r="F2624">
        <v>319303000000</v>
      </c>
      <c r="G2624" s="10">
        <f t="shared" si="40"/>
        <v>211657666666.66666</v>
      </c>
      <c r="H2624" t="str">
        <f>$A2624&amp;Keys!$C$54&amp;$B2624&amp;Keys!$C$54&amp;$C2624</f>
        <v>UT|imports|biofuel diesel</v>
      </c>
    </row>
    <row r="2625" spans="1:8" x14ac:dyDescent="0.25">
      <c r="A2625" t="s">
        <v>165</v>
      </c>
      <c r="B2625" t="s">
        <v>191</v>
      </c>
      <c r="C2625" t="s">
        <v>97</v>
      </c>
      <c r="D2625">
        <v>0</v>
      </c>
      <c r="E2625">
        <v>8207580000000</v>
      </c>
      <c r="F2625">
        <v>10354100000000</v>
      </c>
      <c r="G2625" s="10">
        <f t="shared" si="40"/>
        <v>6187226666666.667</v>
      </c>
      <c r="H2625" t="str">
        <f>$A2625&amp;Keys!$C$54&amp;$B2625&amp;Keys!$C$54&amp;$C2625</f>
        <v>UT|imports|jet fuel or kerosene</v>
      </c>
    </row>
    <row r="2626" spans="1:8" x14ac:dyDescent="0.25">
      <c r="A2626" t="s">
        <v>165</v>
      </c>
      <c r="B2626" t="s">
        <v>191</v>
      </c>
      <c r="C2626" t="s">
        <v>100</v>
      </c>
      <c r="D2626">
        <v>0</v>
      </c>
      <c r="E2626">
        <v>0</v>
      </c>
      <c r="F2626">
        <v>0</v>
      </c>
      <c r="G2626" s="10">
        <f t="shared" si="40"/>
        <v>0</v>
      </c>
      <c r="H2626" t="str">
        <f>$A2626&amp;Keys!$C$54&amp;$B2626&amp;Keys!$C$54&amp;$C2626</f>
        <v>UT|imports|heat (not used in this variable)</v>
      </c>
    </row>
    <row r="2627" spans="1:8" x14ac:dyDescent="0.25">
      <c r="A2627" t="s">
        <v>165</v>
      </c>
      <c r="B2627" t="s">
        <v>191</v>
      </c>
      <c r="C2627" t="s">
        <v>103</v>
      </c>
      <c r="D2627">
        <v>0</v>
      </c>
      <c r="E2627">
        <v>0</v>
      </c>
      <c r="F2627">
        <v>0</v>
      </c>
      <c r="G2627" s="10">
        <f t="shared" si="40"/>
        <v>0</v>
      </c>
      <c r="H2627" t="str">
        <f>$A2627&amp;Keys!$C$54&amp;$B2627&amp;Keys!$C$54&amp;$C2627</f>
        <v>UT|imports|geothermal (is not a fuel)</v>
      </c>
    </row>
    <row r="2628" spans="1:8" x14ac:dyDescent="0.25">
      <c r="A2628" t="s">
        <v>165</v>
      </c>
      <c r="B2628" t="s">
        <v>191</v>
      </c>
      <c r="C2628" t="s">
        <v>106</v>
      </c>
      <c r="D2628">
        <v>0</v>
      </c>
      <c r="E2628">
        <v>0</v>
      </c>
      <c r="F2628">
        <v>0</v>
      </c>
      <c r="G2628" s="10">
        <f t="shared" si="40"/>
        <v>0</v>
      </c>
      <c r="H2628" t="str">
        <f>$A2628&amp;Keys!$C$54&amp;$B2628&amp;Keys!$C$54&amp;$C2628</f>
        <v>UT|imports|lignite</v>
      </c>
    </row>
    <row r="2629" spans="1:8" x14ac:dyDescent="0.25">
      <c r="A2629" t="s">
        <v>165</v>
      </c>
      <c r="B2629" t="s">
        <v>191</v>
      </c>
      <c r="C2629" t="s">
        <v>109</v>
      </c>
      <c r="D2629">
        <v>0</v>
      </c>
      <c r="E2629">
        <v>42975200000000</v>
      </c>
      <c r="F2629">
        <v>50061600000000</v>
      </c>
      <c r="G2629" s="10">
        <f t="shared" si="40"/>
        <v>31012266666666.668</v>
      </c>
      <c r="H2629" t="str">
        <f>$A2629&amp;Keys!$C$54&amp;$B2629&amp;Keys!$C$54&amp;$C2629</f>
        <v>UT|imports|crude oil</v>
      </c>
    </row>
    <row r="2630" spans="1:8" x14ac:dyDescent="0.25">
      <c r="A2630" t="s">
        <v>165</v>
      </c>
      <c r="B2630" t="s">
        <v>191</v>
      </c>
      <c r="C2630" t="s">
        <v>113</v>
      </c>
      <c r="D2630">
        <v>0</v>
      </c>
      <c r="E2630">
        <v>0</v>
      </c>
      <c r="F2630">
        <v>0</v>
      </c>
      <c r="G2630" s="10">
        <f t="shared" si="40"/>
        <v>0</v>
      </c>
      <c r="H2630" t="str">
        <f>$A2630&amp;Keys!$C$54&amp;$B2630&amp;Keys!$C$54&amp;$C2630</f>
        <v>UT|imports|heavy fuel oil</v>
      </c>
    </row>
    <row r="2631" spans="1:8" x14ac:dyDescent="0.25">
      <c r="A2631" t="s">
        <v>165</v>
      </c>
      <c r="B2631" t="s">
        <v>191</v>
      </c>
      <c r="C2631" t="s">
        <v>117</v>
      </c>
      <c r="D2631">
        <v>0</v>
      </c>
      <c r="E2631">
        <v>0</v>
      </c>
      <c r="F2631">
        <v>0</v>
      </c>
      <c r="G2631" s="10">
        <f t="shared" si="40"/>
        <v>0</v>
      </c>
      <c r="H2631" t="str">
        <f>$A2631&amp;Keys!$C$54&amp;$B2631&amp;Keys!$C$54&amp;$C2631</f>
        <v>UT|imports|LPG propane or butane</v>
      </c>
    </row>
    <row r="2632" spans="1:8" x14ac:dyDescent="0.25">
      <c r="A2632" t="s">
        <v>165</v>
      </c>
      <c r="B2632" t="s">
        <v>191</v>
      </c>
      <c r="C2632" t="s">
        <v>120</v>
      </c>
      <c r="D2632">
        <v>0</v>
      </c>
      <c r="E2632">
        <v>0</v>
      </c>
      <c r="F2632">
        <v>0</v>
      </c>
      <c r="G2632" s="10">
        <f t="shared" si="40"/>
        <v>0</v>
      </c>
      <c r="H2632" t="str">
        <f>$A2632&amp;Keys!$C$54&amp;$B2632&amp;Keys!$C$54&amp;$C2632</f>
        <v>UT|imports|municipal solid waste</v>
      </c>
    </row>
    <row r="2633" spans="1:8" x14ac:dyDescent="0.25">
      <c r="A2633" t="s">
        <v>165</v>
      </c>
      <c r="B2633" t="s">
        <v>191</v>
      </c>
      <c r="C2633" t="s">
        <v>123</v>
      </c>
      <c r="D2633">
        <v>0</v>
      </c>
      <c r="E2633">
        <v>2604800000000</v>
      </c>
      <c r="F2633">
        <v>2554800000000</v>
      </c>
      <c r="G2633" s="10">
        <f t="shared" ref="G2633:G2696" si="41">AVERAGE($D2633:$F2633)</f>
        <v>1719866666666.6667</v>
      </c>
      <c r="H2633" t="str">
        <f>$A2633&amp;Keys!$C$54&amp;$B2633&amp;Keys!$C$54&amp;$C2633</f>
        <v>UT|imports|hydrogen</v>
      </c>
    </row>
    <row r="2634" spans="1:8" x14ac:dyDescent="0.25">
      <c r="A2634" t="s">
        <v>165</v>
      </c>
      <c r="B2634" t="s">
        <v>193</v>
      </c>
      <c r="C2634" t="s">
        <v>60</v>
      </c>
      <c r="D2634">
        <v>0</v>
      </c>
      <c r="E2634">
        <v>0</v>
      </c>
      <c r="F2634">
        <v>0</v>
      </c>
      <c r="G2634" s="10">
        <f t="shared" si="41"/>
        <v>0</v>
      </c>
      <c r="H2634" t="str">
        <f>$A2634&amp;Keys!$C$54&amp;$B2634&amp;Keys!$C$54&amp;$C2634</f>
        <v>UT|exports|electricity (not used in this variable)</v>
      </c>
    </row>
    <row r="2635" spans="1:8" x14ac:dyDescent="0.25">
      <c r="A2635" t="s">
        <v>165</v>
      </c>
      <c r="B2635" t="s">
        <v>193</v>
      </c>
      <c r="C2635" t="s">
        <v>64</v>
      </c>
      <c r="D2635">
        <v>7729440000000</v>
      </c>
      <c r="E2635">
        <v>7729440000000</v>
      </c>
      <c r="F2635">
        <v>7217770000000</v>
      </c>
      <c r="G2635" s="10">
        <f t="shared" si="41"/>
        <v>7558883333333.333</v>
      </c>
      <c r="H2635" t="str">
        <f>$A2635&amp;Keys!$C$54&amp;$B2635&amp;Keys!$C$54&amp;$C2635</f>
        <v>UT|exports|hard coal</v>
      </c>
    </row>
    <row r="2636" spans="1:8" x14ac:dyDescent="0.25">
      <c r="A2636" t="s">
        <v>165</v>
      </c>
      <c r="B2636" t="s">
        <v>193</v>
      </c>
      <c r="C2636" t="s">
        <v>68</v>
      </c>
      <c r="D2636">
        <v>1058620000000000</v>
      </c>
      <c r="E2636">
        <v>1058620000000000</v>
      </c>
      <c r="F2636">
        <v>1061510000000000</v>
      </c>
      <c r="G2636" s="10">
        <f t="shared" si="41"/>
        <v>1059583333333333.4</v>
      </c>
      <c r="H2636" t="str">
        <f>$A2636&amp;Keys!$C$54&amp;$B2636&amp;Keys!$C$54&amp;$C2636</f>
        <v>UT|exports|natural gas</v>
      </c>
    </row>
    <row r="2637" spans="1:8" x14ac:dyDescent="0.25">
      <c r="A2637" t="s">
        <v>165</v>
      </c>
      <c r="B2637" t="s">
        <v>193</v>
      </c>
      <c r="C2637" t="s">
        <v>71</v>
      </c>
      <c r="D2637">
        <v>0</v>
      </c>
      <c r="E2637">
        <v>0</v>
      </c>
      <c r="F2637">
        <v>0</v>
      </c>
      <c r="G2637" s="10">
        <f t="shared" si="41"/>
        <v>0</v>
      </c>
      <c r="H2637" t="str">
        <f>$A2637&amp;Keys!$C$54&amp;$B2637&amp;Keys!$C$54&amp;$C2637</f>
        <v>UT|exports|nuclear</v>
      </c>
    </row>
    <row r="2638" spans="1:8" x14ac:dyDescent="0.25">
      <c r="A2638" t="s">
        <v>165</v>
      </c>
      <c r="B2638" t="s">
        <v>193</v>
      </c>
      <c r="C2638" t="s">
        <v>74</v>
      </c>
      <c r="D2638">
        <v>0</v>
      </c>
      <c r="E2638">
        <v>0</v>
      </c>
      <c r="F2638">
        <v>0</v>
      </c>
      <c r="G2638" s="10">
        <f t="shared" si="41"/>
        <v>0</v>
      </c>
      <c r="H2638" t="str">
        <f>$A2638&amp;Keys!$C$54&amp;$B2638&amp;Keys!$C$54&amp;$C2638</f>
        <v>UT|exports|hydro (is not a fuel)</v>
      </c>
    </row>
    <row r="2639" spans="1:8" x14ac:dyDescent="0.25">
      <c r="A2639" t="s">
        <v>165</v>
      </c>
      <c r="B2639" t="s">
        <v>193</v>
      </c>
      <c r="C2639" t="s">
        <v>77</v>
      </c>
      <c r="D2639">
        <v>0</v>
      </c>
      <c r="E2639">
        <v>0</v>
      </c>
      <c r="F2639">
        <v>0</v>
      </c>
      <c r="G2639" s="10">
        <f t="shared" si="41"/>
        <v>0</v>
      </c>
      <c r="H2639" t="str">
        <f>$A2639&amp;Keys!$C$54&amp;$B2639&amp;Keys!$C$54&amp;$C2639</f>
        <v>UT|exports|wind (is not a fuel)</v>
      </c>
    </row>
    <row r="2640" spans="1:8" x14ac:dyDescent="0.25">
      <c r="A2640" t="s">
        <v>165</v>
      </c>
      <c r="B2640" t="s">
        <v>193</v>
      </c>
      <c r="C2640" t="s">
        <v>80</v>
      </c>
      <c r="D2640">
        <v>0</v>
      </c>
      <c r="E2640">
        <v>0</v>
      </c>
      <c r="F2640">
        <v>0</v>
      </c>
      <c r="G2640" s="10">
        <f t="shared" si="41"/>
        <v>0</v>
      </c>
      <c r="H2640" t="str">
        <f>$A2640&amp;Keys!$C$54&amp;$B2640&amp;Keys!$C$54&amp;$C2640</f>
        <v>UT|exports|solar (is not a fuel)</v>
      </c>
    </row>
    <row r="2641" spans="1:8" x14ac:dyDescent="0.25">
      <c r="A2641" t="s">
        <v>165</v>
      </c>
      <c r="B2641" t="s">
        <v>193</v>
      </c>
      <c r="C2641" t="s">
        <v>82</v>
      </c>
      <c r="D2641">
        <v>0</v>
      </c>
      <c r="E2641">
        <v>0</v>
      </c>
      <c r="F2641">
        <v>0</v>
      </c>
      <c r="G2641" s="10">
        <f t="shared" si="41"/>
        <v>0</v>
      </c>
      <c r="H2641" t="str">
        <f>$A2641&amp;Keys!$C$54&amp;$B2641&amp;Keys!$C$54&amp;$C2641</f>
        <v>UT|exports|biomass</v>
      </c>
    </row>
    <row r="2642" spans="1:8" x14ac:dyDescent="0.25">
      <c r="A2642" t="s">
        <v>165</v>
      </c>
      <c r="B2642" t="s">
        <v>193</v>
      </c>
      <c r="C2642" t="s">
        <v>85</v>
      </c>
      <c r="D2642">
        <v>0</v>
      </c>
      <c r="E2642">
        <v>68245600000000</v>
      </c>
      <c r="F2642">
        <v>64363900000000</v>
      </c>
      <c r="G2642" s="10">
        <f t="shared" si="41"/>
        <v>44203166666666.664</v>
      </c>
      <c r="H2642" t="str">
        <f>$A2642&amp;Keys!$C$54&amp;$B2642&amp;Keys!$C$54&amp;$C2642</f>
        <v>UT|exports|petroleum gasoline</v>
      </c>
    </row>
    <row r="2643" spans="1:8" x14ac:dyDescent="0.25">
      <c r="A2643" t="s">
        <v>165</v>
      </c>
      <c r="B2643" t="s">
        <v>193</v>
      </c>
      <c r="C2643" t="s">
        <v>88</v>
      </c>
      <c r="D2643">
        <v>0</v>
      </c>
      <c r="E2643">
        <v>28008300000000</v>
      </c>
      <c r="F2643">
        <v>24626100000000</v>
      </c>
      <c r="G2643" s="10">
        <f t="shared" si="41"/>
        <v>17544800000000</v>
      </c>
      <c r="H2643" t="str">
        <f>$A2643&amp;Keys!$C$54&amp;$B2643&amp;Keys!$C$54&amp;$C2643</f>
        <v>UT|exports|petroleum diesel</v>
      </c>
    </row>
    <row r="2644" spans="1:8" x14ac:dyDescent="0.25">
      <c r="A2644" t="s">
        <v>165</v>
      </c>
      <c r="B2644" t="s">
        <v>193</v>
      </c>
      <c r="C2644" t="s">
        <v>91</v>
      </c>
      <c r="D2644">
        <v>0</v>
      </c>
      <c r="E2644">
        <v>0</v>
      </c>
      <c r="F2644">
        <v>0</v>
      </c>
      <c r="G2644" s="10">
        <f t="shared" si="41"/>
        <v>0</v>
      </c>
      <c r="H2644" t="str">
        <f>$A2644&amp;Keys!$C$54&amp;$B2644&amp;Keys!$C$54&amp;$C2644</f>
        <v>UT|exports|biofuel gasoline</v>
      </c>
    </row>
    <row r="2645" spans="1:8" x14ac:dyDescent="0.25">
      <c r="A2645" t="s">
        <v>165</v>
      </c>
      <c r="B2645" t="s">
        <v>193</v>
      </c>
      <c r="C2645" t="s">
        <v>94</v>
      </c>
      <c r="D2645">
        <v>0</v>
      </c>
      <c r="E2645">
        <v>0</v>
      </c>
      <c r="F2645">
        <v>0</v>
      </c>
      <c r="G2645" s="10">
        <f t="shared" si="41"/>
        <v>0</v>
      </c>
      <c r="H2645" t="str">
        <f>$A2645&amp;Keys!$C$54&amp;$B2645&amp;Keys!$C$54&amp;$C2645</f>
        <v>UT|exports|biofuel diesel</v>
      </c>
    </row>
    <row r="2646" spans="1:8" x14ac:dyDescent="0.25">
      <c r="A2646" t="s">
        <v>165</v>
      </c>
      <c r="B2646" t="s">
        <v>193</v>
      </c>
      <c r="C2646" t="s">
        <v>97</v>
      </c>
      <c r="D2646">
        <v>0</v>
      </c>
      <c r="E2646">
        <v>0</v>
      </c>
      <c r="F2646">
        <v>0</v>
      </c>
      <c r="G2646" s="10">
        <f t="shared" si="41"/>
        <v>0</v>
      </c>
      <c r="H2646" t="str">
        <f>$A2646&amp;Keys!$C$54&amp;$B2646&amp;Keys!$C$54&amp;$C2646</f>
        <v>UT|exports|jet fuel or kerosene</v>
      </c>
    </row>
    <row r="2647" spans="1:8" x14ac:dyDescent="0.25">
      <c r="A2647" t="s">
        <v>165</v>
      </c>
      <c r="B2647" t="s">
        <v>193</v>
      </c>
      <c r="C2647" t="s">
        <v>100</v>
      </c>
      <c r="D2647">
        <v>0</v>
      </c>
      <c r="E2647">
        <v>0</v>
      </c>
      <c r="F2647">
        <v>0</v>
      </c>
      <c r="G2647" s="10">
        <f t="shared" si="41"/>
        <v>0</v>
      </c>
      <c r="H2647" t="str">
        <f>$A2647&amp;Keys!$C$54&amp;$B2647&amp;Keys!$C$54&amp;$C2647</f>
        <v>UT|exports|heat (not used in this variable)</v>
      </c>
    </row>
    <row r="2648" spans="1:8" x14ac:dyDescent="0.25">
      <c r="A2648" t="s">
        <v>165</v>
      </c>
      <c r="B2648" t="s">
        <v>193</v>
      </c>
      <c r="C2648" t="s">
        <v>103</v>
      </c>
      <c r="D2648">
        <v>0</v>
      </c>
      <c r="E2648">
        <v>0</v>
      </c>
      <c r="F2648">
        <v>0</v>
      </c>
      <c r="G2648" s="10">
        <f t="shared" si="41"/>
        <v>0</v>
      </c>
      <c r="H2648" t="str">
        <f>$A2648&amp;Keys!$C$54&amp;$B2648&amp;Keys!$C$54&amp;$C2648</f>
        <v>UT|exports|geothermal (is not a fuel)</v>
      </c>
    </row>
    <row r="2649" spans="1:8" x14ac:dyDescent="0.25">
      <c r="A2649" t="s">
        <v>165</v>
      </c>
      <c r="B2649" t="s">
        <v>193</v>
      </c>
      <c r="C2649" t="s">
        <v>106</v>
      </c>
      <c r="D2649">
        <v>0</v>
      </c>
      <c r="E2649">
        <v>0</v>
      </c>
      <c r="F2649">
        <v>0</v>
      </c>
      <c r="G2649" s="10">
        <f t="shared" si="41"/>
        <v>0</v>
      </c>
      <c r="H2649" t="str">
        <f>$A2649&amp;Keys!$C$54&amp;$B2649&amp;Keys!$C$54&amp;$C2649</f>
        <v>UT|exports|lignite</v>
      </c>
    </row>
    <row r="2650" spans="1:8" x14ac:dyDescent="0.25">
      <c r="A2650" t="s">
        <v>165</v>
      </c>
      <c r="B2650" t="s">
        <v>193</v>
      </c>
      <c r="C2650" t="s">
        <v>109</v>
      </c>
      <c r="D2650">
        <v>0</v>
      </c>
      <c r="E2650">
        <v>0</v>
      </c>
      <c r="F2650">
        <v>0</v>
      </c>
      <c r="G2650" s="10">
        <f t="shared" si="41"/>
        <v>0</v>
      </c>
      <c r="H2650" t="str">
        <f>$A2650&amp;Keys!$C$54&amp;$B2650&amp;Keys!$C$54&amp;$C2650</f>
        <v>UT|exports|crude oil</v>
      </c>
    </row>
    <row r="2651" spans="1:8" x14ac:dyDescent="0.25">
      <c r="A2651" t="s">
        <v>165</v>
      </c>
      <c r="B2651" t="s">
        <v>193</v>
      </c>
      <c r="C2651" t="s">
        <v>113</v>
      </c>
      <c r="D2651">
        <v>0</v>
      </c>
      <c r="E2651">
        <v>649470000000</v>
      </c>
      <c r="F2651">
        <v>350052000000</v>
      </c>
      <c r="G2651" s="10">
        <f t="shared" si="41"/>
        <v>333174000000</v>
      </c>
      <c r="H2651" t="str">
        <f>$A2651&amp;Keys!$C$54&amp;$B2651&amp;Keys!$C$54&amp;$C2651</f>
        <v>UT|exports|heavy fuel oil</v>
      </c>
    </row>
    <row r="2652" spans="1:8" x14ac:dyDescent="0.25">
      <c r="A2652" t="s">
        <v>165</v>
      </c>
      <c r="B2652" t="s">
        <v>193</v>
      </c>
      <c r="C2652" t="s">
        <v>117</v>
      </c>
      <c r="D2652">
        <v>0</v>
      </c>
      <c r="E2652">
        <v>28763500000000</v>
      </c>
      <c r="F2652">
        <v>29594300000000</v>
      </c>
      <c r="G2652" s="10">
        <f t="shared" si="41"/>
        <v>19452600000000</v>
      </c>
      <c r="H2652" t="str">
        <f>$A2652&amp;Keys!$C$54&amp;$B2652&amp;Keys!$C$54&amp;$C2652</f>
        <v>UT|exports|LPG propane or butane</v>
      </c>
    </row>
    <row r="2653" spans="1:8" x14ac:dyDescent="0.25">
      <c r="A2653" t="s">
        <v>165</v>
      </c>
      <c r="B2653" t="s">
        <v>193</v>
      </c>
      <c r="C2653" t="s">
        <v>120</v>
      </c>
      <c r="D2653">
        <v>0</v>
      </c>
      <c r="E2653">
        <v>0</v>
      </c>
      <c r="F2653">
        <v>0</v>
      </c>
      <c r="G2653" s="10">
        <f t="shared" si="41"/>
        <v>0</v>
      </c>
      <c r="H2653" t="str">
        <f>$A2653&amp;Keys!$C$54&amp;$B2653&amp;Keys!$C$54&amp;$C2653</f>
        <v>UT|exports|municipal solid waste</v>
      </c>
    </row>
    <row r="2654" spans="1:8" x14ac:dyDescent="0.25">
      <c r="A2654" t="s">
        <v>165</v>
      </c>
      <c r="B2654" t="s">
        <v>193</v>
      </c>
      <c r="C2654" t="s">
        <v>123</v>
      </c>
      <c r="D2654">
        <v>0</v>
      </c>
      <c r="E2654">
        <v>0</v>
      </c>
      <c r="F2654">
        <v>0</v>
      </c>
      <c r="G2654" s="10">
        <f t="shared" si="41"/>
        <v>0</v>
      </c>
      <c r="H2654" t="str">
        <f>$A2654&amp;Keys!$C$54&amp;$B2654&amp;Keys!$C$54&amp;$C2654</f>
        <v>UT|exports|hydrogen</v>
      </c>
    </row>
    <row r="2655" spans="1:8" x14ac:dyDescent="0.25">
      <c r="A2655" t="s">
        <v>167</v>
      </c>
      <c r="B2655" t="s">
        <v>188</v>
      </c>
      <c r="C2655" t="s">
        <v>60</v>
      </c>
      <c r="D2655">
        <v>0</v>
      </c>
      <c r="E2655">
        <v>0</v>
      </c>
      <c r="F2655">
        <v>0</v>
      </c>
      <c r="G2655" s="10">
        <f t="shared" si="41"/>
        <v>0</v>
      </c>
      <c r="H2655" t="str">
        <f>$A2655&amp;Keys!$C$54&amp;$B2655&amp;Keys!$C$54&amp;$C2655</f>
        <v>VA|production|electricity (not used in this variable)</v>
      </c>
    </row>
    <row r="2656" spans="1:8" x14ac:dyDescent="0.25">
      <c r="A2656" t="s">
        <v>167</v>
      </c>
      <c r="B2656" t="s">
        <v>188</v>
      </c>
      <c r="C2656" t="s">
        <v>64</v>
      </c>
      <c r="D2656">
        <v>199872000000000</v>
      </c>
      <c r="E2656">
        <v>199872000000000</v>
      </c>
      <c r="F2656">
        <v>199877000000000</v>
      </c>
      <c r="G2656" s="10">
        <f t="shared" si="41"/>
        <v>199873666666666.66</v>
      </c>
      <c r="H2656" t="str">
        <f>$A2656&amp;Keys!$C$54&amp;$B2656&amp;Keys!$C$54&amp;$C2656</f>
        <v>VA|production|hard coal</v>
      </c>
    </row>
    <row r="2657" spans="1:8" x14ac:dyDescent="0.25">
      <c r="A2657" t="s">
        <v>167</v>
      </c>
      <c r="B2657" t="s">
        <v>188</v>
      </c>
      <c r="C2657" t="s">
        <v>68</v>
      </c>
      <c r="D2657">
        <v>83865300000000</v>
      </c>
      <c r="E2657">
        <v>83865300000000</v>
      </c>
      <c r="F2657">
        <v>84125800000000</v>
      </c>
      <c r="G2657" s="10">
        <f t="shared" si="41"/>
        <v>83952133333333.328</v>
      </c>
      <c r="H2657" t="str">
        <f>$A2657&amp;Keys!$C$54&amp;$B2657&amp;Keys!$C$54&amp;$C2657</f>
        <v>VA|production|natural gas</v>
      </c>
    </row>
    <row r="2658" spans="1:8" x14ac:dyDescent="0.25">
      <c r="A2658" t="s">
        <v>167</v>
      </c>
      <c r="B2658" t="s">
        <v>188</v>
      </c>
      <c r="C2658" t="s">
        <v>71</v>
      </c>
      <c r="D2658">
        <v>0</v>
      </c>
      <c r="E2658">
        <v>0</v>
      </c>
      <c r="F2658">
        <v>0</v>
      </c>
      <c r="G2658" s="10">
        <f t="shared" si="41"/>
        <v>0</v>
      </c>
      <c r="H2658" t="str">
        <f>$A2658&amp;Keys!$C$54&amp;$B2658&amp;Keys!$C$54&amp;$C2658</f>
        <v>VA|production|nuclear</v>
      </c>
    </row>
    <row r="2659" spans="1:8" x14ac:dyDescent="0.25">
      <c r="A2659" t="s">
        <v>167</v>
      </c>
      <c r="B2659" t="s">
        <v>188</v>
      </c>
      <c r="C2659" t="s">
        <v>74</v>
      </c>
      <c r="D2659">
        <v>0</v>
      </c>
      <c r="E2659">
        <v>0</v>
      </c>
      <c r="F2659">
        <v>0</v>
      </c>
      <c r="G2659" s="10">
        <f t="shared" si="41"/>
        <v>0</v>
      </c>
      <c r="H2659" t="str">
        <f>$A2659&amp;Keys!$C$54&amp;$B2659&amp;Keys!$C$54&amp;$C2659</f>
        <v>VA|production|hydro (is not a fuel)</v>
      </c>
    </row>
    <row r="2660" spans="1:8" x14ac:dyDescent="0.25">
      <c r="A2660" t="s">
        <v>167</v>
      </c>
      <c r="B2660" t="s">
        <v>188</v>
      </c>
      <c r="C2660" t="s">
        <v>77</v>
      </c>
      <c r="D2660">
        <v>0</v>
      </c>
      <c r="E2660">
        <v>0</v>
      </c>
      <c r="F2660">
        <v>0</v>
      </c>
      <c r="G2660" s="10">
        <f t="shared" si="41"/>
        <v>0</v>
      </c>
      <c r="H2660" t="str">
        <f>$A2660&amp;Keys!$C$54&amp;$B2660&amp;Keys!$C$54&amp;$C2660</f>
        <v>VA|production|wind (is not a fuel)</v>
      </c>
    </row>
    <row r="2661" spans="1:8" x14ac:dyDescent="0.25">
      <c r="A2661" t="s">
        <v>167</v>
      </c>
      <c r="B2661" t="s">
        <v>188</v>
      </c>
      <c r="C2661" t="s">
        <v>80</v>
      </c>
      <c r="D2661">
        <v>0</v>
      </c>
      <c r="E2661">
        <v>0</v>
      </c>
      <c r="F2661">
        <v>0</v>
      </c>
      <c r="G2661" s="10">
        <f t="shared" si="41"/>
        <v>0</v>
      </c>
      <c r="H2661" t="str">
        <f>$A2661&amp;Keys!$C$54&amp;$B2661&amp;Keys!$C$54&amp;$C2661</f>
        <v>VA|production|solar (is not a fuel)</v>
      </c>
    </row>
    <row r="2662" spans="1:8" x14ac:dyDescent="0.25">
      <c r="A2662" t="s">
        <v>167</v>
      </c>
      <c r="B2662" t="s">
        <v>188</v>
      </c>
      <c r="C2662" t="s">
        <v>82</v>
      </c>
      <c r="D2662">
        <v>13794500000000</v>
      </c>
      <c r="E2662">
        <v>13794500000000</v>
      </c>
      <c r="F2662">
        <v>13794500000000</v>
      </c>
      <c r="G2662" s="10">
        <f t="shared" si="41"/>
        <v>13794500000000</v>
      </c>
      <c r="H2662" t="str">
        <f>$A2662&amp;Keys!$C$54&amp;$B2662&amp;Keys!$C$54&amp;$C2662</f>
        <v>VA|production|biomass</v>
      </c>
    </row>
    <row r="2663" spans="1:8" x14ac:dyDescent="0.25">
      <c r="A2663" t="s">
        <v>167</v>
      </c>
      <c r="B2663" t="s">
        <v>188</v>
      </c>
      <c r="C2663" t="s">
        <v>85</v>
      </c>
      <c r="D2663">
        <v>0</v>
      </c>
      <c r="E2663">
        <v>0</v>
      </c>
      <c r="F2663">
        <v>0</v>
      </c>
      <c r="G2663" s="10">
        <f t="shared" si="41"/>
        <v>0</v>
      </c>
      <c r="H2663" t="str">
        <f>$A2663&amp;Keys!$C$54&amp;$B2663&amp;Keys!$C$54&amp;$C2663</f>
        <v>VA|production|petroleum gasoline</v>
      </c>
    </row>
    <row r="2664" spans="1:8" x14ac:dyDescent="0.25">
      <c r="A2664" t="s">
        <v>167</v>
      </c>
      <c r="B2664" t="s">
        <v>188</v>
      </c>
      <c r="C2664" t="s">
        <v>88</v>
      </c>
      <c r="D2664">
        <v>0</v>
      </c>
      <c r="E2664">
        <v>0</v>
      </c>
      <c r="F2664">
        <v>0</v>
      </c>
      <c r="G2664" s="10">
        <f t="shared" si="41"/>
        <v>0</v>
      </c>
      <c r="H2664" t="str">
        <f>$A2664&amp;Keys!$C$54&amp;$B2664&amp;Keys!$C$54&amp;$C2664</f>
        <v>VA|production|petroleum diesel</v>
      </c>
    </row>
    <row r="2665" spans="1:8" x14ac:dyDescent="0.25">
      <c r="A2665" t="s">
        <v>167</v>
      </c>
      <c r="B2665" t="s">
        <v>188</v>
      </c>
      <c r="C2665" t="s">
        <v>91</v>
      </c>
      <c r="D2665">
        <v>0</v>
      </c>
      <c r="E2665">
        <v>0</v>
      </c>
      <c r="F2665">
        <v>0</v>
      </c>
      <c r="G2665" s="10">
        <f t="shared" si="41"/>
        <v>0</v>
      </c>
      <c r="H2665" t="str">
        <f>$A2665&amp;Keys!$C$54&amp;$B2665&amp;Keys!$C$54&amp;$C2665</f>
        <v>VA|production|biofuel gasoline</v>
      </c>
    </row>
    <row r="2666" spans="1:8" x14ac:dyDescent="0.25">
      <c r="A2666" t="s">
        <v>167</v>
      </c>
      <c r="B2666" t="s">
        <v>188</v>
      </c>
      <c r="C2666" t="s">
        <v>94</v>
      </c>
      <c r="D2666">
        <v>339412000000</v>
      </c>
      <c r="E2666">
        <v>339412000000</v>
      </c>
      <c r="F2666">
        <v>403175000000</v>
      </c>
      <c r="G2666" s="10">
        <f t="shared" si="41"/>
        <v>360666333333.33331</v>
      </c>
      <c r="H2666" t="str">
        <f>$A2666&amp;Keys!$C$54&amp;$B2666&amp;Keys!$C$54&amp;$C2666</f>
        <v>VA|production|biofuel diesel</v>
      </c>
    </row>
    <row r="2667" spans="1:8" x14ac:dyDescent="0.25">
      <c r="A2667" t="s">
        <v>167</v>
      </c>
      <c r="B2667" t="s">
        <v>188</v>
      </c>
      <c r="C2667" t="s">
        <v>97</v>
      </c>
      <c r="D2667">
        <v>0</v>
      </c>
      <c r="E2667">
        <v>0</v>
      </c>
      <c r="F2667">
        <v>0</v>
      </c>
      <c r="G2667" s="10">
        <f t="shared" si="41"/>
        <v>0</v>
      </c>
      <c r="H2667" t="str">
        <f>$A2667&amp;Keys!$C$54&amp;$B2667&amp;Keys!$C$54&amp;$C2667</f>
        <v>VA|production|jet fuel or kerosene</v>
      </c>
    </row>
    <row r="2668" spans="1:8" x14ac:dyDescent="0.25">
      <c r="A2668" t="s">
        <v>167</v>
      </c>
      <c r="B2668" t="s">
        <v>188</v>
      </c>
      <c r="C2668" t="s">
        <v>100</v>
      </c>
      <c r="D2668">
        <v>0</v>
      </c>
      <c r="E2668">
        <v>0</v>
      </c>
      <c r="F2668">
        <v>0</v>
      </c>
      <c r="G2668" s="10">
        <f t="shared" si="41"/>
        <v>0</v>
      </c>
      <c r="H2668" t="str">
        <f>$A2668&amp;Keys!$C$54&amp;$B2668&amp;Keys!$C$54&amp;$C2668</f>
        <v>VA|production|heat (not used in this variable)</v>
      </c>
    </row>
    <row r="2669" spans="1:8" x14ac:dyDescent="0.25">
      <c r="A2669" t="s">
        <v>167</v>
      </c>
      <c r="B2669" t="s">
        <v>188</v>
      </c>
      <c r="C2669" t="s">
        <v>103</v>
      </c>
      <c r="D2669">
        <v>0</v>
      </c>
      <c r="E2669">
        <v>0</v>
      </c>
      <c r="F2669">
        <v>0</v>
      </c>
      <c r="G2669" s="10">
        <f t="shared" si="41"/>
        <v>0</v>
      </c>
      <c r="H2669" t="str">
        <f>$A2669&amp;Keys!$C$54&amp;$B2669&amp;Keys!$C$54&amp;$C2669</f>
        <v>VA|production|geothermal (is not a fuel)</v>
      </c>
    </row>
    <row r="2670" spans="1:8" x14ac:dyDescent="0.25">
      <c r="A2670" t="s">
        <v>167</v>
      </c>
      <c r="B2670" t="s">
        <v>188</v>
      </c>
      <c r="C2670" t="s">
        <v>106</v>
      </c>
      <c r="D2670">
        <v>0</v>
      </c>
      <c r="E2670">
        <v>0</v>
      </c>
      <c r="F2670">
        <v>0</v>
      </c>
      <c r="G2670" s="10">
        <f t="shared" si="41"/>
        <v>0</v>
      </c>
      <c r="H2670" t="str">
        <f>$A2670&amp;Keys!$C$54&amp;$B2670&amp;Keys!$C$54&amp;$C2670</f>
        <v>VA|production|lignite</v>
      </c>
    </row>
    <row r="2671" spans="1:8" x14ac:dyDescent="0.25">
      <c r="A2671" t="s">
        <v>167</v>
      </c>
      <c r="B2671" t="s">
        <v>188</v>
      </c>
      <c r="C2671" t="s">
        <v>109</v>
      </c>
      <c r="D2671">
        <v>29000000000</v>
      </c>
      <c r="E2671">
        <v>29000000000</v>
      </c>
      <c r="F2671">
        <v>26352500000</v>
      </c>
      <c r="G2671" s="10">
        <f t="shared" si="41"/>
        <v>28117500000</v>
      </c>
      <c r="H2671" t="str">
        <f>$A2671&amp;Keys!$C$54&amp;$B2671&amp;Keys!$C$54&amp;$C2671</f>
        <v>VA|production|crude oil</v>
      </c>
    </row>
    <row r="2672" spans="1:8" x14ac:dyDescent="0.25">
      <c r="A2672" t="s">
        <v>167</v>
      </c>
      <c r="B2672" t="s">
        <v>188</v>
      </c>
      <c r="C2672" t="s">
        <v>113</v>
      </c>
      <c r="D2672">
        <v>0</v>
      </c>
      <c r="E2672">
        <v>0</v>
      </c>
      <c r="F2672">
        <v>0</v>
      </c>
      <c r="G2672" s="10">
        <f t="shared" si="41"/>
        <v>0</v>
      </c>
      <c r="H2672" t="str">
        <f>$A2672&amp;Keys!$C$54&amp;$B2672&amp;Keys!$C$54&amp;$C2672</f>
        <v>VA|production|heavy fuel oil</v>
      </c>
    </row>
    <row r="2673" spans="1:8" x14ac:dyDescent="0.25">
      <c r="A2673" t="s">
        <v>167</v>
      </c>
      <c r="B2673" t="s">
        <v>188</v>
      </c>
      <c r="C2673" t="s">
        <v>117</v>
      </c>
      <c r="D2673">
        <v>10252500000000</v>
      </c>
      <c r="E2673">
        <v>10252500000000</v>
      </c>
      <c r="F2673">
        <v>10470200000000</v>
      </c>
      <c r="G2673" s="10">
        <f t="shared" si="41"/>
        <v>10325066666666.666</v>
      </c>
      <c r="H2673" t="str">
        <f>$A2673&amp;Keys!$C$54&amp;$B2673&amp;Keys!$C$54&amp;$C2673</f>
        <v>VA|production|LPG propane or butane</v>
      </c>
    </row>
    <row r="2674" spans="1:8" x14ac:dyDescent="0.25">
      <c r="A2674" t="s">
        <v>167</v>
      </c>
      <c r="B2674" t="s">
        <v>188</v>
      </c>
      <c r="C2674" t="s">
        <v>120</v>
      </c>
      <c r="D2674">
        <v>0</v>
      </c>
      <c r="E2674">
        <v>0</v>
      </c>
      <c r="F2674">
        <v>0</v>
      </c>
      <c r="G2674" s="10">
        <f t="shared" si="41"/>
        <v>0</v>
      </c>
      <c r="H2674" t="str">
        <f>$A2674&amp;Keys!$C$54&amp;$B2674&amp;Keys!$C$54&amp;$C2674</f>
        <v>VA|production|municipal solid waste</v>
      </c>
    </row>
    <row r="2675" spans="1:8" x14ac:dyDescent="0.25">
      <c r="A2675" t="s">
        <v>167</v>
      </c>
      <c r="B2675" t="s">
        <v>188</v>
      </c>
      <c r="C2675" t="s">
        <v>123</v>
      </c>
      <c r="D2675">
        <v>0</v>
      </c>
      <c r="E2675">
        <v>0</v>
      </c>
      <c r="F2675">
        <v>0</v>
      </c>
      <c r="G2675" s="10">
        <f t="shared" si="41"/>
        <v>0</v>
      </c>
      <c r="H2675" t="str">
        <f>$A2675&amp;Keys!$C$54&amp;$B2675&amp;Keys!$C$54&amp;$C2675</f>
        <v>VA|production|hydrogen</v>
      </c>
    </row>
    <row r="2676" spans="1:8" x14ac:dyDescent="0.25">
      <c r="A2676" t="s">
        <v>167</v>
      </c>
      <c r="B2676" t="s">
        <v>191</v>
      </c>
      <c r="C2676" t="s">
        <v>60</v>
      </c>
      <c r="D2676">
        <v>0</v>
      </c>
      <c r="E2676">
        <v>0</v>
      </c>
      <c r="F2676">
        <v>0</v>
      </c>
      <c r="G2676" s="10">
        <f t="shared" si="41"/>
        <v>0</v>
      </c>
      <c r="H2676" t="str">
        <f>$A2676&amp;Keys!$C$54&amp;$B2676&amp;Keys!$C$54&amp;$C2676</f>
        <v>VA|imports|electricity (not used in this variable)</v>
      </c>
    </row>
    <row r="2677" spans="1:8" x14ac:dyDescent="0.25">
      <c r="A2677" t="s">
        <v>167</v>
      </c>
      <c r="B2677" t="s">
        <v>191</v>
      </c>
      <c r="C2677" t="s">
        <v>64</v>
      </c>
      <c r="D2677">
        <v>14771500000000</v>
      </c>
      <c r="E2677">
        <v>0</v>
      </c>
      <c r="F2677">
        <v>0</v>
      </c>
      <c r="G2677" s="10">
        <f t="shared" si="41"/>
        <v>4923833333333.333</v>
      </c>
      <c r="H2677" t="str">
        <f>$A2677&amp;Keys!$C$54&amp;$B2677&amp;Keys!$C$54&amp;$C2677</f>
        <v>VA|imports|hard coal</v>
      </c>
    </row>
    <row r="2678" spans="1:8" x14ac:dyDescent="0.25">
      <c r="A2678" t="s">
        <v>167</v>
      </c>
      <c r="B2678" t="s">
        <v>191</v>
      </c>
      <c r="C2678" t="s">
        <v>68</v>
      </c>
      <c r="D2678">
        <v>1507700000000000</v>
      </c>
      <c r="E2678">
        <v>1780660000000000</v>
      </c>
      <c r="F2678">
        <v>1843860000000000</v>
      </c>
      <c r="G2678" s="10">
        <f t="shared" si="41"/>
        <v>1710740000000000</v>
      </c>
      <c r="H2678" t="str">
        <f>$A2678&amp;Keys!$C$54&amp;$B2678&amp;Keys!$C$54&amp;$C2678</f>
        <v>VA|imports|natural gas</v>
      </c>
    </row>
    <row r="2679" spans="1:8" x14ac:dyDescent="0.25">
      <c r="A2679" t="s">
        <v>167</v>
      </c>
      <c r="B2679" t="s">
        <v>191</v>
      </c>
      <c r="C2679" t="s">
        <v>71</v>
      </c>
      <c r="D2679">
        <v>302276000000000</v>
      </c>
      <c r="E2679">
        <v>294586000000000</v>
      </c>
      <c r="F2679">
        <v>298450000000000</v>
      </c>
      <c r="G2679" s="10">
        <f t="shared" si="41"/>
        <v>298437333333333.31</v>
      </c>
      <c r="H2679" t="str">
        <f>$A2679&amp;Keys!$C$54&amp;$B2679&amp;Keys!$C$54&amp;$C2679</f>
        <v>VA|imports|nuclear</v>
      </c>
    </row>
    <row r="2680" spans="1:8" x14ac:dyDescent="0.25">
      <c r="A2680" t="s">
        <v>167</v>
      </c>
      <c r="B2680" t="s">
        <v>191</v>
      </c>
      <c r="C2680" t="s">
        <v>74</v>
      </c>
      <c r="D2680">
        <v>0</v>
      </c>
      <c r="E2680">
        <v>0</v>
      </c>
      <c r="F2680">
        <v>0</v>
      </c>
      <c r="G2680" s="10">
        <f t="shared" si="41"/>
        <v>0</v>
      </c>
      <c r="H2680" t="str">
        <f>$A2680&amp;Keys!$C$54&amp;$B2680&amp;Keys!$C$54&amp;$C2680</f>
        <v>VA|imports|hydro (is not a fuel)</v>
      </c>
    </row>
    <row r="2681" spans="1:8" x14ac:dyDescent="0.25">
      <c r="A2681" t="s">
        <v>167</v>
      </c>
      <c r="B2681" t="s">
        <v>191</v>
      </c>
      <c r="C2681" t="s">
        <v>77</v>
      </c>
      <c r="D2681">
        <v>0</v>
      </c>
      <c r="E2681">
        <v>0</v>
      </c>
      <c r="F2681">
        <v>0</v>
      </c>
      <c r="G2681" s="10">
        <f t="shared" si="41"/>
        <v>0</v>
      </c>
      <c r="H2681" t="str">
        <f>$A2681&amp;Keys!$C$54&amp;$B2681&amp;Keys!$C$54&amp;$C2681</f>
        <v>VA|imports|wind (is not a fuel)</v>
      </c>
    </row>
    <row r="2682" spans="1:8" x14ac:dyDescent="0.25">
      <c r="A2682" t="s">
        <v>167</v>
      </c>
      <c r="B2682" t="s">
        <v>191</v>
      </c>
      <c r="C2682" t="s">
        <v>80</v>
      </c>
      <c r="D2682">
        <v>0</v>
      </c>
      <c r="E2682">
        <v>0</v>
      </c>
      <c r="F2682">
        <v>0</v>
      </c>
      <c r="G2682" s="10">
        <f t="shared" si="41"/>
        <v>0</v>
      </c>
      <c r="H2682" t="str">
        <f>$A2682&amp;Keys!$C$54&amp;$B2682&amp;Keys!$C$54&amp;$C2682</f>
        <v>VA|imports|solar (is not a fuel)</v>
      </c>
    </row>
    <row r="2683" spans="1:8" x14ac:dyDescent="0.25">
      <c r="A2683" t="s">
        <v>167</v>
      </c>
      <c r="B2683" t="s">
        <v>191</v>
      </c>
      <c r="C2683" t="s">
        <v>82</v>
      </c>
      <c r="D2683">
        <v>0</v>
      </c>
      <c r="E2683">
        <v>106671000000000</v>
      </c>
      <c r="F2683">
        <v>109981000000000</v>
      </c>
      <c r="G2683" s="10">
        <f t="shared" si="41"/>
        <v>72217333333333.328</v>
      </c>
      <c r="H2683" t="str">
        <f>$A2683&amp;Keys!$C$54&amp;$B2683&amp;Keys!$C$54&amp;$C2683</f>
        <v>VA|imports|biomass</v>
      </c>
    </row>
    <row r="2684" spans="1:8" x14ac:dyDescent="0.25">
      <c r="A2684" t="s">
        <v>167</v>
      </c>
      <c r="B2684" t="s">
        <v>191</v>
      </c>
      <c r="C2684" t="s">
        <v>85</v>
      </c>
      <c r="D2684">
        <v>0</v>
      </c>
      <c r="E2684">
        <v>409172000000000</v>
      </c>
      <c r="F2684">
        <v>404498000000000</v>
      </c>
      <c r="G2684" s="10">
        <f t="shared" si="41"/>
        <v>271223333333333.34</v>
      </c>
      <c r="H2684" t="str">
        <f>$A2684&amp;Keys!$C$54&amp;$B2684&amp;Keys!$C$54&amp;$C2684</f>
        <v>VA|imports|petroleum gasoline</v>
      </c>
    </row>
    <row r="2685" spans="1:8" x14ac:dyDescent="0.25">
      <c r="A2685" t="s">
        <v>167</v>
      </c>
      <c r="B2685" t="s">
        <v>191</v>
      </c>
      <c r="C2685" t="s">
        <v>88</v>
      </c>
      <c r="D2685">
        <v>0</v>
      </c>
      <c r="E2685">
        <v>206564000000000</v>
      </c>
      <c r="F2685">
        <v>204929000000000</v>
      </c>
      <c r="G2685" s="10">
        <f t="shared" si="41"/>
        <v>137164333333333.33</v>
      </c>
      <c r="H2685" t="str">
        <f>$A2685&amp;Keys!$C$54&amp;$B2685&amp;Keys!$C$54&amp;$C2685</f>
        <v>VA|imports|petroleum diesel</v>
      </c>
    </row>
    <row r="2686" spans="1:8" x14ac:dyDescent="0.25">
      <c r="A2686" t="s">
        <v>167</v>
      </c>
      <c r="B2686" t="s">
        <v>191</v>
      </c>
      <c r="C2686" t="s">
        <v>91</v>
      </c>
      <c r="D2686">
        <v>0</v>
      </c>
      <c r="E2686">
        <v>29296300000000</v>
      </c>
      <c r="F2686">
        <v>28966100000000</v>
      </c>
      <c r="G2686" s="10">
        <f t="shared" si="41"/>
        <v>19420800000000</v>
      </c>
      <c r="H2686" t="str">
        <f>$A2686&amp;Keys!$C$54&amp;$B2686&amp;Keys!$C$54&amp;$C2686</f>
        <v>VA|imports|biofuel gasoline</v>
      </c>
    </row>
    <row r="2687" spans="1:8" x14ac:dyDescent="0.25">
      <c r="A2687" t="s">
        <v>167</v>
      </c>
      <c r="B2687" t="s">
        <v>191</v>
      </c>
      <c r="C2687" t="s">
        <v>94</v>
      </c>
      <c r="D2687">
        <v>0</v>
      </c>
      <c r="E2687">
        <v>963630000000</v>
      </c>
      <c r="F2687">
        <v>914185000000</v>
      </c>
      <c r="G2687" s="10">
        <f t="shared" si="41"/>
        <v>625938333333.33337</v>
      </c>
      <c r="H2687" t="str">
        <f>$A2687&amp;Keys!$C$54&amp;$B2687&amp;Keys!$C$54&amp;$C2687</f>
        <v>VA|imports|biofuel diesel</v>
      </c>
    </row>
    <row r="2688" spans="1:8" x14ac:dyDescent="0.25">
      <c r="A2688" t="s">
        <v>167</v>
      </c>
      <c r="B2688" t="s">
        <v>191</v>
      </c>
      <c r="C2688" t="s">
        <v>97</v>
      </c>
      <c r="D2688">
        <v>0</v>
      </c>
      <c r="E2688">
        <v>115476000000000</v>
      </c>
      <c r="F2688">
        <v>117907000000000</v>
      </c>
      <c r="G2688" s="10">
        <f t="shared" si="41"/>
        <v>77794333333333.328</v>
      </c>
      <c r="H2688" t="str">
        <f>$A2688&amp;Keys!$C$54&amp;$B2688&amp;Keys!$C$54&amp;$C2688</f>
        <v>VA|imports|jet fuel or kerosene</v>
      </c>
    </row>
    <row r="2689" spans="1:8" x14ac:dyDescent="0.25">
      <c r="A2689" t="s">
        <v>167</v>
      </c>
      <c r="B2689" t="s">
        <v>191</v>
      </c>
      <c r="C2689" t="s">
        <v>100</v>
      </c>
      <c r="D2689">
        <v>0</v>
      </c>
      <c r="E2689">
        <v>0</v>
      </c>
      <c r="F2689">
        <v>0</v>
      </c>
      <c r="G2689" s="10">
        <f t="shared" si="41"/>
        <v>0</v>
      </c>
      <c r="H2689" t="str">
        <f>$A2689&amp;Keys!$C$54&amp;$B2689&amp;Keys!$C$54&amp;$C2689</f>
        <v>VA|imports|heat (not used in this variable)</v>
      </c>
    </row>
    <row r="2690" spans="1:8" x14ac:dyDescent="0.25">
      <c r="A2690" t="s">
        <v>167</v>
      </c>
      <c r="B2690" t="s">
        <v>191</v>
      </c>
      <c r="C2690" t="s">
        <v>103</v>
      </c>
      <c r="D2690">
        <v>0</v>
      </c>
      <c r="E2690">
        <v>0</v>
      </c>
      <c r="F2690">
        <v>0</v>
      </c>
      <c r="G2690" s="10">
        <f t="shared" si="41"/>
        <v>0</v>
      </c>
      <c r="H2690" t="str">
        <f>$A2690&amp;Keys!$C$54&amp;$B2690&amp;Keys!$C$54&amp;$C2690</f>
        <v>VA|imports|geothermal (is not a fuel)</v>
      </c>
    </row>
    <row r="2691" spans="1:8" x14ac:dyDescent="0.25">
      <c r="A2691" t="s">
        <v>167</v>
      </c>
      <c r="B2691" t="s">
        <v>191</v>
      </c>
      <c r="C2691" t="s">
        <v>106</v>
      </c>
      <c r="D2691">
        <v>0</v>
      </c>
      <c r="E2691">
        <v>0</v>
      </c>
      <c r="F2691">
        <v>0</v>
      </c>
      <c r="G2691" s="10">
        <f t="shared" si="41"/>
        <v>0</v>
      </c>
      <c r="H2691" t="str">
        <f>$A2691&amp;Keys!$C$54&amp;$B2691&amp;Keys!$C$54&amp;$C2691</f>
        <v>VA|imports|lignite</v>
      </c>
    </row>
    <row r="2692" spans="1:8" x14ac:dyDescent="0.25">
      <c r="A2692" t="s">
        <v>167</v>
      </c>
      <c r="B2692" t="s">
        <v>191</v>
      </c>
      <c r="C2692" t="s">
        <v>109</v>
      </c>
      <c r="D2692">
        <v>0</v>
      </c>
      <c r="E2692">
        <v>1320000000000</v>
      </c>
      <c r="F2692">
        <v>1322650000000</v>
      </c>
      <c r="G2692" s="10">
        <f t="shared" si="41"/>
        <v>880883333333.33337</v>
      </c>
      <c r="H2692" t="str">
        <f>$A2692&amp;Keys!$C$54&amp;$B2692&amp;Keys!$C$54&amp;$C2692</f>
        <v>VA|imports|crude oil</v>
      </c>
    </row>
    <row r="2693" spans="1:8" x14ac:dyDescent="0.25">
      <c r="A2693" t="s">
        <v>167</v>
      </c>
      <c r="B2693" t="s">
        <v>191</v>
      </c>
      <c r="C2693" t="s">
        <v>113</v>
      </c>
      <c r="D2693">
        <v>0</v>
      </c>
      <c r="E2693">
        <v>23171700000000</v>
      </c>
      <c r="F2693">
        <v>23504600000000</v>
      </c>
      <c r="G2693" s="10">
        <f t="shared" si="41"/>
        <v>15558766666666.666</v>
      </c>
      <c r="H2693" t="str">
        <f>$A2693&amp;Keys!$C$54&amp;$B2693&amp;Keys!$C$54&amp;$C2693</f>
        <v>VA|imports|heavy fuel oil</v>
      </c>
    </row>
    <row r="2694" spans="1:8" x14ac:dyDescent="0.25">
      <c r="A2694" t="s">
        <v>167</v>
      </c>
      <c r="B2694" t="s">
        <v>191</v>
      </c>
      <c r="C2694" t="s">
        <v>117</v>
      </c>
      <c r="D2694">
        <v>0</v>
      </c>
      <c r="E2694">
        <v>14869000000000</v>
      </c>
      <c r="F2694">
        <v>14479800000000</v>
      </c>
      <c r="G2694" s="10">
        <f t="shared" si="41"/>
        <v>9782933333333.334</v>
      </c>
      <c r="H2694" t="str">
        <f>$A2694&amp;Keys!$C$54&amp;$B2694&amp;Keys!$C$54&amp;$C2694</f>
        <v>VA|imports|LPG propane or butane</v>
      </c>
    </row>
    <row r="2695" spans="1:8" x14ac:dyDescent="0.25">
      <c r="A2695" t="s">
        <v>167</v>
      </c>
      <c r="B2695" t="s">
        <v>191</v>
      </c>
      <c r="C2695" t="s">
        <v>120</v>
      </c>
      <c r="D2695">
        <v>0</v>
      </c>
      <c r="E2695">
        <v>0</v>
      </c>
      <c r="F2695">
        <v>0</v>
      </c>
      <c r="G2695" s="10">
        <f t="shared" si="41"/>
        <v>0</v>
      </c>
      <c r="H2695" t="str">
        <f>$A2695&amp;Keys!$C$54&amp;$B2695&amp;Keys!$C$54&amp;$C2695</f>
        <v>VA|imports|municipal solid waste</v>
      </c>
    </row>
    <row r="2696" spans="1:8" x14ac:dyDescent="0.25">
      <c r="A2696" t="s">
        <v>167</v>
      </c>
      <c r="B2696" t="s">
        <v>191</v>
      </c>
      <c r="C2696" t="s">
        <v>123</v>
      </c>
      <c r="D2696">
        <v>0</v>
      </c>
      <c r="E2696">
        <v>2512470000</v>
      </c>
      <c r="F2696">
        <v>3616310000</v>
      </c>
      <c r="G2696" s="10">
        <f t="shared" si="41"/>
        <v>2042926666.6666667</v>
      </c>
      <c r="H2696" t="str">
        <f>$A2696&amp;Keys!$C$54&amp;$B2696&amp;Keys!$C$54&amp;$C2696</f>
        <v>VA|imports|hydrogen</v>
      </c>
    </row>
    <row r="2697" spans="1:8" x14ac:dyDescent="0.25">
      <c r="A2697" t="s">
        <v>167</v>
      </c>
      <c r="B2697" t="s">
        <v>193</v>
      </c>
      <c r="C2697" t="s">
        <v>60</v>
      </c>
      <c r="D2697">
        <v>0</v>
      </c>
      <c r="E2697">
        <v>0</v>
      </c>
      <c r="F2697">
        <v>0</v>
      </c>
      <c r="G2697" s="10">
        <f t="shared" ref="G2697:G2760" si="42">AVERAGE($D2697:$F2697)</f>
        <v>0</v>
      </c>
      <c r="H2697" t="str">
        <f>$A2697&amp;Keys!$C$54&amp;$B2697&amp;Keys!$C$54&amp;$C2697</f>
        <v>VA|exports|electricity (not used in this variable)</v>
      </c>
    </row>
    <row r="2698" spans="1:8" x14ac:dyDescent="0.25">
      <c r="A2698" t="s">
        <v>167</v>
      </c>
      <c r="B2698" t="s">
        <v>193</v>
      </c>
      <c r="C2698" t="s">
        <v>64</v>
      </c>
      <c r="D2698">
        <v>33772100000000</v>
      </c>
      <c r="E2698">
        <v>128267000000000</v>
      </c>
      <c r="F2698">
        <v>125371000000000</v>
      </c>
      <c r="G2698" s="10">
        <f t="shared" si="42"/>
        <v>95803366666666.672</v>
      </c>
      <c r="H2698" t="str">
        <f>$A2698&amp;Keys!$C$54&amp;$B2698&amp;Keys!$C$54&amp;$C2698</f>
        <v>VA|exports|hard coal</v>
      </c>
    </row>
    <row r="2699" spans="1:8" x14ac:dyDescent="0.25">
      <c r="A2699" t="s">
        <v>167</v>
      </c>
      <c r="B2699" t="s">
        <v>193</v>
      </c>
      <c r="C2699" t="s">
        <v>68</v>
      </c>
      <c r="D2699">
        <v>1090240000000000</v>
      </c>
      <c r="E2699">
        <v>1090240000000000</v>
      </c>
      <c r="F2699">
        <v>1093630000000000</v>
      </c>
      <c r="G2699" s="10">
        <f t="shared" si="42"/>
        <v>1091370000000000</v>
      </c>
      <c r="H2699" t="str">
        <f>$A2699&amp;Keys!$C$54&amp;$B2699&amp;Keys!$C$54&amp;$C2699</f>
        <v>VA|exports|natural gas</v>
      </c>
    </row>
    <row r="2700" spans="1:8" x14ac:dyDescent="0.25">
      <c r="A2700" t="s">
        <v>167</v>
      </c>
      <c r="B2700" t="s">
        <v>193</v>
      </c>
      <c r="C2700" t="s">
        <v>71</v>
      </c>
      <c r="D2700">
        <v>0</v>
      </c>
      <c r="E2700">
        <v>0</v>
      </c>
      <c r="F2700">
        <v>0</v>
      </c>
      <c r="G2700" s="10">
        <f t="shared" si="42"/>
        <v>0</v>
      </c>
      <c r="H2700" t="str">
        <f>$A2700&amp;Keys!$C$54&amp;$B2700&amp;Keys!$C$54&amp;$C2700</f>
        <v>VA|exports|nuclear</v>
      </c>
    </row>
    <row r="2701" spans="1:8" x14ac:dyDescent="0.25">
      <c r="A2701" t="s">
        <v>167</v>
      </c>
      <c r="B2701" t="s">
        <v>193</v>
      </c>
      <c r="C2701" t="s">
        <v>74</v>
      </c>
      <c r="D2701">
        <v>0</v>
      </c>
      <c r="E2701">
        <v>0</v>
      </c>
      <c r="F2701">
        <v>0</v>
      </c>
      <c r="G2701" s="10">
        <f t="shared" si="42"/>
        <v>0</v>
      </c>
      <c r="H2701" t="str">
        <f>$A2701&amp;Keys!$C$54&amp;$B2701&amp;Keys!$C$54&amp;$C2701</f>
        <v>VA|exports|hydro (is not a fuel)</v>
      </c>
    </row>
    <row r="2702" spans="1:8" x14ac:dyDescent="0.25">
      <c r="A2702" t="s">
        <v>167</v>
      </c>
      <c r="B2702" t="s">
        <v>193</v>
      </c>
      <c r="C2702" t="s">
        <v>77</v>
      </c>
      <c r="D2702">
        <v>0</v>
      </c>
      <c r="E2702">
        <v>0</v>
      </c>
      <c r="F2702">
        <v>0</v>
      </c>
      <c r="G2702" s="10">
        <f t="shared" si="42"/>
        <v>0</v>
      </c>
      <c r="H2702" t="str">
        <f>$A2702&amp;Keys!$C$54&amp;$B2702&amp;Keys!$C$54&amp;$C2702</f>
        <v>VA|exports|wind (is not a fuel)</v>
      </c>
    </row>
    <row r="2703" spans="1:8" x14ac:dyDescent="0.25">
      <c r="A2703" t="s">
        <v>167</v>
      </c>
      <c r="B2703" t="s">
        <v>193</v>
      </c>
      <c r="C2703" t="s">
        <v>80</v>
      </c>
      <c r="D2703">
        <v>0</v>
      </c>
      <c r="E2703">
        <v>0</v>
      </c>
      <c r="F2703">
        <v>0</v>
      </c>
      <c r="G2703" s="10">
        <f t="shared" si="42"/>
        <v>0</v>
      </c>
      <c r="H2703" t="str">
        <f>$A2703&amp;Keys!$C$54&amp;$B2703&amp;Keys!$C$54&amp;$C2703</f>
        <v>VA|exports|solar (is not a fuel)</v>
      </c>
    </row>
    <row r="2704" spans="1:8" x14ac:dyDescent="0.25">
      <c r="A2704" t="s">
        <v>167</v>
      </c>
      <c r="B2704" t="s">
        <v>193</v>
      </c>
      <c r="C2704" t="s">
        <v>82</v>
      </c>
      <c r="D2704">
        <v>0</v>
      </c>
      <c r="E2704">
        <v>0</v>
      </c>
      <c r="F2704">
        <v>0</v>
      </c>
      <c r="G2704" s="10">
        <f t="shared" si="42"/>
        <v>0</v>
      </c>
      <c r="H2704" t="str">
        <f>$A2704&amp;Keys!$C$54&amp;$B2704&amp;Keys!$C$54&amp;$C2704</f>
        <v>VA|exports|biomass</v>
      </c>
    </row>
    <row r="2705" spans="1:8" x14ac:dyDescent="0.25">
      <c r="A2705" t="s">
        <v>167</v>
      </c>
      <c r="B2705" t="s">
        <v>193</v>
      </c>
      <c r="C2705" t="s">
        <v>85</v>
      </c>
      <c r="D2705">
        <v>0</v>
      </c>
      <c r="E2705">
        <v>0</v>
      </c>
      <c r="F2705">
        <v>0</v>
      </c>
      <c r="G2705" s="10">
        <f t="shared" si="42"/>
        <v>0</v>
      </c>
      <c r="H2705" t="str">
        <f>$A2705&amp;Keys!$C$54&amp;$B2705&amp;Keys!$C$54&amp;$C2705</f>
        <v>VA|exports|petroleum gasoline</v>
      </c>
    </row>
    <row r="2706" spans="1:8" x14ac:dyDescent="0.25">
      <c r="A2706" t="s">
        <v>167</v>
      </c>
      <c r="B2706" t="s">
        <v>193</v>
      </c>
      <c r="C2706" t="s">
        <v>88</v>
      </c>
      <c r="D2706">
        <v>0</v>
      </c>
      <c r="E2706">
        <v>0</v>
      </c>
      <c r="F2706">
        <v>0</v>
      </c>
      <c r="G2706" s="10">
        <f t="shared" si="42"/>
        <v>0</v>
      </c>
      <c r="H2706" t="str">
        <f>$A2706&amp;Keys!$C$54&amp;$B2706&amp;Keys!$C$54&amp;$C2706</f>
        <v>VA|exports|petroleum diesel</v>
      </c>
    </row>
    <row r="2707" spans="1:8" x14ac:dyDescent="0.25">
      <c r="A2707" t="s">
        <v>167</v>
      </c>
      <c r="B2707" t="s">
        <v>193</v>
      </c>
      <c r="C2707" t="s">
        <v>91</v>
      </c>
      <c r="D2707">
        <v>0</v>
      </c>
      <c r="E2707">
        <v>0</v>
      </c>
      <c r="F2707">
        <v>0</v>
      </c>
      <c r="G2707" s="10">
        <f t="shared" si="42"/>
        <v>0</v>
      </c>
      <c r="H2707" t="str">
        <f>$A2707&amp;Keys!$C$54&amp;$B2707&amp;Keys!$C$54&amp;$C2707</f>
        <v>VA|exports|biofuel gasoline</v>
      </c>
    </row>
    <row r="2708" spans="1:8" x14ac:dyDescent="0.25">
      <c r="A2708" t="s">
        <v>167</v>
      </c>
      <c r="B2708" t="s">
        <v>193</v>
      </c>
      <c r="C2708" t="s">
        <v>94</v>
      </c>
      <c r="D2708">
        <v>0</v>
      </c>
      <c r="E2708">
        <v>0</v>
      </c>
      <c r="F2708">
        <v>0</v>
      </c>
      <c r="G2708" s="10">
        <f t="shared" si="42"/>
        <v>0</v>
      </c>
      <c r="H2708" t="str">
        <f>$A2708&amp;Keys!$C$54&amp;$B2708&amp;Keys!$C$54&amp;$C2708</f>
        <v>VA|exports|biofuel diesel</v>
      </c>
    </row>
    <row r="2709" spans="1:8" x14ac:dyDescent="0.25">
      <c r="A2709" t="s">
        <v>167</v>
      </c>
      <c r="B2709" t="s">
        <v>193</v>
      </c>
      <c r="C2709" t="s">
        <v>97</v>
      </c>
      <c r="D2709">
        <v>0</v>
      </c>
      <c r="E2709">
        <v>0</v>
      </c>
      <c r="F2709">
        <v>0</v>
      </c>
      <c r="G2709" s="10">
        <f t="shared" si="42"/>
        <v>0</v>
      </c>
      <c r="H2709" t="str">
        <f>$A2709&amp;Keys!$C$54&amp;$B2709&amp;Keys!$C$54&amp;$C2709</f>
        <v>VA|exports|jet fuel or kerosene</v>
      </c>
    </row>
    <row r="2710" spans="1:8" x14ac:dyDescent="0.25">
      <c r="A2710" t="s">
        <v>167</v>
      </c>
      <c r="B2710" t="s">
        <v>193</v>
      </c>
      <c r="C2710" t="s">
        <v>100</v>
      </c>
      <c r="D2710">
        <v>0</v>
      </c>
      <c r="E2710">
        <v>0</v>
      </c>
      <c r="F2710">
        <v>0</v>
      </c>
      <c r="G2710" s="10">
        <f t="shared" si="42"/>
        <v>0</v>
      </c>
      <c r="H2710" t="str">
        <f>$A2710&amp;Keys!$C$54&amp;$B2710&amp;Keys!$C$54&amp;$C2710</f>
        <v>VA|exports|heat (not used in this variable)</v>
      </c>
    </row>
    <row r="2711" spans="1:8" x14ac:dyDescent="0.25">
      <c r="A2711" t="s">
        <v>167</v>
      </c>
      <c r="B2711" t="s">
        <v>193</v>
      </c>
      <c r="C2711" t="s">
        <v>103</v>
      </c>
      <c r="D2711">
        <v>0</v>
      </c>
      <c r="E2711">
        <v>0</v>
      </c>
      <c r="F2711">
        <v>0</v>
      </c>
      <c r="G2711" s="10">
        <f t="shared" si="42"/>
        <v>0</v>
      </c>
      <c r="H2711" t="str">
        <f>$A2711&amp;Keys!$C$54&amp;$B2711&amp;Keys!$C$54&amp;$C2711</f>
        <v>VA|exports|geothermal (is not a fuel)</v>
      </c>
    </row>
    <row r="2712" spans="1:8" x14ac:dyDescent="0.25">
      <c r="A2712" t="s">
        <v>167</v>
      </c>
      <c r="B2712" t="s">
        <v>193</v>
      </c>
      <c r="C2712" t="s">
        <v>106</v>
      </c>
      <c r="D2712">
        <v>0</v>
      </c>
      <c r="E2712">
        <v>0</v>
      </c>
      <c r="F2712">
        <v>0</v>
      </c>
      <c r="G2712" s="10">
        <f t="shared" si="42"/>
        <v>0</v>
      </c>
      <c r="H2712" t="str">
        <f>$A2712&amp;Keys!$C$54&amp;$B2712&amp;Keys!$C$54&amp;$C2712</f>
        <v>VA|exports|lignite</v>
      </c>
    </row>
    <row r="2713" spans="1:8" x14ac:dyDescent="0.25">
      <c r="A2713" t="s">
        <v>167</v>
      </c>
      <c r="B2713" t="s">
        <v>193</v>
      </c>
      <c r="C2713" t="s">
        <v>109</v>
      </c>
      <c r="D2713">
        <v>0</v>
      </c>
      <c r="E2713">
        <v>0</v>
      </c>
      <c r="F2713">
        <v>0</v>
      </c>
      <c r="G2713" s="10">
        <f t="shared" si="42"/>
        <v>0</v>
      </c>
      <c r="H2713" t="str">
        <f>$A2713&amp;Keys!$C$54&amp;$B2713&amp;Keys!$C$54&amp;$C2713</f>
        <v>VA|exports|crude oil</v>
      </c>
    </row>
    <row r="2714" spans="1:8" x14ac:dyDescent="0.25">
      <c r="A2714" t="s">
        <v>167</v>
      </c>
      <c r="B2714" t="s">
        <v>193</v>
      </c>
      <c r="C2714" t="s">
        <v>113</v>
      </c>
      <c r="D2714">
        <v>0</v>
      </c>
      <c r="E2714">
        <v>0</v>
      </c>
      <c r="F2714">
        <v>0</v>
      </c>
      <c r="G2714" s="10">
        <f t="shared" si="42"/>
        <v>0</v>
      </c>
      <c r="H2714" t="str">
        <f>$A2714&amp;Keys!$C$54&amp;$B2714&amp;Keys!$C$54&amp;$C2714</f>
        <v>VA|exports|heavy fuel oil</v>
      </c>
    </row>
    <row r="2715" spans="1:8" x14ac:dyDescent="0.25">
      <c r="A2715" t="s">
        <v>167</v>
      </c>
      <c r="B2715" t="s">
        <v>193</v>
      </c>
      <c r="C2715" t="s">
        <v>117</v>
      </c>
      <c r="D2715">
        <v>0</v>
      </c>
      <c r="E2715">
        <v>0</v>
      </c>
      <c r="F2715">
        <v>0</v>
      </c>
      <c r="G2715" s="10">
        <f t="shared" si="42"/>
        <v>0</v>
      </c>
      <c r="H2715" t="str">
        <f>$A2715&amp;Keys!$C$54&amp;$B2715&amp;Keys!$C$54&amp;$C2715</f>
        <v>VA|exports|LPG propane or butane</v>
      </c>
    </row>
    <row r="2716" spans="1:8" x14ac:dyDescent="0.25">
      <c r="A2716" t="s">
        <v>167</v>
      </c>
      <c r="B2716" t="s">
        <v>193</v>
      </c>
      <c r="C2716" t="s">
        <v>120</v>
      </c>
      <c r="D2716">
        <v>0</v>
      </c>
      <c r="E2716">
        <v>0</v>
      </c>
      <c r="F2716">
        <v>0</v>
      </c>
      <c r="G2716" s="10">
        <f t="shared" si="42"/>
        <v>0</v>
      </c>
      <c r="H2716" t="str">
        <f>$A2716&amp;Keys!$C$54&amp;$B2716&amp;Keys!$C$54&amp;$C2716</f>
        <v>VA|exports|municipal solid waste</v>
      </c>
    </row>
    <row r="2717" spans="1:8" x14ac:dyDescent="0.25">
      <c r="A2717" t="s">
        <v>167</v>
      </c>
      <c r="B2717" t="s">
        <v>193</v>
      </c>
      <c r="C2717" t="s">
        <v>123</v>
      </c>
      <c r="D2717">
        <v>0</v>
      </c>
      <c r="E2717">
        <v>0</v>
      </c>
      <c r="F2717">
        <v>0</v>
      </c>
      <c r="G2717" s="10">
        <f t="shared" si="42"/>
        <v>0</v>
      </c>
      <c r="H2717" t="str">
        <f>$A2717&amp;Keys!$C$54&amp;$B2717&amp;Keys!$C$54&amp;$C2717</f>
        <v>VA|exports|hydrogen</v>
      </c>
    </row>
    <row r="2718" spans="1:8" x14ac:dyDescent="0.25">
      <c r="A2718" t="s">
        <v>169</v>
      </c>
      <c r="B2718" t="s">
        <v>188</v>
      </c>
      <c r="C2718" t="s">
        <v>60</v>
      </c>
      <c r="D2718">
        <v>0</v>
      </c>
      <c r="E2718">
        <v>0</v>
      </c>
      <c r="F2718">
        <v>0</v>
      </c>
      <c r="G2718" s="10">
        <f t="shared" si="42"/>
        <v>0</v>
      </c>
      <c r="H2718" t="str">
        <f>$A2718&amp;Keys!$C$54&amp;$B2718&amp;Keys!$C$54&amp;$C2718</f>
        <v>VT|production|electricity (not used in this variable)</v>
      </c>
    </row>
    <row r="2719" spans="1:8" x14ac:dyDescent="0.25">
      <c r="A2719" t="s">
        <v>169</v>
      </c>
      <c r="B2719" t="s">
        <v>188</v>
      </c>
      <c r="C2719" t="s">
        <v>64</v>
      </c>
      <c r="D2719">
        <v>0</v>
      </c>
      <c r="E2719">
        <v>0</v>
      </c>
      <c r="F2719">
        <v>0</v>
      </c>
      <c r="G2719" s="10">
        <f t="shared" si="42"/>
        <v>0</v>
      </c>
      <c r="H2719" t="str">
        <f>$A2719&amp;Keys!$C$54&amp;$B2719&amp;Keys!$C$54&amp;$C2719</f>
        <v>VT|production|hard coal</v>
      </c>
    </row>
    <row r="2720" spans="1:8" x14ac:dyDescent="0.25">
      <c r="A2720" t="s">
        <v>169</v>
      </c>
      <c r="B2720" t="s">
        <v>188</v>
      </c>
      <c r="C2720" t="s">
        <v>68</v>
      </c>
      <c r="D2720">
        <v>0</v>
      </c>
      <c r="E2720">
        <v>0</v>
      </c>
      <c r="F2720">
        <v>0</v>
      </c>
      <c r="G2720" s="10">
        <f t="shared" si="42"/>
        <v>0</v>
      </c>
      <c r="H2720" t="str">
        <f>$A2720&amp;Keys!$C$54&amp;$B2720&amp;Keys!$C$54&amp;$C2720</f>
        <v>VT|production|natural gas</v>
      </c>
    </row>
    <row r="2721" spans="1:8" x14ac:dyDescent="0.25">
      <c r="A2721" t="s">
        <v>169</v>
      </c>
      <c r="B2721" t="s">
        <v>188</v>
      </c>
      <c r="C2721" t="s">
        <v>71</v>
      </c>
      <c r="D2721">
        <v>0</v>
      </c>
      <c r="E2721">
        <v>0</v>
      </c>
      <c r="F2721">
        <v>0</v>
      </c>
      <c r="G2721" s="10">
        <f t="shared" si="42"/>
        <v>0</v>
      </c>
      <c r="H2721" t="str">
        <f>$A2721&amp;Keys!$C$54&amp;$B2721&amp;Keys!$C$54&amp;$C2721</f>
        <v>VT|production|nuclear</v>
      </c>
    </row>
    <row r="2722" spans="1:8" x14ac:dyDescent="0.25">
      <c r="A2722" t="s">
        <v>169</v>
      </c>
      <c r="B2722" t="s">
        <v>188</v>
      </c>
      <c r="C2722" t="s">
        <v>74</v>
      </c>
      <c r="D2722">
        <v>0</v>
      </c>
      <c r="E2722">
        <v>0</v>
      </c>
      <c r="F2722">
        <v>0</v>
      </c>
      <c r="G2722" s="10">
        <f t="shared" si="42"/>
        <v>0</v>
      </c>
      <c r="H2722" t="str">
        <f>$A2722&amp;Keys!$C$54&amp;$B2722&amp;Keys!$C$54&amp;$C2722</f>
        <v>VT|production|hydro (is not a fuel)</v>
      </c>
    </row>
    <row r="2723" spans="1:8" x14ac:dyDescent="0.25">
      <c r="A2723" t="s">
        <v>169</v>
      </c>
      <c r="B2723" t="s">
        <v>188</v>
      </c>
      <c r="C2723" t="s">
        <v>77</v>
      </c>
      <c r="D2723">
        <v>0</v>
      </c>
      <c r="E2723">
        <v>0</v>
      </c>
      <c r="F2723">
        <v>0</v>
      </c>
      <c r="G2723" s="10">
        <f t="shared" si="42"/>
        <v>0</v>
      </c>
      <c r="H2723" t="str">
        <f>$A2723&amp;Keys!$C$54&amp;$B2723&amp;Keys!$C$54&amp;$C2723</f>
        <v>VT|production|wind (is not a fuel)</v>
      </c>
    </row>
    <row r="2724" spans="1:8" x14ac:dyDescent="0.25">
      <c r="A2724" t="s">
        <v>169</v>
      </c>
      <c r="B2724" t="s">
        <v>188</v>
      </c>
      <c r="C2724" t="s">
        <v>80</v>
      </c>
      <c r="D2724">
        <v>0</v>
      </c>
      <c r="E2724">
        <v>0</v>
      </c>
      <c r="F2724">
        <v>0</v>
      </c>
      <c r="G2724" s="10">
        <f t="shared" si="42"/>
        <v>0</v>
      </c>
      <c r="H2724" t="str">
        <f>$A2724&amp;Keys!$C$54&amp;$B2724&amp;Keys!$C$54&amp;$C2724</f>
        <v>VT|production|solar (is not a fuel)</v>
      </c>
    </row>
    <row r="2725" spans="1:8" x14ac:dyDescent="0.25">
      <c r="A2725" t="s">
        <v>169</v>
      </c>
      <c r="B2725" t="s">
        <v>188</v>
      </c>
      <c r="C2725" t="s">
        <v>82</v>
      </c>
      <c r="D2725">
        <v>224000000000</v>
      </c>
      <c r="E2725">
        <v>224000000000</v>
      </c>
      <c r="F2725">
        <v>224000000000</v>
      </c>
      <c r="G2725" s="10">
        <f t="shared" si="42"/>
        <v>224000000000</v>
      </c>
      <c r="H2725" t="str">
        <f>$A2725&amp;Keys!$C$54&amp;$B2725&amp;Keys!$C$54&amp;$C2725</f>
        <v>VT|production|biomass</v>
      </c>
    </row>
    <row r="2726" spans="1:8" x14ac:dyDescent="0.25">
      <c r="A2726" t="s">
        <v>169</v>
      </c>
      <c r="B2726" t="s">
        <v>188</v>
      </c>
      <c r="C2726" t="s">
        <v>85</v>
      </c>
      <c r="D2726">
        <v>0</v>
      </c>
      <c r="E2726">
        <v>0</v>
      </c>
      <c r="F2726">
        <v>0</v>
      </c>
      <c r="G2726" s="10">
        <f t="shared" si="42"/>
        <v>0</v>
      </c>
      <c r="H2726" t="str">
        <f>$A2726&amp;Keys!$C$54&amp;$B2726&amp;Keys!$C$54&amp;$C2726</f>
        <v>VT|production|petroleum gasoline</v>
      </c>
    </row>
    <row r="2727" spans="1:8" x14ac:dyDescent="0.25">
      <c r="A2727" t="s">
        <v>169</v>
      </c>
      <c r="B2727" t="s">
        <v>188</v>
      </c>
      <c r="C2727" t="s">
        <v>88</v>
      </c>
      <c r="D2727">
        <v>0</v>
      </c>
      <c r="E2727">
        <v>0</v>
      </c>
      <c r="F2727">
        <v>0</v>
      </c>
      <c r="G2727" s="10">
        <f t="shared" si="42"/>
        <v>0</v>
      </c>
      <c r="H2727" t="str">
        <f>$A2727&amp;Keys!$C$54&amp;$B2727&amp;Keys!$C$54&amp;$C2727</f>
        <v>VT|production|petroleum diesel</v>
      </c>
    </row>
    <row r="2728" spans="1:8" x14ac:dyDescent="0.25">
      <c r="A2728" t="s">
        <v>169</v>
      </c>
      <c r="B2728" t="s">
        <v>188</v>
      </c>
      <c r="C2728" t="s">
        <v>91</v>
      </c>
      <c r="D2728">
        <v>0</v>
      </c>
      <c r="E2728">
        <v>0</v>
      </c>
      <c r="F2728">
        <v>0</v>
      </c>
      <c r="G2728" s="10">
        <f t="shared" si="42"/>
        <v>0</v>
      </c>
      <c r="H2728" t="str">
        <f>$A2728&amp;Keys!$C$54&amp;$B2728&amp;Keys!$C$54&amp;$C2728</f>
        <v>VT|production|biofuel gasoline</v>
      </c>
    </row>
    <row r="2729" spans="1:8" x14ac:dyDescent="0.25">
      <c r="A2729" t="s">
        <v>169</v>
      </c>
      <c r="B2729" t="s">
        <v>188</v>
      </c>
      <c r="C2729" t="s">
        <v>94</v>
      </c>
      <c r="D2729">
        <v>0</v>
      </c>
      <c r="E2729">
        <v>0</v>
      </c>
      <c r="F2729">
        <v>0</v>
      </c>
      <c r="G2729" s="10">
        <f t="shared" si="42"/>
        <v>0</v>
      </c>
      <c r="H2729" t="str">
        <f>$A2729&amp;Keys!$C$54&amp;$B2729&amp;Keys!$C$54&amp;$C2729</f>
        <v>VT|production|biofuel diesel</v>
      </c>
    </row>
    <row r="2730" spans="1:8" x14ac:dyDescent="0.25">
      <c r="A2730" t="s">
        <v>169</v>
      </c>
      <c r="B2730" t="s">
        <v>188</v>
      </c>
      <c r="C2730" t="s">
        <v>97</v>
      </c>
      <c r="D2730">
        <v>0</v>
      </c>
      <c r="E2730">
        <v>0</v>
      </c>
      <c r="F2730">
        <v>0</v>
      </c>
      <c r="G2730" s="10">
        <f t="shared" si="42"/>
        <v>0</v>
      </c>
      <c r="H2730" t="str">
        <f>$A2730&amp;Keys!$C$54&amp;$B2730&amp;Keys!$C$54&amp;$C2730</f>
        <v>VT|production|jet fuel or kerosene</v>
      </c>
    </row>
    <row r="2731" spans="1:8" x14ac:dyDescent="0.25">
      <c r="A2731" t="s">
        <v>169</v>
      </c>
      <c r="B2731" t="s">
        <v>188</v>
      </c>
      <c r="C2731" t="s">
        <v>100</v>
      </c>
      <c r="D2731">
        <v>0</v>
      </c>
      <c r="E2731">
        <v>0</v>
      </c>
      <c r="F2731">
        <v>0</v>
      </c>
      <c r="G2731" s="10">
        <f t="shared" si="42"/>
        <v>0</v>
      </c>
      <c r="H2731" t="str">
        <f>$A2731&amp;Keys!$C$54&amp;$B2731&amp;Keys!$C$54&amp;$C2731</f>
        <v>VT|production|heat (not used in this variable)</v>
      </c>
    </row>
    <row r="2732" spans="1:8" x14ac:dyDescent="0.25">
      <c r="A2732" t="s">
        <v>169</v>
      </c>
      <c r="B2732" t="s">
        <v>188</v>
      </c>
      <c r="C2732" t="s">
        <v>103</v>
      </c>
      <c r="D2732">
        <v>0</v>
      </c>
      <c r="E2732">
        <v>0</v>
      </c>
      <c r="F2732">
        <v>0</v>
      </c>
      <c r="G2732" s="10">
        <f t="shared" si="42"/>
        <v>0</v>
      </c>
      <c r="H2732" t="str">
        <f>$A2732&amp;Keys!$C$54&amp;$B2732&amp;Keys!$C$54&amp;$C2732</f>
        <v>VT|production|geothermal (is not a fuel)</v>
      </c>
    </row>
    <row r="2733" spans="1:8" x14ac:dyDescent="0.25">
      <c r="A2733" t="s">
        <v>169</v>
      </c>
      <c r="B2733" t="s">
        <v>188</v>
      </c>
      <c r="C2733" t="s">
        <v>106</v>
      </c>
      <c r="D2733">
        <v>0</v>
      </c>
      <c r="E2733">
        <v>0</v>
      </c>
      <c r="F2733">
        <v>0</v>
      </c>
      <c r="G2733" s="10">
        <f t="shared" si="42"/>
        <v>0</v>
      </c>
      <c r="H2733" t="str">
        <f>$A2733&amp;Keys!$C$54&amp;$B2733&amp;Keys!$C$54&amp;$C2733</f>
        <v>VT|production|lignite</v>
      </c>
    </row>
    <row r="2734" spans="1:8" x14ac:dyDescent="0.25">
      <c r="A2734" t="s">
        <v>169</v>
      </c>
      <c r="B2734" t="s">
        <v>188</v>
      </c>
      <c r="C2734" t="s">
        <v>109</v>
      </c>
      <c r="D2734">
        <v>0</v>
      </c>
      <c r="E2734">
        <v>0</v>
      </c>
      <c r="F2734">
        <v>0</v>
      </c>
      <c r="G2734" s="10">
        <f t="shared" si="42"/>
        <v>0</v>
      </c>
      <c r="H2734" t="str">
        <f>$A2734&amp;Keys!$C$54&amp;$B2734&amp;Keys!$C$54&amp;$C2734</f>
        <v>VT|production|crude oil</v>
      </c>
    </row>
    <row r="2735" spans="1:8" x14ac:dyDescent="0.25">
      <c r="A2735" t="s">
        <v>169</v>
      </c>
      <c r="B2735" t="s">
        <v>188</v>
      </c>
      <c r="C2735" t="s">
        <v>113</v>
      </c>
      <c r="D2735">
        <v>0</v>
      </c>
      <c r="E2735">
        <v>0</v>
      </c>
      <c r="F2735">
        <v>0</v>
      </c>
      <c r="G2735" s="10">
        <f t="shared" si="42"/>
        <v>0</v>
      </c>
      <c r="H2735" t="str">
        <f>$A2735&amp;Keys!$C$54&amp;$B2735&amp;Keys!$C$54&amp;$C2735</f>
        <v>VT|production|heavy fuel oil</v>
      </c>
    </row>
    <row r="2736" spans="1:8" x14ac:dyDescent="0.25">
      <c r="A2736" t="s">
        <v>169</v>
      </c>
      <c r="B2736" t="s">
        <v>188</v>
      </c>
      <c r="C2736" t="s">
        <v>117</v>
      </c>
      <c r="D2736">
        <v>0</v>
      </c>
      <c r="E2736">
        <v>0</v>
      </c>
      <c r="F2736">
        <v>0</v>
      </c>
      <c r="G2736" s="10">
        <f t="shared" si="42"/>
        <v>0</v>
      </c>
      <c r="H2736" t="str">
        <f>$A2736&amp;Keys!$C$54&amp;$B2736&amp;Keys!$C$54&amp;$C2736</f>
        <v>VT|production|LPG propane or butane</v>
      </c>
    </row>
    <row r="2737" spans="1:8" x14ac:dyDescent="0.25">
      <c r="A2737" t="s">
        <v>169</v>
      </c>
      <c r="B2737" t="s">
        <v>188</v>
      </c>
      <c r="C2737" t="s">
        <v>120</v>
      </c>
      <c r="D2737">
        <v>0</v>
      </c>
      <c r="E2737">
        <v>0</v>
      </c>
      <c r="F2737">
        <v>0</v>
      </c>
      <c r="G2737" s="10">
        <f t="shared" si="42"/>
        <v>0</v>
      </c>
      <c r="H2737" t="str">
        <f>$A2737&amp;Keys!$C$54&amp;$B2737&amp;Keys!$C$54&amp;$C2737</f>
        <v>VT|production|municipal solid waste</v>
      </c>
    </row>
    <row r="2738" spans="1:8" x14ac:dyDescent="0.25">
      <c r="A2738" t="s">
        <v>169</v>
      </c>
      <c r="B2738" t="s">
        <v>188</v>
      </c>
      <c r="C2738" t="s">
        <v>123</v>
      </c>
      <c r="D2738">
        <v>0</v>
      </c>
      <c r="E2738">
        <v>0</v>
      </c>
      <c r="F2738">
        <v>0</v>
      </c>
      <c r="G2738" s="10">
        <f t="shared" si="42"/>
        <v>0</v>
      </c>
      <c r="H2738" t="str">
        <f>$A2738&amp;Keys!$C$54&amp;$B2738&amp;Keys!$C$54&amp;$C2738</f>
        <v>VT|production|hydrogen</v>
      </c>
    </row>
    <row r="2739" spans="1:8" x14ac:dyDescent="0.25">
      <c r="A2739" t="s">
        <v>169</v>
      </c>
      <c r="B2739" t="s">
        <v>191</v>
      </c>
      <c r="C2739" t="s">
        <v>60</v>
      </c>
      <c r="D2739">
        <v>0</v>
      </c>
      <c r="E2739">
        <v>0</v>
      </c>
      <c r="F2739">
        <v>0</v>
      </c>
      <c r="G2739" s="10">
        <f t="shared" si="42"/>
        <v>0</v>
      </c>
      <c r="H2739" t="str">
        <f>$A2739&amp;Keys!$C$54&amp;$B2739&amp;Keys!$C$54&amp;$C2739</f>
        <v>VT|imports|electricity (not used in this variable)</v>
      </c>
    </row>
    <row r="2740" spans="1:8" x14ac:dyDescent="0.25">
      <c r="A2740" t="s">
        <v>169</v>
      </c>
      <c r="B2740" t="s">
        <v>191</v>
      </c>
      <c r="C2740" t="s">
        <v>64</v>
      </c>
      <c r="D2740">
        <v>0</v>
      </c>
      <c r="E2740">
        <v>0</v>
      </c>
      <c r="F2740">
        <v>0</v>
      </c>
      <c r="G2740" s="10">
        <f t="shared" si="42"/>
        <v>0</v>
      </c>
      <c r="H2740" t="str">
        <f>$A2740&amp;Keys!$C$54&amp;$B2740&amp;Keys!$C$54&amp;$C2740</f>
        <v>VT|imports|hard coal</v>
      </c>
    </row>
    <row r="2741" spans="1:8" x14ac:dyDescent="0.25">
      <c r="A2741" t="s">
        <v>169</v>
      </c>
      <c r="B2741" t="s">
        <v>191</v>
      </c>
      <c r="C2741" t="s">
        <v>68</v>
      </c>
      <c r="D2741">
        <v>170230000000000</v>
      </c>
      <c r="E2741">
        <v>170131000000000</v>
      </c>
      <c r="F2741">
        <v>170466000000000</v>
      </c>
      <c r="G2741" s="10">
        <f t="shared" si="42"/>
        <v>170275666666666.66</v>
      </c>
      <c r="H2741" t="str">
        <f>$A2741&amp;Keys!$C$54&amp;$B2741&amp;Keys!$C$54&amp;$C2741</f>
        <v>VT|imports|natural gas</v>
      </c>
    </row>
    <row r="2742" spans="1:8" x14ac:dyDescent="0.25">
      <c r="A2742" t="s">
        <v>169</v>
      </c>
      <c r="B2742" t="s">
        <v>191</v>
      </c>
      <c r="C2742" t="s">
        <v>71</v>
      </c>
      <c r="D2742">
        <v>0</v>
      </c>
      <c r="E2742">
        <v>0</v>
      </c>
      <c r="F2742">
        <v>0</v>
      </c>
      <c r="G2742" s="10">
        <f t="shared" si="42"/>
        <v>0</v>
      </c>
      <c r="H2742" t="str">
        <f>$A2742&amp;Keys!$C$54&amp;$B2742&amp;Keys!$C$54&amp;$C2742</f>
        <v>VT|imports|nuclear</v>
      </c>
    </row>
    <row r="2743" spans="1:8" x14ac:dyDescent="0.25">
      <c r="A2743" t="s">
        <v>169</v>
      </c>
      <c r="B2743" t="s">
        <v>191</v>
      </c>
      <c r="C2743" t="s">
        <v>74</v>
      </c>
      <c r="D2743">
        <v>0</v>
      </c>
      <c r="E2743">
        <v>0</v>
      </c>
      <c r="F2743">
        <v>0</v>
      </c>
      <c r="G2743" s="10">
        <f t="shared" si="42"/>
        <v>0</v>
      </c>
      <c r="H2743" t="str">
        <f>$A2743&amp;Keys!$C$54&amp;$B2743&amp;Keys!$C$54&amp;$C2743</f>
        <v>VT|imports|hydro (is not a fuel)</v>
      </c>
    </row>
    <row r="2744" spans="1:8" x14ac:dyDescent="0.25">
      <c r="A2744" t="s">
        <v>169</v>
      </c>
      <c r="B2744" t="s">
        <v>191</v>
      </c>
      <c r="C2744" t="s">
        <v>77</v>
      </c>
      <c r="D2744">
        <v>0</v>
      </c>
      <c r="E2744">
        <v>0</v>
      </c>
      <c r="F2744">
        <v>0</v>
      </c>
      <c r="G2744" s="10">
        <f t="shared" si="42"/>
        <v>0</v>
      </c>
      <c r="H2744" t="str">
        <f>$A2744&amp;Keys!$C$54&amp;$B2744&amp;Keys!$C$54&amp;$C2744</f>
        <v>VT|imports|wind (is not a fuel)</v>
      </c>
    </row>
    <row r="2745" spans="1:8" x14ac:dyDescent="0.25">
      <c r="A2745" t="s">
        <v>169</v>
      </c>
      <c r="B2745" t="s">
        <v>191</v>
      </c>
      <c r="C2745" t="s">
        <v>80</v>
      </c>
      <c r="D2745">
        <v>0</v>
      </c>
      <c r="E2745">
        <v>0</v>
      </c>
      <c r="F2745">
        <v>0</v>
      </c>
      <c r="G2745" s="10">
        <f t="shared" si="42"/>
        <v>0</v>
      </c>
      <c r="H2745" t="str">
        <f>$A2745&amp;Keys!$C$54&amp;$B2745&amp;Keys!$C$54&amp;$C2745</f>
        <v>VT|imports|solar (is not a fuel)</v>
      </c>
    </row>
    <row r="2746" spans="1:8" x14ac:dyDescent="0.25">
      <c r="A2746" t="s">
        <v>169</v>
      </c>
      <c r="B2746" t="s">
        <v>191</v>
      </c>
      <c r="C2746" t="s">
        <v>82</v>
      </c>
      <c r="D2746">
        <v>0</v>
      </c>
      <c r="E2746">
        <v>11546000000000</v>
      </c>
      <c r="F2746">
        <v>12126900000000</v>
      </c>
      <c r="G2746" s="10">
        <f t="shared" si="42"/>
        <v>7890966666666.667</v>
      </c>
      <c r="H2746" t="str">
        <f>$A2746&amp;Keys!$C$54&amp;$B2746&amp;Keys!$C$54&amp;$C2746</f>
        <v>VT|imports|biomass</v>
      </c>
    </row>
    <row r="2747" spans="1:8" x14ac:dyDescent="0.25">
      <c r="A2747" t="s">
        <v>169</v>
      </c>
      <c r="B2747" t="s">
        <v>191</v>
      </c>
      <c r="C2747" t="s">
        <v>85</v>
      </c>
      <c r="D2747">
        <v>0</v>
      </c>
      <c r="E2747">
        <v>28222700000000</v>
      </c>
      <c r="F2747">
        <v>27872600000000</v>
      </c>
      <c r="G2747" s="10">
        <f t="shared" si="42"/>
        <v>18698433333333.332</v>
      </c>
      <c r="H2747" t="str">
        <f>$A2747&amp;Keys!$C$54&amp;$B2747&amp;Keys!$C$54&amp;$C2747</f>
        <v>VT|imports|petroleum gasoline</v>
      </c>
    </row>
    <row r="2748" spans="1:8" x14ac:dyDescent="0.25">
      <c r="A2748" t="s">
        <v>169</v>
      </c>
      <c r="B2748" t="s">
        <v>191</v>
      </c>
      <c r="C2748" t="s">
        <v>88</v>
      </c>
      <c r="D2748">
        <v>0</v>
      </c>
      <c r="E2748">
        <v>27562200000000</v>
      </c>
      <c r="F2748">
        <v>26786200000000</v>
      </c>
      <c r="G2748" s="10">
        <f t="shared" si="42"/>
        <v>18116133333333.332</v>
      </c>
      <c r="H2748" t="str">
        <f>$A2748&amp;Keys!$C$54&amp;$B2748&amp;Keys!$C$54&amp;$C2748</f>
        <v>VT|imports|petroleum diesel</v>
      </c>
    </row>
    <row r="2749" spans="1:8" x14ac:dyDescent="0.25">
      <c r="A2749" t="s">
        <v>169</v>
      </c>
      <c r="B2749" t="s">
        <v>191</v>
      </c>
      <c r="C2749" t="s">
        <v>91</v>
      </c>
      <c r="D2749">
        <v>0</v>
      </c>
      <c r="E2749">
        <v>1940690000000</v>
      </c>
      <c r="F2749">
        <v>1917100000000</v>
      </c>
      <c r="G2749" s="10">
        <f t="shared" si="42"/>
        <v>1285930000000</v>
      </c>
      <c r="H2749" t="str">
        <f>$A2749&amp;Keys!$C$54&amp;$B2749&amp;Keys!$C$54&amp;$C2749</f>
        <v>VT|imports|biofuel gasoline</v>
      </c>
    </row>
    <row r="2750" spans="1:8" x14ac:dyDescent="0.25">
      <c r="A2750" t="s">
        <v>169</v>
      </c>
      <c r="B2750" t="s">
        <v>191</v>
      </c>
      <c r="C2750" t="s">
        <v>94</v>
      </c>
      <c r="D2750">
        <v>0</v>
      </c>
      <c r="E2750">
        <v>176275000000</v>
      </c>
      <c r="F2750">
        <v>177515000000</v>
      </c>
      <c r="G2750" s="10">
        <f t="shared" si="42"/>
        <v>117930000000</v>
      </c>
      <c r="H2750" t="str">
        <f>$A2750&amp;Keys!$C$54&amp;$B2750&amp;Keys!$C$54&amp;$C2750</f>
        <v>VT|imports|biofuel diesel</v>
      </c>
    </row>
    <row r="2751" spans="1:8" x14ac:dyDescent="0.25">
      <c r="A2751" t="s">
        <v>169</v>
      </c>
      <c r="B2751" t="s">
        <v>191</v>
      </c>
      <c r="C2751" t="s">
        <v>97</v>
      </c>
      <c r="D2751">
        <v>0</v>
      </c>
      <c r="E2751">
        <v>1478950000000</v>
      </c>
      <c r="F2751">
        <v>1513930000000</v>
      </c>
      <c r="G2751" s="10">
        <f t="shared" si="42"/>
        <v>997626666666.66663</v>
      </c>
      <c r="H2751" t="str">
        <f>$A2751&amp;Keys!$C$54&amp;$B2751&amp;Keys!$C$54&amp;$C2751</f>
        <v>VT|imports|jet fuel or kerosene</v>
      </c>
    </row>
    <row r="2752" spans="1:8" x14ac:dyDescent="0.25">
      <c r="A2752" t="s">
        <v>169</v>
      </c>
      <c r="B2752" t="s">
        <v>191</v>
      </c>
      <c r="C2752" t="s">
        <v>100</v>
      </c>
      <c r="D2752">
        <v>0</v>
      </c>
      <c r="E2752">
        <v>0</v>
      </c>
      <c r="F2752">
        <v>0</v>
      </c>
      <c r="G2752" s="10">
        <f t="shared" si="42"/>
        <v>0</v>
      </c>
      <c r="H2752" t="str">
        <f>$A2752&amp;Keys!$C$54&amp;$B2752&amp;Keys!$C$54&amp;$C2752</f>
        <v>VT|imports|heat (not used in this variable)</v>
      </c>
    </row>
    <row r="2753" spans="1:8" x14ac:dyDescent="0.25">
      <c r="A2753" t="s">
        <v>169</v>
      </c>
      <c r="B2753" t="s">
        <v>191</v>
      </c>
      <c r="C2753" t="s">
        <v>103</v>
      </c>
      <c r="D2753">
        <v>0</v>
      </c>
      <c r="E2753">
        <v>0</v>
      </c>
      <c r="F2753">
        <v>0</v>
      </c>
      <c r="G2753" s="10">
        <f t="shared" si="42"/>
        <v>0</v>
      </c>
      <c r="H2753" t="str">
        <f>$A2753&amp;Keys!$C$54&amp;$B2753&amp;Keys!$C$54&amp;$C2753</f>
        <v>VT|imports|geothermal (is not a fuel)</v>
      </c>
    </row>
    <row r="2754" spans="1:8" x14ac:dyDescent="0.25">
      <c r="A2754" t="s">
        <v>169</v>
      </c>
      <c r="B2754" t="s">
        <v>191</v>
      </c>
      <c r="C2754" t="s">
        <v>106</v>
      </c>
      <c r="D2754">
        <v>0</v>
      </c>
      <c r="E2754">
        <v>0</v>
      </c>
      <c r="F2754">
        <v>0</v>
      </c>
      <c r="G2754" s="10">
        <f t="shared" si="42"/>
        <v>0</v>
      </c>
      <c r="H2754" t="str">
        <f>$A2754&amp;Keys!$C$54&amp;$B2754&amp;Keys!$C$54&amp;$C2754</f>
        <v>VT|imports|lignite</v>
      </c>
    </row>
    <row r="2755" spans="1:8" x14ac:dyDescent="0.25">
      <c r="A2755" t="s">
        <v>169</v>
      </c>
      <c r="B2755" t="s">
        <v>191</v>
      </c>
      <c r="C2755" t="s">
        <v>109</v>
      </c>
      <c r="D2755">
        <v>0</v>
      </c>
      <c r="E2755">
        <v>81000000000</v>
      </c>
      <c r="F2755">
        <v>0</v>
      </c>
      <c r="G2755" s="10">
        <f t="shared" si="42"/>
        <v>27000000000</v>
      </c>
      <c r="H2755" t="str">
        <f>$A2755&amp;Keys!$C$54&amp;$B2755&amp;Keys!$C$54&amp;$C2755</f>
        <v>VT|imports|crude oil</v>
      </c>
    </row>
    <row r="2756" spans="1:8" x14ac:dyDescent="0.25">
      <c r="A2756" t="s">
        <v>169</v>
      </c>
      <c r="B2756" t="s">
        <v>191</v>
      </c>
      <c r="C2756" t="s">
        <v>113</v>
      </c>
      <c r="D2756">
        <v>0</v>
      </c>
      <c r="E2756">
        <v>3692360000000</v>
      </c>
      <c r="F2756">
        <v>3763080000000</v>
      </c>
      <c r="G2756" s="10">
        <f t="shared" si="42"/>
        <v>2485146666666.6665</v>
      </c>
      <c r="H2756" t="str">
        <f>$A2756&amp;Keys!$C$54&amp;$B2756&amp;Keys!$C$54&amp;$C2756</f>
        <v>VT|imports|heavy fuel oil</v>
      </c>
    </row>
    <row r="2757" spans="1:8" x14ac:dyDescent="0.25">
      <c r="A2757" t="s">
        <v>169</v>
      </c>
      <c r="B2757" t="s">
        <v>191</v>
      </c>
      <c r="C2757" t="s">
        <v>117</v>
      </c>
      <c r="D2757">
        <v>0</v>
      </c>
      <c r="E2757">
        <v>8255780000000</v>
      </c>
      <c r="F2757">
        <v>8164850000000</v>
      </c>
      <c r="G2757" s="10">
        <f t="shared" si="42"/>
        <v>5473543333333.333</v>
      </c>
      <c r="H2757" t="str">
        <f>$A2757&amp;Keys!$C$54&amp;$B2757&amp;Keys!$C$54&amp;$C2757</f>
        <v>VT|imports|LPG propane or butane</v>
      </c>
    </row>
    <row r="2758" spans="1:8" x14ac:dyDescent="0.25">
      <c r="A2758" t="s">
        <v>169</v>
      </c>
      <c r="B2758" t="s">
        <v>191</v>
      </c>
      <c r="C2758" t="s">
        <v>120</v>
      </c>
      <c r="D2758">
        <v>0</v>
      </c>
      <c r="E2758">
        <v>0</v>
      </c>
      <c r="F2758">
        <v>0</v>
      </c>
      <c r="G2758" s="10">
        <f t="shared" si="42"/>
        <v>0</v>
      </c>
      <c r="H2758" t="str">
        <f>$A2758&amp;Keys!$C$54&amp;$B2758&amp;Keys!$C$54&amp;$C2758</f>
        <v>VT|imports|municipal solid waste</v>
      </c>
    </row>
    <row r="2759" spans="1:8" x14ac:dyDescent="0.25">
      <c r="A2759" t="s">
        <v>169</v>
      </c>
      <c r="B2759" t="s">
        <v>191</v>
      </c>
      <c r="C2759" t="s">
        <v>123</v>
      </c>
      <c r="D2759">
        <v>0</v>
      </c>
      <c r="E2759">
        <v>0</v>
      </c>
      <c r="F2759">
        <v>0</v>
      </c>
      <c r="G2759" s="10">
        <f t="shared" si="42"/>
        <v>0</v>
      </c>
      <c r="H2759" t="str">
        <f>$A2759&amp;Keys!$C$54&amp;$B2759&amp;Keys!$C$54&amp;$C2759</f>
        <v>VT|imports|hydrogen</v>
      </c>
    </row>
    <row r="2760" spans="1:8" x14ac:dyDescent="0.25">
      <c r="A2760" t="s">
        <v>169</v>
      </c>
      <c r="B2760" t="s">
        <v>193</v>
      </c>
      <c r="C2760" t="s">
        <v>60</v>
      </c>
      <c r="D2760">
        <v>0</v>
      </c>
      <c r="E2760">
        <v>0</v>
      </c>
      <c r="F2760">
        <v>0</v>
      </c>
      <c r="G2760" s="10">
        <f t="shared" si="42"/>
        <v>0</v>
      </c>
      <c r="H2760" t="str">
        <f>$A2760&amp;Keys!$C$54&amp;$B2760&amp;Keys!$C$54&amp;$C2760</f>
        <v>VT|exports|electricity (not used in this variable)</v>
      </c>
    </row>
    <row r="2761" spans="1:8" x14ac:dyDescent="0.25">
      <c r="A2761" t="s">
        <v>169</v>
      </c>
      <c r="B2761" t="s">
        <v>193</v>
      </c>
      <c r="C2761" t="s">
        <v>64</v>
      </c>
      <c r="D2761">
        <v>0</v>
      </c>
      <c r="E2761">
        <v>0</v>
      </c>
      <c r="F2761">
        <v>0</v>
      </c>
      <c r="G2761" s="10">
        <f t="shared" ref="G2761:G2824" si="43">AVERAGE($D2761:$F2761)</f>
        <v>0</v>
      </c>
      <c r="H2761" t="str">
        <f>$A2761&amp;Keys!$C$54&amp;$B2761&amp;Keys!$C$54&amp;$C2761</f>
        <v>VT|exports|hard coal</v>
      </c>
    </row>
    <row r="2762" spans="1:8" x14ac:dyDescent="0.25">
      <c r="A2762" t="s">
        <v>169</v>
      </c>
      <c r="B2762" t="s">
        <v>193</v>
      </c>
      <c r="C2762" t="s">
        <v>68</v>
      </c>
      <c r="D2762">
        <v>157126000000000</v>
      </c>
      <c r="E2762">
        <v>157126000000000</v>
      </c>
      <c r="F2762">
        <v>157614000000000</v>
      </c>
      <c r="G2762" s="10">
        <f t="shared" si="43"/>
        <v>157288666666666.66</v>
      </c>
      <c r="H2762" t="str">
        <f>$A2762&amp;Keys!$C$54&amp;$B2762&amp;Keys!$C$54&amp;$C2762</f>
        <v>VT|exports|natural gas</v>
      </c>
    </row>
    <row r="2763" spans="1:8" x14ac:dyDescent="0.25">
      <c r="A2763" t="s">
        <v>169</v>
      </c>
      <c r="B2763" t="s">
        <v>193</v>
      </c>
      <c r="C2763" t="s">
        <v>71</v>
      </c>
      <c r="D2763">
        <v>0</v>
      </c>
      <c r="E2763">
        <v>0</v>
      </c>
      <c r="F2763">
        <v>0</v>
      </c>
      <c r="G2763" s="10">
        <f t="shared" si="43"/>
        <v>0</v>
      </c>
      <c r="H2763" t="str">
        <f>$A2763&amp;Keys!$C$54&amp;$B2763&amp;Keys!$C$54&amp;$C2763</f>
        <v>VT|exports|nuclear</v>
      </c>
    </row>
    <row r="2764" spans="1:8" x14ac:dyDescent="0.25">
      <c r="A2764" t="s">
        <v>169</v>
      </c>
      <c r="B2764" t="s">
        <v>193</v>
      </c>
      <c r="C2764" t="s">
        <v>74</v>
      </c>
      <c r="D2764">
        <v>0</v>
      </c>
      <c r="E2764">
        <v>0</v>
      </c>
      <c r="F2764">
        <v>0</v>
      </c>
      <c r="G2764" s="10">
        <f t="shared" si="43"/>
        <v>0</v>
      </c>
      <c r="H2764" t="str">
        <f>$A2764&amp;Keys!$C$54&amp;$B2764&amp;Keys!$C$54&amp;$C2764</f>
        <v>VT|exports|hydro (is not a fuel)</v>
      </c>
    </row>
    <row r="2765" spans="1:8" x14ac:dyDescent="0.25">
      <c r="A2765" t="s">
        <v>169</v>
      </c>
      <c r="B2765" t="s">
        <v>193</v>
      </c>
      <c r="C2765" t="s">
        <v>77</v>
      </c>
      <c r="D2765">
        <v>0</v>
      </c>
      <c r="E2765">
        <v>0</v>
      </c>
      <c r="F2765">
        <v>0</v>
      </c>
      <c r="G2765" s="10">
        <f t="shared" si="43"/>
        <v>0</v>
      </c>
      <c r="H2765" t="str">
        <f>$A2765&amp;Keys!$C$54&amp;$B2765&amp;Keys!$C$54&amp;$C2765</f>
        <v>VT|exports|wind (is not a fuel)</v>
      </c>
    </row>
    <row r="2766" spans="1:8" x14ac:dyDescent="0.25">
      <c r="A2766" t="s">
        <v>169</v>
      </c>
      <c r="B2766" t="s">
        <v>193</v>
      </c>
      <c r="C2766" t="s">
        <v>80</v>
      </c>
      <c r="D2766">
        <v>0</v>
      </c>
      <c r="E2766">
        <v>0</v>
      </c>
      <c r="F2766">
        <v>0</v>
      </c>
      <c r="G2766" s="10">
        <f t="shared" si="43"/>
        <v>0</v>
      </c>
      <c r="H2766" t="str">
        <f>$A2766&amp;Keys!$C$54&amp;$B2766&amp;Keys!$C$54&amp;$C2766</f>
        <v>VT|exports|solar (is not a fuel)</v>
      </c>
    </row>
    <row r="2767" spans="1:8" x14ac:dyDescent="0.25">
      <c r="A2767" t="s">
        <v>169</v>
      </c>
      <c r="B2767" t="s">
        <v>193</v>
      </c>
      <c r="C2767" t="s">
        <v>82</v>
      </c>
      <c r="D2767">
        <v>0</v>
      </c>
      <c r="E2767">
        <v>0</v>
      </c>
      <c r="F2767">
        <v>0</v>
      </c>
      <c r="G2767" s="10">
        <f t="shared" si="43"/>
        <v>0</v>
      </c>
      <c r="H2767" t="str">
        <f>$A2767&amp;Keys!$C$54&amp;$B2767&amp;Keys!$C$54&amp;$C2767</f>
        <v>VT|exports|biomass</v>
      </c>
    </row>
    <row r="2768" spans="1:8" x14ac:dyDescent="0.25">
      <c r="A2768" t="s">
        <v>169</v>
      </c>
      <c r="B2768" t="s">
        <v>193</v>
      </c>
      <c r="C2768" t="s">
        <v>85</v>
      </c>
      <c r="D2768">
        <v>0</v>
      </c>
      <c r="E2768">
        <v>0</v>
      </c>
      <c r="F2768">
        <v>0</v>
      </c>
      <c r="G2768" s="10">
        <f t="shared" si="43"/>
        <v>0</v>
      </c>
      <c r="H2768" t="str">
        <f>$A2768&amp;Keys!$C$54&amp;$B2768&amp;Keys!$C$54&amp;$C2768</f>
        <v>VT|exports|petroleum gasoline</v>
      </c>
    </row>
    <row r="2769" spans="1:8" x14ac:dyDescent="0.25">
      <c r="A2769" t="s">
        <v>169</v>
      </c>
      <c r="B2769" t="s">
        <v>193</v>
      </c>
      <c r="C2769" t="s">
        <v>88</v>
      </c>
      <c r="D2769">
        <v>0</v>
      </c>
      <c r="E2769">
        <v>0</v>
      </c>
      <c r="F2769">
        <v>0</v>
      </c>
      <c r="G2769" s="10">
        <f t="shared" si="43"/>
        <v>0</v>
      </c>
      <c r="H2769" t="str">
        <f>$A2769&amp;Keys!$C$54&amp;$B2769&amp;Keys!$C$54&amp;$C2769</f>
        <v>VT|exports|petroleum diesel</v>
      </c>
    </row>
    <row r="2770" spans="1:8" x14ac:dyDescent="0.25">
      <c r="A2770" t="s">
        <v>169</v>
      </c>
      <c r="B2770" t="s">
        <v>193</v>
      </c>
      <c r="C2770" t="s">
        <v>91</v>
      </c>
      <c r="D2770">
        <v>0</v>
      </c>
      <c r="E2770">
        <v>0</v>
      </c>
      <c r="F2770">
        <v>0</v>
      </c>
      <c r="G2770" s="10">
        <f t="shared" si="43"/>
        <v>0</v>
      </c>
      <c r="H2770" t="str">
        <f>$A2770&amp;Keys!$C$54&amp;$B2770&amp;Keys!$C$54&amp;$C2770</f>
        <v>VT|exports|biofuel gasoline</v>
      </c>
    </row>
    <row r="2771" spans="1:8" x14ac:dyDescent="0.25">
      <c r="A2771" t="s">
        <v>169</v>
      </c>
      <c r="B2771" t="s">
        <v>193</v>
      </c>
      <c r="C2771" t="s">
        <v>94</v>
      </c>
      <c r="D2771">
        <v>0</v>
      </c>
      <c r="E2771">
        <v>0</v>
      </c>
      <c r="F2771">
        <v>0</v>
      </c>
      <c r="G2771" s="10">
        <f t="shared" si="43"/>
        <v>0</v>
      </c>
      <c r="H2771" t="str">
        <f>$A2771&amp;Keys!$C$54&amp;$B2771&amp;Keys!$C$54&amp;$C2771</f>
        <v>VT|exports|biofuel diesel</v>
      </c>
    </row>
    <row r="2772" spans="1:8" x14ac:dyDescent="0.25">
      <c r="A2772" t="s">
        <v>169</v>
      </c>
      <c r="B2772" t="s">
        <v>193</v>
      </c>
      <c r="C2772" t="s">
        <v>97</v>
      </c>
      <c r="D2772">
        <v>0</v>
      </c>
      <c r="E2772">
        <v>0</v>
      </c>
      <c r="F2772">
        <v>0</v>
      </c>
      <c r="G2772" s="10">
        <f t="shared" si="43"/>
        <v>0</v>
      </c>
      <c r="H2772" t="str">
        <f>$A2772&amp;Keys!$C$54&amp;$B2772&amp;Keys!$C$54&amp;$C2772</f>
        <v>VT|exports|jet fuel or kerosene</v>
      </c>
    </row>
    <row r="2773" spans="1:8" x14ac:dyDescent="0.25">
      <c r="A2773" t="s">
        <v>169</v>
      </c>
      <c r="B2773" t="s">
        <v>193</v>
      </c>
      <c r="C2773" t="s">
        <v>100</v>
      </c>
      <c r="D2773">
        <v>0</v>
      </c>
      <c r="E2773">
        <v>0</v>
      </c>
      <c r="F2773">
        <v>0</v>
      </c>
      <c r="G2773" s="10">
        <f t="shared" si="43"/>
        <v>0</v>
      </c>
      <c r="H2773" t="str">
        <f>$A2773&amp;Keys!$C$54&amp;$B2773&amp;Keys!$C$54&amp;$C2773</f>
        <v>VT|exports|heat (not used in this variable)</v>
      </c>
    </row>
    <row r="2774" spans="1:8" x14ac:dyDescent="0.25">
      <c r="A2774" t="s">
        <v>169</v>
      </c>
      <c r="B2774" t="s">
        <v>193</v>
      </c>
      <c r="C2774" t="s">
        <v>103</v>
      </c>
      <c r="D2774">
        <v>0</v>
      </c>
      <c r="E2774">
        <v>0</v>
      </c>
      <c r="F2774">
        <v>0</v>
      </c>
      <c r="G2774" s="10">
        <f t="shared" si="43"/>
        <v>0</v>
      </c>
      <c r="H2774" t="str">
        <f>$A2774&amp;Keys!$C$54&amp;$B2774&amp;Keys!$C$54&amp;$C2774</f>
        <v>VT|exports|geothermal (is not a fuel)</v>
      </c>
    </row>
    <row r="2775" spans="1:8" x14ac:dyDescent="0.25">
      <c r="A2775" t="s">
        <v>169</v>
      </c>
      <c r="B2775" t="s">
        <v>193</v>
      </c>
      <c r="C2775" t="s">
        <v>106</v>
      </c>
      <c r="D2775">
        <v>0</v>
      </c>
      <c r="E2775">
        <v>0</v>
      </c>
      <c r="F2775">
        <v>0</v>
      </c>
      <c r="G2775" s="10">
        <f t="shared" si="43"/>
        <v>0</v>
      </c>
      <c r="H2775" t="str">
        <f>$A2775&amp;Keys!$C$54&amp;$B2775&amp;Keys!$C$54&amp;$C2775</f>
        <v>VT|exports|lignite</v>
      </c>
    </row>
    <row r="2776" spans="1:8" x14ac:dyDescent="0.25">
      <c r="A2776" t="s">
        <v>169</v>
      </c>
      <c r="B2776" t="s">
        <v>193</v>
      </c>
      <c r="C2776" t="s">
        <v>109</v>
      </c>
      <c r="D2776">
        <v>0</v>
      </c>
      <c r="E2776">
        <v>0</v>
      </c>
      <c r="F2776">
        <v>0</v>
      </c>
      <c r="G2776" s="10">
        <f t="shared" si="43"/>
        <v>0</v>
      </c>
      <c r="H2776" t="str">
        <f>$A2776&amp;Keys!$C$54&amp;$B2776&amp;Keys!$C$54&amp;$C2776</f>
        <v>VT|exports|crude oil</v>
      </c>
    </row>
    <row r="2777" spans="1:8" x14ac:dyDescent="0.25">
      <c r="A2777" t="s">
        <v>169</v>
      </c>
      <c r="B2777" t="s">
        <v>193</v>
      </c>
      <c r="C2777" t="s">
        <v>113</v>
      </c>
      <c r="D2777">
        <v>0</v>
      </c>
      <c r="E2777">
        <v>0</v>
      </c>
      <c r="F2777">
        <v>0</v>
      </c>
      <c r="G2777" s="10">
        <f t="shared" si="43"/>
        <v>0</v>
      </c>
      <c r="H2777" t="str">
        <f>$A2777&amp;Keys!$C$54&amp;$B2777&amp;Keys!$C$54&amp;$C2777</f>
        <v>VT|exports|heavy fuel oil</v>
      </c>
    </row>
    <row r="2778" spans="1:8" x14ac:dyDescent="0.25">
      <c r="A2778" t="s">
        <v>169</v>
      </c>
      <c r="B2778" t="s">
        <v>193</v>
      </c>
      <c r="C2778" t="s">
        <v>117</v>
      </c>
      <c r="D2778">
        <v>0</v>
      </c>
      <c r="E2778">
        <v>0</v>
      </c>
      <c r="F2778">
        <v>0</v>
      </c>
      <c r="G2778" s="10">
        <f t="shared" si="43"/>
        <v>0</v>
      </c>
      <c r="H2778" t="str">
        <f>$A2778&amp;Keys!$C$54&amp;$B2778&amp;Keys!$C$54&amp;$C2778</f>
        <v>VT|exports|LPG propane or butane</v>
      </c>
    </row>
    <row r="2779" spans="1:8" x14ac:dyDescent="0.25">
      <c r="A2779" t="s">
        <v>169</v>
      </c>
      <c r="B2779" t="s">
        <v>193</v>
      </c>
      <c r="C2779" t="s">
        <v>120</v>
      </c>
      <c r="D2779">
        <v>0</v>
      </c>
      <c r="E2779">
        <v>0</v>
      </c>
      <c r="F2779">
        <v>0</v>
      </c>
      <c r="G2779" s="10">
        <f t="shared" si="43"/>
        <v>0</v>
      </c>
      <c r="H2779" t="str">
        <f>$A2779&amp;Keys!$C$54&amp;$B2779&amp;Keys!$C$54&amp;$C2779</f>
        <v>VT|exports|municipal solid waste</v>
      </c>
    </row>
    <row r="2780" spans="1:8" x14ac:dyDescent="0.25">
      <c r="A2780" t="s">
        <v>169</v>
      </c>
      <c r="B2780" t="s">
        <v>193</v>
      </c>
      <c r="C2780" t="s">
        <v>123</v>
      </c>
      <c r="D2780">
        <v>0</v>
      </c>
      <c r="E2780">
        <v>0</v>
      </c>
      <c r="F2780">
        <v>0</v>
      </c>
      <c r="G2780" s="10">
        <f t="shared" si="43"/>
        <v>0</v>
      </c>
      <c r="H2780" t="str">
        <f>$A2780&amp;Keys!$C$54&amp;$B2780&amp;Keys!$C$54&amp;$C2780</f>
        <v>VT|exports|hydrogen</v>
      </c>
    </row>
    <row r="2781" spans="1:8" x14ac:dyDescent="0.25">
      <c r="A2781" t="s">
        <v>171</v>
      </c>
      <c r="B2781" t="s">
        <v>188</v>
      </c>
      <c r="C2781" t="s">
        <v>60</v>
      </c>
      <c r="D2781">
        <v>0</v>
      </c>
      <c r="E2781">
        <v>0</v>
      </c>
      <c r="F2781">
        <v>0</v>
      </c>
      <c r="G2781" s="10">
        <f t="shared" si="43"/>
        <v>0</v>
      </c>
      <c r="H2781" t="str">
        <f>$A2781&amp;Keys!$C$54&amp;$B2781&amp;Keys!$C$54&amp;$C2781</f>
        <v>WA|production|electricity (not used in this variable)</v>
      </c>
    </row>
    <row r="2782" spans="1:8" x14ac:dyDescent="0.25">
      <c r="A2782" t="s">
        <v>171</v>
      </c>
      <c r="B2782" t="s">
        <v>188</v>
      </c>
      <c r="C2782" t="s">
        <v>64</v>
      </c>
      <c r="D2782">
        <v>0</v>
      </c>
      <c r="E2782">
        <v>0</v>
      </c>
      <c r="F2782">
        <v>0</v>
      </c>
      <c r="G2782" s="10">
        <f t="shared" si="43"/>
        <v>0</v>
      </c>
      <c r="H2782" t="str">
        <f>$A2782&amp;Keys!$C$54&amp;$B2782&amp;Keys!$C$54&amp;$C2782</f>
        <v>WA|production|hard coal</v>
      </c>
    </row>
    <row r="2783" spans="1:8" x14ac:dyDescent="0.25">
      <c r="A2783" t="s">
        <v>171</v>
      </c>
      <c r="B2783" t="s">
        <v>188</v>
      </c>
      <c r="C2783" t="s">
        <v>68</v>
      </c>
      <c r="D2783">
        <v>0</v>
      </c>
      <c r="E2783">
        <v>0</v>
      </c>
      <c r="F2783">
        <v>0</v>
      </c>
      <c r="G2783" s="10">
        <f t="shared" si="43"/>
        <v>0</v>
      </c>
      <c r="H2783" t="str">
        <f>$A2783&amp;Keys!$C$54&amp;$B2783&amp;Keys!$C$54&amp;$C2783</f>
        <v>WA|production|natural gas</v>
      </c>
    </row>
    <row r="2784" spans="1:8" x14ac:dyDescent="0.25">
      <c r="A2784" t="s">
        <v>171</v>
      </c>
      <c r="B2784" t="s">
        <v>188</v>
      </c>
      <c r="C2784" t="s">
        <v>71</v>
      </c>
      <c r="D2784">
        <v>0</v>
      </c>
      <c r="E2784">
        <v>0</v>
      </c>
      <c r="F2784">
        <v>0</v>
      </c>
      <c r="G2784" s="10">
        <f t="shared" si="43"/>
        <v>0</v>
      </c>
      <c r="H2784" t="str">
        <f>$A2784&amp;Keys!$C$54&amp;$B2784&amp;Keys!$C$54&amp;$C2784</f>
        <v>WA|production|nuclear</v>
      </c>
    </row>
    <row r="2785" spans="1:8" x14ac:dyDescent="0.25">
      <c r="A2785" t="s">
        <v>171</v>
      </c>
      <c r="B2785" t="s">
        <v>188</v>
      </c>
      <c r="C2785" t="s">
        <v>74</v>
      </c>
      <c r="D2785">
        <v>0</v>
      </c>
      <c r="E2785">
        <v>0</v>
      </c>
      <c r="F2785">
        <v>0</v>
      </c>
      <c r="G2785" s="10">
        <f t="shared" si="43"/>
        <v>0</v>
      </c>
      <c r="H2785" t="str">
        <f>$A2785&amp;Keys!$C$54&amp;$B2785&amp;Keys!$C$54&amp;$C2785</f>
        <v>WA|production|hydro (is not a fuel)</v>
      </c>
    </row>
    <row r="2786" spans="1:8" x14ac:dyDescent="0.25">
      <c r="A2786" t="s">
        <v>171</v>
      </c>
      <c r="B2786" t="s">
        <v>188</v>
      </c>
      <c r="C2786" t="s">
        <v>77</v>
      </c>
      <c r="D2786">
        <v>0</v>
      </c>
      <c r="E2786">
        <v>0</v>
      </c>
      <c r="F2786">
        <v>0</v>
      </c>
      <c r="G2786" s="10">
        <f t="shared" si="43"/>
        <v>0</v>
      </c>
      <c r="H2786" t="str">
        <f>$A2786&amp;Keys!$C$54&amp;$B2786&amp;Keys!$C$54&amp;$C2786</f>
        <v>WA|production|wind (is not a fuel)</v>
      </c>
    </row>
    <row r="2787" spans="1:8" x14ac:dyDescent="0.25">
      <c r="A2787" t="s">
        <v>171</v>
      </c>
      <c r="B2787" t="s">
        <v>188</v>
      </c>
      <c r="C2787" t="s">
        <v>80</v>
      </c>
      <c r="D2787">
        <v>0</v>
      </c>
      <c r="E2787">
        <v>0</v>
      </c>
      <c r="F2787">
        <v>0</v>
      </c>
      <c r="G2787" s="10">
        <f t="shared" si="43"/>
        <v>0</v>
      </c>
      <c r="H2787" t="str">
        <f>$A2787&amp;Keys!$C$54&amp;$B2787&amp;Keys!$C$54&amp;$C2787</f>
        <v>WA|production|solar (is not a fuel)</v>
      </c>
    </row>
    <row r="2788" spans="1:8" x14ac:dyDescent="0.25">
      <c r="A2788" t="s">
        <v>171</v>
      </c>
      <c r="B2788" t="s">
        <v>188</v>
      </c>
      <c r="C2788" t="s">
        <v>82</v>
      </c>
      <c r="D2788">
        <v>1600000000000</v>
      </c>
      <c r="E2788">
        <v>1600000000000</v>
      </c>
      <c r="F2788">
        <v>1600000000000</v>
      </c>
      <c r="G2788" s="10">
        <f t="shared" si="43"/>
        <v>1600000000000</v>
      </c>
      <c r="H2788" t="str">
        <f>$A2788&amp;Keys!$C$54&amp;$B2788&amp;Keys!$C$54&amp;$C2788</f>
        <v>WA|production|biomass</v>
      </c>
    </row>
    <row r="2789" spans="1:8" x14ac:dyDescent="0.25">
      <c r="A2789" t="s">
        <v>171</v>
      </c>
      <c r="B2789" t="s">
        <v>188</v>
      </c>
      <c r="C2789" t="s">
        <v>85</v>
      </c>
      <c r="D2789">
        <v>629078000000000</v>
      </c>
      <c r="E2789">
        <v>629078000000000</v>
      </c>
      <c r="F2789">
        <v>613831000000000</v>
      </c>
      <c r="G2789" s="10">
        <f t="shared" si="43"/>
        <v>623995666666666.63</v>
      </c>
      <c r="H2789" t="str">
        <f>$A2789&amp;Keys!$C$54&amp;$B2789&amp;Keys!$C$54&amp;$C2789</f>
        <v>WA|production|petroleum gasoline</v>
      </c>
    </row>
    <row r="2790" spans="1:8" x14ac:dyDescent="0.25">
      <c r="A2790" t="s">
        <v>171</v>
      </c>
      <c r="B2790" t="s">
        <v>188</v>
      </c>
      <c r="C2790" t="s">
        <v>88</v>
      </c>
      <c r="D2790">
        <v>372109000000000</v>
      </c>
      <c r="E2790">
        <v>372109000000000</v>
      </c>
      <c r="F2790">
        <v>363090000000000</v>
      </c>
      <c r="G2790" s="10">
        <f t="shared" si="43"/>
        <v>369102666666666.69</v>
      </c>
      <c r="H2790" t="str">
        <f>$A2790&amp;Keys!$C$54&amp;$B2790&amp;Keys!$C$54&amp;$C2790</f>
        <v>WA|production|petroleum diesel</v>
      </c>
    </row>
    <row r="2791" spans="1:8" x14ac:dyDescent="0.25">
      <c r="A2791" t="s">
        <v>171</v>
      </c>
      <c r="B2791" t="s">
        <v>188</v>
      </c>
      <c r="C2791" t="s">
        <v>91</v>
      </c>
      <c r="D2791">
        <v>0</v>
      </c>
      <c r="E2791">
        <v>0</v>
      </c>
      <c r="F2791">
        <v>0</v>
      </c>
      <c r="G2791" s="10">
        <f t="shared" si="43"/>
        <v>0</v>
      </c>
      <c r="H2791" t="str">
        <f>$A2791&amp;Keys!$C$54&amp;$B2791&amp;Keys!$C$54&amp;$C2791</f>
        <v>WA|production|biofuel gasoline</v>
      </c>
    </row>
    <row r="2792" spans="1:8" x14ac:dyDescent="0.25">
      <c r="A2792" t="s">
        <v>171</v>
      </c>
      <c r="B2792" t="s">
        <v>188</v>
      </c>
      <c r="C2792" t="s">
        <v>94</v>
      </c>
      <c r="D2792">
        <v>31076000000000</v>
      </c>
      <c r="E2792">
        <v>31076000000000</v>
      </c>
      <c r="F2792">
        <v>36914000000000</v>
      </c>
      <c r="G2792" s="10">
        <f t="shared" si="43"/>
        <v>33022000000000</v>
      </c>
      <c r="H2792" t="str">
        <f>$A2792&amp;Keys!$C$54&amp;$B2792&amp;Keys!$C$54&amp;$C2792</f>
        <v>WA|production|biofuel diesel</v>
      </c>
    </row>
    <row r="2793" spans="1:8" x14ac:dyDescent="0.25">
      <c r="A2793" t="s">
        <v>171</v>
      </c>
      <c r="B2793" t="s">
        <v>188</v>
      </c>
      <c r="C2793" t="s">
        <v>97</v>
      </c>
      <c r="D2793">
        <v>132463000000000</v>
      </c>
      <c r="E2793">
        <v>132463000000000</v>
      </c>
      <c r="F2793">
        <v>129253000000000</v>
      </c>
      <c r="G2793" s="10">
        <f t="shared" si="43"/>
        <v>131393000000000</v>
      </c>
      <c r="H2793" t="str">
        <f>$A2793&amp;Keys!$C$54&amp;$B2793&amp;Keys!$C$54&amp;$C2793</f>
        <v>WA|production|jet fuel or kerosene</v>
      </c>
    </row>
    <row r="2794" spans="1:8" x14ac:dyDescent="0.25">
      <c r="A2794" t="s">
        <v>171</v>
      </c>
      <c r="B2794" t="s">
        <v>188</v>
      </c>
      <c r="C2794" t="s">
        <v>100</v>
      </c>
      <c r="D2794">
        <v>0</v>
      </c>
      <c r="E2794">
        <v>0</v>
      </c>
      <c r="F2794">
        <v>0</v>
      </c>
      <c r="G2794" s="10">
        <f t="shared" si="43"/>
        <v>0</v>
      </c>
      <c r="H2794" t="str">
        <f>$A2794&amp;Keys!$C$54&amp;$B2794&amp;Keys!$C$54&amp;$C2794</f>
        <v>WA|production|heat (not used in this variable)</v>
      </c>
    </row>
    <row r="2795" spans="1:8" x14ac:dyDescent="0.25">
      <c r="A2795" t="s">
        <v>171</v>
      </c>
      <c r="B2795" t="s">
        <v>188</v>
      </c>
      <c r="C2795" t="s">
        <v>103</v>
      </c>
      <c r="D2795">
        <v>0</v>
      </c>
      <c r="E2795">
        <v>0</v>
      </c>
      <c r="F2795">
        <v>0</v>
      </c>
      <c r="G2795" s="10">
        <f t="shared" si="43"/>
        <v>0</v>
      </c>
      <c r="H2795" t="str">
        <f>$A2795&amp;Keys!$C$54&amp;$B2795&amp;Keys!$C$54&amp;$C2795</f>
        <v>WA|production|geothermal (is not a fuel)</v>
      </c>
    </row>
    <row r="2796" spans="1:8" x14ac:dyDescent="0.25">
      <c r="A2796" t="s">
        <v>171</v>
      </c>
      <c r="B2796" t="s">
        <v>188</v>
      </c>
      <c r="C2796" t="s">
        <v>106</v>
      </c>
      <c r="D2796">
        <v>0</v>
      </c>
      <c r="E2796">
        <v>0</v>
      </c>
      <c r="F2796">
        <v>0</v>
      </c>
      <c r="G2796" s="10">
        <f t="shared" si="43"/>
        <v>0</v>
      </c>
      <c r="H2796" t="str">
        <f>$A2796&amp;Keys!$C$54&amp;$B2796&amp;Keys!$C$54&amp;$C2796</f>
        <v>WA|production|lignite</v>
      </c>
    </row>
    <row r="2797" spans="1:8" x14ac:dyDescent="0.25">
      <c r="A2797" t="s">
        <v>171</v>
      </c>
      <c r="B2797" t="s">
        <v>188</v>
      </c>
      <c r="C2797" t="s">
        <v>109</v>
      </c>
      <c r="D2797">
        <v>0</v>
      </c>
      <c r="E2797">
        <v>0</v>
      </c>
      <c r="F2797">
        <v>0</v>
      </c>
      <c r="G2797" s="10">
        <f t="shared" si="43"/>
        <v>0</v>
      </c>
      <c r="H2797" t="str">
        <f>$A2797&amp;Keys!$C$54&amp;$B2797&amp;Keys!$C$54&amp;$C2797</f>
        <v>WA|production|crude oil</v>
      </c>
    </row>
    <row r="2798" spans="1:8" x14ac:dyDescent="0.25">
      <c r="A2798" t="s">
        <v>171</v>
      </c>
      <c r="B2798" t="s">
        <v>188</v>
      </c>
      <c r="C2798" t="s">
        <v>113</v>
      </c>
      <c r="D2798">
        <v>25731500000000</v>
      </c>
      <c r="E2798">
        <v>25731500000000</v>
      </c>
      <c r="F2798">
        <v>25107800000000</v>
      </c>
      <c r="G2798" s="10">
        <f t="shared" si="43"/>
        <v>25523600000000</v>
      </c>
      <c r="H2798" t="str">
        <f>$A2798&amp;Keys!$C$54&amp;$B2798&amp;Keys!$C$54&amp;$C2798</f>
        <v>WA|production|heavy fuel oil</v>
      </c>
    </row>
    <row r="2799" spans="1:8" x14ac:dyDescent="0.25">
      <c r="A2799" t="s">
        <v>171</v>
      </c>
      <c r="B2799" t="s">
        <v>188</v>
      </c>
      <c r="C2799" t="s">
        <v>117</v>
      </c>
      <c r="D2799">
        <v>0</v>
      </c>
      <c r="E2799">
        <v>0</v>
      </c>
      <c r="F2799">
        <v>0</v>
      </c>
      <c r="G2799" s="10">
        <f t="shared" si="43"/>
        <v>0</v>
      </c>
      <c r="H2799" t="str">
        <f>$A2799&amp;Keys!$C$54&amp;$B2799&amp;Keys!$C$54&amp;$C2799</f>
        <v>WA|production|LPG propane or butane</v>
      </c>
    </row>
    <row r="2800" spans="1:8" x14ac:dyDescent="0.25">
      <c r="A2800" t="s">
        <v>171</v>
      </c>
      <c r="B2800" t="s">
        <v>188</v>
      </c>
      <c r="C2800" t="s">
        <v>120</v>
      </c>
      <c r="D2800">
        <v>0</v>
      </c>
      <c r="E2800">
        <v>0</v>
      </c>
      <c r="F2800">
        <v>0</v>
      </c>
      <c r="G2800" s="10">
        <f t="shared" si="43"/>
        <v>0</v>
      </c>
      <c r="H2800" t="str">
        <f>$A2800&amp;Keys!$C$54&amp;$B2800&amp;Keys!$C$54&amp;$C2800</f>
        <v>WA|production|municipal solid waste</v>
      </c>
    </row>
    <row r="2801" spans="1:8" x14ac:dyDescent="0.25">
      <c r="A2801" t="s">
        <v>171</v>
      </c>
      <c r="B2801" t="s">
        <v>188</v>
      </c>
      <c r="C2801" t="s">
        <v>123</v>
      </c>
      <c r="D2801">
        <v>22301500000000</v>
      </c>
      <c r="E2801">
        <v>22301500000000</v>
      </c>
      <c r="F2801">
        <v>21179600000000</v>
      </c>
      <c r="G2801" s="10">
        <f t="shared" si="43"/>
        <v>21927533333333.332</v>
      </c>
      <c r="H2801" t="str">
        <f>$A2801&amp;Keys!$C$54&amp;$B2801&amp;Keys!$C$54&amp;$C2801</f>
        <v>WA|production|hydrogen</v>
      </c>
    </row>
    <row r="2802" spans="1:8" x14ac:dyDescent="0.25">
      <c r="A2802" t="s">
        <v>171</v>
      </c>
      <c r="B2802" t="s">
        <v>191</v>
      </c>
      <c r="C2802" t="s">
        <v>60</v>
      </c>
      <c r="D2802">
        <v>0</v>
      </c>
      <c r="E2802">
        <v>0</v>
      </c>
      <c r="F2802">
        <v>0</v>
      </c>
      <c r="G2802" s="10">
        <f t="shared" si="43"/>
        <v>0</v>
      </c>
      <c r="H2802" t="str">
        <f>$A2802&amp;Keys!$C$54&amp;$B2802&amp;Keys!$C$54&amp;$C2802</f>
        <v>WA|imports|electricity (not used in this variable)</v>
      </c>
    </row>
    <row r="2803" spans="1:8" x14ac:dyDescent="0.25">
      <c r="A2803" t="s">
        <v>171</v>
      </c>
      <c r="B2803" t="s">
        <v>191</v>
      </c>
      <c r="C2803" t="s">
        <v>64</v>
      </c>
      <c r="D2803">
        <v>34824400000000</v>
      </c>
      <c r="E2803">
        <v>39939900000000</v>
      </c>
      <c r="F2803">
        <v>31716300000000</v>
      </c>
      <c r="G2803" s="10">
        <f t="shared" si="43"/>
        <v>35493533333333.336</v>
      </c>
      <c r="H2803" t="str">
        <f>$A2803&amp;Keys!$C$54&amp;$B2803&amp;Keys!$C$54&amp;$C2803</f>
        <v>WA|imports|hard coal</v>
      </c>
    </row>
    <row r="2804" spans="1:8" x14ac:dyDescent="0.25">
      <c r="A2804" t="s">
        <v>171</v>
      </c>
      <c r="B2804" t="s">
        <v>191</v>
      </c>
      <c r="C2804" t="s">
        <v>68</v>
      </c>
      <c r="D2804">
        <v>1499520000000000</v>
      </c>
      <c r="E2804">
        <v>1375070000000000</v>
      </c>
      <c r="F2804">
        <v>1281160000000000</v>
      </c>
      <c r="G2804" s="10">
        <f t="shared" si="43"/>
        <v>1385250000000000</v>
      </c>
      <c r="H2804" t="str">
        <f>$A2804&amp;Keys!$C$54&amp;$B2804&amp;Keys!$C$54&amp;$C2804</f>
        <v>WA|imports|natural gas</v>
      </c>
    </row>
    <row r="2805" spans="1:8" x14ac:dyDescent="0.25">
      <c r="A2805" t="s">
        <v>171</v>
      </c>
      <c r="B2805" t="s">
        <v>191</v>
      </c>
      <c r="C2805" t="s">
        <v>71</v>
      </c>
      <c r="D2805">
        <v>104087000000000</v>
      </c>
      <c r="E2805">
        <v>80825700000000</v>
      </c>
      <c r="F2805">
        <v>92417000000000</v>
      </c>
      <c r="G2805" s="10">
        <f t="shared" si="43"/>
        <v>92443233333333.328</v>
      </c>
      <c r="H2805" t="str">
        <f>$A2805&amp;Keys!$C$54&amp;$B2805&amp;Keys!$C$54&amp;$C2805</f>
        <v>WA|imports|nuclear</v>
      </c>
    </row>
    <row r="2806" spans="1:8" x14ac:dyDescent="0.25">
      <c r="A2806" t="s">
        <v>171</v>
      </c>
      <c r="B2806" t="s">
        <v>191</v>
      </c>
      <c r="C2806" t="s">
        <v>74</v>
      </c>
      <c r="D2806">
        <v>0</v>
      </c>
      <c r="E2806">
        <v>0</v>
      </c>
      <c r="F2806">
        <v>0</v>
      </c>
      <c r="G2806" s="10">
        <f t="shared" si="43"/>
        <v>0</v>
      </c>
      <c r="H2806" t="str">
        <f>$A2806&amp;Keys!$C$54&amp;$B2806&amp;Keys!$C$54&amp;$C2806</f>
        <v>WA|imports|hydro (is not a fuel)</v>
      </c>
    </row>
    <row r="2807" spans="1:8" x14ac:dyDescent="0.25">
      <c r="A2807" t="s">
        <v>171</v>
      </c>
      <c r="B2807" t="s">
        <v>191</v>
      </c>
      <c r="C2807" t="s">
        <v>77</v>
      </c>
      <c r="D2807">
        <v>0</v>
      </c>
      <c r="E2807">
        <v>0</v>
      </c>
      <c r="F2807">
        <v>0</v>
      </c>
      <c r="G2807" s="10">
        <f t="shared" si="43"/>
        <v>0</v>
      </c>
      <c r="H2807" t="str">
        <f>$A2807&amp;Keys!$C$54&amp;$B2807&amp;Keys!$C$54&amp;$C2807</f>
        <v>WA|imports|wind (is not a fuel)</v>
      </c>
    </row>
    <row r="2808" spans="1:8" x14ac:dyDescent="0.25">
      <c r="A2808" t="s">
        <v>171</v>
      </c>
      <c r="B2808" t="s">
        <v>191</v>
      </c>
      <c r="C2808" t="s">
        <v>80</v>
      </c>
      <c r="D2808">
        <v>0</v>
      </c>
      <c r="E2808">
        <v>0</v>
      </c>
      <c r="F2808">
        <v>0</v>
      </c>
      <c r="G2808" s="10">
        <f t="shared" si="43"/>
        <v>0</v>
      </c>
      <c r="H2808" t="str">
        <f>$A2808&amp;Keys!$C$54&amp;$B2808&amp;Keys!$C$54&amp;$C2808</f>
        <v>WA|imports|solar (is not a fuel)</v>
      </c>
    </row>
    <row r="2809" spans="1:8" x14ac:dyDescent="0.25">
      <c r="A2809" t="s">
        <v>171</v>
      </c>
      <c r="B2809" t="s">
        <v>191</v>
      </c>
      <c r="C2809" t="s">
        <v>82</v>
      </c>
      <c r="D2809">
        <v>0</v>
      </c>
      <c r="E2809">
        <v>89004400000000</v>
      </c>
      <c r="F2809">
        <v>88048300000000</v>
      </c>
      <c r="G2809" s="10">
        <f t="shared" si="43"/>
        <v>59017566666666.664</v>
      </c>
      <c r="H2809" t="str">
        <f>$A2809&amp;Keys!$C$54&amp;$B2809&amp;Keys!$C$54&amp;$C2809</f>
        <v>WA|imports|biomass</v>
      </c>
    </row>
    <row r="2810" spans="1:8" x14ac:dyDescent="0.25">
      <c r="A2810" t="s">
        <v>171</v>
      </c>
      <c r="B2810" t="s">
        <v>191</v>
      </c>
      <c r="C2810" t="s">
        <v>85</v>
      </c>
      <c r="D2810">
        <v>0</v>
      </c>
      <c r="E2810">
        <v>0</v>
      </c>
      <c r="F2810">
        <v>0</v>
      </c>
      <c r="G2810" s="10">
        <f t="shared" si="43"/>
        <v>0</v>
      </c>
      <c r="H2810" t="str">
        <f>$A2810&amp;Keys!$C$54&amp;$B2810&amp;Keys!$C$54&amp;$C2810</f>
        <v>WA|imports|petroleum gasoline</v>
      </c>
    </row>
    <row r="2811" spans="1:8" x14ac:dyDescent="0.25">
      <c r="A2811" t="s">
        <v>171</v>
      </c>
      <c r="B2811" t="s">
        <v>191</v>
      </c>
      <c r="C2811" t="s">
        <v>88</v>
      </c>
      <c r="D2811">
        <v>0</v>
      </c>
      <c r="E2811">
        <v>0</v>
      </c>
      <c r="F2811">
        <v>0</v>
      </c>
      <c r="G2811" s="10">
        <f t="shared" si="43"/>
        <v>0</v>
      </c>
      <c r="H2811" t="str">
        <f>$A2811&amp;Keys!$C$54&amp;$B2811&amp;Keys!$C$54&amp;$C2811</f>
        <v>WA|imports|petroleum diesel</v>
      </c>
    </row>
    <row r="2812" spans="1:8" x14ac:dyDescent="0.25">
      <c r="A2812" t="s">
        <v>171</v>
      </c>
      <c r="B2812" t="s">
        <v>191</v>
      </c>
      <c r="C2812" t="s">
        <v>91</v>
      </c>
      <c r="D2812">
        <v>0</v>
      </c>
      <c r="E2812">
        <v>19117200000000</v>
      </c>
      <c r="F2812">
        <v>19086500000000</v>
      </c>
      <c r="G2812" s="10">
        <f t="shared" si="43"/>
        <v>12734566666666.666</v>
      </c>
      <c r="H2812" t="str">
        <f>$A2812&amp;Keys!$C$54&amp;$B2812&amp;Keys!$C$54&amp;$C2812</f>
        <v>WA|imports|biofuel gasoline</v>
      </c>
    </row>
    <row r="2813" spans="1:8" x14ac:dyDescent="0.25">
      <c r="A2813" t="s">
        <v>171</v>
      </c>
      <c r="B2813" t="s">
        <v>191</v>
      </c>
      <c r="C2813" t="s">
        <v>94</v>
      </c>
      <c r="D2813">
        <v>0</v>
      </c>
      <c r="E2813">
        <v>0</v>
      </c>
      <c r="F2813">
        <v>0</v>
      </c>
      <c r="G2813" s="10">
        <f t="shared" si="43"/>
        <v>0</v>
      </c>
      <c r="H2813" t="str">
        <f>$A2813&amp;Keys!$C$54&amp;$B2813&amp;Keys!$C$54&amp;$C2813</f>
        <v>WA|imports|biofuel diesel</v>
      </c>
    </row>
    <row r="2814" spans="1:8" x14ac:dyDescent="0.25">
      <c r="A2814" t="s">
        <v>171</v>
      </c>
      <c r="B2814" t="s">
        <v>191</v>
      </c>
      <c r="C2814" t="s">
        <v>97</v>
      </c>
      <c r="D2814">
        <v>0</v>
      </c>
      <c r="E2814">
        <v>0</v>
      </c>
      <c r="F2814">
        <v>58094500000</v>
      </c>
      <c r="G2814" s="10">
        <f t="shared" si="43"/>
        <v>19364833333.333332</v>
      </c>
      <c r="H2814" t="str">
        <f>$A2814&amp;Keys!$C$54&amp;$B2814&amp;Keys!$C$54&amp;$C2814</f>
        <v>WA|imports|jet fuel or kerosene</v>
      </c>
    </row>
    <row r="2815" spans="1:8" x14ac:dyDescent="0.25">
      <c r="A2815" t="s">
        <v>171</v>
      </c>
      <c r="B2815" t="s">
        <v>191</v>
      </c>
      <c r="C2815" t="s">
        <v>100</v>
      </c>
      <c r="D2815">
        <v>0</v>
      </c>
      <c r="E2815">
        <v>0</v>
      </c>
      <c r="F2815">
        <v>0</v>
      </c>
      <c r="G2815" s="10">
        <f t="shared" si="43"/>
        <v>0</v>
      </c>
      <c r="H2815" t="str">
        <f>$A2815&amp;Keys!$C$54&amp;$B2815&amp;Keys!$C$54&amp;$C2815</f>
        <v>WA|imports|heat (not used in this variable)</v>
      </c>
    </row>
    <row r="2816" spans="1:8" x14ac:dyDescent="0.25">
      <c r="A2816" t="s">
        <v>171</v>
      </c>
      <c r="B2816" t="s">
        <v>191</v>
      </c>
      <c r="C2816" t="s">
        <v>103</v>
      </c>
      <c r="D2816">
        <v>0</v>
      </c>
      <c r="E2816">
        <v>0</v>
      </c>
      <c r="F2816">
        <v>0</v>
      </c>
      <c r="G2816" s="10">
        <f t="shared" si="43"/>
        <v>0</v>
      </c>
      <c r="H2816" t="str">
        <f>$A2816&amp;Keys!$C$54&amp;$B2816&amp;Keys!$C$54&amp;$C2816</f>
        <v>WA|imports|geothermal (is not a fuel)</v>
      </c>
    </row>
    <row r="2817" spans="1:8" x14ac:dyDescent="0.25">
      <c r="A2817" t="s">
        <v>171</v>
      </c>
      <c r="B2817" t="s">
        <v>191</v>
      </c>
      <c r="C2817" t="s">
        <v>106</v>
      </c>
      <c r="D2817">
        <v>0</v>
      </c>
      <c r="E2817">
        <v>0</v>
      </c>
      <c r="F2817">
        <v>0</v>
      </c>
      <c r="G2817" s="10">
        <f t="shared" si="43"/>
        <v>0</v>
      </c>
      <c r="H2817" t="str">
        <f>$A2817&amp;Keys!$C$54&amp;$B2817&amp;Keys!$C$54&amp;$C2817</f>
        <v>WA|imports|lignite</v>
      </c>
    </row>
    <row r="2818" spans="1:8" x14ac:dyDescent="0.25">
      <c r="A2818" t="s">
        <v>171</v>
      </c>
      <c r="B2818" t="s">
        <v>191</v>
      </c>
      <c r="C2818" t="s">
        <v>109</v>
      </c>
      <c r="D2818">
        <v>0</v>
      </c>
      <c r="E2818">
        <v>1228270000000000</v>
      </c>
      <c r="F2818">
        <v>1228270000000000</v>
      </c>
      <c r="G2818" s="10">
        <f t="shared" si="43"/>
        <v>818846666666666.63</v>
      </c>
      <c r="H2818" t="str">
        <f>$A2818&amp;Keys!$C$54&amp;$B2818&amp;Keys!$C$54&amp;$C2818</f>
        <v>WA|imports|crude oil</v>
      </c>
    </row>
    <row r="2819" spans="1:8" x14ac:dyDescent="0.25">
      <c r="A2819" t="s">
        <v>171</v>
      </c>
      <c r="B2819" t="s">
        <v>191</v>
      </c>
      <c r="C2819" t="s">
        <v>113</v>
      </c>
      <c r="D2819">
        <v>0</v>
      </c>
      <c r="E2819">
        <v>70048100000000</v>
      </c>
      <c r="F2819">
        <v>69274700000000</v>
      </c>
      <c r="G2819" s="10">
        <f t="shared" si="43"/>
        <v>46440933333333.336</v>
      </c>
      <c r="H2819" t="str">
        <f>$A2819&amp;Keys!$C$54&amp;$B2819&amp;Keys!$C$54&amp;$C2819</f>
        <v>WA|imports|heavy fuel oil</v>
      </c>
    </row>
    <row r="2820" spans="1:8" x14ac:dyDescent="0.25">
      <c r="A2820" t="s">
        <v>171</v>
      </c>
      <c r="B2820" t="s">
        <v>191</v>
      </c>
      <c r="C2820" t="s">
        <v>117</v>
      </c>
      <c r="D2820">
        <v>0</v>
      </c>
      <c r="E2820">
        <v>16569000000000</v>
      </c>
      <c r="F2820">
        <v>16451100000000</v>
      </c>
      <c r="G2820" s="10">
        <f t="shared" si="43"/>
        <v>11006700000000</v>
      </c>
      <c r="H2820" t="str">
        <f>$A2820&amp;Keys!$C$54&amp;$B2820&amp;Keys!$C$54&amp;$C2820</f>
        <v>WA|imports|LPG propane or butane</v>
      </c>
    </row>
    <row r="2821" spans="1:8" x14ac:dyDescent="0.25">
      <c r="A2821" t="s">
        <v>171</v>
      </c>
      <c r="B2821" t="s">
        <v>191</v>
      </c>
      <c r="C2821" t="s">
        <v>120</v>
      </c>
      <c r="D2821">
        <v>0</v>
      </c>
      <c r="E2821">
        <v>2378270000000</v>
      </c>
      <c r="F2821">
        <v>2378270000000</v>
      </c>
      <c r="G2821" s="10">
        <f t="shared" si="43"/>
        <v>1585513333333.3333</v>
      </c>
      <c r="H2821" t="str">
        <f>$A2821&amp;Keys!$C$54&amp;$B2821&amp;Keys!$C$54&amp;$C2821</f>
        <v>WA|imports|municipal solid waste</v>
      </c>
    </row>
    <row r="2822" spans="1:8" x14ac:dyDescent="0.25">
      <c r="A2822" t="s">
        <v>171</v>
      </c>
      <c r="B2822" t="s">
        <v>191</v>
      </c>
      <c r="C2822" t="s">
        <v>123</v>
      </c>
      <c r="D2822">
        <v>0</v>
      </c>
      <c r="E2822">
        <v>0</v>
      </c>
      <c r="F2822">
        <v>0</v>
      </c>
      <c r="G2822" s="10">
        <f t="shared" si="43"/>
        <v>0</v>
      </c>
      <c r="H2822" t="str">
        <f>$A2822&amp;Keys!$C$54&amp;$B2822&amp;Keys!$C$54&amp;$C2822</f>
        <v>WA|imports|hydrogen</v>
      </c>
    </row>
    <row r="2823" spans="1:8" x14ac:dyDescent="0.25">
      <c r="A2823" t="s">
        <v>171</v>
      </c>
      <c r="B2823" t="s">
        <v>193</v>
      </c>
      <c r="C2823" t="s">
        <v>60</v>
      </c>
      <c r="D2823">
        <v>0</v>
      </c>
      <c r="E2823">
        <v>0</v>
      </c>
      <c r="F2823">
        <v>0</v>
      </c>
      <c r="G2823" s="10">
        <f t="shared" si="43"/>
        <v>0</v>
      </c>
      <c r="H2823" t="str">
        <f>$A2823&amp;Keys!$C$54&amp;$B2823&amp;Keys!$C$54&amp;$C2823</f>
        <v>WA|exports|electricity (not used in this variable)</v>
      </c>
    </row>
    <row r="2824" spans="1:8" x14ac:dyDescent="0.25">
      <c r="A2824" t="s">
        <v>171</v>
      </c>
      <c r="B2824" t="s">
        <v>193</v>
      </c>
      <c r="C2824" t="s">
        <v>64</v>
      </c>
      <c r="D2824">
        <v>0</v>
      </c>
      <c r="E2824">
        <v>0</v>
      </c>
      <c r="F2824">
        <v>0</v>
      </c>
      <c r="G2824" s="10">
        <f t="shared" si="43"/>
        <v>0</v>
      </c>
      <c r="H2824" t="str">
        <f>$A2824&amp;Keys!$C$54&amp;$B2824&amp;Keys!$C$54&amp;$C2824</f>
        <v>WA|exports|hard coal</v>
      </c>
    </row>
    <row r="2825" spans="1:8" x14ac:dyDescent="0.25">
      <c r="A2825" t="s">
        <v>171</v>
      </c>
      <c r="B2825" t="s">
        <v>193</v>
      </c>
      <c r="C2825" t="s">
        <v>68</v>
      </c>
      <c r="D2825">
        <v>974742000000000</v>
      </c>
      <c r="E2825">
        <v>974742000000000</v>
      </c>
      <c r="F2825">
        <v>906006000000000</v>
      </c>
      <c r="G2825" s="10">
        <f t="shared" ref="G2825:G2888" si="44">AVERAGE($D2825:$F2825)</f>
        <v>951830000000000</v>
      </c>
      <c r="H2825" t="str">
        <f>$A2825&amp;Keys!$C$54&amp;$B2825&amp;Keys!$C$54&amp;$C2825</f>
        <v>WA|exports|natural gas</v>
      </c>
    </row>
    <row r="2826" spans="1:8" x14ac:dyDescent="0.25">
      <c r="A2826" t="s">
        <v>171</v>
      </c>
      <c r="B2826" t="s">
        <v>193</v>
      </c>
      <c r="C2826" t="s">
        <v>71</v>
      </c>
      <c r="D2826">
        <v>0</v>
      </c>
      <c r="E2826">
        <v>0</v>
      </c>
      <c r="F2826">
        <v>0</v>
      </c>
      <c r="G2826" s="10">
        <f t="shared" si="44"/>
        <v>0</v>
      </c>
      <c r="H2826" t="str">
        <f>$A2826&amp;Keys!$C$54&amp;$B2826&amp;Keys!$C$54&amp;$C2826</f>
        <v>WA|exports|nuclear</v>
      </c>
    </row>
    <row r="2827" spans="1:8" x14ac:dyDescent="0.25">
      <c r="A2827" t="s">
        <v>171</v>
      </c>
      <c r="B2827" t="s">
        <v>193</v>
      </c>
      <c r="C2827" t="s">
        <v>74</v>
      </c>
      <c r="D2827">
        <v>0</v>
      </c>
      <c r="E2827">
        <v>0</v>
      </c>
      <c r="F2827">
        <v>0</v>
      </c>
      <c r="G2827" s="10">
        <f t="shared" si="44"/>
        <v>0</v>
      </c>
      <c r="H2827" t="str">
        <f>$A2827&amp;Keys!$C$54&amp;$B2827&amp;Keys!$C$54&amp;$C2827</f>
        <v>WA|exports|hydro (is not a fuel)</v>
      </c>
    </row>
    <row r="2828" spans="1:8" x14ac:dyDescent="0.25">
      <c r="A2828" t="s">
        <v>171</v>
      </c>
      <c r="B2828" t="s">
        <v>193</v>
      </c>
      <c r="C2828" t="s">
        <v>77</v>
      </c>
      <c r="D2828">
        <v>0</v>
      </c>
      <c r="E2828">
        <v>0</v>
      </c>
      <c r="F2828">
        <v>0</v>
      </c>
      <c r="G2828" s="10">
        <f t="shared" si="44"/>
        <v>0</v>
      </c>
      <c r="H2828" t="str">
        <f>$A2828&amp;Keys!$C$54&amp;$B2828&amp;Keys!$C$54&amp;$C2828</f>
        <v>WA|exports|wind (is not a fuel)</v>
      </c>
    </row>
    <row r="2829" spans="1:8" x14ac:dyDescent="0.25">
      <c r="A2829" t="s">
        <v>171</v>
      </c>
      <c r="B2829" t="s">
        <v>193</v>
      </c>
      <c r="C2829" t="s">
        <v>80</v>
      </c>
      <c r="D2829">
        <v>0</v>
      </c>
      <c r="E2829">
        <v>0</v>
      </c>
      <c r="F2829">
        <v>0</v>
      </c>
      <c r="G2829" s="10">
        <f t="shared" si="44"/>
        <v>0</v>
      </c>
      <c r="H2829" t="str">
        <f>$A2829&amp;Keys!$C$54&amp;$B2829&amp;Keys!$C$54&amp;$C2829</f>
        <v>WA|exports|solar (is not a fuel)</v>
      </c>
    </row>
    <row r="2830" spans="1:8" x14ac:dyDescent="0.25">
      <c r="A2830" t="s">
        <v>171</v>
      </c>
      <c r="B2830" t="s">
        <v>193</v>
      </c>
      <c r="C2830" t="s">
        <v>82</v>
      </c>
      <c r="D2830">
        <v>0</v>
      </c>
      <c r="E2830">
        <v>0</v>
      </c>
      <c r="F2830">
        <v>0</v>
      </c>
      <c r="G2830" s="10">
        <f t="shared" si="44"/>
        <v>0</v>
      </c>
      <c r="H2830" t="str">
        <f>$A2830&amp;Keys!$C$54&amp;$B2830&amp;Keys!$C$54&amp;$C2830</f>
        <v>WA|exports|biomass</v>
      </c>
    </row>
    <row r="2831" spans="1:8" x14ac:dyDescent="0.25">
      <c r="A2831" t="s">
        <v>171</v>
      </c>
      <c r="B2831" t="s">
        <v>193</v>
      </c>
      <c r="C2831" t="s">
        <v>85</v>
      </c>
      <c r="D2831">
        <v>18961400000000</v>
      </c>
      <c r="E2831">
        <v>368101000000000</v>
      </c>
      <c r="F2831">
        <v>353321000000000</v>
      </c>
      <c r="G2831" s="10">
        <f t="shared" si="44"/>
        <v>246794466666666.66</v>
      </c>
      <c r="H2831" t="str">
        <f>$A2831&amp;Keys!$C$54&amp;$B2831&amp;Keys!$C$54&amp;$C2831</f>
        <v>WA|exports|petroleum gasoline</v>
      </c>
    </row>
    <row r="2832" spans="1:8" x14ac:dyDescent="0.25">
      <c r="A2832" t="s">
        <v>171</v>
      </c>
      <c r="B2832" t="s">
        <v>193</v>
      </c>
      <c r="C2832" t="s">
        <v>88</v>
      </c>
      <c r="D2832">
        <v>74488600000000</v>
      </c>
      <c r="E2832">
        <v>221658000000000</v>
      </c>
      <c r="F2832">
        <v>212172000000000</v>
      </c>
      <c r="G2832" s="10">
        <f t="shared" si="44"/>
        <v>169439533333333.34</v>
      </c>
      <c r="H2832" t="str">
        <f>$A2832&amp;Keys!$C$54&amp;$B2832&amp;Keys!$C$54&amp;$C2832</f>
        <v>WA|exports|petroleum diesel</v>
      </c>
    </row>
    <row r="2833" spans="1:8" x14ac:dyDescent="0.25">
      <c r="A2833" t="s">
        <v>171</v>
      </c>
      <c r="B2833" t="s">
        <v>193</v>
      </c>
      <c r="C2833" t="s">
        <v>91</v>
      </c>
      <c r="D2833">
        <v>0</v>
      </c>
      <c r="E2833">
        <v>0</v>
      </c>
      <c r="F2833">
        <v>0</v>
      </c>
      <c r="G2833" s="10">
        <f t="shared" si="44"/>
        <v>0</v>
      </c>
      <c r="H2833" t="str">
        <f>$A2833&amp;Keys!$C$54&amp;$B2833&amp;Keys!$C$54&amp;$C2833</f>
        <v>WA|exports|biofuel gasoline</v>
      </c>
    </row>
    <row r="2834" spans="1:8" x14ac:dyDescent="0.25">
      <c r="A2834" t="s">
        <v>171</v>
      </c>
      <c r="B2834" t="s">
        <v>193</v>
      </c>
      <c r="C2834" t="s">
        <v>94</v>
      </c>
      <c r="D2834">
        <v>0</v>
      </c>
      <c r="E2834">
        <v>28793500000000</v>
      </c>
      <c r="F2834">
        <v>34632100000000</v>
      </c>
      <c r="G2834" s="10">
        <f t="shared" si="44"/>
        <v>21141866666666.668</v>
      </c>
      <c r="H2834" t="str">
        <f>$A2834&amp;Keys!$C$54&amp;$B2834&amp;Keys!$C$54&amp;$C2834</f>
        <v>WA|exports|biofuel diesel</v>
      </c>
    </row>
    <row r="2835" spans="1:8" x14ac:dyDescent="0.25">
      <c r="A2835" t="s">
        <v>171</v>
      </c>
      <c r="B2835" t="s">
        <v>193</v>
      </c>
      <c r="C2835" t="s">
        <v>97</v>
      </c>
      <c r="D2835">
        <v>11798300000000</v>
      </c>
      <c r="E2835">
        <v>17949300000000</v>
      </c>
      <c r="F2835">
        <v>11512400000000</v>
      </c>
      <c r="G2835" s="10">
        <f t="shared" si="44"/>
        <v>13753333333333.334</v>
      </c>
      <c r="H2835" t="str">
        <f>$A2835&amp;Keys!$C$54&amp;$B2835&amp;Keys!$C$54&amp;$C2835</f>
        <v>WA|exports|jet fuel or kerosene</v>
      </c>
    </row>
    <row r="2836" spans="1:8" x14ac:dyDescent="0.25">
      <c r="A2836" t="s">
        <v>171</v>
      </c>
      <c r="B2836" t="s">
        <v>193</v>
      </c>
      <c r="C2836" t="s">
        <v>100</v>
      </c>
      <c r="D2836">
        <v>0</v>
      </c>
      <c r="E2836">
        <v>0</v>
      </c>
      <c r="F2836">
        <v>0</v>
      </c>
      <c r="G2836" s="10">
        <f t="shared" si="44"/>
        <v>0</v>
      </c>
      <c r="H2836" t="str">
        <f>$A2836&amp;Keys!$C$54&amp;$B2836&amp;Keys!$C$54&amp;$C2836</f>
        <v>WA|exports|heat (not used in this variable)</v>
      </c>
    </row>
    <row r="2837" spans="1:8" x14ac:dyDescent="0.25">
      <c r="A2837" t="s">
        <v>171</v>
      </c>
      <c r="B2837" t="s">
        <v>193</v>
      </c>
      <c r="C2837" t="s">
        <v>103</v>
      </c>
      <c r="D2837">
        <v>0</v>
      </c>
      <c r="E2837">
        <v>0</v>
      </c>
      <c r="F2837">
        <v>0</v>
      </c>
      <c r="G2837" s="10">
        <f t="shared" si="44"/>
        <v>0</v>
      </c>
      <c r="H2837" t="str">
        <f>$A2837&amp;Keys!$C$54&amp;$B2837&amp;Keys!$C$54&amp;$C2837</f>
        <v>WA|exports|geothermal (is not a fuel)</v>
      </c>
    </row>
    <row r="2838" spans="1:8" x14ac:dyDescent="0.25">
      <c r="A2838" t="s">
        <v>171</v>
      </c>
      <c r="B2838" t="s">
        <v>193</v>
      </c>
      <c r="C2838" t="s">
        <v>106</v>
      </c>
      <c r="D2838">
        <v>0</v>
      </c>
      <c r="E2838">
        <v>0</v>
      </c>
      <c r="F2838">
        <v>0</v>
      </c>
      <c r="G2838" s="10">
        <f t="shared" si="44"/>
        <v>0</v>
      </c>
      <c r="H2838" t="str">
        <f>$A2838&amp;Keys!$C$54&amp;$B2838&amp;Keys!$C$54&amp;$C2838</f>
        <v>WA|exports|lignite</v>
      </c>
    </row>
    <row r="2839" spans="1:8" x14ac:dyDescent="0.25">
      <c r="A2839" t="s">
        <v>171</v>
      </c>
      <c r="B2839" t="s">
        <v>193</v>
      </c>
      <c r="C2839" t="s">
        <v>109</v>
      </c>
      <c r="D2839">
        <v>0</v>
      </c>
      <c r="E2839">
        <v>0</v>
      </c>
      <c r="F2839">
        <v>0</v>
      </c>
      <c r="G2839" s="10">
        <f t="shared" si="44"/>
        <v>0</v>
      </c>
      <c r="H2839" t="str">
        <f>$A2839&amp;Keys!$C$54&amp;$B2839&amp;Keys!$C$54&amp;$C2839</f>
        <v>WA|exports|crude oil</v>
      </c>
    </row>
    <row r="2840" spans="1:8" x14ac:dyDescent="0.25">
      <c r="A2840" t="s">
        <v>171</v>
      </c>
      <c r="B2840" t="s">
        <v>193</v>
      </c>
      <c r="C2840" t="s">
        <v>113</v>
      </c>
      <c r="D2840">
        <v>8505730000000</v>
      </c>
      <c r="E2840">
        <v>8505730000000</v>
      </c>
      <c r="F2840">
        <v>8299560000000</v>
      </c>
      <c r="G2840" s="10">
        <f t="shared" si="44"/>
        <v>8437006666666.667</v>
      </c>
      <c r="H2840" t="str">
        <f>$A2840&amp;Keys!$C$54&amp;$B2840&amp;Keys!$C$54&amp;$C2840</f>
        <v>WA|exports|heavy fuel oil</v>
      </c>
    </row>
    <row r="2841" spans="1:8" x14ac:dyDescent="0.25">
      <c r="A2841" t="s">
        <v>171</v>
      </c>
      <c r="B2841" t="s">
        <v>193</v>
      </c>
      <c r="C2841" t="s">
        <v>117</v>
      </c>
      <c r="D2841">
        <v>0</v>
      </c>
      <c r="E2841">
        <v>0</v>
      </c>
      <c r="F2841">
        <v>0</v>
      </c>
      <c r="G2841" s="10">
        <f t="shared" si="44"/>
        <v>0</v>
      </c>
      <c r="H2841" t="str">
        <f>$A2841&amp;Keys!$C$54&amp;$B2841&amp;Keys!$C$54&amp;$C2841</f>
        <v>WA|exports|LPG propane or butane</v>
      </c>
    </row>
    <row r="2842" spans="1:8" x14ac:dyDescent="0.25">
      <c r="A2842" t="s">
        <v>171</v>
      </c>
      <c r="B2842" t="s">
        <v>193</v>
      </c>
      <c r="C2842" t="s">
        <v>120</v>
      </c>
      <c r="D2842">
        <v>0</v>
      </c>
      <c r="E2842">
        <v>0</v>
      </c>
      <c r="F2842">
        <v>0</v>
      </c>
      <c r="G2842" s="10">
        <f t="shared" si="44"/>
        <v>0</v>
      </c>
      <c r="H2842" t="str">
        <f>$A2842&amp;Keys!$C$54&amp;$B2842&amp;Keys!$C$54&amp;$C2842</f>
        <v>WA|exports|municipal solid waste</v>
      </c>
    </row>
    <row r="2843" spans="1:8" x14ac:dyDescent="0.25">
      <c r="A2843" t="s">
        <v>171</v>
      </c>
      <c r="B2843" t="s">
        <v>193</v>
      </c>
      <c r="C2843" t="s">
        <v>123</v>
      </c>
      <c r="D2843">
        <v>0</v>
      </c>
      <c r="E2843">
        <v>9750330000000</v>
      </c>
      <c r="F2843">
        <v>8679300000000</v>
      </c>
      <c r="G2843" s="10">
        <f t="shared" si="44"/>
        <v>6143210000000</v>
      </c>
      <c r="H2843" t="str">
        <f>$A2843&amp;Keys!$C$54&amp;$B2843&amp;Keys!$C$54&amp;$C2843</f>
        <v>WA|exports|hydrogen</v>
      </c>
    </row>
    <row r="2844" spans="1:8" x14ac:dyDescent="0.25">
      <c r="A2844" t="s">
        <v>173</v>
      </c>
      <c r="B2844" t="s">
        <v>188</v>
      </c>
      <c r="C2844" t="s">
        <v>60</v>
      </c>
      <c r="D2844">
        <v>0</v>
      </c>
      <c r="E2844">
        <v>0</v>
      </c>
      <c r="F2844">
        <v>0</v>
      </c>
      <c r="G2844" s="10">
        <f t="shared" si="44"/>
        <v>0</v>
      </c>
      <c r="H2844" t="str">
        <f>$A2844&amp;Keys!$C$54&amp;$B2844&amp;Keys!$C$54&amp;$C2844</f>
        <v>WI|production|electricity (not used in this variable)</v>
      </c>
    </row>
    <row r="2845" spans="1:8" x14ac:dyDescent="0.25">
      <c r="A2845" t="s">
        <v>173</v>
      </c>
      <c r="B2845" t="s">
        <v>188</v>
      </c>
      <c r="C2845" t="s">
        <v>64</v>
      </c>
      <c r="D2845">
        <v>0</v>
      </c>
      <c r="E2845">
        <v>0</v>
      </c>
      <c r="F2845">
        <v>0</v>
      </c>
      <c r="G2845" s="10">
        <f t="shared" si="44"/>
        <v>0</v>
      </c>
      <c r="H2845" t="str">
        <f>$A2845&amp;Keys!$C$54&amp;$B2845&amp;Keys!$C$54&amp;$C2845</f>
        <v>WI|production|hard coal</v>
      </c>
    </row>
    <row r="2846" spans="1:8" x14ac:dyDescent="0.25">
      <c r="A2846" t="s">
        <v>173</v>
      </c>
      <c r="B2846" t="s">
        <v>188</v>
      </c>
      <c r="C2846" t="s">
        <v>68</v>
      </c>
      <c r="D2846">
        <v>0</v>
      </c>
      <c r="E2846">
        <v>0</v>
      </c>
      <c r="F2846">
        <v>0</v>
      </c>
      <c r="G2846" s="10">
        <f t="shared" si="44"/>
        <v>0</v>
      </c>
      <c r="H2846" t="str">
        <f>$A2846&amp;Keys!$C$54&amp;$B2846&amp;Keys!$C$54&amp;$C2846</f>
        <v>WI|production|natural gas</v>
      </c>
    </row>
    <row r="2847" spans="1:8" x14ac:dyDescent="0.25">
      <c r="A2847" t="s">
        <v>173</v>
      </c>
      <c r="B2847" t="s">
        <v>188</v>
      </c>
      <c r="C2847" t="s">
        <v>71</v>
      </c>
      <c r="D2847">
        <v>0</v>
      </c>
      <c r="E2847">
        <v>0</v>
      </c>
      <c r="F2847">
        <v>0</v>
      </c>
      <c r="G2847" s="10">
        <f t="shared" si="44"/>
        <v>0</v>
      </c>
      <c r="H2847" t="str">
        <f>$A2847&amp;Keys!$C$54&amp;$B2847&amp;Keys!$C$54&amp;$C2847</f>
        <v>WI|production|nuclear</v>
      </c>
    </row>
    <row r="2848" spans="1:8" x14ac:dyDescent="0.25">
      <c r="A2848" t="s">
        <v>173</v>
      </c>
      <c r="B2848" t="s">
        <v>188</v>
      </c>
      <c r="C2848" t="s">
        <v>74</v>
      </c>
      <c r="D2848">
        <v>0</v>
      </c>
      <c r="E2848">
        <v>0</v>
      </c>
      <c r="F2848">
        <v>0</v>
      </c>
      <c r="G2848" s="10">
        <f t="shared" si="44"/>
        <v>0</v>
      </c>
      <c r="H2848" t="str">
        <f>$A2848&amp;Keys!$C$54&amp;$B2848&amp;Keys!$C$54&amp;$C2848</f>
        <v>WI|production|hydro (is not a fuel)</v>
      </c>
    </row>
    <row r="2849" spans="1:8" x14ac:dyDescent="0.25">
      <c r="A2849" t="s">
        <v>173</v>
      </c>
      <c r="B2849" t="s">
        <v>188</v>
      </c>
      <c r="C2849" t="s">
        <v>77</v>
      </c>
      <c r="D2849">
        <v>0</v>
      </c>
      <c r="E2849">
        <v>0</v>
      </c>
      <c r="F2849">
        <v>0</v>
      </c>
      <c r="G2849" s="10">
        <f t="shared" si="44"/>
        <v>0</v>
      </c>
      <c r="H2849" t="str">
        <f>$A2849&amp;Keys!$C$54&amp;$B2849&amp;Keys!$C$54&amp;$C2849</f>
        <v>WI|production|wind (is not a fuel)</v>
      </c>
    </row>
    <row r="2850" spans="1:8" x14ac:dyDescent="0.25">
      <c r="A2850" t="s">
        <v>173</v>
      </c>
      <c r="B2850" t="s">
        <v>188</v>
      </c>
      <c r="C2850" t="s">
        <v>80</v>
      </c>
      <c r="D2850">
        <v>0</v>
      </c>
      <c r="E2850">
        <v>0</v>
      </c>
      <c r="F2850">
        <v>0</v>
      </c>
      <c r="G2850" s="10">
        <f t="shared" si="44"/>
        <v>0</v>
      </c>
      <c r="H2850" t="str">
        <f>$A2850&amp;Keys!$C$54&amp;$B2850&amp;Keys!$C$54&amp;$C2850</f>
        <v>WI|production|solar (is not a fuel)</v>
      </c>
    </row>
    <row r="2851" spans="1:8" x14ac:dyDescent="0.25">
      <c r="A2851" t="s">
        <v>173</v>
      </c>
      <c r="B2851" t="s">
        <v>188</v>
      </c>
      <c r="C2851" t="s">
        <v>82</v>
      </c>
      <c r="D2851">
        <v>3680000000000</v>
      </c>
      <c r="E2851">
        <v>3680000000000</v>
      </c>
      <c r="F2851">
        <v>3680000000000</v>
      </c>
      <c r="G2851" s="10">
        <f t="shared" si="44"/>
        <v>3680000000000</v>
      </c>
      <c r="H2851" t="str">
        <f>$A2851&amp;Keys!$C$54&amp;$B2851&amp;Keys!$C$54&amp;$C2851</f>
        <v>WI|production|biomass</v>
      </c>
    </row>
    <row r="2852" spans="1:8" x14ac:dyDescent="0.25">
      <c r="A2852" t="s">
        <v>173</v>
      </c>
      <c r="B2852" t="s">
        <v>188</v>
      </c>
      <c r="C2852" t="s">
        <v>85</v>
      </c>
      <c r="D2852">
        <v>44577000000000</v>
      </c>
      <c r="E2852">
        <v>44577000000000</v>
      </c>
      <c r="F2852">
        <v>43496600000000</v>
      </c>
      <c r="G2852" s="10">
        <f t="shared" si="44"/>
        <v>44216866666666.664</v>
      </c>
      <c r="H2852" t="str">
        <f>$A2852&amp;Keys!$C$54&amp;$B2852&amp;Keys!$C$54&amp;$C2852</f>
        <v>WI|production|petroleum gasoline</v>
      </c>
    </row>
    <row r="2853" spans="1:8" x14ac:dyDescent="0.25">
      <c r="A2853" t="s">
        <v>173</v>
      </c>
      <c r="B2853" t="s">
        <v>188</v>
      </c>
      <c r="C2853" t="s">
        <v>88</v>
      </c>
      <c r="D2853">
        <v>26368000000000</v>
      </c>
      <c r="E2853">
        <v>26368000000000</v>
      </c>
      <c r="F2853">
        <v>25728900000000</v>
      </c>
      <c r="G2853" s="10">
        <f t="shared" si="44"/>
        <v>26154966666666.668</v>
      </c>
      <c r="H2853" t="str">
        <f>$A2853&amp;Keys!$C$54&amp;$B2853&amp;Keys!$C$54&amp;$C2853</f>
        <v>WI|production|petroleum diesel</v>
      </c>
    </row>
    <row r="2854" spans="1:8" x14ac:dyDescent="0.25">
      <c r="A2854" t="s">
        <v>173</v>
      </c>
      <c r="B2854" t="s">
        <v>188</v>
      </c>
      <c r="C2854" t="s">
        <v>91</v>
      </c>
      <c r="D2854">
        <v>49157900000000</v>
      </c>
      <c r="E2854">
        <v>49157900000000</v>
      </c>
      <c r="F2854">
        <v>49296200000000</v>
      </c>
      <c r="G2854" s="10">
        <f t="shared" si="44"/>
        <v>49204000000000</v>
      </c>
      <c r="H2854" t="str">
        <f>$A2854&amp;Keys!$C$54&amp;$B2854&amp;Keys!$C$54&amp;$C2854</f>
        <v>WI|production|biofuel gasoline</v>
      </c>
    </row>
    <row r="2855" spans="1:8" x14ac:dyDescent="0.25">
      <c r="A2855" t="s">
        <v>173</v>
      </c>
      <c r="B2855" t="s">
        <v>188</v>
      </c>
      <c r="C2855" t="s">
        <v>94</v>
      </c>
      <c r="D2855">
        <v>9130170000000</v>
      </c>
      <c r="E2855">
        <v>9130170000000</v>
      </c>
      <c r="F2855">
        <v>10845400000000</v>
      </c>
      <c r="G2855" s="10">
        <f t="shared" si="44"/>
        <v>9701913333333.334</v>
      </c>
      <c r="H2855" t="str">
        <f>$A2855&amp;Keys!$C$54&amp;$B2855&amp;Keys!$C$54&amp;$C2855</f>
        <v>WI|production|biofuel diesel</v>
      </c>
    </row>
    <row r="2856" spans="1:8" x14ac:dyDescent="0.25">
      <c r="A2856" t="s">
        <v>173</v>
      </c>
      <c r="B2856" t="s">
        <v>188</v>
      </c>
      <c r="C2856" t="s">
        <v>97</v>
      </c>
      <c r="D2856">
        <v>9386470000000</v>
      </c>
      <c r="E2856">
        <v>9386470000000</v>
      </c>
      <c r="F2856">
        <v>9158960000000</v>
      </c>
      <c r="G2856" s="10">
        <f t="shared" si="44"/>
        <v>9310633333333.334</v>
      </c>
      <c r="H2856" t="str">
        <f>$A2856&amp;Keys!$C$54&amp;$B2856&amp;Keys!$C$54&amp;$C2856</f>
        <v>WI|production|jet fuel or kerosene</v>
      </c>
    </row>
    <row r="2857" spans="1:8" x14ac:dyDescent="0.25">
      <c r="A2857" t="s">
        <v>173</v>
      </c>
      <c r="B2857" t="s">
        <v>188</v>
      </c>
      <c r="C2857" t="s">
        <v>100</v>
      </c>
      <c r="D2857">
        <v>0</v>
      </c>
      <c r="E2857">
        <v>0</v>
      </c>
      <c r="F2857">
        <v>0</v>
      </c>
      <c r="G2857" s="10">
        <f t="shared" si="44"/>
        <v>0</v>
      </c>
      <c r="H2857" t="str">
        <f>$A2857&amp;Keys!$C$54&amp;$B2857&amp;Keys!$C$54&amp;$C2857</f>
        <v>WI|production|heat (not used in this variable)</v>
      </c>
    </row>
    <row r="2858" spans="1:8" x14ac:dyDescent="0.25">
      <c r="A2858" t="s">
        <v>173</v>
      </c>
      <c r="B2858" t="s">
        <v>188</v>
      </c>
      <c r="C2858" t="s">
        <v>103</v>
      </c>
      <c r="D2858">
        <v>0</v>
      </c>
      <c r="E2858">
        <v>0</v>
      </c>
      <c r="F2858">
        <v>0</v>
      </c>
      <c r="G2858" s="10">
        <f t="shared" si="44"/>
        <v>0</v>
      </c>
      <c r="H2858" t="str">
        <f>$A2858&amp;Keys!$C$54&amp;$B2858&amp;Keys!$C$54&amp;$C2858</f>
        <v>WI|production|geothermal (is not a fuel)</v>
      </c>
    </row>
    <row r="2859" spans="1:8" x14ac:dyDescent="0.25">
      <c r="A2859" t="s">
        <v>173</v>
      </c>
      <c r="B2859" t="s">
        <v>188</v>
      </c>
      <c r="C2859" t="s">
        <v>106</v>
      </c>
      <c r="D2859">
        <v>0</v>
      </c>
      <c r="E2859">
        <v>0</v>
      </c>
      <c r="F2859">
        <v>0</v>
      </c>
      <c r="G2859" s="10">
        <f t="shared" si="44"/>
        <v>0</v>
      </c>
      <c r="H2859" t="str">
        <f>$A2859&amp;Keys!$C$54&amp;$B2859&amp;Keys!$C$54&amp;$C2859</f>
        <v>WI|production|lignite</v>
      </c>
    </row>
    <row r="2860" spans="1:8" x14ac:dyDescent="0.25">
      <c r="A2860" t="s">
        <v>173</v>
      </c>
      <c r="B2860" t="s">
        <v>188</v>
      </c>
      <c r="C2860" t="s">
        <v>109</v>
      </c>
      <c r="D2860">
        <v>0</v>
      </c>
      <c r="E2860">
        <v>0</v>
      </c>
      <c r="F2860">
        <v>0</v>
      </c>
      <c r="G2860" s="10">
        <f t="shared" si="44"/>
        <v>0</v>
      </c>
      <c r="H2860" t="str">
        <f>$A2860&amp;Keys!$C$54&amp;$B2860&amp;Keys!$C$54&amp;$C2860</f>
        <v>WI|production|crude oil</v>
      </c>
    </row>
    <row r="2861" spans="1:8" x14ac:dyDescent="0.25">
      <c r="A2861" t="s">
        <v>173</v>
      </c>
      <c r="B2861" t="s">
        <v>188</v>
      </c>
      <c r="C2861" t="s">
        <v>113</v>
      </c>
      <c r="D2861">
        <v>1823350000000</v>
      </c>
      <c r="E2861">
        <v>1823350000000</v>
      </c>
      <c r="F2861">
        <v>1779160000000</v>
      </c>
      <c r="G2861" s="10">
        <f t="shared" si="44"/>
        <v>1808620000000</v>
      </c>
      <c r="H2861" t="str">
        <f>$A2861&amp;Keys!$C$54&amp;$B2861&amp;Keys!$C$54&amp;$C2861</f>
        <v>WI|production|heavy fuel oil</v>
      </c>
    </row>
    <row r="2862" spans="1:8" x14ac:dyDescent="0.25">
      <c r="A2862" t="s">
        <v>173</v>
      </c>
      <c r="B2862" t="s">
        <v>188</v>
      </c>
      <c r="C2862" t="s">
        <v>117</v>
      </c>
      <c r="D2862">
        <v>0</v>
      </c>
      <c r="E2862">
        <v>0</v>
      </c>
      <c r="F2862">
        <v>0</v>
      </c>
      <c r="G2862" s="10">
        <f t="shared" si="44"/>
        <v>0</v>
      </c>
      <c r="H2862" t="str">
        <f>$A2862&amp;Keys!$C$54&amp;$B2862&amp;Keys!$C$54&amp;$C2862</f>
        <v>WI|production|LPG propane or butane</v>
      </c>
    </row>
    <row r="2863" spans="1:8" x14ac:dyDescent="0.25">
      <c r="A2863" t="s">
        <v>173</v>
      </c>
      <c r="B2863" t="s">
        <v>188</v>
      </c>
      <c r="C2863" t="s">
        <v>120</v>
      </c>
      <c r="D2863">
        <v>0</v>
      </c>
      <c r="E2863">
        <v>0</v>
      </c>
      <c r="F2863">
        <v>0</v>
      </c>
      <c r="G2863" s="10">
        <f t="shared" si="44"/>
        <v>0</v>
      </c>
      <c r="H2863" t="str">
        <f>$A2863&amp;Keys!$C$54&amp;$B2863&amp;Keys!$C$54&amp;$C2863</f>
        <v>WI|production|municipal solid waste</v>
      </c>
    </row>
    <row r="2864" spans="1:8" x14ac:dyDescent="0.25">
      <c r="A2864" t="s">
        <v>173</v>
      </c>
      <c r="B2864" t="s">
        <v>188</v>
      </c>
      <c r="C2864" t="s">
        <v>123</v>
      </c>
      <c r="D2864">
        <v>0</v>
      </c>
      <c r="E2864">
        <v>0</v>
      </c>
      <c r="F2864">
        <v>0</v>
      </c>
      <c r="G2864" s="10">
        <f t="shared" si="44"/>
        <v>0</v>
      </c>
      <c r="H2864" t="str">
        <f>$A2864&amp;Keys!$C$54&amp;$B2864&amp;Keys!$C$54&amp;$C2864</f>
        <v>WI|production|hydrogen</v>
      </c>
    </row>
    <row r="2865" spans="1:8" x14ac:dyDescent="0.25">
      <c r="A2865" t="s">
        <v>173</v>
      </c>
      <c r="B2865" t="s">
        <v>191</v>
      </c>
      <c r="C2865" t="s">
        <v>60</v>
      </c>
      <c r="D2865">
        <v>0</v>
      </c>
      <c r="E2865">
        <v>0</v>
      </c>
      <c r="F2865">
        <v>0</v>
      </c>
      <c r="G2865" s="10">
        <f t="shared" si="44"/>
        <v>0</v>
      </c>
      <c r="H2865" t="str">
        <f>$A2865&amp;Keys!$C$54&amp;$B2865&amp;Keys!$C$54&amp;$C2865</f>
        <v>WI|imports|electricity (not used in this variable)</v>
      </c>
    </row>
    <row r="2866" spans="1:8" x14ac:dyDescent="0.25">
      <c r="A2866" t="s">
        <v>173</v>
      </c>
      <c r="B2866" t="s">
        <v>191</v>
      </c>
      <c r="C2866" t="s">
        <v>64</v>
      </c>
      <c r="D2866">
        <v>223601000000000</v>
      </c>
      <c r="E2866">
        <v>238689000000000</v>
      </c>
      <c r="F2866">
        <v>275258000000000</v>
      </c>
      <c r="G2866" s="10">
        <f t="shared" si="44"/>
        <v>245849333333333.34</v>
      </c>
      <c r="H2866" t="str">
        <f>$A2866&amp;Keys!$C$54&amp;$B2866&amp;Keys!$C$54&amp;$C2866</f>
        <v>WI|imports|hard coal</v>
      </c>
    </row>
    <row r="2867" spans="1:8" x14ac:dyDescent="0.25">
      <c r="A2867" t="s">
        <v>173</v>
      </c>
      <c r="B2867" t="s">
        <v>191</v>
      </c>
      <c r="C2867" t="s">
        <v>68</v>
      </c>
      <c r="D2867">
        <v>1122270000000000</v>
      </c>
      <c r="E2867">
        <v>1062550000000000</v>
      </c>
      <c r="F2867">
        <v>1032410000000000</v>
      </c>
      <c r="G2867" s="10">
        <f t="shared" si="44"/>
        <v>1072410000000000</v>
      </c>
      <c r="H2867" t="str">
        <f>$A2867&amp;Keys!$C$54&amp;$B2867&amp;Keys!$C$54&amp;$C2867</f>
        <v>WI|imports|natural gas</v>
      </c>
    </row>
    <row r="2868" spans="1:8" x14ac:dyDescent="0.25">
      <c r="A2868" t="s">
        <v>173</v>
      </c>
      <c r="B2868" t="s">
        <v>191</v>
      </c>
      <c r="C2868" t="s">
        <v>71</v>
      </c>
      <c r="D2868">
        <v>105964000000000</v>
      </c>
      <c r="E2868">
        <v>106201000000000</v>
      </c>
      <c r="F2868">
        <v>106201000000000</v>
      </c>
      <c r="G2868" s="10">
        <f t="shared" si="44"/>
        <v>106122000000000</v>
      </c>
      <c r="H2868" t="str">
        <f>$A2868&amp;Keys!$C$54&amp;$B2868&amp;Keys!$C$54&amp;$C2868</f>
        <v>WI|imports|nuclear</v>
      </c>
    </row>
    <row r="2869" spans="1:8" x14ac:dyDescent="0.25">
      <c r="A2869" t="s">
        <v>173</v>
      </c>
      <c r="B2869" t="s">
        <v>191</v>
      </c>
      <c r="C2869" t="s">
        <v>74</v>
      </c>
      <c r="D2869">
        <v>0</v>
      </c>
      <c r="E2869">
        <v>0</v>
      </c>
      <c r="F2869">
        <v>0</v>
      </c>
      <c r="G2869" s="10">
        <f t="shared" si="44"/>
        <v>0</v>
      </c>
      <c r="H2869" t="str">
        <f>$A2869&amp;Keys!$C$54&amp;$B2869&amp;Keys!$C$54&amp;$C2869</f>
        <v>WI|imports|hydro (is not a fuel)</v>
      </c>
    </row>
    <row r="2870" spans="1:8" x14ac:dyDescent="0.25">
      <c r="A2870" t="s">
        <v>173</v>
      </c>
      <c r="B2870" t="s">
        <v>191</v>
      </c>
      <c r="C2870" t="s">
        <v>77</v>
      </c>
      <c r="D2870">
        <v>0</v>
      </c>
      <c r="E2870">
        <v>0</v>
      </c>
      <c r="F2870">
        <v>0</v>
      </c>
      <c r="G2870" s="10">
        <f t="shared" si="44"/>
        <v>0</v>
      </c>
      <c r="H2870" t="str">
        <f>$A2870&amp;Keys!$C$54&amp;$B2870&amp;Keys!$C$54&amp;$C2870</f>
        <v>WI|imports|wind (is not a fuel)</v>
      </c>
    </row>
    <row r="2871" spans="1:8" x14ac:dyDescent="0.25">
      <c r="A2871" t="s">
        <v>173</v>
      </c>
      <c r="B2871" t="s">
        <v>191</v>
      </c>
      <c r="C2871" t="s">
        <v>80</v>
      </c>
      <c r="D2871">
        <v>0</v>
      </c>
      <c r="E2871">
        <v>0</v>
      </c>
      <c r="F2871">
        <v>0</v>
      </c>
      <c r="G2871" s="10">
        <f t="shared" si="44"/>
        <v>0</v>
      </c>
      <c r="H2871" t="str">
        <f>$A2871&amp;Keys!$C$54&amp;$B2871&amp;Keys!$C$54&amp;$C2871</f>
        <v>WI|imports|solar (is not a fuel)</v>
      </c>
    </row>
    <row r="2872" spans="1:8" x14ac:dyDescent="0.25">
      <c r="A2872" t="s">
        <v>173</v>
      </c>
      <c r="B2872" t="s">
        <v>191</v>
      </c>
      <c r="C2872" t="s">
        <v>82</v>
      </c>
      <c r="D2872">
        <v>0</v>
      </c>
      <c r="E2872">
        <v>76764700000000</v>
      </c>
      <c r="F2872">
        <v>80190600000000</v>
      </c>
      <c r="G2872" s="10">
        <f t="shared" si="44"/>
        <v>52318433333333.336</v>
      </c>
      <c r="H2872" t="str">
        <f>$A2872&amp;Keys!$C$54&amp;$B2872&amp;Keys!$C$54&amp;$C2872</f>
        <v>WI|imports|biomass</v>
      </c>
    </row>
    <row r="2873" spans="1:8" x14ac:dyDescent="0.25">
      <c r="A2873" t="s">
        <v>173</v>
      </c>
      <c r="B2873" t="s">
        <v>191</v>
      </c>
      <c r="C2873" t="s">
        <v>85</v>
      </c>
      <c r="D2873">
        <v>0</v>
      </c>
      <c r="E2873">
        <v>207464000000000</v>
      </c>
      <c r="F2873">
        <v>205262000000000</v>
      </c>
      <c r="G2873" s="10">
        <f t="shared" si="44"/>
        <v>137575333333333.33</v>
      </c>
      <c r="H2873" t="str">
        <f>$A2873&amp;Keys!$C$54&amp;$B2873&amp;Keys!$C$54&amp;$C2873</f>
        <v>WI|imports|petroleum gasoline</v>
      </c>
    </row>
    <row r="2874" spans="1:8" x14ac:dyDescent="0.25">
      <c r="A2874" t="s">
        <v>173</v>
      </c>
      <c r="B2874" t="s">
        <v>191</v>
      </c>
      <c r="C2874" t="s">
        <v>88</v>
      </c>
      <c r="D2874">
        <v>0</v>
      </c>
      <c r="E2874">
        <v>120550000000000</v>
      </c>
      <c r="F2874">
        <v>120544000000000</v>
      </c>
      <c r="G2874" s="10">
        <f t="shared" si="44"/>
        <v>80364666666666.672</v>
      </c>
      <c r="H2874" t="str">
        <f>$A2874&amp;Keys!$C$54&amp;$B2874&amp;Keys!$C$54&amp;$C2874</f>
        <v>WI|imports|petroleum diesel</v>
      </c>
    </row>
    <row r="2875" spans="1:8" x14ac:dyDescent="0.25">
      <c r="A2875" t="s">
        <v>173</v>
      </c>
      <c r="B2875" t="s">
        <v>191</v>
      </c>
      <c r="C2875" t="s">
        <v>91</v>
      </c>
      <c r="D2875">
        <v>0</v>
      </c>
      <c r="E2875">
        <v>0</v>
      </c>
      <c r="F2875">
        <v>0</v>
      </c>
      <c r="G2875" s="10">
        <f t="shared" si="44"/>
        <v>0</v>
      </c>
      <c r="H2875" t="str">
        <f>$A2875&amp;Keys!$C$54&amp;$B2875&amp;Keys!$C$54&amp;$C2875</f>
        <v>WI|imports|biofuel gasoline</v>
      </c>
    </row>
    <row r="2876" spans="1:8" x14ac:dyDescent="0.25">
      <c r="A2876" t="s">
        <v>173</v>
      </c>
      <c r="B2876" t="s">
        <v>191</v>
      </c>
      <c r="C2876" t="s">
        <v>94</v>
      </c>
      <c r="D2876">
        <v>0</v>
      </c>
      <c r="E2876">
        <v>0</v>
      </c>
      <c r="F2876">
        <v>0</v>
      </c>
      <c r="G2876" s="10">
        <f t="shared" si="44"/>
        <v>0</v>
      </c>
      <c r="H2876" t="str">
        <f>$A2876&amp;Keys!$C$54&amp;$B2876&amp;Keys!$C$54&amp;$C2876</f>
        <v>WI|imports|biofuel diesel</v>
      </c>
    </row>
    <row r="2877" spans="1:8" x14ac:dyDescent="0.25">
      <c r="A2877" t="s">
        <v>173</v>
      </c>
      <c r="B2877" t="s">
        <v>191</v>
      </c>
      <c r="C2877" t="s">
        <v>97</v>
      </c>
      <c r="D2877">
        <v>0</v>
      </c>
      <c r="E2877">
        <v>4232630000000</v>
      </c>
      <c r="F2877">
        <v>4670210000000</v>
      </c>
      <c r="G2877" s="10">
        <f t="shared" si="44"/>
        <v>2967613333333.3335</v>
      </c>
      <c r="H2877" t="str">
        <f>$A2877&amp;Keys!$C$54&amp;$B2877&amp;Keys!$C$54&amp;$C2877</f>
        <v>WI|imports|jet fuel or kerosene</v>
      </c>
    </row>
    <row r="2878" spans="1:8" x14ac:dyDescent="0.25">
      <c r="A2878" t="s">
        <v>173</v>
      </c>
      <c r="B2878" t="s">
        <v>191</v>
      </c>
      <c r="C2878" t="s">
        <v>100</v>
      </c>
      <c r="D2878">
        <v>0</v>
      </c>
      <c r="E2878">
        <v>0</v>
      </c>
      <c r="F2878">
        <v>0</v>
      </c>
      <c r="G2878" s="10">
        <f t="shared" si="44"/>
        <v>0</v>
      </c>
      <c r="H2878" t="str">
        <f>$A2878&amp;Keys!$C$54&amp;$B2878&amp;Keys!$C$54&amp;$C2878</f>
        <v>WI|imports|heat (not used in this variable)</v>
      </c>
    </row>
    <row r="2879" spans="1:8" x14ac:dyDescent="0.25">
      <c r="A2879" t="s">
        <v>173</v>
      </c>
      <c r="B2879" t="s">
        <v>191</v>
      </c>
      <c r="C2879" t="s">
        <v>103</v>
      </c>
      <c r="D2879">
        <v>0</v>
      </c>
      <c r="E2879">
        <v>0</v>
      </c>
      <c r="F2879">
        <v>0</v>
      </c>
      <c r="G2879" s="10">
        <f t="shared" si="44"/>
        <v>0</v>
      </c>
      <c r="H2879" t="str">
        <f>$A2879&amp;Keys!$C$54&amp;$B2879&amp;Keys!$C$54&amp;$C2879</f>
        <v>WI|imports|geothermal (is not a fuel)</v>
      </c>
    </row>
    <row r="2880" spans="1:8" x14ac:dyDescent="0.25">
      <c r="A2880" t="s">
        <v>173</v>
      </c>
      <c r="B2880" t="s">
        <v>191</v>
      </c>
      <c r="C2880" t="s">
        <v>106</v>
      </c>
      <c r="D2880">
        <v>0</v>
      </c>
      <c r="E2880">
        <v>0</v>
      </c>
      <c r="F2880">
        <v>0</v>
      </c>
      <c r="G2880" s="10">
        <f t="shared" si="44"/>
        <v>0</v>
      </c>
      <c r="H2880" t="str">
        <f>$A2880&amp;Keys!$C$54&amp;$B2880&amp;Keys!$C$54&amp;$C2880</f>
        <v>WI|imports|lignite</v>
      </c>
    </row>
    <row r="2881" spans="1:8" x14ac:dyDescent="0.25">
      <c r="A2881" t="s">
        <v>173</v>
      </c>
      <c r="B2881" t="s">
        <v>191</v>
      </c>
      <c r="C2881" t="s">
        <v>109</v>
      </c>
      <c r="D2881">
        <v>0</v>
      </c>
      <c r="E2881">
        <v>93390200000000</v>
      </c>
      <c r="F2881">
        <v>93390200000000</v>
      </c>
      <c r="G2881" s="10">
        <f t="shared" si="44"/>
        <v>62260133333333.336</v>
      </c>
      <c r="H2881" t="str">
        <f>$A2881&amp;Keys!$C$54&amp;$B2881&amp;Keys!$C$54&amp;$C2881</f>
        <v>WI|imports|crude oil</v>
      </c>
    </row>
    <row r="2882" spans="1:8" x14ac:dyDescent="0.25">
      <c r="A2882" t="s">
        <v>173</v>
      </c>
      <c r="B2882" t="s">
        <v>191</v>
      </c>
      <c r="C2882" t="s">
        <v>113</v>
      </c>
      <c r="D2882">
        <v>0</v>
      </c>
      <c r="E2882">
        <v>18508600000000</v>
      </c>
      <c r="F2882">
        <v>18969400000000</v>
      </c>
      <c r="G2882" s="10">
        <f t="shared" si="44"/>
        <v>12492666666666.666</v>
      </c>
      <c r="H2882" t="str">
        <f>$A2882&amp;Keys!$C$54&amp;$B2882&amp;Keys!$C$54&amp;$C2882</f>
        <v>WI|imports|heavy fuel oil</v>
      </c>
    </row>
    <row r="2883" spans="1:8" x14ac:dyDescent="0.25">
      <c r="A2883" t="s">
        <v>173</v>
      </c>
      <c r="B2883" t="s">
        <v>191</v>
      </c>
      <c r="C2883" t="s">
        <v>117</v>
      </c>
      <c r="D2883">
        <v>0</v>
      </c>
      <c r="E2883">
        <v>38667900000000</v>
      </c>
      <c r="F2883">
        <v>38363900000000</v>
      </c>
      <c r="G2883" s="10">
        <f t="shared" si="44"/>
        <v>25677266666666.668</v>
      </c>
      <c r="H2883" t="str">
        <f>$A2883&amp;Keys!$C$54&amp;$B2883&amp;Keys!$C$54&amp;$C2883</f>
        <v>WI|imports|LPG propane or butane</v>
      </c>
    </row>
    <row r="2884" spans="1:8" x14ac:dyDescent="0.25">
      <c r="A2884" t="s">
        <v>173</v>
      </c>
      <c r="B2884" t="s">
        <v>191</v>
      </c>
      <c r="C2884" t="s">
        <v>120</v>
      </c>
      <c r="D2884">
        <v>0</v>
      </c>
      <c r="E2884">
        <v>667074000000</v>
      </c>
      <c r="F2884">
        <v>2223580000000</v>
      </c>
      <c r="G2884" s="10">
        <f t="shared" si="44"/>
        <v>963551333333.33337</v>
      </c>
      <c r="H2884" t="str">
        <f>$A2884&amp;Keys!$C$54&amp;$B2884&amp;Keys!$C$54&amp;$C2884</f>
        <v>WI|imports|municipal solid waste</v>
      </c>
    </row>
    <row r="2885" spans="1:8" x14ac:dyDescent="0.25">
      <c r="A2885" t="s">
        <v>173</v>
      </c>
      <c r="B2885" t="s">
        <v>191</v>
      </c>
      <c r="C2885" t="s">
        <v>123</v>
      </c>
      <c r="D2885">
        <v>0</v>
      </c>
      <c r="E2885">
        <v>429596000</v>
      </c>
      <c r="F2885">
        <v>675568000</v>
      </c>
      <c r="G2885" s="10">
        <f t="shared" si="44"/>
        <v>368388000</v>
      </c>
      <c r="H2885" t="str">
        <f>$A2885&amp;Keys!$C$54&amp;$B2885&amp;Keys!$C$54&amp;$C2885</f>
        <v>WI|imports|hydrogen</v>
      </c>
    </row>
    <row r="2886" spans="1:8" x14ac:dyDescent="0.25">
      <c r="A2886" t="s">
        <v>173</v>
      </c>
      <c r="B2886" t="s">
        <v>193</v>
      </c>
      <c r="C2886" t="s">
        <v>60</v>
      </c>
      <c r="D2886">
        <v>0</v>
      </c>
      <c r="E2886">
        <v>0</v>
      </c>
      <c r="F2886">
        <v>0</v>
      </c>
      <c r="G2886" s="10">
        <f t="shared" si="44"/>
        <v>0</v>
      </c>
      <c r="H2886" t="str">
        <f>$A2886&amp;Keys!$C$54&amp;$B2886&amp;Keys!$C$54&amp;$C2886</f>
        <v>WI|exports|electricity (not used in this variable)</v>
      </c>
    </row>
    <row r="2887" spans="1:8" x14ac:dyDescent="0.25">
      <c r="A2887" t="s">
        <v>173</v>
      </c>
      <c r="B2887" t="s">
        <v>193</v>
      </c>
      <c r="C2887" t="s">
        <v>64</v>
      </c>
      <c r="D2887">
        <v>0</v>
      </c>
      <c r="E2887">
        <v>0</v>
      </c>
      <c r="F2887">
        <v>0</v>
      </c>
      <c r="G2887" s="10">
        <f t="shared" si="44"/>
        <v>0</v>
      </c>
      <c r="H2887" t="str">
        <f>$A2887&amp;Keys!$C$54&amp;$B2887&amp;Keys!$C$54&amp;$C2887</f>
        <v>WI|exports|hard coal</v>
      </c>
    </row>
    <row r="2888" spans="1:8" x14ac:dyDescent="0.25">
      <c r="A2888" t="s">
        <v>173</v>
      </c>
      <c r="B2888" t="s">
        <v>193</v>
      </c>
      <c r="C2888" t="s">
        <v>68</v>
      </c>
      <c r="D2888">
        <v>504531000000000</v>
      </c>
      <c r="E2888">
        <v>504531000000000</v>
      </c>
      <c r="F2888">
        <v>506098000000000</v>
      </c>
      <c r="G2888" s="10">
        <f t="shared" si="44"/>
        <v>505053333333333.31</v>
      </c>
      <c r="H2888" t="str">
        <f>$A2888&amp;Keys!$C$54&amp;$B2888&amp;Keys!$C$54&amp;$C2888</f>
        <v>WI|exports|natural gas</v>
      </c>
    </row>
    <row r="2889" spans="1:8" x14ac:dyDescent="0.25">
      <c r="A2889" t="s">
        <v>173</v>
      </c>
      <c r="B2889" t="s">
        <v>193</v>
      </c>
      <c r="C2889" t="s">
        <v>71</v>
      </c>
      <c r="D2889">
        <v>0</v>
      </c>
      <c r="E2889">
        <v>0</v>
      </c>
      <c r="F2889">
        <v>0</v>
      </c>
      <c r="G2889" s="10">
        <f t="shared" ref="G2889:G2952" si="45">AVERAGE($D2889:$F2889)</f>
        <v>0</v>
      </c>
      <c r="H2889" t="str">
        <f>$A2889&amp;Keys!$C$54&amp;$B2889&amp;Keys!$C$54&amp;$C2889</f>
        <v>WI|exports|nuclear</v>
      </c>
    </row>
    <row r="2890" spans="1:8" x14ac:dyDescent="0.25">
      <c r="A2890" t="s">
        <v>173</v>
      </c>
      <c r="B2890" t="s">
        <v>193</v>
      </c>
      <c r="C2890" t="s">
        <v>74</v>
      </c>
      <c r="D2890">
        <v>0</v>
      </c>
      <c r="E2890">
        <v>0</v>
      </c>
      <c r="F2890">
        <v>0</v>
      </c>
      <c r="G2890" s="10">
        <f t="shared" si="45"/>
        <v>0</v>
      </c>
      <c r="H2890" t="str">
        <f>$A2890&amp;Keys!$C$54&amp;$B2890&amp;Keys!$C$54&amp;$C2890</f>
        <v>WI|exports|hydro (is not a fuel)</v>
      </c>
    </row>
    <row r="2891" spans="1:8" x14ac:dyDescent="0.25">
      <c r="A2891" t="s">
        <v>173</v>
      </c>
      <c r="B2891" t="s">
        <v>193</v>
      </c>
      <c r="C2891" t="s">
        <v>77</v>
      </c>
      <c r="D2891">
        <v>0</v>
      </c>
      <c r="E2891">
        <v>0</v>
      </c>
      <c r="F2891">
        <v>0</v>
      </c>
      <c r="G2891" s="10">
        <f t="shared" si="45"/>
        <v>0</v>
      </c>
      <c r="H2891" t="str">
        <f>$A2891&amp;Keys!$C$54&amp;$B2891&amp;Keys!$C$54&amp;$C2891</f>
        <v>WI|exports|wind (is not a fuel)</v>
      </c>
    </row>
    <row r="2892" spans="1:8" x14ac:dyDescent="0.25">
      <c r="A2892" t="s">
        <v>173</v>
      </c>
      <c r="B2892" t="s">
        <v>193</v>
      </c>
      <c r="C2892" t="s">
        <v>80</v>
      </c>
      <c r="D2892">
        <v>0</v>
      </c>
      <c r="E2892">
        <v>0</v>
      </c>
      <c r="F2892">
        <v>0</v>
      </c>
      <c r="G2892" s="10">
        <f t="shared" si="45"/>
        <v>0</v>
      </c>
      <c r="H2892" t="str">
        <f>$A2892&amp;Keys!$C$54&amp;$B2892&amp;Keys!$C$54&amp;$C2892</f>
        <v>WI|exports|solar (is not a fuel)</v>
      </c>
    </row>
    <row r="2893" spans="1:8" x14ac:dyDescent="0.25">
      <c r="A2893" t="s">
        <v>173</v>
      </c>
      <c r="B2893" t="s">
        <v>193</v>
      </c>
      <c r="C2893" t="s">
        <v>82</v>
      </c>
      <c r="D2893">
        <v>0</v>
      </c>
      <c r="E2893">
        <v>0</v>
      </c>
      <c r="F2893">
        <v>0</v>
      </c>
      <c r="G2893" s="10">
        <f t="shared" si="45"/>
        <v>0</v>
      </c>
      <c r="H2893" t="str">
        <f>$A2893&amp;Keys!$C$54&amp;$B2893&amp;Keys!$C$54&amp;$C2893</f>
        <v>WI|exports|biomass</v>
      </c>
    </row>
    <row r="2894" spans="1:8" x14ac:dyDescent="0.25">
      <c r="A2894" t="s">
        <v>173</v>
      </c>
      <c r="B2894" t="s">
        <v>193</v>
      </c>
      <c r="C2894" t="s">
        <v>85</v>
      </c>
      <c r="D2894">
        <v>0</v>
      </c>
      <c r="E2894">
        <v>0</v>
      </c>
      <c r="F2894">
        <v>0</v>
      </c>
      <c r="G2894" s="10">
        <f t="shared" si="45"/>
        <v>0</v>
      </c>
      <c r="H2894" t="str">
        <f>$A2894&amp;Keys!$C$54&amp;$B2894&amp;Keys!$C$54&amp;$C2894</f>
        <v>WI|exports|petroleum gasoline</v>
      </c>
    </row>
    <row r="2895" spans="1:8" x14ac:dyDescent="0.25">
      <c r="A2895" t="s">
        <v>173</v>
      </c>
      <c r="B2895" t="s">
        <v>193</v>
      </c>
      <c r="C2895" t="s">
        <v>88</v>
      </c>
      <c r="D2895">
        <v>0</v>
      </c>
      <c r="E2895">
        <v>0</v>
      </c>
      <c r="F2895">
        <v>0</v>
      </c>
      <c r="G2895" s="10">
        <f t="shared" si="45"/>
        <v>0</v>
      </c>
      <c r="H2895" t="str">
        <f>$A2895&amp;Keys!$C$54&amp;$B2895&amp;Keys!$C$54&amp;$C2895</f>
        <v>WI|exports|petroleum diesel</v>
      </c>
    </row>
    <row r="2896" spans="1:8" x14ac:dyDescent="0.25">
      <c r="A2896" t="s">
        <v>173</v>
      </c>
      <c r="B2896" t="s">
        <v>193</v>
      </c>
      <c r="C2896" t="s">
        <v>91</v>
      </c>
      <c r="D2896">
        <v>0</v>
      </c>
      <c r="E2896">
        <v>31175600000000</v>
      </c>
      <c r="F2896">
        <v>31541000000000</v>
      </c>
      <c r="G2896" s="10">
        <f t="shared" si="45"/>
        <v>20905533333333.332</v>
      </c>
      <c r="H2896" t="str">
        <f>$A2896&amp;Keys!$C$54&amp;$B2896&amp;Keys!$C$54&amp;$C2896</f>
        <v>WI|exports|biofuel gasoline</v>
      </c>
    </row>
    <row r="2897" spans="1:8" x14ac:dyDescent="0.25">
      <c r="A2897" t="s">
        <v>173</v>
      </c>
      <c r="B2897" t="s">
        <v>193</v>
      </c>
      <c r="C2897" t="s">
        <v>94</v>
      </c>
      <c r="D2897">
        <v>0</v>
      </c>
      <c r="E2897">
        <v>6395240000000</v>
      </c>
      <c r="F2897">
        <v>8094030000000</v>
      </c>
      <c r="G2897" s="10">
        <f t="shared" si="45"/>
        <v>4829756666666.667</v>
      </c>
      <c r="H2897" t="str">
        <f>$A2897&amp;Keys!$C$54&amp;$B2897&amp;Keys!$C$54&amp;$C2897</f>
        <v>WI|exports|biofuel diesel</v>
      </c>
    </row>
    <row r="2898" spans="1:8" x14ac:dyDescent="0.25">
      <c r="A2898" t="s">
        <v>173</v>
      </c>
      <c r="B2898" t="s">
        <v>193</v>
      </c>
      <c r="C2898" t="s">
        <v>97</v>
      </c>
      <c r="D2898">
        <v>0</v>
      </c>
      <c r="E2898">
        <v>0</v>
      </c>
      <c r="F2898">
        <v>0</v>
      </c>
      <c r="G2898" s="10">
        <f t="shared" si="45"/>
        <v>0</v>
      </c>
      <c r="H2898" t="str">
        <f>$A2898&amp;Keys!$C$54&amp;$B2898&amp;Keys!$C$54&amp;$C2898</f>
        <v>WI|exports|jet fuel or kerosene</v>
      </c>
    </row>
    <row r="2899" spans="1:8" x14ac:dyDescent="0.25">
      <c r="A2899" t="s">
        <v>173</v>
      </c>
      <c r="B2899" t="s">
        <v>193</v>
      </c>
      <c r="C2899" t="s">
        <v>100</v>
      </c>
      <c r="D2899">
        <v>0</v>
      </c>
      <c r="E2899">
        <v>0</v>
      </c>
      <c r="F2899">
        <v>0</v>
      </c>
      <c r="G2899" s="10">
        <f t="shared" si="45"/>
        <v>0</v>
      </c>
      <c r="H2899" t="str">
        <f>$A2899&amp;Keys!$C$54&amp;$B2899&amp;Keys!$C$54&amp;$C2899</f>
        <v>WI|exports|heat (not used in this variable)</v>
      </c>
    </row>
    <row r="2900" spans="1:8" x14ac:dyDescent="0.25">
      <c r="A2900" t="s">
        <v>173</v>
      </c>
      <c r="B2900" t="s">
        <v>193</v>
      </c>
      <c r="C2900" t="s">
        <v>103</v>
      </c>
      <c r="D2900">
        <v>0</v>
      </c>
      <c r="E2900">
        <v>0</v>
      </c>
      <c r="F2900">
        <v>0</v>
      </c>
      <c r="G2900" s="10">
        <f t="shared" si="45"/>
        <v>0</v>
      </c>
      <c r="H2900" t="str">
        <f>$A2900&amp;Keys!$C$54&amp;$B2900&amp;Keys!$C$54&amp;$C2900</f>
        <v>WI|exports|geothermal (is not a fuel)</v>
      </c>
    </row>
    <row r="2901" spans="1:8" x14ac:dyDescent="0.25">
      <c r="A2901" t="s">
        <v>173</v>
      </c>
      <c r="B2901" t="s">
        <v>193</v>
      </c>
      <c r="C2901" t="s">
        <v>106</v>
      </c>
      <c r="D2901">
        <v>0</v>
      </c>
      <c r="E2901">
        <v>0</v>
      </c>
      <c r="F2901">
        <v>0</v>
      </c>
      <c r="G2901" s="10">
        <f t="shared" si="45"/>
        <v>0</v>
      </c>
      <c r="H2901" t="str">
        <f>$A2901&amp;Keys!$C$54&amp;$B2901&amp;Keys!$C$54&amp;$C2901</f>
        <v>WI|exports|lignite</v>
      </c>
    </row>
    <row r="2902" spans="1:8" x14ac:dyDescent="0.25">
      <c r="A2902" t="s">
        <v>173</v>
      </c>
      <c r="B2902" t="s">
        <v>193</v>
      </c>
      <c r="C2902" t="s">
        <v>109</v>
      </c>
      <c r="D2902">
        <v>0</v>
      </c>
      <c r="E2902">
        <v>0</v>
      </c>
      <c r="F2902">
        <v>0</v>
      </c>
      <c r="G2902" s="10">
        <f t="shared" si="45"/>
        <v>0</v>
      </c>
      <c r="H2902" t="str">
        <f>$A2902&amp;Keys!$C$54&amp;$B2902&amp;Keys!$C$54&amp;$C2902</f>
        <v>WI|exports|crude oil</v>
      </c>
    </row>
    <row r="2903" spans="1:8" x14ac:dyDescent="0.25">
      <c r="A2903" t="s">
        <v>173</v>
      </c>
      <c r="B2903" t="s">
        <v>193</v>
      </c>
      <c r="C2903" t="s">
        <v>113</v>
      </c>
      <c r="D2903">
        <v>0</v>
      </c>
      <c r="E2903">
        <v>0</v>
      </c>
      <c r="F2903">
        <v>0</v>
      </c>
      <c r="G2903" s="10">
        <f t="shared" si="45"/>
        <v>0</v>
      </c>
      <c r="H2903" t="str">
        <f>$A2903&amp;Keys!$C$54&amp;$B2903&amp;Keys!$C$54&amp;$C2903</f>
        <v>WI|exports|heavy fuel oil</v>
      </c>
    </row>
    <row r="2904" spans="1:8" x14ac:dyDescent="0.25">
      <c r="A2904" t="s">
        <v>173</v>
      </c>
      <c r="B2904" t="s">
        <v>193</v>
      </c>
      <c r="C2904" t="s">
        <v>117</v>
      </c>
      <c r="D2904">
        <v>0</v>
      </c>
      <c r="E2904">
        <v>0</v>
      </c>
      <c r="F2904">
        <v>0</v>
      </c>
      <c r="G2904" s="10">
        <f t="shared" si="45"/>
        <v>0</v>
      </c>
      <c r="H2904" t="str">
        <f>$A2904&amp;Keys!$C$54&amp;$B2904&amp;Keys!$C$54&amp;$C2904</f>
        <v>WI|exports|LPG propane or butane</v>
      </c>
    </row>
    <row r="2905" spans="1:8" x14ac:dyDescent="0.25">
      <c r="A2905" t="s">
        <v>173</v>
      </c>
      <c r="B2905" t="s">
        <v>193</v>
      </c>
      <c r="C2905" t="s">
        <v>120</v>
      </c>
      <c r="D2905">
        <v>0</v>
      </c>
      <c r="E2905">
        <v>0</v>
      </c>
      <c r="F2905">
        <v>0</v>
      </c>
      <c r="G2905" s="10">
        <f t="shared" si="45"/>
        <v>0</v>
      </c>
      <c r="H2905" t="str">
        <f>$A2905&amp;Keys!$C$54&amp;$B2905&amp;Keys!$C$54&amp;$C2905</f>
        <v>WI|exports|municipal solid waste</v>
      </c>
    </row>
    <row r="2906" spans="1:8" x14ac:dyDescent="0.25">
      <c r="A2906" t="s">
        <v>173</v>
      </c>
      <c r="B2906" t="s">
        <v>193</v>
      </c>
      <c r="C2906" t="s">
        <v>123</v>
      </c>
      <c r="D2906">
        <v>0</v>
      </c>
      <c r="E2906">
        <v>0</v>
      </c>
      <c r="F2906">
        <v>0</v>
      </c>
      <c r="G2906" s="10">
        <f t="shared" si="45"/>
        <v>0</v>
      </c>
      <c r="H2906" t="str">
        <f>$A2906&amp;Keys!$C$54&amp;$B2906&amp;Keys!$C$54&amp;$C2906</f>
        <v>WI|exports|hydrogen</v>
      </c>
    </row>
    <row r="2907" spans="1:8" x14ac:dyDescent="0.25">
      <c r="A2907" t="s">
        <v>175</v>
      </c>
      <c r="B2907" t="s">
        <v>188</v>
      </c>
      <c r="C2907" t="s">
        <v>60</v>
      </c>
      <c r="D2907">
        <v>0</v>
      </c>
      <c r="E2907">
        <v>0</v>
      </c>
      <c r="F2907">
        <v>0</v>
      </c>
      <c r="G2907" s="10">
        <f t="shared" si="45"/>
        <v>0</v>
      </c>
      <c r="H2907" t="str">
        <f>$A2907&amp;Keys!$C$54&amp;$B2907&amp;Keys!$C$54&amp;$C2907</f>
        <v>WV|production|electricity (not used in this variable)</v>
      </c>
    </row>
    <row r="2908" spans="1:8" x14ac:dyDescent="0.25">
      <c r="A2908" t="s">
        <v>175</v>
      </c>
      <c r="B2908" t="s">
        <v>188</v>
      </c>
      <c r="C2908" t="s">
        <v>64</v>
      </c>
      <c r="D2908">
        <v>1630430000000000</v>
      </c>
      <c r="E2908">
        <v>1630430000000000</v>
      </c>
      <c r="F2908">
        <v>1630470000000000</v>
      </c>
      <c r="G2908" s="10">
        <f t="shared" si="45"/>
        <v>1630443333333333.3</v>
      </c>
      <c r="H2908" t="str">
        <f>$A2908&amp;Keys!$C$54&amp;$B2908&amp;Keys!$C$54&amp;$C2908</f>
        <v>WV|production|hard coal</v>
      </c>
    </row>
    <row r="2909" spans="1:8" x14ac:dyDescent="0.25">
      <c r="A2909" t="s">
        <v>175</v>
      </c>
      <c r="B2909" t="s">
        <v>188</v>
      </c>
      <c r="C2909" t="s">
        <v>68</v>
      </c>
      <c r="D2909">
        <v>3227660000000000</v>
      </c>
      <c r="E2909">
        <v>3227660000000000</v>
      </c>
      <c r="F2909">
        <v>3237690000000000</v>
      </c>
      <c r="G2909" s="10">
        <f t="shared" si="45"/>
        <v>3231003333333333.5</v>
      </c>
      <c r="H2909" t="str">
        <f>$A2909&amp;Keys!$C$54&amp;$B2909&amp;Keys!$C$54&amp;$C2909</f>
        <v>WV|production|natural gas</v>
      </c>
    </row>
    <row r="2910" spans="1:8" x14ac:dyDescent="0.25">
      <c r="A2910" t="s">
        <v>175</v>
      </c>
      <c r="B2910" t="s">
        <v>188</v>
      </c>
      <c r="C2910" t="s">
        <v>71</v>
      </c>
      <c r="D2910">
        <v>0</v>
      </c>
      <c r="E2910">
        <v>0</v>
      </c>
      <c r="F2910">
        <v>0</v>
      </c>
      <c r="G2910" s="10">
        <f t="shared" si="45"/>
        <v>0</v>
      </c>
      <c r="H2910" t="str">
        <f>$A2910&amp;Keys!$C$54&amp;$B2910&amp;Keys!$C$54&amp;$C2910</f>
        <v>WV|production|nuclear</v>
      </c>
    </row>
    <row r="2911" spans="1:8" x14ac:dyDescent="0.25">
      <c r="A2911" t="s">
        <v>175</v>
      </c>
      <c r="B2911" t="s">
        <v>188</v>
      </c>
      <c r="C2911" t="s">
        <v>74</v>
      </c>
      <c r="D2911">
        <v>0</v>
      </c>
      <c r="E2911">
        <v>0</v>
      </c>
      <c r="F2911">
        <v>0</v>
      </c>
      <c r="G2911" s="10">
        <f t="shared" si="45"/>
        <v>0</v>
      </c>
      <c r="H2911" t="str">
        <f>$A2911&amp;Keys!$C$54&amp;$B2911&amp;Keys!$C$54&amp;$C2911</f>
        <v>WV|production|hydro (is not a fuel)</v>
      </c>
    </row>
    <row r="2912" spans="1:8" x14ac:dyDescent="0.25">
      <c r="A2912" t="s">
        <v>175</v>
      </c>
      <c r="B2912" t="s">
        <v>188</v>
      </c>
      <c r="C2912" t="s">
        <v>77</v>
      </c>
      <c r="D2912">
        <v>0</v>
      </c>
      <c r="E2912">
        <v>0</v>
      </c>
      <c r="F2912">
        <v>0</v>
      </c>
      <c r="G2912" s="10">
        <f t="shared" si="45"/>
        <v>0</v>
      </c>
      <c r="H2912" t="str">
        <f>$A2912&amp;Keys!$C$54&amp;$B2912&amp;Keys!$C$54&amp;$C2912</f>
        <v>WV|production|wind (is not a fuel)</v>
      </c>
    </row>
    <row r="2913" spans="1:8" x14ac:dyDescent="0.25">
      <c r="A2913" t="s">
        <v>175</v>
      </c>
      <c r="B2913" t="s">
        <v>188</v>
      </c>
      <c r="C2913" t="s">
        <v>80</v>
      </c>
      <c r="D2913">
        <v>0</v>
      </c>
      <c r="E2913">
        <v>0</v>
      </c>
      <c r="F2913">
        <v>0</v>
      </c>
      <c r="G2913" s="10">
        <f t="shared" si="45"/>
        <v>0</v>
      </c>
      <c r="H2913" t="str">
        <f>$A2913&amp;Keys!$C$54&amp;$B2913&amp;Keys!$C$54&amp;$C2913</f>
        <v>WV|production|solar (is not a fuel)</v>
      </c>
    </row>
    <row r="2914" spans="1:8" x14ac:dyDescent="0.25">
      <c r="A2914" t="s">
        <v>175</v>
      </c>
      <c r="B2914" t="s">
        <v>188</v>
      </c>
      <c r="C2914" t="s">
        <v>82</v>
      </c>
      <c r="D2914">
        <v>3930880000000</v>
      </c>
      <c r="E2914">
        <v>3930880000000</v>
      </c>
      <c r="F2914">
        <v>3930880000000</v>
      </c>
      <c r="G2914" s="10">
        <f t="shared" si="45"/>
        <v>3930880000000</v>
      </c>
      <c r="H2914" t="str">
        <f>$A2914&amp;Keys!$C$54&amp;$B2914&amp;Keys!$C$54&amp;$C2914</f>
        <v>WV|production|biomass</v>
      </c>
    </row>
    <row r="2915" spans="1:8" x14ac:dyDescent="0.25">
      <c r="A2915" t="s">
        <v>175</v>
      </c>
      <c r="B2915" t="s">
        <v>188</v>
      </c>
      <c r="C2915" t="s">
        <v>85</v>
      </c>
      <c r="D2915">
        <v>21642200000000</v>
      </c>
      <c r="E2915">
        <v>21642200000000</v>
      </c>
      <c r="F2915">
        <v>21117600000000</v>
      </c>
      <c r="G2915" s="10">
        <f t="shared" si="45"/>
        <v>21467333333333.332</v>
      </c>
      <c r="H2915" t="str">
        <f>$A2915&amp;Keys!$C$54&amp;$B2915&amp;Keys!$C$54&amp;$C2915</f>
        <v>WV|production|petroleum gasoline</v>
      </c>
    </row>
    <row r="2916" spans="1:8" x14ac:dyDescent="0.25">
      <c r="A2916" t="s">
        <v>175</v>
      </c>
      <c r="B2916" t="s">
        <v>188</v>
      </c>
      <c r="C2916" t="s">
        <v>88</v>
      </c>
      <c r="D2916">
        <v>12801700000000</v>
      </c>
      <c r="E2916">
        <v>12801700000000</v>
      </c>
      <c r="F2916">
        <v>12491400000000</v>
      </c>
      <c r="G2916" s="10">
        <f t="shared" si="45"/>
        <v>12698266666666.666</v>
      </c>
      <c r="H2916" t="str">
        <f>$A2916&amp;Keys!$C$54&amp;$B2916&amp;Keys!$C$54&amp;$C2916</f>
        <v>WV|production|petroleum diesel</v>
      </c>
    </row>
    <row r="2917" spans="1:8" x14ac:dyDescent="0.25">
      <c r="A2917" t="s">
        <v>175</v>
      </c>
      <c r="B2917" t="s">
        <v>188</v>
      </c>
      <c r="C2917" t="s">
        <v>91</v>
      </c>
      <c r="D2917">
        <v>0</v>
      </c>
      <c r="E2917">
        <v>0</v>
      </c>
      <c r="F2917">
        <v>0</v>
      </c>
      <c r="G2917" s="10">
        <f t="shared" si="45"/>
        <v>0</v>
      </c>
      <c r="H2917" t="str">
        <f>$A2917&amp;Keys!$C$54&amp;$B2917&amp;Keys!$C$54&amp;$C2917</f>
        <v>WV|production|biofuel gasoline</v>
      </c>
    </row>
    <row r="2918" spans="1:8" x14ac:dyDescent="0.25">
      <c r="A2918" t="s">
        <v>175</v>
      </c>
      <c r="B2918" t="s">
        <v>188</v>
      </c>
      <c r="C2918" t="s">
        <v>94</v>
      </c>
      <c r="D2918">
        <v>0</v>
      </c>
      <c r="E2918">
        <v>0</v>
      </c>
      <c r="F2918">
        <v>0</v>
      </c>
      <c r="G2918" s="10">
        <f t="shared" si="45"/>
        <v>0</v>
      </c>
      <c r="H2918" t="str">
        <f>$A2918&amp;Keys!$C$54&amp;$B2918&amp;Keys!$C$54&amp;$C2918</f>
        <v>WV|production|biofuel diesel</v>
      </c>
    </row>
    <row r="2919" spans="1:8" x14ac:dyDescent="0.25">
      <c r="A2919" t="s">
        <v>175</v>
      </c>
      <c r="B2919" t="s">
        <v>188</v>
      </c>
      <c r="C2919" t="s">
        <v>97</v>
      </c>
      <c r="D2919">
        <v>4557130000000</v>
      </c>
      <c r="E2919">
        <v>4557130000000</v>
      </c>
      <c r="F2919">
        <v>4446680000000</v>
      </c>
      <c r="G2919" s="10">
        <f t="shared" si="45"/>
        <v>4520313333333.333</v>
      </c>
      <c r="H2919" t="str">
        <f>$A2919&amp;Keys!$C$54&amp;$B2919&amp;Keys!$C$54&amp;$C2919</f>
        <v>WV|production|jet fuel or kerosene</v>
      </c>
    </row>
    <row r="2920" spans="1:8" x14ac:dyDescent="0.25">
      <c r="A2920" t="s">
        <v>175</v>
      </c>
      <c r="B2920" t="s">
        <v>188</v>
      </c>
      <c r="C2920" t="s">
        <v>100</v>
      </c>
      <c r="D2920">
        <v>0</v>
      </c>
      <c r="E2920">
        <v>0</v>
      </c>
      <c r="F2920">
        <v>0</v>
      </c>
      <c r="G2920" s="10">
        <f t="shared" si="45"/>
        <v>0</v>
      </c>
      <c r="H2920" t="str">
        <f>$A2920&amp;Keys!$C$54&amp;$B2920&amp;Keys!$C$54&amp;$C2920</f>
        <v>WV|production|heat (not used in this variable)</v>
      </c>
    </row>
    <row r="2921" spans="1:8" x14ac:dyDescent="0.25">
      <c r="A2921" t="s">
        <v>175</v>
      </c>
      <c r="B2921" t="s">
        <v>188</v>
      </c>
      <c r="C2921" t="s">
        <v>103</v>
      </c>
      <c r="D2921">
        <v>0</v>
      </c>
      <c r="E2921">
        <v>0</v>
      </c>
      <c r="F2921">
        <v>0</v>
      </c>
      <c r="G2921" s="10">
        <f t="shared" si="45"/>
        <v>0</v>
      </c>
      <c r="H2921" t="str">
        <f>$A2921&amp;Keys!$C$54&amp;$B2921&amp;Keys!$C$54&amp;$C2921</f>
        <v>WV|production|geothermal (is not a fuel)</v>
      </c>
    </row>
    <row r="2922" spans="1:8" x14ac:dyDescent="0.25">
      <c r="A2922" t="s">
        <v>175</v>
      </c>
      <c r="B2922" t="s">
        <v>188</v>
      </c>
      <c r="C2922" t="s">
        <v>106</v>
      </c>
      <c r="D2922">
        <v>0</v>
      </c>
      <c r="E2922">
        <v>0</v>
      </c>
      <c r="F2922">
        <v>0</v>
      </c>
      <c r="G2922" s="10">
        <f t="shared" si="45"/>
        <v>0</v>
      </c>
      <c r="H2922" t="str">
        <f>$A2922&amp;Keys!$C$54&amp;$B2922&amp;Keys!$C$54&amp;$C2922</f>
        <v>WV|production|lignite</v>
      </c>
    </row>
    <row r="2923" spans="1:8" x14ac:dyDescent="0.25">
      <c r="A2923" t="s">
        <v>175</v>
      </c>
      <c r="B2923" t="s">
        <v>188</v>
      </c>
      <c r="C2923" t="s">
        <v>109</v>
      </c>
      <c r="D2923">
        <v>79175800000000</v>
      </c>
      <c r="E2923">
        <v>79175800000000</v>
      </c>
      <c r="F2923">
        <v>71947600000000</v>
      </c>
      <c r="G2923" s="10">
        <f t="shared" si="45"/>
        <v>76766400000000</v>
      </c>
      <c r="H2923" t="str">
        <f>$A2923&amp;Keys!$C$54&amp;$B2923&amp;Keys!$C$54&amp;$C2923</f>
        <v>WV|production|crude oil</v>
      </c>
    </row>
    <row r="2924" spans="1:8" x14ac:dyDescent="0.25">
      <c r="A2924" t="s">
        <v>175</v>
      </c>
      <c r="B2924" t="s">
        <v>188</v>
      </c>
      <c r="C2924" t="s">
        <v>113</v>
      </c>
      <c r="D2924">
        <v>885238000000</v>
      </c>
      <c r="E2924">
        <v>885238000000</v>
      </c>
      <c r="F2924">
        <v>863782000000</v>
      </c>
      <c r="G2924" s="10">
        <f t="shared" si="45"/>
        <v>878086000000</v>
      </c>
      <c r="H2924" t="str">
        <f>$A2924&amp;Keys!$C$54&amp;$B2924&amp;Keys!$C$54&amp;$C2924</f>
        <v>WV|production|heavy fuel oil</v>
      </c>
    </row>
    <row r="2925" spans="1:8" x14ac:dyDescent="0.25">
      <c r="A2925" t="s">
        <v>175</v>
      </c>
      <c r="B2925" t="s">
        <v>188</v>
      </c>
      <c r="C2925" t="s">
        <v>117</v>
      </c>
      <c r="D2925">
        <v>394580000000000</v>
      </c>
      <c r="E2925">
        <v>394580000000000</v>
      </c>
      <c r="F2925">
        <v>402959000000000</v>
      </c>
      <c r="G2925" s="10">
        <f t="shared" si="45"/>
        <v>397373000000000</v>
      </c>
      <c r="H2925" t="str">
        <f>$A2925&amp;Keys!$C$54&amp;$B2925&amp;Keys!$C$54&amp;$C2925</f>
        <v>WV|production|LPG propane or butane</v>
      </c>
    </row>
    <row r="2926" spans="1:8" x14ac:dyDescent="0.25">
      <c r="A2926" t="s">
        <v>175</v>
      </c>
      <c r="B2926" t="s">
        <v>188</v>
      </c>
      <c r="C2926" t="s">
        <v>120</v>
      </c>
      <c r="D2926">
        <v>0</v>
      </c>
      <c r="E2926">
        <v>0</v>
      </c>
      <c r="F2926">
        <v>0</v>
      </c>
      <c r="G2926" s="10">
        <f t="shared" si="45"/>
        <v>0</v>
      </c>
      <c r="H2926" t="str">
        <f>$A2926&amp;Keys!$C$54&amp;$B2926&amp;Keys!$C$54&amp;$C2926</f>
        <v>WV|production|municipal solid waste</v>
      </c>
    </row>
    <row r="2927" spans="1:8" x14ac:dyDescent="0.25">
      <c r="A2927" t="s">
        <v>175</v>
      </c>
      <c r="B2927" t="s">
        <v>188</v>
      </c>
      <c r="C2927" t="s">
        <v>123</v>
      </c>
      <c r="D2927">
        <v>355875000000</v>
      </c>
      <c r="E2927">
        <v>355875000000</v>
      </c>
      <c r="F2927">
        <v>337972000000</v>
      </c>
      <c r="G2927" s="10">
        <f t="shared" si="45"/>
        <v>349907333333.33331</v>
      </c>
      <c r="H2927" t="str">
        <f>$A2927&amp;Keys!$C$54&amp;$B2927&amp;Keys!$C$54&amp;$C2927</f>
        <v>WV|production|hydrogen</v>
      </c>
    </row>
    <row r="2928" spans="1:8" x14ac:dyDescent="0.25">
      <c r="A2928" t="s">
        <v>175</v>
      </c>
      <c r="B2928" t="s">
        <v>191</v>
      </c>
      <c r="C2928" t="s">
        <v>60</v>
      </c>
      <c r="D2928">
        <v>0</v>
      </c>
      <c r="E2928">
        <v>0</v>
      </c>
      <c r="F2928">
        <v>0</v>
      </c>
      <c r="G2928" s="10">
        <f t="shared" si="45"/>
        <v>0</v>
      </c>
      <c r="H2928" t="str">
        <f>$A2928&amp;Keys!$C$54&amp;$B2928&amp;Keys!$C$54&amp;$C2928</f>
        <v>WV|imports|electricity (not used in this variable)</v>
      </c>
    </row>
    <row r="2929" spans="1:8" x14ac:dyDescent="0.25">
      <c r="A2929" t="s">
        <v>175</v>
      </c>
      <c r="B2929" t="s">
        <v>191</v>
      </c>
      <c r="C2929" t="s">
        <v>64</v>
      </c>
      <c r="D2929">
        <v>356086000000000</v>
      </c>
      <c r="E2929">
        <v>0</v>
      </c>
      <c r="F2929">
        <v>0</v>
      </c>
      <c r="G2929" s="10">
        <f t="shared" si="45"/>
        <v>118695333333333.33</v>
      </c>
      <c r="H2929" t="str">
        <f>$A2929&amp;Keys!$C$54&amp;$B2929&amp;Keys!$C$54&amp;$C2929</f>
        <v>WV|imports|hard coal</v>
      </c>
    </row>
    <row r="2930" spans="1:8" x14ac:dyDescent="0.25">
      <c r="A2930" t="s">
        <v>175</v>
      </c>
      <c r="B2930" t="s">
        <v>191</v>
      </c>
      <c r="C2930" t="s">
        <v>68</v>
      </c>
      <c r="D2930">
        <v>490740000000000</v>
      </c>
      <c r="E2930">
        <v>247390000000000</v>
      </c>
      <c r="F2930">
        <v>240342000000000</v>
      </c>
      <c r="G2930" s="10">
        <f t="shared" si="45"/>
        <v>326157333333333.31</v>
      </c>
      <c r="H2930" t="str">
        <f>$A2930&amp;Keys!$C$54&amp;$B2930&amp;Keys!$C$54&amp;$C2930</f>
        <v>WV|imports|natural gas</v>
      </c>
    </row>
    <row r="2931" spans="1:8" x14ac:dyDescent="0.25">
      <c r="A2931" t="s">
        <v>175</v>
      </c>
      <c r="B2931" t="s">
        <v>191</v>
      </c>
      <c r="C2931" t="s">
        <v>71</v>
      </c>
      <c r="D2931">
        <v>0</v>
      </c>
      <c r="E2931">
        <v>0</v>
      </c>
      <c r="F2931">
        <v>0</v>
      </c>
      <c r="G2931" s="10">
        <f t="shared" si="45"/>
        <v>0</v>
      </c>
      <c r="H2931" t="str">
        <f>$A2931&amp;Keys!$C$54&amp;$B2931&amp;Keys!$C$54&amp;$C2931</f>
        <v>WV|imports|nuclear</v>
      </c>
    </row>
    <row r="2932" spans="1:8" x14ac:dyDescent="0.25">
      <c r="A2932" t="s">
        <v>175</v>
      </c>
      <c r="B2932" t="s">
        <v>191</v>
      </c>
      <c r="C2932" t="s">
        <v>74</v>
      </c>
      <c r="D2932">
        <v>0</v>
      </c>
      <c r="E2932">
        <v>0</v>
      </c>
      <c r="F2932">
        <v>0</v>
      </c>
      <c r="G2932" s="10">
        <f t="shared" si="45"/>
        <v>0</v>
      </c>
      <c r="H2932" t="str">
        <f>$A2932&amp;Keys!$C$54&amp;$B2932&amp;Keys!$C$54&amp;$C2932</f>
        <v>WV|imports|hydro (is not a fuel)</v>
      </c>
    </row>
    <row r="2933" spans="1:8" x14ac:dyDescent="0.25">
      <c r="A2933" t="s">
        <v>175</v>
      </c>
      <c r="B2933" t="s">
        <v>191</v>
      </c>
      <c r="C2933" t="s">
        <v>77</v>
      </c>
      <c r="D2933">
        <v>0</v>
      </c>
      <c r="E2933">
        <v>0</v>
      </c>
      <c r="F2933">
        <v>0</v>
      </c>
      <c r="G2933" s="10">
        <f t="shared" si="45"/>
        <v>0</v>
      </c>
      <c r="H2933" t="str">
        <f>$A2933&amp;Keys!$C$54&amp;$B2933&amp;Keys!$C$54&amp;$C2933</f>
        <v>WV|imports|wind (is not a fuel)</v>
      </c>
    </row>
    <row r="2934" spans="1:8" x14ac:dyDescent="0.25">
      <c r="A2934" t="s">
        <v>175</v>
      </c>
      <c r="B2934" t="s">
        <v>191</v>
      </c>
      <c r="C2934" t="s">
        <v>80</v>
      </c>
      <c r="D2934">
        <v>0</v>
      </c>
      <c r="E2934">
        <v>0</v>
      </c>
      <c r="F2934">
        <v>0</v>
      </c>
      <c r="G2934" s="10">
        <f t="shared" si="45"/>
        <v>0</v>
      </c>
      <c r="H2934" t="str">
        <f>$A2934&amp;Keys!$C$54&amp;$B2934&amp;Keys!$C$54&amp;$C2934</f>
        <v>WV|imports|solar (is not a fuel)</v>
      </c>
    </row>
    <row r="2935" spans="1:8" x14ac:dyDescent="0.25">
      <c r="A2935" t="s">
        <v>175</v>
      </c>
      <c r="B2935" t="s">
        <v>191</v>
      </c>
      <c r="C2935" t="s">
        <v>82</v>
      </c>
      <c r="D2935">
        <v>0</v>
      </c>
      <c r="E2935">
        <v>3142440000000</v>
      </c>
      <c r="F2935">
        <v>2677390000000</v>
      </c>
      <c r="G2935" s="10">
        <f t="shared" si="45"/>
        <v>1939943333333.3333</v>
      </c>
      <c r="H2935" t="str">
        <f>$A2935&amp;Keys!$C$54&amp;$B2935&amp;Keys!$C$54&amp;$C2935</f>
        <v>WV|imports|biomass</v>
      </c>
    </row>
    <row r="2936" spans="1:8" x14ac:dyDescent="0.25">
      <c r="A2936" t="s">
        <v>175</v>
      </c>
      <c r="B2936" t="s">
        <v>191</v>
      </c>
      <c r="C2936" t="s">
        <v>85</v>
      </c>
      <c r="D2936">
        <v>0</v>
      </c>
      <c r="E2936">
        <v>53504800000000</v>
      </c>
      <c r="F2936">
        <v>52784500000000</v>
      </c>
      <c r="G2936" s="10">
        <f t="shared" si="45"/>
        <v>35429766666666.664</v>
      </c>
      <c r="H2936" t="str">
        <f>$A2936&amp;Keys!$C$54&amp;$B2936&amp;Keys!$C$54&amp;$C2936</f>
        <v>WV|imports|petroleum gasoline</v>
      </c>
    </row>
    <row r="2937" spans="1:8" x14ac:dyDescent="0.25">
      <c r="A2937" t="s">
        <v>175</v>
      </c>
      <c r="B2937" t="s">
        <v>191</v>
      </c>
      <c r="C2937" t="s">
        <v>88</v>
      </c>
      <c r="D2937">
        <v>0</v>
      </c>
      <c r="E2937">
        <v>65819200000000</v>
      </c>
      <c r="F2937">
        <v>65220600000000</v>
      </c>
      <c r="G2937" s="10">
        <f t="shared" si="45"/>
        <v>43679933333333.336</v>
      </c>
      <c r="H2937" t="str">
        <f>$A2937&amp;Keys!$C$54&amp;$B2937&amp;Keys!$C$54&amp;$C2937</f>
        <v>WV|imports|petroleum diesel</v>
      </c>
    </row>
    <row r="2938" spans="1:8" x14ac:dyDescent="0.25">
      <c r="A2938" t="s">
        <v>175</v>
      </c>
      <c r="B2938" t="s">
        <v>191</v>
      </c>
      <c r="C2938" t="s">
        <v>91</v>
      </c>
      <c r="D2938">
        <v>0</v>
      </c>
      <c r="E2938">
        <v>5168620000000</v>
      </c>
      <c r="F2938">
        <v>5084260000000</v>
      </c>
      <c r="G2938" s="10">
        <f t="shared" si="45"/>
        <v>3417626666666.6665</v>
      </c>
      <c r="H2938" t="str">
        <f>$A2938&amp;Keys!$C$54&amp;$B2938&amp;Keys!$C$54&amp;$C2938</f>
        <v>WV|imports|biofuel gasoline</v>
      </c>
    </row>
    <row r="2939" spans="1:8" x14ac:dyDescent="0.25">
      <c r="A2939" t="s">
        <v>175</v>
      </c>
      <c r="B2939" t="s">
        <v>191</v>
      </c>
      <c r="C2939" t="s">
        <v>94</v>
      </c>
      <c r="D2939">
        <v>0</v>
      </c>
      <c r="E2939">
        <v>459957000000</v>
      </c>
      <c r="F2939">
        <v>460425000000</v>
      </c>
      <c r="G2939" s="10">
        <f t="shared" si="45"/>
        <v>306794000000</v>
      </c>
      <c r="H2939" t="str">
        <f>$A2939&amp;Keys!$C$54&amp;$B2939&amp;Keys!$C$54&amp;$C2939</f>
        <v>WV|imports|biofuel diesel</v>
      </c>
    </row>
    <row r="2940" spans="1:8" x14ac:dyDescent="0.25">
      <c r="A2940" t="s">
        <v>175</v>
      </c>
      <c r="B2940" t="s">
        <v>191</v>
      </c>
      <c r="C2940" t="s">
        <v>97</v>
      </c>
      <c r="D2940">
        <v>0</v>
      </c>
      <c r="E2940">
        <v>0</v>
      </c>
      <c r="F2940">
        <v>0</v>
      </c>
      <c r="G2940" s="10">
        <f t="shared" si="45"/>
        <v>0</v>
      </c>
      <c r="H2940" t="str">
        <f>$A2940&amp;Keys!$C$54&amp;$B2940&amp;Keys!$C$54&amp;$C2940</f>
        <v>WV|imports|jet fuel or kerosene</v>
      </c>
    </row>
    <row r="2941" spans="1:8" x14ac:dyDescent="0.25">
      <c r="A2941" t="s">
        <v>175</v>
      </c>
      <c r="B2941" t="s">
        <v>191</v>
      </c>
      <c r="C2941" t="s">
        <v>100</v>
      </c>
      <c r="D2941">
        <v>0</v>
      </c>
      <c r="E2941">
        <v>0</v>
      </c>
      <c r="F2941">
        <v>0</v>
      </c>
      <c r="G2941" s="10">
        <f t="shared" si="45"/>
        <v>0</v>
      </c>
      <c r="H2941" t="str">
        <f>$A2941&amp;Keys!$C$54&amp;$B2941&amp;Keys!$C$54&amp;$C2941</f>
        <v>WV|imports|heat (not used in this variable)</v>
      </c>
    </row>
    <row r="2942" spans="1:8" x14ac:dyDescent="0.25">
      <c r="A2942" t="s">
        <v>175</v>
      </c>
      <c r="B2942" t="s">
        <v>191</v>
      </c>
      <c r="C2942" t="s">
        <v>103</v>
      </c>
      <c r="D2942">
        <v>0</v>
      </c>
      <c r="E2942">
        <v>0</v>
      </c>
      <c r="F2942">
        <v>0</v>
      </c>
      <c r="G2942" s="10">
        <f t="shared" si="45"/>
        <v>0</v>
      </c>
      <c r="H2942" t="str">
        <f>$A2942&amp;Keys!$C$54&amp;$B2942&amp;Keys!$C$54&amp;$C2942</f>
        <v>WV|imports|geothermal (is not a fuel)</v>
      </c>
    </row>
    <row r="2943" spans="1:8" x14ac:dyDescent="0.25">
      <c r="A2943" t="s">
        <v>175</v>
      </c>
      <c r="B2943" t="s">
        <v>191</v>
      </c>
      <c r="C2943" t="s">
        <v>106</v>
      </c>
      <c r="D2943">
        <v>0</v>
      </c>
      <c r="E2943">
        <v>0</v>
      </c>
      <c r="F2943">
        <v>0</v>
      </c>
      <c r="G2943" s="10">
        <f t="shared" si="45"/>
        <v>0</v>
      </c>
      <c r="H2943" t="str">
        <f>$A2943&amp;Keys!$C$54&amp;$B2943&amp;Keys!$C$54&amp;$C2943</f>
        <v>WV|imports|lignite</v>
      </c>
    </row>
    <row r="2944" spans="1:8" x14ac:dyDescent="0.25">
      <c r="A2944" t="s">
        <v>175</v>
      </c>
      <c r="B2944" t="s">
        <v>191</v>
      </c>
      <c r="C2944" t="s">
        <v>109</v>
      </c>
      <c r="D2944">
        <v>0</v>
      </c>
      <c r="E2944">
        <v>0</v>
      </c>
      <c r="F2944">
        <v>0</v>
      </c>
      <c r="G2944" s="10">
        <f t="shared" si="45"/>
        <v>0</v>
      </c>
      <c r="H2944" t="str">
        <f>$A2944&amp;Keys!$C$54&amp;$B2944&amp;Keys!$C$54&amp;$C2944</f>
        <v>WV|imports|crude oil</v>
      </c>
    </row>
    <row r="2945" spans="1:8" x14ac:dyDescent="0.25">
      <c r="A2945" t="s">
        <v>175</v>
      </c>
      <c r="B2945" t="s">
        <v>191</v>
      </c>
      <c r="C2945" t="s">
        <v>113</v>
      </c>
      <c r="D2945">
        <v>0</v>
      </c>
      <c r="E2945">
        <v>7614190000000</v>
      </c>
      <c r="F2945">
        <v>7845690000000</v>
      </c>
      <c r="G2945" s="10">
        <f t="shared" si="45"/>
        <v>5153293333333.333</v>
      </c>
      <c r="H2945" t="str">
        <f>$A2945&amp;Keys!$C$54&amp;$B2945&amp;Keys!$C$54&amp;$C2945</f>
        <v>WV|imports|heavy fuel oil</v>
      </c>
    </row>
    <row r="2946" spans="1:8" x14ac:dyDescent="0.25">
      <c r="A2946" t="s">
        <v>175</v>
      </c>
      <c r="B2946" t="s">
        <v>191</v>
      </c>
      <c r="C2946" t="s">
        <v>117</v>
      </c>
      <c r="D2946">
        <v>0</v>
      </c>
      <c r="E2946">
        <v>0</v>
      </c>
      <c r="F2946">
        <v>0</v>
      </c>
      <c r="G2946" s="10">
        <f t="shared" si="45"/>
        <v>0</v>
      </c>
      <c r="H2946" t="str">
        <f>$A2946&amp;Keys!$C$54&amp;$B2946&amp;Keys!$C$54&amp;$C2946</f>
        <v>WV|imports|LPG propane or butane</v>
      </c>
    </row>
    <row r="2947" spans="1:8" x14ac:dyDescent="0.25">
      <c r="A2947" t="s">
        <v>175</v>
      </c>
      <c r="B2947" t="s">
        <v>191</v>
      </c>
      <c r="C2947" t="s">
        <v>120</v>
      </c>
      <c r="D2947">
        <v>0</v>
      </c>
      <c r="E2947">
        <v>0</v>
      </c>
      <c r="F2947">
        <v>0</v>
      </c>
      <c r="G2947" s="10">
        <f t="shared" si="45"/>
        <v>0</v>
      </c>
      <c r="H2947" t="str">
        <f>$A2947&amp;Keys!$C$54&amp;$B2947&amp;Keys!$C$54&amp;$C2947</f>
        <v>WV|imports|municipal solid waste</v>
      </c>
    </row>
    <row r="2948" spans="1:8" x14ac:dyDescent="0.25">
      <c r="A2948" t="s">
        <v>175</v>
      </c>
      <c r="B2948" t="s">
        <v>191</v>
      </c>
      <c r="C2948" t="s">
        <v>123</v>
      </c>
      <c r="D2948">
        <v>0</v>
      </c>
      <c r="E2948">
        <v>0</v>
      </c>
      <c r="F2948">
        <v>0</v>
      </c>
      <c r="G2948" s="10">
        <f t="shared" si="45"/>
        <v>0</v>
      </c>
      <c r="H2948" t="str">
        <f>$A2948&amp;Keys!$C$54&amp;$B2948&amp;Keys!$C$54&amp;$C2948</f>
        <v>WV|imports|hydrogen</v>
      </c>
    </row>
    <row r="2949" spans="1:8" x14ac:dyDescent="0.25">
      <c r="A2949" t="s">
        <v>175</v>
      </c>
      <c r="B2949" t="s">
        <v>193</v>
      </c>
      <c r="C2949" t="s">
        <v>60</v>
      </c>
      <c r="D2949">
        <v>0</v>
      </c>
      <c r="E2949">
        <v>0</v>
      </c>
      <c r="F2949">
        <v>0</v>
      </c>
      <c r="G2949" s="10">
        <f t="shared" si="45"/>
        <v>0</v>
      </c>
      <c r="H2949" t="str">
        <f>$A2949&amp;Keys!$C$54&amp;$B2949&amp;Keys!$C$54&amp;$C2949</f>
        <v>WV|exports|electricity (not used in this variable)</v>
      </c>
    </row>
    <row r="2950" spans="1:8" x14ac:dyDescent="0.25">
      <c r="A2950" t="s">
        <v>175</v>
      </c>
      <c r="B2950" t="s">
        <v>193</v>
      </c>
      <c r="C2950" t="s">
        <v>64</v>
      </c>
      <c r="D2950">
        <v>0</v>
      </c>
      <c r="E2950">
        <v>1169280000000000</v>
      </c>
      <c r="F2950">
        <v>1147790000000000</v>
      </c>
      <c r="G2950" s="10">
        <f t="shared" si="45"/>
        <v>772356666666666.63</v>
      </c>
      <c r="H2950" t="str">
        <f>$A2950&amp;Keys!$C$54&amp;$B2950&amp;Keys!$C$54&amp;$C2950</f>
        <v>WV|exports|hard coal</v>
      </c>
    </row>
    <row r="2951" spans="1:8" x14ac:dyDescent="0.25">
      <c r="A2951" t="s">
        <v>175</v>
      </c>
      <c r="B2951" t="s">
        <v>193</v>
      </c>
      <c r="C2951" t="s">
        <v>68</v>
      </c>
      <c r="D2951">
        <v>3159370000000000</v>
      </c>
      <c r="E2951">
        <v>3159370000000000</v>
      </c>
      <c r="F2951">
        <v>3169190000000000</v>
      </c>
      <c r="G2951" s="10">
        <f t="shared" si="45"/>
        <v>3162643333333333.5</v>
      </c>
      <c r="H2951" t="str">
        <f>$A2951&amp;Keys!$C$54&amp;$B2951&amp;Keys!$C$54&amp;$C2951</f>
        <v>WV|exports|natural gas</v>
      </c>
    </row>
    <row r="2952" spans="1:8" x14ac:dyDescent="0.25">
      <c r="A2952" t="s">
        <v>175</v>
      </c>
      <c r="B2952" t="s">
        <v>193</v>
      </c>
      <c r="C2952" t="s">
        <v>71</v>
      </c>
      <c r="D2952">
        <v>0</v>
      </c>
      <c r="E2952">
        <v>0</v>
      </c>
      <c r="F2952">
        <v>0</v>
      </c>
      <c r="G2952" s="10">
        <f t="shared" si="45"/>
        <v>0</v>
      </c>
      <c r="H2952" t="str">
        <f>$A2952&amp;Keys!$C$54&amp;$B2952&amp;Keys!$C$54&amp;$C2952</f>
        <v>WV|exports|nuclear</v>
      </c>
    </row>
    <row r="2953" spans="1:8" x14ac:dyDescent="0.25">
      <c r="A2953" t="s">
        <v>175</v>
      </c>
      <c r="B2953" t="s">
        <v>193</v>
      </c>
      <c r="C2953" t="s">
        <v>74</v>
      </c>
      <c r="D2953">
        <v>0</v>
      </c>
      <c r="E2953">
        <v>0</v>
      </c>
      <c r="F2953">
        <v>0</v>
      </c>
      <c r="G2953" s="10">
        <f t="shared" ref="G2953:G3016" si="46">AVERAGE($D2953:$F2953)</f>
        <v>0</v>
      </c>
      <c r="H2953" t="str">
        <f>$A2953&amp;Keys!$C$54&amp;$B2953&amp;Keys!$C$54&amp;$C2953</f>
        <v>WV|exports|hydro (is not a fuel)</v>
      </c>
    </row>
    <row r="2954" spans="1:8" x14ac:dyDescent="0.25">
      <c r="A2954" t="s">
        <v>175</v>
      </c>
      <c r="B2954" t="s">
        <v>193</v>
      </c>
      <c r="C2954" t="s">
        <v>77</v>
      </c>
      <c r="D2954">
        <v>0</v>
      </c>
      <c r="E2954">
        <v>0</v>
      </c>
      <c r="F2954">
        <v>0</v>
      </c>
      <c r="G2954" s="10">
        <f t="shared" si="46"/>
        <v>0</v>
      </c>
      <c r="H2954" t="str">
        <f>$A2954&amp;Keys!$C$54&amp;$B2954&amp;Keys!$C$54&amp;$C2954</f>
        <v>WV|exports|wind (is not a fuel)</v>
      </c>
    </row>
    <row r="2955" spans="1:8" x14ac:dyDescent="0.25">
      <c r="A2955" t="s">
        <v>175</v>
      </c>
      <c r="B2955" t="s">
        <v>193</v>
      </c>
      <c r="C2955" t="s">
        <v>80</v>
      </c>
      <c r="D2955">
        <v>0</v>
      </c>
      <c r="E2955">
        <v>0</v>
      </c>
      <c r="F2955">
        <v>0</v>
      </c>
      <c r="G2955" s="10">
        <f t="shared" si="46"/>
        <v>0</v>
      </c>
      <c r="H2955" t="str">
        <f>$A2955&amp;Keys!$C$54&amp;$B2955&amp;Keys!$C$54&amp;$C2955</f>
        <v>WV|exports|solar (is not a fuel)</v>
      </c>
    </row>
    <row r="2956" spans="1:8" x14ac:dyDescent="0.25">
      <c r="A2956" t="s">
        <v>175</v>
      </c>
      <c r="B2956" t="s">
        <v>193</v>
      </c>
      <c r="C2956" t="s">
        <v>82</v>
      </c>
      <c r="D2956">
        <v>0</v>
      </c>
      <c r="E2956">
        <v>0</v>
      </c>
      <c r="F2956">
        <v>0</v>
      </c>
      <c r="G2956" s="10">
        <f t="shared" si="46"/>
        <v>0</v>
      </c>
      <c r="H2956" t="str">
        <f>$A2956&amp;Keys!$C$54&amp;$B2956&amp;Keys!$C$54&amp;$C2956</f>
        <v>WV|exports|biomass</v>
      </c>
    </row>
    <row r="2957" spans="1:8" x14ac:dyDescent="0.25">
      <c r="A2957" t="s">
        <v>175</v>
      </c>
      <c r="B2957" t="s">
        <v>193</v>
      </c>
      <c r="C2957" t="s">
        <v>85</v>
      </c>
      <c r="D2957">
        <v>0</v>
      </c>
      <c r="E2957">
        <v>0</v>
      </c>
      <c r="F2957">
        <v>0</v>
      </c>
      <c r="G2957" s="10">
        <f t="shared" si="46"/>
        <v>0</v>
      </c>
      <c r="H2957" t="str">
        <f>$A2957&amp;Keys!$C$54&amp;$B2957&amp;Keys!$C$54&amp;$C2957</f>
        <v>WV|exports|petroleum gasoline</v>
      </c>
    </row>
    <row r="2958" spans="1:8" x14ac:dyDescent="0.25">
      <c r="A2958" t="s">
        <v>175</v>
      </c>
      <c r="B2958" t="s">
        <v>193</v>
      </c>
      <c r="C2958" t="s">
        <v>88</v>
      </c>
      <c r="D2958">
        <v>0</v>
      </c>
      <c r="E2958">
        <v>0</v>
      </c>
      <c r="F2958">
        <v>0</v>
      </c>
      <c r="G2958" s="10">
        <f t="shared" si="46"/>
        <v>0</v>
      </c>
      <c r="H2958" t="str">
        <f>$A2958&amp;Keys!$C$54&amp;$B2958&amp;Keys!$C$54&amp;$C2958</f>
        <v>WV|exports|petroleum diesel</v>
      </c>
    </row>
    <row r="2959" spans="1:8" x14ac:dyDescent="0.25">
      <c r="A2959" t="s">
        <v>175</v>
      </c>
      <c r="B2959" t="s">
        <v>193</v>
      </c>
      <c r="C2959" t="s">
        <v>91</v>
      </c>
      <c r="D2959">
        <v>0</v>
      </c>
      <c r="E2959">
        <v>0</v>
      </c>
      <c r="F2959">
        <v>0</v>
      </c>
      <c r="G2959" s="10">
        <f t="shared" si="46"/>
        <v>0</v>
      </c>
      <c r="H2959" t="str">
        <f>$A2959&amp;Keys!$C$54&amp;$B2959&amp;Keys!$C$54&amp;$C2959</f>
        <v>WV|exports|biofuel gasoline</v>
      </c>
    </row>
    <row r="2960" spans="1:8" x14ac:dyDescent="0.25">
      <c r="A2960" t="s">
        <v>175</v>
      </c>
      <c r="B2960" t="s">
        <v>193</v>
      </c>
      <c r="C2960" t="s">
        <v>94</v>
      </c>
      <c r="D2960">
        <v>0</v>
      </c>
      <c r="E2960">
        <v>0</v>
      </c>
      <c r="F2960">
        <v>0</v>
      </c>
      <c r="G2960" s="10">
        <f t="shared" si="46"/>
        <v>0</v>
      </c>
      <c r="H2960" t="str">
        <f>$A2960&amp;Keys!$C$54&amp;$B2960&amp;Keys!$C$54&amp;$C2960</f>
        <v>WV|exports|biofuel diesel</v>
      </c>
    </row>
    <row r="2961" spans="1:8" x14ac:dyDescent="0.25">
      <c r="A2961" t="s">
        <v>175</v>
      </c>
      <c r="B2961" t="s">
        <v>193</v>
      </c>
      <c r="C2961" t="s">
        <v>97</v>
      </c>
      <c r="D2961">
        <v>0</v>
      </c>
      <c r="E2961">
        <v>3194160000000</v>
      </c>
      <c r="F2961">
        <v>3084330000000</v>
      </c>
      <c r="G2961" s="10">
        <f t="shared" si="46"/>
        <v>2092830000000</v>
      </c>
      <c r="H2961" t="str">
        <f>$A2961&amp;Keys!$C$54&amp;$B2961&amp;Keys!$C$54&amp;$C2961</f>
        <v>WV|exports|jet fuel or kerosene</v>
      </c>
    </row>
    <row r="2962" spans="1:8" x14ac:dyDescent="0.25">
      <c r="A2962" t="s">
        <v>175</v>
      </c>
      <c r="B2962" t="s">
        <v>193</v>
      </c>
      <c r="C2962" t="s">
        <v>100</v>
      </c>
      <c r="D2962">
        <v>0</v>
      </c>
      <c r="E2962">
        <v>0</v>
      </c>
      <c r="F2962">
        <v>0</v>
      </c>
      <c r="G2962" s="10">
        <f t="shared" si="46"/>
        <v>0</v>
      </c>
      <c r="H2962" t="str">
        <f>$A2962&amp;Keys!$C$54&amp;$B2962&amp;Keys!$C$54&amp;$C2962</f>
        <v>WV|exports|heat (not used in this variable)</v>
      </c>
    </row>
    <row r="2963" spans="1:8" x14ac:dyDescent="0.25">
      <c r="A2963" t="s">
        <v>175</v>
      </c>
      <c r="B2963" t="s">
        <v>193</v>
      </c>
      <c r="C2963" t="s">
        <v>103</v>
      </c>
      <c r="D2963">
        <v>0</v>
      </c>
      <c r="E2963">
        <v>0</v>
      </c>
      <c r="F2963">
        <v>0</v>
      </c>
      <c r="G2963" s="10">
        <f t="shared" si="46"/>
        <v>0</v>
      </c>
      <c r="H2963" t="str">
        <f>$A2963&amp;Keys!$C$54&amp;$B2963&amp;Keys!$C$54&amp;$C2963</f>
        <v>WV|exports|geothermal (is not a fuel)</v>
      </c>
    </row>
    <row r="2964" spans="1:8" x14ac:dyDescent="0.25">
      <c r="A2964" t="s">
        <v>175</v>
      </c>
      <c r="B2964" t="s">
        <v>193</v>
      </c>
      <c r="C2964" t="s">
        <v>106</v>
      </c>
      <c r="D2964">
        <v>0</v>
      </c>
      <c r="E2964">
        <v>0</v>
      </c>
      <c r="F2964">
        <v>0</v>
      </c>
      <c r="G2964" s="10">
        <f t="shared" si="46"/>
        <v>0</v>
      </c>
      <c r="H2964" t="str">
        <f>$A2964&amp;Keys!$C$54&amp;$B2964&amp;Keys!$C$54&amp;$C2964</f>
        <v>WV|exports|lignite</v>
      </c>
    </row>
    <row r="2965" spans="1:8" x14ac:dyDescent="0.25">
      <c r="A2965" t="s">
        <v>175</v>
      </c>
      <c r="B2965" t="s">
        <v>193</v>
      </c>
      <c r="C2965" t="s">
        <v>109</v>
      </c>
      <c r="D2965">
        <v>0</v>
      </c>
      <c r="E2965">
        <v>32375400000000</v>
      </c>
      <c r="F2965">
        <v>25147200000000</v>
      </c>
      <c r="G2965" s="10">
        <f t="shared" si="46"/>
        <v>19174200000000</v>
      </c>
      <c r="H2965" t="str">
        <f>$A2965&amp;Keys!$C$54&amp;$B2965&amp;Keys!$C$54&amp;$C2965</f>
        <v>WV|exports|crude oil</v>
      </c>
    </row>
    <row r="2966" spans="1:8" x14ac:dyDescent="0.25">
      <c r="A2966" t="s">
        <v>175</v>
      </c>
      <c r="B2966" t="s">
        <v>193</v>
      </c>
      <c r="C2966" t="s">
        <v>113</v>
      </c>
      <c r="D2966">
        <v>0</v>
      </c>
      <c r="E2966">
        <v>0</v>
      </c>
      <c r="F2966">
        <v>0</v>
      </c>
      <c r="G2966" s="10">
        <f t="shared" si="46"/>
        <v>0</v>
      </c>
      <c r="H2966" t="str">
        <f>$A2966&amp;Keys!$C$54&amp;$B2966&amp;Keys!$C$54&amp;$C2966</f>
        <v>WV|exports|heavy fuel oil</v>
      </c>
    </row>
    <row r="2967" spans="1:8" x14ac:dyDescent="0.25">
      <c r="A2967" t="s">
        <v>175</v>
      </c>
      <c r="B2967" t="s">
        <v>193</v>
      </c>
      <c r="C2967" t="s">
        <v>117</v>
      </c>
      <c r="D2967">
        <v>0</v>
      </c>
      <c r="E2967">
        <v>380582000000000</v>
      </c>
      <c r="F2967">
        <v>389036000000000</v>
      </c>
      <c r="G2967" s="10">
        <f t="shared" si="46"/>
        <v>256539333333333.34</v>
      </c>
      <c r="H2967" t="str">
        <f>$A2967&amp;Keys!$C$54&amp;$B2967&amp;Keys!$C$54&amp;$C2967</f>
        <v>WV|exports|LPG propane or butane</v>
      </c>
    </row>
    <row r="2968" spans="1:8" x14ac:dyDescent="0.25">
      <c r="A2968" t="s">
        <v>175</v>
      </c>
      <c r="B2968" t="s">
        <v>193</v>
      </c>
      <c r="C2968" t="s">
        <v>120</v>
      </c>
      <c r="D2968">
        <v>0</v>
      </c>
      <c r="E2968">
        <v>0</v>
      </c>
      <c r="F2968">
        <v>0</v>
      </c>
      <c r="G2968" s="10">
        <f t="shared" si="46"/>
        <v>0</v>
      </c>
      <c r="H2968" t="str">
        <f>$A2968&amp;Keys!$C$54&amp;$B2968&amp;Keys!$C$54&amp;$C2968</f>
        <v>WV|exports|municipal solid waste</v>
      </c>
    </row>
    <row r="2969" spans="1:8" x14ac:dyDescent="0.25">
      <c r="A2969" t="s">
        <v>175</v>
      </c>
      <c r="B2969" t="s">
        <v>193</v>
      </c>
      <c r="C2969" t="s">
        <v>123</v>
      </c>
      <c r="D2969">
        <v>0</v>
      </c>
      <c r="E2969">
        <v>271945000000</v>
      </c>
      <c r="F2969">
        <v>254462000000</v>
      </c>
      <c r="G2969" s="10">
        <f t="shared" si="46"/>
        <v>175469000000</v>
      </c>
      <c r="H2969" t="str">
        <f>$A2969&amp;Keys!$C$54&amp;$B2969&amp;Keys!$C$54&amp;$C2969</f>
        <v>WV|exports|hydrogen</v>
      </c>
    </row>
    <row r="2970" spans="1:8" x14ac:dyDescent="0.25">
      <c r="A2970" t="s">
        <v>177</v>
      </c>
      <c r="B2970" t="s">
        <v>188</v>
      </c>
      <c r="C2970" t="s">
        <v>60</v>
      </c>
      <c r="D2970">
        <v>0</v>
      </c>
      <c r="E2970">
        <v>0</v>
      </c>
      <c r="F2970">
        <v>0</v>
      </c>
      <c r="G2970" s="10">
        <f t="shared" si="46"/>
        <v>0</v>
      </c>
      <c r="H2970" t="str">
        <f>$A2970&amp;Keys!$C$54&amp;$B2970&amp;Keys!$C$54&amp;$C2970</f>
        <v>WY|production|electricity (not used in this variable)</v>
      </c>
    </row>
    <row r="2971" spans="1:8" x14ac:dyDescent="0.25">
      <c r="A2971" t="s">
        <v>177</v>
      </c>
      <c r="B2971" t="s">
        <v>188</v>
      </c>
      <c r="C2971" t="s">
        <v>64</v>
      </c>
      <c r="D2971">
        <v>3909980000000000</v>
      </c>
      <c r="E2971">
        <v>3909980000000000</v>
      </c>
      <c r="F2971">
        <v>3651150000000000</v>
      </c>
      <c r="G2971" s="10">
        <f t="shared" si="46"/>
        <v>3823703333333333.5</v>
      </c>
      <c r="H2971" t="str">
        <f>$A2971&amp;Keys!$C$54&amp;$B2971&amp;Keys!$C$54&amp;$C2971</f>
        <v>WY|production|hard coal</v>
      </c>
    </row>
    <row r="2972" spans="1:8" x14ac:dyDescent="0.25">
      <c r="A2972" t="s">
        <v>177</v>
      </c>
      <c r="B2972" t="s">
        <v>188</v>
      </c>
      <c r="C2972" t="s">
        <v>68</v>
      </c>
      <c r="D2972">
        <v>1035050000000000</v>
      </c>
      <c r="E2972">
        <v>1035050000000000</v>
      </c>
      <c r="F2972">
        <v>1037870000000000</v>
      </c>
      <c r="G2972" s="10">
        <f t="shared" si="46"/>
        <v>1035990000000000</v>
      </c>
      <c r="H2972" t="str">
        <f>$A2972&amp;Keys!$C$54&amp;$B2972&amp;Keys!$C$54&amp;$C2972</f>
        <v>WY|production|natural gas</v>
      </c>
    </row>
    <row r="2973" spans="1:8" x14ac:dyDescent="0.25">
      <c r="A2973" t="s">
        <v>177</v>
      </c>
      <c r="B2973" t="s">
        <v>188</v>
      </c>
      <c r="C2973" t="s">
        <v>71</v>
      </c>
      <c r="D2973">
        <v>118260000000000</v>
      </c>
      <c r="E2973">
        <v>118260000000000</v>
      </c>
      <c r="F2973">
        <v>118260000000000</v>
      </c>
      <c r="G2973" s="10">
        <f t="shared" si="46"/>
        <v>118260000000000</v>
      </c>
      <c r="H2973" t="str">
        <f>$A2973&amp;Keys!$C$54&amp;$B2973&amp;Keys!$C$54&amp;$C2973</f>
        <v>WY|production|nuclear</v>
      </c>
    </row>
    <row r="2974" spans="1:8" x14ac:dyDescent="0.25">
      <c r="A2974" t="s">
        <v>177</v>
      </c>
      <c r="B2974" t="s">
        <v>188</v>
      </c>
      <c r="C2974" t="s">
        <v>74</v>
      </c>
      <c r="D2974">
        <v>0</v>
      </c>
      <c r="E2974">
        <v>0</v>
      </c>
      <c r="F2974">
        <v>0</v>
      </c>
      <c r="G2974" s="10">
        <f t="shared" si="46"/>
        <v>0</v>
      </c>
      <c r="H2974" t="str">
        <f>$A2974&amp;Keys!$C$54&amp;$B2974&amp;Keys!$C$54&amp;$C2974</f>
        <v>WY|production|hydro (is not a fuel)</v>
      </c>
    </row>
    <row r="2975" spans="1:8" x14ac:dyDescent="0.25">
      <c r="A2975" t="s">
        <v>177</v>
      </c>
      <c r="B2975" t="s">
        <v>188</v>
      </c>
      <c r="C2975" t="s">
        <v>77</v>
      </c>
      <c r="D2975">
        <v>0</v>
      </c>
      <c r="E2975">
        <v>0</v>
      </c>
      <c r="F2975">
        <v>0</v>
      </c>
      <c r="G2975" s="10">
        <f t="shared" si="46"/>
        <v>0</v>
      </c>
      <c r="H2975" t="str">
        <f>$A2975&amp;Keys!$C$54&amp;$B2975&amp;Keys!$C$54&amp;$C2975</f>
        <v>WY|production|wind (is not a fuel)</v>
      </c>
    </row>
    <row r="2976" spans="1:8" x14ac:dyDescent="0.25">
      <c r="A2976" t="s">
        <v>177</v>
      </c>
      <c r="B2976" t="s">
        <v>188</v>
      </c>
      <c r="C2976" t="s">
        <v>80</v>
      </c>
      <c r="D2976">
        <v>0</v>
      </c>
      <c r="E2976">
        <v>0</v>
      </c>
      <c r="F2976">
        <v>0</v>
      </c>
      <c r="G2976" s="10">
        <f t="shared" si="46"/>
        <v>0</v>
      </c>
      <c r="H2976" t="str">
        <f>$A2976&amp;Keys!$C$54&amp;$B2976&amp;Keys!$C$54&amp;$C2976</f>
        <v>WY|production|solar (is not a fuel)</v>
      </c>
    </row>
    <row r="2977" spans="1:8" x14ac:dyDescent="0.25">
      <c r="A2977" t="s">
        <v>177</v>
      </c>
      <c r="B2977" t="s">
        <v>188</v>
      </c>
      <c r="C2977" t="s">
        <v>82</v>
      </c>
      <c r="D2977">
        <v>0</v>
      </c>
      <c r="E2977">
        <v>0</v>
      </c>
      <c r="F2977">
        <v>0</v>
      </c>
      <c r="G2977" s="10">
        <f t="shared" si="46"/>
        <v>0</v>
      </c>
      <c r="H2977" t="str">
        <f>$A2977&amp;Keys!$C$54&amp;$B2977&amp;Keys!$C$54&amp;$C2977</f>
        <v>WY|production|biomass</v>
      </c>
    </row>
    <row r="2978" spans="1:8" x14ac:dyDescent="0.25">
      <c r="A2978" t="s">
        <v>177</v>
      </c>
      <c r="B2978" t="s">
        <v>188</v>
      </c>
      <c r="C2978" t="s">
        <v>85</v>
      </c>
      <c r="D2978">
        <v>123254000000000</v>
      </c>
      <c r="E2978">
        <v>123254000000000</v>
      </c>
      <c r="F2978">
        <v>120266000000000</v>
      </c>
      <c r="G2978" s="10">
        <f t="shared" si="46"/>
        <v>122258000000000</v>
      </c>
      <c r="H2978" t="str">
        <f>$A2978&amp;Keys!$C$54&amp;$B2978&amp;Keys!$C$54&amp;$C2978</f>
        <v>WY|production|petroleum gasoline</v>
      </c>
    </row>
    <row r="2979" spans="1:8" x14ac:dyDescent="0.25">
      <c r="A2979" t="s">
        <v>177</v>
      </c>
      <c r="B2979" t="s">
        <v>188</v>
      </c>
      <c r="C2979" t="s">
        <v>88</v>
      </c>
      <c r="D2979">
        <v>72906300000000</v>
      </c>
      <c r="E2979">
        <v>72906300000000</v>
      </c>
      <c r="F2979">
        <v>71139200000000</v>
      </c>
      <c r="G2979" s="10">
        <f t="shared" si="46"/>
        <v>72317266666666.672</v>
      </c>
      <c r="H2979" t="str">
        <f>$A2979&amp;Keys!$C$54&amp;$B2979&amp;Keys!$C$54&amp;$C2979</f>
        <v>WY|production|petroleum diesel</v>
      </c>
    </row>
    <row r="2980" spans="1:8" x14ac:dyDescent="0.25">
      <c r="A2980" t="s">
        <v>177</v>
      </c>
      <c r="B2980" t="s">
        <v>188</v>
      </c>
      <c r="C2980" t="s">
        <v>91</v>
      </c>
      <c r="D2980">
        <v>0</v>
      </c>
      <c r="E2980">
        <v>0</v>
      </c>
      <c r="F2980">
        <v>0</v>
      </c>
      <c r="G2980" s="10">
        <f t="shared" si="46"/>
        <v>0</v>
      </c>
      <c r="H2980" t="str">
        <f>$A2980&amp;Keys!$C$54&amp;$B2980&amp;Keys!$C$54&amp;$C2980</f>
        <v>WY|production|biofuel gasoline</v>
      </c>
    </row>
    <row r="2981" spans="1:8" x14ac:dyDescent="0.25">
      <c r="A2981" t="s">
        <v>177</v>
      </c>
      <c r="B2981" t="s">
        <v>188</v>
      </c>
      <c r="C2981" t="s">
        <v>94</v>
      </c>
      <c r="D2981">
        <v>0</v>
      </c>
      <c r="E2981">
        <v>0</v>
      </c>
      <c r="F2981">
        <v>0</v>
      </c>
      <c r="G2981" s="10">
        <f t="shared" si="46"/>
        <v>0</v>
      </c>
      <c r="H2981" t="str">
        <f>$A2981&amp;Keys!$C$54&amp;$B2981&amp;Keys!$C$54&amp;$C2981</f>
        <v>WY|production|biofuel diesel</v>
      </c>
    </row>
    <row r="2982" spans="1:8" x14ac:dyDescent="0.25">
      <c r="A2982" t="s">
        <v>177</v>
      </c>
      <c r="B2982" t="s">
        <v>188</v>
      </c>
      <c r="C2982" t="s">
        <v>97</v>
      </c>
      <c r="D2982">
        <v>25953200000000</v>
      </c>
      <c r="E2982">
        <v>25953200000000</v>
      </c>
      <c r="F2982">
        <v>25324100000000</v>
      </c>
      <c r="G2982" s="10">
        <f t="shared" si="46"/>
        <v>25743500000000</v>
      </c>
      <c r="H2982" t="str">
        <f>$A2982&amp;Keys!$C$54&amp;$B2982&amp;Keys!$C$54&amp;$C2982</f>
        <v>WY|production|jet fuel or kerosene</v>
      </c>
    </row>
    <row r="2983" spans="1:8" x14ac:dyDescent="0.25">
      <c r="A2983" t="s">
        <v>177</v>
      </c>
      <c r="B2983" t="s">
        <v>188</v>
      </c>
      <c r="C2983" t="s">
        <v>100</v>
      </c>
      <c r="D2983">
        <v>0</v>
      </c>
      <c r="E2983">
        <v>0</v>
      </c>
      <c r="F2983">
        <v>0</v>
      </c>
      <c r="G2983" s="10">
        <f t="shared" si="46"/>
        <v>0</v>
      </c>
      <c r="H2983" t="str">
        <f>$A2983&amp;Keys!$C$54&amp;$B2983&amp;Keys!$C$54&amp;$C2983</f>
        <v>WY|production|heat (not used in this variable)</v>
      </c>
    </row>
    <row r="2984" spans="1:8" x14ac:dyDescent="0.25">
      <c r="A2984" t="s">
        <v>177</v>
      </c>
      <c r="B2984" t="s">
        <v>188</v>
      </c>
      <c r="C2984" t="s">
        <v>103</v>
      </c>
      <c r="D2984">
        <v>0</v>
      </c>
      <c r="E2984">
        <v>0</v>
      </c>
      <c r="F2984">
        <v>0</v>
      </c>
      <c r="G2984" s="10">
        <f t="shared" si="46"/>
        <v>0</v>
      </c>
      <c r="H2984" t="str">
        <f>$A2984&amp;Keys!$C$54&amp;$B2984&amp;Keys!$C$54&amp;$C2984</f>
        <v>WY|production|geothermal (is not a fuel)</v>
      </c>
    </row>
    <row r="2985" spans="1:8" x14ac:dyDescent="0.25">
      <c r="A2985" t="s">
        <v>177</v>
      </c>
      <c r="B2985" t="s">
        <v>188</v>
      </c>
      <c r="C2985" t="s">
        <v>106</v>
      </c>
      <c r="D2985">
        <v>0</v>
      </c>
      <c r="E2985">
        <v>0</v>
      </c>
      <c r="F2985">
        <v>0</v>
      </c>
      <c r="G2985" s="10">
        <f t="shared" si="46"/>
        <v>0</v>
      </c>
      <c r="H2985" t="str">
        <f>$A2985&amp;Keys!$C$54&amp;$B2985&amp;Keys!$C$54&amp;$C2985</f>
        <v>WY|production|lignite</v>
      </c>
    </row>
    <row r="2986" spans="1:8" x14ac:dyDescent="0.25">
      <c r="A2986" t="s">
        <v>177</v>
      </c>
      <c r="B2986" t="s">
        <v>188</v>
      </c>
      <c r="C2986" t="s">
        <v>109</v>
      </c>
      <c r="D2986">
        <v>619191000000000</v>
      </c>
      <c r="E2986">
        <v>619191000000000</v>
      </c>
      <c r="F2986">
        <v>607917000000000</v>
      </c>
      <c r="G2986" s="10">
        <f t="shared" si="46"/>
        <v>615433000000000</v>
      </c>
      <c r="H2986" t="str">
        <f>$A2986&amp;Keys!$C$54&amp;$B2986&amp;Keys!$C$54&amp;$C2986</f>
        <v>WY|production|crude oil</v>
      </c>
    </row>
    <row r="2987" spans="1:8" x14ac:dyDescent="0.25">
      <c r="A2987" t="s">
        <v>177</v>
      </c>
      <c r="B2987" t="s">
        <v>188</v>
      </c>
      <c r="C2987" t="s">
        <v>113</v>
      </c>
      <c r="D2987">
        <v>5041490000000</v>
      </c>
      <c r="E2987">
        <v>5041490000000</v>
      </c>
      <c r="F2987">
        <v>4919300000000</v>
      </c>
      <c r="G2987" s="10">
        <f t="shared" si="46"/>
        <v>5000760000000</v>
      </c>
      <c r="H2987" t="str">
        <f>$A2987&amp;Keys!$C$54&amp;$B2987&amp;Keys!$C$54&amp;$C2987</f>
        <v>WY|production|heavy fuel oil</v>
      </c>
    </row>
    <row r="2988" spans="1:8" x14ac:dyDescent="0.25">
      <c r="A2988" t="s">
        <v>177</v>
      </c>
      <c r="B2988" t="s">
        <v>188</v>
      </c>
      <c r="C2988" t="s">
        <v>117</v>
      </c>
      <c r="D2988">
        <v>126534000000000</v>
      </c>
      <c r="E2988">
        <v>126534000000000</v>
      </c>
      <c r="F2988">
        <v>129221000000000</v>
      </c>
      <c r="G2988" s="10">
        <f t="shared" si="46"/>
        <v>127429666666666.67</v>
      </c>
      <c r="H2988" t="str">
        <f>$A2988&amp;Keys!$C$54&amp;$B2988&amp;Keys!$C$54&amp;$C2988</f>
        <v>WY|production|LPG propane or butane</v>
      </c>
    </row>
    <row r="2989" spans="1:8" x14ac:dyDescent="0.25">
      <c r="A2989" t="s">
        <v>177</v>
      </c>
      <c r="B2989" t="s">
        <v>188</v>
      </c>
      <c r="C2989" t="s">
        <v>120</v>
      </c>
      <c r="D2989">
        <v>0</v>
      </c>
      <c r="E2989">
        <v>0</v>
      </c>
      <c r="F2989">
        <v>0</v>
      </c>
      <c r="G2989" s="10">
        <f t="shared" si="46"/>
        <v>0</v>
      </c>
      <c r="H2989" t="str">
        <f>$A2989&amp;Keys!$C$54&amp;$B2989&amp;Keys!$C$54&amp;$C2989</f>
        <v>WY|production|municipal solid waste</v>
      </c>
    </row>
    <row r="2990" spans="1:8" x14ac:dyDescent="0.25">
      <c r="A2990" t="s">
        <v>177</v>
      </c>
      <c r="B2990" t="s">
        <v>188</v>
      </c>
      <c r="C2990" t="s">
        <v>123</v>
      </c>
      <c r="D2990">
        <v>6168500000000</v>
      </c>
      <c r="E2990">
        <v>6168500000000</v>
      </c>
      <c r="F2990">
        <v>5858190000000</v>
      </c>
      <c r="G2990" s="10">
        <f t="shared" si="46"/>
        <v>6065063333333.333</v>
      </c>
      <c r="H2990" t="str">
        <f>$A2990&amp;Keys!$C$54&amp;$B2990&amp;Keys!$C$54&amp;$C2990</f>
        <v>WY|production|hydrogen</v>
      </c>
    </row>
    <row r="2991" spans="1:8" x14ac:dyDescent="0.25">
      <c r="A2991" t="s">
        <v>177</v>
      </c>
      <c r="B2991" t="s">
        <v>191</v>
      </c>
      <c r="C2991" t="s">
        <v>60</v>
      </c>
      <c r="D2991">
        <v>0</v>
      </c>
      <c r="E2991">
        <v>0</v>
      </c>
      <c r="F2991">
        <v>0</v>
      </c>
      <c r="G2991" s="10">
        <f t="shared" si="46"/>
        <v>0</v>
      </c>
      <c r="H2991" t="str">
        <f>$A2991&amp;Keys!$C$54&amp;$B2991&amp;Keys!$C$54&amp;$C2991</f>
        <v>WY|imports|electricity (not used in this variable)</v>
      </c>
    </row>
    <row r="2992" spans="1:8" x14ac:dyDescent="0.25">
      <c r="A2992" t="s">
        <v>177</v>
      </c>
      <c r="B2992" t="s">
        <v>191</v>
      </c>
      <c r="C2992" t="s">
        <v>64</v>
      </c>
      <c r="D2992">
        <v>1563470000000</v>
      </c>
      <c r="E2992">
        <v>0</v>
      </c>
      <c r="F2992">
        <v>0</v>
      </c>
      <c r="G2992" s="10">
        <f t="shared" si="46"/>
        <v>521156666666.66669</v>
      </c>
      <c r="H2992" t="str">
        <f>$A2992&amp;Keys!$C$54&amp;$B2992&amp;Keys!$C$54&amp;$C2992</f>
        <v>WY|imports|hard coal</v>
      </c>
    </row>
    <row r="2993" spans="1:8" x14ac:dyDescent="0.25">
      <c r="A2993" t="s">
        <v>177</v>
      </c>
      <c r="B2993" t="s">
        <v>191</v>
      </c>
      <c r="C2993" t="s">
        <v>68</v>
      </c>
      <c r="D2993">
        <v>1072960000000000</v>
      </c>
      <c r="E2993">
        <v>909328000000000</v>
      </c>
      <c r="F2993">
        <v>903870000000000</v>
      </c>
      <c r="G2993" s="10">
        <f t="shared" si="46"/>
        <v>962052666666666.63</v>
      </c>
      <c r="H2993" t="str">
        <f>$A2993&amp;Keys!$C$54&amp;$B2993&amp;Keys!$C$54&amp;$C2993</f>
        <v>WY|imports|natural gas</v>
      </c>
    </row>
    <row r="2994" spans="1:8" x14ac:dyDescent="0.25">
      <c r="A2994" t="s">
        <v>177</v>
      </c>
      <c r="B2994" t="s">
        <v>191</v>
      </c>
      <c r="C2994" t="s">
        <v>71</v>
      </c>
      <c r="D2994">
        <v>0</v>
      </c>
      <c r="E2994">
        <v>0</v>
      </c>
      <c r="F2994">
        <v>0</v>
      </c>
      <c r="G2994" s="10">
        <f t="shared" si="46"/>
        <v>0</v>
      </c>
      <c r="H2994" t="str">
        <f>$A2994&amp;Keys!$C$54&amp;$B2994&amp;Keys!$C$54&amp;$C2994</f>
        <v>WY|imports|nuclear</v>
      </c>
    </row>
    <row r="2995" spans="1:8" x14ac:dyDescent="0.25">
      <c r="A2995" t="s">
        <v>177</v>
      </c>
      <c r="B2995" t="s">
        <v>191</v>
      </c>
      <c r="C2995" t="s">
        <v>74</v>
      </c>
      <c r="D2995">
        <v>0</v>
      </c>
      <c r="E2995">
        <v>0</v>
      </c>
      <c r="F2995">
        <v>0</v>
      </c>
      <c r="G2995" s="10">
        <f t="shared" si="46"/>
        <v>0</v>
      </c>
      <c r="H2995" t="str">
        <f>$A2995&amp;Keys!$C$54&amp;$B2995&amp;Keys!$C$54&amp;$C2995</f>
        <v>WY|imports|hydro (is not a fuel)</v>
      </c>
    </row>
    <row r="2996" spans="1:8" x14ac:dyDescent="0.25">
      <c r="A2996" t="s">
        <v>177</v>
      </c>
      <c r="B2996" t="s">
        <v>191</v>
      </c>
      <c r="C2996" t="s">
        <v>77</v>
      </c>
      <c r="D2996">
        <v>0</v>
      </c>
      <c r="E2996">
        <v>0</v>
      </c>
      <c r="F2996">
        <v>0</v>
      </c>
      <c r="G2996" s="10">
        <f t="shared" si="46"/>
        <v>0</v>
      </c>
      <c r="H2996" t="str">
        <f>$A2996&amp;Keys!$C$54&amp;$B2996&amp;Keys!$C$54&amp;$C2996</f>
        <v>WY|imports|wind (is not a fuel)</v>
      </c>
    </row>
    <row r="2997" spans="1:8" x14ac:dyDescent="0.25">
      <c r="A2997" t="s">
        <v>177</v>
      </c>
      <c r="B2997" t="s">
        <v>191</v>
      </c>
      <c r="C2997" t="s">
        <v>80</v>
      </c>
      <c r="D2997">
        <v>0</v>
      </c>
      <c r="E2997">
        <v>0</v>
      </c>
      <c r="F2997">
        <v>0</v>
      </c>
      <c r="G2997" s="10">
        <f t="shared" si="46"/>
        <v>0</v>
      </c>
      <c r="H2997" t="str">
        <f>$A2997&amp;Keys!$C$54&amp;$B2997&amp;Keys!$C$54&amp;$C2997</f>
        <v>WY|imports|solar (is not a fuel)</v>
      </c>
    </row>
    <row r="2998" spans="1:8" x14ac:dyDescent="0.25">
      <c r="A2998" t="s">
        <v>177</v>
      </c>
      <c r="B2998" t="s">
        <v>191</v>
      </c>
      <c r="C2998" t="s">
        <v>82</v>
      </c>
      <c r="D2998">
        <v>0</v>
      </c>
      <c r="E2998">
        <v>1755120000000</v>
      </c>
      <c r="F2998">
        <v>1726380000000</v>
      </c>
      <c r="G2998" s="10">
        <f t="shared" si="46"/>
        <v>1160500000000</v>
      </c>
      <c r="H2998" t="str">
        <f>$A2998&amp;Keys!$C$54&amp;$B2998&amp;Keys!$C$54&amp;$C2998</f>
        <v>WY|imports|biomass</v>
      </c>
    </row>
    <row r="2999" spans="1:8" x14ac:dyDescent="0.25">
      <c r="A2999" t="s">
        <v>177</v>
      </c>
      <c r="B2999" t="s">
        <v>191</v>
      </c>
      <c r="C2999" t="s">
        <v>85</v>
      </c>
      <c r="D2999">
        <v>0</v>
      </c>
      <c r="E2999">
        <v>0</v>
      </c>
      <c r="F2999">
        <v>0</v>
      </c>
      <c r="G2999" s="10">
        <f t="shared" si="46"/>
        <v>0</v>
      </c>
      <c r="H2999" t="str">
        <f>$A2999&amp;Keys!$C$54&amp;$B2999&amp;Keys!$C$54&amp;$C2999</f>
        <v>WY|imports|petroleum gasoline</v>
      </c>
    </row>
    <row r="3000" spans="1:8" x14ac:dyDescent="0.25">
      <c r="A3000" t="s">
        <v>177</v>
      </c>
      <c r="B3000" t="s">
        <v>191</v>
      </c>
      <c r="C3000" t="s">
        <v>88</v>
      </c>
      <c r="D3000">
        <v>0</v>
      </c>
      <c r="E3000">
        <v>8712350000000</v>
      </c>
      <c r="F3000">
        <v>9863960000000</v>
      </c>
      <c r="G3000" s="10">
        <f t="shared" si="46"/>
        <v>6192103333333.333</v>
      </c>
      <c r="H3000" t="str">
        <f>$A3000&amp;Keys!$C$54&amp;$B3000&amp;Keys!$C$54&amp;$C3000</f>
        <v>WY|imports|petroleum diesel</v>
      </c>
    </row>
    <row r="3001" spans="1:8" x14ac:dyDescent="0.25">
      <c r="A3001" t="s">
        <v>177</v>
      </c>
      <c r="B3001" t="s">
        <v>191</v>
      </c>
      <c r="C3001" t="s">
        <v>91</v>
      </c>
      <c r="D3001">
        <v>0</v>
      </c>
      <c r="E3001">
        <v>2316350000000</v>
      </c>
      <c r="F3001">
        <v>2282650000000</v>
      </c>
      <c r="G3001" s="10">
        <f t="shared" si="46"/>
        <v>1533000000000</v>
      </c>
      <c r="H3001" t="str">
        <f>$A3001&amp;Keys!$C$54&amp;$B3001&amp;Keys!$C$54&amp;$C3001</f>
        <v>WY|imports|biofuel gasoline</v>
      </c>
    </row>
    <row r="3002" spans="1:8" x14ac:dyDescent="0.25">
      <c r="A3002" t="s">
        <v>177</v>
      </c>
      <c r="B3002" t="s">
        <v>191</v>
      </c>
      <c r="C3002" t="s">
        <v>94</v>
      </c>
      <c r="D3002">
        <v>0</v>
      </c>
      <c r="E3002">
        <v>2839170000000</v>
      </c>
      <c r="F3002">
        <v>3341200000000</v>
      </c>
      <c r="G3002" s="10">
        <f t="shared" si="46"/>
        <v>2060123333333.3333</v>
      </c>
      <c r="H3002" t="str">
        <f>$A3002&amp;Keys!$C$54&amp;$B3002&amp;Keys!$C$54&amp;$C3002</f>
        <v>WY|imports|biofuel diesel</v>
      </c>
    </row>
    <row r="3003" spans="1:8" x14ac:dyDescent="0.25">
      <c r="A3003" t="s">
        <v>177</v>
      </c>
      <c r="B3003" t="s">
        <v>191</v>
      </c>
      <c r="C3003" t="s">
        <v>97</v>
      </c>
      <c r="D3003">
        <v>0</v>
      </c>
      <c r="E3003">
        <v>0</v>
      </c>
      <c r="F3003">
        <v>0</v>
      </c>
      <c r="G3003" s="10">
        <f t="shared" si="46"/>
        <v>0</v>
      </c>
      <c r="H3003" t="str">
        <f>$A3003&amp;Keys!$C$54&amp;$B3003&amp;Keys!$C$54&amp;$C3003</f>
        <v>WY|imports|jet fuel or kerosene</v>
      </c>
    </row>
    <row r="3004" spans="1:8" x14ac:dyDescent="0.25">
      <c r="A3004" t="s">
        <v>177</v>
      </c>
      <c r="B3004" t="s">
        <v>191</v>
      </c>
      <c r="C3004" t="s">
        <v>100</v>
      </c>
      <c r="D3004">
        <v>0</v>
      </c>
      <c r="E3004">
        <v>0</v>
      </c>
      <c r="F3004">
        <v>0</v>
      </c>
      <c r="G3004" s="10">
        <f t="shared" si="46"/>
        <v>0</v>
      </c>
      <c r="H3004" t="str">
        <f>$A3004&amp;Keys!$C$54&amp;$B3004&amp;Keys!$C$54&amp;$C3004</f>
        <v>WY|imports|heat (not used in this variable)</v>
      </c>
    </row>
    <row r="3005" spans="1:8" x14ac:dyDescent="0.25">
      <c r="A3005" t="s">
        <v>177</v>
      </c>
      <c r="B3005" t="s">
        <v>191</v>
      </c>
      <c r="C3005" t="s">
        <v>103</v>
      </c>
      <c r="D3005">
        <v>0</v>
      </c>
      <c r="E3005">
        <v>0</v>
      </c>
      <c r="F3005">
        <v>0</v>
      </c>
      <c r="G3005" s="10">
        <f t="shared" si="46"/>
        <v>0</v>
      </c>
      <c r="H3005" t="str">
        <f>$A3005&amp;Keys!$C$54&amp;$B3005&amp;Keys!$C$54&amp;$C3005</f>
        <v>WY|imports|geothermal (is not a fuel)</v>
      </c>
    </row>
    <row r="3006" spans="1:8" x14ac:dyDescent="0.25">
      <c r="A3006" t="s">
        <v>177</v>
      </c>
      <c r="B3006" t="s">
        <v>191</v>
      </c>
      <c r="C3006" t="s">
        <v>106</v>
      </c>
      <c r="D3006">
        <v>0</v>
      </c>
      <c r="E3006">
        <v>0</v>
      </c>
      <c r="F3006">
        <v>0</v>
      </c>
      <c r="G3006" s="10">
        <f t="shared" si="46"/>
        <v>0</v>
      </c>
      <c r="H3006" t="str">
        <f>$A3006&amp;Keys!$C$54&amp;$B3006&amp;Keys!$C$54&amp;$C3006</f>
        <v>WY|imports|lignite</v>
      </c>
    </row>
    <row r="3007" spans="1:8" x14ac:dyDescent="0.25">
      <c r="A3007" t="s">
        <v>177</v>
      </c>
      <c r="B3007" t="s">
        <v>191</v>
      </c>
      <c r="C3007" t="s">
        <v>109</v>
      </c>
      <c r="D3007">
        <v>0</v>
      </c>
      <c r="E3007">
        <v>0</v>
      </c>
      <c r="F3007">
        <v>0</v>
      </c>
      <c r="G3007" s="10">
        <f t="shared" si="46"/>
        <v>0</v>
      </c>
      <c r="H3007" t="str">
        <f>$A3007&amp;Keys!$C$54&amp;$B3007&amp;Keys!$C$54&amp;$C3007</f>
        <v>WY|imports|crude oil</v>
      </c>
    </row>
    <row r="3008" spans="1:8" x14ac:dyDescent="0.25">
      <c r="A3008" t="s">
        <v>177</v>
      </c>
      <c r="B3008" t="s">
        <v>191</v>
      </c>
      <c r="C3008" t="s">
        <v>113</v>
      </c>
      <c r="D3008">
        <v>0</v>
      </c>
      <c r="E3008">
        <v>341482000000</v>
      </c>
      <c r="F3008">
        <v>571605000000</v>
      </c>
      <c r="G3008" s="10">
        <f t="shared" si="46"/>
        <v>304362333333.33331</v>
      </c>
      <c r="H3008" t="str">
        <f>$A3008&amp;Keys!$C$54&amp;$B3008&amp;Keys!$C$54&amp;$C3008</f>
        <v>WY|imports|heavy fuel oil</v>
      </c>
    </row>
    <row r="3009" spans="1:8" x14ac:dyDescent="0.25">
      <c r="A3009" t="s">
        <v>177</v>
      </c>
      <c r="B3009" t="s">
        <v>191</v>
      </c>
      <c r="C3009" t="s">
        <v>117</v>
      </c>
      <c r="D3009">
        <v>0</v>
      </c>
      <c r="E3009">
        <v>0</v>
      </c>
      <c r="F3009">
        <v>0</v>
      </c>
      <c r="G3009" s="10">
        <f t="shared" si="46"/>
        <v>0</v>
      </c>
      <c r="H3009" t="str">
        <f>$A3009&amp;Keys!$C$54&amp;$B3009&amp;Keys!$C$54&amp;$C3009</f>
        <v>WY|imports|LPG propane or butane</v>
      </c>
    </row>
    <row r="3010" spans="1:8" x14ac:dyDescent="0.25">
      <c r="A3010" t="s">
        <v>177</v>
      </c>
      <c r="B3010" t="s">
        <v>191</v>
      </c>
      <c r="C3010" t="s">
        <v>120</v>
      </c>
      <c r="D3010">
        <v>0</v>
      </c>
      <c r="E3010">
        <v>0</v>
      </c>
      <c r="F3010">
        <v>0</v>
      </c>
      <c r="G3010" s="10">
        <f t="shared" si="46"/>
        <v>0</v>
      </c>
      <c r="H3010" t="str">
        <f>$A3010&amp;Keys!$C$54&amp;$B3010&amp;Keys!$C$54&amp;$C3010</f>
        <v>WY|imports|municipal solid waste</v>
      </c>
    </row>
    <row r="3011" spans="1:8" x14ac:dyDescent="0.25">
      <c r="A3011" t="s">
        <v>177</v>
      </c>
      <c r="B3011" t="s">
        <v>191</v>
      </c>
      <c r="C3011" t="s">
        <v>123</v>
      </c>
      <c r="D3011">
        <v>0</v>
      </c>
      <c r="E3011">
        <v>0</v>
      </c>
      <c r="F3011">
        <v>0</v>
      </c>
      <c r="G3011" s="10">
        <f t="shared" si="46"/>
        <v>0</v>
      </c>
      <c r="H3011" t="str">
        <f>$A3011&amp;Keys!$C$54&amp;$B3011&amp;Keys!$C$54&amp;$C3011</f>
        <v>WY|imports|hydrogen</v>
      </c>
    </row>
    <row r="3012" spans="1:8" x14ac:dyDescent="0.25">
      <c r="A3012" t="s">
        <v>177</v>
      </c>
      <c r="B3012" t="s">
        <v>193</v>
      </c>
      <c r="C3012" t="s">
        <v>60</v>
      </c>
      <c r="D3012">
        <v>0</v>
      </c>
      <c r="E3012">
        <v>0</v>
      </c>
      <c r="F3012">
        <v>0</v>
      </c>
      <c r="G3012" s="10">
        <f t="shared" si="46"/>
        <v>0</v>
      </c>
      <c r="H3012" t="str">
        <f>$A3012&amp;Keys!$C$54&amp;$B3012&amp;Keys!$C$54&amp;$C3012</f>
        <v>WY|exports|electricity (not used in this variable)</v>
      </c>
    </row>
    <row r="3013" spans="1:8" x14ac:dyDescent="0.25">
      <c r="A3013" t="s">
        <v>177</v>
      </c>
      <c r="B3013" t="s">
        <v>193</v>
      </c>
      <c r="C3013" t="s">
        <v>64</v>
      </c>
      <c r="D3013">
        <v>3531620000000000</v>
      </c>
      <c r="E3013">
        <v>3632640000000000</v>
      </c>
      <c r="F3013">
        <v>3356430000000000</v>
      </c>
      <c r="G3013" s="10">
        <f t="shared" si="46"/>
        <v>3506896666666666.5</v>
      </c>
      <c r="H3013" t="str">
        <f>$A3013&amp;Keys!$C$54&amp;$B3013&amp;Keys!$C$54&amp;$C3013</f>
        <v>WY|exports|hard coal</v>
      </c>
    </row>
    <row r="3014" spans="1:8" x14ac:dyDescent="0.25">
      <c r="A3014" t="s">
        <v>177</v>
      </c>
      <c r="B3014" t="s">
        <v>193</v>
      </c>
      <c r="C3014" t="s">
        <v>68</v>
      </c>
      <c r="D3014">
        <v>1735570000000000</v>
      </c>
      <c r="E3014">
        <v>1735570000000000</v>
      </c>
      <c r="F3014">
        <v>1740300000000000</v>
      </c>
      <c r="G3014" s="10">
        <f t="shared" si="46"/>
        <v>1737146666666666.8</v>
      </c>
      <c r="H3014" t="str">
        <f>$A3014&amp;Keys!$C$54&amp;$B3014&amp;Keys!$C$54&amp;$C3014</f>
        <v>WY|exports|natural gas</v>
      </c>
    </row>
    <row r="3015" spans="1:8" x14ac:dyDescent="0.25">
      <c r="A3015" t="s">
        <v>177</v>
      </c>
      <c r="B3015" t="s">
        <v>193</v>
      </c>
      <c r="C3015" t="s">
        <v>71</v>
      </c>
      <c r="D3015">
        <v>118260000000000</v>
      </c>
      <c r="E3015">
        <v>118260000000000</v>
      </c>
      <c r="F3015">
        <v>118260000000000</v>
      </c>
      <c r="G3015" s="10">
        <f t="shared" si="46"/>
        <v>118260000000000</v>
      </c>
      <c r="H3015" t="str">
        <f>$A3015&amp;Keys!$C$54&amp;$B3015&amp;Keys!$C$54&amp;$C3015</f>
        <v>WY|exports|nuclear</v>
      </c>
    </row>
    <row r="3016" spans="1:8" x14ac:dyDescent="0.25">
      <c r="A3016" t="s">
        <v>177</v>
      </c>
      <c r="B3016" t="s">
        <v>193</v>
      </c>
      <c r="C3016" t="s">
        <v>74</v>
      </c>
      <c r="D3016">
        <v>0</v>
      </c>
      <c r="E3016">
        <v>0</v>
      </c>
      <c r="F3016">
        <v>0</v>
      </c>
      <c r="G3016" s="10">
        <f t="shared" si="46"/>
        <v>0</v>
      </c>
      <c r="H3016" t="str">
        <f>$A3016&amp;Keys!$C$54&amp;$B3016&amp;Keys!$C$54&amp;$C3016</f>
        <v>WY|exports|hydro (is not a fuel)</v>
      </c>
    </row>
    <row r="3017" spans="1:8" x14ac:dyDescent="0.25">
      <c r="A3017" t="s">
        <v>177</v>
      </c>
      <c r="B3017" t="s">
        <v>193</v>
      </c>
      <c r="C3017" t="s">
        <v>77</v>
      </c>
      <c r="D3017">
        <v>0</v>
      </c>
      <c r="E3017">
        <v>0</v>
      </c>
      <c r="F3017">
        <v>0</v>
      </c>
      <c r="G3017" s="10">
        <f t="shared" ref="G3017:G3032" si="47">AVERAGE($D3017:$F3017)</f>
        <v>0</v>
      </c>
      <c r="H3017" t="str">
        <f>$A3017&amp;Keys!$C$54&amp;$B3017&amp;Keys!$C$54&amp;$C3017</f>
        <v>WY|exports|wind (is not a fuel)</v>
      </c>
    </row>
    <row r="3018" spans="1:8" x14ac:dyDescent="0.25">
      <c r="A3018" t="s">
        <v>177</v>
      </c>
      <c r="B3018" t="s">
        <v>193</v>
      </c>
      <c r="C3018" t="s">
        <v>80</v>
      </c>
      <c r="D3018">
        <v>0</v>
      </c>
      <c r="E3018">
        <v>0</v>
      </c>
      <c r="F3018">
        <v>0</v>
      </c>
      <c r="G3018" s="10">
        <f t="shared" si="47"/>
        <v>0</v>
      </c>
      <c r="H3018" t="str">
        <f>$A3018&amp;Keys!$C$54&amp;$B3018&amp;Keys!$C$54&amp;$C3018</f>
        <v>WY|exports|solar (is not a fuel)</v>
      </c>
    </row>
    <row r="3019" spans="1:8" x14ac:dyDescent="0.25">
      <c r="A3019" t="s">
        <v>177</v>
      </c>
      <c r="B3019" t="s">
        <v>193</v>
      </c>
      <c r="C3019" t="s">
        <v>82</v>
      </c>
      <c r="D3019">
        <v>0</v>
      </c>
      <c r="E3019">
        <v>0</v>
      </c>
      <c r="F3019">
        <v>0</v>
      </c>
      <c r="G3019" s="10">
        <f t="shared" si="47"/>
        <v>0</v>
      </c>
      <c r="H3019" t="str">
        <f>$A3019&amp;Keys!$C$54&amp;$B3019&amp;Keys!$C$54&amp;$C3019</f>
        <v>WY|exports|biomass</v>
      </c>
    </row>
    <row r="3020" spans="1:8" x14ac:dyDescent="0.25">
      <c r="A3020" t="s">
        <v>177</v>
      </c>
      <c r="B3020" t="s">
        <v>193</v>
      </c>
      <c r="C3020" t="s">
        <v>85</v>
      </c>
      <c r="D3020">
        <v>0</v>
      </c>
      <c r="E3020">
        <v>87220000000000</v>
      </c>
      <c r="F3020">
        <v>84821700000000</v>
      </c>
      <c r="G3020" s="10">
        <f t="shared" si="47"/>
        <v>57347233333333.336</v>
      </c>
      <c r="H3020" t="str">
        <f>$A3020&amp;Keys!$C$54&amp;$B3020&amp;Keys!$C$54&amp;$C3020</f>
        <v>WY|exports|petroleum gasoline</v>
      </c>
    </row>
    <row r="3021" spans="1:8" x14ac:dyDescent="0.25">
      <c r="A3021" t="s">
        <v>177</v>
      </c>
      <c r="B3021" t="s">
        <v>193</v>
      </c>
      <c r="C3021" t="s">
        <v>88</v>
      </c>
      <c r="D3021">
        <v>799771000000</v>
      </c>
      <c r="E3021">
        <v>799771000000</v>
      </c>
      <c r="F3021">
        <v>780386000000</v>
      </c>
      <c r="G3021" s="10">
        <f t="shared" si="47"/>
        <v>793309333333.33337</v>
      </c>
      <c r="H3021" t="str">
        <f>$A3021&amp;Keys!$C$54&amp;$B3021&amp;Keys!$C$54&amp;$C3021</f>
        <v>WY|exports|petroleum diesel</v>
      </c>
    </row>
    <row r="3022" spans="1:8" x14ac:dyDescent="0.25">
      <c r="A3022" t="s">
        <v>177</v>
      </c>
      <c r="B3022" t="s">
        <v>193</v>
      </c>
      <c r="C3022" t="s">
        <v>91</v>
      </c>
      <c r="D3022">
        <v>0</v>
      </c>
      <c r="E3022">
        <v>0</v>
      </c>
      <c r="F3022">
        <v>0</v>
      </c>
      <c r="G3022" s="10">
        <f t="shared" si="47"/>
        <v>0</v>
      </c>
      <c r="H3022" t="str">
        <f>$A3022&amp;Keys!$C$54&amp;$B3022&amp;Keys!$C$54&amp;$C3022</f>
        <v>WY|exports|biofuel gasoline</v>
      </c>
    </row>
    <row r="3023" spans="1:8" x14ac:dyDescent="0.25">
      <c r="A3023" t="s">
        <v>177</v>
      </c>
      <c r="B3023" t="s">
        <v>193</v>
      </c>
      <c r="C3023" t="s">
        <v>94</v>
      </c>
      <c r="D3023">
        <v>2671110000000</v>
      </c>
      <c r="E3023">
        <v>2671110000000</v>
      </c>
      <c r="F3023">
        <v>3172910000000</v>
      </c>
      <c r="G3023" s="10">
        <f t="shared" si="47"/>
        <v>2838376666666.6665</v>
      </c>
      <c r="H3023" t="str">
        <f>$A3023&amp;Keys!$C$54&amp;$B3023&amp;Keys!$C$54&amp;$C3023</f>
        <v>WY|exports|biofuel diesel</v>
      </c>
    </row>
    <row r="3024" spans="1:8" x14ac:dyDescent="0.25">
      <c r="A3024" t="s">
        <v>177</v>
      </c>
      <c r="B3024" t="s">
        <v>193</v>
      </c>
      <c r="C3024" t="s">
        <v>97</v>
      </c>
      <c r="D3024">
        <v>126677000000</v>
      </c>
      <c r="E3024">
        <v>22942500000000</v>
      </c>
      <c r="F3024">
        <v>22316400000000</v>
      </c>
      <c r="G3024" s="10">
        <f t="shared" si="47"/>
        <v>15128525666666.666</v>
      </c>
      <c r="H3024" t="str">
        <f>$A3024&amp;Keys!$C$54&amp;$B3024&amp;Keys!$C$54&amp;$C3024</f>
        <v>WY|exports|jet fuel or kerosene</v>
      </c>
    </row>
    <row r="3025" spans="1:8" x14ac:dyDescent="0.25">
      <c r="A3025" t="s">
        <v>177</v>
      </c>
      <c r="B3025" t="s">
        <v>193</v>
      </c>
      <c r="C3025" t="s">
        <v>100</v>
      </c>
      <c r="D3025">
        <v>0</v>
      </c>
      <c r="E3025">
        <v>0</v>
      </c>
      <c r="F3025">
        <v>0</v>
      </c>
      <c r="G3025" s="10">
        <f t="shared" si="47"/>
        <v>0</v>
      </c>
      <c r="H3025" t="str">
        <f>$A3025&amp;Keys!$C$54&amp;$B3025&amp;Keys!$C$54&amp;$C3025</f>
        <v>WY|exports|heat (not used in this variable)</v>
      </c>
    </row>
    <row r="3026" spans="1:8" x14ac:dyDescent="0.25">
      <c r="A3026" t="s">
        <v>177</v>
      </c>
      <c r="B3026" t="s">
        <v>193</v>
      </c>
      <c r="C3026" t="s">
        <v>103</v>
      </c>
      <c r="D3026">
        <v>0</v>
      </c>
      <c r="E3026">
        <v>0</v>
      </c>
      <c r="F3026">
        <v>0</v>
      </c>
      <c r="G3026" s="10">
        <f t="shared" si="47"/>
        <v>0</v>
      </c>
      <c r="H3026" t="str">
        <f>$A3026&amp;Keys!$C$54&amp;$B3026&amp;Keys!$C$54&amp;$C3026</f>
        <v>WY|exports|geothermal (is not a fuel)</v>
      </c>
    </row>
    <row r="3027" spans="1:8" x14ac:dyDescent="0.25">
      <c r="A3027" t="s">
        <v>177</v>
      </c>
      <c r="B3027" t="s">
        <v>193</v>
      </c>
      <c r="C3027" t="s">
        <v>106</v>
      </c>
      <c r="D3027">
        <v>0</v>
      </c>
      <c r="E3027">
        <v>0</v>
      </c>
      <c r="F3027">
        <v>0</v>
      </c>
      <c r="G3027" s="10">
        <f t="shared" si="47"/>
        <v>0</v>
      </c>
      <c r="H3027" t="str">
        <f>$A3027&amp;Keys!$C$54&amp;$B3027&amp;Keys!$C$54&amp;$C3027</f>
        <v>WY|exports|lignite</v>
      </c>
    </row>
    <row r="3028" spans="1:8" x14ac:dyDescent="0.25">
      <c r="A3028" t="s">
        <v>177</v>
      </c>
      <c r="B3028" t="s">
        <v>193</v>
      </c>
      <c r="C3028" t="s">
        <v>109</v>
      </c>
      <c r="D3028">
        <v>0</v>
      </c>
      <c r="E3028">
        <v>358440000000000</v>
      </c>
      <c r="F3028">
        <v>347166000000000</v>
      </c>
      <c r="G3028" s="10">
        <f t="shared" si="47"/>
        <v>235202000000000</v>
      </c>
      <c r="H3028" t="str">
        <f>$A3028&amp;Keys!$C$54&amp;$B3028&amp;Keys!$C$54&amp;$C3028</f>
        <v>WY|exports|crude oil</v>
      </c>
    </row>
    <row r="3029" spans="1:8" x14ac:dyDescent="0.25">
      <c r="A3029" t="s">
        <v>177</v>
      </c>
      <c r="B3029" t="s">
        <v>193</v>
      </c>
      <c r="C3029" t="s">
        <v>113</v>
      </c>
      <c r="D3029">
        <v>91324500000</v>
      </c>
      <c r="E3029">
        <v>91324500000</v>
      </c>
      <c r="F3029">
        <v>89110900000</v>
      </c>
      <c r="G3029" s="10">
        <f t="shared" si="47"/>
        <v>90586633333.333328</v>
      </c>
      <c r="H3029" t="str">
        <f>$A3029&amp;Keys!$C$54&amp;$B3029&amp;Keys!$C$54&amp;$C3029</f>
        <v>WY|exports|heavy fuel oil</v>
      </c>
    </row>
    <row r="3030" spans="1:8" x14ac:dyDescent="0.25">
      <c r="A3030" t="s">
        <v>177</v>
      </c>
      <c r="B3030" t="s">
        <v>193</v>
      </c>
      <c r="C3030" t="s">
        <v>117</v>
      </c>
      <c r="D3030">
        <v>0</v>
      </c>
      <c r="E3030">
        <v>120826000000000</v>
      </c>
      <c r="F3030">
        <v>123554000000000</v>
      </c>
      <c r="G3030" s="10">
        <f t="shared" si="47"/>
        <v>81460000000000</v>
      </c>
      <c r="H3030" t="str">
        <f>$A3030&amp;Keys!$C$54&amp;$B3030&amp;Keys!$C$54&amp;$C3030</f>
        <v>WY|exports|LPG propane or butane</v>
      </c>
    </row>
    <row r="3031" spans="1:8" x14ac:dyDescent="0.25">
      <c r="A3031" t="s">
        <v>177</v>
      </c>
      <c r="B3031" t="s">
        <v>193</v>
      </c>
      <c r="C3031" t="s">
        <v>120</v>
      </c>
      <c r="D3031">
        <v>0</v>
      </c>
      <c r="E3031">
        <v>0</v>
      </c>
      <c r="F3031">
        <v>0</v>
      </c>
      <c r="G3031" s="10">
        <f t="shared" si="47"/>
        <v>0</v>
      </c>
      <c r="H3031" t="str">
        <f>$A3031&amp;Keys!$C$54&amp;$B3031&amp;Keys!$C$54&amp;$C3031</f>
        <v>WY|exports|municipal solid waste</v>
      </c>
    </row>
    <row r="3032" spans="1:8" x14ac:dyDescent="0.25">
      <c r="A3032" t="s">
        <v>177</v>
      </c>
      <c r="B3032" t="s">
        <v>193</v>
      </c>
      <c r="C3032" t="s">
        <v>123</v>
      </c>
      <c r="D3032">
        <v>0</v>
      </c>
      <c r="E3032">
        <v>953160000000</v>
      </c>
      <c r="F3032">
        <v>642847000000</v>
      </c>
      <c r="G3032" s="10">
        <f t="shared" si="47"/>
        <v>532002333333.33331</v>
      </c>
      <c r="H3032" t="str">
        <f>$A3032&amp;Keys!$C$54&amp;$B3032&amp;Keys!$C$54&amp;$C3032</f>
        <v>WY|exports|hydrogen</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3032"/>
  <sheetViews>
    <sheetView workbookViewId="0"/>
  </sheetViews>
  <sheetFormatPr defaultRowHeight="15" x14ac:dyDescent="0.25"/>
  <cols>
    <col min="1" max="1" width="8" customWidth="1"/>
    <col min="2" max="2" width="12" customWidth="1"/>
    <col min="3" max="3" width="30" customWidth="1"/>
    <col min="4" max="4" width="16" customWidth="1"/>
    <col min="5" max="5" width="40" customWidth="1"/>
  </cols>
  <sheetData>
    <row r="1" spans="1:5" x14ac:dyDescent="0.25">
      <c r="A1" s="7" t="s">
        <v>265</v>
      </c>
    </row>
    <row r="2" spans="1:5" x14ac:dyDescent="0.25">
      <c r="A2" s="9" t="s">
        <v>266</v>
      </c>
    </row>
    <row r="3" spans="1:5" x14ac:dyDescent="0.25">
      <c r="A3" s="9" t="s">
        <v>267</v>
      </c>
    </row>
    <row r="4" spans="1:5" x14ac:dyDescent="0.25">
      <c r="A4" s="9" t="s">
        <v>268</v>
      </c>
    </row>
    <row r="5" spans="1:5" x14ac:dyDescent="0.25">
      <c r="A5" s="9" t="s">
        <v>269</v>
      </c>
    </row>
    <row r="6" spans="1:5" x14ac:dyDescent="0.25">
      <c r="A6" s="9" t="s">
        <v>270</v>
      </c>
    </row>
    <row r="8" spans="1:5" ht="44.1" customHeight="1" x14ac:dyDescent="0.25">
      <c r="A8" s="5" t="s">
        <v>257</v>
      </c>
      <c r="B8" s="5" t="s">
        <v>258</v>
      </c>
      <c r="C8" s="5" t="s">
        <v>259</v>
      </c>
      <c r="D8" s="5" t="s">
        <v>271</v>
      </c>
      <c r="E8" s="5" t="s">
        <v>264</v>
      </c>
    </row>
    <row r="9" spans="1:5" x14ac:dyDescent="0.25">
      <c r="A9" t="s">
        <v>58</v>
      </c>
      <c r="B9" t="s">
        <v>188</v>
      </c>
      <c r="C9" t="s">
        <v>272</v>
      </c>
      <c r="D9" s="10">
        <v>0</v>
      </c>
      <c r="E9" t="str">
        <f>$A9&amp;Keys!$C$54&amp;$B9&amp;Keys!$C$54&amp;$C9</f>
        <v>AL|production|electricity</v>
      </c>
    </row>
    <row r="10" spans="1:5" x14ac:dyDescent="0.25">
      <c r="A10" t="s">
        <v>58</v>
      </c>
      <c r="B10" t="s">
        <v>191</v>
      </c>
      <c r="C10" t="s">
        <v>272</v>
      </c>
      <c r="D10" s="10">
        <v>0</v>
      </c>
      <c r="E10" t="str">
        <f>$A10&amp;Keys!$C$54&amp;$B10&amp;Keys!$C$54&amp;$C10</f>
        <v>AL|imports|electricity</v>
      </c>
    </row>
    <row r="11" spans="1:5" x14ac:dyDescent="0.25">
      <c r="A11" t="s">
        <v>58</v>
      </c>
      <c r="B11" t="s">
        <v>193</v>
      </c>
      <c r="C11" t="s">
        <v>272</v>
      </c>
      <c r="D11" s="10">
        <v>0</v>
      </c>
      <c r="E11" t="str">
        <f>$A11&amp;Keys!$C$54&amp;$B11&amp;Keys!$C$54&amp;$C11</f>
        <v>AL|exports|electricity</v>
      </c>
    </row>
    <row r="12" spans="1:5" x14ac:dyDescent="0.25">
      <c r="A12" t="s">
        <v>58</v>
      </c>
      <c r="B12" t="s">
        <v>188</v>
      </c>
      <c r="C12" t="s">
        <v>64</v>
      </c>
      <c r="D12" s="10">
        <v>294838000000000</v>
      </c>
      <c r="E12" t="str">
        <f>$A12&amp;Keys!$C$54&amp;$B12&amp;Keys!$C$54&amp;$C12</f>
        <v>AL|production|hard coal</v>
      </c>
    </row>
    <row r="13" spans="1:5" x14ac:dyDescent="0.25">
      <c r="A13" t="s">
        <v>58</v>
      </c>
      <c r="B13" t="s">
        <v>191</v>
      </c>
      <c r="C13" t="s">
        <v>64</v>
      </c>
      <c r="D13" s="10">
        <v>75813100000000</v>
      </c>
      <c r="E13" t="str">
        <f>$A13&amp;Keys!$C$54&amp;$B13&amp;Keys!$C$54&amp;$C13</f>
        <v>AL|imports|hard coal</v>
      </c>
    </row>
    <row r="14" spans="1:5" x14ac:dyDescent="0.25">
      <c r="A14" t="s">
        <v>58</v>
      </c>
      <c r="B14" t="s">
        <v>193</v>
      </c>
      <c r="C14" t="s">
        <v>64</v>
      </c>
      <c r="D14" s="10">
        <v>45989100000000</v>
      </c>
      <c r="E14" t="str">
        <f>$A14&amp;Keys!$C$54&amp;$B14&amp;Keys!$C$54&amp;$C14</f>
        <v>AL|exports|hard coal</v>
      </c>
    </row>
    <row r="15" spans="1:5" x14ac:dyDescent="0.25">
      <c r="A15" t="s">
        <v>58</v>
      </c>
      <c r="B15" t="s">
        <v>188</v>
      </c>
      <c r="C15" t="s">
        <v>68</v>
      </c>
      <c r="D15" s="10">
        <v>76628100000000</v>
      </c>
      <c r="E15" t="str">
        <f>$A15&amp;Keys!$C$54&amp;$B15&amp;Keys!$C$54&amp;$C15</f>
        <v>AL|production|natural gas</v>
      </c>
    </row>
    <row r="16" spans="1:5" x14ac:dyDescent="0.25">
      <c r="A16" t="s">
        <v>58</v>
      </c>
      <c r="B16" t="s">
        <v>191</v>
      </c>
      <c r="C16" t="s">
        <v>68</v>
      </c>
      <c r="D16" s="10">
        <v>4758490000000000</v>
      </c>
      <c r="E16" t="str">
        <f>$A16&amp;Keys!$C$54&amp;$B16&amp;Keys!$C$54&amp;$C16</f>
        <v>AL|imports|natural gas</v>
      </c>
    </row>
    <row r="17" spans="1:5" x14ac:dyDescent="0.25">
      <c r="A17" t="s">
        <v>58</v>
      </c>
      <c r="B17" t="s">
        <v>193</v>
      </c>
      <c r="C17" t="s">
        <v>68</v>
      </c>
      <c r="D17" s="10">
        <v>4112610000000000</v>
      </c>
      <c r="E17" t="str">
        <f>$A17&amp;Keys!$C$54&amp;$B17&amp;Keys!$C$54&amp;$C17</f>
        <v>AL|exports|natural gas</v>
      </c>
    </row>
    <row r="18" spans="1:5" x14ac:dyDescent="0.25">
      <c r="A18" t="s">
        <v>58</v>
      </c>
      <c r="B18" t="s">
        <v>188</v>
      </c>
      <c r="C18" t="s">
        <v>71</v>
      </c>
      <c r="D18" s="10">
        <v>0</v>
      </c>
      <c r="E18" t="str">
        <f>$A18&amp;Keys!$C$54&amp;$B18&amp;Keys!$C$54&amp;$C18</f>
        <v>AL|production|nuclear</v>
      </c>
    </row>
    <row r="19" spans="1:5" x14ac:dyDescent="0.25">
      <c r="A19" t="s">
        <v>58</v>
      </c>
      <c r="B19" t="s">
        <v>191</v>
      </c>
      <c r="C19" t="s">
        <v>71</v>
      </c>
      <c r="D19" s="10">
        <v>445614000000000</v>
      </c>
      <c r="E19" t="str">
        <f>$A19&amp;Keys!$C$54&amp;$B19&amp;Keys!$C$54&amp;$C19</f>
        <v>AL|imports|nuclear</v>
      </c>
    </row>
    <row r="20" spans="1:5" x14ac:dyDescent="0.25">
      <c r="A20" t="s">
        <v>58</v>
      </c>
      <c r="B20" t="s">
        <v>193</v>
      </c>
      <c r="C20" t="s">
        <v>71</v>
      </c>
      <c r="D20" s="10">
        <v>0</v>
      </c>
      <c r="E20" t="str">
        <f>$A20&amp;Keys!$C$54&amp;$B20&amp;Keys!$C$54&amp;$C20</f>
        <v>AL|exports|nuclear</v>
      </c>
    </row>
    <row r="21" spans="1:5" x14ac:dyDescent="0.25">
      <c r="A21" t="s">
        <v>58</v>
      </c>
      <c r="B21" t="s">
        <v>188</v>
      </c>
      <c r="C21" t="s">
        <v>273</v>
      </c>
      <c r="D21" s="10">
        <v>0</v>
      </c>
      <c r="E21" t="str">
        <f>$A21&amp;Keys!$C$54&amp;$B21&amp;Keys!$C$54&amp;$C21</f>
        <v>AL|production|hydro</v>
      </c>
    </row>
    <row r="22" spans="1:5" x14ac:dyDescent="0.25">
      <c r="A22" t="s">
        <v>58</v>
      </c>
      <c r="B22" t="s">
        <v>191</v>
      </c>
      <c r="C22" t="s">
        <v>273</v>
      </c>
      <c r="D22" s="10">
        <v>0</v>
      </c>
      <c r="E22" t="str">
        <f>$A22&amp;Keys!$C$54&amp;$B22&amp;Keys!$C$54&amp;$C22</f>
        <v>AL|imports|hydro</v>
      </c>
    </row>
    <row r="23" spans="1:5" x14ac:dyDescent="0.25">
      <c r="A23" t="s">
        <v>58</v>
      </c>
      <c r="B23" t="s">
        <v>193</v>
      </c>
      <c r="C23" t="s">
        <v>273</v>
      </c>
      <c r="D23" s="10">
        <v>0</v>
      </c>
      <c r="E23" t="str">
        <f>$A23&amp;Keys!$C$54&amp;$B23&amp;Keys!$C$54&amp;$C23</f>
        <v>AL|exports|hydro</v>
      </c>
    </row>
    <row r="24" spans="1:5" x14ac:dyDescent="0.25">
      <c r="A24" t="s">
        <v>58</v>
      </c>
      <c r="B24" t="s">
        <v>188</v>
      </c>
      <c r="C24" t="s">
        <v>274</v>
      </c>
      <c r="D24" s="10">
        <v>0</v>
      </c>
      <c r="E24" t="str">
        <f>$A24&amp;Keys!$C$54&amp;$B24&amp;Keys!$C$54&amp;$C24</f>
        <v>AL|production|wind</v>
      </c>
    </row>
    <row r="25" spans="1:5" x14ac:dyDescent="0.25">
      <c r="A25" t="s">
        <v>58</v>
      </c>
      <c r="B25" t="s">
        <v>191</v>
      </c>
      <c r="C25" t="s">
        <v>274</v>
      </c>
      <c r="D25" s="10">
        <v>0</v>
      </c>
      <c r="E25" t="str">
        <f>$A25&amp;Keys!$C$54&amp;$B25&amp;Keys!$C$54&amp;$C25</f>
        <v>AL|imports|wind</v>
      </c>
    </row>
    <row r="26" spans="1:5" x14ac:dyDescent="0.25">
      <c r="A26" t="s">
        <v>58</v>
      </c>
      <c r="B26" t="s">
        <v>193</v>
      </c>
      <c r="C26" t="s">
        <v>274</v>
      </c>
      <c r="D26" s="10">
        <v>0</v>
      </c>
      <c r="E26" t="str">
        <f>$A26&amp;Keys!$C$54&amp;$B26&amp;Keys!$C$54&amp;$C26</f>
        <v>AL|exports|wind</v>
      </c>
    </row>
    <row r="27" spans="1:5" x14ac:dyDescent="0.25">
      <c r="A27" t="s">
        <v>58</v>
      </c>
      <c r="B27" t="s">
        <v>188</v>
      </c>
      <c r="C27" t="s">
        <v>275</v>
      </c>
      <c r="D27" s="10">
        <v>0</v>
      </c>
      <c r="E27" t="str">
        <f>$A27&amp;Keys!$C$54&amp;$B27&amp;Keys!$C$54&amp;$C27</f>
        <v>AL|production|solar</v>
      </c>
    </row>
    <row r="28" spans="1:5" x14ac:dyDescent="0.25">
      <c r="A28" t="s">
        <v>58</v>
      </c>
      <c r="B28" t="s">
        <v>191</v>
      </c>
      <c r="C28" t="s">
        <v>275</v>
      </c>
      <c r="D28" s="10">
        <v>0</v>
      </c>
      <c r="E28" t="str">
        <f>$A28&amp;Keys!$C$54&amp;$B28&amp;Keys!$C$54&amp;$C28</f>
        <v>AL|imports|solar</v>
      </c>
    </row>
    <row r="29" spans="1:5" x14ac:dyDescent="0.25">
      <c r="A29" t="s">
        <v>58</v>
      </c>
      <c r="B29" t="s">
        <v>193</v>
      </c>
      <c r="C29" t="s">
        <v>275</v>
      </c>
      <c r="D29" s="10">
        <v>0</v>
      </c>
      <c r="E29" t="str">
        <f>$A29&amp;Keys!$C$54&amp;$B29&amp;Keys!$C$54&amp;$C29</f>
        <v>AL|exports|solar</v>
      </c>
    </row>
    <row r="30" spans="1:5" x14ac:dyDescent="0.25">
      <c r="A30" t="s">
        <v>58</v>
      </c>
      <c r="B30" t="s">
        <v>188</v>
      </c>
      <c r="C30" t="s">
        <v>82</v>
      </c>
      <c r="D30" s="10">
        <v>13897400000000</v>
      </c>
      <c r="E30" t="str">
        <f>$A30&amp;Keys!$C$54&amp;$B30&amp;Keys!$C$54&amp;$C30</f>
        <v>AL|production|biomass</v>
      </c>
    </row>
    <row r="31" spans="1:5" x14ac:dyDescent="0.25">
      <c r="A31" t="s">
        <v>58</v>
      </c>
      <c r="B31" t="s">
        <v>191</v>
      </c>
      <c r="C31" t="s">
        <v>82</v>
      </c>
      <c r="D31" s="10">
        <v>158106000000000</v>
      </c>
      <c r="E31" t="str">
        <f>$A31&amp;Keys!$C$54&amp;$B31&amp;Keys!$C$54&amp;$C31</f>
        <v>AL|imports|biomass</v>
      </c>
    </row>
    <row r="32" spans="1:5" x14ac:dyDescent="0.25">
      <c r="A32" t="s">
        <v>58</v>
      </c>
      <c r="B32" t="s">
        <v>193</v>
      </c>
      <c r="C32" t="s">
        <v>82</v>
      </c>
      <c r="D32" s="10">
        <v>0</v>
      </c>
      <c r="E32" t="str">
        <f>$A32&amp;Keys!$C$54&amp;$B32&amp;Keys!$C$54&amp;$C32</f>
        <v>AL|exports|biomass</v>
      </c>
    </row>
    <row r="33" spans="1:5" x14ac:dyDescent="0.25">
      <c r="A33" t="s">
        <v>58</v>
      </c>
      <c r="B33" t="s">
        <v>188</v>
      </c>
      <c r="C33" t="s">
        <v>85</v>
      </c>
      <c r="D33" s="10">
        <v>137908000000000</v>
      </c>
      <c r="E33" t="str">
        <f>$A33&amp;Keys!$C$54&amp;$B33&amp;Keys!$C$54&amp;$C33</f>
        <v>AL|production|petroleum gasoline</v>
      </c>
    </row>
    <row r="34" spans="1:5" x14ac:dyDescent="0.25">
      <c r="A34" t="s">
        <v>58</v>
      </c>
      <c r="B34" t="s">
        <v>191</v>
      </c>
      <c r="C34" t="s">
        <v>85</v>
      </c>
      <c r="D34" s="10">
        <v>216640000000000</v>
      </c>
      <c r="E34" t="str">
        <f>$A34&amp;Keys!$C$54&amp;$B34&amp;Keys!$C$54&amp;$C34</f>
        <v>AL|imports|petroleum gasoline</v>
      </c>
    </row>
    <row r="35" spans="1:5" x14ac:dyDescent="0.25">
      <c r="A35" t="s">
        <v>58</v>
      </c>
      <c r="B35" t="s">
        <v>193</v>
      </c>
      <c r="C35" t="s">
        <v>85</v>
      </c>
      <c r="D35" s="10">
        <v>0</v>
      </c>
      <c r="E35" t="str">
        <f>$A35&amp;Keys!$C$54&amp;$B35&amp;Keys!$C$54&amp;$C35</f>
        <v>AL|exports|petroleum gasoline</v>
      </c>
    </row>
    <row r="36" spans="1:5" x14ac:dyDescent="0.25">
      <c r="A36" t="s">
        <v>58</v>
      </c>
      <c r="B36" t="s">
        <v>188</v>
      </c>
      <c r="C36" t="s">
        <v>88</v>
      </c>
      <c r="D36" s="10">
        <v>81574700000000</v>
      </c>
      <c r="E36" t="str">
        <f>$A36&amp;Keys!$C$54&amp;$B36&amp;Keys!$C$54&amp;$C36</f>
        <v>AL|production|petroleum diesel</v>
      </c>
    </row>
    <row r="37" spans="1:5" x14ac:dyDescent="0.25">
      <c r="A37" t="s">
        <v>58</v>
      </c>
      <c r="B37" t="s">
        <v>191</v>
      </c>
      <c r="C37" t="s">
        <v>88</v>
      </c>
      <c r="D37" s="10">
        <v>99160900000000</v>
      </c>
      <c r="E37" t="str">
        <f>$A37&amp;Keys!$C$54&amp;$B37&amp;Keys!$C$54&amp;$C37</f>
        <v>AL|imports|petroleum diesel</v>
      </c>
    </row>
    <row r="38" spans="1:5" x14ac:dyDescent="0.25">
      <c r="A38" t="s">
        <v>58</v>
      </c>
      <c r="B38" t="s">
        <v>193</v>
      </c>
      <c r="C38" t="s">
        <v>88</v>
      </c>
      <c r="D38" s="10">
        <v>17761500000000</v>
      </c>
      <c r="E38" t="str">
        <f>$A38&amp;Keys!$C$54&amp;$B38&amp;Keys!$C$54&amp;$C38</f>
        <v>AL|exports|petroleum diesel</v>
      </c>
    </row>
    <row r="39" spans="1:5" x14ac:dyDescent="0.25">
      <c r="A39" t="s">
        <v>58</v>
      </c>
      <c r="B39" t="s">
        <v>188</v>
      </c>
      <c r="C39" t="s">
        <v>91</v>
      </c>
      <c r="D39" s="10">
        <v>0</v>
      </c>
      <c r="E39" t="str">
        <f>$A39&amp;Keys!$C$54&amp;$B39&amp;Keys!$C$54&amp;$C39</f>
        <v>AL|production|biofuel gasoline</v>
      </c>
    </row>
    <row r="40" spans="1:5" x14ac:dyDescent="0.25">
      <c r="A40" t="s">
        <v>58</v>
      </c>
      <c r="B40" t="s">
        <v>191</v>
      </c>
      <c r="C40" t="s">
        <v>91</v>
      </c>
      <c r="D40" s="10">
        <v>25214800000000</v>
      </c>
      <c r="E40" t="str">
        <f>$A40&amp;Keys!$C$54&amp;$B40&amp;Keys!$C$54&amp;$C40</f>
        <v>AL|imports|biofuel gasoline</v>
      </c>
    </row>
    <row r="41" spans="1:5" x14ac:dyDescent="0.25">
      <c r="A41" t="s">
        <v>58</v>
      </c>
      <c r="B41" t="s">
        <v>193</v>
      </c>
      <c r="C41" t="s">
        <v>91</v>
      </c>
      <c r="D41" s="10">
        <v>0</v>
      </c>
      <c r="E41" t="str">
        <f>$A41&amp;Keys!$C$54&amp;$B41&amp;Keys!$C$54&amp;$C41</f>
        <v>AL|exports|biofuel gasoline</v>
      </c>
    </row>
    <row r="42" spans="1:5" x14ac:dyDescent="0.25">
      <c r="A42" t="s">
        <v>58</v>
      </c>
      <c r="B42" t="s">
        <v>188</v>
      </c>
      <c r="C42" t="s">
        <v>94</v>
      </c>
      <c r="D42" s="10">
        <v>6007590000000</v>
      </c>
      <c r="E42" t="str">
        <f>$A42&amp;Keys!$C$54&amp;$B42&amp;Keys!$C$54&amp;$C42</f>
        <v>AL|production|biofuel diesel</v>
      </c>
    </row>
    <row r="43" spans="1:5" x14ac:dyDescent="0.25">
      <c r="A43" t="s">
        <v>58</v>
      </c>
      <c r="B43" t="s">
        <v>191</v>
      </c>
      <c r="C43" t="s">
        <v>94</v>
      </c>
      <c r="D43" s="10">
        <v>83777100000</v>
      </c>
      <c r="E43" t="str">
        <f>$A43&amp;Keys!$C$54&amp;$B43&amp;Keys!$C$54&amp;$C43</f>
        <v>AL|imports|biofuel diesel</v>
      </c>
    </row>
    <row r="44" spans="1:5" x14ac:dyDescent="0.25">
      <c r="A44" t="s">
        <v>58</v>
      </c>
      <c r="B44" t="s">
        <v>193</v>
      </c>
      <c r="C44" t="s">
        <v>94</v>
      </c>
      <c r="D44" s="10">
        <v>3014380000000</v>
      </c>
      <c r="E44" t="str">
        <f>$A44&amp;Keys!$C$54&amp;$B44&amp;Keys!$C$54&amp;$C44</f>
        <v>AL|exports|biofuel diesel</v>
      </c>
    </row>
    <row r="45" spans="1:5" x14ac:dyDescent="0.25">
      <c r="A45" t="s">
        <v>58</v>
      </c>
      <c r="B45" t="s">
        <v>188</v>
      </c>
      <c r="C45" t="s">
        <v>97</v>
      </c>
      <c r="D45" s="10">
        <v>29039000000000</v>
      </c>
      <c r="E45" t="str">
        <f>$A45&amp;Keys!$C$54&amp;$B45&amp;Keys!$C$54&amp;$C45</f>
        <v>AL|production|jet fuel or kerosene</v>
      </c>
    </row>
    <row r="46" spans="1:5" x14ac:dyDescent="0.25">
      <c r="A46" t="s">
        <v>58</v>
      </c>
      <c r="B46" t="s">
        <v>191</v>
      </c>
      <c r="C46" t="s">
        <v>97</v>
      </c>
      <c r="D46" s="10">
        <v>0</v>
      </c>
      <c r="E46" t="str">
        <f>$A46&amp;Keys!$C$54&amp;$B46&amp;Keys!$C$54&amp;$C46</f>
        <v>AL|imports|jet fuel or kerosene</v>
      </c>
    </row>
    <row r="47" spans="1:5" x14ac:dyDescent="0.25">
      <c r="A47" t="s">
        <v>58</v>
      </c>
      <c r="B47" t="s">
        <v>193</v>
      </c>
      <c r="C47" t="s">
        <v>97</v>
      </c>
      <c r="D47" s="10">
        <v>17827800000000</v>
      </c>
      <c r="E47" t="str">
        <f>$A47&amp;Keys!$C$54&amp;$B47&amp;Keys!$C$54&amp;$C47</f>
        <v>AL|exports|jet fuel or kerosene</v>
      </c>
    </row>
    <row r="48" spans="1:5" x14ac:dyDescent="0.25">
      <c r="A48" t="s">
        <v>58</v>
      </c>
      <c r="B48" t="s">
        <v>188</v>
      </c>
      <c r="C48" t="s">
        <v>276</v>
      </c>
      <c r="D48" s="10">
        <v>0</v>
      </c>
      <c r="E48" t="str">
        <f>$A48&amp;Keys!$C$54&amp;$B48&amp;Keys!$C$54&amp;$C48</f>
        <v>AL|production|heat</v>
      </c>
    </row>
    <row r="49" spans="1:5" x14ac:dyDescent="0.25">
      <c r="A49" t="s">
        <v>58</v>
      </c>
      <c r="B49" t="s">
        <v>191</v>
      </c>
      <c r="C49" t="s">
        <v>276</v>
      </c>
      <c r="D49" s="10">
        <v>0</v>
      </c>
      <c r="E49" t="str">
        <f>$A49&amp;Keys!$C$54&amp;$B49&amp;Keys!$C$54&amp;$C49</f>
        <v>AL|imports|heat</v>
      </c>
    </row>
    <row r="50" spans="1:5" x14ac:dyDescent="0.25">
      <c r="A50" t="s">
        <v>58</v>
      </c>
      <c r="B50" t="s">
        <v>193</v>
      </c>
      <c r="C50" t="s">
        <v>276</v>
      </c>
      <c r="D50" s="10">
        <v>0</v>
      </c>
      <c r="E50" t="str">
        <f>$A50&amp;Keys!$C$54&amp;$B50&amp;Keys!$C$54&amp;$C50</f>
        <v>AL|exports|heat</v>
      </c>
    </row>
    <row r="51" spans="1:5" x14ac:dyDescent="0.25">
      <c r="A51" t="s">
        <v>58</v>
      </c>
      <c r="B51" t="s">
        <v>188</v>
      </c>
      <c r="C51" t="s">
        <v>277</v>
      </c>
      <c r="D51" s="10">
        <v>0</v>
      </c>
      <c r="E51" t="str">
        <f>$A51&amp;Keys!$C$54&amp;$B51&amp;Keys!$C$54&amp;$C51</f>
        <v>AL|production|geothermal</v>
      </c>
    </row>
    <row r="52" spans="1:5" x14ac:dyDescent="0.25">
      <c r="A52" t="s">
        <v>58</v>
      </c>
      <c r="B52" t="s">
        <v>191</v>
      </c>
      <c r="C52" t="s">
        <v>277</v>
      </c>
      <c r="D52" s="10">
        <v>0</v>
      </c>
      <c r="E52" t="str">
        <f>$A52&amp;Keys!$C$54&amp;$B52&amp;Keys!$C$54&amp;$C52</f>
        <v>AL|imports|geothermal</v>
      </c>
    </row>
    <row r="53" spans="1:5" x14ac:dyDescent="0.25">
      <c r="A53" t="s">
        <v>58</v>
      </c>
      <c r="B53" t="s">
        <v>193</v>
      </c>
      <c r="C53" t="s">
        <v>277</v>
      </c>
      <c r="D53" s="10">
        <v>0</v>
      </c>
      <c r="E53" t="str">
        <f>$A53&amp;Keys!$C$54&amp;$B53&amp;Keys!$C$54&amp;$C53</f>
        <v>AL|exports|geothermal</v>
      </c>
    </row>
    <row r="54" spans="1:5" x14ac:dyDescent="0.25">
      <c r="A54" t="s">
        <v>58</v>
      </c>
      <c r="B54" t="s">
        <v>188</v>
      </c>
      <c r="C54" t="s">
        <v>106</v>
      </c>
      <c r="D54" s="10">
        <v>0</v>
      </c>
      <c r="E54" t="str">
        <f>$A54&amp;Keys!$C$54&amp;$B54&amp;Keys!$C$54&amp;$C54</f>
        <v>AL|production|lignite</v>
      </c>
    </row>
    <row r="55" spans="1:5" x14ac:dyDescent="0.25">
      <c r="A55" t="s">
        <v>58</v>
      </c>
      <c r="B55" t="s">
        <v>191</v>
      </c>
      <c r="C55" t="s">
        <v>106</v>
      </c>
      <c r="D55" s="10">
        <v>0</v>
      </c>
      <c r="E55" t="str">
        <f>$A55&amp;Keys!$C$54&amp;$B55&amp;Keys!$C$54&amp;$C55</f>
        <v>AL|imports|lignite</v>
      </c>
    </row>
    <row r="56" spans="1:5" x14ac:dyDescent="0.25">
      <c r="A56" t="s">
        <v>58</v>
      </c>
      <c r="B56" t="s">
        <v>193</v>
      </c>
      <c r="C56" t="s">
        <v>106</v>
      </c>
      <c r="D56" s="10">
        <v>0</v>
      </c>
      <c r="E56" t="str">
        <f>$A56&amp;Keys!$C$54&amp;$B56&amp;Keys!$C$54&amp;$C56</f>
        <v>AL|exports|lignite</v>
      </c>
    </row>
    <row r="57" spans="1:5" x14ac:dyDescent="0.25">
      <c r="A57" t="s">
        <v>58</v>
      </c>
      <c r="B57" t="s">
        <v>188</v>
      </c>
      <c r="C57" t="s">
        <v>109</v>
      </c>
      <c r="D57" s="10">
        <v>19470600000000</v>
      </c>
      <c r="E57" t="str">
        <f>$A57&amp;Keys!$C$54&amp;$B57&amp;Keys!$C$54&amp;$C57</f>
        <v>AL|production|crude oil</v>
      </c>
    </row>
    <row r="58" spans="1:5" x14ac:dyDescent="0.25">
      <c r="A58" t="s">
        <v>58</v>
      </c>
      <c r="B58" t="s">
        <v>191</v>
      </c>
      <c r="C58" t="s">
        <v>109</v>
      </c>
      <c r="D58" s="10">
        <v>258921000000000</v>
      </c>
      <c r="E58" t="str">
        <f>$A58&amp;Keys!$C$54&amp;$B58&amp;Keys!$C$54&amp;$C58</f>
        <v>AL|imports|crude oil</v>
      </c>
    </row>
    <row r="59" spans="1:5" x14ac:dyDescent="0.25">
      <c r="A59" t="s">
        <v>58</v>
      </c>
      <c r="B59" t="s">
        <v>193</v>
      </c>
      <c r="C59" t="s">
        <v>109</v>
      </c>
      <c r="D59" s="10">
        <v>0</v>
      </c>
      <c r="E59" t="str">
        <f>$A59&amp;Keys!$C$54&amp;$B59&amp;Keys!$C$54&amp;$C59</f>
        <v>AL|exports|crude oil</v>
      </c>
    </row>
    <row r="60" spans="1:5" x14ac:dyDescent="0.25">
      <c r="A60" t="s">
        <v>58</v>
      </c>
      <c r="B60" t="s">
        <v>188</v>
      </c>
      <c r="C60" t="s">
        <v>114</v>
      </c>
      <c r="D60" s="10">
        <v>5640910000000</v>
      </c>
      <c r="E60" t="str">
        <f>$A60&amp;Keys!$C$54&amp;$B60&amp;Keys!$C$54&amp;$C60</f>
        <v>AL|production|heavy or residual fuel oil</v>
      </c>
    </row>
    <row r="61" spans="1:5" x14ac:dyDescent="0.25">
      <c r="A61" t="s">
        <v>58</v>
      </c>
      <c r="B61" t="s">
        <v>191</v>
      </c>
      <c r="C61" t="s">
        <v>114</v>
      </c>
      <c r="D61" s="10">
        <v>17288700000000</v>
      </c>
      <c r="E61" t="str">
        <f>$A61&amp;Keys!$C$54&amp;$B61&amp;Keys!$C$54&amp;$C61</f>
        <v>AL|imports|heavy or residual fuel oil</v>
      </c>
    </row>
    <row r="62" spans="1:5" x14ac:dyDescent="0.25">
      <c r="A62" t="s">
        <v>58</v>
      </c>
      <c r="B62" t="s">
        <v>193</v>
      </c>
      <c r="C62" t="s">
        <v>114</v>
      </c>
      <c r="D62" s="10">
        <v>2028150000000</v>
      </c>
      <c r="E62" t="str">
        <f>$A62&amp;Keys!$C$54&amp;$B62&amp;Keys!$C$54&amp;$C62</f>
        <v>AL|exports|heavy or residual fuel oil</v>
      </c>
    </row>
    <row r="63" spans="1:5" x14ac:dyDescent="0.25">
      <c r="A63" t="s">
        <v>58</v>
      </c>
      <c r="B63" t="s">
        <v>188</v>
      </c>
      <c r="C63" t="s">
        <v>117</v>
      </c>
      <c r="D63" s="10">
        <v>9367740000000</v>
      </c>
      <c r="E63" t="str">
        <f>$A63&amp;Keys!$C$54&amp;$B63&amp;Keys!$C$54&amp;$C63</f>
        <v>AL|production|LPG propane or butane</v>
      </c>
    </row>
    <row r="64" spans="1:5" x14ac:dyDescent="0.25">
      <c r="A64" t="s">
        <v>58</v>
      </c>
      <c r="B64" t="s">
        <v>191</v>
      </c>
      <c r="C64" t="s">
        <v>117</v>
      </c>
      <c r="D64" s="10">
        <v>525808000000</v>
      </c>
      <c r="E64" t="str">
        <f>$A64&amp;Keys!$C$54&amp;$B64&amp;Keys!$C$54&amp;$C64</f>
        <v>AL|imports|LPG propane or butane</v>
      </c>
    </row>
    <row r="65" spans="1:5" x14ac:dyDescent="0.25">
      <c r="A65" t="s">
        <v>58</v>
      </c>
      <c r="B65" t="s">
        <v>193</v>
      </c>
      <c r="C65" t="s">
        <v>117</v>
      </c>
      <c r="D65" s="10">
        <v>0</v>
      </c>
      <c r="E65" t="str">
        <f>$A65&amp;Keys!$C$54&amp;$B65&amp;Keys!$C$54&amp;$C65</f>
        <v>AL|exports|LPG propane or butane</v>
      </c>
    </row>
    <row r="66" spans="1:5" x14ac:dyDescent="0.25">
      <c r="A66" t="s">
        <v>58</v>
      </c>
      <c r="B66" t="s">
        <v>188</v>
      </c>
      <c r="C66" t="s">
        <v>120</v>
      </c>
      <c r="D66" s="10">
        <v>0</v>
      </c>
      <c r="E66" t="str">
        <f>$A66&amp;Keys!$C$54&amp;$B66&amp;Keys!$C$54&amp;$C66</f>
        <v>AL|production|municipal solid waste</v>
      </c>
    </row>
    <row r="67" spans="1:5" x14ac:dyDescent="0.25">
      <c r="A67" t="s">
        <v>58</v>
      </c>
      <c r="B67" t="s">
        <v>191</v>
      </c>
      <c r="C67" t="s">
        <v>120</v>
      </c>
      <c r="D67" s="10">
        <v>0</v>
      </c>
      <c r="E67" t="str">
        <f>$A67&amp;Keys!$C$54&amp;$B67&amp;Keys!$C$54&amp;$C67</f>
        <v>AL|imports|municipal solid waste</v>
      </c>
    </row>
    <row r="68" spans="1:5" x14ac:dyDescent="0.25">
      <c r="A68" t="s">
        <v>58</v>
      </c>
      <c r="B68" t="s">
        <v>193</v>
      </c>
      <c r="C68" t="s">
        <v>120</v>
      </c>
      <c r="D68" s="10">
        <v>0</v>
      </c>
      <c r="E68" t="str">
        <f>$A68&amp;Keys!$C$54&amp;$B68&amp;Keys!$C$54&amp;$C68</f>
        <v>AL|exports|municipal solid waste</v>
      </c>
    </row>
    <row r="69" spans="1:5" x14ac:dyDescent="0.25">
      <c r="A69" t="s">
        <v>58</v>
      </c>
      <c r="B69" t="s">
        <v>188</v>
      </c>
      <c r="C69" t="s">
        <v>123</v>
      </c>
      <c r="D69" s="10">
        <v>5338120000000</v>
      </c>
      <c r="E69" t="str">
        <f>$A69&amp;Keys!$C$54&amp;$B69&amp;Keys!$C$54&amp;$C69</f>
        <v>AL|production|hydrogen</v>
      </c>
    </row>
    <row r="70" spans="1:5" x14ac:dyDescent="0.25">
      <c r="A70" t="s">
        <v>58</v>
      </c>
      <c r="B70" t="s">
        <v>191</v>
      </c>
      <c r="C70" t="s">
        <v>123</v>
      </c>
      <c r="D70" s="10">
        <v>353140000000</v>
      </c>
      <c r="E70" t="str">
        <f>$A70&amp;Keys!$C$54&amp;$B70&amp;Keys!$C$54&amp;$C70</f>
        <v>AL|imports|hydrogen</v>
      </c>
    </row>
    <row r="71" spans="1:5" x14ac:dyDescent="0.25">
      <c r="A71" t="s">
        <v>58</v>
      </c>
      <c r="B71" t="s">
        <v>193</v>
      </c>
      <c r="C71" t="s">
        <v>123</v>
      </c>
      <c r="D71" s="10">
        <v>0</v>
      </c>
      <c r="E71" t="str">
        <f>$A71&amp;Keys!$C$54&amp;$B71&amp;Keys!$C$54&amp;$C71</f>
        <v>AL|exports|hydrogen</v>
      </c>
    </row>
    <row r="72" spans="1:5" x14ac:dyDescent="0.25">
      <c r="A72" t="s">
        <v>63</v>
      </c>
      <c r="B72" t="s">
        <v>188</v>
      </c>
      <c r="C72" t="s">
        <v>272</v>
      </c>
      <c r="D72" s="10">
        <v>0</v>
      </c>
      <c r="E72" t="str">
        <f>$A72&amp;Keys!$C$54&amp;$B72&amp;Keys!$C$54&amp;$C72</f>
        <v>AR|production|electricity</v>
      </c>
    </row>
    <row r="73" spans="1:5" x14ac:dyDescent="0.25">
      <c r="A73" t="s">
        <v>63</v>
      </c>
      <c r="B73" t="s">
        <v>191</v>
      </c>
      <c r="C73" t="s">
        <v>272</v>
      </c>
      <c r="D73" s="10">
        <v>0</v>
      </c>
      <c r="E73" t="str">
        <f>$A73&amp;Keys!$C$54&amp;$B73&amp;Keys!$C$54&amp;$C73</f>
        <v>AR|imports|electricity</v>
      </c>
    </row>
    <row r="74" spans="1:5" x14ac:dyDescent="0.25">
      <c r="A74" t="s">
        <v>63</v>
      </c>
      <c r="B74" t="s">
        <v>193</v>
      </c>
      <c r="C74" t="s">
        <v>272</v>
      </c>
      <c r="D74" s="10">
        <v>0</v>
      </c>
      <c r="E74" t="str">
        <f>$A74&amp;Keys!$C$54&amp;$B74&amp;Keys!$C$54&amp;$C74</f>
        <v>AR|exports|electricity</v>
      </c>
    </row>
    <row r="75" spans="1:5" x14ac:dyDescent="0.25">
      <c r="A75" t="s">
        <v>63</v>
      </c>
      <c r="B75" t="s">
        <v>188</v>
      </c>
      <c r="C75" t="s">
        <v>64</v>
      </c>
      <c r="D75" s="10">
        <v>0</v>
      </c>
      <c r="E75" t="str">
        <f>$A75&amp;Keys!$C$54&amp;$B75&amp;Keys!$C$54&amp;$C75</f>
        <v>AR|production|hard coal</v>
      </c>
    </row>
    <row r="76" spans="1:5" x14ac:dyDescent="0.25">
      <c r="A76" t="s">
        <v>63</v>
      </c>
      <c r="B76" t="s">
        <v>191</v>
      </c>
      <c r="C76" t="s">
        <v>64</v>
      </c>
      <c r="D76" s="10">
        <v>285609000000000</v>
      </c>
      <c r="E76" t="str">
        <f>$A76&amp;Keys!$C$54&amp;$B76&amp;Keys!$C$54&amp;$C76</f>
        <v>AR|imports|hard coal</v>
      </c>
    </row>
    <row r="77" spans="1:5" x14ac:dyDescent="0.25">
      <c r="A77" t="s">
        <v>63</v>
      </c>
      <c r="B77" t="s">
        <v>193</v>
      </c>
      <c r="C77" t="s">
        <v>64</v>
      </c>
      <c r="D77" s="10">
        <v>0</v>
      </c>
      <c r="E77" t="str">
        <f>$A77&amp;Keys!$C$54&amp;$B77&amp;Keys!$C$54&amp;$C77</f>
        <v>AR|exports|hard coal</v>
      </c>
    </row>
    <row r="78" spans="1:5" x14ac:dyDescent="0.25">
      <c r="A78" t="s">
        <v>63</v>
      </c>
      <c r="B78" t="s">
        <v>188</v>
      </c>
      <c r="C78" t="s">
        <v>68</v>
      </c>
      <c r="D78" s="10">
        <v>368311000000000</v>
      </c>
      <c r="E78" t="str">
        <f>$A78&amp;Keys!$C$54&amp;$B78&amp;Keys!$C$54&amp;$C78</f>
        <v>AR|production|natural gas</v>
      </c>
    </row>
    <row r="79" spans="1:5" x14ac:dyDescent="0.25">
      <c r="A79" t="s">
        <v>63</v>
      </c>
      <c r="B79" t="s">
        <v>191</v>
      </c>
      <c r="C79" t="s">
        <v>68</v>
      </c>
      <c r="D79" s="10">
        <v>1148980000000000</v>
      </c>
      <c r="E79" t="str">
        <f>$A79&amp;Keys!$C$54&amp;$B79&amp;Keys!$C$54&amp;$C79</f>
        <v>AR|imports|natural gas</v>
      </c>
    </row>
    <row r="80" spans="1:5" x14ac:dyDescent="0.25">
      <c r="A80" t="s">
        <v>63</v>
      </c>
      <c r="B80" t="s">
        <v>193</v>
      </c>
      <c r="C80" t="s">
        <v>68</v>
      </c>
      <c r="D80" s="10">
        <v>1212640000000000</v>
      </c>
      <c r="E80" t="str">
        <f>$A80&amp;Keys!$C$54&amp;$B80&amp;Keys!$C$54&amp;$C80</f>
        <v>AR|exports|natural gas</v>
      </c>
    </row>
    <row r="81" spans="1:5" x14ac:dyDescent="0.25">
      <c r="A81" t="s">
        <v>63</v>
      </c>
      <c r="B81" t="s">
        <v>188</v>
      </c>
      <c r="C81" t="s">
        <v>71</v>
      </c>
      <c r="D81" s="10">
        <v>0</v>
      </c>
      <c r="E81" t="str">
        <f>$A81&amp;Keys!$C$54&amp;$B81&amp;Keys!$C$54&amp;$C81</f>
        <v>AR|production|nuclear</v>
      </c>
    </row>
    <row r="82" spans="1:5" x14ac:dyDescent="0.25">
      <c r="A82" t="s">
        <v>63</v>
      </c>
      <c r="B82" t="s">
        <v>191</v>
      </c>
      <c r="C82" t="s">
        <v>71</v>
      </c>
      <c r="D82" s="10">
        <v>159884000000000</v>
      </c>
      <c r="E82" t="str">
        <f>$A82&amp;Keys!$C$54&amp;$B82&amp;Keys!$C$54&amp;$C82</f>
        <v>AR|imports|nuclear</v>
      </c>
    </row>
    <row r="83" spans="1:5" x14ac:dyDescent="0.25">
      <c r="A83" t="s">
        <v>63</v>
      </c>
      <c r="B83" t="s">
        <v>193</v>
      </c>
      <c r="C83" t="s">
        <v>71</v>
      </c>
      <c r="D83" s="10">
        <v>0</v>
      </c>
      <c r="E83" t="str">
        <f>$A83&amp;Keys!$C$54&amp;$B83&amp;Keys!$C$54&amp;$C83</f>
        <v>AR|exports|nuclear</v>
      </c>
    </row>
    <row r="84" spans="1:5" x14ac:dyDescent="0.25">
      <c r="A84" t="s">
        <v>63</v>
      </c>
      <c r="B84" t="s">
        <v>188</v>
      </c>
      <c r="C84" t="s">
        <v>273</v>
      </c>
      <c r="D84" s="10">
        <v>0</v>
      </c>
      <c r="E84" t="str">
        <f>$A84&amp;Keys!$C$54&amp;$B84&amp;Keys!$C$54&amp;$C84</f>
        <v>AR|production|hydro</v>
      </c>
    </row>
    <row r="85" spans="1:5" x14ac:dyDescent="0.25">
      <c r="A85" t="s">
        <v>63</v>
      </c>
      <c r="B85" t="s">
        <v>191</v>
      </c>
      <c r="C85" t="s">
        <v>273</v>
      </c>
      <c r="D85" s="10">
        <v>0</v>
      </c>
      <c r="E85" t="str">
        <f>$A85&amp;Keys!$C$54&amp;$B85&amp;Keys!$C$54&amp;$C85</f>
        <v>AR|imports|hydro</v>
      </c>
    </row>
    <row r="86" spans="1:5" x14ac:dyDescent="0.25">
      <c r="A86" t="s">
        <v>63</v>
      </c>
      <c r="B86" t="s">
        <v>193</v>
      </c>
      <c r="C86" t="s">
        <v>273</v>
      </c>
      <c r="D86" s="10">
        <v>0</v>
      </c>
      <c r="E86" t="str">
        <f>$A86&amp;Keys!$C$54&amp;$B86&amp;Keys!$C$54&amp;$C86</f>
        <v>AR|exports|hydro</v>
      </c>
    </row>
    <row r="87" spans="1:5" x14ac:dyDescent="0.25">
      <c r="A87" t="s">
        <v>63</v>
      </c>
      <c r="B87" t="s">
        <v>188</v>
      </c>
      <c r="C87" t="s">
        <v>274</v>
      </c>
      <c r="D87" s="10">
        <v>0</v>
      </c>
      <c r="E87" t="str">
        <f>$A87&amp;Keys!$C$54&amp;$B87&amp;Keys!$C$54&amp;$C87</f>
        <v>AR|production|wind</v>
      </c>
    </row>
    <row r="88" spans="1:5" x14ac:dyDescent="0.25">
      <c r="A88" t="s">
        <v>63</v>
      </c>
      <c r="B88" t="s">
        <v>191</v>
      </c>
      <c r="C88" t="s">
        <v>274</v>
      </c>
      <c r="D88" s="10">
        <v>0</v>
      </c>
      <c r="E88" t="str">
        <f>$A88&amp;Keys!$C$54&amp;$B88&amp;Keys!$C$54&amp;$C88</f>
        <v>AR|imports|wind</v>
      </c>
    </row>
    <row r="89" spans="1:5" x14ac:dyDescent="0.25">
      <c r="A89" t="s">
        <v>63</v>
      </c>
      <c r="B89" t="s">
        <v>193</v>
      </c>
      <c r="C89" t="s">
        <v>274</v>
      </c>
      <c r="D89" s="10">
        <v>0</v>
      </c>
      <c r="E89" t="str">
        <f>$A89&amp;Keys!$C$54&amp;$B89&amp;Keys!$C$54&amp;$C89</f>
        <v>AR|exports|wind</v>
      </c>
    </row>
    <row r="90" spans="1:5" x14ac:dyDescent="0.25">
      <c r="A90" t="s">
        <v>63</v>
      </c>
      <c r="B90" t="s">
        <v>188</v>
      </c>
      <c r="C90" t="s">
        <v>275</v>
      </c>
      <c r="D90" s="10">
        <v>0</v>
      </c>
      <c r="E90" t="str">
        <f>$A90&amp;Keys!$C$54&amp;$B90&amp;Keys!$C$54&amp;$C90</f>
        <v>AR|production|solar</v>
      </c>
    </row>
    <row r="91" spans="1:5" x14ac:dyDescent="0.25">
      <c r="A91" t="s">
        <v>63</v>
      </c>
      <c r="B91" t="s">
        <v>191</v>
      </c>
      <c r="C91" t="s">
        <v>275</v>
      </c>
      <c r="D91" s="10">
        <v>0</v>
      </c>
      <c r="E91" t="str">
        <f>$A91&amp;Keys!$C$54&amp;$B91&amp;Keys!$C$54&amp;$C91</f>
        <v>AR|imports|solar</v>
      </c>
    </row>
    <row r="92" spans="1:5" x14ac:dyDescent="0.25">
      <c r="A92" t="s">
        <v>63</v>
      </c>
      <c r="B92" t="s">
        <v>193</v>
      </c>
      <c r="C92" t="s">
        <v>275</v>
      </c>
      <c r="D92" s="10">
        <v>0</v>
      </c>
      <c r="E92" t="str">
        <f>$A92&amp;Keys!$C$54&amp;$B92&amp;Keys!$C$54&amp;$C92</f>
        <v>AR|exports|solar</v>
      </c>
    </row>
    <row r="93" spans="1:5" x14ac:dyDescent="0.25">
      <c r="A93" t="s">
        <v>63</v>
      </c>
      <c r="B93" t="s">
        <v>188</v>
      </c>
      <c r="C93" t="s">
        <v>82</v>
      </c>
      <c r="D93" s="10">
        <v>14550500000000</v>
      </c>
      <c r="E93" t="str">
        <f>$A93&amp;Keys!$C$54&amp;$B93&amp;Keys!$C$54&amp;$C93</f>
        <v>AR|production|biomass</v>
      </c>
    </row>
    <row r="94" spans="1:5" x14ac:dyDescent="0.25">
      <c r="A94" t="s">
        <v>63</v>
      </c>
      <c r="B94" t="s">
        <v>191</v>
      </c>
      <c r="C94" t="s">
        <v>82</v>
      </c>
      <c r="D94" s="10">
        <v>49528500000000</v>
      </c>
      <c r="E94" t="str">
        <f>$A94&amp;Keys!$C$54&amp;$B94&amp;Keys!$C$54&amp;$C94</f>
        <v>AR|imports|biomass</v>
      </c>
    </row>
    <row r="95" spans="1:5" x14ac:dyDescent="0.25">
      <c r="A95" t="s">
        <v>63</v>
      </c>
      <c r="B95" t="s">
        <v>193</v>
      </c>
      <c r="C95" t="s">
        <v>82</v>
      </c>
      <c r="D95" s="10">
        <v>0</v>
      </c>
      <c r="E95" t="str">
        <f>$A95&amp;Keys!$C$54&amp;$B95&amp;Keys!$C$54&amp;$C95</f>
        <v>AR|exports|biomass</v>
      </c>
    </row>
    <row r="96" spans="1:5" x14ac:dyDescent="0.25">
      <c r="A96" t="s">
        <v>63</v>
      </c>
      <c r="B96" t="s">
        <v>188</v>
      </c>
      <c r="C96" t="s">
        <v>85</v>
      </c>
      <c r="D96" s="10">
        <v>87830300000000</v>
      </c>
      <c r="E96" t="str">
        <f>$A96&amp;Keys!$C$54&amp;$B96&amp;Keys!$C$54&amp;$C96</f>
        <v>AR|production|petroleum gasoline</v>
      </c>
    </row>
    <row r="97" spans="1:5" x14ac:dyDescent="0.25">
      <c r="A97" t="s">
        <v>63</v>
      </c>
      <c r="B97" t="s">
        <v>191</v>
      </c>
      <c r="C97" t="s">
        <v>85</v>
      </c>
      <c r="D97" s="10">
        <v>79351200000000</v>
      </c>
      <c r="E97" t="str">
        <f>$A97&amp;Keys!$C$54&amp;$B97&amp;Keys!$C$54&amp;$C97</f>
        <v>AR|imports|petroleum gasoline</v>
      </c>
    </row>
    <row r="98" spans="1:5" x14ac:dyDescent="0.25">
      <c r="A98" t="s">
        <v>63</v>
      </c>
      <c r="B98" t="s">
        <v>193</v>
      </c>
      <c r="C98" t="s">
        <v>85</v>
      </c>
      <c r="D98" s="10">
        <v>2729670000000</v>
      </c>
      <c r="E98" t="str">
        <f>$A98&amp;Keys!$C$54&amp;$B98&amp;Keys!$C$54&amp;$C98</f>
        <v>AR|exports|petroleum gasoline</v>
      </c>
    </row>
    <row r="99" spans="1:5" x14ac:dyDescent="0.25">
      <c r="A99" t="s">
        <v>63</v>
      </c>
      <c r="B99" t="s">
        <v>188</v>
      </c>
      <c r="C99" t="s">
        <v>88</v>
      </c>
      <c r="D99" s="10">
        <v>51952900000000</v>
      </c>
      <c r="E99" t="str">
        <f>$A99&amp;Keys!$C$54&amp;$B99&amp;Keys!$C$54&amp;$C99</f>
        <v>AR|production|petroleum diesel</v>
      </c>
    </row>
    <row r="100" spans="1:5" x14ac:dyDescent="0.25">
      <c r="A100" t="s">
        <v>63</v>
      </c>
      <c r="B100" t="s">
        <v>191</v>
      </c>
      <c r="C100" t="s">
        <v>88</v>
      </c>
      <c r="D100" s="10">
        <v>68000300000000</v>
      </c>
      <c r="E100" t="str">
        <f>$A100&amp;Keys!$C$54&amp;$B100&amp;Keys!$C$54&amp;$C100</f>
        <v>AR|imports|petroleum diesel</v>
      </c>
    </row>
    <row r="101" spans="1:5" x14ac:dyDescent="0.25">
      <c r="A101" t="s">
        <v>63</v>
      </c>
      <c r="B101" t="s">
        <v>193</v>
      </c>
      <c r="C101" t="s">
        <v>88</v>
      </c>
      <c r="D101" s="10">
        <v>0</v>
      </c>
      <c r="E101" t="str">
        <f>$A101&amp;Keys!$C$54&amp;$B101&amp;Keys!$C$54&amp;$C101</f>
        <v>AR|exports|petroleum diesel</v>
      </c>
    </row>
    <row r="102" spans="1:5" x14ac:dyDescent="0.25">
      <c r="A102" t="s">
        <v>63</v>
      </c>
      <c r="B102" t="s">
        <v>188</v>
      </c>
      <c r="C102" t="s">
        <v>91</v>
      </c>
      <c r="D102" s="10">
        <v>0</v>
      </c>
      <c r="E102" t="str">
        <f>$A102&amp;Keys!$C$54&amp;$B102&amp;Keys!$C$54&amp;$C102</f>
        <v>AR|production|biofuel gasoline</v>
      </c>
    </row>
    <row r="103" spans="1:5" x14ac:dyDescent="0.25">
      <c r="A103" t="s">
        <v>63</v>
      </c>
      <c r="B103" t="s">
        <v>191</v>
      </c>
      <c r="C103" t="s">
        <v>91</v>
      </c>
      <c r="D103" s="10">
        <v>11655200000000</v>
      </c>
      <c r="E103" t="str">
        <f>$A103&amp;Keys!$C$54&amp;$B103&amp;Keys!$C$54&amp;$C103</f>
        <v>AR|imports|biofuel gasoline</v>
      </c>
    </row>
    <row r="104" spans="1:5" x14ac:dyDescent="0.25">
      <c r="A104" t="s">
        <v>63</v>
      </c>
      <c r="B104" t="s">
        <v>193</v>
      </c>
      <c r="C104" t="s">
        <v>91</v>
      </c>
      <c r="D104" s="10">
        <v>0</v>
      </c>
      <c r="E104" t="str">
        <f>$A104&amp;Keys!$C$54&amp;$B104&amp;Keys!$C$54&amp;$C104</f>
        <v>AR|exports|biofuel gasoline</v>
      </c>
    </row>
    <row r="105" spans="1:5" x14ac:dyDescent="0.25">
      <c r="A105" t="s">
        <v>63</v>
      </c>
      <c r="B105" t="s">
        <v>188</v>
      </c>
      <c r="C105" t="s">
        <v>94</v>
      </c>
      <c r="D105" s="10">
        <v>22525600000000</v>
      </c>
      <c r="E105" t="str">
        <f>$A105&amp;Keys!$C$54&amp;$B105&amp;Keys!$C$54&amp;$C105</f>
        <v>AR|production|biofuel diesel</v>
      </c>
    </row>
    <row r="106" spans="1:5" x14ac:dyDescent="0.25">
      <c r="A106" t="s">
        <v>63</v>
      </c>
      <c r="B106" t="s">
        <v>191</v>
      </c>
      <c r="C106" t="s">
        <v>94</v>
      </c>
      <c r="D106" s="10">
        <v>66651700000</v>
      </c>
      <c r="E106" t="str">
        <f>$A106&amp;Keys!$C$54&amp;$B106&amp;Keys!$C$54&amp;$C106</f>
        <v>AR|imports|biofuel diesel</v>
      </c>
    </row>
    <row r="107" spans="1:5" x14ac:dyDescent="0.25">
      <c r="A107" t="s">
        <v>63</v>
      </c>
      <c r="B107" t="s">
        <v>193</v>
      </c>
      <c r="C107" t="s">
        <v>94</v>
      </c>
      <c r="D107" s="10">
        <v>20335200000000</v>
      </c>
      <c r="E107" t="str">
        <f>$A107&amp;Keys!$C$54&amp;$B107&amp;Keys!$C$54&amp;$C107</f>
        <v>AR|exports|biofuel diesel</v>
      </c>
    </row>
    <row r="108" spans="1:5" x14ac:dyDescent="0.25">
      <c r="A108" t="s">
        <v>63</v>
      </c>
      <c r="B108" t="s">
        <v>188</v>
      </c>
      <c r="C108" t="s">
        <v>97</v>
      </c>
      <c r="D108" s="10">
        <v>18494200000000</v>
      </c>
      <c r="E108" t="str">
        <f>$A108&amp;Keys!$C$54&amp;$B108&amp;Keys!$C$54&amp;$C108</f>
        <v>AR|production|jet fuel or kerosene</v>
      </c>
    </row>
    <row r="109" spans="1:5" x14ac:dyDescent="0.25">
      <c r="A109" t="s">
        <v>63</v>
      </c>
      <c r="B109" t="s">
        <v>191</v>
      </c>
      <c r="C109" t="s">
        <v>97</v>
      </c>
      <c r="D109" s="10">
        <v>0</v>
      </c>
      <c r="E109" t="str">
        <f>$A109&amp;Keys!$C$54&amp;$B109&amp;Keys!$C$54&amp;$C109</f>
        <v>AR|imports|jet fuel or kerosene</v>
      </c>
    </row>
    <row r="110" spans="1:5" x14ac:dyDescent="0.25">
      <c r="A110" t="s">
        <v>63</v>
      </c>
      <c r="B110" t="s">
        <v>193</v>
      </c>
      <c r="C110" t="s">
        <v>97</v>
      </c>
      <c r="D110" s="10">
        <v>11570500000000</v>
      </c>
      <c r="E110" t="str">
        <f>$A110&amp;Keys!$C$54&amp;$B110&amp;Keys!$C$54&amp;$C110</f>
        <v>AR|exports|jet fuel or kerosene</v>
      </c>
    </row>
    <row r="111" spans="1:5" x14ac:dyDescent="0.25">
      <c r="A111" t="s">
        <v>63</v>
      </c>
      <c r="B111" t="s">
        <v>188</v>
      </c>
      <c r="C111" t="s">
        <v>276</v>
      </c>
      <c r="D111" s="10">
        <v>0</v>
      </c>
      <c r="E111" t="str">
        <f>$A111&amp;Keys!$C$54&amp;$B111&amp;Keys!$C$54&amp;$C111</f>
        <v>AR|production|heat</v>
      </c>
    </row>
    <row r="112" spans="1:5" x14ac:dyDescent="0.25">
      <c r="A112" t="s">
        <v>63</v>
      </c>
      <c r="B112" t="s">
        <v>191</v>
      </c>
      <c r="C112" t="s">
        <v>276</v>
      </c>
      <c r="D112" s="10">
        <v>0</v>
      </c>
      <c r="E112" t="str">
        <f>$A112&amp;Keys!$C$54&amp;$B112&amp;Keys!$C$54&amp;$C112</f>
        <v>AR|imports|heat</v>
      </c>
    </row>
    <row r="113" spans="1:5" x14ac:dyDescent="0.25">
      <c r="A113" t="s">
        <v>63</v>
      </c>
      <c r="B113" t="s">
        <v>193</v>
      </c>
      <c r="C113" t="s">
        <v>276</v>
      </c>
      <c r="D113" s="10">
        <v>0</v>
      </c>
      <c r="E113" t="str">
        <f>$A113&amp;Keys!$C$54&amp;$B113&amp;Keys!$C$54&amp;$C113</f>
        <v>AR|exports|heat</v>
      </c>
    </row>
    <row r="114" spans="1:5" x14ac:dyDescent="0.25">
      <c r="A114" t="s">
        <v>63</v>
      </c>
      <c r="B114" t="s">
        <v>188</v>
      </c>
      <c r="C114" t="s">
        <v>277</v>
      </c>
      <c r="D114" s="10">
        <v>0</v>
      </c>
      <c r="E114" t="str">
        <f>$A114&amp;Keys!$C$54&amp;$B114&amp;Keys!$C$54&amp;$C114</f>
        <v>AR|production|geothermal</v>
      </c>
    </row>
    <row r="115" spans="1:5" x14ac:dyDescent="0.25">
      <c r="A115" t="s">
        <v>63</v>
      </c>
      <c r="B115" t="s">
        <v>191</v>
      </c>
      <c r="C115" t="s">
        <v>277</v>
      </c>
      <c r="D115" s="10">
        <v>0</v>
      </c>
      <c r="E115" t="str">
        <f>$A115&amp;Keys!$C$54&amp;$B115&amp;Keys!$C$54&amp;$C115</f>
        <v>AR|imports|geothermal</v>
      </c>
    </row>
    <row r="116" spans="1:5" x14ac:dyDescent="0.25">
      <c r="A116" t="s">
        <v>63</v>
      </c>
      <c r="B116" t="s">
        <v>193</v>
      </c>
      <c r="C116" t="s">
        <v>277</v>
      </c>
      <c r="D116" s="10">
        <v>0</v>
      </c>
      <c r="E116" t="str">
        <f>$A116&amp;Keys!$C$54&amp;$B116&amp;Keys!$C$54&amp;$C116</f>
        <v>AR|exports|geothermal</v>
      </c>
    </row>
    <row r="117" spans="1:5" x14ac:dyDescent="0.25">
      <c r="A117" t="s">
        <v>63</v>
      </c>
      <c r="B117" t="s">
        <v>188</v>
      </c>
      <c r="C117" t="s">
        <v>106</v>
      </c>
      <c r="D117" s="10">
        <v>0</v>
      </c>
      <c r="E117" t="str">
        <f>$A117&amp;Keys!$C$54&amp;$B117&amp;Keys!$C$54&amp;$C117</f>
        <v>AR|production|lignite</v>
      </c>
    </row>
    <row r="118" spans="1:5" x14ac:dyDescent="0.25">
      <c r="A118" t="s">
        <v>63</v>
      </c>
      <c r="B118" t="s">
        <v>191</v>
      </c>
      <c r="C118" t="s">
        <v>106</v>
      </c>
      <c r="D118" s="10">
        <v>0</v>
      </c>
      <c r="E118" t="str">
        <f>$A118&amp;Keys!$C$54&amp;$B118&amp;Keys!$C$54&amp;$C118</f>
        <v>AR|imports|lignite</v>
      </c>
    </row>
    <row r="119" spans="1:5" x14ac:dyDescent="0.25">
      <c r="A119" t="s">
        <v>63</v>
      </c>
      <c r="B119" t="s">
        <v>193</v>
      </c>
      <c r="C119" t="s">
        <v>106</v>
      </c>
      <c r="D119" s="10">
        <v>0</v>
      </c>
      <c r="E119" t="str">
        <f>$A119&amp;Keys!$C$54&amp;$B119&amp;Keys!$C$54&amp;$C119</f>
        <v>AR|exports|lignite</v>
      </c>
    </row>
    <row r="120" spans="1:5" x14ac:dyDescent="0.25">
      <c r="A120" t="s">
        <v>63</v>
      </c>
      <c r="B120" t="s">
        <v>188</v>
      </c>
      <c r="C120" t="s">
        <v>109</v>
      </c>
      <c r="D120" s="10">
        <v>23582800000000</v>
      </c>
      <c r="E120" t="str">
        <f>$A120&amp;Keys!$C$54&amp;$B120&amp;Keys!$C$54&amp;$C120</f>
        <v>AR|production|crude oil</v>
      </c>
    </row>
    <row r="121" spans="1:5" x14ac:dyDescent="0.25">
      <c r="A121" t="s">
        <v>63</v>
      </c>
      <c r="B121" t="s">
        <v>191</v>
      </c>
      <c r="C121" t="s">
        <v>109</v>
      </c>
      <c r="D121" s="10">
        <v>154204000000000</v>
      </c>
      <c r="E121" t="str">
        <f>$A121&amp;Keys!$C$54&amp;$B121&amp;Keys!$C$54&amp;$C121</f>
        <v>AR|imports|crude oil</v>
      </c>
    </row>
    <row r="122" spans="1:5" x14ac:dyDescent="0.25">
      <c r="A122" t="s">
        <v>63</v>
      </c>
      <c r="B122" t="s">
        <v>193</v>
      </c>
      <c r="C122" t="s">
        <v>109</v>
      </c>
      <c r="D122" s="10">
        <v>0</v>
      </c>
      <c r="E122" t="str">
        <f>$A122&amp;Keys!$C$54&amp;$B122&amp;Keys!$C$54&amp;$C122</f>
        <v>AR|exports|crude oil</v>
      </c>
    </row>
    <row r="123" spans="1:5" x14ac:dyDescent="0.25">
      <c r="A123" t="s">
        <v>63</v>
      </c>
      <c r="B123" t="s">
        <v>188</v>
      </c>
      <c r="C123" t="s">
        <v>114</v>
      </c>
      <c r="D123" s="10">
        <v>3592560000000</v>
      </c>
      <c r="E123" t="str">
        <f>$A123&amp;Keys!$C$54&amp;$B123&amp;Keys!$C$54&amp;$C123</f>
        <v>AR|production|heavy or residual fuel oil</v>
      </c>
    </row>
    <row r="124" spans="1:5" x14ac:dyDescent="0.25">
      <c r="A124" t="s">
        <v>63</v>
      </c>
      <c r="B124" t="s">
        <v>191</v>
      </c>
      <c r="C124" t="s">
        <v>114</v>
      </c>
      <c r="D124" s="10">
        <v>7985340000000</v>
      </c>
      <c r="E124" t="str">
        <f>$A124&amp;Keys!$C$54&amp;$B124&amp;Keys!$C$54&amp;$C124</f>
        <v>AR|imports|heavy or residual fuel oil</v>
      </c>
    </row>
    <row r="125" spans="1:5" x14ac:dyDescent="0.25">
      <c r="A125" t="s">
        <v>63</v>
      </c>
      <c r="B125" t="s">
        <v>193</v>
      </c>
      <c r="C125" t="s">
        <v>114</v>
      </c>
      <c r="D125" s="10">
        <v>0</v>
      </c>
      <c r="E125" t="str">
        <f>$A125&amp;Keys!$C$54&amp;$B125&amp;Keys!$C$54&amp;$C125</f>
        <v>AR|exports|heavy or residual fuel oil</v>
      </c>
    </row>
    <row r="126" spans="1:5" x14ac:dyDescent="0.25">
      <c r="A126" t="s">
        <v>63</v>
      </c>
      <c r="B126" t="s">
        <v>188</v>
      </c>
      <c r="C126" t="s">
        <v>117</v>
      </c>
      <c r="D126" s="10">
        <v>45025800000000</v>
      </c>
      <c r="E126" t="str">
        <f>$A126&amp;Keys!$C$54&amp;$B126&amp;Keys!$C$54&amp;$C126</f>
        <v>AR|production|LPG propane or butane</v>
      </c>
    </row>
    <row r="127" spans="1:5" x14ac:dyDescent="0.25">
      <c r="A127" t="s">
        <v>63</v>
      </c>
      <c r="B127" t="s">
        <v>191</v>
      </c>
      <c r="C127" t="s">
        <v>117</v>
      </c>
      <c r="D127" s="10">
        <v>0</v>
      </c>
      <c r="E127" t="str">
        <f>$A127&amp;Keys!$C$54&amp;$B127&amp;Keys!$C$54&amp;$C127</f>
        <v>AR|imports|LPG propane or butane</v>
      </c>
    </row>
    <row r="128" spans="1:5" x14ac:dyDescent="0.25">
      <c r="A128" t="s">
        <v>63</v>
      </c>
      <c r="B128" t="s">
        <v>193</v>
      </c>
      <c r="C128" t="s">
        <v>117</v>
      </c>
      <c r="D128" s="10">
        <v>37155700000000</v>
      </c>
      <c r="E128" t="str">
        <f>$A128&amp;Keys!$C$54&amp;$B128&amp;Keys!$C$54&amp;$C128</f>
        <v>AR|exports|LPG propane or butane</v>
      </c>
    </row>
    <row r="129" spans="1:5" x14ac:dyDescent="0.25">
      <c r="A129" t="s">
        <v>63</v>
      </c>
      <c r="B129" t="s">
        <v>188</v>
      </c>
      <c r="C129" t="s">
        <v>120</v>
      </c>
      <c r="D129" s="10">
        <v>0</v>
      </c>
      <c r="E129" t="str">
        <f>$A129&amp;Keys!$C$54&amp;$B129&amp;Keys!$C$54&amp;$C129</f>
        <v>AR|production|municipal solid waste</v>
      </c>
    </row>
    <row r="130" spans="1:5" x14ac:dyDescent="0.25">
      <c r="A130" t="s">
        <v>63</v>
      </c>
      <c r="B130" t="s">
        <v>191</v>
      </c>
      <c r="C130" t="s">
        <v>120</v>
      </c>
      <c r="D130" s="10">
        <v>0</v>
      </c>
      <c r="E130" t="str">
        <f>$A130&amp;Keys!$C$54&amp;$B130&amp;Keys!$C$54&amp;$C130</f>
        <v>AR|imports|municipal solid waste</v>
      </c>
    </row>
    <row r="131" spans="1:5" x14ac:dyDescent="0.25">
      <c r="A131" t="s">
        <v>63</v>
      </c>
      <c r="B131" t="s">
        <v>193</v>
      </c>
      <c r="C131" t="s">
        <v>120</v>
      </c>
      <c r="D131" s="10">
        <v>0</v>
      </c>
      <c r="E131" t="str">
        <f>$A131&amp;Keys!$C$54&amp;$B131&amp;Keys!$C$54&amp;$C131</f>
        <v>AR|exports|municipal solid waste</v>
      </c>
    </row>
    <row r="132" spans="1:5" x14ac:dyDescent="0.25">
      <c r="A132" t="s">
        <v>63</v>
      </c>
      <c r="B132" t="s">
        <v>188</v>
      </c>
      <c r="C132" t="s">
        <v>123</v>
      </c>
      <c r="D132" s="10">
        <v>1542120000000</v>
      </c>
      <c r="E132" t="str">
        <f>$A132&amp;Keys!$C$54&amp;$B132&amp;Keys!$C$54&amp;$C132</f>
        <v>AR|production|hydrogen</v>
      </c>
    </row>
    <row r="133" spans="1:5" x14ac:dyDescent="0.25">
      <c r="A133" t="s">
        <v>63</v>
      </c>
      <c r="B133" t="s">
        <v>191</v>
      </c>
      <c r="C133" t="s">
        <v>123</v>
      </c>
      <c r="D133" s="10">
        <v>0</v>
      </c>
      <c r="E133" t="str">
        <f>$A133&amp;Keys!$C$54&amp;$B133&amp;Keys!$C$54&amp;$C133</f>
        <v>AR|imports|hydrogen</v>
      </c>
    </row>
    <row r="134" spans="1:5" x14ac:dyDescent="0.25">
      <c r="A134" t="s">
        <v>63</v>
      </c>
      <c r="B134" t="s">
        <v>193</v>
      </c>
      <c r="C134" t="s">
        <v>123</v>
      </c>
      <c r="D134" s="10">
        <v>945035000000</v>
      </c>
      <c r="E134" t="str">
        <f>$A134&amp;Keys!$C$54&amp;$B134&amp;Keys!$C$54&amp;$C134</f>
        <v>AR|exports|hydrogen</v>
      </c>
    </row>
    <row r="135" spans="1:5" x14ac:dyDescent="0.25">
      <c r="A135" t="s">
        <v>67</v>
      </c>
      <c r="B135" t="s">
        <v>188</v>
      </c>
      <c r="C135" t="s">
        <v>272</v>
      </c>
      <c r="D135" s="10">
        <v>0</v>
      </c>
      <c r="E135" t="str">
        <f>$A135&amp;Keys!$C$54&amp;$B135&amp;Keys!$C$54&amp;$C135</f>
        <v>AZ|production|electricity</v>
      </c>
    </row>
    <row r="136" spans="1:5" x14ac:dyDescent="0.25">
      <c r="A136" t="s">
        <v>67</v>
      </c>
      <c r="B136" t="s">
        <v>191</v>
      </c>
      <c r="C136" t="s">
        <v>272</v>
      </c>
      <c r="D136" s="10">
        <v>0</v>
      </c>
      <c r="E136" t="str">
        <f>$A136&amp;Keys!$C$54&amp;$B136&amp;Keys!$C$54&amp;$C136</f>
        <v>AZ|imports|electricity</v>
      </c>
    </row>
    <row r="137" spans="1:5" x14ac:dyDescent="0.25">
      <c r="A137" t="s">
        <v>67</v>
      </c>
      <c r="B137" t="s">
        <v>193</v>
      </c>
      <c r="C137" t="s">
        <v>272</v>
      </c>
      <c r="D137" s="10">
        <v>0</v>
      </c>
      <c r="E137" t="str">
        <f>$A137&amp;Keys!$C$54&amp;$B137&amp;Keys!$C$54&amp;$C137</f>
        <v>AZ|exports|electricity</v>
      </c>
    </row>
    <row r="138" spans="1:5" x14ac:dyDescent="0.25">
      <c r="A138" t="s">
        <v>67</v>
      </c>
      <c r="B138" t="s">
        <v>188</v>
      </c>
      <c r="C138" t="s">
        <v>64</v>
      </c>
      <c r="D138" s="10">
        <v>0</v>
      </c>
      <c r="E138" t="str">
        <f>$A138&amp;Keys!$C$54&amp;$B138&amp;Keys!$C$54&amp;$C138</f>
        <v>AZ|production|hard coal</v>
      </c>
    </row>
    <row r="139" spans="1:5" x14ac:dyDescent="0.25">
      <c r="A139" t="s">
        <v>67</v>
      </c>
      <c r="B139" t="s">
        <v>191</v>
      </c>
      <c r="C139" t="s">
        <v>64</v>
      </c>
      <c r="D139" s="10">
        <v>130866000000000</v>
      </c>
      <c r="E139" t="str">
        <f>$A139&amp;Keys!$C$54&amp;$B139&amp;Keys!$C$54&amp;$C139</f>
        <v>AZ|imports|hard coal</v>
      </c>
    </row>
    <row r="140" spans="1:5" x14ac:dyDescent="0.25">
      <c r="A140" t="s">
        <v>67</v>
      </c>
      <c r="B140" t="s">
        <v>193</v>
      </c>
      <c r="C140" t="s">
        <v>64</v>
      </c>
      <c r="D140" s="10">
        <v>0</v>
      </c>
      <c r="E140" t="str">
        <f>$A140&amp;Keys!$C$54&amp;$B140&amp;Keys!$C$54&amp;$C140</f>
        <v>AZ|exports|hard coal</v>
      </c>
    </row>
    <row r="141" spans="1:5" x14ac:dyDescent="0.25">
      <c r="A141" t="s">
        <v>67</v>
      </c>
      <c r="B141" t="s">
        <v>188</v>
      </c>
      <c r="C141" t="s">
        <v>68</v>
      </c>
      <c r="D141" s="10">
        <v>144143000000</v>
      </c>
      <c r="E141" t="str">
        <f>$A141&amp;Keys!$C$54&amp;$B141&amp;Keys!$C$54&amp;$C141</f>
        <v>AZ|production|natural gas</v>
      </c>
    </row>
    <row r="142" spans="1:5" x14ac:dyDescent="0.25">
      <c r="A142" t="s">
        <v>67</v>
      </c>
      <c r="B142" t="s">
        <v>191</v>
      </c>
      <c r="C142" t="s">
        <v>68</v>
      </c>
      <c r="D142" s="10">
        <v>1540970000000000</v>
      </c>
      <c r="E142" t="str">
        <f>$A142&amp;Keys!$C$54&amp;$B142&amp;Keys!$C$54&amp;$C142</f>
        <v>AZ|imports|natural gas</v>
      </c>
    </row>
    <row r="143" spans="1:5" x14ac:dyDescent="0.25">
      <c r="A143" t="s">
        <v>67</v>
      </c>
      <c r="B143" t="s">
        <v>193</v>
      </c>
      <c r="C143" t="s">
        <v>68</v>
      </c>
      <c r="D143" s="10">
        <v>1017200000000000</v>
      </c>
      <c r="E143" t="str">
        <f>$A143&amp;Keys!$C$54&amp;$B143&amp;Keys!$C$54&amp;$C143</f>
        <v>AZ|exports|natural gas</v>
      </c>
    </row>
    <row r="144" spans="1:5" x14ac:dyDescent="0.25">
      <c r="A144" t="s">
        <v>67</v>
      </c>
      <c r="B144" t="s">
        <v>188</v>
      </c>
      <c r="C144" t="s">
        <v>71</v>
      </c>
      <c r="D144" s="10">
        <v>0</v>
      </c>
      <c r="E144" t="str">
        <f>$A144&amp;Keys!$C$54&amp;$B144&amp;Keys!$C$54&amp;$C144</f>
        <v>AZ|production|nuclear</v>
      </c>
    </row>
    <row r="145" spans="1:5" x14ac:dyDescent="0.25">
      <c r="A145" t="s">
        <v>67</v>
      </c>
      <c r="B145" t="s">
        <v>191</v>
      </c>
      <c r="C145" t="s">
        <v>71</v>
      </c>
      <c r="D145" s="10">
        <v>327081000000000</v>
      </c>
      <c r="E145" t="str">
        <f>$A145&amp;Keys!$C$54&amp;$B145&amp;Keys!$C$54&amp;$C145</f>
        <v>AZ|imports|nuclear</v>
      </c>
    </row>
    <row r="146" spans="1:5" x14ac:dyDescent="0.25">
      <c r="A146" t="s">
        <v>67</v>
      </c>
      <c r="B146" t="s">
        <v>193</v>
      </c>
      <c r="C146" t="s">
        <v>71</v>
      </c>
      <c r="D146" s="10">
        <v>0</v>
      </c>
      <c r="E146" t="str">
        <f>$A146&amp;Keys!$C$54&amp;$B146&amp;Keys!$C$54&amp;$C146</f>
        <v>AZ|exports|nuclear</v>
      </c>
    </row>
    <row r="147" spans="1:5" x14ac:dyDescent="0.25">
      <c r="A147" t="s">
        <v>67</v>
      </c>
      <c r="B147" t="s">
        <v>188</v>
      </c>
      <c r="C147" t="s">
        <v>273</v>
      </c>
      <c r="D147" s="10">
        <v>0</v>
      </c>
      <c r="E147" t="str">
        <f>$A147&amp;Keys!$C$54&amp;$B147&amp;Keys!$C$54&amp;$C147</f>
        <v>AZ|production|hydro</v>
      </c>
    </row>
    <row r="148" spans="1:5" x14ac:dyDescent="0.25">
      <c r="A148" t="s">
        <v>67</v>
      </c>
      <c r="B148" t="s">
        <v>191</v>
      </c>
      <c r="C148" t="s">
        <v>273</v>
      </c>
      <c r="D148" s="10">
        <v>0</v>
      </c>
      <c r="E148" t="str">
        <f>$A148&amp;Keys!$C$54&amp;$B148&amp;Keys!$C$54&amp;$C148</f>
        <v>AZ|imports|hydro</v>
      </c>
    </row>
    <row r="149" spans="1:5" x14ac:dyDescent="0.25">
      <c r="A149" t="s">
        <v>67</v>
      </c>
      <c r="B149" t="s">
        <v>193</v>
      </c>
      <c r="C149" t="s">
        <v>273</v>
      </c>
      <c r="D149" s="10">
        <v>0</v>
      </c>
      <c r="E149" t="str">
        <f>$A149&amp;Keys!$C$54&amp;$B149&amp;Keys!$C$54&amp;$C149</f>
        <v>AZ|exports|hydro</v>
      </c>
    </row>
    <row r="150" spans="1:5" x14ac:dyDescent="0.25">
      <c r="A150" t="s">
        <v>67</v>
      </c>
      <c r="B150" t="s">
        <v>188</v>
      </c>
      <c r="C150" t="s">
        <v>274</v>
      </c>
      <c r="D150" s="10">
        <v>0</v>
      </c>
      <c r="E150" t="str">
        <f>$A150&amp;Keys!$C$54&amp;$B150&amp;Keys!$C$54&amp;$C150</f>
        <v>AZ|production|wind</v>
      </c>
    </row>
    <row r="151" spans="1:5" x14ac:dyDescent="0.25">
      <c r="A151" t="s">
        <v>67</v>
      </c>
      <c r="B151" t="s">
        <v>191</v>
      </c>
      <c r="C151" t="s">
        <v>274</v>
      </c>
      <c r="D151" s="10">
        <v>0</v>
      </c>
      <c r="E151" t="str">
        <f>$A151&amp;Keys!$C$54&amp;$B151&amp;Keys!$C$54&amp;$C151</f>
        <v>AZ|imports|wind</v>
      </c>
    </row>
    <row r="152" spans="1:5" x14ac:dyDescent="0.25">
      <c r="A152" t="s">
        <v>67</v>
      </c>
      <c r="B152" t="s">
        <v>193</v>
      </c>
      <c r="C152" t="s">
        <v>274</v>
      </c>
      <c r="D152" s="10">
        <v>0</v>
      </c>
      <c r="E152" t="str">
        <f>$A152&amp;Keys!$C$54&amp;$B152&amp;Keys!$C$54&amp;$C152</f>
        <v>AZ|exports|wind</v>
      </c>
    </row>
    <row r="153" spans="1:5" x14ac:dyDescent="0.25">
      <c r="A153" t="s">
        <v>67</v>
      </c>
      <c r="B153" t="s">
        <v>188</v>
      </c>
      <c r="C153" t="s">
        <v>275</v>
      </c>
      <c r="D153" s="10">
        <v>0</v>
      </c>
      <c r="E153" t="str">
        <f>$A153&amp;Keys!$C$54&amp;$B153&amp;Keys!$C$54&amp;$C153</f>
        <v>AZ|production|solar</v>
      </c>
    </row>
    <row r="154" spans="1:5" x14ac:dyDescent="0.25">
      <c r="A154" t="s">
        <v>67</v>
      </c>
      <c r="B154" t="s">
        <v>191</v>
      </c>
      <c r="C154" t="s">
        <v>275</v>
      </c>
      <c r="D154" s="10">
        <v>0</v>
      </c>
      <c r="E154" t="str">
        <f>$A154&amp;Keys!$C$54&amp;$B154&amp;Keys!$C$54&amp;$C154</f>
        <v>AZ|imports|solar</v>
      </c>
    </row>
    <row r="155" spans="1:5" x14ac:dyDescent="0.25">
      <c r="A155" t="s">
        <v>67</v>
      </c>
      <c r="B155" t="s">
        <v>193</v>
      </c>
      <c r="C155" t="s">
        <v>275</v>
      </c>
      <c r="D155" s="10">
        <v>0</v>
      </c>
      <c r="E155" t="str">
        <f>$A155&amp;Keys!$C$54&amp;$B155&amp;Keys!$C$54&amp;$C155</f>
        <v>AZ|exports|solar</v>
      </c>
    </row>
    <row r="156" spans="1:5" x14ac:dyDescent="0.25">
      <c r="A156" t="s">
        <v>67</v>
      </c>
      <c r="B156" t="s">
        <v>188</v>
      </c>
      <c r="C156" t="s">
        <v>82</v>
      </c>
      <c r="D156" s="10">
        <v>0</v>
      </c>
      <c r="E156" t="str">
        <f>$A156&amp;Keys!$C$54&amp;$B156&amp;Keys!$C$54&amp;$C156</f>
        <v>AZ|production|biomass</v>
      </c>
    </row>
    <row r="157" spans="1:5" x14ac:dyDescent="0.25">
      <c r="A157" t="s">
        <v>67</v>
      </c>
      <c r="B157" t="s">
        <v>191</v>
      </c>
      <c r="C157" t="s">
        <v>82</v>
      </c>
      <c r="D157" s="10">
        <v>10731900000000</v>
      </c>
      <c r="E157" t="str">
        <f>$A157&amp;Keys!$C$54&amp;$B157&amp;Keys!$C$54&amp;$C157</f>
        <v>AZ|imports|biomass</v>
      </c>
    </row>
    <row r="158" spans="1:5" x14ac:dyDescent="0.25">
      <c r="A158" t="s">
        <v>67</v>
      </c>
      <c r="B158" t="s">
        <v>193</v>
      </c>
      <c r="C158" t="s">
        <v>82</v>
      </c>
      <c r="D158" s="10">
        <v>0</v>
      </c>
      <c r="E158" t="str">
        <f>$A158&amp;Keys!$C$54&amp;$B158&amp;Keys!$C$54&amp;$C158</f>
        <v>AZ|exports|biomass</v>
      </c>
    </row>
    <row r="159" spans="1:5" x14ac:dyDescent="0.25">
      <c r="A159" t="s">
        <v>67</v>
      </c>
      <c r="B159" t="s">
        <v>188</v>
      </c>
      <c r="C159" t="s">
        <v>85</v>
      </c>
      <c r="D159" s="10">
        <v>0</v>
      </c>
      <c r="E159" t="str">
        <f>$A159&amp;Keys!$C$54&amp;$B159&amp;Keys!$C$54&amp;$C159</f>
        <v>AZ|production|petroleum gasoline</v>
      </c>
    </row>
    <row r="160" spans="1:5" x14ac:dyDescent="0.25">
      <c r="A160" t="s">
        <v>67</v>
      </c>
      <c r="B160" t="s">
        <v>191</v>
      </c>
      <c r="C160" t="s">
        <v>85</v>
      </c>
      <c r="D160" s="10">
        <v>316902000000000</v>
      </c>
      <c r="E160" t="str">
        <f>$A160&amp;Keys!$C$54&amp;$B160&amp;Keys!$C$54&amp;$C160</f>
        <v>AZ|imports|petroleum gasoline</v>
      </c>
    </row>
    <row r="161" spans="1:5" x14ac:dyDescent="0.25">
      <c r="A161" t="s">
        <v>67</v>
      </c>
      <c r="B161" t="s">
        <v>193</v>
      </c>
      <c r="C161" t="s">
        <v>85</v>
      </c>
      <c r="D161" s="10">
        <v>0</v>
      </c>
      <c r="E161" t="str">
        <f>$A161&amp;Keys!$C$54&amp;$B161&amp;Keys!$C$54&amp;$C161</f>
        <v>AZ|exports|petroleum gasoline</v>
      </c>
    </row>
    <row r="162" spans="1:5" x14ac:dyDescent="0.25">
      <c r="A162" t="s">
        <v>67</v>
      </c>
      <c r="B162" t="s">
        <v>188</v>
      </c>
      <c r="C162" t="s">
        <v>88</v>
      </c>
      <c r="D162" s="10">
        <v>0</v>
      </c>
      <c r="E162" t="str">
        <f>$A162&amp;Keys!$C$54&amp;$B162&amp;Keys!$C$54&amp;$C162</f>
        <v>AZ|production|petroleum diesel</v>
      </c>
    </row>
    <row r="163" spans="1:5" x14ac:dyDescent="0.25">
      <c r="A163" t="s">
        <v>67</v>
      </c>
      <c r="B163" t="s">
        <v>191</v>
      </c>
      <c r="C163" t="s">
        <v>88</v>
      </c>
      <c r="D163" s="10">
        <v>174234000000000</v>
      </c>
      <c r="E163" t="str">
        <f>$A163&amp;Keys!$C$54&amp;$B163&amp;Keys!$C$54&amp;$C163</f>
        <v>AZ|imports|petroleum diesel</v>
      </c>
    </row>
    <row r="164" spans="1:5" x14ac:dyDescent="0.25">
      <c r="A164" t="s">
        <v>67</v>
      </c>
      <c r="B164" t="s">
        <v>193</v>
      </c>
      <c r="C164" t="s">
        <v>88</v>
      </c>
      <c r="D164" s="10">
        <v>0</v>
      </c>
      <c r="E164" t="str">
        <f>$A164&amp;Keys!$C$54&amp;$B164&amp;Keys!$C$54&amp;$C164</f>
        <v>AZ|exports|petroleum diesel</v>
      </c>
    </row>
    <row r="165" spans="1:5" x14ac:dyDescent="0.25">
      <c r="A165" t="s">
        <v>67</v>
      </c>
      <c r="B165" t="s">
        <v>188</v>
      </c>
      <c r="C165" t="s">
        <v>91</v>
      </c>
      <c r="D165" s="10">
        <v>0</v>
      </c>
      <c r="E165" t="str">
        <f>$A165&amp;Keys!$C$54&amp;$B165&amp;Keys!$C$54&amp;$C165</f>
        <v>AZ|production|biofuel gasoline</v>
      </c>
    </row>
    <row r="166" spans="1:5" x14ac:dyDescent="0.25">
      <c r="A166" t="s">
        <v>67</v>
      </c>
      <c r="B166" t="s">
        <v>191</v>
      </c>
      <c r="C166" t="s">
        <v>91</v>
      </c>
      <c r="D166" s="10">
        <v>23322900000000</v>
      </c>
      <c r="E166" t="str">
        <f>$A166&amp;Keys!$C$54&amp;$B166&amp;Keys!$C$54&amp;$C166</f>
        <v>AZ|imports|biofuel gasoline</v>
      </c>
    </row>
    <row r="167" spans="1:5" x14ac:dyDescent="0.25">
      <c r="A167" t="s">
        <v>67</v>
      </c>
      <c r="B167" t="s">
        <v>193</v>
      </c>
      <c r="C167" t="s">
        <v>91</v>
      </c>
      <c r="D167" s="10">
        <v>0</v>
      </c>
      <c r="E167" t="str">
        <f>$A167&amp;Keys!$C$54&amp;$B167&amp;Keys!$C$54&amp;$C167</f>
        <v>AZ|exports|biofuel gasoline</v>
      </c>
    </row>
    <row r="168" spans="1:5" x14ac:dyDescent="0.25">
      <c r="A168" t="s">
        <v>67</v>
      </c>
      <c r="B168" t="s">
        <v>188</v>
      </c>
      <c r="C168" t="s">
        <v>94</v>
      </c>
      <c r="D168" s="10">
        <v>0</v>
      </c>
      <c r="E168" t="str">
        <f>$A168&amp;Keys!$C$54&amp;$B168&amp;Keys!$C$54&amp;$C168</f>
        <v>AZ|production|biofuel diesel</v>
      </c>
    </row>
    <row r="169" spans="1:5" x14ac:dyDescent="0.25">
      <c r="A169" t="s">
        <v>67</v>
      </c>
      <c r="B169" t="s">
        <v>191</v>
      </c>
      <c r="C169" t="s">
        <v>94</v>
      </c>
      <c r="D169" s="10">
        <v>1990050000000</v>
      </c>
      <c r="E169" t="str">
        <f>$A169&amp;Keys!$C$54&amp;$B169&amp;Keys!$C$54&amp;$C169</f>
        <v>AZ|imports|biofuel diesel</v>
      </c>
    </row>
    <row r="170" spans="1:5" x14ac:dyDescent="0.25">
      <c r="A170" t="s">
        <v>67</v>
      </c>
      <c r="B170" t="s">
        <v>193</v>
      </c>
      <c r="C170" t="s">
        <v>94</v>
      </c>
      <c r="D170" s="10">
        <v>0</v>
      </c>
      <c r="E170" t="str">
        <f>$A170&amp;Keys!$C$54&amp;$B170&amp;Keys!$C$54&amp;$C170</f>
        <v>AZ|exports|biofuel diesel</v>
      </c>
    </row>
    <row r="171" spans="1:5" x14ac:dyDescent="0.25">
      <c r="A171" t="s">
        <v>67</v>
      </c>
      <c r="B171" t="s">
        <v>188</v>
      </c>
      <c r="C171" t="s">
        <v>97</v>
      </c>
      <c r="D171" s="10">
        <v>0</v>
      </c>
      <c r="E171" t="str">
        <f>$A171&amp;Keys!$C$54&amp;$B171&amp;Keys!$C$54&amp;$C171</f>
        <v>AZ|production|jet fuel or kerosene</v>
      </c>
    </row>
    <row r="172" spans="1:5" x14ac:dyDescent="0.25">
      <c r="A172" t="s">
        <v>67</v>
      </c>
      <c r="B172" t="s">
        <v>191</v>
      </c>
      <c r="C172" t="s">
        <v>97</v>
      </c>
      <c r="D172" s="10">
        <v>81273500000000</v>
      </c>
      <c r="E172" t="str">
        <f>$A172&amp;Keys!$C$54&amp;$B172&amp;Keys!$C$54&amp;$C172</f>
        <v>AZ|imports|jet fuel or kerosene</v>
      </c>
    </row>
    <row r="173" spans="1:5" x14ac:dyDescent="0.25">
      <c r="A173" t="s">
        <v>67</v>
      </c>
      <c r="B173" t="s">
        <v>193</v>
      </c>
      <c r="C173" t="s">
        <v>97</v>
      </c>
      <c r="D173" s="10">
        <v>0</v>
      </c>
      <c r="E173" t="str">
        <f>$A173&amp;Keys!$C$54&amp;$B173&amp;Keys!$C$54&amp;$C173</f>
        <v>AZ|exports|jet fuel or kerosene</v>
      </c>
    </row>
    <row r="174" spans="1:5" x14ac:dyDescent="0.25">
      <c r="A174" t="s">
        <v>67</v>
      </c>
      <c r="B174" t="s">
        <v>188</v>
      </c>
      <c r="C174" t="s">
        <v>276</v>
      </c>
      <c r="D174" s="10">
        <v>0</v>
      </c>
      <c r="E174" t="str">
        <f>$A174&amp;Keys!$C$54&amp;$B174&amp;Keys!$C$54&amp;$C174</f>
        <v>AZ|production|heat</v>
      </c>
    </row>
    <row r="175" spans="1:5" x14ac:dyDescent="0.25">
      <c r="A175" t="s">
        <v>67</v>
      </c>
      <c r="B175" t="s">
        <v>191</v>
      </c>
      <c r="C175" t="s">
        <v>276</v>
      </c>
      <c r="D175" s="10">
        <v>0</v>
      </c>
      <c r="E175" t="str">
        <f>$A175&amp;Keys!$C$54&amp;$B175&amp;Keys!$C$54&amp;$C175</f>
        <v>AZ|imports|heat</v>
      </c>
    </row>
    <row r="176" spans="1:5" x14ac:dyDescent="0.25">
      <c r="A176" t="s">
        <v>67</v>
      </c>
      <c r="B176" t="s">
        <v>193</v>
      </c>
      <c r="C176" t="s">
        <v>276</v>
      </c>
      <c r="D176" s="10">
        <v>0</v>
      </c>
      <c r="E176" t="str">
        <f>$A176&amp;Keys!$C$54&amp;$B176&amp;Keys!$C$54&amp;$C176</f>
        <v>AZ|exports|heat</v>
      </c>
    </row>
    <row r="177" spans="1:5" x14ac:dyDescent="0.25">
      <c r="A177" t="s">
        <v>67</v>
      </c>
      <c r="B177" t="s">
        <v>188</v>
      </c>
      <c r="C177" t="s">
        <v>277</v>
      </c>
      <c r="D177" s="10">
        <v>0</v>
      </c>
      <c r="E177" t="str">
        <f>$A177&amp;Keys!$C$54&amp;$B177&amp;Keys!$C$54&amp;$C177</f>
        <v>AZ|production|geothermal</v>
      </c>
    </row>
    <row r="178" spans="1:5" x14ac:dyDescent="0.25">
      <c r="A178" t="s">
        <v>67</v>
      </c>
      <c r="B178" t="s">
        <v>191</v>
      </c>
      <c r="C178" t="s">
        <v>277</v>
      </c>
      <c r="D178" s="10">
        <v>0</v>
      </c>
      <c r="E178" t="str">
        <f>$A178&amp;Keys!$C$54&amp;$B178&amp;Keys!$C$54&amp;$C178</f>
        <v>AZ|imports|geothermal</v>
      </c>
    </row>
    <row r="179" spans="1:5" x14ac:dyDescent="0.25">
      <c r="A179" t="s">
        <v>67</v>
      </c>
      <c r="B179" t="s">
        <v>193</v>
      </c>
      <c r="C179" t="s">
        <v>277</v>
      </c>
      <c r="D179" s="10">
        <v>0</v>
      </c>
      <c r="E179" t="str">
        <f>$A179&amp;Keys!$C$54&amp;$B179&amp;Keys!$C$54&amp;$C179</f>
        <v>AZ|exports|geothermal</v>
      </c>
    </row>
    <row r="180" spans="1:5" x14ac:dyDescent="0.25">
      <c r="A180" t="s">
        <v>67</v>
      </c>
      <c r="B180" t="s">
        <v>188</v>
      </c>
      <c r="C180" t="s">
        <v>106</v>
      </c>
      <c r="D180" s="10">
        <v>0</v>
      </c>
      <c r="E180" t="str">
        <f>$A180&amp;Keys!$C$54&amp;$B180&amp;Keys!$C$54&amp;$C180</f>
        <v>AZ|production|lignite</v>
      </c>
    </row>
    <row r="181" spans="1:5" x14ac:dyDescent="0.25">
      <c r="A181" t="s">
        <v>67</v>
      </c>
      <c r="B181" t="s">
        <v>191</v>
      </c>
      <c r="C181" t="s">
        <v>106</v>
      </c>
      <c r="D181" s="10">
        <v>0</v>
      </c>
      <c r="E181" t="str">
        <f>$A181&amp;Keys!$C$54&amp;$B181&amp;Keys!$C$54&amp;$C181</f>
        <v>AZ|imports|lignite</v>
      </c>
    </row>
    <row r="182" spans="1:5" x14ac:dyDescent="0.25">
      <c r="A182" t="s">
        <v>67</v>
      </c>
      <c r="B182" t="s">
        <v>193</v>
      </c>
      <c r="C182" t="s">
        <v>106</v>
      </c>
      <c r="D182" s="10">
        <v>0</v>
      </c>
      <c r="E182" t="str">
        <f>$A182&amp;Keys!$C$54&amp;$B182&amp;Keys!$C$54&amp;$C182</f>
        <v>AZ|exports|lignite</v>
      </c>
    </row>
    <row r="183" spans="1:5" x14ac:dyDescent="0.25">
      <c r="A183" t="s">
        <v>67</v>
      </c>
      <c r="B183" t="s">
        <v>188</v>
      </c>
      <c r="C183" t="s">
        <v>109</v>
      </c>
      <c r="D183" s="10">
        <v>34800000000</v>
      </c>
      <c r="E183" t="str">
        <f>$A183&amp;Keys!$C$54&amp;$B183&amp;Keys!$C$54&amp;$C183</f>
        <v>AZ|production|crude oil</v>
      </c>
    </row>
    <row r="184" spans="1:5" x14ac:dyDescent="0.25">
      <c r="A184" t="s">
        <v>67</v>
      </c>
      <c r="B184" t="s">
        <v>191</v>
      </c>
      <c r="C184" t="s">
        <v>109</v>
      </c>
      <c r="D184" s="10">
        <v>1153200000000</v>
      </c>
      <c r="E184" t="str">
        <f>$A184&amp;Keys!$C$54&amp;$B184&amp;Keys!$C$54&amp;$C184</f>
        <v>AZ|imports|crude oil</v>
      </c>
    </row>
    <row r="185" spans="1:5" x14ac:dyDescent="0.25">
      <c r="A185" t="s">
        <v>67</v>
      </c>
      <c r="B185" t="s">
        <v>193</v>
      </c>
      <c r="C185" t="s">
        <v>109</v>
      </c>
      <c r="D185" s="10">
        <v>0</v>
      </c>
      <c r="E185" t="str">
        <f>$A185&amp;Keys!$C$54&amp;$B185&amp;Keys!$C$54&amp;$C185</f>
        <v>AZ|exports|crude oil</v>
      </c>
    </row>
    <row r="186" spans="1:5" x14ac:dyDescent="0.25">
      <c r="A186" t="s">
        <v>67</v>
      </c>
      <c r="B186" t="s">
        <v>188</v>
      </c>
      <c r="C186" t="s">
        <v>114</v>
      </c>
      <c r="D186" s="10">
        <v>0</v>
      </c>
      <c r="E186" t="str">
        <f>$A186&amp;Keys!$C$54&amp;$B186&amp;Keys!$C$54&amp;$C186</f>
        <v>AZ|production|heavy or residual fuel oil</v>
      </c>
    </row>
    <row r="187" spans="1:5" x14ac:dyDescent="0.25">
      <c r="A187" t="s">
        <v>67</v>
      </c>
      <c r="B187" t="s">
        <v>191</v>
      </c>
      <c r="C187" t="s">
        <v>114</v>
      </c>
      <c r="D187" s="10">
        <v>18631000000000</v>
      </c>
      <c r="E187" t="str">
        <f>$A187&amp;Keys!$C$54&amp;$B187&amp;Keys!$C$54&amp;$C187</f>
        <v>AZ|imports|heavy or residual fuel oil</v>
      </c>
    </row>
    <row r="188" spans="1:5" x14ac:dyDescent="0.25">
      <c r="A188" t="s">
        <v>67</v>
      </c>
      <c r="B188" t="s">
        <v>193</v>
      </c>
      <c r="C188" t="s">
        <v>114</v>
      </c>
      <c r="D188" s="10">
        <v>0</v>
      </c>
      <c r="E188" t="str">
        <f>$A188&amp;Keys!$C$54&amp;$B188&amp;Keys!$C$54&amp;$C188</f>
        <v>AZ|exports|heavy or residual fuel oil</v>
      </c>
    </row>
    <row r="189" spans="1:5" x14ac:dyDescent="0.25">
      <c r="A189" t="s">
        <v>67</v>
      </c>
      <c r="B189" t="s">
        <v>188</v>
      </c>
      <c r="C189" t="s">
        <v>117</v>
      </c>
      <c r="D189" s="10">
        <v>17621400000</v>
      </c>
      <c r="E189" t="str">
        <f>$A189&amp;Keys!$C$54&amp;$B189&amp;Keys!$C$54&amp;$C189</f>
        <v>AZ|production|LPG propane or butane</v>
      </c>
    </row>
    <row r="190" spans="1:5" x14ac:dyDescent="0.25">
      <c r="A190" t="s">
        <v>67</v>
      </c>
      <c r="B190" t="s">
        <v>191</v>
      </c>
      <c r="C190" t="s">
        <v>117</v>
      </c>
      <c r="D190" s="10">
        <v>11191400000000</v>
      </c>
      <c r="E190" t="str">
        <f>$A190&amp;Keys!$C$54&amp;$B190&amp;Keys!$C$54&amp;$C190</f>
        <v>AZ|imports|LPG propane or butane</v>
      </c>
    </row>
    <row r="191" spans="1:5" x14ac:dyDescent="0.25">
      <c r="A191" t="s">
        <v>67</v>
      </c>
      <c r="B191" t="s">
        <v>193</v>
      </c>
      <c r="C191" t="s">
        <v>117</v>
      </c>
      <c r="D191" s="10">
        <v>0</v>
      </c>
      <c r="E191" t="str">
        <f>$A191&amp;Keys!$C$54&amp;$B191&amp;Keys!$C$54&amp;$C191</f>
        <v>AZ|exports|LPG propane or butane</v>
      </c>
    </row>
    <row r="192" spans="1:5" x14ac:dyDescent="0.25">
      <c r="A192" t="s">
        <v>67</v>
      </c>
      <c r="B192" t="s">
        <v>188</v>
      </c>
      <c r="C192" t="s">
        <v>120</v>
      </c>
      <c r="D192" s="10">
        <v>0</v>
      </c>
      <c r="E192" t="str">
        <f>$A192&amp;Keys!$C$54&amp;$B192&amp;Keys!$C$54&amp;$C192</f>
        <v>AZ|production|municipal solid waste</v>
      </c>
    </row>
    <row r="193" spans="1:5" x14ac:dyDescent="0.25">
      <c r="A193" t="s">
        <v>67</v>
      </c>
      <c r="B193" t="s">
        <v>191</v>
      </c>
      <c r="C193" t="s">
        <v>120</v>
      </c>
      <c r="D193" s="10">
        <v>0</v>
      </c>
      <c r="E193" t="str">
        <f>$A193&amp;Keys!$C$54&amp;$B193&amp;Keys!$C$54&amp;$C193</f>
        <v>AZ|imports|municipal solid waste</v>
      </c>
    </row>
    <row r="194" spans="1:5" x14ac:dyDescent="0.25">
      <c r="A194" t="s">
        <v>67</v>
      </c>
      <c r="B194" t="s">
        <v>193</v>
      </c>
      <c r="C194" t="s">
        <v>120</v>
      </c>
      <c r="D194" s="10">
        <v>0</v>
      </c>
      <c r="E194" t="str">
        <f>$A194&amp;Keys!$C$54&amp;$B194&amp;Keys!$C$54&amp;$C194</f>
        <v>AZ|exports|municipal solid waste</v>
      </c>
    </row>
    <row r="195" spans="1:5" x14ac:dyDescent="0.25">
      <c r="A195" t="s">
        <v>67</v>
      </c>
      <c r="B195" t="s">
        <v>188</v>
      </c>
      <c r="C195" t="s">
        <v>123</v>
      </c>
      <c r="D195" s="10">
        <v>0</v>
      </c>
      <c r="E195" t="str">
        <f>$A195&amp;Keys!$C$54&amp;$B195&amp;Keys!$C$54&amp;$C195</f>
        <v>AZ|production|hydrogen</v>
      </c>
    </row>
    <row r="196" spans="1:5" x14ac:dyDescent="0.25">
      <c r="A196" t="s">
        <v>67</v>
      </c>
      <c r="B196" t="s">
        <v>191</v>
      </c>
      <c r="C196" t="s">
        <v>123</v>
      </c>
      <c r="D196" s="10">
        <v>691112000</v>
      </c>
      <c r="E196" t="str">
        <f>$A196&amp;Keys!$C$54&amp;$B196&amp;Keys!$C$54&amp;$C196</f>
        <v>AZ|imports|hydrogen</v>
      </c>
    </row>
    <row r="197" spans="1:5" x14ac:dyDescent="0.25">
      <c r="A197" t="s">
        <v>67</v>
      </c>
      <c r="B197" t="s">
        <v>193</v>
      </c>
      <c r="C197" t="s">
        <v>123</v>
      </c>
      <c r="D197" s="10">
        <v>0</v>
      </c>
      <c r="E197" t="str">
        <f>$A197&amp;Keys!$C$54&amp;$B197&amp;Keys!$C$54&amp;$C197</f>
        <v>AZ|exports|hydrogen</v>
      </c>
    </row>
    <row r="198" spans="1:5" x14ac:dyDescent="0.25">
      <c r="A198" t="s">
        <v>70</v>
      </c>
      <c r="B198" t="s">
        <v>188</v>
      </c>
      <c r="C198" t="s">
        <v>272</v>
      </c>
      <c r="D198" s="10">
        <v>0</v>
      </c>
      <c r="E198" t="str">
        <f>$A198&amp;Keys!$C$54&amp;$B198&amp;Keys!$C$54&amp;$C198</f>
        <v>CA|production|electricity</v>
      </c>
    </row>
    <row r="199" spans="1:5" x14ac:dyDescent="0.25">
      <c r="A199" t="s">
        <v>70</v>
      </c>
      <c r="B199" t="s">
        <v>191</v>
      </c>
      <c r="C199" t="s">
        <v>272</v>
      </c>
      <c r="D199" s="10">
        <v>0</v>
      </c>
      <c r="E199" t="str">
        <f>$A199&amp;Keys!$C$54&amp;$B199&amp;Keys!$C$54&amp;$C199</f>
        <v>CA|imports|electricity</v>
      </c>
    </row>
    <row r="200" spans="1:5" x14ac:dyDescent="0.25">
      <c r="A200" t="s">
        <v>70</v>
      </c>
      <c r="B200" t="s">
        <v>193</v>
      </c>
      <c r="C200" t="s">
        <v>272</v>
      </c>
      <c r="D200" s="10">
        <v>0</v>
      </c>
      <c r="E200" t="str">
        <f>$A200&amp;Keys!$C$54&amp;$B200&amp;Keys!$C$54&amp;$C200</f>
        <v>CA|exports|electricity</v>
      </c>
    </row>
    <row r="201" spans="1:5" x14ac:dyDescent="0.25">
      <c r="A201" t="s">
        <v>70</v>
      </c>
      <c r="B201" t="s">
        <v>188</v>
      </c>
      <c r="C201" t="s">
        <v>64</v>
      </c>
      <c r="D201" s="10">
        <v>0</v>
      </c>
      <c r="E201" t="str">
        <f>$A201&amp;Keys!$C$54&amp;$B201&amp;Keys!$C$54&amp;$C201</f>
        <v>CA|production|hard coal</v>
      </c>
    </row>
    <row r="202" spans="1:5" x14ac:dyDescent="0.25">
      <c r="A202" t="s">
        <v>70</v>
      </c>
      <c r="B202" t="s">
        <v>191</v>
      </c>
      <c r="C202" t="s">
        <v>64</v>
      </c>
      <c r="D202" s="10">
        <v>29082000000000</v>
      </c>
      <c r="E202" t="str">
        <f>$A202&amp;Keys!$C$54&amp;$B202&amp;Keys!$C$54&amp;$C202</f>
        <v>CA|imports|hard coal</v>
      </c>
    </row>
    <row r="203" spans="1:5" x14ac:dyDescent="0.25">
      <c r="A203" t="s">
        <v>70</v>
      </c>
      <c r="B203" t="s">
        <v>193</v>
      </c>
      <c r="C203" t="s">
        <v>64</v>
      </c>
      <c r="D203" s="10">
        <v>0</v>
      </c>
      <c r="E203" t="str">
        <f>$A203&amp;Keys!$C$54&amp;$B203&amp;Keys!$C$54&amp;$C203</f>
        <v>CA|exports|hard coal</v>
      </c>
    </row>
    <row r="204" spans="1:5" x14ac:dyDescent="0.25">
      <c r="A204" t="s">
        <v>70</v>
      </c>
      <c r="B204" t="s">
        <v>188</v>
      </c>
      <c r="C204" t="s">
        <v>68</v>
      </c>
      <c r="D204" s="10">
        <v>122738000000000</v>
      </c>
      <c r="E204" t="str">
        <f>$A204&amp;Keys!$C$54&amp;$B204&amp;Keys!$C$54&amp;$C204</f>
        <v>CA|production|natural gas</v>
      </c>
    </row>
    <row r="205" spans="1:5" x14ac:dyDescent="0.25">
      <c r="A205" t="s">
        <v>70</v>
      </c>
      <c r="B205" t="s">
        <v>191</v>
      </c>
      <c r="C205" t="s">
        <v>68</v>
      </c>
      <c r="D205" s="10">
        <v>2245180000000000</v>
      </c>
      <c r="E205" t="str">
        <f>$A205&amp;Keys!$C$54&amp;$B205&amp;Keys!$C$54&amp;$C205</f>
        <v>CA|imports|natural gas</v>
      </c>
    </row>
    <row r="206" spans="1:5" x14ac:dyDescent="0.25">
      <c r="A206" t="s">
        <v>70</v>
      </c>
      <c r="B206" t="s">
        <v>193</v>
      </c>
      <c r="C206" t="s">
        <v>68</v>
      </c>
      <c r="D206" s="10">
        <v>295856000000000</v>
      </c>
      <c r="E206" t="str">
        <f>$A206&amp;Keys!$C$54&amp;$B206&amp;Keys!$C$54&amp;$C206</f>
        <v>CA|exports|natural gas</v>
      </c>
    </row>
    <row r="207" spans="1:5" x14ac:dyDescent="0.25">
      <c r="A207" t="s">
        <v>70</v>
      </c>
      <c r="B207" t="s">
        <v>188</v>
      </c>
      <c r="C207" t="s">
        <v>71</v>
      </c>
      <c r="D207" s="10">
        <v>0</v>
      </c>
      <c r="E207" t="str">
        <f>$A207&amp;Keys!$C$54&amp;$B207&amp;Keys!$C$54&amp;$C207</f>
        <v>CA|production|nuclear</v>
      </c>
    </row>
    <row r="208" spans="1:5" x14ac:dyDescent="0.25">
      <c r="A208" t="s">
        <v>70</v>
      </c>
      <c r="B208" t="s">
        <v>191</v>
      </c>
      <c r="C208" t="s">
        <v>71</v>
      </c>
      <c r="D208" s="10">
        <v>183355000000000</v>
      </c>
      <c r="E208" t="str">
        <f>$A208&amp;Keys!$C$54&amp;$B208&amp;Keys!$C$54&amp;$C208</f>
        <v>CA|imports|nuclear</v>
      </c>
    </row>
    <row r="209" spans="1:5" x14ac:dyDescent="0.25">
      <c r="A209" t="s">
        <v>70</v>
      </c>
      <c r="B209" t="s">
        <v>193</v>
      </c>
      <c r="C209" t="s">
        <v>71</v>
      </c>
      <c r="D209" s="10">
        <v>0</v>
      </c>
      <c r="E209" t="str">
        <f>$A209&amp;Keys!$C$54&amp;$B209&amp;Keys!$C$54&amp;$C209</f>
        <v>CA|exports|nuclear</v>
      </c>
    </row>
    <row r="210" spans="1:5" x14ac:dyDescent="0.25">
      <c r="A210" t="s">
        <v>70</v>
      </c>
      <c r="B210" t="s">
        <v>188</v>
      </c>
      <c r="C210" t="s">
        <v>273</v>
      </c>
      <c r="D210" s="10">
        <v>0</v>
      </c>
      <c r="E210" t="str">
        <f>$A210&amp;Keys!$C$54&amp;$B210&amp;Keys!$C$54&amp;$C210</f>
        <v>CA|production|hydro</v>
      </c>
    </row>
    <row r="211" spans="1:5" x14ac:dyDescent="0.25">
      <c r="A211" t="s">
        <v>70</v>
      </c>
      <c r="B211" t="s">
        <v>191</v>
      </c>
      <c r="C211" t="s">
        <v>273</v>
      </c>
      <c r="D211" s="10">
        <v>0</v>
      </c>
      <c r="E211" t="str">
        <f>$A211&amp;Keys!$C$54&amp;$B211&amp;Keys!$C$54&amp;$C211</f>
        <v>CA|imports|hydro</v>
      </c>
    </row>
    <row r="212" spans="1:5" x14ac:dyDescent="0.25">
      <c r="A212" t="s">
        <v>70</v>
      </c>
      <c r="B212" t="s">
        <v>193</v>
      </c>
      <c r="C212" t="s">
        <v>273</v>
      </c>
      <c r="D212" s="10">
        <v>0</v>
      </c>
      <c r="E212" t="str">
        <f>$A212&amp;Keys!$C$54&amp;$B212&amp;Keys!$C$54&amp;$C212</f>
        <v>CA|exports|hydro</v>
      </c>
    </row>
    <row r="213" spans="1:5" x14ac:dyDescent="0.25">
      <c r="A213" t="s">
        <v>70</v>
      </c>
      <c r="B213" t="s">
        <v>188</v>
      </c>
      <c r="C213" t="s">
        <v>274</v>
      </c>
      <c r="D213" s="10">
        <v>0</v>
      </c>
      <c r="E213" t="str">
        <f>$A213&amp;Keys!$C$54&amp;$B213&amp;Keys!$C$54&amp;$C213</f>
        <v>CA|production|wind</v>
      </c>
    </row>
    <row r="214" spans="1:5" x14ac:dyDescent="0.25">
      <c r="A214" t="s">
        <v>70</v>
      </c>
      <c r="B214" t="s">
        <v>191</v>
      </c>
      <c r="C214" t="s">
        <v>274</v>
      </c>
      <c r="D214" s="10">
        <v>0</v>
      </c>
      <c r="E214" t="str">
        <f>$A214&amp;Keys!$C$54&amp;$B214&amp;Keys!$C$54&amp;$C214</f>
        <v>CA|imports|wind</v>
      </c>
    </row>
    <row r="215" spans="1:5" x14ac:dyDescent="0.25">
      <c r="A215" t="s">
        <v>70</v>
      </c>
      <c r="B215" t="s">
        <v>193</v>
      </c>
      <c r="C215" t="s">
        <v>274</v>
      </c>
      <c r="D215" s="10">
        <v>0</v>
      </c>
      <c r="E215" t="str">
        <f>$A215&amp;Keys!$C$54&amp;$B215&amp;Keys!$C$54&amp;$C215</f>
        <v>CA|exports|wind</v>
      </c>
    </row>
    <row r="216" spans="1:5" x14ac:dyDescent="0.25">
      <c r="A216" t="s">
        <v>70</v>
      </c>
      <c r="B216" t="s">
        <v>188</v>
      </c>
      <c r="C216" t="s">
        <v>275</v>
      </c>
      <c r="D216" s="10">
        <v>0</v>
      </c>
      <c r="E216" t="str">
        <f>$A216&amp;Keys!$C$54&amp;$B216&amp;Keys!$C$54&amp;$C216</f>
        <v>CA|production|solar</v>
      </c>
    </row>
    <row r="217" spans="1:5" x14ac:dyDescent="0.25">
      <c r="A217" t="s">
        <v>70</v>
      </c>
      <c r="B217" t="s">
        <v>191</v>
      </c>
      <c r="C217" t="s">
        <v>275</v>
      </c>
      <c r="D217" s="10">
        <v>0</v>
      </c>
      <c r="E217" t="str">
        <f>$A217&amp;Keys!$C$54&amp;$B217&amp;Keys!$C$54&amp;$C217</f>
        <v>CA|imports|solar</v>
      </c>
    </row>
    <row r="218" spans="1:5" x14ac:dyDescent="0.25">
      <c r="A218" t="s">
        <v>70</v>
      </c>
      <c r="B218" t="s">
        <v>193</v>
      </c>
      <c r="C218" t="s">
        <v>275</v>
      </c>
      <c r="D218" s="10">
        <v>0</v>
      </c>
      <c r="E218" t="str">
        <f>$A218&amp;Keys!$C$54&amp;$B218&amp;Keys!$C$54&amp;$C218</f>
        <v>CA|exports|solar</v>
      </c>
    </row>
    <row r="219" spans="1:5" x14ac:dyDescent="0.25">
      <c r="A219" t="s">
        <v>70</v>
      </c>
      <c r="B219" t="s">
        <v>188</v>
      </c>
      <c r="C219" t="s">
        <v>82</v>
      </c>
      <c r="D219" s="10">
        <v>2688000000000</v>
      </c>
      <c r="E219" t="str">
        <f>$A219&amp;Keys!$C$54&amp;$B219&amp;Keys!$C$54&amp;$C219</f>
        <v>CA|production|biomass</v>
      </c>
    </row>
    <row r="220" spans="1:5" x14ac:dyDescent="0.25">
      <c r="A220" t="s">
        <v>70</v>
      </c>
      <c r="B220" t="s">
        <v>191</v>
      </c>
      <c r="C220" t="s">
        <v>82</v>
      </c>
      <c r="D220" s="10">
        <v>101390000000000</v>
      </c>
      <c r="E220" t="str">
        <f>$A220&amp;Keys!$C$54&amp;$B220&amp;Keys!$C$54&amp;$C220</f>
        <v>CA|imports|biomass</v>
      </c>
    </row>
    <row r="221" spans="1:5" x14ac:dyDescent="0.25">
      <c r="A221" t="s">
        <v>70</v>
      </c>
      <c r="B221" t="s">
        <v>193</v>
      </c>
      <c r="C221" t="s">
        <v>82</v>
      </c>
      <c r="D221" s="10">
        <v>0</v>
      </c>
      <c r="E221" t="str">
        <f>$A221&amp;Keys!$C$54&amp;$B221&amp;Keys!$C$54&amp;$C221</f>
        <v>CA|exports|biomass</v>
      </c>
    </row>
    <row r="222" spans="1:5" x14ac:dyDescent="0.25">
      <c r="A222" t="s">
        <v>70</v>
      </c>
      <c r="B222" t="s">
        <v>188</v>
      </c>
      <c r="C222" t="s">
        <v>85</v>
      </c>
      <c r="D222" s="10">
        <v>1589550000000000</v>
      </c>
      <c r="E222" t="str">
        <f>$A222&amp;Keys!$C$54&amp;$B222&amp;Keys!$C$54&amp;$C222</f>
        <v>CA|production|petroleum gasoline</v>
      </c>
    </row>
    <row r="223" spans="1:5" x14ac:dyDescent="0.25">
      <c r="A223" t="s">
        <v>70</v>
      </c>
      <c r="B223" t="s">
        <v>191</v>
      </c>
      <c r="C223" t="s">
        <v>85</v>
      </c>
      <c r="D223" s="10">
        <v>77707800000000</v>
      </c>
      <c r="E223" t="str">
        <f>$A223&amp;Keys!$C$54&amp;$B223&amp;Keys!$C$54&amp;$C223</f>
        <v>CA|imports|petroleum gasoline</v>
      </c>
    </row>
    <row r="224" spans="1:5" x14ac:dyDescent="0.25">
      <c r="A224" t="s">
        <v>70</v>
      </c>
      <c r="B224" t="s">
        <v>193</v>
      </c>
      <c r="C224" t="s">
        <v>85</v>
      </c>
      <c r="D224" s="10">
        <v>345901000000000</v>
      </c>
      <c r="E224" t="str">
        <f>$A224&amp;Keys!$C$54&amp;$B224&amp;Keys!$C$54&amp;$C224</f>
        <v>CA|exports|petroleum gasoline</v>
      </c>
    </row>
    <row r="225" spans="1:5" x14ac:dyDescent="0.25">
      <c r="A225" t="s">
        <v>70</v>
      </c>
      <c r="B225" t="s">
        <v>188</v>
      </c>
      <c r="C225" t="s">
        <v>88</v>
      </c>
      <c r="D225" s="10">
        <v>940245000000000</v>
      </c>
      <c r="E225" t="str">
        <f>$A225&amp;Keys!$C$54&amp;$B225&amp;Keys!$C$54&amp;$C225</f>
        <v>CA|production|petroleum diesel</v>
      </c>
    </row>
    <row r="226" spans="1:5" x14ac:dyDescent="0.25">
      <c r="A226" t="s">
        <v>70</v>
      </c>
      <c r="B226" t="s">
        <v>191</v>
      </c>
      <c r="C226" t="s">
        <v>88</v>
      </c>
      <c r="D226" s="10">
        <v>4454300000000</v>
      </c>
      <c r="E226" t="str">
        <f>$A226&amp;Keys!$C$54&amp;$B226&amp;Keys!$C$54&amp;$C226</f>
        <v>CA|imports|petroleum diesel</v>
      </c>
    </row>
    <row r="227" spans="1:5" x14ac:dyDescent="0.25">
      <c r="A227" t="s">
        <v>70</v>
      </c>
      <c r="B227" t="s">
        <v>193</v>
      </c>
      <c r="C227" t="s">
        <v>88</v>
      </c>
      <c r="D227" s="10">
        <v>452647000000000</v>
      </c>
      <c r="E227" t="str">
        <f>$A227&amp;Keys!$C$54&amp;$B227&amp;Keys!$C$54&amp;$C227</f>
        <v>CA|exports|petroleum diesel</v>
      </c>
    </row>
    <row r="228" spans="1:5" x14ac:dyDescent="0.25">
      <c r="A228" t="s">
        <v>70</v>
      </c>
      <c r="B228" t="s">
        <v>188</v>
      </c>
      <c r="C228" t="s">
        <v>91</v>
      </c>
      <c r="D228" s="10">
        <v>5548790000000</v>
      </c>
      <c r="E228" t="str">
        <f>$A228&amp;Keys!$C$54&amp;$B228&amp;Keys!$C$54&amp;$C228</f>
        <v>CA|production|biofuel gasoline</v>
      </c>
    </row>
    <row r="229" spans="1:5" x14ac:dyDescent="0.25">
      <c r="A229" t="s">
        <v>70</v>
      </c>
      <c r="B229" t="s">
        <v>191</v>
      </c>
      <c r="C229" t="s">
        <v>91</v>
      </c>
      <c r="D229" s="10">
        <v>134545000000000</v>
      </c>
      <c r="E229" t="str">
        <f>$A229&amp;Keys!$C$54&amp;$B229&amp;Keys!$C$54&amp;$C229</f>
        <v>CA|imports|biofuel gasoline</v>
      </c>
    </row>
    <row r="230" spans="1:5" x14ac:dyDescent="0.25">
      <c r="A230" t="s">
        <v>70</v>
      </c>
      <c r="B230" t="s">
        <v>193</v>
      </c>
      <c r="C230" t="s">
        <v>91</v>
      </c>
      <c r="D230" s="10">
        <v>0</v>
      </c>
      <c r="E230" t="str">
        <f>$A230&amp;Keys!$C$54&amp;$B230&amp;Keys!$C$54&amp;$C230</f>
        <v>CA|exports|biofuel gasoline</v>
      </c>
    </row>
    <row r="231" spans="1:5" x14ac:dyDescent="0.25">
      <c r="A231" t="s">
        <v>70</v>
      </c>
      <c r="B231" t="s">
        <v>188</v>
      </c>
      <c r="C231" t="s">
        <v>94</v>
      </c>
      <c r="D231" s="10">
        <v>17423100000000</v>
      </c>
      <c r="E231" t="str">
        <f>$A231&amp;Keys!$C$54&amp;$B231&amp;Keys!$C$54&amp;$C231</f>
        <v>CA|production|biofuel diesel</v>
      </c>
    </row>
    <row r="232" spans="1:5" x14ac:dyDescent="0.25">
      <c r="A232" t="s">
        <v>70</v>
      </c>
      <c r="B232" t="s">
        <v>191</v>
      </c>
      <c r="C232" t="s">
        <v>94</v>
      </c>
      <c r="D232" s="10">
        <v>145974000000000</v>
      </c>
      <c r="E232" t="str">
        <f>$A232&amp;Keys!$C$54&amp;$B232&amp;Keys!$C$54&amp;$C232</f>
        <v>CA|imports|biofuel diesel</v>
      </c>
    </row>
    <row r="233" spans="1:5" x14ac:dyDescent="0.25">
      <c r="A233" t="s">
        <v>70</v>
      </c>
      <c r="B233" t="s">
        <v>193</v>
      </c>
      <c r="C233" t="s">
        <v>94</v>
      </c>
      <c r="D233" s="10">
        <v>0</v>
      </c>
      <c r="E233" t="str">
        <f>$A233&amp;Keys!$C$54&amp;$B233&amp;Keys!$C$54&amp;$C233</f>
        <v>CA|exports|biofuel diesel</v>
      </c>
    </row>
    <row r="234" spans="1:5" x14ac:dyDescent="0.25">
      <c r="A234" t="s">
        <v>70</v>
      </c>
      <c r="B234" t="s">
        <v>188</v>
      </c>
      <c r="C234" t="s">
        <v>97</v>
      </c>
      <c r="D234" s="10">
        <v>334708000000000</v>
      </c>
      <c r="E234" t="str">
        <f>$A234&amp;Keys!$C$54&amp;$B234&amp;Keys!$C$54&amp;$C234</f>
        <v>CA|production|jet fuel or kerosene</v>
      </c>
    </row>
    <row r="235" spans="1:5" x14ac:dyDescent="0.25">
      <c r="A235" t="s">
        <v>70</v>
      </c>
      <c r="B235" t="s">
        <v>191</v>
      </c>
      <c r="C235" t="s">
        <v>97</v>
      </c>
      <c r="D235" s="10">
        <v>212256000000000</v>
      </c>
      <c r="E235" t="str">
        <f>$A235&amp;Keys!$C$54&amp;$B235&amp;Keys!$C$54&amp;$C235</f>
        <v>CA|imports|jet fuel or kerosene</v>
      </c>
    </row>
    <row r="236" spans="1:5" x14ac:dyDescent="0.25">
      <c r="A236" t="s">
        <v>70</v>
      </c>
      <c r="B236" t="s">
        <v>193</v>
      </c>
      <c r="C236" t="s">
        <v>97</v>
      </c>
      <c r="D236" s="10">
        <v>20319300000000</v>
      </c>
      <c r="E236" t="str">
        <f>$A236&amp;Keys!$C$54&amp;$B236&amp;Keys!$C$54&amp;$C236</f>
        <v>CA|exports|jet fuel or kerosene</v>
      </c>
    </row>
    <row r="237" spans="1:5" x14ac:dyDescent="0.25">
      <c r="A237" t="s">
        <v>70</v>
      </c>
      <c r="B237" t="s">
        <v>188</v>
      </c>
      <c r="C237" t="s">
        <v>276</v>
      </c>
      <c r="D237" s="10">
        <v>0</v>
      </c>
      <c r="E237" t="str">
        <f>$A237&amp;Keys!$C$54&amp;$B237&amp;Keys!$C$54&amp;$C237</f>
        <v>CA|production|heat</v>
      </c>
    </row>
    <row r="238" spans="1:5" x14ac:dyDescent="0.25">
      <c r="A238" t="s">
        <v>70</v>
      </c>
      <c r="B238" t="s">
        <v>191</v>
      </c>
      <c r="C238" t="s">
        <v>276</v>
      </c>
      <c r="D238" s="10">
        <v>0</v>
      </c>
      <c r="E238" t="str">
        <f>$A238&amp;Keys!$C$54&amp;$B238&amp;Keys!$C$54&amp;$C238</f>
        <v>CA|imports|heat</v>
      </c>
    </row>
    <row r="239" spans="1:5" x14ac:dyDescent="0.25">
      <c r="A239" t="s">
        <v>70</v>
      </c>
      <c r="B239" t="s">
        <v>193</v>
      </c>
      <c r="C239" t="s">
        <v>276</v>
      </c>
      <c r="D239" s="10">
        <v>0</v>
      </c>
      <c r="E239" t="str">
        <f>$A239&amp;Keys!$C$54&amp;$B239&amp;Keys!$C$54&amp;$C239</f>
        <v>CA|exports|heat</v>
      </c>
    </row>
    <row r="240" spans="1:5" x14ac:dyDescent="0.25">
      <c r="A240" t="s">
        <v>70</v>
      </c>
      <c r="B240" t="s">
        <v>188</v>
      </c>
      <c r="C240" t="s">
        <v>277</v>
      </c>
      <c r="D240" s="10">
        <v>0</v>
      </c>
      <c r="E240" t="str">
        <f>$A240&amp;Keys!$C$54&amp;$B240&amp;Keys!$C$54&amp;$C240</f>
        <v>CA|production|geothermal</v>
      </c>
    </row>
    <row r="241" spans="1:5" x14ac:dyDescent="0.25">
      <c r="A241" t="s">
        <v>70</v>
      </c>
      <c r="B241" t="s">
        <v>191</v>
      </c>
      <c r="C241" t="s">
        <v>277</v>
      </c>
      <c r="D241" s="10">
        <v>0</v>
      </c>
      <c r="E241" t="str">
        <f>$A241&amp;Keys!$C$54&amp;$B241&amp;Keys!$C$54&amp;$C241</f>
        <v>CA|imports|geothermal</v>
      </c>
    </row>
    <row r="242" spans="1:5" x14ac:dyDescent="0.25">
      <c r="A242" t="s">
        <v>70</v>
      </c>
      <c r="B242" t="s">
        <v>193</v>
      </c>
      <c r="C242" t="s">
        <v>277</v>
      </c>
      <c r="D242" s="10">
        <v>0</v>
      </c>
      <c r="E242" t="str">
        <f>$A242&amp;Keys!$C$54&amp;$B242&amp;Keys!$C$54&amp;$C242</f>
        <v>CA|exports|geothermal</v>
      </c>
    </row>
    <row r="243" spans="1:5" x14ac:dyDescent="0.25">
      <c r="A243" t="s">
        <v>70</v>
      </c>
      <c r="B243" t="s">
        <v>188</v>
      </c>
      <c r="C243" t="s">
        <v>106</v>
      </c>
      <c r="D243" s="10">
        <v>0</v>
      </c>
      <c r="E243" t="str">
        <f>$A243&amp;Keys!$C$54&amp;$B243&amp;Keys!$C$54&amp;$C243</f>
        <v>CA|production|lignite</v>
      </c>
    </row>
    <row r="244" spans="1:5" x14ac:dyDescent="0.25">
      <c r="A244" t="s">
        <v>70</v>
      </c>
      <c r="B244" t="s">
        <v>191</v>
      </c>
      <c r="C244" t="s">
        <v>106</v>
      </c>
      <c r="D244" s="10">
        <v>0</v>
      </c>
      <c r="E244" t="str">
        <f>$A244&amp;Keys!$C$54&amp;$B244&amp;Keys!$C$54&amp;$C244</f>
        <v>CA|imports|lignite</v>
      </c>
    </row>
    <row r="245" spans="1:5" x14ac:dyDescent="0.25">
      <c r="A245" t="s">
        <v>70</v>
      </c>
      <c r="B245" t="s">
        <v>193</v>
      </c>
      <c r="C245" t="s">
        <v>106</v>
      </c>
      <c r="D245" s="10">
        <v>0</v>
      </c>
      <c r="E245" t="str">
        <f>$A245&amp;Keys!$C$54&amp;$B245&amp;Keys!$C$54&amp;$C245</f>
        <v>CA|exports|lignite</v>
      </c>
    </row>
    <row r="246" spans="1:5" x14ac:dyDescent="0.25">
      <c r="A246" t="s">
        <v>70</v>
      </c>
      <c r="B246" t="s">
        <v>188</v>
      </c>
      <c r="C246" t="s">
        <v>109</v>
      </c>
      <c r="D246" s="10">
        <v>637002000000000</v>
      </c>
      <c r="E246" t="str">
        <f>$A246&amp;Keys!$C$54&amp;$B246&amp;Keys!$C$54&amp;$C246</f>
        <v>CA|production|crude oil</v>
      </c>
    </row>
    <row r="247" spans="1:5" x14ac:dyDescent="0.25">
      <c r="A247" t="s">
        <v>70</v>
      </c>
      <c r="B247" t="s">
        <v>191</v>
      </c>
      <c r="C247" t="s">
        <v>109</v>
      </c>
      <c r="D247" s="10">
        <v>2487140000000000</v>
      </c>
      <c r="E247" t="str">
        <f>$A247&amp;Keys!$C$54&amp;$B247&amp;Keys!$C$54&amp;$C247</f>
        <v>CA|imports|crude oil</v>
      </c>
    </row>
    <row r="248" spans="1:5" x14ac:dyDescent="0.25">
      <c r="A248" t="s">
        <v>70</v>
      </c>
      <c r="B248" t="s">
        <v>193</v>
      </c>
      <c r="C248" t="s">
        <v>109</v>
      </c>
      <c r="D248" s="10">
        <v>0</v>
      </c>
      <c r="E248" t="str">
        <f>$A248&amp;Keys!$C$54&amp;$B248&amp;Keys!$C$54&amp;$C248</f>
        <v>CA|exports|crude oil</v>
      </c>
    </row>
    <row r="249" spans="1:5" x14ac:dyDescent="0.25">
      <c r="A249" t="s">
        <v>70</v>
      </c>
      <c r="B249" t="s">
        <v>188</v>
      </c>
      <c r="C249" t="s">
        <v>114</v>
      </c>
      <c r="D249" s="10">
        <v>65018200000000</v>
      </c>
      <c r="E249" t="str">
        <f>$A249&amp;Keys!$C$54&amp;$B249&amp;Keys!$C$54&amp;$C249</f>
        <v>CA|production|heavy or residual fuel oil</v>
      </c>
    </row>
    <row r="250" spans="1:5" x14ac:dyDescent="0.25">
      <c r="A250" t="s">
        <v>70</v>
      </c>
      <c r="B250" t="s">
        <v>191</v>
      </c>
      <c r="C250" t="s">
        <v>114</v>
      </c>
      <c r="D250" s="10">
        <v>166734000000000</v>
      </c>
      <c r="E250" t="str">
        <f>$A250&amp;Keys!$C$54&amp;$B250&amp;Keys!$C$54&amp;$C250</f>
        <v>CA|imports|heavy or residual fuel oil</v>
      </c>
    </row>
    <row r="251" spans="1:5" x14ac:dyDescent="0.25">
      <c r="A251" t="s">
        <v>70</v>
      </c>
      <c r="B251" t="s">
        <v>193</v>
      </c>
      <c r="C251" t="s">
        <v>114</v>
      </c>
      <c r="D251" s="10">
        <v>14648700000000</v>
      </c>
      <c r="E251" t="str">
        <f>$A251&amp;Keys!$C$54&amp;$B251&amp;Keys!$C$54&amp;$C251</f>
        <v>CA|exports|heavy or residual fuel oil</v>
      </c>
    </row>
    <row r="252" spans="1:5" x14ac:dyDescent="0.25">
      <c r="A252" t="s">
        <v>70</v>
      </c>
      <c r="B252" t="s">
        <v>188</v>
      </c>
      <c r="C252" t="s">
        <v>117</v>
      </c>
      <c r="D252" s="10">
        <v>15004700000000</v>
      </c>
      <c r="E252" t="str">
        <f>$A252&amp;Keys!$C$54&amp;$B252&amp;Keys!$C$54&amp;$C252</f>
        <v>CA|production|LPG propane or butane</v>
      </c>
    </row>
    <row r="253" spans="1:5" x14ac:dyDescent="0.25">
      <c r="A253" t="s">
        <v>70</v>
      </c>
      <c r="B253" t="s">
        <v>191</v>
      </c>
      <c r="C253" t="s">
        <v>117</v>
      </c>
      <c r="D253" s="10">
        <v>48516000000000</v>
      </c>
      <c r="E253" t="str">
        <f>$A253&amp;Keys!$C$54&amp;$B253&amp;Keys!$C$54&amp;$C253</f>
        <v>CA|imports|LPG propane or butane</v>
      </c>
    </row>
    <row r="254" spans="1:5" x14ac:dyDescent="0.25">
      <c r="A254" t="s">
        <v>70</v>
      </c>
      <c r="B254" t="s">
        <v>193</v>
      </c>
      <c r="C254" t="s">
        <v>117</v>
      </c>
      <c r="D254" s="10">
        <v>0</v>
      </c>
      <c r="E254" t="str">
        <f>$A254&amp;Keys!$C$54&amp;$B254&amp;Keys!$C$54&amp;$C254</f>
        <v>CA|exports|LPG propane or butane</v>
      </c>
    </row>
    <row r="255" spans="1:5" x14ac:dyDescent="0.25">
      <c r="A255" t="s">
        <v>70</v>
      </c>
      <c r="B255" t="s">
        <v>188</v>
      </c>
      <c r="C255" t="s">
        <v>120</v>
      </c>
      <c r="D255" s="10">
        <v>0</v>
      </c>
      <c r="E255" t="str">
        <f>$A255&amp;Keys!$C$54&amp;$B255&amp;Keys!$C$54&amp;$C255</f>
        <v>CA|production|municipal solid waste</v>
      </c>
    </row>
    <row r="256" spans="1:5" x14ac:dyDescent="0.25">
      <c r="A256" t="s">
        <v>70</v>
      </c>
      <c r="B256" t="s">
        <v>191</v>
      </c>
      <c r="C256" t="s">
        <v>120</v>
      </c>
      <c r="D256" s="10">
        <v>0</v>
      </c>
      <c r="E256" t="str">
        <f>$A256&amp;Keys!$C$54&amp;$B256&amp;Keys!$C$54&amp;$C256</f>
        <v>CA|imports|municipal solid waste</v>
      </c>
    </row>
    <row r="257" spans="1:5" x14ac:dyDescent="0.25">
      <c r="A257" t="s">
        <v>70</v>
      </c>
      <c r="B257" t="s">
        <v>193</v>
      </c>
      <c r="C257" t="s">
        <v>120</v>
      </c>
      <c r="D257" s="10">
        <v>0</v>
      </c>
      <c r="E257" t="str">
        <f>$A257&amp;Keys!$C$54&amp;$B257&amp;Keys!$C$54&amp;$C257</f>
        <v>CA|exports|municipal solid waste</v>
      </c>
    </row>
    <row r="258" spans="1:5" x14ac:dyDescent="0.25">
      <c r="A258" t="s">
        <v>70</v>
      </c>
      <c r="B258" t="s">
        <v>188</v>
      </c>
      <c r="C258" t="s">
        <v>123</v>
      </c>
      <c r="D258" s="10">
        <v>111982000000000</v>
      </c>
      <c r="E258" t="str">
        <f>$A258&amp;Keys!$C$54&amp;$B258&amp;Keys!$C$54&amp;$C258</f>
        <v>CA|production|hydrogen</v>
      </c>
    </row>
    <row r="259" spans="1:5" x14ac:dyDescent="0.25">
      <c r="A259" t="s">
        <v>70</v>
      </c>
      <c r="B259" t="s">
        <v>191</v>
      </c>
      <c r="C259" t="s">
        <v>123</v>
      </c>
      <c r="D259" s="10">
        <v>35547500000000</v>
      </c>
      <c r="E259" t="str">
        <f>$A259&amp;Keys!$C$54&amp;$B259&amp;Keys!$C$54&amp;$C259</f>
        <v>CA|imports|hydrogen</v>
      </c>
    </row>
    <row r="260" spans="1:5" x14ac:dyDescent="0.25">
      <c r="A260" t="s">
        <v>70</v>
      </c>
      <c r="B260" t="s">
        <v>193</v>
      </c>
      <c r="C260" t="s">
        <v>123</v>
      </c>
      <c r="D260" s="10">
        <v>0</v>
      </c>
      <c r="E260" t="str">
        <f>$A260&amp;Keys!$C$54&amp;$B260&amp;Keys!$C$54&amp;$C260</f>
        <v>CA|exports|hydrogen</v>
      </c>
    </row>
    <row r="261" spans="1:5" x14ac:dyDescent="0.25">
      <c r="A261" t="s">
        <v>73</v>
      </c>
      <c r="B261" t="s">
        <v>188</v>
      </c>
      <c r="C261" t="s">
        <v>272</v>
      </c>
      <c r="D261" s="10">
        <v>0</v>
      </c>
      <c r="E261" t="str">
        <f>$A261&amp;Keys!$C$54&amp;$B261&amp;Keys!$C$54&amp;$C261</f>
        <v>CO|production|electricity</v>
      </c>
    </row>
    <row r="262" spans="1:5" x14ac:dyDescent="0.25">
      <c r="A262" t="s">
        <v>73</v>
      </c>
      <c r="B262" t="s">
        <v>191</v>
      </c>
      <c r="C262" t="s">
        <v>272</v>
      </c>
      <c r="D262" s="10">
        <v>0</v>
      </c>
      <c r="E262" t="str">
        <f>$A262&amp;Keys!$C$54&amp;$B262&amp;Keys!$C$54&amp;$C262</f>
        <v>CO|imports|electricity</v>
      </c>
    </row>
    <row r="263" spans="1:5" x14ac:dyDescent="0.25">
      <c r="A263" t="s">
        <v>73</v>
      </c>
      <c r="B263" t="s">
        <v>193</v>
      </c>
      <c r="C263" t="s">
        <v>272</v>
      </c>
      <c r="D263" s="10">
        <v>0</v>
      </c>
      <c r="E263" t="str">
        <f>$A263&amp;Keys!$C$54&amp;$B263&amp;Keys!$C$54&amp;$C263</f>
        <v>CO|exports|electricity</v>
      </c>
    </row>
    <row r="264" spans="1:5" x14ac:dyDescent="0.25">
      <c r="A264" t="s">
        <v>73</v>
      </c>
      <c r="B264" t="s">
        <v>188</v>
      </c>
      <c r="C264" t="s">
        <v>64</v>
      </c>
      <c r="D264" s="10">
        <v>254022000000000</v>
      </c>
      <c r="E264" t="str">
        <f>$A264&amp;Keys!$C$54&amp;$B264&amp;Keys!$C$54&amp;$C264</f>
        <v>CO|production|hard coal</v>
      </c>
    </row>
    <row r="265" spans="1:5" x14ac:dyDescent="0.25">
      <c r="A265" t="s">
        <v>73</v>
      </c>
      <c r="B265" t="s">
        <v>191</v>
      </c>
      <c r="C265" t="s">
        <v>64</v>
      </c>
      <c r="D265" s="10">
        <v>69682100000000</v>
      </c>
      <c r="E265" t="str">
        <f>$A265&amp;Keys!$C$54&amp;$B265&amp;Keys!$C$54&amp;$C265</f>
        <v>CO|imports|hard coal</v>
      </c>
    </row>
    <row r="266" spans="1:5" x14ac:dyDescent="0.25">
      <c r="A266" t="s">
        <v>73</v>
      </c>
      <c r="B266" t="s">
        <v>193</v>
      </c>
      <c r="C266" t="s">
        <v>64</v>
      </c>
      <c r="D266" s="10">
        <v>97185000000000</v>
      </c>
      <c r="E266" t="str">
        <f>$A266&amp;Keys!$C$54&amp;$B266&amp;Keys!$C$54&amp;$C266</f>
        <v>CO|exports|hard coal</v>
      </c>
    </row>
    <row r="267" spans="1:5" x14ac:dyDescent="0.25">
      <c r="A267" t="s">
        <v>73</v>
      </c>
      <c r="B267" t="s">
        <v>188</v>
      </c>
      <c r="C267" t="s">
        <v>68</v>
      </c>
      <c r="D267" s="10">
        <v>1693430000000000</v>
      </c>
      <c r="E267" t="str">
        <f>$A267&amp;Keys!$C$54&amp;$B267&amp;Keys!$C$54&amp;$C267</f>
        <v>CO|production|natural gas</v>
      </c>
    </row>
    <row r="268" spans="1:5" x14ac:dyDescent="0.25">
      <c r="A268" t="s">
        <v>73</v>
      </c>
      <c r="B268" t="s">
        <v>191</v>
      </c>
      <c r="C268" t="s">
        <v>68</v>
      </c>
      <c r="D268" s="10">
        <v>757684000000000</v>
      </c>
      <c r="E268" t="str">
        <f>$A268&amp;Keys!$C$54&amp;$B268&amp;Keys!$C$54&amp;$C268</f>
        <v>CO|imports|natural gas</v>
      </c>
    </row>
    <row r="269" spans="1:5" x14ac:dyDescent="0.25">
      <c r="A269" t="s">
        <v>73</v>
      </c>
      <c r="B269" t="s">
        <v>193</v>
      </c>
      <c r="C269" t="s">
        <v>68</v>
      </c>
      <c r="D269" s="10">
        <v>1960690000000000</v>
      </c>
      <c r="E269" t="str">
        <f>$A269&amp;Keys!$C$54&amp;$B269&amp;Keys!$C$54&amp;$C269</f>
        <v>CO|exports|natural gas</v>
      </c>
    </row>
    <row r="270" spans="1:5" x14ac:dyDescent="0.25">
      <c r="A270" t="s">
        <v>73</v>
      </c>
      <c r="B270" t="s">
        <v>188</v>
      </c>
      <c r="C270" t="s">
        <v>71</v>
      </c>
      <c r="D270" s="10">
        <v>0</v>
      </c>
      <c r="E270" t="str">
        <f>$A270&amp;Keys!$C$54&amp;$B270&amp;Keys!$C$54&amp;$C270</f>
        <v>CO|production|nuclear</v>
      </c>
    </row>
    <row r="271" spans="1:5" x14ac:dyDescent="0.25">
      <c r="A271" t="s">
        <v>73</v>
      </c>
      <c r="B271" t="s">
        <v>191</v>
      </c>
      <c r="C271" t="s">
        <v>71</v>
      </c>
      <c r="D271" s="10">
        <v>0</v>
      </c>
      <c r="E271" t="str">
        <f>$A271&amp;Keys!$C$54&amp;$B271&amp;Keys!$C$54&amp;$C271</f>
        <v>CO|imports|nuclear</v>
      </c>
    </row>
    <row r="272" spans="1:5" x14ac:dyDescent="0.25">
      <c r="A272" t="s">
        <v>73</v>
      </c>
      <c r="B272" t="s">
        <v>193</v>
      </c>
      <c r="C272" t="s">
        <v>71</v>
      </c>
      <c r="D272" s="10">
        <v>0</v>
      </c>
      <c r="E272" t="str">
        <f>$A272&amp;Keys!$C$54&amp;$B272&amp;Keys!$C$54&amp;$C272</f>
        <v>CO|exports|nuclear</v>
      </c>
    </row>
    <row r="273" spans="1:5" x14ac:dyDescent="0.25">
      <c r="A273" t="s">
        <v>73</v>
      </c>
      <c r="B273" t="s">
        <v>188</v>
      </c>
      <c r="C273" t="s">
        <v>273</v>
      </c>
      <c r="D273" s="10">
        <v>0</v>
      </c>
      <c r="E273" t="str">
        <f>$A273&amp;Keys!$C$54&amp;$B273&amp;Keys!$C$54&amp;$C273</f>
        <v>CO|production|hydro</v>
      </c>
    </row>
    <row r="274" spans="1:5" x14ac:dyDescent="0.25">
      <c r="A274" t="s">
        <v>73</v>
      </c>
      <c r="B274" t="s">
        <v>191</v>
      </c>
      <c r="C274" t="s">
        <v>273</v>
      </c>
      <c r="D274" s="10">
        <v>0</v>
      </c>
      <c r="E274" t="str">
        <f>$A274&amp;Keys!$C$54&amp;$B274&amp;Keys!$C$54&amp;$C274</f>
        <v>CO|imports|hydro</v>
      </c>
    </row>
    <row r="275" spans="1:5" x14ac:dyDescent="0.25">
      <c r="A275" t="s">
        <v>73</v>
      </c>
      <c r="B275" t="s">
        <v>193</v>
      </c>
      <c r="C275" t="s">
        <v>273</v>
      </c>
      <c r="D275" s="10">
        <v>0</v>
      </c>
      <c r="E275" t="str">
        <f>$A275&amp;Keys!$C$54&amp;$B275&amp;Keys!$C$54&amp;$C275</f>
        <v>CO|exports|hydro</v>
      </c>
    </row>
    <row r="276" spans="1:5" x14ac:dyDescent="0.25">
      <c r="A276" t="s">
        <v>73</v>
      </c>
      <c r="B276" t="s">
        <v>188</v>
      </c>
      <c r="C276" t="s">
        <v>274</v>
      </c>
      <c r="D276" s="10">
        <v>0</v>
      </c>
      <c r="E276" t="str">
        <f>$A276&amp;Keys!$C$54&amp;$B276&amp;Keys!$C$54&amp;$C276</f>
        <v>CO|production|wind</v>
      </c>
    </row>
    <row r="277" spans="1:5" x14ac:dyDescent="0.25">
      <c r="A277" t="s">
        <v>73</v>
      </c>
      <c r="B277" t="s">
        <v>191</v>
      </c>
      <c r="C277" t="s">
        <v>274</v>
      </c>
      <c r="D277" s="10">
        <v>0</v>
      </c>
      <c r="E277" t="str">
        <f>$A277&amp;Keys!$C$54&amp;$B277&amp;Keys!$C$54&amp;$C277</f>
        <v>CO|imports|wind</v>
      </c>
    </row>
    <row r="278" spans="1:5" x14ac:dyDescent="0.25">
      <c r="A278" t="s">
        <v>73</v>
      </c>
      <c r="B278" t="s">
        <v>193</v>
      </c>
      <c r="C278" t="s">
        <v>274</v>
      </c>
      <c r="D278" s="10">
        <v>0</v>
      </c>
      <c r="E278" t="str">
        <f>$A278&amp;Keys!$C$54&amp;$B278&amp;Keys!$C$54&amp;$C278</f>
        <v>CO|exports|wind</v>
      </c>
    </row>
    <row r="279" spans="1:5" x14ac:dyDescent="0.25">
      <c r="A279" t="s">
        <v>73</v>
      </c>
      <c r="B279" t="s">
        <v>188</v>
      </c>
      <c r="C279" t="s">
        <v>275</v>
      </c>
      <c r="D279" s="10">
        <v>0</v>
      </c>
      <c r="E279" t="str">
        <f>$A279&amp;Keys!$C$54&amp;$B279&amp;Keys!$C$54&amp;$C279</f>
        <v>CO|production|solar</v>
      </c>
    </row>
    <row r="280" spans="1:5" x14ac:dyDescent="0.25">
      <c r="A280" t="s">
        <v>73</v>
      </c>
      <c r="B280" t="s">
        <v>191</v>
      </c>
      <c r="C280" t="s">
        <v>275</v>
      </c>
      <c r="D280" s="10">
        <v>0</v>
      </c>
      <c r="E280" t="str">
        <f>$A280&amp;Keys!$C$54&amp;$B280&amp;Keys!$C$54&amp;$C280</f>
        <v>CO|imports|solar</v>
      </c>
    </row>
    <row r="281" spans="1:5" x14ac:dyDescent="0.25">
      <c r="A281" t="s">
        <v>73</v>
      </c>
      <c r="B281" t="s">
        <v>193</v>
      </c>
      <c r="C281" t="s">
        <v>275</v>
      </c>
      <c r="D281" s="10">
        <v>0</v>
      </c>
      <c r="E281" t="str">
        <f>$A281&amp;Keys!$C$54&amp;$B281&amp;Keys!$C$54&amp;$C281</f>
        <v>CO|exports|solar</v>
      </c>
    </row>
    <row r="282" spans="1:5" x14ac:dyDescent="0.25">
      <c r="A282" t="s">
        <v>73</v>
      </c>
      <c r="B282" t="s">
        <v>188</v>
      </c>
      <c r="C282" t="s">
        <v>82</v>
      </c>
      <c r="D282" s="10">
        <v>0</v>
      </c>
      <c r="E282" t="str">
        <f>$A282&amp;Keys!$C$54&amp;$B282&amp;Keys!$C$54&amp;$C282</f>
        <v>CO|production|biomass</v>
      </c>
    </row>
    <row r="283" spans="1:5" x14ac:dyDescent="0.25">
      <c r="A283" t="s">
        <v>73</v>
      </c>
      <c r="B283" t="s">
        <v>191</v>
      </c>
      <c r="C283" t="s">
        <v>82</v>
      </c>
      <c r="D283" s="10">
        <v>8315760000000</v>
      </c>
      <c r="E283" t="str">
        <f>$A283&amp;Keys!$C$54&amp;$B283&amp;Keys!$C$54&amp;$C283</f>
        <v>CO|imports|biomass</v>
      </c>
    </row>
    <row r="284" spans="1:5" x14ac:dyDescent="0.25">
      <c r="A284" t="s">
        <v>73</v>
      </c>
      <c r="B284" t="s">
        <v>193</v>
      </c>
      <c r="C284" t="s">
        <v>82</v>
      </c>
      <c r="D284" s="10">
        <v>0</v>
      </c>
      <c r="E284" t="str">
        <f>$A284&amp;Keys!$C$54&amp;$B284&amp;Keys!$C$54&amp;$C284</f>
        <v>CO|exports|biomass</v>
      </c>
    </row>
    <row r="285" spans="1:5" x14ac:dyDescent="0.25">
      <c r="A285" t="s">
        <v>73</v>
      </c>
      <c r="B285" t="s">
        <v>188</v>
      </c>
      <c r="C285" t="s">
        <v>85</v>
      </c>
      <c r="D285" s="10">
        <v>99961500000000</v>
      </c>
      <c r="E285" t="str">
        <f>$A285&amp;Keys!$C$54&amp;$B285&amp;Keys!$C$54&amp;$C285</f>
        <v>CO|production|petroleum gasoline</v>
      </c>
    </row>
    <row r="286" spans="1:5" x14ac:dyDescent="0.25">
      <c r="A286" t="s">
        <v>73</v>
      </c>
      <c r="B286" t="s">
        <v>191</v>
      </c>
      <c r="C286" t="s">
        <v>85</v>
      </c>
      <c r="D286" s="10">
        <v>144178000000000</v>
      </c>
      <c r="E286" t="str">
        <f>$A286&amp;Keys!$C$54&amp;$B286&amp;Keys!$C$54&amp;$C286</f>
        <v>CO|imports|petroleum gasoline</v>
      </c>
    </row>
    <row r="287" spans="1:5" x14ac:dyDescent="0.25">
      <c r="A287" t="s">
        <v>73</v>
      </c>
      <c r="B287" t="s">
        <v>193</v>
      </c>
      <c r="C287" t="s">
        <v>85</v>
      </c>
      <c r="D287" s="10">
        <v>0</v>
      </c>
      <c r="E287" t="str">
        <f>$A287&amp;Keys!$C$54&amp;$B287&amp;Keys!$C$54&amp;$C287</f>
        <v>CO|exports|petroleum gasoline</v>
      </c>
    </row>
    <row r="288" spans="1:5" x14ac:dyDescent="0.25">
      <c r="A288" t="s">
        <v>73</v>
      </c>
      <c r="B288" t="s">
        <v>188</v>
      </c>
      <c r="C288" t="s">
        <v>88</v>
      </c>
      <c r="D288" s="10">
        <v>59128800000000</v>
      </c>
      <c r="E288" t="str">
        <f>$A288&amp;Keys!$C$54&amp;$B288&amp;Keys!$C$54&amp;$C288</f>
        <v>CO|production|petroleum diesel</v>
      </c>
    </row>
    <row r="289" spans="1:5" x14ac:dyDescent="0.25">
      <c r="A289" t="s">
        <v>73</v>
      </c>
      <c r="B289" t="s">
        <v>191</v>
      </c>
      <c r="C289" t="s">
        <v>88</v>
      </c>
      <c r="D289" s="10">
        <v>71353500000000</v>
      </c>
      <c r="E289" t="str">
        <f>$A289&amp;Keys!$C$54&amp;$B289&amp;Keys!$C$54&amp;$C289</f>
        <v>CO|imports|petroleum diesel</v>
      </c>
    </row>
    <row r="290" spans="1:5" x14ac:dyDescent="0.25">
      <c r="A290" t="s">
        <v>73</v>
      </c>
      <c r="B290" t="s">
        <v>193</v>
      </c>
      <c r="C290" t="s">
        <v>88</v>
      </c>
      <c r="D290" s="10">
        <v>0</v>
      </c>
      <c r="E290" t="str">
        <f>$A290&amp;Keys!$C$54&amp;$B290&amp;Keys!$C$54&amp;$C290</f>
        <v>CO|exports|petroleum diesel</v>
      </c>
    </row>
    <row r="291" spans="1:5" x14ac:dyDescent="0.25">
      <c r="A291" t="s">
        <v>73</v>
      </c>
      <c r="B291" t="s">
        <v>188</v>
      </c>
      <c r="C291" t="s">
        <v>91</v>
      </c>
      <c r="D291" s="10">
        <v>12759900000000</v>
      </c>
      <c r="E291" t="str">
        <f>$A291&amp;Keys!$C$54&amp;$B291&amp;Keys!$C$54&amp;$C291</f>
        <v>CO|production|biofuel gasoline</v>
      </c>
    </row>
    <row r="292" spans="1:5" x14ac:dyDescent="0.25">
      <c r="A292" t="s">
        <v>73</v>
      </c>
      <c r="B292" t="s">
        <v>191</v>
      </c>
      <c r="C292" t="s">
        <v>91</v>
      </c>
      <c r="D292" s="10">
        <v>3034610000000</v>
      </c>
      <c r="E292" t="str">
        <f>$A292&amp;Keys!$C$54&amp;$B292&amp;Keys!$C$54&amp;$C292</f>
        <v>CO|imports|biofuel gasoline</v>
      </c>
    </row>
    <row r="293" spans="1:5" x14ac:dyDescent="0.25">
      <c r="A293" t="s">
        <v>73</v>
      </c>
      <c r="B293" t="s">
        <v>193</v>
      </c>
      <c r="C293" t="s">
        <v>91</v>
      </c>
      <c r="D293" s="10">
        <v>0</v>
      </c>
      <c r="E293" t="str">
        <f>$A293&amp;Keys!$C$54&amp;$B293&amp;Keys!$C$54&amp;$C293</f>
        <v>CO|exports|biofuel gasoline</v>
      </c>
    </row>
    <row r="294" spans="1:5" x14ac:dyDescent="0.25">
      <c r="A294" t="s">
        <v>73</v>
      </c>
      <c r="B294" t="s">
        <v>188</v>
      </c>
      <c r="C294" t="s">
        <v>94</v>
      </c>
      <c r="D294" s="10">
        <v>0</v>
      </c>
      <c r="E294" t="str">
        <f>$A294&amp;Keys!$C$54&amp;$B294&amp;Keys!$C$54&amp;$C294</f>
        <v>CO|production|biofuel diesel</v>
      </c>
    </row>
    <row r="295" spans="1:5" x14ac:dyDescent="0.25">
      <c r="A295" t="s">
        <v>73</v>
      </c>
      <c r="B295" t="s">
        <v>191</v>
      </c>
      <c r="C295" t="s">
        <v>94</v>
      </c>
      <c r="D295" s="10">
        <v>418725000000</v>
      </c>
      <c r="E295" t="str">
        <f>$A295&amp;Keys!$C$54&amp;$B295&amp;Keys!$C$54&amp;$C295</f>
        <v>CO|imports|biofuel diesel</v>
      </c>
    </row>
    <row r="296" spans="1:5" x14ac:dyDescent="0.25">
      <c r="A296" t="s">
        <v>73</v>
      </c>
      <c r="B296" t="s">
        <v>193</v>
      </c>
      <c r="C296" t="s">
        <v>94</v>
      </c>
      <c r="D296" s="10">
        <v>0</v>
      </c>
      <c r="E296" t="str">
        <f>$A296&amp;Keys!$C$54&amp;$B296&amp;Keys!$C$54&amp;$C296</f>
        <v>CO|exports|biofuel diesel</v>
      </c>
    </row>
    <row r="297" spans="1:5" x14ac:dyDescent="0.25">
      <c r="A297" t="s">
        <v>73</v>
      </c>
      <c r="B297" t="s">
        <v>188</v>
      </c>
      <c r="C297" t="s">
        <v>97</v>
      </c>
      <c r="D297" s="10">
        <v>21048600000000</v>
      </c>
      <c r="E297" t="str">
        <f>$A297&amp;Keys!$C$54&amp;$B297&amp;Keys!$C$54&amp;$C297</f>
        <v>CO|production|jet fuel or kerosene</v>
      </c>
    </row>
    <row r="298" spans="1:5" x14ac:dyDescent="0.25">
      <c r="A298" t="s">
        <v>73</v>
      </c>
      <c r="B298" t="s">
        <v>191</v>
      </c>
      <c r="C298" t="s">
        <v>97</v>
      </c>
      <c r="D298" s="10">
        <v>61021700000000</v>
      </c>
      <c r="E298" t="str">
        <f>$A298&amp;Keys!$C$54&amp;$B298&amp;Keys!$C$54&amp;$C298</f>
        <v>CO|imports|jet fuel or kerosene</v>
      </c>
    </row>
    <row r="299" spans="1:5" x14ac:dyDescent="0.25">
      <c r="A299" t="s">
        <v>73</v>
      </c>
      <c r="B299" t="s">
        <v>193</v>
      </c>
      <c r="C299" t="s">
        <v>97</v>
      </c>
      <c r="D299" s="10">
        <v>0</v>
      </c>
      <c r="E299" t="str">
        <f>$A299&amp;Keys!$C$54&amp;$B299&amp;Keys!$C$54&amp;$C299</f>
        <v>CO|exports|jet fuel or kerosene</v>
      </c>
    </row>
    <row r="300" spans="1:5" x14ac:dyDescent="0.25">
      <c r="A300" t="s">
        <v>73</v>
      </c>
      <c r="B300" t="s">
        <v>188</v>
      </c>
      <c r="C300" t="s">
        <v>276</v>
      </c>
      <c r="D300" s="10">
        <v>0</v>
      </c>
      <c r="E300" t="str">
        <f>$A300&amp;Keys!$C$54&amp;$B300&amp;Keys!$C$54&amp;$C300</f>
        <v>CO|production|heat</v>
      </c>
    </row>
    <row r="301" spans="1:5" x14ac:dyDescent="0.25">
      <c r="A301" t="s">
        <v>73</v>
      </c>
      <c r="B301" t="s">
        <v>191</v>
      </c>
      <c r="C301" t="s">
        <v>276</v>
      </c>
      <c r="D301" s="10">
        <v>0</v>
      </c>
      <c r="E301" t="str">
        <f>$A301&amp;Keys!$C$54&amp;$B301&amp;Keys!$C$54&amp;$C301</f>
        <v>CO|imports|heat</v>
      </c>
    </row>
    <row r="302" spans="1:5" x14ac:dyDescent="0.25">
      <c r="A302" t="s">
        <v>73</v>
      </c>
      <c r="B302" t="s">
        <v>193</v>
      </c>
      <c r="C302" t="s">
        <v>276</v>
      </c>
      <c r="D302" s="10">
        <v>0</v>
      </c>
      <c r="E302" t="str">
        <f>$A302&amp;Keys!$C$54&amp;$B302&amp;Keys!$C$54&amp;$C302</f>
        <v>CO|exports|heat</v>
      </c>
    </row>
    <row r="303" spans="1:5" x14ac:dyDescent="0.25">
      <c r="A303" t="s">
        <v>73</v>
      </c>
      <c r="B303" t="s">
        <v>188</v>
      </c>
      <c r="C303" t="s">
        <v>277</v>
      </c>
      <c r="D303" s="10">
        <v>0</v>
      </c>
      <c r="E303" t="str">
        <f>$A303&amp;Keys!$C$54&amp;$B303&amp;Keys!$C$54&amp;$C303</f>
        <v>CO|production|geothermal</v>
      </c>
    </row>
    <row r="304" spans="1:5" x14ac:dyDescent="0.25">
      <c r="A304" t="s">
        <v>73</v>
      </c>
      <c r="B304" t="s">
        <v>191</v>
      </c>
      <c r="C304" t="s">
        <v>277</v>
      </c>
      <c r="D304" s="10">
        <v>0</v>
      </c>
      <c r="E304" t="str">
        <f>$A304&amp;Keys!$C$54&amp;$B304&amp;Keys!$C$54&amp;$C304</f>
        <v>CO|imports|geothermal</v>
      </c>
    </row>
    <row r="305" spans="1:5" x14ac:dyDescent="0.25">
      <c r="A305" t="s">
        <v>73</v>
      </c>
      <c r="B305" t="s">
        <v>193</v>
      </c>
      <c r="C305" t="s">
        <v>277</v>
      </c>
      <c r="D305" s="10">
        <v>0</v>
      </c>
      <c r="E305" t="str">
        <f>$A305&amp;Keys!$C$54&amp;$B305&amp;Keys!$C$54&amp;$C305</f>
        <v>CO|exports|geothermal</v>
      </c>
    </row>
    <row r="306" spans="1:5" x14ac:dyDescent="0.25">
      <c r="A306" t="s">
        <v>73</v>
      </c>
      <c r="B306" t="s">
        <v>188</v>
      </c>
      <c r="C306" t="s">
        <v>106</v>
      </c>
      <c r="D306" s="10">
        <v>0</v>
      </c>
      <c r="E306" t="str">
        <f>$A306&amp;Keys!$C$54&amp;$B306&amp;Keys!$C$54&amp;$C306</f>
        <v>CO|production|lignite</v>
      </c>
    </row>
    <row r="307" spans="1:5" x14ac:dyDescent="0.25">
      <c r="A307" t="s">
        <v>73</v>
      </c>
      <c r="B307" t="s">
        <v>191</v>
      </c>
      <c r="C307" t="s">
        <v>106</v>
      </c>
      <c r="D307" s="10">
        <v>0</v>
      </c>
      <c r="E307" t="str">
        <f>$A307&amp;Keys!$C$54&amp;$B307&amp;Keys!$C$54&amp;$C307</f>
        <v>CO|imports|lignite</v>
      </c>
    </row>
    <row r="308" spans="1:5" x14ac:dyDescent="0.25">
      <c r="A308" t="s">
        <v>73</v>
      </c>
      <c r="B308" t="s">
        <v>193</v>
      </c>
      <c r="C308" t="s">
        <v>106</v>
      </c>
      <c r="D308" s="10">
        <v>0</v>
      </c>
      <c r="E308" t="str">
        <f>$A308&amp;Keys!$C$54&amp;$B308&amp;Keys!$C$54&amp;$C308</f>
        <v>CO|exports|lignite</v>
      </c>
    </row>
    <row r="309" spans="1:5" x14ac:dyDescent="0.25">
      <c r="A309" t="s">
        <v>73</v>
      </c>
      <c r="B309" t="s">
        <v>188</v>
      </c>
      <c r="C309" t="s">
        <v>109</v>
      </c>
      <c r="D309" s="10">
        <v>987676000000000</v>
      </c>
      <c r="E309" t="str">
        <f>$A309&amp;Keys!$C$54&amp;$B309&amp;Keys!$C$54&amp;$C309</f>
        <v>CO|production|crude oil</v>
      </c>
    </row>
    <row r="310" spans="1:5" x14ac:dyDescent="0.25">
      <c r="A310" t="s">
        <v>73</v>
      </c>
      <c r="B310" t="s">
        <v>191</v>
      </c>
      <c r="C310" t="s">
        <v>109</v>
      </c>
      <c r="D310" s="10">
        <v>0</v>
      </c>
      <c r="E310" t="str">
        <f>$A310&amp;Keys!$C$54&amp;$B310&amp;Keys!$C$54&amp;$C310</f>
        <v>CO|imports|crude oil</v>
      </c>
    </row>
    <row r="311" spans="1:5" x14ac:dyDescent="0.25">
      <c r="A311" t="s">
        <v>73</v>
      </c>
      <c r="B311" t="s">
        <v>193</v>
      </c>
      <c r="C311" t="s">
        <v>109</v>
      </c>
      <c r="D311" s="10">
        <v>774787000000000</v>
      </c>
      <c r="E311" t="str">
        <f>$A311&amp;Keys!$C$54&amp;$B311&amp;Keys!$C$54&amp;$C311</f>
        <v>CO|exports|crude oil</v>
      </c>
    </row>
    <row r="312" spans="1:5" x14ac:dyDescent="0.25">
      <c r="A312" t="s">
        <v>73</v>
      </c>
      <c r="B312" t="s">
        <v>188</v>
      </c>
      <c r="C312" t="s">
        <v>114</v>
      </c>
      <c r="D312" s="10">
        <v>4088770000000</v>
      </c>
      <c r="E312" t="str">
        <f>$A312&amp;Keys!$C$54&amp;$B312&amp;Keys!$C$54&amp;$C312</f>
        <v>CO|production|heavy or residual fuel oil</v>
      </c>
    </row>
    <row r="313" spans="1:5" x14ac:dyDescent="0.25">
      <c r="A313" t="s">
        <v>73</v>
      </c>
      <c r="B313" t="s">
        <v>191</v>
      </c>
      <c r="C313" t="s">
        <v>114</v>
      </c>
      <c r="D313" s="10">
        <v>8248130000000</v>
      </c>
      <c r="E313" t="str">
        <f>$A313&amp;Keys!$C$54&amp;$B313&amp;Keys!$C$54&amp;$C313</f>
        <v>CO|imports|heavy or residual fuel oil</v>
      </c>
    </row>
    <row r="314" spans="1:5" x14ac:dyDescent="0.25">
      <c r="A314" t="s">
        <v>73</v>
      </c>
      <c r="B314" t="s">
        <v>193</v>
      </c>
      <c r="C314" t="s">
        <v>114</v>
      </c>
      <c r="D314" s="10">
        <v>0</v>
      </c>
      <c r="E314" t="str">
        <f>$A314&amp;Keys!$C$54&amp;$B314&amp;Keys!$C$54&amp;$C314</f>
        <v>CO|exports|heavy or residual fuel oil</v>
      </c>
    </row>
    <row r="315" spans="1:5" x14ac:dyDescent="0.25">
      <c r="A315" t="s">
        <v>73</v>
      </c>
      <c r="B315" t="s">
        <v>188</v>
      </c>
      <c r="C315" t="s">
        <v>117</v>
      </c>
      <c r="D315" s="10">
        <v>207021000000000</v>
      </c>
      <c r="E315" t="str">
        <f>$A315&amp;Keys!$C$54&amp;$B315&amp;Keys!$C$54&amp;$C315</f>
        <v>CO|production|LPG propane or butane</v>
      </c>
    </row>
    <row r="316" spans="1:5" x14ac:dyDescent="0.25">
      <c r="A316" t="s">
        <v>73</v>
      </c>
      <c r="B316" t="s">
        <v>191</v>
      </c>
      <c r="C316" t="s">
        <v>117</v>
      </c>
      <c r="D316" s="10">
        <v>48078300000</v>
      </c>
      <c r="E316" t="str">
        <f>$A316&amp;Keys!$C$54&amp;$B316&amp;Keys!$C$54&amp;$C316</f>
        <v>CO|imports|LPG propane or butane</v>
      </c>
    </row>
    <row r="317" spans="1:5" x14ac:dyDescent="0.25">
      <c r="A317" t="s">
        <v>73</v>
      </c>
      <c r="B317" t="s">
        <v>193</v>
      </c>
      <c r="C317" t="s">
        <v>117</v>
      </c>
      <c r="D317" s="10">
        <v>190003000000000</v>
      </c>
      <c r="E317" t="str">
        <f>$A317&amp;Keys!$C$54&amp;$B317&amp;Keys!$C$54&amp;$C317</f>
        <v>CO|exports|LPG propane or butane</v>
      </c>
    </row>
    <row r="318" spans="1:5" x14ac:dyDescent="0.25">
      <c r="A318" t="s">
        <v>73</v>
      </c>
      <c r="B318" t="s">
        <v>188</v>
      </c>
      <c r="C318" t="s">
        <v>120</v>
      </c>
      <c r="D318" s="10">
        <v>0</v>
      </c>
      <c r="E318" t="str">
        <f>$A318&amp;Keys!$C$54&amp;$B318&amp;Keys!$C$54&amp;$C318</f>
        <v>CO|production|municipal solid waste</v>
      </c>
    </row>
    <row r="319" spans="1:5" x14ac:dyDescent="0.25">
      <c r="A319" t="s">
        <v>73</v>
      </c>
      <c r="B319" t="s">
        <v>191</v>
      </c>
      <c r="C319" t="s">
        <v>120</v>
      </c>
      <c r="D319" s="10">
        <v>0</v>
      </c>
      <c r="E319" t="str">
        <f>$A319&amp;Keys!$C$54&amp;$B319&amp;Keys!$C$54&amp;$C319</f>
        <v>CO|imports|municipal solid waste</v>
      </c>
    </row>
    <row r="320" spans="1:5" x14ac:dyDescent="0.25">
      <c r="A320" t="s">
        <v>73</v>
      </c>
      <c r="B320" t="s">
        <v>193</v>
      </c>
      <c r="C320" t="s">
        <v>120</v>
      </c>
      <c r="D320" s="10">
        <v>0</v>
      </c>
      <c r="E320" t="str">
        <f>$A320&amp;Keys!$C$54&amp;$B320&amp;Keys!$C$54&amp;$C320</f>
        <v>CO|exports|municipal solid waste</v>
      </c>
    </row>
    <row r="321" spans="1:5" x14ac:dyDescent="0.25">
      <c r="A321" t="s">
        <v>73</v>
      </c>
      <c r="B321" t="s">
        <v>188</v>
      </c>
      <c r="C321" t="s">
        <v>123</v>
      </c>
      <c r="D321" s="10">
        <v>2609750000000</v>
      </c>
      <c r="E321" t="str">
        <f>$A321&amp;Keys!$C$54&amp;$B321&amp;Keys!$C$54&amp;$C321</f>
        <v>CO|production|hydrogen</v>
      </c>
    </row>
    <row r="322" spans="1:5" x14ac:dyDescent="0.25">
      <c r="A322" t="s">
        <v>73</v>
      </c>
      <c r="B322" t="s">
        <v>191</v>
      </c>
      <c r="C322" t="s">
        <v>123</v>
      </c>
      <c r="D322" s="10">
        <v>190398000000</v>
      </c>
      <c r="E322" t="str">
        <f>$A322&amp;Keys!$C$54&amp;$B322&amp;Keys!$C$54&amp;$C322</f>
        <v>CO|imports|hydrogen</v>
      </c>
    </row>
    <row r="323" spans="1:5" x14ac:dyDescent="0.25">
      <c r="A323" t="s">
        <v>73</v>
      </c>
      <c r="B323" t="s">
        <v>193</v>
      </c>
      <c r="C323" t="s">
        <v>123</v>
      </c>
      <c r="D323" s="10">
        <v>0</v>
      </c>
      <c r="E323" t="str">
        <f>$A323&amp;Keys!$C$54&amp;$B323&amp;Keys!$C$54&amp;$C323</f>
        <v>CO|exports|hydrogen</v>
      </c>
    </row>
    <row r="324" spans="1:5" x14ac:dyDescent="0.25">
      <c r="A324" t="s">
        <v>76</v>
      </c>
      <c r="B324" t="s">
        <v>188</v>
      </c>
      <c r="C324" t="s">
        <v>272</v>
      </c>
      <c r="D324" s="10">
        <v>0</v>
      </c>
      <c r="E324" t="str">
        <f>$A324&amp;Keys!$C$54&amp;$B324&amp;Keys!$C$54&amp;$C324</f>
        <v>CT|production|electricity</v>
      </c>
    </row>
    <row r="325" spans="1:5" x14ac:dyDescent="0.25">
      <c r="A325" t="s">
        <v>76</v>
      </c>
      <c r="B325" t="s">
        <v>191</v>
      </c>
      <c r="C325" t="s">
        <v>272</v>
      </c>
      <c r="D325" s="10">
        <v>0</v>
      </c>
      <c r="E325" t="str">
        <f>$A325&amp;Keys!$C$54&amp;$B325&amp;Keys!$C$54&amp;$C325</f>
        <v>CT|imports|electricity</v>
      </c>
    </row>
    <row r="326" spans="1:5" x14ac:dyDescent="0.25">
      <c r="A326" t="s">
        <v>76</v>
      </c>
      <c r="B326" t="s">
        <v>193</v>
      </c>
      <c r="C326" t="s">
        <v>272</v>
      </c>
      <c r="D326" s="10">
        <v>0</v>
      </c>
      <c r="E326" t="str">
        <f>$A326&amp;Keys!$C$54&amp;$B326&amp;Keys!$C$54&amp;$C326</f>
        <v>CT|exports|electricity</v>
      </c>
    </row>
    <row r="327" spans="1:5" x14ac:dyDescent="0.25">
      <c r="A327" t="s">
        <v>76</v>
      </c>
      <c r="B327" t="s">
        <v>188</v>
      </c>
      <c r="C327" t="s">
        <v>64</v>
      </c>
      <c r="D327" s="10">
        <v>0</v>
      </c>
      <c r="E327" t="str">
        <f>$A327&amp;Keys!$C$54&amp;$B327&amp;Keys!$C$54&amp;$C327</f>
        <v>CT|production|hard coal</v>
      </c>
    </row>
    <row r="328" spans="1:5" x14ac:dyDescent="0.25">
      <c r="A328" t="s">
        <v>76</v>
      </c>
      <c r="B328" t="s">
        <v>191</v>
      </c>
      <c r="C328" t="s">
        <v>64</v>
      </c>
      <c r="D328" s="10">
        <v>0</v>
      </c>
      <c r="E328" t="str">
        <f>$A328&amp;Keys!$C$54&amp;$B328&amp;Keys!$C$54&amp;$C328</f>
        <v>CT|imports|hard coal</v>
      </c>
    </row>
    <row r="329" spans="1:5" x14ac:dyDescent="0.25">
      <c r="A329" t="s">
        <v>76</v>
      </c>
      <c r="B329" t="s">
        <v>193</v>
      </c>
      <c r="C329" t="s">
        <v>64</v>
      </c>
      <c r="D329" s="10">
        <v>0</v>
      </c>
      <c r="E329" t="str">
        <f>$A329&amp;Keys!$C$54&amp;$B329&amp;Keys!$C$54&amp;$C329</f>
        <v>CT|exports|hard coal</v>
      </c>
    </row>
    <row r="330" spans="1:5" x14ac:dyDescent="0.25">
      <c r="A330" t="s">
        <v>76</v>
      </c>
      <c r="B330" t="s">
        <v>188</v>
      </c>
      <c r="C330" t="s">
        <v>68</v>
      </c>
      <c r="D330" s="10">
        <v>0</v>
      </c>
      <c r="E330" t="str">
        <f>$A330&amp;Keys!$C$54&amp;$B330&amp;Keys!$C$54&amp;$C330</f>
        <v>CT|production|natural gas</v>
      </c>
    </row>
    <row r="331" spans="1:5" x14ac:dyDescent="0.25">
      <c r="A331" t="s">
        <v>76</v>
      </c>
      <c r="B331" t="s">
        <v>191</v>
      </c>
      <c r="C331" t="s">
        <v>68</v>
      </c>
      <c r="D331" s="10">
        <v>674030000000000</v>
      </c>
      <c r="E331" t="str">
        <f>$A331&amp;Keys!$C$54&amp;$B331&amp;Keys!$C$54&amp;$C331</f>
        <v>CT|imports|natural gas</v>
      </c>
    </row>
    <row r="332" spans="1:5" x14ac:dyDescent="0.25">
      <c r="A332" t="s">
        <v>76</v>
      </c>
      <c r="B332" t="s">
        <v>193</v>
      </c>
      <c r="C332" t="s">
        <v>68</v>
      </c>
      <c r="D332" s="10">
        <v>376494000000000</v>
      </c>
      <c r="E332" t="str">
        <f>$A332&amp;Keys!$C$54&amp;$B332&amp;Keys!$C$54&amp;$C332</f>
        <v>CT|exports|natural gas</v>
      </c>
    </row>
    <row r="333" spans="1:5" x14ac:dyDescent="0.25">
      <c r="A333" t="s">
        <v>76</v>
      </c>
      <c r="B333" t="s">
        <v>188</v>
      </c>
      <c r="C333" t="s">
        <v>71</v>
      </c>
      <c r="D333" s="10">
        <v>0</v>
      </c>
      <c r="E333" t="str">
        <f>$A333&amp;Keys!$C$54&amp;$B333&amp;Keys!$C$54&amp;$C333</f>
        <v>CT|production|nuclear</v>
      </c>
    </row>
    <row r="334" spans="1:5" x14ac:dyDescent="0.25">
      <c r="A334" t="s">
        <v>76</v>
      </c>
      <c r="B334" t="s">
        <v>191</v>
      </c>
      <c r="C334" t="s">
        <v>71</v>
      </c>
      <c r="D334" s="10">
        <v>174482000000000</v>
      </c>
      <c r="E334" t="str">
        <f>$A334&amp;Keys!$C$54&amp;$B334&amp;Keys!$C$54&amp;$C334</f>
        <v>CT|imports|nuclear</v>
      </c>
    </row>
    <row r="335" spans="1:5" x14ac:dyDescent="0.25">
      <c r="A335" t="s">
        <v>76</v>
      </c>
      <c r="B335" t="s">
        <v>193</v>
      </c>
      <c r="C335" t="s">
        <v>71</v>
      </c>
      <c r="D335" s="10">
        <v>0</v>
      </c>
      <c r="E335" t="str">
        <f>$A335&amp;Keys!$C$54&amp;$B335&amp;Keys!$C$54&amp;$C335</f>
        <v>CT|exports|nuclear</v>
      </c>
    </row>
    <row r="336" spans="1:5" x14ac:dyDescent="0.25">
      <c r="A336" t="s">
        <v>76</v>
      </c>
      <c r="B336" t="s">
        <v>188</v>
      </c>
      <c r="C336" t="s">
        <v>273</v>
      </c>
      <c r="D336" s="10">
        <v>0</v>
      </c>
      <c r="E336" t="str">
        <f>$A336&amp;Keys!$C$54&amp;$B336&amp;Keys!$C$54&amp;$C336</f>
        <v>CT|production|hydro</v>
      </c>
    </row>
    <row r="337" spans="1:5" x14ac:dyDescent="0.25">
      <c r="A337" t="s">
        <v>76</v>
      </c>
      <c r="B337" t="s">
        <v>191</v>
      </c>
      <c r="C337" t="s">
        <v>273</v>
      </c>
      <c r="D337" s="10">
        <v>0</v>
      </c>
      <c r="E337" t="str">
        <f>$A337&amp;Keys!$C$54&amp;$B337&amp;Keys!$C$54&amp;$C337</f>
        <v>CT|imports|hydro</v>
      </c>
    </row>
    <row r="338" spans="1:5" x14ac:dyDescent="0.25">
      <c r="A338" t="s">
        <v>76</v>
      </c>
      <c r="B338" t="s">
        <v>193</v>
      </c>
      <c r="C338" t="s">
        <v>273</v>
      </c>
      <c r="D338" s="10">
        <v>0</v>
      </c>
      <c r="E338" t="str">
        <f>$A338&amp;Keys!$C$54&amp;$B338&amp;Keys!$C$54&amp;$C338</f>
        <v>CT|exports|hydro</v>
      </c>
    </row>
    <row r="339" spans="1:5" x14ac:dyDescent="0.25">
      <c r="A339" t="s">
        <v>76</v>
      </c>
      <c r="B339" t="s">
        <v>188</v>
      </c>
      <c r="C339" t="s">
        <v>274</v>
      </c>
      <c r="D339" s="10">
        <v>0</v>
      </c>
      <c r="E339" t="str">
        <f>$A339&amp;Keys!$C$54&amp;$B339&amp;Keys!$C$54&amp;$C339</f>
        <v>CT|production|wind</v>
      </c>
    </row>
    <row r="340" spans="1:5" x14ac:dyDescent="0.25">
      <c r="A340" t="s">
        <v>76</v>
      </c>
      <c r="B340" t="s">
        <v>191</v>
      </c>
      <c r="C340" t="s">
        <v>274</v>
      </c>
      <c r="D340" s="10">
        <v>0</v>
      </c>
      <c r="E340" t="str">
        <f>$A340&amp;Keys!$C$54&amp;$B340&amp;Keys!$C$54&amp;$C340</f>
        <v>CT|imports|wind</v>
      </c>
    </row>
    <row r="341" spans="1:5" x14ac:dyDescent="0.25">
      <c r="A341" t="s">
        <v>76</v>
      </c>
      <c r="B341" t="s">
        <v>193</v>
      </c>
      <c r="C341" t="s">
        <v>274</v>
      </c>
      <c r="D341" s="10">
        <v>0</v>
      </c>
      <c r="E341" t="str">
        <f>$A341&amp;Keys!$C$54&amp;$B341&amp;Keys!$C$54&amp;$C341</f>
        <v>CT|exports|wind</v>
      </c>
    </row>
    <row r="342" spans="1:5" x14ac:dyDescent="0.25">
      <c r="A342" t="s">
        <v>76</v>
      </c>
      <c r="B342" t="s">
        <v>188</v>
      </c>
      <c r="C342" t="s">
        <v>275</v>
      </c>
      <c r="D342" s="10">
        <v>0</v>
      </c>
      <c r="E342" t="str">
        <f>$A342&amp;Keys!$C$54&amp;$B342&amp;Keys!$C$54&amp;$C342</f>
        <v>CT|production|solar</v>
      </c>
    </row>
    <row r="343" spans="1:5" x14ac:dyDescent="0.25">
      <c r="A343" t="s">
        <v>76</v>
      </c>
      <c r="B343" t="s">
        <v>191</v>
      </c>
      <c r="C343" t="s">
        <v>275</v>
      </c>
      <c r="D343" s="10">
        <v>0</v>
      </c>
      <c r="E343" t="str">
        <f>$A343&amp;Keys!$C$54&amp;$B343&amp;Keys!$C$54&amp;$C343</f>
        <v>CT|imports|solar</v>
      </c>
    </row>
    <row r="344" spans="1:5" x14ac:dyDescent="0.25">
      <c r="A344" t="s">
        <v>76</v>
      </c>
      <c r="B344" t="s">
        <v>193</v>
      </c>
      <c r="C344" t="s">
        <v>275</v>
      </c>
      <c r="D344" s="10">
        <v>0</v>
      </c>
      <c r="E344" t="str">
        <f>$A344&amp;Keys!$C$54&amp;$B344&amp;Keys!$C$54&amp;$C344</f>
        <v>CT|exports|solar</v>
      </c>
    </row>
    <row r="345" spans="1:5" x14ac:dyDescent="0.25">
      <c r="A345" t="s">
        <v>76</v>
      </c>
      <c r="B345" t="s">
        <v>188</v>
      </c>
      <c r="C345" t="s">
        <v>82</v>
      </c>
      <c r="D345" s="10">
        <v>0</v>
      </c>
      <c r="E345" t="str">
        <f>$A345&amp;Keys!$C$54&amp;$B345&amp;Keys!$C$54&amp;$C345</f>
        <v>CT|production|biomass</v>
      </c>
    </row>
    <row r="346" spans="1:5" x14ac:dyDescent="0.25">
      <c r="A346" t="s">
        <v>76</v>
      </c>
      <c r="B346" t="s">
        <v>191</v>
      </c>
      <c r="C346" t="s">
        <v>82</v>
      </c>
      <c r="D346" s="10">
        <v>17278800000000</v>
      </c>
      <c r="E346" t="str">
        <f>$A346&amp;Keys!$C$54&amp;$B346&amp;Keys!$C$54&amp;$C346</f>
        <v>CT|imports|biomass</v>
      </c>
    </row>
    <row r="347" spans="1:5" x14ac:dyDescent="0.25">
      <c r="A347" t="s">
        <v>76</v>
      </c>
      <c r="B347" t="s">
        <v>193</v>
      </c>
      <c r="C347" t="s">
        <v>82</v>
      </c>
      <c r="D347" s="10">
        <v>0</v>
      </c>
      <c r="E347" t="str">
        <f>$A347&amp;Keys!$C$54&amp;$B347&amp;Keys!$C$54&amp;$C347</f>
        <v>CT|exports|biomass</v>
      </c>
    </row>
    <row r="348" spans="1:5" x14ac:dyDescent="0.25">
      <c r="A348" t="s">
        <v>76</v>
      </c>
      <c r="B348" t="s">
        <v>188</v>
      </c>
      <c r="C348" t="s">
        <v>85</v>
      </c>
      <c r="D348" s="10">
        <v>0</v>
      </c>
      <c r="E348" t="str">
        <f>$A348&amp;Keys!$C$54&amp;$B348&amp;Keys!$C$54&amp;$C348</f>
        <v>CT|production|petroleum gasoline</v>
      </c>
    </row>
    <row r="349" spans="1:5" x14ac:dyDescent="0.25">
      <c r="A349" t="s">
        <v>76</v>
      </c>
      <c r="B349" t="s">
        <v>191</v>
      </c>
      <c r="C349" t="s">
        <v>85</v>
      </c>
      <c r="D349" s="10">
        <v>159966000000000</v>
      </c>
      <c r="E349" t="str">
        <f>$A349&amp;Keys!$C$54&amp;$B349&amp;Keys!$C$54&amp;$C349</f>
        <v>CT|imports|petroleum gasoline</v>
      </c>
    </row>
    <row r="350" spans="1:5" x14ac:dyDescent="0.25">
      <c r="A350" t="s">
        <v>76</v>
      </c>
      <c r="B350" t="s">
        <v>193</v>
      </c>
      <c r="C350" t="s">
        <v>85</v>
      </c>
      <c r="D350" s="10">
        <v>0</v>
      </c>
      <c r="E350" t="str">
        <f>$A350&amp;Keys!$C$54&amp;$B350&amp;Keys!$C$54&amp;$C350</f>
        <v>CT|exports|petroleum gasoline</v>
      </c>
    </row>
    <row r="351" spans="1:5" x14ac:dyDescent="0.25">
      <c r="A351" t="s">
        <v>76</v>
      </c>
      <c r="B351" t="s">
        <v>188</v>
      </c>
      <c r="C351" t="s">
        <v>88</v>
      </c>
      <c r="D351" s="10">
        <v>0</v>
      </c>
      <c r="E351" t="str">
        <f>$A351&amp;Keys!$C$54&amp;$B351&amp;Keys!$C$54&amp;$C351</f>
        <v>CT|production|petroleum diesel</v>
      </c>
    </row>
    <row r="352" spans="1:5" x14ac:dyDescent="0.25">
      <c r="A352" t="s">
        <v>76</v>
      </c>
      <c r="B352" t="s">
        <v>191</v>
      </c>
      <c r="C352" t="s">
        <v>88</v>
      </c>
      <c r="D352" s="10">
        <v>109756000000000</v>
      </c>
      <c r="E352" t="str">
        <f>$A352&amp;Keys!$C$54&amp;$B352&amp;Keys!$C$54&amp;$C352</f>
        <v>CT|imports|petroleum diesel</v>
      </c>
    </row>
    <row r="353" spans="1:5" x14ac:dyDescent="0.25">
      <c r="A353" t="s">
        <v>76</v>
      </c>
      <c r="B353" t="s">
        <v>193</v>
      </c>
      <c r="C353" t="s">
        <v>88</v>
      </c>
      <c r="D353" s="10">
        <v>0</v>
      </c>
      <c r="E353" t="str">
        <f>$A353&amp;Keys!$C$54&amp;$B353&amp;Keys!$C$54&amp;$C353</f>
        <v>CT|exports|petroleum diesel</v>
      </c>
    </row>
    <row r="354" spans="1:5" x14ac:dyDescent="0.25">
      <c r="A354" t="s">
        <v>76</v>
      </c>
      <c r="B354" t="s">
        <v>188</v>
      </c>
      <c r="C354" t="s">
        <v>91</v>
      </c>
      <c r="D354" s="10">
        <v>0</v>
      </c>
      <c r="E354" t="str">
        <f>$A354&amp;Keys!$C$54&amp;$B354&amp;Keys!$C$54&amp;$C354</f>
        <v>CT|production|biofuel gasoline</v>
      </c>
    </row>
    <row r="355" spans="1:5" x14ac:dyDescent="0.25">
      <c r="A355" t="s">
        <v>76</v>
      </c>
      <c r="B355" t="s">
        <v>191</v>
      </c>
      <c r="C355" t="s">
        <v>91</v>
      </c>
      <c r="D355" s="10">
        <v>11706100000000</v>
      </c>
      <c r="E355" t="str">
        <f>$A355&amp;Keys!$C$54&amp;$B355&amp;Keys!$C$54&amp;$C355</f>
        <v>CT|imports|biofuel gasoline</v>
      </c>
    </row>
    <row r="356" spans="1:5" x14ac:dyDescent="0.25">
      <c r="A356" t="s">
        <v>76</v>
      </c>
      <c r="B356" t="s">
        <v>193</v>
      </c>
      <c r="C356" t="s">
        <v>91</v>
      </c>
      <c r="D356" s="10">
        <v>0</v>
      </c>
      <c r="E356" t="str">
        <f>$A356&amp;Keys!$C$54&amp;$B356&amp;Keys!$C$54&amp;$C356</f>
        <v>CT|exports|biofuel gasoline</v>
      </c>
    </row>
    <row r="357" spans="1:5" x14ac:dyDescent="0.25">
      <c r="A357" t="s">
        <v>76</v>
      </c>
      <c r="B357" t="s">
        <v>188</v>
      </c>
      <c r="C357" t="s">
        <v>94</v>
      </c>
      <c r="D357" s="10">
        <v>10680200000000</v>
      </c>
      <c r="E357" t="str">
        <f>$A357&amp;Keys!$C$54&amp;$B357&amp;Keys!$C$54&amp;$C357</f>
        <v>CT|production|biofuel diesel</v>
      </c>
    </row>
    <row r="358" spans="1:5" x14ac:dyDescent="0.25">
      <c r="A358" t="s">
        <v>76</v>
      </c>
      <c r="B358" t="s">
        <v>191</v>
      </c>
      <c r="C358" t="s">
        <v>94</v>
      </c>
      <c r="D358" s="10">
        <v>21529300000</v>
      </c>
      <c r="E358" t="str">
        <f>$A358&amp;Keys!$C$54&amp;$B358&amp;Keys!$C$54&amp;$C358</f>
        <v>CT|imports|biofuel diesel</v>
      </c>
    </row>
    <row r="359" spans="1:5" x14ac:dyDescent="0.25">
      <c r="A359" t="s">
        <v>76</v>
      </c>
      <c r="B359" t="s">
        <v>193</v>
      </c>
      <c r="C359" t="s">
        <v>94</v>
      </c>
      <c r="D359" s="10">
        <v>9974050000000</v>
      </c>
      <c r="E359" t="str">
        <f>$A359&amp;Keys!$C$54&amp;$B359&amp;Keys!$C$54&amp;$C359</f>
        <v>CT|exports|biofuel diesel</v>
      </c>
    </row>
    <row r="360" spans="1:5" x14ac:dyDescent="0.25">
      <c r="A360" t="s">
        <v>76</v>
      </c>
      <c r="B360" t="s">
        <v>188</v>
      </c>
      <c r="C360" t="s">
        <v>97</v>
      </c>
      <c r="D360" s="10">
        <v>0</v>
      </c>
      <c r="E360" t="str">
        <f>$A360&amp;Keys!$C$54&amp;$B360&amp;Keys!$C$54&amp;$C360</f>
        <v>CT|production|jet fuel or kerosene</v>
      </c>
    </row>
    <row r="361" spans="1:5" x14ac:dyDescent="0.25">
      <c r="A361" t="s">
        <v>76</v>
      </c>
      <c r="B361" t="s">
        <v>191</v>
      </c>
      <c r="C361" t="s">
        <v>97</v>
      </c>
      <c r="D361" s="10">
        <v>9759880000000</v>
      </c>
      <c r="E361" t="str">
        <f>$A361&amp;Keys!$C$54&amp;$B361&amp;Keys!$C$54&amp;$C361</f>
        <v>CT|imports|jet fuel or kerosene</v>
      </c>
    </row>
    <row r="362" spans="1:5" x14ac:dyDescent="0.25">
      <c r="A362" t="s">
        <v>76</v>
      </c>
      <c r="B362" t="s">
        <v>193</v>
      </c>
      <c r="C362" t="s">
        <v>97</v>
      </c>
      <c r="D362" s="10">
        <v>0</v>
      </c>
      <c r="E362" t="str">
        <f>$A362&amp;Keys!$C$54&amp;$B362&amp;Keys!$C$54&amp;$C362</f>
        <v>CT|exports|jet fuel or kerosene</v>
      </c>
    </row>
    <row r="363" spans="1:5" x14ac:dyDescent="0.25">
      <c r="A363" t="s">
        <v>76</v>
      </c>
      <c r="B363" t="s">
        <v>188</v>
      </c>
      <c r="C363" t="s">
        <v>276</v>
      </c>
      <c r="D363" s="10">
        <v>0</v>
      </c>
      <c r="E363" t="str">
        <f>$A363&amp;Keys!$C$54&amp;$B363&amp;Keys!$C$54&amp;$C363</f>
        <v>CT|production|heat</v>
      </c>
    </row>
    <row r="364" spans="1:5" x14ac:dyDescent="0.25">
      <c r="A364" t="s">
        <v>76</v>
      </c>
      <c r="B364" t="s">
        <v>191</v>
      </c>
      <c r="C364" t="s">
        <v>276</v>
      </c>
      <c r="D364" s="10">
        <v>0</v>
      </c>
      <c r="E364" t="str">
        <f>$A364&amp;Keys!$C$54&amp;$B364&amp;Keys!$C$54&amp;$C364</f>
        <v>CT|imports|heat</v>
      </c>
    </row>
    <row r="365" spans="1:5" x14ac:dyDescent="0.25">
      <c r="A365" t="s">
        <v>76</v>
      </c>
      <c r="B365" t="s">
        <v>193</v>
      </c>
      <c r="C365" t="s">
        <v>276</v>
      </c>
      <c r="D365" s="10">
        <v>0</v>
      </c>
      <c r="E365" t="str">
        <f>$A365&amp;Keys!$C$54&amp;$B365&amp;Keys!$C$54&amp;$C365</f>
        <v>CT|exports|heat</v>
      </c>
    </row>
    <row r="366" spans="1:5" x14ac:dyDescent="0.25">
      <c r="A366" t="s">
        <v>76</v>
      </c>
      <c r="B366" t="s">
        <v>188</v>
      </c>
      <c r="C366" t="s">
        <v>277</v>
      </c>
      <c r="D366" s="10">
        <v>0</v>
      </c>
      <c r="E366" t="str">
        <f>$A366&amp;Keys!$C$54&amp;$B366&amp;Keys!$C$54&amp;$C366</f>
        <v>CT|production|geothermal</v>
      </c>
    </row>
    <row r="367" spans="1:5" x14ac:dyDescent="0.25">
      <c r="A367" t="s">
        <v>76</v>
      </c>
      <c r="B367" t="s">
        <v>191</v>
      </c>
      <c r="C367" t="s">
        <v>277</v>
      </c>
      <c r="D367" s="10">
        <v>0</v>
      </c>
      <c r="E367" t="str">
        <f>$A367&amp;Keys!$C$54&amp;$B367&amp;Keys!$C$54&amp;$C367</f>
        <v>CT|imports|geothermal</v>
      </c>
    </row>
    <row r="368" spans="1:5" x14ac:dyDescent="0.25">
      <c r="A368" t="s">
        <v>76</v>
      </c>
      <c r="B368" t="s">
        <v>193</v>
      </c>
      <c r="C368" t="s">
        <v>277</v>
      </c>
      <c r="D368" s="10">
        <v>0</v>
      </c>
      <c r="E368" t="str">
        <f>$A368&amp;Keys!$C$54&amp;$B368&amp;Keys!$C$54&amp;$C368</f>
        <v>CT|exports|geothermal</v>
      </c>
    </row>
    <row r="369" spans="1:5" x14ac:dyDescent="0.25">
      <c r="A369" t="s">
        <v>76</v>
      </c>
      <c r="B369" t="s">
        <v>188</v>
      </c>
      <c r="C369" t="s">
        <v>106</v>
      </c>
      <c r="D369" s="10">
        <v>0</v>
      </c>
      <c r="E369" t="str">
        <f>$A369&amp;Keys!$C$54&amp;$B369&amp;Keys!$C$54&amp;$C369</f>
        <v>CT|production|lignite</v>
      </c>
    </row>
    <row r="370" spans="1:5" x14ac:dyDescent="0.25">
      <c r="A370" t="s">
        <v>76</v>
      </c>
      <c r="B370" t="s">
        <v>191</v>
      </c>
      <c r="C370" t="s">
        <v>106</v>
      </c>
      <c r="D370" s="10">
        <v>0</v>
      </c>
      <c r="E370" t="str">
        <f>$A370&amp;Keys!$C$54&amp;$B370&amp;Keys!$C$54&amp;$C370</f>
        <v>CT|imports|lignite</v>
      </c>
    </row>
    <row r="371" spans="1:5" x14ac:dyDescent="0.25">
      <c r="A371" t="s">
        <v>76</v>
      </c>
      <c r="B371" t="s">
        <v>193</v>
      </c>
      <c r="C371" t="s">
        <v>106</v>
      </c>
      <c r="D371" s="10">
        <v>0</v>
      </c>
      <c r="E371" t="str">
        <f>$A371&amp;Keys!$C$54&amp;$B371&amp;Keys!$C$54&amp;$C371</f>
        <v>CT|exports|lignite</v>
      </c>
    </row>
    <row r="372" spans="1:5" x14ac:dyDescent="0.25">
      <c r="A372" t="s">
        <v>76</v>
      </c>
      <c r="B372" t="s">
        <v>188</v>
      </c>
      <c r="C372" t="s">
        <v>109</v>
      </c>
      <c r="D372" s="10">
        <v>0</v>
      </c>
      <c r="E372" t="str">
        <f>$A372&amp;Keys!$C$54&amp;$B372&amp;Keys!$C$54&amp;$C372</f>
        <v>CT|production|crude oil</v>
      </c>
    </row>
    <row r="373" spans="1:5" x14ac:dyDescent="0.25">
      <c r="A373" t="s">
        <v>76</v>
      </c>
      <c r="B373" t="s">
        <v>191</v>
      </c>
      <c r="C373" t="s">
        <v>109</v>
      </c>
      <c r="D373" s="10">
        <v>18366500000000</v>
      </c>
      <c r="E373" t="str">
        <f>$A373&amp;Keys!$C$54&amp;$B373&amp;Keys!$C$54&amp;$C373</f>
        <v>CT|imports|crude oil</v>
      </c>
    </row>
    <row r="374" spans="1:5" x14ac:dyDescent="0.25">
      <c r="A374" t="s">
        <v>76</v>
      </c>
      <c r="B374" t="s">
        <v>193</v>
      </c>
      <c r="C374" t="s">
        <v>109</v>
      </c>
      <c r="D374" s="10">
        <v>17753500000000</v>
      </c>
      <c r="E374" t="str">
        <f>$A374&amp;Keys!$C$54&amp;$B374&amp;Keys!$C$54&amp;$C374</f>
        <v>CT|exports|crude oil</v>
      </c>
    </row>
    <row r="375" spans="1:5" x14ac:dyDescent="0.25">
      <c r="A375" t="s">
        <v>76</v>
      </c>
      <c r="B375" t="s">
        <v>188</v>
      </c>
      <c r="C375" t="s">
        <v>114</v>
      </c>
      <c r="D375" s="10">
        <v>0</v>
      </c>
      <c r="E375" t="str">
        <f>$A375&amp;Keys!$C$54&amp;$B375&amp;Keys!$C$54&amp;$C375</f>
        <v>CT|production|heavy or residual fuel oil</v>
      </c>
    </row>
    <row r="376" spans="1:5" x14ac:dyDescent="0.25">
      <c r="A376" t="s">
        <v>76</v>
      </c>
      <c r="B376" t="s">
        <v>191</v>
      </c>
      <c r="C376" t="s">
        <v>114</v>
      </c>
      <c r="D376" s="10">
        <v>10748700000000</v>
      </c>
      <c r="E376" t="str">
        <f>$A376&amp;Keys!$C$54&amp;$B376&amp;Keys!$C$54&amp;$C376</f>
        <v>CT|imports|heavy or residual fuel oil</v>
      </c>
    </row>
    <row r="377" spans="1:5" x14ac:dyDescent="0.25">
      <c r="A377" t="s">
        <v>76</v>
      </c>
      <c r="B377" t="s">
        <v>193</v>
      </c>
      <c r="C377" t="s">
        <v>114</v>
      </c>
      <c r="D377" s="10">
        <v>0</v>
      </c>
      <c r="E377" t="str">
        <f>$A377&amp;Keys!$C$54&amp;$B377&amp;Keys!$C$54&amp;$C377</f>
        <v>CT|exports|heavy or residual fuel oil</v>
      </c>
    </row>
    <row r="378" spans="1:5" x14ac:dyDescent="0.25">
      <c r="A378" t="s">
        <v>76</v>
      </c>
      <c r="B378" t="s">
        <v>188</v>
      </c>
      <c r="C378" t="s">
        <v>117</v>
      </c>
      <c r="D378" s="10">
        <v>0</v>
      </c>
      <c r="E378" t="str">
        <f>$A378&amp;Keys!$C$54&amp;$B378&amp;Keys!$C$54&amp;$C378</f>
        <v>CT|production|LPG propane or butane</v>
      </c>
    </row>
    <row r="379" spans="1:5" x14ac:dyDescent="0.25">
      <c r="A379" t="s">
        <v>76</v>
      </c>
      <c r="B379" t="s">
        <v>191</v>
      </c>
      <c r="C379" t="s">
        <v>117</v>
      </c>
      <c r="D379" s="10">
        <v>11384500000000</v>
      </c>
      <c r="E379" t="str">
        <f>$A379&amp;Keys!$C$54&amp;$B379&amp;Keys!$C$54&amp;$C379</f>
        <v>CT|imports|LPG propane or butane</v>
      </c>
    </row>
    <row r="380" spans="1:5" x14ac:dyDescent="0.25">
      <c r="A380" t="s">
        <v>76</v>
      </c>
      <c r="B380" t="s">
        <v>193</v>
      </c>
      <c r="C380" t="s">
        <v>117</v>
      </c>
      <c r="D380" s="10">
        <v>0</v>
      </c>
      <c r="E380" t="str">
        <f>$A380&amp;Keys!$C$54&amp;$B380&amp;Keys!$C$54&amp;$C380</f>
        <v>CT|exports|LPG propane or butane</v>
      </c>
    </row>
    <row r="381" spans="1:5" x14ac:dyDescent="0.25">
      <c r="A381" t="s">
        <v>76</v>
      </c>
      <c r="B381" t="s">
        <v>188</v>
      </c>
      <c r="C381" t="s">
        <v>120</v>
      </c>
      <c r="D381" s="10">
        <v>0</v>
      </c>
      <c r="E381" t="str">
        <f>$A381&amp;Keys!$C$54&amp;$B381&amp;Keys!$C$54&amp;$C381</f>
        <v>CT|production|municipal solid waste</v>
      </c>
    </row>
    <row r="382" spans="1:5" x14ac:dyDescent="0.25">
      <c r="A382" t="s">
        <v>76</v>
      </c>
      <c r="B382" t="s">
        <v>191</v>
      </c>
      <c r="C382" t="s">
        <v>120</v>
      </c>
      <c r="D382" s="10">
        <v>14581100000000</v>
      </c>
      <c r="E382" t="str">
        <f>$A382&amp;Keys!$C$54&amp;$B382&amp;Keys!$C$54&amp;$C382</f>
        <v>CT|imports|municipal solid waste</v>
      </c>
    </row>
    <row r="383" spans="1:5" x14ac:dyDescent="0.25">
      <c r="A383" t="s">
        <v>76</v>
      </c>
      <c r="B383" t="s">
        <v>193</v>
      </c>
      <c r="C383" t="s">
        <v>120</v>
      </c>
      <c r="D383" s="10">
        <v>0</v>
      </c>
      <c r="E383" t="str">
        <f>$A383&amp;Keys!$C$54&amp;$B383&amp;Keys!$C$54&amp;$C383</f>
        <v>CT|exports|municipal solid waste</v>
      </c>
    </row>
    <row r="384" spans="1:5" x14ac:dyDescent="0.25">
      <c r="A384" t="s">
        <v>76</v>
      </c>
      <c r="B384" t="s">
        <v>188</v>
      </c>
      <c r="C384" t="s">
        <v>123</v>
      </c>
      <c r="D384" s="10">
        <v>0</v>
      </c>
      <c r="E384" t="str">
        <f>$A384&amp;Keys!$C$54&amp;$B384&amp;Keys!$C$54&amp;$C384</f>
        <v>CT|production|hydrogen</v>
      </c>
    </row>
    <row r="385" spans="1:5" x14ac:dyDescent="0.25">
      <c r="A385" t="s">
        <v>76</v>
      </c>
      <c r="B385" t="s">
        <v>191</v>
      </c>
      <c r="C385" t="s">
        <v>123</v>
      </c>
      <c r="D385" s="10">
        <v>503170000</v>
      </c>
      <c r="E385" t="str">
        <f>$A385&amp;Keys!$C$54&amp;$B385&amp;Keys!$C$54&amp;$C385</f>
        <v>CT|imports|hydrogen</v>
      </c>
    </row>
    <row r="386" spans="1:5" x14ac:dyDescent="0.25">
      <c r="A386" t="s">
        <v>76</v>
      </c>
      <c r="B386" t="s">
        <v>193</v>
      </c>
      <c r="C386" t="s">
        <v>123</v>
      </c>
      <c r="D386" s="10">
        <v>0</v>
      </c>
      <c r="E386" t="str">
        <f>$A386&amp;Keys!$C$54&amp;$B386&amp;Keys!$C$54&amp;$C386</f>
        <v>CT|exports|hydrogen</v>
      </c>
    </row>
    <row r="387" spans="1:5" x14ac:dyDescent="0.25">
      <c r="A387" t="s">
        <v>79</v>
      </c>
      <c r="B387" t="s">
        <v>188</v>
      </c>
      <c r="C387" t="s">
        <v>272</v>
      </c>
      <c r="D387" s="10">
        <v>0</v>
      </c>
      <c r="E387" t="str">
        <f>$A387&amp;Keys!$C$54&amp;$B387&amp;Keys!$C$54&amp;$C387</f>
        <v>DE|production|electricity</v>
      </c>
    </row>
    <row r="388" spans="1:5" x14ac:dyDescent="0.25">
      <c r="A388" t="s">
        <v>79</v>
      </c>
      <c r="B388" t="s">
        <v>191</v>
      </c>
      <c r="C388" t="s">
        <v>272</v>
      </c>
      <c r="D388" s="10">
        <v>0</v>
      </c>
      <c r="E388" t="str">
        <f>$A388&amp;Keys!$C$54&amp;$B388&amp;Keys!$C$54&amp;$C388</f>
        <v>DE|imports|electricity</v>
      </c>
    </row>
    <row r="389" spans="1:5" x14ac:dyDescent="0.25">
      <c r="A389" t="s">
        <v>79</v>
      </c>
      <c r="B389" t="s">
        <v>193</v>
      </c>
      <c r="C389" t="s">
        <v>272</v>
      </c>
      <c r="D389" s="10">
        <v>0</v>
      </c>
      <c r="E389" t="str">
        <f>$A389&amp;Keys!$C$54&amp;$B389&amp;Keys!$C$54&amp;$C389</f>
        <v>DE|exports|electricity</v>
      </c>
    </row>
    <row r="390" spans="1:5" x14ac:dyDescent="0.25">
      <c r="A390" t="s">
        <v>79</v>
      </c>
      <c r="B390" t="s">
        <v>188</v>
      </c>
      <c r="C390" t="s">
        <v>64</v>
      </c>
      <c r="D390" s="10">
        <v>0</v>
      </c>
      <c r="E390" t="str">
        <f>$A390&amp;Keys!$C$54&amp;$B390&amp;Keys!$C$54&amp;$C390</f>
        <v>DE|production|hard coal</v>
      </c>
    </row>
    <row r="391" spans="1:5" x14ac:dyDescent="0.25">
      <c r="A391" t="s">
        <v>79</v>
      </c>
      <c r="B391" t="s">
        <v>191</v>
      </c>
      <c r="C391" t="s">
        <v>64</v>
      </c>
      <c r="D391" s="10">
        <v>0</v>
      </c>
      <c r="E391" t="str">
        <f>$A391&amp;Keys!$C$54&amp;$B391&amp;Keys!$C$54&amp;$C391</f>
        <v>DE|imports|hard coal</v>
      </c>
    </row>
    <row r="392" spans="1:5" x14ac:dyDescent="0.25">
      <c r="A392" t="s">
        <v>79</v>
      </c>
      <c r="B392" t="s">
        <v>193</v>
      </c>
      <c r="C392" t="s">
        <v>64</v>
      </c>
      <c r="D392" s="10">
        <v>0</v>
      </c>
      <c r="E392" t="str">
        <f>$A392&amp;Keys!$C$54&amp;$B392&amp;Keys!$C$54&amp;$C392</f>
        <v>DE|exports|hard coal</v>
      </c>
    </row>
    <row r="393" spans="1:5" x14ac:dyDescent="0.25">
      <c r="A393" t="s">
        <v>79</v>
      </c>
      <c r="B393" t="s">
        <v>188</v>
      </c>
      <c r="C393" t="s">
        <v>68</v>
      </c>
      <c r="D393" s="10">
        <v>0</v>
      </c>
      <c r="E393" t="str">
        <f>$A393&amp;Keys!$C$54&amp;$B393&amp;Keys!$C$54&amp;$C393</f>
        <v>DE|production|natural gas</v>
      </c>
    </row>
    <row r="394" spans="1:5" x14ac:dyDescent="0.25">
      <c r="A394" t="s">
        <v>79</v>
      </c>
      <c r="B394" t="s">
        <v>191</v>
      </c>
      <c r="C394" t="s">
        <v>68</v>
      </c>
      <c r="D394" s="10">
        <v>100509000000000</v>
      </c>
      <c r="E394" t="str">
        <f>$A394&amp;Keys!$C$54&amp;$B394&amp;Keys!$C$54&amp;$C394</f>
        <v>DE|imports|natural gas</v>
      </c>
    </row>
    <row r="395" spans="1:5" x14ac:dyDescent="0.25">
      <c r="A395" t="s">
        <v>79</v>
      </c>
      <c r="B395" t="s">
        <v>193</v>
      </c>
      <c r="C395" t="s">
        <v>68</v>
      </c>
      <c r="D395" s="10">
        <v>7207150000000</v>
      </c>
      <c r="E395" t="str">
        <f>$A395&amp;Keys!$C$54&amp;$B395&amp;Keys!$C$54&amp;$C395</f>
        <v>DE|exports|natural gas</v>
      </c>
    </row>
    <row r="396" spans="1:5" x14ac:dyDescent="0.25">
      <c r="A396" t="s">
        <v>79</v>
      </c>
      <c r="B396" t="s">
        <v>188</v>
      </c>
      <c r="C396" t="s">
        <v>71</v>
      </c>
      <c r="D396" s="10">
        <v>0</v>
      </c>
      <c r="E396" t="str">
        <f>$A396&amp;Keys!$C$54&amp;$B396&amp;Keys!$C$54&amp;$C396</f>
        <v>DE|production|nuclear</v>
      </c>
    </row>
    <row r="397" spans="1:5" x14ac:dyDescent="0.25">
      <c r="A397" t="s">
        <v>79</v>
      </c>
      <c r="B397" t="s">
        <v>191</v>
      </c>
      <c r="C397" t="s">
        <v>71</v>
      </c>
      <c r="D397" s="10">
        <v>0</v>
      </c>
      <c r="E397" t="str">
        <f>$A397&amp;Keys!$C$54&amp;$B397&amp;Keys!$C$54&amp;$C397</f>
        <v>DE|imports|nuclear</v>
      </c>
    </row>
    <row r="398" spans="1:5" x14ac:dyDescent="0.25">
      <c r="A398" t="s">
        <v>79</v>
      </c>
      <c r="B398" t="s">
        <v>193</v>
      </c>
      <c r="C398" t="s">
        <v>71</v>
      </c>
      <c r="D398" s="10">
        <v>0</v>
      </c>
      <c r="E398" t="str">
        <f>$A398&amp;Keys!$C$54&amp;$B398&amp;Keys!$C$54&amp;$C398</f>
        <v>DE|exports|nuclear</v>
      </c>
    </row>
    <row r="399" spans="1:5" x14ac:dyDescent="0.25">
      <c r="A399" t="s">
        <v>79</v>
      </c>
      <c r="B399" t="s">
        <v>188</v>
      </c>
      <c r="C399" t="s">
        <v>273</v>
      </c>
      <c r="D399" s="10">
        <v>0</v>
      </c>
      <c r="E399" t="str">
        <f>$A399&amp;Keys!$C$54&amp;$B399&amp;Keys!$C$54&amp;$C399</f>
        <v>DE|production|hydro</v>
      </c>
    </row>
    <row r="400" spans="1:5" x14ac:dyDescent="0.25">
      <c r="A400" t="s">
        <v>79</v>
      </c>
      <c r="B400" t="s">
        <v>191</v>
      </c>
      <c r="C400" t="s">
        <v>273</v>
      </c>
      <c r="D400" s="10">
        <v>0</v>
      </c>
      <c r="E400" t="str">
        <f>$A400&amp;Keys!$C$54&amp;$B400&amp;Keys!$C$54&amp;$C400</f>
        <v>DE|imports|hydro</v>
      </c>
    </row>
    <row r="401" spans="1:5" x14ac:dyDescent="0.25">
      <c r="A401" t="s">
        <v>79</v>
      </c>
      <c r="B401" t="s">
        <v>193</v>
      </c>
      <c r="C401" t="s">
        <v>273</v>
      </c>
      <c r="D401" s="10">
        <v>0</v>
      </c>
      <c r="E401" t="str">
        <f>$A401&amp;Keys!$C$54&amp;$B401&amp;Keys!$C$54&amp;$C401</f>
        <v>DE|exports|hydro</v>
      </c>
    </row>
    <row r="402" spans="1:5" x14ac:dyDescent="0.25">
      <c r="A402" t="s">
        <v>79</v>
      </c>
      <c r="B402" t="s">
        <v>188</v>
      </c>
      <c r="C402" t="s">
        <v>274</v>
      </c>
      <c r="D402" s="10">
        <v>0</v>
      </c>
      <c r="E402" t="str">
        <f>$A402&amp;Keys!$C$54&amp;$B402&amp;Keys!$C$54&amp;$C402</f>
        <v>DE|production|wind</v>
      </c>
    </row>
    <row r="403" spans="1:5" x14ac:dyDescent="0.25">
      <c r="A403" t="s">
        <v>79</v>
      </c>
      <c r="B403" t="s">
        <v>191</v>
      </c>
      <c r="C403" t="s">
        <v>274</v>
      </c>
      <c r="D403" s="10">
        <v>0</v>
      </c>
      <c r="E403" t="str">
        <f>$A403&amp;Keys!$C$54&amp;$B403&amp;Keys!$C$54&amp;$C403</f>
        <v>DE|imports|wind</v>
      </c>
    </row>
    <row r="404" spans="1:5" x14ac:dyDescent="0.25">
      <c r="A404" t="s">
        <v>79</v>
      </c>
      <c r="B404" t="s">
        <v>193</v>
      </c>
      <c r="C404" t="s">
        <v>274</v>
      </c>
      <c r="D404" s="10">
        <v>0</v>
      </c>
      <c r="E404" t="str">
        <f>$A404&amp;Keys!$C$54&amp;$B404&amp;Keys!$C$54&amp;$C404</f>
        <v>DE|exports|wind</v>
      </c>
    </row>
    <row r="405" spans="1:5" x14ac:dyDescent="0.25">
      <c r="A405" t="s">
        <v>79</v>
      </c>
      <c r="B405" t="s">
        <v>188</v>
      </c>
      <c r="C405" t="s">
        <v>275</v>
      </c>
      <c r="D405" s="10">
        <v>0</v>
      </c>
      <c r="E405" t="str">
        <f>$A405&amp;Keys!$C$54&amp;$B405&amp;Keys!$C$54&amp;$C405</f>
        <v>DE|production|solar</v>
      </c>
    </row>
    <row r="406" spans="1:5" x14ac:dyDescent="0.25">
      <c r="A406" t="s">
        <v>79</v>
      </c>
      <c r="B406" t="s">
        <v>191</v>
      </c>
      <c r="C406" t="s">
        <v>275</v>
      </c>
      <c r="D406" s="10">
        <v>0</v>
      </c>
      <c r="E406" t="str">
        <f>$A406&amp;Keys!$C$54&amp;$B406&amp;Keys!$C$54&amp;$C406</f>
        <v>DE|imports|solar</v>
      </c>
    </row>
    <row r="407" spans="1:5" x14ac:dyDescent="0.25">
      <c r="A407" t="s">
        <v>79</v>
      </c>
      <c r="B407" t="s">
        <v>193</v>
      </c>
      <c r="C407" t="s">
        <v>275</v>
      </c>
      <c r="D407" s="10">
        <v>0</v>
      </c>
      <c r="E407" t="str">
        <f>$A407&amp;Keys!$C$54&amp;$B407&amp;Keys!$C$54&amp;$C407</f>
        <v>DE|exports|solar</v>
      </c>
    </row>
    <row r="408" spans="1:5" x14ac:dyDescent="0.25">
      <c r="A408" t="s">
        <v>79</v>
      </c>
      <c r="B408" t="s">
        <v>188</v>
      </c>
      <c r="C408" t="s">
        <v>82</v>
      </c>
      <c r="D408" s="10">
        <v>0</v>
      </c>
      <c r="E408" t="str">
        <f>$A408&amp;Keys!$C$54&amp;$B408&amp;Keys!$C$54&amp;$C408</f>
        <v>DE|production|biomass</v>
      </c>
    </row>
    <row r="409" spans="1:5" x14ac:dyDescent="0.25">
      <c r="A409" t="s">
        <v>79</v>
      </c>
      <c r="B409" t="s">
        <v>191</v>
      </c>
      <c r="C409" t="s">
        <v>82</v>
      </c>
      <c r="D409" s="10">
        <v>1456120000000</v>
      </c>
      <c r="E409" t="str">
        <f>$A409&amp;Keys!$C$54&amp;$B409&amp;Keys!$C$54&amp;$C409</f>
        <v>DE|imports|biomass</v>
      </c>
    </row>
    <row r="410" spans="1:5" x14ac:dyDescent="0.25">
      <c r="A410" t="s">
        <v>79</v>
      </c>
      <c r="B410" t="s">
        <v>193</v>
      </c>
      <c r="C410" t="s">
        <v>82</v>
      </c>
      <c r="D410" s="10">
        <v>0</v>
      </c>
      <c r="E410" t="str">
        <f>$A410&amp;Keys!$C$54&amp;$B410&amp;Keys!$C$54&amp;$C410</f>
        <v>DE|exports|biomass</v>
      </c>
    </row>
    <row r="411" spans="1:5" x14ac:dyDescent="0.25">
      <c r="A411" t="s">
        <v>79</v>
      </c>
      <c r="B411" t="s">
        <v>188</v>
      </c>
      <c r="C411" t="s">
        <v>85</v>
      </c>
      <c r="D411" s="10">
        <v>165956000000000</v>
      </c>
      <c r="E411" t="str">
        <f>$A411&amp;Keys!$C$54&amp;$B411&amp;Keys!$C$54&amp;$C411</f>
        <v>DE|production|petroleum gasoline</v>
      </c>
    </row>
    <row r="412" spans="1:5" x14ac:dyDescent="0.25">
      <c r="A412" t="s">
        <v>79</v>
      </c>
      <c r="B412" t="s">
        <v>191</v>
      </c>
      <c r="C412" t="s">
        <v>85</v>
      </c>
      <c r="D412" s="10">
        <v>2524760000000</v>
      </c>
      <c r="E412" t="str">
        <f>$A412&amp;Keys!$C$54&amp;$B412&amp;Keys!$C$54&amp;$C412</f>
        <v>DE|imports|petroleum gasoline</v>
      </c>
    </row>
    <row r="413" spans="1:5" x14ac:dyDescent="0.25">
      <c r="A413" t="s">
        <v>79</v>
      </c>
      <c r="B413" t="s">
        <v>193</v>
      </c>
      <c r="C413" t="s">
        <v>85</v>
      </c>
      <c r="D413" s="10">
        <v>115903000000000</v>
      </c>
      <c r="E413" t="str">
        <f>$A413&amp;Keys!$C$54&amp;$B413&amp;Keys!$C$54&amp;$C413</f>
        <v>DE|exports|petroleum gasoline</v>
      </c>
    </row>
    <row r="414" spans="1:5" x14ac:dyDescent="0.25">
      <c r="A414" t="s">
        <v>79</v>
      </c>
      <c r="B414" t="s">
        <v>188</v>
      </c>
      <c r="C414" t="s">
        <v>88</v>
      </c>
      <c r="D414" s="10">
        <v>98165200000000</v>
      </c>
      <c r="E414" t="str">
        <f>$A414&amp;Keys!$C$54&amp;$B414&amp;Keys!$C$54&amp;$C414</f>
        <v>DE|production|petroleum diesel</v>
      </c>
    </row>
    <row r="415" spans="1:5" x14ac:dyDescent="0.25">
      <c r="A415" t="s">
        <v>79</v>
      </c>
      <c r="B415" t="s">
        <v>191</v>
      </c>
      <c r="C415" t="s">
        <v>88</v>
      </c>
      <c r="D415" s="10">
        <v>210966000000</v>
      </c>
      <c r="E415" t="str">
        <f>$A415&amp;Keys!$C$54&amp;$B415&amp;Keys!$C$54&amp;$C415</f>
        <v>DE|imports|petroleum diesel</v>
      </c>
    </row>
    <row r="416" spans="1:5" x14ac:dyDescent="0.25">
      <c r="A416" t="s">
        <v>79</v>
      </c>
      <c r="B416" t="s">
        <v>193</v>
      </c>
      <c r="C416" t="s">
        <v>88</v>
      </c>
      <c r="D416" s="10">
        <v>79854900000000</v>
      </c>
      <c r="E416" t="str">
        <f>$A416&amp;Keys!$C$54&amp;$B416&amp;Keys!$C$54&amp;$C416</f>
        <v>DE|exports|petroleum diesel</v>
      </c>
    </row>
    <row r="417" spans="1:5" x14ac:dyDescent="0.25">
      <c r="A417" t="s">
        <v>79</v>
      </c>
      <c r="B417" t="s">
        <v>188</v>
      </c>
      <c r="C417" t="s">
        <v>91</v>
      </c>
      <c r="D417" s="10">
        <v>0</v>
      </c>
      <c r="E417" t="str">
        <f>$A417&amp;Keys!$C$54&amp;$B417&amp;Keys!$C$54&amp;$C417</f>
        <v>DE|production|biofuel gasoline</v>
      </c>
    </row>
    <row r="418" spans="1:5" x14ac:dyDescent="0.25">
      <c r="A418" t="s">
        <v>79</v>
      </c>
      <c r="B418" t="s">
        <v>191</v>
      </c>
      <c r="C418" t="s">
        <v>91</v>
      </c>
      <c r="D418" s="10">
        <v>3821400000000</v>
      </c>
      <c r="E418" t="str">
        <f>$A418&amp;Keys!$C$54&amp;$B418&amp;Keys!$C$54&amp;$C418</f>
        <v>DE|imports|biofuel gasoline</v>
      </c>
    </row>
    <row r="419" spans="1:5" x14ac:dyDescent="0.25">
      <c r="A419" t="s">
        <v>79</v>
      </c>
      <c r="B419" t="s">
        <v>193</v>
      </c>
      <c r="C419" t="s">
        <v>91</v>
      </c>
      <c r="D419" s="10">
        <v>0</v>
      </c>
      <c r="E419" t="str">
        <f>$A419&amp;Keys!$C$54&amp;$B419&amp;Keys!$C$54&amp;$C419</f>
        <v>DE|exports|biofuel gasoline</v>
      </c>
    </row>
    <row r="420" spans="1:5" x14ac:dyDescent="0.25">
      <c r="A420" t="s">
        <v>79</v>
      </c>
      <c r="B420" t="s">
        <v>188</v>
      </c>
      <c r="C420" t="s">
        <v>94</v>
      </c>
      <c r="D420" s="10">
        <v>0</v>
      </c>
      <c r="E420" t="str">
        <f>$A420&amp;Keys!$C$54&amp;$B420&amp;Keys!$C$54&amp;$C420</f>
        <v>DE|production|biofuel diesel</v>
      </c>
    </row>
    <row r="421" spans="1:5" x14ac:dyDescent="0.25">
      <c r="A421" t="s">
        <v>79</v>
      </c>
      <c r="B421" t="s">
        <v>191</v>
      </c>
      <c r="C421" t="s">
        <v>94</v>
      </c>
      <c r="D421" s="10">
        <v>118145000000</v>
      </c>
      <c r="E421" t="str">
        <f>$A421&amp;Keys!$C$54&amp;$B421&amp;Keys!$C$54&amp;$C421</f>
        <v>DE|imports|biofuel diesel</v>
      </c>
    </row>
    <row r="422" spans="1:5" x14ac:dyDescent="0.25">
      <c r="A422" t="s">
        <v>79</v>
      </c>
      <c r="B422" t="s">
        <v>193</v>
      </c>
      <c r="C422" t="s">
        <v>94</v>
      </c>
      <c r="D422" s="10">
        <v>0</v>
      </c>
      <c r="E422" t="str">
        <f>$A422&amp;Keys!$C$54&amp;$B422&amp;Keys!$C$54&amp;$C422</f>
        <v>DE|exports|biofuel diesel</v>
      </c>
    </row>
    <row r="423" spans="1:5" x14ac:dyDescent="0.25">
      <c r="A423" t="s">
        <v>79</v>
      </c>
      <c r="B423" t="s">
        <v>188</v>
      </c>
      <c r="C423" t="s">
        <v>97</v>
      </c>
      <c r="D423" s="10">
        <v>34944800000000</v>
      </c>
      <c r="E423" t="str">
        <f>$A423&amp;Keys!$C$54&amp;$B423&amp;Keys!$C$54&amp;$C423</f>
        <v>DE|production|jet fuel or kerosene</v>
      </c>
    </row>
    <row r="424" spans="1:5" x14ac:dyDescent="0.25">
      <c r="A424" t="s">
        <v>79</v>
      </c>
      <c r="B424" t="s">
        <v>191</v>
      </c>
      <c r="C424" t="s">
        <v>97</v>
      </c>
      <c r="D424" s="10">
        <v>0</v>
      </c>
      <c r="E424" t="str">
        <f>$A424&amp;Keys!$C$54&amp;$B424&amp;Keys!$C$54&amp;$C424</f>
        <v>DE|imports|jet fuel or kerosene</v>
      </c>
    </row>
    <row r="425" spans="1:5" x14ac:dyDescent="0.25">
      <c r="A425" t="s">
        <v>79</v>
      </c>
      <c r="B425" t="s">
        <v>193</v>
      </c>
      <c r="C425" t="s">
        <v>97</v>
      </c>
      <c r="D425" s="10">
        <v>25492400000000</v>
      </c>
      <c r="E425" t="str">
        <f>$A425&amp;Keys!$C$54&amp;$B425&amp;Keys!$C$54&amp;$C425</f>
        <v>DE|exports|jet fuel or kerosene</v>
      </c>
    </row>
    <row r="426" spans="1:5" x14ac:dyDescent="0.25">
      <c r="A426" t="s">
        <v>79</v>
      </c>
      <c r="B426" t="s">
        <v>188</v>
      </c>
      <c r="C426" t="s">
        <v>276</v>
      </c>
      <c r="D426" s="10">
        <v>0</v>
      </c>
      <c r="E426" t="str">
        <f>$A426&amp;Keys!$C$54&amp;$B426&amp;Keys!$C$54&amp;$C426</f>
        <v>DE|production|heat</v>
      </c>
    </row>
    <row r="427" spans="1:5" x14ac:dyDescent="0.25">
      <c r="A427" t="s">
        <v>79</v>
      </c>
      <c r="B427" t="s">
        <v>191</v>
      </c>
      <c r="C427" t="s">
        <v>276</v>
      </c>
      <c r="D427" s="10">
        <v>0</v>
      </c>
      <c r="E427" t="str">
        <f>$A427&amp;Keys!$C$54&amp;$B427&amp;Keys!$C$54&amp;$C427</f>
        <v>DE|imports|heat</v>
      </c>
    </row>
    <row r="428" spans="1:5" x14ac:dyDescent="0.25">
      <c r="A428" t="s">
        <v>79</v>
      </c>
      <c r="B428" t="s">
        <v>193</v>
      </c>
      <c r="C428" t="s">
        <v>276</v>
      </c>
      <c r="D428" s="10">
        <v>0</v>
      </c>
      <c r="E428" t="str">
        <f>$A428&amp;Keys!$C$54&amp;$B428&amp;Keys!$C$54&amp;$C428</f>
        <v>DE|exports|heat</v>
      </c>
    </row>
    <row r="429" spans="1:5" x14ac:dyDescent="0.25">
      <c r="A429" t="s">
        <v>79</v>
      </c>
      <c r="B429" t="s">
        <v>188</v>
      </c>
      <c r="C429" t="s">
        <v>277</v>
      </c>
      <c r="D429" s="10">
        <v>0</v>
      </c>
      <c r="E429" t="str">
        <f>$A429&amp;Keys!$C$54&amp;$B429&amp;Keys!$C$54&amp;$C429</f>
        <v>DE|production|geothermal</v>
      </c>
    </row>
    <row r="430" spans="1:5" x14ac:dyDescent="0.25">
      <c r="A430" t="s">
        <v>79</v>
      </c>
      <c r="B430" t="s">
        <v>191</v>
      </c>
      <c r="C430" t="s">
        <v>277</v>
      </c>
      <c r="D430" s="10">
        <v>0</v>
      </c>
      <c r="E430" t="str">
        <f>$A430&amp;Keys!$C$54&amp;$B430&amp;Keys!$C$54&amp;$C430</f>
        <v>DE|imports|geothermal</v>
      </c>
    </row>
    <row r="431" spans="1:5" x14ac:dyDescent="0.25">
      <c r="A431" t="s">
        <v>79</v>
      </c>
      <c r="B431" t="s">
        <v>193</v>
      </c>
      <c r="C431" t="s">
        <v>277</v>
      </c>
      <c r="D431" s="10">
        <v>0</v>
      </c>
      <c r="E431" t="str">
        <f>$A431&amp;Keys!$C$54&amp;$B431&amp;Keys!$C$54&amp;$C431</f>
        <v>DE|exports|geothermal</v>
      </c>
    </row>
    <row r="432" spans="1:5" x14ac:dyDescent="0.25">
      <c r="A432" t="s">
        <v>79</v>
      </c>
      <c r="B432" t="s">
        <v>188</v>
      </c>
      <c r="C432" t="s">
        <v>106</v>
      </c>
      <c r="D432" s="10">
        <v>0</v>
      </c>
      <c r="E432" t="str">
        <f>$A432&amp;Keys!$C$54&amp;$B432&amp;Keys!$C$54&amp;$C432</f>
        <v>DE|production|lignite</v>
      </c>
    </row>
    <row r="433" spans="1:5" x14ac:dyDescent="0.25">
      <c r="A433" t="s">
        <v>79</v>
      </c>
      <c r="B433" t="s">
        <v>191</v>
      </c>
      <c r="C433" t="s">
        <v>106</v>
      </c>
      <c r="D433" s="10">
        <v>0</v>
      </c>
      <c r="E433" t="str">
        <f>$A433&amp;Keys!$C$54&amp;$B433&amp;Keys!$C$54&amp;$C433</f>
        <v>DE|imports|lignite</v>
      </c>
    </row>
    <row r="434" spans="1:5" x14ac:dyDescent="0.25">
      <c r="A434" t="s">
        <v>79</v>
      </c>
      <c r="B434" t="s">
        <v>193</v>
      </c>
      <c r="C434" t="s">
        <v>106</v>
      </c>
      <c r="D434" s="10">
        <v>0</v>
      </c>
      <c r="E434" t="str">
        <f>$A434&amp;Keys!$C$54&amp;$B434&amp;Keys!$C$54&amp;$C434</f>
        <v>DE|exports|lignite</v>
      </c>
    </row>
    <row r="435" spans="1:5" x14ac:dyDescent="0.25">
      <c r="A435" t="s">
        <v>79</v>
      </c>
      <c r="B435" t="s">
        <v>188</v>
      </c>
      <c r="C435" t="s">
        <v>109</v>
      </c>
      <c r="D435" s="10">
        <v>0</v>
      </c>
      <c r="E435" t="str">
        <f>$A435&amp;Keys!$C$54&amp;$B435&amp;Keys!$C$54&amp;$C435</f>
        <v>DE|production|crude oil</v>
      </c>
    </row>
    <row r="436" spans="1:5" x14ac:dyDescent="0.25">
      <c r="A436" t="s">
        <v>79</v>
      </c>
      <c r="B436" t="s">
        <v>191</v>
      </c>
      <c r="C436" t="s">
        <v>109</v>
      </c>
      <c r="D436" s="10">
        <v>356196000000000</v>
      </c>
      <c r="E436" t="str">
        <f>$A436&amp;Keys!$C$54&amp;$B436&amp;Keys!$C$54&amp;$C436</f>
        <v>DE|imports|crude oil</v>
      </c>
    </row>
    <row r="437" spans="1:5" x14ac:dyDescent="0.25">
      <c r="A437" t="s">
        <v>79</v>
      </c>
      <c r="B437" t="s">
        <v>193</v>
      </c>
      <c r="C437" t="s">
        <v>109</v>
      </c>
      <c r="D437" s="10">
        <v>0</v>
      </c>
      <c r="E437" t="str">
        <f>$A437&amp;Keys!$C$54&amp;$B437&amp;Keys!$C$54&amp;$C437</f>
        <v>DE|exports|crude oil</v>
      </c>
    </row>
    <row r="438" spans="1:5" x14ac:dyDescent="0.25">
      <c r="A438" t="s">
        <v>79</v>
      </c>
      <c r="B438" t="s">
        <v>188</v>
      </c>
      <c r="C438" t="s">
        <v>114</v>
      </c>
      <c r="D438" s="10">
        <v>6788150000000</v>
      </c>
      <c r="E438" t="str">
        <f>$A438&amp;Keys!$C$54&amp;$B438&amp;Keys!$C$54&amp;$C438</f>
        <v>DE|production|heavy or residual fuel oil</v>
      </c>
    </row>
    <row r="439" spans="1:5" x14ac:dyDescent="0.25">
      <c r="A439" t="s">
        <v>79</v>
      </c>
      <c r="B439" t="s">
        <v>191</v>
      </c>
      <c r="C439" t="s">
        <v>114</v>
      </c>
      <c r="D439" s="10">
        <v>241421000000</v>
      </c>
      <c r="E439" t="str">
        <f>$A439&amp;Keys!$C$54&amp;$B439&amp;Keys!$C$54&amp;$C439</f>
        <v>DE|imports|heavy or residual fuel oil</v>
      </c>
    </row>
    <row r="440" spans="1:5" x14ac:dyDescent="0.25">
      <c r="A440" t="s">
        <v>79</v>
      </c>
      <c r="B440" t="s">
        <v>193</v>
      </c>
      <c r="C440" t="s">
        <v>114</v>
      </c>
      <c r="D440" s="10">
        <v>4201950000000</v>
      </c>
      <c r="E440" t="str">
        <f>$A440&amp;Keys!$C$54&amp;$B440&amp;Keys!$C$54&amp;$C440</f>
        <v>DE|exports|heavy or residual fuel oil</v>
      </c>
    </row>
    <row r="441" spans="1:5" x14ac:dyDescent="0.25">
      <c r="A441" t="s">
        <v>79</v>
      </c>
      <c r="B441" t="s">
        <v>188</v>
      </c>
      <c r="C441" t="s">
        <v>117</v>
      </c>
      <c r="D441" s="10">
        <v>0</v>
      </c>
      <c r="E441" t="str">
        <f>$A441&amp;Keys!$C$54&amp;$B441&amp;Keys!$C$54&amp;$C441</f>
        <v>DE|production|LPG propane or butane</v>
      </c>
    </row>
    <row r="442" spans="1:5" x14ac:dyDescent="0.25">
      <c r="A442" t="s">
        <v>79</v>
      </c>
      <c r="B442" t="s">
        <v>191</v>
      </c>
      <c r="C442" t="s">
        <v>117</v>
      </c>
      <c r="D442" s="10">
        <v>4227250000000</v>
      </c>
      <c r="E442" t="str">
        <f>$A442&amp;Keys!$C$54&amp;$B442&amp;Keys!$C$54&amp;$C442</f>
        <v>DE|imports|LPG propane or butane</v>
      </c>
    </row>
    <row r="443" spans="1:5" x14ac:dyDescent="0.25">
      <c r="A443" t="s">
        <v>79</v>
      </c>
      <c r="B443" t="s">
        <v>193</v>
      </c>
      <c r="C443" t="s">
        <v>117</v>
      </c>
      <c r="D443" s="10">
        <v>0</v>
      </c>
      <c r="E443" t="str">
        <f>$A443&amp;Keys!$C$54&amp;$B443&amp;Keys!$C$54&amp;$C443</f>
        <v>DE|exports|LPG propane or butane</v>
      </c>
    </row>
    <row r="444" spans="1:5" x14ac:dyDescent="0.25">
      <c r="A444" t="s">
        <v>79</v>
      </c>
      <c r="B444" t="s">
        <v>188</v>
      </c>
      <c r="C444" t="s">
        <v>120</v>
      </c>
      <c r="D444" s="10">
        <v>0</v>
      </c>
      <c r="E444" t="str">
        <f>$A444&amp;Keys!$C$54&amp;$B444&amp;Keys!$C$54&amp;$C444</f>
        <v>DE|production|municipal solid waste</v>
      </c>
    </row>
    <row r="445" spans="1:5" x14ac:dyDescent="0.25">
      <c r="A445" t="s">
        <v>79</v>
      </c>
      <c r="B445" t="s">
        <v>191</v>
      </c>
      <c r="C445" t="s">
        <v>120</v>
      </c>
      <c r="D445" s="10">
        <v>0</v>
      </c>
      <c r="E445" t="str">
        <f>$A445&amp;Keys!$C$54&amp;$B445&amp;Keys!$C$54&amp;$C445</f>
        <v>DE|imports|municipal solid waste</v>
      </c>
    </row>
    <row r="446" spans="1:5" x14ac:dyDescent="0.25">
      <c r="A446" t="s">
        <v>79</v>
      </c>
      <c r="B446" t="s">
        <v>193</v>
      </c>
      <c r="C446" t="s">
        <v>120</v>
      </c>
      <c r="D446" s="10">
        <v>0</v>
      </c>
      <c r="E446" t="str">
        <f>$A446&amp;Keys!$C$54&amp;$B446&amp;Keys!$C$54&amp;$C446</f>
        <v>DE|exports|municipal solid waste</v>
      </c>
    </row>
    <row r="447" spans="1:5" x14ac:dyDescent="0.25">
      <c r="A447" t="s">
        <v>79</v>
      </c>
      <c r="B447" t="s">
        <v>188</v>
      </c>
      <c r="C447" t="s">
        <v>123</v>
      </c>
      <c r="D447" s="10">
        <v>7710620000000</v>
      </c>
      <c r="E447" t="str">
        <f>$A447&amp;Keys!$C$54&amp;$B447&amp;Keys!$C$54&amp;$C447</f>
        <v>DE|production|hydrogen</v>
      </c>
    </row>
    <row r="448" spans="1:5" x14ac:dyDescent="0.25">
      <c r="A448" t="s">
        <v>79</v>
      </c>
      <c r="B448" t="s">
        <v>191</v>
      </c>
      <c r="C448" t="s">
        <v>123</v>
      </c>
      <c r="D448" s="10">
        <v>0</v>
      </c>
      <c r="E448" t="str">
        <f>$A448&amp;Keys!$C$54&amp;$B448&amp;Keys!$C$54&amp;$C448</f>
        <v>DE|imports|hydrogen</v>
      </c>
    </row>
    <row r="449" spans="1:5" x14ac:dyDescent="0.25">
      <c r="A449" t="s">
        <v>79</v>
      </c>
      <c r="B449" t="s">
        <v>193</v>
      </c>
      <c r="C449" t="s">
        <v>123</v>
      </c>
      <c r="D449" s="10">
        <v>2167560000000</v>
      </c>
      <c r="E449" t="str">
        <f>$A449&amp;Keys!$C$54&amp;$B449&amp;Keys!$C$54&amp;$C449</f>
        <v>DE|exports|hydrogen</v>
      </c>
    </row>
    <row r="450" spans="1:5" x14ac:dyDescent="0.25">
      <c r="A450" t="s">
        <v>81</v>
      </c>
      <c r="B450" t="s">
        <v>188</v>
      </c>
      <c r="C450" t="s">
        <v>272</v>
      </c>
      <c r="D450" s="10">
        <v>0</v>
      </c>
      <c r="E450" t="str">
        <f>$A450&amp;Keys!$C$54&amp;$B450&amp;Keys!$C$54&amp;$C450</f>
        <v>FL|production|electricity</v>
      </c>
    </row>
    <row r="451" spans="1:5" x14ac:dyDescent="0.25">
      <c r="A451" t="s">
        <v>81</v>
      </c>
      <c r="B451" t="s">
        <v>191</v>
      </c>
      <c r="C451" t="s">
        <v>272</v>
      </c>
      <c r="D451" s="10">
        <v>0</v>
      </c>
      <c r="E451" t="str">
        <f>$A451&amp;Keys!$C$54&amp;$B451&amp;Keys!$C$54&amp;$C451</f>
        <v>FL|imports|electricity</v>
      </c>
    </row>
    <row r="452" spans="1:5" x14ac:dyDescent="0.25">
      <c r="A452" t="s">
        <v>81</v>
      </c>
      <c r="B452" t="s">
        <v>193</v>
      </c>
      <c r="C452" t="s">
        <v>272</v>
      </c>
      <c r="D452" s="10">
        <v>0</v>
      </c>
      <c r="E452" t="str">
        <f>$A452&amp;Keys!$C$54&amp;$B452&amp;Keys!$C$54&amp;$C452</f>
        <v>FL|exports|electricity</v>
      </c>
    </row>
    <row r="453" spans="1:5" x14ac:dyDescent="0.25">
      <c r="A453" t="s">
        <v>81</v>
      </c>
      <c r="B453" t="s">
        <v>188</v>
      </c>
      <c r="C453" t="s">
        <v>64</v>
      </c>
      <c r="D453" s="10">
        <v>0</v>
      </c>
      <c r="E453" t="str">
        <f>$A453&amp;Keys!$C$54&amp;$B453&amp;Keys!$C$54&amp;$C453</f>
        <v>FL|production|hard coal</v>
      </c>
    </row>
    <row r="454" spans="1:5" x14ac:dyDescent="0.25">
      <c r="A454" t="s">
        <v>81</v>
      </c>
      <c r="B454" t="s">
        <v>191</v>
      </c>
      <c r="C454" t="s">
        <v>64</v>
      </c>
      <c r="D454" s="10">
        <v>186058000000000</v>
      </c>
      <c r="E454" t="str">
        <f>$A454&amp;Keys!$C$54&amp;$B454&amp;Keys!$C$54&amp;$C454</f>
        <v>FL|imports|hard coal</v>
      </c>
    </row>
    <row r="455" spans="1:5" x14ac:dyDescent="0.25">
      <c r="A455" t="s">
        <v>81</v>
      </c>
      <c r="B455" t="s">
        <v>193</v>
      </c>
      <c r="C455" t="s">
        <v>64</v>
      </c>
      <c r="D455" s="10">
        <v>0</v>
      </c>
      <c r="E455" t="str">
        <f>$A455&amp;Keys!$C$54&amp;$B455&amp;Keys!$C$54&amp;$C455</f>
        <v>FL|exports|hard coal</v>
      </c>
    </row>
    <row r="456" spans="1:5" x14ac:dyDescent="0.25">
      <c r="A456" t="s">
        <v>81</v>
      </c>
      <c r="B456" t="s">
        <v>188</v>
      </c>
      <c r="C456" t="s">
        <v>68</v>
      </c>
      <c r="D456" s="10">
        <v>274805000000</v>
      </c>
      <c r="E456" t="str">
        <f>$A456&amp;Keys!$C$54&amp;$B456&amp;Keys!$C$54&amp;$C456</f>
        <v>FL|production|natural gas</v>
      </c>
    </row>
    <row r="457" spans="1:5" x14ac:dyDescent="0.25">
      <c r="A457" t="s">
        <v>81</v>
      </c>
      <c r="B457" t="s">
        <v>191</v>
      </c>
      <c r="C457" t="s">
        <v>68</v>
      </c>
      <c r="D457" s="10">
        <v>1584730000000000</v>
      </c>
      <c r="E457" t="str">
        <f>$A457&amp;Keys!$C$54&amp;$B457&amp;Keys!$C$54&amp;$C457</f>
        <v>FL|imports|natural gas</v>
      </c>
    </row>
    <row r="458" spans="1:5" x14ac:dyDescent="0.25">
      <c r="A458" t="s">
        <v>81</v>
      </c>
      <c r="B458" t="s">
        <v>193</v>
      </c>
      <c r="C458" t="s">
        <v>68</v>
      </c>
      <c r="D458" s="10">
        <v>976854000000</v>
      </c>
      <c r="E458" t="str">
        <f>$A458&amp;Keys!$C$54&amp;$B458&amp;Keys!$C$54&amp;$C458</f>
        <v>FL|exports|natural gas</v>
      </c>
    </row>
    <row r="459" spans="1:5" x14ac:dyDescent="0.25">
      <c r="A459" t="s">
        <v>81</v>
      </c>
      <c r="B459" t="s">
        <v>188</v>
      </c>
      <c r="C459" t="s">
        <v>71</v>
      </c>
      <c r="D459" s="10">
        <v>0</v>
      </c>
      <c r="E459" t="str">
        <f>$A459&amp;Keys!$C$54&amp;$B459&amp;Keys!$C$54&amp;$C459</f>
        <v>FL|production|nuclear</v>
      </c>
    </row>
    <row r="460" spans="1:5" x14ac:dyDescent="0.25">
      <c r="A460" t="s">
        <v>81</v>
      </c>
      <c r="B460" t="s">
        <v>191</v>
      </c>
      <c r="C460" t="s">
        <v>71</v>
      </c>
      <c r="D460" s="10">
        <v>320926000000000</v>
      </c>
      <c r="E460" t="str">
        <f>$A460&amp;Keys!$C$54&amp;$B460&amp;Keys!$C$54&amp;$C460</f>
        <v>FL|imports|nuclear</v>
      </c>
    </row>
    <row r="461" spans="1:5" x14ac:dyDescent="0.25">
      <c r="A461" t="s">
        <v>81</v>
      </c>
      <c r="B461" t="s">
        <v>193</v>
      </c>
      <c r="C461" t="s">
        <v>71</v>
      </c>
      <c r="D461" s="10">
        <v>0</v>
      </c>
      <c r="E461" t="str">
        <f>$A461&amp;Keys!$C$54&amp;$B461&amp;Keys!$C$54&amp;$C461</f>
        <v>FL|exports|nuclear</v>
      </c>
    </row>
    <row r="462" spans="1:5" x14ac:dyDescent="0.25">
      <c r="A462" t="s">
        <v>81</v>
      </c>
      <c r="B462" t="s">
        <v>188</v>
      </c>
      <c r="C462" t="s">
        <v>273</v>
      </c>
      <c r="D462" s="10">
        <v>0</v>
      </c>
      <c r="E462" t="str">
        <f>$A462&amp;Keys!$C$54&amp;$B462&amp;Keys!$C$54&amp;$C462</f>
        <v>FL|production|hydro</v>
      </c>
    </row>
    <row r="463" spans="1:5" x14ac:dyDescent="0.25">
      <c r="A463" t="s">
        <v>81</v>
      </c>
      <c r="B463" t="s">
        <v>191</v>
      </c>
      <c r="C463" t="s">
        <v>273</v>
      </c>
      <c r="D463" s="10">
        <v>0</v>
      </c>
      <c r="E463" t="str">
        <f>$A463&amp;Keys!$C$54&amp;$B463&amp;Keys!$C$54&amp;$C463</f>
        <v>FL|imports|hydro</v>
      </c>
    </row>
    <row r="464" spans="1:5" x14ac:dyDescent="0.25">
      <c r="A464" t="s">
        <v>81</v>
      </c>
      <c r="B464" t="s">
        <v>193</v>
      </c>
      <c r="C464" t="s">
        <v>273</v>
      </c>
      <c r="D464" s="10">
        <v>0</v>
      </c>
      <c r="E464" t="str">
        <f>$A464&amp;Keys!$C$54&amp;$B464&amp;Keys!$C$54&amp;$C464</f>
        <v>FL|exports|hydro</v>
      </c>
    </row>
    <row r="465" spans="1:5" x14ac:dyDescent="0.25">
      <c r="A465" t="s">
        <v>81</v>
      </c>
      <c r="B465" t="s">
        <v>188</v>
      </c>
      <c r="C465" t="s">
        <v>274</v>
      </c>
      <c r="D465" s="10">
        <v>0</v>
      </c>
      <c r="E465" t="str">
        <f>$A465&amp;Keys!$C$54&amp;$B465&amp;Keys!$C$54&amp;$C465</f>
        <v>FL|production|wind</v>
      </c>
    </row>
    <row r="466" spans="1:5" x14ac:dyDescent="0.25">
      <c r="A466" t="s">
        <v>81</v>
      </c>
      <c r="B466" t="s">
        <v>191</v>
      </c>
      <c r="C466" t="s">
        <v>274</v>
      </c>
      <c r="D466" s="10">
        <v>0</v>
      </c>
      <c r="E466" t="str">
        <f>$A466&amp;Keys!$C$54&amp;$B466&amp;Keys!$C$54&amp;$C466</f>
        <v>FL|imports|wind</v>
      </c>
    </row>
    <row r="467" spans="1:5" x14ac:dyDescent="0.25">
      <c r="A467" t="s">
        <v>81</v>
      </c>
      <c r="B467" t="s">
        <v>193</v>
      </c>
      <c r="C467" t="s">
        <v>274</v>
      </c>
      <c r="D467" s="10">
        <v>0</v>
      </c>
      <c r="E467" t="str">
        <f>$A467&amp;Keys!$C$54&amp;$B467&amp;Keys!$C$54&amp;$C467</f>
        <v>FL|exports|wind</v>
      </c>
    </row>
    <row r="468" spans="1:5" x14ac:dyDescent="0.25">
      <c r="A468" t="s">
        <v>81</v>
      </c>
      <c r="B468" t="s">
        <v>188</v>
      </c>
      <c r="C468" t="s">
        <v>275</v>
      </c>
      <c r="D468" s="10">
        <v>0</v>
      </c>
      <c r="E468" t="str">
        <f>$A468&amp;Keys!$C$54&amp;$B468&amp;Keys!$C$54&amp;$C468</f>
        <v>FL|production|solar</v>
      </c>
    </row>
    <row r="469" spans="1:5" x14ac:dyDescent="0.25">
      <c r="A469" t="s">
        <v>81</v>
      </c>
      <c r="B469" t="s">
        <v>191</v>
      </c>
      <c r="C469" t="s">
        <v>275</v>
      </c>
      <c r="D469" s="10">
        <v>0</v>
      </c>
      <c r="E469" t="str">
        <f>$A469&amp;Keys!$C$54&amp;$B469&amp;Keys!$C$54&amp;$C469</f>
        <v>FL|imports|solar</v>
      </c>
    </row>
    <row r="470" spans="1:5" x14ac:dyDescent="0.25">
      <c r="A470" t="s">
        <v>81</v>
      </c>
      <c r="B470" t="s">
        <v>193</v>
      </c>
      <c r="C470" t="s">
        <v>275</v>
      </c>
      <c r="D470" s="10">
        <v>0</v>
      </c>
      <c r="E470" t="str">
        <f>$A470&amp;Keys!$C$54&amp;$B470&amp;Keys!$C$54&amp;$C470</f>
        <v>FL|exports|solar</v>
      </c>
    </row>
    <row r="471" spans="1:5" x14ac:dyDescent="0.25">
      <c r="A471" t="s">
        <v>81</v>
      </c>
      <c r="B471" t="s">
        <v>188</v>
      </c>
      <c r="C471" t="s">
        <v>82</v>
      </c>
      <c r="D471" s="10">
        <v>13227600000000</v>
      </c>
      <c r="E471" t="str">
        <f>$A471&amp;Keys!$C$54&amp;$B471&amp;Keys!$C$54&amp;$C471</f>
        <v>FL|production|biomass</v>
      </c>
    </row>
    <row r="472" spans="1:5" x14ac:dyDescent="0.25">
      <c r="A472" t="s">
        <v>81</v>
      </c>
      <c r="B472" t="s">
        <v>191</v>
      </c>
      <c r="C472" t="s">
        <v>82</v>
      </c>
      <c r="D472" s="10">
        <v>74403800000000</v>
      </c>
      <c r="E472" t="str">
        <f>$A472&amp;Keys!$C$54&amp;$B472&amp;Keys!$C$54&amp;$C472</f>
        <v>FL|imports|biomass</v>
      </c>
    </row>
    <row r="473" spans="1:5" x14ac:dyDescent="0.25">
      <c r="A473" t="s">
        <v>81</v>
      </c>
      <c r="B473" t="s">
        <v>193</v>
      </c>
      <c r="C473" t="s">
        <v>82</v>
      </c>
      <c r="D473" s="10">
        <v>0</v>
      </c>
      <c r="E473" t="str">
        <f>$A473&amp;Keys!$C$54&amp;$B473&amp;Keys!$C$54&amp;$C473</f>
        <v>FL|exports|biomass</v>
      </c>
    </row>
    <row r="474" spans="1:5" x14ac:dyDescent="0.25">
      <c r="A474" t="s">
        <v>81</v>
      </c>
      <c r="B474" t="s">
        <v>188</v>
      </c>
      <c r="C474" t="s">
        <v>85</v>
      </c>
      <c r="D474" s="10">
        <v>0</v>
      </c>
      <c r="E474" t="str">
        <f>$A474&amp;Keys!$C$54&amp;$B474&amp;Keys!$C$54&amp;$C474</f>
        <v>FL|production|petroleum gasoline</v>
      </c>
    </row>
    <row r="475" spans="1:5" x14ac:dyDescent="0.25">
      <c r="A475" t="s">
        <v>81</v>
      </c>
      <c r="B475" t="s">
        <v>191</v>
      </c>
      <c r="C475" t="s">
        <v>85</v>
      </c>
      <c r="D475" s="10">
        <v>1005070000000000</v>
      </c>
      <c r="E475" t="str">
        <f>$A475&amp;Keys!$C$54&amp;$B475&amp;Keys!$C$54&amp;$C475</f>
        <v>FL|imports|petroleum gasoline</v>
      </c>
    </row>
    <row r="476" spans="1:5" x14ac:dyDescent="0.25">
      <c r="A476" t="s">
        <v>81</v>
      </c>
      <c r="B476" t="s">
        <v>193</v>
      </c>
      <c r="C476" t="s">
        <v>85</v>
      </c>
      <c r="D476" s="10">
        <v>0</v>
      </c>
      <c r="E476" t="str">
        <f>$A476&amp;Keys!$C$54&amp;$B476&amp;Keys!$C$54&amp;$C476</f>
        <v>FL|exports|petroleum gasoline</v>
      </c>
    </row>
    <row r="477" spans="1:5" x14ac:dyDescent="0.25">
      <c r="A477" t="s">
        <v>81</v>
      </c>
      <c r="B477" t="s">
        <v>188</v>
      </c>
      <c r="C477" t="s">
        <v>88</v>
      </c>
      <c r="D477" s="10">
        <v>0</v>
      </c>
      <c r="E477" t="str">
        <f>$A477&amp;Keys!$C$54&amp;$B477&amp;Keys!$C$54&amp;$C477</f>
        <v>FL|production|petroleum diesel</v>
      </c>
    </row>
    <row r="478" spans="1:5" x14ac:dyDescent="0.25">
      <c r="A478" t="s">
        <v>81</v>
      </c>
      <c r="B478" t="s">
        <v>191</v>
      </c>
      <c r="C478" t="s">
        <v>88</v>
      </c>
      <c r="D478" s="10">
        <v>390712000000000</v>
      </c>
      <c r="E478" t="str">
        <f>$A478&amp;Keys!$C$54&amp;$B478&amp;Keys!$C$54&amp;$C478</f>
        <v>FL|imports|petroleum diesel</v>
      </c>
    </row>
    <row r="479" spans="1:5" x14ac:dyDescent="0.25">
      <c r="A479" t="s">
        <v>81</v>
      </c>
      <c r="B479" t="s">
        <v>193</v>
      </c>
      <c r="C479" t="s">
        <v>88</v>
      </c>
      <c r="D479" s="10">
        <v>0</v>
      </c>
      <c r="E479" t="str">
        <f>$A479&amp;Keys!$C$54&amp;$B479&amp;Keys!$C$54&amp;$C479</f>
        <v>FL|exports|petroleum diesel</v>
      </c>
    </row>
    <row r="480" spans="1:5" x14ac:dyDescent="0.25">
      <c r="A480" t="s">
        <v>81</v>
      </c>
      <c r="B480" t="s">
        <v>188</v>
      </c>
      <c r="C480" t="s">
        <v>91</v>
      </c>
      <c r="D480" s="10">
        <v>0</v>
      </c>
      <c r="E480" t="str">
        <f>$A480&amp;Keys!$C$54&amp;$B480&amp;Keys!$C$54&amp;$C480</f>
        <v>FL|production|biofuel gasoline</v>
      </c>
    </row>
    <row r="481" spans="1:5" x14ac:dyDescent="0.25">
      <c r="A481" t="s">
        <v>81</v>
      </c>
      <c r="B481" t="s">
        <v>191</v>
      </c>
      <c r="C481" t="s">
        <v>91</v>
      </c>
      <c r="D481" s="10">
        <v>69157700000000</v>
      </c>
      <c r="E481" t="str">
        <f>$A481&amp;Keys!$C$54&amp;$B481&amp;Keys!$C$54&amp;$C481</f>
        <v>FL|imports|biofuel gasoline</v>
      </c>
    </row>
    <row r="482" spans="1:5" x14ac:dyDescent="0.25">
      <c r="A482" t="s">
        <v>81</v>
      </c>
      <c r="B482" t="s">
        <v>193</v>
      </c>
      <c r="C482" t="s">
        <v>91</v>
      </c>
      <c r="D482" s="10">
        <v>0</v>
      </c>
      <c r="E482" t="str">
        <f>$A482&amp;Keys!$C$54&amp;$B482&amp;Keys!$C$54&amp;$C482</f>
        <v>FL|exports|biofuel gasoline</v>
      </c>
    </row>
    <row r="483" spans="1:5" x14ac:dyDescent="0.25">
      <c r="A483" t="s">
        <v>81</v>
      </c>
      <c r="B483" t="s">
        <v>188</v>
      </c>
      <c r="C483" t="s">
        <v>94</v>
      </c>
      <c r="D483" s="10">
        <v>571343000000</v>
      </c>
      <c r="E483" t="str">
        <f>$A483&amp;Keys!$C$54&amp;$B483&amp;Keys!$C$54&amp;$C483</f>
        <v>FL|production|biofuel diesel</v>
      </c>
    </row>
    <row r="484" spans="1:5" x14ac:dyDescent="0.25">
      <c r="A484" t="s">
        <v>81</v>
      </c>
      <c r="B484" t="s">
        <v>191</v>
      </c>
      <c r="C484" t="s">
        <v>94</v>
      </c>
      <c r="D484" s="10">
        <v>1821260000000</v>
      </c>
      <c r="E484" t="str">
        <f>$A484&amp;Keys!$C$54&amp;$B484&amp;Keys!$C$54&amp;$C484</f>
        <v>FL|imports|biofuel diesel</v>
      </c>
    </row>
    <row r="485" spans="1:5" x14ac:dyDescent="0.25">
      <c r="A485" t="s">
        <v>81</v>
      </c>
      <c r="B485" t="s">
        <v>193</v>
      </c>
      <c r="C485" t="s">
        <v>94</v>
      </c>
      <c r="D485" s="10">
        <v>0</v>
      </c>
      <c r="E485" t="str">
        <f>$A485&amp;Keys!$C$54&amp;$B485&amp;Keys!$C$54&amp;$C485</f>
        <v>FL|exports|biofuel diesel</v>
      </c>
    </row>
    <row r="486" spans="1:5" x14ac:dyDescent="0.25">
      <c r="A486" t="s">
        <v>81</v>
      </c>
      <c r="B486" t="s">
        <v>188</v>
      </c>
      <c r="C486" t="s">
        <v>97</v>
      </c>
      <c r="D486" s="10">
        <v>0</v>
      </c>
      <c r="E486" t="str">
        <f>$A486&amp;Keys!$C$54&amp;$B486&amp;Keys!$C$54&amp;$C486</f>
        <v>FL|production|jet fuel or kerosene</v>
      </c>
    </row>
    <row r="487" spans="1:5" x14ac:dyDescent="0.25">
      <c r="A487" t="s">
        <v>81</v>
      </c>
      <c r="B487" t="s">
        <v>191</v>
      </c>
      <c r="C487" t="s">
        <v>97</v>
      </c>
      <c r="D487" s="10">
        <v>343802000000000</v>
      </c>
      <c r="E487" t="str">
        <f>$A487&amp;Keys!$C$54&amp;$B487&amp;Keys!$C$54&amp;$C487</f>
        <v>FL|imports|jet fuel or kerosene</v>
      </c>
    </row>
    <row r="488" spans="1:5" x14ac:dyDescent="0.25">
      <c r="A488" t="s">
        <v>81</v>
      </c>
      <c r="B488" t="s">
        <v>193</v>
      </c>
      <c r="C488" t="s">
        <v>97</v>
      </c>
      <c r="D488" s="10">
        <v>0</v>
      </c>
      <c r="E488" t="str">
        <f>$A488&amp;Keys!$C$54&amp;$B488&amp;Keys!$C$54&amp;$C488</f>
        <v>FL|exports|jet fuel or kerosene</v>
      </c>
    </row>
    <row r="489" spans="1:5" x14ac:dyDescent="0.25">
      <c r="A489" t="s">
        <v>81</v>
      </c>
      <c r="B489" t="s">
        <v>188</v>
      </c>
      <c r="C489" t="s">
        <v>276</v>
      </c>
      <c r="D489" s="10">
        <v>0</v>
      </c>
      <c r="E489" t="str">
        <f>$A489&amp;Keys!$C$54&amp;$B489&amp;Keys!$C$54&amp;$C489</f>
        <v>FL|production|heat</v>
      </c>
    </row>
    <row r="490" spans="1:5" x14ac:dyDescent="0.25">
      <c r="A490" t="s">
        <v>81</v>
      </c>
      <c r="B490" t="s">
        <v>191</v>
      </c>
      <c r="C490" t="s">
        <v>276</v>
      </c>
      <c r="D490" s="10">
        <v>0</v>
      </c>
      <c r="E490" t="str">
        <f>$A490&amp;Keys!$C$54&amp;$B490&amp;Keys!$C$54&amp;$C490</f>
        <v>FL|imports|heat</v>
      </c>
    </row>
    <row r="491" spans="1:5" x14ac:dyDescent="0.25">
      <c r="A491" t="s">
        <v>81</v>
      </c>
      <c r="B491" t="s">
        <v>193</v>
      </c>
      <c r="C491" t="s">
        <v>276</v>
      </c>
      <c r="D491" s="10">
        <v>0</v>
      </c>
      <c r="E491" t="str">
        <f>$A491&amp;Keys!$C$54&amp;$B491&amp;Keys!$C$54&amp;$C491</f>
        <v>FL|exports|heat</v>
      </c>
    </row>
    <row r="492" spans="1:5" x14ac:dyDescent="0.25">
      <c r="A492" t="s">
        <v>81</v>
      </c>
      <c r="B492" t="s">
        <v>188</v>
      </c>
      <c r="C492" t="s">
        <v>277</v>
      </c>
      <c r="D492" s="10">
        <v>0</v>
      </c>
      <c r="E492" t="str">
        <f>$A492&amp;Keys!$C$54&amp;$B492&amp;Keys!$C$54&amp;$C492</f>
        <v>FL|production|geothermal</v>
      </c>
    </row>
    <row r="493" spans="1:5" x14ac:dyDescent="0.25">
      <c r="A493" t="s">
        <v>81</v>
      </c>
      <c r="B493" t="s">
        <v>191</v>
      </c>
      <c r="C493" t="s">
        <v>277</v>
      </c>
      <c r="D493" s="10">
        <v>0</v>
      </c>
      <c r="E493" t="str">
        <f>$A493&amp;Keys!$C$54&amp;$B493&amp;Keys!$C$54&amp;$C493</f>
        <v>FL|imports|geothermal</v>
      </c>
    </row>
    <row r="494" spans="1:5" x14ac:dyDescent="0.25">
      <c r="A494" t="s">
        <v>81</v>
      </c>
      <c r="B494" t="s">
        <v>193</v>
      </c>
      <c r="C494" t="s">
        <v>277</v>
      </c>
      <c r="D494" s="10">
        <v>0</v>
      </c>
      <c r="E494" t="str">
        <f>$A494&amp;Keys!$C$54&amp;$B494&amp;Keys!$C$54&amp;$C494</f>
        <v>FL|exports|geothermal</v>
      </c>
    </row>
    <row r="495" spans="1:5" x14ac:dyDescent="0.25">
      <c r="A495" t="s">
        <v>81</v>
      </c>
      <c r="B495" t="s">
        <v>188</v>
      </c>
      <c r="C495" t="s">
        <v>106</v>
      </c>
      <c r="D495" s="10">
        <v>0</v>
      </c>
      <c r="E495" t="str">
        <f>$A495&amp;Keys!$C$54&amp;$B495&amp;Keys!$C$54&amp;$C495</f>
        <v>FL|production|lignite</v>
      </c>
    </row>
    <row r="496" spans="1:5" x14ac:dyDescent="0.25">
      <c r="A496" t="s">
        <v>81</v>
      </c>
      <c r="B496" t="s">
        <v>191</v>
      </c>
      <c r="C496" t="s">
        <v>106</v>
      </c>
      <c r="D496" s="10">
        <v>0</v>
      </c>
      <c r="E496" t="str">
        <f>$A496&amp;Keys!$C$54&amp;$B496&amp;Keys!$C$54&amp;$C496</f>
        <v>FL|imports|lignite</v>
      </c>
    </row>
    <row r="497" spans="1:5" x14ac:dyDescent="0.25">
      <c r="A497" t="s">
        <v>81</v>
      </c>
      <c r="B497" t="s">
        <v>193</v>
      </c>
      <c r="C497" t="s">
        <v>106</v>
      </c>
      <c r="D497" s="10">
        <v>0</v>
      </c>
      <c r="E497" t="str">
        <f>$A497&amp;Keys!$C$54&amp;$B497&amp;Keys!$C$54&amp;$C497</f>
        <v>FL|exports|lignite</v>
      </c>
    </row>
    <row r="498" spans="1:5" x14ac:dyDescent="0.25">
      <c r="A498" t="s">
        <v>81</v>
      </c>
      <c r="B498" t="s">
        <v>188</v>
      </c>
      <c r="C498" t="s">
        <v>109</v>
      </c>
      <c r="D498" s="10">
        <v>5092400000000</v>
      </c>
      <c r="E498" t="str">
        <f>$A498&amp;Keys!$C$54&amp;$B498&amp;Keys!$C$54&amp;$C498</f>
        <v>FL|production|crude oil</v>
      </c>
    </row>
    <row r="499" spans="1:5" x14ac:dyDescent="0.25">
      <c r="A499" t="s">
        <v>81</v>
      </c>
      <c r="B499" t="s">
        <v>191</v>
      </c>
      <c r="C499" t="s">
        <v>109</v>
      </c>
      <c r="D499" s="10">
        <v>0</v>
      </c>
      <c r="E499" t="str">
        <f>$A499&amp;Keys!$C$54&amp;$B499&amp;Keys!$C$54&amp;$C499</f>
        <v>FL|imports|crude oil</v>
      </c>
    </row>
    <row r="500" spans="1:5" x14ac:dyDescent="0.25">
      <c r="A500" t="s">
        <v>81</v>
      </c>
      <c r="B500" t="s">
        <v>193</v>
      </c>
      <c r="C500" t="s">
        <v>109</v>
      </c>
      <c r="D500" s="10">
        <v>2586400000000</v>
      </c>
      <c r="E500" t="str">
        <f>$A500&amp;Keys!$C$54&amp;$B500&amp;Keys!$C$54&amp;$C500</f>
        <v>FL|exports|crude oil</v>
      </c>
    </row>
    <row r="501" spans="1:5" x14ac:dyDescent="0.25">
      <c r="A501" t="s">
        <v>81</v>
      </c>
      <c r="B501" t="s">
        <v>188</v>
      </c>
      <c r="C501" t="s">
        <v>114</v>
      </c>
      <c r="D501" s="10">
        <v>0</v>
      </c>
      <c r="E501" t="str">
        <f>$A501&amp;Keys!$C$54&amp;$B501&amp;Keys!$C$54&amp;$C501</f>
        <v>FL|production|heavy or residual fuel oil</v>
      </c>
    </row>
    <row r="502" spans="1:5" x14ac:dyDescent="0.25">
      <c r="A502" t="s">
        <v>81</v>
      </c>
      <c r="B502" t="s">
        <v>191</v>
      </c>
      <c r="C502" t="s">
        <v>114</v>
      </c>
      <c r="D502" s="10">
        <v>100471000000000</v>
      </c>
      <c r="E502" t="str">
        <f>$A502&amp;Keys!$C$54&amp;$B502&amp;Keys!$C$54&amp;$C502</f>
        <v>FL|imports|heavy or residual fuel oil</v>
      </c>
    </row>
    <row r="503" spans="1:5" x14ac:dyDescent="0.25">
      <c r="A503" t="s">
        <v>81</v>
      </c>
      <c r="B503" t="s">
        <v>193</v>
      </c>
      <c r="C503" t="s">
        <v>114</v>
      </c>
      <c r="D503" s="10">
        <v>0</v>
      </c>
      <c r="E503" t="str">
        <f>$A503&amp;Keys!$C$54&amp;$B503&amp;Keys!$C$54&amp;$C503</f>
        <v>FL|exports|heavy or residual fuel oil</v>
      </c>
    </row>
    <row r="504" spans="1:5" x14ac:dyDescent="0.25">
      <c r="A504" t="s">
        <v>81</v>
      </c>
      <c r="B504" t="s">
        <v>188</v>
      </c>
      <c r="C504" t="s">
        <v>117</v>
      </c>
      <c r="D504" s="10">
        <v>33594800000</v>
      </c>
      <c r="E504" t="str">
        <f>$A504&amp;Keys!$C$54&amp;$B504&amp;Keys!$C$54&amp;$C504</f>
        <v>FL|production|LPG propane or butane</v>
      </c>
    </row>
    <row r="505" spans="1:5" x14ac:dyDescent="0.25">
      <c r="A505" t="s">
        <v>81</v>
      </c>
      <c r="B505" t="s">
        <v>191</v>
      </c>
      <c r="C505" t="s">
        <v>117</v>
      </c>
      <c r="D505" s="10">
        <v>19270100000000</v>
      </c>
      <c r="E505" t="str">
        <f>$A505&amp;Keys!$C$54&amp;$B505&amp;Keys!$C$54&amp;$C505</f>
        <v>FL|imports|LPG propane or butane</v>
      </c>
    </row>
    <row r="506" spans="1:5" x14ac:dyDescent="0.25">
      <c r="A506" t="s">
        <v>81</v>
      </c>
      <c r="B506" t="s">
        <v>193</v>
      </c>
      <c r="C506" t="s">
        <v>117</v>
      </c>
      <c r="D506" s="10">
        <v>0</v>
      </c>
      <c r="E506" t="str">
        <f>$A506&amp;Keys!$C$54&amp;$B506&amp;Keys!$C$54&amp;$C506</f>
        <v>FL|exports|LPG propane or butane</v>
      </c>
    </row>
    <row r="507" spans="1:5" x14ac:dyDescent="0.25">
      <c r="A507" t="s">
        <v>81</v>
      </c>
      <c r="B507" t="s">
        <v>188</v>
      </c>
      <c r="C507" t="s">
        <v>120</v>
      </c>
      <c r="D507" s="10">
        <v>0</v>
      </c>
      <c r="E507" t="str">
        <f>$A507&amp;Keys!$C$54&amp;$B507&amp;Keys!$C$54&amp;$C507</f>
        <v>FL|production|municipal solid waste</v>
      </c>
    </row>
    <row r="508" spans="1:5" x14ac:dyDescent="0.25">
      <c r="A508" t="s">
        <v>81</v>
      </c>
      <c r="B508" t="s">
        <v>191</v>
      </c>
      <c r="C508" t="s">
        <v>120</v>
      </c>
      <c r="D508" s="10">
        <v>31967200000000</v>
      </c>
      <c r="E508" t="str">
        <f>$A508&amp;Keys!$C$54&amp;$B508&amp;Keys!$C$54&amp;$C508</f>
        <v>FL|imports|municipal solid waste</v>
      </c>
    </row>
    <row r="509" spans="1:5" x14ac:dyDescent="0.25">
      <c r="A509" t="s">
        <v>81</v>
      </c>
      <c r="B509" t="s">
        <v>193</v>
      </c>
      <c r="C509" t="s">
        <v>120</v>
      </c>
      <c r="D509" s="10">
        <v>0</v>
      </c>
      <c r="E509" t="str">
        <f>$A509&amp;Keys!$C$54&amp;$B509&amp;Keys!$C$54&amp;$C509</f>
        <v>FL|exports|municipal solid waste</v>
      </c>
    </row>
    <row r="510" spans="1:5" x14ac:dyDescent="0.25">
      <c r="A510" t="s">
        <v>81</v>
      </c>
      <c r="B510" t="s">
        <v>188</v>
      </c>
      <c r="C510" t="s">
        <v>123</v>
      </c>
      <c r="D510" s="10">
        <v>0</v>
      </c>
      <c r="E510" t="str">
        <f>$A510&amp;Keys!$C$54&amp;$B510&amp;Keys!$C$54&amp;$C510</f>
        <v>FL|production|hydrogen</v>
      </c>
    </row>
    <row r="511" spans="1:5" x14ac:dyDescent="0.25">
      <c r="A511" t="s">
        <v>81</v>
      </c>
      <c r="B511" t="s">
        <v>191</v>
      </c>
      <c r="C511" t="s">
        <v>123</v>
      </c>
      <c r="D511" s="10">
        <v>2763460000000</v>
      </c>
      <c r="E511" t="str">
        <f>$A511&amp;Keys!$C$54&amp;$B511&amp;Keys!$C$54&amp;$C511</f>
        <v>FL|imports|hydrogen</v>
      </c>
    </row>
    <row r="512" spans="1:5" x14ac:dyDescent="0.25">
      <c r="A512" t="s">
        <v>81</v>
      </c>
      <c r="B512" t="s">
        <v>193</v>
      </c>
      <c r="C512" t="s">
        <v>123</v>
      </c>
      <c r="D512" s="10">
        <v>0</v>
      </c>
      <c r="E512" t="str">
        <f>$A512&amp;Keys!$C$54&amp;$B512&amp;Keys!$C$54&amp;$C512</f>
        <v>FL|exports|hydrogen</v>
      </c>
    </row>
    <row r="513" spans="1:5" x14ac:dyDescent="0.25">
      <c r="A513" t="s">
        <v>84</v>
      </c>
      <c r="B513" t="s">
        <v>188</v>
      </c>
      <c r="C513" t="s">
        <v>272</v>
      </c>
      <c r="D513" s="10">
        <v>0</v>
      </c>
      <c r="E513" t="str">
        <f>$A513&amp;Keys!$C$54&amp;$B513&amp;Keys!$C$54&amp;$C513</f>
        <v>GA|production|electricity</v>
      </c>
    </row>
    <row r="514" spans="1:5" x14ac:dyDescent="0.25">
      <c r="A514" t="s">
        <v>84</v>
      </c>
      <c r="B514" t="s">
        <v>191</v>
      </c>
      <c r="C514" t="s">
        <v>272</v>
      </c>
      <c r="D514" s="10">
        <v>0</v>
      </c>
      <c r="E514" t="str">
        <f>$A514&amp;Keys!$C$54&amp;$B514&amp;Keys!$C$54&amp;$C514</f>
        <v>GA|imports|electricity</v>
      </c>
    </row>
    <row r="515" spans="1:5" x14ac:dyDescent="0.25">
      <c r="A515" t="s">
        <v>84</v>
      </c>
      <c r="B515" t="s">
        <v>193</v>
      </c>
      <c r="C515" t="s">
        <v>272</v>
      </c>
      <c r="D515" s="10">
        <v>0</v>
      </c>
      <c r="E515" t="str">
        <f>$A515&amp;Keys!$C$54&amp;$B515&amp;Keys!$C$54&amp;$C515</f>
        <v>GA|exports|electricity</v>
      </c>
    </row>
    <row r="516" spans="1:5" x14ac:dyDescent="0.25">
      <c r="A516" t="s">
        <v>84</v>
      </c>
      <c r="B516" t="s">
        <v>188</v>
      </c>
      <c r="C516" t="s">
        <v>64</v>
      </c>
      <c r="D516" s="10">
        <v>0</v>
      </c>
      <c r="E516" t="str">
        <f>$A516&amp;Keys!$C$54&amp;$B516&amp;Keys!$C$54&amp;$C516</f>
        <v>GA|production|hard coal</v>
      </c>
    </row>
    <row r="517" spans="1:5" x14ac:dyDescent="0.25">
      <c r="A517" t="s">
        <v>84</v>
      </c>
      <c r="B517" t="s">
        <v>191</v>
      </c>
      <c r="C517" t="s">
        <v>64</v>
      </c>
      <c r="D517" s="10">
        <v>283692000000000</v>
      </c>
      <c r="E517" t="str">
        <f>$A517&amp;Keys!$C$54&amp;$B517&amp;Keys!$C$54&amp;$C517</f>
        <v>GA|imports|hard coal</v>
      </c>
    </row>
    <row r="518" spans="1:5" x14ac:dyDescent="0.25">
      <c r="A518" t="s">
        <v>84</v>
      </c>
      <c r="B518" t="s">
        <v>193</v>
      </c>
      <c r="C518" t="s">
        <v>64</v>
      </c>
      <c r="D518" s="10">
        <v>0</v>
      </c>
      <c r="E518" t="str">
        <f>$A518&amp;Keys!$C$54&amp;$B518&amp;Keys!$C$54&amp;$C518</f>
        <v>GA|exports|hard coal</v>
      </c>
    </row>
    <row r="519" spans="1:5" x14ac:dyDescent="0.25">
      <c r="A519" t="s">
        <v>84</v>
      </c>
      <c r="B519" t="s">
        <v>188</v>
      </c>
      <c r="C519" t="s">
        <v>68</v>
      </c>
      <c r="D519" s="10">
        <v>0</v>
      </c>
      <c r="E519" t="str">
        <f>$A519&amp;Keys!$C$54&amp;$B519&amp;Keys!$C$54&amp;$C519</f>
        <v>GA|production|natural gas</v>
      </c>
    </row>
    <row r="520" spans="1:5" x14ac:dyDescent="0.25">
      <c r="A520" t="s">
        <v>84</v>
      </c>
      <c r="B520" t="s">
        <v>191</v>
      </c>
      <c r="C520" t="s">
        <v>68</v>
      </c>
      <c r="D520" s="10">
        <v>1847560000000000</v>
      </c>
      <c r="E520" t="str">
        <f>$A520&amp;Keys!$C$54&amp;$B520&amp;Keys!$C$54&amp;$C520</f>
        <v>GA|imports|natural gas</v>
      </c>
    </row>
    <row r="521" spans="1:5" x14ac:dyDescent="0.25">
      <c r="A521" t="s">
        <v>84</v>
      </c>
      <c r="B521" t="s">
        <v>193</v>
      </c>
      <c r="C521" t="s">
        <v>68</v>
      </c>
      <c r="D521" s="10">
        <v>1141260000000000</v>
      </c>
      <c r="E521" t="str">
        <f>$A521&amp;Keys!$C$54&amp;$B521&amp;Keys!$C$54&amp;$C521</f>
        <v>GA|exports|natural gas</v>
      </c>
    </row>
    <row r="522" spans="1:5" x14ac:dyDescent="0.25">
      <c r="A522" t="s">
        <v>84</v>
      </c>
      <c r="B522" t="s">
        <v>188</v>
      </c>
      <c r="C522" t="s">
        <v>71</v>
      </c>
      <c r="D522" s="10">
        <v>0</v>
      </c>
      <c r="E522" t="str">
        <f>$A522&amp;Keys!$C$54&amp;$B522&amp;Keys!$C$54&amp;$C522</f>
        <v>GA|production|nuclear</v>
      </c>
    </row>
    <row r="523" spans="1:5" x14ac:dyDescent="0.25">
      <c r="A523" t="s">
        <v>84</v>
      </c>
      <c r="B523" t="s">
        <v>191</v>
      </c>
      <c r="C523" t="s">
        <v>71</v>
      </c>
      <c r="D523" s="10">
        <v>534961000000000</v>
      </c>
      <c r="E523" t="str">
        <f>$A523&amp;Keys!$C$54&amp;$B523&amp;Keys!$C$54&amp;$C523</f>
        <v>GA|imports|nuclear</v>
      </c>
    </row>
    <row r="524" spans="1:5" x14ac:dyDescent="0.25">
      <c r="A524" t="s">
        <v>84</v>
      </c>
      <c r="B524" t="s">
        <v>193</v>
      </c>
      <c r="C524" t="s">
        <v>71</v>
      </c>
      <c r="D524" s="10">
        <v>0</v>
      </c>
      <c r="E524" t="str">
        <f>$A524&amp;Keys!$C$54&amp;$B524&amp;Keys!$C$54&amp;$C524</f>
        <v>GA|exports|nuclear</v>
      </c>
    </row>
    <row r="525" spans="1:5" x14ac:dyDescent="0.25">
      <c r="A525" t="s">
        <v>84</v>
      </c>
      <c r="B525" t="s">
        <v>188</v>
      </c>
      <c r="C525" t="s">
        <v>273</v>
      </c>
      <c r="D525" s="10">
        <v>0</v>
      </c>
      <c r="E525" t="str">
        <f>$A525&amp;Keys!$C$54&amp;$B525&amp;Keys!$C$54&amp;$C525</f>
        <v>GA|production|hydro</v>
      </c>
    </row>
    <row r="526" spans="1:5" x14ac:dyDescent="0.25">
      <c r="A526" t="s">
        <v>84</v>
      </c>
      <c r="B526" t="s">
        <v>191</v>
      </c>
      <c r="C526" t="s">
        <v>273</v>
      </c>
      <c r="D526" s="10">
        <v>0</v>
      </c>
      <c r="E526" t="str">
        <f>$A526&amp;Keys!$C$54&amp;$B526&amp;Keys!$C$54&amp;$C526</f>
        <v>GA|imports|hydro</v>
      </c>
    </row>
    <row r="527" spans="1:5" x14ac:dyDescent="0.25">
      <c r="A527" t="s">
        <v>84</v>
      </c>
      <c r="B527" t="s">
        <v>193</v>
      </c>
      <c r="C527" t="s">
        <v>273</v>
      </c>
      <c r="D527" s="10">
        <v>0</v>
      </c>
      <c r="E527" t="str">
        <f>$A527&amp;Keys!$C$54&amp;$B527&amp;Keys!$C$54&amp;$C527</f>
        <v>GA|exports|hydro</v>
      </c>
    </row>
    <row r="528" spans="1:5" x14ac:dyDescent="0.25">
      <c r="A528" t="s">
        <v>84</v>
      </c>
      <c r="B528" t="s">
        <v>188</v>
      </c>
      <c r="C528" t="s">
        <v>274</v>
      </c>
      <c r="D528" s="10">
        <v>0</v>
      </c>
      <c r="E528" t="str">
        <f>$A528&amp;Keys!$C$54&amp;$B528&amp;Keys!$C$54&amp;$C528</f>
        <v>GA|production|wind</v>
      </c>
    </row>
    <row r="529" spans="1:5" x14ac:dyDescent="0.25">
      <c r="A529" t="s">
        <v>84</v>
      </c>
      <c r="B529" t="s">
        <v>191</v>
      </c>
      <c r="C529" t="s">
        <v>274</v>
      </c>
      <c r="D529" s="10">
        <v>0</v>
      </c>
      <c r="E529" t="str">
        <f>$A529&amp;Keys!$C$54&amp;$B529&amp;Keys!$C$54&amp;$C529</f>
        <v>GA|imports|wind</v>
      </c>
    </row>
    <row r="530" spans="1:5" x14ac:dyDescent="0.25">
      <c r="A530" t="s">
        <v>84</v>
      </c>
      <c r="B530" t="s">
        <v>193</v>
      </c>
      <c r="C530" t="s">
        <v>274</v>
      </c>
      <c r="D530" s="10">
        <v>0</v>
      </c>
      <c r="E530" t="str">
        <f>$A530&amp;Keys!$C$54&amp;$B530&amp;Keys!$C$54&amp;$C530</f>
        <v>GA|exports|wind</v>
      </c>
    </row>
    <row r="531" spans="1:5" x14ac:dyDescent="0.25">
      <c r="A531" t="s">
        <v>84</v>
      </c>
      <c r="B531" t="s">
        <v>188</v>
      </c>
      <c r="C531" t="s">
        <v>275</v>
      </c>
      <c r="D531" s="10">
        <v>0</v>
      </c>
      <c r="E531" t="str">
        <f>$A531&amp;Keys!$C$54&amp;$B531&amp;Keys!$C$54&amp;$C531</f>
        <v>GA|production|solar</v>
      </c>
    </row>
    <row r="532" spans="1:5" x14ac:dyDescent="0.25">
      <c r="A532" t="s">
        <v>84</v>
      </c>
      <c r="B532" t="s">
        <v>191</v>
      </c>
      <c r="C532" t="s">
        <v>275</v>
      </c>
      <c r="D532" s="10">
        <v>0</v>
      </c>
      <c r="E532" t="str">
        <f>$A532&amp;Keys!$C$54&amp;$B532&amp;Keys!$C$54&amp;$C532</f>
        <v>GA|imports|solar</v>
      </c>
    </row>
    <row r="533" spans="1:5" x14ac:dyDescent="0.25">
      <c r="A533" t="s">
        <v>84</v>
      </c>
      <c r="B533" t="s">
        <v>193</v>
      </c>
      <c r="C533" t="s">
        <v>275</v>
      </c>
      <c r="D533" s="10">
        <v>0</v>
      </c>
      <c r="E533" t="str">
        <f>$A533&amp;Keys!$C$54&amp;$B533&amp;Keys!$C$54&amp;$C533</f>
        <v>GA|exports|solar</v>
      </c>
    </row>
    <row r="534" spans="1:5" x14ac:dyDescent="0.25">
      <c r="A534" t="s">
        <v>84</v>
      </c>
      <c r="B534" t="s">
        <v>188</v>
      </c>
      <c r="C534" t="s">
        <v>82</v>
      </c>
      <c r="D534" s="10">
        <v>29595700000000</v>
      </c>
      <c r="E534" t="str">
        <f>$A534&amp;Keys!$C$54&amp;$B534&amp;Keys!$C$54&amp;$C534</f>
        <v>GA|production|biomass</v>
      </c>
    </row>
    <row r="535" spans="1:5" x14ac:dyDescent="0.25">
      <c r="A535" t="s">
        <v>84</v>
      </c>
      <c r="B535" t="s">
        <v>191</v>
      </c>
      <c r="C535" t="s">
        <v>82</v>
      </c>
      <c r="D535" s="10">
        <v>177822000000000</v>
      </c>
      <c r="E535" t="str">
        <f>$A535&amp;Keys!$C$54&amp;$B535&amp;Keys!$C$54&amp;$C535</f>
        <v>GA|imports|biomass</v>
      </c>
    </row>
    <row r="536" spans="1:5" x14ac:dyDescent="0.25">
      <c r="A536" t="s">
        <v>84</v>
      </c>
      <c r="B536" t="s">
        <v>193</v>
      </c>
      <c r="C536" t="s">
        <v>82</v>
      </c>
      <c r="D536" s="10">
        <v>0</v>
      </c>
      <c r="E536" t="str">
        <f>$A536&amp;Keys!$C$54&amp;$B536&amp;Keys!$C$54&amp;$C536</f>
        <v>GA|exports|biomass</v>
      </c>
    </row>
    <row r="537" spans="1:5" x14ac:dyDescent="0.25">
      <c r="A537" t="s">
        <v>84</v>
      </c>
      <c r="B537" t="s">
        <v>188</v>
      </c>
      <c r="C537" t="s">
        <v>85</v>
      </c>
      <c r="D537" s="10">
        <v>0</v>
      </c>
      <c r="E537" t="str">
        <f>$A537&amp;Keys!$C$54&amp;$B537&amp;Keys!$C$54&amp;$C537</f>
        <v>GA|production|petroleum gasoline</v>
      </c>
    </row>
    <row r="538" spans="1:5" x14ac:dyDescent="0.25">
      <c r="A538" t="s">
        <v>84</v>
      </c>
      <c r="B538" t="s">
        <v>191</v>
      </c>
      <c r="C538" t="s">
        <v>85</v>
      </c>
      <c r="D538" s="10">
        <v>524921000000000</v>
      </c>
      <c r="E538" t="str">
        <f>$A538&amp;Keys!$C$54&amp;$B538&amp;Keys!$C$54&amp;$C538</f>
        <v>GA|imports|petroleum gasoline</v>
      </c>
    </row>
    <row r="539" spans="1:5" x14ac:dyDescent="0.25">
      <c r="A539" t="s">
        <v>84</v>
      </c>
      <c r="B539" t="s">
        <v>193</v>
      </c>
      <c r="C539" t="s">
        <v>85</v>
      </c>
      <c r="D539" s="10">
        <v>0</v>
      </c>
      <c r="E539" t="str">
        <f>$A539&amp;Keys!$C$54&amp;$B539&amp;Keys!$C$54&amp;$C539</f>
        <v>GA|exports|petroleum gasoline</v>
      </c>
    </row>
    <row r="540" spans="1:5" x14ac:dyDescent="0.25">
      <c r="A540" t="s">
        <v>84</v>
      </c>
      <c r="B540" t="s">
        <v>188</v>
      </c>
      <c r="C540" t="s">
        <v>88</v>
      </c>
      <c r="D540" s="10">
        <v>0</v>
      </c>
      <c r="E540" t="str">
        <f>$A540&amp;Keys!$C$54&amp;$B540&amp;Keys!$C$54&amp;$C540</f>
        <v>GA|production|petroleum diesel</v>
      </c>
    </row>
    <row r="541" spans="1:5" x14ac:dyDescent="0.25">
      <c r="A541" t="s">
        <v>84</v>
      </c>
      <c r="B541" t="s">
        <v>191</v>
      </c>
      <c r="C541" t="s">
        <v>88</v>
      </c>
      <c r="D541" s="10">
        <v>257718000000000</v>
      </c>
      <c r="E541" t="str">
        <f>$A541&amp;Keys!$C$54&amp;$B541&amp;Keys!$C$54&amp;$C541</f>
        <v>GA|imports|petroleum diesel</v>
      </c>
    </row>
    <row r="542" spans="1:5" x14ac:dyDescent="0.25">
      <c r="A542" t="s">
        <v>84</v>
      </c>
      <c r="B542" t="s">
        <v>193</v>
      </c>
      <c r="C542" t="s">
        <v>88</v>
      </c>
      <c r="D542" s="10">
        <v>0</v>
      </c>
      <c r="E542" t="str">
        <f>$A542&amp;Keys!$C$54&amp;$B542&amp;Keys!$C$54&amp;$C542</f>
        <v>GA|exports|petroleum diesel</v>
      </c>
    </row>
    <row r="543" spans="1:5" x14ac:dyDescent="0.25">
      <c r="A543" t="s">
        <v>84</v>
      </c>
      <c r="B543" t="s">
        <v>188</v>
      </c>
      <c r="C543" t="s">
        <v>91</v>
      </c>
      <c r="D543" s="10">
        <v>0</v>
      </c>
      <c r="E543" t="str">
        <f>$A543&amp;Keys!$C$54&amp;$B543&amp;Keys!$C$54&amp;$C543</f>
        <v>GA|production|biofuel gasoline</v>
      </c>
    </row>
    <row r="544" spans="1:5" x14ac:dyDescent="0.25">
      <c r="A544" t="s">
        <v>84</v>
      </c>
      <c r="B544" t="s">
        <v>191</v>
      </c>
      <c r="C544" t="s">
        <v>91</v>
      </c>
      <c r="D544" s="10">
        <v>36192200000000</v>
      </c>
      <c r="E544" t="str">
        <f>$A544&amp;Keys!$C$54&amp;$B544&amp;Keys!$C$54&amp;$C544</f>
        <v>GA|imports|biofuel gasoline</v>
      </c>
    </row>
    <row r="545" spans="1:5" x14ac:dyDescent="0.25">
      <c r="A545" t="s">
        <v>84</v>
      </c>
      <c r="B545" t="s">
        <v>193</v>
      </c>
      <c r="C545" t="s">
        <v>91</v>
      </c>
      <c r="D545" s="10">
        <v>0</v>
      </c>
      <c r="E545" t="str">
        <f>$A545&amp;Keys!$C$54&amp;$B545&amp;Keys!$C$54&amp;$C545</f>
        <v>GA|exports|biofuel gasoline</v>
      </c>
    </row>
    <row r="546" spans="1:5" x14ac:dyDescent="0.25">
      <c r="A546" t="s">
        <v>84</v>
      </c>
      <c r="B546" t="s">
        <v>188</v>
      </c>
      <c r="C546" t="s">
        <v>94</v>
      </c>
      <c r="D546" s="10">
        <v>50911700000</v>
      </c>
      <c r="E546" t="str">
        <f>$A546&amp;Keys!$C$54&amp;$B546&amp;Keys!$C$54&amp;$C546</f>
        <v>GA|production|biofuel diesel</v>
      </c>
    </row>
    <row r="547" spans="1:5" x14ac:dyDescent="0.25">
      <c r="A547" t="s">
        <v>84</v>
      </c>
      <c r="B547" t="s">
        <v>191</v>
      </c>
      <c r="C547" t="s">
        <v>94</v>
      </c>
      <c r="D547" s="10">
        <v>1538710000000</v>
      </c>
      <c r="E547" t="str">
        <f>$A547&amp;Keys!$C$54&amp;$B547&amp;Keys!$C$54&amp;$C547</f>
        <v>GA|imports|biofuel diesel</v>
      </c>
    </row>
    <row r="548" spans="1:5" x14ac:dyDescent="0.25">
      <c r="A548" t="s">
        <v>84</v>
      </c>
      <c r="B548" t="s">
        <v>193</v>
      </c>
      <c r="C548" t="s">
        <v>94</v>
      </c>
      <c r="D548" s="10">
        <v>0</v>
      </c>
      <c r="E548" t="str">
        <f>$A548&amp;Keys!$C$54&amp;$B548&amp;Keys!$C$54&amp;$C548</f>
        <v>GA|exports|biofuel diesel</v>
      </c>
    </row>
    <row r="549" spans="1:5" x14ac:dyDescent="0.25">
      <c r="A549" t="s">
        <v>84</v>
      </c>
      <c r="B549" t="s">
        <v>188</v>
      </c>
      <c r="C549" t="s">
        <v>97</v>
      </c>
      <c r="D549" s="10">
        <v>0</v>
      </c>
      <c r="E549" t="str">
        <f>$A549&amp;Keys!$C$54&amp;$B549&amp;Keys!$C$54&amp;$C549</f>
        <v>GA|production|jet fuel or kerosene</v>
      </c>
    </row>
    <row r="550" spans="1:5" x14ac:dyDescent="0.25">
      <c r="A550" t="s">
        <v>84</v>
      </c>
      <c r="B550" t="s">
        <v>191</v>
      </c>
      <c r="C550" t="s">
        <v>97</v>
      </c>
      <c r="D550" s="10">
        <v>144319000000000</v>
      </c>
      <c r="E550" t="str">
        <f>$A550&amp;Keys!$C$54&amp;$B550&amp;Keys!$C$54&amp;$C550</f>
        <v>GA|imports|jet fuel or kerosene</v>
      </c>
    </row>
    <row r="551" spans="1:5" x14ac:dyDescent="0.25">
      <c r="A551" t="s">
        <v>84</v>
      </c>
      <c r="B551" t="s">
        <v>193</v>
      </c>
      <c r="C551" t="s">
        <v>97</v>
      </c>
      <c r="D551" s="10">
        <v>0</v>
      </c>
      <c r="E551" t="str">
        <f>$A551&amp;Keys!$C$54&amp;$B551&amp;Keys!$C$54&amp;$C551</f>
        <v>GA|exports|jet fuel or kerosene</v>
      </c>
    </row>
    <row r="552" spans="1:5" x14ac:dyDescent="0.25">
      <c r="A552" t="s">
        <v>84</v>
      </c>
      <c r="B552" t="s">
        <v>188</v>
      </c>
      <c r="C552" t="s">
        <v>276</v>
      </c>
      <c r="D552" s="10">
        <v>0</v>
      </c>
      <c r="E552" t="str">
        <f>$A552&amp;Keys!$C$54&amp;$B552&amp;Keys!$C$54&amp;$C552</f>
        <v>GA|production|heat</v>
      </c>
    </row>
    <row r="553" spans="1:5" x14ac:dyDescent="0.25">
      <c r="A553" t="s">
        <v>84</v>
      </c>
      <c r="B553" t="s">
        <v>191</v>
      </c>
      <c r="C553" t="s">
        <v>276</v>
      </c>
      <c r="D553" s="10">
        <v>0</v>
      </c>
      <c r="E553" t="str">
        <f>$A553&amp;Keys!$C$54&amp;$B553&amp;Keys!$C$54&amp;$C553</f>
        <v>GA|imports|heat</v>
      </c>
    </row>
    <row r="554" spans="1:5" x14ac:dyDescent="0.25">
      <c r="A554" t="s">
        <v>84</v>
      </c>
      <c r="B554" t="s">
        <v>193</v>
      </c>
      <c r="C554" t="s">
        <v>276</v>
      </c>
      <c r="D554" s="10">
        <v>0</v>
      </c>
      <c r="E554" t="str">
        <f>$A554&amp;Keys!$C$54&amp;$B554&amp;Keys!$C$54&amp;$C554</f>
        <v>GA|exports|heat</v>
      </c>
    </row>
    <row r="555" spans="1:5" x14ac:dyDescent="0.25">
      <c r="A555" t="s">
        <v>84</v>
      </c>
      <c r="B555" t="s">
        <v>188</v>
      </c>
      <c r="C555" t="s">
        <v>277</v>
      </c>
      <c r="D555" s="10">
        <v>0</v>
      </c>
      <c r="E555" t="str">
        <f>$A555&amp;Keys!$C$54&amp;$B555&amp;Keys!$C$54&amp;$C555</f>
        <v>GA|production|geothermal</v>
      </c>
    </row>
    <row r="556" spans="1:5" x14ac:dyDescent="0.25">
      <c r="A556" t="s">
        <v>84</v>
      </c>
      <c r="B556" t="s">
        <v>191</v>
      </c>
      <c r="C556" t="s">
        <v>277</v>
      </c>
      <c r="D556" s="10">
        <v>0</v>
      </c>
      <c r="E556" t="str">
        <f>$A556&amp;Keys!$C$54&amp;$B556&amp;Keys!$C$54&amp;$C556</f>
        <v>GA|imports|geothermal</v>
      </c>
    </row>
    <row r="557" spans="1:5" x14ac:dyDescent="0.25">
      <c r="A557" t="s">
        <v>84</v>
      </c>
      <c r="B557" t="s">
        <v>193</v>
      </c>
      <c r="C557" t="s">
        <v>277</v>
      </c>
      <c r="D557" s="10">
        <v>0</v>
      </c>
      <c r="E557" t="str">
        <f>$A557&amp;Keys!$C$54&amp;$B557&amp;Keys!$C$54&amp;$C557</f>
        <v>GA|exports|geothermal</v>
      </c>
    </row>
    <row r="558" spans="1:5" x14ac:dyDescent="0.25">
      <c r="A558" t="s">
        <v>84</v>
      </c>
      <c r="B558" t="s">
        <v>188</v>
      </c>
      <c r="C558" t="s">
        <v>106</v>
      </c>
      <c r="D558" s="10">
        <v>0</v>
      </c>
      <c r="E558" t="str">
        <f>$A558&amp;Keys!$C$54&amp;$B558&amp;Keys!$C$54&amp;$C558</f>
        <v>GA|production|lignite</v>
      </c>
    </row>
    <row r="559" spans="1:5" x14ac:dyDescent="0.25">
      <c r="A559" t="s">
        <v>84</v>
      </c>
      <c r="B559" t="s">
        <v>191</v>
      </c>
      <c r="C559" t="s">
        <v>106</v>
      </c>
      <c r="D559" s="10">
        <v>0</v>
      </c>
      <c r="E559" t="str">
        <f>$A559&amp;Keys!$C$54&amp;$B559&amp;Keys!$C$54&amp;$C559</f>
        <v>GA|imports|lignite</v>
      </c>
    </row>
    <row r="560" spans="1:5" x14ac:dyDescent="0.25">
      <c r="A560" t="s">
        <v>84</v>
      </c>
      <c r="B560" t="s">
        <v>193</v>
      </c>
      <c r="C560" t="s">
        <v>106</v>
      </c>
      <c r="D560" s="10">
        <v>0</v>
      </c>
      <c r="E560" t="str">
        <f>$A560&amp;Keys!$C$54&amp;$B560&amp;Keys!$C$54&amp;$C560</f>
        <v>GA|exports|lignite</v>
      </c>
    </row>
    <row r="561" spans="1:5" x14ac:dyDescent="0.25">
      <c r="A561" t="s">
        <v>84</v>
      </c>
      <c r="B561" t="s">
        <v>188</v>
      </c>
      <c r="C561" t="s">
        <v>109</v>
      </c>
      <c r="D561" s="10">
        <v>0</v>
      </c>
      <c r="E561" t="str">
        <f>$A561&amp;Keys!$C$54&amp;$B561&amp;Keys!$C$54&amp;$C561</f>
        <v>GA|production|crude oil</v>
      </c>
    </row>
    <row r="562" spans="1:5" x14ac:dyDescent="0.25">
      <c r="A562" t="s">
        <v>84</v>
      </c>
      <c r="B562" t="s">
        <v>191</v>
      </c>
      <c r="C562" t="s">
        <v>109</v>
      </c>
      <c r="D562" s="10">
        <v>4978000000000</v>
      </c>
      <c r="E562" t="str">
        <f>$A562&amp;Keys!$C$54&amp;$B562&amp;Keys!$C$54&amp;$C562</f>
        <v>GA|imports|crude oil</v>
      </c>
    </row>
    <row r="563" spans="1:5" x14ac:dyDescent="0.25">
      <c r="A563" t="s">
        <v>84</v>
      </c>
      <c r="B563" t="s">
        <v>193</v>
      </c>
      <c r="C563" t="s">
        <v>109</v>
      </c>
      <c r="D563" s="10">
        <v>0</v>
      </c>
      <c r="E563" t="str">
        <f>$A563&amp;Keys!$C$54&amp;$B563&amp;Keys!$C$54&amp;$C563</f>
        <v>GA|exports|crude oil</v>
      </c>
    </row>
    <row r="564" spans="1:5" x14ac:dyDescent="0.25">
      <c r="A564" t="s">
        <v>84</v>
      </c>
      <c r="B564" t="s">
        <v>188</v>
      </c>
      <c r="C564" t="s">
        <v>114</v>
      </c>
      <c r="D564" s="10">
        <v>0</v>
      </c>
      <c r="E564" t="str">
        <f>$A564&amp;Keys!$C$54&amp;$B564&amp;Keys!$C$54&amp;$C564</f>
        <v>GA|production|heavy or residual fuel oil</v>
      </c>
    </row>
    <row r="565" spans="1:5" x14ac:dyDescent="0.25">
      <c r="A565" t="s">
        <v>84</v>
      </c>
      <c r="B565" t="s">
        <v>191</v>
      </c>
      <c r="C565" t="s">
        <v>114</v>
      </c>
      <c r="D565" s="10">
        <v>34908300000000</v>
      </c>
      <c r="E565" t="str">
        <f>$A565&amp;Keys!$C$54&amp;$B565&amp;Keys!$C$54&amp;$C565</f>
        <v>GA|imports|heavy or residual fuel oil</v>
      </c>
    </row>
    <row r="566" spans="1:5" x14ac:dyDescent="0.25">
      <c r="A566" t="s">
        <v>84</v>
      </c>
      <c r="B566" t="s">
        <v>193</v>
      </c>
      <c r="C566" t="s">
        <v>114</v>
      </c>
      <c r="D566" s="10">
        <v>0</v>
      </c>
      <c r="E566" t="str">
        <f>$A566&amp;Keys!$C$54&amp;$B566&amp;Keys!$C$54&amp;$C566</f>
        <v>GA|exports|heavy or residual fuel oil</v>
      </c>
    </row>
    <row r="567" spans="1:5" x14ac:dyDescent="0.25">
      <c r="A567" t="s">
        <v>84</v>
      </c>
      <c r="B567" t="s">
        <v>188</v>
      </c>
      <c r="C567" t="s">
        <v>117</v>
      </c>
      <c r="D567" s="10">
        <v>0</v>
      </c>
      <c r="E567" t="str">
        <f>$A567&amp;Keys!$C$54&amp;$B567&amp;Keys!$C$54&amp;$C567</f>
        <v>GA|production|LPG propane or butane</v>
      </c>
    </row>
    <row r="568" spans="1:5" x14ac:dyDescent="0.25">
      <c r="A568" t="s">
        <v>84</v>
      </c>
      <c r="B568" t="s">
        <v>191</v>
      </c>
      <c r="C568" t="s">
        <v>117</v>
      </c>
      <c r="D568" s="10">
        <v>22603300000000</v>
      </c>
      <c r="E568" t="str">
        <f>$A568&amp;Keys!$C$54&amp;$B568&amp;Keys!$C$54&amp;$C568</f>
        <v>GA|imports|LPG propane or butane</v>
      </c>
    </row>
    <row r="569" spans="1:5" x14ac:dyDescent="0.25">
      <c r="A569" t="s">
        <v>84</v>
      </c>
      <c r="B569" t="s">
        <v>193</v>
      </c>
      <c r="C569" t="s">
        <v>117</v>
      </c>
      <c r="D569" s="10">
        <v>0</v>
      </c>
      <c r="E569" t="str">
        <f>$A569&amp;Keys!$C$54&amp;$B569&amp;Keys!$C$54&amp;$C569</f>
        <v>GA|exports|LPG propane or butane</v>
      </c>
    </row>
    <row r="570" spans="1:5" x14ac:dyDescent="0.25">
      <c r="A570" t="s">
        <v>84</v>
      </c>
      <c r="B570" t="s">
        <v>188</v>
      </c>
      <c r="C570" t="s">
        <v>120</v>
      </c>
      <c r="D570" s="10">
        <v>0</v>
      </c>
      <c r="E570" t="str">
        <f>$A570&amp;Keys!$C$54&amp;$B570&amp;Keys!$C$54&amp;$C570</f>
        <v>GA|production|municipal solid waste</v>
      </c>
    </row>
    <row r="571" spans="1:5" x14ac:dyDescent="0.25">
      <c r="A571" t="s">
        <v>84</v>
      </c>
      <c r="B571" t="s">
        <v>191</v>
      </c>
      <c r="C571" t="s">
        <v>120</v>
      </c>
      <c r="D571" s="10">
        <v>0</v>
      </c>
      <c r="E571" t="str">
        <f>$A571&amp;Keys!$C$54&amp;$B571&amp;Keys!$C$54&amp;$C571</f>
        <v>GA|imports|municipal solid waste</v>
      </c>
    </row>
    <row r="572" spans="1:5" x14ac:dyDescent="0.25">
      <c r="A572" t="s">
        <v>84</v>
      </c>
      <c r="B572" t="s">
        <v>193</v>
      </c>
      <c r="C572" t="s">
        <v>120</v>
      </c>
      <c r="D572" s="10">
        <v>0</v>
      </c>
      <c r="E572" t="str">
        <f>$A572&amp;Keys!$C$54&amp;$B572&amp;Keys!$C$54&amp;$C572</f>
        <v>GA|exports|municipal solid waste</v>
      </c>
    </row>
    <row r="573" spans="1:5" x14ac:dyDescent="0.25">
      <c r="A573" t="s">
        <v>84</v>
      </c>
      <c r="B573" t="s">
        <v>188</v>
      </c>
      <c r="C573" t="s">
        <v>123</v>
      </c>
      <c r="D573" s="10">
        <v>0</v>
      </c>
      <c r="E573" t="str">
        <f>$A573&amp;Keys!$C$54&amp;$B573&amp;Keys!$C$54&amp;$C573</f>
        <v>GA|production|hydrogen</v>
      </c>
    </row>
    <row r="574" spans="1:5" x14ac:dyDescent="0.25">
      <c r="A574" t="s">
        <v>84</v>
      </c>
      <c r="B574" t="s">
        <v>191</v>
      </c>
      <c r="C574" t="s">
        <v>123</v>
      </c>
      <c r="D574" s="10">
        <v>1796390000</v>
      </c>
      <c r="E574" t="str">
        <f>$A574&amp;Keys!$C$54&amp;$B574&amp;Keys!$C$54&amp;$C574</f>
        <v>GA|imports|hydrogen</v>
      </c>
    </row>
    <row r="575" spans="1:5" x14ac:dyDescent="0.25">
      <c r="A575" t="s">
        <v>84</v>
      </c>
      <c r="B575" t="s">
        <v>193</v>
      </c>
      <c r="C575" t="s">
        <v>123</v>
      </c>
      <c r="D575" s="10">
        <v>0</v>
      </c>
      <c r="E575" t="str">
        <f>$A575&amp;Keys!$C$54&amp;$B575&amp;Keys!$C$54&amp;$C575</f>
        <v>GA|exports|hydrogen</v>
      </c>
    </row>
    <row r="576" spans="1:5" x14ac:dyDescent="0.25">
      <c r="A576" t="s">
        <v>87</v>
      </c>
      <c r="B576" t="s">
        <v>188</v>
      </c>
      <c r="C576" t="s">
        <v>272</v>
      </c>
      <c r="D576" s="10">
        <v>0</v>
      </c>
      <c r="E576" t="str">
        <f>$A576&amp;Keys!$C$54&amp;$B576&amp;Keys!$C$54&amp;$C576</f>
        <v>IA|production|electricity</v>
      </c>
    </row>
    <row r="577" spans="1:5" x14ac:dyDescent="0.25">
      <c r="A577" t="s">
        <v>87</v>
      </c>
      <c r="B577" t="s">
        <v>191</v>
      </c>
      <c r="C577" t="s">
        <v>272</v>
      </c>
      <c r="D577" s="10">
        <v>0</v>
      </c>
      <c r="E577" t="str">
        <f>$A577&amp;Keys!$C$54&amp;$B577&amp;Keys!$C$54&amp;$C577</f>
        <v>IA|imports|electricity</v>
      </c>
    </row>
    <row r="578" spans="1:5" x14ac:dyDescent="0.25">
      <c r="A578" t="s">
        <v>87</v>
      </c>
      <c r="B578" t="s">
        <v>193</v>
      </c>
      <c r="C578" t="s">
        <v>272</v>
      </c>
      <c r="D578" s="10">
        <v>0</v>
      </c>
      <c r="E578" t="str">
        <f>$A578&amp;Keys!$C$54&amp;$B578&amp;Keys!$C$54&amp;$C578</f>
        <v>IA|exports|electricity</v>
      </c>
    </row>
    <row r="579" spans="1:5" x14ac:dyDescent="0.25">
      <c r="A579" t="s">
        <v>87</v>
      </c>
      <c r="B579" t="s">
        <v>188</v>
      </c>
      <c r="C579" t="s">
        <v>64</v>
      </c>
      <c r="D579" s="10">
        <v>0</v>
      </c>
      <c r="E579" t="str">
        <f>$A579&amp;Keys!$C$54&amp;$B579&amp;Keys!$C$54&amp;$C579</f>
        <v>IA|production|hard coal</v>
      </c>
    </row>
    <row r="580" spans="1:5" x14ac:dyDescent="0.25">
      <c r="A580" t="s">
        <v>87</v>
      </c>
      <c r="B580" t="s">
        <v>191</v>
      </c>
      <c r="C580" t="s">
        <v>64</v>
      </c>
      <c r="D580" s="10">
        <v>236083000000000</v>
      </c>
      <c r="E580" t="str">
        <f>$A580&amp;Keys!$C$54&amp;$B580&amp;Keys!$C$54&amp;$C580</f>
        <v>IA|imports|hard coal</v>
      </c>
    </row>
    <row r="581" spans="1:5" x14ac:dyDescent="0.25">
      <c r="A581" t="s">
        <v>87</v>
      </c>
      <c r="B581" t="s">
        <v>193</v>
      </c>
      <c r="C581" t="s">
        <v>64</v>
      </c>
      <c r="D581" s="10">
        <v>0</v>
      </c>
      <c r="E581" t="str">
        <f>$A581&amp;Keys!$C$54&amp;$B581&amp;Keys!$C$54&amp;$C581</f>
        <v>IA|exports|hard coal</v>
      </c>
    </row>
    <row r="582" spans="1:5" x14ac:dyDescent="0.25">
      <c r="A582" t="s">
        <v>87</v>
      </c>
      <c r="B582" t="s">
        <v>188</v>
      </c>
      <c r="C582" t="s">
        <v>68</v>
      </c>
      <c r="D582" s="10">
        <v>0</v>
      </c>
      <c r="E582" t="str">
        <f>$A582&amp;Keys!$C$54&amp;$B582&amp;Keys!$C$54&amp;$C582</f>
        <v>IA|production|natural gas</v>
      </c>
    </row>
    <row r="583" spans="1:5" x14ac:dyDescent="0.25">
      <c r="A583" t="s">
        <v>87</v>
      </c>
      <c r="B583" t="s">
        <v>191</v>
      </c>
      <c r="C583" t="s">
        <v>68</v>
      </c>
      <c r="D583" s="10">
        <v>1996450000000000</v>
      </c>
      <c r="E583" t="str">
        <f>$A583&amp;Keys!$C$54&amp;$B583&amp;Keys!$C$54&amp;$C583</f>
        <v>IA|imports|natural gas</v>
      </c>
    </row>
    <row r="584" spans="1:5" x14ac:dyDescent="0.25">
      <c r="A584" t="s">
        <v>87</v>
      </c>
      <c r="B584" t="s">
        <v>193</v>
      </c>
      <c r="C584" t="s">
        <v>68</v>
      </c>
      <c r="D584" s="10">
        <v>1573230000000000</v>
      </c>
      <c r="E584" t="str">
        <f>$A584&amp;Keys!$C$54&amp;$B584&amp;Keys!$C$54&amp;$C584</f>
        <v>IA|exports|natural gas</v>
      </c>
    </row>
    <row r="585" spans="1:5" x14ac:dyDescent="0.25">
      <c r="A585" t="s">
        <v>87</v>
      </c>
      <c r="B585" t="s">
        <v>188</v>
      </c>
      <c r="C585" t="s">
        <v>71</v>
      </c>
      <c r="D585" s="10">
        <v>0</v>
      </c>
      <c r="E585" t="str">
        <f>$A585&amp;Keys!$C$54&amp;$B585&amp;Keys!$C$54&amp;$C585</f>
        <v>IA|production|nuclear</v>
      </c>
    </row>
    <row r="586" spans="1:5" x14ac:dyDescent="0.25">
      <c r="A586" t="s">
        <v>87</v>
      </c>
      <c r="B586" t="s">
        <v>191</v>
      </c>
      <c r="C586" t="s">
        <v>71</v>
      </c>
      <c r="D586" s="10">
        <v>0</v>
      </c>
      <c r="E586" t="str">
        <f>$A586&amp;Keys!$C$54&amp;$B586&amp;Keys!$C$54&amp;$C586</f>
        <v>IA|imports|nuclear</v>
      </c>
    </row>
    <row r="587" spans="1:5" x14ac:dyDescent="0.25">
      <c r="A587" t="s">
        <v>87</v>
      </c>
      <c r="B587" t="s">
        <v>193</v>
      </c>
      <c r="C587" t="s">
        <v>71</v>
      </c>
      <c r="D587" s="10">
        <v>0</v>
      </c>
      <c r="E587" t="str">
        <f>$A587&amp;Keys!$C$54&amp;$B587&amp;Keys!$C$54&amp;$C587</f>
        <v>IA|exports|nuclear</v>
      </c>
    </row>
    <row r="588" spans="1:5" x14ac:dyDescent="0.25">
      <c r="A588" t="s">
        <v>87</v>
      </c>
      <c r="B588" t="s">
        <v>188</v>
      </c>
      <c r="C588" t="s">
        <v>273</v>
      </c>
      <c r="D588" s="10">
        <v>0</v>
      </c>
      <c r="E588" t="str">
        <f>$A588&amp;Keys!$C$54&amp;$B588&amp;Keys!$C$54&amp;$C588</f>
        <v>IA|production|hydro</v>
      </c>
    </row>
    <row r="589" spans="1:5" x14ac:dyDescent="0.25">
      <c r="A589" t="s">
        <v>87</v>
      </c>
      <c r="B589" t="s">
        <v>191</v>
      </c>
      <c r="C589" t="s">
        <v>273</v>
      </c>
      <c r="D589" s="10">
        <v>0</v>
      </c>
      <c r="E589" t="str">
        <f>$A589&amp;Keys!$C$54&amp;$B589&amp;Keys!$C$54&amp;$C589</f>
        <v>IA|imports|hydro</v>
      </c>
    </row>
    <row r="590" spans="1:5" x14ac:dyDescent="0.25">
      <c r="A590" t="s">
        <v>87</v>
      </c>
      <c r="B590" t="s">
        <v>193</v>
      </c>
      <c r="C590" t="s">
        <v>273</v>
      </c>
      <c r="D590" s="10">
        <v>0</v>
      </c>
      <c r="E590" t="str">
        <f>$A590&amp;Keys!$C$54&amp;$B590&amp;Keys!$C$54&amp;$C590</f>
        <v>IA|exports|hydro</v>
      </c>
    </row>
    <row r="591" spans="1:5" x14ac:dyDescent="0.25">
      <c r="A591" t="s">
        <v>87</v>
      </c>
      <c r="B591" t="s">
        <v>188</v>
      </c>
      <c r="C591" t="s">
        <v>274</v>
      </c>
      <c r="D591" s="10">
        <v>0</v>
      </c>
      <c r="E591" t="str">
        <f>$A591&amp;Keys!$C$54&amp;$B591&amp;Keys!$C$54&amp;$C591</f>
        <v>IA|production|wind</v>
      </c>
    </row>
    <row r="592" spans="1:5" x14ac:dyDescent="0.25">
      <c r="A592" t="s">
        <v>87</v>
      </c>
      <c r="B592" t="s">
        <v>191</v>
      </c>
      <c r="C592" t="s">
        <v>274</v>
      </c>
      <c r="D592" s="10">
        <v>0</v>
      </c>
      <c r="E592" t="str">
        <f>$A592&amp;Keys!$C$54&amp;$B592&amp;Keys!$C$54&amp;$C592</f>
        <v>IA|imports|wind</v>
      </c>
    </row>
    <row r="593" spans="1:5" x14ac:dyDescent="0.25">
      <c r="A593" t="s">
        <v>87</v>
      </c>
      <c r="B593" t="s">
        <v>193</v>
      </c>
      <c r="C593" t="s">
        <v>274</v>
      </c>
      <c r="D593" s="10">
        <v>0</v>
      </c>
      <c r="E593" t="str">
        <f>$A593&amp;Keys!$C$54&amp;$B593&amp;Keys!$C$54&amp;$C593</f>
        <v>IA|exports|wind</v>
      </c>
    </row>
    <row r="594" spans="1:5" x14ac:dyDescent="0.25">
      <c r="A594" t="s">
        <v>87</v>
      </c>
      <c r="B594" t="s">
        <v>188</v>
      </c>
      <c r="C594" t="s">
        <v>275</v>
      </c>
      <c r="D594" s="10">
        <v>0</v>
      </c>
      <c r="E594" t="str">
        <f>$A594&amp;Keys!$C$54&amp;$B594&amp;Keys!$C$54&amp;$C594</f>
        <v>IA|production|solar</v>
      </c>
    </row>
    <row r="595" spans="1:5" x14ac:dyDescent="0.25">
      <c r="A595" t="s">
        <v>87</v>
      </c>
      <c r="B595" t="s">
        <v>191</v>
      </c>
      <c r="C595" t="s">
        <v>275</v>
      </c>
      <c r="D595" s="10">
        <v>0</v>
      </c>
      <c r="E595" t="str">
        <f>$A595&amp;Keys!$C$54&amp;$B595&amp;Keys!$C$54&amp;$C595</f>
        <v>IA|imports|solar</v>
      </c>
    </row>
    <row r="596" spans="1:5" x14ac:dyDescent="0.25">
      <c r="A596" t="s">
        <v>87</v>
      </c>
      <c r="B596" t="s">
        <v>193</v>
      </c>
      <c r="C596" t="s">
        <v>275</v>
      </c>
      <c r="D596" s="10">
        <v>0</v>
      </c>
      <c r="E596" t="str">
        <f>$A596&amp;Keys!$C$54&amp;$B596&amp;Keys!$C$54&amp;$C596</f>
        <v>IA|exports|solar</v>
      </c>
    </row>
    <row r="597" spans="1:5" x14ac:dyDescent="0.25">
      <c r="A597" t="s">
        <v>87</v>
      </c>
      <c r="B597" t="s">
        <v>188</v>
      </c>
      <c r="C597" t="s">
        <v>82</v>
      </c>
      <c r="D597" s="10">
        <v>160000000000</v>
      </c>
      <c r="E597" t="str">
        <f>$A597&amp;Keys!$C$54&amp;$B597&amp;Keys!$C$54&amp;$C597</f>
        <v>IA|production|biomass</v>
      </c>
    </row>
    <row r="598" spans="1:5" x14ac:dyDescent="0.25">
      <c r="A598" t="s">
        <v>87</v>
      </c>
      <c r="B598" t="s">
        <v>191</v>
      </c>
      <c r="C598" t="s">
        <v>82</v>
      </c>
      <c r="D598" s="10">
        <v>25428200000000</v>
      </c>
      <c r="E598" t="str">
        <f>$A598&amp;Keys!$C$54&amp;$B598&amp;Keys!$C$54&amp;$C598</f>
        <v>IA|imports|biomass</v>
      </c>
    </row>
    <row r="599" spans="1:5" x14ac:dyDescent="0.25">
      <c r="A599" t="s">
        <v>87</v>
      </c>
      <c r="B599" t="s">
        <v>193</v>
      </c>
      <c r="C599" t="s">
        <v>82</v>
      </c>
      <c r="D599" s="10">
        <v>0</v>
      </c>
      <c r="E599" t="str">
        <f>$A599&amp;Keys!$C$54&amp;$B599&amp;Keys!$C$54&amp;$C599</f>
        <v>IA|exports|biomass</v>
      </c>
    </row>
    <row r="600" spans="1:5" x14ac:dyDescent="0.25">
      <c r="A600" t="s">
        <v>87</v>
      </c>
      <c r="B600" t="s">
        <v>188</v>
      </c>
      <c r="C600" t="s">
        <v>85</v>
      </c>
      <c r="D600" s="10">
        <v>0</v>
      </c>
      <c r="E600" t="str">
        <f>$A600&amp;Keys!$C$54&amp;$B600&amp;Keys!$C$54&amp;$C600</f>
        <v>IA|production|petroleum gasoline</v>
      </c>
    </row>
    <row r="601" spans="1:5" x14ac:dyDescent="0.25">
      <c r="A601" t="s">
        <v>87</v>
      </c>
      <c r="B601" t="s">
        <v>191</v>
      </c>
      <c r="C601" t="s">
        <v>85</v>
      </c>
      <c r="D601" s="10">
        <v>162254000000000</v>
      </c>
      <c r="E601" t="str">
        <f>$A601&amp;Keys!$C$54&amp;$B601&amp;Keys!$C$54&amp;$C601</f>
        <v>IA|imports|petroleum gasoline</v>
      </c>
    </row>
    <row r="602" spans="1:5" x14ac:dyDescent="0.25">
      <c r="A602" t="s">
        <v>87</v>
      </c>
      <c r="B602" t="s">
        <v>193</v>
      </c>
      <c r="C602" t="s">
        <v>85</v>
      </c>
      <c r="D602" s="10">
        <v>0</v>
      </c>
      <c r="E602" t="str">
        <f>$A602&amp;Keys!$C$54&amp;$B602&amp;Keys!$C$54&amp;$C602</f>
        <v>IA|exports|petroleum gasoline</v>
      </c>
    </row>
    <row r="603" spans="1:5" x14ac:dyDescent="0.25">
      <c r="A603" t="s">
        <v>87</v>
      </c>
      <c r="B603" t="s">
        <v>188</v>
      </c>
      <c r="C603" t="s">
        <v>88</v>
      </c>
      <c r="D603" s="10">
        <v>0</v>
      </c>
      <c r="E603" t="str">
        <f>$A603&amp;Keys!$C$54&amp;$B603&amp;Keys!$C$54&amp;$C603</f>
        <v>IA|production|petroleum diesel</v>
      </c>
    </row>
    <row r="604" spans="1:5" x14ac:dyDescent="0.25">
      <c r="A604" t="s">
        <v>87</v>
      </c>
      <c r="B604" t="s">
        <v>191</v>
      </c>
      <c r="C604" t="s">
        <v>88</v>
      </c>
      <c r="D604" s="10">
        <v>156917000000000</v>
      </c>
      <c r="E604" t="str">
        <f>$A604&amp;Keys!$C$54&amp;$B604&amp;Keys!$C$54&amp;$C604</f>
        <v>IA|imports|petroleum diesel</v>
      </c>
    </row>
    <row r="605" spans="1:5" x14ac:dyDescent="0.25">
      <c r="A605" t="s">
        <v>87</v>
      </c>
      <c r="B605" t="s">
        <v>193</v>
      </c>
      <c r="C605" t="s">
        <v>88</v>
      </c>
      <c r="D605" s="10">
        <v>0</v>
      </c>
      <c r="E605" t="str">
        <f>$A605&amp;Keys!$C$54&amp;$B605&amp;Keys!$C$54&amp;$C605</f>
        <v>IA|exports|petroleum diesel</v>
      </c>
    </row>
    <row r="606" spans="1:5" x14ac:dyDescent="0.25">
      <c r="A606" t="s">
        <v>87</v>
      </c>
      <c r="B606" t="s">
        <v>188</v>
      </c>
      <c r="C606" t="s">
        <v>91</v>
      </c>
      <c r="D606" s="10">
        <v>367410000000000</v>
      </c>
      <c r="E606" t="str">
        <f>$A606&amp;Keys!$C$54&amp;$B606&amp;Keys!$C$54&amp;$C606</f>
        <v>IA|production|biofuel gasoline</v>
      </c>
    </row>
    <row r="607" spans="1:5" x14ac:dyDescent="0.25">
      <c r="A607" t="s">
        <v>87</v>
      </c>
      <c r="B607" t="s">
        <v>191</v>
      </c>
      <c r="C607" t="s">
        <v>91</v>
      </c>
      <c r="D607" s="10">
        <v>735942000000</v>
      </c>
      <c r="E607" t="str">
        <f>$A607&amp;Keys!$C$54&amp;$B607&amp;Keys!$C$54&amp;$C607</f>
        <v>IA|imports|biofuel gasoline</v>
      </c>
    </row>
    <row r="608" spans="1:5" x14ac:dyDescent="0.25">
      <c r="A608" t="s">
        <v>87</v>
      </c>
      <c r="B608" t="s">
        <v>193</v>
      </c>
      <c r="C608" t="s">
        <v>91</v>
      </c>
      <c r="D608" s="10">
        <v>355186000000000</v>
      </c>
      <c r="E608" t="str">
        <f>$A608&amp;Keys!$C$54&amp;$B608&amp;Keys!$C$54&amp;$C608</f>
        <v>IA|exports|biofuel gasoline</v>
      </c>
    </row>
    <row r="609" spans="1:5" x14ac:dyDescent="0.25">
      <c r="A609" t="s">
        <v>87</v>
      </c>
      <c r="B609" t="s">
        <v>188</v>
      </c>
      <c r="C609" t="s">
        <v>94</v>
      </c>
      <c r="D609" s="10">
        <v>128057000000000</v>
      </c>
      <c r="E609" t="str">
        <f>$A609&amp;Keys!$C$54&amp;$B609&amp;Keys!$C$54&amp;$C609</f>
        <v>IA|production|biofuel diesel</v>
      </c>
    </row>
    <row r="610" spans="1:5" x14ac:dyDescent="0.25">
      <c r="A610" t="s">
        <v>87</v>
      </c>
      <c r="B610" t="s">
        <v>191</v>
      </c>
      <c r="C610" t="s">
        <v>94</v>
      </c>
      <c r="D610" s="10">
        <v>250031000000</v>
      </c>
      <c r="E610" t="str">
        <f>$A610&amp;Keys!$C$54&amp;$B610&amp;Keys!$C$54&amp;$C610</f>
        <v>IA|imports|biofuel diesel</v>
      </c>
    </row>
    <row r="611" spans="1:5" x14ac:dyDescent="0.25">
      <c r="A611" t="s">
        <v>87</v>
      </c>
      <c r="B611" t="s">
        <v>193</v>
      </c>
      <c r="C611" t="s">
        <v>94</v>
      </c>
      <c r="D611" s="10">
        <v>120676000000000</v>
      </c>
      <c r="E611" t="str">
        <f>$A611&amp;Keys!$C$54&amp;$B611&amp;Keys!$C$54&amp;$C611</f>
        <v>IA|exports|biofuel diesel</v>
      </c>
    </row>
    <row r="612" spans="1:5" x14ac:dyDescent="0.25">
      <c r="A612" t="s">
        <v>87</v>
      </c>
      <c r="B612" t="s">
        <v>188</v>
      </c>
      <c r="C612" t="s">
        <v>97</v>
      </c>
      <c r="D612" s="10">
        <v>0</v>
      </c>
      <c r="E612" t="str">
        <f>$A612&amp;Keys!$C$54&amp;$B612&amp;Keys!$C$54&amp;$C612</f>
        <v>IA|production|jet fuel or kerosene</v>
      </c>
    </row>
    <row r="613" spans="1:5" x14ac:dyDescent="0.25">
      <c r="A613" t="s">
        <v>87</v>
      </c>
      <c r="B613" t="s">
        <v>191</v>
      </c>
      <c r="C613" t="s">
        <v>97</v>
      </c>
      <c r="D613" s="10">
        <v>6215340000000</v>
      </c>
      <c r="E613" t="str">
        <f>$A613&amp;Keys!$C$54&amp;$B613&amp;Keys!$C$54&amp;$C613</f>
        <v>IA|imports|jet fuel or kerosene</v>
      </c>
    </row>
    <row r="614" spans="1:5" x14ac:dyDescent="0.25">
      <c r="A614" t="s">
        <v>87</v>
      </c>
      <c r="B614" t="s">
        <v>193</v>
      </c>
      <c r="C614" t="s">
        <v>97</v>
      </c>
      <c r="D614" s="10">
        <v>0</v>
      </c>
      <c r="E614" t="str">
        <f>$A614&amp;Keys!$C$54&amp;$B614&amp;Keys!$C$54&amp;$C614</f>
        <v>IA|exports|jet fuel or kerosene</v>
      </c>
    </row>
    <row r="615" spans="1:5" x14ac:dyDescent="0.25">
      <c r="A615" t="s">
        <v>87</v>
      </c>
      <c r="B615" t="s">
        <v>188</v>
      </c>
      <c r="C615" t="s">
        <v>276</v>
      </c>
      <c r="D615" s="10">
        <v>0</v>
      </c>
      <c r="E615" t="str">
        <f>$A615&amp;Keys!$C$54&amp;$B615&amp;Keys!$C$54&amp;$C615</f>
        <v>IA|production|heat</v>
      </c>
    </row>
    <row r="616" spans="1:5" x14ac:dyDescent="0.25">
      <c r="A616" t="s">
        <v>87</v>
      </c>
      <c r="B616" t="s">
        <v>191</v>
      </c>
      <c r="C616" t="s">
        <v>276</v>
      </c>
      <c r="D616" s="10">
        <v>0</v>
      </c>
      <c r="E616" t="str">
        <f>$A616&amp;Keys!$C$54&amp;$B616&amp;Keys!$C$54&amp;$C616</f>
        <v>IA|imports|heat</v>
      </c>
    </row>
    <row r="617" spans="1:5" x14ac:dyDescent="0.25">
      <c r="A617" t="s">
        <v>87</v>
      </c>
      <c r="B617" t="s">
        <v>193</v>
      </c>
      <c r="C617" t="s">
        <v>276</v>
      </c>
      <c r="D617" s="10">
        <v>0</v>
      </c>
      <c r="E617" t="str">
        <f>$A617&amp;Keys!$C$54&amp;$B617&amp;Keys!$C$54&amp;$C617</f>
        <v>IA|exports|heat</v>
      </c>
    </row>
    <row r="618" spans="1:5" x14ac:dyDescent="0.25">
      <c r="A618" t="s">
        <v>87</v>
      </c>
      <c r="B618" t="s">
        <v>188</v>
      </c>
      <c r="C618" t="s">
        <v>277</v>
      </c>
      <c r="D618" s="10">
        <v>0</v>
      </c>
      <c r="E618" t="str">
        <f>$A618&amp;Keys!$C$54&amp;$B618&amp;Keys!$C$54&amp;$C618</f>
        <v>IA|production|geothermal</v>
      </c>
    </row>
    <row r="619" spans="1:5" x14ac:dyDescent="0.25">
      <c r="A619" t="s">
        <v>87</v>
      </c>
      <c r="B619" t="s">
        <v>191</v>
      </c>
      <c r="C619" t="s">
        <v>277</v>
      </c>
      <c r="D619" s="10">
        <v>0</v>
      </c>
      <c r="E619" t="str">
        <f>$A619&amp;Keys!$C$54&amp;$B619&amp;Keys!$C$54&amp;$C619</f>
        <v>IA|imports|geothermal</v>
      </c>
    </row>
    <row r="620" spans="1:5" x14ac:dyDescent="0.25">
      <c r="A620" t="s">
        <v>87</v>
      </c>
      <c r="B620" t="s">
        <v>193</v>
      </c>
      <c r="C620" t="s">
        <v>277</v>
      </c>
      <c r="D620" s="10">
        <v>0</v>
      </c>
      <c r="E620" t="str">
        <f>$A620&amp;Keys!$C$54&amp;$B620&amp;Keys!$C$54&amp;$C620</f>
        <v>IA|exports|geothermal</v>
      </c>
    </row>
    <row r="621" spans="1:5" x14ac:dyDescent="0.25">
      <c r="A621" t="s">
        <v>87</v>
      </c>
      <c r="B621" t="s">
        <v>188</v>
      </c>
      <c r="C621" t="s">
        <v>106</v>
      </c>
      <c r="D621" s="10">
        <v>0</v>
      </c>
      <c r="E621" t="str">
        <f>$A621&amp;Keys!$C$54&amp;$B621&amp;Keys!$C$54&amp;$C621</f>
        <v>IA|production|lignite</v>
      </c>
    </row>
    <row r="622" spans="1:5" x14ac:dyDescent="0.25">
      <c r="A622" t="s">
        <v>87</v>
      </c>
      <c r="B622" t="s">
        <v>191</v>
      </c>
      <c r="C622" t="s">
        <v>106</v>
      </c>
      <c r="D622" s="10">
        <v>0</v>
      </c>
      <c r="E622" t="str">
        <f>$A622&amp;Keys!$C$54&amp;$B622&amp;Keys!$C$54&amp;$C622</f>
        <v>IA|imports|lignite</v>
      </c>
    </row>
    <row r="623" spans="1:5" x14ac:dyDescent="0.25">
      <c r="A623" t="s">
        <v>87</v>
      </c>
      <c r="B623" t="s">
        <v>193</v>
      </c>
      <c r="C623" t="s">
        <v>106</v>
      </c>
      <c r="D623" s="10">
        <v>0</v>
      </c>
      <c r="E623" t="str">
        <f>$A623&amp;Keys!$C$54&amp;$B623&amp;Keys!$C$54&amp;$C623</f>
        <v>IA|exports|lignite</v>
      </c>
    </row>
    <row r="624" spans="1:5" x14ac:dyDescent="0.25">
      <c r="A624" t="s">
        <v>87</v>
      </c>
      <c r="B624" t="s">
        <v>188</v>
      </c>
      <c r="C624" t="s">
        <v>109</v>
      </c>
      <c r="D624" s="10">
        <v>0</v>
      </c>
      <c r="E624" t="str">
        <f>$A624&amp;Keys!$C$54&amp;$B624&amp;Keys!$C$54&amp;$C624</f>
        <v>IA|production|crude oil</v>
      </c>
    </row>
    <row r="625" spans="1:5" x14ac:dyDescent="0.25">
      <c r="A625" t="s">
        <v>87</v>
      </c>
      <c r="B625" t="s">
        <v>191</v>
      </c>
      <c r="C625" t="s">
        <v>109</v>
      </c>
      <c r="D625" s="10">
        <v>1221000000000</v>
      </c>
      <c r="E625" t="str">
        <f>$A625&amp;Keys!$C$54&amp;$B625&amp;Keys!$C$54&amp;$C625</f>
        <v>IA|imports|crude oil</v>
      </c>
    </row>
    <row r="626" spans="1:5" x14ac:dyDescent="0.25">
      <c r="A626" t="s">
        <v>87</v>
      </c>
      <c r="B626" t="s">
        <v>193</v>
      </c>
      <c r="C626" t="s">
        <v>109</v>
      </c>
      <c r="D626" s="10">
        <v>0</v>
      </c>
      <c r="E626" t="str">
        <f>$A626&amp;Keys!$C$54&amp;$B626&amp;Keys!$C$54&amp;$C626</f>
        <v>IA|exports|crude oil</v>
      </c>
    </row>
    <row r="627" spans="1:5" x14ac:dyDescent="0.25">
      <c r="A627" t="s">
        <v>87</v>
      </c>
      <c r="B627" t="s">
        <v>188</v>
      </c>
      <c r="C627" t="s">
        <v>114</v>
      </c>
      <c r="D627" s="10">
        <v>0</v>
      </c>
      <c r="E627" t="str">
        <f>$A627&amp;Keys!$C$54&amp;$B627&amp;Keys!$C$54&amp;$C627</f>
        <v>IA|production|heavy or residual fuel oil</v>
      </c>
    </row>
    <row r="628" spans="1:5" x14ac:dyDescent="0.25">
      <c r="A628" t="s">
        <v>87</v>
      </c>
      <c r="B628" t="s">
        <v>191</v>
      </c>
      <c r="C628" t="s">
        <v>114</v>
      </c>
      <c r="D628" s="10">
        <v>11397800000000</v>
      </c>
      <c r="E628" t="str">
        <f>$A628&amp;Keys!$C$54&amp;$B628&amp;Keys!$C$54&amp;$C628</f>
        <v>IA|imports|heavy or residual fuel oil</v>
      </c>
    </row>
    <row r="629" spans="1:5" x14ac:dyDescent="0.25">
      <c r="A629" t="s">
        <v>87</v>
      </c>
      <c r="B629" t="s">
        <v>193</v>
      </c>
      <c r="C629" t="s">
        <v>114</v>
      </c>
      <c r="D629" s="10">
        <v>0</v>
      </c>
      <c r="E629" t="str">
        <f>$A629&amp;Keys!$C$54&amp;$B629&amp;Keys!$C$54&amp;$C629</f>
        <v>IA|exports|heavy or residual fuel oil</v>
      </c>
    </row>
    <row r="630" spans="1:5" x14ac:dyDescent="0.25">
      <c r="A630" t="s">
        <v>87</v>
      </c>
      <c r="B630" t="s">
        <v>188</v>
      </c>
      <c r="C630" t="s">
        <v>117</v>
      </c>
      <c r="D630" s="10">
        <v>0</v>
      </c>
      <c r="E630" t="str">
        <f>$A630&amp;Keys!$C$54&amp;$B630&amp;Keys!$C$54&amp;$C630</f>
        <v>IA|production|LPG propane or butane</v>
      </c>
    </row>
    <row r="631" spans="1:5" x14ac:dyDescent="0.25">
      <c r="A631" t="s">
        <v>87</v>
      </c>
      <c r="B631" t="s">
        <v>191</v>
      </c>
      <c r="C631" t="s">
        <v>117</v>
      </c>
      <c r="D631" s="10">
        <v>63248300000000</v>
      </c>
      <c r="E631" t="str">
        <f>$A631&amp;Keys!$C$54&amp;$B631&amp;Keys!$C$54&amp;$C631</f>
        <v>IA|imports|LPG propane or butane</v>
      </c>
    </row>
    <row r="632" spans="1:5" x14ac:dyDescent="0.25">
      <c r="A632" t="s">
        <v>87</v>
      </c>
      <c r="B632" t="s">
        <v>193</v>
      </c>
      <c r="C632" t="s">
        <v>117</v>
      </c>
      <c r="D632" s="10">
        <v>0</v>
      </c>
      <c r="E632" t="str">
        <f>$A632&amp;Keys!$C$54&amp;$B632&amp;Keys!$C$54&amp;$C632</f>
        <v>IA|exports|LPG propane or butane</v>
      </c>
    </row>
    <row r="633" spans="1:5" x14ac:dyDescent="0.25">
      <c r="A633" t="s">
        <v>87</v>
      </c>
      <c r="B633" t="s">
        <v>188</v>
      </c>
      <c r="C633" t="s">
        <v>120</v>
      </c>
      <c r="D633" s="10">
        <v>0</v>
      </c>
      <c r="E633" t="str">
        <f>$A633&amp;Keys!$C$54&amp;$B633&amp;Keys!$C$54&amp;$C633</f>
        <v>IA|production|municipal solid waste</v>
      </c>
    </row>
    <row r="634" spans="1:5" x14ac:dyDescent="0.25">
      <c r="A634" t="s">
        <v>87</v>
      </c>
      <c r="B634" t="s">
        <v>191</v>
      </c>
      <c r="C634" t="s">
        <v>120</v>
      </c>
      <c r="D634" s="10">
        <v>0</v>
      </c>
      <c r="E634" t="str">
        <f>$A634&amp;Keys!$C$54&amp;$B634&amp;Keys!$C$54&amp;$C634</f>
        <v>IA|imports|municipal solid waste</v>
      </c>
    </row>
    <row r="635" spans="1:5" x14ac:dyDescent="0.25">
      <c r="A635" t="s">
        <v>87</v>
      </c>
      <c r="B635" t="s">
        <v>193</v>
      </c>
      <c r="C635" t="s">
        <v>120</v>
      </c>
      <c r="D635" s="10">
        <v>0</v>
      </c>
      <c r="E635" t="str">
        <f>$A635&amp;Keys!$C$54&amp;$B635&amp;Keys!$C$54&amp;$C635</f>
        <v>IA|exports|municipal solid waste</v>
      </c>
    </row>
    <row r="636" spans="1:5" x14ac:dyDescent="0.25">
      <c r="A636" t="s">
        <v>87</v>
      </c>
      <c r="B636" t="s">
        <v>188</v>
      </c>
      <c r="C636" t="s">
        <v>123</v>
      </c>
      <c r="D636" s="10">
        <v>0</v>
      </c>
      <c r="E636" t="str">
        <f>$A636&amp;Keys!$C$54&amp;$B636&amp;Keys!$C$54&amp;$C636</f>
        <v>IA|production|hydrogen</v>
      </c>
    </row>
    <row r="637" spans="1:5" x14ac:dyDescent="0.25">
      <c r="A637" t="s">
        <v>87</v>
      </c>
      <c r="B637" t="s">
        <v>191</v>
      </c>
      <c r="C637" t="s">
        <v>123</v>
      </c>
      <c r="D637" s="10">
        <v>0</v>
      </c>
      <c r="E637" t="str">
        <f>$A637&amp;Keys!$C$54&amp;$B637&amp;Keys!$C$54&amp;$C637</f>
        <v>IA|imports|hydrogen</v>
      </c>
    </row>
    <row r="638" spans="1:5" x14ac:dyDescent="0.25">
      <c r="A638" t="s">
        <v>87</v>
      </c>
      <c r="B638" t="s">
        <v>193</v>
      </c>
      <c r="C638" t="s">
        <v>123</v>
      </c>
      <c r="D638" s="10">
        <v>0</v>
      </c>
      <c r="E638" t="str">
        <f>$A638&amp;Keys!$C$54&amp;$B638&amp;Keys!$C$54&amp;$C638</f>
        <v>IA|exports|hydrogen</v>
      </c>
    </row>
    <row r="639" spans="1:5" x14ac:dyDescent="0.25">
      <c r="A639" t="s">
        <v>90</v>
      </c>
      <c r="B639" t="s">
        <v>188</v>
      </c>
      <c r="C639" t="s">
        <v>272</v>
      </c>
      <c r="D639" s="10">
        <v>0</v>
      </c>
      <c r="E639" t="str">
        <f>$A639&amp;Keys!$C$54&amp;$B639&amp;Keys!$C$54&amp;$C639</f>
        <v>ID|production|electricity</v>
      </c>
    </row>
    <row r="640" spans="1:5" x14ac:dyDescent="0.25">
      <c r="A640" t="s">
        <v>90</v>
      </c>
      <c r="B640" t="s">
        <v>191</v>
      </c>
      <c r="C640" t="s">
        <v>272</v>
      </c>
      <c r="D640" s="10">
        <v>0</v>
      </c>
      <c r="E640" t="str">
        <f>$A640&amp;Keys!$C$54&amp;$B640&amp;Keys!$C$54&amp;$C640</f>
        <v>ID|imports|electricity</v>
      </c>
    </row>
    <row r="641" spans="1:5" x14ac:dyDescent="0.25">
      <c r="A641" t="s">
        <v>90</v>
      </c>
      <c r="B641" t="s">
        <v>193</v>
      </c>
      <c r="C641" t="s">
        <v>272</v>
      </c>
      <c r="D641" s="10">
        <v>0</v>
      </c>
      <c r="E641" t="str">
        <f>$A641&amp;Keys!$C$54&amp;$B641&amp;Keys!$C$54&amp;$C641</f>
        <v>ID|exports|electricity</v>
      </c>
    </row>
    <row r="642" spans="1:5" x14ac:dyDescent="0.25">
      <c r="A642" t="s">
        <v>90</v>
      </c>
      <c r="B642" t="s">
        <v>188</v>
      </c>
      <c r="C642" t="s">
        <v>64</v>
      </c>
      <c r="D642" s="10">
        <v>0</v>
      </c>
      <c r="E642" t="str">
        <f>$A642&amp;Keys!$C$54&amp;$B642&amp;Keys!$C$54&amp;$C642</f>
        <v>ID|production|hard coal</v>
      </c>
    </row>
    <row r="643" spans="1:5" x14ac:dyDescent="0.25">
      <c r="A643" t="s">
        <v>90</v>
      </c>
      <c r="B643" t="s">
        <v>191</v>
      </c>
      <c r="C643" t="s">
        <v>64</v>
      </c>
      <c r="D643" s="10">
        <v>932000000000</v>
      </c>
      <c r="E643" t="str">
        <f>$A643&amp;Keys!$C$54&amp;$B643&amp;Keys!$C$54&amp;$C643</f>
        <v>ID|imports|hard coal</v>
      </c>
    </row>
    <row r="644" spans="1:5" x14ac:dyDescent="0.25">
      <c r="A644" t="s">
        <v>90</v>
      </c>
      <c r="B644" t="s">
        <v>193</v>
      </c>
      <c r="C644" t="s">
        <v>64</v>
      </c>
      <c r="D644" s="10">
        <v>0</v>
      </c>
      <c r="E644" t="str">
        <f>$A644&amp;Keys!$C$54&amp;$B644&amp;Keys!$C$54&amp;$C644</f>
        <v>ID|exports|hard coal</v>
      </c>
    </row>
    <row r="645" spans="1:5" x14ac:dyDescent="0.25">
      <c r="A645" t="s">
        <v>90</v>
      </c>
      <c r="B645" t="s">
        <v>188</v>
      </c>
      <c r="C645" t="s">
        <v>68</v>
      </c>
      <c r="D645" s="10">
        <v>1165590000000</v>
      </c>
      <c r="E645" t="str">
        <f>$A645&amp;Keys!$C$54&amp;$B645&amp;Keys!$C$54&amp;$C645</f>
        <v>ID|production|natural gas</v>
      </c>
    </row>
    <row r="646" spans="1:5" x14ac:dyDescent="0.25">
      <c r="A646" t="s">
        <v>90</v>
      </c>
      <c r="B646" t="s">
        <v>191</v>
      </c>
      <c r="C646" t="s">
        <v>68</v>
      </c>
      <c r="D646" s="10">
        <v>1125690000000000</v>
      </c>
      <c r="E646" t="str">
        <f>$A646&amp;Keys!$C$54&amp;$B646&amp;Keys!$C$54&amp;$C646</f>
        <v>ID|imports|natural gas</v>
      </c>
    </row>
    <row r="647" spans="1:5" x14ac:dyDescent="0.25">
      <c r="A647" t="s">
        <v>90</v>
      </c>
      <c r="B647" t="s">
        <v>193</v>
      </c>
      <c r="C647" t="s">
        <v>68</v>
      </c>
      <c r="D647" s="10">
        <v>969085000000000</v>
      </c>
      <c r="E647" t="str">
        <f>$A647&amp;Keys!$C$54&amp;$B647&amp;Keys!$C$54&amp;$C647</f>
        <v>ID|exports|natural gas</v>
      </c>
    </row>
    <row r="648" spans="1:5" x14ac:dyDescent="0.25">
      <c r="A648" t="s">
        <v>90</v>
      </c>
      <c r="B648" t="s">
        <v>188</v>
      </c>
      <c r="C648" t="s">
        <v>71</v>
      </c>
      <c r="D648" s="10">
        <v>0</v>
      </c>
      <c r="E648" t="str">
        <f>$A648&amp;Keys!$C$54&amp;$B648&amp;Keys!$C$54&amp;$C648</f>
        <v>ID|production|nuclear</v>
      </c>
    </row>
    <row r="649" spans="1:5" x14ac:dyDescent="0.25">
      <c r="A649" t="s">
        <v>90</v>
      </c>
      <c r="B649" t="s">
        <v>191</v>
      </c>
      <c r="C649" t="s">
        <v>71</v>
      </c>
      <c r="D649" s="10">
        <v>0</v>
      </c>
      <c r="E649" t="str">
        <f>$A649&amp;Keys!$C$54&amp;$B649&amp;Keys!$C$54&amp;$C649</f>
        <v>ID|imports|nuclear</v>
      </c>
    </row>
    <row r="650" spans="1:5" x14ac:dyDescent="0.25">
      <c r="A650" t="s">
        <v>90</v>
      </c>
      <c r="B650" t="s">
        <v>193</v>
      </c>
      <c r="C650" t="s">
        <v>71</v>
      </c>
      <c r="D650" s="10">
        <v>0</v>
      </c>
      <c r="E650" t="str">
        <f>$A650&amp;Keys!$C$54&amp;$B650&amp;Keys!$C$54&amp;$C650</f>
        <v>ID|exports|nuclear</v>
      </c>
    </row>
    <row r="651" spans="1:5" x14ac:dyDescent="0.25">
      <c r="A651" t="s">
        <v>90</v>
      </c>
      <c r="B651" t="s">
        <v>188</v>
      </c>
      <c r="C651" t="s">
        <v>273</v>
      </c>
      <c r="D651" s="10">
        <v>0</v>
      </c>
      <c r="E651" t="str">
        <f>$A651&amp;Keys!$C$54&amp;$B651&amp;Keys!$C$54&amp;$C651</f>
        <v>ID|production|hydro</v>
      </c>
    </row>
    <row r="652" spans="1:5" x14ac:dyDescent="0.25">
      <c r="A652" t="s">
        <v>90</v>
      </c>
      <c r="B652" t="s">
        <v>191</v>
      </c>
      <c r="C652" t="s">
        <v>273</v>
      </c>
      <c r="D652" s="10">
        <v>0</v>
      </c>
      <c r="E652" t="str">
        <f>$A652&amp;Keys!$C$54&amp;$B652&amp;Keys!$C$54&amp;$C652</f>
        <v>ID|imports|hydro</v>
      </c>
    </row>
    <row r="653" spans="1:5" x14ac:dyDescent="0.25">
      <c r="A653" t="s">
        <v>90</v>
      </c>
      <c r="B653" t="s">
        <v>193</v>
      </c>
      <c r="C653" t="s">
        <v>273</v>
      </c>
      <c r="D653" s="10">
        <v>0</v>
      </c>
      <c r="E653" t="str">
        <f>$A653&amp;Keys!$C$54&amp;$B653&amp;Keys!$C$54&amp;$C653</f>
        <v>ID|exports|hydro</v>
      </c>
    </row>
    <row r="654" spans="1:5" x14ac:dyDescent="0.25">
      <c r="A654" t="s">
        <v>90</v>
      </c>
      <c r="B654" t="s">
        <v>188</v>
      </c>
      <c r="C654" t="s">
        <v>274</v>
      </c>
      <c r="D654" s="10">
        <v>0</v>
      </c>
      <c r="E654" t="str">
        <f>$A654&amp;Keys!$C$54&amp;$B654&amp;Keys!$C$54&amp;$C654</f>
        <v>ID|production|wind</v>
      </c>
    </row>
    <row r="655" spans="1:5" x14ac:dyDescent="0.25">
      <c r="A655" t="s">
        <v>90</v>
      </c>
      <c r="B655" t="s">
        <v>191</v>
      </c>
      <c r="C655" t="s">
        <v>274</v>
      </c>
      <c r="D655" s="10">
        <v>0</v>
      </c>
      <c r="E655" t="str">
        <f>$A655&amp;Keys!$C$54&amp;$B655&amp;Keys!$C$54&amp;$C655</f>
        <v>ID|imports|wind</v>
      </c>
    </row>
    <row r="656" spans="1:5" x14ac:dyDescent="0.25">
      <c r="A656" t="s">
        <v>90</v>
      </c>
      <c r="B656" t="s">
        <v>193</v>
      </c>
      <c r="C656" t="s">
        <v>274</v>
      </c>
      <c r="D656" s="10">
        <v>0</v>
      </c>
      <c r="E656" t="str">
        <f>$A656&amp;Keys!$C$54&amp;$B656&amp;Keys!$C$54&amp;$C656</f>
        <v>ID|exports|wind</v>
      </c>
    </row>
    <row r="657" spans="1:5" x14ac:dyDescent="0.25">
      <c r="A657" t="s">
        <v>90</v>
      </c>
      <c r="B657" t="s">
        <v>188</v>
      </c>
      <c r="C657" t="s">
        <v>275</v>
      </c>
      <c r="D657" s="10">
        <v>0</v>
      </c>
      <c r="E657" t="str">
        <f>$A657&amp;Keys!$C$54&amp;$B657&amp;Keys!$C$54&amp;$C657</f>
        <v>ID|production|solar</v>
      </c>
    </row>
    <row r="658" spans="1:5" x14ac:dyDescent="0.25">
      <c r="A658" t="s">
        <v>90</v>
      </c>
      <c r="B658" t="s">
        <v>191</v>
      </c>
      <c r="C658" t="s">
        <v>275</v>
      </c>
      <c r="D658" s="10">
        <v>0</v>
      </c>
      <c r="E658" t="str">
        <f>$A658&amp;Keys!$C$54&amp;$B658&amp;Keys!$C$54&amp;$C658</f>
        <v>ID|imports|solar</v>
      </c>
    </row>
    <row r="659" spans="1:5" x14ac:dyDescent="0.25">
      <c r="A659" t="s">
        <v>90</v>
      </c>
      <c r="B659" t="s">
        <v>193</v>
      </c>
      <c r="C659" t="s">
        <v>275</v>
      </c>
      <c r="D659" s="10">
        <v>0</v>
      </c>
      <c r="E659" t="str">
        <f>$A659&amp;Keys!$C$54&amp;$B659&amp;Keys!$C$54&amp;$C659</f>
        <v>ID|exports|solar</v>
      </c>
    </row>
    <row r="660" spans="1:5" x14ac:dyDescent="0.25">
      <c r="A660" t="s">
        <v>90</v>
      </c>
      <c r="B660" t="s">
        <v>188</v>
      </c>
      <c r="C660" t="s">
        <v>82</v>
      </c>
      <c r="D660" s="10">
        <v>1182400000000</v>
      </c>
      <c r="E660" t="str">
        <f>$A660&amp;Keys!$C$54&amp;$B660&amp;Keys!$C$54&amp;$C660</f>
        <v>ID|production|biomass</v>
      </c>
    </row>
    <row r="661" spans="1:5" x14ac:dyDescent="0.25">
      <c r="A661" t="s">
        <v>90</v>
      </c>
      <c r="B661" t="s">
        <v>191</v>
      </c>
      <c r="C661" t="s">
        <v>82</v>
      </c>
      <c r="D661" s="10">
        <v>22077600000000</v>
      </c>
      <c r="E661" t="str">
        <f>$A661&amp;Keys!$C$54&amp;$B661&amp;Keys!$C$54&amp;$C661</f>
        <v>ID|imports|biomass</v>
      </c>
    </row>
    <row r="662" spans="1:5" x14ac:dyDescent="0.25">
      <c r="A662" t="s">
        <v>90</v>
      </c>
      <c r="B662" t="s">
        <v>193</v>
      </c>
      <c r="C662" t="s">
        <v>82</v>
      </c>
      <c r="D662" s="10">
        <v>0</v>
      </c>
      <c r="E662" t="str">
        <f>$A662&amp;Keys!$C$54&amp;$B662&amp;Keys!$C$54&amp;$C662</f>
        <v>ID|exports|biomass</v>
      </c>
    </row>
    <row r="663" spans="1:5" x14ac:dyDescent="0.25">
      <c r="A663" t="s">
        <v>90</v>
      </c>
      <c r="B663" t="s">
        <v>188</v>
      </c>
      <c r="C663" t="s">
        <v>85</v>
      </c>
      <c r="D663" s="10">
        <v>0</v>
      </c>
      <c r="E663" t="str">
        <f>$A663&amp;Keys!$C$54&amp;$B663&amp;Keys!$C$54&amp;$C663</f>
        <v>ID|production|petroleum gasoline</v>
      </c>
    </row>
    <row r="664" spans="1:5" x14ac:dyDescent="0.25">
      <c r="A664" t="s">
        <v>90</v>
      </c>
      <c r="B664" t="s">
        <v>191</v>
      </c>
      <c r="C664" t="s">
        <v>85</v>
      </c>
      <c r="D664" s="10">
        <v>80741300000000</v>
      </c>
      <c r="E664" t="str">
        <f>$A664&amp;Keys!$C$54&amp;$B664&amp;Keys!$C$54&amp;$C664</f>
        <v>ID|imports|petroleum gasoline</v>
      </c>
    </row>
    <row r="665" spans="1:5" x14ac:dyDescent="0.25">
      <c r="A665" t="s">
        <v>90</v>
      </c>
      <c r="B665" t="s">
        <v>193</v>
      </c>
      <c r="C665" t="s">
        <v>85</v>
      </c>
      <c r="D665" s="10">
        <v>0</v>
      </c>
      <c r="E665" t="str">
        <f>$A665&amp;Keys!$C$54&amp;$B665&amp;Keys!$C$54&amp;$C665</f>
        <v>ID|exports|petroleum gasoline</v>
      </c>
    </row>
    <row r="666" spans="1:5" x14ac:dyDescent="0.25">
      <c r="A666" t="s">
        <v>90</v>
      </c>
      <c r="B666" t="s">
        <v>188</v>
      </c>
      <c r="C666" t="s">
        <v>88</v>
      </c>
      <c r="D666" s="10">
        <v>0</v>
      </c>
      <c r="E666" t="str">
        <f>$A666&amp;Keys!$C$54&amp;$B666&amp;Keys!$C$54&amp;$C666</f>
        <v>ID|production|petroleum diesel</v>
      </c>
    </row>
    <row r="667" spans="1:5" x14ac:dyDescent="0.25">
      <c r="A667" t="s">
        <v>90</v>
      </c>
      <c r="B667" t="s">
        <v>191</v>
      </c>
      <c r="C667" t="s">
        <v>88</v>
      </c>
      <c r="D667" s="10">
        <v>72752800000000</v>
      </c>
      <c r="E667" t="str">
        <f>$A667&amp;Keys!$C$54&amp;$B667&amp;Keys!$C$54&amp;$C667</f>
        <v>ID|imports|petroleum diesel</v>
      </c>
    </row>
    <row r="668" spans="1:5" x14ac:dyDescent="0.25">
      <c r="A668" t="s">
        <v>90</v>
      </c>
      <c r="B668" t="s">
        <v>193</v>
      </c>
      <c r="C668" t="s">
        <v>88</v>
      </c>
      <c r="D668" s="10">
        <v>0</v>
      </c>
      <c r="E668" t="str">
        <f>$A668&amp;Keys!$C$54&amp;$B668&amp;Keys!$C$54&amp;$C668</f>
        <v>ID|exports|petroleum diesel</v>
      </c>
    </row>
    <row r="669" spans="1:5" x14ac:dyDescent="0.25">
      <c r="A669" t="s">
        <v>90</v>
      </c>
      <c r="B669" t="s">
        <v>188</v>
      </c>
      <c r="C669" t="s">
        <v>91</v>
      </c>
      <c r="D669" s="10">
        <v>3987700000000</v>
      </c>
      <c r="E669" t="str">
        <f>$A669&amp;Keys!$C$54&amp;$B669&amp;Keys!$C$54&amp;$C669</f>
        <v>ID|production|biofuel gasoline</v>
      </c>
    </row>
    <row r="670" spans="1:5" x14ac:dyDescent="0.25">
      <c r="A670" t="s">
        <v>90</v>
      </c>
      <c r="B670" t="s">
        <v>191</v>
      </c>
      <c r="C670" t="s">
        <v>91</v>
      </c>
      <c r="D670" s="10">
        <v>1199970000000</v>
      </c>
      <c r="E670" t="str">
        <f>$A670&amp;Keys!$C$54&amp;$B670&amp;Keys!$C$54&amp;$C670</f>
        <v>ID|imports|biofuel gasoline</v>
      </c>
    </row>
    <row r="671" spans="1:5" x14ac:dyDescent="0.25">
      <c r="A671" t="s">
        <v>90</v>
      </c>
      <c r="B671" t="s">
        <v>193</v>
      </c>
      <c r="C671" t="s">
        <v>91</v>
      </c>
      <c r="D671" s="10">
        <v>0</v>
      </c>
      <c r="E671" t="str">
        <f>$A671&amp;Keys!$C$54&amp;$B671&amp;Keys!$C$54&amp;$C671</f>
        <v>ID|exports|biofuel gasoline</v>
      </c>
    </row>
    <row r="672" spans="1:5" x14ac:dyDescent="0.25">
      <c r="A672" t="s">
        <v>90</v>
      </c>
      <c r="B672" t="s">
        <v>188</v>
      </c>
      <c r="C672" t="s">
        <v>94</v>
      </c>
      <c r="D672" s="10">
        <v>0</v>
      </c>
      <c r="E672" t="str">
        <f>$A672&amp;Keys!$C$54&amp;$B672&amp;Keys!$C$54&amp;$C672</f>
        <v>ID|production|biofuel diesel</v>
      </c>
    </row>
    <row r="673" spans="1:5" x14ac:dyDescent="0.25">
      <c r="A673" t="s">
        <v>90</v>
      </c>
      <c r="B673" t="s">
        <v>191</v>
      </c>
      <c r="C673" t="s">
        <v>94</v>
      </c>
      <c r="D673" s="10">
        <v>268079000000</v>
      </c>
      <c r="E673" t="str">
        <f>$A673&amp;Keys!$C$54&amp;$B673&amp;Keys!$C$54&amp;$C673</f>
        <v>ID|imports|biofuel diesel</v>
      </c>
    </row>
    <row r="674" spans="1:5" x14ac:dyDescent="0.25">
      <c r="A674" t="s">
        <v>90</v>
      </c>
      <c r="B674" t="s">
        <v>193</v>
      </c>
      <c r="C674" t="s">
        <v>94</v>
      </c>
      <c r="D674" s="10">
        <v>0</v>
      </c>
      <c r="E674" t="str">
        <f>$A674&amp;Keys!$C$54&amp;$B674&amp;Keys!$C$54&amp;$C674</f>
        <v>ID|exports|biofuel diesel</v>
      </c>
    </row>
    <row r="675" spans="1:5" x14ac:dyDescent="0.25">
      <c r="A675" t="s">
        <v>90</v>
      </c>
      <c r="B675" t="s">
        <v>188</v>
      </c>
      <c r="C675" t="s">
        <v>97</v>
      </c>
      <c r="D675" s="10">
        <v>0</v>
      </c>
      <c r="E675" t="str">
        <f>$A675&amp;Keys!$C$54&amp;$B675&amp;Keys!$C$54&amp;$C675</f>
        <v>ID|production|jet fuel or kerosene</v>
      </c>
    </row>
    <row r="676" spans="1:5" x14ac:dyDescent="0.25">
      <c r="A676" t="s">
        <v>90</v>
      </c>
      <c r="B676" t="s">
        <v>191</v>
      </c>
      <c r="C676" t="s">
        <v>97</v>
      </c>
      <c r="D676" s="10">
        <v>9865260000000</v>
      </c>
      <c r="E676" t="str">
        <f>$A676&amp;Keys!$C$54&amp;$B676&amp;Keys!$C$54&amp;$C676</f>
        <v>ID|imports|jet fuel or kerosene</v>
      </c>
    </row>
    <row r="677" spans="1:5" x14ac:dyDescent="0.25">
      <c r="A677" t="s">
        <v>90</v>
      </c>
      <c r="B677" t="s">
        <v>193</v>
      </c>
      <c r="C677" t="s">
        <v>97</v>
      </c>
      <c r="D677" s="10">
        <v>0</v>
      </c>
      <c r="E677" t="str">
        <f>$A677&amp;Keys!$C$54&amp;$B677&amp;Keys!$C$54&amp;$C677</f>
        <v>ID|exports|jet fuel or kerosene</v>
      </c>
    </row>
    <row r="678" spans="1:5" x14ac:dyDescent="0.25">
      <c r="A678" t="s">
        <v>90</v>
      </c>
      <c r="B678" t="s">
        <v>188</v>
      </c>
      <c r="C678" t="s">
        <v>276</v>
      </c>
      <c r="D678" s="10">
        <v>0</v>
      </c>
      <c r="E678" t="str">
        <f>$A678&amp;Keys!$C$54&amp;$B678&amp;Keys!$C$54&amp;$C678</f>
        <v>ID|production|heat</v>
      </c>
    </row>
    <row r="679" spans="1:5" x14ac:dyDescent="0.25">
      <c r="A679" t="s">
        <v>90</v>
      </c>
      <c r="B679" t="s">
        <v>191</v>
      </c>
      <c r="C679" t="s">
        <v>276</v>
      </c>
      <c r="D679" s="10">
        <v>0</v>
      </c>
      <c r="E679" t="str">
        <f>$A679&amp;Keys!$C$54&amp;$B679&amp;Keys!$C$54&amp;$C679</f>
        <v>ID|imports|heat</v>
      </c>
    </row>
    <row r="680" spans="1:5" x14ac:dyDescent="0.25">
      <c r="A680" t="s">
        <v>90</v>
      </c>
      <c r="B680" t="s">
        <v>193</v>
      </c>
      <c r="C680" t="s">
        <v>276</v>
      </c>
      <c r="D680" s="10">
        <v>0</v>
      </c>
      <c r="E680" t="str">
        <f>$A680&amp;Keys!$C$54&amp;$B680&amp;Keys!$C$54&amp;$C680</f>
        <v>ID|exports|heat</v>
      </c>
    </row>
    <row r="681" spans="1:5" x14ac:dyDescent="0.25">
      <c r="A681" t="s">
        <v>90</v>
      </c>
      <c r="B681" t="s">
        <v>188</v>
      </c>
      <c r="C681" t="s">
        <v>277</v>
      </c>
      <c r="D681" s="10">
        <v>0</v>
      </c>
      <c r="E681" t="str">
        <f>$A681&amp;Keys!$C$54&amp;$B681&amp;Keys!$C$54&amp;$C681</f>
        <v>ID|production|geothermal</v>
      </c>
    </row>
    <row r="682" spans="1:5" x14ac:dyDescent="0.25">
      <c r="A682" t="s">
        <v>90</v>
      </c>
      <c r="B682" t="s">
        <v>191</v>
      </c>
      <c r="C682" t="s">
        <v>277</v>
      </c>
      <c r="D682" s="10">
        <v>0</v>
      </c>
      <c r="E682" t="str">
        <f>$A682&amp;Keys!$C$54&amp;$B682&amp;Keys!$C$54&amp;$C682</f>
        <v>ID|imports|geothermal</v>
      </c>
    </row>
    <row r="683" spans="1:5" x14ac:dyDescent="0.25">
      <c r="A683" t="s">
        <v>90</v>
      </c>
      <c r="B683" t="s">
        <v>193</v>
      </c>
      <c r="C683" t="s">
        <v>277</v>
      </c>
      <c r="D683" s="10">
        <v>0</v>
      </c>
      <c r="E683" t="str">
        <f>$A683&amp;Keys!$C$54&amp;$B683&amp;Keys!$C$54&amp;$C683</f>
        <v>ID|exports|geothermal</v>
      </c>
    </row>
    <row r="684" spans="1:5" x14ac:dyDescent="0.25">
      <c r="A684" t="s">
        <v>90</v>
      </c>
      <c r="B684" t="s">
        <v>188</v>
      </c>
      <c r="C684" t="s">
        <v>106</v>
      </c>
      <c r="D684" s="10">
        <v>0</v>
      </c>
      <c r="E684" t="str">
        <f>$A684&amp;Keys!$C$54&amp;$B684&amp;Keys!$C$54&amp;$C684</f>
        <v>ID|production|lignite</v>
      </c>
    </row>
    <row r="685" spans="1:5" x14ac:dyDescent="0.25">
      <c r="A685" t="s">
        <v>90</v>
      </c>
      <c r="B685" t="s">
        <v>191</v>
      </c>
      <c r="C685" t="s">
        <v>106</v>
      </c>
      <c r="D685" s="10">
        <v>0</v>
      </c>
      <c r="E685" t="str">
        <f>$A685&amp;Keys!$C$54&amp;$B685&amp;Keys!$C$54&amp;$C685</f>
        <v>ID|imports|lignite</v>
      </c>
    </row>
    <row r="686" spans="1:5" x14ac:dyDescent="0.25">
      <c r="A686" t="s">
        <v>90</v>
      </c>
      <c r="B686" t="s">
        <v>193</v>
      </c>
      <c r="C686" t="s">
        <v>106</v>
      </c>
      <c r="D686" s="10">
        <v>0</v>
      </c>
      <c r="E686" t="str">
        <f>$A686&amp;Keys!$C$54&amp;$B686&amp;Keys!$C$54&amp;$C686</f>
        <v>ID|exports|lignite</v>
      </c>
    </row>
    <row r="687" spans="1:5" x14ac:dyDescent="0.25">
      <c r="A687" t="s">
        <v>90</v>
      </c>
      <c r="B687" t="s">
        <v>188</v>
      </c>
      <c r="C687" t="s">
        <v>109</v>
      </c>
      <c r="D687" s="10">
        <v>110200000000</v>
      </c>
      <c r="E687" t="str">
        <f>$A687&amp;Keys!$C$54&amp;$B687&amp;Keys!$C$54&amp;$C687</f>
        <v>ID|production|crude oil</v>
      </c>
    </row>
    <row r="688" spans="1:5" x14ac:dyDescent="0.25">
      <c r="A688" t="s">
        <v>90</v>
      </c>
      <c r="B688" t="s">
        <v>191</v>
      </c>
      <c r="C688" t="s">
        <v>109</v>
      </c>
      <c r="D688" s="10">
        <v>252800000000</v>
      </c>
      <c r="E688" t="str">
        <f>$A688&amp;Keys!$C$54&amp;$B688&amp;Keys!$C$54&amp;$C688</f>
        <v>ID|imports|crude oil</v>
      </c>
    </row>
    <row r="689" spans="1:5" x14ac:dyDescent="0.25">
      <c r="A689" t="s">
        <v>90</v>
      </c>
      <c r="B689" t="s">
        <v>193</v>
      </c>
      <c r="C689" t="s">
        <v>109</v>
      </c>
      <c r="D689" s="10">
        <v>0</v>
      </c>
      <c r="E689" t="str">
        <f>$A689&amp;Keys!$C$54&amp;$B689&amp;Keys!$C$54&amp;$C689</f>
        <v>ID|exports|crude oil</v>
      </c>
    </row>
    <row r="690" spans="1:5" x14ac:dyDescent="0.25">
      <c r="A690" t="s">
        <v>90</v>
      </c>
      <c r="B690" t="s">
        <v>188</v>
      </c>
      <c r="C690" t="s">
        <v>114</v>
      </c>
      <c r="D690" s="10">
        <v>0</v>
      </c>
      <c r="E690" t="str">
        <f>$A690&amp;Keys!$C$54&amp;$B690&amp;Keys!$C$54&amp;$C690</f>
        <v>ID|production|heavy or residual fuel oil</v>
      </c>
    </row>
    <row r="691" spans="1:5" x14ac:dyDescent="0.25">
      <c r="A691" t="s">
        <v>90</v>
      </c>
      <c r="B691" t="s">
        <v>191</v>
      </c>
      <c r="C691" t="s">
        <v>114</v>
      </c>
      <c r="D691" s="10">
        <v>5800920000000</v>
      </c>
      <c r="E691" t="str">
        <f>$A691&amp;Keys!$C$54&amp;$B691&amp;Keys!$C$54&amp;$C691</f>
        <v>ID|imports|heavy or residual fuel oil</v>
      </c>
    </row>
    <row r="692" spans="1:5" x14ac:dyDescent="0.25">
      <c r="A692" t="s">
        <v>90</v>
      </c>
      <c r="B692" t="s">
        <v>193</v>
      </c>
      <c r="C692" t="s">
        <v>114</v>
      </c>
      <c r="D692" s="10">
        <v>0</v>
      </c>
      <c r="E692" t="str">
        <f>$A692&amp;Keys!$C$54&amp;$B692&amp;Keys!$C$54&amp;$C692</f>
        <v>ID|exports|heavy or residual fuel oil</v>
      </c>
    </row>
    <row r="693" spans="1:5" x14ac:dyDescent="0.25">
      <c r="A693" t="s">
        <v>90</v>
      </c>
      <c r="B693" t="s">
        <v>188</v>
      </c>
      <c r="C693" t="s">
        <v>117</v>
      </c>
      <c r="D693" s="10">
        <v>142492000000</v>
      </c>
      <c r="E693" t="str">
        <f>$A693&amp;Keys!$C$54&amp;$B693&amp;Keys!$C$54&amp;$C693</f>
        <v>ID|production|LPG propane or butane</v>
      </c>
    </row>
    <row r="694" spans="1:5" x14ac:dyDescent="0.25">
      <c r="A694" t="s">
        <v>90</v>
      </c>
      <c r="B694" t="s">
        <v>191</v>
      </c>
      <c r="C694" t="s">
        <v>117</v>
      </c>
      <c r="D694" s="10">
        <v>7969000000000</v>
      </c>
      <c r="E694" t="str">
        <f>$A694&amp;Keys!$C$54&amp;$B694&amp;Keys!$C$54&amp;$C694</f>
        <v>ID|imports|LPG propane or butane</v>
      </c>
    </row>
    <row r="695" spans="1:5" x14ac:dyDescent="0.25">
      <c r="A695" t="s">
        <v>90</v>
      </c>
      <c r="B695" t="s">
        <v>193</v>
      </c>
      <c r="C695" t="s">
        <v>117</v>
      </c>
      <c r="D695" s="10">
        <v>0</v>
      </c>
      <c r="E695" t="str">
        <f>$A695&amp;Keys!$C$54&amp;$B695&amp;Keys!$C$54&amp;$C695</f>
        <v>ID|exports|LPG propane or butane</v>
      </c>
    </row>
    <row r="696" spans="1:5" x14ac:dyDescent="0.25">
      <c r="A696" t="s">
        <v>90</v>
      </c>
      <c r="B696" t="s">
        <v>188</v>
      </c>
      <c r="C696" t="s">
        <v>120</v>
      </c>
      <c r="D696" s="10">
        <v>0</v>
      </c>
      <c r="E696" t="str">
        <f>$A696&amp;Keys!$C$54&amp;$B696&amp;Keys!$C$54&amp;$C696</f>
        <v>ID|production|municipal solid waste</v>
      </c>
    </row>
    <row r="697" spans="1:5" x14ac:dyDescent="0.25">
      <c r="A697" t="s">
        <v>90</v>
      </c>
      <c r="B697" t="s">
        <v>191</v>
      </c>
      <c r="C697" t="s">
        <v>120</v>
      </c>
      <c r="D697" s="10">
        <v>0</v>
      </c>
      <c r="E697" t="str">
        <f>$A697&amp;Keys!$C$54&amp;$B697&amp;Keys!$C$54&amp;$C697</f>
        <v>ID|imports|municipal solid waste</v>
      </c>
    </row>
    <row r="698" spans="1:5" x14ac:dyDescent="0.25">
      <c r="A698" t="s">
        <v>90</v>
      </c>
      <c r="B698" t="s">
        <v>193</v>
      </c>
      <c r="C698" t="s">
        <v>120</v>
      </c>
      <c r="D698" s="10">
        <v>0</v>
      </c>
      <c r="E698" t="str">
        <f>$A698&amp;Keys!$C$54&amp;$B698&amp;Keys!$C$54&amp;$C698</f>
        <v>ID|exports|municipal solid waste</v>
      </c>
    </row>
    <row r="699" spans="1:5" x14ac:dyDescent="0.25">
      <c r="A699" t="s">
        <v>90</v>
      </c>
      <c r="B699" t="s">
        <v>188</v>
      </c>
      <c r="C699" t="s">
        <v>123</v>
      </c>
      <c r="D699" s="10">
        <v>0</v>
      </c>
      <c r="E699" t="str">
        <f>$A699&amp;Keys!$C$54&amp;$B699&amp;Keys!$C$54&amp;$C699</f>
        <v>ID|production|hydrogen</v>
      </c>
    </row>
    <row r="700" spans="1:5" x14ac:dyDescent="0.25">
      <c r="A700" t="s">
        <v>90</v>
      </c>
      <c r="B700" t="s">
        <v>191</v>
      </c>
      <c r="C700" t="s">
        <v>123</v>
      </c>
      <c r="D700" s="10">
        <v>0</v>
      </c>
      <c r="E700" t="str">
        <f>$A700&amp;Keys!$C$54&amp;$B700&amp;Keys!$C$54&amp;$C700</f>
        <v>ID|imports|hydrogen</v>
      </c>
    </row>
    <row r="701" spans="1:5" x14ac:dyDescent="0.25">
      <c r="A701" t="s">
        <v>90</v>
      </c>
      <c r="B701" t="s">
        <v>193</v>
      </c>
      <c r="C701" t="s">
        <v>123</v>
      </c>
      <c r="D701" s="10">
        <v>0</v>
      </c>
      <c r="E701" t="str">
        <f>$A701&amp;Keys!$C$54&amp;$B701&amp;Keys!$C$54&amp;$C701</f>
        <v>ID|exports|hydrogen</v>
      </c>
    </row>
    <row r="702" spans="1:5" x14ac:dyDescent="0.25">
      <c r="A702" t="s">
        <v>93</v>
      </c>
      <c r="B702" t="s">
        <v>188</v>
      </c>
      <c r="C702" t="s">
        <v>272</v>
      </c>
      <c r="D702" s="10">
        <v>0</v>
      </c>
      <c r="E702" t="str">
        <f>$A702&amp;Keys!$C$54&amp;$B702&amp;Keys!$C$54&amp;$C702</f>
        <v>IL|production|electricity</v>
      </c>
    </row>
    <row r="703" spans="1:5" x14ac:dyDescent="0.25">
      <c r="A703" t="s">
        <v>93</v>
      </c>
      <c r="B703" t="s">
        <v>191</v>
      </c>
      <c r="C703" t="s">
        <v>272</v>
      </c>
      <c r="D703" s="10">
        <v>0</v>
      </c>
      <c r="E703" t="str">
        <f>$A703&amp;Keys!$C$54&amp;$B703&amp;Keys!$C$54&amp;$C703</f>
        <v>IL|imports|electricity</v>
      </c>
    </row>
    <row r="704" spans="1:5" x14ac:dyDescent="0.25">
      <c r="A704" t="s">
        <v>93</v>
      </c>
      <c r="B704" t="s">
        <v>193</v>
      </c>
      <c r="C704" t="s">
        <v>272</v>
      </c>
      <c r="D704" s="10">
        <v>0</v>
      </c>
      <c r="E704" t="str">
        <f>$A704&amp;Keys!$C$54&amp;$B704&amp;Keys!$C$54&amp;$C704</f>
        <v>IL|exports|electricity</v>
      </c>
    </row>
    <row r="705" spans="1:5" x14ac:dyDescent="0.25">
      <c r="A705" t="s">
        <v>93</v>
      </c>
      <c r="B705" t="s">
        <v>188</v>
      </c>
      <c r="C705" t="s">
        <v>64</v>
      </c>
      <c r="D705" s="10">
        <v>701721000000000</v>
      </c>
      <c r="E705" t="str">
        <f>$A705&amp;Keys!$C$54&amp;$B705&amp;Keys!$C$54&amp;$C705</f>
        <v>IL|production|hard coal</v>
      </c>
    </row>
    <row r="706" spans="1:5" x14ac:dyDescent="0.25">
      <c r="A706" t="s">
        <v>93</v>
      </c>
      <c r="B706" t="s">
        <v>191</v>
      </c>
      <c r="C706" t="s">
        <v>64</v>
      </c>
      <c r="D706" s="10">
        <v>115804000000000</v>
      </c>
      <c r="E706" t="str">
        <f>$A706&amp;Keys!$C$54&amp;$B706&amp;Keys!$C$54&amp;$C706</f>
        <v>IL|imports|hard coal</v>
      </c>
    </row>
    <row r="707" spans="1:5" x14ac:dyDescent="0.25">
      <c r="A707" t="s">
        <v>93</v>
      </c>
      <c r="B707" t="s">
        <v>193</v>
      </c>
      <c r="C707" t="s">
        <v>64</v>
      </c>
      <c r="D707" s="10">
        <v>348545000000000</v>
      </c>
      <c r="E707" t="str">
        <f>$A707&amp;Keys!$C$54&amp;$B707&amp;Keys!$C$54&amp;$C707</f>
        <v>IL|exports|hard coal</v>
      </c>
    </row>
    <row r="708" spans="1:5" x14ac:dyDescent="0.25">
      <c r="A708" t="s">
        <v>93</v>
      </c>
      <c r="B708" t="s">
        <v>188</v>
      </c>
      <c r="C708" t="s">
        <v>68</v>
      </c>
      <c r="D708" s="10">
        <v>3281070000000</v>
      </c>
      <c r="E708" t="str">
        <f>$A708&amp;Keys!$C$54&amp;$B708&amp;Keys!$C$54&amp;$C708</f>
        <v>IL|production|natural gas</v>
      </c>
    </row>
    <row r="709" spans="1:5" x14ac:dyDescent="0.25">
      <c r="A709" t="s">
        <v>93</v>
      </c>
      <c r="B709" t="s">
        <v>191</v>
      </c>
      <c r="C709" t="s">
        <v>68</v>
      </c>
      <c r="D709" s="10">
        <v>2217500000000000</v>
      </c>
      <c r="E709" t="str">
        <f>$A709&amp;Keys!$C$54&amp;$B709&amp;Keys!$C$54&amp;$C709</f>
        <v>IL|imports|natural gas</v>
      </c>
    </row>
    <row r="710" spans="1:5" x14ac:dyDescent="0.25">
      <c r="A710" t="s">
        <v>93</v>
      </c>
      <c r="B710" t="s">
        <v>193</v>
      </c>
      <c r="C710" t="s">
        <v>68</v>
      </c>
      <c r="D710" s="10">
        <v>1176880000000000</v>
      </c>
      <c r="E710" t="str">
        <f>$A710&amp;Keys!$C$54&amp;$B710&amp;Keys!$C$54&amp;$C710</f>
        <v>IL|exports|natural gas</v>
      </c>
    </row>
    <row r="711" spans="1:5" x14ac:dyDescent="0.25">
      <c r="A711" t="s">
        <v>93</v>
      </c>
      <c r="B711" t="s">
        <v>188</v>
      </c>
      <c r="C711" t="s">
        <v>71</v>
      </c>
      <c r="D711" s="10">
        <v>0</v>
      </c>
      <c r="E711" t="str">
        <f>$A711&amp;Keys!$C$54&amp;$B711&amp;Keys!$C$54&amp;$C711</f>
        <v>IL|production|nuclear</v>
      </c>
    </row>
    <row r="712" spans="1:5" x14ac:dyDescent="0.25">
      <c r="A712" t="s">
        <v>93</v>
      </c>
      <c r="B712" t="s">
        <v>191</v>
      </c>
      <c r="C712" t="s">
        <v>71</v>
      </c>
      <c r="D712" s="10">
        <v>1019930000000000</v>
      </c>
      <c r="E712" t="str">
        <f>$A712&amp;Keys!$C$54&amp;$B712&amp;Keys!$C$54&amp;$C712</f>
        <v>IL|imports|nuclear</v>
      </c>
    </row>
    <row r="713" spans="1:5" x14ac:dyDescent="0.25">
      <c r="A713" t="s">
        <v>93</v>
      </c>
      <c r="B713" t="s">
        <v>193</v>
      </c>
      <c r="C713" t="s">
        <v>71</v>
      </c>
      <c r="D713" s="10">
        <v>0</v>
      </c>
      <c r="E713" t="str">
        <f>$A713&amp;Keys!$C$54&amp;$B713&amp;Keys!$C$54&amp;$C713</f>
        <v>IL|exports|nuclear</v>
      </c>
    </row>
    <row r="714" spans="1:5" x14ac:dyDescent="0.25">
      <c r="A714" t="s">
        <v>93</v>
      </c>
      <c r="B714" t="s">
        <v>188</v>
      </c>
      <c r="C714" t="s">
        <v>273</v>
      </c>
      <c r="D714" s="10">
        <v>0</v>
      </c>
      <c r="E714" t="str">
        <f>$A714&amp;Keys!$C$54&amp;$B714&amp;Keys!$C$54&amp;$C714</f>
        <v>IL|production|hydro</v>
      </c>
    </row>
    <row r="715" spans="1:5" x14ac:dyDescent="0.25">
      <c r="A715" t="s">
        <v>93</v>
      </c>
      <c r="B715" t="s">
        <v>191</v>
      </c>
      <c r="C715" t="s">
        <v>273</v>
      </c>
      <c r="D715" s="10">
        <v>0</v>
      </c>
      <c r="E715" t="str">
        <f>$A715&amp;Keys!$C$54&amp;$B715&amp;Keys!$C$54&amp;$C715</f>
        <v>IL|imports|hydro</v>
      </c>
    </row>
    <row r="716" spans="1:5" x14ac:dyDescent="0.25">
      <c r="A716" t="s">
        <v>93</v>
      </c>
      <c r="B716" t="s">
        <v>193</v>
      </c>
      <c r="C716" t="s">
        <v>273</v>
      </c>
      <c r="D716" s="10">
        <v>0</v>
      </c>
      <c r="E716" t="str">
        <f>$A716&amp;Keys!$C$54&amp;$B716&amp;Keys!$C$54&amp;$C716</f>
        <v>IL|exports|hydro</v>
      </c>
    </row>
    <row r="717" spans="1:5" x14ac:dyDescent="0.25">
      <c r="A717" t="s">
        <v>93</v>
      </c>
      <c r="B717" t="s">
        <v>188</v>
      </c>
      <c r="C717" t="s">
        <v>274</v>
      </c>
      <c r="D717" s="10">
        <v>0</v>
      </c>
      <c r="E717" t="str">
        <f>$A717&amp;Keys!$C$54&amp;$B717&amp;Keys!$C$54&amp;$C717</f>
        <v>IL|production|wind</v>
      </c>
    </row>
    <row r="718" spans="1:5" x14ac:dyDescent="0.25">
      <c r="A718" t="s">
        <v>93</v>
      </c>
      <c r="B718" t="s">
        <v>191</v>
      </c>
      <c r="C718" t="s">
        <v>274</v>
      </c>
      <c r="D718" s="10">
        <v>0</v>
      </c>
      <c r="E718" t="str">
        <f>$A718&amp;Keys!$C$54&amp;$B718&amp;Keys!$C$54&amp;$C718</f>
        <v>IL|imports|wind</v>
      </c>
    </row>
    <row r="719" spans="1:5" x14ac:dyDescent="0.25">
      <c r="A719" t="s">
        <v>93</v>
      </c>
      <c r="B719" t="s">
        <v>193</v>
      </c>
      <c r="C719" t="s">
        <v>274</v>
      </c>
      <c r="D719" s="10">
        <v>0</v>
      </c>
      <c r="E719" t="str">
        <f>$A719&amp;Keys!$C$54&amp;$B719&amp;Keys!$C$54&amp;$C719</f>
        <v>IL|exports|wind</v>
      </c>
    </row>
    <row r="720" spans="1:5" x14ac:dyDescent="0.25">
      <c r="A720" t="s">
        <v>93</v>
      </c>
      <c r="B720" t="s">
        <v>188</v>
      </c>
      <c r="C720" t="s">
        <v>275</v>
      </c>
      <c r="D720" s="10">
        <v>0</v>
      </c>
      <c r="E720" t="str">
        <f>$A720&amp;Keys!$C$54&amp;$B720&amp;Keys!$C$54&amp;$C720</f>
        <v>IL|production|solar</v>
      </c>
    </row>
    <row r="721" spans="1:5" x14ac:dyDescent="0.25">
      <c r="A721" t="s">
        <v>93</v>
      </c>
      <c r="B721" t="s">
        <v>191</v>
      </c>
      <c r="C721" t="s">
        <v>275</v>
      </c>
      <c r="D721" s="10">
        <v>0</v>
      </c>
      <c r="E721" t="str">
        <f>$A721&amp;Keys!$C$54&amp;$B721&amp;Keys!$C$54&amp;$C721</f>
        <v>IL|imports|solar</v>
      </c>
    </row>
    <row r="722" spans="1:5" x14ac:dyDescent="0.25">
      <c r="A722" t="s">
        <v>93</v>
      </c>
      <c r="B722" t="s">
        <v>193</v>
      </c>
      <c r="C722" t="s">
        <v>275</v>
      </c>
      <c r="D722" s="10">
        <v>0</v>
      </c>
      <c r="E722" t="str">
        <f>$A722&amp;Keys!$C$54&amp;$B722&amp;Keys!$C$54&amp;$C722</f>
        <v>IL|exports|solar</v>
      </c>
    </row>
    <row r="723" spans="1:5" x14ac:dyDescent="0.25">
      <c r="A723" t="s">
        <v>93</v>
      </c>
      <c r="B723" t="s">
        <v>188</v>
      </c>
      <c r="C723" t="s">
        <v>82</v>
      </c>
      <c r="D723" s="10">
        <v>0</v>
      </c>
      <c r="E723" t="str">
        <f>$A723&amp;Keys!$C$54&amp;$B723&amp;Keys!$C$54&amp;$C723</f>
        <v>IL|production|biomass</v>
      </c>
    </row>
    <row r="724" spans="1:5" x14ac:dyDescent="0.25">
      <c r="A724" t="s">
        <v>93</v>
      </c>
      <c r="B724" t="s">
        <v>191</v>
      </c>
      <c r="C724" t="s">
        <v>82</v>
      </c>
      <c r="D724" s="10">
        <v>22082900000000</v>
      </c>
      <c r="E724" t="str">
        <f>$A724&amp;Keys!$C$54&amp;$B724&amp;Keys!$C$54&amp;$C724</f>
        <v>IL|imports|biomass</v>
      </c>
    </row>
    <row r="725" spans="1:5" x14ac:dyDescent="0.25">
      <c r="A725" t="s">
        <v>93</v>
      </c>
      <c r="B725" t="s">
        <v>193</v>
      </c>
      <c r="C725" t="s">
        <v>82</v>
      </c>
      <c r="D725" s="10">
        <v>0</v>
      </c>
      <c r="E725" t="str">
        <f>$A725&amp;Keys!$C$54&amp;$B725&amp;Keys!$C$54&amp;$C725</f>
        <v>IL|exports|biomass</v>
      </c>
    </row>
    <row r="726" spans="1:5" x14ac:dyDescent="0.25">
      <c r="A726" t="s">
        <v>93</v>
      </c>
      <c r="B726" t="s">
        <v>188</v>
      </c>
      <c r="C726" t="s">
        <v>85</v>
      </c>
      <c r="D726" s="10">
        <v>1019050000000000</v>
      </c>
      <c r="E726" t="str">
        <f>$A726&amp;Keys!$C$54&amp;$B726&amp;Keys!$C$54&amp;$C726</f>
        <v>IL|production|petroleum gasoline</v>
      </c>
    </row>
    <row r="727" spans="1:5" x14ac:dyDescent="0.25">
      <c r="A727" t="s">
        <v>93</v>
      </c>
      <c r="B727" t="s">
        <v>191</v>
      </c>
      <c r="C727" t="s">
        <v>85</v>
      </c>
      <c r="D727" s="10">
        <v>25586700000000</v>
      </c>
      <c r="E727" t="str">
        <f>$A727&amp;Keys!$C$54&amp;$B727&amp;Keys!$C$54&amp;$C727</f>
        <v>IL|imports|petroleum gasoline</v>
      </c>
    </row>
    <row r="728" spans="1:5" x14ac:dyDescent="0.25">
      <c r="A728" t="s">
        <v>93</v>
      </c>
      <c r="B728" t="s">
        <v>193</v>
      </c>
      <c r="C728" t="s">
        <v>85</v>
      </c>
      <c r="D728" s="10">
        <v>602810000000000</v>
      </c>
      <c r="E728" t="str">
        <f>$A728&amp;Keys!$C$54&amp;$B728&amp;Keys!$C$54&amp;$C728</f>
        <v>IL|exports|petroleum gasoline</v>
      </c>
    </row>
    <row r="729" spans="1:5" x14ac:dyDescent="0.25">
      <c r="A729" t="s">
        <v>93</v>
      </c>
      <c r="B729" t="s">
        <v>188</v>
      </c>
      <c r="C729" t="s">
        <v>88</v>
      </c>
      <c r="D729" s="10">
        <v>602782000000000</v>
      </c>
      <c r="E729" t="str">
        <f>$A729&amp;Keys!$C$54&amp;$B729&amp;Keys!$C$54&amp;$C729</f>
        <v>IL|production|petroleum diesel</v>
      </c>
    </row>
    <row r="730" spans="1:5" x14ac:dyDescent="0.25">
      <c r="A730" t="s">
        <v>93</v>
      </c>
      <c r="B730" t="s">
        <v>191</v>
      </c>
      <c r="C730" t="s">
        <v>88</v>
      </c>
      <c r="D730" s="10">
        <v>1499870000000</v>
      </c>
      <c r="E730" t="str">
        <f>$A730&amp;Keys!$C$54&amp;$B730&amp;Keys!$C$54&amp;$C730</f>
        <v>IL|imports|petroleum diesel</v>
      </c>
    </row>
    <row r="731" spans="1:5" x14ac:dyDescent="0.25">
      <c r="A731" t="s">
        <v>93</v>
      </c>
      <c r="B731" t="s">
        <v>193</v>
      </c>
      <c r="C731" t="s">
        <v>88</v>
      </c>
      <c r="D731" s="10">
        <v>318202000000000</v>
      </c>
      <c r="E731" t="str">
        <f>$A731&amp;Keys!$C$54&amp;$B731&amp;Keys!$C$54&amp;$C731</f>
        <v>IL|exports|petroleum diesel</v>
      </c>
    </row>
    <row r="732" spans="1:5" x14ac:dyDescent="0.25">
      <c r="A732" t="s">
        <v>93</v>
      </c>
      <c r="B732" t="s">
        <v>188</v>
      </c>
      <c r="C732" t="s">
        <v>91</v>
      </c>
      <c r="D732" s="10">
        <v>136200000000000</v>
      </c>
      <c r="E732" t="str">
        <f>$A732&amp;Keys!$C$54&amp;$B732&amp;Keys!$C$54&amp;$C732</f>
        <v>IL|production|biofuel gasoline</v>
      </c>
    </row>
    <row r="733" spans="1:5" x14ac:dyDescent="0.25">
      <c r="A733" t="s">
        <v>93</v>
      </c>
      <c r="B733" t="s">
        <v>191</v>
      </c>
      <c r="C733" t="s">
        <v>91</v>
      </c>
      <c r="D733" s="10">
        <v>1834580000000</v>
      </c>
      <c r="E733" t="str">
        <f>$A733&amp;Keys!$C$54&amp;$B733&amp;Keys!$C$54&amp;$C733</f>
        <v>IL|imports|biofuel gasoline</v>
      </c>
    </row>
    <row r="734" spans="1:5" x14ac:dyDescent="0.25">
      <c r="A734" t="s">
        <v>93</v>
      </c>
      <c r="B734" t="s">
        <v>193</v>
      </c>
      <c r="C734" t="s">
        <v>91</v>
      </c>
      <c r="D734" s="10">
        <v>106311000000000</v>
      </c>
      <c r="E734" t="str">
        <f>$A734&amp;Keys!$C$54&amp;$B734&amp;Keys!$C$54&amp;$C734</f>
        <v>IL|exports|biofuel gasoline</v>
      </c>
    </row>
    <row r="735" spans="1:5" x14ac:dyDescent="0.25">
      <c r="A735" t="s">
        <v>93</v>
      </c>
      <c r="B735" t="s">
        <v>188</v>
      </c>
      <c r="C735" t="s">
        <v>94</v>
      </c>
      <c r="D735" s="10">
        <v>62174600000000</v>
      </c>
      <c r="E735" t="str">
        <f>$A735&amp;Keys!$C$54&amp;$B735&amp;Keys!$C$54&amp;$C735</f>
        <v>IL|production|biofuel diesel</v>
      </c>
    </row>
    <row r="736" spans="1:5" x14ac:dyDescent="0.25">
      <c r="A736" t="s">
        <v>93</v>
      </c>
      <c r="B736" t="s">
        <v>191</v>
      </c>
      <c r="C736" t="s">
        <v>94</v>
      </c>
      <c r="D736" s="10">
        <v>428140000000</v>
      </c>
      <c r="E736" t="str">
        <f>$A736&amp;Keys!$C$54&amp;$B736&amp;Keys!$C$54&amp;$C736</f>
        <v>IL|imports|biofuel diesel</v>
      </c>
    </row>
    <row r="737" spans="1:5" x14ac:dyDescent="0.25">
      <c r="A737" t="s">
        <v>93</v>
      </c>
      <c r="B737" t="s">
        <v>193</v>
      </c>
      <c r="C737" t="s">
        <v>94</v>
      </c>
      <c r="D737" s="10">
        <v>48046700000000</v>
      </c>
      <c r="E737" t="str">
        <f>$A737&amp;Keys!$C$54&amp;$B737&amp;Keys!$C$54&amp;$C737</f>
        <v>IL|exports|biofuel diesel</v>
      </c>
    </row>
    <row r="738" spans="1:5" x14ac:dyDescent="0.25">
      <c r="A738" t="s">
        <v>93</v>
      </c>
      <c r="B738" t="s">
        <v>188</v>
      </c>
      <c r="C738" t="s">
        <v>97</v>
      </c>
      <c r="D738" s="10">
        <v>214578000000000</v>
      </c>
      <c r="E738" t="str">
        <f>$A738&amp;Keys!$C$54&amp;$B738&amp;Keys!$C$54&amp;$C738</f>
        <v>IL|production|jet fuel or kerosene</v>
      </c>
    </row>
    <row r="739" spans="1:5" x14ac:dyDescent="0.25">
      <c r="A739" t="s">
        <v>93</v>
      </c>
      <c r="B739" t="s">
        <v>191</v>
      </c>
      <c r="C739" t="s">
        <v>97</v>
      </c>
      <c r="D739" s="10">
        <v>0</v>
      </c>
      <c r="E739" t="str">
        <f>$A739&amp;Keys!$C$54&amp;$B739&amp;Keys!$C$54&amp;$C739</f>
        <v>IL|imports|jet fuel or kerosene</v>
      </c>
    </row>
    <row r="740" spans="1:5" x14ac:dyDescent="0.25">
      <c r="A740" t="s">
        <v>93</v>
      </c>
      <c r="B740" t="s">
        <v>193</v>
      </c>
      <c r="C740" t="s">
        <v>97</v>
      </c>
      <c r="D740" s="10">
        <v>60302800000000</v>
      </c>
      <c r="E740" t="str">
        <f>$A740&amp;Keys!$C$54&amp;$B740&amp;Keys!$C$54&amp;$C740</f>
        <v>IL|exports|jet fuel or kerosene</v>
      </c>
    </row>
    <row r="741" spans="1:5" x14ac:dyDescent="0.25">
      <c r="A741" t="s">
        <v>93</v>
      </c>
      <c r="B741" t="s">
        <v>188</v>
      </c>
      <c r="C741" t="s">
        <v>276</v>
      </c>
      <c r="D741" s="10">
        <v>0</v>
      </c>
      <c r="E741" t="str">
        <f>$A741&amp;Keys!$C$54&amp;$B741&amp;Keys!$C$54&amp;$C741</f>
        <v>IL|production|heat</v>
      </c>
    </row>
    <row r="742" spans="1:5" x14ac:dyDescent="0.25">
      <c r="A742" t="s">
        <v>93</v>
      </c>
      <c r="B742" t="s">
        <v>191</v>
      </c>
      <c r="C742" t="s">
        <v>276</v>
      </c>
      <c r="D742" s="10">
        <v>0</v>
      </c>
      <c r="E742" t="str">
        <f>$A742&amp;Keys!$C$54&amp;$B742&amp;Keys!$C$54&amp;$C742</f>
        <v>IL|imports|heat</v>
      </c>
    </row>
    <row r="743" spans="1:5" x14ac:dyDescent="0.25">
      <c r="A743" t="s">
        <v>93</v>
      </c>
      <c r="B743" t="s">
        <v>193</v>
      </c>
      <c r="C743" t="s">
        <v>276</v>
      </c>
      <c r="D743" s="10">
        <v>0</v>
      </c>
      <c r="E743" t="str">
        <f>$A743&amp;Keys!$C$54&amp;$B743&amp;Keys!$C$54&amp;$C743</f>
        <v>IL|exports|heat</v>
      </c>
    </row>
    <row r="744" spans="1:5" x14ac:dyDescent="0.25">
      <c r="A744" t="s">
        <v>93</v>
      </c>
      <c r="B744" t="s">
        <v>188</v>
      </c>
      <c r="C744" t="s">
        <v>277</v>
      </c>
      <c r="D744" s="10">
        <v>0</v>
      </c>
      <c r="E744" t="str">
        <f>$A744&amp;Keys!$C$54&amp;$B744&amp;Keys!$C$54&amp;$C744</f>
        <v>IL|production|geothermal</v>
      </c>
    </row>
    <row r="745" spans="1:5" x14ac:dyDescent="0.25">
      <c r="A745" t="s">
        <v>93</v>
      </c>
      <c r="B745" t="s">
        <v>191</v>
      </c>
      <c r="C745" t="s">
        <v>277</v>
      </c>
      <c r="D745" s="10">
        <v>0</v>
      </c>
      <c r="E745" t="str">
        <f>$A745&amp;Keys!$C$54&amp;$B745&amp;Keys!$C$54&amp;$C745</f>
        <v>IL|imports|geothermal</v>
      </c>
    </row>
    <row r="746" spans="1:5" x14ac:dyDescent="0.25">
      <c r="A746" t="s">
        <v>93</v>
      </c>
      <c r="B746" t="s">
        <v>193</v>
      </c>
      <c r="C746" t="s">
        <v>277</v>
      </c>
      <c r="D746" s="10">
        <v>0</v>
      </c>
      <c r="E746" t="str">
        <f>$A746&amp;Keys!$C$54&amp;$B746&amp;Keys!$C$54&amp;$C746</f>
        <v>IL|exports|geothermal</v>
      </c>
    </row>
    <row r="747" spans="1:5" x14ac:dyDescent="0.25">
      <c r="A747" t="s">
        <v>93</v>
      </c>
      <c r="B747" t="s">
        <v>188</v>
      </c>
      <c r="C747" t="s">
        <v>106</v>
      </c>
      <c r="D747" s="10">
        <v>0</v>
      </c>
      <c r="E747" t="str">
        <f>$A747&amp;Keys!$C$54&amp;$B747&amp;Keys!$C$54&amp;$C747</f>
        <v>IL|production|lignite</v>
      </c>
    </row>
    <row r="748" spans="1:5" x14ac:dyDescent="0.25">
      <c r="A748" t="s">
        <v>93</v>
      </c>
      <c r="B748" t="s">
        <v>191</v>
      </c>
      <c r="C748" t="s">
        <v>106</v>
      </c>
      <c r="D748" s="10">
        <v>0</v>
      </c>
      <c r="E748" t="str">
        <f>$A748&amp;Keys!$C$54&amp;$B748&amp;Keys!$C$54&amp;$C748</f>
        <v>IL|imports|lignite</v>
      </c>
    </row>
    <row r="749" spans="1:5" x14ac:dyDescent="0.25">
      <c r="A749" t="s">
        <v>93</v>
      </c>
      <c r="B749" t="s">
        <v>193</v>
      </c>
      <c r="C749" t="s">
        <v>106</v>
      </c>
      <c r="D749" s="10">
        <v>0</v>
      </c>
      <c r="E749" t="str">
        <f>$A749&amp;Keys!$C$54&amp;$B749&amp;Keys!$C$54&amp;$C749</f>
        <v>IL|exports|lignite</v>
      </c>
    </row>
    <row r="750" spans="1:5" x14ac:dyDescent="0.25">
      <c r="A750" t="s">
        <v>93</v>
      </c>
      <c r="B750" t="s">
        <v>188</v>
      </c>
      <c r="C750" t="s">
        <v>109</v>
      </c>
      <c r="D750" s="10">
        <v>40431800000000</v>
      </c>
      <c r="E750" t="str">
        <f>$A750&amp;Keys!$C$54&amp;$B750&amp;Keys!$C$54&amp;$C750</f>
        <v>IL|production|crude oil</v>
      </c>
    </row>
    <row r="751" spans="1:5" x14ac:dyDescent="0.25">
      <c r="A751" t="s">
        <v>93</v>
      </c>
      <c r="B751" t="s">
        <v>191</v>
      </c>
      <c r="C751" t="s">
        <v>109</v>
      </c>
      <c r="D751" s="10">
        <v>2097140000000000</v>
      </c>
      <c r="E751" t="str">
        <f>$A751&amp;Keys!$C$54&amp;$B751&amp;Keys!$C$54&amp;$C751</f>
        <v>IL|imports|crude oil</v>
      </c>
    </row>
    <row r="752" spans="1:5" x14ac:dyDescent="0.25">
      <c r="A752" t="s">
        <v>93</v>
      </c>
      <c r="B752" t="s">
        <v>193</v>
      </c>
      <c r="C752" t="s">
        <v>109</v>
      </c>
      <c r="D752" s="10">
        <v>0</v>
      </c>
      <c r="E752" t="str">
        <f>$A752&amp;Keys!$C$54&amp;$B752&amp;Keys!$C$54&amp;$C752</f>
        <v>IL|exports|crude oil</v>
      </c>
    </row>
    <row r="753" spans="1:5" x14ac:dyDescent="0.25">
      <c r="A753" t="s">
        <v>93</v>
      </c>
      <c r="B753" t="s">
        <v>188</v>
      </c>
      <c r="C753" t="s">
        <v>114</v>
      </c>
      <c r="D753" s="10">
        <v>41682500000000</v>
      </c>
      <c r="E753" t="str">
        <f>$A753&amp;Keys!$C$54&amp;$B753&amp;Keys!$C$54&amp;$C753</f>
        <v>IL|production|heavy or residual fuel oil</v>
      </c>
    </row>
    <row r="754" spans="1:5" x14ac:dyDescent="0.25">
      <c r="A754" t="s">
        <v>93</v>
      </c>
      <c r="B754" t="s">
        <v>191</v>
      </c>
      <c r="C754" t="s">
        <v>114</v>
      </c>
      <c r="D754" s="10">
        <v>0</v>
      </c>
      <c r="E754" t="str">
        <f>$A754&amp;Keys!$C$54&amp;$B754&amp;Keys!$C$54&amp;$C754</f>
        <v>IL|imports|heavy or residual fuel oil</v>
      </c>
    </row>
    <row r="755" spans="1:5" x14ac:dyDescent="0.25">
      <c r="A755" t="s">
        <v>93</v>
      </c>
      <c r="B755" t="s">
        <v>193</v>
      </c>
      <c r="C755" t="s">
        <v>114</v>
      </c>
      <c r="D755" s="10">
        <v>14579600000000</v>
      </c>
      <c r="E755" t="str">
        <f>$A755&amp;Keys!$C$54&amp;$B755&amp;Keys!$C$54&amp;$C755</f>
        <v>IL|exports|heavy or residual fuel oil</v>
      </c>
    </row>
    <row r="756" spans="1:5" x14ac:dyDescent="0.25">
      <c r="A756" t="s">
        <v>93</v>
      </c>
      <c r="B756" t="s">
        <v>188</v>
      </c>
      <c r="C756" t="s">
        <v>117</v>
      </c>
      <c r="D756" s="10">
        <v>401109000000</v>
      </c>
      <c r="E756" t="str">
        <f>$A756&amp;Keys!$C$54&amp;$B756&amp;Keys!$C$54&amp;$C756</f>
        <v>IL|production|LPG propane or butane</v>
      </c>
    </row>
    <row r="757" spans="1:5" x14ac:dyDescent="0.25">
      <c r="A757" t="s">
        <v>93</v>
      </c>
      <c r="B757" t="s">
        <v>191</v>
      </c>
      <c r="C757" t="s">
        <v>117</v>
      </c>
      <c r="D757" s="10">
        <v>86024100000000</v>
      </c>
      <c r="E757" t="str">
        <f>$A757&amp;Keys!$C$54&amp;$B757&amp;Keys!$C$54&amp;$C757</f>
        <v>IL|imports|LPG propane or butane</v>
      </c>
    </row>
    <row r="758" spans="1:5" x14ac:dyDescent="0.25">
      <c r="A758" t="s">
        <v>93</v>
      </c>
      <c r="B758" t="s">
        <v>193</v>
      </c>
      <c r="C758" t="s">
        <v>117</v>
      </c>
      <c r="D758" s="10">
        <v>0</v>
      </c>
      <c r="E758" t="str">
        <f>$A758&amp;Keys!$C$54&amp;$B758&amp;Keys!$C$54&amp;$C758</f>
        <v>IL|exports|LPG propane or butane</v>
      </c>
    </row>
    <row r="759" spans="1:5" x14ac:dyDescent="0.25">
      <c r="A759" t="s">
        <v>93</v>
      </c>
      <c r="B759" t="s">
        <v>188</v>
      </c>
      <c r="C759" t="s">
        <v>120</v>
      </c>
      <c r="D759" s="10">
        <v>0</v>
      </c>
      <c r="E759" t="str">
        <f>$A759&amp;Keys!$C$54&amp;$B759&amp;Keys!$C$54&amp;$C759</f>
        <v>IL|production|municipal solid waste</v>
      </c>
    </row>
    <row r="760" spans="1:5" x14ac:dyDescent="0.25">
      <c r="A760" t="s">
        <v>93</v>
      </c>
      <c r="B760" t="s">
        <v>191</v>
      </c>
      <c r="C760" t="s">
        <v>120</v>
      </c>
      <c r="D760" s="10">
        <v>0</v>
      </c>
      <c r="E760" t="str">
        <f>$A760&amp;Keys!$C$54&amp;$B760&amp;Keys!$C$54&amp;$C760</f>
        <v>IL|imports|municipal solid waste</v>
      </c>
    </row>
    <row r="761" spans="1:5" x14ac:dyDescent="0.25">
      <c r="A761" t="s">
        <v>93</v>
      </c>
      <c r="B761" t="s">
        <v>193</v>
      </c>
      <c r="C761" t="s">
        <v>120</v>
      </c>
      <c r="D761" s="10">
        <v>0</v>
      </c>
      <c r="E761" t="str">
        <f>$A761&amp;Keys!$C$54&amp;$B761&amp;Keys!$C$54&amp;$C761</f>
        <v>IL|exports|municipal solid waste</v>
      </c>
    </row>
    <row r="762" spans="1:5" x14ac:dyDescent="0.25">
      <c r="A762" t="s">
        <v>93</v>
      </c>
      <c r="B762" t="s">
        <v>188</v>
      </c>
      <c r="C762" t="s">
        <v>123</v>
      </c>
      <c r="D762" s="10">
        <v>21708400000000</v>
      </c>
      <c r="E762" t="str">
        <f>$A762&amp;Keys!$C$54&amp;$B762&amp;Keys!$C$54&amp;$C762</f>
        <v>IL|production|hydrogen</v>
      </c>
    </row>
    <row r="763" spans="1:5" x14ac:dyDescent="0.25">
      <c r="A763" t="s">
        <v>93</v>
      </c>
      <c r="B763" t="s">
        <v>191</v>
      </c>
      <c r="C763" t="s">
        <v>123</v>
      </c>
      <c r="D763" s="10">
        <v>5397370000000</v>
      </c>
      <c r="E763" t="str">
        <f>$A763&amp;Keys!$C$54&amp;$B763&amp;Keys!$C$54&amp;$C763</f>
        <v>IL|imports|hydrogen</v>
      </c>
    </row>
    <row r="764" spans="1:5" x14ac:dyDescent="0.25">
      <c r="A764" t="s">
        <v>93</v>
      </c>
      <c r="B764" t="s">
        <v>193</v>
      </c>
      <c r="C764" t="s">
        <v>123</v>
      </c>
      <c r="D764" s="10">
        <v>0</v>
      </c>
      <c r="E764" t="str">
        <f>$A764&amp;Keys!$C$54&amp;$B764&amp;Keys!$C$54&amp;$C764</f>
        <v>IL|exports|hydrogen</v>
      </c>
    </row>
    <row r="765" spans="1:5" x14ac:dyDescent="0.25">
      <c r="A765" t="s">
        <v>96</v>
      </c>
      <c r="B765" t="s">
        <v>188</v>
      </c>
      <c r="C765" t="s">
        <v>272</v>
      </c>
      <c r="D765" s="10">
        <v>0</v>
      </c>
      <c r="E765" t="str">
        <f>$A765&amp;Keys!$C$54&amp;$B765&amp;Keys!$C$54&amp;$C765</f>
        <v>IN|production|electricity</v>
      </c>
    </row>
    <row r="766" spans="1:5" x14ac:dyDescent="0.25">
      <c r="A766" t="s">
        <v>96</v>
      </c>
      <c r="B766" t="s">
        <v>191</v>
      </c>
      <c r="C766" t="s">
        <v>272</v>
      </c>
      <c r="D766" s="10">
        <v>0</v>
      </c>
      <c r="E766" t="str">
        <f>$A766&amp;Keys!$C$54&amp;$B766&amp;Keys!$C$54&amp;$C766</f>
        <v>IN|imports|electricity</v>
      </c>
    </row>
    <row r="767" spans="1:5" x14ac:dyDescent="0.25">
      <c r="A767" t="s">
        <v>96</v>
      </c>
      <c r="B767" t="s">
        <v>193</v>
      </c>
      <c r="C767" t="s">
        <v>272</v>
      </c>
      <c r="D767" s="10">
        <v>0</v>
      </c>
      <c r="E767" t="str">
        <f>$A767&amp;Keys!$C$54&amp;$B767&amp;Keys!$C$54&amp;$C767</f>
        <v>IN|exports|electricity</v>
      </c>
    </row>
    <row r="768" spans="1:5" x14ac:dyDescent="0.25">
      <c r="A768" t="s">
        <v>96</v>
      </c>
      <c r="B768" t="s">
        <v>188</v>
      </c>
      <c r="C768" t="s">
        <v>64</v>
      </c>
      <c r="D768" s="10">
        <v>413016000000000</v>
      </c>
      <c r="E768" t="str">
        <f>$A768&amp;Keys!$C$54&amp;$B768&amp;Keys!$C$54&amp;$C768</f>
        <v>IN|production|hard coal</v>
      </c>
    </row>
    <row r="769" spans="1:5" x14ac:dyDescent="0.25">
      <c r="A769" t="s">
        <v>96</v>
      </c>
      <c r="B769" t="s">
        <v>191</v>
      </c>
      <c r="C769" t="s">
        <v>64</v>
      </c>
      <c r="D769" s="10">
        <v>421168000000000</v>
      </c>
      <c r="E769" t="str">
        <f>$A769&amp;Keys!$C$54&amp;$B769&amp;Keys!$C$54&amp;$C769</f>
        <v>IN|imports|hard coal</v>
      </c>
    </row>
    <row r="770" spans="1:5" x14ac:dyDescent="0.25">
      <c r="A770" t="s">
        <v>96</v>
      </c>
      <c r="B770" t="s">
        <v>193</v>
      </c>
      <c r="C770" t="s">
        <v>64</v>
      </c>
      <c r="D770" s="10">
        <v>46266900000000</v>
      </c>
      <c r="E770" t="str">
        <f>$A770&amp;Keys!$C$54&amp;$B770&amp;Keys!$C$54&amp;$C770</f>
        <v>IN|exports|hard coal</v>
      </c>
    </row>
    <row r="771" spans="1:5" x14ac:dyDescent="0.25">
      <c r="A771" t="s">
        <v>96</v>
      </c>
      <c r="B771" t="s">
        <v>188</v>
      </c>
      <c r="C771" t="s">
        <v>68</v>
      </c>
      <c r="D771" s="10">
        <v>3371290000000</v>
      </c>
      <c r="E771" t="str">
        <f>$A771&amp;Keys!$C$54&amp;$B771&amp;Keys!$C$54&amp;$C771</f>
        <v>IN|production|natural gas</v>
      </c>
    </row>
    <row r="772" spans="1:5" x14ac:dyDescent="0.25">
      <c r="A772" t="s">
        <v>96</v>
      </c>
      <c r="B772" t="s">
        <v>191</v>
      </c>
      <c r="C772" t="s">
        <v>68</v>
      </c>
      <c r="D772" s="10">
        <v>2264950000000000</v>
      </c>
      <c r="E772" t="str">
        <f>$A772&amp;Keys!$C$54&amp;$B772&amp;Keys!$C$54&amp;$C772</f>
        <v>IN|imports|natural gas</v>
      </c>
    </row>
    <row r="773" spans="1:5" x14ac:dyDescent="0.25">
      <c r="A773" t="s">
        <v>96</v>
      </c>
      <c r="B773" t="s">
        <v>193</v>
      </c>
      <c r="C773" t="s">
        <v>68</v>
      </c>
      <c r="D773" s="10">
        <v>1409520000000000</v>
      </c>
      <c r="E773" t="str">
        <f>$A773&amp;Keys!$C$54&amp;$B773&amp;Keys!$C$54&amp;$C773</f>
        <v>IN|exports|natural gas</v>
      </c>
    </row>
    <row r="774" spans="1:5" x14ac:dyDescent="0.25">
      <c r="A774" t="s">
        <v>96</v>
      </c>
      <c r="B774" t="s">
        <v>188</v>
      </c>
      <c r="C774" t="s">
        <v>71</v>
      </c>
      <c r="D774" s="10">
        <v>0</v>
      </c>
      <c r="E774" t="str">
        <f>$A774&amp;Keys!$C$54&amp;$B774&amp;Keys!$C$54&amp;$C774</f>
        <v>IN|production|nuclear</v>
      </c>
    </row>
    <row r="775" spans="1:5" x14ac:dyDescent="0.25">
      <c r="A775" t="s">
        <v>96</v>
      </c>
      <c r="B775" t="s">
        <v>191</v>
      </c>
      <c r="C775" t="s">
        <v>71</v>
      </c>
      <c r="D775" s="10">
        <v>0</v>
      </c>
      <c r="E775" t="str">
        <f>$A775&amp;Keys!$C$54&amp;$B775&amp;Keys!$C$54&amp;$C775</f>
        <v>IN|imports|nuclear</v>
      </c>
    </row>
    <row r="776" spans="1:5" x14ac:dyDescent="0.25">
      <c r="A776" t="s">
        <v>96</v>
      </c>
      <c r="B776" t="s">
        <v>193</v>
      </c>
      <c r="C776" t="s">
        <v>71</v>
      </c>
      <c r="D776" s="10">
        <v>0</v>
      </c>
      <c r="E776" t="str">
        <f>$A776&amp;Keys!$C$54&amp;$B776&amp;Keys!$C$54&amp;$C776</f>
        <v>IN|exports|nuclear</v>
      </c>
    </row>
    <row r="777" spans="1:5" x14ac:dyDescent="0.25">
      <c r="A777" t="s">
        <v>96</v>
      </c>
      <c r="B777" t="s">
        <v>188</v>
      </c>
      <c r="C777" t="s">
        <v>273</v>
      </c>
      <c r="D777" s="10">
        <v>0</v>
      </c>
      <c r="E777" t="str">
        <f>$A777&amp;Keys!$C$54&amp;$B777&amp;Keys!$C$54&amp;$C777</f>
        <v>IN|production|hydro</v>
      </c>
    </row>
    <row r="778" spans="1:5" x14ac:dyDescent="0.25">
      <c r="A778" t="s">
        <v>96</v>
      </c>
      <c r="B778" t="s">
        <v>191</v>
      </c>
      <c r="C778" t="s">
        <v>273</v>
      </c>
      <c r="D778" s="10">
        <v>0</v>
      </c>
      <c r="E778" t="str">
        <f>$A778&amp;Keys!$C$54&amp;$B778&amp;Keys!$C$54&amp;$C778</f>
        <v>IN|imports|hydro</v>
      </c>
    </row>
    <row r="779" spans="1:5" x14ac:dyDescent="0.25">
      <c r="A779" t="s">
        <v>96</v>
      </c>
      <c r="B779" t="s">
        <v>193</v>
      </c>
      <c r="C779" t="s">
        <v>273</v>
      </c>
      <c r="D779" s="10">
        <v>0</v>
      </c>
      <c r="E779" t="str">
        <f>$A779&amp;Keys!$C$54&amp;$B779&amp;Keys!$C$54&amp;$C779</f>
        <v>IN|exports|hydro</v>
      </c>
    </row>
    <row r="780" spans="1:5" x14ac:dyDescent="0.25">
      <c r="A780" t="s">
        <v>96</v>
      </c>
      <c r="B780" t="s">
        <v>188</v>
      </c>
      <c r="C780" t="s">
        <v>274</v>
      </c>
      <c r="D780" s="10">
        <v>0</v>
      </c>
      <c r="E780" t="str">
        <f>$A780&amp;Keys!$C$54&amp;$B780&amp;Keys!$C$54&amp;$C780</f>
        <v>IN|production|wind</v>
      </c>
    </row>
    <row r="781" spans="1:5" x14ac:dyDescent="0.25">
      <c r="A781" t="s">
        <v>96</v>
      </c>
      <c r="B781" t="s">
        <v>191</v>
      </c>
      <c r="C781" t="s">
        <v>274</v>
      </c>
      <c r="D781" s="10">
        <v>0</v>
      </c>
      <c r="E781" t="str">
        <f>$A781&amp;Keys!$C$54&amp;$B781&amp;Keys!$C$54&amp;$C781</f>
        <v>IN|imports|wind</v>
      </c>
    </row>
    <row r="782" spans="1:5" x14ac:dyDescent="0.25">
      <c r="A782" t="s">
        <v>96</v>
      </c>
      <c r="B782" t="s">
        <v>193</v>
      </c>
      <c r="C782" t="s">
        <v>274</v>
      </c>
      <c r="D782" s="10">
        <v>0</v>
      </c>
      <c r="E782" t="str">
        <f>$A782&amp;Keys!$C$54&amp;$B782&amp;Keys!$C$54&amp;$C782</f>
        <v>IN|exports|wind</v>
      </c>
    </row>
    <row r="783" spans="1:5" x14ac:dyDescent="0.25">
      <c r="A783" t="s">
        <v>96</v>
      </c>
      <c r="B783" t="s">
        <v>188</v>
      </c>
      <c r="C783" t="s">
        <v>275</v>
      </c>
      <c r="D783" s="10">
        <v>0</v>
      </c>
      <c r="E783" t="str">
        <f>$A783&amp;Keys!$C$54&amp;$B783&amp;Keys!$C$54&amp;$C783</f>
        <v>IN|production|solar</v>
      </c>
    </row>
    <row r="784" spans="1:5" x14ac:dyDescent="0.25">
      <c r="A784" t="s">
        <v>96</v>
      </c>
      <c r="B784" t="s">
        <v>191</v>
      </c>
      <c r="C784" t="s">
        <v>275</v>
      </c>
      <c r="D784" s="10">
        <v>0</v>
      </c>
      <c r="E784" t="str">
        <f>$A784&amp;Keys!$C$54&amp;$B784&amp;Keys!$C$54&amp;$C784</f>
        <v>IN|imports|solar</v>
      </c>
    </row>
    <row r="785" spans="1:5" x14ac:dyDescent="0.25">
      <c r="A785" t="s">
        <v>96</v>
      </c>
      <c r="B785" t="s">
        <v>193</v>
      </c>
      <c r="C785" t="s">
        <v>275</v>
      </c>
      <c r="D785" s="10">
        <v>0</v>
      </c>
      <c r="E785" t="str">
        <f>$A785&amp;Keys!$C$54&amp;$B785&amp;Keys!$C$54&amp;$C785</f>
        <v>IN|exports|solar</v>
      </c>
    </row>
    <row r="786" spans="1:5" x14ac:dyDescent="0.25">
      <c r="A786" t="s">
        <v>96</v>
      </c>
      <c r="B786" t="s">
        <v>188</v>
      </c>
      <c r="C786" t="s">
        <v>82</v>
      </c>
      <c r="D786" s="10">
        <v>112000000000</v>
      </c>
      <c r="E786" t="str">
        <f>$A786&amp;Keys!$C$54&amp;$B786&amp;Keys!$C$54&amp;$C786</f>
        <v>IN|production|biomass</v>
      </c>
    </row>
    <row r="787" spans="1:5" x14ac:dyDescent="0.25">
      <c r="A787" t="s">
        <v>96</v>
      </c>
      <c r="B787" t="s">
        <v>191</v>
      </c>
      <c r="C787" t="s">
        <v>82</v>
      </c>
      <c r="D787" s="10">
        <v>33906000000000</v>
      </c>
      <c r="E787" t="str">
        <f>$A787&amp;Keys!$C$54&amp;$B787&amp;Keys!$C$54&amp;$C787</f>
        <v>IN|imports|biomass</v>
      </c>
    </row>
    <row r="788" spans="1:5" x14ac:dyDescent="0.25">
      <c r="A788" t="s">
        <v>96</v>
      </c>
      <c r="B788" t="s">
        <v>193</v>
      </c>
      <c r="C788" t="s">
        <v>82</v>
      </c>
      <c r="D788" s="10">
        <v>0</v>
      </c>
      <c r="E788" t="str">
        <f>$A788&amp;Keys!$C$54&amp;$B788&amp;Keys!$C$54&amp;$C788</f>
        <v>IN|exports|biomass</v>
      </c>
    </row>
    <row r="789" spans="1:5" x14ac:dyDescent="0.25">
      <c r="A789" t="s">
        <v>96</v>
      </c>
      <c r="B789" t="s">
        <v>188</v>
      </c>
      <c r="C789" t="s">
        <v>85</v>
      </c>
      <c r="D789" s="10">
        <v>455650000000000</v>
      </c>
      <c r="E789" t="str">
        <f>$A789&amp;Keys!$C$54&amp;$B789&amp;Keys!$C$54&amp;$C789</f>
        <v>IN|production|petroleum gasoline</v>
      </c>
    </row>
    <row r="790" spans="1:5" x14ac:dyDescent="0.25">
      <c r="A790" t="s">
        <v>96</v>
      </c>
      <c r="B790" t="s">
        <v>191</v>
      </c>
      <c r="C790" t="s">
        <v>85</v>
      </c>
      <c r="D790" s="10">
        <v>16611700000000</v>
      </c>
      <c r="E790" t="str">
        <f>$A790&amp;Keys!$C$54&amp;$B790&amp;Keys!$C$54&amp;$C790</f>
        <v>IN|imports|petroleum gasoline</v>
      </c>
    </row>
    <row r="791" spans="1:5" x14ac:dyDescent="0.25">
      <c r="A791" t="s">
        <v>96</v>
      </c>
      <c r="B791" t="s">
        <v>193</v>
      </c>
      <c r="C791" t="s">
        <v>85</v>
      </c>
      <c r="D791" s="10">
        <v>154959000000000</v>
      </c>
      <c r="E791" t="str">
        <f>$A791&amp;Keys!$C$54&amp;$B791&amp;Keys!$C$54&amp;$C791</f>
        <v>IN|exports|petroleum gasoline</v>
      </c>
    </row>
    <row r="792" spans="1:5" x14ac:dyDescent="0.25">
      <c r="A792" t="s">
        <v>96</v>
      </c>
      <c r="B792" t="s">
        <v>188</v>
      </c>
      <c r="C792" t="s">
        <v>88</v>
      </c>
      <c r="D792" s="10">
        <v>269524000000000</v>
      </c>
      <c r="E792" t="str">
        <f>$A792&amp;Keys!$C$54&amp;$B792&amp;Keys!$C$54&amp;$C792</f>
        <v>IN|production|petroleum diesel</v>
      </c>
    </row>
    <row r="793" spans="1:5" x14ac:dyDescent="0.25">
      <c r="A793" t="s">
        <v>96</v>
      </c>
      <c r="B793" t="s">
        <v>191</v>
      </c>
      <c r="C793" t="s">
        <v>88</v>
      </c>
      <c r="D793" s="10">
        <v>3942270000000</v>
      </c>
      <c r="E793" t="str">
        <f>$A793&amp;Keys!$C$54&amp;$B793&amp;Keys!$C$54&amp;$C793</f>
        <v>IN|imports|petroleum diesel</v>
      </c>
    </row>
    <row r="794" spans="1:5" x14ac:dyDescent="0.25">
      <c r="A794" t="s">
        <v>96</v>
      </c>
      <c r="B794" t="s">
        <v>193</v>
      </c>
      <c r="C794" t="s">
        <v>88</v>
      </c>
      <c r="D794" s="10">
        <v>42648400000000</v>
      </c>
      <c r="E794" t="str">
        <f>$A794&amp;Keys!$C$54&amp;$B794&amp;Keys!$C$54&amp;$C794</f>
        <v>IN|exports|petroleum diesel</v>
      </c>
    </row>
    <row r="795" spans="1:5" x14ac:dyDescent="0.25">
      <c r="A795" t="s">
        <v>96</v>
      </c>
      <c r="B795" t="s">
        <v>188</v>
      </c>
      <c r="C795" t="s">
        <v>91</v>
      </c>
      <c r="D795" s="10">
        <v>110398000000000</v>
      </c>
      <c r="E795" t="str">
        <f>$A795&amp;Keys!$C$54&amp;$B795&amp;Keys!$C$54&amp;$C795</f>
        <v>IN|production|biofuel gasoline</v>
      </c>
    </row>
    <row r="796" spans="1:5" x14ac:dyDescent="0.25">
      <c r="A796" t="s">
        <v>96</v>
      </c>
      <c r="B796" t="s">
        <v>191</v>
      </c>
      <c r="C796" t="s">
        <v>91</v>
      </c>
      <c r="D796" s="10">
        <v>1079050000000</v>
      </c>
      <c r="E796" t="str">
        <f>$A796&amp;Keys!$C$54&amp;$B796&amp;Keys!$C$54&amp;$C796</f>
        <v>IN|imports|biofuel gasoline</v>
      </c>
    </row>
    <row r="797" spans="1:5" x14ac:dyDescent="0.25">
      <c r="A797" t="s">
        <v>96</v>
      </c>
      <c r="B797" t="s">
        <v>193</v>
      </c>
      <c r="C797" t="s">
        <v>91</v>
      </c>
      <c r="D797" s="10">
        <v>89377200000000</v>
      </c>
      <c r="E797" t="str">
        <f>$A797&amp;Keys!$C$54&amp;$B797&amp;Keys!$C$54&amp;$C797</f>
        <v>IN|exports|biofuel gasoline</v>
      </c>
    </row>
    <row r="798" spans="1:5" x14ac:dyDescent="0.25">
      <c r="A798" t="s">
        <v>96</v>
      </c>
      <c r="B798" t="s">
        <v>188</v>
      </c>
      <c r="C798" t="s">
        <v>94</v>
      </c>
      <c r="D798" s="10">
        <v>32068700000000</v>
      </c>
      <c r="E798" t="str">
        <f>$A798&amp;Keys!$C$54&amp;$B798&amp;Keys!$C$54&amp;$C798</f>
        <v>IN|production|biofuel diesel</v>
      </c>
    </row>
    <row r="799" spans="1:5" x14ac:dyDescent="0.25">
      <c r="A799" t="s">
        <v>96</v>
      </c>
      <c r="B799" t="s">
        <v>191</v>
      </c>
      <c r="C799" t="s">
        <v>94</v>
      </c>
      <c r="D799" s="10">
        <v>70782200000</v>
      </c>
      <c r="E799" t="str">
        <f>$A799&amp;Keys!$C$54&amp;$B799&amp;Keys!$C$54&amp;$C799</f>
        <v>IN|imports|biofuel diesel</v>
      </c>
    </row>
    <row r="800" spans="1:5" x14ac:dyDescent="0.25">
      <c r="A800" t="s">
        <v>96</v>
      </c>
      <c r="B800" t="s">
        <v>193</v>
      </c>
      <c r="C800" t="s">
        <v>94</v>
      </c>
      <c r="D800" s="10">
        <v>27896500000000</v>
      </c>
      <c r="E800" t="str">
        <f>$A800&amp;Keys!$C$54&amp;$B800&amp;Keys!$C$54&amp;$C800</f>
        <v>IN|exports|biofuel diesel</v>
      </c>
    </row>
    <row r="801" spans="1:5" x14ac:dyDescent="0.25">
      <c r="A801" t="s">
        <v>96</v>
      </c>
      <c r="B801" t="s">
        <v>188</v>
      </c>
      <c r="C801" t="s">
        <v>97</v>
      </c>
      <c r="D801" s="10">
        <v>95945000000000</v>
      </c>
      <c r="E801" t="str">
        <f>$A801&amp;Keys!$C$54&amp;$B801&amp;Keys!$C$54&amp;$C801</f>
        <v>IN|production|jet fuel or kerosene</v>
      </c>
    </row>
    <row r="802" spans="1:5" x14ac:dyDescent="0.25">
      <c r="A802" t="s">
        <v>96</v>
      </c>
      <c r="B802" t="s">
        <v>191</v>
      </c>
      <c r="C802" t="s">
        <v>97</v>
      </c>
      <c r="D802" s="10">
        <v>0</v>
      </c>
      <c r="E802" t="str">
        <f>$A802&amp;Keys!$C$54&amp;$B802&amp;Keys!$C$54&amp;$C802</f>
        <v>IN|imports|jet fuel or kerosene</v>
      </c>
    </row>
    <row r="803" spans="1:5" x14ac:dyDescent="0.25">
      <c r="A803" t="s">
        <v>96</v>
      </c>
      <c r="B803" t="s">
        <v>193</v>
      </c>
      <c r="C803" t="s">
        <v>97</v>
      </c>
      <c r="D803" s="10">
        <v>73900000000000</v>
      </c>
      <c r="E803" t="str">
        <f>$A803&amp;Keys!$C$54&amp;$B803&amp;Keys!$C$54&amp;$C803</f>
        <v>IN|exports|jet fuel or kerosene</v>
      </c>
    </row>
    <row r="804" spans="1:5" x14ac:dyDescent="0.25">
      <c r="A804" t="s">
        <v>96</v>
      </c>
      <c r="B804" t="s">
        <v>188</v>
      </c>
      <c r="C804" t="s">
        <v>276</v>
      </c>
      <c r="D804" s="10">
        <v>0</v>
      </c>
      <c r="E804" t="str">
        <f>$A804&amp;Keys!$C$54&amp;$B804&amp;Keys!$C$54&amp;$C804</f>
        <v>IN|production|heat</v>
      </c>
    </row>
    <row r="805" spans="1:5" x14ac:dyDescent="0.25">
      <c r="A805" t="s">
        <v>96</v>
      </c>
      <c r="B805" t="s">
        <v>191</v>
      </c>
      <c r="C805" t="s">
        <v>276</v>
      </c>
      <c r="D805" s="10">
        <v>0</v>
      </c>
      <c r="E805" t="str">
        <f>$A805&amp;Keys!$C$54&amp;$B805&amp;Keys!$C$54&amp;$C805</f>
        <v>IN|imports|heat</v>
      </c>
    </row>
    <row r="806" spans="1:5" x14ac:dyDescent="0.25">
      <c r="A806" t="s">
        <v>96</v>
      </c>
      <c r="B806" t="s">
        <v>193</v>
      </c>
      <c r="C806" t="s">
        <v>276</v>
      </c>
      <c r="D806" s="10">
        <v>0</v>
      </c>
      <c r="E806" t="str">
        <f>$A806&amp;Keys!$C$54&amp;$B806&amp;Keys!$C$54&amp;$C806</f>
        <v>IN|exports|heat</v>
      </c>
    </row>
    <row r="807" spans="1:5" x14ac:dyDescent="0.25">
      <c r="A807" t="s">
        <v>96</v>
      </c>
      <c r="B807" t="s">
        <v>188</v>
      </c>
      <c r="C807" t="s">
        <v>277</v>
      </c>
      <c r="D807" s="10">
        <v>0</v>
      </c>
      <c r="E807" t="str">
        <f>$A807&amp;Keys!$C$54&amp;$B807&amp;Keys!$C$54&amp;$C807</f>
        <v>IN|production|geothermal</v>
      </c>
    </row>
    <row r="808" spans="1:5" x14ac:dyDescent="0.25">
      <c r="A808" t="s">
        <v>96</v>
      </c>
      <c r="B808" t="s">
        <v>191</v>
      </c>
      <c r="C808" t="s">
        <v>277</v>
      </c>
      <c r="D808" s="10">
        <v>0</v>
      </c>
      <c r="E808" t="str">
        <f>$A808&amp;Keys!$C$54&amp;$B808&amp;Keys!$C$54&amp;$C808</f>
        <v>IN|imports|geothermal</v>
      </c>
    </row>
    <row r="809" spans="1:5" x14ac:dyDescent="0.25">
      <c r="A809" t="s">
        <v>96</v>
      </c>
      <c r="B809" t="s">
        <v>193</v>
      </c>
      <c r="C809" t="s">
        <v>277</v>
      </c>
      <c r="D809" s="10">
        <v>0</v>
      </c>
      <c r="E809" t="str">
        <f>$A809&amp;Keys!$C$54&amp;$B809&amp;Keys!$C$54&amp;$C809</f>
        <v>IN|exports|geothermal</v>
      </c>
    </row>
    <row r="810" spans="1:5" x14ac:dyDescent="0.25">
      <c r="A810" t="s">
        <v>96</v>
      </c>
      <c r="B810" t="s">
        <v>188</v>
      </c>
      <c r="C810" t="s">
        <v>106</v>
      </c>
      <c r="D810" s="10">
        <v>0</v>
      </c>
      <c r="E810" t="str">
        <f>$A810&amp;Keys!$C$54&amp;$B810&amp;Keys!$C$54&amp;$C810</f>
        <v>IN|production|lignite</v>
      </c>
    </row>
    <row r="811" spans="1:5" x14ac:dyDescent="0.25">
      <c r="A811" t="s">
        <v>96</v>
      </c>
      <c r="B811" t="s">
        <v>191</v>
      </c>
      <c r="C811" t="s">
        <v>106</v>
      </c>
      <c r="D811" s="10">
        <v>0</v>
      </c>
      <c r="E811" t="str">
        <f>$A811&amp;Keys!$C$54&amp;$B811&amp;Keys!$C$54&amp;$C811</f>
        <v>IN|imports|lignite</v>
      </c>
    </row>
    <row r="812" spans="1:5" x14ac:dyDescent="0.25">
      <c r="A812" t="s">
        <v>96</v>
      </c>
      <c r="B812" t="s">
        <v>193</v>
      </c>
      <c r="C812" t="s">
        <v>106</v>
      </c>
      <c r="D812" s="10">
        <v>0</v>
      </c>
      <c r="E812" t="str">
        <f>$A812&amp;Keys!$C$54&amp;$B812&amp;Keys!$C$54&amp;$C812</f>
        <v>IN|exports|lignite</v>
      </c>
    </row>
    <row r="813" spans="1:5" x14ac:dyDescent="0.25">
      <c r="A813" t="s">
        <v>96</v>
      </c>
      <c r="B813" t="s">
        <v>188</v>
      </c>
      <c r="C813" t="s">
        <v>109</v>
      </c>
      <c r="D813" s="10">
        <v>9442400000000</v>
      </c>
      <c r="E813" t="str">
        <f>$A813&amp;Keys!$C$54&amp;$B813&amp;Keys!$C$54&amp;$C813</f>
        <v>IN|production|crude oil</v>
      </c>
    </row>
    <row r="814" spans="1:5" x14ac:dyDescent="0.25">
      <c r="A814" t="s">
        <v>96</v>
      </c>
      <c r="B814" t="s">
        <v>191</v>
      </c>
      <c r="C814" t="s">
        <v>109</v>
      </c>
      <c r="D814" s="10">
        <v>944584000000000</v>
      </c>
      <c r="E814" t="str">
        <f>$A814&amp;Keys!$C$54&amp;$B814&amp;Keys!$C$54&amp;$C814</f>
        <v>IN|imports|crude oil</v>
      </c>
    </row>
    <row r="815" spans="1:5" x14ac:dyDescent="0.25">
      <c r="A815" t="s">
        <v>96</v>
      </c>
      <c r="B815" t="s">
        <v>193</v>
      </c>
      <c r="C815" t="s">
        <v>109</v>
      </c>
      <c r="D815" s="10">
        <v>0</v>
      </c>
      <c r="E815" t="str">
        <f>$A815&amp;Keys!$C$54&amp;$B815&amp;Keys!$C$54&amp;$C815</f>
        <v>IN|exports|crude oil</v>
      </c>
    </row>
    <row r="816" spans="1:5" x14ac:dyDescent="0.25">
      <c r="A816" t="s">
        <v>96</v>
      </c>
      <c r="B816" t="s">
        <v>188</v>
      </c>
      <c r="C816" t="s">
        <v>114</v>
      </c>
      <c r="D816" s="10">
        <v>18637600000000</v>
      </c>
      <c r="E816" t="str">
        <f>$A816&amp;Keys!$C$54&amp;$B816&amp;Keys!$C$54&amp;$C816</f>
        <v>IN|production|heavy or residual fuel oil</v>
      </c>
    </row>
    <row r="817" spans="1:5" x14ac:dyDescent="0.25">
      <c r="A817" t="s">
        <v>96</v>
      </c>
      <c r="B817" t="s">
        <v>191</v>
      </c>
      <c r="C817" t="s">
        <v>114</v>
      </c>
      <c r="D817" s="10">
        <v>8568580000000</v>
      </c>
      <c r="E817" t="str">
        <f>$A817&amp;Keys!$C$54&amp;$B817&amp;Keys!$C$54&amp;$C817</f>
        <v>IN|imports|heavy or residual fuel oil</v>
      </c>
    </row>
    <row r="818" spans="1:5" x14ac:dyDescent="0.25">
      <c r="A818" t="s">
        <v>96</v>
      </c>
      <c r="B818" t="s">
        <v>193</v>
      </c>
      <c r="C818" t="s">
        <v>114</v>
      </c>
      <c r="D818" s="10">
        <v>0</v>
      </c>
      <c r="E818" t="str">
        <f>$A818&amp;Keys!$C$54&amp;$B818&amp;Keys!$C$54&amp;$C818</f>
        <v>IN|exports|heavy or residual fuel oil</v>
      </c>
    </row>
    <row r="819" spans="1:5" x14ac:dyDescent="0.25">
      <c r="A819" t="s">
        <v>96</v>
      </c>
      <c r="B819" t="s">
        <v>188</v>
      </c>
      <c r="C819" t="s">
        <v>117</v>
      </c>
      <c r="D819" s="10">
        <v>412138000000</v>
      </c>
      <c r="E819" t="str">
        <f>$A819&amp;Keys!$C$54&amp;$B819&amp;Keys!$C$54&amp;$C819</f>
        <v>IN|production|LPG propane or butane</v>
      </c>
    </row>
    <row r="820" spans="1:5" x14ac:dyDescent="0.25">
      <c r="A820" t="s">
        <v>96</v>
      </c>
      <c r="B820" t="s">
        <v>191</v>
      </c>
      <c r="C820" t="s">
        <v>117</v>
      </c>
      <c r="D820" s="10">
        <v>24505300000000</v>
      </c>
      <c r="E820" t="str">
        <f>$A820&amp;Keys!$C$54&amp;$B820&amp;Keys!$C$54&amp;$C820</f>
        <v>IN|imports|LPG propane or butane</v>
      </c>
    </row>
    <row r="821" spans="1:5" x14ac:dyDescent="0.25">
      <c r="A821" t="s">
        <v>96</v>
      </c>
      <c r="B821" t="s">
        <v>193</v>
      </c>
      <c r="C821" t="s">
        <v>117</v>
      </c>
      <c r="D821" s="10">
        <v>0</v>
      </c>
      <c r="E821" t="str">
        <f>$A821&amp;Keys!$C$54&amp;$B821&amp;Keys!$C$54&amp;$C821</f>
        <v>IN|exports|LPG propane or butane</v>
      </c>
    </row>
    <row r="822" spans="1:5" x14ac:dyDescent="0.25">
      <c r="A822" t="s">
        <v>96</v>
      </c>
      <c r="B822" t="s">
        <v>188</v>
      </c>
      <c r="C822" t="s">
        <v>120</v>
      </c>
      <c r="D822" s="10">
        <v>0</v>
      </c>
      <c r="E822" t="str">
        <f>$A822&amp;Keys!$C$54&amp;$B822&amp;Keys!$C$54&amp;$C822</f>
        <v>IN|production|municipal solid waste</v>
      </c>
    </row>
    <row r="823" spans="1:5" x14ac:dyDescent="0.25">
      <c r="A823" t="s">
        <v>96</v>
      </c>
      <c r="B823" t="s">
        <v>191</v>
      </c>
      <c r="C823" t="s">
        <v>120</v>
      </c>
      <c r="D823" s="10">
        <v>0</v>
      </c>
      <c r="E823" t="str">
        <f>$A823&amp;Keys!$C$54&amp;$B823&amp;Keys!$C$54&amp;$C823</f>
        <v>IN|imports|municipal solid waste</v>
      </c>
    </row>
    <row r="824" spans="1:5" x14ac:dyDescent="0.25">
      <c r="A824" t="s">
        <v>96</v>
      </c>
      <c r="B824" t="s">
        <v>193</v>
      </c>
      <c r="C824" t="s">
        <v>120</v>
      </c>
      <c r="D824" s="10">
        <v>0</v>
      </c>
      <c r="E824" t="str">
        <f>$A824&amp;Keys!$C$54&amp;$B824&amp;Keys!$C$54&amp;$C824</f>
        <v>IN|exports|municipal solid waste</v>
      </c>
    </row>
    <row r="825" spans="1:5" x14ac:dyDescent="0.25">
      <c r="A825" t="s">
        <v>96</v>
      </c>
      <c r="B825" t="s">
        <v>188</v>
      </c>
      <c r="C825" t="s">
        <v>123</v>
      </c>
      <c r="D825" s="10">
        <v>0</v>
      </c>
      <c r="E825" t="str">
        <f>$A825&amp;Keys!$C$54&amp;$B825&amp;Keys!$C$54&amp;$C825</f>
        <v>IN|production|hydrogen</v>
      </c>
    </row>
    <row r="826" spans="1:5" x14ac:dyDescent="0.25">
      <c r="A826" t="s">
        <v>96</v>
      </c>
      <c r="B826" t="s">
        <v>191</v>
      </c>
      <c r="C826" t="s">
        <v>123</v>
      </c>
      <c r="D826" s="10">
        <v>26691900000000</v>
      </c>
      <c r="E826" t="str">
        <f>$A826&amp;Keys!$C$54&amp;$B826&amp;Keys!$C$54&amp;$C826</f>
        <v>IN|imports|hydrogen</v>
      </c>
    </row>
    <row r="827" spans="1:5" x14ac:dyDescent="0.25">
      <c r="A827" t="s">
        <v>96</v>
      </c>
      <c r="B827" t="s">
        <v>193</v>
      </c>
      <c r="C827" t="s">
        <v>123</v>
      </c>
      <c r="D827" s="10">
        <v>0</v>
      </c>
      <c r="E827" t="str">
        <f>$A827&amp;Keys!$C$54&amp;$B827&amp;Keys!$C$54&amp;$C827</f>
        <v>IN|exports|hydrogen</v>
      </c>
    </row>
    <row r="828" spans="1:5" x14ac:dyDescent="0.25">
      <c r="A828" t="s">
        <v>99</v>
      </c>
      <c r="B828" t="s">
        <v>188</v>
      </c>
      <c r="C828" t="s">
        <v>272</v>
      </c>
      <c r="D828" s="10">
        <v>0</v>
      </c>
      <c r="E828" t="str">
        <f>$A828&amp;Keys!$C$54&amp;$B828&amp;Keys!$C$54&amp;$C828</f>
        <v>KS|production|electricity</v>
      </c>
    </row>
    <row r="829" spans="1:5" x14ac:dyDescent="0.25">
      <c r="A829" t="s">
        <v>99</v>
      </c>
      <c r="B829" t="s">
        <v>191</v>
      </c>
      <c r="C829" t="s">
        <v>272</v>
      </c>
      <c r="D829" s="10">
        <v>0</v>
      </c>
      <c r="E829" t="str">
        <f>$A829&amp;Keys!$C$54&amp;$B829&amp;Keys!$C$54&amp;$C829</f>
        <v>KS|imports|electricity</v>
      </c>
    </row>
    <row r="830" spans="1:5" x14ac:dyDescent="0.25">
      <c r="A830" t="s">
        <v>99</v>
      </c>
      <c r="B830" t="s">
        <v>193</v>
      </c>
      <c r="C830" t="s">
        <v>272</v>
      </c>
      <c r="D830" s="10">
        <v>0</v>
      </c>
      <c r="E830" t="str">
        <f>$A830&amp;Keys!$C$54&amp;$B830&amp;Keys!$C$54&amp;$C830</f>
        <v>KS|exports|electricity</v>
      </c>
    </row>
    <row r="831" spans="1:5" x14ac:dyDescent="0.25">
      <c r="A831" t="s">
        <v>99</v>
      </c>
      <c r="B831" t="s">
        <v>188</v>
      </c>
      <c r="C831" t="s">
        <v>64</v>
      </c>
      <c r="D831" s="10">
        <v>0</v>
      </c>
      <c r="E831" t="str">
        <f>$A831&amp;Keys!$C$54&amp;$B831&amp;Keys!$C$54&amp;$C831</f>
        <v>KS|production|hard coal</v>
      </c>
    </row>
    <row r="832" spans="1:5" x14ac:dyDescent="0.25">
      <c r="A832" t="s">
        <v>99</v>
      </c>
      <c r="B832" t="s">
        <v>191</v>
      </c>
      <c r="C832" t="s">
        <v>64</v>
      </c>
      <c r="D832" s="10">
        <v>221295000000000</v>
      </c>
      <c r="E832" t="str">
        <f>$A832&amp;Keys!$C$54&amp;$B832&amp;Keys!$C$54&amp;$C832</f>
        <v>KS|imports|hard coal</v>
      </c>
    </row>
    <row r="833" spans="1:5" x14ac:dyDescent="0.25">
      <c r="A833" t="s">
        <v>99</v>
      </c>
      <c r="B833" t="s">
        <v>193</v>
      </c>
      <c r="C833" t="s">
        <v>64</v>
      </c>
      <c r="D833" s="10">
        <v>0</v>
      </c>
      <c r="E833" t="str">
        <f>$A833&amp;Keys!$C$54&amp;$B833&amp;Keys!$C$54&amp;$C833</f>
        <v>KS|exports|hard coal</v>
      </c>
    </row>
    <row r="834" spans="1:5" x14ac:dyDescent="0.25">
      <c r="A834" t="s">
        <v>99</v>
      </c>
      <c r="B834" t="s">
        <v>188</v>
      </c>
      <c r="C834" t="s">
        <v>68</v>
      </c>
      <c r="D834" s="10">
        <v>119878000000000</v>
      </c>
      <c r="E834" t="str">
        <f>$A834&amp;Keys!$C$54&amp;$B834&amp;Keys!$C$54&amp;$C834</f>
        <v>KS|production|natural gas</v>
      </c>
    </row>
    <row r="835" spans="1:5" x14ac:dyDescent="0.25">
      <c r="A835" t="s">
        <v>99</v>
      </c>
      <c r="B835" t="s">
        <v>191</v>
      </c>
      <c r="C835" t="s">
        <v>68</v>
      </c>
      <c r="D835" s="10">
        <v>1387080000000000</v>
      </c>
      <c r="E835" t="str">
        <f>$A835&amp;Keys!$C$54&amp;$B835&amp;Keys!$C$54&amp;$C835</f>
        <v>KS|imports|natural gas</v>
      </c>
    </row>
    <row r="836" spans="1:5" x14ac:dyDescent="0.25">
      <c r="A836" t="s">
        <v>99</v>
      </c>
      <c r="B836" t="s">
        <v>193</v>
      </c>
      <c r="C836" t="s">
        <v>68</v>
      </c>
      <c r="D836" s="10">
        <v>1219810000000000</v>
      </c>
      <c r="E836" t="str">
        <f>$A836&amp;Keys!$C$54&amp;$B836&amp;Keys!$C$54&amp;$C836</f>
        <v>KS|exports|natural gas</v>
      </c>
    </row>
    <row r="837" spans="1:5" x14ac:dyDescent="0.25">
      <c r="A837" t="s">
        <v>99</v>
      </c>
      <c r="B837" t="s">
        <v>188</v>
      </c>
      <c r="C837" t="s">
        <v>71</v>
      </c>
      <c r="D837" s="10">
        <v>0</v>
      </c>
      <c r="E837" t="str">
        <f>$A837&amp;Keys!$C$54&amp;$B837&amp;Keys!$C$54&amp;$C837</f>
        <v>KS|production|nuclear</v>
      </c>
    </row>
    <row r="838" spans="1:5" x14ac:dyDescent="0.25">
      <c r="A838" t="s">
        <v>99</v>
      </c>
      <c r="B838" t="s">
        <v>191</v>
      </c>
      <c r="C838" t="s">
        <v>71</v>
      </c>
      <c r="D838" s="10">
        <v>96837400000000</v>
      </c>
      <c r="E838" t="str">
        <f>$A838&amp;Keys!$C$54&amp;$B838&amp;Keys!$C$54&amp;$C838</f>
        <v>KS|imports|nuclear</v>
      </c>
    </row>
    <row r="839" spans="1:5" x14ac:dyDescent="0.25">
      <c r="A839" t="s">
        <v>99</v>
      </c>
      <c r="B839" t="s">
        <v>193</v>
      </c>
      <c r="C839" t="s">
        <v>71</v>
      </c>
      <c r="D839" s="10">
        <v>0</v>
      </c>
      <c r="E839" t="str">
        <f>$A839&amp;Keys!$C$54&amp;$B839&amp;Keys!$C$54&amp;$C839</f>
        <v>KS|exports|nuclear</v>
      </c>
    </row>
    <row r="840" spans="1:5" x14ac:dyDescent="0.25">
      <c r="A840" t="s">
        <v>99</v>
      </c>
      <c r="B840" t="s">
        <v>188</v>
      </c>
      <c r="C840" t="s">
        <v>273</v>
      </c>
      <c r="D840" s="10">
        <v>0</v>
      </c>
      <c r="E840" t="str">
        <f>$A840&amp;Keys!$C$54&amp;$B840&amp;Keys!$C$54&amp;$C840</f>
        <v>KS|production|hydro</v>
      </c>
    </row>
    <row r="841" spans="1:5" x14ac:dyDescent="0.25">
      <c r="A841" t="s">
        <v>99</v>
      </c>
      <c r="B841" t="s">
        <v>191</v>
      </c>
      <c r="C841" t="s">
        <v>273</v>
      </c>
      <c r="D841" s="10">
        <v>0</v>
      </c>
      <c r="E841" t="str">
        <f>$A841&amp;Keys!$C$54&amp;$B841&amp;Keys!$C$54&amp;$C841</f>
        <v>KS|imports|hydro</v>
      </c>
    </row>
    <row r="842" spans="1:5" x14ac:dyDescent="0.25">
      <c r="A842" t="s">
        <v>99</v>
      </c>
      <c r="B842" t="s">
        <v>193</v>
      </c>
      <c r="C842" t="s">
        <v>273</v>
      </c>
      <c r="D842" s="10">
        <v>0</v>
      </c>
      <c r="E842" t="str">
        <f>$A842&amp;Keys!$C$54&amp;$B842&amp;Keys!$C$54&amp;$C842</f>
        <v>KS|exports|hydro</v>
      </c>
    </row>
    <row r="843" spans="1:5" x14ac:dyDescent="0.25">
      <c r="A843" t="s">
        <v>99</v>
      </c>
      <c r="B843" t="s">
        <v>188</v>
      </c>
      <c r="C843" t="s">
        <v>274</v>
      </c>
      <c r="D843" s="10">
        <v>0</v>
      </c>
      <c r="E843" t="str">
        <f>$A843&amp;Keys!$C$54&amp;$B843&amp;Keys!$C$54&amp;$C843</f>
        <v>KS|production|wind</v>
      </c>
    </row>
    <row r="844" spans="1:5" x14ac:dyDescent="0.25">
      <c r="A844" t="s">
        <v>99</v>
      </c>
      <c r="B844" t="s">
        <v>191</v>
      </c>
      <c r="C844" t="s">
        <v>274</v>
      </c>
      <c r="D844" s="10">
        <v>0</v>
      </c>
      <c r="E844" t="str">
        <f>$A844&amp;Keys!$C$54&amp;$B844&amp;Keys!$C$54&amp;$C844</f>
        <v>KS|imports|wind</v>
      </c>
    </row>
    <row r="845" spans="1:5" x14ac:dyDescent="0.25">
      <c r="A845" t="s">
        <v>99</v>
      </c>
      <c r="B845" t="s">
        <v>193</v>
      </c>
      <c r="C845" t="s">
        <v>274</v>
      </c>
      <c r="D845" s="10">
        <v>0</v>
      </c>
      <c r="E845" t="str">
        <f>$A845&amp;Keys!$C$54&amp;$B845&amp;Keys!$C$54&amp;$C845</f>
        <v>KS|exports|wind</v>
      </c>
    </row>
    <row r="846" spans="1:5" x14ac:dyDescent="0.25">
      <c r="A846" t="s">
        <v>99</v>
      </c>
      <c r="B846" t="s">
        <v>188</v>
      </c>
      <c r="C846" t="s">
        <v>275</v>
      </c>
      <c r="D846" s="10">
        <v>0</v>
      </c>
      <c r="E846" t="str">
        <f>$A846&amp;Keys!$C$54&amp;$B846&amp;Keys!$C$54&amp;$C846</f>
        <v>KS|production|solar</v>
      </c>
    </row>
    <row r="847" spans="1:5" x14ac:dyDescent="0.25">
      <c r="A847" t="s">
        <v>99</v>
      </c>
      <c r="B847" t="s">
        <v>191</v>
      </c>
      <c r="C847" t="s">
        <v>275</v>
      </c>
      <c r="D847" s="10">
        <v>0</v>
      </c>
      <c r="E847" t="str">
        <f>$A847&amp;Keys!$C$54&amp;$B847&amp;Keys!$C$54&amp;$C847</f>
        <v>KS|imports|solar</v>
      </c>
    </row>
    <row r="848" spans="1:5" x14ac:dyDescent="0.25">
      <c r="A848" t="s">
        <v>99</v>
      </c>
      <c r="B848" t="s">
        <v>193</v>
      </c>
      <c r="C848" t="s">
        <v>275</v>
      </c>
      <c r="D848" s="10">
        <v>0</v>
      </c>
      <c r="E848" t="str">
        <f>$A848&amp;Keys!$C$54&amp;$B848&amp;Keys!$C$54&amp;$C848</f>
        <v>KS|exports|solar</v>
      </c>
    </row>
    <row r="849" spans="1:5" x14ac:dyDescent="0.25">
      <c r="A849" t="s">
        <v>99</v>
      </c>
      <c r="B849" t="s">
        <v>188</v>
      </c>
      <c r="C849" t="s">
        <v>82</v>
      </c>
      <c r="D849" s="10">
        <v>0</v>
      </c>
      <c r="E849" t="str">
        <f>$A849&amp;Keys!$C$54&amp;$B849&amp;Keys!$C$54&amp;$C849</f>
        <v>KS|production|biomass</v>
      </c>
    </row>
    <row r="850" spans="1:5" x14ac:dyDescent="0.25">
      <c r="A850" t="s">
        <v>99</v>
      </c>
      <c r="B850" t="s">
        <v>191</v>
      </c>
      <c r="C850" t="s">
        <v>82</v>
      </c>
      <c r="D850" s="10">
        <v>5538810000000</v>
      </c>
      <c r="E850" t="str">
        <f>$A850&amp;Keys!$C$54&amp;$B850&amp;Keys!$C$54&amp;$C850</f>
        <v>KS|imports|biomass</v>
      </c>
    </row>
    <row r="851" spans="1:5" x14ac:dyDescent="0.25">
      <c r="A851" t="s">
        <v>99</v>
      </c>
      <c r="B851" t="s">
        <v>193</v>
      </c>
      <c r="C851" t="s">
        <v>82</v>
      </c>
      <c r="D851" s="10">
        <v>0</v>
      </c>
      <c r="E851" t="str">
        <f>$A851&amp;Keys!$C$54&amp;$B851&amp;Keys!$C$54&amp;$C851</f>
        <v>KS|exports|biomass</v>
      </c>
    </row>
    <row r="852" spans="1:5" x14ac:dyDescent="0.25">
      <c r="A852" t="s">
        <v>99</v>
      </c>
      <c r="B852" t="s">
        <v>188</v>
      </c>
      <c r="C852" t="s">
        <v>85</v>
      </c>
      <c r="D852" s="10">
        <v>396158000000000</v>
      </c>
      <c r="E852" t="str">
        <f>$A852&amp;Keys!$C$54&amp;$B852&amp;Keys!$C$54&amp;$C852</f>
        <v>KS|production|petroleum gasoline</v>
      </c>
    </row>
    <row r="853" spans="1:5" x14ac:dyDescent="0.25">
      <c r="A853" t="s">
        <v>99</v>
      </c>
      <c r="B853" t="s">
        <v>191</v>
      </c>
      <c r="C853" t="s">
        <v>85</v>
      </c>
      <c r="D853" s="10">
        <v>7980340000000</v>
      </c>
      <c r="E853" t="str">
        <f>$A853&amp;Keys!$C$54&amp;$B853&amp;Keys!$C$54&amp;$C853</f>
        <v>KS|imports|petroleum gasoline</v>
      </c>
    </row>
    <row r="854" spans="1:5" x14ac:dyDescent="0.25">
      <c r="A854" t="s">
        <v>99</v>
      </c>
      <c r="B854" t="s">
        <v>193</v>
      </c>
      <c r="C854" t="s">
        <v>85</v>
      </c>
      <c r="D854" s="10">
        <v>257761000000000</v>
      </c>
      <c r="E854" t="str">
        <f>$A854&amp;Keys!$C$54&amp;$B854&amp;Keys!$C$54&amp;$C854</f>
        <v>KS|exports|petroleum gasoline</v>
      </c>
    </row>
    <row r="855" spans="1:5" x14ac:dyDescent="0.25">
      <c r="A855" t="s">
        <v>99</v>
      </c>
      <c r="B855" t="s">
        <v>188</v>
      </c>
      <c r="C855" t="s">
        <v>88</v>
      </c>
      <c r="D855" s="10">
        <v>234334000000000</v>
      </c>
      <c r="E855" t="str">
        <f>$A855&amp;Keys!$C$54&amp;$B855&amp;Keys!$C$54&amp;$C855</f>
        <v>KS|production|petroleum diesel</v>
      </c>
    </row>
    <row r="856" spans="1:5" x14ac:dyDescent="0.25">
      <c r="A856" t="s">
        <v>99</v>
      </c>
      <c r="B856" t="s">
        <v>191</v>
      </c>
      <c r="C856" t="s">
        <v>88</v>
      </c>
      <c r="D856" s="10">
        <v>1341890000000</v>
      </c>
      <c r="E856" t="str">
        <f>$A856&amp;Keys!$C$54&amp;$B856&amp;Keys!$C$54&amp;$C856</f>
        <v>KS|imports|petroleum diesel</v>
      </c>
    </row>
    <row r="857" spans="1:5" x14ac:dyDescent="0.25">
      <c r="A857" t="s">
        <v>99</v>
      </c>
      <c r="B857" t="s">
        <v>193</v>
      </c>
      <c r="C857" t="s">
        <v>88</v>
      </c>
      <c r="D857" s="10">
        <v>108214000000000</v>
      </c>
      <c r="E857" t="str">
        <f>$A857&amp;Keys!$C$54&amp;$B857&amp;Keys!$C$54&amp;$C857</f>
        <v>KS|exports|petroleum diesel</v>
      </c>
    </row>
    <row r="858" spans="1:5" x14ac:dyDescent="0.25">
      <c r="A858" t="s">
        <v>99</v>
      </c>
      <c r="B858" t="s">
        <v>188</v>
      </c>
      <c r="C858" t="s">
        <v>91</v>
      </c>
      <c r="D858" s="10">
        <v>45080000000000</v>
      </c>
      <c r="E858" t="str">
        <f>$A858&amp;Keys!$C$54&amp;$B858&amp;Keys!$C$54&amp;$C858</f>
        <v>KS|production|biofuel gasoline</v>
      </c>
    </row>
    <row r="859" spans="1:5" x14ac:dyDescent="0.25">
      <c r="A859" t="s">
        <v>99</v>
      </c>
      <c r="B859" t="s">
        <v>191</v>
      </c>
      <c r="C859" t="s">
        <v>91</v>
      </c>
      <c r="D859" s="10">
        <v>4164290000000</v>
      </c>
      <c r="E859" t="str">
        <f>$A859&amp;Keys!$C$54&amp;$B859&amp;Keys!$C$54&amp;$C859</f>
        <v>KS|imports|biofuel gasoline</v>
      </c>
    </row>
    <row r="860" spans="1:5" x14ac:dyDescent="0.25">
      <c r="A860" t="s">
        <v>99</v>
      </c>
      <c r="B860" t="s">
        <v>193</v>
      </c>
      <c r="C860" t="s">
        <v>91</v>
      </c>
      <c r="D860" s="10">
        <v>39480900000000</v>
      </c>
      <c r="E860" t="str">
        <f>$A860&amp;Keys!$C$54&amp;$B860&amp;Keys!$C$54&amp;$C860</f>
        <v>KS|exports|biofuel gasoline</v>
      </c>
    </row>
    <row r="861" spans="1:5" x14ac:dyDescent="0.25">
      <c r="A861" t="s">
        <v>99</v>
      </c>
      <c r="B861" t="s">
        <v>188</v>
      </c>
      <c r="C861" t="s">
        <v>94</v>
      </c>
      <c r="D861" s="10">
        <v>30233100000000</v>
      </c>
      <c r="E861" t="str">
        <f>$A861&amp;Keys!$C$54&amp;$B861&amp;Keys!$C$54&amp;$C861</f>
        <v>KS|production|biofuel diesel</v>
      </c>
    </row>
    <row r="862" spans="1:5" x14ac:dyDescent="0.25">
      <c r="A862" t="s">
        <v>99</v>
      </c>
      <c r="B862" t="s">
        <v>191</v>
      </c>
      <c r="C862" t="s">
        <v>94</v>
      </c>
      <c r="D862" s="10">
        <v>0</v>
      </c>
      <c r="E862" t="str">
        <f>$A862&amp;Keys!$C$54&amp;$B862&amp;Keys!$C$54&amp;$C862</f>
        <v>KS|imports|biofuel diesel</v>
      </c>
    </row>
    <row r="863" spans="1:5" x14ac:dyDescent="0.25">
      <c r="A863" t="s">
        <v>99</v>
      </c>
      <c r="B863" t="s">
        <v>193</v>
      </c>
      <c r="C863" t="s">
        <v>94</v>
      </c>
      <c r="D863" s="10">
        <v>27946400000000</v>
      </c>
      <c r="E863" t="str">
        <f>$A863&amp;Keys!$C$54&amp;$B863&amp;Keys!$C$54&amp;$C863</f>
        <v>KS|exports|biofuel diesel</v>
      </c>
    </row>
    <row r="864" spans="1:5" x14ac:dyDescent="0.25">
      <c r="A864" t="s">
        <v>99</v>
      </c>
      <c r="B864" t="s">
        <v>188</v>
      </c>
      <c r="C864" t="s">
        <v>97</v>
      </c>
      <c r="D864" s="10">
        <v>83418000000000</v>
      </c>
      <c r="E864" t="str">
        <f>$A864&amp;Keys!$C$54&amp;$B864&amp;Keys!$C$54&amp;$C864</f>
        <v>KS|production|jet fuel or kerosene</v>
      </c>
    </row>
    <row r="865" spans="1:5" x14ac:dyDescent="0.25">
      <c r="A865" t="s">
        <v>99</v>
      </c>
      <c r="B865" t="s">
        <v>191</v>
      </c>
      <c r="C865" t="s">
        <v>97</v>
      </c>
      <c r="D865" s="10">
        <v>0</v>
      </c>
      <c r="E865" t="str">
        <f>$A865&amp;Keys!$C$54&amp;$B865&amp;Keys!$C$54&amp;$C865</f>
        <v>KS|imports|jet fuel or kerosene</v>
      </c>
    </row>
    <row r="866" spans="1:5" x14ac:dyDescent="0.25">
      <c r="A866" t="s">
        <v>99</v>
      </c>
      <c r="B866" t="s">
        <v>193</v>
      </c>
      <c r="C866" t="s">
        <v>97</v>
      </c>
      <c r="D866" s="10">
        <v>72607300000000</v>
      </c>
      <c r="E866" t="str">
        <f>$A866&amp;Keys!$C$54&amp;$B866&amp;Keys!$C$54&amp;$C866</f>
        <v>KS|exports|jet fuel or kerosene</v>
      </c>
    </row>
    <row r="867" spans="1:5" x14ac:dyDescent="0.25">
      <c r="A867" t="s">
        <v>99</v>
      </c>
      <c r="B867" t="s">
        <v>188</v>
      </c>
      <c r="C867" t="s">
        <v>276</v>
      </c>
      <c r="D867" s="10">
        <v>0</v>
      </c>
      <c r="E867" t="str">
        <f>$A867&amp;Keys!$C$54&amp;$B867&amp;Keys!$C$54&amp;$C867</f>
        <v>KS|production|heat</v>
      </c>
    </row>
    <row r="868" spans="1:5" x14ac:dyDescent="0.25">
      <c r="A868" t="s">
        <v>99</v>
      </c>
      <c r="B868" t="s">
        <v>191</v>
      </c>
      <c r="C868" t="s">
        <v>276</v>
      </c>
      <c r="D868" s="10">
        <v>0</v>
      </c>
      <c r="E868" t="str">
        <f>$A868&amp;Keys!$C$54&amp;$B868&amp;Keys!$C$54&amp;$C868</f>
        <v>KS|imports|heat</v>
      </c>
    </row>
    <row r="869" spans="1:5" x14ac:dyDescent="0.25">
      <c r="A869" t="s">
        <v>99</v>
      </c>
      <c r="B869" t="s">
        <v>193</v>
      </c>
      <c r="C869" t="s">
        <v>276</v>
      </c>
      <c r="D869" s="10">
        <v>0</v>
      </c>
      <c r="E869" t="str">
        <f>$A869&amp;Keys!$C$54&amp;$B869&amp;Keys!$C$54&amp;$C869</f>
        <v>KS|exports|heat</v>
      </c>
    </row>
    <row r="870" spans="1:5" x14ac:dyDescent="0.25">
      <c r="A870" t="s">
        <v>99</v>
      </c>
      <c r="B870" t="s">
        <v>188</v>
      </c>
      <c r="C870" t="s">
        <v>277</v>
      </c>
      <c r="D870" s="10">
        <v>0</v>
      </c>
      <c r="E870" t="str">
        <f>$A870&amp;Keys!$C$54&amp;$B870&amp;Keys!$C$54&amp;$C870</f>
        <v>KS|production|geothermal</v>
      </c>
    </row>
    <row r="871" spans="1:5" x14ac:dyDescent="0.25">
      <c r="A871" t="s">
        <v>99</v>
      </c>
      <c r="B871" t="s">
        <v>191</v>
      </c>
      <c r="C871" t="s">
        <v>277</v>
      </c>
      <c r="D871" s="10">
        <v>0</v>
      </c>
      <c r="E871" t="str">
        <f>$A871&amp;Keys!$C$54&amp;$B871&amp;Keys!$C$54&amp;$C871</f>
        <v>KS|imports|geothermal</v>
      </c>
    </row>
    <row r="872" spans="1:5" x14ac:dyDescent="0.25">
      <c r="A872" t="s">
        <v>99</v>
      </c>
      <c r="B872" t="s">
        <v>193</v>
      </c>
      <c r="C872" t="s">
        <v>277</v>
      </c>
      <c r="D872" s="10">
        <v>0</v>
      </c>
      <c r="E872" t="str">
        <f>$A872&amp;Keys!$C$54&amp;$B872&amp;Keys!$C$54&amp;$C872</f>
        <v>KS|exports|geothermal</v>
      </c>
    </row>
    <row r="873" spans="1:5" x14ac:dyDescent="0.25">
      <c r="A873" t="s">
        <v>99</v>
      </c>
      <c r="B873" t="s">
        <v>188</v>
      </c>
      <c r="C873" t="s">
        <v>106</v>
      </c>
      <c r="D873" s="10">
        <v>0</v>
      </c>
      <c r="E873" t="str">
        <f>$A873&amp;Keys!$C$54&amp;$B873&amp;Keys!$C$54&amp;$C873</f>
        <v>KS|production|lignite</v>
      </c>
    </row>
    <row r="874" spans="1:5" x14ac:dyDescent="0.25">
      <c r="A874" t="s">
        <v>99</v>
      </c>
      <c r="B874" t="s">
        <v>191</v>
      </c>
      <c r="C874" t="s">
        <v>106</v>
      </c>
      <c r="D874" s="10">
        <v>0</v>
      </c>
      <c r="E874" t="str">
        <f>$A874&amp;Keys!$C$54&amp;$B874&amp;Keys!$C$54&amp;$C874</f>
        <v>KS|imports|lignite</v>
      </c>
    </row>
    <row r="875" spans="1:5" x14ac:dyDescent="0.25">
      <c r="A875" t="s">
        <v>99</v>
      </c>
      <c r="B875" t="s">
        <v>193</v>
      </c>
      <c r="C875" t="s">
        <v>106</v>
      </c>
      <c r="D875" s="10">
        <v>0</v>
      </c>
      <c r="E875" t="str">
        <f>$A875&amp;Keys!$C$54&amp;$B875&amp;Keys!$C$54&amp;$C875</f>
        <v>KS|exports|lignite</v>
      </c>
    </row>
    <row r="876" spans="1:5" x14ac:dyDescent="0.25">
      <c r="A876" t="s">
        <v>99</v>
      </c>
      <c r="B876" t="s">
        <v>188</v>
      </c>
      <c r="C876" t="s">
        <v>109</v>
      </c>
      <c r="D876" s="10">
        <v>155608000000000</v>
      </c>
      <c r="E876" t="str">
        <f>$A876&amp;Keys!$C$54&amp;$B876&amp;Keys!$C$54&amp;$C876</f>
        <v>KS|production|crude oil</v>
      </c>
    </row>
    <row r="877" spans="1:5" x14ac:dyDescent="0.25">
      <c r="A877" t="s">
        <v>99</v>
      </c>
      <c r="B877" t="s">
        <v>191</v>
      </c>
      <c r="C877" t="s">
        <v>109</v>
      </c>
      <c r="D877" s="10">
        <v>671384000000000</v>
      </c>
      <c r="E877" t="str">
        <f>$A877&amp;Keys!$C$54&amp;$B877&amp;Keys!$C$54&amp;$C877</f>
        <v>KS|imports|crude oil</v>
      </c>
    </row>
    <row r="878" spans="1:5" x14ac:dyDescent="0.25">
      <c r="A878" t="s">
        <v>99</v>
      </c>
      <c r="B878" t="s">
        <v>193</v>
      </c>
      <c r="C878" t="s">
        <v>109</v>
      </c>
      <c r="D878" s="10">
        <v>0</v>
      </c>
      <c r="E878" t="str">
        <f>$A878&amp;Keys!$C$54&amp;$B878&amp;Keys!$C$54&amp;$C878</f>
        <v>KS|exports|crude oil</v>
      </c>
    </row>
    <row r="879" spans="1:5" x14ac:dyDescent="0.25">
      <c r="A879" t="s">
        <v>99</v>
      </c>
      <c r="B879" t="s">
        <v>188</v>
      </c>
      <c r="C879" t="s">
        <v>114</v>
      </c>
      <c r="D879" s="10">
        <v>16204200000000</v>
      </c>
      <c r="E879" t="str">
        <f>$A879&amp;Keys!$C$54&amp;$B879&amp;Keys!$C$54&amp;$C879</f>
        <v>KS|production|heavy or residual fuel oil</v>
      </c>
    </row>
    <row r="880" spans="1:5" x14ac:dyDescent="0.25">
      <c r="A880" t="s">
        <v>99</v>
      </c>
      <c r="B880" t="s">
        <v>191</v>
      </c>
      <c r="C880" t="s">
        <v>114</v>
      </c>
      <c r="D880" s="10">
        <v>0</v>
      </c>
      <c r="E880" t="str">
        <f>$A880&amp;Keys!$C$54&amp;$B880&amp;Keys!$C$54&amp;$C880</f>
        <v>KS|imports|heavy or residual fuel oil</v>
      </c>
    </row>
    <row r="881" spans="1:5" x14ac:dyDescent="0.25">
      <c r="A881" t="s">
        <v>99</v>
      </c>
      <c r="B881" t="s">
        <v>193</v>
      </c>
      <c r="C881" t="s">
        <v>114</v>
      </c>
      <c r="D881" s="10">
        <v>6524060000000</v>
      </c>
      <c r="E881" t="str">
        <f>$A881&amp;Keys!$C$54&amp;$B881&amp;Keys!$C$54&amp;$C881</f>
        <v>KS|exports|heavy or residual fuel oil</v>
      </c>
    </row>
    <row r="882" spans="1:5" x14ac:dyDescent="0.25">
      <c r="A882" t="s">
        <v>99</v>
      </c>
      <c r="B882" t="s">
        <v>188</v>
      </c>
      <c r="C882" t="s">
        <v>117</v>
      </c>
      <c r="D882" s="10">
        <v>14655000000000</v>
      </c>
      <c r="E882" t="str">
        <f>$A882&amp;Keys!$C$54&amp;$B882&amp;Keys!$C$54&amp;$C882</f>
        <v>KS|production|LPG propane or butane</v>
      </c>
    </row>
    <row r="883" spans="1:5" x14ac:dyDescent="0.25">
      <c r="A883" t="s">
        <v>99</v>
      </c>
      <c r="B883" t="s">
        <v>191</v>
      </c>
      <c r="C883" t="s">
        <v>117</v>
      </c>
      <c r="D883" s="10">
        <v>0</v>
      </c>
      <c r="E883" t="str">
        <f>$A883&amp;Keys!$C$54&amp;$B883&amp;Keys!$C$54&amp;$C883</f>
        <v>KS|imports|LPG propane or butane</v>
      </c>
    </row>
    <row r="884" spans="1:5" x14ac:dyDescent="0.25">
      <c r="A884" t="s">
        <v>99</v>
      </c>
      <c r="B884" t="s">
        <v>193</v>
      </c>
      <c r="C884" t="s">
        <v>117</v>
      </c>
      <c r="D884" s="10">
        <v>4851920000000</v>
      </c>
      <c r="E884" t="str">
        <f>$A884&amp;Keys!$C$54&amp;$B884&amp;Keys!$C$54&amp;$C884</f>
        <v>KS|exports|LPG propane or butane</v>
      </c>
    </row>
    <row r="885" spans="1:5" x14ac:dyDescent="0.25">
      <c r="A885" t="s">
        <v>99</v>
      </c>
      <c r="B885" t="s">
        <v>188</v>
      </c>
      <c r="C885" t="s">
        <v>120</v>
      </c>
      <c r="D885" s="10">
        <v>0</v>
      </c>
      <c r="E885" t="str">
        <f>$A885&amp;Keys!$C$54&amp;$B885&amp;Keys!$C$54&amp;$C885</f>
        <v>KS|production|municipal solid waste</v>
      </c>
    </row>
    <row r="886" spans="1:5" x14ac:dyDescent="0.25">
      <c r="A886" t="s">
        <v>99</v>
      </c>
      <c r="B886" t="s">
        <v>191</v>
      </c>
      <c r="C886" t="s">
        <v>120</v>
      </c>
      <c r="D886" s="10">
        <v>0</v>
      </c>
      <c r="E886" t="str">
        <f>$A886&amp;Keys!$C$54&amp;$B886&amp;Keys!$C$54&amp;$C886</f>
        <v>KS|imports|municipal solid waste</v>
      </c>
    </row>
    <row r="887" spans="1:5" x14ac:dyDescent="0.25">
      <c r="A887" t="s">
        <v>99</v>
      </c>
      <c r="B887" t="s">
        <v>193</v>
      </c>
      <c r="C887" t="s">
        <v>120</v>
      </c>
      <c r="D887" s="10">
        <v>0</v>
      </c>
      <c r="E887" t="str">
        <f>$A887&amp;Keys!$C$54&amp;$B887&amp;Keys!$C$54&amp;$C887</f>
        <v>KS|exports|municipal solid waste</v>
      </c>
    </row>
    <row r="888" spans="1:5" x14ac:dyDescent="0.25">
      <c r="A888" t="s">
        <v>99</v>
      </c>
      <c r="B888" t="s">
        <v>188</v>
      </c>
      <c r="C888" t="s">
        <v>123</v>
      </c>
      <c r="D888" s="10">
        <v>18505500000000</v>
      </c>
      <c r="E888" t="str">
        <f>$A888&amp;Keys!$C$54&amp;$B888&amp;Keys!$C$54&amp;$C888</f>
        <v>KS|production|hydrogen</v>
      </c>
    </row>
    <row r="889" spans="1:5" x14ac:dyDescent="0.25">
      <c r="A889" t="s">
        <v>99</v>
      </c>
      <c r="B889" t="s">
        <v>191</v>
      </c>
      <c r="C889" t="s">
        <v>123</v>
      </c>
      <c r="D889" s="10">
        <v>0</v>
      </c>
      <c r="E889" t="str">
        <f>$A889&amp;Keys!$C$54&amp;$B889&amp;Keys!$C$54&amp;$C889</f>
        <v>KS|imports|hydrogen</v>
      </c>
    </row>
    <row r="890" spans="1:5" x14ac:dyDescent="0.25">
      <c r="A890" t="s">
        <v>99</v>
      </c>
      <c r="B890" t="s">
        <v>193</v>
      </c>
      <c r="C890" t="s">
        <v>123</v>
      </c>
      <c r="D890" s="10">
        <v>3684570000000</v>
      </c>
      <c r="E890" t="str">
        <f>$A890&amp;Keys!$C$54&amp;$B890&amp;Keys!$C$54&amp;$C890</f>
        <v>KS|exports|hydrogen</v>
      </c>
    </row>
    <row r="891" spans="1:5" x14ac:dyDescent="0.25">
      <c r="A891" t="s">
        <v>102</v>
      </c>
      <c r="B891" t="s">
        <v>188</v>
      </c>
      <c r="C891" t="s">
        <v>272</v>
      </c>
      <c r="D891" s="10">
        <v>0</v>
      </c>
      <c r="E891" t="str">
        <f>$A891&amp;Keys!$C$54&amp;$B891&amp;Keys!$C$54&amp;$C891</f>
        <v>KY|production|electricity</v>
      </c>
    </row>
    <row r="892" spans="1:5" x14ac:dyDescent="0.25">
      <c r="A892" t="s">
        <v>102</v>
      </c>
      <c r="B892" t="s">
        <v>191</v>
      </c>
      <c r="C892" t="s">
        <v>272</v>
      </c>
      <c r="D892" s="10">
        <v>0</v>
      </c>
      <c r="E892" t="str">
        <f>$A892&amp;Keys!$C$54&amp;$B892&amp;Keys!$C$54&amp;$C892</f>
        <v>KY|imports|electricity</v>
      </c>
    </row>
    <row r="893" spans="1:5" x14ac:dyDescent="0.25">
      <c r="A893" t="s">
        <v>102</v>
      </c>
      <c r="B893" t="s">
        <v>193</v>
      </c>
      <c r="C893" t="s">
        <v>272</v>
      </c>
      <c r="D893" s="10">
        <v>0</v>
      </c>
      <c r="E893" t="str">
        <f>$A893&amp;Keys!$C$54&amp;$B893&amp;Keys!$C$54&amp;$C893</f>
        <v>KY|exports|electricity</v>
      </c>
    </row>
    <row r="894" spans="1:5" x14ac:dyDescent="0.25">
      <c r="A894" t="s">
        <v>102</v>
      </c>
      <c r="B894" t="s">
        <v>188</v>
      </c>
      <c r="C894" t="s">
        <v>64</v>
      </c>
      <c r="D894" s="10">
        <v>498326000000000</v>
      </c>
      <c r="E894" t="str">
        <f>$A894&amp;Keys!$C$54&amp;$B894&amp;Keys!$C$54&amp;$C894</f>
        <v>KY|production|hard coal</v>
      </c>
    </row>
    <row r="895" spans="1:5" x14ac:dyDescent="0.25">
      <c r="A895" t="s">
        <v>102</v>
      </c>
      <c r="B895" t="s">
        <v>191</v>
      </c>
      <c r="C895" t="s">
        <v>64</v>
      </c>
      <c r="D895" s="10">
        <v>94329500000000</v>
      </c>
      <c r="E895" t="str">
        <f>$A895&amp;Keys!$C$54&amp;$B895&amp;Keys!$C$54&amp;$C895</f>
        <v>KY|imports|hard coal</v>
      </c>
    </row>
    <row r="896" spans="1:5" x14ac:dyDescent="0.25">
      <c r="A896" t="s">
        <v>102</v>
      </c>
      <c r="B896" t="s">
        <v>193</v>
      </c>
      <c r="C896" t="s">
        <v>64</v>
      </c>
      <c r="D896" s="10">
        <v>12140800000000</v>
      </c>
      <c r="E896" t="str">
        <f>$A896&amp;Keys!$C$54&amp;$B896&amp;Keys!$C$54&amp;$C896</f>
        <v>KY|exports|hard coal</v>
      </c>
    </row>
    <row r="897" spans="1:5" x14ac:dyDescent="0.25">
      <c r="A897" t="s">
        <v>102</v>
      </c>
      <c r="B897" t="s">
        <v>188</v>
      </c>
      <c r="C897" t="s">
        <v>68</v>
      </c>
      <c r="D897" s="10">
        <v>55543800000000</v>
      </c>
      <c r="E897" t="str">
        <f>$A897&amp;Keys!$C$54&amp;$B897&amp;Keys!$C$54&amp;$C897</f>
        <v>KY|production|natural gas</v>
      </c>
    </row>
    <row r="898" spans="1:5" x14ac:dyDescent="0.25">
      <c r="A898" t="s">
        <v>102</v>
      </c>
      <c r="B898" t="s">
        <v>191</v>
      </c>
      <c r="C898" t="s">
        <v>68</v>
      </c>
      <c r="D898" s="10">
        <v>2790560000000000</v>
      </c>
      <c r="E898" t="str">
        <f>$A898&amp;Keys!$C$54&amp;$B898&amp;Keys!$C$54&amp;$C898</f>
        <v>KY|imports|natural gas</v>
      </c>
    </row>
    <row r="899" spans="1:5" x14ac:dyDescent="0.25">
      <c r="A899" t="s">
        <v>102</v>
      </c>
      <c r="B899" t="s">
        <v>193</v>
      </c>
      <c r="C899" t="s">
        <v>68</v>
      </c>
      <c r="D899" s="10">
        <v>2472450000000000</v>
      </c>
      <c r="E899" t="str">
        <f>$A899&amp;Keys!$C$54&amp;$B899&amp;Keys!$C$54&amp;$C899</f>
        <v>KY|exports|natural gas</v>
      </c>
    </row>
    <row r="900" spans="1:5" x14ac:dyDescent="0.25">
      <c r="A900" t="s">
        <v>102</v>
      </c>
      <c r="B900" t="s">
        <v>188</v>
      </c>
      <c r="C900" t="s">
        <v>71</v>
      </c>
      <c r="D900" s="10">
        <v>0</v>
      </c>
      <c r="E900" t="str">
        <f>$A900&amp;Keys!$C$54&amp;$B900&amp;Keys!$C$54&amp;$C900</f>
        <v>KY|production|nuclear</v>
      </c>
    </row>
    <row r="901" spans="1:5" x14ac:dyDescent="0.25">
      <c r="A901" t="s">
        <v>102</v>
      </c>
      <c r="B901" t="s">
        <v>191</v>
      </c>
      <c r="C901" t="s">
        <v>71</v>
      </c>
      <c r="D901" s="10">
        <v>0</v>
      </c>
      <c r="E901" t="str">
        <f>$A901&amp;Keys!$C$54&amp;$B901&amp;Keys!$C$54&amp;$C901</f>
        <v>KY|imports|nuclear</v>
      </c>
    </row>
    <row r="902" spans="1:5" x14ac:dyDescent="0.25">
      <c r="A902" t="s">
        <v>102</v>
      </c>
      <c r="B902" t="s">
        <v>193</v>
      </c>
      <c r="C902" t="s">
        <v>71</v>
      </c>
      <c r="D902" s="10">
        <v>0</v>
      </c>
      <c r="E902" t="str">
        <f>$A902&amp;Keys!$C$54&amp;$B902&amp;Keys!$C$54&amp;$C902</f>
        <v>KY|exports|nuclear</v>
      </c>
    </row>
    <row r="903" spans="1:5" x14ac:dyDescent="0.25">
      <c r="A903" t="s">
        <v>102</v>
      </c>
      <c r="B903" t="s">
        <v>188</v>
      </c>
      <c r="C903" t="s">
        <v>273</v>
      </c>
      <c r="D903" s="10">
        <v>0</v>
      </c>
      <c r="E903" t="str">
        <f>$A903&amp;Keys!$C$54&amp;$B903&amp;Keys!$C$54&amp;$C903</f>
        <v>KY|production|hydro</v>
      </c>
    </row>
    <row r="904" spans="1:5" x14ac:dyDescent="0.25">
      <c r="A904" t="s">
        <v>102</v>
      </c>
      <c r="B904" t="s">
        <v>191</v>
      </c>
      <c r="C904" t="s">
        <v>273</v>
      </c>
      <c r="D904" s="10">
        <v>0</v>
      </c>
      <c r="E904" t="str">
        <f>$A904&amp;Keys!$C$54&amp;$B904&amp;Keys!$C$54&amp;$C904</f>
        <v>KY|imports|hydro</v>
      </c>
    </row>
    <row r="905" spans="1:5" x14ac:dyDescent="0.25">
      <c r="A905" t="s">
        <v>102</v>
      </c>
      <c r="B905" t="s">
        <v>193</v>
      </c>
      <c r="C905" t="s">
        <v>273</v>
      </c>
      <c r="D905" s="10">
        <v>0</v>
      </c>
      <c r="E905" t="str">
        <f>$A905&amp;Keys!$C$54&amp;$B905&amp;Keys!$C$54&amp;$C905</f>
        <v>KY|exports|hydro</v>
      </c>
    </row>
    <row r="906" spans="1:5" x14ac:dyDescent="0.25">
      <c r="A906" t="s">
        <v>102</v>
      </c>
      <c r="B906" t="s">
        <v>188</v>
      </c>
      <c r="C906" t="s">
        <v>274</v>
      </c>
      <c r="D906" s="10">
        <v>0</v>
      </c>
      <c r="E906" t="str">
        <f>$A906&amp;Keys!$C$54&amp;$B906&amp;Keys!$C$54&amp;$C906</f>
        <v>KY|production|wind</v>
      </c>
    </row>
    <row r="907" spans="1:5" x14ac:dyDescent="0.25">
      <c r="A907" t="s">
        <v>102</v>
      </c>
      <c r="B907" t="s">
        <v>191</v>
      </c>
      <c r="C907" t="s">
        <v>274</v>
      </c>
      <c r="D907" s="10">
        <v>0</v>
      </c>
      <c r="E907" t="str">
        <f>$A907&amp;Keys!$C$54&amp;$B907&amp;Keys!$C$54&amp;$C907</f>
        <v>KY|imports|wind</v>
      </c>
    </row>
    <row r="908" spans="1:5" x14ac:dyDescent="0.25">
      <c r="A908" t="s">
        <v>102</v>
      </c>
      <c r="B908" t="s">
        <v>193</v>
      </c>
      <c r="C908" t="s">
        <v>274</v>
      </c>
      <c r="D908" s="10">
        <v>0</v>
      </c>
      <c r="E908" t="str">
        <f>$A908&amp;Keys!$C$54&amp;$B908&amp;Keys!$C$54&amp;$C908</f>
        <v>KY|exports|wind</v>
      </c>
    </row>
    <row r="909" spans="1:5" x14ac:dyDescent="0.25">
      <c r="A909" t="s">
        <v>102</v>
      </c>
      <c r="B909" t="s">
        <v>188</v>
      </c>
      <c r="C909" t="s">
        <v>275</v>
      </c>
      <c r="D909" s="10">
        <v>0</v>
      </c>
      <c r="E909" t="str">
        <f>$A909&amp;Keys!$C$54&amp;$B909&amp;Keys!$C$54&amp;$C909</f>
        <v>KY|production|solar</v>
      </c>
    </row>
    <row r="910" spans="1:5" x14ac:dyDescent="0.25">
      <c r="A910" t="s">
        <v>102</v>
      </c>
      <c r="B910" t="s">
        <v>191</v>
      </c>
      <c r="C910" t="s">
        <v>275</v>
      </c>
      <c r="D910" s="10">
        <v>0</v>
      </c>
      <c r="E910" t="str">
        <f>$A910&amp;Keys!$C$54&amp;$B910&amp;Keys!$C$54&amp;$C910</f>
        <v>KY|imports|solar</v>
      </c>
    </row>
    <row r="911" spans="1:5" x14ac:dyDescent="0.25">
      <c r="A911" t="s">
        <v>102</v>
      </c>
      <c r="B911" t="s">
        <v>193</v>
      </c>
      <c r="C911" t="s">
        <v>275</v>
      </c>
      <c r="D911" s="10">
        <v>0</v>
      </c>
      <c r="E911" t="str">
        <f>$A911&amp;Keys!$C$54&amp;$B911&amp;Keys!$C$54&amp;$C911</f>
        <v>KY|exports|solar</v>
      </c>
    </row>
    <row r="912" spans="1:5" x14ac:dyDescent="0.25">
      <c r="A912" t="s">
        <v>102</v>
      </c>
      <c r="B912" t="s">
        <v>188</v>
      </c>
      <c r="C912" t="s">
        <v>82</v>
      </c>
      <c r="D912" s="10">
        <v>1280000000000</v>
      </c>
      <c r="E912" t="str">
        <f>$A912&amp;Keys!$C$54&amp;$B912&amp;Keys!$C$54&amp;$C912</f>
        <v>KY|production|biomass</v>
      </c>
    </row>
    <row r="913" spans="1:5" x14ac:dyDescent="0.25">
      <c r="A913" t="s">
        <v>102</v>
      </c>
      <c r="B913" t="s">
        <v>191</v>
      </c>
      <c r="C913" t="s">
        <v>82</v>
      </c>
      <c r="D913" s="10">
        <v>31571200000000</v>
      </c>
      <c r="E913" t="str">
        <f>$A913&amp;Keys!$C$54&amp;$B913&amp;Keys!$C$54&amp;$C913</f>
        <v>KY|imports|biomass</v>
      </c>
    </row>
    <row r="914" spans="1:5" x14ac:dyDescent="0.25">
      <c r="A914" t="s">
        <v>102</v>
      </c>
      <c r="B914" t="s">
        <v>193</v>
      </c>
      <c r="C914" t="s">
        <v>82</v>
      </c>
      <c r="D914" s="10">
        <v>0</v>
      </c>
      <c r="E914" t="str">
        <f>$A914&amp;Keys!$C$54&amp;$B914&amp;Keys!$C$54&amp;$C914</f>
        <v>KY|exports|biomass</v>
      </c>
    </row>
    <row r="915" spans="1:5" x14ac:dyDescent="0.25">
      <c r="A915" t="s">
        <v>102</v>
      </c>
      <c r="B915" t="s">
        <v>188</v>
      </c>
      <c r="C915" t="s">
        <v>85</v>
      </c>
      <c r="D915" s="10">
        <v>291150000000000</v>
      </c>
      <c r="E915" t="str">
        <f>$A915&amp;Keys!$C$54&amp;$B915&amp;Keys!$C$54&amp;$C915</f>
        <v>KY|production|petroleum gasoline</v>
      </c>
    </row>
    <row r="916" spans="1:5" x14ac:dyDescent="0.25">
      <c r="A916" t="s">
        <v>102</v>
      </c>
      <c r="B916" t="s">
        <v>191</v>
      </c>
      <c r="C916" t="s">
        <v>85</v>
      </c>
      <c r="D916" s="10">
        <v>12883800000000</v>
      </c>
      <c r="E916" t="str">
        <f>$A916&amp;Keys!$C$54&amp;$B916&amp;Keys!$C$54&amp;$C916</f>
        <v>KY|imports|petroleum gasoline</v>
      </c>
    </row>
    <row r="917" spans="1:5" x14ac:dyDescent="0.25">
      <c r="A917" t="s">
        <v>102</v>
      </c>
      <c r="B917" t="s">
        <v>193</v>
      </c>
      <c r="C917" t="s">
        <v>85</v>
      </c>
      <c r="D917" s="10">
        <v>66284700000000</v>
      </c>
      <c r="E917" t="str">
        <f>$A917&amp;Keys!$C$54&amp;$B917&amp;Keys!$C$54&amp;$C917</f>
        <v>KY|exports|petroleum gasoline</v>
      </c>
    </row>
    <row r="918" spans="1:5" x14ac:dyDescent="0.25">
      <c r="A918" t="s">
        <v>102</v>
      </c>
      <c r="B918" t="s">
        <v>188</v>
      </c>
      <c r="C918" t="s">
        <v>88</v>
      </c>
      <c r="D918" s="10">
        <v>172220000000000</v>
      </c>
      <c r="E918" t="str">
        <f>$A918&amp;Keys!$C$54&amp;$B918&amp;Keys!$C$54&amp;$C918</f>
        <v>KY|production|petroleum diesel</v>
      </c>
    </row>
    <row r="919" spans="1:5" x14ac:dyDescent="0.25">
      <c r="A919" t="s">
        <v>102</v>
      </c>
      <c r="B919" t="s">
        <v>191</v>
      </c>
      <c r="C919" t="s">
        <v>88</v>
      </c>
      <c r="D919" s="10">
        <v>2959860000000</v>
      </c>
      <c r="E919" t="str">
        <f>$A919&amp;Keys!$C$54&amp;$B919&amp;Keys!$C$54&amp;$C919</f>
        <v>KY|imports|petroleum diesel</v>
      </c>
    </row>
    <row r="920" spans="1:5" x14ac:dyDescent="0.25">
      <c r="A920" t="s">
        <v>102</v>
      </c>
      <c r="B920" t="s">
        <v>193</v>
      </c>
      <c r="C920" t="s">
        <v>88</v>
      </c>
      <c r="D920" s="10">
        <v>9898320000000</v>
      </c>
      <c r="E920" t="str">
        <f>$A920&amp;Keys!$C$54&amp;$B920&amp;Keys!$C$54&amp;$C920</f>
        <v>KY|exports|petroleum diesel</v>
      </c>
    </row>
    <row r="921" spans="1:5" x14ac:dyDescent="0.25">
      <c r="A921" t="s">
        <v>102</v>
      </c>
      <c r="B921" t="s">
        <v>188</v>
      </c>
      <c r="C921" t="s">
        <v>91</v>
      </c>
      <c r="D921" s="10">
        <v>3033920000000</v>
      </c>
      <c r="E921" t="str">
        <f>$A921&amp;Keys!$C$54&amp;$B921&amp;Keys!$C$54&amp;$C921</f>
        <v>KY|production|biofuel gasoline</v>
      </c>
    </row>
    <row r="922" spans="1:5" x14ac:dyDescent="0.25">
      <c r="A922" t="s">
        <v>102</v>
      </c>
      <c r="B922" t="s">
        <v>191</v>
      </c>
      <c r="C922" t="s">
        <v>91</v>
      </c>
      <c r="D922" s="10">
        <v>13534500000000</v>
      </c>
      <c r="E922" t="str">
        <f>$A922&amp;Keys!$C$54&amp;$B922&amp;Keys!$C$54&amp;$C922</f>
        <v>KY|imports|biofuel gasoline</v>
      </c>
    </row>
    <row r="923" spans="1:5" x14ac:dyDescent="0.25">
      <c r="A923" t="s">
        <v>102</v>
      </c>
      <c r="B923" t="s">
        <v>193</v>
      </c>
      <c r="C923" t="s">
        <v>91</v>
      </c>
      <c r="D923" s="10">
        <v>0</v>
      </c>
      <c r="E923" t="str">
        <f>$A923&amp;Keys!$C$54&amp;$B923&amp;Keys!$C$54&amp;$C923</f>
        <v>KY|exports|biofuel gasoline</v>
      </c>
    </row>
    <row r="924" spans="1:5" x14ac:dyDescent="0.25">
      <c r="A924" t="s">
        <v>102</v>
      </c>
      <c r="B924" t="s">
        <v>188</v>
      </c>
      <c r="C924" t="s">
        <v>94</v>
      </c>
      <c r="D924" s="10">
        <v>19219200000000</v>
      </c>
      <c r="E924" t="str">
        <f>$A924&amp;Keys!$C$54&amp;$B924&amp;Keys!$C$54&amp;$C924</f>
        <v>KY|production|biofuel diesel</v>
      </c>
    </row>
    <row r="925" spans="1:5" x14ac:dyDescent="0.25">
      <c r="A925" t="s">
        <v>102</v>
      </c>
      <c r="B925" t="s">
        <v>191</v>
      </c>
      <c r="C925" t="s">
        <v>94</v>
      </c>
      <c r="D925" s="10">
        <v>58493200000</v>
      </c>
      <c r="E925" t="str">
        <f>$A925&amp;Keys!$C$54&amp;$B925&amp;Keys!$C$54&amp;$C925</f>
        <v>KY|imports|biofuel diesel</v>
      </c>
    </row>
    <row r="926" spans="1:5" x14ac:dyDescent="0.25">
      <c r="A926" t="s">
        <v>102</v>
      </c>
      <c r="B926" t="s">
        <v>193</v>
      </c>
      <c r="C926" t="s">
        <v>94</v>
      </c>
      <c r="D926" s="10">
        <v>16338900000000</v>
      </c>
      <c r="E926" t="str">
        <f>$A926&amp;Keys!$C$54&amp;$B926&amp;Keys!$C$54&amp;$C926</f>
        <v>KY|exports|biofuel diesel</v>
      </c>
    </row>
    <row r="927" spans="1:5" x14ac:dyDescent="0.25">
      <c r="A927" t="s">
        <v>102</v>
      </c>
      <c r="B927" t="s">
        <v>188</v>
      </c>
      <c r="C927" t="s">
        <v>97</v>
      </c>
      <c r="D927" s="10">
        <v>61306700000000</v>
      </c>
      <c r="E927" t="str">
        <f>$A927&amp;Keys!$C$54&amp;$B927&amp;Keys!$C$54&amp;$C927</f>
        <v>KY|production|jet fuel or kerosene</v>
      </c>
    </row>
    <row r="928" spans="1:5" x14ac:dyDescent="0.25">
      <c r="A928" t="s">
        <v>102</v>
      </c>
      <c r="B928" t="s">
        <v>191</v>
      </c>
      <c r="C928" t="s">
        <v>97</v>
      </c>
      <c r="D928" s="10">
        <v>22428500000000</v>
      </c>
      <c r="E928" t="str">
        <f>$A928&amp;Keys!$C$54&amp;$B928&amp;Keys!$C$54&amp;$C928</f>
        <v>KY|imports|jet fuel or kerosene</v>
      </c>
    </row>
    <row r="929" spans="1:5" x14ac:dyDescent="0.25">
      <c r="A929" t="s">
        <v>102</v>
      </c>
      <c r="B929" t="s">
        <v>193</v>
      </c>
      <c r="C929" t="s">
        <v>97</v>
      </c>
      <c r="D929" s="10">
        <v>0</v>
      </c>
      <c r="E929" t="str">
        <f>$A929&amp;Keys!$C$54&amp;$B929&amp;Keys!$C$54&amp;$C929</f>
        <v>KY|exports|jet fuel or kerosene</v>
      </c>
    </row>
    <row r="930" spans="1:5" x14ac:dyDescent="0.25">
      <c r="A930" t="s">
        <v>102</v>
      </c>
      <c r="B930" t="s">
        <v>188</v>
      </c>
      <c r="C930" t="s">
        <v>276</v>
      </c>
      <c r="D930" s="10">
        <v>0</v>
      </c>
      <c r="E930" t="str">
        <f>$A930&amp;Keys!$C$54&amp;$B930&amp;Keys!$C$54&amp;$C930</f>
        <v>KY|production|heat</v>
      </c>
    </row>
    <row r="931" spans="1:5" x14ac:dyDescent="0.25">
      <c r="A931" t="s">
        <v>102</v>
      </c>
      <c r="B931" t="s">
        <v>191</v>
      </c>
      <c r="C931" t="s">
        <v>276</v>
      </c>
      <c r="D931" s="10">
        <v>0</v>
      </c>
      <c r="E931" t="str">
        <f>$A931&amp;Keys!$C$54&amp;$B931&amp;Keys!$C$54&amp;$C931</f>
        <v>KY|imports|heat</v>
      </c>
    </row>
    <row r="932" spans="1:5" x14ac:dyDescent="0.25">
      <c r="A932" t="s">
        <v>102</v>
      </c>
      <c r="B932" t="s">
        <v>193</v>
      </c>
      <c r="C932" t="s">
        <v>276</v>
      </c>
      <c r="D932" s="10">
        <v>0</v>
      </c>
      <c r="E932" t="str">
        <f>$A932&amp;Keys!$C$54&amp;$B932&amp;Keys!$C$54&amp;$C932</f>
        <v>KY|exports|heat</v>
      </c>
    </row>
    <row r="933" spans="1:5" x14ac:dyDescent="0.25">
      <c r="A933" t="s">
        <v>102</v>
      </c>
      <c r="B933" t="s">
        <v>188</v>
      </c>
      <c r="C933" t="s">
        <v>277</v>
      </c>
      <c r="D933" s="10">
        <v>0</v>
      </c>
      <c r="E933" t="str">
        <f>$A933&amp;Keys!$C$54&amp;$B933&amp;Keys!$C$54&amp;$C933</f>
        <v>KY|production|geothermal</v>
      </c>
    </row>
    <row r="934" spans="1:5" x14ac:dyDescent="0.25">
      <c r="A934" t="s">
        <v>102</v>
      </c>
      <c r="B934" t="s">
        <v>191</v>
      </c>
      <c r="C934" t="s">
        <v>277</v>
      </c>
      <c r="D934" s="10">
        <v>0</v>
      </c>
      <c r="E934" t="str">
        <f>$A934&amp;Keys!$C$54&amp;$B934&amp;Keys!$C$54&amp;$C934</f>
        <v>KY|imports|geothermal</v>
      </c>
    </row>
    <row r="935" spans="1:5" x14ac:dyDescent="0.25">
      <c r="A935" t="s">
        <v>102</v>
      </c>
      <c r="B935" t="s">
        <v>193</v>
      </c>
      <c r="C935" t="s">
        <v>277</v>
      </c>
      <c r="D935" s="10">
        <v>0</v>
      </c>
      <c r="E935" t="str">
        <f>$A935&amp;Keys!$C$54&amp;$B935&amp;Keys!$C$54&amp;$C935</f>
        <v>KY|exports|geothermal</v>
      </c>
    </row>
    <row r="936" spans="1:5" x14ac:dyDescent="0.25">
      <c r="A936" t="s">
        <v>102</v>
      </c>
      <c r="B936" t="s">
        <v>188</v>
      </c>
      <c r="C936" t="s">
        <v>106</v>
      </c>
      <c r="D936" s="10">
        <v>0</v>
      </c>
      <c r="E936" t="str">
        <f>$A936&amp;Keys!$C$54&amp;$B936&amp;Keys!$C$54&amp;$C936</f>
        <v>KY|production|lignite</v>
      </c>
    </row>
    <row r="937" spans="1:5" x14ac:dyDescent="0.25">
      <c r="A937" t="s">
        <v>102</v>
      </c>
      <c r="B937" t="s">
        <v>191</v>
      </c>
      <c r="C937" t="s">
        <v>106</v>
      </c>
      <c r="D937" s="10">
        <v>0</v>
      </c>
      <c r="E937" t="str">
        <f>$A937&amp;Keys!$C$54&amp;$B937&amp;Keys!$C$54&amp;$C937</f>
        <v>KY|imports|lignite</v>
      </c>
    </row>
    <row r="938" spans="1:5" x14ac:dyDescent="0.25">
      <c r="A938" t="s">
        <v>102</v>
      </c>
      <c r="B938" t="s">
        <v>193</v>
      </c>
      <c r="C938" t="s">
        <v>106</v>
      </c>
      <c r="D938" s="10">
        <v>0</v>
      </c>
      <c r="E938" t="str">
        <f>$A938&amp;Keys!$C$54&amp;$B938&amp;Keys!$C$54&amp;$C938</f>
        <v>KY|exports|lignite</v>
      </c>
    </row>
    <row r="939" spans="1:5" x14ac:dyDescent="0.25">
      <c r="A939" t="s">
        <v>102</v>
      </c>
      <c r="B939" t="s">
        <v>188</v>
      </c>
      <c r="C939" t="s">
        <v>109</v>
      </c>
      <c r="D939" s="10">
        <v>11832000000000</v>
      </c>
      <c r="E939" t="str">
        <f>$A939&amp;Keys!$C$54&amp;$B939&amp;Keys!$C$54&amp;$C939</f>
        <v>KY|production|crude oil</v>
      </c>
    </row>
    <row r="940" spans="1:5" x14ac:dyDescent="0.25">
      <c r="A940" t="s">
        <v>102</v>
      </c>
      <c r="B940" t="s">
        <v>191</v>
      </c>
      <c r="C940" t="s">
        <v>109</v>
      </c>
      <c r="D940" s="10">
        <v>609184000000000</v>
      </c>
      <c r="E940" t="str">
        <f>$A940&amp;Keys!$C$54&amp;$B940&amp;Keys!$C$54&amp;$C940</f>
        <v>KY|imports|crude oil</v>
      </c>
    </row>
    <row r="941" spans="1:5" x14ac:dyDescent="0.25">
      <c r="A941" t="s">
        <v>102</v>
      </c>
      <c r="B941" t="s">
        <v>193</v>
      </c>
      <c r="C941" t="s">
        <v>109</v>
      </c>
      <c r="D941" s="10">
        <v>0</v>
      </c>
      <c r="E941" t="str">
        <f>$A941&amp;Keys!$C$54&amp;$B941&amp;Keys!$C$54&amp;$C941</f>
        <v>KY|exports|crude oil</v>
      </c>
    </row>
    <row r="942" spans="1:5" x14ac:dyDescent="0.25">
      <c r="A942" t="s">
        <v>102</v>
      </c>
      <c r="B942" t="s">
        <v>188</v>
      </c>
      <c r="C942" t="s">
        <v>114</v>
      </c>
      <c r="D942" s="10">
        <v>11909000000000</v>
      </c>
      <c r="E942" t="str">
        <f>$A942&amp;Keys!$C$54&amp;$B942&amp;Keys!$C$54&amp;$C942</f>
        <v>KY|production|heavy or residual fuel oil</v>
      </c>
    </row>
    <row r="943" spans="1:5" x14ac:dyDescent="0.25">
      <c r="A943" t="s">
        <v>102</v>
      </c>
      <c r="B943" t="s">
        <v>191</v>
      </c>
      <c r="C943" t="s">
        <v>114</v>
      </c>
      <c r="D943" s="10">
        <v>1834440000000</v>
      </c>
      <c r="E943" t="str">
        <f>$A943&amp;Keys!$C$54&amp;$B943&amp;Keys!$C$54&amp;$C943</f>
        <v>KY|imports|heavy or residual fuel oil</v>
      </c>
    </row>
    <row r="944" spans="1:5" x14ac:dyDescent="0.25">
      <c r="A944" t="s">
        <v>102</v>
      </c>
      <c r="B944" t="s">
        <v>193</v>
      </c>
      <c r="C944" t="s">
        <v>114</v>
      </c>
      <c r="D944" s="10">
        <v>0</v>
      </c>
      <c r="E944" t="str">
        <f>$A944&amp;Keys!$C$54&amp;$B944&amp;Keys!$C$54&amp;$C944</f>
        <v>KY|exports|heavy or residual fuel oil</v>
      </c>
    </row>
    <row r="945" spans="1:5" x14ac:dyDescent="0.25">
      <c r="A945" t="s">
        <v>102</v>
      </c>
      <c r="B945" t="s">
        <v>188</v>
      </c>
      <c r="C945" t="s">
        <v>117</v>
      </c>
      <c r="D945" s="10">
        <v>6790200000000</v>
      </c>
      <c r="E945" t="str">
        <f>$A945&amp;Keys!$C$54&amp;$B945&amp;Keys!$C$54&amp;$C945</f>
        <v>KY|production|LPG propane or butane</v>
      </c>
    </row>
    <row r="946" spans="1:5" x14ac:dyDescent="0.25">
      <c r="A946" t="s">
        <v>102</v>
      </c>
      <c r="B946" t="s">
        <v>191</v>
      </c>
      <c r="C946" t="s">
        <v>117</v>
      </c>
      <c r="D946" s="10">
        <v>31889900000000</v>
      </c>
      <c r="E946" t="str">
        <f>$A946&amp;Keys!$C$54&amp;$B946&amp;Keys!$C$54&amp;$C946</f>
        <v>KY|imports|LPG propane or butane</v>
      </c>
    </row>
    <row r="947" spans="1:5" x14ac:dyDescent="0.25">
      <c r="A947" t="s">
        <v>102</v>
      </c>
      <c r="B947" t="s">
        <v>193</v>
      </c>
      <c r="C947" t="s">
        <v>117</v>
      </c>
      <c r="D947" s="10">
        <v>0</v>
      </c>
      <c r="E947" t="str">
        <f>$A947&amp;Keys!$C$54&amp;$B947&amp;Keys!$C$54&amp;$C947</f>
        <v>KY|exports|LPG propane or butane</v>
      </c>
    </row>
    <row r="948" spans="1:5" x14ac:dyDescent="0.25">
      <c r="A948" t="s">
        <v>102</v>
      </c>
      <c r="B948" t="s">
        <v>188</v>
      </c>
      <c r="C948" t="s">
        <v>120</v>
      </c>
      <c r="D948" s="10">
        <v>0</v>
      </c>
      <c r="E948" t="str">
        <f>$A948&amp;Keys!$C$54&amp;$B948&amp;Keys!$C$54&amp;$C948</f>
        <v>KY|production|municipal solid waste</v>
      </c>
    </row>
    <row r="949" spans="1:5" x14ac:dyDescent="0.25">
      <c r="A949" t="s">
        <v>102</v>
      </c>
      <c r="B949" t="s">
        <v>191</v>
      </c>
      <c r="C949" t="s">
        <v>120</v>
      </c>
      <c r="D949" s="10">
        <v>0</v>
      </c>
      <c r="E949" t="str">
        <f>$A949&amp;Keys!$C$54&amp;$B949&amp;Keys!$C$54&amp;$C949</f>
        <v>KY|imports|municipal solid waste</v>
      </c>
    </row>
    <row r="950" spans="1:5" x14ac:dyDescent="0.25">
      <c r="A950" t="s">
        <v>102</v>
      </c>
      <c r="B950" t="s">
        <v>193</v>
      </c>
      <c r="C950" t="s">
        <v>120</v>
      </c>
      <c r="D950" s="10">
        <v>0</v>
      </c>
      <c r="E950" t="str">
        <f>$A950&amp;Keys!$C$54&amp;$B950&amp;Keys!$C$54&amp;$C950</f>
        <v>KY|exports|municipal solid waste</v>
      </c>
    </row>
    <row r="951" spans="1:5" x14ac:dyDescent="0.25">
      <c r="A951" t="s">
        <v>102</v>
      </c>
      <c r="B951" t="s">
        <v>188</v>
      </c>
      <c r="C951" t="s">
        <v>123</v>
      </c>
      <c r="D951" s="10">
        <v>0</v>
      </c>
      <c r="E951" t="str">
        <f>$A951&amp;Keys!$C$54&amp;$B951&amp;Keys!$C$54&amp;$C951</f>
        <v>KY|production|hydrogen</v>
      </c>
    </row>
    <row r="952" spans="1:5" x14ac:dyDescent="0.25">
      <c r="A952" t="s">
        <v>102</v>
      </c>
      <c r="B952" t="s">
        <v>191</v>
      </c>
      <c r="C952" t="s">
        <v>123</v>
      </c>
      <c r="D952" s="10">
        <v>2214060000000</v>
      </c>
      <c r="E952" t="str">
        <f>$A952&amp;Keys!$C$54&amp;$B952&amp;Keys!$C$54&amp;$C952</f>
        <v>KY|imports|hydrogen</v>
      </c>
    </row>
    <row r="953" spans="1:5" x14ac:dyDescent="0.25">
      <c r="A953" t="s">
        <v>102</v>
      </c>
      <c r="B953" t="s">
        <v>193</v>
      </c>
      <c r="C953" t="s">
        <v>123</v>
      </c>
      <c r="D953" s="10">
        <v>0</v>
      </c>
      <c r="E953" t="str">
        <f>$A953&amp;Keys!$C$54&amp;$B953&amp;Keys!$C$54&amp;$C953</f>
        <v>KY|exports|hydrogen</v>
      </c>
    </row>
    <row r="954" spans="1:5" x14ac:dyDescent="0.25">
      <c r="A954" t="s">
        <v>105</v>
      </c>
      <c r="B954" t="s">
        <v>188</v>
      </c>
      <c r="C954" t="s">
        <v>272</v>
      </c>
      <c r="D954" s="10">
        <v>0</v>
      </c>
      <c r="E954" t="str">
        <f>$A954&amp;Keys!$C$54&amp;$B954&amp;Keys!$C$54&amp;$C954</f>
        <v>LA|production|electricity</v>
      </c>
    </row>
    <row r="955" spans="1:5" x14ac:dyDescent="0.25">
      <c r="A955" t="s">
        <v>105</v>
      </c>
      <c r="B955" t="s">
        <v>191</v>
      </c>
      <c r="C955" t="s">
        <v>272</v>
      </c>
      <c r="D955" s="10">
        <v>0</v>
      </c>
      <c r="E955" t="str">
        <f>$A955&amp;Keys!$C$54&amp;$B955&amp;Keys!$C$54&amp;$C955</f>
        <v>LA|imports|electricity</v>
      </c>
    </row>
    <row r="956" spans="1:5" x14ac:dyDescent="0.25">
      <c r="A956" t="s">
        <v>105</v>
      </c>
      <c r="B956" t="s">
        <v>193</v>
      </c>
      <c r="C956" t="s">
        <v>272</v>
      </c>
      <c r="D956" s="10">
        <v>0</v>
      </c>
      <c r="E956" t="str">
        <f>$A956&amp;Keys!$C$54&amp;$B956&amp;Keys!$C$54&amp;$C956</f>
        <v>LA|exports|electricity</v>
      </c>
    </row>
    <row r="957" spans="1:5" x14ac:dyDescent="0.25">
      <c r="A957" t="s">
        <v>105</v>
      </c>
      <c r="B957" t="s">
        <v>188</v>
      </c>
      <c r="C957" t="s">
        <v>64</v>
      </c>
      <c r="D957" s="10">
        <v>0</v>
      </c>
      <c r="E957" t="str">
        <f>$A957&amp;Keys!$C$54&amp;$B957&amp;Keys!$C$54&amp;$C957</f>
        <v>LA|production|hard coal</v>
      </c>
    </row>
    <row r="958" spans="1:5" x14ac:dyDescent="0.25">
      <c r="A958" t="s">
        <v>105</v>
      </c>
      <c r="B958" t="s">
        <v>191</v>
      </c>
      <c r="C958" t="s">
        <v>64</v>
      </c>
      <c r="D958" s="10">
        <v>125164000000000</v>
      </c>
      <c r="E958" t="str">
        <f>$A958&amp;Keys!$C$54&amp;$B958&amp;Keys!$C$54&amp;$C958</f>
        <v>LA|imports|hard coal</v>
      </c>
    </row>
    <row r="959" spans="1:5" x14ac:dyDescent="0.25">
      <c r="A959" t="s">
        <v>105</v>
      </c>
      <c r="B959" t="s">
        <v>193</v>
      </c>
      <c r="C959" t="s">
        <v>64</v>
      </c>
      <c r="D959" s="10">
        <v>0</v>
      </c>
      <c r="E959" t="str">
        <f>$A959&amp;Keys!$C$54&amp;$B959&amp;Keys!$C$54&amp;$C959</f>
        <v>LA|exports|hard coal</v>
      </c>
    </row>
    <row r="960" spans="1:5" x14ac:dyDescent="0.25">
      <c r="A960" t="s">
        <v>105</v>
      </c>
      <c r="B960" t="s">
        <v>188</v>
      </c>
      <c r="C960" t="s">
        <v>68</v>
      </c>
      <c r="D960" s="10">
        <v>3731200000000000</v>
      </c>
      <c r="E960" t="str">
        <f>$A960&amp;Keys!$C$54&amp;$B960&amp;Keys!$C$54&amp;$C960</f>
        <v>LA|production|natural gas</v>
      </c>
    </row>
    <row r="961" spans="1:5" x14ac:dyDescent="0.25">
      <c r="A961" t="s">
        <v>105</v>
      </c>
      <c r="B961" t="s">
        <v>191</v>
      </c>
      <c r="C961" t="s">
        <v>68</v>
      </c>
      <c r="D961" s="10">
        <v>4985350000000000</v>
      </c>
      <c r="E961" t="str">
        <f>$A961&amp;Keys!$C$54&amp;$B961&amp;Keys!$C$54&amp;$C961</f>
        <v>LA|imports|natural gas</v>
      </c>
    </row>
    <row r="962" spans="1:5" x14ac:dyDescent="0.25">
      <c r="A962" t="s">
        <v>105</v>
      </c>
      <c r="B962" t="s">
        <v>193</v>
      </c>
      <c r="C962" t="s">
        <v>68</v>
      </c>
      <c r="D962" s="10">
        <v>6632050000000000</v>
      </c>
      <c r="E962" t="str">
        <f>$A962&amp;Keys!$C$54&amp;$B962&amp;Keys!$C$54&amp;$C962</f>
        <v>LA|exports|natural gas</v>
      </c>
    </row>
    <row r="963" spans="1:5" x14ac:dyDescent="0.25">
      <c r="A963" t="s">
        <v>105</v>
      </c>
      <c r="B963" t="s">
        <v>188</v>
      </c>
      <c r="C963" t="s">
        <v>71</v>
      </c>
      <c r="D963" s="10">
        <v>0</v>
      </c>
      <c r="E963" t="str">
        <f>$A963&amp;Keys!$C$54&amp;$B963&amp;Keys!$C$54&amp;$C963</f>
        <v>LA|production|nuclear</v>
      </c>
    </row>
    <row r="964" spans="1:5" x14ac:dyDescent="0.25">
      <c r="A964" t="s">
        <v>105</v>
      </c>
      <c r="B964" t="s">
        <v>191</v>
      </c>
      <c r="C964" t="s">
        <v>71</v>
      </c>
      <c r="D964" s="10">
        <v>159298000000000</v>
      </c>
      <c r="E964" t="str">
        <f>$A964&amp;Keys!$C$54&amp;$B964&amp;Keys!$C$54&amp;$C964</f>
        <v>LA|imports|nuclear</v>
      </c>
    </row>
    <row r="965" spans="1:5" x14ac:dyDescent="0.25">
      <c r="A965" t="s">
        <v>105</v>
      </c>
      <c r="B965" t="s">
        <v>193</v>
      </c>
      <c r="C965" t="s">
        <v>71</v>
      </c>
      <c r="D965" s="10">
        <v>0</v>
      </c>
      <c r="E965" t="str">
        <f>$A965&amp;Keys!$C$54&amp;$B965&amp;Keys!$C$54&amp;$C965</f>
        <v>LA|exports|nuclear</v>
      </c>
    </row>
    <row r="966" spans="1:5" x14ac:dyDescent="0.25">
      <c r="A966" t="s">
        <v>105</v>
      </c>
      <c r="B966" t="s">
        <v>188</v>
      </c>
      <c r="C966" t="s">
        <v>273</v>
      </c>
      <c r="D966" s="10">
        <v>0</v>
      </c>
      <c r="E966" t="str">
        <f>$A966&amp;Keys!$C$54&amp;$B966&amp;Keys!$C$54&amp;$C966</f>
        <v>LA|production|hydro</v>
      </c>
    </row>
    <row r="967" spans="1:5" x14ac:dyDescent="0.25">
      <c r="A967" t="s">
        <v>105</v>
      </c>
      <c r="B967" t="s">
        <v>191</v>
      </c>
      <c r="C967" t="s">
        <v>273</v>
      </c>
      <c r="D967" s="10">
        <v>0</v>
      </c>
      <c r="E967" t="str">
        <f>$A967&amp;Keys!$C$54&amp;$B967&amp;Keys!$C$54&amp;$C967</f>
        <v>LA|imports|hydro</v>
      </c>
    </row>
    <row r="968" spans="1:5" x14ac:dyDescent="0.25">
      <c r="A968" t="s">
        <v>105</v>
      </c>
      <c r="B968" t="s">
        <v>193</v>
      </c>
      <c r="C968" t="s">
        <v>273</v>
      </c>
      <c r="D968" s="10">
        <v>0</v>
      </c>
      <c r="E968" t="str">
        <f>$A968&amp;Keys!$C$54&amp;$B968&amp;Keys!$C$54&amp;$C968</f>
        <v>LA|exports|hydro</v>
      </c>
    </row>
    <row r="969" spans="1:5" x14ac:dyDescent="0.25">
      <c r="A969" t="s">
        <v>105</v>
      </c>
      <c r="B969" t="s">
        <v>188</v>
      </c>
      <c r="C969" t="s">
        <v>274</v>
      </c>
      <c r="D969" s="10">
        <v>0</v>
      </c>
      <c r="E969" t="str">
        <f>$A969&amp;Keys!$C$54&amp;$B969&amp;Keys!$C$54&amp;$C969</f>
        <v>LA|production|wind</v>
      </c>
    </row>
    <row r="970" spans="1:5" x14ac:dyDescent="0.25">
      <c r="A970" t="s">
        <v>105</v>
      </c>
      <c r="B970" t="s">
        <v>191</v>
      </c>
      <c r="C970" t="s">
        <v>274</v>
      </c>
      <c r="D970" s="10">
        <v>0</v>
      </c>
      <c r="E970" t="str">
        <f>$A970&amp;Keys!$C$54&amp;$B970&amp;Keys!$C$54&amp;$C970</f>
        <v>LA|imports|wind</v>
      </c>
    </row>
    <row r="971" spans="1:5" x14ac:dyDescent="0.25">
      <c r="A971" t="s">
        <v>105</v>
      </c>
      <c r="B971" t="s">
        <v>193</v>
      </c>
      <c r="C971" t="s">
        <v>274</v>
      </c>
      <c r="D971" s="10">
        <v>0</v>
      </c>
      <c r="E971" t="str">
        <f>$A971&amp;Keys!$C$54&amp;$B971&amp;Keys!$C$54&amp;$C971</f>
        <v>LA|exports|wind</v>
      </c>
    </row>
    <row r="972" spans="1:5" x14ac:dyDescent="0.25">
      <c r="A972" t="s">
        <v>105</v>
      </c>
      <c r="B972" t="s">
        <v>188</v>
      </c>
      <c r="C972" t="s">
        <v>275</v>
      </c>
      <c r="D972" s="10">
        <v>0</v>
      </c>
      <c r="E972" t="str">
        <f>$A972&amp;Keys!$C$54&amp;$B972&amp;Keys!$C$54&amp;$C972</f>
        <v>LA|production|solar</v>
      </c>
    </row>
    <row r="973" spans="1:5" x14ac:dyDescent="0.25">
      <c r="A973" t="s">
        <v>105</v>
      </c>
      <c r="B973" t="s">
        <v>191</v>
      </c>
      <c r="C973" t="s">
        <v>275</v>
      </c>
      <c r="D973" s="10">
        <v>0</v>
      </c>
      <c r="E973" t="str">
        <f>$A973&amp;Keys!$C$54&amp;$B973&amp;Keys!$C$54&amp;$C973</f>
        <v>LA|imports|solar</v>
      </c>
    </row>
    <row r="974" spans="1:5" x14ac:dyDescent="0.25">
      <c r="A974" t="s">
        <v>105</v>
      </c>
      <c r="B974" t="s">
        <v>193</v>
      </c>
      <c r="C974" t="s">
        <v>275</v>
      </c>
      <c r="D974" s="10">
        <v>0</v>
      </c>
      <c r="E974" t="str">
        <f>$A974&amp;Keys!$C$54&amp;$B974&amp;Keys!$C$54&amp;$C974</f>
        <v>LA|exports|solar</v>
      </c>
    </row>
    <row r="975" spans="1:5" x14ac:dyDescent="0.25">
      <c r="A975" t="s">
        <v>105</v>
      </c>
      <c r="B975" t="s">
        <v>188</v>
      </c>
      <c r="C975" t="s">
        <v>82</v>
      </c>
      <c r="D975" s="10">
        <v>20518800000000</v>
      </c>
      <c r="E975" t="str">
        <f>$A975&amp;Keys!$C$54&amp;$B975&amp;Keys!$C$54&amp;$C975</f>
        <v>LA|production|biomass</v>
      </c>
    </row>
    <row r="976" spans="1:5" x14ac:dyDescent="0.25">
      <c r="A976" t="s">
        <v>105</v>
      </c>
      <c r="B976" t="s">
        <v>191</v>
      </c>
      <c r="C976" t="s">
        <v>82</v>
      </c>
      <c r="D976" s="10">
        <v>107183000000000</v>
      </c>
      <c r="E976" t="str">
        <f>$A976&amp;Keys!$C$54&amp;$B976&amp;Keys!$C$54&amp;$C976</f>
        <v>LA|imports|biomass</v>
      </c>
    </row>
    <row r="977" spans="1:5" x14ac:dyDescent="0.25">
      <c r="A977" t="s">
        <v>105</v>
      </c>
      <c r="B977" t="s">
        <v>193</v>
      </c>
      <c r="C977" t="s">
        <v>82</v>
      </c>
      <c r="D977" s="10">
        <v>0</v>
      </c>
      <c r="E977" t="str">
        <f>$A977&amp;Keys!$C$54&amp;$B977&amp;Keys!$C$54&amp;$C977</f>
        <v>LA|exports|biomass</v>
      </c>
    </row>
    <row r="978" spans="1:5" x14ac:dyDescent="0.25">
      <c r="A978" t="s">
        <v>105</v>
      </c>
      <c r="B978" t="s">
        <v>188</v>
      </c>
      <c r="C978" t="s">
        <v>85</v>
      </c>
      <c r="D978" s="10">
        <v>2894660000000000</v>
      </c>
      <c r="E978" t="str">
        <f>$A978&amp;Keys!$C$54&amp;$B978&amp;Keys!$C$54&amp;$C978</f>
        <v>LA|production|petroleum gasoline</v>
      </c>
    </row>
    <row r="979" spans="1:5" x14ac:dyDescent="0.25">
      <c r="A979" t="s">
        <v>105</v>
      </c>
      <c r="B979" t="s">
        <v>191</v>
      </c>
      <c r="C979" t="s">
        <v>85</v>
      </c>
      <c r="D979" s="10">
        <v>13516900000000</v>
      </c>
      <c r="E979" t="str">
        <f>$A979&amp;Keys!$C$54&amp;$B979&amp;Keys!$C$54&amp;$C979</f>
        <v>LA|imports|petroleum gasoline</v>
      </c>
    </row>
    <row r="980" spans="1:5" x14ac:dyDescent="0.25">
      <c r="A980" t="s">
        <v>105</v>
      </c>
      <c r="B980" t="s">
        <v>193</v>
      </c>
      <c r="C980" t="s">
        <v>85</v>
      </c>
      <c r="D980" s="10">
        <v>2673790000000000</v>
      </c>
      <c r="E980" t="str">
        <f>$A980&amp;Keys!$C$54&amp;$B980&amp;Keys!$C$54&amp;$C980</f>
        <v>LA|exports|petroleum gasoline</v>
      </c>
    </row>
    <row r="981" spans="1:5" x14ac:dyDescent="0.25">
      <c r="A981" t="s">
        <v>105</v>
      </c>
      <c r="B981" t="s">
        <v>188</v>
      </c>
      <c r="C981" t="s">
        <v>88</v>
      </c>
      <c r="D981" s="10">
        <v>1712240000000000</v>
      </c>
      <c r="E981" t="str">
        <f>$A981&amp;Keys!$C$54&amp;$B981&amp;Keys!$C$54&amp;$C981</f>
        <v>LA|production|petroleum diesel</v>
      </c>
    </row>
    <row r="982" spans="1:5" x14ac:dyDescent="0.25">
      <c r="A982" t="s">
        <v>105</v>
      </c>
      <c r="B982" t="s">
        <v>191</v>
      </c>
      <c r="C982" t="s">
        <v>88</v>
      </c>
      <c r="D982" s="10">
        <v>4095400000000</v>
      </c>
      <c r="E982" t="str">
        <f>$A982&amp;Keys!$C$54&amp;$B982&amp;Keys!$C$54&amp;$C982</f>
        <v>LA|imports|petroleum diesel</v>
      </c>
    </row>
    <row r="983" spans="1:5" x14ac:dyDescent="0.25">
      <c r="A983" t="s">
        <v>105</v>
      </c>
      <c r="B983" t="s">
        <v>193</v>
      </c>
      <c r="C983" t="s">
        <v>88</v>
      </c>
      <c r="D983" s="10">
        <v>1504930000000000</v>
      </c>
      <c r="E983" t="str">
        <f>$A983&amp;Keys!$C$54&amp;$B983&amp;Keys!$C$54&amp;$C983</f>
        <v>LA|exports|petroleum diesel</v>
      </c>
    </row>
    <row r="984" spans="1:5" x14ac:dyDescent="0.25">
      <c r="A984" t="s">
        <v>105</v>
      </c>
      <c r="B984" t="s">
        <v>188</v>
      </c>
      <c r="C984" t="s">
        <v>91</v>
      </c>
      <c r="D984" s="10">
        <v>0</v>
      </c>
      <c r="E984" t="str">
        <f>$A984&amp;Keys!$C$54&amp;$B984&amp;Keys!$C$54&amp;$C984</f>
        <v>LA|production|biofuel gasoline</v>
      </c>
    </row>
    <row r="985" spans="1:5" x14ac:dyDescent="0.25">
      <c r="A985" t="s">
        <v>105</v>
      </c>
      <c r="B985" t="s">
        <v>191</v>
      </c>
      <c r="C985" t="s">
        <v>91</v>
      </c>
      <c r="D985" s="10">
        <v>16553700000000</v>
      </c>
      <c r="E985" t="str">
        <f>$A985&amp;Keys!$C$54&amp;$B985&amp;Keys!$C$54&amp;$C985</f>
        <v>LA|imports|biofuel gasoline</v>
      </c>
    </row>
    <row r="986" spans="1:5" x14ac:dyDescent="0.25">
      <c r="A986" t="s">
        <v>105</v>
      </c>
      <c r="B986" t="s">
        <v>193</v>
      </c>
      <c r="C986" t="s">
        <v>91</v>
      </c>
      <c r="D986" s="10">
        <v>0</v>
      </c>
      <c r="E986" t="str">
        <f>$A986&amp;Keys!$C$54&amp;$B986&amp;Keys!$C$54&amp;$C986</f>
        <v>LA|exports|biofuel gasoline</v>
      </c>
    </row>
    <row r="987" spans="1:5" x14ac:dyDescent="0.25">
      <c r="A987" t="s">
        <v>105</v>
      </c>
      <c r="B987" t="s">
        <v>188</v>
      </c>
      <c r="C987" t="s">
        <v>94</v>
      </c>
      <c r="D987" s="10">
        <v>0</v>
      </c>
      <c r="E987" t="str">
        <f>$A987&amp;Keys!$C$54&amp;$B987&amp;Keys!$C$54&amp;$C987</f>
        <v>LA|production|biofuel diesel</v>
      </c>
    </row>
    <row r="988" spans="1:5" x14ac:dyDescent="0.25">
      <c r="A988" t="s">
        <v>105</v>
      </c>
      <c r="B988" t="s">
        <v>191</v>
      </c>
      <c r="C988" t="s">
        <v>94</v>
      </c>
      <c r="D988" s="10">
        <v>3298320000000</v>
      </c>
      <c r="E988" t="str">
        <f>$A988&amp;Keys!$C$54&amp;$B988&amp;Keys!$C$54&amp;$C988</f>
        <v>LA|imports|biofuel diesel</v>
      </c>
    </row>
    <row r="989" spans="1:5" x14ac:dyDescent="0.25">
      <c r="A989" t="s">
        <v>105</v>
      </c>
      <c r="B989" t="s">
        <v>193</v>
      </c>
      <c r="C989" t="s">
        <v>94</v>
      </c>
      <c r="D989" s="10">
        <v>0</v>
      </c>
      <c r="E989" t="str">
        <f>$A989&amp;Keys!$C$54&amp;$B989&amp;Keys!$C$54&amp;$C989</f>
        <v>LA|exports|biofuel diesel</v>
      </c>
    </row>
    <row r="990" spans="1:5" x14ac:dyDescent="0.25">
      <c r="A990" t="s">
        <v>105</v>
      </c>
      <c r="B990" t="s">
        <v>188</v>
      </c>
      <c r="C990" t="s">
        <v>97</v>
      </c>
      <c r="D990" s="10">
        <v>609521000000000</v>
      </c>
      <c r="E990" t="str">
        <f>$A990&amp;Keys!$C$54&amp;$B990&amp;Keys!$C$54&amp;$C990</f>
        <v>LA|production|jet fuel or kerosene</v>
      </c>
    </row>
    <row r="991" spans="1:5" x14ac:dyDescent="0.25">
      <c r="A991" t="s">
        <v>105</v>
      </c>
      <c r="B991" t="s">
        <v>191</v>
      </c>
      <c r="C991" t="s">
        <v>97</v>
      </c>
      <c r="D991" s="10">
        <v>0</v>
      </c>
      <c r="E991" t="str">
        <f>$A991&amp;Keys!$C$54&amp;$B991&amp;Keys!$C$54&amp;$C991</f>
        <v>LA|imports|jet fuel or kerosene</v>
      </c>
    </row>
    <row r="992" spans="1:5" x14ac:dyDescent="0.25">
      <c r="A992" t="s">
        <v>105</v>
      </c>
      <c r="B992" t="s">
        <v>193</v>
      </c>
      <c r="C992" t="s">
        <v>97</v>
      </c>
      <c r="D992" s="10">
        <v>588316000000000</v>
      </c>
      <c r="E992" t="str">
        <f>$A992&amp;Keys!$C$54&amp;$B992&amp;Keys!$C$54&amp;$C992</f>
        <v>LA|exports|jet fuel or kerosene</v>
      </c>
    </row>
    <row r="993" spans="1:5" x14ac:dyDescent="0.25">
      <c r="A993" t="s">
        <v>105</v>
      </c>
      <c r="B993" t="s">
        <v>188</v>
      </c>
      <c r="C993" t="s">
        <v>276</v>
      </c>
      <c r="D993" s="10">
        <v>0</v>
      </c>
      <c r="E993" t="str">
        <f>$A993&amp;Keys!$C$54&amp;$B993&amp;Keys!$C$54&amp;$C993</f>
        <v>LA|production|heat</v>
      </c>
    </row>
    <row r="994" spans="1:5" x14ac:dyDescent="0.25">
      <c r="A994" t="s">
        <v>105</v>
      </c>
      <c r="B994" t="s">
        <v>191</v>
      </c>
      <c r="C994" t="s">
        <v>276</v>
      </c>
      <c r="D994" s="10">
        <v>0</v>
      </c>
      <c r="E994" t="str">
        <f>$A994&amp;Keys!$C$54&amp;$B994&amp;Keys!$C$54&amp;$C994</f>
        <v>LA|imports|heat</v>
      </c>
    </row>
    <row r="995" spans="1:5" x14ac:dyDescent="0.25">
      <c r="A995" t="s">
        <v>105</v>
      </c>
      <c r="B995" t="s">
        <v>193</v>
      </c>
      <c r="C995" t="s">
        <v>276</v>
      </c>
      <c r="D995" s="10">
        <v>0</v>
      </c>
      <c r="E995" t="str">
        <f>$A995&amp;Keys!$C$54&amp;$B995&amp;Keys!$C$54&amp;$C995</f>
        <v>LA|exports|heat</v>
      </c>
    </row>
    <row r="996" spans="1:5" x14ac:dyDescent="0.25">
      <c r="A996" t="s">
        <v>105</v>
      </c>
      <c r="B996" t="s">
        <v>188</v>
      </c>
      <c r="C996" t="s">
        <v>277</v>
      </c>
      <c r="D996" s="10">
        <v>0</v>
      </c>
      <c r="E996" t="str">
        <f>$A996&amp;Keys!$C$54&amp;$B996&amp;Keys!$C$54&amp;$C996</f>
        <v>LA|production|geothermal</v>
      </c>
    </row>
    <row r="997" spans="1:5" x14ac:dyDescent="0.25">
      <c r="A997" t="s">
        <v>105</v>
      </c>
      <c r="B997" t="s">
        <v>191</v>
      </c>
      <c r="C997" t="s">
        <v>277</v>
      </c>
      <c r="D997" s="10">
        <v>0</v>
      </c>
      <c r="E997" t="str">
        <f>$A997&amp;Keys!$C$54&amp;$B997&amp;Keys!$C$54&amp;$C997</f>
        <v>LA|imports|geothermal</v>
      </c>
    </row>
    <row r="998" spans="1:5" x14ac:dyDescent="0.25">
      <c r="A998" t="s">
        <v>105</v>
      </c>
      <c r="B998" t="s">
        <v>193</v>
      </c>
      <c r="C998" t="s">
        <v>277</v>
      </c>
      <c r="D998" s="10">
        <v>0</v>
      </c>
      <c r="E998" t="str">
        <f>$A998&amp;Keys!$C$54&amp;$B998&amp;Keys!$C$54&amp;$C998</f>
        <v>LA|exports|geothermal</v>
      </c>
    </row>
    <row r="999" spans="1:5" x14ac:dyDescent="0.25">
      <c r="A999" t="s">
        <v>105</v>
      </c>
      <c r="B999" t="s">
        <v>188</v>
      </c>
      <c r="C999" t="s">
        <v>106</v>
      </c>
      <c r="D999" s="10">
        <v>3701240000000</v>
      </c>
      <c r="E999" t="str">
        <f>$A999&amp;Keys!$C$54&amp;$B999&amp;Keys!$C$54&amp;$C999</f>
        <v>LA|production|lignite</v>
      </c>
    </row>
    <row r="1000" spans="1:5" x14ac:dyDescent="0.25">
      <c r="A1000" t="s">
        <v>105</v>
      </c>
      <c r="B1000" t="s">
        <v>191</v>
      </c>
      <c r="C1000" t="s">
        <v>106</v>
      </c>
      <c r="D1000" s="10">
        <v>0</v>
      </c>
      <c r="E1000" t="str">
        <f>$A1000&amp;Keys!$C$54&amp;$B1000&amp;Keys!$C$54&amp;$C1000</f>
        <v>LA|imports|lignite</v>
      </c>
    </row>
    <row r="1001" spans="1:5" x14ac:dyDescent="0.25">
      <c r="A1001" t="s">
        <v>105</v>
      </c>
      <c r="B1001" t="s">
        <v>193</v>
      </c>
      <c r="C1001" t="s">
        <v>106</v>
      </c>
      <c r="D1001" s="10">
        <v>3701240000000</v>
      </c>
      <c r="E1001" t="str">
        <f>$A1001&amp;Keys!$C$54&amp;$B1001&amp;Keys!$C$54&amp;$C1001</f>
        <v>LA|exports|lignite</v>
      </c>
    </row>
    <row r="1002" spans="1:5" x14ac:dyDescent="0.25">
      <c r="A1002" t="s">
        <v>105</v>
      </c>
      <c r="B1002" t="s">
        <v>188</v>
      </c>
      <c r="C1002" t="s">
        <v>109</v>
      </c>
      <c r="D1002" s="10">
        <v>176082000000000</v>
      </c>
      <c r="E1002" t="str">
        <f>$A1002&amp;Keys!$C$54&amp;$B1002&amp;Keys!$C$54&amp;$C1002</f>
        <v>LA|production|crude oil</v>
      </c>
    </row>
    <row r="1003" spans="1:5" x14ac:dyDescent="0.25">
      <c r="A1003" t="s">
        <v>105</v>
      </c>
      <c r="B1003" t="s">
        <v>191</v>
      </c>
      <c r="C1003" t="s">
        <v>109</v>
      </c>
      <c r="D1003" s="10">
        <v>6496270000000000</v>
      </c>
      <c r="E1003" t="str">
        <f>$A1003&amp;Keys!$C$54&amp;$B1003&amp;Keys!$C$54&amp;$C1003</f>
        <v>LA|imports|crude oil</v>
      </c>
    </row>
    <row r="1004" spans="1:5" x14ac:dyDescent="0.25">
      <c r="A1004" t="s">
        <v>105</v>
      </c>
      <c r="B1004" t="s">
        <v>193</v>
      </c>
      <c r="C1004" t="s">
        <v>109</v>
      </c>
      <c r="D1004" s="10">
        <v>785728000000000</v>
      </c>
      <c r="E1004" t="str">
        <f>$A1004&amp;Keys!$C$54&amp;$B1004&amp;Keys!$C$54&amp;$C1004</f>
        <v>LA|exports|crude oil</v>
      </c>
    </row>
    <row r="1005" spans="1:5" x14ac:dyDescent="0.25">
      <c r="A1005" t="s">
        <v>105</v>
      </c>
      <c r="B1005" t="s">
        <v>188</v>
      </c>
      <c r="C1005" t="s">
        <v>114</v>
      </c>
      <c r="D1005" s="10">
        <v>118402000000000</v>
      </c>
      <c r="E1005" t="str">
        <f>$A1005&amp;Keys!$C$54&amp;$B1005&amp;Keys!$C$54&amp;$C1005</f>
        <v>LA|production|heavy or residual fuel oil</v>
      </c>
    </row>
    <row r="1006" spans="1:5" x14ac:dyDescent="0.25">
      <c r="A1006" t="s">
        <v>105</v>
      </c>
      <c r="B1006" t="s">
        <v>191</v>
      </c>
      <c r="C1006" t="s">
        <v>114</v>
      </c>
      <c r="D1006" s="10">
        <v>22248000000000</v>
      </c>
      <c r="E1006" t="str">
        <f>$A1006&amp;Keys!$C$54&amp;$B1006&amp;Keys!$C$54&amp;$C1006</f>
        <v>LA|imports|heavy or residual fuel oil</v>
      </c>
    </row>
    <row r="1007" spans="1:5" x14ac:dyDescent="0.25">
      <c r="A1007" t="s">
        <v>105</v>
      </c>
      <c r="B1007" t="s">
        <v>193</v>
      </c>
      <c r="C1007" t="s">
        <v>114</v>
      </c>
      <c r="D1007" s="10">
        <v>85101000000000</v>
      </c>
      <c r="E1007" t="str">
        <f>$A1007&amp;Keys!$C$54&amp;$B1007&amp;Keys!$C$54&amp;$C1007</f>
        <v>LA|exports|heavy or residual fuel oil</v>
      </c>
    </row>
    <row r="1008" spans="1:5" x14ac:dyDescent="0.25">
      <c r="A1008" t="s">
        <v>105</v>
      </c>
      <c r="B1008" t="s">
        <v>188</v>
      </c>
      <c r="C1008" t="s">
        <v>117</v>
      </c>
      <c r="D1008" s="10">
        <v>456137000000000</v>
      </c>
      <c r="E1008" t="str">
        <f>$A1008&amp;Keys!$C$54&amp;$B1008&amp;Keys!$C$54&amp;$C1008</f>
        <v>LA|production|LPG propane or butane</v>
      </c>
    </row>
    <row r="1009" spans="1:5" x14ac:dyDescent="0.25">
      <c r="A1009" t="s">
        <v>105</v>
      </c>
      <c r="B1009" t="s">
        <v>191</v>
      </c>
      <c r="C1009" t="s">
        <v>117</v>
      </c>
      <c r="D1009" s="10">
        <v>335865000000000</v>
      </c>
      <c r="E1009" t="str">
        <f>$A1009&amp;Keys!$C$54&amp;$B1009&amp;Keys!$C$54&amp;$C1009</f>
        <v>LA|imports|LPG propane or butane</v>
      </c>
    </row>
    <row r="1010" spans="1:5" x14ac:dyDescent="0.25">
      <c r="A1010" t="s">
        <v>105</v>
      </c>
      <c r="B1010" t="s">
        <v>193</v>
      </c>
      <c r="C1010" t="s">
        <v>117</v>
      </c>
      <c r="D1010" s="10">
        <v>0</v>
      </c>
      <c r="E1010" t="str">
        <f>$A1010&amp;Keys!$C$54&amp;$B1010&amp;Keys!$C$54&amp;$C1010</f>
        <v>LA|exports|LPG propane or butane</v>
      </c>
    </row>
    <row r="1011" spans="1:5" x14ac:dyDescent="0.25">
      <c r="A1011" t="s">
        <v>105</v>
      </c>
      <c r="B1011" t="s">
        <v>188</v>
      </c>
      <c r="C1011" t="s">
        <v>120</v>
      </c>
      <c r="D1011" s="10">
        <v>0</v>
      </c>
      <c r="E1011" t="str">
        <f>$A1011&amp;Keys!$C$54&amp;$B1011&amp;Keys!$C$54&amp;$C1011</f>
        <v>LA|production|municipal solid waste</v>
      </c>
    </row>
    <row r="1012" spans="1:5" x14ac:dyDescent="0.25">
      <c r="A1012" t="s">
        <v>105</v>
      </c>
      <c r="B1012" t="s">
        <v>191</v>
      </c>
      <c r="C1012" t="s">
        <v>120</v>
      </c>
      <c r="D1012" s="10">
        <v>0</v>
      </c>
      <c r="E1012" t="str">
        <f>$A1012&amp;Keys!$C$54&amp;$B1012&amp;Keys!$C$54&amp;$C1012</f>
        <v>LA|imports|municipal solid waste</v>
      </c>
    </row>
    <row r="1013" spans="1:5" x14ac:dyDescent="0.25">
      <c r="A1013" t="s">
        <v>105</v>
      </c>
      <c r="B1013" t="s">
        <v>193</v>
      </c>
      <c r="C1013" t="s">
        <v>120</v>
      </c>
      <c r="D1013" s="10">
        <v>0</v>
      </c>
      <c r="E1013" t="str">
        <f>$A1013&amp;Keys!$C$54&amp;$B1013&amp;Keys!$C$54&amp;$C1013</f>
        <v>LA|exports|municipal solid waste</v>
      </c>
    </row>
    <row r="1014" spans="1:5" x14ac:dyDescent="0.25">
      <c r="A1014" t="s">
        <v>105</v>
      </c>
      <c r="B1014" t="s">
        <v>188</v>
      </c>
      <c r="C1014" t="s">
        <v>123</v>
      </c>
      <c r="D1014" s="10">
        <v>13997800000000</v>
      </c>
      <c r="E1014" t="str">
        <f>$A1014&amp;Keys!$C$54&amp;$B1014&amp;Keys!$C$54&amp;$C1014</f>
        <v>LA|production|hydrogen</v>
      </c>
    </row>
    <row r="1015" spans="1:5" x14ac:dyDescent="0.25">
      <c r="A1015" t="s">
        <v>105</v>
      </c>
      <c r="B1015" t="s">
        <v>191</v>
      </c>
      <c r="C1015" t="s">
        <v>123</v>
      </c>
      <c r="D1015" s="10">
        <v>103135000000000</v>
      </c>
      <c r="E1015" t="str">
        <f>$A1015&amp;Keys!$C$54&amp;$B1015&amp;Keys!$C$54&amp;$C1015</f>
        <v>LA|imports|hydrogen</v>
      </c>
    </row>
    <row r="1016" spans="1:5" x14ac:dyDescent="0.25">
      <c r="A1016" t="s">
        <v>105</v>
      </c>
      <c r="B1016" t="s">
        <v>193</v>
      </c>
      <c r="C1016" t="s">
        <v>123</v>
      </c>
      <c r="D1016" s="10">
        <v>0</v>
      </c>
      <c r="E1016" t="str">
        <f>$A1016&amp;Keys!$C$54&amp;$B1016&amp;Keys!$C$54&amp;$C1016</f>
        <v>LA|exports|hydrogen</v>
      </c>
    </row>
    <row r="1017" spans="1:5" x14ac:dyDescent="0.25">
      <c r="A1017" t="s">
        <v>108</v>
      </c>
      <c r="B1017" t="s">
        <v>188</v>
      </c>
      <c r="C1017" t="s">
        <v>272</v>
      </c>
      <c r="D1017" s="10">
        <v>0</v>
      </c>
      <c r="E1017" t="str">
        <f>$A1017&amp;Keys!$C$54&amp;$B1017&amp;Keys!$C$54&amp;$C1017</f>
        <v>MA|production|electricity</v>
      </c>
    </row>
    <row r="1018" spans="1:5" x14ac:dyDescent="0.25">
      <c r="A1018" t="s">
        <v>108</v>
      </c>
      <c r="B1018" t="s">
        <v>191</v>
      </c>
      <c r="C1018" t="s">
        <v>272</v>
      </c>
      <c r="D1018" s="10">
        <v>0</v>
      </c>
      <c r="E1018" t="str">
        <f>$A1018&amp;Keys!$C$54&amp;$B1018&amp;Keys!$C$54&amp;$C1018</f>
        <v>MA|imports|electricity</v>
      </c>
    </row>
    <row r="1019" spans="1:5" x14ac:dyDescent="0.25">
      <c r="A1019" t="s">
        <v>108</v>
      </c>
      <c r="B1019" t="s">
        <v>193</v>
      </c>
      <c r="C1019" t="s">
        <v>272</v>
      </c>
      <c r="D1019" s="10">
        <v>0</v>
      </c>
      <c r="E1019" t="str">
        <f>$A1019&amp;Keys!$C$54&amp;$B1019&amp;Keys!$C$54&amp;$C1019</f>
        <v>MA|exports|electricity</v>
      </c>
    </row>
    <row r="1020" spans="1:5" x14ac:dyDescent="0.25">
      <c r="A1020" t="s">
        <v>108</v>
      </c>
      <c r="B1020" t="s">
        <v>188</v>
      </c>
      <c r="C1020" t="s">
        <v>64</v>
      </c>
      <c r="D1020" s="10">
        <v>0</v>
      </c>
      <c r="E1020" t="str">
        <f>$A1020&amp;Keys!$C$54&amp;$B1020&amp;Keys!$C$54&amp;$C1020</f>
        <v>MA|production|hard coal</v>
      </c>
    </row>
    <row r="1021" spans="1:5" x14ac:dyDescent="0.25">
      <c r="A1021" t="s">
        <v>108</v>
      </c>
      <c r="B1021" t="s">
        <v>191</v>
      </c>
      <c r="C1021" t="s">
        <v>64</v>
      </c>
      <c r="D1021" s="10">
        <v>0</v>
      </c>
      <c r="E1021" t="str">
        <f>$A1021&amp;Keys!$C$54&amp;$B1021&amp;Keys!$C$54&amp;$C1021</f>
        <v>MA|imports|hard coal</v>
      </c>
    </row>
    <row r="1022" spans="1:5" x14ac:dyDescent="0.25">
      <c r="A1022" t="s">
        <v>108</v>
      </c>
      <c r="B1022" t="s">
        <v>193</v>
      </c>
      <c r="C1022" t="s">
        <v>64</v>
      </c>
      <c r="D1022" s="10">
        <v>0</v>
      </c>
      <c r="E1022" t="str">
        <f>$A1022&amp;Keys!$C$54&amp;$B1022&amp;Keys!$C$54&amp;$C1022</f>
        <v>MA|exports|hard coal</v>
      </c>
    </row>
    <row r="1023" spans="1:5" x14ac:dyDescent="0.25">
      <c r="A1023" t="s">
        <v>108</v>
      </c>
      <c r="B1023" t="s">
        <v>188</v>
      </c>
      <c r="C1023" t="s">
        <v>68</v>
      </c>
      <c r="D1023" s="10">
        <v>0</v>
      </c>
      <c r="E1023" t="str">
        <f>$A1023&amp;Keys!$C$54&amp;$B1023&amp;Keys!$C$54&amp;$C1023</f>
        <v>MA|production|natural gas</v>
      </c>
    </row>
    <row r="1024" spans="1:5" x14ac:dyDescent="0.25">
      <c r="A1024" t="s">
        <v>108</v>
      </c>
      <c r="B1024" t="s">
        <v>191</v>
      </c>
      <c r="C1024" t="s">
        <v>68</v>
      </c>
      <c r="D1024" s="10">
        <v>472835000000000</v>
      </c>
      <c r="E1024" t="str">
        <f>$A1024&amp;Keys!$C$54&amp;$B1024&amp;Keys!$C$54&amp;$C1024</f>
        <v>MA|imports|natural gas</v>
      </c>
    </row>
    <row r="1025" spans="1:5" x14ac:dyDescent="0.25">
      <c r="A1025" t="s">
        <v>108</v>
      </c>
      <c r="B1025" t="s">
        <v>193</v>
      </c>
      <c r="C1025" t="s">
        <v>68</v>
      </c>
      <c r="D1025" s="10">
        <v>86455700000000</v>
      </c>
      <c r="E1025" t="str">
        <f>$A1025&amp;Keys!$C$54&amp;$B1025&amp;Keys!$C$54&amp;$C1025</f>
        <v>MA|exports|natural gas</v>
      </c>
    </row>
    <row r="1026" spans="1:5" x14ac:dyDescent="0.25">
      <c r="A1026" t="s">
        <v>108</v>
      </c>
      <c r="B1026" t="s">
        <v>188</v>
      </c>
      <c r="C1026" t="s">
        <v>71</v>
      </c>
      <c r="D1026" s="10">
        <v>0</v>
      </c>
      <c r="E1026" t="str">
        <f>$A1026&amp;Keys!$C$54&amp;$B1026&amp;Keys!$C$54&amp;$C1026</f>
        <v>MA|production|nuclear</v>
      </c>
    </row>
    <row r="1027" spans="1:5" x14ac:dyDescent="0.25">
      <c r="A1027" t="s">
        <v>108</v>
      </c>
      <c r="B1027" t="s">
        <v>191</v>
      </c>
      <c r="C1027" t="s">
        <v>71</v>
      </c>
      <c r="D1027" s="10">
        <v>0</v>
      </c>
      <c r="E1027" t="str">
        <f>$A1027&amp;Keys!$C$54&amp;$B1027&amp;Keys!$C$54&amp;$C1027</f>
        <v>MA|imports|nuclear</v>
      </c>
    </row>
    <row r="1028" spans="1:5" x14ac:dyDescent="0.25">
      <c r="A1028" t="s">
        <v>108</v>
      </c>
      <c r="B1028" t="s">
        <v>193</v>
      </c>
      <c r="C1028" t="s">
        <v>71</v>
      </c>
      <c r="D1028" s="10">
        <v>0</v>
      </c>
      <c r="E1028" t="str">
        <f>$A1028&amp;Keys!$C$54&amp;$B1028&amp;Keys!$C$54&amp;$C1028</f>
        <v>MA|exports|nuclear</v>
      </c>
    </row>
    <row r="1029" spans="1:5" x14ac:dyDescent="0.25">
      <c r="A1029" t="s">
        <v>108</v>
      </c>
      <c r="B1029" t="s">
        <v>188</v>
      </c>
      <c r="C1029" t="s">
        <v>273</v>
      </c>
      <c r="D1029" s="10">
        <v>0</v>
      </c>
      <c r="E1029" t="str">
        <f>$A1029&amp;Keys!$C$54&amp;$B1029&amp;Keys!$C$54&amp;$C1029</f>
        <v>MA|production|hydro</v>
      </c>
    </row>
    <row r="1030" spans="1:5" x14ac:dyDescent="0.25">
      <c r="A1030" t="s">
        <v>108</v>
      </c>
      <c r="B1030" t="s">
        <v>191</v>
      </c>
      <c r="C1030" t="s">
        <v>273</v>
      </c>
      <c r="D1030" s="10">
        <v>0</v>
      </c>
      <c r="E1030" t="str">
        <f>$A1030&amp;Keys!$C$54&amp;$B1030&amp;Keys!$C$54&amp;$C1030</f>
        <v>MA|imports|hydro</v>
      </c>
    </row>
    <row r="1031" spans="1:5" x14ac:dyDescent="0.25">
      <c r="A1031" t="s">
        <v>108</v>
      </c>
      <c r="B1031" t="s">
        <v>193</v>
      </c>
      <c r="C1031" t="s">
        <v>273</v>
      </c>
      <c r="D1031" s="10">
        <v>0</v>
      </c>
      <c r="E1031" t="str">
        <f>$A1031&amp;Keys!$C$54&amp;$B1031&amp;Keys!$C$54&amp;$C1031</f>
        <v>MA|exports|hydro</v>
      </c>
    </row>
    <row r="1032" spans="1:5" x14ac:dyDescent="0.25">
      <c r="A1032" t="s">
        <v>108</v>
      </c>
      <c r="B1032" t="s">
        <v>188</v>
      </c>
      <c r="C1032" t="s">
        <v>274</v>
      </c>
      <c r="D1032" s="10">
        <v>0</v>
      </c>
      <c r="E1032" t="str">
        <f>$A1032&amp;Keys!$C$54&amp;$B1032&amp;Keys!$C$54&amp;$C1032</f>
        <v>MA|production|wind</v>
      </c>
    </row>
    <row r="1033" spans="1:5" x14ac:dyDescent="0.25">
      <c r="A1033" t="s">
        <v>108</v>
      </c>
      <c r="B1033" t="s">
        <v>191</v>
      </c>
      <c r="C1033" t="s">
        <v>274</v>
      </c>
      <c r="D1033" s="10">
        <v>0</v>
      </c>
      <c r="E1033" t="str">
        <f>$A1033&amp;Keys!$C$54&amp;$B1033&amp;Keys!$C$54&amp;$C1033</f>
        <v>MA|imports|wind</v>
      </c>
    </row>
    <row r="1034" spans="1:5" x14ac:dyDescent="0.25">
      <c r="A1034" t="s">
        <v>108</v>
      </c>
      <c r="B1034" t="s">
        <v>193</v>
      </c>
      <c r="C1034" t="s">
        <v>274</v>
      </c>
      <c r="D1034" s="10">
        <v>0</v>
      </c>
      <c r="E1034" t="str">
        <f>$A1034&amp;Keys!$C$54&amp;$B1034&amp;Keys!$C$54&amp;$C1034</f>
        <v>MA|exports|wind</v>
      </c>
    </row>
    <row r="1035" spans="1:5" x14ac:dyDescent="0.25">
      <c r="A1035" t="s">
        <v>108</v>
      </c>
      <c r="B1035" t="s">
        <v>188</v>
      </c>
      <c r="C1035" t="s">
        <v>275</v>
      </c>
      <c r="D1035" s="10">
        <v>0</v>
      </c>
      <c r="E1035" t="str">
        <f>$A1035&amp;Keys!$C$54&amp;$B1035&amp;Keys!$C$54&amp;$C1035</f>
        <v>MA|production|solar</v>
      </c>
    </row>
    <row r="1036" spans="1:5" x14ac:dyDescent="0.25">
      <c r="A1036" t="s">
        <v>108</v>
      </c>
      <c r="B1036" t="s">
        <v>191</v>
      </c>
      <c r="C1036" t="s">
        <v>275</v>
      </c>
      <c r="D1036" s="10">
        <v>0</v>
      </c>
      <c r="E1036" t="str">
        <f>$A1036&amp;Keys!$C$54&amp;$B1036&amp;Keys!$C$54&amp;$C1036</f>
        <v>MA|imports|solar</v>
      </c>
    </row>
    <row r="1037" spans="1:5" x14ac:dyDescent="0.25">
      <c r="A1037" t="s">
        <v>108</v>
      </c>
      <c r="B1037" t="s">
        <v>193</v>
      </c>
      <c r="C1037" t="s">
        <v>275</v>
      </c>
      <c r="D1037" s="10">
        <v>0</v>
      </c>
      <c r="E1037" t="str">
        <f>$A1037&amp;Keys!$C$54&amp;$B1037&amp;Keys!$C$54&amp;$C1037</f>
        <v>MA|exports|solar</v>
      </c>
    </row>
    <row r="1038" spans="1:5" x14ac:dyDescent="0.25">
      <c r="A1038" t="s">
        <v>108</v>
      </c>
      <c r="B1038" t="s">
        <v>188</v>
      </c>
      <c r="C1038" t="s">
        <v>82</v>
      </c>
      <c r="D1038" s="10">
        <v>0</v>
      </c>
      <c r="E1038" t="str">
        <f>$A1038&amp;Keys!$C$54&amp;$B1038&amp;Keys!$C$54&amp;$C1038</f>
        <v>MA|production|biomass</v>
      </c>
    </row>
    <row r="1039" spans="1:5" x14ac:dyDescent="0.25">
      <c r="A1039" t="s">
        <v>108</v>
      </c>
      <c r="B1039" t="s">
        <v>191</v>
      </c>
      <c r="C1039" t="s">
        <v>82</v>
      </c>
      <c r="D1039" s="10">
        <v>26942500000000</v>
      </c>
      <c r="E1039" t="str">
        <f>$A1039&amp;Keys!$C$54&amp;$B1039&amp;Keys!$C$54&amp;$C1039</f>
        <v>MA|imports|biomass</v>
      </c>
    </row>
    <row r="1040" spans="1:5" x14ac:dyDescent="0.25">
      <c r="A1040" t="s">
        <v>108</v>
      </c>
      <c r="B1040" t="s">
        <v>193</v>
      </c>
      <c r="C1040" t="s">
        <v>82</v>
      </c>
      <c r="D1040" s="10">
        <v>0</v>
      </c>
      <c r="E1040" t="str">
        <f>$A1040&amp;Keys!$C$54&amp;$B1040&amp;Keys!$C$54&amp;$C1040</f>
        <v>MA|exports|biomass</v>
      </c>
    </row>
    <row r="1041" spans="1:5" x14ac:dyDescent="0.25">
      <c r="A1041" t="s">
        <v>108</v>
      </c>
      <c r="B1041" t="s">
        <v>188</v>
      </c>
      <c r="C1041" t="s">
        <v>85</v>
      </c>
      <c r="D1041" s="10">
        <v>0</v>
      </c>
      <c r="E1041" t="str">
        <f>$A1041&amp;Keys!$C$54&amp;$B1041&amp;Keys!$C$54&amp;$C1041</f>
        <v>MA|production|petroleum gasoline</v>
      </c>
    </row>
    <row r="1042" spans="1:5" x14ac:dyDescent="0.25">
      <c r="A1042" t="s">
        <v>108</v>
      </c>
      <c r="B1042" t="s">
        <v>191</v>
      </c>
      <c r="C1042" t="s">
        <v>85</v>
      </c>
      <c r="D1042" s="10">
        <v>267972000000000</v>
      </c>
      <c r="E1042" t="str">
        <f>$A1042&amp;Keys!$C$54&amp;$B1042&amp;Keys!$C$54&amp;$C1042</f>
        <v>MA|imports|petroleum gasoline</v>
      </c>
    </row>
    <row r="1043" spans="1:5" x14ac:dyDescent="0.25">
      <c r="A1043" t="s">
        <v>108</v>
      </c>
      <c r="B1043" t="s">
        <v>193</v>
      </c>
      <c r="C1043" t="s">
        <v>85</v>
      </c>
      <c r="D1043" s="10">
        <v>0</v>
      </c>
      <c r="E1043" t="str">
        <f>$A1043&amp;Keys!$C$54&amp;$B1043&amp;Keys!$C$54&amp;$C1043</f>
        <v>MA|exports|petroleum gasoline</v>
      </c>
    </row>
    <row r="1044" spans="1:5" x14ac:dyDescent="0.25">
      <c r="A1044" t="s">
        <v>108</v>
      </c>
      <c r="B1044" t="s">
        <v>188</v>
      </c>
      <c r="C1044" t="s">
        <v>88</v>
      </c>
      <c r="D1044" s="10">
        <v>0</v>
      </c>
      <c r="E1044" t="str">
        <f>$A1044&amp;Keys!$C$54&amp;$B1044&amp;Keys!$C$54&amp;$C1044</f>
        <v>MA|production|petroleum diesel</v>
      </c>
    </row>
    <row r="1045" spans="1:5" x14ac:dyDescent="0.25">
      <c r="A1045" t="s">
        <v>108</v>
      </c>
      <c r="B1045" t="s">
        <v>191</v>
      </c>
      <c r="C1045" t="s">
        <v>88</v>
      </c>
      <c r="D1045" s="10">
        <v>164395000000000</v>
      </c>
      <c r="E1045" t="str">
        <f>$A1045&amp;Keys!$C$54&amp;$B1045&amp;Keys!$C$54&amp;$C1045</f>
        <v>MA|imports|petroleum diesel</v>
      </c>
    </row>
    <row r="1046" spans="1:5" x14ac:dyDescent="0.25">
      <c r="A1046" t="s">
        <v>108</v>
      </c>
      <c r="B1046" t="s">
        <v>193</v>
      </c>
      <c r="C1046" t="s">
        <v>88</v>
      </c>
      <c r="D1046" s="10">
        <v>0</v>
      </c>
      <c r="E1046" t="str">
        <f>$A1046&amp;Keys!$C$54&amp;$B1046&amp;Keys!$C$54&amp;$C1046</f>
        <v>MA|exports|petroleum diesel</v>
      </c>
    </row>
    <row r="1047" spans="1:5" x14ac:dyDescent="0.25">
      <c r="A1047" t="s">
        <v>108</v>
      </c>
      <c r="B1047" t="s">
        <v>188</v>
      </c>
      <c r="C1047" t="s">
        <v>91</v>
      </c>
      <c r="D1047" s="10">
        <v>0</v>
      </c>
      <c r="E1047" t="str">
        <f>$A1047&amp;Keys!$C$54&amp;$B1047&amp;Keys!$C$54&amp;$C1047</f>
        <v>MA|production|biofuel gasoline</v>
      </c>
    </row>
    <row r="1048" spans="1:5" x14ac:dyDescent="0.25">
      <c r="A1048" t="s">
        <v>108</v>
      </c>
      <c r="B1048" t="s">
        <v>191</v>
      </c>
      <c r="C1048" t="s">
        <v>91</v>
      </c>
      <c r="D1048" s="10">
        <v>19669800000000</v>
      </c>
      <c r="E1048" t="str">
        <f>$A1048&amp;Keys!$C$54&amp;$B1048&amp;Keys!$C$54&amp;$C1048</f>
        <v>MA|imports|biofuel gasoline</v>
      </c>
    </row>
    <row r="1049" spans="1:5" x14ac:dyDescent="0.25">
      <c r="A1049" t="s">
        <v>108</v>
      </c>
      <c r="B1049" t="s">
        <v>193</v>
      </c>
      <c r="C1049" t="s">
        <v>91</v>
      </c>
      <c r="D1049" s="10">
        <v>0</v>
      </c>
      <c r="E1049" t="str">
        <f>$A1049&amp;Keys!$C$54&amp;$B1049&amp;Keys!$C$54&amp;$C1049</f>
        <v>MA|exports|biofuel gasoline</v>
      </c>
    </row>
    <row r="1050" spans="1:5" x14ac:dyDescent="0.25">
      <c r="A1050" t="s">
        <v>108</v>
      </c>
      <c r="B1050" t="s">
        <v>188</v>
      </c>
      <c r="C1050" t="s">
        <v>94</v>
      </c>
      <c r="D1050" s="10">
        <v>364868000000</v>
      </c>
      <c r="E1050" t="str">
        <f>$A1050&amp;Keys!$C$54&amp;$B1050&amp;Keys!$C$54&amp;$C1050</f>
        <v>MA|production|biofuel diesel</v>
      </c>
    </row>
    <row r="1051" spans="1:5" x14ac:dyDescent="0.25">
      <c r="A1051" t="s">
        <v>108</v>
      </c>
      <c r="B1051" t="s">
        <v>191</v>
      </c>
      <c r="C1051" t="s">
        <v>94</v>
      </c>
      <c r="D1051" s="10">
        <v>661062000000</v>
      </c>
      <c r="E1051" t="str">
        <f>$A1051&amp;Keys!$C$54&amp;$B1051&amp;Keys!$C$54&amp;$C1051</f>
        <v>MA|imports|biofuel diesel</v>
      </c>
    </row>
    <row r="1052" spans="1:5" x14ac:dyDescent="0.25">
      <c r="A1052" t="s">
        <v>108</v>
      </c>
      <c r="B1052" t="s">
        <v>193</v>
      </c>
      <c r="C1052" t="s">
        <v>94</v>
      </c>
      <c r="D1052" s="10">
        <v>0</v>
      </c>
      <c r="E1052" t="str">
        <f>$A1052&amp;Keys!$C$54&amp;$B1052&amp;Keys!$C$54&amp;$C1052</f>
        <v>MA|exports|biofuel diesel</v>
      </c>
    </row>
    <row r="1053" spans="1:5" x14ac:dyDescent="0.25">
      <c r="A1053" t="s">
        <v>108</v>
      </c>
      <c r="B1053" t="s">
        <v>188</v>
      </c>
      <c r="C1053" t="s">
        <v>97</v>
      </c>
      <c r="D1053" s="10">
        <v>0</v>
      </c>
      <c r="E1053" t="str">
        <f>$A1053&amp;Keys!$C$54&amp;$B1053&amp;Keys!$C$54&amp;$C1053</f>
        <v>MA|production|jet fuel or kerosene</v>
      </c>
    </row>
    <row r="1054" spans="1:5" x14ac:dyDescent="0.25">
      <c r="A1054" t="s">
        <v>108</v>
      </c>
      <c r="B1054" t="s">
        <v>191</v>
      </c>
      <c r="C1054" t="s">
        <v>97</v>
      </c>
      <c r="D1054" s="10">
        <v>73569500000000</v>
      </c>
      <c r="E1054" t="str">
        <f>$A1054&amp;Keys!$C$54&amp;$B1054&amp;Keys!$C$54&amp;$C1054</f>
        <v>MA|imports|jet fuel or kerosene</v>
      </c>
    </row>
    <row r="1055" spans="1:5" x14ac:dyDescent="0.25">
      <c r="A1055" t="s">
        <v>108</v>
      </c>
      <c r="B1055" t="s">
        <v>193</v>
      </c>
      <c r="C1055" t="s">
        <v>97</v>
      </c>
      <c r="D1055" s="10">
        <v>0</v>
      </c>
      <c r="E1055" t="str">
        <f>$A1055&amp;Keys!$C$54&amp;$B1055&amp;Keys!$C$54&amp;$C1055</f>
        <v>MA|exports|jet fuel or kerosene</v>
      </c>
    </row>
    <row r="1056" spans="1:5" x14ac:dyDescent="0.25">
      <c r="A1056" t="s">
        <v>108</v>
      </c>
      <c r="B1056" t="s">
        <v>188</v>
      </c>
      <c r="C1056" t="s">
        <v>276</v>
      </c>
      <c r="D1056" s="10">
        <v>0</v>
      </c>
      <c r="E1056" t="str">
        <f>$A1056&amp;Keys!$C$54&amp;$B1056&amp;Keys!$C$54&amp;$C1056</f>
        <v>MA|production|heat</v>
      </c>
    </row>
    <row r="1057" spans="1:5" x14ac:dyDescent="0.25">
      <c r="A1057" t="s">
        <v>108</v>
      </c>
      <c r="B1057" t="s">
        <v>191</v>
      </c>
      <c r="C1057" t="s">
        <v>276</v>
      </c>
      <c r="D1057" s="10">
        <v>0</v>
      </c>
      <c r="E1057" t="str">
        <f>$A1057&amp;Keys!$C$54&amp;$B1057&amp;Keys!$C$54&amp;$C1057</f>
        <v>MA|imports|heat</v>
      </c>
    </row>
    <row r="1058" spans="1:5" x14ac:dyDescent="0.25">
      <c r="A1058" t="s">
        <v>108</v>
      </c>
      <c r="B1058" t="s">
        <v>193</v>
      </c>
      <c r="C1058" t="s">
        <v>276</v>
      </c>
      <c r="D1058" s="10">
        <v>0</v>
      </c>
      <c r="E1058" t="str">
        <f>$A1058&amp;Keys!$C$54&amp;$B1058&amp;Keys!$C$54&amp;$C1058</f>
        <v>MA|exports|heat</v>
      </c>
    </row>
    <row r="1059" spans="1:5" x14ac:dyDescent="0.25">
      <c r="A1059" t="s">
        <v>108</v>
      </c>
      <c r="B1059" t="s">
        <v>188</v>
      </c>
      <c r="C1059" t="s">
        <v>277</v>
      </c>
      <c r="D1059" s="10">
        <v>0</v>
      </c>
      <c r="E1059" t="str">
        <f>$A1059&amp;Keys!$C$54&amp;$B1059&amp;Keys!$C$54&amp;$C1059</f>
        <v>MA|production|geothermal</v>
      </c>
    </row>
    <row r="1060" spans="1:5" x14ac:dyDescent="0.25">
      <c r="A1060" t="s">
        <v>108</v>
      </c>
      <c r="B1060" t="s">
        <v>191</v>
      </c>
      <c r="C1060" t="s">
        <v>277</v>
      </c>
      <c r="D1060" s="10">
        <v>0</v>
      </c>
      <c r="E1060" t="str">
        <f>$A1060&amp;Keys!$C$54&amp;$B1060&amp;Keys!$C$54&amp;$C1060</f>
        <v>MA|imports|geothermal</v>
      </c>
    </row>
    <row r="1061" spans="1:5" x14ac:dyDescent="0.25">
      <c r="A1061" t="s">
        <v>108</v>
      </c>
      <c r="B1061" t="s">
        <v>193</v>
      </c>
      <c r="C1061" t="s">
        <v>277</v>
      </c>
      <c r="D1061" s="10">
        <v>0</v>
      </c>
      <c r="E1061" t="str">
        <f>$A1061&amp;Keys!$C$54&amp;$B1061&amp;Keys!$C$54&amp;$C1061</f>
        <v>MA|exports|geothermal</v>
      </c>
    </row>
    <row r="1062" spans="1:5" x14ac:dyDescent="0.25">
      <c r="A1062" t="s">
        <v>108</v>
      </c>
      <c r="B1062" t="s">
        <v>188</v>
      </c>
      <c r="C1062" t="s">
        <v>106</v>
      </c>
      <c r="D1062" s="10">
        <v>0</v>
      </c>
      <c r="E1062" t="str">
        <f>$A1062&amp;Keys!$C$54&amp;$B1062&amp;Keys!$C$54&amp;$C1062</f>
        <v>MA|production|lignite</v>
      </c>
    </row>
    <row r="1063" spans="1:5" x14ac:dyDescent="0.25">
      <c r="A1063" t="s">
        <v>108</v>
      </c>
      <c r="B1063" t="s">
        <v>191</v>
      </c>
      <c r="C1063" t="s">
        <v>106</v>
      </c>
      <c r="D1063" s="10">
        <v>0</v>
      </c>
      <c r="E1063" t="str">
        <f>$A1063&amp;Keys!$C$54&amp;$B1063&amp;Keys!$C$54&amp;$C1063</f>
        <v>MA|imports|lignite</v>
      </c>
    </row>
    <row r="1064" spans="1:5" x14ac:dyDescent="0.25">
      <c r="A1064" t="s">
        <v>108</v>
      </c>
      <c r="B1064" t="s">
        <v>193</v>
      </c>
      <c r="C1064" t="s">
        <v>106</v>
      </c>
      <c r="D1064" s="10">
        <v>0</v>
      </c>
      <c r="E1064" t="str">
        <f>$A1064&amp;Keys!$C$54&amp;$B1064&amp;Keys!$C$54&amp;$C1064</f>
        <v>MA|exports|lignite</v>
      </c>
    </row>
    <row r="1065" spans="1:5" x14ac:dyDescent="0.25">
      <c r="A1065" t="s">
        <v>108</v>
      </c>
      <c r="B1065" t="s">
        <v>188</v>
      </c>
      <c r="C1065" t="s">
        <v>109</v>
      </c>
      <c r="D1065" s="10">
        <v>0</v>
      </c>
      <c r="E1065" t="str">
        <f>$A1065&amp;Keys!$C$54&amp;$B1065&amp;Keys!$C$54&amp;$C1065</f>
        <v>MA|production|crude oil</v>
      </c>
    </row>
    <row r="1066" spans="1:5" x14ac:dyDescent="0.25">
      <c r="A1066" t="s">
        <v>108</v>
      </c>
      <c r="B1066" t="s">
        <v>191</v>
      </c>
      <c r="C1066" t="s">
        <v>109</v>
      </c>
      <c r="D1066" s="10">
        <v>1395000000000</v>
      </c>
      <c r="E1066" t="str">
        <f>$A1066&amp;Keys!$C$54&amp;$B1066&amp;Keys!$C$54&amp;$C1066</f>
        <v>MA|imports|crude oil</v>
      </c>
    </row>
    <row r="1067" spans="1:5" x14ac:dyDescent="0.25">
      <c r="A1067" t="s">
        <v>108</v>
      </c>
      <c r="B1067" t="s">
        <v>193</v>
      </c>
      <c r="C1067" t="s">
        <v>109</v>
      </c>
      <c r="D1067" s="10">
        <v>0</v>
      </c>
      <c r="E1067" t="str">
        <f>$A1067&amp;Keys!$C$54&amp;$B1067&amp;Keys!$C$54&amp;$C1067</f>
        <v>MA|exports|crude oil</v>
      </c>
    </row>
    <row r="1068" spans="1:5" x14ac:dyDescent="0.25">
      <c r="A1068" t="s">
        <v>108</v>
      </c>
      <c r="B1068" t="s">
        <v>188</v>
      </c>
      <c r="C1068" t="s">
        <v>114</v>
      </c>
      <c r="D1068" s="10">
        <v>0</v>
      </c>
      <c r="E1068" t="str">
        <f>$A1068&amp;Keys!$C$54&amp;$B1068&amp;Keys!$C$54&amp;$C1068</f>
        <v>MA|production|heavy or residual fuel oil</v>
      </c>
    </row>
    <row r="1069" spans="1:5" x14ac:dyDescent="0.25">
      <c r="A1069" t="s">
        <v>108</v>
      </c>
      <c r="B1069" t="s">
        <v>191</v>
      </c>
      <c r="C1069" t="s">
        <v>114</v>
      </c>
      <c r="D1069" s="10">
        <v>14926900000000</v>
      </c>
      <c r="E1069" t="str">
        <f>$A1069&amp;Keys!$C$54&amp;$B1069&amp;Keys!$C$54&amp;$C1069</f>
        <v>MA|imports|heavy or residual fuel oil</v>
      </c>
    </row>
    <row r="1070" spans="1:5" x14ac:dyDescent="0.25">
      <c r="A1070" t="s">
        <v>108</v>
      </c>
      <c r="B1070" t="s">
        <v>193</v>
      </c>
      <c r="C1070" t="s">
        <v>114</v>
      </c>
      <c r="D1070" s="10">
        <v>0</v>
      </c>
      <c r="E1070" t="str">
        <f>$A1070&amp;Keys!$C$54&amp;$B1070&amp;Keys!$C$54&amp;$C1070</f>
        <v>MA|exports|heavy or residual fuel oil</v>
      </c>
    </row>
    <row r="1071" spans="1:5" x14ac:dyDescent="0.25">
      <c r="A1071" t="s">
        <v>108</v>
      </c>
      <c r="B1071" t="s">
        <v>188</v>
      </c>
      <c r="C1071" t="s">
        <v>117</v>
      </c>
      <c r="D1071" s="10">
        <v>0</v>
      </c>
      <c r="E1071" t="str">
        <f>$A1071&amp;Keys!$C$54&amp;$B1071&amp;Keys!$C$54&amp;$C1071</f>
        <v>MA|production|LPG propane or butane</v>
      </c>
    </row>
    <row r="1072" spans="1:5" x14ac:dyDescent="0.25">
      <c r="A1072" t="s">
        <v>108</v>
      </c>
      <c r="B1072" t="s">
        <v>191</v>
      </c>
      <c r="C1072" t="s">
        <v>117</v>
      </c>
      <c r="D1072" s="10">
        <v>14622600000000</v>
      </c>
      <c r="E1072" t="str">
        <f>$A1072&amp;Keys!$C$54&amp;$B1072&amp;Keys!$C$54&amp;$C1072</f>
        <v>MA|imports|LPG propane or butane</v>
      </c>
    </row>
    <row r="1073" spans="1:5" x14ac:dyDescent="0.25">
      <c r="A1073" t="s">
        <v>108</v>
      </c>
      <c r="B1073" t="s">
        <v>193</v>
      </c>
      <c r="C1073" t="s">
        <v>117</v>
      </c>
      <c r="D1073" s="10">
        <v>0</v>
      </c>
      <c r="E1073" t="str">
        <f>$A1073&amp;Keys!$C$54&amp;$B1073&amp;Keys!$C$54&amp;$C1073</f>
        <v>MA|exports|LPG propane or butane</v>
      </c>
    </row>
    <row r="1074" spans="1:5" x14ac:dyDescent="0.25">
      <c r="A1074" t="s">
        <v>108</v>
      </c>
      <c r="B1074" t="s">
        <v>188</v>
      </c>
      <c r="C1074" t="s">
        <v>120</v>
      </c>
      <c r="D1074" s="10">
        <v>0</v>
      </c>
      <c r="E1074" t="str">
        <f>$A1074&amp;Keys!$C$54&amp;$B1074&amp;Keys!$C$54&amp;$C1074</f>
        <v>MA|production|municipal solid waste</v>
      </c>
    </row>
    <row r="1075" spans="1:5" x14ac:dyDescent="0.25">
      <c r="A1075" t="s">
        <v>108</v>
      </c>
      <c r="B1075" t="s">
        <v>191</v>
      </c>
      <c r="C1075" t="s">
        <v>120</v>
      </c>
      <c r="D1075" s="10">
        <v>13031200000000</v>
      </c>
      <c r="E1075" t="str">
        <f>$A1075&amp;Keys!$C$54&amp;$B1075&amp;Keys!$C$54&amp;$C1075</f>
        <v>MA|imports|municipal solid waste</v>
      </c>
    </row>
    <row r="1076" spans="1:5" x14ac:dyDescent="0.25">
      <c r="A1076" t="s">
        <v>108</v>
      </c>
      <c r="B1076" t="s">
        <v>193</v>
      </c>
      <c r="C1076" t="s">
        <v>120</v>
      </c>
      <c r="D1076" s="10">
        <v>0</v>
      </c>
      <c r="E1076" t="str">
        <f>$A1076&amp;Keys!$C$54&amp;$B1076&amp;Keys!$C$54&amp;$C1076</f>
        <v>MA|exports|municipal solid waste</v>
      </c>
    </row>
    <row r="1077" spans="1:5" x14ac:dyDescent="0.25">
      <c r="A1077" t="s">
        <v>108</v>
      </c>
      <c r="B1077" t="s">
        <v>188</v>
      </c>
      <c r="C1077" t="s">
        <v>123</v>
      </c>
      <c r="D1077" s="10">
        <v>0</v>
      </c>
      <c r="E1077" t="str">
        <f>$A1077&amp;Keys!$C$54&amp;$B1077&amp;Keys!$C$54&amp;$C1077</f>
        <v>MA|production|hydrogen</v>
      </c>
    </row>
    <row r="1078" spans="1:5" x14ac:dyDescent="0.25">
      <c r="A1078" t="s">
        <v>108</v>
      </c>
      <c r="B1078" t="s">
        <v>191</v>
      </c>
      <c r="C1078" t="s">
        <v>123</v>
      </c>
      <c r="D1078" s="10">
        <v>458087000</v>
      </c>
      <c r="E1078" t="str">
        <f>$A1078&amp;Keys!$C$54&amp;$B1078&amp;Keys!$C$54&amp;$C1078</f>
        <v>MA|imports|hydrogen</v>
      </c>
    </row>
    <row r="1079" spans="1:5" x14ac:dyDescent="0.25">
      <c r="A1079" t="s">
        <v>108</v>
      </c>
      <c r="B1079" t="s">
        <v>193</v>
      </c>
      <c r="C1079" t="s">
        <v>123</v>
      </c>
      <c r="D1079" s="10">
        <v>0</v>
      </c>
      <c r="E1079" t="str">
        <f>$A1079&amp;Keys!$C$54&amp;$B1079&amp;Keys!$C$54&amp;$C1079</f>
        <v>MA|exports|hydrogen</v>
      </c>
    </row>
    <row r="1080" spans="1:5" x14ac:dyDescent="0.25">
      <c r="A1080" t="s">
        <v>112</v>
      </c>
      <c r="B1080" t="s">
        <v>188</v>
      </c>
      <c r="C1080" t="s">
        <v>272</v>
      </c>
      <c r="D1080" s="10">
        <v>0</v>
      </c>
      <c r="E1080" t="str">
        <f>$A1080&amp;Keys!$C$54&amp;$B1080&amp;Keys!$C$54&amp;$C1080</f>
        <v>MD|production|electricity</v>
      </c>
    </row>
    <row r="1081" spans="1:5" x14ac:dyDescent="0.25">
      <c r="A1081" t="s">
        <v>112</v>
      </c>
      <c r="B1081" t="s">
        <v>191</v>
      </c>
      <c r="C1081" t="s">
        <v>272</v>
      </c>
      <c r="D1081" s="10">
        <v>0</v>
      </c>
      <c r="E1081" t="str">
        <f>$A1081&amp;Keys!$C$54&amp;$B1081&amp;Keys!$C$54&amp;$C1081</f>
        <v>MD|imports|electricity</v>
      </c>
    </row>
    <row r="1082" spans="1:5" x14ac:dyDescent="0.25">
      <c r="A1082" t="s">
        <v>112</v>
      </c>
      <c r="B1082" t="s">
        <v>193</v>
      </c>
      <c r="C1082" t="s">
        <v>272</v>
      </c>
      <c r="D1082" s="10">
        <v>0</v>
      </c>
      <c r="E1082" t="str">
        <f>$A1082&amp;Keys!$C$54&amp;$B1082&amp;Keys!$C$54&amp;$C1082</f>
        <v>MD|exports|electricity</v>
      </c>
    </row>
    <row r="1083" spans="1:5" x14ac:dyDescent="0.25">
      <c r="A1083" t="s">
        <v>112</v>
      </c>
      <c r="B1083" t="s">
        <v>188</v>
      </c>
      <c r="C1083" t="s">
        <v>64</v>
      </c>
      <c r="D1083" s="10">
        <v>27079000000000</v>
      </c>
      <c r="E1083" t="str">
        <f>$A1083&amp;Keys!$C$54&amp;$B1083&amp;Keys!$C$54&amp;$C1083</f>
        <v>MD|production|hard coal</v>
      </c>
    </row>
    <row r="1084" spans="1:5" x14ac:dyDescent="0.25">
      <c r="A1084" t="s">
        <v>112</v>
      </c>
      <c r="B1084" t="s">
        <v>191</v>
      </c>
      <c r="C1084" t="s">
        <v>64</v>
      </c>
      <c r="D1084" s="10">
        <v>23347800000000</v>
      </c>
      <c r="E1084" t="str">
        <f>$A1084&amp;Keys!$C$54&amp;$B1084&amp;Keys!$C$54&amp;$C1084</f>
        <v>MD|imports|hard coal</v>
      </c>
    </row>
    <row r="1085" spans="1:5" x14ac:dyDescent="0.25">
      <c r="A1085" t="s">
        <v>112</v>
      </c>
      <c r="B1085" t="s">
        <v>193</v>
      </c>
      <c r="C1085" t="s">
        <v>64</v>
      </c>
      <c r="D1085" s="10">
        <v>7523380000000</v>
      </c>
      <c r="E1085" t="str">
        <f>$A1085&amp;Keys!$C$54&amp;$B1085&amp;Keys!$C$54&amp;$C1085</f>
        <v>MD|exports|hard coal</v>
      </c>
    </row>
    <row r="1086" spans="1:5" x14ac:dyDescent="0.25">
      <c r="A1086" t="s">
        <v>112</v>
      </c>
      <c r="B1086" t="s">
        <v>188</v>
      </c>
      <c r="C1086" t="s">
        <v>68</v>
      </c>
      <c r="D1086" s="10">
        <v>5185000000</v>
      </c>
      <c r="E1086" t="str">
        <f>$A1086&amp;Keys!$C$54&amp;$B1086&amp;Keys!$C$54&amp;$C1086</f>
        <v>MD|production|natural gas</v>
      </c>
    </row>
    <row r="1087" spans="1:5" x14ac:dyDescent="0.25">
      <c r="A1087" t="s">
        <v>112</v>
      </c>
      <c r="B1087" t="s">
        <v>191</v>
      </c>
      <c r="C1087" t="s">
        <v>68</v>
      </c>
      <c r="D1087" s="10">
        <v>1580020000000000</v>
      </c>
      <c r="E1087" t="str">
        <f>$A1087&amp;Keys!$C$54&amp;$B1087&amp;Keys!$C$54&amp;$C1087</f>
        <v>MD|imports|natural gas</v>
      </c>
    </row>
    <row r="1088" spans="1:5" x14ac:dyDescent="0.25">
      <c r="A1088" t="s">
        <v>112</v>
      </c>
      <c r="B1088" t="s">
        <v>193</v>
      </c>
      <c r="C1088" t="s">
        <v>68</v>
      </c>
      <c r="D1088" s="10">
        <v>1275920000000000</v>
      </c>
      <c r="E1088" t="str">
        <f>$A1088&amp;Keys!$C$54&amp;$B1088&amp;Keys!$C$54&amp;$C1088</f>
        <v>MD|exports|natural gas</v>
      </c>
    </row>
    <row r="1089" spans="1:5" x14ac:dyDescent="0.25">
      <c r="A1089" t="s">
        <v>112</v>
      </c>
      <c r="B1089" t="s">
        <v>188</v>
      </c>
      <c r="C1089" t="s">
        <v>71</v>
      </c>
      <c r="D1089" s="10">
        <v>0</v>
      </c>
      <c r="E1089" t="str">
        <f>$A1089&amp;Keys!$C$54&amp;$B1089&amp;Keys!$C$54&amp;$C1089</f>
        <v>MD|production|nuclear</v>
      </c>
    </row>
    <row r="1090" spans="1:5" x14ac:dyDescent="0.25">
      <c r="A1090" t="s">
        <v>112</v>
      </c>
      <c r="B1090" t="s">
        <v>191</v>
      </c>
      <c r="C1090" t="s">
        <v>71</v>
      </c>
      <c r="D1090" s="10">
        <v>154500000000000</v>
      </c>
      <c r="E1090" t="str">
        <f>$A1090&amp;Keys!$C$54&amp;$B1090&amp;Keys!$C$54&amp;$C1090</f>
        <v>MD|imports|nuclear</v>
      </c>
    </row>
    <row r="1091" spans="1:5" x14ac:dyDescent="0.25">
      <c r="A1091" t="s">
        <v>112</v>
      </c>
      <c r="B1091" t="s">
        <v>193</v>
      </c>
      <c r="C1091" t="s">
        <v>71</v>
      </c>
      <c r="D1091" s="10">
        <v>0</v>
      </c>
      <c r="E1091" t="str">
        <f>$A1091&amp;Keys!$C$54&amp;$B1091&amp;Keys!$C$54&amp;$C1091</f>
        <v>MD|exports|nuclear</v>
      </c>
    </row>
    <row r="1092" spans="1:5" x14ac:dyDescent="0.25">
      <c r="A1092" t="s">
        <v>112</v>
      </c>
      <c r="B1092" t="s">
        <v>188</v>
      </c>
      <c r="C1092" t="s">
        <v>273</v>
      </c>
      <c r="D1092" s="10">
        <v>0</v>
      </c>
      <c r="E1092" t="str">
        <f>$A1092&amp;Keys!$C$54&amp;$B1092&amp;Keys!$C$54&amp;$C1092</f>
        <v>MD|production|hydro</v>
      </c>
    </row>
    <row r="1093" spans="1:5" x14ac:dyDescent="0.25">
      <c r="A1093" t="s">
        <v>112</v>
      </c>
      <c r="B1093" t="s">
        <v>191</v>
      </c>
      <c r="C1093" t="s">
        <v>273</v>
      </c>
      <c r="D1093" s="10">
        <v>0</v>
      </c>
      <c r="E1093" t="str">
        <f>$A1093&amp;Keys!$C$54&amp;$B1093&amp;Keys!$C$54&amp;$C1093</f>
        <v>MD|imports|hydro</v>
      </c>
    </row>
    <row r="1094" spans="1:5" x14ac:dyDescent="0.25">
      <c r="A1094" t="s">
        <v>112</v>
      </c>
      <c r="B1094" t="s">
        <v>193</v>
      </c>
      <c r="C1094" t="s">
        <v>273</v>
      </c>
      <c r="D1094" s="10">
        <v>0</v>
      </c>
      <c r="E1094" t="str">
        <f>$A1094&amp;Keys!$C$54&amp;$B1094&amp;Keys!$C$54&amp;$C1094</f>
        <v>MD|exports|hydro</v>
      </c>
    </row>
    <row r="1095" spans="1:5" x14ac:dyDescent="0.25">
      <c r="A1095" t="s">
        <v>112</v>
      </c>
      <c r="B1095" t="s">
        <v>188</v>
      </c>
      <c r="C1095" t="s">
        <v>274</v>
      </c>
      <c r="D1095" s="10">
        <v>0</v>
      </c>
      <c r="E1095" t="str">
        <f>$A1095&amp;Keys!$C$54&amp;$B1095&amp;Keys!$C$54&amp;$C1095</f>
        <v>MD|production|wind</v>
      </c>
    </row>
    <row r="1096" spans="1:5" x14ac:dyDescent="0.25">
      <c r="A1096" t="s">
        <v>112</v>
      </c>
      <c r="B1096" t="s">
        <v>191</v>
      </c>
      <c r="C1096" t="s">
        <v>274</v>
      </c>
      <c r="D1096" s="10">
        <v>0</v>
      </c>
      <c r="E1096" t="str">
        <f>$A1096&amp;Keys!$C$54&amp;$B1096&amp;Keys!$C$54&amp;$C1096</f>
        <v>MD|imports|wind</v>
      </c>
    </row>
    <row r="1097" spans="1:5" x14ac:dyDescent="0.25">
      <c r="A1097" t="s">
        <v>112</v>
      </c>
      <c r="B1097" t="s">
        <v>193</v>
      </c>
      <c r="C1097" t="s">
        <v>274</v>
      </c>
      <c r="D1097" s="10">
        <v>0</v>
      </c>
      <c r="E1097" t="str">
        <f>$A1097&amp;Keys!$C$54&amp;$B1097&amp;Keys!$C$54&amp;$C1097</f>
        <v>MD|exports|wind</v>
      </c>
    </row>
    <row r="1098" spans="1:5" x14ac:dyDescent="0.25">
      <c r="A1098" t="s">
        <v>112</v>
      </c>
      <c r="B1098" t="s">
        <v>188</v>
      </c>
      <c r="C1098" t="s">
        <v>275</v>
      </c>
      <c r="D1098" s="10">
        <v>0</v>
      </c>
      <c r="E1098" t="str">
        <f>$A1098&amp;Keys!$C$54&amp;$B1098&amp;Keys!$C$54&amp;$C1098</f>
        <v>MD|production|solar</v>
      </c>
    </row>
    <row r="1099" spans="1:5" x14ac:dyDescent="0.25">
      <c r="A1099" t="s">
        <v>112</v>
      </c>
      <c r="B1099" t="s">
        <v>191</v>
      </c>
      <c r="C1099" t="s">
        <v>275</v>
      </c>
      <c r="D1099" s="10">
        <v>0</v>
      </c>
      <c r="E1099" t="str">
        <f>$A1099&amp;Keys!$C$54&amp;$B1099&amp;Keys!$C$54&amp;$C1099</f>
        <v>MD|imports|solar</v>
      </c>
    </row>
    <row r="1100" spans="1:5" x14ac:dyDescent="0.25">
      <c r="A1100" t="s">
        <v>112</v>
      </c>
      <c r="B1100" t="s">
        <v>193</v>
      </c>
      <c r="C1100" t="s">
        <v>275</v>
      </c>
      <c r="D1100" s="10">
        <v>0</v>
      </c>
      <c r="E1100" t="str">
        <f>$A1100&amp;Keys!$C$54&amp;$B1100&amp;Keys!$C$54&amp;$C1100</f>
        <v>MD|exports|solar</v>
      </c>
    </row>
    <row r="1101" spans="1:5" x14ac:dyDescent="0.25">
      <c r="A1101" t="s">
        <v>112</v>
      </c>
      <c r="B1101" t="s">
        <v>188</v>
      </c>
      <c r="C1101" t="s">
        <v>82</v>
      </c>
      <c r="D1101" s="10">
        <v>0</v>
      </c>
      <c r="E1101" t="str">
        <f>$A1101&amp;Keys!$C$54&amp;$B1101&amp;Keys!$C$54&amp;$C1101</f>
        <v>MD|production|biomass</v>
      </c>
    </row>
    <row r="1102" spans="1:5" x14ac:dyDescent="0.25">
      <c r="A1102" t="s">
        <v>112</v>
      </c>
      <c r="B1102" t="s">
        <v>191</v>
      </c>
      <c r="C1102" t="s">
        <v>82</v>
      </c>
      <c r="D1102" s="10">
        <v>8008320000000</v>
      </c>
      <c r="E1102" t="str">
        <f>$A1102&amp;Keys!$C$54&amp;$B1102&amp;Keys!$C$54&amp;$C1102</f>
        <v>MD|imports|biomass</v>
      </c>
    </row>
    <row r="1103" spans="1:5" x14ac:dyDescent="0.25">
      <c r="A1103" t="s">
        <v>112</v>
      </c>
      <c r="B1103" t="s">
        <v>193</v>
      </c>
      <c r="C1103" t="s">
        <v>82</v>
      </c>
      <c r="D1103" s="10">
        <v>0</v>
      </c>
      <c r="E1103" t="str">
        <f>$A1103&amp;Keys!$C$54&amp;$B1103&amp;Keys!$C$54&amp;$C1103</f>
        <v>MD|exports|biomass</v>
      </c>
    </row>
    <row r="1104" spans="1:5" x14ac:dyDescent="0.25">
      <c r="A1104" t="s">
        <v>112</v>
      </c>
      <c r="B1104" t="s">
        <v>188</v>
      </c>
      <c r="C1104" t="s">
        <v>85</v>
      </c>
      <c r="D1104" s="10">
        <v>0</v>
      </c>
      <c r="E1104" t="str">
        <f>$A1104&amp;Keys!$C$54&amp;$B1104&amp;Keys!$C$54&amp;$C1104</f>
        <v>MD|production|petroleum gasoline</v>
      </c>
    </row>
    <row r="1105" spans="1:5" x14ac:dyDescent="0.25">
      <c r="A1105" t="s">
        <v>112</v>
      </c>
      <c r="B1105" t="s">
        <v>191</v>
      </c>
      <c r="C1105" t="s">
        <v>85</v>
      </c>
      <c r="D1105" s="10">
        <v>251218000000000</v>
      </c>
      <c r="E1105" t="str">
        <f>$A1105&amp;Keys!$C$54&amp;$B1105&amp;Keys!$C$54&amp;$C1105</f>
        <v>MD|imports|petroleum gasoline</v>
      </c>
    </row>
    <row r="1106" spans="1:5" x14ac:dyDescent="0.25">
      <c r="A1106" t="s">
        <v>112</v>
      </c>
      <c r="B1106" t="s">
        <v>193</v>
      </c>
      <c r="C1106" t="s">
        <v>85</v>
      </c>
      <c r="D1106" s="10">
        <v>0</v>
      </c>
      <c r="E1106" t="str">
        <f>$A1106&amp;Keys!$C$54&amp;$B1106&amp;Keys!$C$54&amp;$C1106</f>
        <v>MD|exports|petroleum gasoline</v>
      </c>
    </row>
    <row r="1107" spans="1:5" x14ac:dyDescent="0.25">
      <c r="A1107" t="s">
        <v>112</v>
      </c>
      <c r="B1107" t="s">
        <v>188</v>
      </c>
      <c r="C1107" t="s">
        <v>88</v>
      </c>
      <c r="D1107" s="10">
        <v>0</v>
      </c>
      <c r="E1107" t="str">
        <f>$A1107&amp;Keys!$C$54&amp;$B1107&amp;Keys!$C$54&amp;$C1107</f>
        <v>MD|production|petroleum diesel</v>
      </c>
    </row>
    <row r="1108" spans="1:5" x14ac:dyDescent="0.25">
      <c r="A1108" t="s">
        <v>112</v>
      </c>
      <c r="B1108" t="s">
        <v>191</v>
      </c>
      <c r="C1108" t="s">
        <v>88</v>
      </c>
      <c r="D1108" s="10">
        <v>110940000000000</v>
      </c>
      <c r="E1108" t="str">
        <f>$A1108&amp;Keys!$C$54&amp;$B1108&amp;Keys!$C$54&amp;$C1108</f>
        <v>MD|imports|petroleum diesel</v>
      </c>
    </row>
    <row r="1109" spans="1:5" x14ac:dyDescent="0.25">
      <c r="A1109" t="s">
        <v>112</v>
      </c>
      <c r="B1109" t="s">
        <v>193</v>
      </c>
      <c r="C1109" t="s">
        <v>88</v>
      </c>
      <c r="D1109" s="10">
        <v>0</v>
      </c>
      <c r="E1109" t="str">
        <f>$A1109&amp;Keys!$C$54&amp;$B1109&amp;Keys!$C$54&amp;$C1109</f>
        <v>MD|exports|petroleum diesel</v>
      </c>
    </row>
    <row r="1110" spans="1:5" x14ac:dyDescent="0.25">
      <c r="A1110" t="s">
        <v>112</v>
      </c>
      <c r="B1110" t="s">
        <v>188</v>
      </c>
      <c r="C1110" t="s">
        <v>91</v>
      </c>
      <c r="D1110" s="10">
        <v>0</v>
      </c>
      <c r="E1110" t="str">
        <f>$A1110&amp;Keys!$C$54&amp;$B1110&amp;Keys!$C$54&amp;$C1110</f>
        <v>MD|production|biofuel gasoline</v>
      </c>
    </row>
    <row r="1111" spans="1:5" x14ac:dyDescent="0.25">
      <c r="A1111" t="s">
        <v>112</v>
      </c>
      <c r="B1111" t="s">
        <v>191</v>
      </c>
      <c r="C1111" t="s">
        <v>91</v>
      </c>
      <c r="D1111" s="10">
        <v>18303500000000</v>
      </c>
      <c r="E1111" t="str">
        <f>$A1111&amp;Keys!$C$54&amp;$B1111&amp;Keys!$C$54&amp;$C1111</f>
        <v>MD|imports|biofuel gasoline</v>
      </c>
    </row>
    <row r="1112" spans="1:5" x14ac:dyDescent="0.25">
      <c r="A1112" t="s">
        <v>112</v>
      </c>
      <c r="B1112" t="s">
        <v>193</v>
      </c>
      <c r="C1112" t="s">
        <v>91</v>
      </c>
      <c r="D1112" s="10">
        <v>0</v>
      </c>
      <c r="E1112" t="str">
        <f>$A1112&amp;Keys!$C$54&amp;$B1112&amp;Keys!$C$54&amp;$C1112</f>
        <v>MD|exports|biofuel gasoline</v>
      </c>
    </row>
    <row r="1113" spans="1:5" x14ac:dyDescent="0.25">
      <c r="A1113" t="s">
        <v>112</v>
      </c>
      <c r="B1113" t="s">
        <v>188</v>
      </c>
      <c r="C1113" t="s">
        <v>94</v>
      </c>
      <c r="D1113" s="10">
        <v>0</v>
      </c>
      <c r="E1113" t="str">
        <f>$A1113&amp;Keys!$C$54&amp;$B1113&amp;Keys!$C$54&amp;$C1113</f>
        <v>MD|production|biofuel diesel</v>
      </c>
    </row>
    <row r="1114" spans="1:5" x14ac:dyDescent="0.25">
      <c r="A1114" t="s">
        <v>112</v>
      </c>
      <c r="B1114" t="s">
        <v>191</v>
      </c>
      <c r="C1114" t="s">
        <v>94</v>
      </c>
      <c r="D1114" s="10">
        <v>715842000000</v>
      </c>
      <c r="E1114" t="str">
        <f>$A1114&amp;Keys!$C$54&amp;$B1114&amp;Keys!$C$54&amp;$C1114</f>
        <v>MD|imports|biofuel diesel</v>
      </c>
    </row>
    <row r="1115" spans="1:5" x14ac:dyDescent="0.25">
      <c r="A1115" t="s">
        <v>112</v>
      </c>
      <c r="B1115" t="s">
        <v>193</v>
      </c>
      <c r="C1115" t="s">
        <v>94</v>
      </c>
      <c r="D1115" s="10">
        <v>0</v>
      </c>
      <c r="E1115" t="str">
        <f>$A1115&amp;Keys!$C$54&amp;$B1115&amp;Keys!$C$54&amp;$C1115</f>
        <v>MD|exports|biofuel diesel</v>
      </c>
    </row>
    <row r="1116" spans="1:5" x14ac:dyDescent="0.25">
      <c r="A1116" t="s">
        <v>112</v>
      </c>
      <c r="B1116" t="s">
        <v>188</v>
      </c>
      <c r="C1116" t="s">
        <v>97</v>
      </c>
      <c r="D1116" s="10">
        <v>0</v>
      </c>
      <c r="E1116" t="str">
        <f>$A1116&amp;Keys!$C$54&amp;$B1116&amp;Keys!$C$54&amp;$C1116</f>
        <v>MD|production|jet fuel or kerosene</v>
      </c>
    </row>
    <row r="1117" spans="1:5" x14ac:dyDescent="0.25">
      <c r="A1117" t="s">
        <v>112</v>
      </c>
      <c r="B1117" t="s">
        <v>191</v>
      </c>
      <c r="C1117" t="s">
        <v>97</v>
      </c>
      <c r="D1117" s="10">
        <v>36013700000000</v>
      </c>
      <c r="E1117" t="str">
        <f>$A1117&amp;Keys!$C$54&amp;$B1117&amp;Keys!$C$54&amp;$C1117</f>
        <v>MD|imports|jet fuel or kerosene</v>
      </c>
    </row>
    <row r="1118" spans="1:5" x14ac:dyDescent="0.25">
      <c r="A1118" t="s">
        <v>112</v>
      </c>
      <c r="B1118" t="s">
        <v>193</v>
      </c>
      <c r="C1118" t="s">
        <v>97</v>
      </c>
      <c r="D1118" s="10">
        <v>0</v>
      </c>
      <c r="E1118" t="str">
        <f>$A1118&amp;Keys!$C$54&amp;$B1118&amp;Keys!$C$54&amp;$C1118</f>
        <v>MD|exports|jet fuel or kerosene</v>
      </c>
    </row>
    <row r="1119" spans="1:5" x14ac:dyDescent="0.25">
      <c r="A1119" t="s">
        <v>112</v>
      </c>
      <c r="B1119" t="s">
        <v>188</v>
      </c>
      <c r="C1119" t="s">
        <v>276</v>
      </c>
      <c r="D1119" s="10">
        <v>0</v>
      </c>
      <c r="E1119" t="str">
        <f>$A1119&amp;Keys!$C$54&amp;$B1119&amp;Keys!$C$54&amp;$C1119</f>
        <v>MD|production|heat</v>
      </c>
    </row>
    <row r="1120" spans="1:5" x14ac:dyDescent="0.25">
      <c r="A1120" t="s">
        <v>112</v>
      </c>
      <c r="B1120" t="s">
        <v>191</v>
      </c>
      <c r="C1120" t="s">
        <v>276</v>
      </c>
      <c r="D1120" s="10">
        <v>0</v>
      </c>
      <c r="E1120" t="str">
        <f>$A1120&amp;Keys!$C$54&amp;$B1120&amp;Keys!$C$54&amp;$C1120</f>
        <v>MD|imports|heat</v>
      </c>
    </row>
    <row r="1121" spans="1:5" x14ac:dyDescent="0.25">
      <c r="A1121" t="s">
        <v>112</v>
      </c>
      <c r="B1121" t="s">
        <v>193</v>
      </c>
      <c r="C1121" t="s">
        <v>276</v>
      </c>
      <c r="D1121" s="10">
        <v>0</v>
      </c>
      <c r="E1121" t="str">
        <f>$A1121&amp;Keys!$C$54&amp;$B1121&amp;Keys!$C$54&amp;$C1121</f>
        <v>MD|exports|heat</v>
      </c>
    </row>
    <row r="1122" spans="1:5" x14ac:dyDescent="0.25">
      <c r="A1122" t="s">
        <v>112</v>
      </c>
      <c r="B1122" t="s">
        <v>188</v>
      </c>
      <c r="C1122" t="s">
        <v>277</v>
      </c>
      <c r="D1122" s="10">
        <v>0</v>
      </c>
      <c r="E1122" t="str">
        <f>$A1122&amp;Keys!$C$54&amp;$B1122&amp;Keys!$C$54&amp;$C1122</f>
        <v>MD|production|geothermal</v>
      </c>
    </row>
    <row r="1123" spans="1:5" x14ac:dyDescent="0.25">
      <c r="A1123" t="s">
        <v>112</v>
      </c>
      <c r="B1123" t="s">
        <v>191</v>
      </c>
      <c r="C1123" t="s">
        <v>277</v>
      </c>
      <c r="D1123" s="10">
        <v>0</v>
      </c>
      <c r="E1123" t="str">
        <f>$A1123&amp;Keys!$C$54&amp;$B1123&amp;Keys!$C$54&amp;$C1123</f>
        <v>MD|imports|geothermal</v>
      </c>
    </row>
    <row r="1124" spans="1:5" x14ac:dyDescent="0.25">
      <c r="A1124" t="s">
        <v>112</v>
      </c>
      <c r="B1124" t="s">
        <v>193</v>
      </c>
      <c r="C1124" t="s">
        <v>277</v>
      </c>
      <c r="D1124" s="10">
        <v>0</v>
      </c>
      <c r="E1124" t="str">
        <f>$A1124&amp;Keys!$C$54&amp;$B1124&amp;Keys!$C$54&amp;$C1124</f>
        <v>MD|exports|geothermal</v>
      </c>
    </row>
    <row r="1125" spans="1:5" x14ac:dyDescent="0.25">
      <c r="A1125" t="s">
        <v>112</v>
      </c>
      <c r="B1125" t="s">
        <v>188</v>
      </c>
      <c r="C1125" t="s">
        <v>106</v>
      </c>
      <c r="D1125" s="10">
        <v>0</v>
      </c>
      <c r="E1125" t="str">
        <f>$A1125&amp;Keys!$C$54&amp;$B1125&amp;Keys!$C$54&amp;$C1125</f>
        <v>MD|production|lignite</v>
      </c>
    </row>
    <row r="1126" spans="1:5" x14ac:dyDescent="0.25">
      <c r="A1126" t="s">
        <v>112</v>
      </c>
      <c r="B1126" t="s">
        <v>191</v>
      </c>
      <c r="C1126" t="s">
        <v>106</v>
      </c>
      <c r="D1126" s="10">
        <v>0</v>
      </c>
      <c r="E1126" t="str">
        <f>$A1126&amp;Keys!$C$54&amp;$B1126&amp;Keys!$C$54&amp;$C1126</f>
        <v>MD|imports|lignite</v>
      </c>
    </row>
    <row r="1127" spans="1:5" x14ac:dyDescent="0.25">
      <c r="A1127" t="s">
        <v>112</v>
      </c>
      <c r="B1127" t="s">
        <v>193</v>
      </c>
      <c r="C1127" t="s">
        <v>106</v>
      </c>
      <c r="D1127" s="10">
        <v>0</v>
      </c>
      <c r="E1127" t="str">
        <f>$A1127&amp;Keys!$C$54&amp;$B1127&amp;Keys!$C$54&amp;$C1127</f>
        <v>MD|exports|lignite</v>
      </c>
    </row>
    <row r="1128" spans="1:5" x14ac:dyDescent="0.25">
      <c r="A1128" t="s">
        <v>112</v>
      </c>
      <c r="B1128" t="s">
        <v>188</v>
      </c>
      <c r="C1128" t="s">
        <v>109</v>
      </c>
      <c r="D1128" s="10">
        <v>0</v>
      </c>
      <c r="E1128" t="str">
        <f>$A1128&amp;Keys!$C$54&amp;$B1128&amp;Keys!$C$54&amp;$C1128</f>
        <v>MD|production|crude oil</v>
      </c>
    </row>
    <row r="1129" spans="1:5" x14ac:dyDescent="0.25">
      <c r="A1129" t="s">
        <v>112</v>
      </c>
      <c r="B1129" t="s">
        <v>191</v>
      </c>
      <c r="C1129" t="s">
        <v>109</v>
      </c>
      <c r="D1129" s="10">
        <v>868000000000</v>
      </c>
      <c r="E1129" t="str">
        <f>$A1129&amp;Keys!$C$54&amp;$B1129&amp;Keys!$C$54&amp;$C1129</f>
        <v>MD|imports|crude oil</v>
      </c>
    </row>
    <row r="1130" spans="1:5" x14ac:dyDescent="0.25">
      <c r="A1130" t="s">
        <v>112</v>
      </c>
      <c r="B1130" t="s">
        <v>193</v>
      </c>
      <c r="C1130" t="s">
        <v>109</v>
      </c>
      <c r="D1130" s="10">
        <v>0</v>
      </c>
      <c r="E1130" t="str">
        <f>$A1130&amp;Keys!$C$54&amp;$B1130&amp;Keys!$C$54&amp;$C1130</f>
        <v>MD|exports|crude oil</v>
      </c>
    </row>
    <row r="1131" spans="1:5" x14ac:dyDescent="0.25">
      <c r="A1131" t="s">
        <v>112</v>
      </c>
      <c r="B1131" t="s">
        <v>188</v>
      </c>
      <c r="C1131" t="s">
        <v>114</v>
      </c>
      <c r="D1131" s="10">
        <v>0</v>
      </c>
      <c r="E1131" t="str">
        <f>$A1131&amp;Keys!$C$54&amp;$B1131&amp;Keys!$C$54&amp;$C1131</f>
        <v>MD|production|heavy or residual fuel oil</v>
      </c>
    </row>
    <row r="1132" spans="1:5" x14ac:dyDescent="0.25">
      <c r="A1132" t="s">
        <v>112</v>
      </c>
      <c r="B1132" t="s">
        <v>191</v>
      </c>
      <c r="C1132" t="s">
        <v>114</v>
      </c>
      <c r="D1132" s="10">
        <v>12203300000000</v>
      </c>
      <c r="E1132" t="str">
        <f>$A1132&amp;Keys!$C$54&amp;$B1132&amp;Keys!$C$54&amp;$C1132</f>
        <v>MD|imports|heavy or residual fuel oil</v>
      </c>
    </row>
    <row r="1133" spans="1:5" x14ac:dyDescent="0.25">
      <c r="A1133" t="s">
        <v>112</v>
      </c>
      <c r="B1133" t="s">
        <v>193</v>
      </c>
      <c r="C1133" t="s">
        <v>114</v>
      </c>
      <c r="D1133" s="10">
        <v>0</v>
      </c>
      <c r="E1133" t="str">
        <f>$A1133&amp;Keys!$C$54&amp;$B1133&amp;Keys!$C$54&amp;$C1133</f>
        <v>MD|exports|heavy or residual fuel oil</v>
      </c>
    </row>
    <row r="1134" spans="1:5" x14ac:dyDescent="0.25">
      <c r="A1134" t="s">
        <v>112</v>
      </c>
      <c r="B1134" t="s">
        <v>188</v>
      </c>
      <c r="C1134" t="s">
        <v>117</v>
      </c>
      <c r="D1134" s="10">
        <v>633863000</v>
      </c>
      <c r="E1134" t="str">
        <f>$A1134&amp;Keys!$C$54&amp;$B1134&amp;Keys!$C$54&amp;$C1134</f>
        <v>MD|production|LPG propane or butane</v>
      </c>
    </row>
    <row r="1135" spans="1:5" x14ac:dyDescent="0.25">
      <c r="A1135" t="s">
        <v>112</v>
      </c>
      <c r="B1135" t="s">
        <v>191</v>
      </c>
      <c r="C1135" t="s">
        <v>117</v>
      </c>
      <c r="D1135" s="10">
        <v>12503000000000</v>
      </c>
      <c r="E1135" t="str">
        <f>$A1135&amp;Keys!$C$54&amp;$B1135&amp;Keys!$C$54&amp;$C1135</f>
        <v>MD|imports|LPG propane or butane</v>
      </c>
    </row>
    <row r="1136" spans="1:5" x14ac:dyDescent="0.25">
      <c r="A1136" t="s">
        <v>112</v>
      </c>
      <c r="B1136" t="s">
        <v>193</v>
      </c>
      <c r="C1136" t="s">
        <v>117</v>
      </c>
      <c r="D1136" s="10">
        <v>0</v>
      </c>
      <c r="E1136" t="str">
        <f>$A1136&amp;Keys!$C$54&amp;$B1136&amp;Keys!$C$54&amp;$C1136</f>
        <v>MD|exports|LPG propane or butane</v>
      </c>
    </row>
    <row r="1137" spans="1:5" x14ac:dyDescent="0.25">
      <c r="A1137" t="s">
        <v>112</v>
      </c>
      <c r="B1137" t="s">
        <v>188</v>
      </c>
      <c r="C1137" t="s">
        <v>120</v>
      </c>
      <c r="D1137" s="10">
        <v>0</v>
      </c>
      <c r="E1137" t="str">
        <f>$A1137&amp;Keys!$C$54&amp;$B1137&amp;Keys!$C$54&amp;$C1137</f>
        <v>MD|production|municipal solid waste</v>
      </c>
    </row>
    <row r="1138" spans="1:5" x14ac:dyDescent="0.25">
      <c r="A1138" t="s">
        <v>112</v>
      </c>
      <c r="B1138" t="s">
        <v>191</v>
      </c>
      <c r="C1138" t="s">
        <v>120</v>
      </c>
      <c r="D1138" s="10">
        <v>8411020000000</v>
      </c>
      <c r="E1138" t="str">
        <f>$A1138&amp;Keys!$C$54&amp;$B1138&amp;Keys!$C$54&amp;$C1138</f>
        <v>MD|imports|municipal solid waste</v>
      </c>
    </row>
    <row r="1139" spans="1:5" x14ac:dyDescent="0.25">
      <c r="A1139" t="s">
        <v>112</v>
      </c>
      <c r="B1139" t="s">
        <v>193</v>
      </c>
      <c r="C1139" t="s">
        <v>120</v>
      </c>
      <c r="D1139" s="10">
        <v>0</v>
      </c>
      <c r="E1139" t="str">
        <f>$A1139&amp;Keys!$C$54&amp;$B1139&amp;Keys!$C$54&amp;$C1139</f>
        <v>MD|exports|municipal solid waste</v>
      </c>
    </row>
    <row r="1140" spans="1:5" x14ac:dyDescent="0.25">
      <c r="A1140" t="s">
        <v>112</v>
      </c>
      <c r="B1140" t="s">
        <v>188</v>
      </c>
      <c r="C1140" t="s">
        <v>123</v>
      </c>
      <c r="D1140" s="10">
        <v>0</v>
      </c>
      <c r="E1140" t="str">
        <f>$A1140&amp;Keys!$C$54&amp;$B1140&amp;Keys!$C$54&amp;$C1140</f>
        <v>MD|production|hydrogen</v>
      </c>
    </row>
    <row r="1141" spans="1:5" x14ac:dyDescent="0.25">
      <c r="A1141" t="s">
        <v>112</v>
      </c>
      <c r="B1141" t="s">
        <v>191</v>
      </c>
      <c r="C1141" t="s">
        <v>123</v>
      </c>
      <c r="D1141" s="10">
        <v>538403000</v>
      </c>
      <c r="E1141" t="str">
        <f>$A1141&amp;Keys!$C$54&amp;$B1141&amp;Keys!$C$54&amp;$C1141</f>
        <v>MD|imports|hydrogen</v>
      </c>
    </row>
    <row r="1142" spans="1:5" x14ac:dyDescent="0.25">
      <c r="A1142" t="s">
        <v>112</v>
      </c>
      <c r="B1142" t="s">
        <v>193</v>
      </c>
      <c r="C1142" t="s">
        <v>123</v>
      </c>
      <c r="D1142" s="10">
        <v>0</v>
      </c>
      <c r="E1142" t="str">
        <f>$A1142&amp;Keys!$C$54&amp;$B1142&amp;Keys!$C$54&amp;$C1142</f>
        <v>MD|exports|hydrogen</v>
      </c>
    </row>
    <row r="1143" spans="1:5" x14ac:dyDescent="0.25">
      <c r="A1143" t="s">
        <v>116</v>
      </c>
      <c r="B1143" t="s">
        <v>188</v>
      </c>
      <c r="C1143" t="s">
        <v>272</v>
      </c>
      <c r="D1143" s="10">
        <v>0</v>
      </c>
      <c r="E1143" t="str">
        <f>$A1143&amp;Keys!$C$54&amp;$B1143&amp;Keys!$C$54&amp;$C1143</f>
        <v>ME|production|electricity</v>
      </c>
    </row>
    <row r="1144" spans="1:5" x14ac:dyDescent="0.25">
      <c r="A1144" t="s">
        <v>116</v>
      </c>
      <c r="B1144" t="s">
        <v>191</v>
      </c>
      <c r="C1144" t="s">
        <v>272</v>
      </c>
      <c r="D1144" s="10">
        <v>0</v>
      </c>
      <c r="E1144" t="str">
        <f>$A1144&amp;Keys!$C$54&amp;$B1144&amp;Keys!$C$54&amp;$C1144</f>
        <v>ME|imports|electricity</v>
      </c>
    </row>
    <row r="1145" spans="1:5" x14ac:dyDescent="0.25">
      <c r="A1145" t="s">
        <v>116</v>
      </c>
      <c r="B1145" t="s">
        <v>193</v>
      </c>
      <c r="C1145" t="s">
        <v>272</v>
      </c>
      <c r="D1145" s="10">
        <v>0</v>
      </c>
      <c r="E1145" t="str">
        <f>$A1145&amp;Keys!$C$54&amp;$B1145&amp;Keys!$C$54&amp;$C1145</f>
        <v>ME|exports|electricity</v>
      </c>
    </row>
    <row r="1146" spans="1:5" x14ac:dyDescent="0.25">
      <c r="A1146" t="s">
        <v>116</v>
      </c>
      <c r="B1146" t="s">
        <v>188</v>
      </c>
      <c r="C1146" t="s">
        <v>64</v>
      </c>
      <c r="D1146" s="10">
        <v>0</v>
      </c>
      <c r="E1146" t="str">
        <f>$A1146&amp;Keys!$C$54&amp;$B1146&amp;Keys!$C$54&amp;$C1146</f>
        <v>ME|production|hard coal</v>
      </c>
    </row>
    <row r="1147" spans="1:5" x14ac:dyDescent="0.25">
      <c r="A1147" t="s">
        <v>116</v>
      </c>
      <c r="B1147" t="s">
        <v>191</v>
      </c>
      <c r="C1147" t="s">
        <v>64</v>
      </c>
      <c r="D1147" s="10">
        <v>0</v>
      </c>
      <c r="E1147" t="str">
        <f>$A1147&amp;Keys!$C$54&amp;$B1147&amp;Keys!$C$54&amp;$C1147</f>
        <v>ME|imports|hard coal</v>
      </c>
    </row>
    <row r="1148" spans="1:5" x14ac:dyDescent="0.25">
      <c r="A1148" t="s">
        <v>116</v>
      </c>
      <c r="B1148" t="s">
        <v>193</v>
      </c>
      <c r="C1148" t="s">
        <v>64</v>
      </c>
      <c r="D1148" s="10">
        <v>0</v>
      </c>
      <c r="E1148" t="str">
        <f>$A1148&amp;Keys!$C$54&amp;$B1148&amp;Keys!$C$54&amp;$C1148</f>
        <v>ME|exports|hard coal</v>
      </c>
    </row>
    <row r="1149" spans="1:5" x14ac:dyDescent="0.25">
      <c r="A1149" t="s">
        <v>116</v>
      </c>
      <c r="B1149" t="s">
        <v>188</v>
      </c>
      <c r="C1149" t="s">
        <v>68</v>
      </c>
      <c r="D1149" s="10">
        <v>0</v>
      </c>
      <c r="E1149" t="str">
        <f>$A1149&amp;Keys!$C$54&amp;$B1149&amp;Keys!$C$54&amp;$C1149</f>
        <v>ME|production|natural gas</v>
      </c>
    </row>
    <row r="1150" spans="1:5" x14ac:dyDescent="0.25">
      <c r="A1150" t="s">
        <v>116</v>
      </c>
      <c r="B1150" t="s">
        <v>191</v>
      </c>
      <c r="C1150" t="s">
        <v>68</v>
      </c>
      <c r="D1150" s="10">
        <v>248884000000000</v>
      </c>
      <c r="E1150" t="str">
        <f>$A1150&amp;Keys!$C$54&amp;$B1150&amp;Keys!$C$54&amp;$C1150</f>
        <v>ME|imports|natural gas</v>
      </c>
    </row>
    <row r="1151" spans="1:5" x14ac:dyDescent="0.25">
      <c r="A1151" t="s">
        <v>116</v>
      </c>
      <c r="B1151" t="s">
        <v>193</v>
      </c>
      <c r="C1151" t="s">
        <v>68</v>
      </c>
      <c r="D1151" s="10">
        <v>169282000000000</v>
      </c>
      <c r="E1151" t="str">
        <f>$A1151&amp;Keys!$C$54&amp;$B1151&amp;Keys!$C$54&amp;$C1151</f>
        <v>ME|exports|natural gas</v>
      </c>
    </row>
    <row r="1152" spans="1:5" x14ac:dyDescent="0.25">
      <c r="A1152" t="s">
        <v>116</v>
      </c>
      <c r="B1152" t="s">
        <v>188</v>
      </c>
      <c r="C1152" t="s">
        <v>71</v>
      </c>
      <c r="D1152" s="10">
        <v>0</v>
      </c>
      <c r="E1152" t="str">
        <f>$A1152&amp;Keys!$C$54&amp;$B1152&amp;Keys!$C$54&amp;$C1152</f>
        <v>ME|production|nuclear</v>
      </c>
    </row>
    <row r="1153" spans="1:5" x14ac:dyDescent="0.25">
      <c r="A1153" t="s">
        <v>116</v>
      </c>
      <c r="B1153" t="s">
        <v>191</v>
      </c>
      <c r="C1153" t="s">
        <v>71</v>
      </c>
      <c r="D1153" s="10">
        <v>0</v>
      </c>
      <c r="E1153" t="str">
        <f>$A1153&amp;Keys!$C$54&amp;$B1153&amp;Keys!$C$54&amp;$C1153</f>
        <v>ME|imports|nuclear</v>
      </c>
    </row>
    <row r="1154" spans="1:5" x14ac:dyDescent="0.25">
      <c r="A1154" t="s">
        <v>116</v>
      </c>
      <c r="B1154" t="s">
        <v>193</v>
      </c>
      <c r="C1154" t="s">
        <v>71</v>
      </c>
      <c r="D1154" s="10">
        <v>0</v>
      </c>
      <c r="E1154" t="str">
        <f>$A1154&amp;Keys!$C$54&amp;$B1154&amp;Keys!$C$54&amp;$C1154</f>
        <v>ME|exports|nuclear</v>
      </c>
    </row>
    <row r="1155" spans="1:5" x14ac:dyDescent="0.25">
      <c r="A1155" t="s">
        <v>116</v>
      </c>
      <c r="B1155" t="s">
        <v>188</v>
      </c>
      <c r="C1155" t="s">
        <v>273</v>
      </c>
      <c r="D1155" s="10">
        <v>0</v>
      </c>
      <c r="E1155" t="str">
        <f>$A1155&amp;Keys!$C$54&amp;$B1155&amp;Keys!$C$54&amp;$C1155</f>
        <v>ME|production|hydro</v>
      </c>
    </row>
    <row r="1156" spans="1:5" x14ac:dyDescent="0.25">
      <c r="A1156" t="s">
        <v>116</v>
      </c>
      <c r="B1156" t="s">
        <v>191</v>
      </c>
      <c r="C1156" t="s">
        <v>273</v>
      </c>
      <c r="D1156" s="10">
        <v>0</v>
      </c>
      <c r="E1156" t="str">
        <f>$A1156&amp;Keys!$C$54&amp;$B1156&amp;Keys!$C$54&amp;$C1156</f>
        <v>ME|imports|hydro</v>
      </c>
    </row>
    <row r="1157" spans="1:5" x14ac:dyDescent="0.25">
      <c r="A1157" t="s">
        <v>116</v>
      </c>
      <c r="B1157" t="s">
        <v>193</v>
      </c>
      <c r="C1157" t="s">
        <v>273</v>
      </c>
      <c r="D1157" s="10">
        <v>0</v>
      </c>
      <c r="E1157" t="str">
        <f>$A1157&amp;Keys!$C$54&amp;$B1157&amp;Keys!$C$54&amp;$C1157</f>
        <v>ME|exports|hydro</v>
      </c>
    </row>
    <row r="1158" spans="1:5" x14ac:dyDescent="0.25">
      <c r="A1158" t="s">
        <v>116</v>
      </c>
      <c r="B1158" t="s">
        <v>188</v>
      </c>
      <c r="C1158" t="s">
        <v>274</v>
      </c>
      <c r="D1158" s="10">
        <v>0</v>
      </c>
      <c r="E1158" t="str">
        <f>$A1158&amp;Keys!$C$54&amp;$B1158&amp;Keys!$C$54&amp;$C1158</f>
        <v>ME|production|wind</v>
      </c>
    </row>
    <row r="1159" spans="1:5" x14ac:dyDescent="0.25">
      <c r="A1159" t="s">
        <v>116</v>
      </c>
      <c r="B1159" t="s">
        <v>191</v>
      </c>
      <c r="C1159" t="s">
        <v>274</v>
      </c>
      <c r="D1159" s="10">
        <v>0</v>
      </c>
      <c r="E1159" t="str">
        <f>$A1159&amp;Keys!$C$54&amp;$B1159&amp;Keys!$C$54&amp;$C1159</f>
        <v>ME|imports|wind</v>
      </c>
    </row>
    <row r="1160" spans="1:5" x14ac:dyDescent="0.25">
      <c r="A1160" t="s">
        <v>116</v>
      </c>
      <c r="B1160" t="s">
        <v>193</v>
      </c>
      <c r="C1160" t="s">
        <v>274</v>
      </c>
      <c r="D1160" s="10">
        <v>0</v>
      </c>
      <c r="E1160" t="str">
        <f>$A1160&amp;Keys!$C$54&amp;$B1160&amp;Keys!$C$54&amp;$C1160</f>
        <v>ME|exports|wind</v>
      </c>
    </row>
    <row r="1161" spans="1:5" x14ac:dyDescent="0.25">
      <c r="A1161" t="s">
        <v>116</v>
      </c>
      <c r="B1161" t="s">
        <v>188</v>
      </c>
      <c r="C1161" t="s">
        <v>275</v>
      </c>
      <c r="D1161" s="10">
        <v>0</v>
      </c>
      <c r="E1161" t="str">
        <f>$A1161&amp;Keys!$C$54&amp;$B1161&amp;Keys!$C$54&amp;$C1161</f>
        <v>ME|production|solar</v>
      </c>
    </row>
    <row r="1162" spans="1:5" x14ac:dyDescent="0.25">
      <c r="A1162" t="s">
        <v>116</v>
      </c>
      <c r="B1162" t="s">
        <v>191</v>
      </c>
      <c r="C1162" t="s">
        <v>275</v>
      </c>
      <c r="D1162" s="10">
        <v>0</v>
      </c>
      <c r="E1162" t="str">
        <f>$A1162&amp;Keys!$C$54&amp;$B1162&amp;Keys!$C$54&amp;$C1162</f>
        <v>ME|imports|solar</v>
      </c>
    </row>
    <row r="1163" spans="1:5" x14ac:dyDescent="0.25">
      <c r="A1163" t="s">
        <v>116</v>
      </c>
      <c r="B1163" t="s">
        <v>193</v>
      </c>
      <c r="C1163" t="s">
        <v>275</v>
      </c>
      <c r="D1163" s="10">
        <v>0</v>
      </c>
      <c r="E1163" t="str">
        <f>$A1163&amp;Keys!$C$54&amp;$B1163&amp;Keys!$C$54&amp;$C1163</f>
        <v>ME|exports|solar</v>
      </c>
    </row>
    <row r="1164" spans="1:5" x14ac:dyDescent="0.25">
      <c r="A1164" t="s">
        <v>116</v>
      </c>
      <c r="B1164" t="s">
        <v>188</v>
      </c>
      <c r="C1164" t="s">
        <v>82</v>
      </c>
      <c r="D1164" s="10">
        <v>3584000000000</v>
      </c>
      <c r="E1164" t="str">
        <f>$A1164&amp;Keys!$C$54&amp;$B1164&amp;Keys!$C$54&amp;$C1164</f>
        <v>ME|production|biomass</v>
      </c>
    </row>
    <row r="1165" spans="1:5" x14ac:dyDescent="0.25">
      <c r="A1165" t="s">
        <v>116</v>
      </c>
      <c r="B1165" t="s">
        <v>191</v>
      </c>
      <c r="C1165" t="s">
        <v>82</v>
      </c>
      <c r="D1165" s="10">
        <v>52486900000000</v>
      </c>
      <c r="E1165" t="str">
        <f>$A1165&amp;Keys!$C$54&amp;$B1165&amp;Keys!$C$54&amp;$C1165</f>
        <v>ME|imports|biomass</v>
      </c>
    </row>
    <row r="1166" spans="1:5" x14ac:dyDescent="0.25">
      <c r="A1166" t="s">
        <v>116</v>
      </c>
      <c r="B1166" t="s">
        <v>193</v>
      </c>
      <c r="C1166" t="s">
        <v>82</v>
      </c>
      <c r="D1166" s="10">
        <v>0</v>
      </c>
      <c r="E1166" t="str">
        <f>$A1166&amp;Keys!$C$54&amp;$B1166&amp;Keys!$C$54&amp;$C1166</f>
        <v>ME|exports|biomass</v>
      </c>
    </row>
    <row r="1167" spans="1:5" x14ac:dyDescent="0.25">
      <c r="A1167" t="s">
        <v>116</v>
      </c>
      <c r="B1167" t="s">
        <v>188</v>
      </c>
      <c r="C1167" t="s">
        <v>85</v>
      </c>
      <c r="D1167" s="10">
        <v>0</v>
      </c>
      <c r="E1167" t="str">
        <f>$A1167&amp;Keys!$C$54&amp;$B1167&amp;Keys!$C$54&amp;$C1167</f>
        <v>ME|production|petroleum gasoline</v>
      </c>
    </row>
    <row r="1168" spans="1:5" x14ac:dyDescent="0.25">
      <c r="A1168" t="s">
        <v>116</v>
      </c>
      <c r="B1168" t="s">
        <v>191</v>
      </c>
      <c r="C1168" t="s">
        <v>85</v>
      </c>
      <c r="D1168" s="10">
        <v>70829400000000</v>
      </c>
      <c r="E1168" t="str">
        <f>$A1168&amp;Keys!$C$54&amp;$B1168&amp;Keys!$C$54&amp;$C1168</f>
        <v>ME|imports|petroleum gasoline</v>
      </c>
    </row>
    <row r="1169" spans="1:5" x14ac:dyDescent="0.25">
      <c r="A1169" t="s">
        <v>116</v>
      </c>
      <c r="B1169" t="s">
        <v>193</v>
      </c>
      <c r="C1169" t="s">
        <v>85</v>
      </c>
      <c r="D1169" s="10">
        <v>0</v>
      </c>
      <c r="E1169" t="str">
        <f>$A1169&amp;Keys!$C$54&amp;$B1169&amp;Keys!$C$54&amp;$C1169</f>
        <v>ME|exports|petroleum gasoline</v>
      </c>
    </row>
    <row r="1170" spans="1:5" x14ac:dyDescent="0.25">
      <c r="A1170" t="s">
        <v>116</v>
      </c>
      <c r="B1170" t="s">
        <v>188</v>
      </c>
      <c r="C1170" t="s">
        <v>88</v>
      </c>
      <c r="D1170" s="10">
        <v>0</v>
      </c>
      <c r="E1170" t="str">
        <f>$A1170&amp;Keys!$C$54&amp;$B1170&amp;Keys!$C$54&amp;$C1170</f>
        <v>ME|production|petroleum diesel</v>
      </c>
    </row>
    <row r="1171" spans="1:5" x14ac:dyDescent="0.25">
      <c r="A1171" t="s">
        <v>116</v>
      </c>
      <c r="B1171" t="s">
        <v>191</v>
      </c>
      <c r="C1171" t="s">
        <v>88</v>
      </c>
      <c r="D1171" s="10">
        <v>69277400000000</v>
      </c>
      <c r="E1171" t="str">
        <f>$A1171&amp;Keys!$C$54&amp;$B1171&amp;Keys!$C$54&amp;$C1171</f>
        <v>ME|imports|petroleum diesel</v>
      </c>
    </row>
    <row r="1172" spans="1:5" x14ac:dyDescent="0.25">
      <c r="A1172" t="s">
        <v>116</v>
      </c>
      <c r="B1172" t="s">
        <v>193</v>
      </c>
      <c r="C1172" t="s">
        <v>88</v>
      </c>
      <c r="D1172" s="10">
        <v>0</v>
      </c>
      <c r="E1172" t="str">
        <f>$A1172&amp;Keys!$C$54&amp;$B1172&amp;Keys!$C$54&amp;$C1172</f>
        <v>ME|exports|petroleum diesel</v>
      </c>
    </row>
    <row r="1173" spans="1:5" x14ac:dyDescent="0.25">
      <c r="A1173" t="s">
        <v>116</v>
      </c>
      <c r="B1173" t="s">
        <v>188</v>
      </c>
      <c r="C1173" t="s">
        <v>91</v>
      </c>
      <c r="D1173" s="10">
        <v>0</v>
      </c>
      <c r="E1173" t="str">
        <f>$A1173&amp;Keys!$C$54&amp;$B1173&amp;Keys!$C$54&amp;$C1173</f>
        <v>ME|production|biofuel gasoline</v>
      </c>
    </row>
    <row r="1174" spans="1:5" x14ac:dyDescent="0.25">
      <c r="A1174" t="s">
        <v>116</v>
      </c>
      <c r="B1174" t="s">
        <v>191</v>
      </c>
      <c r="C1174" t="s">
        <v>91</v>
      </c>
      <c r="D1174" s="10">
        <v>4848520000000</v>
      </c>
      <c r="E1174" t="str">
        <f>$A1174&amp;Keys!$C$54&amp;$B1174&amp;Keys!$C$54&amp;$C1174</f>
        <v>ME|imports|biofuel gasoline</v>
      </c>
    </row>
    <row r="1175" spans="1:5" x14ac:dyDescent="0.25">
      <c r="A1175" t="s">
        <v>116</v>
      </c>
      <c r="B1175" t="s">
        <v>193</v>
      </c>
      <c r="C1175" t="s">
        <v>91</v>
      </c>
      <c r="D1175" s="10">
        <v>0</v>
      </c>
      <c r="E1175" t="str">
        <f>$A1175&amp;Keys!$C$54&amp;$B1175&amp;Keys!$C$54&amp;$C1175</f>
        <v>ME|exports|biofuel gasoline</v>
      </c>
    </row>
    <row r="1176" spans="1:5" x14ac:dyDescent="0.25">
      <c r="A1176" t="s">
        <v>116</v>
      </c>
      <c r="B1176" t="s">
        <v>188</v>
      </c>
      <c r="C1176" t="s">
        <v>94</v>
      </c>
      <c r="D1176" s="10">
        <v>183848000000</v>
      </c>
      <c r="E1176" t="str">
        <f>$A1176&amp;Keys!$C$54&amp;$B1176&amp;Keys!$C$54&amp;$C1176</f>
        <v>ME|production|biofuel diesel</v>
      </c>
    </row>
    <row r="1177" spans="1:5" x14ac:dyDescent="0.25">
      <c r="A1177" t="s">
        <v>116</v>
      </c>
      <c r="B1177" t="s">
        <v>191</v>
      </c>
      <c r="C1177" t="s">
        <v>94</v>
      </c>
      <c r="D1177" s="10">
        <v>261546000000</v>
      </c>
      <c r="E1177" t="str">
        <f>$A1177&amp;Keys!$C$54&amp;$B1177&amp;Keys!$C$54&amp;$C1177</f>
        <v>ME|imports|biofuel diesel</v>
      </c>
    </row>
    <row r="1178" spans="1:5" x14ac:dyDescent="0.25">
      <c r="A1178" t="s">
        <v>116</v>
      </c>
      <c r="B1178" t="s">
        <v>193</v>
      </c>
      <c r="C1178" t="s">
        <v>94</v>
      </c>
      <c r="D1178" s="10">
        <v>0</v>
      </c>
      <c r="E1178" t="str">
        <f>$A1178&amp;Keys!$C$54&amp;$B1178&amp;Keys!$C$54&amp;$C1178</f>
        <v>ME|exports|biofuel diesel</v>
      </c>
    </row>
    <row r="1179" spans="1:5" x14ac:dyDescent="0.25">
      <c r="A1179" t="s">
        <v>116</v>
      </c>
      <c r="B1179" t="s">
        <v>188</v>
      </c>
      <c r="C1179" t="s">
        <v>97</v>
      </c>
      <c r="D1179" s="10">
        <v>0</v>
      </c>
      <c r="E1179" t="str">
        <f>$A1179&amp;Keys!$C$54&amp;$B1179&amp;Keys!$C$54&amp;$C1179</f>
        <v>ME|production|jet fuel or kerosene</v>
      </c>
    </row>
    <row r="1180" spans="1:5" x14ac:dyDescent="0.25">
      <c r="A1180" t="s">
        <v>116</v>
      </c>
      <c r="B1180" t="s">
        <v>191</v>
      </c>
      <c r="C1180" t="s">
        <v>97</v>
      </c>
      <c r="D1180" s="10">
        <v>4350610000000</v>
      </c>
      <c r="E1180" t="str">
        <f>$A1180&amp;Keys!$C$54&amp;$B1180&amp;Keys!$C$54&amp;$C1180</f>
        <v>ME|imports|jet fuel or kerosene</v>
      </c>
    </row>
    <row r="1181" spans="1:5" x14ac:dyDescent="0.25">
      <c r="A1181" t="s">
        <v>116</v>
      </c>
      <c r="B1181" t="s">
        <v>193</v>
      </c>
      <c r="C1181" t="s">
        <v>97</v>
      </c>
      <c r="D1181" s="10">
        <v>0</v>
      </c>
      <c r="E1181" t="str">
        <f>$A1181&amp;Keys!$C$54&amp;$B1181&amp;Keys!$C$54&amp;$C1181</f>
        <v>ME|exports|jet fuel or kerosene</v>
      </c>
    </row>
    <row r="1182" spans="1:5" x14ac:dyDescent="0.25">
      <c r="A1182" t="s">
        <v>116</v>
      </c>
      <c r="B1182" t="s">
        <v>188</v>
      </c>
      <c r="C1182" t="s">
        <v>276</v>
      </c>
      <c r="D1182" s="10">
        <v>0</v>
      </c>
      <c r="E1182" t="str">
        <f>$A1182&amp;Keys!$C$54&amp;$B1182&amp;Keys!$C$54&amp;$C1182</f>
        <v>ME|production|heat</v>
      </c>
    </row>
    <row r="1183" spans="1:5" x14ac:dyDescent="0.25">
      <c r="A1183" t="s">
        <v>116</v>
      </c>
      <c r="B1183" t="s">
        <v>191</v>
      </c>
      <c r="C1183" t="s">
        <v>276</v>
      </c>
      <c r="D1183" s="10">
        <v>0</v>
      </c>
      <c r="E1183" t="str">
        <f>$A1183&amp;Keys!$C$54&amp;$B1183&amp;Keys!$C$54&amp;$C1183</f>
        <v>ME|imports|heat</v>
      </c>
    </row>
    <row r="1184" spans="1:5" x14ac:dyDescent="0.25">
      <c r="A1184" t="s">
        <v>116</v>
      </c>
      <c r="B1184" t="s">
        <v>193</v>
      </c>
      <c r="C1184" t="s">
        <v>276</v>
      </c>
      <c r="D1184" s="10">
        <v>0</v>
      </c>
      <c r="E1184" t="str">
        <f>$A1184&amp;Keys!$C$54&amp;$B1184&amp;Keys!$C$54&amp;$C1184</f>
        <v>ME|exports|heat</v>
      </c>
    </row>
    <row r="1185" spans="1:5" x14ac:dyDescent="0.25">
      <c r="A1185" t="s">
        <v>116</v>
      </c>
      <c r="B1185" t="s">
        <v>188</v>
      </c>
      <c r="C1185" t="s">
        <v>277</v>
      </c>
      <c r="D1185" s="10">
        <v>0</v>
      </c>
      <c r="E1185" t="str">
        <f>$A1185&amp;Keys!$C$54&amp;$B1185&amp;Keys!$C$54&amp;$C1185</f>
        <v>ME|production|geothermal</v>
      </c>
    </row>
    <row r="1186" spans="1:5" x14ac:dyDescent="0.25">
      <c r="A1186" t="s">
        <v>116</v>
      </c>
      <c r="B1186" t="s">
        <v>191</v>
      </c>
      <c r="C1186" t="s">
        <v>277</v>
      </c>
      <c r="D1186" s="10">
        <v>0</v>
      </c>
      <c r="E1186" t="str">
        <f>$A1186&amp;Keys!$C$54&amp;$B1186&amp;Keys!$C$54&amp;$C1186</f>
        <v>ME|imports|geothermal</v>
      </c>
    </row>
    <row r="1187" spans="1:5" x14ac:dyDescent="0.25">
      <c r="A1187" t="s">
        <v>116</v>
      </c>
      <c r="B1187" t="s">
        <v>193</v>
      </c>
      <c r="C1187" t="s">
        <v>277</v>
      </c>
      <c r="D1187" s="10">
        <v>0</v>
      </c>
      <c r="E1187" t="str">
        <f>$A1187&amp;Keys!$C$54&amp;$B1187&amp;Keys!$C$54&amp;$C1187</f>
        <v>ME|exports|geothermal</v>
      </c>
    </row>
    <row r="1188" spans="1:5" x14ac:dyDescent="0.25">
      <c r="A1188" t="s">
        <v>116</v>
      </c>
      <c r="B1188" t="s">
        <v>188</v>
      </c>
      <c r="C1188" t="s">
        <v>106</v>
      </c>
      <c r="D1188" s="10">
        <v>0</v>
      </c>
      <c r="E1188" t="str">
        <f>$A1188&amp;Keys!$C$54&amp;$B1188&amp;Keys!$C$54&amp;$C1188</f>
        <v>ME|production|lignite</v>
      </c>
    </row>
    <row r="1189" spans="1:5" x14ac:dyDescent="0.25">
      <c r="A1189" t="s">
        <v>116</v>
      </c>
      <c r="B1189" t="s">
        <v>191</v>
      </c>
      <c r="C1189" t="s">
        <v>106</v>
      </c>
      <c r="D1189" s="10">
        <v>0</v>
      </c>
      <c r="E1189" t="str">
        <f>$A1189&amp;Keys!$C$54&amp;$B1189&amp;Keys!$C$54&amp;$C1189</f>
        <v>ME|imports|lignite</v>
      </c>
    </row>
    <row r="1190" spans="1:5" x14ac:dyDescent="0.25">
      <c r="A1190" t="s">
        <v>116</v>
      </c>
      <c r="B1190" t="s">
        <v>193</v>
      </c>
      <c r="C1190" t="s">
        <v>106</v>
      </c>
      <c r="D1190" s="10">
        <v>0</v>
      </c>
      <c r="E1190" t="str">
        <f>$A1190&amp;Keys!$C$54&amp;$B1190&amp;Keys!$C$54&amp;$C1190</f>
        <v>ME|exports|lignite</v>
      </c>
    </row>
    <row r="1191" spans="1:5" x14ac:dyDescent="0.25">
      <c r="A1191" t="s">
        <v>116</v>
      </c>
      <c r="B1191" t="s">
        <v>188</v>
      </c>
      <c r="C1191" t="s">
        <v>109</v>
      </c>
      <c r="D1191" s="10">
        <v>0</v>
      </c>
      <c r="E1191" t="str">
        <f>$A1191&amp;Keys!$C$54&amp;$B1191&amp;Keys!$C$54&amp;$C1191</f>
        <v>ME|production|crude oil</v>
      </c>
    </row>
    <row r="1192" spans="1:5" x14ac:dyDescent="0.25">
      <c r="A1192" t="s">
        <v>116</v>
      </c>
      <c r="B1192" t="s">
        <v>191</v>
      </c>
      <c r="C1192" t="s">
        <v>109</v>
      </c>
      <c r="D1192" s="10">
        <v>161000000000</v>
      </c>
      <c r="E1192" t="str">
        <f>$A1192&amp;Keys!$C$54&amp;$B1192&amp;Keys!$C$54&amp;$C1192</f>
        <v>ME|imports|crude oil</v>
      </c>
    </row>
    <row r="1193" spans="1:5" x14ac:dyDescent="0.25">
      <c r="A1193" t="s">
        <v>116</v>
      </c>
      <c r="B1193" t="s">
        <v>193</v>
      </c>
      <c r="C1193" t="s">
        <v>109</v>
      </c>
      <c r="D1193" s="10">
        <v>0</v>
      </c>
      <c r="E1193" t="str">
        <f>$A1193&amp;Keys!$C$54&amp;$B1193&amp;Keys!$C$54&amp;$C1193</f>
        <v>ME|exports|crude oil</v>
      </c>
    </row>
    <row r="1194" spans="1:5" x14ac:dyDescent="0.25">
      <c r="A1194" t="s">
        <v>116</v>
      </c>
      <c r="B1194" t="s">
        <v>188</v>
      </c>
      <c r="C1194" t="s">
        <v>114</v>
      </c>
      <c r="D1194" s="10">
        <v>0</v>
      </c>
      <c r="E1194" t="str">
        <f>$A1194&amp;Keys!$C$54&amp;$B1194&amp;Keys!$C$54&amp;$C1194</f>
        <v>ME|production|heavy or residual fuel oil</v>
      </c>
    </row>
    <row r="1195" spans="1:5" x14ac:dyDescent="0.25">
      <c r="A1195" t="s">
        <v>116</v>
      </c>
      <c r="B1195" t="s">
        <v>191</v>
      </c>
      <c r="C1195" t="s">
        <v>114</v>
      </c>
      <c r="D1195" s="10">
        <v>4940960000000</v>
      </c>
      <c r="E1195" t="str">
        <f>$A1195&amp;Keys!$C$54&amp;$B1195&amp;Keys!$C$54&amp;$C1195</f>
        <v>ME|imports|heavy or residual fuel oil</v>
      </c>
    </row>
    <row r="1196" spans="1:5" x14ac:dyDescent="0.25">
      <c r="A1196" t="s">
        <v>116</v>
      </c>
      <c r="B1196" t="s">
        <v>193</v>
      </c>
      <c r="C1196" t="s">
        <v>114</v>
      </c>
      <c r="D1196" s="10">
        <v>0</v>
      </c>
      <c r="E1196" t="str">
        <f>$A1196&amp;Keys!$C$54&amp;$B1196&amp;Keys!$C$54&amp;$C1196</f>
        <v>ME|exports|heavy or residual fuel oil</v>
      </c>
    </row>
    <row r="1197" spans="1:5" x14ac:dyDescent="0.25">
      <c r="A1197" t="s">
        <v>116</v>
      </c>
      <c r="B1197" t="s">
        <v>188</v>
      </c>
      <c r="C1197" t="s">
        <v>117</v>
      </c>
      <c r="D1197" s="10">
        <v>0</v>
      </c>
      <c r="E1197" t="str">
        <f>$A1197&amp;Keys!$C$54&amp;$B1197&amp;Keys!$C$54&amp;$C1197</f>
        <v>ME|production|LPG propane or butane</v>
      </c>
    </row>
    <row r="1198" spans="1:5" x14ac:dyDescent="0.25">
      <c r="A1198" t="s">
        <v>116</v>
      </c>
      <c r="B1198" t="s">
        <v>191</v>
      </c>
      <c r="C1198" t="s">
        <v>117</v>
      </c>
      <c r="D1198" s="10">
        <v>16746400000000</v>
      </c>
      <c r="E1198" t="str">
        <f>$A1198&amp;Keys!$C$54&amp;$B1198&amp;Keys!$C$54&amp;$C1198</f>
        <v>ME|imports|LPG propane or butane</v>
      </c>
    </row>
    <row r="1199" spans="1:5" x14ac:dyDescent="0.25">
      <c r="A1199" t="s">
        <v>116</v>
      </c>
      <c r="B1199" t="s">
        <v>193</v>
      </c>
      <c r="C1199" t="s">
        <v>117</v>
      </c>
      <c r="D1199" s="10">
        <v>0</v>
      </c>
      <c r="E1199" t="str">
        <f>$A1199&amp;Keys!$C$54&amp;$B1199&amp;Keys!$C$54&amp;$C1199</f>
        <v>ME|exports|LPG propane or butane</v>
      </c>
    </row>
    <row r="1200" spans="1:5" x14ac:dyDescent="0.25">
      <c r="A1200" t="s">
        <v>116</v>
      </c>
      <c r="B1200" t="s">
        <v>188</v>
      </c>
      <c r="C1200" t="s">
        <v>120</v>
      </c>
      <c r="D1200" s="10">
        <v>0</v>
      </c>
      <c r="E1200" t="str">
        <f>$A1200&amp;Keys!$C$54&amp;$B1200&amp;Keys!$C$54&amp;$C1200</f>
        <v>ME|production|municipal solid waste</v>
      </c>
    </row>
    <row r="1201" spans="1:5" x14ac:dyDescent="0.25">
      <c r="A1201" t="s">
        <v>116</v>
      </c>
      <c r="B1201" t="s">
        <v>191</v>
      </c>
      <c r="C1201" t="s">
        <v>120</v>
      </c>
      <c r="D1201" s="10">
        <v>1368380000000</v>
      </c>
      <c r="E1201" t="str">
        <f>$A1201&amp;Keys!$C$54&amp;$B1201&amp;Keys!$C$54&amp;$C1201</f>
        <v>ME|imports|municipal solid waste</v>
      </c>
    </row>
    <row r="1202" spans="1:5" x14ac:dyDescent="0.25">
      <c r="A1202" t="s">
        <v>116</v>
      </c>
      <c r="B1202" t="s">
        <v>193</v>
      </c>
      <c r="C1202" t="s">
        <v>120</v>
      </c>
      <c r="D1202" s="10">
        <v>0</v>
      </c>
      <c r="E1202" t="str">
        <f>$A1202&amp;Keys!$C$54&amp;$B1202&amp;Keys!$C$54&amp;$C1202</f>
        <v>ME|exports|municipal solid waste</v>
      </c>
    </row>
    <row r="1203" spans="1:5" x14ac:dyDescent="0.25">
      <c r="A1203" t="s">
        <v>116</v>
      </c>
      <c r="B1203" t="s">
        <v>188</v>
      </c>
      <c r="C1203" t="s">
        <v>123</v>
      </c>
      <c r="D1203" s="10">
        <v>0</v>
      </c>
      <c r="E1203" t="str">
        <f>$A1203&amp;Keys!$C$54&amp;$B1203&amp;Keys!$C$54&amp;$C1203</f>
        <v>ME|production|hydrogen</v>
      </c>
    </row>
    <row r="1204" spans="1:5" x14ac:dyDescent="0.25">
      <c r="A1204" t="s">
        <v>116</v>
      </c>
      <c r="B1204" t="s">
        <v>191</v>
      </c>
      <c r="C1204" t="s">
        <v>123</v>
      </c>
      <c r="D1204" s="10">
        <v>0</v>
      </c>
      <c r="E1204" t="str">
        <f>$A1204&amp;Keys!$C$54&amp;$B1204&amp;Keys!$C$54&amp;$C1204</f>
        <v>ME|imports|hydrogen</v>
      </c>
    </row>
    <row r="1205" spans="1:5" x14ac:dyDescent="0.25">
      <c r="A1205" t="s">
        <v>116</v>
      </c>
      <c r="B1205" t="s">
        <v>193</v>
      </c>
      <c r="C1205" t="s">
        <v>123</v>
      </c>
      <c r="D1205" s="10">
        <v>0</v>
      </c>
      <c r="E1205" t="str">
        <f>$A1205&amp;Keys!$C$54&amp;$B1205&amp;Keys!$C$54&amp;$C1205</f>
        <v>ME|exports|hydrogen</v>
      </c>
    </row>
    <row r="1206" spans="1:5" x14ac:dyDescent="0.25">
      <c r="A1206" t="s">
        <v>119</v>
      </c>
      <c r="B1206" t="s">
        <v>188</v>
      </c>
      <c r="C1206" t="s">
        <v>272</v>
      </c>
      <c r="D1206" s="10">
        <v>0</v>
      </c>
      <c r="E1206" t="str">
        <f>$A1206&amp;Keys!$C$54&amp;$B1206&amp;Keys!$C$54&amp;$C1206</f>
        <v>MI|production|electricity</v>
      </c>
    </row>
    <row r="1207" spans="1:5" x14ac:dyDescent="0.25">
      <c r="A1207" t="s">
        <v>119</v>
      </c>
      <c r="B1207" t="s">
        <v>191</v>
      </c>
      <c r="C1207" t="s">
        <v>272</v>
      </c>
      <c r="D1207" s="10">
        <v>0</v>
      </c>
      <c r="E1207" t="str">
        <f>$A1207&amp;Keys!$C$54&amp;$B1207&amp;Keys!$C$54&amp;$C1207</f>
        <v>MI|imports|electricity</v>
      </c>
    </row>
    <row r="1208" spans="1:5" x14ac:dyDescent="0.25">
      <c r="A1208" t="s">
        <v>119</v>
      </c>
      <c r="B1208" t="s">
        <v>193</v>
      </c>
      <c r="C1208" t="s">
        <v>272</v>
      </c>
      <c r="D1208" s="10">
        <v>0</v>
      </c>
      <c r="E1208" t="str">
        <f>$A1208&amp;Keys!$C$54&amp;$B1208&amp;Keys!$C$54&amp;$C1208</f>
        <v>MI|exports|electricity</v>
      </c>
    </row>
    <row r="1209" spans="1:5" x14ac:dyDescent="0.25">
      <c r="A1209" t="s">
        <v>119</v>
      </c>
      <c r="B1209" t="s">
        <v>188</v>
      </c>
      <c r="C1209" t="s">
        <v>64</v>
      </c>
      <c r="D1209" s="10">
        <v>0</v>
      </c>
      <c r="E1209" t="str">
        <f>$A1209&amp;Keys!$C$54&amp;$B1209&amp;Keys!$C$54&amp;$C1209</f>
        <v>MI|production|hard coal</v>
      </c>
    </row>
    <row r="1210" spans="1:5" x14ac:dyDescent="0.25">
      <c r="A1210" t="s">
        <v>119</v>
      </c>
      <c r="B1210" t="s">
        <v>191</v>
      </c>
      <c r="C1210" t="s">
        <v>64</v>
      </c>
      <c r="D1210" s="10">
        <v>410342000000000</v>
      </c>
      <c r="E1210" t="str">
        <f>$A1210&amp;Keys!$C$54&amp;$B1210&amp;Keys!$C$54&amp;$C1210</f>
        <v>MI|imports|hard coal</v>
      </c>
    </row>
    <row r="1211" spans="1:5" x14ac:dyDescent="0.25">
      <c r="A1211" t="s">
        <v>119</v>
      </c>
      <c r="B1211" t="s">
        <v>193</v>
      </c>
      <c r="C1211" t="s">
        <v>64</v>
      </c>
      <c r="D1211" s="10">
        <v>0</v>
      </c>
      <c r="E1211" t="str">
        <f>$A1211&amp;Keys!$C$54&amp;$B1211&amp;Keys!$C$54&amp;$C1211</f>
        <v>MI|exports|hard coal</v>
      </c>
    </row>
    <row r="1212" spans="1:5" x14ac:dyDescent="0.25">
      <c r="A1212" t="s">
        <v>119</v>
      </c>
      <c r="B1212" t="s">
        <v>188</v>
      </c>
      <c r="C1212" t="s">
        <v>68</v>
      </c>
      <c r="D1212" s="10">
        <v>65821500000000</v>
      </c>
      <c r="E1212" t="str">
        <f>$A1212&amp;Keys!$C$54&amp;$B1212&amp;Keys!$C$54&amp;$C1212</f>
        <v>MI|production|natural gas</v>
      </c>
    </row>
    <row r="1213" spans="1:5" x14ac:dyDescent="0.25">
      <c r="A1213" t="s">
        <v>119</v>
      </c>
      <c r="B1213" t="s">
        <v>191</v>
      </c>
      <c r="C1213" t="s">
        <v>68</v>
      </c>
      <c r="D1213" s="10">
        <v>1697960000000000</v>
      </c>
      <c r="E1213" t="str">
        <f>$A1213&amp;Keys!$C$54&amp;$B1213&amp;Keys!$C$54&amp;$C1213</f>
        <v>MI|imports|natural gas</v>
      </c>
    </row>
    <row r="1214" spans="1:5" x14ac:dyDescent="0.25">
      <c r="A1214" t="s">
        <v>119</v>
      </c>
      <c r="B1214" t="s">
        <v>193</v>
      </c>
      <c r="C1214" t="s">
        <v>68</v>
      </c>
      <c r="D1214" s="10">
        <v>774254000000000</v>
      </c>
      <c r="E1214" t="str">
        <f>$A1214&amp;Keys!$C$54&amp;$B1214&amp;Keys!$C$54&amp;$C1214</f>
        <v>MI|exports|natural gas</v>
      </c>
    </row>
    <row r="1215" spans="1:5" x14ac:dyDescent="0.25">
      <c r="A1215" t="s">
        <v>119</v>
      </c>
      <c r="B1215" t="s">
        <v>188</v>
      </c>
      <c r="C1215" t="s">
        <v>71</v>
      </c>
      <c r="D1215" s="10">
        <v>0</v>
      </c>
      <c r="E1215" t="str">
        <f>$A1215&amp;Keys!$C$54&amp;$B1215&amp;Keys!$C$54&amp;$C1215</f>
        <v>MI|production|nuclear</v>
      </c>
    </row>
    <row r="1216" spans="1:5" x14ac:dyDescent="0.25">
      <c r="A1216" t="s">
        <v>119</v>
      </c>
      <c r="B1216" t="s">
        <v>191</v>
      </c>
      <c r="C1216" t="s">
        <v>71</v>
      </c>
      <c r="D1216" s="10">
        <v>287572000000000</v>
      </c>
      <c r="E1216" t="str">
        <f>$A1216&amp;Keys!$C$54&amp;$B1216&amp;Keys!$C$54&amp;$C1216</f>
        <v>MI|imports|nuclear</v>
      </c>
    </row>
    <row r="1217" spans="1:5" x14ac:dyDescent="0.25">
      <c r="A1217" t="s">
        <v>119</v>
      </c>
      <c r="B1217" t="s">
        <v>193</v>
      </c>
      <c r="C1217" t="s">
        <v>71</v>
      </c>
      <c r="D1217" s="10">
        <v>0</v>
      </c>
      <c r="E1217" t="str">
        <f>$A1217&amp;Keys!$C$54&amp;$B1217&amp;Keys!$C$54&amp;$C1217</f>
        <v>MI|exports|nuclear</v>
      </c>
    </row>
    <row r="1218" spans="1:5" x14ac:dyDescent="0.25">
      <c r="A1218" t="s">
        <v>119</v>
      </c>
      <c r="B1218" t="s">
        <v>188</v>
      </c>
      <c r="C1218" t="s">
        <v>273</v>
      </c>
      <c r="D1218" s="10">
        <v>0</v>
      </c>
      <c r="E1218" t="str">
        <f>$A1218&amp;Keys!$C$54&amp;$B1218&amp;Keys!$C$54&amp;$C1218</f>
        <v>MI|production|hydro</v>
      </c>
    </row>
    <row r="1219" spans="1:5" x14ac:dyDescent="0.25">
      <c r="A1219" t="s">
        <v>119</v>
      </c>
      <c r="B1219" t="s">
        <v>191</v>
      </c>
      <c r="C1219" t="s">
        <v>273</v>
      </c>
      <c r="D1219" s="10">
        <v>0</v>
      </c>
      <c r="E1219" t="str">
        <f>$A1219&amp;Keys!$C$54&amp;$B1219&amp;Keys!$C$54&amp;$C1219</f>
        <v>MI|imports|hydro</v>
      </c>
    </row>
    <row r="1220" spans="1:5" x14ac:dyDescent="0.25">
      <c r="A1220" t="s">
        <v>119</v>
      </c>
      <c r="B1220" t="s">
        <v>193</v>
      </c>
      <c r="C1220" t="s">
        <v>273</v>
      </c>
      <c r="D1220" s="10">
        <v>0</v>
      </c>
      <c r="E1220" t="str">
        <f>$A1220&amp;Keys!$C$54&amp;$B1220&amp;Keys!$C$54&amp;$C1220</f>
        <v>MI|exports|hydro</v>
      </c>
    </row>
    <row r="1221" spans="1:5" x14ac:dyDescent="0.25">
      <c r="A1221" t="s">
        <v>119</v>
      </c>
      <c r="B1221" t="s">
        <v>188</v>
      </c>
      <c r="C1221" t="s">
        <v>274</v>
      </c>
      <c r="D1221" s="10">
        <v>0</v>
      </c>
      <c r="E1221" t="str">
        <f>$A1221&amp;Keys!$C$54&amp;$B1221&amp;Keys!$C$54&amp;$C1221</f>
        <v>MI|production|wind</v>
      </c>
    </row>
    <row r="1222" spans="1:5" x14ac:dyDescent="0.25">
      <c r="A1222" t="s">
        <v>119</v>
      </c>
      <c r="B1222" t="s">
        <v>191</v>
      </c>
      <c r="C1222" t="s">
        <v>274</v>
      </c>
      <c r="D1222" s="10">
        <v>0</v>
      </c>
      <c r="E1222" t="str">
        <f>$A1222&amp;Keys!$C$54&amp;$B1222&amp;Keys!$C$54&amp;$C1222</f>
        <v>MI|imports|wind</v>
      </c>
    </row>
    <row r="1223" spans="1:5" x14ac:dyDescent="0.25">
      <c r="A1223" t="s">
        <v>119</v>
      </c>
      <c r="B1223" t="s">
        <v>193</v>
      </c>
      <c r="C1223" t="s">
        <v>274</v>
      </c>
      <c r="D1223" s="10">
        <v>0</v>
      </c>
      <c r="E1223" t="str">
        <f>$A1223&amp;Keys!$C$54&amp;$B1223&amp;Keys!$C$54&amp;$C1223</f>
        <v>MI|exports|wind</v>
      </c>
    </row>
    <row r="1224" spans="1:5" x14ac:dyDescent="0.25">
      <c r="A1224" t="s">
        <v>119</v>
      </c>
      <c r="B1224" t="s">
        <v>188</v>
      </c>
      <c r="C1224" t="s">
        <v>275</v>
      </c>
      <c r="D1224" s="10">
        <v>0</v>
      </c>
      <c r="E1224" t="str">
        <f>$A1224&amp;Keys!$C$54&amp;$B1224&amp;Keys!$C$54&amp;$C1224</f>
        <v>MI|production|solar</v>
      </c>
    </row>
    <row r="1225" spans="1:5" x14ac:dyDescent="0.25">
      <c r="A1225" t="s">
        <v>119</v>
      </c>
      <c r="B1225" t="s">
        <v>191</v>
      </c>
      <c r="C1225" t="s">
        <v>275</v>
      </c>
      <c r="D1225" s="10">
        <v>0</v>
      </c>
      <c r="E1225" t="str">
        <f>$A1225&amp;Keys!$C$54&amp;$B1225&amp;Keys!$C$54&amp;$C1225</f>
        <v>MI|imports|solar</v>
      </c>
    </row>
    <row r="1226" spans="1:5" x14ac:dyDescent="0.25">
      <c r="A1226" t="s">
        <v>119</v>
      </c>
      <c r="B1226" t="s">
        <v>193</v>
      </c>
      <c r="C1226" t="s">
        <v>275</v>
      </c>
      <c r="D1226" s="10">
        <v>0</v>
      </c>
      <c r="E1226" t="str">
        <f>$A1226&amp;Keys!$C$54&amp;$B1226&amp;Keys!$C$54&amp;$C1226</f>
        <v>MI|exports|solar</v>
      </c>
    </row>
    <row r="1227" spans="1:5" x14ac:dyDescent="0.25">
      <c r="A1227" t="s">
        <v>119</v>
      </c>
      <c r="B1227" t="s">
        <v>188</v>
      </c>
      <c r="C1227" t="s">
        <v>82</v>
      </c>
      <c r="D1227" s="10">
        <v>2768000000000</v>
      </c>
      <c r="E1227" t="str">
        <f>$A1227&amp;Keys!$C$54&amp;$B1227&amp;Keys!$C$54&amp;$C1227</f>
        <v>MI|production|biomass</v>
      </c>
    </row>
    <row r="1228" spans="1:5" x14ac:dyDescent="0.25">
      <c r="A1228" t="s">
        <v>119</v>
      </c>
      <c r="B1228" t="s">
        <v>191</v>
      </c>
      <c r="C1228" t="s">
        <v>82</v>
      </c>
      <c r="D1228" s="10">
        <v>99526800000000</v>
      </c>
      <c r="E1228" t="str">
        <f>$A1228&amp;Keys!$C$54&amp;$B1228&amp;Keys!$C$54&amp;$C1228</f>
        <v>MI|imports|biomass</v>
      </c>
    </row>
    <row r="1229" spans="1:5" x14ac:dyDescent="0.25">
      <c r="A1229" t="s">
        <v>119</v>
      </c>
      <c r="B1229" t="s">
        <v>193</v>
      </c>
      <c r="C1229" t="s">
        <v>82</v>
      </c>
      <c r="D1229" s="10">
        <v>0</v>
      </c>
      <c r="E1229" t="str">
        <f>$A1229&amp;Keys!$C$54&amp;$B1229&amp;Keys!$C$54&amp;$C1229</f>
        <v>MI|exports|biomass</v>
      </c>
    </row>
    <row r="1230" spans="1:5" x14ac:dyDescent="0.25">
      <c r="A1230" t="s">
        <v>119</v>
      </c>
      <c r="B1230" t="s">
        <v>188</v>
      </c>
      <c r="C1230" t="s">
        <v>85</v>
      </c>
      <c r="D1230" s="10">
        <v>139752000000000</v>
      </c>
      <c r="E1230" t="str">
        <f>$A1230&amp;Keys!$C$54&amp;$B1230&amp;Keys!$C$54&amp;$C1230</f>
        <v>MI|production|petroleum gasoline</v>
      </c>
    </row>
    <row r="1231" spans="1:5" x14ac:dyDescent="0.25">
      <c r="A1231" t="s">
        <v>119</v>
      </c>
      <c r="B1231" t="s">
        <v>191</v>
      </c>
      <c r="C1231" t="s">
        <v>85</v>
      </c>
      <c r="D1231" s="10">
        <v>331525000000000</v>
      </c>
      <c r="E1231" t="str">
        <f>$A1231&amp;Keys!$C$54&amp;$B1231&amp;Keys!$C$54&amp;$C1231</f>
        <v>MI|imports|petroleum gasoline</v>
      </c>
    </row>
    <row r="1232" spans="1:5" x14ac:dyDescent="0.25">
      <c r="A1232" t="s">
        <v>119</v>
      </c>
      <c r="B1232" t="s">
        <v>193</v>
      </c>
      <c r="C1232" t="s">
        <v>85</v>
      </c>
      <c r="D1232" s="10">
        <v>0</v>
      </c>
      <c r="E1232" t="str">
        <f>$A1232&amp;Keys!$C$54&amp;$B1232&amp;Keys!$C$54&amp;$C1232</f>
        <v>MI|exports|petroleum gasoline</v>
      </c>
    </row>
    <row r="1233" spans="1:5" x14ac:dyDescent="0.25">
      <c r="A1233" t="s">
        <v>119</v>
      </c>
      <c r="B1233" t="s">
        <v>188</v>
      </c>
      <c r="C1233" t="s">
        <v>88</v>
      </c>
      <c r="D1233" s="10">
        <v>82665400000000</v>
      </c>
      <c r="E1233" t="str">
        <f>$A1233&amp;Keys!$C$54&amp;$B1233&amp;Keys!$C$54&amp;$C1233</f>
        <v>MI|production|petroleum diesel</v>
      </c>
    </row>
    <row r="1234" spans="1:5" x14ac:dyDescent="0.25">
      <c r="A1234" t="s">
        <v>119</v>
      </c>
      <c r="B1234" t="s">
        <v>191</v>
      </c>
      <c r="C1234" t="s">
        <v>88</v>
      </c>
      <c r="D1234" s="10">
        <v>111810000000000</v>
      </c>
      <c r="E1234" t="str">
        <f>$A1234&amp;Keys!$C$54&amp;$B1234&amp;Keys!$C$54&amp;$C1234</f>
        <v>MI|imports|petroleum diesel</v>
      </c>
    </row>
    <row r="1235" spans="1:5" x14ac:dyDescent="0.25">
      <c r="A1235" t="s">
        <v>119</v>
      </c>
      <c r="B1235" t="s">
        <v>193</v>
      </c>
      <c r="C1235" t="s">
        <v>88</v>
      </c>
      <c r="D1235" s="10">
        <v>0</v>
      </c>
      <c r="E1235" t="str">
        <f>$A1235&amp;Keys!$C$54&amp;$B1235&amp;Keys!$C$54&amp;$C1235</f>
        <v>MI|exports|petroleum diesel</v>
      </c>
    </row>
    <row r="1236" spans="1:5" x14ac:dyDescent="0.25">
      <c r="A1236" t="s">
        <v>119</v>
      </c>
      <c r="B1236" t="s">
        <v>188</v>
      </c>
      <c r="C1236" t="s">
        <v>91</v>
      </c>
      <c r="D1236" s="10">
        <v>29089600000000</v>
      </c>
      <c r="E1236" t="str">
        <f>$A1236&amp;Keys!$C$54&amp;$B1236&amp;Keys!$C$54&amp;$C1236</f>
        <v>MI|production|biofuel gasoline</v>
      </c>
    </row>
    <row r="1237" spans="1:5" x14ac:dyDescent="0.25">
      <c r="A1237" t="s">
        <v>119</v>
      </c>
      <c r="B1237" t="s">
        <v>191</v>
      </c>
      <c r="C1237" t="s">
        <v>91</v>
      </c>
      <c r="D1237" s="10">
        <v>3035730000000</v>
      </c>
      <c r="E1237" t="str">
        <f>$A1237&amp;Keys!$C$54&amp;$B1237&amp;Keys!$C$54&amp;$C1237</f>
        <v>MI|imports|biofuel gasoline</v>
      </c>
    </row>
    <row r="1238" spans="1:5" x14ac:dyDescent="0.25">
      <c r="A1238" t="s">
        <v>119</v>
      </c>
      <c r="B1238" t="s">
        <v>193</v>
      </c>
      <c r="C1238" t="s">
        <v>91</v>
      </c>
      <c r="D1238" s="10">
        <v>0</v>
      </c>
      <c r="E1238" t="str">
        <f>$A1238&amp;Keys!$C$54&amp;$B1238&amp;Keys!$C$54&amp;$C1238</f>
        <v>MI|exports|biofuel gasoline</v>
      </c>
    </row>
    <row r="1239" spans="1:5" x14ac:dyDescent="0.25">
      <c r="A1239" t="s">
        <v>119</v>
      </c>
      <c r="B1239" t="s">
        <v>188</v>
      </c>
      <c r="C1239" t="s">
        <v>94</v>
      </c>
      <c r="D1239" s="10">
        <v>5221280000000</v>
      </c>
      <c r="E1239" t="str">
        <f>$A1239&amp;Keys!$C$54&amp;$B1239&amp;Keys!$C$54&amp;$C1239</f>
        <v>MI|production|biofuel diesel</v>
      </c>
    </row>
    <row r="1240" spans="1:5" x14ac:dyDescent="0.25">
      <c r="A1240" t="s">
        <v>119</v>
      </c>
      <c r="B1240" t="s">
        <v>191</v>
      </c>
      <c r="C1240" t="s">
        <v>94</v>
      </c>
      <c r="D1240" s="10">
        <v>92702800000</v>
      </c>
      <c r="E1240" t="str">
        <f>$A1240&amp;Keys!$C$54&amp;$B1240&amp;Keys!$C$54&amp;$C1240</f>
        <v>MI|imports|biofuel diesel</v>
      </c>
    </row>
    <row r="1241" spans="1:5" x14ac:dyDescent="0.25">
      <c r="A1241" t="s">
        <v>119</v>
      </c>
      <c r="B1241" t="s">
        <v>193</v>
      </c>
      <c r="C1241" t="s">
        <v>94</v>
      </c>
      <c r="D1241" s="10">
        <v>2011830000000</v>
      </c>
      <c r="E1241" t="str">
        <f>$A1241&amp;Keys!$C$54&amp;$B1241&amp;Keys!$C$54&amp;$C1241</f>
        <v>MI|exports|biofuel diesel</v>
      </c>
    </row>
    <row r="1242" spans="1:5" x14ac:dyDescent="0.25">
      <c r="A1242" t="s">
        <v>119</v>
      </c>
      <c r="B1242" t="s">
        <v>188</v>
      </c>
      <c r="C1242" t="s">
        <v>97</v>
      </c>
      <c r="D1242" s="10">
        <v>29427200000000</v>
      </c>
      <c r="E1242" t="str">
        <f>$A1242&amp;Keys!$C$54&amp;$B1242&amp;Keys!$C$54&amp;$C1242</f>
        <v>MI|production|jet fuel or kerosene</v>
      </c>
    </row>
    <row r="1243" spans="1:5" x14ac:dyDescent="0.25">
      <c r="A1243" t="s">
        <v>119</v>
      </c>
      <c r="B1243" t="s">
        <v>191</v>
      </c>
      <c r="C1243" t="s">
        <v>97</v>
      </c>
      <c r="D1243" s="10">
        <v>20979300000000</v>
      </c>
      <c r="E1243" t="str">
        <f>$A1243&amp;Keys!$C$54&amp;$B1243&amp;Keys!$C$54&amp;$C1243</f>
        <v>MI|imports|jet fuel or kerosene</v>
      </c>
    </row>
    <row r="1244" spans="1:5" x14ac:dyDescent="0.25">
      <c r="A1244" t="s">
        <v>119</v>
      </c>
      <c r="B1244" t="s">
        <v>193</v>
      </c>
      <c r="C1244" t="s">
        <v>97</v>
      </c>
      <c r="D1244" s="10">
        <v>0</v>
      </c>
      <c r="E1244" t="str">
        <f>$A1244&amp;Keys!$C$54&amp;$B1244&amp;Keys!$C$54&amp;$C1244</f>
        <v>MI|exports|jet fuel or kerosene</v>
      </c>
    </row>
    <row r="1245" spans="1:5" x14ac:dyDescent="0.25">
      <c r="A1245" t="s">
        <v>119</v>
      </c>
      <c r="B1245" t="s">
        <v>188</v>
      </c>
      <c r="C1245" t="s">
        <v>276</v>
      </c>
      <c r="D1245" s="10">
        <v>0</v>
      </c>
      <c r="E1245" t="str">
        <f>$A1245&amp;Keys!$C$54&amp;$B1245&amp;Keys!$C$54&amp;$C1245</f>
        <v>MI|production|heat</v>
      </c>
    </row>
    <row r="1246" spans="1:5" x14ac:dyDescent="0.25">
      <c r="A1246" t="s">
        <v>119</v>
      </c>
      <c r="B1246" t="s">
        <v>191</v>
      </c>
      <c r="C1246" t="s">
        <v>276</v>
      </c>
      <c r="D1246" s="10">
        <v>0</v>
      </c>
      <c r="E1246" t="str">
        <f>$A1246&amp;Keys!$C$54&amp;$B1246&amp;Keys!$C$54&amp;$C1246</f>
        <v>MI|imports|heat</v>
      </c>
    </row>
    <row r="1247" spans="1:5" x14ac:dyDescent="0.25">
      <c r="A1247" t="s">
        <v>119</v>
      </c>
      <c r="B1247" t="s">
        <v>193</v>
      </c>
      <c r="C1247" t="s">
        <v>276</v>
      </c>
      <c r="D1247" s="10">
        <v>0</v>
      </c>
      <c r="E1247" t="str">
        <f>$A1247&amp;Keys!$C$54&amp;$B1247&amp;Keys!$C$54&amp;$C1247</f>
        <v>MI|exports|heat</v>
      </c>
    </row>
    <row r="1248" spans="1:5" x14ac:dyDescent="0.25">
      <c r="A1248" t="s">
        <v>119</v>
      </c>
      <c r="B1248" t="s">
        <v>188</v>
      </c>
      <c r="C1248" t="s">
        <v>277</v>
      </c>
      <c r="D1248" s="10">
        <v>0</v>
      </c>
      <c r="E1248" t="str">
        <f>$A1248&amp;Keys!$C$54&amp;$B1248&amp;Keys!$C$54&amp;$C1248</f>
        <v>MI|production|geothermal</v>
      </c>
    </row>
    <row r="1249" spans="1:5" x14ac:dyDescent="0.25">
      <c r="A1249" t="s">
        <v>119</v>
      </c>
      <c r="B1249" t="s">
        <v>191</v>
      </c>
      <c r="C1249" t="s">
        <v>277</v>
      </c>
      <c r="D1249" s="10">
        <v>0</v>
      </c>
      <c r="E1249" t="str">
        <f>$A1249&amp;Keys!$C$54&amp;$B1249&amp;Keys!$C$54&amp;$C1249</f>
        <v>MI|imports|geothermal</v>
      </c>
    </row>
    <row r="1250" spans="1:5" x14ac:dyDescent="0.25">
      <c r="A1250" t="s">
        <v>119</v>
      </c>
      <c r="B1250" t="s">
        <v>193</v>
      </c>
      <c r="C1250" t="s">
        <v>277</v>
      </c>
      <c r="D1250" s="10">
        <v>0</v>
      </c>
      <c r="E1250" t="str">
        <f>$A1250&amp;Keys!$C$54&amp;$B1250&amp;Keys!$C$54&amp;$C1250</f>
        <v>MI|exports|geothermal</v>
      </c>
    </row>
    <row r="1251" spans="1:5" x14ac:dyDescent="0.25">
      <c r="A1251" t="s">
        <v>119</v>
      </c>
      <c r="B1251" t="s">
        <v>188</v>
      </c>
      <c r="C1251" t="s">
        <v>106</v>
      </c>
      <c r="D1251" s="10">
        <v>0</v>
      </c>
      <c r="E1251" t="str">
        <f>$A1251&amp;Keys!$C$54&amp;$B1251&amp;Keys!$C$54&amp;$C1251</f>
        <v>MI|production|lignite</v>
      </c>
    </row>
    <row r="1252" spans="1:5" x14ac:dyDescent="0.25">
      <c r="A1252" t="s">
        <v>119</v>
      </c>
      <c r="B1252" t="s">
        <v>191</v>
      </c>
      <c r="C1252" t="s">
        <v>106</v>
      </c>
      <c r="D1252" s="10">
        <v>0</v>
      </c>
      <c r="E1252" t="str">
        <f>$A1252&amp;Keys!$C$54&amp;$B1252&amp;Keys!$C$54&amp;$C1252</f>
        <v>MI|imports|lignite</v>
      </c>
    </row>
    <row r="1253" spans="1:5" x14ac:dyDescent="0.25">
      <c r="A1253" t="s">
        <v>119</v>
      </c>
      <c r="B1253" t="s">
        <v>193</v>
      </c>
      <c r="C1253" t="s">
        <v>106</v>
      </c>
      <c r="D1253" s="10">
        <v>0</v>
      </c>
      <c r="E1253" t="str">
        <f>$A1253&amp;Keys!$C$54&amp;$B1253&amp;Keys!$C$54&amp;$C1253</f>
        <v>MI|exports|lignite</v>
      </c>
    </row>
    <row r="1254" spans="1:5" x14ac:dyDescent="0.25">
      <c r="A1254" t="s">
        <v>119</v>
      </c>
      <c r="B1254" t="s">
        <v>188</v>
      </c>
      <c r="C1254" t="s">
        <v>109</v>
      </c>
      <c r="D1254" s="10">
        <v>26366800000000</v>
      </c>
      <c r="E1254" t="str">
        <f>$A1254&amp;Keys!$C$54&amp;$B1254&amp;Keys!$C$54&amp;$C1254</f>
        <v>MI|production|crude oil</v>
      </c>
    </row>
    <row r="1255" spans="1:5" x14ac:dyDescent="0.25">
      <c r="A1255" t="s">
        <v>119</v>
      </c>
      <c r="B1255" t="s">
        <v>191</v>
      </c>
      <c r="C1255" t="s">
        <v>109</v>
      </c>
      <c r="D1255" s="10">
        <v>271518000000000</v>
      </c>
      <c r="E1255" t="str">
        <f>$A1255&amp;Keys!$C$54&amp;$B1255&amp;Keys!$C$54&amp;$C1255</f>
        <v>MI|imports|crude oil</v>
      </c>
    </row>
    <row r="1256" spans="1:5" x14ac:dyDescent="0.25">
      <c r="A1256" t="s">
        <v>119</v>
      </c>
      <c r="B1256" t="s">
        <v>193</v>
      </c>
      <c r="C1256" t="s">
        <v>109</v>
      </c>
      <c r="D1256" s="10">
        <v>0</v>
      </c>
      <c r="E1256" t="str">
        <f>$A1256&amp;Keys!$C$54&amp;$B1256&amp;Keys!$C$54&amp;$C1256</f>
        <v>MI|exports|crude oil</v>
      </c>
    </row>
    <row r="1257" spans="1:5" x14ac:dyDescent="0.25">
      <c r="A1257" t="s">
        <v>119</v>
      </c>
      <c r="B1257" t="s">
        <v>188</v>
      </c>
      <c r="C1257" t="s">
        <v>114</v>
      </c>
      <c r="D1257" s="10">
        <v>5716340000000</v>
      </c>
      <c r="E1257" t="str">
        <f>$A1257&amp;Keys!$C$54&amp;$B1257&amp;Keys!$C$54&amp;$C1257</f>
        <v>MI|production|heavy or residual fuel oil</v>
      </c>
    </row>
    <row r="1258" spans="1:5" x14ac:dyDescent="0.25">
      <c r="A1258" t="s">
        <v>119</v>
      </c>
      <c r="B1258" t="s">
        <v>191</v>
      </c>
      <c r="C1258" t="s">
        <v>114</v>
      </c>
      <c r="D1258" s="10">
        <v>24481100000000</v>
      </c>
      <c r="E1258" t="str">
        <f>$A1258&amp;Keys!$C$54&amp;$B1258&amp;Keys!$C$54&amp;$C1258</f>
        <v>MI|imports|heavy or residual fuel oil</v>
      </c>
    </row>
    <row r="1259" spans="1:5" x14ac:dyDescent="0.25">
      <c r="A1259" t="s">
        <v>119</v>
      </c>
      <c r="B1259" t="s">
        <v>193</v>
      </c>
      <c r="C1259" t="s">
        <v>114</v>
      </c>
      <c r="D1259" s="10">
        <v>0</v>
      </c>
      <c r="E1259" t="str">
        <f>$A1259&amp;Keys!$C$54&amp;$B1259&amp;Keys!$C$54&amp;$C1259</f>
        <v>MI|exports|heavy or residual fuel oil</v>
      </c>
    </row>
    <row r="1260" spans="1:5" x14ac:dyDescent="0.25">
      <c r="A1260" t="s">
        <v>119</v>
      </c>
      <c r="B1260" t="s">
        <v>188</v>
      </c>
      <c r="C1260" t="s">
        <v>117</v>
      </c>
      <c r="D1260" s="10">
        <v>8046640000000</v>
      </c>
      <c r="E1260" t="str">
        <f>$A1260&amp;Keys!$C$54&amp;$B1260&amp;Keys!$C$54&amp;$C1260</f>
        <v>MI|production|LPG propane or butane</v>
      </c>
    </row>
    <row r="1261" spans="1:5" x14ac:dyDescent="0.25">
      <c r="A1261" t="s">
        <v>119</v>
      </c>
      <c r="B1261" t="s">
        <v>191</v>
      </c>
      <c r="C1261" t="s">
        <v>117</v>
      </c>
      <c r="D1261" s="10">
        <v>35630500000000</v>
      </c>
      <c r="E1261" t="str">
        <f>$A1261&amp;Keys!$C$54&amp;$B1261&amp;Keys!$C$54&amp;$C1261</f>
        <v>MI|imports|LPG propane or butane</v>
      </c>
    </row>
    <row r="1262" spans="1:5" x14ac:dyDescent="0.25">
      <c r="A1262" t="s">
        <v>119</v>
      </c>
      <c r="B1262" t="s">
        <v>193</v>
      </c>
      <c r="C1262" t="s">
        <v>117</v>
      </c>
      <c r="D1262" s="10">
        <v>0</v>
      </c>
      <c r="E1262" t="str">
        <f>$A1262&amp;Keys!$C$54&amp;$B1262&amp;Keys!$C$54&amp;$C1262</f>
        <v>MI|exports|LPG propane or butane</v>
      </c>
    </row>
    <row r="1263" spans="1:5" x14ac:dyDescent="0.25">
      <c r="A1263" t="s">
        <v>119</v>
      </c>
      <c r="B1263" t="s">
        <v>188</v>
      </c>
      <c r="C1263" t="s">
        <v>120</v>
      </c>
      <c r="D1263" s="10">
        <v>0</v>
      </c>
      <c r="E1263" t="str">
        <f>$A1263&amp;Keys!$C$54&amp;$B1263&amp;Keys!$C$54&amp;$C1263</f>
        <v>MI|production|municipal solid waste</v>
      </c>
    </row>
    <row r="1264" spans="1:5" x14ac:dyDescent="0.25">
      <c r="A1264" t="s">
        <v>119</v>
      </c>
      <c r="B1264" t="s">
        <v>191</v>
      </c>
      <c r="C1264" t="s">
        <v>120</v>
      </c>
      <c r="D1264" s="10">
        <v>0</v>
      </c>
      <c r="E1264" t="str">
        <f>$A1264&amp;Keys!$C$54&amp;$B1264&amp;Keys!$C$54&amp;$C1264</f>
        <v>MI|imports|municipal solid waste</v>
      </c>
    </row>
    <row r="1265" spans="1:5" x14ac:dyDescent="0.25">
      <c r="A1265" t="s">
        <v>119</v>
      </c>
      <c r="B1265" t="s">
        <v>193</v>
      </c>
      <c r="C1265" t="s">
        <v>120</v>
      </c>
      <c r="D1265" s="10">
        <v>0</v>
      </c>
      <c r="E1265" t="str">
        <f>$A1265&amp;Keys!$C$54&amp;$B1265&amp;Keys!$C$54&amp;$C1265</f>
        <v>MI|exports|municipal solid waste</v>
      </c>
    </row>
    <row r="1266" spans="1:5" x14ac:dyDescent="0.25">
      <c r="A1266" t="s">
        <v>119</v>
      </c>
      <c r="B1266" t="s">
        <v>188</v>
      </c>
      <c r="C1266" t="s">
        <v>123</v>
      </c>
      <c r="D1266" s="10">
        <v>0</v>
      </c>
      <c r="E1266" t="str">
        <f>$A1266&amp;Keys!$C$54&amp;$B1266&amp;Keys!$C$54&amp;$C1266</f>
        <v>MI|production|hydrogen</v>
      </c>
    </row>
    <row r="1267" spans="1:5" x14ac:dyDescent="0.25">
      <c r="A1267" t="s">
        <v>119</v>
      </c>
      <c r="B1267" t="s">
        <v>191</v>
      </c>
      <c r="C1267" t="s">
        <v>123</v>
      </c>
      <c r="D1267" s="10">
        <v>6236270000000</v>
      </c>
      <c r="E1267" t="str">
        <f>$A1267&amp;Keys!$C$54&amp;$B1267&amp;Keys!$C$54&amp;$C1267</f>
        <v>MI|imports|hydrogen</v>
      </c>
    </row>
    <row r="1268" spans="1:5" x14ac:dyDescent="0.25">
      <c r="A1268" t="s">
        <v>119</v>
      </c>
      <c r="B1268" t="s">
        <v>193</v>
      </c>
      <c r="C1268" t="s">
        <v>123</v>
      </c>
      <c r="D1268" s="10">
        <v>0</v>
      </c>
      <c r="E1268" t="str">
        <f>$A1268&amp;Keys!$C$54&amp;$B1268&amp;Keys!$C$54&amp;$C1268</f>
        <v>MI|exports|hydrogen</v>
      </c>
    </row>
    <row r="1269" spans="1:5" x14ac:dyDescent="0.25">
      <c r="A1269" t="s">
        <v>122</v>
      </c>
      <c r="B1269" t="s">
        <v>188</v>
      </c>
      <c r="C1269" t="s">
        <v>272</v>
      </c>
      <c r="D1269" s="10">
        <v>0</v>
      </c>
      <c r="E1269" t="str">
        <f>$A1269&amp;Keys!$C$54&amp;$B1269&amp;Keys!$C$54&amp;$C1269</f>
        <v>MN|production|electricity</v>
      </c>
    </row>
    <row r="1270" spans="1:5" x14ac:dyDescent="0.25">
      <c r="A1270" t="s">
        <v>122</v>
      </c>
      <c r="B1270" t="s">
        <v>191</v>
      </c>
      <c r="C1270" t="s">
        <v>272</v>
      </c>
      <c r="D1270" s="10">
        <v>0</v>
      </c>
      <c r="E1270" t="str">
        <f>$A1270&amp;Keys!$C$54&amp;$B1270&amp;Keys!$C$54&amp;$C1270</f>
        <v>MN|imports|electricity</v>
      </c>
    </row>
    <row r="1271" spans="1:5" x14ac:dyDescent="0.25">
      <c r="A1271" t="s">
        <v>122</v>
      </c>
      <c r="B1271" t="s">
        <v>193</v>
      </c>
      <c r="C1271" t="s">
        <v>272</v>
      </c>
      <c r="D1271" s="10">
        <v>0</v>
      </c>
      <c r="E1271" t="str">
        <f>$A1271&amp;Keys!$C$54&amp;$B1271&amp;Keys!$C$54&amp;$C1271</f>
        <v>MN|exports|electricity</v>
      </c>
    </row>
    <row r="1272" spans="1:5" x14ac:dyDescent="0.25">
      <c r="A1272" t="s">
        <v>122</v>
      </c>
      <c r="B1272" t="s">
        <v>188</v>
      </c>
      <c r="C1272" t="s">
        <v>64</v>
      </c>
      <c r="D1272" s="10">
        <v>0</v>
      </c>
      <c r="E1272" t="str">
        <f>$A1272&amp;Keys!$C$54&amp;$B1272&amp;Keys!$C$54&amp;$C1272</f>
        <v>MN|production|hard coal</v>
      </c>
    </row>
    <row r="1273" spans="1:5" x14ac:dyDescent="0.25">
      <c r="A1273" t="s">
        <v>122</v>
      </c>
      <c r="B1273" t="s">
        <v>191</v>
      </c>
      <c r="C1273" t="s">
        <v>64</v>
      </c>
      <c r="D1273" s="10">
        <v>181908000000000</v>
      </c>
      <c r="E1273" t="str">
        <f>$A1273&amp;Keys!$C$54&amp;$B1273&amp;Keys!$C$54&amp;$C1273</f>
        <v>MN|imports|hard coal</v>
      </c>
    </row>
    <row r="1274" spans="1:5" x14ac:dyDescent="0.25">
      <c r="A1274" t="s">
        <v>122</v>
      </c>
      <c r="B1274" t="s">
        <v>193</v>
      </c>
      <c r="C1274" t="s">
        <v>64</v>
      </c>
      <c r="D1274" s="10">
        <v>0</v>
      </c>
      <c r="E1274" t="str">
        <f>$A1274&amp;Keys!$C$54&amp;$B1274&amp;Keys!$C$54&amp;$C1274</f>
        <v>MN|exports|hard coal</v>
      </c>
    </row>
    <row r="1275" spans="1:5" x14ac:dyDescent="0.25">
      <c r="A1275" t="s">
        <v>122</v>
      </c>
      <c r="B1275" t="s">
        <v>188</v>
      </c>
      <c r="C1275" t="s">
        <v>68</v>
      </c>
      <c r="D1275" s="10">
        <v>0</v>
      </c>
      <c r="E1275" t="str">
        <f>$A1275&amp;Keys!$C$54&amp;$B1275&amp;Keys!$C$54&amp;$C1275</f>
        <v>MN|production|natural gas</v>
      </c>
    </row>
    <row r="1276" spans="1:5" x14ac:dyDescent="0.25">
      <c r="A1276" t="s">
        <v>122</v>
      </c>
      <c r="B1276" t="s">
        <v>191</v>
      </c>
      <c r="C1276" t="s">
        <v>68</v>
      </c>
      <c r="D1276" s="10">
        <v>2327050000000000</v>
      </c>
      <c r="E1276" t="str">
        <f>$A1276&amp;Keys!$C$54&amp;$B1276&amp;Keys!$C$54&amp;$C1276</f>
        <v>MN|imports|natural gas</v>
      </c>
    </row>
    <row r="1277" spans="1:5" x14ac:dyDescent="0.25">
      <c r="A1277" t="s">
        <v>122</v>
      </c>
      <c r="B1277" t="s">
        <v>193</v>
      </c>
      <c r="C1277" t="s">
        <v>68</v>
      </c>
      <c r="D1277" s="10">
        <v>1852590000000000</v>
      </c>
      <c r="E1277" t="str">
        <f>$A1277&amp;Keys!$C$54&amp;$B1277&amp;Keys!$C$54&amp;$C1277</f>
        <v>MN|exports|natural gas</v>
      </c>
    </row>
    <row r="1278" spans="1:5" x14ac:dyDescent="0.25">
      <c r="A1278" t="s">
        <v>122</v>
      </c>
      <c r="B1278" t="s">
        <v>188</v>
      </c>
      <c r="C1278" t="s">
        <v>71</v>
      </c>
      <c r="D1278" s="10">
        <v>0</v>
      </c>
      <c r="E1278" t="str">
        <f>$A1278&amp;Keys!$C$54&amp;$B1278&amp;Keys!$C$54&amp;$C1278</f>
        <v>MN|production|nuclear</v>
      </c>
    </row>
    <row r="1279" spans="1:5" x14ac:dyDescent="0.25">
      <c r="A1279" t="s">
        <v>122</v>
      </c>
      <c r="B1279" t="s">
        <v>191</v>
      </c>
      <c r="C1279" t="s">
        <v>71</v>
      </c>
      <c r="D1279" s="10">
        <v>138985000000000</v>
      </c>
      <c r="E1279" t="str">
        <f>$A1279&amp;Keys!$C$54&amp;$B1279&amp;Keys!$C$54&amp;$C1279</f>
        <v>MN|imports|nuclear</v>
      </c>
    </row>
    <row r="1280" spans="1:5" x14ac:dyDescent="0.25">
      <c r="A1280" t="s">
        <v>122</v>
      </c>
      <c r="B1280" t="s">
        <v>193</v>
      </c>
      <c r="C1280" t="s">
        <v>71</v>
      </c>
      <c r="D1280" s="10">
        <v>0</v>
      </c>
      <c r="E1280" t="str">
        <f>$A1280&amp;Keys!$C$54&amp;$B1280&amp;Keys!$C$54&amp;$C1280</f>
        <v>MN|exports|nuclear</v>
      </c>
    </row>
    <row r="1281" spans="1:5" x14ac:dyDescent="0.25">
      <c r="A1281" t="s">
        <v>122</v>
      </c>
      <c r="B1281" t="s">
        <v>188</v>
      </c>
      <c r="C1281" t="s">
        <v>273</v>
      </c>
      <c r="D1281" s="10">
        <v>0</v>
      </c>
      <c r="E1281" t="str">
        <f>$A1281&amp;Keys!$C$54&amp;$B1281&amp;Keys!$C$54&amp;$C1281</f>
        <v>MN|production|hydro</v>
      </c>
    </row>
    <row r="1282" spans="1:5" x14ac:dyDescent="0.25">
      <c r="A1282" t="s">
        <v>122</v>
      </c>
      <c r="B1282" t="s">
        <v>191</v>
      </c>
      <c r="C1282" t="s">
        <v>273</v>
      </c>
      <c r="D1282" s="10">
        <v>0</v>
      </c>
      <c r="E1282" t="str">
        <f>$A1282&amp;Keys!$C$54&amp;$B1282&amp;Keys!$C$54&amp;$C1282</f>
        <v>MN|imports|hydro</v>
      </c>
    </row>
    <row r="1283" spans="1:5" x14ac:dyDescent="0.25">
      <c r="A1283" t="s">
        <v>122</v>
      </c>
      <c r="B1283" t="s">
        <v>193</v>
      </c>
      <c r="C1283" t="s">
        <v>273</v>
      </c>
      <c r="D1283" s="10">
        <v>0</v>
      </c>
      <c r="E1283" t="str">
        <f>$A1283&amp;Keys!$C$54&amp;$B1283&amp;Keys!$C$54&amp;$C1283</f>
        <v>MN|exports|hydro</v>
      </c>
    </row>
    <row r="1284" spans="1:5" x14ac:dyDescent="0.25">
      <c r="A1284" t="s">
        <v>122</v>
      </c>
      <c r="B1284" t="s">
        <v>188</v>
      </c>
      <c r="C1284" t="s">
        <v>274</v>
      </c>
      <c r="D1284" s="10">
        <v>0</v>
      </c>
      <c r="E1284" t="str">
        <f>$A1284&amp;Keys!$C$54&amp;$B1284&amp;Keys!$C$54&amp;$C1284</f>
        <v>MN|production|wind</v>
      </c>
    </row>
    <row r="1285" spans="1:5" x14ac:dyDescent="0.25">
      <c r="A1285" t="s">
        <v>122</v>
      </c>
      <c r="B1285" t="s">
        <v>191</v>
      </c>
      <c r="C1285" t="s">
        <v>274</v>
      </c>
      <c r="D1285" s="10">
        <v>0</v>
      </c>
      <c r="E1285" t="str">
        <f>$A1285&amp;Keys!$C$54&amp;$B1285&amp;Keys!$C$54&amp;$C1285</f>
        <v>MN|imports|wind</v>
      </c>
    </row>
    <row r="1286" spans="1:5" x14ac:dyDescent="0.25">
      <c r="A1286" t="s">
        <v>122</v>
      </c>
      <c r="B1286" t="s">
        <v>193</v>
      </c>
      <c r="C1286" t="s">
        <v>274</v>
      </c>
      <c r="D1286" s="10">
        <v>0</v>
      </c>
      <c r="E1286" t="str">
        <f>$A1286&amp;Keys!$C$54&amp;$B1286&amp;Keys!$C$54&amp;$C1286</f>
        <v>MN|exports|wind</v>
      </c>
    </row>
    <row r="1287" spans="1:5" x14ac:dyDescent="0.25">
      <c r="A1287" t="s">
        <v>122</v>
      </c>
      <c r="B1287" t="s">
        <v>188</v>
      </c>
      <c r="C1287" t="s">
        <v>275</v>
      </c>
      <c r="D1287" s="10">
        <v>0</v>
      </c>
      <c r="E1287" t="str">
        <f>$A1287&amp;Keys!$C$54&amp;$B1287&amp;Keys!$C$54&amp;$C1287</f>
        <v>MN|production|solar</v>
      </c>
    </row>
    <row r="1288" spans="1:5" x14ac:dyDescent="0.25">
      <c r="A1288" t="s">
        <v>122</v>
      </c>
      <c r="B1288" t="s">
        <v>191</v>
      </c>
      <c r="C1288" t="s">
        <v>275</v>
      </c>
      <c r="D1288" s="10">
        <v>0</v>
      </c>
      <c r="E1288" t="str">
        <f>$A1288&amp;Keys!$C$54&amp;$B1288&amp;Keys!$C$54&amp;$C1288</f>
        <v>MN|imports|solar</v>
      </c>
    </row>
    <row r="1289" spans="1:5" x14ac:dyDescent="0.25">
      <c r="A1289" t="s">
        <v>122</v>
      </c>
      <c r="B1289" t="s">
        <v>193</v>
      </c>
      <c r="C1289" t="s">
        <v>275</v>
      </c>
      <c r="D1289" s="10">
        <v>0</v>
      </c>
      <c r="E1289" t="str">
        <f>$A1289&amp;Keys!$C$54&amp;$B1289&amp;Keys!$C$54&amp;$C1289</f>
        <v>MN|exports|solar</v>
      </c>
    </row>
    <row r="1290" spans="1:5" x14ac:dyDescent="0.25">
      <c r="A1290" t="s">
        <v>122</v>
      </c>
      <c r="B1290" t="s">
        <v>188</v>
      </c>
      <c r="C1290" t="s">
        <v>82</v>
      </c>
      <c r="D1290" s="10">
        <v>0</v>
      </c>
      <c r="E1290" t="str">
        <f>$A1290&amp;Keys!$C$54&amp;$B1290&amp;Keys!$C$54&amp;$C1290</f>
        <v>MN|production|biomass</v>
      </c>
    </row>
    <row r="1291" spans="1:5" x14ac:dyDescent="0.25">
      <c r="A1291" t="s">
        <v>122</v>
      </c>
      <c r="B1291" t="s">
        <v>191</v>
      </c>
      <c r="C1291" t="s">
        <v>82</v>
      </c>
      <c r="D1291" s="10">
        <v>44888400000000</v>
      </c>
      <c r="E1291" t="str">
        <f>$A1291&amp;Keys!$C$54&amp;$B1291&amp;Keys!$C$54&amp;$C1291</f>
        <v>MN|imports|biomass</v>
      </c>
    </row>
    <row r="1292" spans="1:5" x14ac:dyDescent="0.25">
      <c r="A1292" t="s">
        <v>122</v>
      </c>
      <c r="B1292" t="s">
        <v>193</v>
      </c>
      <c r="C1292" t="s">
        <v>82</v>
      </c>
      <c r="D1292" s="10">
        <v>0</v>
      </c>
      <c r="E1292" t="str">
        <f>$A1292&amp;Keys!$C$54&amp;$B1292&amp;Keys!$C$54&amp;$C1292</f>
        <v>MN|exports|biomass</v>
      </c>
    </row>
    <row r="1293" spans="1:5" x14ac:dyDescent="0.25">
      <c r="A1293" t="s">
        <v>122</v>
      </c>
      <c r="B1293" t="s">
        <v>188</v>
      </c>
      <c r="C1293" t="s">
        <v>85</v>
      </c>
      <c r="D1293" s="10">
        <v>427020000000000</v>
      </c>
      <c r="E1293" t="str">
        <f>$A1293&amp;Keys!$C$54&amp;$B1293&amp;Keys!$C$54&amp;$C1293</f>
        <v>MN|production|petroleum gasoline</v>
      </c>
    </row>
    <row r="1294" spans="1:5" x14ac:dyDescent="0.25">
      <c r="A1294" t="s">
        <v>122</v>
      </c>
      <c r="B1294" t="s">
        <v>191</v>
      </c>
      <c r="C1294" t="s">
        <v>85</v>
      </c>
      <c r="D1294" s="10">
        <v>13318200000000</v>
      </c>
      <c r="E1294" t="str">
        <f>$A1294&amp;Keys!$C$54&amp;$B1294&amp;Keys!$C$54&amp;$C1294</f>
        <v>MN|imports|petroleum gasoline</v>
      </c>
    </row>
    <row r="1295" spans="1:5" x14ac:dyDescent="0.25">
      <c r="A1295" t="s">
        <v>122</v>
      </c>
      <c r="B1295" t="s">
        <v>193</v>
      </c>
      <c r="C1295" t="s">
        <v>85</v>
      </c>
      <c r="D1295" s="10">
        <v>184383000000000</v>
      </c>
      <c r="E1295" t="str">
        <f>$A1295&amp;Keys!$C$54&amp;$B1295&amp;Keys!$C$54&amp;$C1295</f>
        <v>MN|exports|petroleum gasoline</v>
      </c>
    </row>
    <row r="1296" spans="1:5" x14ac:dyDescent="0.25">
      <c r="A1296" t="s">
        <v>122</v>
      </c>
      <c r="B1296" t="s">
        <v>188</v>
      </c>
      <c r="C1296" t="s">
        <v>88</v>
      </c>
      <c r="D1296" s="10">
        <v>252589000000000</v>
      </c>
      <c r="E1296" t="str">
        <f>$A1296&amp;Keys!$C$54&amp;$B1296&amp;Keys!$C$54&amp;$C1296</f>
        <v>MN|production|petroleum diesel</v>
      </c>
    </row>
    <row r="1297" spans="1:5" x14ac:dyDescent="0.25">
      <c r="A1297" t="s">
        <v>122</v>
      </c>
      <c r="B1297" t="s">
        <v>191</v>
      </c>
      <c r="C1297" t="s">
        <v>88</v>
      </c>
      <c r="D1297" s="10">
        <v>1439730000000</v>
      </c>
      <c r="E1297" t="str">
        <f>$A1297&amp;Keys!$C$54&amp;$B1297&amp;Keys!$C$54&amp;$C1297</f>
        <v>MN|imports|petroleum diesel</v>
      </c>
    </row>
    <row r="1298" spans="1:5" x14ac:dyDescent="0.25">
      <c r="A1298" t="s">
        <v>122</v>
      </c>
      <c r="B1298" t="s">
        <v>193</v>
      </c>
      <c r="C1298" t="s">
        <v>88</v>
      </c>
      <c r="D1298" s="10">
        <v>100472000000000</v>
      </c>
      <c r="E1298" t="str">
        <f>$A1298&amp;Keys!$C$54&amp;$B1298&amp;Keys!$C$54&amp;$C1298</f>
        <v>MN|exports|petroleum diesel</v>
      </c>
    </row>
    <row r="1299" spans="1:5" x14ac:dyDescent="0.25">
      <c r="A1299" t="s">
        <v>122</v>
      </c>
      <c r="B1299" t="s">
        <v>188</v>
      </c>
      <c r="C1299" t="s">
        <v>91</v>
      </c>
      <c r="D1299" s="10">
        <v>118377000000000</v>
      </c>
      <c r="E1299" t="str">
        <f>$A1299&amp;Keys!$C$54&amp;$B1299&amp;Keys!$C$54&amp;$C1299</f>
        <v>MN|production|biofuel gasoline</v>
      </c>
    </row>
    <row r="1300" spans="1:5" x14ac:dyDescent="0.25">
      <c r="A1300" t="s">
        <v>122</v>
      </c>
      <c r="B1300" t="s">
        <v>191</v>
      </c>
      <c r="C1300" t="s">
        <v>91</v>
      </c>
      <c r="D1300" s="10">
        <v>1149540000000</v>
      </c>
      <c r="E1300" t="str">
        <f>$A1300&amp;Keys!$C$54&amp;$B1300&amp;Keys!$C$54&amp;$C1300</f>
        <v>MN|imports|biofuel gasoline</v>
      </c>
    </row>
    <row r="1301" spans="1:5" x14ac:dyDescent="0.25">
      <c r="A1301" t="s">
        <v>122</v>
      </c>
      <c r="B1301" t="s">
        <v>193</v>
      </c>
      <c r="C1301" t="s">
        <v>91</v>
      </c>
      <c r="D1301" s="10">
        <v>97668800000000</v>
      </c>
      <c r="E1301" t="str">
        <f>$A1301&amp;Keys!$C$54&amp;$B1301&amp;Keys!$C$54&amp;$C1301</f>
        <v>MN|exports|biofuel gasoline</v>
      </c>
    </row>
    <row r="1302" spans="1:5" x14ac:dyDescent="0.25">
      <c r="A1302" t="s">
        <v>122</v>
      </c>
      <c r="B1302" t="s">
        <v>188</v>
      </c>
      <c r="C1302" t="s">
        <v>94</v>
      </c>
      <c r="D1302" s="10">
        <v>27597000000000</v>
      </c>
      <c r="E1302" t="str">
        <f>$A1302&amp;Keys!$C$54&amp;$B1302&amp;Keys!$C$54&amp;$C1302</f>
        <v>MN|production|biofuel diesel</v>
      </c>
    </row>
    <row r="1303" spans="1:5" x14ac:dyDescent="0.25">
      <c r="A1303" t="s">
        <v>122</v>
      </c>
      <c r="B1303" t="s">
        <v>191</v>
      </c>
      <c r="C1303" t="s">
        <v>94</v>
      </c>
      <c r="D1303" s="10">
        <v>361117000000</v>
      </c>
      <c r="E1303" t="str">
        <f>$A1303&amp;Keys!$C$54&amp;$B1303&amp;Keys!$C$54&amp;$C1303</f>
        <v>MN|imports|biofuel diesel</v>
      </c>
    </row>
    <row r="1304" spans="1:5" x14ac:dyDescent="0.25">
      <c r="A1304" t="s">
        <v>122</v>
      </c>
      <c r="B1304" t="s">
        <v>193</v>
      </c>
      <c r="C1304" t="s">
        <v>94</v>
      </c>
      <c r="D1304" s="10">
        <v>15239200000000</v>
      </c>
      <c r="E1304" t="str">
        <f>$A1304&amp;Keys!$C$54&amp;$B1304&amp;Keys!$C$54&amp;$C1304</f>
        <v>MN|exports|biofuel diesel</v>
      </c>
    </row>
    <row r="1305" spans="1:5" x14ac:dyDescent="0.25">
      <c r="A1305" t="s">
        <v>122</v>
      </c>
      <c r="B1305" t="s">
        <v>188</v>
      </c>
      <c r="C1305" t="s">
        <v>97</v>
      </c>
      <c r="D1305" s="10">
        <v>89916500000000</v>
      </c>
      <c r="E1305" t="str">
        <f>$A1305&amp;Keys!$C$54&amp;$B1305&amp;Keys!$C$54&amp;$C1305</f>
        <v>MN|production|jet fuel or kerosene</v>
      </c>
    </row>
    <row r="1306" spans="1:5" x14ac:dyDescent="0.25">
      <c r="A1306" t="s">
        <v>122</v>
      </c>
      <c r="B1306" t="s">
        <v>191</v>
      </c>
      <c r="C1306" t="s">
        <v>97</v>
      </c>
      <c r="D1306" s="10">
        <v>0</v>
      </c>
      <c r="E1306" t="str">
        <f>$A1306&amp;Keys!$C$54&amp;$B1306&amp;Keys!$C$54&amp;$C1306</f>
        <v>MN|imports|jet fuel or kerosene</v>
      </c>
    </row>
    <row r="1307" spans="1:5" x14ac:dyDescent="0.25">
      <c r="A1307" t="s">
        <v>122</v>
      </c>
      <c r="B1307" t="s">
        <v>193</v>
      </c>
      <c r="C1307" t="s">
        <v>97</v>
      </c>
      <c r="D1307" s="10">
        <v>42244500000000</v>
      </c>
      <c r="E1307" t="str">
        <f>$A1307&amp;Keys!$C$54&amp;$B1307&amp;Keys!$C$54&amp;$C1307</f>
        <v>MN|exports|jet fuel or kerosene</v>
      </c>
    </row>
    <row r="1308" spans="1:5" x14ac:dyDescent="0.25">
      <c r="A1308" t="s">
        <v>122</v>
      </c>
      <c r="B1308" t="s">
        <v>188</v>
      </c>
      <c r="C1308" t="s">
        <v>276</v>
      </c>
      <c r="D1308" s="10">
        <v>0</v>
      </c>
      <c r="E1308" t="str">
        <f>$A1308&amp;Keys!$C$54&amp;$B1308&amp;Keys!$C$54&amp;$C1308</f>
        <v>MN|production|heat</v>
      </c>
    </row>
    <row r="1309" spans="1:5" x14ac:dyDescent="0.25">
      <c r="A1309" t="s">
        <v>122</v>
      </c>
      <c r="B1309" t="s">
        <v>191</v>
      </c>
      <c r="C1309" t="s">
        <v>276</v>
      </c>
      <c r="D1309" s="10">
        <v>0</v>
      </c>
      <c r="E1309" t="str">
        <f>$A1309&amp;Keys!$C$54&amp;$B1309&amp;Keys!$C$54&amp;$C1309</f>
        <v>MN|imports|heat</v>
      </c>
    </row>
    <row r="1310" spans="1:5" x14ac:dyDescent="0.25">
      <c r="A1310" t="s">
        <v>122</v>
      </c>
      <c r="B1310" t="s">
        <v>193</v>
      </c>
      <c r="C1310" t="s">
        <v>276</v>
      </c>
      <c r="D1310" s="10">
        <v>0</v>
      </c>
      <c r="E1310" t="str">
        <f>$A1310&amp;Keys!$C$54&amp;$B1310&amp;Keys!$C$54&amp;$C1310</f>
        <v>MN|exports|heat</v>
      </c>
    </row>
    <row r="1311" spans="1:5" x14ac:dyDescent="0.25">
      <c r="A1311" t="s">
        <v>122</v>
      </c>
      <c r="B1311" t="s">
        <v>188</v>
      </c>
      <c r="C1311" t="s">
        <v>277</v>
      </c>
      <c r="D1311" s="10">
        <v>0</v>
      </c>
      <c r="E1311" t="str">
        <f>$A1311&amp;Keys!$C$54&amp;$B1311&amp;Keys!$C$54&amp;$C1311</f>
        <v>MN|production|geothermal</v>
      </c>
    </row>
    <row r="1312" spans="1:5" x14ac:dyDescent="0.25">
      <c r="A1312" t="s">
        <v>122</v>
      </c>
      <c r="B1312" t="s">
        <v>191</v>
      </c>
      <c r="C1312" t="s">
        <v>277</v>
      </c>
      <c r="D1312" s="10">
        <v>0</v>
      </c>
      <c r="E1312" t="str">
        <f>$A1312&amp;Keys!$C$54&amp;$B1312&amp;Keys!$C$54&amp;$C1312</f>
        <v>MN|imports|geothermal</v>
      </c>
    </row>
    <row r="1313" spans="1:5" x14ac:dyDescent="0.25">
      <c r="A1313" t="s">
        <v>122</v>
      </c>
      <c r="B1313" t="s">
        <v>193</v>
      </c>
      <c r="C1313" t="s">
        <v>277</v>
      </c>
      <c r="D1313" s="10">
        <v>0</v>
      </c>
      <c r="E1313" t="str">
        <f>$A1313&amp;Keys!$C$54&amp;$B1313&amp;Keys!$C$54&amp;$C1313</f>
        <v>MN|exports|geothermal</v>
      </c>
    </row>
    <row r="1314" spans="1:5" x14ac:dyDescent="0.25">
      <c r="A1314" t="s">
        <v>122</v>
      </c>
      <c r="B1314" t="s">
        <v>188</v>
      </c>
      <c r="C1314" t="s">
        <v>106</v>
      </c>
      <c r="D1314" s="10">
        <v>0</v>
      </c>
      <c r="E1314" t="str">
        <f>$A1314&amp;Keys!$C$54&amp;$B1314&amp;Keys!$C$54&amp;$C1314</f>
        <v>MN|production|lignite</v>
      </c>
    </row>
    <row r="1315" spans="1:5" x14ac:dyDescent="0.25">
      <c r="A1315" t="s">
        <v>122</v>
      </c>
      <c r="B1315" t="s">
        <v>191</v>
      </c>
      <c r="C1315" t="s">
        <v>106</v>
      </c>
      <c r="D1315" s="10">
        <v>0</v>
      </c>
      <c r="E1315" t="str">
        <f>$A1315&amp;Keys!$C$54&amp;$B1315&amp;Keys!$C$54&amp;$C1315</f>
        <v>MN|imports|lignite</v>
      </c>
    </row>
    <row r="1316" spans="1:5" x14ac:dyDescent="0.25">
      <c r="A1316" t="s">
        <v>122</v>
      </c>
      <c r="B1316" t="s">
        <v>193</v>
      </c>
      <c r="C1316" t="s">
        <v>106</v>
      </c>
      <c r="D1316" s="10">
        <v>0</v>
      </c>
      <c r="E1316" t="str">
        <f>$A1316&amp;Keys!$C$54&amp;$B1316&amp;Keys!$C$54&amp;$C1316</f>
        <v>MN|exports|lignite</v>
      </c>
    </row>
    <row r="1317" spans="1:5" x14ac:dyDescent="0.25">
      <c r="A1317" t="s">
        <v>122</v>
      </c>
      <c r="B1317" t="s">
        <v>188</v>
      </c>
      <c r="C1317" t="s">
        <v>109</v>
      </c>
      <c r="D1317" s="10">
        <v>0</v>
      </c>
      <c r="E1317" t="str">
        <f>$A1317&amp;Keys!$C$54&amp;$B1317&amp;Keys!$C$54&amp;$C1317</f>
        <v>MN|production|crude oil</v>
      </c>
    </row>
    <row r="1318" spans="1:5" x14ac:dyDescent="0.25">
      <c r="A1318" t="s">
        <v>122</v>
      </c>
      <c r="B1318" t="s">
        <v>191</v>
      </c>
      <c r="C1318" t="s">
        <v>109</v>
      </c>
      <c r="D1318" s="10">
        <v>888164000000000</v>
      </c>
      <c r="E1318" t="str">
        <f>$A1318&amp;Keys!$C$54&amp;$B1318&amp;Keys!$C$54&amp;$C1318</f>
        <v>MN|imports|crude oil</v>
      </c>
    </row>
    <row r="1319" spans="1:5" x14ac:dyDescent="0.25">
      <c r="A1319" t="s">
        <v>122</v>
      </c>
      <c r="B1319" t="s">
        <v>193</v>
      </c>
      <c r="C1319" t="s">
        <v>109</v>
      </c>
      <c r="D1319" s="10">
        <v>0</v>
      </c>
      <c r="E1319" t="str">
        <f>$A1319&amp;Keys!$C$54&amp;$B1319&amp;Keys!$C$54&amp;$C1319</f>
        <v>MN|exports|crude oil</v>
      </c>
    </row>
    <row r="1320" spans="1:5" x14ac:dyDescent="0.25">
      <c r="A1320" t="s">
        <v>122</v>
      </c>
      <c r="B1320" t="s">
        <v>188</v>
      </c>
      <c r="C1320" t="s">
        <v>114</v>
      </c>
      <c r="D1320" s="10">
        <v>17466600000000</v>
      </c>
      <c r="E1320" t="str">
        <f>$A1320&amp;Keys!$C$54&amp;$B1320&amp;Keys!$C$54&amp;$C1320</f>
        <v>MN|production|heavy or residual fuel oil</v>
      </c>
    </row>
    <row r="1321" spans="1:5" x14ac:dyDescent="0.25">
      <c r="A1321" t="s">
        <v>122</v>
      </c>
      <c r="B1321" t="s">
        <v>191</v>
      </c>
      <c r="C1321" t="s">
        <v>114</v>
      </c>
      <c r="D1321" s="10">
        <v>6873050000000</v>
      </c>
      <c r="E1321" t="str">
        <f>$A1321&amp;Keys!$C$54&amp;$B1321&amp;Keys!$C$54&amp;$C1321</f>
        <v>MN|imports|heavy or residual fuel oil</v>
      </c>
    </row>
    <row r="1322" spans="1:5" x14ac:dyDescent="0.25">
      <c r="A1322" t="s">
        <v>122</v>
      </c>
      <c r="B1322" t="s">
        <v>193</v>
      </c>
      <c r="C1322" t="s">
        <v>114</v>
      </c>
      <c r="D1322" s="10">
        <v>0</v>
      </c>
      <c r="E1322" t="str">
        <f>$A1322&amp;Keys!$C$54&amp;$B1322&amp;Keys!$C$54&amp;$C1322</f>
        <v>MN|exports|heavy or residual fuel oil</v>
      </c>
    </row>
    <row r="1323" spans="1:5" x14ac:dyDescent="0.25">
      <c r="A1323" t="s">
        <v>122</v>
      </c>
      <c r="B1323" t="s">
        <v>188</v>
      </c>
      <c r="C1323" t="s">
        <v>117</v>
      </c>
      <c r="D1323" s="10">
        <v>0</v>
      </c>
      <c r="E1323" t="str">
        <f>$A1323&amp;Keys!$C$54&amp;$B1323&amp;Keys!$C$54&amp;$C1323</f>
        <v>MN|production|LPG propane or butane</v>
      </c>
    </row>
    <row r="1324" spans="1:5" x14ac:dyDescent="0.25">
      <c r="A1324" t="s">
        <v>122</v>
      </c>
      <c r="B1324" t="s">
        <v>191</v>
      </c>
      <c r="C1324" t="s">
        <v>117</v>
      </c>
      <c r="D1324" s="10">
        <v>38846400000000</v>
      </c>
      <c r="E1324" t="str">
        <f>$A1324&amp;Keys!$C$54&amp;$B1324&amp;Keys!$C$54&amp;$C1324</f>
        <v>MN|imports|LPG propane or butane</v>
      </c>
    </row>
    <row r="1325" spans="1:5" x14ac:dyDescent="0.25">
      <c r="A1325" t="s">
        <v>122</v>
      </c>
      <c r="B1325" t="s">
        <v>193</v>
      </c>
      <c r="C1325" t="s">
        <v>117</v>
      </c>
      <c r="D1325" s="10">
        <v>0</v>
      </c>
      <c r="E1325" t="str">
        <f>$A1325&amp;Keys!$C$54&amp;$B1325&amp;Keys!$C$54&amp;$C1325</f>
        <v>MN|exports|LPG propane or butane</v>
      </c>
    </row>
    <row r="1326" spans="1:5" x14ac:dyDescent="0.25">
      <c r="A1326" t="s">
        <v>122</v>
      </c>
      <c r="B1326" t="s">
        <v>188</v>
      </c>
      <c r="C1326" t="s">
        <v>120</v>
      </c>
      <c r="D1326" s="10">
        <v>0</v>
      </c>
      <c r="E1326" t="str">
        <f>$A1326&amp;Keys!$C$54&amp;$B1326&amp;Keys!$C$54&amp;$C1326</f>
        <v>MN|production|municipal solid waste</v>
      </c>
    </row>
    <row r="1327" spans="1:5" x14ac:dyDescent="0.25">
      <c r="A1327" t="s">
        <v>122</v>
      </c>
      <c r="B1327" t="s">
        <v>191</v>
      </c>
      <c r="C1327" t="s">
        <v>120</v>
      </c>
      <c r="D1327" s="10">
        <v>7053040000000</v>
      </c>
      <c r="E1327" t="str">
        <f>$A1327&amp;Keys!$C$54&amp;$B1327&amp;Keys!$C$54&amp;$C1327</f>
        <v>MN|imports|municipal solid waste</v>
      </c>
    </row>
    <row r="1328" spans="1:5" x14ac:dyDescent="0.25">
      <c r="A1328" t="s">
        <v>122</v>
      </c>
      <c r="B1328" t="s">
        <v>193</v>
      </c>
      <c r="C1328" t="s">
        <v>120</v>
      </c>
      <c r="D1328" s="10">
        <v>0</v>
      </c>
      <c r="E1328" t="str">
        <f>$A1328&amp;Keys!$C$54&amp;$B1328&amp;Keys!$C$54&amp;$C1328</f>
        <v>MN|exports|municipal solid waste</v>
      </c>
    </row>
    <row r="1329" spans="1:5" x14ac:dyDescent="0.25">
      <c r="A1329" t="s">
        <v>122</v>
      </c>
      <c r="B1329" t="s">
        <v>188</v>
      </c>
      <c r="C1329" t="s">
        <v>123</v>
      </c>
      <c r="D1329" s="10">
        <v>24792600000000</v>
      </c>
      <c r="E1329" t="str">
        <f>$A1329&amp;Keys!$C$54&amp;$B1329&amp;Keys!$C$54&amp;$C1329</f>
        <v>MN|production|hydrogen</v>
      </c>
    </row>
    <row r="1330" spans="1:5" x14ac:dyDescent="0.25">
      <c r="A1330" t="s">
        <v>122</v>
      </c>
      <c r="B1330" t="s">
        <v>191</v>
      </c>
      <c r="C1330" t="s">
        <v>123</v>
      </c>
      <c r="D1330" s="10">
        <v>0</v>
      </c>
      <c r="E1330" t="str">
        <f>$A1330&amp;Keys!$C$54&amp;$B1330&amp;Keys!$C$54&amp;$C1330</f>
        <v>MN|imports|hydrogen</v>
      </c>
    </row>
    <row r="1331" spans="1:5" x14ac:dyDescent="0.25">
      <c r="A1331" t="s">
        <v>122</v>
      </c>
      <c r="B1331" t="s">
        <v>193</v>
      </c>
      <c r="C1331" t="s">
        <v>123</v>
      </c>
      <c r="D1331" s="10">
        <v>441920000000</v>
      </c>
      <c r="E1331" t="str">
        <f>$A1331&amp;Keys!$C$54&amp;$B1331&amp;Keys!$C$54&amp;$C1331</f>
        <v>MN|exports|hydrogen</v>
      </c>
    </row>
    <row r="1332" spans="1:5" x14ac:dyDescent="0.25">
      <c r="A1332" t="s">
        <v>125</v>
      </c>
      <c r="B1332" t="s">
        <v>188</v>
      </c>
      <c r="C1332" t="s">
        <v>272</v>
      </c>
      <c r="D1332" s="10">
        <v>0</v>
      </c>
      <c r="E1332" t="str">
        <f>$A1332&amp;Keys!$C$54&amp;$B1332&amp;Keys!$C$54&amp;$C1332</f>
        <v>MO|production|electricity</v>
      </c>
    </row>
    <row r="1333" spans="1:5" x14ac:dyDescent="0.25">
      <c r="A1333" t="s">
        <v>125</v>
      </c>
      <c r="B1333" t="s">
        <v>191</v>
      </c>
      <c r="C1333" t="s">
        <v>272</v>
      </c>
      <c r="D1333" s="10">
        <v>0</v>
      </c>
      <c r="E1333" t="str">
        <f>$A1333&amp;Keys!$C$54&amp;$B1333&amp;Keys!$C$54&amp;$C1333</f>
        <v>MO|imports|electricity</v>
      </c>
    </row>
    <row r="1334" spans="1:5" x14ac:dyDescent="0.25">
      <c r="A1334" t="s">
        <v>125</v>
      </c>
      <c r="B1334" t="s">
        <v>193</v>
      </c>
      <c r="C1334" t="s">
        <v>272</v>
      </c>
      <c r="D1334" s="10">
        <v>0</v>
      </c>
      <c r="E1334" t="str">
        <f>$A1334&amp;Keys!$C$54&amp;$B1334&amp;Keys!$C$54&amp;$C1334</f>
        <v>MO|exports|electricity</v>
      </c>
    </row>
    <row r="1335" spans="1:5" x14ac:dyDescent="0.25">
      <c r="A1335" t="s">
        <v>125</v>
      </c>
      <c r="B1335" t="s">
        <v>188</v>
      </c>
      <c r="C1335" t="s">
        <v>64</v>
      </c>
      <c r="D1335" s="10">
        <v>3019940000000</v>
      </c>
      <c r="E1335" t="str">
        <f>$A1335&amp;Keys!$C$54&amp;$B1335&amp;Keys!$C$54&amp;$C1335</f>
        <v>MO|production|hard coal</v>
      </c>
    </row>
    <row r="1336" spans="1:5" x14ac:dyDescent="0.25">
      <c r="A1336" t="s">
        <v>125</v>
      </c>
      <c r="B1336" t="s">
        <v>191</v>
      </c>
      <c r="C1336" t="s">
        <v>64</v>
      </c>
      <c r="D1336" s="10">
        <v>529018000000000</v>
      </c>
      <c r="E1336" t="str">
        <f>$A1336&amp;Keys!$C$54&amp;$B1336&amp;Keys!$C$54&amp;$C1336</f>
        <v>MO|imports|hard coal</v>
      </c>
    </row>
    <row r="1337" spans="1:5" x14ac:dyDescent="0.25">
      <c r="A1337" t="s">
        <v>125</v>
      </c>
      <c r="B1337" t="s">
        <v>193</v>
      </c>
      <c r="C1337" t="s">
        <v>64</v>
      </c>
      <c r="D1337" s="10">
        <v>2151330000000</v>
      </c>
      <c r="E1337" t="str">
        <f>$A1337&amp;Keys!$C$54&amp;$B1337&amp;Keys!$C$54&amp;$C1337</f>
        <v>MO|exports|hard coal</v>
      </c>
    </row>
    <row r="1338" spans="1:5" x14ac:dyDescent="0.25">
      <c r="A1338" t="s">
        <v>125</v>
      </c>
      <c r="B1338" t="s">
        <v>188</v>
      </c>
      <c r="C1338" t="s">
        <v>68</v>
      </c>
      <c r="D1338" s="10">
        <v>1037000000</v>
      </c>
      <c r="E1338" t="str">
        <f>$A1338&amp;Keys!$C$54&amp;$B1338&amp;Keys!$C$54&amp;$C1338</f>
        <v>MO|production|natural gas</v>
      </c>
    </row>
    <row r="1339" spans="1:5" x14ac:dyDescent="0.25">
      <c r="A1339" t="s">
        <v>125</v>
      </c>
      <c r="B1339" t="s">
        <v>191</v>
      </c>
      <c r="C1339" t="s">
        <v>68</v>
      </c>
      <c r="D1339" s="10">
        <v>898378000000000</v>
      </c>
      <c r="E1339" t="str">
        <f>$A1339&amp;Keys!$C$54&amp;$B1339&amp;Keys!$C$54&amp;$C1339</f>
        <v>MO|imports|natural gas</v>
      </c>
    </row>
    <row r="1340" spans="1:5" x14ac:dyDescent="0.25">
      <c r="A1340" t="s">
        <v>125</v>
      </c>
      <c r="B1340" t="s">
        <v>193</v>
      </c>
      <c r="C1340" t="s">
        <v>68</v>
      </c>
      <c r="D1340" s="10">
        <v>640112000000000</v>
      </c>
      <c r="E1340" t="str">
        <f>$A1340&amp;Keys!$C$54&amp;$B1340&amp;Keys!$C$54&amp;$C1340</f>
        <v>MO|exports|natural gas</v>
      </c>
    </row>
    <row r="1341" spans="1:5" x14ac:dyDescent="0.25">
      <c r="A1341" t="s">
        <v>125</v>
      </c>
      <c r="B1341" t="s">
        <v>188</v>
      </c>
      <c r="C1341" t="s">
        <v>71</v>
      </c>
      <c r="D1341" s="10">
        <v>0</v>
      </c>
      <c r="E1341" t="str">
        <f>$A1341&amp;Keys!$C$54&amp;$B1341&amp;Keys!$C$54&amp;$C1341</f>
        <v>MO|production|nuclear</v>
      </c>
    </row>
    <row r="1342" spans="1:5" x14ac:dyDescent="0.25">
      <c r="A1342" t="s">
        <v>125</v>
      </c>
      <c r="B1342" t="s">
        <v>191</v>
      </c>
      <c r="C1342" t="s">
        <v>71</v>
      </c>
      <c r="D1342" s="10">
        <v>74311600000000</v>
      </c>
      <c r="E1342" t="str">
        <f>$A1342&amp;Keys!$C$54&amp;$B1342&amp;Keys!$C$54&amp;$C1342</f>
        <v>MO|imports|nuclear</v>
      </c>
    </row>
    <row r="1343" spans="1:5" x14ac:dyDescent="0.25">
      <c r="A1343" t="s">
        <v>125</v>
      </c>
      <c r="B1343" t="s">
        <v>193</v>
      </c>
      <c r="C1343" t="s">
        <v>71</v>
      </c>
      <c r="D1343" s="10">
        <v>0</v>
      </c>
      <c r="E1343" t="str">
        <f>$A1343&amp;Keys!$C$54&amp;$B1343&amp;Keys!$C$54&amp;$C1343</f>
        <v>MO|exports|nuclear</v>
      </c>
    </row>
    <row r="1344" spans="1:5" x14ac:dyDescent="0.25">
      <c r="A1344" t="s">
        <v>125</v>
      </c>
      <c r="B1344" t="s">
        <v>188</v>
      </c>
      <c r="C1344" t="s">
        <v>273</v>
      </c>
      <c r="D1344" s="10">
        <v>0</v>
      </c>
      <c r="E1344" t="str">
        <f>$A1344&amp;Keys!$C$54&amp;$B1344&amp;Keys!$C$54&amp;$C1344</f>
        <v>MO|production|hydro</v>
      </c>
    </row>
    <row r="1345" spans="1:5" x14ac:dyDescent="0.25">
      <c r="A1345" t="s">
        <v>125</v>
      </c>
      <c r="B1345" t="s">
        <v>191</v>
      </c>
      <c r="C1345" t="s">
        <v>273</v>
      </c>
      <c r="D1345" s="10">
        <v>0</v>
      </c>
      <c r="E1345" t="str">
        <f>$A1345&amp;Keys!$C$54&amp;$B1345&amp;Keys!$C$54&amp;$C1345</f>
        <v>MO|imports|hydro</v>
      </c>
    </row>
    <row r="1346" spans="1:5" x14ac:dyDescent="0.25">
      <c r="A1346" t="s">
        <v>125</v>
      </c>
      <c r="B1346" t="s">
        <v>193</v>
      </c>
      <c r="C1346" t="s">
        <v>273</v>
      </c>
      <c r="D1346" s="10">
        <v>0</v>
      </c>
      <c r="E1346" t="str">
        <f>$A1346&amp;Keys!$C$54&amp;$B1346&amp;Keys!$C$54&amp;$C1346</f>
        <v>MO|exports|hydro</v>
      </c>
    </row>
    <row r="1347" spans="1:5" x14ac:dyDescent="0.25">
      <c r="A1347" t="s">
        <v>125</v>
      </c>
      <c r="B1347" t="s">
        <v>188</v>
      </c>
      <c r="C1347" t="s">
        <v>274</v>
      </c>
      <c r="D1347" s="10">
        <v>0</v>
      </c>
      <c r="E1347" t="str">
        <f>$A1347&amp;Keys!$C$54&amp;$B1347&amp;Keys!$C$54&amp;$C1347</f>
        <v>MO|production|wind</v>
      </c>
    </row>
    <row r="1348" spans="1:5" x14ac:dyDescent="0.25">
      <c r="A1348" t="s">
        <v>125</v>
      </c>
      <c r="B1348" t="s">
        <v>191</v>
      </c>
      <c r="C1348" t="s">
        <v>274</v>
      </c>
      <c r="D1348" s="10">
        <v>0</v>
      </c>
      <c r="E1348" t="str">
        <f>$A1348&amp;Keys!$C$54&amp;$B1348&amp;Keys!$C$54&amp;$C1348</f>
        <v>MO|imports|wind</v>
      </c>
    </row>
    <row r="1349" spans="1:5" x14ac:dyDescent="0.25">
      <c r="A1349" t="s">
        <v>125</v>
      </c>
      <c r="B1349" t="s">
        <v>193</v>
      </c>
      <c r="C1349" t="s">
        <v>274</v>
      </c>
      <c r="D1349" s="10">
        <v>0</v>
      </c>
      <c r="E1349" t="str">
        <f>$A1349&amp;Keys!$C$54&amp;$B1349&amp;Keys!$C$54&amp;$C1349</f>
        <v>MO|exports|wind</v>
      </c>
    </row>
    <row r="1350" spans="1:5" x14ac:dyDescent="0.25">
      <c r="A1350" t="s">
        <v>125</v>
      </c>
      <c r="B1350" t="s">
        <v>188</v>
      </c>
      <c r="C1350" t="s">
        <v>275</v>
      </c>
      <c r="D1350" s="10">
        <v>0</v>
      </c>
      <c r="E1350" t="str">
        <f>$A1350&amp;Keys!$C$54&amp;$B1350&amp;Keys!$C$54&amp;$C1350</f>
        <v>MO|production|solar</v>
      </c>
    </row>
    <row r="1351" spans="1:5" x14ac:dyDescent="0.25">
      <c r="A1351" t="s">
        <v>125</v>
      </c>
      <c r="B1351" t="s">
        <v>191</v>
      </c>
      <c r="C1351" t="s">
        <v>275</v>
      </c>
      <c r="D1351" s="10">
        <v>0</v>
      </c>
      <c r="E1351" t="str">
        <f>$A1351&amp;Keys!$C$54&amp;$B1351&amp;Keys!$C$54&amp;$C1351</f>
        <v>MO|imports|solar</v>
      </c>
    </row>
    <row r="1352" spans="1:5" x14ac:dyDescent="0.25">
      <c r="A1352" t="s">
        <v>125</v>
      </c>
      <c r="B1352" t="s">
        <v>193</v>
      </c>
      <c r="C1352" t="s">
        <v>275</v>
      </c>
      <c r="D1352" s="10">
        <v>0</v>
      </c>
      <c r="E1352" t="str">
        <f>$A1352&amp;Keys!$C$54&amp;$B1352&amp;Keys!$C$54&amp;$C1352</f>
        <v>MO|exports|solar</v>
      </c>
    </row>
    <row r="1353" spans="1:5" x14ac:dyDescent="0.25">
      <c r="A1353" t="s">
        <v>125</v>
      </c>
      <c r="B1353" t="s">
        <v>188</v>
      </c>
      <c r="C1353" t="s">
        <v>82</v>
      </c>
      <c r="D1353" s="10">
        <v>272000000000</v>
      </c>
      <c r="E1353" t="str">
        <f>$A1353&amp;Keys!$C$54&amp;$B1353&amp;Keys!$C$54&amp;$C1353</f>
        <v>MO|production|biomass</v>
      </c>
    </row>
    <row r="1354" spans="1:5" x14ac:dyDescent="0.25">
      <c r="A1354" t="s">
        <v>125</v>
      </c>
      <c r="B1354" t="s">
        <v>191</v>
      </c>
      <c r="C1354" t="s">
        <v>82</v>
      </c>
      <c r="D1354" s="10">
        <v>14796600000000</v>
      </c>
      <c r="E1354" t="str">
        <f>$A1354&amp;Keys!$C$54&amp;$B1354&amp;Keys!$C$54&amp;$C1354</f>
        <v>MO|imports|biomass</v>
      </c>
    </row>
    <row r="1355" spans="1:5" x14ac:dyDescent="0.25">
      <c r="A1355" t="s">
        <v>125</v>
      </c>
      <c r="B1355" t="s">
        <v>193</v>
      </c>
      <c r="C1355" t="s">
        <v>82</v>
      </c>
      <c r="D1355" s="10">
        <v>0</v>
      </c>
      <c r="E1355" t="str">
        <f>$A1355&amp;Keys!$C$54&amp;$B1355&amp;Keys!$C$54&amp;$C1355</f>
        <v>MO|exports|biomass</v>
      </c>
    </row>
    <row r="1356" spans="1:5" x14ac:dyDescent="0.25">
      <c r="A1356" t="s">
        <v>125</v>
      </c>
      <c r="B1356" t="s">
        <v>188</v>
      </c>
      <c r="C1356" t="s">
        <v>85</v>
      </c>
      <c r="D1356" s="10">
        <v>0</v>
      </c>
      <c r="E1356" t="str">
        <f>$A1356&amp;Keys!$C$54&amp;$B1356&amp;Keys!$C$54&amp;$C1356</f>
        <v>MO|production|petroleum gasoline</v>
      </c>
    </row>
    <row r="1357" spans="1:5" x14ac:dyDescent="0.25">
      <c r="A1357" t="s">
        <v>125</v>
      </c>
      <c r="B1357" t="s">
        <v>191</v>
      </c>
      <c r="C1357" t="s">
        <v>85</v>
      </c>
      <c r="D1357" s="10">
        <v>346721000000000</v>
      </c>
      <c r="E1357" t="str">
        <f>$A1357&amp;Keys!$C$54&amp;$B1357&amp;Keys!$C$54&amp;$C1357</f>
        <v>MO|imports|petroleum gasoline</v>
      </c>
    </row>
    <row r="1358" spans="1:5" x14ac:dyDescent="0.25">
      <c r="A1358" t="s">
        <v>125</v>
      </c>
      <c r="B1358" t="s">
        <v>193</v>
      </c>
      <c r="C1358" t="s">
        <v>85</v>
      </c>
      <c r="D1358" s="10">
        <v>0</v>
      </c>
      <c r="E1358" t="str">
        <f>$A1358&amp;Keys!$C$54&amp;$B1358&amp;Keys!$C$54&amp;$C1358</f>
        <v>MO|exports|petroleum gasoline</v>
      </c>
    </row>
    <row r="1359" spans="1:5" x14ac:dyDescent="0.25">
      <c r="A1359" t="s">
        <v>125</v>
      </c>
      <c r="B1359" t="s">
        <v>188</v>
      </c>
      <c r="C1359" t="s">
        <v>88</v>
      </c>
      <c r="D1359" s="10">
        <v>0</v>
      </c>
      <c r="E1359" t="str">
        <f>$A1359&amp;Keys!$C$54&amp;$B1359&amp;Keys!$C$54&amp;$C1359</f>
        <v>MO|production|petroleum diesel</v>
      </c>
    </row>
    <row r="1360" spans="1:5" x14ac:dyDescent="0.25">
      <c r="A1360" t="s">
        <v>125</v>
      </c>
      <c r="B1360" t="s">
        <v>191</v>
      </c>
      <c r="C1360" t="s">
        <v>88</v>
      </c>
      <c r="D1360" s="10">
        <v>175806000000000</v>
      </c>
      <c r="E1360" t="str">
        <f>$A1360&amp;Keys!$C$54&amp;$B1360&amp;Keys!$C$54&amp;$C1360</f>
        <v>MO|imports|petroleum diesel</v>
      </c>
    </row>
    <row r="1361" spans="1:5" x14ac:dyDescent="0.25">
      <c r="A1361" t="s">
        <v>125</v>
      </c>
      <c r="B1361" t="s">
        <v>193</v>
      </c>
      <c r="C1361" t="s">
        <v>88</v>
      </c>
      <c r="D1361" s="10">
        <v>0</v>
      </c>
      <c r="E1361" t="str">
        <f>$A1361&amp;Keys!$C$54&amp;$B1361&amp;Keys!$C$54&amp;$C1361</f>
        <v>MO|exports|petroleum diesel</v>
      </c>
    </row>
    <row r="1362" spans="1:5" x14ac:dyDescent="0.25">
      <c r="A1362" t="s">
        <v>125</v>
      </c>
      <c r="B1362" t="s">
        <v>188</v>
      </c>
      <c r="C1362" t="s">
        <v>91</v>
      </c>
      <c r="D1362" s="10">
        <v>24800200000000</v>
      </c>
      <c r="E1362" t="str">
        <f>$A1362&amp;Keys!$C$54&amp;$B1362&amp;Keys!$C$54&amp;$C1362</f>
        <v>MO|production|biofuel gasoline</v>
      </c>
    </row>
    <row r="1363" spans="1:5" x14ac:dyDescent="0.25">
      <c r="A1363" t="s">
        <v>125</v>
      </c>
      <c r="B1363" t="s">
        <v>191</v>
      </c>
      <c r="C1363" t="s">
        <v>91</v>
      </c>
      <c r="D1363" s="10">
        <v>1297330000000</v>
      </c>
      <c r="E1363" t="str">
        <f>$A1363&amp;Keys!$C$54&amp;$B1363&amp;Keys!$C$54&amp;$C1363</f>
        <v>MO|imports|biofuel gasoline</v>
      </c>
    </row>
    <row r="1364" spans="1:5" x14ac:dyDescent="0.25">
      <c r="A1364" t="s">
        <v>125</v>
      </c>
      <c r="B1364" t="s">
        <v>193</v>
      </c>
      <c r="C1364" t="s">
        <v>91</v>
      </c>
      <c r="D1364" s="10">
        <v>2477280000000</v>
      </c>
      <c r="E1364" t="str">
        <f>$A1364&amp;Keys!$C$54&amp;$B1364&amp;Keys!$C$54&amp;$C1364</f>
        <v>MO|exports|biofuel gasoline</v>
      </c>
    </row>
    <row r="1365" spans="1:5" x14ac:dyDescent="0.25">
      <c r="A1365" t="s">
        <v>125</v>
      </c>
      <c r="B1365" t="s">
        <v>188</v>
      </c>
      <c r="C1365" t="s">
        <v>94</v>
      </c>
      <c r="D1365" s="10">
        <v>79883400000000</v>
      </c>
      <c r="E1365" t="str">
        <f>$A1365&amp;Keys!$C$54&amp;$B1365&amp;Keys!$C$54&amp;$C1365</f>
        <v>MO|production|biofuel diesel</v>
      </c>
    </row>
    <row r="1366" spans="1:5" x14ac:dyDescent="0.25">
      <c r="A1366" t="s">
        <v>125</v>
      </c>
      <c r="B1366" t="s">
        <v>191</v>
      </c>
      <c r="C1366" t="s">
        <v>94</v>
      </c>
      <c r="D1366" s="10">
        <v>103439000000</v>
      </c>
      <c r="E1366" t="str">
        <f>$A1366&amp;Keys!$C$54&amp;$B1366&amp;Keys!$C$54&amp;$C1366</f>
        <v>MO|imports|biofuel diesel</v>
      </c>
    </row>
    <row r="1367" spans="1:5" x14ac:dyDescent="0.25">
      <c r="A1367" t="s">
        <v>125</v>
      </c>
      <c r="B1367" t="s">
        <v>193</v>
      </c>
      <c r="C1367" t="s">
        <v>94</v>
      </c>
      <c r="D1367" s="10">
        <v>76648800000000</v>
      </c>
      <c r="E1367" t="str">
        <f>$A1367&amp;Keys!$C$54&amp;$B1367&amp;Keys!$C$54&amp;$C1367</f>
        <v>MO|exports|biofuel diesel</v>
      </c>
    </row>
    <row r="1368" spans="1:5" x14ac:dyDescent="0.25">
      <c r="A1368" t="s">
        <v>125</v>
      </c>
      <c r="B1368" t="s">
        <v>188</v>
      </c>
      <c r="C1368" t="s">
        <v>97</v>
      </c>
      <c r="D1368" s="10">
        <v>0</v>
      </c>
      <c r="E1368" t="str">
        <f>$A1368&amp;Keys!$C$54&amp;$B1368&amp;Keys!$C$54&amp;$C1368</f>
        <v>MO|production|jet fuel or kerosene</v>
      </c>
    </row>
    <row r="1369" spans="1:5" x14ac:dyDescent="0.25">
      <c r="A1369" t="s">
        <v>125</v>
      </c>
      <c r="B1369" t="s">
        <v>191</v>
      </c>
      <c r="C1369" t="s">
        <v>97</v>
      </c>
      <c r="D1369" s="10">
        <v>32081000000000</v>
      </c>
      <c r="E1369" t="str">
        <f>$A1369&amp;Keys!$C$54&amp;$B1369&amp;Keys!$C$54&amp;$C1369</f>
        <v>MO|imports|jet fuel or kerosene</v>
      </c>
    </row>
    <row r="1370" spans="1:5" x14ac:dyDescent="0.25">
      <c r="A1370" t="s">
        <v>125</v>
      </c>
      <c r="B1370" t="s">
        <v>193</v>
      </c>
      <c r="C1370" t="s">
        <v>97</v>
      </c>
      <c r="D1370" s="10">
        <v>0</v>
      </c>
      <c r="E1370" t="str">
        <f>$A1370&amp;Keys!$C$54&amp;$B1370&amp;Keys!$C$54&amp;$C1370</f>
        <v>MO|exports|jet fuel or kerosene</v>
      </c>
    </row>
    <row r="1371" spans="1:5" x14ac:dyDescent="0.25">
      <c r="A1371" t="s">
        <v>125</v>
      </c>
      <c r="B1371" t="s">
        <v>188</v>
      </c>
      <c r="C1371" t="s">
        <v>276</v>
      </c>
      <c r="D1371" s="10">
        <v>0</v>
      </c>
      <c r="E1371" t="str">
        <f>$A1371&amp;Keys!$C$54&amp;$B1371&amp;Keys!$C$54&amp;$C1371</f>
        <v>MO|production|heat</v>
      </c>
    </row>
    <row r="1372" spans="1:5" x14ac:dyDescent="0.25">
      <c r="A1372" t="s">
        <v>125</v>
      </c>
      <c r="B1372" t="s">
        <v>191</v>
      </c>
      <c r="C1372" t="s">
        <v>276</v>
      </c>
      <c r="D1372" s="10">
        <v>0</v>
      </c>
      <c r="E1372" t="str">
        <f>$A1372&amp;Keys!$C$54&amp;$B1372&amp;Keys!$C$54&amp;$C1372</f>
        <v>MO|imports|heat</v>
      </c>
    </row>
    <row r="1373" spans="1:5" x14ac:dyDescent="0.25">
      <c r="A1373" t="s">
        <v>125</v>
      </c>
      <c r="B1373" t="s">
        <v>193</v>
      </c>
      <c r="C1373" t="s">
        <v>276</v>
      </c>
      <c r="D1373" s="10">
        <v>0</v>
      </c>
      <c r="E1373" t="str">
        <f>$A1373&amp;Keys!$C$54&amp;$B1373&amp;Keys!$C$54&amp;$C1373</f>
        <v>MO|exports|heat</v>
      </c>
    </row>
    <row r="1374" spans="1:5" x14ac:dyDescent="0.25">
      <c r="A1374" t="s">
        <v>125</v>
      </c>
      <c r="B1374" t="s">
        <v>188</v>
      </c>
      <c r="C1374" t="s">
        <v>277</v>
      </c>
      <c r="D1374" s="10">
        <v>0</v>
      </c>
      <c r="E1374" t="str">
        <f>$A1374&amp;Keys!$C$54&amp;$B1374&amp;Keys!$C$54&amp;$C1374</f>
        <v>MO|production|geothermal</v>
      </c>
    </row>
    <row r="1375" spans="1:5" x14ac:dyDescent="0.25">
      <c r="A1375" t="s">
        <v>125</v>
      </c>
      <c r="B1375" t="s">
        <v>191</v>
      </c>
      <c r="C1375" t="s">
        <v>277</v>
      </c>
      <c r="D1375" s="10">
        <v>0</v>
      </c>
      <c r="E1375" t="str">
        <f>$A1375&amp;Keys!$C$54&amp;$B1375&amp;Keys!$C$54&amp;$C1375</f>
        <v>MO|imports|geothermal</v>
      </c>
    </row>
    <row r="1376" spans="1:5" x14ac:dyDescent="0.25">
      <c r="A1376" t="s">
        <v>125</v>
      </c>
      <c r="B1376" t="s">
        <v>193</v>
      </c>
      <c r="C1376" t="s">
        <v>277</v>
      </c>
      <c r="D1376" s="10">
        <v>0</v>
      </c>
      <c r="E1376" t="str">
        <f>$A1376&amp;Keys!$C$54&amp;$B1376&amp;Keys!$C$54&amp;$C1376</f>
        <v>MO|exports|geothermal</v>
      </c>
    </row>
    <row r="1377" spans="1:5" x14ac:dyDescent="0.25">
      <c r="A1377" t="s">
        <v>125</v>
      </c>
      <c r="B1377" t="s">
        <v>188</v>
      </c>
      <c r="C1377" t="s">
        <v>106</v>
      </c>
      <c r="D1377" s="10">
        <v>0</v>
      </c>
      <c r="E1377" t="str">
        <f>$A1377&amp;Keys!$C$54&amp;$B1377&amp;Keys!$C$54&amp;$C1377</f>
        <v>MO|production|lignite</v>
      </c>
    </row>
    <row r="1378" spans="1:5" x14ac:dyDescent="0.25">
      <c r="A1378" t="s">
        <v>125</v>
      </c>
      <c r="B1378" t="s">
        <v>191</v>
      </c>
      <c r="C1378" t="s">
        <v>106</v>
      </c>
      <c r="D1378" s="10">
        <v>0</v>
      </c>
      <c r="E1378" t="str">
        <f>$A1378&amp;Keys!$C$54&amp;$B1378&amp;Keys!$C$54&amp;$C1378</f>
        <v>MO|imports|lignite</v>
      </c>
    </row>
    <row r="1379" spans="1:5" x14ac:dyDescent="0.25">
      <c r="A1379" t="s">
        <v>125</v>
      </c>
      <c r="B1379" t="s">
        <v>193</v>
      </c>
      <c r="C1379" t="s">
        <v>106</v>
      </c>
      <c r="D1379" s="10">
        <v>0</v>
      </c>
      <c r="E1379" t="str">
        <f>$A1379&amp;Keys!$C$54&amp;$B1379&amp;Keys!$C$54&amp;$C1379</f>
        <v>MO|exports|lignite</v>
      </c>
    </row>
    <row r="1380" spans="1:5" x14ac:dyDescent="0.25">
      <c r="A1380" t="s">
        <v>125</v>
      </c>
      <c r="B1380" t="s">
        <v>188</v>
      </c>
      <c r="C1380" t="s">
        <v>109</v>
      </c>
      <c r="D1380" s="10">
        <v>330600000000</v>
      </c>
      <c r="E1380" t="str">
        <f>$A1380&amp;Keys!$C$54&amp;$B1380&amp;Keys!$C$54&amp;$C1380</f>
        <v>MO|production|crude oil</v>
      </c>
    </row>
    <row r="1381" spans="1:5" x14ac:dyDescent="0.25">
      <c r="A1381" t="s">
        <v>125</v>
      </c>
      <c r="B1381" t="s">
        <v>191</v>
      </c>
      <c r="C1381" t="s">
        <v>109</v>
      </c>
      <c r="D1381" s="10">
        <v>1353400000000</v>
      </c>
      <c r="E1381" t="str">
        <f>$A1381&amp;Keys!$C$54&amp;$B1381&amp;Keys!$C$54&amp;$C1381</f>
        <v>MO|imports|crude oil</v>
      </c>
    </row>
    <row r="1382" spans="1:5" x14ac:dyDescent="0.25">
      <c r="A1382" t="s">
        <v>125</v>
      </c>
      <c r="B1382" t="s">
        <v>193</v>
      </c>
      <c r="C1382" t="s">
        <v>109</v>
      </c>
      <c r="D1382" s="10">
        <v>0</v>
      </c>
      <c r="E1382" t="str">
        <f>$A1382&amp;Keys!$C$54&amp;$B1382&amp;Keys!$C$54&amp;$C1382</f>
        <v>MO|exports|crude oil</v>
      </c>
    </row>
    <row r="1383" spans="1:5" x14ac:dyDescent="0.25">
      <c r="A1383" t="s">
        <v>125</v>
      </c>
      <c r="B1383" t="s">
        <v>188</v>
      </c>
      <c r="C1383" t="s">
        <v>114</v>
      </c>
      <c r="D1383" s="10">
        <v>0</v>
      </c>
      <c r="E1383" t="str">
        <f>$A1383&amp;Keys!$C$54&amp;$B1383&amp;Keys!$C$54&amp;$C1383</f>
        <v>MO|production|heavy or residual fuel oil</v>
      </c>
    </row>
    <row r="1384" spans="1:5" x14ac:dyDescent="0.25">
      <c r="A1384" t="s">
        <v>125</v>
      </c>
      <c r="B1384" t="s">
        <v>191</v>
      </c>
      <c r="C1384" t="s">
        <v>114</v>
      </c>
      <c r="D1384" s="10">
        <v>20687100000000</v>
      </c>
      <c r="E1384" t="str">
        <f>$A1384&amp;Keys!$C$54&amp;$B1384&amp;Keys!$C$54&amp;$C1384</f>
        <v>MO|imports|heavy or residual fuel oil</v>
      </c>
    </row>
    <row r="1385" spans="1:5" x14ac:dyDescent="0.25">
      <c r="A1385" t="s">
        <v>125</v>
      </c>
      <c r="B1385" t="s">
        <v>193</v>
      </c>
      <c r="C1385" t="s">
        <v>114</v>
      </c>
      <c r="D1385" s="10">
        <v>0</v>
      </c>
      <c r="E1385" t="str">
        <f>$A1385&amp;Keys!$C$54&amp;$B1385&amp;Keys!$C$54&amp;$C1385</f>
        <v>MO|exports|heavy or residual fuel oil</v>
      </c>
    </row>
    <row r="1386" spans="1:5" x14ac:dyDescent="0.25">
      <c r="A1386" t="s">
        <v>125</v>
      </c>
      <c r="B1386" t="s">
        <v>188</v>
      </c>
      <c r="C1386" t="s">
        <v>117</v>
      </c>
      <c r="D1386" s="10">
        <v>126773000</v>
      </c>
      <c r="E1386" t="str">
        <f>$A1386&amp;Keys!$C$54&amp;$B1386&amp;Keys!$C$54&amp;$C1386</f>
        <v>MO|production|LPG propane or butane</v>
      </c>
    </row>
    <row r="1387" spans="1:5" x14ac:dyDescent="0.25">
      <c r="A1387" t="s">
        <v>125</v>
      </c>
      <c r="B1387" t="s">
        <v>191</v>
      </c>
      <c r="C1387" t="s">
        <v>117</v>
      </c>
      <c r="D1387" s="10">
        <v>23797400000000</v>
      </c>
      <c r="E1387" t="str">
        <f>$A1387&amp;Keys!$C$54&amp;$B1387&amp;Keys!$C$54&amp;$C1387</f>
        <v>MO|imports|LPG propane or butane</v>
      </c>
    </row>
    <row r="1388" spans="1:5" x14ac:dyDescent="0.25">
      <c r="A1388" t="s">
        <v>125</v>
      </c>
      <c r="B1388" t="s">
        <v>193</v>
      </c>
      <c r="C1388" t="s">
        <v>117</v>
      </c>
      <c r="D1388" s="10">
        <v>0</v>
      </c>
      <c r="E1388" t="str">
        <f>$A1388&amp;Keys!$C$54&amp;$B1388&amp;Keys!$C$54&amp;$C1388</f>
        <v>MO|exports|LPG propane or butane</v>
      </c>
    </row>
    <row r="1389" spans="1:5" x14ac:dyDescent="0.25">
      <c r="A1389" t="s">
        <v>125</v>
      </c>
      <c r="B1389" t="s">
        <v>188</v>
      </c>
      <c r="C1389" t="s">
        <v>120</v>
      </c>
      <c r="D1389" s="10">
        <v>0</v>
      </c>
      <c r="E1389" t="str">
        <f>$A1389&amp;Keys!$C$54&amp;$B1389&amp;Keys!$C$54&amp;$C1389</f>
        <v>MO|production|municipal solid waste</v>
      </c>
    </row>
    <row r="1390" spans="1:5" x14ac:dyDescent="0.25">
      <c r="A1390" t="s">
        <v>125</v>
      </c>
      <c r="B1390" t="s">
        <v>191</v>
      </c>
      <c r="C1390" t="s">
        <v>120</v>
      </c>
      <c r="D1390" s="10">
        <v>0</v>
      </c>
      <c r="E1390" t="str">
        <f>$A1390&amp;Keys!$C$54&amp;$B1390&amp;Keys!$C$54&amp;$C1390</f>
        <v>MO|imports|municipal solid waste</v>
      </c>
    </row>
    <row r="1391" spans="1:5" x14ac:dyDescent="0.25">
      <c r="A1391" t="s">
        <v>125</v>
      </c>
      <c r="B1391" t="s">
        <v>193</v>
      </c>
      <c r="C1391" t="s">
        <v>120</v>
      </c>
      <c r="D1391" s="10">
        <v>0</v>
      </c>
      <c r="E1391" t="str">
        <f>$A1391&amp;Keys!$C$54&amp;$B1391&amp;Keys!$C$54&amp;$C1391</f>
        <v>MO|exports|municipal solid waste</v>
      </c>
    </row>
    <row r="1392" spans="1:5" x14ac:dyDescent="0.25">
      <c r="A1392" t="s">
        <v>125</v>
      </c>
      <c r="B1392" t="s">
        <v>188</v>
      </c>
      <c r="C1392" t="s">
        <v>123</v>
      </c>
      <c r="D1392" s="10">
        <v>0</v>
      </c>
      <c r="E1392" t="str">
        <f>$A1392&amp;Keys!$C$54&amp;$B1392&amp;Keys!$C$54&amp;$C1392</f>
        <v>MO|production|hydrogen</v>
      </c>
    </row>
    <row r="1393" spans="1:5" x14ac:dyDescent="0.25">
      <c r="A1393" t="s">
        <v>125</v>
      </c>
      <c r="B1393" t="s">
        <v>191</v>
      </c>
      <c r="C1393" t="s">
        <v>123</v>
      </c>
      <c r="D1393" s="10">
        <v>1302840000</v>
      </c>
      <c r="E1393" t="str">
        <f>$A1393&amp;Keys!$C$54&amp;$B1393&amp;Keys!$C$54&amp;$C1393</f>
        <v>MO|imports|hydrogen</v>
      </c>
    </row>
    <row r="1394" spans="1:5" x14ac:dyDescent="0.25">
      <c r="A1394" t="s">
        <v>125</v>
      </c>
      <c r="B1394" t="s">
        <v>193</v>
      </c>
      <c r="C1394" t="s">
        <v>123</v>
      </c>
      <c r="D1394" s="10">
        <v>0</v>
      </c>
      <c r="E1394" t="str">
        <f>$A1394&amp;Keys!$C$54&amp;$B1394&amp;Keys!$C$54&amp;$C1394</f>
        <v>MO|exports|hydrogen</v>
      </c>
    </row>
    <row r="1395" spans="1:5" x14ac:dyDescent="0.25">
      <c r="A1395" t="s">
        <v>127</v>
      </c>
      <c r="B1395" t="s">
        <v>188</v>
      </c>
      <c r="C1395" t="s">
        <v>272</v>
      </c>
      <c r="D1395" s="10">
        <v>0</v>
      </c>
      <c r="E1395" t="str">
        <f>$A1395&amp;Keys!$C$54&amp;$B1395&amp;Keys!$C$54&amp;$C1395</f>
        <v>MS|production|electricity</v>
      </c>
    </row>
    <row r="1396" spans="1:5" x14ac:dyDescent="0.25">
      <c r="A1396" t="s">
        <v>127</v>
      </c>
      <c r="B1396" t="s">
        <v>191</v>
      </c>
      <c r="C1396" t="s">
        <v>272</v>
      </c>
      <c r="D1396" s="10">
        <v>0</v>
      </c>
      <c r="E1396" t="str">
        <f>$A1396&amp;Keys!$C$54&amp;$B1396&amp;Keys!$C$54&amp;$C1396</f>
        <v>MS|imports|electricity</v>
      </c>
    </row>
    <row r="1397" spans="1:5" x14ac:dyDescent="0.25">
      <c r="A1397" t="s">
        <v>127</v>
      </c>
      <c r="B1397" t="s">
        <v>193</v>
      </c>
      <c r="C1397" t="s">
        <v>272</v>
      </c>
      <c r="D1397" s="10">
        <v>0</v>
      </c>
      <c r="E1397" t="str">
        <f>$A1397&amp;Keys!$C$54&amp;$B1397&amp;Keys!$C$54&amp;$C1397</f>
        <v>MS|exports|electricity</v>
      </c>
    </row>
    <row r="1398" spans="1:5" x14ac:dyDescent="0.25">
      <c r="A1398" t="s">
        <v>127</v>
      </c>
      <c r="B1398" t="s">
        <v>188</v>
      </c>
      <c r="C1398" t="s">
        <v>64</v>
      </c>
      <c r="D1398" s="10">
        <v>0</v>
      </c>
      <c r="E1398" t="str">
        <f>$A1398&amp;Keys!$C$54&amp;$B1398&amp;Keys!$C$54&amp;$C1398</f>
        <v>MS|production|hard coal</v>
      </c>
    </row>
    <row r="1399" spans="1:5" x14ac:dyDescent="0.25">
      <c r="A1399" t="s">
        <v>127</v>
      </c>
      <c r="B1399" t="s">
        <v>191</v>
      </c>
      <c r="C1399" t="s">
        <v>64</v>
      </c>
      <c r="D1399" s="10">
        <v>66494200000000</v>
      </c>
      <c r="E1399" t="str">
        <f>$A1399&amp;Keys!$C$54&amp;$B1399&amp;Keys!$C$54&amp;$C1399</f>
        <v>MS|imports|hard coal</v>
      </c>
    </row>
    <row r="1400" spans="1:5" x14ac:dyDescent="0.25">
      <c r="A1400" t="s">
        <v>127</v>
      </c>
      <c r="B1400" t="s">
        <v>193</v>
      </c>
      <c r="C1400" t="s">
        <v>64</v>
      </c>
      <c r="D1400" s="10">
        <v>0</v>
      </c>
      <c r="E1400" t="str">
        <f>$A1400&amp;Keys!$C$54&amp;$B1400&amp;Keys!$C$54&amp;$C1400</f>
        <v>MS|exports|hard coal</v>
      </c>
    </row>
    <row r="1401" spans="1:5" x14ac:dyDescent="0.25">
      <c r="A1401" t="s">
        <v>127</v>
      </c>
      <c r="B1401" t="s">
        <v>188</v>
      </c>
      <c r="C1401" t="s">
        <v>68</v>
      </c>
      <c r="D1401" s="10">
        <v>26702800000000</v>
      </c>
      <c r="E1401" t="str">
        <f>$A1401&amp;Keys!$C$54&amp;$B1401&amp;Keys!$C$54&amp;$C1401</f>
        <v>MS|production|natural gas</v>
      </c>
    </row>
    <row r="1402" spans="1:5" x14ac:dyDescent="0.25">
      <c r="A1402" t="s">
        <v>127</v>
      </c>
      <c r="B1402" t="s">
        <v>191</v>
      </c>
      <c r="C1402" t="s">
        <v>68</v>
      </c>
      <c r="D1402" s="10">
        <v>5975850000000000</v>
      </c>
      <c r="E1402" t="str">
        <f>$A1402&amp;Keys!$C$54&amp;$B1402&amp;Keys!$C$54&amp;$C1402</f>
        <v>MS|imports|natural gas</v>
      </c>
    </row>
    <row r="1403" spans="1:5" x14ac:dyDescent="0.25">
      <c r="A1403" t="s">
        <v>127</v>
      </c>
      <c r="B1403" t="s">
        <v>193</v>
      </c>
      <c r="C1403" t="s">
        <v>68</v>
      </c>
      <c r="D1403" s="10">
        <v>5382070000000000</v>
      </c>
      <c r="E1403" t="str">
        <f>$A1403&amp;Keys!$C$54&amp;$B1403&amp;Keys!$C$54&amp;$C1403</f>
        <v>MS|exports|natural gas</v>
      </c>
    </row>
    <row r="1404" spans="1:5" x14ac:dyDescent="0.25">
      <c r="A1404" t="s">
        <v>127</v>
      </c>
      <c r="B1404" t="s">
        <v>188</v>
      </c>
      <c r="C1404" t="s">
        <v>71</v>
      </c>
      <c r="D1404" s="10">
        <v>0</v>
      </c>
      <c r="E1404" t="str">
        <f>$A1404&amp;Keys!$C$54&amp;$B1404&amp;Keys!$C$54&amp;$C1404</f>
        <v>MS|production|nuclear</v>
      </c>
    </row>
    <row r="1405" spans="1:5" x14ac:dyDescent="0.25">
      <c r="A1405" t="s">
        <v>127</v>
      </c>
      <c r="B1405" t="s">
        <v>191</v>
      </c>
      <c r="C1405" t="s">
        <v>71</v>
      </c>
      <c r="D1405" s="10">
        <v>123298000000000</v>
      </c>
      <c r="E1405" t="str">
        <f>$A1405&amp;Keys!$C$54&amp;$B1405&amp;Keys!$C$54&amp;$C1405</f>
        <v>MS|imports|nuclear</v>
      </c>
    </row>
    <row r="1406" spans="1:5" x14ac:dyDescent="0.25">
      <c r="A1406" t="s">
        <v>127</v>
      </c>
      <c r="B1406" t="s">
        <v>193</v>
      </c>
      <c r="C1406" t="s">
        <v>71</v>
      </c>
      <c r="D1406" s="10">
        <v>0</v>
      </c>
      <c r="E1406" t="str">
        <f>$A1406&amp;Keys!$C$54&amp;$B1406&amp;Keys!$C$54&amp;$C1406</f>
        <v>MS|exports|nuclear</v>
      </c>
    </row>
    <row r="1407" spans="1:5" x14ac:dyDescent="0.25">
      <c r="A1407" t="s">
        <v>127</v>
      </c>
      <c r="B1407" t="s">
        <v>188</v>
      </c>
      <c r="C1407" t="s">
        <v>273</v>
      </c>
      <c r="D1407" s="10">
        <v>0</v>
      </c>
      <c r="E1407" t="str">
        <f>$A1407&amp;Keys!$C$54&amp;$B1407&amp;Keys!$C$54&amp;$C1407</f>
        <v>MS|production|hydro</v>
      </c>
    </row>
    <row r="1408" spans="1:5" x14ac:dyDescent="0.25">
      <c r="A1408" t="s">
        <v>127</v>
      </c>
      <c r="B1408" t="s">
        <v>191</v>
      </c>
      <c r="C1408" t="s">
        <v>273</v>
      </c>
      <c r="D1408" s="10">
        <v>0</v>
      </c>
      <c r="E1408" t="str">
        <f>$A1408&amp;Keys!$C$54&amp;$B1408&amp;Keys!$C$54&amp;$C1408</f>
        <v>MS|imports|hydro</v>
      </c>
    </row>
    <row r="1409" spans="1:5" x14ac:dyDescent="0.25">
      <c r="A1409" t="s">
        <v>127</v>
      </c>
      <c r="B1409" t="s">
        <v>193</v>
      </c>
      <c r="C1409" t="s">
        <v>273</v>
      </c>
      <c r="D1409" s="10">
        <v>0</v>
      </c>
      <c r="E1409" t="str">
        <f>$A1409&amp;Keys!$C$54&amp;$B1409&amp;Keys!$C$54&amp;$C1409</f>
        <v>MS|exports|hydro</v>
      </c>
    </row>
    <row r="1410" spans="1:5" x14ac:dyDescent="0.25">
      <c r="A1410" t="s">
        <v>127</v>
      </c>
      <c r="B1410" t="s">
        <v>188</v>
      </c>
      <c r="C1410" t="s">
        <v>274</v>
      </c>
      <c r="D1410" s="10">
        <v>0</v>
      </c>
      <c r="E1410" t="str">
        <f>$A1410&amp;Keys!$C$54&amp;$B1410&amp;Keys!$C$54&amp;$C1410</f>
        <v>MS|production|wind</v>
      </c>
    </row>
    <row r="1411" spans="1:5" x14ac:dyDescent="0.25">
      <c r="A1411" t="s">
        <v>127</v>
      </c>
      <c r="B1411" t="s">
        <v>191</v>
      </c>
      <c r="C1411" t="s">
        <v>274</v>
      </c>
      <c r="D1411" s="10">
        <v>0</v>
      </c>
      <c r="E1411" t="str">
        <f>$A1411&amp;Keys!$C$54&amp;$B1411&amp;Keys!$C$54&amp;$C1411</f>
        <v>MS|imports|wind</v>
      </c>
    </row>
    <row r="1412" spans="1:5" x14ac:dyDescent="0.25">
      <c r="A1412" t="s">
        <v>127</v>
      </c>
      <c r="B1412" t="s">
        <v>193</v>
      </c>
      <c r="C1412" t="s">
        <v>274</v>
      </c>
      <c r="D1412" s="10">
        <v>0</v>
      </c>
      <c r="E1412" t="str">
        <f>$A1412&amp;Keys!$C$54&amp;$B1412&amp;Keys!$C$54&amp;$C1412</f>
        <v>MS|exports|wind</v>
      </c>
    </row>
    <row r="1413" spans="1:5" x14ac:dyDescent="0.25">
      <c r="A1413" t="s">
        <v>127</v>
      </c>
      <c r="B1413" t="s">
        <v>188</v>
      </c>
      <c r="C1413" t="s">
        <v>275</v>
      </c>
      <c r="D1413" s="10">
        <v>0</v>
      </c>
      <c r="E1413" t="str">
        <f>$A1413&amp;Keys!$C$54&amp;$B1413&amp;Keys!$C$54&amp;$C1413</f>
        <v>MS|production|solar</v>
      </c>
    </row>
    <row r="1414" spans="1:5" x14ac:dyDescent="0.25">
      <c r="A1414" t="s">
        <v>127</v>
      </c>
      <c r="B1414" t="s">
        <v>191</v>
      </c>
      <c r="C1414" t="s">
        <v>275</v>
      </c>
      <c r="D1414" s="10">
        <v>0</v>
      </c>
      <c r="E1414" t="str">
        <f>$A1414&amp;Keys!$C$54&amp;$B1414&amp;Keys!$C$54&amp;$C1414</f>
        <v>MS|imports|solar</v>
      </c>
    </row>
    <row r="1415" spans="1:5" x14ac:dyDescent="0.25">
      <c r="A1415" t="s">
        <v>127</v>
      </c>
      <c r="B1415" t="s">
        <v>193</v>
      </c>
      <c r="C1415" t="s">
        <v>275</v>
      </c>
      <c r="D1415" s="10">
        <v>0</v>
      </c>
      <c r="E1415" t="str">
        <f>$A1415&amp;Keys!$C$54&amp;$B1415&amp;Keys!$C$54&amp;$C1415</f>
        <v>MS|exports|solar</v>
      </c>
    </row>
    <row r="1416" spans="1:5" x14ac:dyDescent="0.25">
      <c r="A1416" t="s">
        <v>127</v>
      </c>
      <c r="B1416" t="s">
        <v>188</v>
      </c>
      <c r="C1416" t="s">
        <v>82</v>
      </c>
      <c r="D1416" s="10">
        <v>8379090000000</v>
      </c>
      <c r="E1416" t="str">
        <f>$A1416&amp;Keys!$C$54&amp;$B1416&amp;Keys!$C$54&amp;$C1416</f>
        <v>MS|production|biomass</v>
      </c>
    </row>
    <row r="1417" spans="1:5" x14ac:dyDescent="0.25">
      <c r="A1417" t="s">
        <v>127</v>
      </c>
      <c r="B1417" t="s">
        <v>191</v>
      </c>
      <c r="C1417" t="s">
        <v>82</v>
      </c>
      <c r="D1417" s="10">
        <v>37380400000000</v>
      </c>
      <c r="E1417" t="str">
        <f>$A1417&amp;Keys!$C$54&amp;$B1417&amp;Keys!$C$54&amp;$C1417</f>
        <v>MS|imports|biomass</v>
      </c>
    </row>
    <row r="1418" spans="1:5" x14ac:dyDescent="0.25">
      <c r="A1418" t="s">
        <v>127</v>
      </c>
      <c r="B1418" t="s">
        <v>193</v>
      </c>
      <c r="C1418" t="s">
        <v>82</v>
      </c>
      <c r="D1418" s="10">
        <v>0</v>
      </c>
      <c r="E1418" t="str">
        <f>$A1418&amp;Keys!$C$54&amp;$B1418&amp;Keys!$C$54&amp;$C1418</f>
        <v>MS|exports|biomass</v>
      </c>
    </row>
    <row r="1419" spans="1:5" x14ac:dyDescent="0.25">
      <c r="A1419" t="s">
        <v>127</v>
      </c>
      <c r="B1419" t="s">
        <v>188</v>
      </c>
      <c r="C1419" t="s">
        <v>85</v>
      </c>
      <c r="D1419" s="10">
        <v>382319000000000</v>
      </c>
      <c r="E1419" t="str">
        <f>$A1419&amp;Keys!$C$54&amp;$B1419&amp;Keys!$C$54&amp;$C1419</f>
        <v>MS|production|petroleum gasoline</v>
      </c>
    </row>
    <row r="1420" spans="1:5" x14ac:dyDescent="0.25">
      <c r="A1420" t="s">
        <v>127</v>
      </c>
      <c r="B1420" t="s">
        <v>191</v>
      </c>
      <c r="C1420" t="s">
        <v>85</v>
      </c>
      <c r="D1420" s="10">
        <v>10191200000000</v>
      </c>
      <c r="E1420" t="str">
        <f>$A1420&amp;Keys!$C$54&amp;$B1420&amp;Keys!$C$54&amp;$C1420</f>
        <v>MS|imports|petroleum gasoline</v>
      </c>
    </row>
    <row r="1421" spans="1:5" x14ac:dyDescent="0.25">
      <c r="A1421" t="s">
        <v>127</v>
      </c>
      <c r="B1421" t="s">
        <v>193</v>
      </c>
      <c r="C1421" t="s">
        <v>85</v>
      </c>
      <c r="D1421" s="10">
        <v>211539000000000</v>
      </c>
      <c r="E1421" t="str">
        <f>$A1421&amp;Keys!$C$54&amp;$B1421&amp;Keys!$C$54&amp;$C1421</f>
        <v>MS|exports|petroleum gasoline</v>
      </c>
    </row>
    <row r="1422" spans="1:5" x14ac:dyDescent="0.25">
      <c r="A1422" t="s">
        <v>127</v>
      </c>
      <c r="B1422" t="s">
        <v>188</v>
      </c>
      <c r="C1422" t="s">
        <v>88</v>
      </c>
      <c r="D1422" s="10">
        <v>226147000000000</v>
      </c>
      <c r="E1422" t="str">
        <f>$A1422&amp;Keys!$C$54&amp;$B1422&amp;Keys!$C$54&amp;$C1422</f>
        <v>MS|production|petroleum diesel</v>
      </c>
    </row>
    <row r="1423" spans="1:5" x14ac:dyDescent="0.25">
      <c r="A1423" t="s">
        <v>127</v>
      </c>
      <c r="B1423" t="s">
        <v>191</v>
      </c>
      <c r="C1423" t="s">
        <v>88</v>
      </c>
      <c r="D1423" s="10">
        <v>31584200000000</v>
      </c>
      <c r="E1423" t="str">
        <f>$A1423&amp;Keys!$C$54&amp;$B1423&amp;Keys!$C$54&amp;$C1423</f>
        <v>MS|imports|petroleum diesel</v>
      </c>
    </row>
    <row r="1424" spans="1:5" x14ac:dyDescent="0.25">
      <c r="A1424" t="s">
        <v>127</v>
      </c>
      <c r="B1424" t="s">
        <v>193</v>
      </c>
      <c r="C1424" t="s">
        <v>88</v>
      </c>
      <c r="D1424" s="10">
        <v>141067000000000</v>
      </c>
      <c r="E1424" t="str">
        <f>$A1424&amp;Keys!$C$54&amp;$B1424&amp;Keys!$C$54&amp;$C1424</f>
        <v>MS|exports|petroleum diesel</v>
      </c>
    </row>
    <row r="1425" spans="1:5" x14ac:dyDescent="0.25">
      <c r="A1425" t="s">
        <v>127</v>
      </c>
      <c r="B1425" t="s">
        <v>188</v>
      </c>
      <c r="C1425" t="s">
        <v>91</v>
      </c>
      <c r="D1425" s="10">
        <v>0</v>
      </c>
      <c r="E1425" t="str">
        <f>$A1425&amp;Keys!$C$54&amp;$B1425&amp;Keys!$C$54&amp;$C1425</f>
        <v>MS|production|biofuel gasoline</v>
      </c>
    </row>
    <row r="1426" spans="1:5" x14ac:dyDescent="0.25">
      <c r="A1426" t="s">
        <v>127</v>
      </c>
      <c r="B1426" t="s">
        <v>191</v>
      </c>
      <c r="C1426" t="s">
        <v>91</v>
      </c>
      <c r="D1426" s="10">
        <v>12805000000000</v>
      </c>
      <c r="E1426" t="str">
        <f>$A1426&amp;Keys!$C$54&amp;$B1426&amp;Keys!$C$54&amp;$C1426</f>
        <v>MS|imports|biofuel gasoline</v>
      </c>
    </row>
    <row r="1427" spans="1:5" x14ac:dyDescent="0.25">
      <c r="A1427" t="s">
        <v>127</v>
      </c>
      <c r="B1427" t="s">
        <v>193</v>
      </c>
      <c r="C1427" t="s">
        <v>91</v>
      </c>
      <c r="D1427" s="10">
        <v>0</v>
      </c>
      <c r="E1427" t="str">
        <f>$A1427&amp;Keys!$C$54&amp;$B1427&amp;Keys!$C$54&amp;$C1427</f>
        <v>MS|exports|biofuel gasoline</v>
      </c>
    </row>
    <row r="1428" spans="1:5" x14ac:dyDescent="0.25">
      <c r="A1428" t="s">
        <v>127</v>
      </c>
      <c r="B1428" t="s">
        <v>188</v>
      </c>
      <c r="C1428" t="s">
        <v>94</v>
      </c>
      <c r="D1428" s="10">
        <v>8649340000000</v>
      </c>
      <c r="E1428" t="str">
        <f>$A1428&amp;Keys!$C$54&amp;$B1428&amp;Keys!$C$54&amp;$C1428</f>
        <v>MS|production|biofuel diesel</v>
      </c>
    </row>
    <row r="1429" spans="1:5" x14ac:dyDescent="0.25">
      <c r="A1429" t="s">
        <v>127</v>
      </c>
      <c r="B1429" t="s">
        <v>191</v>
      </c>
      <c r="C1429" t="s">
        <v>94</v>
      </c>
      <c r="D1429" s="10">
        <v>79864800000</v>
      </c>
      <c r="E1429" t="str">
        <f>$A1429&amp;Keys!$C$54&amp;$B1429&amp;Keys!$C$54&amp;$C1429</f>
        <v>MS|imports|biofuel diesel</v>
      </c>
    </row>
    <row r="1430" spans="1:5" x14ac:dyDescent="0.25">
      <c r="A1430" t="s">
        <v>127</v>
      </c>
      <c r="B1430" t="s">
        <v>193</v>
      </c>
      <c r="C1430" t="s">
        <v>94</v>
      </c>
      <c r="D1430" s="10">
        <v>6434250000000</v>
      </c>
      <c r="E1430" t="str">
        <f>$A1430&amp;Keys!$C$54&amp;$B1430&amp;Keys!$C$54&amp;$C1430</f>
        <v>MS|exports|biofuel diesel</v>
      </c>
    </row>
    <row r="1431" spans="1:5" x14ac:dyDescent="0.25">
      <c r="A1431" t="s">
        <v>127</v>
      </c>
      <c r="B1431" t="s">
        <v>188</v>
      </c>
      <c r="C1431" t="s">
        <v>97</v>
      </c>
      <c r="D1431" s="10">
        <v>80503900000000</v>
      </c>
      <c r="E1431" t="str">
        <f>$A1431&amp;Keys!$C$54&amp;$B1431&amp;Keys!$C$54&amp;$C1431</f>
        <v>MS|production|jet fuel or kerosene</v>
      </c>
    </row>
    <row r="1432" spans="1:5" x14ac:dyDescent="0.25">
      <c r="A1432" t="s">
        <v>127</v>
      </c>
      <c r="B1432" t="s">
        <v>191</v>
      </c>
      <c r="C1432" t="s">
        <v>97</v>
      </c>
      <c r="D1432" s="10">
        <v>0</v>
      </c>
      <c r="E1432" t="str">
        <f>$A1432&amp;Keys!$C$54&amp;$B1432&amp;Keys!$C$54&amp;$C1432</f>
        <v>MS|imports|jet fuel or kerosene</v>
      </c>
    </row>
    <row r="1433" spans="1:5" x14ac:dyDescent="0.25">
      <c r="A1433" t="s">
        <v>127</v>
      </c>
      <c r="B1433" t="s">
        <v>193</v>
      </c>
      <c r="C1433" t="s">
        <v>97</v>
      </c>
      <c r="D1433" s="10">
        <v>73664400000000</v>
      </c>
      <c r="E1433" t="str">
        <f>$A1433&amp;Keys!$C$54&amp;$B1433&amp;Keys!$C$54&amp;$C1433</f>
        <v>MS|exports|jet fuel or kerosene</v>
      </c>
    </row>
    <row r="1434" spans="1:5" x14ac:dyDescent="0.25">
      <c r="A1434" t="s">
        <v>127</v>
      </c>
      <c r="B1434" t="s">
        <v>188</v>
      </c>
      <c r="C1434" t="s">
        <v>276</v>
      </c>
      <c r="D1434" s="10">
        <v>0</v>
      </c>
      <c r="E1434" t="str">
        <f>$A1434&amp;Keys!$C$54&amp;$B1434&amp;Keys!$C$54&amp;$C1434</f>
        <v>MS|production|heat</v>
      </c>
    </row>
    <row r="1435" spans="1:5" x14ac:dyDescent="0.25">
      <c r="A1435" t="s">
        <v>127</v>
      </c>
      <c r="B1435" t="s">
        <v>191</v>
      </c>
      <c r="C1435" t="s">
        <v>276</v>
      </c>
      <c r="D1435" s="10">
        <v>0</v>
      </c>
      <c r="E1435" t="str">
        <f>$A1435&amp;Keys!$C$54&amp;$B1435&amp;Keys!$C$54&amp;$C1435</f>
        <v>MS|imports|heat</v>
      </c>
    </row>
    <row r="1436" spans="1:5" x14ac:dyDescent="0.25">
      <c r="A1436" t="s">
        <v>127</v>
      </c>
      <c r="B1436" t="s">
        <v>193</v>
      </c>
      <c r="C1436" t="s">
        <v>276</v>
      </c>
      <c r="D1436" s="10">
        <v>0</v>
      </c>
      <c r="E1436" t="str">
        <f>$A1436&amp;Keys!$C$54&amp;$B1436&amp;Keys!$C$54&amp;$C1436</f>
        <v>MS|exports|heat</v>
      </c>
    </row>
    <row r="1437" spans="1:5" x14ac:dyDescent="0.25">
      <c r="A1437" t="s">
        <v>127</v>
      </c>
      <c r="B1437" t="s">
        <v>188</v>
      </c>
      <c r="C1437" t="s">
        <v>277</v>
      </c>
      <c r="D1437" s="10">
        <v>0</v>
      </c>
      <c r="E1437" t="str">
        <f>$A1437&amp;Keys!$C$54&amp;$B1437&amp;Keys!$C$54&amp;$C1437</f>
        <v>MS|production|geothermal</v>
      </c>
    </row>
    <row r="1438" spans="1:5" x14ac:dyDescent="0.25">
      <c r="A1438" t="s">
        <v>127</v>
      </c>
      <c r="B1438" t="s">
        <v>191</v>
      </c>
      <c r="C1438" t="s">
        <v>277</v>
      </c>
      <c r="D1438" s="10">
        <v>0</v>
      </c>
      <c r="E1438" t="str">
        <f>$A1438&amp;Keys!$C$54&amp;$B1438&amp;Keys!$C$54&amp;$C1438</f>
        <v>MS|imports|geothermal</v>
      </c>
    </row>
    <row r="1439" spans="1:5" x14ac:dyDescent="0.25">
      <c r="A1439" t="s">
        <v>127</v>
      </c>
      <c r="B1439" t="s">
        <v>193</v>
      </c>
      <c r="C1439" t="s">
        <v>277</v>
      </c>
      <c r="D1439" s="10">
        <v>0</v>
      </c>
      <c r="E1439" t="str">
        <f>$A1439&amp;Keys!$C$54&amp;$B1439&amp;Keys!$C$54&amp;$C1439</f>
        <v>MS|exports|geothermal</v>
      </c>
    </row>
    <row r="1440" spans="1:5" x14ac:dyDescent="0.25">
      <c r="A1440" t="s">
        <v>127</v>
      </c>
      <c r="B1440" t="s">
        <v>188</v>
      </c>
      <c r="C1440" t="s">
        <v>106</v>
      </c>
      <c r="D1440" s="10">
        <v>28579600000000</v>
      </c>
      <c r="E1440" t="str">
        <f>$A1440&amp;Keys!$C$54&amp;$B1440&amp;Keys!$C$54&amp;$C1440</f>
        <v>MS|production|lignite</v>
      </c>
    </row>
    <row r="1441" spans="1:5" x14ac:dyDescent="0.25">
      <c r="A1441" t="s">
        <v>127</v>
      </c>
      <c r="B1441" t="s">
        <v>191</v>
      </c>
      <c r="C1441" t="s">
        <v>106</v>
      </c>
      <c r="D1441" s="10">
        <v>12157900000000</v>
      </c>
      <c r="E1441" t="str">
        <f>$A1441&amp;Keys!$C$54&amp;$B1441&amp;Keys!$C$54&amp;$C1441</f>
        <v>MS|imports|lignite</v>
      </c>
    </row>
    <row r="1442" spans="1:5" x14ac:dyDescent="0.25">
      <c r="A1442" t="s">
        <v>127</v>
      </c>
      <c r="B1442" t="s">
        <v>193</v>
      </c>
      <c r="C1442" t="s">
        <v>106</v>
      </c>
      <c r="D1442" s="10">
        <v>16459200000000</v>
      </c>
      <c r="E1442" t="str">
        <f>$A1442&amp;Keys!$C$54&amp;$B1442&amp;Keys!$C$54&amp;$C1442</f>
        <v>MS|exports|lignite</v>
      </c>
    </row>
    <row r="1443" spans="1:5" x14ac:dyDescent="0.25">
      <c r="A1443" t="s">
        <v>127</v>
      </c>
      <c r="B1443" t="s">
        <v>188</v>
      </c>
      <c r="C1443" t="s">
        <v>109</v>
      </c>
      <c r="D1443" s="10">
        <v>70383000000000</v>
      </c>
      <c r="E1443" t="str">
        <f>$A1443&amp;Keys!$C$54&amp;$B1443&amp;Keys!$C$54&amp;$C1443</f>
        <v>MS|production|crude oil</v>
      </c>
    </row>
    <row r="1444" spans="1:5" x14ac:dyDescent="0.25">
      <c r="A1444" t="s">
        <v>127</v>
      </c>
      <c r="B1444" t="s">
        <v>191</v>
      </c>
      <c r="C1444" t="s">
        <v>109</v>
      </c>
      <c r="D1444" s="10">
        <v>701024000000000</v>
      </c>
      <c r="E1444" t="str">
        <f>$A1444&amp;Keys!$C$54&amp;$B1444&amp;Keys!$C$54&amp;$C1444</f>
        <v>MS|imports|crude oil</v>
      </c>
    </row>
    <row r="1445" spans="1:5" x14ac:dyDescent="0.25">
      <c r="A1445" t="s">
        <v>127</v>
      </c>
      <c r="B1445" t="s">
        <v>193</v>
      </c>
      <c r="C1445" t="s">
        <v>109</v>
      </c>
      <c r="D1445" s="10">
        <v>0</v>
      </c>
      <c r="E1445" t="str">
        <f>$A1445&amp;Keys!$C$54&amp;$B1445&amp;Keys!$C$54&amp;$C1445</f>
        <v>MS|exports|crude oil</v>
      </c>
    </row>
    <row r="1446" spans="1:5" x14ac:dyDescent="0.25">
      <c r="A1446" t="s">
        <v>127</v>
      </c>
      <c r="B1446" t="s">
        <v>188</v>
      </c>
      <c r="C1446" t="s">
        <v>114</v>
      </c>
      <c r="D1446" s="10">
        <v>15638200000000</v>
      </c>
      <c r="E1446" t="str">
        <f>$A1446&amp;Keys!$C$54&amp;$B1446&amp;Keys!$C$54&amp;$C1446</f>
        <v>MS|production|heavy or residual fuel oil</v>
      </c>
    </row>
    <row r="1447" spans="1:5" x14ac:dyDescent="0.25">
      <c r="A1447" t="s">
        <v>127</v>
      </c>
      <c r="B1447" t="s">
        <v>191</v>
      </c>
      <c r="C1447" t="s">
        <v>114</v>
      </c>
      <c r="D1447" s="10">
        <v>13598800000000</v>
      </c>
      <c r="E1447" t="str">
        <f>$A1447&amp;Keys!$C$54&amp;$B1447&amp;Keys!$C$54&amp;$C1447</f>
        <v>MS|imports|heavy or residual fuel oil</v>
      </c>
    </row>
    <row r="1448" spans="1:5" x14ac:dyDescent="0.25">
      <c r="A1448" t="s">
        <v>127</v>
      </c>
      <c r="B1448" t="s">
        <v>193</v>
      </c>
      <c r="C1448" t="s">
        <v>114</v>
      </c>
      <c r="D1448" s="10">
        <v>16108100000000</v>
      </c>
      <c r="E1448" t="str">
        <f>$A1448&amp;Keys!$C$54&amp;$B1448&amp;Keys!$C$54&amp;$C1448</f>
        <v>MS|exports|heavy or residual fuel oil</v>
      </c>
    </row>
    <row r="1449" spans="1:5" x14ac:dyDescent="0.25">
      <c r="A1449" t="s">
        <v>127</v>
      </c>
      <c r="B1449" t="s">
        <v>188</v>
      </c>
      <c r="C1449" t="s">
        <v>117</v>
      </c>
      <c r="D1449" s="10">
        <v>3264400000000</v>
      </c>
      <c r="E1449" t="str">
        <f>$A1449&amp;Keys!$C$54&amp;$B1449&amp;Keys!$C$54&amp;$C1449</f>
        <v>MS|production|LPG propane or butane</v>
      </c>
    </row>
    <row r="1450" spans="1:5" x14ac:dyDescent="0.25">
      <c r="A1450" t="s">
        <v>127</v>
      </c>
      <c r="B1450" t="s">
        <v>191</v>
      </c>
      <c r="C1450" t="s">
        <v>117</v>
      </c>
      <c r="D1450" s="10">
        <v>6489050000000</v>
      </c>
      <c r="E1450" t="str">
        <f>$A1450&amp;Keys!$C$54&amp;$B1450&amp;Keys!$C$54&amp;$C1450</f>
        <v>MS|imports|LPG propane or butane</v>
      </c>
    </row>
    <row r="1451" spans="1:5" x14ac:dyDescent="0.25">
      <c r="A1451" t="s">
        <v>127</v>
      </c>
      <c r="B1451" t="s">
        <v>193</v>
      </c>
      <c r="C1451" t="s">
        <v>117</v>
      </c>
      <c r="D1451" s="10">
        <v>0</v>
      </c>
      <c r="E1451" t="str">
        <f>$A1451&amp;Keys!$C$54&amp;$B1451&amp;Keys!$C$54&amp;$C1451</f>
        <v>MS|exports|LPG propane or butane</v>
      </c>
    </row>
    <row r="1452" spans="1:5" x14ac:dyDescent="0.25">
      <c r="A1452" t="s">
        <v>127</v>
      </c>
      <c r="B1452" t="s">
        <v>188</v>
      </c>
      <c r="C1452" t="s">
        <v>120</v>
      </c>
      <c r="D1452" s="10">
        <v>0</v>
      </c>
      <c r="E1452" t="str">
        <f>$A1452&amp;Keys!$C$54&amp;$B1452&amp;Keys!$C$54&amp;$C1452</f>
        <v>MS|production|municipal solid waste</v>
      </c>
    </row>
    <row r="1453" spans="1:5" x14ac:dyDescent="0.25">
      <c r="A1453" t="s">
        <v>127</v>
      </c>
      <c r="B1453" t="s">
        <v>191</v>
      </c>
      <c r="C1453" t="s">
        <v>120</v>
      </c>
      <c r="D1453" s="10">
        <v>0</v>
      </c>
      <c r="E1453" t="str">
        <f>$A1453&amp;Keys!$C$54&amp;$B1453&amp;Keys!$C$54&amp;$C1453</f>
        <v>MS|imports|municipal solid waste</v>
      </c>
    </row>
    <row r="1454" spans="1:5" x14ac:dyDescent="0.25">
      <c r="A1454" t="s">
        <v>127</v>
      </c>
      <c r="B1454" t="s">
        <v>193</v>
      </c>
      <c r="C1454" t="s">
        <v>120</v>
      </c>
      <c r="D1454" s="10">
        <v>0</v>
      </c>
      <c r="E1454" t="str">
        <f>$A1454&amp;Keys!$C$54&amp;$B1454&amp;Keys!$C$54&amp;$C1454</f>
        <v>MS|exports|municipal solid waste</v>
      </c>
    </row>
    <row r="1455" spans="1:5" x14ac:dyDescent="0.25">
      <c r="A1455" t="s">
        <v>127</v>
      </c>
      <c r="B1455" t="s">
        <v>188</v>
      </c>
      <c r="C1455" t="s">
        <v>123</v>
      </c>
      <c r="D1455" s="10">
        <v>28707200000000</v>
      </c>
      <c r="E1455" t="str">
        <f>$A1455&amp;Keys!$C$54&amp;$B1455&amp;Keys!$C$54&amp;$C1455</f>
        <v>MS|production|hydrogen</v>
      </c>
    </row>
    <row r="1456" spans="1:5" x14ac:dyDescent="0.25">
      <c r="A1456" t="s">
        <v>127</v>
      </c>
      <c r="B1456" t="s">
        <v>191</v>
      </c>
      <c r="C1456" t="s">
        <v>123</v>
      </c>
      <c r="D1456" s="10">
        <v>0</v>
      </c>
      <c r="E1456" t="str">
        <f>$A1456&amp;Keys!$C$54&amp;$B1456&amp;Keys!$C$54&amp;$C1456</f>
        <v>MS|imports|hydrogen</v>
      </c>
    </row>
    <row r="1457" spans="1:5" x14ac:dyDescent="0.25">
      <c r="A1457" t="s">
        <v>127</v>
      </c>
      <c r="B1457" t="s">
        <v>193</v>
      </c>
      <c r="C1457" t="s">
        <v>123</v>
      </c>
      <c r="D1457" s="10">
        <v>14670200000000</v>
      </c>
      <c r="E1457" t="str">
        <f>$A1457&amp;Keys!$C$54&amp;$B1457&amp;Keys!$C$54&amp;$C1457</f>
        <v>MS|exports|hydrogen</v>
      </c>
    </row>
    <row r="1458" spans="1:5" x14ac:dyDescent="0.25">
      <c r="A1458" t="s">
        <v>129</v>
      </c>
      <c r="B1458" t="s">
        <v>188</v>
      </c>
      <c r="C1458" t="s">
        <v>272</v>
      </c>
      <c r="D1458" s="10">
        <v>0</v>
      </c>
      <c r="E1458" t="str">
        <f>$A1458&amp;Keys!$C$54&amp;$B1458&amp;Keys!$C$54&amp;$C1458</f>
        <v>MT|production|electricity</v>
      </c>
    </row>
    <row r="1459" spans="1:5" x14ac:dyDescent="0.25">
      <c r="A1459" t="s">
        <v>129</v>
      </c>
      <c r="B1459" t="s">
        <v>191</v>
      </c>
      <c r="C1459" t="s">
        <v>272</v>
      </c>
      <c r="D1459" s="10">
        <v>0</v>
      </c>
      <c r="E1459" t="str">
        <f>$A1459&amp;Keys!$C$54&amp;$B1459&amp;Keys!$C$54&amp;$C1459</f>
        <v>MT|imports|electricity</v>
      </c>
    </row>
    <row r="1460" spans="1:5" x14ac:dyDescent="0.25">
      <c r="A1460" t="s">
        <v>129</v>
      </c>
      <c r="B1460" t="s">
        <v>193</v>
      </c>
      <c r="C1460" t="s">
        <v>272</v>
      </c>
      <c r="D1460" s="10">
        <v>0</v>
      </c>
      <c r="E1460" t="str">
        <f>$A1460&amp;Keys!$C$54&amp;$B1460&amp;Keys!$C$54&amp;$C1460</f>
        <v>MT|exports|electricity</v>
      </c>
    </row>
    <row r="1461" spans="1:5" x14ac:dyDescent="0.25">
      <c r="A1461" t="s">
        <v>129</v>
      </c>
      <c r="B1461" t="s">
        <v>188</v>
      </c>
      <c r="C1461" t="s">
        <v>64</v>
      </c>
      <c r="D1461" s="10">
        <v>553161000000000</v>
      </c>
      <c r="E1461" t="str">
        <f>$A1461&amp;Keys!$C$54&amp;$B1461&amp;Keys!$C$54&amp;$C1461</f>
        <v>MT|production|hard coal</v>
      </c>
    </row>
    <row r="1462" spans="1:5" x14ac:dyDescent="0.25">
      <c r="A1462" t="s">
        <v>129</v>
      </c>
      <c r="B1462" t="s">
        <v>191</v>
      </c>
      <c r="C1462" t="s">
        <v>64</v>
      </c>
      <c r="D1462" s="10">
        <v>9105320000000</v>
      </c>
      <c r="E1462" t="str">
        <f>$A1462&amp;Keys!$C$54&amp;$B1462&amp;Keys!$C$54&amp;$C1462</f>
        <v>MT|imports|hard coal</v>
      </c>
    </row>
    <row r="1463" spans="1:5" x14ac:dyDescent="0.25">
      <c r="A1463" t="s">
        <v>129</v>
      </c>
      <c r="B1463" t="s">
        <v>193</v>
      </c>
      <c r="C1463" t="s">
        <v>64</v>
      </c>
      <c r="D1463" s="10">
        <v>439294000000000</v>
      </c>
      <c r="E1463" t="str">
        <f>$A1463&amp;Keys!$C$54&amp;$B1463&amp;Keys!$C$54&amp;$C1463</f>
        <v>MT|exports|hard coal</v>
      </c>
    </row>
    <row r="1464" spans="1:5" x14ac:dyDescent="0.25">
      <c r="A1464" t="s">
        <v>129</v>
      </c>
      <c r="B1464" t="s">
        <v>188</v>
      </c>
      <c r="C1464" t="s">
        <v>68</v>
      </c>
      <c r="D1464" s="10">
        <v>41508000000000</v>
      </c>
      <c r="E1464" t="str">
        <f>$A1464&amp;Keys!$C$54&amp;$B1464&amp;Keys!$C$54&amp;$C1464</f>
        <v>MT|production|natural gas</v>
      </c>
    </row>
    <row r="1465" spans="1:5" x14ac:dyDescent="0.25">
      <c r="A1465" t="s">
        <v>129</v>
      </c>
      <c r="B1465" t="s">
        <v>191</v>
      </c>
      <c r="C1465" t="s">
        <v>68</v>
      </c>
      <c r="D1465" s="10">
        <v>270831000000000</v>
      </c>
      <c r="E1465" t="str">
        <f>$A1465&amp;Keys!$C$54&amp;$B1465&amp;Keys!$C$54&amp;$C1465</f>
        <v>MT|imports|natural gas</v>
      </c>
    </row>
    <row r="1466" spans="1:5" x14ac:dyDescent="0.25">
      <c r="A1466" t="s">
        <v>129</v>
      </c>
      <c r="B1466" t="s">
        <v>193</v>
      </c>
      <c r="C1466" t="s">
        <v>68</v>
      </c>
      <c r="D1466" s="10">
        <v>221433000000000</v>
      </c>
      <c r="E1466" t="str">
        <f>$A1466&amp;Keys!$C$54&amp;$B1466&amp;Keys!$C$54&amp;$C1466</f>
        <v>MT|exports|natural gas</v>
      </c>
    </row>
    <row r="1467" spans="1:5" x14ac:dyDescent="0.25">
      <c r="A1467" t="s">
        <v>129</v>
      </c>
      <c r="B1467" t="s">
        <v>188</v>
      </c>
      <c r="C1467" t="s">
        <v>71</v>
      </c>
      <c r="D1467" s="10">
        <v>0</v>
      </c>
      <c r="E1467" t="str">
        <f>$A1467&amp;Keys!$C$54&amp;$B1467&amp;Keys!$C$54&amp;$C1467</f>
        <v>MT|production|nuclear</v>
      </c>
    </row>
    <row r="1468" spans="1:5" x14ac:dyDescent="0.25">
      <c r="A1468" t="s">
        <v>129</v>
      </c>
      <c r="B1468" t="s">
        <v>191</v>
      </c>
      <c r="C1468" t="s">
        <v>71</v>
      </c>
      <c r="D1468" s="10">
        <v>0</v>
      </c>
      <c r="E1468" t="str">
        <f>$A1468&amp;Keys!$C$54&amp;$B1468&amp;Keys!$C$54&amp;$C1468</f>
        <v>MT|imports|nuclear</v>
      </c>
    </row>
    <row r="1469" spans="1:5" x14ac:dyDescent="0.25">
      <c r="A1469" t="s">
        <v>129</v>
      </c>
      <c r="B1469" t="s">
        <v>193</v>
      </c>
      <c r="C1469" t="s">
        <v>71</v>
      </c>
      <c r="D1469" s="10">
        <v>0</v>
      </c>
      <c r="E1469" t="str">
        <f>$A1469&amp;Keys!$C$54&amp;$B1469&amp;Keys!$C$54&amp;$C1469</f>
        <v>MT|exports|nuclear</v>
      </c>
    </row>
    <row r="1470" spans="1:5" x14ac:dyDescent="0.25">
      <c r="A1470" t="s">
        <v>129</v>
      </c>
      <c r="B1470" t="s">
        <v>188</v>
      </c>
      <c r="C1470" t="s">
        <v>273</v>
      </c>
      <c r="D1470" s="10">
        <v>0</v>
      </c>
      <c r="E1470" t="str">
        <f>$A1470&amp;Keys!$C$54&amp;$B1470&amp;Keys!$C$54&amp;$C1470</f>
        <v>MT|production|hydro</v>
      </c>
    </row>
    <row r="1471" spans="1:5" x14ac:dyDescent="0.25">
      <c r="A1471" t="s">
        <v>129</v>
      </c>
      <c r="B1471" t="s">
        <v>191</v>
      </c>
      <c r="C1471" t="s">
        <v>273</v>
      </c>
      <c r="D1471" s="10">
        <v>0</v>
      </c>
      <c r="E1471" t="str">
        <f>$A1471&amp;Keys!$C$54&amp;$B1471&amp;Keys!$C$54&amp;$C1471</f>
        <v>MT|imports|hydro</v>
      </c>
    </row>
    <row r="1472" spans="1:5" x14ac:dyDescent="0.25">
      <c r="A1472" t="s">
        <v>129</v>
      </c>
      <c r="B1472" t="s">
        <v>193</v>
      </c>
      <c r="C1472" t="s">
        <v>273</v>
      </c>
      <c r="D1472" s="10">
        <v>0</v>
      </c>
      <c r="E1472" t="str">
        <f>$A1472&amp;Keys!$C$54&amp;$B1472&amp;Keys!$C$54&amp;$C1472</f>
        <v>MT|exports|hydro</v>
      </c>
    </row>
    <row r="1473" spans="1:5" x14ac:dyDescent="0.25">
      <c r="A1473" t="s">
        <v>129</v>
      </c>
      <c r="B1473" t="s">
        <v>188</v>
      </c>
      <c r="C1473" t="s">
        <v>274</v>
      </c>
      <c r="D1473" s="10">
        <v>0</v>
      </c>
      <c r="E1473" t="str">
        <f>$A1473&amp;Keys!$C$54&amp;$B1473&amp;Keys!$C$54&amp;$C1473</f>
        <v>MT|production|wind</v>
      </c>
    </row>
    <row r="1474" spans="1:5" x14ac:dyDescent="0.25">
      <c r="A1474" t="s">
        <v>129</v>
      </c>
      <c r="B1474" t="s">
        <v>191</v>
      </c>
      <c r="C1474" t="s">
        <v>274</v>
      </c>
      <c r="D1474" s="10">
        <v>0</v>
      </c>
      <c r="E1474" t="str">
        <f>$A1474&amp;Keys!$C$54&amp;$B1474&amp;Keys!$C$54&amp;$C1474</f>
        <v>MT|imports|wind</v>
      </c>
    </row>
    <row r="1475" spans="1:5" x14ac:dyDescent="0.25">
      <c r="A1475" t="s">
        <v>129</v>
      </c>
      <c r="B1475" t="s">
        <v>193</v>
      </c>
      <c r="C1475" t="s">
        <v>274</v>
      </c>
      <c r="D1475" s="10">
        <v>0</v>
      </c>
      <c r="E1475" t="str">
        <f>$A1475&amp;Keys!$C$54&amp;$B1475&amp;Keys!$C$54&amp;$C1475</f>
        <v>MT|exports|wind</v>
      </c>
    </row>
    <row r="1476" spans="1:5" x14ac:dyDescent="0.25">
      <c r="A1476" t="s">
        <v>129</v>
      </c>
      <c r="B1476" t="s">
        <v>188</v>
      </c>
      <c r="C1476" t="s">
        <v>275</v>
      </c>
      <c r="D1476" s="10">
        <v>0</v>
      </c>
      <c r="E1476" t="str">
        <f>$A1476&amp;Keys!$C$54&amp;$B1476&amp;Keys!$C$54&amp;$C1476</f>
        <v>MT|production|solar</v>
      </c>
    </row>
    <row r="1477" spans="1:5" x14ac:dyDescent="0.25">
      <c r="A1477" t="s">
        <v>129</v>
      </c>
      <c r="B1477" t="s">
        <v>191</v>
      </c>
      <c r="C1477" t="s">
        <v>275</v>
      </c>
      <c r="D1477" s="10">
        <v>0</v>
      </c>
      <c r="E1477" t="str">
        <f>$A1477&amp;Keys!$C$54&amp;$B1477&amp;Keys!$C$54&amp;$C1477</f>
        <v>MT|imports|solar</v>
      </c>
    </row>
    <row r="1478" spans="1:5" x14ac:dyDescent="0.25">
      <c r="A1478" t="s">
        <v>129</v>
      </c>
      <c r="B1478" t="s">
        <v>193</v>
      </c>
      <c r="C1478" t="s">
        <v>275</v>
      </c>
      <c r="D1478" s="10">
        <v>0</v>
      </c>
      <c r="E1478" t="str">
        <f>$A1478&amp;Keys!$C$54&amp;$B1478&amp;Keys!$C$54&amp;$C1478</f>
        <v>MT|exports|solar</v>
      </c>
    </row>
    <row r="1479" spans="1:5" x14ac:dyDescent="0.25">
      <c r="A1479" t="s">
        <v>129</v>
      </c>
      <c r="B1479" t="s">
        <v>188</v>
      </c>
      <c r="C1479" t="s">
        <v>82</v>
      </c>
      <c r="D1479" s="10">
        <v>0</v>
      </c>
      <c r="E1479" t="str">
        <f>$A1479&amp;Keys!$C$54&amp;$B1479&amp;Keys!$C$54&amp;$C1479</f>
        <v>MT|production|biomass</v>
      </c>
    </row>
    <row r="1480" spans="1:5" x14ac:dyDescent="0.25">
      <c r="A1480" t="s">
        <v>129</v>
      </c>
      <c r="B1480" t="s">
        <v>191</v>
      </c>
      <c r="C1480" t="s">
        <v>82</v>
      </c>
      <c r="D1480" s="10">
        <v>7446200000000</v>
      </c>
      <c r="E1480" t="str">
        <f>$A1480&amp;Keys!$C$54&amp;$B1480&amp;Keys!$C$54&amp;$C1480</f>
        <v>MT|imports|biomass</v>
      </c>
    </row>
    <row r="1481" spans="1:5" x14ac:dyDescent="0.25">
      <c r="A1481" t="s">
        <v>129</v>
      </c>
      <c r="B1481" t="s">
        <v>193</v>
      </c>
      <c r="C1481" t="s">
        <v>82</v>
      </c>
      <c r="D1481" s="10">
        <v>0</v>
      </c>
      <c r="E1481" t="str">
        <f>$A1481&amp;Keys!$C$54&amp;$B1481&amp;Keys!$C$54&amp;$C1481</f>
        <v>MT|exports|biomass</v>
      </c>
    </row>
    <row r="1482" spans="1:5" x14ac:dyDescent="0.25">
      <c r="A1482" t="s">
        <v>129</v>
      </c>
      <c r="B1482" t="s">
        <v>188</v>
      </c>
      <c r="C1482" t="s">
        <v>85</v>
      </c>
      <c r="D1482" s="10">
        <v>198953000000000</v>
      </c>
      <c r="E1482" t="str">
        <f>$A1482&amp;Keys!$C$54&amp;$B1482&amp;Keys!$C$54&amp;$C1482</f>
        <v>MT|production|petroleum gasoline</v>
      </c>
    </row>
    <row r="1483" spans="1:5" x14ac:dyDescent="0.25">
      <c r="A1483" t="s">
        <v>129</v>
      </c>
      <c r="B1483" t="s">
        <v>191</v>
      </c>
      <c r="C1483" t="s">
        <v>85</v>
      </c>
      <c r="D1483" s="10">
        <v>3029800000000</v>
      </c>
      <c r="E1483" t="str">
        <f>$A1483&amp;Keys!$C$54&amp;$B1483&amp;Keys!$C$54&amp;$C1483</f>
        <v>MT|imports|petroleum gasoline</v>
      </c>
    </row>
    <row r="1484" spans="1:5" x14ac:dyDescent="0.25">
      <c r="A1484" t="s">
        <v>129</v>
      </c>
      <c r="B1484" t="s">
        <v>193</v>
      </c>
      <c r="C1484" t="s">
        <v>85</v>
      </c>
      <c r="D1484" s="10">
        <v>142621000000000</v>
      </c>
      <c r="E1484" t="str">
        <f>$A1484&amp;Keys!$C$54&amp;$B1484&amp;Keys!$C$54&amp;$C1484</f>
        <v>MT|exports|petroleum gasoline</v>
      </c>
    </row>
    <row r="1485" spans="1:5" x14ac:dyDescent="0.25">
      <c r="A1485" t="s">
        <v>129</v>
      </c>
      <c r="B1485" t="s">
        <v>188</v>
      </c>
      <c r="C1485" t="s">
        <v>88</v>
      </c>
      <c r="D1485" s="10">
        <v>117683000000000</v>
      </c>
      <c r="E1485" t="str">
        <f>$A1485&amp;Keys!$C$54&amp;$B1485&amp;Keys!$C$54&amp;$C1485</f>
        <v>MT|production|petroleum diesel</v>
      </c>
    </row>
    <row r="1486" spans="1:5" x14ac:dyDescent="0.25">
      <c r="A1486" t="s">
        <v>129</v>
      </c>
      <c r="B1486" t="s">
        <v>191</v>
      </c>
      <c r="C1486" t="s">
        <v>88</v>
      </c>
      <c r="D1486" s="10">
        <v>850112000000</v>
      </c>
      <c r="E1486" t="str">
        <f>$A1486&amp;Keys!$C$54&amp;$B1486&amp;Keys!$C$54&amp;$C1486</f>
        <v>MT|imports|petroleum diesel</v>
      </c>
    </row>
    <row r="1487" spans="1:5" x14ac:dyDescent="0.25">
      <c r="A1487" t="s">
        <v>129</v>
      </c>
      <c r="B1487" t="s">
        <v>193</v>
      </c>
      <c r="C1487" t="s">
        <v>88</v>
      </c>
      <c r="D1487" s="10">
        <v>62071600000000</v>
      </c>
      <c r="E1487" t="str">
        <f>$A1487&amp;Keys!$C$54&amp;$B1487&amp;Keys!$C$54&amp;$C1487</f>
        <v>MT|exports|petroleum diesel</v>
      </c>
    </row>
    <row r="1488" spans="1:5" x14ac:dyDescent="0.25">
      <c r="A1488" t="s">
        <v>129</v>
      </c>
      <c r="B1488" t="s">
        <v>188</v>
      </c>
      <c r="C1488" t="s">
        <v>91</v>
      </c>
      <c r="D1488" s="10">
        <v>0</v>
      </c>
      <c r="E1488" t="str">
        <f>$A1488&amp;Keys!$C$54&amp;$B1488&amp;Keys!$C$54&amp;$C1488</f>
        <v>MT|production|biofuel gasoline</v>
      </c>
    </row>
    <row r="1489" spans="1:5" x14ac:dyDescent="0.25">
      <c r="A1489" t="s">
        <v>129</v>
      </c>
      <c r="B1489" t="s">
        <v>191</v>
      </c>
      <c r="C1489" t="s">
        <v>91</v>
      </c>
      <c r="D1489" s="10">
        <v>3907070000000</v>
      </c>
      <c r="E1489" t="str">
        <f>$A1489&amp;Keys!$C$54&amp;$B1489&amp;Keys!$C$54&amp;$C1489</f>
        <v>MT|imports|biofuel gasoline</v>
      </c>
    </row>
    <row r="1490" spans="1:5" x14ac:dyDescent="0.25">
      <c r="A1490" t="s">
        <v>129</v>
      </c>
      <c r="B1490" t="s">
        <v>193</v>
      </c>
      <c r="C1490" t="s">
        <v>91</v>
      </c>
      <c r="D1490" s="10">
        <v>0</v>
      </c>
      <c r="E1490" t="str">
        <f>$A1490&amp;Keys!$C$54&amp;$B1490&amp;Keys!$C$54&amp;$C1490</f>
        <v>MT|exports|biofuel gasoline</v>
      </c>
    </row>
    <row r="1491" spans="1:5" x14ac:dyDescent="0.25">
      <c r="A1491" t="s">
        <v>129</v>
      </c>
      <c r="B1491" t="s">
        <v>188</v>
      </c>
      <c r="C1491" t="s">
        <v>94</v>
      </c>
      <c r="D1491" s="10">
        <v>0</v>
      </c>
      <c r="E1491" t="str">
        <f>$A1491&amp;Keys!$C$54&amp;$B1491&amp;Keys!$C$54&amp;$C1491</f>
        <v>MT|production|biofuel diesel</v>
      </c>
    </row>
    <row r="1492" spans="1:5" x14ac:dyDescent="0.25">
      <c r="A1492" t="s">
        <v>129</v>
      </c>
      <c r="B1492" t="s">
        <v>191</v>
      </c>
      <c r="C1492" t="s">
        <v>94</v>
      </c>
      <c r="D1492" s="10">
        <v>6573920000</v>
      </c>
      <c r="E1492" t="str">
        <f>$A1492&amp;Keys!$C$54&amp;$B1492&amp;Keys!$C$54&amp;$C1492</f>
        <v>MT|imports|biofuel diesel</v>
      </c>
    </row>
    <row r="1493" spans="1:5" x14ac:dyDescent="0.25">
      <c r="A1493" t="s">
        <v>129</v>
      </c>
      <c r="B1493" t="s">
        <v>193</v>
      </c>
      <c r="C1493" t="s">
        <v>94</v>
      </c>
      <c r="D1493" s="10">
        <v>0</v>
      </c>
      <c r="E1493" t="str">
        <f>$A1493&amp;Keys!$C$54&amp;$B1493&amp;Keys!$C$54&amp;$C1493</f>
        <v>MT|exports|biofuel diesel</v>
      </c>
    </row>
    <row r="1494" spans="1:5" x14ac:dyDescent="0.25">
      <c r="A1494" t="s">
        <v>129</v>
      </c>
      <c r="B1494" t="s">
        <v>188</v>
      </c>
      <c r="C1494" t="s">
        <v>97</v>
      </c>
      <c r="D1494" s="10">
        <v>41892900000000</v>
      </c>
      <c r="E1494" t="str">
        <f>$A1494&amp;Keys!$C$54&amp;$B1494&amp;Keys!$C$54&amp;$C1494</f>
        <v>MT|production|jet fuel or kerosene</v>
      </c>
    </row>
    <row r="1495" spans="1:5" x14ac:dyDescent="0.25">
      <c r="A1495" t="s">
        <v>129</v>
      </c>
      <c r="B1495" t="s">
        <v>191</v>
      </c>
      <c r="C1495" t="s">
        <v>97</v>
      </c>
      <c r="D1495" s="10">
        <v>0</v>
      </c>
      <c r="E1495" t="str">
        <f>$A1495&amp;Keys!$C$54&amp;$B1495&amp;Keys!$C$54&amp;$C1495</f>
        <v>MT|imports|jet fuel or kerosene</v>
      </c>
    </row>
    <row r="1496" spans="1:5" x14ac:dyDescent="0.25">
      <c r="A1496" t="s">
        <v>129</v>
      </c>
      <c r="B1496" t="s">
        <v>193</v>
      </c>
      <c r="C1496" t="s">
        <v>97</v>
      </c>
      <c r="D1496" s="10">
        <v>33919800000000</v>
      </c>
      <c r="E1496" t="str">
        <f>$A1496&amp;Keys!$C$54&amp;$B1496&amp;Keys!$C$54&amp;$C1496</f>
        <v>MT|exports|jet fuel or kerosene</v>
      </c>
    </row>
    <row r="1497" spans="1:5" x14ac:dyDescent="0.25">
      <c r="A1497" t="s">
        <v>129</v>
      </c>
      <c r="B1497" t="s">
        <v>188</v>
      </c>
      <c r="C1497" t="s">
        <v>276</v>
      </c>
      <c r="D1497" s="10">
        <v>0</v>
      </c>
      <c r="E1497" t="str">
        <f>$A1497&amp;Keys!$C$54&amp;$B1497&amp;Keys!$C$54&amp;$C1497</f>
        <v>MT|production|heat</v>
      </c>
    </row>
    <row r="1498" spans="1:5" x14ac:dyDescent="0.25">
      <c r="A1498" t="s">
        <v>129</v>
      </c>
      <c r="B1498" t="s">
        <v>191</v>
      </c>
      <c r="C1498" t="s">
        <v>276</v>
      </c>
      <c r="D1498" s="10">
        <v>0</v>
      </c>
      <c r="E1498" t="str">
        <f>$A1498&amp;Keys!$C$54&amp;$B1498&amp;Keys!$C$54&amp;$C1498</f>
        <v>MT|imports|heat</v>
      </c>
    </row>
    <row r="1499" spans="1:5" x14ac:dyDescent="0.25">
      <c r="A1499" t="s">
        <v>129</v>
      </c>
      <c r="B1499" t="s">
        <v>193</v>
      </c>
      <c r="C1499" t="s">
        <v>276</v>
      </c>
      <c r="D1499" s="10">
        <v>0</v>
      </c>
      <c r="E1499" t="str">
        <f>$A1499&amp;Keys!$C$54&amp;$B1499&amp;Keys!$C$54&amp;$C1499</f>
        <v>MT|exports|heat</v>
      </c>
    </row>
    <row r="1500" spans="1:5" x14ac:dyDescent="0.25">
      <c r="A1500" t="s">
        <v>129</v>
      </c>
      <c r="B1500" t="s">
        <v>188</v>
      </c>
      <c r="C1500" t="s">
        <v>277</v>
      </c>
      <c r="D1500" s="10">
        <v>0</v>
      </c>
      <c r="E1500" t="str">
        <f>$A1500&amp;Keys!$C$54&amp;$B1500&amp;Keys!$C$54&amp;$C1500</f>
        <v>MT|production|geothermal</v>
      </c>
    </row>
    <row r="1501" spans="1:5" x14ac:dyDescent="0.25">
      <c r="A1501" t="s">
        <v>129</v>
      </c>
      <c r="B1501" t="s">
        <v>191</v>
      </c>
      <c r="C1501" t="s">
        <v>277</v>
      </c>
      <c r="D1501" s="10">
        <v>0</v>
      </c>
      <c r="E1501" t="str">
        <f>$A1501&amp;Keys!$C$54&amp;$B1501&amp;Keys!$C$54&amp;$C1501</f>
        <v>MT|imports|geothermal</v>
      </c>
    </row>
    <row r="1502" spans="1:5" x14ac:dyDescent="0.25">
      <c r="A1502" t="s">
        <v>129</v>
      </c>
      <c r="B1502" t="s">
        <v>193</v>
      </c>
      <c r="C1502" t="s">
        <v>277</v>
      </c>
      <c r="D1502" s="10">
        <v>0</v>
      </c>
      <c r="E1502" t="str">
        <f>$A1502&amp;Keys!$C$54&amp;$B1502&amp;Keys!$C$54&amp;$C1502</f>
        <v>MT|exports|geothermal</v>
      </c>
    </row>
    <row r="1503" spans="1:5" x14ac:dyDescent="0.25">
      <c r="A1503" t="s">
        <v>129</v>
      </c>
      <c r="B1503" t="s">
        <v>188</v>
      </c>
      <c r="C1503" t="s">
        <v>106</v>
      </c>
      <c r="D1503" s="10">
        <v>0</v>
      </c>
      <c r="E1503" t="str">
        <f>$A1503&amp;Keys!$C$54&amp;$B1503&amp;Keys!$C$54&amp;$C1503</f>
        <v>MT|production|lignite</v>
      </c>
    </row>
    <row r="1504" spans="1:5" x14ac:dyDescent="0.25">
      <c r="A1504" t="s">
        <v>129</v>
      </c>
      <c r="B1504" t="s">
        <v>191</v>
      </c>
      <c r="C1504" t="s">
        <v>106</v>
      </c>
      <c r="D1504" s="10">
        <v>0</v>
      </c>
      <c r="E1504" t="str">
        <f>$A1504&amp;Keys!$C$54&amp;$B1504&amp;Keys!$C$54&amp;$C1504</f>
        <v>MT|imports|lignite</v>
      </c>
    </row>
    <row r="1505" spans="1:5" x14ac:dyDescent="0.25">
      <c r="A1505" t="s">
        <v>129</v>
      </c>
      <c r="B1505" t="s">
        <v>193</v>
      </c>
      <c r="C1505" t="s">
        <v>106</v>
      </c>
      <c r="D1505" s="10">
        <v>0</v>
      </c>
      <c r="E1505" t="str">
        <f>$A1505&amp;Keys!$C$54&amp;$B1505&amp;Keys!$C$54&amp;$C1505</f>
        <v>MT|exports|lignite</v>
      </c>
    </row>
    <row r="1506" spans="1:5" x14ac:dyDescent="0.25">
      <c r="A1506" t="s">
        <v>129</v>
      </c>
      <c r="B1506" t="s">
        <v>188</v>
      </c>
      <c r="C1506" t="s">
        <v>109</v>
      </c>
      <c r="D1506" s="10">
        <v>154599000000000</v>
      </c>
      <c r="E1506" t="str">
        <f>$A1506&amp;Keys!$C$54&amp;$B1506&amp;Keys!$C$54&amp;$C1506</f>
        <v>MT|production|crude oil</v>
      </c>
    </row>
    <row r="1507" spans="1:5" x14ac:dyDescent="0.25">
      <c r="A1507" t="s">
        <v>129</v>
      </c>
      <c r="B1507" t="s">
        <v>191</v>
      </c>
      <c r="C1507" t="s">
        <v>109</v>
      </c>
      <c r="D1507" s="10">
        <v>269029000000000</v>
      </c>
      <c r="E1507" t="str">
        <f>$A1507&amp;Keys!$C$54&amp;$B1507&amp;Keys!$C$54&amp;$C1507</f>
        <v>MT|imports|crude oil</v>
      </c>
    </row>
    <row r="1508" spans="1:5" x14ac:dyDescent="0.25">
      <c r="A1508" t="s">
        <v>129</v>
      </c>
      <c r="B1508" t="s">
        <v>193</v>
      </c>
      <c r="C1508" t="s">
        <v>109</v>
      </c>
      <c r="D1508" s="10">
        <v>0</v>
      </c>
      <c r="E1508" t="str">
        <f>$A1508&amp;Keys!$C$54&amp;$B1508&amp;Keys!$C$54&amp;$C1508</f>
        <v>MT|exports|crude oil</v>
      </c>
    </row>
    <row r="1509" spans="1:5" x14ac:dyDescent="0.25">
      <c r="A1509" t="s">
        <v>129</v>
      </c>
      <c r="B1509" t="s">
        <v>188</v>
      </c>
      <c r="C1509" t="s">
        <v>114</v>
      </c>
      <c r="D1509" s="10">
        <v>8137840000000</v>
      </c>
      <c r="E1509" t="str">
        <f>$A1509&amp;Keys!$C$54&amp;$B1509&amp;Keys!$C$54&amp;$C1509</f>
        <v>MT|production|heavy or residual fuel oil</v>
      </c>
    </row>
    <row r="1510" spans="1:5" x14ac:dyDescent="0.25">
      <c r="A1510" t="s">
        <v>129</v>
      </c>
      <c r="B1510" t="s">
        <v>191</v>
      </c>
      <c r="C1510" t="s">
        <v>114</v>
      </c>
      <c r="D1510" s="10">
        <v>1758140000000</v>
      </c>
      <c r="E1510" t="str">
        <f>$A1510&amp;Keys!$C$54&amp;$B1510&amp;Keys!$C$54&amp;$C1510</f>
        <v>MT|imports|heavy or residual fuel oil</v>
      </c>
    </row>
    <row r="1511" spans="1:5" x14ac:dyDescent="0.25">
      <c r="A1511" t="s">
        <v>129</v>
      </c>
      <c r="B1511" t="s">
        <v>193</v>
      </c>
      <c r="C1511" t="s">
        <v>114</v>
      </c>
      <c r="D1511" s="10">
        <v>0</v>
      </c>
      <c r="E1511" t="str">
        <f>$A1511&amp;Keys!$C$54&amp;$B1511&amp;Keys!$C$54&amp;$C1511</f>
        <v>MT|exports|heavy or residual fuel oil</v>
      </c>
    </row>
    <row r="1512" spans="1:5" x14ac:dyDescent="0.25">
      <c r="A1512" t="s">
        <v>129</v>
      </c>
      <c r="B1512" t="s">
        <v>188</v>
      </c>
      <c r="C1512" t="s">
        <v>117</v>
      </c>
      <c r="D1512" s="10">
        <v>5074330000000</v>
      </c>
      <c r="E1512" t="str">
        <f>$A1512&amp;Keys!$C$54&amp;$B1512&amp;Keys!$C$54&amp;$C1512</f>
        <v>MT|production|LPG propane or butane</v>
      </c>
    </row>
    <row r="1513" spans="1:5" x14ac:dyDescent="0.25">
      <c r="A1513" t="s">
        <v>129</v>
      </c>
      <c r="B1513" t="s">
        <v>191</v>
      </c>
      <c r="C1513" t="s">
        <v>117</v>
      </c>
      <c r="D1513" s="10">
        <v>5101090000000</v>
      </c>
      <c r="E1513" t="str">
        <f>$A1513&amp;Keys!$C$54&amp;$B1513&amp;Keys!$C$54&amp;$C1513</f>
        <v>MT|imports|LPG propane or butane</v>
      </c>
    </row>
    <row r="1514" spans="1:5" x14ac:dyDescent="0.25">
      <c r="A1514" t="s">
        <v>129</v>
      </c>
      <c r="B1514" t="s">
        <v>193</v>
      </c>
      <c r="C1514" t="s">
        <v>117</v>
      </c>
      <c r="D1514" s="10">
        <v>0</v>
      </c>
      <c r="E1514" t="str">
        <f>$A1514&amp;Keys!$C$54&amp;$B1514&amp;Keys!$C$54&amp;$C1514</f>
        <v>MT|exports|LPG propane or butane</v>
      </c>
    </row>
    <row r="1515" spans="1:5" x14ac:dyDescent="0.25">
      <c r="A1515" t="s">
        <v>129</v>
      </c>
      <c r="B1515" t="s">
        <v>188</v>
      </c>
      <c r="C1515" t="s">
        <v>120</v>
      </c>
      <c r="D1515" s="10">
        <v>0</v>
      </c>
      <c r="E1515" t="str">
        <f>$A1515&amp;Keys!$C$54&amp;$B1515&amp;Keys!$C$54&amp;$C1515</f>
        <v>MT|production|municipal solid waste</v>
      </c>
    </row>
    <row r="1516" spans="1:5" x14ac:dyDescent="0.25">
      <c r="A1516" t="s">
        <v>129</v>
      </c>
      <c r="B1516" t="s">
        <v>191</v>
      </c>
      <c r="C1516" t="s">
        <v>120</v>
      </c>
      <c r="D1516" s="10">
        <v>0</v>
      </c>
      <c r="E1516" t="str">
        <f>$A1516&amp;Keys!$C$54&amp;$B1516&amp;Keys!$C$54&amp;$C1516</f>
        <v>MT|imports|municipal solid waste</v>
      </c>
    </row>
    <row r="1517" spans="1:5" x14ac:dyDescent="0.25">
      <c r="A1517" t="s">
        <v>129</v>
      </c>
      <c r="B1517" t="s">
        <v>193</v>
      </c>
      <c r="C1517" t="s">
        <v>120</v>
      </c>
      <c r="D1517" s="10">
        <v>0</v>
      </c>
      <c r="E1517" t="str">
        <f>$A1517&amp;Keys!$C$54&amp;$B1517&amp;Keys!$C$54&amp;$C1517</f>
        <v>MT|exports|municipal solid waste</v>
      </c>
    </row>
    <row r="1518" spans="1:5" x14ac:dyDescent="0.25">
      <c r="A1518" t="s">
        <v>129</v>
      </c>
      <c r="B1518" t="s">
        <v>188</v>
      </c>
      <c r="C1518" t="s">
        <v>123</v>
      </c>
      <c r="D1518" s="10">
        <v>17082000000000</v>
      </c>
      <c r="E1518" t="str">
        <f>$A1518&amp;Keys!$C$54&amp;$B1518&amp;Keys!$C$54&amp;$C1518</f>
        <v>MT|production|hydrogen</v>
      </c>
    </row>
    <row r="1519" spans="1:5" x14ac:dyDescent="0.25">
      <c r="A1519" t="s">
        <v>129</v>
      </c>
      <c r="B1519" t="s">
        <v>191</v>
      </c>
      <c r="C1519" t="s">
        <v>123</v>
      </c>
      <c r="D1519" s="10">
        <v>1.95312E-3</v>
      </c>
      <c r="E1519" t="str">
        <f>$A1519&amp;Keys!$C$54&amp;$B1519&amp;Keys!$C$54&amp;$C1519</f>
        <v>MT|imports|hydrogen</v>
      </c>
    </row>
    <row r="1520" spans="1:5" x14ac:dyDescent="0.25">
      <c r="A1520" t="s">
        <v>129</v>
      </c>
      <c r="B1520" t="s">
        <v>193</v>
      </c>
      <c r="C1520" t="s">
        <v>123</v>
      </c>
      <c r="D1520" s="10">
        <v>1379600000000</v>
      </c>
      <c r="E1520" t="str">
        <f>$A1520&amp;Keys!$C$54&amp;$B1520&amp;Keys!$C$54&amp;$C1520</f>
        <v>MT|exports|hydrogen</v>
      </c>
    </row>
    <row r="1521" spans="1:5" x14ac:dyDescent="0.25">
      <c r="A1521" t="s">
        <v>131</v>
      </c>
      <c r="B1521" t="s">
        <v>188</v>
      </c>
      <c r="C1521" t="s">
        <v>272</v>
      </c>
      <c r="D1521" s="10">
        <v>0</v>
      </c>
      <c r="E1521" t="str">
        <f>$A1521&amp;Keys!$C$54&amp;$B1521&amp;Keys!$C$54&amp;$C1521</f>
        <v>NC|production|electricity</v>
      </c>
    </row>
    <row r="1522" spans="1:5" x14ac:dyDescent="0.25">
      <c r="A1522" t="s">
        <v>131</v>
      </c>
      <c r="B1522" t="s">
        <v>191</v>
      </c>
      <c r="C1522" t="s">
        <v>272</v>
      </c>
      <c r="D1522" s="10">
        <v>0</v>
      </c>
      <c r="E1522" t="str">
        <f>$A1522&amp;Keys!$C$54&amp;$B1522&amp;Keys!$C$54&amp;$C1522</f>
        <v>NC|imports|electricity</v>
      </c>
    </row>
    <row r="1523" spans="1:5" x14ac:dyDescent="0.25">
      <c r="A1523" t="s">
        <v>131</v>
      </c>
      <c r="B1523" t="s">
        <v>193</v>
      </c>
      <c r="C1523" t="s">
        <v>272</v>
      </c>
      <c r="D1523" s="10">
        <v>0</v>
      </c>
      <c r="E1523" t="str">
        <f>$A1523&amp;Keys!$C$54&amp;$B1523&amp;Keys!$C$54&amp;$C1523</f>
        <v>NC|exports|electricity</v>
      </c>
    </row>
    <row r="1524" spans="1:5" x14ac:dyDescent="0.25">
      <c r="A1524" t="s">
        <v>131</v>
      </c>
      <c r="B1524" t="s">
        <v>188</v>
      </c>
      <c r="C1524" t="s">
        <v>64</v>
      </c>
      <c r="D1524" s="10">
        <v>0</v>
      </c>
      <c r="E1524" t="str">
        <f>$A1524&amp;Keys!$C$54&amp;$B1524&amp;Keys!$C$54&amp;$C1524</f>
        <v>NC|production|hard coal</v>
      </c>
    </row>
    <row r="1525" spans="1:5" x14ac:dyDescent="0.25">
      <c r="A1525" t="s">
        <v>131</v>
      </c>
      <c r="B1525" t="s">
        <v>191</v>
      </c>
      <c r="C1525" t="s">
        <v>64</v>
      </c>
      <c r="D1525" s="10">
        <v>237043000000000</v>
      </c>
      <c r="E1525" t="str">
        <f>$A1525&amp;Keys!$C$54&amp;$B1525&amp;Keys!$C$54&amp;$C1525</f>
        <v>NC|imports|hard coal</v>
      </c>
    </row>
    <row r="1526" spans="1:5" x14ac:dyDescent="0.25">
      <c r="A1526" t="s">
        <v>131</v>
      </c>
      <c r="B1526" t="s">
        <v>193</v>
      </c>
      <c r="C1526" t="s">
        <v>64</v>
      </c>
      <c r="D1526" s="10">
        <v>0</v>
      </c>
      <c r="E1526" t="str">
        <f>$A1526&amp;Keys!$C$54&amp;$B1526&amp;Keys!$C$54&amp;$C1526</f>
        <v>NC|exports|hard coal</v>
      </c>
    </row>
    <row r="1527" spans="1:5" x14ac:dyDescent="0.25">
      <c r="A1527" t="s">
        <v>131</v>
      </c>
      <c r="B1527" t="s">
        <v>188</v>
      </c>
      <c r="C1527" t="s">
        <v>68</v>
      </c>
      <c r="D1527" s="10">
        <v>0</v>
      </c>
      <c r="E1527" t="str">
        <f>$A1527&amp;Keys!$C$54&amp;$B1527&amp;Keys!$C$54&amp;$C1527</f>
        <v>NC|production|natural gas</v>
      </c>
    </row>
    <row r="1528" spans="1:5" x14ac:dyDescent="0.25">
      <c r="A1528" t="s">
        <v>131</v>
      </c>
      <c r="B1528" t="s">
        <v>191</v>
      </c>
      <c r="C1528" t="s">
        <v>68</v>
      </c>
      <c r="D1528" s="10">
        <v>648649000000000</v>
      </c>
      <c r="E1528" t="str">
        <f>$A1528&amp;Keys!$C$54&amp;$B1528&amp;Keys!$C$54&amp;$C1528</f>
        <v>NC|imports|natural gas</v>
      </c>
    </row>
    <row r="1529" spans="1:5" x14ac:dyDescent="0.25">
      <c r="A1529" t="s">
        <v>131</v>
      </c>
      <c r="B1529" t="s">
        <v>193</v>
      </c>
      <c r="C1529" t="s">
        <v>68</v>
      </c>
      <c r="D1529" s="10">
        <v>1037000000</v>
      </c>
      <c r="E1529" t="str">
        <f>$A1529&amp;Keys!$C$54&amp;$B1529&amp;Keys!$C$54&amp;$C1529</f>
        <v>NC|exports|natural gas</v>
      </c>
    </row>
    <row r="1530" spans="1:5" x14ac:dyDescent="0.25">
      <c r="A1530" t="s">
        <v>131</v>
      </c>
      <c r="B1530" t="s">
        <v>188</v>
      </c>
      <c r="C1530" t="s">
        <v>71</v>
      </c>
      <c r="D1530" s="10">
        <v>0</v>
      </c>
      <c r="E1530" t="str">
        <f>$A1530&amp;Keys!$C$54&amp;$B1530&amp;Keys!$C$54&amp;$C1530</f>
        <v>NC|production|nuclear</v>
      </c>
    </row>
    <row r="1531" spans="1:5" x14ac:dyDescent="0.25">
      <c r="A1531" t="s">
        <v>131</v>
      </c>
      <c r="B1531" t="s">
        <v>191</v>
      </c>
      <c r="C1531" t="s">
        <v>71</v>
      </c>
      <c r="D1531" s="10">
        <v>449520000000000</v>
      </c>
      <c r="E1531" t="str">
        <f>$A1531&amp;Keys!$C$54&amp;$B1531&amp;Keys!$C$54&amp;$C1531</f>
        <v>NC|imports|nuclear</v>
      </c>
    </row>
    <row r="1532" spans="1:5" x14ac:dyDescent="0.25">
      <c r="A1532" t="s">
        <v>131</v>
      </c>
      <c r="B1532" t="s">
        <v>193</v>
      </c>
      <c r="C1532" t="s">
        <v>71</v>
      </c>
      <c r="D1532" s="10">
        <v>0</v>
      </c>
      <c r="E1532" t="str">
        <f>$A1532&amp;Keys!$C$54&amp;$B1532&amp;Keys!$C$54&amp;$C1532</f>
        <v>NC|exports|nuclear</v>
      </c>
    </row>
    <row r="1533" spans="1:5" x14ac:dyDescent="0.25">
      <c r="A1533" t="s">
        <v>131</v>
      </c>
      <c r="B1533" t="s">
        <v>188</v>
      </c>
      <c r="C1533" t="s">
        <v>273</v>
      </c>
      <c r="D1533" s="10">
        <v>0</v>
      </c>
      <c r="E1533" t="str">
        <f>$A1533&amp;Keys!$C$54&amp;$B1533&amp;Keys!$C$54&amp;$C1533</f>
        <v>NC|production|hydro</v>
      </c>
    </row>
    <row r="1534" spans="1:5" x14ac:dyDescent="0.25">
      <c r="A1534" t="s">
        <v>131</v>
      </c>
      <c r="B1534" t="s">
        <v>191</v>
      </c>
      <c r="C1534" t="s">
        <v>273</v>
      </c>
      <c r="D1534" s="10">
        <v>0</v>
      </c>
      <c r="E1534" t="str">
        <f>$A1534&amp;Keys!$C$54&amp;$B1534&amp;Keys!$C$54&amp;$C1534</f>
        <v>NC|imports|hydro</v>
      </c>
    </row>
    <row r="1535" spans="1:5" x14ac:dyDescent="0.25">
      <c r="A1535" t="s">
        <v>131</v>
      </c>
      <c r="B1535" t="s">
        <v>193</v>
      </c>
      <c r="C1535" t="s">
        <v>273</v>
      </c>
      <c r="D1535" s="10">
        <v>0</v>
      </c>
      <c r="E1535" t="str">
        <f>$A1535&amp;Keys!$C$54&amp;$B1535&amp;Keys!$C$54&amp;$C1535</f>
        <v>NC|exports|hydro</v>
      </c>
    </row>
    <row r="1536" spans="1:5" x14ac:dyDescent="0.25">
      <c r="A1536" t="s">
        <v>131</v>
      </c>
      <c r="B1536" t="s">
        <v>188</v>
      </c>
      <c r="C1536" t="s">
        <v>274</v>
      </c>
      <c r="D1536" s="10">
        <v>0</v>
      </c>
      <c r="E1536" t="str">
        <f>$A1536&amp;Keys!$C$54&amp;$B1536&amp;Keys!$C$54&amp;$C1536</f>
        <v>NC|production|wind</v>
      </c>
    </row>
    <row r="1537" spans="1:5" x14ac:dyDescent="0.25">
      <c r="A1537" t="s">
        <v>131</v>
      </c>
      <c r="B1537" t="s">
        <v>191</v>
      </c>
      <c r="C1537" t="s">
        <v>274</v>
      </c>
      <c r="D1537" s="10">
        <v>0</v>
      </c>
      <c r="E1537" t="str">
        <f>$A1537&amp;Keys!$C$54&amp;$B1537&amp;Keys!$C$54&amp;$C1537</f>
        <v>NC|imports|wind</v>
      </c>
    </row>
    <row r="1538" spans="1:5" x14ac:dyDescent="0.25">
      <c r="A1538" t="s">
        <v>131</v>
      </c>
      <c r="B1538" t="s">
        <v>193</v>
      </c>
      <c r="C1538" t="s">
        <v>274</v>
      </c>
      <c r="D1538" s="10">
        <v>0</v>
      </c>
      <c r="E1538" t="str">
        <f>$A1538&amp;Keys!$C$54&amp;$B1538&amp;Keys!$C$54&amp;$C1538</f>
        <v>NC|exports|wind</v>
      </c>
    </row>
    <row r="1539" spans="1:5" x14ac:dyDescent="0.25">
      <c r="A1539" t="s">
        <v>131</v>
      </c>
      <c r="B1539" t="s">
        <v>188</v>
      </c>
      <c r="C1539" t="s">
        <v>275</v>
      </c>
      <c r="D1539" s="10">
        <v>0</v>
      </c>
      <c r="E1539" t="str">
        <f>$A1539&amp;Keys!$C$54&amp;$B1539&amp;Keys!$C$54&amp;$C1539</f>
        <v>NC|production|solar</v>
      </c>
    </row>
    <row r="1540" spans="1:5" x14ac:dyDescent="0.25">
      <c r="A1540" t="s">
        <v>131</v>
      </c>
      <c r="B1540" t="s">
        <v>191</v>
      </c>
      <c r="C1540" t="s">
        <v>275</v>
      </c>
      <c r="D1540" s="10">
        <v>0</v>
      </c>
      <c r="E1540" t="str">
        <f>$A1540&amp;Keys!$C$54&amp;$B1540&amp;Keys!$C$54&amp;$C1540</f>
        <v>NC|imports|solar</v>
      </c>
    </row>
    <row r="1541" spans="1:5" x14ac:dyDescent="0.25">
      <c r="A1541" t="s">
        <v>131</v>
      </c>
      <c r="B1541" t="s">
        <v>193</v>
      </c>
      <c r="C1541" t="s">
        <v>275</v>
      </c>
      <c r="D1541" s="10">
        <v>0</v>
      </c>
      <c r="E1541" t="str">
        <f>$A1541&amp;Keys!$C$54&amp;$B1541&amp;Keys!$C$54&amp;$C1541</f>
        <v>NC|exports|solar</v>
      </c>
    </row>
    <row r="1542" spans="1:5" x14ac:dyDescent="0.25">
      <c r="A1542" t="s">
        <v>131</v>
      </c>
      <c r="B1542" t="s">
        <v>188</v>
      </c>
      <c r="C1542" t="s">
        <v>82</v>
      </c>
      <c r="D1542" s="10">
        <v>34205100000000</v>
      </c>
      <c r="E1542" t="str">
        <f>$A1542&amp;Keys!$C$54&amp;$B1542&amp;Keys!$C$54&amp;$C1542</f>
        <v>NC|production|biomass</v>
      </c>
    </row>
    <row r="1543" spans="1:5" x14ac:dyDescent="0.25">
      <c r="A1543" t="s">
        <v>131</v>
      </c>
      <c r="B1543" t="s">
        <v>191</v>
      </c>
      <c r="C1543" t="s">
        <v>82</v>
      </c>
      <c r="D1543" s="10">
        <v>50248500000000</v>
      </c>
      <c r="E1543" t="str">
        <f>$A1543&amp;Keys!$C$54&amp;$B1543&amp;Keys!$C$54&amp;$C1543</f>
        <v>NC|imports|biomass</v>
      </c>
    </row>
    <row r="1544" spans="1:5" x14ac:dyDescent="0.25">
      <c r="A1544" t="s">
        <v>131</v>
      </c>
      <c r="B1544" t="s">
        <v>193</v>
      </c>
      <c r="C1544" t="s">
        <v>82</v>
      </c>
      <c r="D1544" s="10">
        <v>0</v>
      </c>
      <c r="E1544" t="str">
        <f>$A1544&amp;Keys!$C$54&amp;$B1544&amp;Keys!$C$54&amp;$C1544</f>
        <v>NC|exports|biomass</v>
      </c>
    </row>
    <row r="1545" spans="1:5" x14ac:dyDescent="0.25">
      <c r="A1545" t="s">
        <v>131</v>
      </c>
      <c r="B1545" t="s">
        <v>188</v>
      </c>
      <c r="C1545" t="s">
        <v>85</v>
      </c>
      <c r="D1545" s="10">
        <v>0</v>
      </c>
      <c r="E1545" t="str">
        <f>$A1545&amp;Keys!$C$54&amp;$B1545&amp;Keys!$C$54&amp;$C1545</f>
        <v>NC|production|petroleum gasoline</v>
      </c>
    </row>
    <row r="1546" spans="1:5" x14ac:dyDescent="0.25">
      <c r="A1546" t="s">
        <v>131</v>
      </c>
      <c r="B1546" t="s">
        <v>191</v>
      </c>
      <c r="C1546" t="s">
        <v>85</v>
      </c>
      <c r="D1546" s="10">
        <v>553965000000000</v>
      </c>
      <c r="E1546" t="str">
        <f>$A1546&amp;Keys!$C$54&amp;$B1546&amp;Keys!$C$54&amp;$C1546</f>
        <v>NC|imports|petroleum gasoline</v>
      </c>
    </row>
    <row r="1547" spans="1:5" x14ac:dyDescent="0.25">
      <c r="A1547" t="s">
        <v>131</v>
      </c>
      <c r="B1547" t="s">
        <v>193</v>
      </c>
      <c r="C1547" t="s">
        <v>85</v>
      </c>
      <c r="D1547" s="10">
        <v>0</v>
      </c>
      <c r="E1547" t="str">
        <f>$A1547&amp;Keys!$C$54&amp;$B1547&amp;Keys!$C$54&amp;$C1547</f>
        <v>NC|exports|petroleum gasoline</v>
      </c>
    </row>
    <row r="1548" spans="1:5" x14ac:dyDescent="0.25">
      <c r="A1548" t="s">
        <v>131</v>
      </c>
      <c r="B1548" t="s">
        <v>188</v>
      </c>
      <c r="C1548" t="s">
        <v>88</v>
      </c>
      <c r="D1548" s="10">
        <v>0</v>
      </c>
      <c r="E1548" t="str">
        <f>$A1548&amp;Keys!$C$54&amp;$B1548&amp;Keys!$C$54&amp;$C1548</f>
        <v>NC|production|petroleum diesel</v>
      </c>
    </row>
    <row r="1549" spans="1:5" x14ac:dyDescent="0.25">
      <c r="A1549" t="s">
        <v>131</v>
      </c>
      <c r="B1549" t="s">
        <v>191</v>
      </c>
      <c r="C1549" t="s">
        <v>88</v>
      </c>
      <c r="D1549" s="10">
        <v>214384000000000</v>
      </c>
      <c r="E1549" t="str">
        <f>$A1549&amp;Keys!$C$54&amp;$B1549&amp;Keys!$C$54&amp;$C1549</f>
        <v>NC|imports|petroleum diesel</v>
      </c>
    </row>
    <row r="1550" spans="1:5" x14ac:dyDescent="0.25">
      <c r="A1550" t="s">
        <v>131</v>
      </c>
      <c r="B1550" t="s">
        <v>193</v>
      </c>
      <c r="C1550" t="s">
        <v>88</v>
      </c>
      <c r="D1550" s="10">
        <v>0</v>
      </c>
      <c r="E1550" t="str">
        <f>$A1550&amp;Keys!$C$54&amp;$B1550&amp;Keys!$C$54&amp;$C1550</f>
        <v>NC|exports|petroleum diesel</v>
      </c>
    </row>
    <row r="1551" spans="1:5" x14ac:dyDescent="0.25">
      <c r="A1551" t="s">
        <v>131</v>
      </c>
      <c r="B1551" t="s">
        <v>188</v>
      </c>
      <c r="C1551" t="s">
        <v>91</v>
      </c>
      <c r="D1551" s="10">
        <v>0</v>
      </c>
      <c r="E1551" t="str">
        <f>$A1551&amp;Keys!$C$54&amp;$B1551&amp;Keys!$C$54&amp;$C1551</f>
        <v>NC|production|biofuel gasoline</v>
      </c>
    </row>
    <row r="1552" spans="1:5" x14ac:dyDescent="0.25">
      <c r="A1552" t="s">
        <v>131</v>
      </c>
      <c r="B1552" t="s">
        <v>191</v>
      </c>
      <c r="C1552" t="s">
        <v>91</v>
      </c>
      <c r="D1552" s="10">
        <v>38082900000000</v>
      </c>
      <c r="E1552" t="str">
        <f>$A1552&amp;Keys!$C$54&amp;$B1552&amp;Keys!$C$54&amp;$C1552</f>
        <v>NC|imports|biofuel gasoline</v>
      </c>
    </row>
    <row r="1553" spans="1:5" x14ac:dyDescent="0.25">
      <c r="A1553" t="s">
        <v>131</v>
      </c>
      <c r="B1553" t="s">
        <v>193</v>
      </c>
      <c r="C1553" t="s">
        <v>91</v>
      </c>
      <c r="D1553" s="10">
        <v>0</v>
      </c>
      <c r="E1553" t="str">
        <f>$A1553&amp;Keys!$C$54&amp;$B1553&amp;Keys!$C$54&amp;$C1553</f>
        <v>NC|exports|biofuel gasoline</v>
      </c>
    </row>
    <row r="1554" spans="1:5" x14ac:dyDescent="0.25">
      <c r="A1554" t="s">
        <v>131</v>
      </c>
      <c r="B1554" t="s">
        <v>188</v>
      </c>
      <c r="C1554" t="s">
        <v>94</v>
      </c>
      <c r="D1554" s="10">
        <v>610941000000</v>
      </c>
      <c r="E1554" t="str">
        <f>$A1554&amp;Keys!$C$54&amp;$B1554&amp;Keys!$C$54&amp;$C1554</f>
        <v>NC|production|biofuel diesel</v>
      </c>
    </row>
    <row r="1555" spans="1:5" x14ac:dyDescent="0.25">
      <c r="A1555" t="s">
        <v>131</v>
      </c>
      <c r="B1555" t="s">
        <v>191</v>
      </c>
      <c r="C1555" t="s">
        <v>94</v>
      </c>
      <c r="D1555" s="10">
        <v>774841000000</v>
      </c>
      <c r="E1555" t="str">
        <f>$A1555&amp;Keys!$C$54&amp;$B1555&amp;Keys!$C$54&amp;$C1555</f>
        <v>NC|imports|biofuel diesel</v>
      </c>
    </row>
    <row r="1556" spans="1:5" x14ac:dyDescent="0.25">
      <c r="A1556" t="s">
        <v>131</v>
      </c>
      <c r="B1556" t="s">
        <v>193</v>
      </c>
      <c r="C1556" t="s">
        <v>94</v>
      </c>
      <c r="D1556" s="10">
        <v>0</v>
      </c>
      <c r="E1556" t="str">
        <f>$A1556&amp;Keys!$C$54&amp;$B1556&amp;Keys!$C$54&amp;$C1556</f>
        <v>NC|exports|biofuel diesel</v>
      </c>
    </row>
    <row r="1557" spans="1:5" x14ac:dyDescent="0.25">
      <c r="A1557" t="s">
        <v>131</v>
      </c>
      <c r="B1557" t="s">
        <v>188</v>
      </c>
      <c r="C1557" t="s">
        <v>97</v>
      </c>
      <c r="D1557" s="10">
        <v>0</v>
      </c>
      <c r="E1557" t="str">
        <f>$A1557&amp;Keys!$C$54&amp;$B1557&amp;Keys!$C$54&amp;$C1557</f>
        <v>NC|production|jet fuel or kerosene</v>
      </c>
    </row>
    <row r="1558" spans="1:5" x14ac:dyDescent="0.25">
      <c r="A1558" t="s">
        <v>131</v>
      </c>
      <c r="B1558" t="s">
        <v>191</v>
      </c>
      <c r="C1558" t="s">
        <v>97</v>
      </c>
      <c r="D1558" s="10">
        <v>98304100000000</v>
      </c>
      <c r="E1558" t="str">
        <f>$A1558&amp;Keys!$C$54&amp;$B1558&amp;Keys!$C$54&amp;$C1558</f>
        <v>NC|imports|jet fuel or kerosene</v>
      </c>
    </row>
    <row r="1559" spans="1:5" x14ac:dyDescent="0.25">
      <c r="A1559" t="s">
        <v>131</v>
      </c>
      <c r="B1559" t="s">
        <v>193</v>
      </c>
      <c r="C1559" t="s">
        <v>97</v>
      </c>
      <c r="D1559" s="10">
        <v>0</v>
      </c>
      <c r="E1559" t="str">
        <f>$A1559&amp;Keys!$C$54&amp;$B1559&amp;Keys!$C$54&amp;$C1559</f>
        <v>NC|exports|jet fuel or kerosene</v>
      </c>
    </row>
    <row r="1560" spans="1:5" x14ac:dyDescent="0.25">
      <c r="A1560" t="s">
        <v>131</v>
      </c>
      <c r="B1560" t="s">
        <v>188</v>
      </c>
      <c r="C1560" t="s">
        <v>276</v>
      </c>
      <c r="D1560" s="10">
        <v>0</v>
      </c>
      <c r="E1560" t="str">
        <f>$A1560&amp;Keys!$C$54&amp;$B1560&amp;Keys!$C$54&amp;$C1560</f>
        <v>NC|production|heat</v>
      </c>
    </row>
    <row r="1561" spans="1:5" x14ac:dyDescent="0.25">
      <c r="A1561" t="s">
        <v>131</v>
      </c>
      <c r="B1561" t="s">
        <v>191</v>
      </c>
      <c r="C1561" t="s">
        <v>276</v>
      </c>
      <c r="D1561" s="10">
        <v>0</v>
      </c>
      <c r="E1561" t="str">
        <f>$A1561&amp;Keys!$C$54&amp;$B1561&amp;Keys!$C$54&amp;$C1561</f>
        <v>NC|imports|heat</v>
      </c>
    </row>
    <row r="1562" spans="1:5" x14ac:dyDescent="0.25">
      <c r="A1562" t="s">
        <v>131</v>
      </c>
      <c r="B1562" t="s">
        <v>193</v>
      </c>
      <c r="C1562" t="s">
        <v>276</v>
      </c>
      <c r="D1562" s="10">
        <v>0</v>
      </c>
      <c r="E1562" t="str">
        <f>$A1562&amp;Keys!$C$54&amp;$B1562&amp;Keys!$C$54&amp;$C1562</f>
        <v>NC|exports|heat</v>
      </c>
    </row>
    <row r="1563" spans="1:5" x14ac:dyDescent="0.25">
      <c r="A1563" t="s">
        <v>131</v>
      </c>
      <c r="B1563" t="s">
        <v>188</v>
      </c>
      <c r="C1563" t="s">
        <v>277</v>
      </c>
      <c r="D1563" s="10">
        <v>0</v>
      </c>
      <c r="E1563" t="str">
        <f>$A1563&amp;Keys!$C$54&amp;$B1563&amp;Keys!$C$54&amp;$C1563</f>
        <v>NC|production|geothermal</v>
      </c>
    </row>
    <row r="1564" spans="1:5" x14ac:dyDescent="0.25">
      <c r="A1564" t="s">
        <v>131</v>
      </c>
      <c r="B1564" t="s">
        <v>191</v>
      </c>
      <c r="C1564" t="s">
        <v>277</v>
      </c>
      <c r="D1564" s="10">
        <v>0</v>
      </c>
      <c r="E1564" t="str">
        <f>$A1564&amp;Keys!$C$54&amp;$B1564&amp;Keys!$C$54&amp;$C1564</f>
        <v>NC|imports|geothermal</v>
      </c>
    </row>
    <row r="1565" spans="1:5" x14ac:dyDescent="0.25">
      <c r="A1565" t="s">
        <v>131</v>
      </c>
      <c r="B1565" t="s">
        <v>193</v>
      </c>
      <c r="C1565" t="s">
        <v>277</v>
      </c>
      <c r="D1565" s="10">
        <v>0</v>
      </c>
      <c r="E1565" t="str">
        <f>$A1565&amp;Keys!$C$54&amp;$B1565&amp;Keys!$C$54&amp;$C1565</f>
        <v>NC|exports|geothermal</v>
      </c>
    </row>
    <row r="1566" spans="1:5" x14ac:dyDescent="0.25">
      <c r="A1566" t="s">
        <v>131</v>
      </c>
      <c r="B1566" t="s">
        <v>188</v>
      </c>
      <c r="C1566" t="s">
        <v>106</v>
      </c>
      <c r="D1566" s="10">
        <v>0</v>
      </c>
      <c r="E1566" t="str">
        <f>$A1566&amp;Keys!$C$54&amp;$B1566&amp;Keys!$C$54&amp;$C1566</f>
        <v>NC|production|lignite</v>
      </c>
    </row>
    <row r="1567" spans="1:5" x14ac:dyDescent="0.25">
      <c r="A1567" t="s">
        <v>131</v>
      </c>
      <c r="B1567" t="s">
        <v>191</v>
      </c>
      <c r="C1567" t="s">
        <v>106</v>
      </c>
      <c r="D1567" s="10">
        <v>0</v>
      </c>
      <c r="E1567" t="str">
        <f>$A1567&amp;Keys!$C$54&amp;$B1567&amp;Keys!$C$54&amp;$C1567</f>
        <v>NC|imports|lignite</v>
      </c>
    </row>
    <row r="1568" spans="1:5" x14ac:dyDescent="0.25">
      <c r="A1568" t="s">
        <v>131</v>
      </c>
      <c r="B1568" t="s">
        <v>193</v>
      </c>
      <c r="C1568" t="s">
        <v>106</v>
      </c>
      <c r="D1568" s="10">
        <v>0</v>
      </c>
      <c r="E1568" t="str">
        <f>$A1568&amp;Keys!$C$54&amp;$B1568&amp;Keys!$C$54&amp;$C1568</f>
        <v>NC|exports|lignite</v>
      </c>
    </row>
    <row r="1569" spans="1:5" x14ac:dyDescent="0.25">
      <c r="A1569" t="s">
        <v>131</v>
      </c>
      <c r="B1569" t="s">
        <v>188</v>
      </c>
      <c r="C1569" t="s">
        <v>109</v>
      </c>
      <c r="D1569" s="10">
        <v>0</v>
      </c>
      <c r="E1569" t="str">
        <f>$A1569&amp;Keys!$C$54&amp;$B1569&amp;Keys!$C$54&amp;$C1569</f>
        <v>NC|production|crude oil</v>
      </c>
    </row>
    <row r="1570" spans="1:5" x14ac:dyDescent="0.25">
      <c r="A1570" t="s">
        <v>131</v>
      </c>
      <c r="B1570" t="s">
        <v>191</v>
      </c>
      <c r="C1570" t="s">
        <v>109</v>
      </c>
      <c r="D1570" s="10">
        <v>2314000000000</v>
      </c>
      <c r="E1570" t="str">
        <f>$A1570&amp;Keys!$C$54&amp;$B1570&amp;Keys!$C$54&amp;$C1570</f>
        <v>NC|imports|crude oil</v>
      </c>
    </row>
    <row r="1571" spans="1:5" x14ac:dyDescent="0.25">
      <c r="A1571" t="s">
        <v>131</v>
      </c>
      <c r="B1571" t="s">
        <v>193</v>
      </c>
      <c r="C1571" t="s">
        <v>109</v>
      </c>
      <c r="D1571" s="10">
        <v>0</v>
      </c>
      <c r="E1571" t="str">
        <f>$A1571&amp;Keys!$C$54&amp;$B1571&amp;Keys!$C$54&amp;$C1571</f>
        <v>NC|exports|crude oil</v>
      </c>
    </row>
    <row r="1572" spans="1:5" x14ac:dyDescent="0.25">
      <c r="A1572" t="s">
        <v>131</v>
      </c>
      <c r="B1572" t="s">
        <v>188</v>
      </c>
      <c r="C1572" t="s">
        <v>114</v>
      </c>
      <c r="D1572" s="10">
        <v>0</v>
      </c>
      <c r="E1572" t="str">
        <f>$A1572&amp;Keys!$C$54&amp;$B1572&amp;Keys!$C$54&amp;$C1572</f>
        <v>NC|production|heavy or residual fuel oil</v>
      </c>
    </row>
    <row r="1573" spans="1:5" x14ac:dyDescent="0.25">
      <c r="A1573" t="s">
        <v>131</v>
      </c>
      <c r="B1573" t="s">
        <v>191</v>
      </c>
      <c r="C1573" t="s">
        <v>114</v>
      </c>
      <c r="D1573" s="10">
        <v>28045500000000</v>
      </c>
      <c r="E1573" t="str">
        <f>$A1573&amp;Keys!$C$54&amp;$B1573&amp;Keys!$C$54&amp;$C1573</f>
        <v>NC|imports|heavy or residual fuel oil</v>
      </c>
    </row>
    <row r="1574" spans="1:5" x14ac:dyDescent="0.25">
      <c r="A1574" t="s">
        <v>131</v>
      </c>
      <c r="B1574" t="s">
        <v>193</v>
      </c>
      <c r="C1574" t="s">
        <v>114</v>
      </c>
      <c r="D1574" s="10">
        <v>0</v>
      </c>
      <c r="E1574" t="str">
        <f>$A1574&amp;Keys!$C$54&amp;$B1574&amp;Keys!$C$54&amp;$C1574</f>
        <v>NC|exports|heavy or residual fuel oil</v>
      </c>
    </row>
    <row r="1575" spans="1:5" x14ac:dyDescent="0.25">
      <c r="A1575" t="s">
        <v>131</v>
      </c>
      <c r="B1575" t="s">
        <v>188</v>
      </c>
      <c r="C1575" t="s">
        <v>117</v>
      </c>
      <c r="D1575" s="10">
        <v>0</v>
      </c>
      <c r="E1575" t="str">
        <f>$A1575&amp;Keys!$C$54&amp;$B1575&amp;Keys!$C$54&amp;$C1575</f>
        <v>NC|production|LPG propane or butane</v>
      </c>
    </row>
    <row r="1576" spans="1:5" x14ac:dyDescent="0.25">
      <c r="A1576" t="s">
        <v>131</v>
      </c>
      <c r="B1576" t="s">
        <v>191</v>
      </c>
      <c r="C1576" t="s">
        <v>117</v>
      </c>
      <c r="D1576" s="10">
        <v>38249300000000</v>
      </c>
      <c r="E1576" t="str">
        <f>$A1576&amp;Keys!$C$54&amp;$B1576&amp;Keys!$C$54&amp;$C1576</f>
        <v>NC|imports|LPG propane or butane</v>
      </c>
    </row>
    <row r="1577" spans="1:5" x14ac:dyDescent="0.25">
      <c r="A1577" t="s">
        <v>131</v>
      </c>
      <c r="B1577" t="s">
        <v>193</v>
      </c>
      <c r="C1577" t="s">
        <v>117</v>
      </c>
      <c r="D1577" s="10">
        <v>0</v>
      </c>
      <c r="E1577" t="str">
        <f>$A1577&amp;Keys!$C$54&amp;$B1577&amp;Keys!$C$54&amp;$C1577</f>
        <v>NC|exports|LPG propane or butane</v>
      </c>
    </row>
    <row r="1578" spans="1:5" x14ac:dyDescent="0.25">
      <c r="A1578" t="s">
        <v>131</v>
      </c>
      <c r="B1578" t="s">
        <v>188</v>
      </c>
      <c r="C1578" t="s">
        <v>120</v>
      </c>
      <c r="D1578" s="10">
        <v>0</v>
      </c>
      <c r="E1578" t="str">
        <f>$A1578&amp;Keys!$C$54&amp;$B1578&amp;Keys!$C$54&amp;$C1578</f>
        <v>NC|production|municipal solid waste</v>
      </c>
    </row>
    <row r="1579" spans="1:5" x14ac:dyDescent="0.25">
      <c r="A1579" t="s">
        <v>131</v>
      </c>
      <c r="B1579" t="s">
        <v>191</v>
      </c>
      <c r="C1579" t="s">
        <v>120</v>
      </c>
      <c r="D1579" s="10">
        <v>0</v>
      </c>
      <c r="E1579" t="str">
        <f>$A1579&amp;Keys!$C$54&amp;$B1579&amp;Keys!$C$54&amp;$C1579</f>
        <v>NC|imports|municipal solid waste</v>
      </c>
    </row>
    <row r="1580" spans="1:5" x14ac:dyDescent="0.25">
      <c r="A1580" t="s">
        <v>131</v>
      </c>
      <c r="B1580" t="s">
        <v>193</v>
      </c>
      <c r="C1580" t="s">
        <v>120</v>
      </c>
      <c r="D1580" s="10">
        <v>0</v>
      </c>
      <c r="E1580" t="str">
        <f>$A1580&amp;Keys!$C$54&amp;$B1580&amp;Keys!$C$54&amp;$C1580</f>
        <v>NC|exports|municipal solid waste</v>
      </c>
    </row>
    <row r="1581" spans="1:5" x14ac:dyDescent="0.25">
      <c r="A1581" t="s">
        <v>131</v>
      </c>
      <c r="B1581" t="s">
        <v>188</v>
      </c>
      <c r="C1581" t="s">
        <v>123</v>
      </c>
      <c r="D1581" s="10">
        <v>0</v>
      </c>
      <c r="E1581" t="str">
        <f>$A1581&amp;Keys!$C$54&amp;$B1581&amp;Keys!$C$54&amp;$C1581</f>
        <v>NC|production|hydrogen</v>
      </c>
    </row>
    <row r="1582" spans="1:5" x14ac:dyDescent="0.25">
      <c r="A1582" t="s">
        <v>131</v>
      </c>
      <c r="B1582" t="s">
        <v>191</v>
      </c>
      <c r="C1582" t="s">
        <v>123</v>
      </c>
      <c r="D1582" s="10">
        <v>2226850000</v>
      </c>
      <c r="E1582" t="str">
        <f>$A1582&amp;Keys!$C$54&amp;$B1582&amp;Keys!$C$54&amp;$C1582</f>
        <v>NC|imports|hydrogen</v>
      </c>
    </row>
    <row r="1583" spans="1:5" x14ac:dyDescent="0.25">
      <c r="A1583" t="s">
        <v>131</v>
      </c>
      <c r="B1583" t="s">
        <v>193</v>
      </c>
      <c r="C1583" t="s">
        <v>123</v>
      </c>
      <c r="D1583" s="10">
        <v>0</v>
      </c>
      <c r="E1583" t="str">
        <f>$A1583&amp;Keys!$C$54&amp;$B1583&amp;Keys!$C$54&amp;$C1583</f>
        <v>NC|exports|hydrogen</v>
      </c>
    </row>
    <row r="1584" spans="1:5" x14ac:dyDescent="0.25">
      <c r="A1584" t="s">
        <v>133</v>
      </c>
      <c r="B1584" t="s">
        <v>188</v>
      </c>
      <c r="C1584" t="s">
        <v>272</v>
      </c>
      <c r="D1584" s="10">
        <v>0</v>
      </c>
      <c r="E1584" t="str">
        <f>$A1584&amp;Keys!$C$54&amp;$B1584&amp;Keys!$C$54&amp;$C1584</f>
        <v>ND|production|electricity</v>
      </c>
    </row>
    <row r="1585" spans="1:5" x14ac:dyDescent="0.25">
      <c r="A1585" t="s">
        <v>133</v>
      </c>
      <c r="B1585" t="s">
        <v>191</v>
      </c>
      <c r="C1585" t="s">
        <v>272</v>
      </c>
      <c r="D1585" s="10">
        <v>0</v>
      </c>
      <c r="E1585" t="str">
        <f>$A1585&amp;Keys!$C$54&amp;$B1585&amp;Keys!$C$54&amp;$C1585</f>
        <v>ND|imports|electricity</v>
      </c>
    </row>
    <row r="1586" spans="1:5" x14ac:dyDescent="0.25">
      <c r="A1586" t="s">
        <v>133</v>
      </c>
      <c r="B1586" t="s">
        <v>193</v>
      </c>
      <c r="C1586" t="s">
        <v>272</v>
      </c>
      <c r="D1586" s="10">
        <v>0</v>
      </c>
      <c r="E1586" t="str">
        <f>$A1586&amp;Keys!$C$54&amp;$B1586&amp;Keys!$C$54&amp;$C1586</f>
        <v>ND|exports|electricity</v>
      </c>
    </row>
    <row r="1587" spans="1:5" x14ac:dyDescent="0.25">
      <c r="A1587" t="s">
        <v>133</v>
      </c>
      <c r="B1587" t="s">
        <v>188</v>
      </c>
      <c r="C1587" t="s">
        <v>64</v>
      </c>
      <c r="D1587" s="10">
        <v>0</v>
      </c>
      <c r="E1587" t="str">
        <f>$A1587&amp;Keys!$C$54&amp;$B1587&amp;Keys!$C$54&amp;$C1587</f>
        <v>ND|production|hard coal</v>
      </c>
    </row>
    <row r="1588" spans="1:5" x14ac:dyDescent="0.25">
      <c r="A1588" t="s">
        <v>133</v>
      </c>
      <c r="B1588" t="s">
        <v>191</v>
      </c>
      <c r="C1588" t="s">
        <v>64</v>
      </c>
      <c r="D1588" s="10">
        <v>159261000000000</v>
      </c>
      <c r="E1588" t="str">
        <f>$A1588&amp;Keys!$C$54&amp;$B1588&amp;Keys!$C$54&amp;$C1588</f>
        <v>ND|imports|hard coal</v>
      </c>
    </row>
    <row r="1589" spans="1:5" x14ac:dyDescent="0.25">
      <c r="A1589" t="s">
        <v>133</v>
      </c>
      <c r="B1589" t="s">
        <v>193</v>
      </c>
      <c r="C1589" t="s">
        <v>64</v>
      </c>
      <c r="D1589" s="10">
        <v>0</v>
      </c>
      <c r="E1589" t="str">
        <f>$A1589&amp;Keys!$C$54&amp;$B1589&amp;Keys!$C$54&amp;$C1589</f>
        <v>ND|exports|hard coal</v>
      </c>
    </row>
    <row r="1590" spans="1:5" x14ac:dyDescent="0.25">
      <c r="A1590" t="s">
        <v>133</v>
      </c>
      <c r="B1590" t="s">
        <v>188</v>
      </c>
      <c r="C1590" t="s">
        <v>68</v>
      </c>
      <c r="D1590" s="10">
        <v>983409000000000</v>
      </c>
      <c r="E1590" t="str">
        <f>$A1590&amp;Keys!$C$54&amp;$B1590&amp;Keys!$C$54&amp;$C1590</f>
        <v>ND|production|natural gas</v>
      </c>
    </row>
    <row r="1591" spans="1:5" x14ac:dyDescent="0.25">
      <c r="A1591" t="s">
        <v>133</v>
      </c>
      <c r="B1591" t="s">
        <v>191</v>
      </c>
      <c r="C1591" t="s">
        <v>68</v>
      </c>
      <c r="D1591" s="10">
        <v>682764000000000</v>
      </c>
      <c r="E1591" t="str">
        <f>$A1591&amp;Keys!$C$54&amp;$B1591&amp;Keys!$C$54&amp;$C1591</f>
        <v>ND|imports|natural gas</v>
      </c>
    </row>
    <row r="1592" spans="1:5" x14ac:dyDescent="0.25">
      <c r="A1592" t="s">
        <v>133</v>
      </c>
      <c r="B1592" t="s">
        <v>193</v>
      </c>
      <c r="C1592" t="s">
        <v>68</v>
      </c>
      <c r="D1592" s="10">
        <v>1454560000000000</v>
      </c>
      <c r="E1592" t="str">
        <f>$A1592&amp;Keys!$C$54&amp;$B1592&amp;Keys!$C$54&amp;$C1592</f>
        <v>ND|exports|natural gas</v>
      </c>
    </row>
    <row r="1593" spans="1:5" x14ac:dyDescent="0.25">
      <c r="A1593" t="s">
        <v>133</v>
      </c>
      <c r="B1593" t="s">
        <v>188</v>
      </c>
      <c r="C1593" t="s">
        <v>71</v>
      </c>
      <c r="D1593" s="10">
        <v>0</v>
      </c>
      <c r="E1593" t="str">
        <f>$A1593&amp;Keys!$C$54&amp;$B1593&amp;Keys!$C$54&amp;$C1593</f>
        <v>ND|production|nuclear</v>
      </c>
    </row>
    <row r="1594" spans="1:5" x14ac:dyDescent="0.25">
      <c r="A1594" t="s">
        <v>133</v>
      </c>
      <c r="B1594" t="s">
        <v>191</v>
      </c>
      <c r="C1594" t="s">
        <v>71</v>
      </c>
      <c r="D1594" s="10">
        <v>0</v>
      </c>
      <c r="E1594" t="str">
        <f>$A1594&amp;Keys!$C$54&amp;$B1594&amp;Keys!$C$54&amp;$C1594</f>
        <v>ND|imports|nuclear</v>
      </c>
    </row>
    <row r="1595" spans="1:5" x14ac:dyDescent="0.25">
      <c r="A1595" t="s">
        <v>133</v>
      </c>
      <c r="B1595" t="s">
        <v>193</v>
      </c>
      <c r="C1595" t="s">
        <v>71</v>
      </c>
      <c r="D1595" s="10">
        <v>0</v>
      </c>
      <c r="E1595" t="str">
        <f>$A1595&amp;Keys!$C$54&amp;$B1595&amp;Keys!$C$54&amp;$C1595</f>
        <v>ND|exports|nuclear</v>
      </c>
    </row>
    <row r="1596" spans="1:5" x14ac:dyDescent="0.25">
      <c r="A1596" t="s">
        <v>133</v>
      </c>
      <c r="B1596" t="s">
        <v>188</v>
      </c>
      <c r="C1596" t="s">
        <v>273</v>
      </c>
      <c r="D1596" s="10">
        <v>0</v>
      </c>
      <c r="E1596" t="str">
        <f>$A1596&amp;Keys!$C$54&amp;$B1596&amp;Keys!$C$54&amp;$C1596</f>
        <v>ND|production|hydro</v>
      </c>
    </row>
    <row r="1597" spans="1:5" x14ac:dyDescent="0.25">
      <c r="A1597" t="s">
        <v>133</v>
      </c>
      <c r="B1597" t="s">
        <v>191</v>
      </c>
      <c r="C1597" t="s">
        <v>273</v>
      </c>
      <c r="D1597" s="10">
        <v>0</v>
      </c>
      <c r="E1597" t="str">
        <f>$A1597&amp;Keys!$C$54&amp;$B1597&amp;Keys!$C$54&amp;$C1597</f>
        <v>ND|imports|hydro</v>
      </c>
    </row>
    <row r="1598" spans="1:5" x14ac:dyDescent="0.25">
      <c r="A1598" t="s">
        <v>133</v>
      </c>
      <c r="B1598" t="s">
        <v>193</v>
      </c>
      <c r="C1598" t="s">
        <v>273</v>
      </c>
      <c r="D1598" s="10">
        <v>0</v>
      </c>
      <c r="E1598" t="str">
        <f>$A1598&amp;Keys!$C$54&amp;$B1598&amp;Keys!$C$54&amp;$C1598</f>
        <v>ND|exports|hydro</v>
      </c>
    </row>
    <row r="1599" spans="1:5" x14ac:dyDescent="0.25">
      <c r="A1599" t="s">
        <v>133</v>
      </c>
      <c r="B1599" t="s">
        <v>188</v>
      </c>
      <c r="C1599" t="s">
        <v>274</v>
      </c>
      <c r="D1599" s="10">
        <v>0</v>
      </c>
      <c r="E1599" t="str">
        <f>$A1599&amp;Keys!$C$54&amp;$B1599&amp;Keys!$C$54&amp;$C1599</f>
        <v>ND|production|wind</v>
      </c>
    </row>
    <row r="1600" spans="1:5" x14ac:dyDescent="0.25">
      <c r="A1600" t="s">
        <v>133</v>
      </c>
      <c r="B1600" t="s">
        <v>191</v>
      </c>
      <c r="C1600" t="s">
        <v>274</v>
      </c>
      <c r="D1600" s="10">
        <v>0</v>
      </c>
      <c r="E1600" t="str">
        <f>$A1600&amp;Keys!$C$54&amp;$B1600&amp;Keys!$C$54&amp;$C1600</f>
        <v>ND|imports|wind</v>
      </c>
    </row>
    <row r="1601" spans="1:5" x14ac:dyDescent="0.25">
      <c r="A1601" t="s">
        <v>133</v>
      </c>
      <c r="B1601" t="s">
        <v>193</v>
      </c>
      <c r="C1601" t="s">
        <v>274</v>
      </c>
      <c r="D1601" s="10">
        <v>0</v>
      </c>
      <c r="E1601" t="str">
        <f>$A1601&amp;Keys!$C$54&amp;$B1601&amp;Keys!$C$54&amp;$C1601</f>
        <v>ND|exports|wind</v>
      </c>
    </row>
    <row r="1602" spans="1:5" x14ac:dyDescent="0.25">
      <c r="A1602" t="s">
        <v>133</v>
      </c>
      <c r="B1602" t="s">
        <v>188</v>
      </c>
      <c r="C1602" t="s">
        <v>275</v>
      </c>
      <c r="D1602" s="10">
        <v>0</v>
      </c>
      <c r="E1602" t="str">
        <f>$A1602&amp;Keys!$C$54&amp;$B1602&amp;Keys!$C$54&amp;$C1602</f>
        <v>ND|production|solar</v>
      </c>
    </row>
    <row r="1603" spans="1:5" x14ac:dyDescent="0.25">
      <c r="A1603" t="s">
        <v>133</v>
      </c>
      <c r="B1603" t="s">
        <v>191</v>
      </c>
      <c r="C1603" t="s">
        <v>275</v>
      </c>
      <c r="D1603" s="10">
        <v>0</v>
      </c>
      <c r="E1603" t="str">
        <f>$A1603&amp;Keys!$C$54&amp;$B1603&amp;Keys!$C$54&amp;$C1603</f>
        <v>ND|imports|solar</v>
      </c>
    </row>
    <row r="1604" spans="1:5" x14ac:dyDescent="0.25">
      <c r="A1604" t="s">
        <v>133</v>
      </c>
      <c r="B1604" t="s">
        <v>193</v>
      </c>
      <c r="C1604" t="s">
        <v>275</v>
      </c>
      <c r="D1604" s="10">
        <v>0</v>
      </c>
      <c r="E1604" t="str">
        <f>$A1604&amp;Keys!$C$54&amp;$B1604&amp;Keys!$C$54&amp;$C1604</f>
        <v>ND|exports|solar</v>
      </c>
    </row>
    <row r="1605" spans="1:5" x14ac:dyDescent="0.25">
      <c r="A1605" t="s">
        <v>133</v>
      </c>
      <c r="B1605" t="s">
        <v>188</v>
      </c>
      <c r="C1605" t="s">
        <v>82</v>
      </c>
      <c r="D1605" s="10">
        <v>0</v>
      </c>
      <c r="E1605" t="str">
        <f>$A1605&amp;Keys!$C$54&amp;$B1605&amp;Keys!$C$54&amp;$C1605</f>
        <v>ND|production|biomass</v>
      </c>
    </row>
    <row r="1606" spans="1:5" x14ac:dyDescent="0.25">
      <c r="A1606" t="s">
        <v>133</v>
      </c>
      <c r="B1606" t="s">
        <v>191</v>
      </c>
      <c r="C1606" t="s">
        <v>82</v>
      </c>
      <c r="D1606" s="10">
        <v>856548000000</v>
      </c>
      <c r="E1606" t="str">
        <f>$A1606&amp;Keys!$C$54&amp;$B1606&amp;Keys!$C$54&amp;$C1606</f>
        <v>ND|imports|biomass</v>
      </c>
    </row>
    <row r="1607" spans="1:5" x14ac:dyDescent="0.25">
      <c r="A1607" t="s">
        <v>133</v>
      </c>
      <c r="B1607" t="s">
        <v>193</v>
      </c>
      <c r="C1607" t="s">
        <v>82</v>
      </c>
      <c r="D1607" s="10">
        <v>0</v>
      </c>
      <c r="E1607" t="str">
        <f>$A1607&amp;Keys!$C$54&amp;$B1607&amp;Keys!$C$54&amp;$C1607</f>
        <v>ND|exports|biomass</v>
      </c>
    </row>
    <row r="1608" spans="1:5" x14ac:dyDescent="0.25">
      <c r="A1608" t="s">
        <v>133</v>
      </c>
      <c r="B1608" t="s">
        <v>188</v>
      </c>
      <c r="C1608" t="s">
        <v>85</v>
      </c>
      <c r="D1608" s="10">
        <v>68905500000000</v>
      </c>
      <c r="E1608" t="str">
        <f>$A1608&amp;Keys!$C$54&amp;$B1608&amp;Keys!$C$54&amp;$C1608</f>
        <v>ND|production|petroleum gasoline</v>
      </c>
    </row>
    <row r="1609" spans="1:5" x14ac:dyDescent="0.25">
      <c r="A1609" t="s">
        <v>133</v>
      </c>
      <c r="B1609" t="s">
        <v>191</v>
      </c>
      <c r="C1609" t="s">
        <v>85</v>
      </c>
      <c r="D1609" s="10">
        <v>81415000000000</v>
      </c>
      <c r="E1609" t="str">
        <f>$A1609&amp;Keys!$C$54&amp;$B1609&amp;Keys!$C$54&amp;$C1609</f>
        <v>ND|imports|petroleum gasoline</v>
      </c>
    </row>
    <row r="1610" spans="1:5" x14ac:dyDescent="0.25">
      <c r="A1610" t="s">
        <v>133</v>
      </c>
      <c r="B1610" t="s">
        <v>193</v>
      </c>
      <c r="C1610" t="s">
        <v>85</v>
      </c>
      <c r="D1610" s="10">
        <v>106189000000000</v>
      </c>
      <c r="E1610" t="str">
        <f>$A1610&amp;Keys!$C$54&amp;$B1610&amp;Keys!$C$54&amp;$C1610</f>
        <v>ND|exports|petroleum gasoline</v>
      </c>
    </row>
    <row r="1611" spans="1:5" x14ac:dyDescent="0.25">
      <c r="A1611" t="s">
        <v>133</v>
      </c>
      <c r="B1611" t="s">
        <v>188</v>
      </c>
      <c r="C1611" t="s">
        <v>88</v>
      </c>
      <c r="D1611" s="10">
        <v>40758700000000</v>
      </c>
      <c r="E1611" t="str">
        <f>$A1611&amp;Keys!$C$54&amp;$B1611&amp;Keys!$C$54&amp;$C1611</f>
        <v>ND|production|petroleum diesel</v>
      </c>
    </row>
    <row r="1612" spans="1:5" x14ac:dyDescent="0.25">
      <c r="A1612" t="s">
        <v>133</v>
      </c>
      <c r="B1612" t="s">
        <v>191</v>
      </c>
      <c r="C1612" t="s">
        <v>88</v>
      </c>
      <c r="D1612" s="10">
        <v>50324000000000</v>
      </c>
      <c r="E1612" t="str">
        <f>$A1612&amp;Keys!$C$54&amp;$B1612&amp;Keys!$C$54&amp;$C1612</f>
        <v>ND|imports|petroleum diesel</v>
      </c>
    </row>
    <row r="1613" spans="1:5" x14ac:dyDescent="0.25">
      <c r="A1613" t="s">
        <v>133</v>
      </c>
      <c r="B1613" t="s">
        <v>193</v>
      </c>
      <c r="C1613" t="s">
        <v>88</v>
      </c>
      <c r="D1613" s="10">
        <v>0</v>
      </c>
      <c r="E1613" t="str">
        <f>$A1613&amp;Keys!$C$54&amp;$B1613&amp;Keys!$C$54&amp;$C1613</f>
        <v>ND|exports|petroleum diesel</v>
      </c>
    </row>
    <row r="1614" spans="1:5" x14ac:dyDescent="0.25">
      <c r="A1614" t="s">
        <v>133</v>
      </c>
      <c r="B1614" t="s">
        <v>188</v>
      </c>
      <c r="C1614" t="s">
        <v>91</v>
      </c>
      <c r="D1614" s="10">
        <v>47832300000000</v>
      </c>
      <c r="E1614" t="str">
        <f>$A1614&amp;Keys!$C$54&amp;$B1614&amp;Keys!$C$54&amp;$C1614</f>
        <v>ND|production|biofuel gasoline</v>
      </c>
    </row>
    <row r="1615" spans="1:5" x14ac:dyDescent="0.25">
      <c r="A1615" t="s">
        <v>133</v>
      </c>
      <c r="B1615" t="s">
        <v>191</v>
      </c>
      <c r="C1615" t="s">
        <v>91</v>
      </c>
      <c r="D1615" s="10">
        <v>162899000000</v>
      </c>
      <c r="E1615" t="str">
        <f>$A1615&amp;Keys!$C$54&amp;$B1615&amp;Keys!$C$54&amp;$C1615</f>
        <v>ND|imports|biofuel gasoline</v>
      </c>
    </row>
    <row r="1616" spans="1:5" x14ac:dyDescent="0.25">
      <c r="A1616" t="s">
        <v>133</v>
      </c>
      <c r="B1616" t="s">
        <v>193</v>
      </c>
      <c r="C1616" t="s">
        <v>91</v>
      </c>
      <c r="D1616" s="10">
        <v>44818300000000</v>
      </c>
      <c r="E1616" t="str">
        <f>$A1616&amp;Keys!$C$54&amp;$B1616&amp;Keys!$C$54&amp;$C1616</f>
        <v>ND|exports|biofuel gasoline</v>
      </c>
    </row>
    <row r="1617" spans="1:5" x14ac:dyDescent="0.25">
      <c r="A1617" t="s">
        <v>133</v>
      </c>
      <c r="B1617" t="s">
        <v>188</v>
      </c>
      <c r="C1617" t="s">
        <v>94</v>
      </c>
      <c r="D1617" s="10">
        <v>27534800000000</v>
      </c>
      <c r="E1617" t="str">
        <f>$A1617&amp;Keys!$C$54&amp;$B1617&amp;Keys!$C$54&amp;$C1617</f>
        <v>ND|production|biofuel diesel</v>
      </c>
    </row>
    <row r="1618" spans="1:5" x14ac:dyDescent="0.25">
      <c r="A1618" t="s">
        <v>133</v>
      </c>
      <c r="B1618" t="s">
        <v>191</v>
      </c>
      <c r="C1618" t="s">
        <v>94</v>
      </c>
      <c r="D1618" s="10">
        <v>47348200000</v>
      </c>
      <c r="E1618" t="str">
        <f>$A1618&amp;Keys!$C$54&amp;$B1618&amp;Keys!$C$54&amp;$C1618</f>
        <v>ND|imports|biofuel diesel</v>
      </c>
    </row>
    <row r="1619" spans="1:5" x14ac:dyDescent="0.25">
      <c r="A1619" t="s">
        <v>133</v>
      </c>
      <c r="B1619" t="s">
        <v>193</v>
      </c>
      <c r="C1619" t="s">
        <v>94</v>
      </c>
      <c r="D1619" s="10">
        <v>25942200000000</v>
      </c>
      <c r="E1619" t="str">
        <f>$A1619&amp;Keys!$C$54&amp;$B1619&amp;Keys!$C$54&amp;$C1619</f>
        <v>ND|exports|biofuel diesel</v>
      </c>
    </row>
    <row r="1620" spans="1:5" x14ac:dyDescent="0.25">
      <c r="A1620" t="s">
        <v>133</v>
      </c>
      <c r="B1620" t="s">
        <v>188</v>
      </c>
      <c r="C1620" t="s">
        <v>97</v>
      </c>
      <c r="D1620" s="10">
        <v>14509300000000</v>
      </c>
      <c r="E1620" t="str">
        <f>$A1620&amp;Keys!$C$54&amp;$B1620&amp;Keys!$C$54&amp;$C1620</f>
        <v>ND|production|jet fuel or kerosene</v>
      </c>
    </row>
    <row r="1621" spans="1:5" x14ac:dyDescent="0.25">
      <c r="A1621" t="s">
        <v>133</v>
      </c>
      <c r="B1621" t="s">
        <v>191</v>
      </c>
      <c r="C1621" t="s">
        <v>97</v>
      </c>
      <c r="D1621" s="10">
        <v>0</v>
      </c>
      <c r="E1621" t="str">
        <f>$A1621&amp;Keys!$C$54&amp;$B1621&amp;Keys!$C$54&amp;$C1621</f>
        <v>ND|imports|jet fuel or kerosene</v>
      </c>
    </row>
    <row r="1622" spans="1:5" x14ac:dyDescent="0.25">
      <c r="A1622" t="s">
        <v>133</v>
      </c>
      <c r="B1622" t="s">
        <v>193</v>
      </c>
      <c r="C1622" t="s">
        <v>97</v>
      </c>
      <c r="D1622" s="10">
        <v>9643720000000</v>
      </c>
      <c r="E1622" t="str">
        <f>$A1622&amp;Keys!$C$54&amp;$B1622&amp;Keys!$C$54&amp;$C1622</f>
        <v>ND|exports|jet fuel or kerosene</v>
      </c>
    </row>
    <row r="1623" spans="1:5" x14ac:dyDescent="0.25">
      <c r="A1623" t="s">
        <v>133</v>
      </c>
      <c r="B1623" t="s">
        <v>188</v>
      </c>
      <c r="C1623" t="s">
        <v>276</v>
      </c>
      <c r="D1623" s="10">
        <v>0</v>
      </c>
      <c r="E1623" t="str">
        <f>$A1623&amp;Keys!$C$54&amp;$B1623&amp;Keys!$C$54&amp;$C1623</f>
        <v>ND|production|heat</v>
      </c>
    </row>
    <row r="1624" spans="1:5" x14ac:dyDescent="0.25">
      <c r="A1624" t="s">
        <v>133</v>
      </c>
      <c r="B1624" t="s">
        <v>191</v>
      </c>
      <c r="C1624" t="s">
        <v>276</v>
      </c>
      <c r="D1624" s="10">
        <v>0</v>
      </c>
      <c r="E1624" t="str">
        <f>$A1624&amp;Keys!$C$54&amp;$B1624&amp;Keys!$C$54&amp;$C1624</f>
        <v>ND|imports|heat</v>
      </c>
    </row>
    <row r="1625" spans="1:5" x14ac:dyDescent="0.25">
      <c r="A1625" t="s">
        <v>133</v>
      </c>
      <c r="B1625" t="s">
        <v>193</v>
      </c>
      <c r="C1625" t="s">
        <v>276</v>
      </c>
      <c r="D1625" s="10">
        <v>0</v>
      </c>
      <c r="E1625" t="str">
        <f>$A1625&amp;Keys!$C$54&amp;$B1625&amp;Keys!$C$54&amp;$C1625</f>
        <v>ND|exports|heat</v>
      </c>
    </row>
    <row r="1626" spans="1:5" x14ac:dyDescent="0.25">
      <c r="A1626" t="s">
        <v>133</v>
      </c>
      <c r="B1626" t="s">
        <v>188</v>
      </c>
      <c r="C1626" t="s">
        <v>277</v>
      </c>
      <c r="D1626" s="10">
        <v>0</v>
      </c>
      <c r="E1626" t="str">
        <f>$A1626&amp;Keys!$C$54&amp;$B1626&amp;Keys!$C$54&amp;$C1626</f>
        <v>ND|production|geothermal</v>
      </c>
    </row>
    <row r="1627" spans="1:5" x14ac:dyDescent="0.25">
      <c r="A1627" t="s">
        <v>133</v>
      </c>
      <c r="B1627" t="s">
        <v>191</v>
      </c>
      <c r="C1627" t="s">
        <v>277</v>
      </c>
      <c r="D1627" s="10">
        <v>0</v>
      </c>
      <c r="E1627" t="str">
        <f>$A1627&amp;Keys!$C$54&amp;$B1627&amp;Keys!$C$54&amp;$C1627</f>
        <v>ND|imports|geothermal</v>
      </c>
    </row>
    <row r="1628" spans="1:5" x14ac:dyDescent="0.25">
      <c r="A1628" t="s">
        <v>133</v>
      </c>
      <c r="B1628" t="s">
        <v>193</v>
      </c>
      <c r="C1628" t="s">
        <v>277</v>
      </c>
      <c r="D1628" s="10">
        <v>0</v>
      </c>
      <c r="E1628" t="str">
        <f>$A1628&amp;Keys!$C$54&amp;$B1628&amp;Keys!$C$54&amp;$C1628</f>
        <v>ND|exports|geothermal</v>
      </c>
    </row>
    <row r="1629" spans="1:5" x14ac:dyDescent="0.25">
      <c r="A1629" t="s">
        <v>133</v>
      </c>
      <c r="B1629" t="s">
        <v>188</v>
      </c>
      <c r="C1629" t="s">
        <v>106</v>
      </c>
      <c r="D1629" s="10">
        <v>355805000000000</v>
      </c>
      <c r="E1629" t="str">
        <f>$A1629&amp;Keys!$C$54&amp;$B1629&amp;Keys!$C$54&amp;$C1629</f>
        <v>ND|production|lignite</v>
      </c>
    </row>
    <row r="1630" spans="1:5" x14ac:dyDescent="0.25">
      <c r="A1630" t="s">
        <v>133</v>
      </c>
      <c r="B1630" t="s">
        <v>191</v>
      </c>
      <c r="C1630" t="s">
        <v>106</v>
      </c>
      <c r="D1630" s="10">
        <v>0</v>
      </c>
      <c r="E1630" t="str">
        <f>$A1630&amp;Keys!$C$54&amp;$B1630&amp;Keys!$C$54&amp;$C1630</f>
        <v>ND|imports|lignite</v>
      </c>
    </row>
    <row r="1631" spans="1:5" x14ac:dyDescent="0.25">
      <c r="A1631" t="s">
        <v>133</v>
      </c>
      <c r="B1631" t="s">
        <v>193</v>
      </c>
      <c r="C1631" t="s">
        <v>106</v>
      </c>
      <c r="D1631" s="10">
        <v>181252000000000</v>
      </c>
      <c r="E1631" t="str">
        <f>$A1631&amp;Keys!$C$54&amp;$B1631&amp;Keys!$C$54&amp;$C1631</f>
        <v>ND|exports|lignite</v>
      </c>
    </row>
    <row r="1632" spans="1:5" x14ac:dyDescent="0.25">
      <c r="A1632" t="s">
        <v>133</v>
      </c>
      <c r="B1632" t="s">
        <v>188</v>
      </c>
      <c r="C1632" t="s">
        <v>109</v>
      </c>
      <c r="D1632" s="10">
        <v>2534650000000000</v>
      </c>
      <c r="E1632" t="str">
        <f>$A1632&amp;Keys!$C$54&amp;$B1632&amp;Keys!$C$54&amp;$C1632</f>
        <v>ND|production|crude oil</v>
      </c>
    </row>
    <row r="1633" spans="1:5" x14ac:dyDescent="0.25">
      <c r="A1633" t="s">
        <v>133</v>
      </c>
      <c r="B1633" t="s">
        <v>191</v>
      </c>
      <c r="C1633" t="s">
        <v>109</v>
      </c>
      <c r="D1633" s="10">
        <v>0</v>
      </c>
      <c r="E1633" t="str">
        <f>$A1633&amp;Keys!$C$54&amp;$B1633&amp;Keys!$C$54&amp;$C1633</f>
        <v>ND|imports|crude oil</v>
      </c>
    </row>
    <row r="1634" spans="1:5" x14ac:dyDescent="0.25">
      <c r="A1634" t="s">
        <v>133</v>
      </c>
      <c r="B1634" t="s">
        <v>193</v>
      </c>
      <c r="C1634" t="s">
        <v>109</v>
      </c>
      <c r="D1634" s="10">
        <v>2390300000000000</v>
      </c>
      <c r="E1634" t="str">
        <f>$A1634&amp;Keys!$C$54&amp;$B1634&amp;Keys!$C$54&amp;$C1634</f>
        <v>ND|exports|crude oil</v>
      </c>
    </row>
    <row r="1635" spans="1:5" x14ac:dyDescent="0.25">
      <c r="A1635" t="s">
        <v>133</v>
      </c>
      <c r="B1635" t="s">
        <v>188</v>
      </c>
      <c r="C1635" t="s">
        <v>114</v>
      </c>
      <c r="D1635" s="10">
        <v>2818470000000</v>
      </c>
      <c r="E1635" t="str">
        <f>$A1635&amp;Keys!$C$54&amp;$B1635&amp;Keys!$C$54&amp;$C1635</f>
        <v>ND|production|heavy or residual fuel oil</v>
      </c>
    </row>
    <row r="1636" spans="1:5" x14ac:dyDescent="0.25">
      <c r="A1636" t="s">
        <v>133</v>
      </c>
      <c r="B1636" t="s">
        <v>191</v>
      </c>
      <c r="C1636" t="s">
        <v>114</v>
      </c>
      <c r="D1636" s="10">
        <v>1326960000000</v>
      </c>
      <c r="E1636" t="str">
        <f>$A1636&amp;Keys!$C$54&amp;$B1636&amp;Keys!$C$54&amp;$C1636</f>
        <v>ND|imports|heavy or residual fuel oil</v>
      </c>
    </row>
    <row r="1637" spans="1:5" x14ac:dyDescent="0.25">
      <c r="A1637" t="s">
        <v>133</v>
      </c>
      <c r="B1637" t="s">
        <v>193</v>
      </c>
      <c r="C1637" t="s">
        <v>114</v>
      </c>
      <c r="D1637" s="10">
        <v>0</v>
      </c>
      <c r="E1637" t="str">
        <f>$A1637&amp;Keys!$C$54&amp;$B1637&amp;Keys!$C$54&amp;$C1637</f>
        <v>ND|exports|heavy or residual fuel oil</v>
      </c>
    </row>
    <row r="1638" spans="1:5" x14ac:dyDescent="0.25">
      <c r="A1638" t="s">
        <v>133</v>
      </c>
      <c r="B1638" t="s">
        <v>188</v>
      </c>
      <c r="C1638" t="s">
        <v>117</v>
      </c>
      <c r="D1638" s="10">
        <v>120221000000000</v>
      </c>
      <c r="E1638" t="str">
        <f>$A1638&amp;Keys!$C$54&amp;$B1638&amp;Keys!$C$54&amp;$C1638</f>
        <v>ND|production|LPG propane or butane</v>
      </c>
    </row>
    <row r="1639" spans="1:5" x14ac:dyDescent="0.25">
      <c r="A1639" t="s">
        <v>133</v>
      </c>
      <c r="B1639" t="s">
        <v>191</v>
      </c>
      <c r="C1639" t="s">
        <v>117</v>
      </c>
      <c r="D1639" s="10">
        <v>0</v>
      </c>
      <c r="E1639" t="str">
        <f>$A1639&amp;Keys!$C$54&amp;$B1639&amp;Keys!$C$54&amp;$C1639</f>
        <v>ND|imports|LPG propane or butane</v>
      </c>
    </row>
    <row r="1640" spans="1:5" x14ac:dyDescent="0.25">
      <c r="A1640" t="s">
        <v>133</v>
      </c>
      <c r="B1640" t="s">
        <v>193</v>
      </c>
      <c r="C1640" t="s">
        <v>117</v>
      </c>
      <c r="D1640" s="10">
        <v>110225000000000</v>
      </c>
      <c r="E1640" t="str">
        <f>$A1640&amp;Keys!$C$54&amp;$B1640&amp;Keys!$C$54&amp;$C1640</f>
        <v>ND|exports|LPG propane or butane</v>
      </c>
    </row>
    <row r="1641" spans="1:5" x14ac:dyDescent="0.25">
      <c r="A1641" t="s">
        <v>133</v>
      </c>
      <c r="B1641" t="s">
        <v>188</v>
      </c>
      <c r="C1641" t="s">
        <v>120</v>
      </c>
      <c r="D1641" s="10">
        <v>0</v>
      </c>
      <c r="E1641" t="str">
        <f>$A1641&amp;Keys!$C$54&amp;$B1641&amp;Keys!$C$54&amp;$C1641</f>
        <v>ND|production|municipal solid waste</v>
      </c>
    </row>
    <row r="1642" spans="1:5" x14ac:dyDescent="0.25">
      <c r="A1642" t="s">
        <v>133</v>
      </c>
      <c r="B1642" t="s">
        <v>191</v>
      </c>
      <c r="C1642" t="s">
        <v>120</v>
      </c>
      <c r="D1642" s="10">
        <v>0</v>
      </c>
      <c r="E1642" t="str">
        <f>$A1642&amp;Keys!$C$54&amp;$B1642&amp;Keys!$C$54&amp;$C1642</f>
        <v>ND|imports|municipal solid waste</v>
      </c>
    </row>
    <row r="1643" spans="1:5" x14ac:dyDescent="0.25">
      <c r="A1643" t="s">
        <v>133</v>
      </c>
      <c r="B1643" t="s">
        <v>193</v>
      </c>
      <c r="C1643" t="s">
        <v>120</v>
      </c>
      <c r="D1643" s="10">
        <v>0</v>
      </c>
      <c r="E1643" t="str">
        <f>$A1643&amp;Keys!$C$54&amp;$B1643&amp;Keys!$C$54&amp;$C1643</f>
        <v>ND|exports|municipal solid waste</v>
      </c>
    </row>
    <row r="1644" spans="1:5" x14ac:dyDescent="0.25">
      <c r="A1644" t="s">
        <v>133</v>
      </c>
      <c r="B1644" t="s">
        <v>188</v>
      </c>
      <c r="C1644" t="s">
        <v>123</v>
      </c>
      <c r="D1644" s="10">
        <v>0</v>
      </c>
      <c r="E1644" t="str">
        <f>$A1644&amp;Keys!$C$54&amp;$B1644&amp;Keys!$C$54&amp;$C1644</f>
        <v>ND|production|hydrogen</v>
      </c>
    </row>
    <row r="1645" spans="1:5" x14ac:dyDescent="0.25">
      <c r="A1645" t="s">
        <v>133</v>
      </c>
      <c r="B1645" t="s">
        <v>191</v>
      </c>
      <c r="C1645" t="s">
        <v>123</v>
      </c>
      <c r="D1645" s="10">
        <v>0</v>
      </c>
      <c r="E1645" t="str">
        <f>$A1645&amp;Keys!$C$54&amp;$B1645&amp;Keys!$C$54&amp;$C1645</f>
        <v>ND|imports|hydrogen</v>
      </c>
    </row>
    <row r="1646" spans="1:5" x14ac:dyDescent="0.25">
      <c r="A1646" t="s">
        <v>133</v>
      </c>
      <c r="B1646" t="s">
        <v>193</v>
      </c>
      <c r="C1646" t="s">
        <v>123</v>
      </c>
      <c r="D1646" s="10">
        <v>0</v>
      </c>
      <c r="E1646" t="str">
        <f>$A1646&amp;Keys!$C$54&amp;$B1646&amp;Keys!$C$54&amp;$C1646</f>
        <v>ND|exports|hydrogen</v>
      </c>
    </row>
    <row r="1647" spans="1:5" x14ac:dyDescent="0.25">
      <c r="A1647" t="s">
        <v>135</v>
      </c>
      <c r="B1647" t="s">
        <v>188</v>
      </c>
      <c r="C1647" t="s">
        <v>272</v>
      </c>
      <c r="D1647" s="10">
        <v>0</v>
      </c>
      <c r="E1647" t="str">
        <f>$A1647&amp;Keys!$C$54&amp;$B1647&amp;Keys!$C$54&amp;$C1647</f>
        <v>NE|production|electricity</v>
      </c>
    </row>
    <row r="1648" spans="1:5" x14ac:dyDescent="0.25">
      <c r="A1648" t="s">
        <v>135</v>
      </c>
      <c r="B1648" t="s">
        <v>191</v>
      </c>
      <c r="C1648" t="s">
        <v>272</v>
      </c>
      <c r="D1648" s="10">
        <v>0</v>
      </c>
      <c r="E1648" t="str">
        <f>$A1648&amp;Keys!$C$54&amp;$B1648&amp;Keys!$C$54&amp;$C1648</f>
        <v>NE|imports|electricity</v>
      </c>
    </row>
    <row r="1649" spans="1:5" x14ac:dyDescent="0.25">
      <c r="A1649" t="s">
        <v>135</v>
      </c>
      <c r="B1649" t="s">
        <v>193</v>
      </c>
      <c r="C1649" t="s">
        <v>272</v>
      </c>
      <c r="D1649" s="10">
        <v>0</v>
      </c>
      <c r="E1649" t="str">
        <f>$A1649&amp;Keys!$C$54&amp;$B1649&amp;Keys!$C$54&amp;$C1649</f>
        <v>NE|exports|electricity</v>
      </c>
    </row>
    <row r="1650" spans="1:5" x14ac:dyDescent="0.25">
      <c r="A1650" t="s">
        <v>135</v>
      </c>
      <c r="B1650" t="s">
        <v>188</v>
      </c>
      <c r="C1650" t="s">
        <v>64</v>
      </c>
      <c r="D1650" s="10">
        <v>0</v>
      </c>
      <c r="E1650" t="str">
        <f>$A1650&amp;Keys!$C$54&amp;$B1650&amp;Keys!$C$54&amp;$C1650</f>
        <v>NE|production|hard coal</v>
      </c>
    </row>
    <row r="1651" spans="1:5" x14ac:dyDescent="0.25">
      <c r="A1651" t="s">
        <v>135</v>
      </c>
      <c r="B1651" t="s">
        <v>191</v>
      </c>
      <c r="C1651" t="s">
        <v>64</v>
      </c>
      <c r="D1651" s="10">
        <v>180585000000000</v>
      </c>
      <c r="E1651" t="str">
        <f>$A1651&amp;Keys!$C$54&amp;$B1651&amp;Keys!$C$54&amp;$C1651</f>
        <v>NE|imports|hard coal</v>
      </c>
    </row>
    <row r="1652" spans="1:5" x14ac:dyDescent="0.25">
      <c r="A1652" t="s">
        <v>135</v>
      </c>
      <c r="B1652" t="s">
        <v>193</v>
      </c>
      <c r="C1652" t="s">
        <v>64</v>
      </c>
      <c r="D1652" s="10">
        <v>0</v>
      </c>
      <c r="E1652" t="str">
        <f>$A1652&amp;Keys!$C$54&amp;$B1652&amp;Keys!$C$54&amp;$C1652</f>
        <v>NE|exports|hard coal</v>
      </c>
    </row>
    <row r="1653" spans="1:5" x14ac:dyDescent="0.25">
      <c r="A1653" t="s">
        <v>135</v>
      </c>
      <c r="B1653" t="s">
        <v>188</v>
      </c>
      <c r="C1653" t="s">
        <v>68</v>
      </c>
      <c r="D1653" s="10">
        <v>270657000000</v>
      </c>
      <c r="E1653" t="str">
        <f>$A1653&amp;Keys!$C$54&amp;$B1653&amp;Keys!$C$54&amp;$C1653</f>
        <v>NE|production|natural gas</v>
      </c>
    </row>
    <row r="1654" spans="1:5" x14ac:dyDescent="0.25">
      <c r="A1654" t="s">
        <v>135</v>
      </c>
      <c r="B1654" t="s">
        <v>191</v>
      </c>
      <c r="C1654" t="s">
        <v>68</v>
      </c>
      <c r="D1654" s="10">
        <v>1601560000000000</v>
      </c>
      <c r="E1654" t="str">
        <f>$A1654&amp;Keys!$C$54&amp;$B1654&amp;Keys!$C$54&amp;$C1654</f>
        <v>NE|imports|natural gas</v>
      </c>
    </row>
    <row r="1655" spans="1:5" x14ac:dyDescent="0.25">
      <c r="A1655" t="s">
        <v>135</v>
      </c>
      <c r="B1655" t="s">
        <v>193</v>
      </c>
      <c r="C1655" t="s">
        <v>68</v>
      </c>
      <c r="D1655" s="10">
        <v>1397360000000000</v>
      </c>
      <c r="E1655" t="str">
        <f>$A1655&amp;Keys!$C$54&amp;$B1655&amp;Keys!$C$54&amp;$C1655</f>
        <v>NE|exports|natural gas</v>
      </c>
    </row>
    <row r="1656" spans="1:5" x14ac:dyDescent="0.25">
      <c r="A1656" t="s">
        <v>135</v>
      </c>
      <c r="B1656" t="s">
        <v>188</v>
      </c>
      <c r="C1656" t="s">
        <v>71</v>
      </c>
      <c r="D1656" s="10">
        <v>0</v>
      </c>
      <c r="E1656" t="str">
        <f>$A1656&amp;Keys!$C$54&amp;$B1656&amp;Keys!$C$54&amp;$C1656</f>
        <v>NE|production|nuclear</v>
      </c>
    </row>
    <row r="1657" spans="1:5" x14ac:dyDescent="0.25">
      <c r="A1657" t="s">
        <v>135</v>
      </c>
      <c r="B1657" t="s">
        <v>191</v>
      </c>
      <c r="C1657" t="s">
        <v>71</v>
      </c>
      <c r="D1657" s="10">
        <v>72283900000000</v>
      </c>
      <c r="E1657" t="str">
        <f>$A1657&amp;Keys!$C$54&amp;$B1657&amp;Keys!$C$54&amp;$C1657</f>
        <v>NE|imports|nuclear</v>
      </c>
    </row>
    <row r="1658" spans="1:5" x14ac:dyDescent="0.25">
      <c r="A1658" t="s">
        <v>135</v>
      </c>
      <c r="B1658" t="s">
        <v>193</v>
      </c>
      <c r="C1658" t="s">
        <v>71</v>
      </c>
      <c r="D1658" s="10">
        <v>0</v>
      </c>
      <c r="E1658" t="str">
        <f>$A1658&amp;Keys!$C$54&amp;$B1658&amp;Keys!$C$54&amp;$C1658</f>
        <v>NE|exports|nuclear</v>
      </c>
    </row>
    <row r="1659" spans="1:5" x14ac:dyDescent="0.25">
      <c r="A1659" t="s">
        <v>135</v>
      </c>
      <c r="B1659" t="s">
        <v>188</v>
      </c>
      <c r="C1659" t="s">
        <v>273</v>
      </c>
      <c r="D1659" s="10">
        <v>0</v>
      </c>
      <c r="E1659" t="str">
        <f>$A1659&amp;Keys!$C$54&amp;$B1659&amp;Keys!$C$54&amp;$C1659</f>
        <v>NE|production|hydro</v>
      </c>
    </row>
    <row r="1660" spans="1:5" x14ac:dyDescent="0.25">
      <c r="A1660" t="s">
        <v>135</v>
      </c>
      <c r="B1660" t="s">
        <v>191</v>
      </c>
      <c r="C1660" t="s">
        <v>273</v>
      </c>
      <c r="D1660" s="10">
        <v>0</v>
      </c>
      <c r="E1660" t="str">
        <f>$A1660&amp;Keys!$C$54&amp;$B1660&amp;Keys!$C$54&amp;$C1660</f>
        <v>NE|imports|hydro</v>
      </c>
    </row>
    <row r="1661" spans="1:5" x14ac:dyDescent="0.25">
      <c r="A1661" t="s">
        <v>135</v>
      </c>
      <c r="B1661" t="s">
        <v>193</v>
      </c>
      <c r="C1661" t="s">
        <v>273</v>
      </c>
      <c r="D1661" s="10">
        <v>0</v>
      </c>
      <c r="E1661" t="str">
        <f>$A1661&amp;Keys!$C$54&amp;$B1661&amp;Keys!$C$54&amp;$C1661</f>
        <v>NE|exports|hydro</v>
      </c>
    </row>
    <row r="1662" spans="1:5" x14ac:dyDescent="0.25">
      <c r="A1662" t="s">
        <v>135</v>
      </c>
      <c r="B1662" t="s">
        <v>188</v>
      </c>
      <c r="C1662" t="s">
        <v>274</v>
      </c>
      <c r="D1662" s="10">
        <v>0</v>
      </c>
      <c r="E1662" t="str">
        <f>$A1662&amp;Keys!$C$54&amp;$B1662&amp;Keys!$C$54&amp;$C1662</f>
        <v>NE|production|wind</v>
      </c>
    </row>
    <row r="1663" spans="1:5" x14ac:dyDescent="0.25">
      <c r="A1663" t="s">
        <v>135</v>
      </c>
      <c r="B1663" t="s">
        <v>191</v>
      </c>
      <c r="C1663" t="s">
        <v>274</v>
      </c>
      <c r="D1663" s="10">
        <v>0</v>
      </c>
      <c r="E1663" t="str">
        <f>$A1663&amp;Keys!$C$54&amp;$B1663&amp;Keys!$C$54&amp;$C1663</f>
        <v>NE|imports|wind</v>
      </c>
    </row>
    <row r="1664" spans="1:5" x14ac:dyDescent="0.25">
      <c r="A1664" t="s">
        <v>135</v>
      </c>
      <c r="B1664" t="s">
        <v>193</v>
      </c>
      <c r="C1664" t="s">
        <v>274</v>
      </c>
      <c r="D1664" s="10">
        <v>0</v>
      </c>
      <c r="E1664" t="str">
        <f>$A1664&amp;Keys!$C$54&amp;$B1664&amp;Keys!$C$54&amp;$C1664</f>
        <v>NE|exports|wind</v>
      </c>
    </row>
    <row r="1665" spans="1:5" x14ac:dyDescent="0.25">
      <c r="A1665" t="s">
        <v>135</v>
      </c>
      <c r="B1665" t="s">
        <v>188</v>
      </c>
      <c r="C1665" t="s">
        <v>275</v>
      </c>
      <c r="D1665" s="10">
        <v>0</v>
      </c>
      <c r="E1665" t="str">
        <f>$A1665&amp;Keys!$C$54&amp;$B1665&amp;Keys!$C$54&amp;$C1665</f>
        <v>NE|production|solar</v>
      </c>
    </row>
    <row r="1666" spans="1:5" x14ac:dyDescent="0.25">
      <c r="A1666" t="s">
        <v>135</v>
      </c>
      <c r="B1666" t="s">
        <v>191</v>
      </c>
      <c r="C1666" t="s">
        <v>275</v>
      </c>
      <c r="D1666" s="10">
        <v>0</v>
      </c>
      <c r="E1666" t="str">
        <f>$A1666&amp;Keys!$C$54&amp;$B1666&amp;Keys!$C$54&amp;$C1666</f>
        <v>NE|imports|solar</v>
      </c>
    </row>
    <row r="1667" spans="1:5" x14ac:dyDescent="0.25">
      <c r="A1667" t="s">
        <v>135</v>
      </c>
      <c r="B1667" t="s">
        <v>193</v>
      </c>
      <c r="C1667" t="s">
        <v>275</v>
      </c>
      <c r="D1667" s="10">
        <v>0</v>
      </c>
      <c r="E1667" t="str">
        <f>$A1667&amp;Keys!$C$54&amp;$B1667&amp;Keys!$C$54&amp;$C1667</f>
        <v>NE|exports|solar</v>
      </c>
    </row>
    <row r="1668" spans="1:5" x14ac:dyDescent="0.25">
      <c r="A1668" t="s">
        <v>135</v>
      </c>
      <c r="B1668" t="s">
        <v>188</v>
      </c>
      <c r="C1668" t="s">
        <v>82</v>
      </c>
      <c r="D1668" s="10">
        <v>0</v>
      </c>
      <c r="E1668" t="str">
        <f>$A1668&amp;Keys!$C$54&amp;$B1668&amp;Keys!$C$54&amp;$C1668</f>
        <v>NE|production|biomass</v>
      </c>
    </row>
    <row r="1669" spans="1:5" x14ac:dyDescent="0.25">
      <c r="A1669" t="s">
        <v>135</v>
      </c>
      <c r="B1669" t="s">
        <v>191</v>
      </c>
      <c r="C1669" t="s">
        <v>82</v>
      </c>
      <c r="D1669" s="10">
        <v>4092370000000</v>
      </c>
      <c r="E1669" t="str">
        <f>$A1669&amp;Keys!$C$54&amp;$B1669&amp;Keys!$C$54&amp;$C1669</f>
        <v>NE|imports|biomass</v>
      </c>
    </row>
    <row r="1670" spans="1:5" x14ac:dyDescent="0.25">
      <c r="A1670" t="s">
        <v>135</v>
      </c>
      <c r="B1670" t="s">
        <v>193</v>
      </c>
      <c r="C1670" t="s">
        <v>82</v>
      </c>
      <c r="D1670" s="10">
        <v>0</v>
      </c>
      <c r="E1670" t="str">
        <f>$A1670&amp;Keys!$C$54&amp;$B1670&amp;Keys!$C$54&amp;$C1670</f>
        <v>NE|exports|biomass</v>
      </c>
    </row>
    <row r="1671" spans="1:5" x14ac:dyDescent="0.25">
      <c r="A1671" t="s">
        <v>135</v>
      </c>
      <c r="B1671" t="s">
        <v>188</v>
      </c>
      <c r="C1671" t="s">
        <v>85</v>
      </c>
      <c r="D1671" s="10">
        <v>0</v>
      </c>
      <c r="E1671" t="str">
        <f>$A1671&amp;Keys!$C$54&amp;$B1671&amp;Keys!$C$54&amp;$C1671</f>
        <v>NE|production|petroleum gasoline</v>
      </c>
    </row>
    <row r="1672" spans="1:5" x14ac:dyDescent="0.25">
      <c r="A1672" t="s">
        <v>135</v>
      </c>
      <c r="B1672" t="s">
        <v>191</v>
      </c>
      <c r="C1672" t="s">
        <v>85</v>
      </c>
      <c r="D1672" s="10">
        <v>97443600000000</v>
      </c>
      <c r="E1672" t="str">
        <f>$A1672&amp;Keys!$C$54&amp;$B1672&amp;Keys!$C$54&amp;$C1672</f>
        <v>NE|imports|petroleum gasoline</v>
      </c>
    </row>
    <row r="1673" spans="1:5" x14ac:dyDescent="0.25">
      <c r="A1673" t="s">
        <v>135</v>
      </c>
      <c r="B1673" t="s">
        <v>193</v>
      </c>
      <c r="C1673" t="s">
        <v>85</v>
      </c>
      <c r="D1673" s="10">
        <v>0</v>
      </c>
      <c r="E1673" t="str">
        <f>$A1673&amp;Keys!$C$54&amp;$B1673&amp;Keys!$C$54&amp;$C1673</f>
        <v>NE|exports|petroleum gasoline</v>
      </c>
    </row>
    <row r="1674" spans="1:5" x14ac:dyDescent="0.25">
      <c r="A1674" t="s">
        <v>135</v>
      </c>
      <c r="B1674" t="s">
        <v>188</v>
      </c>
      <c r="C1674" t="s">
        <v>88</v>
      </c>
      <c r="D1674" s="10">
        <v>0</v>
      </c>
      <c r="E1674" t="str">
        <f>$A1674&amp;Keys!$C$54&amp;$B1674&amp;Keys!$C$54&amp;$C1674</f>
        <v>NE|production|petroleum diesel</v>
      </c>
    </row>
    <row r="1675" spans="1:5" x14ac:dyDescent="0.25">
      <c r="A1675" t="s">
        <v>135</v>
      </c>
      <c r="B1675" t="s">
        <v>191</v>
      </c>
      <c r="C1675" t="s">
        <v>88</v>
      </c>
      <c r="D1675" s="10">
        <v>109112000000000</v>
      </c>
      <c r="E1675" t="str">
        <f>$A1675&amp;Keys!$C$54&amp;$B1675&amp;Keys!$C$54&amp;$C1675</f>
        <v>NE|imports|petroleum diesel</v>
      </c>
    </row>
    <row r="1676" spans="1:5" x14ac:dyDescent="0.25">
      <c r="A1676" t="s">
        <v>135</v>
      </c>
      <c r="B1676" t="s">
        <v>193</v>
      </c>
      <c r="C1676" t="s">
        <v>88</v>
      </c>
      <c r="D1676" s="10">
        <v>0</v>
      </c>
      <c r="E1676" t="str">
        <f>$A1676&amp;Keys!$C$54&amp;$B1676&amp;Keys!$C$54&amp;$C1676</f>
        <v>NE|exports|petroleum diesel</v>
      </c>
    </row>
    <row r="1677" spans="1:5" x14ac:dyDescent="0.25">
      <c r="A1677" t="s">
        <v>135</v>
      </c>
      <c r="B1677" t="s">
        <v>188</v>
      </c>
      <c r="C1677" t="s">
        <v>91</v>
      </c>
      <c r="D1677" s="10">
        <v>174403000000000</v>
      </c>
      <c r="E1677" t="str">
        <f>$A1677&amp;Keys!$C$54&amp;$B1677&amp;Keys!$C$54&amp;$C1677</f>
        <v>NE|production|biofuel gasoline</v>
      </c>
    </row>
    <row r="1678" spans="1:5" x14ac:dyDescent="0.25">
      <c r="A1678" t="s">
        <v>135</v>
      </c>
      <c r="B1678" t="s">
        <v>191</v>
      </c>
      <c r="C1678" t="s">
        <v>91</v>
      </c>
      <c r="D1678" s="10">
        <v>347594000000</v>
      </c>
      <c r="E1678" t="str">
        <f>$A1678&amp;Keys!$C$54&amp;$B1678&amp;Keys!$C$54&amp;$C1678</f>
        <v>NE|imports|biofuel gasoline</v>
      </c>
    </row>
    <row r="1679" spans="1:5" x14ac:dyDescent="0.25">
      <c r="A1679" t="s">
        <v>135</v>
      </c>
      <c r="B1679" t="s">
        <v>193</v>
      </c>
      <c r="C1679" t="s">
        <v>91</v>
      </c>
      <c r="D1679" s="10">
        <v>168263000000000</v>
      </c>
      <c r="E1679" t="str">
        <f>$A1679&amp;Keys!$C$54&amp;$B1679&amp;Keys!$C$54&amp;$C1679</f>
        <v>NE|exports|biofuel gasoline</v>
      </c>
    </row>
    <row r="1680" spans="1:5" x14ac:dyDescent="0.25">
      <c r="A1680" t="s">
        <v>135</v>
      </c>
      <c r="B1680" t="s">
        <v>188</v>
      </c>
      <c r="C1680" t="s">
        <v>94</v>
      </c>
      <c r="D1680" s="10">
        <v>0</v>
      </c>
      <c r="E1680" t="str">
        <f>$A1680&amp;Keys!$C$54&amp;$B1680&amp;Keys!$C$54&amp;$C1680</f>
        <v>NE|production|biofuel diesel</v>
      </c>
    </row>
    <row r="1681" spans="1:5" x14ac:dyDescent="0.25">
      <c r="A1681" t="s">
        <v>135</v>
      </c>
      <c r="B1681" t="s">
        <v>191</v>
      </c>
      <c r="C1681" t="s">
        <v>94</v>
      </c>
      <c r="D1681" s="10">
        <v>2030050000000</v>
      </c>
      <c r="E1681" t="str">
        <f>$A1681&amp;Keys!$C$54&amp;$B1681&amp;Keys!$C$54&amp;$C1681</f>
        <v>NE|imports|biofuel diesel</v>
      </c>
    </row>
    <row r="1682" spans="1:5" x14ac:dyDescent="0.25">
      <c r="A1682" t="s">
        <v>135</v>
      </c>
      <c r="B1682" t="s">
        <v>193</v>
      </c>
      <c r="C1682" t="s">
        <v>94</v>
      </c>
      <c r="D1682" s="10">
        <v>0</v>
      </c>
      <c r="E1682" t="str">
        <f>$A1682&amp;Keys!$C$54&amp;$B1682&amp;Keys!$C$54&amp;$C1682</f>
        <v>NE|exports|biofuel diesel</v>
      </c>
    </row>
    <row r="1683" spans="1:5" x14ac:dyDescent="0.25">
      <c r="A1683" t="s">
        <v>135</v>
      </c>
      <c r="B1683" t="s">
        <v>188</v>
      </c>
      <c r="C1683" t="s">
        <v>97</v>
      </c>
      <c r="D1683" s="10">
        <v>0</v>
      </c>
      <c r="E1683" t="str">
        <f>$A1683&amp;Keys!$C$54&amp;$B1683&amp;Keys!$C$54&amp;$C1683</f>
        <v>NE|production|jet fuel or kerosene</v>
      </c>
    </row>
    <row r="1684" spans="1:5" x14ac:dyDescent="0.25">
      <c r="A1684" t="s">
        <v>135</v>
      </c>
      <c r="B1684" t="s">
        <v>191</v>
      </c>
      <c r="C1684" t="s">
        <v>97</v>
      </c>
      <c r="D1684" s="10">
        <v>5993420000000</v>
      </c>
      <c r="E1684" t="str">
        <f>$A1684&amp;Keys!$C$54&amp;$B1684&amp;Keys!$C$54&amp;$C1684</f>
        <v>NE|imports|jet fuel or kerosene</v>
      </c>
    </row>
    <row r="1685" spans="1:5" x14ac:dyDescent="0.25">
      <c r="A1685" t="s">
        <v>135</v>
      </c>
      <c r="B1685" t="s">
        <v>193</v>
      </c>
      <c r="C1685" t="s">
        <v>97</v>
      </c>
      <c r="D1685" s="10">
        <v>0</v>
      </c>
      <c r="E1685" t="str">
        <f>$A1685&amp;Keys!$C$54&amp;$B1685&amp;Keys!$C$54&amp;$C1685</f>
        <v>NE|exports|jet fuel or kerosene</v>
      </c>
    </row>
    <row r="1686" spans="1:5" x14ac:dyDescent="0.25">
      <c r="A1686" t="s">
        <v>135</v>
      </c>
      <c r="B1686" t="s">
        <v>188</v>
      </c>
      <c r="C1686" t="s">
        <v>276</v>
      </c>
      <c r="D1686" s="10">
        <v>0</v>
      </c>
      <c r="E1686" t="str">
        <f>$A1686&amp;Keys!$C$54&amp;$B1686&amp;Keys!$C$54&amp;$C1686</f>
        <v>NE|production|heat</v>
      </c>
    </row>
    <row r="1687" spans="1:5" x14ac:dyDescent="0.25">
      <c r="A1687" t="s">
        <v>135</v>
      </c>
      <c r="B1687" t="s">
        <v>191</v>
      </c>
      <c r="C1687" t="s">
        <v>276</v>
      </c>
      <c r="D1687" s="10">
        <v>0</v>
      </c>
      <c r="E1687" t="str">
        <f>$A1687&amp;Keys!$C$54&amp;$B1687&amp;Keys!$C$54&amp;$C1687</f>
        <v>NE|imports|heat</v>
      </c>
    </row>
    <row r="1688" spans="1:5" x14ac:dyDescent="0.25">
      <c r="A1688" t="s">
        <v>135</v>
      </c>
      <c r="B1688" t="s">
        <v>193</v>
      </c>
      <c r="C1688" t="s">
        <v>276</v>
      </c>
      <c r="D1688" s="10">
        <v>0</v>
      </c>
      <c r="E1688" t="str">
        <f>$A1688&amp;Keys!$C$54&amp;$B1688&amp;Keys!$C$54&amp;$C1688</f>
        <v>NE|exports|heat</v>
      </c>
    </row>
    <row r="1689" spans="1:5" x14ac:dyDescent="0.25">
      <c r="A1689" t="s">
        <v>135</v>
      </c>
      <c r="B1689" t="s">
        <v>188</v>
      </c>
      <c r="C1689" t="s">
        <v>277</v>
      </c>
      <c r="D1689" s="10">
        <v>0</v>
      </c>
      <c r="E1689" t="str">
        <f>$A1689&amp;Keys!$C$54&amp;$B1689&amp;Keys!$C$54&amp;$C1689</f>
        <v>NE|production|geothermal</v>
      </c>
    </row>
    <row r="1690" spans="1:5" x14ac:dyDescent="0.25">
      <c r="A1690" t="s">
        <v>135</v>
      </c>
      <c r="B1690" t="s">
        <v>191</v>
      </c>
      <c r="C1690" t="s">
        <v>277</v>
      </c>
      <c r="D1690" s="10">
        <v>0</v>
      </c>
      <c r="E1690" t="str">
        <f>$A1690&amp;Keys!$C$54&amp;$B1690&amp;Keys!$C$54&amp;$C1690</f>
        <v>NE|imports|geothermal</v>
      </c>
    </row>
    <row r="1691" spans="1:5" x14ac:dyDescent="0.25">
      <c r="A1691" t="s">
        <v>135</v>
      </c>
      <c r="B1691" t="s">
        <v>193</v>
      </c>
      <c r="C1691" t="s">
        <v>277</v>
      </c>
      <c r="D1691" s="10">
        <v>0</v>
      </c>
      <c r="E1691" t="str">
        <f>$A1691&amp;Keys!$C$54&amp;$B1691&amp;Keys!$C$54&amp;$C1691</f>
        <v>NE|exports|geothermal</v>
      </c>
    </row>
    <row r="1692" spans="1:5" x14ac:dyDescent="0.25">
      <c r="A1692" t="s">
        <v>135</v>
      </c>
      <c r="B1692" t="s">
        <v>188</v>
      </c>
      <c r="C1692" t="s">
        <v>106</v>
      </c>
      <c r="D1692" s="10">
        <v>0</v>
      </c>
      <c r="E1692" t="str">
        <f>$A1692&amp;Keys!$C$54&amp;$B1692&amp;Keys!$C$54&amp;$C1692</f>
        <v>NE|production|lignite</v>
      </c>
    </row>
    <row r="1693" spans="1:5" x14ac:dyDescent="0.25">
      <c r="A1693" t="s">
        <v>135</v>
      </c>
      <c r="B1693" t="s">
        <v>191</v>
      </c>
      <c r="C1693" t="s">
        <v>106</v>
      </c>
      <c r="D1693" s="10">
        <v>0</v>
      </c>
      <c r="E1693" t="str">
        <f>$A1693&amp;Keys!$C$54&amp;$B1693&amp;Keys!$C$54&amp;$C1693</f>
        <v>NE|imports|lignite</v>
      </c>
    </row>
    <row r="1694" spans="1:5" x14ac:dyDescent="0.25">
      <c r="A1694" t="s">
        <v>135</v>
      </c>
      <c r="B1694" t="s">
        <v>193</v>
      </c>
      <c r="C1694" t="s">
        <v>106</v>
      </c>
      <c r="D1694" s="10">
        <v>0</v>
      </c>
      <c r="E1694" t="str">
        <f>$A1694&amp;Keys!$C$54&amp;$B1694&amp;Keys!$C$54&amp;$C1694</f>
        <v>NE|exports|lignite</v>
      </c>
    </row>
    <row r="1695" spans="1:5" x14ac:dyDescent="0.25">
      <c r="A1695" t="s">
        <v>135</v>
      </c>
      <c r="B1695" t="s">
        <v>188</v>
      </c>
      <c r="C1695" t="s">
        <v>109</v>
      </c>
      <c r="D1695" s="10">
        <v>7464600000000</v>
      </c>
      <c r="E1695" t="str">
        <f>$A1695&amp;Keys!$C$54&amp;$B1695&amp;Keys!$C$54&amp;$C1695</f>
        <v>NE|production|crude oil</v>
      </c>
    </row>
    <row r="1696" spans="1:5" x14ac:dyDescent="0.25">
      <c r="A1696" t="s">
        <v>135</v>
      </c>
      <c r="B1696" t="s">
        <v>191</v>
      </c>
      <c r="C1696" t="s">
        <v>109</v>
      </c>
      <c r="D1696" s="10">
        <v>0</v>
      </c>
      <c r="E1696" t="str">
        <f>$A1696&amp;Keys!$C$54&amp;$B1696&amp;Keys!$C$54&amp;$C1696</f>
        <v>NE|imports|crude oil</v>
      </c>
    </row>
    <row r="1697" spans="1:5" x14ac:dyDescent="0.25">
      <c r="A1697" t="s">
        <v>135</v>
      </c>
      <c r="B1697" t="s">
        <v>193</v>
      </c>
      <c r="C1697" t="s">
        <v>109</v>
      </c>
      <c r="D1697" s="10">
        <v>6894400000000</v>
      </c>
      <c r="E1697" t="str">
        <f>$A1697&amp;Keys!$C$54&amp;$B1697&amp;Keys!$C$54&amp;$C1697</f>
        <v>NE|exports|crude oil</v>
      </c>
    </row>
    <row r="1698" spans="1:5" x14ac:dyDescent="0.25">
      <c r="A1698" t="s">
        <v>135</v>
      </c>
      <c r="B1698" t="s">
        <v>188</v>
      </c>
      <c r="C1698" t="s">
        <v>114</v>
      </c>
      <c r="D1698" s="10">
        <v>0</v>
      </c>
      <c r="E1698" t="str">
        <f>$A1698&amp;Keys!$C$54&amp;$B1698&amp;Keys!$C$54&amp;$C1698</f>
        <v>NE|production|heavy or residual fuel oil</v>
      </c>
    </row>
    <row r="1699" spans="1:5" x14ac:dyDescent="0.25">
      <c r="A1699" t="s">
        <v>135</v>
      </c>
      <c r="B1699" t="s">
        <v>191</v>
      </c>
      <c r="C1699" t="s">
        <v>114</v>
      </c>
      <c r="D1699" s="10">
        <v>5622380000000</v>
      </c>
      <c r="E1699" t="str">
        <f>$A1699&amp;Keys!$C$54&amp;$B1699&amp;Keys!$C$54&amp;$C1699</f>
        <v>NE|imports|heavy or residual fuel oil</v>
      </c>
    </row>
    <row r="1700" spans="1:5" x14ac:dyDescent="0.25">
      <c r="A1700" t="s">
        <v>135</v>
      </c>
      <c r="B1700" t="s">
        <v>193</v>
      </c>
      <c r="C1700" t="s">
        <v>114</v>
      </c>
      <c r="D1700" s="10">
        <v>0</v>
      </c>
      <c r="E1700" t="str">
        <f>$A1700&amp;Keys!$C$54&amp;$B1700&amp;Keys!$C$54&amp;$C1700</f>
        <v>NE|exports|heavy or residual fuel oil</v>
      </c>
    </row>
    <row r="1701" spans="1:5" x14ac:dyDescent="0.25">
      <c r="A1701" t="s">
        <v>135</v>
      </c>
      <c r="B1701" t="s">
        <v>188</v>
      </c>
      <c r="C1701" t="s">
        <v>117</v>
      </c>
      <c r="D1701" s="10">
        <v>33087700000</v>
      </c>
      <c r="E1701" t="str">
        <f>$A1701&amp;Keys!$C$54&amp;$B1701&amp;Keys!$C$54&amp;$C1701</f>
        <v>NE|production|LPG propane or butane</v>
      </c>
    </row>
    <row r="1702" spans="1:5" x14ac:dyDescent="0.25">
      <c r="A1702" t="s">
        <v>135</v>
      </c>
      <c r="B1702" t="s">
        <v>191</v>
      </c>
      <c r="C1702" t="s">
        <v>117</v>
      </c>
      <c r="D1702" s="10">
        <v>6964710000000</v>
      </c>
      <c r="E1702" t="str">
        <f>$A1702&amp;Keys!$C$54&amp;$B1702&amp;Keys!$C$54&amp;$C1702</f>
        <v>NE|imports|LPG propane or butane</v>
      </c>
    </row>
    <row r="1703" spans="1:5" x14ac:dyDescent="0.25">
      <c r="A1703" t="s">
        <v>135</v>
      </c>
      <c r="B1703" t="s">
        <v>193</v>
      </c>
      <c r="C1703" t="s">
        <v>117</v>
      </c>
      <c r="D1703" s="10">
        <v>0</v>
      </c>
      <c r="E1703" t="str">
        <f>$A1703&amp;Keys!$C$54&amp;$B1703&amp;Keys!$C$54&amp;$C1703</f>
        <v>NE|exports|LPG propane or butane</v>
      </c>
    </row>
    <row r="1704" spans="1:5" x14ac:dyDescent="0.25">
      <c r="A1704" t="s">
        <v>135</v>
      </c>
      <c r="B1704" t="s">
        <v>188</v>
      </c>
      <c r="C1704" t="s">
        <v>120</v>
      </c>
      <c r="D1704" s="10">
        <v>0</v>
      </c>
      <c r="E1704" t="str">
        <f>$A1704&amp;Keys!$C$54&amp;$B1704&amp;Keys!$C$54&amp;$C1704</f>
        <v>NE|production|municipal solid waste</v>
      </c>
    </row>
    <row r="1705" spans="1:5" x14ac:dyDescent="0.25">
      <c r="A1705" t="s">
        <v>135</v>
      </c>
      <c r="B1705" t="s">
        <v>191</v>
      </c>
      <c r="C1705" t="s">
        <v>120</v>
      </c>
      <c r="D1705" s="10">
        <v>0</v>
      </c>
      <c r="E1705" t="str">
        <f>$A1705&amp;Keys!$C$54&amp;$B1705&amp;Keys!$C$54&amp;$C1705</f>
        <v>NE|imports|municipal solid waste</v>
      </c>
    </row>
    <row r="1706" spans="1:5" x14ac:dyDescent="0.25">
      <c r="A1706" t="s">
        <v>135</v>
      </c>
      <c r="B1706" t="s">
        <v>193</v>
      </c>
      <c r="C1706" t="s">
        <v>120</v>
      </c>
      <c r="D1706" s="10">
        <v>0</v>
      </c>
      <c r="E1706" t="str">
        <f>$A1706&amp;Keys!$C$54&amp;$B1706&amp;Keys!$C$54&amp;$C1706</f>
        <v>NE|exports|municipal solid waste</v>
      </c>
    </row>
    <row r="1707" spans="1:5" x14ac:dyDescent="0.25">
      <c r="A1707" t="s">
        <v>135</v>
      </c>
      <c r="B1707" t="s">
        <v>188</v>
      </c>
      <c r="C1707" t="s">
        <v>123</v>
      </c>
      <c r="D1707" s="10">
        <v>0</v>
      </c>
      <c r="E1707" t="str">
        <f>$A1707&amp;Keys!$C$54&amp;$B1707&amp;Keys!$C$54&amp;$C1707</f>
        <v>NE|production|hydrogen</v>
      </c>
    </row>
    <row r="1708" spans="1:5" x14ac:dyDescent="0.25">
      <c r="A1708" t="s">
        <v>135</v>
      </c>
      <c r="B1708" t="s">
        <v>191</v>
      </c>
      <c r="C1708" t="s">
        <v>123</v>
      </c>
      <c r="D1708" s="10">
        <v>0</v>
      </c>
      <c r="E1708" t="str">
        <f>$A1708&amp;Keys!$C$54&amp;$B1708&amp;Keys!$C$54&amp;$C1708</f>
        <v>NE|imports|hydrogen</v>
      </c>
    </row>
    <row r="1709" spans="1:5" x14ac:dyDescent="0.25">
      <c r="A1709" t="s">
        <v>135</v>
      </c>
      <c r="B1709" t="s">
        <v>193</v>
      </c>
      <c r="C1709" t="s">
        <v>123</v>
      </c>
      <c r="D1709" s="10">
        <v>0</v>
      </c>
      <c r="E1709" t="str">
        <f>$A1709&amp;Keys!$C$54&amp;$B1709&amp;Keys!$C$54&amp;$C1709</f>
        <v>NE|exports|hydrogen</v>
      </c>
    </row>
    <row r="1710" spans="1:5" x14ac:dyDescent="0.25">
      <c r="A1710" t="s">
        <v>137</v>
      </c>
      <c r="B1710" t="s">
        <v>188</v>
      </c>
      <c r="C1710" t="s">
        <v>272</v>
      </c>
      <c r="D1710" s="10">
        <v>0</v>
      </c>
      <c r="E1710" t="str">
        <f>$A1710&amp;Keys!$C$54&amp;$B1710&amp;Keys!$C$54&amp;$C1710</f>
        <v>NH|production|electricity</v>
      </c>
    </row>
    <row r="1711" spans="1:5" x14ac:dyDescent="0.25">
      <c r="A1711" t="s">
        <v>137</v>
      </c>
      <c r="B1711" t="s">
        <v>191</v>
      </c>
      <c r="C1711" t="s">
        <v>272</v>
      </c>
      <c r="D1711" s="10">
        <v>0</v>
      </c>
      <c r="E1711" t="str">
        <f>$A1711&amp;Keys!$C$54&amp;$B1711&amp;Keys!$C$54&amp;$C1711</f>
        <v>NH|imports|electricity</v>
      </c>
    </row>
    <row r="1712" spans="1:5" x14ac:dyDescent="0.25">
      <c r="A1712" t="s">
        <v>137</v>
      </c>
      <c r="B1712" t="s">
        <v>193</v>
      </c>
      <c r="C1712" t="s">
        <v>272</v>
      </c>
      <c r="D1712" s="10">
        <v>0</v>
      </c>
      <c r="E1712" t="str">
        <f>$A1712&amp;Keys!$C$54&amp;$B1712&amp;Keys!$C$54&amp;$C1712</f>
        <v>NH|exports|electricity</v>
      </c>
    </row>
    <row r="1713" spans="1:5" x14ac:dyDescent="0.25">
      <c r="A1713" t="s">
        <v>137</v>
      </c>
      <c r="B1713" t="s">
        <v>188</v>
      </c>
      <c r="C1713" t="s">
        <v>64</v>
      </c>
      <c r="D1713" s="10">
        <v>0</v>
      </c>
      <c r="E1713" t="str">
        <f>$A1713&amp;Keys!$C$54&amp;$B1713&amp;Keys!$C$54&amp;$C1713</f>
        <v>NH|production|hard coal</v>
      </c>
    </row>
    <row r="1714" spans="1:5" x14ac:dyDescent="0.25">
      <c r="A1714" t="s">
        <v>137</v>
      </c>
      <c r="B1714" t="s">
        <v>191</v>
      </c>
      <c r="C1714" t="s">
        <v>64</v>
      </c>
      <c r="D1714" s="10">
        <v>10074300000000</v>
      </c>
      <c r="E1714" t="str">
        <f>$A1714&amp;Keys!$C$54&amp;$B1714&amp;Keys!$C$54&amp;$C1714</f>
        <v>NH|imports|hard coal</v>
      </c>
    </row>
    <row r="1715" spans="1:5" x14ac:dyDescent="0.25">
      <c r="A1715" t="s">
        <v>137</v>
      </c>
      <c r="B1715" t="s">
        <v>193</v>
      </c>
      <c r="C1715" t="s">
        <v>64</v>
      </c>
      <c r="D1715" s="10">
        <v>0</v>
      </c>
      <c r="E1715" t="str">
        <f>$A1715&amp;Keys!$C$54&amp;$B1715&amp;Keys!$C$54&amp;$C1715</f>
        <v>NH|exports|hard coal</v>
      </c>
    </row>
    <row r="1716" spans="1:5" x14ac:dyDescent="0.25">
      <c r="A1716" t="s">
        <v>137</v>
      </c>
      <c r="B1716" t="s">
        <v>188</v>
      </c>
      <c r="C1716" t="s">
        <v>68</v>
      </c>
      <c r="D1716" s="10">
        <v>0</v>
      </c>
      <c r="E1716" t="str">
        <f>$A1716&amp;Keys!$C$54&amp;$B1716&amp;Keys!$C$54&amp;$C1716</f>
        <v>NH|production|natural gas</v>
      </c>
    </row>
    <row r="1717" spans="1:5" x14ac:dyDescent="0.25">
      <c r="A1717" t="s">
        <v>137</v>
      </c>
      <c r="B1717" t="s">
        <v>191</v>
      </c>
      <c r="C1717" t="s">
        <v>68</v>
      </c>
      <c r="D1717" s="10">
        <v>403813000000000</v>
      </c>
      <c r="E1717" t="str">
        <f>$A1717&amp;Keys!$C$54&amp;$B1717&amp;Keys!$C$54&amp;$C1717</f>
        <v>NH|imports|natural gas</v>
      </c>
    </row>
    <row r="1718" spans="1:5" x14ac:dyDescent="0.25">
      <c r="A1718" t="s">
        <v>137</v>
      </c>
      <c r="B1718" t="s">
        <v>193</v>
      </c>
      <c r="C1718" t="s">
        <v>68</v>
      </c>
      <c r="D1718" s="10">
        <v>343566000000000</v>
      </c>
      <c r="E1718" t="str">
        <f>$A1718&amp;Keys!$C$54&amp;$B1718&amp;Keys!$C$54&amp;$C1718</f>
        <v>NH|exports|natural gas</v>
      </c>
    </row>
    <row r="1719" spans="1:5" x14ac:dyDescent="0.25">
      <c r="A1719" t="s">
        <v>137</v>
      </c>
      <c r="B1719" t="s">
        <v>188</v>
      </c>
      <c r="C1719" t="s">
        <v>71</v>
      </c>
      <c r="D1719" s="10">
        <v>0</v>
      </c>
      <c r="E1719" t="str">
        <f>$A1719&amp;Keys!$C$54&amp;$B1719&amp;Keys!$C$54&amp;$C1719</f>
        <v>NH|production|nuclear</v>
      </c>
    </row>
    <row r="1720" spans="1:5" x14ac:dyDescent="0.25">
      <c r="A1720" t="s">
        <v>137</v>
      </c>
      <c r="B1720" t="s">
        <v>191</v>
      </c>
      <c r="C1720" t="s">
        <v>71</v>
      </c>
      <c r="D1720" s="10">
        <v>114205000000000</v>
      </c>
      <c r="E1720" t="str">
        <f>$A1720&amp;Keys!$C$54&amp;$B1720&amp;Keys!$C$54&amp;$C1720</f>
        <v>NH|imports|nuclear</v>
      </c>
    </row>
    <row r="1721" spans="1:5" x14ac:dyDescent="0.25">
      <c r="A1721" t="s">
        <v>137</v>
      </c>
      <c r="B1721" t="s">
        <v>193</v>
      </c>
      <c r="C1721" t="s">
        <v>71</v>
      </c>
      <c r="D1721" s="10">
        <v>0</v>
      </c>
      <c r="E1721" t="str">
        <f>$A1721&amp;Keys!$C$54&amp;$B1721&amp;Keys!$C$54&amp;$C1721</f>
        <v>NH|exports|nuclear</v>
      </c>
    </row>
    <row r="1722" spans="1:5" x14ac:dyDescent="0.25">
      <c r="A1722" t="s">
        <v>137</v>
      </c>
      <c r="B1722" t="s">
        <v>188</v>
      </c>
      <c r="C1722" t="s">
        <v>273</v>
      </c>
      <c r="D1722" s="10">
        <v>0</v>
      </c>
      <c r="E1722" t="str">
        <f>$A1722&amp;Keys!$C$54&amp;$B1722&amp;Keys!$C$54&amp;$C1722</f>
        <v>NH|production|hydro</v>
      </c>
    </row>
    <row r="1723" spans="1:5" x14ac:dyDescent="0.25">
      <c r="A1723" t="s">
        <v>137</v>
      </c>
      <c r="B1723" t="s">
        <v>191</v>
      </c>
      <c r="C1723" t="s">
        <v>273</v>
      </c>
      <c r="D1723" s="10">
        <v>0</v>
      </c>
      <c r="E1723" t="str">
        <f>$A1723&amp;Keys!$C$54&amp;$B1723&amp;Keys!$C$54&amp;$C1723</f>
        <v>NH|imports|hydro</v>
      </c>
    </row>
    <row r="1724" spans="1:5" x14ac:dyDescent="0.25">
      <c r="A1724" t="s">
        <v>137</v>
      </c>
      <c r="B1724" t="s">
        <v>193</v>
      </c>
      <c r="C1724" t="s">
        <v>273</v>
      </c>
      <c r="D1724" s="10">
        <v>0</v>
      </c>
      <c r="E1724" t="str">
        <f>$A1724&amp;Keys!$C$54&amp;$B1724&amp;Keys!$C$54&amp;$C1724</f>
        <v>NH|exports|hydro</v>
      </c>
    </row>
    <row r="1725" spans="1:5" x14ac:dyDescent="0.25">
      <c r="A1725" t="s">
        <v>137</v>
      </c>
      <c r="B1725" t="s">
        <v>188</v>
      </c>
      <c r="C1725" t="s">
        <v>274</v>
      </c>
      <c r="D1725" s="10">
        <v>0</v>
      </c>
      <c r="E1725" t="str">
        <f>$A1725&amp;Keys!$C$54&amp;$B1725&amp;Keys!$C$54&amp;$C1725</f>
        <v>NH|production|wind</v>
      </c>
    </row>
    <row r="1726" spans="1:5" x14ac:dyDescent="0.25">
      <c r="A1726" t="s">
        <v>137</v>
      </c>
      <c r="B1726" t="s">
        <v>191</v>
      </c>
      <c r="C1726" t="s">
        <v>274</v>
      </c>
      <c r="D1726" s="10">
        <v>0</v>
      </c>
      <c r="E1726" t="str">
        <f>$A1726&amp;Keys!$C$54&amp;$B1726&amp;Keys!$C$54&amp;$C1726</f>
        <v>NH|imports|wind</v>
      </c>
    </row>
    <row r="1727" spans="1:5" x14ac:dyDescent="0.25">
      <c r="A1727" t="s">
        <v>137</v>
      </c>
      <c r="B1727" t="s">
        <v>193</v>
      </c>
      <c r="C1727" t="s">
        <v>274</v>
      </c>
      <c r="D1727" s="10">
        <v>0</v>
      </c>
      <c r="E1727" t="str">
        <f>$A1727&amp;Keys!$C$54&amp;$B1727&amp;Keys!$C$54&amp;$C1727</f>
        <v>NH|exports|wind</v>
      </c>
    </row>
    <row r="1728" spans="1:5" x14ac:dyDescent="0.25">
      <c r="A1728" t="s">
        <v>137</v>
      </c>
      <c r="B1728" t="s">
        <v>188</v>
      </c>
      <c r="C1728" t="s">
        <v>275</v>
      </c>
      <c r="D1728" s="10">
        <v>0</v>
      </c>
      <c r="E1728" t="str">
        <f>$A1728&amp;Keys!$C$54&amp;$B1728&amp;Keys!$C$54&amp;$C1728</f>
        <v>NH|production|solar</v>
      </c>
    </row>
    <row r="1729" spans="1:5" x14ac:dyDescent="0.25">
      <c r="A1729" t="s">
        <v>137</v>
      </c>
      <c r="B1729" t="s">
        <v>191</v>
      </c>
      <c r="C1729" t="s">
        <v>275</v>
      </c>
      <c r="D1729" s="10">
        <v>0</v>
      </c>
      <c r="E1729" t="str">
        <f>$A1729&amp;Keys!$C$54&amp;$B1729&amp;Keys!$C$54&amp;$C1729</f>
        <v>NH|imports|solar</v>
      </c>
    </row>
    <row r="1730" spans="1:5" x14ac:dyDescent="0.25">
      <c r="A1730" t="s">
        <v>137</v>
      </c>
      <c r="B1730" t="s">
        <v>193</v>
      </c>
      <c r="C1730" t="s">
        <v>275</v>
      </c>
      <c r="D1730" s="10">
        <v>0</v>
      </c>
      <c r="E1730" t="str">
        <f>$A1730&amp;Keys!$C$54&amp;$B1730&amp;Keys!$C$54&amp;$C1730</f>
        <v>NH|exports|solar</v>
      </c>
    </row>
    <row r="1731" spans="1:5" x14ac:dyDescent="0.25">
      <c r="A1731" t="s">
        <v>137</v>
      </c>
      <c r="B1731" t="s">
        <v>188</v>
      </c>
      <c r="C1731" t="s">
        <v>82</v>
      </c>
      <c r="D1731" s="10">
        <v>1440000000000</v>
      </c>
      <c r="E1731" t="str">
        <f>$A1731&amp;Keys!$C$54&amp;$B1731&amp;Keys!$C$54&amp;$C1731</f>
        <v>NH|production|biomass</v>
      </c>
    </row>
    <row r="1732" spans="1:5" x14ac:dyDescent="0.25">
      <c r="A1732" t="s">
        <v>137</v>
      </c>
      <c r="B1732" t="s">
        <v>191</v>
      </c>
      <c r="C1732" t="s">
        <v>82</v>
      </c>
      <c r="D1732" s="10">
        <v>23100700000000</v>
      </c>
      <c r="E1732" t="str">
        <f>$A1732&amp;Keys!$C$54&amp;$B1732&amp;Keys!$C$54&amp;$C1732</f>
        <v>NH|imports|biomass</v>
      </c>
    </row>
    <row r="1733" spans="1:5" x14ac:dyDescent="0.25">
      <c r="A1733" t="s">
        <v>137</v>
      </c>
      <c r="B1733" t="s">
        <v>193</v>
      </c>
      <c r="C1733" t="s">
        <v>82</v>
      </c>
      <c r="D1733" s="10">
        <v>0</v>
      </c>
      <c r="E1733" t="str">
        <f>$A1733&amp;Keys!$C$54&amp;$B1733&amp;Keys!$C$54&amp;$C1733</f>
        <v>NH|exports|biomass</v>
      </c>
    </row>
    <row r="1734" spans="1:5" x14ac:dyDescent="0.25">
      <c r="A1734" t="s">
        <v>137</v>
      </c>
      <c r="B1734" t="s">
        <v>188</v>
      </c>
      <c r="C1734" t="s">
        <v>85</v>
      </c>
      <c r="D1734" s="10">
        <v>0</v>
      </c>
      <c r="E1734" t="str">
        <f>$A1734&amp;Keys!$C$54&amp;$B1734&amp;Keys!$C$54&amp;$C1734</f>
        <v>NH|production|petroleum gasoline</v>
      </c>
    </row>
    <row r="1735" spans="1:5" x14ac:dyDescent="0.25">
      <c r="A1735" t="s">
        <v>137</v>
      </c>
      <c r="B1735" t="s">
        <v>191</v>
      </c>
      <c r="C1735" t="s">
        <v>85</v>
      </c>
      <c r="D1735" s="10">
        <v>75437200000000</v>
      </c>
      <c r="E1735" t="str">
        <f>$A1735&amp;Keys!$C$54&amp;$B1735&amp;Keys!$C$54&amp;$C1735</f>
        <v>NH|imports|petroleum gasoline</v>
      </c>
    </row>
    <row r="1736" spans="1:5" x14ac:dyDescent="0.25">
      <c r="A1736" t="s">
        <v>137</v>
      </c>
      <c r="B1736" t="s">
        <v>193</v>
      </c>
      <c r="C1736" t="s">
        <v>85</v>
      </c>
      <c r="D1736" s="10">
        <v>0</v>
      </c>
      <c r="E1736" t="str">
        <f>$A1736&amp;Keys!$C$54&amp;$B1736&amp;Keys!$C$54&amp;$C1736</f>
        <v>NH|exports|petroleum gasoline</v>
      </c>
    </row>
    <row r="1737" spans="1:5" x14ac:dyDescent="0.25">
      <c r="A1737" t="s">
        <v>137</v>
      </c>
      <c r="B1737" t="s">
        <v>188</v>
      </c>
      <c r="C1737" t="s">
        <v>88</v>
      </c>
      <c r="D1737" s="10">
        <v>0</v>
      </c>
      <c r="E1737" t="str">
        <f>$A1737&amp;Keys!$C$54&amp;$B1737&amp;Keys!$C$54&amp;$C1737</f>
        <v>NH|production|petroleum diesel</v>
      </c>
    </row>
    <row r="1738" spans="1:5" x14ac:dyDescent="0.25">
      <c r="A1738" t="s">
        <v>137</v>
      </c>
      <c r="B1738" t="s">
        <v>191</v>
      </c>
      <c r="C1738" t="s">
        <v>88</v>
      </c>
      <c r="D1738" s="10">
        <v>47013000000000</v>
      </c>
      <c r="E1738" t="str">
        <f>$A1738&amp;Keys!$C$54&amp;$B1738&amp;Keys!$C$54&amp;$C1738</f>
        <v>NH|imports|petroleum diesel</v>
      </c>
    </row>
    <row r="1739" spans="1:5" x14ac:dyDescent="0.25">
      <c r="A1739" t="s">
        <v>137</v>
      </c>
      <c r="B1739" t="s">
        <v>193</v>
      </c>
      <c r="C1739" t="s">
        <v>88</v>
      </c>
      <c r="D1739" s="10">
        <v>0</v>
      </c>
      <c r="E1739" t="str">
        <f>$A1739&amp;Keys!$C$54&amp;$B1739&amp;Keys!$C$54&amp;$C1739</f>
        <v>NH|exports|petroleum diesel</v>
      </c>
    </row>
    <row r="1740" spans="1:5" x14ac:dyDescent="0.25">
      <c r="A1740" t="s">
        <v>137</v>
      </c>
      <c r="B1740" t="s">
        <v>188</v>
      </c>
      <c r="C1740" t="s">
        <v>91</v>
      </c>
      <c r="D1740" s="10">
        <v>0</v>
      </c>
      <c r="E1740" t="str">
        <f>$A1740&amp;Keys!$C$54&amp;$B1740&amp;Keys!$C$54&amp;$C1740</f>
        <v>NH|production|biofuel gasoline</v>
      </c>
    </row>
    <row r="1741" spans="1:5" x14ac:dyDescent="0.25">
      <c r="A1741" t="s">
        <v>137</v>
      </c>
      <c r="B1741" t="s">
        <v>191</v>
      </c>
      <c r="C1741" t="s">
        <v>91</v>
      </c>
      <c r="D1741" s="10">
        <v>5412980000000</v>
      </c>
      <c r="E1741" t="str">
        <f>$A1741&amp;Keys!$C$54&amp;$B1741&amp;Keys!$C$54&amp;$C1741</f>
        <v>NH|imports|biofuel gasoline</v>
      </c>
    </row>
    <row r="1742" spans="1:5" x14ac:dyDescent="0.25">
      <c r="A1742" t="s">
        <v>137</v>
      </c>
      <c r="B1742" t="s">
        <v>193</v>
      </c>
      <c r="C1742" t="s">
        <v>91</v>
      </c>
      <c r="D1742" s="10">
        <v>0</v>
      </c>
      <c r="E1742" t="str">
        <f>$A1742&amp;Keys!$C$54&amp;$B1742&amp;Keys!$C$54&amp;$C1742</f>
        <v>NH|exports|biofuel gasoline</v>
      </c>
    </row>
    <row r="1743" spans="1:5" x14ac:dyDescent="0.25">
      <c r="A1743" t="s">
        <v>137</v>
      </c>
      <c r="B1743" t="s">
        <v>188</v>
      </c>
      <c r="C1743" t="s">
        <v>94</v>
      </c>
      <c r="D1743" s="10">
        <v>2381540000000</v>
      </c>
      <c r="E1743" t="str">
        <f>$A1743&amp;Keys!$C$54&amp;$B1743&amp;Keys!$C$54&amp;$C1743</f>
        <v>NH|production|biofuel diesel</v>
      </c>
    </row>
    <row r="1744" spans="1:5" x14ac:dyDescent="0.25">
      <c r="A1744" t="s">
        <v>137</v>
      </c>
      <c r="B1744" t="s">
        <v>191</v>
      </c>
      <c r="C1744" t="s">
        <v>94</v>
      </c>
      <c r="D1744" s="10">
        <v>9090630000</v>
      </c>
      <c r="E1744" t="str">
        <f>$A1744&amp;Keys!$C$54&amp;$B1744&amp;Keys!$C$54&amp;$C1744</f>
        <v>NH|imports|biofuel diesel</v>
      </c>
    </row>
    <row r="1745" spans="1:5" x14ac:dyDescent="0.25">
      <c r="A1745" t="s">
        <v>137</v>
      </c>
      <c r="B1745" t="s">
        <v>193</v>
      </c>
      <c r="C1745" t="s">
        <v>94</v>
      </c>
      <c r="D1745" s="10">
        <v>2054220000000</v>
      </c>
      <c r="E1745" t="str">
        <f>$A1745&amp;Keys!$C$54&amp;$B1745&amp;Keys!$C$54&amp;$C1745</f>
        <v>NH|exports|biofuel diesel</v>
      </c>
    </row>
    <row r="1746" spans="1:5" x14ac:dyDescent="0.25">
      <c r="A1746" t="s">
        <v>137</v>
      </c>
      <c r="B1746" t="s">
        <v>188</v>
      </c>
      <c r="C1746" t="s">
        <v>97</v>
      </c>
      <c r="D1746" s="10">
        <v>0</v>
      </c>
      <c r="E1746" t="str">
        <f>$A1746&amp;Keys!$C$54&amp;$B1746&amp;Keys!$C$54&amp;$C1746</f>
        <v>NH|production|jet fuel or kerosene</v>
      </c>
    </row>
    <row r="1747" spans="1:5" x14ac:dyDescent="0.25">
      <c r="A1747" t="s">
        <v>137</v>
      </c>
      <c r="B1747" t="s">
        <v>191</v>
      </c>
      <c r="C1747" t="s">
        <v>97</v>
      </c>
      <c r="D1747" s="10">
        <v>5537520000000</v>
      </c>
      <c r="E1747" t="str">
        <f>$A1747&amp;Keys!$C$54&amp;$B1747&amp;Keys!$C$54&amp;$C1747</f>
        <v>NH|imports|jet fuel or kerosene</v>
      </c>
    </row>
    <row r="1748" spans="1:5" x14ac:dyDescent="0.25">
      <c r="A1748" t="s">
        <v>137</v>
      </c>
      <c r="B1748" t="s">
        <v>193</v>
      </c>
      <c r="C1748" t="s">
        <v>97</v>
      </c>
      <c r="D1748" s="10">
        <v>0</v>
      </c>
      <c r="E1748" t="str">
        <f>$A1748&amp;Keys!$C$54&amp;$B1748&amp;Keys!$C$54&amp;$C1748</f>
        <v>NH|exports|jet fuel or kerosene</v>
      </c>
    </row>
    <row r="1749" spans="1:5" x14ac:dyDescent="0.25">
      <c r="A1749" t="s">
        <v>137</v>
      </c>
      <c r="B1749" t="s">
        <v>188</v>
      </c>
      <c r="C1749" t="s">
        <v>276</v>
      </c>
      <c r="D1749" s="10">
        <v>0</v>
      </c>
      <c r="E1749" t="str">
        <f>$A1749&amp;Keys!$C$54&amp;$B1749&amp;Keys!$C$54&amp;$C1749</f>
        <v>NH|production|heat</v>
      </c>
    </row>
    <row r="1750" spans="1:5" x14ac:dyDescent="0.25">
      <c r="A1750" t="s">
        <v>137</v>
      </c>
      <c r="B1750" t="s">
        <v>191</v>
      </c>
      <c r="C1750" t="s">
        <v>276</v>
      </c>
      <c r="D1750" s="10">
        <v>0</v>
      </c>
      <c r="E1750" t="str">
        <f>$A1750&amp;Keys!$C$54&amp;$B1750&amp;Keys!$C$54&amp;$C1750</f>
        <v>NH|imports|heat</v>
      </c>
    </row>
    <row r="1751" spans="1:5" x14ac:dyDescent="0.25">
      <c r="A1751" t="s">
        <v>137</v>
      </c>
      <c r="B1751" t="s">
        <v>193</v>
      </c>
      <c r="C1751" t="s">
        <v>276</v>
      </c>
      <c r="D1751" s="10">
        <v>0</v>
      </c>
      <c r="E1751" t="str">
        <f>$A1751&amp;Keys!$C$54&amp;$B1751&amp;Keys!$C$54&amp;$C1751</f>
        <v>NH|exports|heat</v>
      </c>
    </row>
    <row r="1752" spans="1:5" x14ac:dyDescent="0.25">
      <c r="A1752" t="s">
        <v>137</v>
      </c>
      <c r="B1752" t="s">
        <v>188</v>
      </c>
      <c r="C1752" t="s">
        <v>277</v>
      </c>
      <c r="D1752" s="10">
        <v>0</v>
      </c>
      <c r="E1752" t="str">
        <f>$A1752&amp;Keys!$C$54&amp;$B1752&amp;Keys!$C$54&amp;$C1752</f>
        <v>NH|production|geothermal</v>
      </c>
    </row>
    <row r="1753" spans="1:5" x14ac:dyDescent="0.25">
      <c r="A1753" t="s">
        <v>137</v>
      </c>
      <c r="B1753" t="s">
        <v>191</v>
      </c>
      <c r="C1753" t="s">
        <v>277</v>
      </c>
      <c r="D1753" s="10">
        <v>0</v>
      </c>
      <c r="E1753" t="str">
        <f>$A1753&amp;Keys!$C$54&amp;$B1753&amp;Keys!$C$54&amp;$C1753</f>
        <v>NH|imports|geothermal</v>
      </c>
    </row>
    <row r="1754" spans="1:5" x14ac:dyDescent="0.25">
      <c r="A1754" t="s">
        <v>137</v>
      </c>
      <c r="B1754" t="s">
        <v>193</v>
      </c>
      <c r="C1754" t="s">
        <v>277</v>
      </c>
      <c r="D1754" s="10">
        <v>0</v>
      </c>
      <c r="E1754" t="str">
        <f>$A1754&amp;Keys!$C$54&amp;$B1754&amp;Keys!$C$54&amp;$C1754</f>
        <v>NH|exports|geothermal</v>
      </c>
    </row>
    <row r="1755" spans="1:5" x14ac:dyDescent="0.25">
      <c r="A1755" t="s">
        <v>137</v>
      </c>
      <c r="B1755" t="s">
        <v>188</v>
      </c>
      <c r="C1755" t="s">
        <v>106</v>
      </c>
      <c r="D1755" s="10">
        <v>0</v>
      </c>
      <c r="E1755" t="str">
        <f>$A1755&amp;Keys!$C$54&amp;$B1755&amp;Keys!$C$54&amp;$C1755</f>
        <v>NH|production|lignite</v>
      </c>
    </row>
    <row r="1756" spans="1:5" x14ac:dyDescent="0.25">
      <c r="A1756" t="s">
        <v>137</v>
      </c>
      <c r="B1756" t="s">
        <v>191</v>
      </c>
      <c r="C1756" t="s">
        <v>106</v>
      </c>
      <c r="D1756" s="10">
        <v>0</v>
      </c>
      <c r="E1756" t="str">
        <f>$A1756&amp;Keys!$C$54&amp;$B1756&amp;Keys!$C$54&amp;$C1756</f>
        <v>NH|imports|lignite</v>
      </c>
    </row>
    <row r="1757" spans="1:5" x14ac:dyDescent="0.25">
      <c r="A1757" t="s">
        <v>137</v>
      </c>
      <c r="B1757" t="s">
        <v>193</v>
      </c>
      <c r="C1757" t="s">
        <v>106</v>
      </c>
      <c r="D1757" s="10">
        <v>0</v>
      </c>
      <c r="E1757" t="str">
        <f>$A1757&amp;Keys!$C$54&amp;$B1757&amp;Keys!$C$54&amp;$C1757</f>
        <v>NH|exports|lignite</v>
      </c>
    </row>
    <row r="1758" spans="1:5" x14ac:dyDescent="0.25">
      <c r="A1758" t="s">
        <v>137</v>
      </c>
      <c r="B1758" t="s">
        <v>188</v>
      </c>
      <c r="C1758" t="s">
        <v>109</v>
      </c>
      <c r="D1758" s="10">
        <v>0</v>
      </c>
      <c r="E1758" t="str">
        <f>$A1758&amp;Keys!$C$54&amp;$B1758&amp;Keys!$C$54&amp;$C1758</f>
        <v>NH|production|crude oil</v>
      </c>
    </row>
    <row r="1759" spans="1:5" x14ac:dyDescent="0.25">
      <c r="A1759" t="s">
        <v>137</v>
      </c>
      <c r="B1759" t="s">
        <v>191</v>
      </c>
      <c r="C1759" t="s">
        <v>109</v>
      </c>
      <c r="D1759" s="10">
        <v>226000000000</v>
      </c>
      <c r="E1759" t="str">
        <f>$A1759&amp;Keys!$C$54&amp;$B1759&amp;Keys!$C$54&amp;$C1759</f>
        <v>NH|imports|crude oil</v>
      </c>
    </row>
    <row r="1760" spans="1:5" x14ac:dyDescent="0.25">
      <c r="A1760" t="s">
        <v>137</v>
      </c>
      <c r="B1760" t="s">
        <v>193</v>
      </c>
      <c r="C1760" t="s">
        <v>109</v>
      </c>
      <c r="D1760" s="10">
        <v>0</v>
      </c>
      <c r="E1760" t="str">
        <f>$A1760&amp;Keys!$C$54&amp;$B1760&amp;Keys!$C$54&amp;$C1760</f>
        <v>NH|exports|crude oil</v>
      </c>
    </row>
    <row r="1761" spans="1:5" x14ac:dyDescent="0.25">
      <c r="A1761" t="s">
        <v>137</v>
      </c>
      <c r="B1761" t="s">
        <v>188</v>
      </c>
      <c r="C1761" t="s">
        <v>114</v>
      </c>
      <c r="D1761" s="10">
        <v>0</v>
      </c>
      <c r="E1761" t="str">
        <f>$A1761&amp;Keys!$C$54&amp;$B1761&amp;Keys!$C$54&amp;$C1761</f>
        <v>NH|production|heavy or residual fuel oil</v>
      </c>
    </row>
    <row r="1762" spans="1:5" x14ac:dyDescent="0.25">
      <c r="A1762" t="s">
        <v>137</v>
      </c>
      <c r="B1762" t="s">
        <v>191</v>
      </c>
      <c r="C1762" t="s">
        <v>114</v>
      </c>
      <c r="D1762" s="10">
        <v>3749980000000</v>
      </c>
      <c r="E1762" t="str">
        <f>$A1762&amp;Keys!$C$54&amp;$B1762&amp;Keys!$C$54&amp;$C1762</f>
        <v>NH|imports|heavy or residual fuel oil</v>
      </c>
    </row>
    <row r="1763" spans="1:5" x14ac:dyDescent="0.25">
      <c r="A1763" t="s">
        <v>137</v>
      </c>
      <c r="B1763" t="s">
        <v>193</v>
      </c>
      <c r="C1763" t="s">
        <v>114</v>
      </c>
      <c r="D1763" s="10">
        <v>0</v>
      </c>
      <c r="E1763" t="str">
        <f>$A1763&amp;Keys!$C$54&amp;$B1763&amp;Keys!$C$54&amp;$C1763</f>
        <v>NH|exports|heavy or residual fuel oil</v>
      </c>
    </row>
    <row r="1764" spans="1:5" x14ac:dyDescent="0.25">
      <c r="A1764" t="s">
        <v>137</v>
      </c>
      <c r="B1764" t="s">
        <v>188</v>
      </c>
      <c r="C1764" t="s">
        <v>117</v>
      </c>
      <c r="D1764" s="10">
        <v>0</v>
      </c>
      <c r="E1764" t="str">
        <f>$A1764&amp;Keys!$C$54&amp;$B1764&amp;Keys!$C$54&amp;$C1764</f>
        <v>NH|production|LPG propane or butane</v>
      </c>
    </row>
    <row r="1765" spans="1:5" x14ac:dyDescent="0.25">
      <c r="A1765" t="s">
        <v>137</v>
      </c>
      <c r="B1765" t="s">
        <v>191</v>
      </c>
      <c r="C1765" t="s">
        <v>117</v>
      </c>
      <c r="D1765" s="10">
        <v>16961300000000</v>
      </c>
      <c r="E1765" t="str">
        <f>$A1765&amp;Keys!$C$54&amp;$B1765&amp;Keys!$C$54&amp;$C1765</f>
        <v>NH|imports|LPG propane or butane</v>
      </c>
    </row>
    <row r="1766" spans="1:5" x14ac:dyDescent="0.25">
      <c r="A1766" t="s">
        <v>137</v>
      </c>
      <c r="B1766" t="s">
        <v>193</v>
      </c>
      <c r="C1766" t="s">
        <v>117</v>
      </c>
      <c r="D1766" s="10">
        <v>0</v>
      </c>
      <c r="E1766" t="str">
        <f>$A1766&amp;Keys!$C$54&amp;$B1766&amp;Keys!$C$54&amp;$C1766</f>
        <v>NH|exports|LPG propane or butane</v>
      </c>
    </row>
    <row r="1767" spans="1:5" x14ac:dyDescent="0.25">
      <c r="A1767" t="s">
        <v>137</v>
      </c>
      <c r="B1767" t="s">
        <v>188</v>
      </c>
      <c r="C1767" t="s">
        <v>120</v>
      </c>
      <c r="D1767" s="10">
        <v>0</v>
      </c>
      <c r="E1767" t="str">
        <f>$A1767&amp;Keys!$C$54&amp;$B1767&amp;Keys!$C$54&amp;$C1767</f>
        <v>NH|production|municipal solid waste</v>
      </c>
    </row>
    <row r="1768" spans="1:5" x14ac:dyDescent="0.25">
      <c r="A1768" t="s">
        <v>137</v>
      </c>
      <c r="B1768" t="s">
        <v>191</v>
      </c>
      <c r="C1768" t="s">
        <v>120</v>
      </c>
      <c r="D1768" s="10">
        <v>1554830000000</v>
      </c>
      <c r="E1768" t="str">
        <f>$A1768&amp;Keys!$C$54&amp;$B1768&amp;Keys!$C$54&amp;$C1768</f>
        <v>NH|imports|municipal solid waste</v>
      </c>
    </row>
    <row r="1769" spans="1:5" x14ac:dyDescent="0.25">
      <c r="A1769" t="s">
        <v>137</v>
      </c>
      <c r="B1769" t="s">
        <v>193</v>
      </c>
      <c r="C1769" t="s">
        <v>120</v>
      </c>
      <c r="D1769" s="10">
        <v>0</v>
      </c>
      <c r="E1769" t="str">
        <f>$A1769&amp;Keys!$C$54&amp;$B1769&amp;Keys!$C$54&amp;$C1769</f>
        <v>NH|exports|municipal solid waste</v>
      </c>
    </row>
    <row r="1770" spans="1:5" x14ac:dyDescent="0.25">
      <c r="A1770" t="s">
        <v>137</v>
      </c>
      <c r="B1770" t="s">
        <v>188</v>
      </c>
      <c r="C1770" t="s">
        <v>123</v>
      </c>
      <c r="D1770" s="10">
        <v>0</v>
      </c>
      <c r="E1770" t="str">
        <f>$A1770&amp;Keys!$C$54&amp;$B1770&amp;Keys!$C$54&amp;$C1770</f>
        <v>NH|production|hydrogen</v>
      </c>
    </row>
    <row r="1771" spans="1:5" x14ac:dyDescent="0.25">
      <c r="A1771" t="s">
        <v>137</v>
      </c>
      <c r="B1771" t="s">
        <v>191</v>
      </c>
      <c r="C1771" t="s">
        <v>123</v>
      </c>
      <c r="D1771" s="10">
        <v>0</v>
      </c>
      <c r="E1771" t="str">
        <f>$A1771&amp;Keys!$C$54&amp;$B1771&amp;Keys!$C$54&amp;$C1771</f>
        <v>NH|imports|hydrogen</v>
      </c>
    </row>
    <row r="1772" spans="1:5" x14ac:dyDescent="0.25">
      <c r="A1772" t="s">
        <v>137</v>
      </c>
      <c r="B1772" t="s">
        <v>193</v>
      </c>
      <c r="C1772" t="s">
        <v>123</v>
      </c>
      <c r="D1772" s="10">
        <v>0</v>
      </c>
      <c r="E1772" t="str">
        <f>$A1772&amp;Keys!$C$54&amp;$B1772&amp;Keys!$C$54&amp;$C1772</f>
        <v>NH|exports|hydrogen</v>
      </c>
    </row>
    <row r="1773" spans="1:5" x14ac:dyDescent="0.25">
      <c r="A1773" t="s">
        <v>139</v>
      </c>
      <c r="B1773" t="s">
        <v>188</v>
      </c>
      <c r="C1773" t="s">
        <v>272</v>
      </c>
      <c r="D1773" s="10">
        <v>0</v>
      </c>
      <c r="E1773" t="str">
        <f>$A1773&amp;Keys!$C$54&amp;$B1773&amp;Keys!$C$54&amp;$C1773</f>
        <v>NJ|production|electricity</v>
      </c>
    </row>
    <row r="1774" spans="1:5" x14ac:dyDescent="0.25">
      <c r="A1774" t="s">
        <v>139</v>
      </c>
      <c r="B1774" t="s">
        <v>191</v>
      </c>
      <c r="C1774" t="s">
        <v>272</v>
      </c>
      <c r="D1774" s="10">
        <v>0</v>
      </c>
      <c r="E1774" t="str">
        <f>$A1774&amp;Keys!$C$54&amp;$B1774&amp;Keys!$C$54&amp;$C1774</f>
        <v>NJ|imports|electricity</v>
      </c>
    </row>
    <row r="1775" spans="1:5" x14ac:dyDescent="0.25">
      <c r="A1775" t="s">
        <v>139</v>
      </c>
      <c r="B1775" t="s">
        <v>193</v>
      </c>
      <c r="C1775" t="s">
        <v>272</v>
      </c>
      <c r="D1775" s="10">
        <v>0</v>
      </c>
      <c r="E1775" t="str">
        <f>$A1775&amp;Keys!$C$54&amp;$B1775&amp;Keys!$C$54&amp;$C1775</f>
        <v>NJ|exports|electricity</v>
      </c>
    </row>
    <row r="1776" spans="1:5" x14ac:dyDescent="0.25">
      <c r="A1776" t="s">
        <v>139</v>
      </c>
      <c r="B1776" t="s">
        <v>188</v>
      </c>
      <c r="C1776" t="s">
        <v>64</v>
      </c>
      <c r="D1776" s="10">
        <v>0</v>
      </c>
      <c r="E1776" t="str">
        <f>$A1776&amp;Keys!$C$54&amp;$B1776&amp;Keys!$C$54&amp;$C1776</f>
        <v>NJ|production|hard coal</v>
      </c>
    </row>
    <row r="1777" spans="1:5" x14ac:dyDescent="0.25">
      <c r="A1777" t="s">
        <v>139</v>
      </c>
      <c r="B1777" t="s">
        <v>191</v>
      </c>
      <c r="C1777" t="s">
        <v>64</v>
      </c>
      <c r="D1777" s="10">
        <v>0</v>
      </c>
      <c r="E1777" t="str">
        <f>$A1777&amp;Keys!$C$54&amp;$B1777&amp;Keys!$C$54&amp;$C1777</f>
        <v>NJ|imports|hard coal</v>
      </c>
    </row>
    <row r="1778" spans="1:5" x14ac:dyDescent="0.25">
      <c r="A1778" t="s">
        <v>139</v>
      </c>
      <c r="B1778" t="s">
        <v>193</v>
      </c>
      <c r="C1778" t="s">
        <v>64</v>
      </c>
      <c r="D1778" s="10">
        <v>0</v>
      </c>
      <c r="E1778" t="str">
        <f>$A1778&amp;Keys!$C$54&amp;$B1778&amp;Keys!$C$54&amp;$C1778</f>
        <v>NJ|exports|hard coal</v>
      </c>
    </row>
    <row r="1779" spans="1:5" x14ac:dyDescent="0.25">
      <c r="A1779" t="s">
        <v>139</v>
      </c>
      <c r="B1779" t="s">
        <v>188</v>
      </c>
      <c r="C1779" t="s">
        <v>68</v>
      </c>
      <c r="D1779" s="10">
        <v>0</v>
      </c>
      <c r="E1779" t="str">
        <f>$A1779&amp;Keys!$C$54&amp;$B1779&amp;Keys!$C$54&amp;$C1779</f>
        <v>NJ|production|natural gas</v>
      </c>
    </row>
    <row r="1780" spans="1:5" x14ac:dyDescent="0.25">
      <c r="A1780" t="s">
        <v>139</v>
      </c>
      <c r="B1780" t="s">
        <v>191</v>
      </c>
      <c r="C1780" t="s">
        <v>68</v>
      </c>
      <c r="D1780" s="10">
        <v>1458800000000000</v>
      </c>
      <c r="E1780" t="str">
        <f>$A1780&amp;Keys!$C$54&amp;$B1780&amp;Keys!$C$54&amp;$C1780</f>
        <v>NJ|imports|natural gas</v>
      </c>
    </row>
    <row r="1781" spans="1:5" x14ac:dyDescent="0.25">
      <c r="A1781" t="s">
        <v>139</v>
      </c>
      <c r="B1781" t="s">
        <v>193</v>
      </c>
      <c r="C1781" t="s">
        <v>68</v>
      </c>
      <c r="D1781" s="10">
        <v>789327000000000</v>
      </c>
      <c r="E1781" t="str">
        <f>$A1781&amp;Keys!$C$54&amp;$B1781&amp;Keys!$C$54&amp;$C1781</f>
        <v>NJ|exports|natural gas</v>
      </c>
    </row>
    <row r="1782" spans="1:5" x14ac:dyDescent="0.25">
      <c r="A1782" t="s">
        <v>139</v>
      </c>
      <c r="B1782" t="s">
        <v>188</v>
      </c>
      <c r="C1782" t="s">
        <v>71</v>
      </c>
      <c r="D1782" s="10">
        <v>0</v>
      </c>
      <c r="E1782" t="str">
        <f>$A1782&amp;Keys!$C$54&amp;$B1782&amp;Keys!$C$54&amp;$C1782</f>
        <v>NJ|production|nuclear</v>
      </c>
    </row>
    <row r="1783" spans="1:5" x14ac:dyDescent="0.25">
      <c r="A1783" t="s">
        <v>139</v>
      </c>
      <c r="B1783" t="s">
        <v>191</v>
      </c>
      <c r="C1783" t="s">
        <v>71</v>
      </c>
      <c r="D1783" s="10">
        <v>291534000000000</v>
      </c>
      <c r="E1783" t="str">
        <f>$A1783&amp;Keys!$C$54&amp;$B1783&amp;Keys!$C$54&amp;$C1783</f>
        <v>NJ|imports|nuclear</v>
      </c>
    </row>
    <row r="1784" spans="1:5" x14ac:dyDescent="0.25">
      <c r="A1784" t="s">
        <v>139</v>
      </c>
      <c r="B1784" t="s">
        <v>193</v>
      </c>
      <c r="C1784" t="s">
        <v>71</v>
      </c>
      <c r="D1784" s="10">
        <v>0</v>
      </c>
      <c r="E1784" t="str">
        <f>$A1784&amp;Keys!$C$54&amp;$B1784&amp;Keys!$C$54&amp;$C1784</f>
        <v>NJ|exports|nuclear</v>
      </c>
    </row>
    <row r="1785" spans="1:5" x14ac:dyDescent="0.25">
      <c r="A1785" t="s">
        <v>139</v>
      </c>
      <c r="B1785" t="s">
        <v>188</v>
      </c>
      <c r="C1785" t="s">
        <v>273</v>
      </c>
      <c r="D1785" s="10">
        <v>0</v>
      </c>
      <c r="E1785" t="str">
        <f>$A1785&amp;Keys!$C$54&amp;$B1785&amp;Keys!$C$54&amp;$C1785</f>
        <v>NJ|production|hydro</v>
      </c>
    </row>
    <row r="1786" spans="1:5" x14ac:dyDescent="0.25">
      <c r="A1786" t="s">
        <v>139</v>
      </c>
      <c r="B1786" t="s">
        <v>191</v>
      </c>
      <c r="C1786" t="s">
        <v>273</v>
      </c>
      <c r="D1786" s="10">
        <v>0</v>
      </c>
      <c r="E1786" t="str">
        <f>$A1786&amp;Keys!$C$54&amp;$B1786&amp;Keys!$C$54&amp;$C1786</f>
        <v>NJ|imports|hydro</v>
      </c>
    </row>
    <row r="1787" spans="1:5" x14ac:dyDescent="0.25">
      <c r="A1787" t="s">
        <v>139</v>
      </c>
      <c r="B1787" t="s">
        <v>193</v>
      </c>
      <c r="C1787" t="s">
        <v>273</v>
      </c>
      <c r="D1787" s="10">
        <v>0</v>
      </c>
      <c r="E1787" t="str">
        <f>$A1787&amp;Keys!$C$54&amp;$B1787&amp;Keys!$C$54&amp;$C1787</f>
        <v>NJ|exports|hydro</v>
      </c>
    </row>
    <row r="1788" spans="1:5" x14ac:dyDescent="0.25">
      <c r="A1788" t="s">
        <v>139</v>
      </c>
      <c r="B1788" t="s">
        <v>188</v>
      </c>
      <c r="C1788" t="s">
        <v>274</v>
      </c>
      <c r="D1788" s="10">
        <v>0</v>
      </c>
      <c r="E1788" t="str">
        <f>$A1788&amp;Keys!$C$54&amp;$B1788&amp;Keys!$C$54&amp;$C1788</f>
        <v>NJ|production|wind</v>
      </c>
    </row>
    <row r="1789" spans="1:5" x14ac:dyDescent="0.25">
      <c r="A1789" t="s">
        <v>139</v>
      </c>
      <c r="B1789" t="s">
        <v>191</v>
      </c>
      <c r="C1789" t="s">
        <v>274</v>
      </c>
      <c r="D1789" s="10">
        <v>0</v>
      </c>
      <c r="E1789" t="str">
        <f>$A1789&amp;Keys!$C$54&amp;$B1789&amp;Keys!$C$54&amp;$C1789</f>
        <v>NJ|imports|wind</v>
      </c>
    </row>
    <row r="1790" spans="1:5" x14ac:dyDescent="0.25">
      <c r="A1790" t="s">
        <v>139</v>
      </c>
      <c r="B1790" t="s">
        <v>193</v>
      </c>
      <c r="C1790" t="s">
        <v>274</v>
      </c>
      <c r="D1790" s="10">
        <v>0</v>
      </c>
      <c r="E1790" t="str">
        <f>$A1790&amp;Keys!$C$54&amp;$B1790&amp;Keys!$C$54&amp;$C1790</f>
        <v>NJ|exports|wind</v>
      </c>
    </row>
    <row r="1791" spans="1:5" x14ac:dyDescent="0.25">
      <c r="A1791" t="s">
        <v>139</v>
      </c>
      <c r="B1791" t="s">
        <v>188</v>
      </c>
      <c r="C1791" t="s">
        <v>275</v>
      </c>
      <c r="D1791" s="10">
        <v>0</v>
      </c>
      <c r="E1791" t="str">
        <f>$A1791&amp;Keys!$C$54&amp;$B1791&amp;Keys!$C$54&amp;$C1791</f>
        <v>NJ|production|solar</v>
      </c>
    </row>
    <row r="1792" spans="1:5" x14ac:dyDescent="0.25">
      <c r="A1792" t="s">
        <v>139</v>
      </c>
      <c r="B1792" t="s">
        <v>191</v>
      </c>
      <c r="C1792" t="s">
        <v>275</v>
      </c>
      <c r="D1792" s="10">
        <v>0</v>
      </c>
      <c r="E1792" t="str">
        <f>$A1792&amp;Keys!$C$54&amp;$B1792&amp;Keys!$C$54&amp;$C1792</f>
        <v>NJ|imports|solar</v>
      </c>
    </row>
    <row r="1793" spans="1:5" x14ac:dyDescent="0.25">
      <c r="A1793" t="s">
        <v>139</v>
      </c>
      <c r="B1793" t="s">
        <v>193</v>
      </c>
      <c r="C1793" t="s">
        <v>275</v>
      </c>
      <c r="D1793" s="10">
        <v>0</v>
      </c>
      <c r="E1793" t="str">
        <f>$A1793&amp;Keys!$C$54&amp;$B1793&amp;Keys!$C$54&amp;$C1793</f>
        <v>NJ|exports|solar</v>
      </c>
    </row>
    <row r="1794" spans="1:5" x14ac:dyDescent="0.25">
      <c r="A1794" t="s">
        <v>139</v>
      </c>
      <c r="B1794" t="s">
        <v>188</v>
      </c>
      <c r="C1794" t="s">
        <v>82</v>
      </c>
      <c r="D1794" s="10">
        <v>0</v>
      </c>
      <c r="E1794" t="str">
        <f>$A1794&amp;Keys!$C$54&amp;$B1794&amp;Keys!$C$54&amp;$C1794</f>
        <v>NJ|production|biomass</v>
      </c>
    </row>
    <row r="1795" spans="1:5" x14ac:dyDescent="0.25">
      <c r="A1795" t="s">
        <v>139</v>
      </c>
      <c r="B1795" t="s">
        <v>191</v>
      </c>
      <c r="C1795" t="s">
        <v>82</v>
      </c>
      <c r="D1795" s="10">
        <v>17251400000000</v>
      </c>
      <c r="E1795" t="str">
        <f>$A1795&amp;Keys!$C$54&amp;$B1795&amp;Keys!$C$54&amp;$C1795</f>
        <v>NJ|imports|biomass</v>
      </c>
    </row>
    <row r="1796" spans="1:5" x14ac:dyDescent="0.25">
      <c r="A1796" t="s">
        <v>139</v>
      </c>
      <c r="B1796" t="s">
        <v>193</v>
      </c>
      <c r="C1796" t="s">
        <v>82</v>
      </c>
      <c r="D1796" s="10">
        <v>0</v>
      </c>
      <c r="E1796" t="str">
        <f>$A1796&amp;Keys!$C$54&amp;$B1796&amp;Keys!$C$54&amp;$C1796</f>
        <v>NJ|exports|biomass</v>
      </c>
    </row>
    <row r="1797" spans="1:5" x14ac:dyDescent="0.25">
      <c r="A1797" t="s">
        <v>139</v>
      </c>
      <c r="B1797" t="s">
        <v>188</v>
      </c>
      <c r="C1797" t="s">
        <v>85</v>
      </c>
      <c r="D1797" s="10">
        <v>347924000000000</v>
      </c>
      <c r="E1797" t="str">
        <f>$A1797&amp;Keys!$C$54&amp;$B1797&amp;Keys!$C$54&amp;$C1797</f>
        <v>NJ|production|petroleum gasoline</v>
      </c>
    </row>
    <row r="1798" spans="1:5" x14ac:dyDescent="0.25">
      <c r="A1798" t="s">
        <v>139</v>
      </c>
      <c r="B1798" t="s">
        <v>191</v>
      </c>
      <c r="C1798" t="s">
        <v>85</v>
      </c>
      <c r="D1798" s="10">
        <v>29723700000000</v>
      </c>
      <c r="E1798" t="str">
        <f>$A1798&amp;Keys!$C$54&amp;$B1798&amp;Keys!$C$54&amp;$C1798</f>
        <v>NJ|imports|petroleum gasoline</v>
      </c>
    </row>
    <row r="1799" spans="1:5" x14ac:dyDescent="0.25">
      <c r="A1799" t="s">
        <v>139</v>
      </c>
      <c r="B1799" t="s">
        <v>193</v>
      </c>
      <c r="C1799" t="s">
        <v>85</v>
      </c>
      <c r="D1799" s="10">
        <v>0</v>
      </c>
      <c r="E1799" t="str">
        <f>$A1799&amp;Keys!$C$54&amp;$B1799&amp;Keys!$C$54&amp;$C1799</f>
        <v>NJ|exports|petroleum gasoline</v>
      </c>
    </row>
    <row r="1800" spans="1:5" x14ac:dyDescent="0.25">
      <c r="A1800" t="s">
        <v>139</v>
      </c>
      <c r="B1800" t="s">
        <v>188</v>
      </c>
      <c r="C1800" t="s">
        <v>88</v>
      </c>
      <c r="D1800" s="10">
        <v>205803000000000</v>
      </c>
      <c r="E1800" t="str">
        <f>$A1800&amp;Keys!$C$54&amp;$B1800&amp;Keys!$C$54&amp;$C1800</f>
        <v>NJ|production|petroleum diesel</v>
      </c>
    </row>
    <row r="1801" spans="1:5" x14ac:dyDescent="0.25">
      <c r="A1801" t="s">
        <v>139</v>
      </c>
      <c r="B1801" t="s">
        <v>191</v>
      </c>
      <c r="C1801" t="s">
        <v>88</v>
      </c>
      <c r="D1801" s="10">
        <v>24887100000000</v>
      </c>
      <c r="E1801" t="str">
        <f>$A1801&amp;Keys!$C$54&amp;$B1801&amp;Keys!$C$54&amp;$C1801</f>
        <v>NJ|imports|petroleum diesel</v>
      </c>
    </row>
    <row r="1802" spans="1:5" x14ac:dyDescent="0.25">
      <c r="A1802" t="s">
        <v>139</v>
      </c>
      <c r="B1802" t="s">
        <v>193</v>
      </c>
      <c r="C1802" t="s">
        <v>88</v>
      </c>
      <c r="D1802" s="10">
        <v>53363200000000</v>
      </c>
      <c r="E1802" t="str">
        <f>$A1802&amp;Keys!$C$54&amp;$B1802&amp;Keys!$C$54&amp;$C1802</f>
        <v>NJ|exports|petroleum diesel</v>
      </c>
    </row>
    <row r="1803" spans="1:5" x14ac:dyDescent="0.25">
      <c r="A1803" t="s">
        <v>139</v>
      </c>
      <c r="B1803" t="s">
        <v>188</v>
      </c>
      <c r="C1803" t="s">
        <v>91</v>
      </c>
      <c r="D1803" s="10">
        <v>0</v>
      </c>
      <c r="E1803" t="str">
        <f>$A1803&amp;Keys!$C$54&amp;$B1803&amp;Keys!$C$54&amp;$C1803</f>
        <v>NJ|production|biofuel gasoline</v>
      </c>
    </row>
    <row r="1804" spans="1:5" x14ac:dyDescent="0.25">
      <c r="A1804" t="s">
        <v>139</v>
      </c>
      <c r="B1804" t="s">
        <v>191</v>
      </c>
      <c r="C1804" t="s">
        <v>91</v>
      </c>
      <c r="D1804" s="10">
        <v>27708300000000</v>
      </c>
      <c r="E1804" t="str">
        <f>$A1804&amp;Keys!$C$54&amp;$B1804&amp;Keys!$C$54&amp;$C1804</f>
        <v>NJ|imports|biofuel gasoline</v>
      </c>
    </row>
    <row r="1805" spans="1:5" x14ac:dyDescent="0.25">
      <c r="A1805" t="s">
        <v>139</v>
      </c>
      <c r="B1805" t="s">
        <v>193</v>
      </c>
      <c r="C1805" t="s">
        <v>91</v>
      </c>
      <c r="D1805" s="10">
        <v>0</v>
      </c>
      <c r="E1805" t="str">
        <f>$A1805&amp;Keys!$C$54&amp;$B1805&amp;Keys!$C$54&amp;$C1805</f>
        <v>NJ|exports|biofuel gasoline</v>
      </c>
    </row>
    <row r="1806" spans="1:5" x14ac:dyDescent="0.25">
      <c r="A1806" t="s">
        <v>139</v>
      </c>
      <c r="B1806" t="s">
        <v>188</v>
      </c>
      <c r="C1806" t="s">
        <v>94</v>
      </c>
      <c r="D1806" s="10">
        <v>0</v>
      </c>
      <c r="E1806" t="str">
        <f>$A1806&amp;Keys!$C$54&amp;$B1806&amp;Keys!$C$54&amp;$C1806</f>
        <v>NJ|production|biofuel diesel</v>
      </c>
    </row>
    <row r="1807" spans="1:5" x14ac:dyDescent="0.25">
      <c r="A1807" t="s">
        <v>139</v>
      </c>
      <c r="B1807" t="s">
        <v>191</v>
      </c>
      <c r="C1807" t="s">
        <v>94</v>
      </c>
      <c r="D1807" s="10">
        <v>1060720000000</v>
      </c>
      <c r="E1807" t="str">
        <f>$A1807&amp;Keys!$C$54&amp;$B1807&amp;Keys!$C$54&amp;$C1807</f>
        <v>NJ|imports|biofuel diesel</v>
      </c>
    </row>
    <row r="1808" spans="1:5" x14ac:dyDescent="0.25">
      <c r="A1808" t="s">
        <v>139</v>
      </c>
      <c r="B1808" t="s">
        <v>193</v>
      </c>
      <c r="C1808" t="s">
        <v>94</v>
      </c>
      <c r="D1808" s="10">
        <v>0</v>
      </c>
      <c r="E1808" t="str">
        <f>$A1808&amp;Keys!$C$54&amp;$B1808&amp;Keys!$C$54&amp;$C1808</f>
        <v>NJ|exports|biofuel diesel</v>
      </c>
    </row>
    <row r="1809" spans="1:5" x14ac:dyDescent="0.25">
      <c r="A1809" t="s">
        <v>139</v>
      </c>
      <c r="B1809" t="s">
        <v>188</v>
      </c>
      <c r="C1809" t="s">
        <v>97</v>
      </c>
      <c r="D1809" s="10">
        <v>73261500000000</v>
      </c>
      <c r="E1809" t="str">
        <f>$A1809&amp;Keys!$C$54&amp;$B1809&amp;Keys!$C$54&amp;$C1809</f>
        <v>NJ|production|jet fuel or kerosene</v>
      </c>
    </row>
    <row r="1810" spans="1:5" x14ac:dyDescent="0.25">
      <c r="A1810" t="s">
        <v>139</v>
      </c>
      <c r="B1810" t="s">
        <v>191</v>
      </c>
      <c r="C1810" t="s">
        <v>97</v>
      </c>
      <c r="D1810" s="10">
        <v>41976200000000</v>
      </c>
      <c r="E1810" t="str">
        <f>$A1810&amp;Keys!$C$54&amp;$B1810&amp;Keys!$C$54&amp;$C1810</f>
        <v>NJ|imports|jet fuel or kerosene</v>
      </c>
    </row>
    <row r="1811" spans="1:5" x14ac:dyDescent="0.25">
      <c r="A1811" t="s">
        <v>139</v>
      </c>
      <c r="B1811" t="s">
        <v>193</v>
      </c>
      <c r="C1811" t="s">
        <v>97</v>
      </c>
      <c r="D1811" s="10">
        <v>8452250000000</v>
      </c>
      <c r="E1811" t="str">
        <f>$A1811&amp;Keys!$C$54&amp;$B1811&amp;Keys!$C$54&amp;$C1811</f>
        <v>NJ|exports|jet fuel or kerosene</v>
      </c>
    </row>
    <row r="1812" spans="1:5" x14ac:dyDescent="0.25">
      <c r="A1812" t="s">
        <v>139</v>
      </c>
      <c r="B1812" t="s">
        <v>188</v>
      </c>
      <c r="C1812" t="s">
        <v>276</v>
      </c>
      <c r="D1812" s="10">
        <v>0</v>
      </c>
      <c r="E1812" t="str">
        <f>$A1812&amp;Keys!$C$54&amp;$B1812&amp;Keys!$C$54&amp;$C1812</f>
        <v>NJ|production|heat</v>
      </c>
    </row>
    <row r="1813" spans="1:5" x14ac:dyDescent="0.25">
      <c r="A1813" t="s">
        <v>139</v>
      </c>
      <c r="B1813" t="s">
        <v>191</v>
      </c>
      <c r="C1813" t="s">
        <v>276</v>
      </c>
      <c r="D1813" s="10">
        <v>0</v>
      </c>
      <c r="E1813" t="str">
        <f>$A1813&amp;Keys!$C$54&amp;$B1813&amp;Keys!$C$54&amp;$C1813</f>
        <v>NJ|imports|heat</v>
      </c>
    </row>
    <row r="1814" spans="1:5" x14ac:dyDescent="0.25">
      <c r="A1814" t="s">
        <v>139</v>
      </c>
      <c r="B1814" t="s">
        <v>193</v>
      </c>
      <c r="C1814" t="s">
        <v>276</v>
      </c>
      <c r="D1814" s="10">
        <v>0</v>
      </c>
      <c r="E1814" t="str">
        <f>$A1814&amp;Keys!$C$54&amp;$B1814&amp;Keys!$C$54&amp;$C1814</f>
        <v>NJ|exports|heat</v>
      </c>
    </row>
    <row r="1815" spans="1:5" x14ac:dyDescent="0.25">
      <c r="A1815" t="s">
        <v>139</v>
      </c>
      <c r="B1815" t="s">
        <v>188</v>
      </c>
      <c r="C1815" t="s">
        <v>277</v>
      </c>
      <c r="D1815" s="10">
        <v>0</v>
      </c>
      <c r="E1815" t="str">
        <f>$A1815&amp;Keys!$C$54&amp;$B1815&amp;Keys!$C$54&amp;$C1815</f>
        <v>NJ|production|geothermal</v>
      </c>
    </row>
    <row r="1816" spans="1:5" x14ac:dyDescent="0.25">
      <c r="A1816" t="s">
        <v>139</v>
      </c>
      <c r="B1816" t="s">
        <v>191</v>
      </c>
      <c r="C1816" t="s">
        <v>277</v>
      </c>
      <c r="D1816" s="10">
        <v>0</v>
      </c>
      <c r="E1816" t="str">
        <f>$A1816&amp;Keys!$C$54&amp;$B1816&amp;Keys!$C$54&amp;$C1816</f>
        <v>NJ|imports|geothermal</v>
      </c>
    </row>
    <row r="1817" spans="1:5" x14ac:dyDescent="0.25">
      <c r="A1817" t="s">
        <v>139</v>
      </c>
      <c r="B1817" t="s">
        <v>193</v>
      </c>
      <c r="C1817" t="s">
        <v>277</v>
      </c>
      <c r="D1817" s="10">
        <v>0</v>
      </c>
      <c r="E1817" t="str">
        <f>$A1817&amp;Keys!$C$54&amp;$B1817&amp;Keys!$C$54&amp;$C1817</f>
        <v>NJ|exports|geothermal</v>
      </c>
    </row>
    <row r="1818" spans="1:5" x14ac:dyDescent="0.25">
      <c r="A1818" t="s">
        <v>139</v>
      </c>
      <c r="B1818" t="s">
        <v>188</v>
      </c>
      <c r="C1818" t="s">
        <v>106</v>
      </c>
      <c r="D1818" s="10">
        <v>0</v>
      </c>
      <c r="E1818" t="str">
        <f>$A1818&amp;Keys!$C$54&amp;$B1818&amp;Keys!$C$54&amp;$C1818</f>
        <v>NJ|production|lignite</v>
      </c>
    </row>
    <row r="1819" spans="1:5" x14ac:dyDescent="0.25">
      <c r="A1819" t="s">
        <v>139</v>
      </c>
      <c r="B1819" t="s">
        <v>191</v>
      </c>
      <c r="C1819" t="s">
        <v>106</v>
      </c>
      <c r="D1819" s="10">
        <v>0</v>
      </c>
      <c r="E1819" t="str">
        <f>$A1819&amp;Keys!$C$54&amp;$B1819&amp;Keys!$C$54&amp;$C1819</f>
        <v>NJ|imports|lignite</v>
      </c>
    </row>
    <row r="1820" spans="1:5" x14ac:dyDescent="0.25">
      <c r="A1820" t="s">
        <v>139</v>
      </c>
      <c r="B1820" t="s">
        <v>193</v>
      </c>
      <c r="C1820" t="s">
        <v>106</v>
      </c>
      <c r="D1820" s="10">
        <v>0</v>
      </c>
      <c r="E1820" t="str">
        <f>$A1820&amp;Keys!$C$54&amp;$B1820&amp;Keys!$C$54&amp;$C1820</f>
        <v>NJ|exports|lignite</v>
      </c>
    </row>
    <row r="1821" spans="1:5" x14ac:dyDescent="0.25">
      <c r="A1821" t="s">
        <v>139</v>
      </c>
      <c r="B1821" t="s">
        <v>188</v>
      </c>
      <c r="C1821" t="s">
        <v>109</v>
      </c>
      <c r="D1821" s="10">
        <v>0</v>
      </c>
      <c r="E1821" t="str">
        <f>$A1821&amp;Keys!$C$54&amp;$B1821&amp;Keys!$C$54&amp;$C1821</f>
        <v>NJ|production|crude oil</v>
      </c>
    </row>
    <row r="1822" spans="1:5" x14ac:dyDescent="0.25">
      <c r="A1822" t="s">
        <v>139</v>
      </c>
      <c r="B1822" t="s">
        <v>191</v>
      </c>
      <c r="C1822" t="s">
        <v>109</v>
      </c>
      <c r="D1822" s="10">
        <v>752684000000000</v>
      </c>
      <c r="E1822" t="str">
        <f>$A1822&amp;Keys!$C$54&amp;$B1822&amp;Keys!$C$54&amp;$C1822</f>
        <v>NJ|imports|crude oil</v>
      </c>
    </row>
    <row r="1823" spans="1:5" x14ac:dyDescent="0.25">
      <c r="A1823" t="s">
        <v>139</v>
      </c>
      <c r="B1823" t="s">
        <v>193</v>
      </c>
      <c r="C1823" t="s">
        <v>109</v>
      </c>
      <c r="D1823" s="10">
        <v>0</v>
      </c>
      <c r="E1823" t="str">
        <f>$A1823&amp;Keys!$C$54&amp;$B1823&amp;Keys!$C$54&amp;$C1823</f>
        <v>NJ|exports|crude oil</v>
      </c>
    </row>
    <row r="1824" spans="1:5" x14ac:dyDescent="0.25">
      <c r="A1824" t="s">
        <v>139</v>
      </c>
      <c r="B1824" t="s">
        <v>188</v>
      </c>
      <c r="C1824" t="s">
        <v>114</v>
      </c>
      <c r="D1824" s="10">
        <v>14231300000000</v>
      </c>
      <c r="E1824" t="str">
        <f>$A1824&amp;Keys!$C$54&amp;$B1824&amp;Keys!$C$54&amp;$C1824</f>
        <v>NJ|production|heavy or residual fuel oil</v>
      </c>
    </row>
    <row r="1825" spans="1:5" x14ac:dyDescent="0.25">
      <c r="A1825" t="s">
        <v>139</v>
      </c>
      <c r="B1825" t="s">
        <v>191</v>
      </c>
      <c r="C1825" t="s">
        <v>114</v>
      </c>
      <c r="D1825" s="10">
        <v>37065300000000</v>
      </c>
      <c r="E1825" t="str">
        <f>$A1825&amp;Keys!$C$54&amp;$B1825&amp;Keys!$C$54&amp;$C1825</f>
        <v>NJ|imports|heavy or residual fuel oil</v>
      </c>
    </row>
    <row r="1826" spans="1:5" x14ac:dyDescent="0.25">
      <c r="A1826" t="s">
        <v>139</v>
      </c>
      <c r="B1826" t="s">
        <v>193</v>
      </c>
      <c r="C1826" t="s">
        <v>114</v>
      </c>
      <c r="D1826" s="10">
        <v>6093450000000</v>
      </c>
      <c r="E1826" t="str">
        <f>$A1826&amp;Keys!$C$54&amp;$B1826&amp;Keys!$C$54&amp;$C1826</f>
        <v>NJ|exports|heavy or residual fuel oil</v>
      </c>
    </row>
    <row r="1827" spans="1:5" x14ac:dyDescent="0.25">
      <c r="A1827" t="s">
        <v>139</v>
      </c>
      <c r="B1827" t="s">
        <v>188</v>
      </c>
      <c r="C1827" t="s">
        <v>117</v>
      </c>
      <c r="D1827" s="10">
        <v>0</v>
      </c>
      <c r="E1827" t="str">
        <f>$A1827&amp;Keys!$C$54&amp;$B1827&amp;Keys!$C$54&amp;$C1827</f>
        <v>NJ|production|LPG propane or butane</v>
      </c>
    </row>
    <row r="1828" spans="1:5" x14ac:dyDescent="0.25">
      <c r="A1828" t="s">
        <v>139</v>
      </c>
      <c r="B1828" t="s">
        <v>191</v>
      </c>
      <c r="C1828" t="s">
        <v>117</v>
      </c>
      <c r="D1828" s="10">
        <v>23492800000000</v>
      </c>
      <c r="E1828" t="str">
        <f>$A1828&amp;Keys!$C$54&amp;$B1828&amp;Keys!$C$54&amp;$C1828</f>
        <v>NJ|imports|LPG propane or butane</v>
      </c>
    </row>
    <row r="1829" spans="1:5" x14ac:dyDescent="0.25">
      <c r="A1829" t="s">
        <v>139</v>
      </c>
      <c r="B1829" t="s">
        <v>193</v>
      </c>
      <c r="C1829" t="s">
        <v>117</v>
      </c>
      <c r="D1829" s="10">
        <v>0</v>
      </c>
      <c r="E1829" t="str">
        <f>$A1829&amp;Keys!$C$54&amp;$B1829&amp;Keys!$C$54&amp;$C1829</f>
        <v>NJ|exports|LPG propane or butane</v>
      </c>
    </row>
    <row r="1830" spans="1:5" x14ac:dyDescent="0.25">
      <c r="A1830" t="s">
        <v>139</v>
      </c>
      <c r="B1830" t="s">
        <v>188</v>
      </c>
      <c r="C1830" t="s">
        <v>120</v>
      </c>
      <c r="D1830" s="10">
        <v>0</v>
      </c>
      <c r="E1830" t="str">
        <f>$A1830&amp;Keys!$C$54&amp;$B1830&amp;Keys!$C$54&amp;$C1830</f>
        <v>NJ|production|municipal solid waste</v>
      </c>
    </row>
    <row r="1831" spans="1:5" x14ac:dyDescent="0.25">
      <c r="A1831" t="s">
        <v>139</v>
      </c>
      <c r="B1831" t="s">
        <v>191</v>
      </c>
      <c r="C1831" t="s">
        <v>120</v>
      </c>
      <c r="D1831" s="10">
        <v>5297400000000</v>
      </c>
      <c r="E1831" t="str">
        <f>$A1831&amp;Keys!$C$54&amp;$B1831&amp;Keys!$C$54&amp;$C1831</f>
        <v>NJ|imports|municipal solid waste</v>
      </c>
    </row>
    <row r="1832" spans="1:5" x14ac:dyDescent="0.25">
      <c r="A1832" t="s">
        <v>139</v>
      </c>
      <c r="B1832" t="s">
        <v>193</v>
      </c>
      <c r="C1832" t="s">
        <v>120</v>
      </c>
      <c r="D1832" s="10">
        <v>0</v>
      </c>
      <c r="E1832" t="str">
        <f>$A1832&amp;Keys!$C$54&amp;$B1832&amp;Keys!$C$54&amp;$C1832</f>
        <v>NJ|exports|municipal solid waste</v>
      </c>
    </row>
    <row r="1833" spans="1:5" x14ac:dyDescent="0.25">
      <c r="A1833" t="s">
        <v>139</v>
      </c>
      <c r="B1833" t="s">
        <v>188</v>
      </c>
      <c r="C1833" t="s">
        <v>123</v>
      </c>
      <c r="D1833" s="10">
        <v>3677380000000</v>
      </c>
      <c r="E1833" t="str">
        <f>$A1833&amp;Keys!$C$54&amp;$B1833&amp;Keys!$C$54&amp;$C1833</f>
        <v>NJ|production|hydrogen</v>
      </c>
    </row>
    <row r="1834" spans="1:5" x14ac:dyDescent="0.25">
      <c r="A1834" t="s">
        <v>139</v>
      </c>
      <c r="B1834" t="s">
        <v>191</v>
      </c>
      <c r="C1834" t="s">
        <v>123</v>
      </c>
      <c r="D1834" s="10">
        <v>0</v>
      </c>
      <c r="E1834" t="str">
        <f>$A1834&amp;Keys!$C$54&amp;$B1834&amp;Keys!$C$54&amp;$C1834</f>
        <v>NJ|imports|hydrogen</v>
      </c>
    </row>
    <row r="1835" spans="1:5" x14ac:dyDescent="0.25">
      <c r="A1835" t="s">
        <v>139</v>
      </c>
      <c r="B1835" t="s">
        <v>193</v>
      </c>
      <c r="C1835" t="s">
        <v>123</v>
      </c>
      <c r="D1835" s="10">
        <v>1976880000000</v>
      </c>
      <c r="E1835" t="str">
        <f>$A1835&amp;Keys!$C$54&amp;$B1835&amp;Keys!$C$54&amp;$C1835</f>
        <v>NJ|exports|hydrogen</v>
      </c>
    </row>
    <row r="1836" spans="1:5" x14ac:dyDescent="0.25">
      <c r="A1836" t="s">
        <v>141</v>
      </c>
      <c r="B1836" t="s">
        <v>188</v>
      </c>
      <c r="C1836" t="s">
        <v>272</v>
      </c>
      <c r="D1836" s="10">
        <v>0</v>
      </c>
      <c r="E1836" t="str">
        <f>$A1836&amp;Keys!$C$54&amp;$B1836&amp;Keys!$C$54&amp;$C1836</f>
        <v>NM|production|electricity</v>
      </c>
    </row>
    <row r="1837" spans="1:5" x14ac:dyDescent="0.25">
      <c r="A1837" t="s">
        <v>141</v>
      </c>
      <c r="B1837" t="s">
        <v>191</v>
      </c>
      <c r="C1837" t="s">
        <v>272</v>
      </c>
      <c r="D1837" s="10">
        <v>0</v>
      </c>
      <c r="E1837" t="str">
        <f>$A1837&amp;Keys!$C$54&amp;$B1837&amp;Keys!$C$54&amp;$C1837</f>
        <v>NM|imports|electricity</v>
      </c>
    </row>
    <row r="1838" spans="1:5" x14ac:dyDescent="0.25">
      <c r="A1838" t="s">
        <v>141</v>
      </c>
      <c r="B1838" t="s">
        <v>193</v>
      </c>
      <c r="C1838" t="s">
        <v>272</v>
      </c>
      <c r="D1838" s="10">
        <v>0</v>
      </c>
      <c r="E1838" t="str">
        <f>$A1838&amp;Keys!$C$54&amp;$B1838&amp;Keys!$C$54&amp;$C1838</f>
        <v>NM|exports|electricity</v>
      </c>
    </row>
    <row r="1839" spans="1:5" x14ac:dyDescent="0.25">
      <c r="A1839" t="s">
        <v>141</v>
      </c>
      <c r="B1839" t="s">
        <v>188</v>
      </c>
      <c r="C1839" t="s">
        <v>64</v>
      </c>
      <c r="D1839" s="10">
        <v>147575000000000</v>
      </c>
      <c r="E1839" t="str">
        <f>$A1839&amp;Keys!$C$54&amp;$B1839&amp;Keys!$C$54&amp;$C1839</f>
        <v>NM|production|hard coal</v>
      </c>
    </row>
    <row r="1840" spans="1:5" x14ac:dyDescent="0.25">
      <c r="A1840" t="s">
        <v>141</v>
      </c>
      <c r="B1840" t="s">
        <v>191</v>
      </c>
      <c r="C1840" t="s">
        <v>64</v>
      </c>
      <c r="D1840" s="10">
        <v>741505000000</v>
      </c>
      <c r="E1840" t="str">
        <f>$A1840&amp;Keys!$C$54&amp;$B1840&amp;Keys!$C$54&amp;$C1840</f>
        <v>NM|imports|hard coal</v>
      </c>
    </row>
    <row r="1841" spans="1:5" x14ac:dyDescent="0.25">
      <c r="A1841" t="s">
        <v>141</v>
      </c>
      <c r="B1841" t="s">
        <v>193</v>
      </c>
      <c r="C1841" t="s">
        <v>64</v>
      </c>
      <c r="D1841" s="10">
        <v>64885300000000</v>
      </c>
      <c r="E1841" t="str">
        <f>$A1841&amp;Keys!$C$54&amp;$B1841&amp;Keys!$C$54&amp;$C1841</f>
        <v>NM|exports|hard coal</v>
      </c>
    </row>
    <row r="1842" spans="1:5" x14ac:dyDescent="0.25">
      <c r="A1842" t="s">
        <v>141</v>
      </c>
      <c r="B1842" t="s">
        <v>188</v>
      </c>
      <c r="C1842" t="s">
        <v>68</v>
      </c>
      <c r="D1842" s="10">
        <v>3452590000000000</v>
      </c>
      <c r="E1842" t="str">
        <f>$A1842&amp;Keys!$C$54&amp;$B1842&amp;Keys!$C$54&amp;$C1842</f>
        <v>NM|production|natural gas</v>
      </c>
    </row>
    <row r="1843" spans="1:5" x14ac:dyDescent="0.25">
      <c r="A1843" t="s">
        <v>141</v>
      </c>
      <c r="B1843" t="s">
        <v>191</v>
      </c>
      <c r="C1843" t="s">
        <v>68</v>
      </c>
      <c r="D1843" s="10">
        <v>0</v>
      </c>
      <c r="E1843" t="str">
        <f>$A1843&amp;Keys!$C$54&amp;$B1843&amp;Keys!$C$54&amp;$C1843</f>
        <v>NM|imports|natural gas</v>
      </c>
    </row>
    <row r="1844" spans="1:5" x14ac:dyDescent="0.25">
      <c r="A1844" t="s">
        <v>141</v>
      </c>
      <c r="B1844" t="s">
        <v>193</v>
      </c>
      <c r="C1844" t="s">
        <v>68</v>
      </c>
      <c r="D1844" s="10">
        <v>3152550000000000</v>
      </c>
      <c r="E1844" t="str">
        <f>$A1844&amp;Keys!$C$54&amp;$B1844&amp;Keys!$C$54&amp;$C1844</f>
        <v>NM|exports|natural gas</v>
      </c>
    </row>
    <row r="1845" spans="1:5" x14ac:dyDescent="0.25">
      <c r="A1845" t="s">
        <v>141</v>
      </c>
      <c r="B1845" t="s">
        <v>188</v>
      </c>
      <c r="C1845" t="s">
        <v>71</v>
      </c>
      <c r="D1845" s="10">
        <v>0</v>
      </c>
      <c r="E1845" t="str">
        <f>$A1845&amp;Keys!$C$54&amp;$B1845&amp;Keys!$C$54&amp;$C1845</f>
        <v>NM|production|nuclear</v>
      </c>
    </row>
    <row r="1846" spans="1:5" x14ac:dyDescent="0.25">
      <c r="A1846" t="s">
        <v>141</v>
      </c>
      <c r="B1846" t="s">
        <v>191</v>
      </c>
      <c r="C1846" t="s">
        <v>71</v>
      </c>
      <c r="D1846" s="10">
        <v>0</v>
      </c>
      <c r="E1846" t="str">
        <f>$A1846&amp;Keys!$C$54&amp;$B1846&amp;Keys!$C$54&amp;$C1846</f>
        <v>NM|imports|nuclear</v>
      </c>
    </row>
    <row r="1847" spans="1:5" x14ac:dyDescent="0.25">
      <c r="A1847" t="s">
        <v>141</v>
      </c>
      <c r="B1847" t="s">
        <v>193</v>
      </c>
      <c r="C1847" t="s">
        <v>71</v>
      </c>
      <c r="D1847" s="10">
        <v>0</v>
      </c>
      <c r="E1847" t="str">
        <f>$A1847&amp;Keys!$C$54&amp;$B1847&amp;Keys!$C$54&amp;$C1847</f>
        <v>NM|exports|nuclear</v>
      </c>
    </row>
    <row r="1848" spans="1:5" x14ac:dyDescent="0.25">
      <c r="A1848" t="s">
        <v>141</v>
      </c>
      <c r="B1848" t="s">
        <v>188</v>
      </c>
      <c r="C1848" t="s">
        <v>273</v>
      </c>
      <c r="D1848" s="10">
        <v>0</v>
      </c>
      <c r="E1848" t="str">
        <f>$A1848&amp;Keys!$C$54&amp;$B1848&amp;Keys!$C$54&amp;$C1848</f>
        <v>NM|production|hydro</v>
      </c>
    </row>
    <row r="1849" spans="1:5" x14ac:dyDescent="0.25">
      <c r="A1849" t="s">
        <v>141</v>
      </c>
      <c r="B1849" t="s">
        <v>191</v>
      </c>
      <c r="C1849" t="s">
        <v>273</v>
      </c>
      <c r="D1849" s="10">
        <v>0</v>
      </c>
      <c r="E1849" t="str">
        <f>$A1849&amp;Keys!$C$54&amp;$B1849&amp;Keys!$C$54&amp;$C1849</f>
        <v>NM|imports|hydro</v>
      </c>
    </row>
    <row r="1850" spans="1:5" x14ac:dyDescent="0.25">
      <c r="A1850" t="s">
        <v>141</v>
      </c>
      <c r="B1850" t="s">
        <v>193</v>
      </c>
      <c r="C1850" t="s">
        <v>273</v>
      </c>
      <c r="D1850" s="10">
        <v>0</v>
      </c>
      <c r="E1850" t="str">
        <f>$A1850&amp;Keys!$C$54&amp;$B1850&amp;Keys!$C$54&amp;$C1850</f>
        <v>NM|exports|hydro</v>
      </c>
    </row>
    <row r="1851" spans="1:5" x14ac:dyDescent="0.25">
      <c r="A1851" t="s">
        <v>141</v>
      </c>
      <c r="B1851" t="s">
        <v>188</v>
      </c>
      <c r="C1851" t="s">
        <v>274</v>
      </c>
      <c r="D1851" s="10">
        <v>0</v>
      </c>
      <c r="E1851" t="str">
        <f>$A1851&amp;Keys!$C$54&amp;$B1851&amp;Keys!$C$54&amp;$C1851</f>
        <v>NM|production|wind</v>
      </c>
    </row>
    <row r="1852" spans="1:5" x14ac:dyDescent="0.25">
      <c r="A1852" t="s">
        <v>141</v>
      </c>
      <c r="B1852" t="s">
        <v>191</v>
      </c>
      <c r="C1852" t="s">
        <v>274</v>
      </c>
      <c r="D1852" s="10">
        <v>0</v>
      </c>
      <c r="E1852" t="str">
        <f>$A1852&amp;Keys!$C$54&amp;$B1852&amp;Keys!$C$54&amp;$C1852</f>
        <v>NM|imports|wind</v>
      </c>
    </row>
    <row r="1853" spans="1:5" x14ac:dyDescent="0.25">
      <c r="A1853" t="s">
        <v>141</v>
      </c>
      <c r="B1853" t="s">
        <v>193</v>
      </c>
      <c r="C1853" t="s">
        <v>274</v>
      </c>
      <c r="D1853" s="10">
        <v>0</v>
      </c>
      <c r="E1853" t="str">
        <f>$A1853&amp;Keys!$C$54&amp;$B1853&amp;Keys!$C$54&amp;$C1853</f>
        <v>NM|exports|wind</v>
      </c>
    </row>
    <row r="1854" spans="1:5" x14ac:dyDescent="0.25">
      <c r="A1854" t="s">
        <v>141</v>
      </c>
      <c r="B1854" t="s">
        <v>188</v>
      </c>
      <c r="C1854" t="s">
        <v>275</v>
      </c>
      <c r="D1854" s="10">
        <v>0</v>
      </c>
      <c r="E1854" t="str">
        <f>$A1854&amp;Keys!$C$54&amp;$B1854&amp;Keys!$C$54&amp;$C1854</f>
        <v>NM|production|solar</v>
      </c>
    </row>
    <row r="1855" spans="1:5" x14ac:dyDescent="0.25">
      <c r="A1855" t="s">
        <v>141</v>
      </c>
      <c r="B1855" t="s">
        <v>191</v>
      </c>
      <c r="C1855" t="s">
        <v>275</v>
      </c>
      <c r="D1855" s="10">
        <v>0</v>
      </c>
      <c r="E1855" t="str">
        <f>$A1855&amp;Keys!$C$54&amp;$B1855&amp;Keys!$C$54&amp;$C1855</f>
        <v>NM|imports|solar</v>
      </c>
    </row>
    <row r="1856" spans="1:5" x14ac:dyDescent="0.25">
      <c r="A1856" t="s">
        <v>141</v>
      </c>
      <c r="B1856" t="s">
        <v>193</v>
      </c>
      <c r="C1856" t="s">
        <v>275</v>
      </c>
      <c r="D1856" s="10">
        <v>0</v>
      </c>
      <c r="E1856" t="str">
        <f>$A1856&amp;Keys!$C$54&amp;$B1856&amp;Keys!$C$54&amp;$C1856</f>
        <v>NM|exports|solar</v>
      </c>
    </row>
    <row r="1857" spans="1:5" x14ac:dyDescent="0.25">
      <c r="A1857" t="s">
        <v>141</v>
      </c>
      <c r="B1857" t="s">
        <v>188</v>
      </c>
      <c r="C1857" t="s">
        <v>82</v>
      </c>
      <c r="D1857" s="10">
        <v>304000000000</v>
      </c>
      <c r="E1857" t="str">
        <f>$A1857&amp;Keys!$C$54&amp;$B1857&amp;Keys!$C$54&amp;$C1857</f>
        <v>NM|production|biomass</v>
      </c>
    </row>
    <row r="1858" spans="1:5" x14ac:dyDescent="0.25">
      <c r="A1858" t="s">
        <v>141</v>
      </c>
      <c r="B1858" t="s">
        <v>191</v>
      </c>
      <c r="C1858" t="s">
        <v>82</v>
      </c>
      <c r="D1858" s="10">
        <v>6302400000000</v>
      </c>
      <c r="E1858" t="str">
        <f>$A1858&amp;Keys!$C$54&amp;$B1858&amp;Keys!$C$54&amp;$C1858</f>
        <v>NM|imports|biomass</v>
      </c>
    </row>
    <row r="1859" spans="1:5" x14ac:dyDescent="0.25">
      <c r="A1859" t="s">
        <v>141</v>
      </c>
      <c r="B1859" t="s">
        <v>193</v>
      </c>
      <c r="C1859" t="s">
        <v>82</v>
      </c>
      <c r="D1859" s="10">
        <v>0</v>
      </c>
      <c r="E1859" t="str">
        <f>$A1859&amp;Keys!$C$54&amp;$B1859&amp;Keys!$C$54&amp;$C1859</f>
        <v>NM|exports|biomass</v>
      </c>
    </row>
    <row r="1860" spans="1:5" x14ac:dyDescent="0.25">
      <c r="A1860" t="s">
        <v>141</v>
      </c>
      <c r="B1860" t="s">
        <v>188</v>
      </c>
      <c r="C1860" t="s">
        <v>85</v>
      </c>
      <c r="D1860" s="10">
        <v>106755000000000</v>
      </c>
      <c r="E1860" t="str">
        <f>$A1860&amp;Keys!$C$54&amp;$B1860&amp;Keys!$C$54&amp;$C1860</f>
        <v>NM|production|petroleum gasoline</v>
      </c>
    </row>
    <row r="1861" spans="1:5" x14ac:dyDescent="0.25">
      <c r="A1861" t="s">
        <v>141</v>
      </c>
      <c r="B1861" t="s">
        <v>191</v>
      </c>
      <c r="C1861" t="s">
        <v>85</v>
      </c>
      <c r="D1861" s="10">
        <v>5962780000000</v>
      </c>
      <c r="E1861" t="str">
        <f>$A1861&amp;Keys!$C$54&amp;$B1861&amp;Keys!$C$54&amp;$C1861</f>
        <v>NM|imports|petroleum gasoline</v>
      </c>
    </row>
    <row r="1862" spans="1:5" x14ac:dyDescent="0.25">
      <c r="A1862" t="s">
        <v>141</v>
      </c>
      <c r="B1862" t="s">
        <v>193</v>
      </c>
      <c r="C1862" t="s">
        <v>85</v>
      </c>
      <c r="D1862" s="10">
        <v>12775100000000</v>
      </c>
      <c r="E1862" t="str">
        <f>$A1862&amp;Keys!$C$54&amp;$B1862&amp;Keys!$C$54&amp;$C1862</f>
        <v>NM|exports|petroleum gasoline</v>
      </c>
    </row>
    <row r="1863" spans="1:5" x14ac:dyDescent="0.25">
      <c r="A1863" t="s">
        <v>141</v>
      </c>
      <c r="B1863" t="s">
        <v>188</v>
      </c>
      <c r="C1863" t="s">
        <v>88</v>
      </c>
      <c r="D1863" s="10">
        <v>63147200000000</v>
      </c>
      <c r="E1863" t="str">
        <f>$A1863&amp;Keys!$C$54&amp;$B1863&amp;Keys!$C$54&amp;$C1863</f>
        <v>NM|production|petroleum diesel</v>
      </c>
    </row>
    <row r="1864" spans="1:5" x14ac:dyDescent="0.25">
      <c r="A1864" t="s">
        <v>141</v>
      </c>
      <c r="B1864" t="s">
        <v>191</v>
      </c>
      <c r="C1864" t="s">
        <v>88</v>
      </c>
      <c r="D1864" s="10">
        <v>29549800000000</v>
      </c>
      <c r="E1864" t="str">
        <f>$A1864&amp;Keys!$C$54&amp;$B1864&amp;Keys!$C$54&amp;$C1864</f>
        <v>NM|imports|petroleum diesel</v>
      </c>
    </row>
    <row r="1865" spans="1:5" x14ac:dyDescent="0.25">
      <c r="A1865" t="s">
        <v>141</v>
      </c>
      <c r="B1865" t="s">
        <v>193</v>
      </c>
      <c r="C1865" t="s">
        <v>88</v>
      </c>
      <c r="D1865" s="10">
        <v>0</v>
      </c>
      <c r="E1865" t="str">
        <f>$A1865&amp;Keys!$C$54&amp;$B1865&amp;Keys!$C$54&amp;$C1865</f>
        <v>NM|exports|petroleum diesel</v>
      </c>
    </row>
    <row r="1866" spans="1:5" x14ac:dyDescent="0.25">
      <c r="A1866" t="s">
        <v>141</v>
      </c>
      <c r="B1866" t="s">
        <v>188</v>
      </c>
      <c r="C1866" t="s">
        <v>91</v>
      </c>
      <c r="D1866" s="10">
        <v>0</v>
      </c>
      <c r="E1866" t="str">
        <f>$A1866&amp;Keys!$C$54&amp;$B1866&amp;Keys!$C$54&amp;$C1866</f>
        <v>NM|production|biofuel gasoline</v>
      </c>
    </row>
    <row r="1867" spans="1:5" x14ac:dyDescent="0.25">
      <c r="A1867" t="s">
        <v>141</v>
      </c>
      <c r="B1867" t="s">
        <v>191</v>
      </c>
      <c r="C1867" t="s">
        <v>91</v>
      </c>
      <c r="D1867" s="10">
        <v>8392590000000</v>
      </c>
      <c r="E1867" t="str">
        <f>$A1867&amp;Keys!$C$54&amp;$B1867&amp;Keys!$C$54&amp;$C1867</f>
        <v>NM|imports|biofuel gasoline</v>
      </c>
    </row>
    <row r="1868" spans="1:5" x14ac:dyDescent="0.25">
      <c r="A1868" t="s">
        <v>141</v>
      </c>
      <c r="B1868" t="s">
        <v>193</v>
      </c>
      <c r="C1868" t="s">
        <v>91</v>
      </c>
      <c r="D1868" s="10">
        <v>0</v>
      </c>
      <c r="E1868" t="str">
        <f>$A1868&amp;Keys!$C$54&amp;$B1868&amp;Keys!$C$54&amp;$C1868</f>
        <v>NM|exports|biofuel gasoline</v>
      </c>
    </row>
    <row r="1869" spans="1:5" x14ac:dyDescent="0.25">
      <c r="A1869" t="s">
        <v>141</v>
      </c>
      <c r="B1869" t="s">
        <v>188</v>
      </c>
      <c r="C1869" t="s">
        <v>94</v>
      </c>
      <c r="D1869" s="10">
        <v>0</v>
      </c>
      <c r="E1869" t="str">
        <f>$A1869&amp;Keys!$C$54&amp;$B1869&amp;Keys!$C$54&amp;$C1869</f>
        <v>NM|production|biofuel diesel</v>
      </c>
    </row>
    <row r="1870" spans="1:5" x14ac:dyDescent="0.25">
      <c r="A1870" t="s">
        <v>141</v>
      </c>
      <c r="B1870" t="s">
        <v>191</v>
      </c>
      <c r="C1870" t="s">
        <v>94</v>
      </c>
      <c r="D1870" s="10">
        <v>10349700000000</v>
      </c>
      <c r="E1870" t="str">
        <f>$A1870&amp;Keys!$C$54&amp;$B1870&amp;Keys!$C$54&amp;$C1870</f>
        <v>NM|imports|biofuel diesel</v>
      </c>
    </row>
    <row r="1871" spans="1:5" x14ac:dyDescent="0.25">
      <c r="A1871" t="s">
        <v>141</v>
      </c>
      <c r="B1871" t="s">
        <v>193</v>
      </c>
      <c r="C1871" t="s">
        <v>94</v>
      </c>
      <c r="D1871" s="10">
        <v>0</v>
      </c>
      <c r="E1871" t="str">
        <f>$A1871&amp;Keys!$C$54&amp;$B1871&amp;Keys!$C$54&amp;$C1871</f>
        <v>NM|exports|biofuel diesel</v>
      </c>
    </row>
    <row r="1872" spans="1:5" x14ac:dyDescent="0.25">
      <c r="A1872" t="s">
        <v>141</v>
      </c>
      <c r="B1872" t="s">
        <v>188</v>
      </c>
      <c r="C1872" t="s">
        <v>97</v>
      </c>
      <c r="D1872" s="10">
        <v>22479100000000</v>
      </c>
      <c r="E1872" t="str">
        <f>$A1872&amp;Keys!$C$54&amp;$B1872&amp;Keys!$C$54&amp;$C1872</f>
        <v>NM|production|jet fuel or kerosene</v>
      </c>
    </row>
    <row r="1873" spans="1:5" x14ac:dyDescent="0.25">
      <c r="A1873" t="s">
        <v>141</v>
      </c>
      <c r="B1873" t="s">
        <v>191</v>
      </c>
      <c r="C1873" t="s">
        <v>97</v>
      </c>
      <c r="D1873" s="10">
        <v>0</v>
      </c>
      <c r="E1873" t="str">
        <f>$A1873&amp;Keys!$C$54&amp;$B1873&amp;Keys!$C$54&amp;$C1873</f>
        <v>NM|imports|jet fuel or kerosene</v>
      </c>
    </row>
    <row r="1874" spans="1:5" x14ac:dyDescent="0.25">
      <c r="A1874" t="s">
        <v>141</v>
      </c>
      <c r="B1874" t="s">
        <v>193</v>
      </c>
      <c r="C1874" t="s">
        <v>97</v>
      </c>
      <c r="D1874" s="10">
        <v>14868600000000</v>
      </c>
      <c r="E1874" t="str">
        <f>$A1874&amp;Keys!$C$54&amp;$B1874&amp;Keys!$C$54&amp;$C1874</f>
        <v>NM|exports|jet fuel or kerosene</v>
      </c>
    </row>
    <row r="1875" spans="1:5" x14ac:dyDescent="0.25">
      <c r="A1875" t="s">
        <v>141</v>
      </c>
      <c r="B1875" t="s">
        <v>188</v>
      </c>
      <c r="C1875" t="s">
        <v>276</v>
      </c>
      <c r="D1875" s="10">
        <v>0</v>
      </c>
      <c r="E1875" t="str">
        <f>$A1875&amp;Keys!$C$54&amp;$B1875&amp;Keys!$C$54&amp;$C1875</f>
        <v>NM|production|heat</v>
      </c>
    </row>
    <row r="1876" spans="1:5" x14ac:dyDescent="0.25">
      <c r="A1876" t="s">
        <v>141</v>
      </c>
      <c r="B1876" t="s">
        <v>191</v>
      </c>
      <c r="C1876" t="s">
        <v>276</v>
      </c>
      <c r="D1876" s="10">
        <v>0</v>
      </c>
      <c r="E1876" t="str">
        <f>$A1876&amp;Keys!$C$54&amp;$B1876&amp;Keys!$C$54&amp;$C1876</f>
        <v>NM|imports|heat</v>
      </c>
    </row>
    <row r="1877" spans="1:5" x14ac:dyDescent="0.25">
      <c r="A1877" t="s">
        <v>141</v>
      </c>
      <c r="B1877" t="s">
        <v>193</v>
      </c>
      <c r="C1877" t="s">
        <v>276</v>
      </c>
      <c r="D1877" s="10">
        <v>0</v>
      </c>
      <c r="E1877" t="str">
        <f>$A1877&amp;Keys!$C$54&amp;$B1877&amp;Keys!$C$54&amp;$C1877</f>
        <v>NM|exports|heat</v>
      </c>
    </row>
    <row r="1878" spans="1:5" x14ac:dyDescent="0.25">
      <c r="A1878" t="s">
        <v>141</v>
      </c>
      <c r="B1878" t="s">
        <v>188</v>
      </c>
      <c r="C1878" t="s">
        <v>277</v>
      </c>
      <c r="D1878" s="10">
        <v>0</v>
      </c>
      <c r="E1878" t="str">
        <f>$A1878&amp;Keys!$C$54&amp;$B1878&amp;Keys!$C$54&amp;$C1878</f>
        <v>NM|production|geothermal</v>
      </c>
    </row>
    <row r="1879" spans="1:5" x14ac:dyDescent="0.25">
      <c r="A1879" t="s">
        <v>141</v>
      </c>
      <c r="B1879" t="s">
        <v>191</v>
      </c>
      <c r="C1879" t="s">
        <v>277</v>
      </c>
      <c r="D1879" s="10">
        <v>0</v>
      </c>
      <c r="E1879" t="str">
        <f>$A1879&amp;Keys!$C$54&amp;$B1879&amp;Keys!$C$54&amp;$C1879</f>
        <v>NM|imports|geothermal</v>
      </c>
    </row>
    <row r="1880" spans="1:5" x14ac:dyDescent="0.25">
      <c r="A1880" t="s">
        <v>141</v>
      </c>
      <c r="B1880" t="s">
        <v>193</v>
      </c>
      <c r="C1880" t="s">
        <v>277</v>
      </c>
      <c r="D1880" s="10">
        <v>0</v>
      </c>
      <c r="E1880" t="str">
        <f>$A1880&amp;Keys!$C$54&amp;$B1880&amp;Keys!$C$54&amp;$C1880</f>
        <v>NM|exports|geothermal</v>
      </c>
    </row>
    <row r="1881" spans="1:5" x14ac:dyDescent="0.25">
      <c r="A1881" t="s">
        <v>141</v>
      </c>
      <c r="B1881" t="s">
        <v>188</v>
      </c>
      <c r="C1881" t="s">
        <v>106</v>
      </c>
      <c r="D1881" s="10">
        <v>0</v>
      </c>
      <c r="E1881" t="str">
        <f>$A1881&amp;Keys!$C$54&amp;$B1881&amp;Keys!$C$54&amp;$C1881</f>
        <v>NM|production|lignite</v>
      </c>
    </row>
    <row r="1882" spans="1:5" x14ac:dyDescent="0.25">
      <c r="A1882" t="s">
        <v>141</v>
      </c>
      <c r="B1882" t="s">
        <v>191</v>
      </c>
      <c r="C1882" t="s">
        <v>106</v>
      </c>
      <c r="D1882" s="10">
        <v>0</v>
      </c>
      <c r="E1882" t="str">
        <f>$A1882&amp;Keys!$C$54&amp;$B1882&amp;Keys!$C$54&amp;$C1882</f>
        <v>NM|imports|lignite</v>
      </c>
    </row>
    <row r="1883" spans="1:5" x14ac:dyDescent="0.25">
      <c r="A1883" t="s">
        <v>141</v>
      </c>
      <c r="B1883" t="s">
        <v>193</v>
      </c>
      <c r="C1883" t="s">
        <v>106</v>
      </c>
      <c r="D1883" s="10">
        <v>0</v>
      </c>
      <c r="E1883" t="str">
        <f>$A1883&amp;Keys!$C$54&amp;$B1883&amp;Keys!$C$54&amp;$C1883</f>
        <v>NM|exports|lignite</v>
      </c>
    </row>
    <row r="1884" spans="1:5" x14ac:dyDescent="0.25">
      <c r="A1884" t="s">
        <v>141</v>
      </c>
      <c r="B1884" t="s">
        <v>188</v>
      </c>
      <c r="C1884" t="s">
        <v>109</v>
      </c>
      <c r="D1884" s="10">
        <v>4294330000000000</v>
      </c>
      <c r="E1884" t="str">
        <f>$A1884&amp;Keys!$C$54&amp;$B1884&amp;Keys!$C$54&amp;$C1884</f>
        <v>NM|production|crude oil</v>
      </c>
    </row>
    <row r="1885" spans="1:5" x14ac:dyDescent="0.25">
      <c r="A1885" t="s">
        <v>141</v>
      </c>
      <c r="B1885" t="s">
        <v>191</v>
      </c>
      <c r="C1885" t="s">
        <v>109</v>
      </c>
      <c r="D1885" s="10">
        <v>0</v>
      </c>
      <c r="E1885" t="str">
        <f>$A1885&amp;Keys!$C$54&amp;$B1885&amp;Keys!$C$54&amp;$C1885</f>
        <v>NM|imports|crude oil</v>
      </c>
    </row>
    <row r="1886" spans="1:5" x14ac:dyDescent="0.25">
      <c r="A1886" t="s">
        <v>141</v>
      </c>
      <c r="B1886" t="s">
        <v>193</v>
      </c>
      <c r="C1886" t="s">
        <v>109</v>
      </c>
      <c r="D1886" s="10">
        <v>4077940000000000</v>
      </c>
      <c r="E1886" t="str">
        <f>$A1886&amp;Keys!$C$54&amp;$B1886&amp;Keys!$C$54&amp;$C1886</f>
        <v>NM|exports|crude oil</v>
      </c>
    </row>
    <row r="1887" spans="1:5" x14ac:dyDescent="0.25">
      <c r="A1887" t="s">
        <v>141</v>
      </c>
      <c r="B1887" t="s">
        <v>188</v>
      </c>
      <c r="C1887" t="s">
        <v>114</v>
      </c>
      <c r="D1887" s="10">
        <v>4366650000000</v>
      </c>
      <c r="E1887" t="str">
        <f>$A1887&amp;Keys!$C$54&amp;$B1887&amp;Keys!$C$54&amp;$C1887</f>
        <v>NM|production|heavy or residual fuel oil</v>
      </c>
    </row>
    <row r="1888" spans="1:5" x14ac:dyDescent="0.25">
      <c r="A1888" t="s">
        <v>141</v>
      </c>
      <c r="B1888" t="s">
        <v>191</v>
      </c>
      <c r="C1888" t="s">
        <v>114</v>
      </c>
      <c r="D1888" s="10">
        <v>3716790000000</v>
      </c>
      <c r="E1888" t="str">
        <f>$A1888&amp;Keys!$C$54&amp;$B1888&amp;Keys!$C$54&amp;$C1888</f>
        <v>NM|imports|heavy or residual fuel oil</v>
      </c>
    </row>
    <row r="1889" spans="1:5" x14ac:dyDescent="0.25">
      <c r="A1889" t="s">
        <v>141</v>
      </c>
      <c r="B1889" t="s">
        <v>193</v>
      </c>
      <c r="C1889" t="s">
        <v>114</v>
      </c>
      <c r="D1889" s="10">
        <v>0</v>
      </c>
      <c r="E1889" t="str">
        <f>$A1889&amp;Keys!$C$54&amp;$B1889&amp;Keys!$C$54&amp;$C1889</f>
        <v>NM|exports|heavy or residual fuel oil</v>
      </c>
    </row>
    <row r="1890" spans="1:5" x14ac:dyDescent="0.25">
      <c r="A1890" t="s">
        <v>141</v>
      </c>
      <c r="B1890" t="s">
        <v>188</v>
      </c>
      <c r="C1890" t="s">
        <v>117</v>
      </c>
      <c r="D1890" s="10">
        <v>422077000000000</v>
      </c>
      <c r="E1890" t="str">
        <f>$A1890&amp;Keys!$C$54&amp;$B1890&amp;Keys!$C$54&amp;$C1890</f>
        <v>NM|production|LPG propane or butane</v>
      </c>
    </row>
    <row r="1891" spans="1:5" x14ac:dyDescent="0.25">
      <c r="A1891" t="s">
        <v>141</v>
      </c>
      <c r="B1891" t="s">
        <v>191</v>
      </c>
      <c r="C1891" t="s">
        <v>117</v>
      </c>
      <c r="D1891" s="10">
        <v>0</v>
      </c>
      <c r="E1891" t="str">
        <f>$A1891&amp;Keys!$C$54&amp;$B1891&amp;Keys!$C$54&amp;$C1891</f>
        <v>NM|imports|LPG propane or butane</v>
      </c>
    </row>
    <row r="1892" spans="1:5" x14ac:dyDescent="0.25">
      <c r="A1892" t="s">
        <v>141</v>
      </c>
      <c r="B1892" t="s">
        <v>193</v>
      </c>
      <c r="C1892" t="s">
        <v>117</v>
      </c>
      <c r="D1892" s="10">
        <v>414730000000000</v>
      </c>
      <c r="E1892" t="str">
        <f>$A1892&amp;Keys!$C$54&amp;$B1892&amp;Keys!$C$54&amp;$C1892</f>
        <v>NM|exports|LPG propane or butane</v>
      </c>
    </row>
    <row r="1893" spans="1:5" x14ac:dyDescent="0.25">
      <c r="A1893" t="s">
        <v>141</v>
      </c>
      <c r="B1893" t="s">
        <v>188</v>
      </c>
      <c r="C1893" t="s">
        <v>120</v>
      </c>
      <c r="D1893" s="10">
        <v>0</v>
      </c>
      <c r="E1893" t="str">
        <f>$A1893&amp;Keys!$C$54&amp;$B1893&amp;Keys!$C$54&amp;$C1893</f>
        <v>NM|production|municipal solid waste</v>
      </c>
    </row>
    <row r="1894" spans="1:5" x14ac:dyDescent="0.25">
      <c r="A1894" t="s">
        <v>141</v>
      </c>
      <c r="B1894" t="s">
        <v>191</v>
      </c>
      <c r="C1894" t="s">
        <v>120</v>
      </c>
      <c r="D1894" s="10">
        <v>0</v>
      </c>
      <c r="E1894" t="str">
        <f>$A1894&amp;Keys!$C$54&amp;$B1894&amp;Keys!$C$54&amp;$C1894</f>
        <v>NM|imports|municipal solid waste</v>
      </c>
    </row>
    <row r="1895" spans="1:5" x14ac:dyDescent="0.25">
      <c r="A1895" t="s">
        <v>141</v>
      </c>
      <c r="B1895" t="s">
        <v>193</v>
      </c>
      <c r="C1895" t="s">
        <v>120</v>
      </c>
      <c r="D1895" s="10">
        <v>0</v>
      </c>
      <c r="E1895" t="str">
        <f>$A1895&amp;Keys!$C$54&amp;$B1895&amp;Keys!$C$54&amp;$C1895</f>
        <v>NM|exports|municipal solid waste</v>
      </c>
    </row>
    <row r="1896" spans="1:5" x14ac:dyDescent="0.25">
      <c r="A1896" t="s">
        <v>141</v>
      </c>
      <c r="B1896" t="s">
        <v>188</v>
      </c>
      <c r="C1896" t="s">
        <v>123</v>
      </c>
      <c r="D1896" s="10">
        <v>4507750000000</v>
      </c>
      <c r="E1896" t="str">
        <f>$A1896&amp;Keys!$C$54&amp;$B1896&amp;Keys!$C$54&amp;$C1896</f>
        <v>NM|production|hydrogen</v>
      </c>
    </row>
    <row r="1897" spans="1:5" x14ac:dyDescent="0.25">
      <c r="A1897" t="s">
        <v>141</v>
      </c>
      <c r="B1897" t="s">
        <v>191</v>
      </c>
      <c r="C1897" t="s">
        <v>123</v>
      </c>
      <c r="D1897" s="10">
        <v>0</v>
      </c>
      <c r="E1897" t="str">
        <f>$A1897&amp;Keys!$C$54&amp;$B1897&amp;Keys!$C$54&amp;$C1897</f>
        <v>NM|imports|hydrogen</v>
      </c>
    </row>
    <row r="1898" spans="1:5" x14ac:dyDescent="0.25">
      <c r="A1898" t="s">
        <v>141</v>
      </c>
      <c r="B1898" t="s">
        <v>193</v>
      </c>
      <c r="C1898" t="s">
        <v>123</v>
      </c>
      <c r="D1898" s="10">
        <v>1870470000000</v>
      </c>
      <c r="E1898" t="str">
        <f>$A1898&amp;Keys!$C$54&amp;$B1898&amp;Keys!$C$54&amp;$C1898</f>
        <v>NM|exports|hydrogen</v>
      </c>
    </row>
    <row r="1899" spans="1:5" x14ac:dyDescent="0.25">
      <c r="A1899" t="s">
        <v>143</v>
      </c>
      <c r="B1899" t="s">
        <v>188</v>
      </c>
      <c r="C1899" t="s">
        <v>272</v>
      </c>
      <c r="D1899" s="10">
        <v>0</v>
      </c>
      <c r="E1899" t="str">
        <f>$A1899&amp;Keys!$C$54&amp;$B1899&amp;Keys!$C$54&amp;$C1899</f>
        <v>NV|production|electricity</v>
      </c>
    </row>
    <row r="1900" spans="1:5" x14ac:dyDescent="0.25">
      <c r="A1900" t="s">
        <v>143</v>
      </c>
      <c r="B1900" t="s">
        <v>191</v>
      </c>
      <c r="C1900" t="s">
        <v>272</v>
      </c>
      <c r="D1900" s="10">
        <v>0</v>
      </c>
      <c r="E1900" t="str">
        <f>$A1900&amp;Keys!$C$54&amp;$B1900&amp;Keys!$C$54&amp;$C1900</f>
        <v>NV|imports|electricity</v>
      </c>
    </row>
    <row r="1901" spans="1:5" x14ac:dyDescent="0.25">
      <c r="A1901" t="s">
        <v>143</v>
      </c>
      <c r="B1901" t="s">
        <v>193</v>
      </c>
      <c r="C1901" t="s">
        <v>272</v>
      </c>
      <c r="D1901" s="10">
        <v>0</v>
      </c>
      <c r="E1901" t="str">
        <f>$A1901&amp;Keys!$C$54&amp;$B1901&amp;Keys!$C$54&amp;$C1901</f>
        <v>NV|exports|electricity</v>
      </c>
    </row>
    <row r="1902" spans="1:5" x14ac:dyDescent="0.25">
      <c r="A1902" t="s">
        <v>143</v>
      </c>
      <c r="B1902" t="s">
        <v>188</v>
      </c>
      <c r="C1902" t="s">
        <v>64</v>
      </c>
      <c r="D1902" s="10">
        <v>0</v>
      </c>
      <c r="E1902" t="str">
        <f>$A1902&amp;Keys!$C$54&amp;$B1902&amp;Keys!$C$54&amp;$C1902</f>
        <v>NV|production|hard coal</v>
      </c>
    </row>
    <row r="1903" spans="1:5" x14ac:dyDescent="0.25">
      <c r="A1903" t="s">
        <v>143</v>
      </c>
      <c r="B1903" t="s">
        <v>191</v>
      </c>
      <c r="C1903" t="s">
        <v>64</v>
      </c>
      <c r="D1903" s="10">
        <v>42533100000000</v>
      </c>
      <c r="E1903" t="str">
        <f>$A1903&amp;Keys!$C$54&amp;$B1903&amp;Keys!$C$54&amp;$C1903</f>
        <v>NV|imports|hard coal</v>
      </c>
    </row>
    <row r="1904" spans="1:5" x14ac:dyDescent="0.25">
      <c r="A1904" t="s">
        <v>143</v>
      </c>
      <c r="B1904" t="s">
        <v>193</v>
      </c>
      <c r="C1904" t="s">
        <v>64</v>
      </c>
      <c r="D1904" s="10">
        <v>0</v>
      </c>
      <c r="E1904" t="str">
        <f>$A1904&amp;Keys!$C$54&amp;$B1904&amp;Keys!$C$54&amp;$C1904</f>
        <v>NV|exports|hard coal</v>
      </c>
    </row>
    <row r="1905" spans="1:5" x14ac:dyDescent="0.25">
      <c r="A1905" t="s">
        <v>143</v>
      </c>
      <c r="B1905" t="s">
        <v>188</v>
      </c>
      <c r="C1905" t="s">
        <v>68</v>
      </c>
      <c r="D1905" s="10">
        <v>4148000000</v>
      </c>
      <c r="E1905" t="str">
        <f>$A1905&amp;Keys!$C$54&amp;$B1905&amp;Keys!$C$54&amp;$C1905</f>
        <v>NV|production|natural gas</v>
      </c>
    </row>
    <row r="1906" spans="1:5" x14ac:dyDescent="0.25">
      <c r="A1906" t="s">
        <v>143</v>
      </c>
      <c r="B1906" t="s">
        <v>191</v>
      </c>
      <c r="C1906" t="s">
        <v>68</v>
      </c>
      <c r="D1906" s="10">
        <v>895593000000000</v>
      </c>
      <c r="E1906" t="str">
        <f>$A1906&amp;Keys!$C$54&amp;$B1906&amp;Keys!$C$54&amp;$C1906</f>
        <v>NV|imports|natural gas</v>
      </c>
    </row>
    <row r="1907" spans="1:5" x14ac:dyDescent="0.25">
      <c r="A1907" t="s">
        <v>143</v>
      </c>
      <c r="B1907" t="s">
        <v>193</v>
      </c>
      <c r="C1907" t="s">
        <v>68</v>
      </c>
      <c r="D1907" s="10">
        <v>602443000000000</v>
      </c>
      <c r="E1907" t="str">
        <f>$A1907&amp;Keys!$C$54&amp;$B1907&amp;Keys!$C$54&amp;$C1907</f>
        <v>NV|exports|natural gas</v>
      </c>
    </row>
    <row r="1908" spans="1:5" x14ac:dyDescent="0.25">
      <c r="A1908" t="s">
        <v>143</v>
      </c>
      <c r="B1908" t="s">
        <v>188</v>
      </c>
      <c r="C1908" t="s">
        <v>71</v>
      </c>
      <c r="D1908" s="10">
        <v>0</v>
      </c>
      <c r="E1908" t="str">
        <f>$A1908&amp;Keys!$C$54&amp;$B1908&amp;Keys!$C$54&amp;$C1908</f>
        <v>NV|production|nuclear</v>
      </c>
    </row>
    <row r="1909" spans="1:5" x14ac:dyDescent="0.25">
      <c r="A1909" t="s">
        <v>143</v>
      </c>
      <c r="B1909" t="s">
        <v>191</v>
      </c>
      <c r="C1909" t="s">
        <v>71</v>
      </c>
      <c r="D1909" s="10">
        <v>0</v>
      </c>
      <c r="E1909" t="str">
        <f>$A1909&amp;Keys!$C$54&amp;$B1909&amp;Keys!$C$54&amp;$C1909</f>
        <v>NV|imports|nuclear</v>
      </c>
    </row>
    <row r="1910" spans="1:5" x14ac:dyDescent="0.25">
      <c r="A1910" t="s">
        <v>143</v>
      </c>
      <c r="B1910" t="s">
        <v>193</v>
      </c>
      <c r="C1910" t="s">
        <v>71</v>
      </c>
      <c r="D1910" s="10">
        <v>0</v>
      </c>
      <c r="E1910" t="str">
        <f>$A1910&amp;Keys!$C$54&amp;$B1910&amp;Keys!$C$54&amp;$C1910</f>
        <v>NV|exports|nuclear</v>
      </c>
    </row>
    <row r="1911" spans="1:5" x14ac:dyDescent="0.25">
      <c r="A1911" t="s">
        <v>143</v>
      </c>
      <c r="B1911" t="s">
        <v>188</v>
      </c>
      <c r="C1911" t="s">
        <v>273</v>
      </c>
      <c r="D1911" s="10">
        <v>0</v>
      </c>
      <c r="E1911" t="str">
        <f>$A1911&amp;Keys!$C$54&amp;$B1911&amp;Keys!$C$54&amp;$C1911</f>
        <v>NV|production|hydro</v>
      </c>
    </row>
    <row r="1912" spans="1:5" x14ac:dyDescent="0.25">
      <c r="A1912" t="s">
        <v>143</v>
      </c>
      <c r="B1912" t="s">
        <v>191</v>
      </c>
      <c r="C1912" t="s">
        <v>273</v>
      </c>
      <c r="D1912" s="10">
        <v>0</v>
      </c>
      <c r="E1912" t="str">
        <f>$A1912&amp;Keys!$C$54&amp;$B1912&amp;Keys!$C$54&amp;$C1912</f>
        <v>NV|imports|hydro</v>
      </c>
    </row>
    <row r="1913" spans="1:5" x14ac:dyDescent="0.25">
      <c r="A1913" t="s">
        <v>143</v>
      </c>
      <c r="B1913" t="s">
        <v>193</v>
      </c>
      <c r="C1913" t="s">
        <v>273</v>
      </c>
      <c r="D1913" s="10">
        <v>0</v>
      </c>
      <c r="E1913" t="str">
        <f>$A1913&amp;Keys!$C$54&amp;$B1913&amp;Keys!$C$54&amp;$C1913</f>
        <v>NV|exports|hydro</v>
      </c>
    </row>
    <row r="1914" spans="1:5" x14ac:dyDescent="0.25">
      <c r="A1914" t="s">
        <v>143</v>
      </c>
      <c r="B1914" t="s">
        <v>188</v>
      </c>
      <c r="C1914" t="s">
        <v>274</v>
      </c>
      <c r="D1914" s="10">
        <v>0</v>
      </c>
      <c r="E1914" t="str">
        <f>$A1914&amp;Keys!$C$54&amp;$B1914&amp;Keys!$C$54&amp;$C1914</f>
        <v>NV|production|wind</v>
      </c>
    </row>
    <row r="1915" spans="1:5" x14ac:dyDescent="0.25">
      <c r="A1915" t="s">
        <v>143</v>
      </c>
      <c r="B1915" t="s">
        <v>191</v>
      </c>
      <c r="C1915" t="s">
        <v>274</v>
      </c>
      <c r="D1915" s="10">
        <v>0</v>
      </c>
      <c r="E1915" t="str">
        <f>$A1915&amp;Keys!$C$54&amp;$B1915&amp;Keys!$C$54&amp;$C1915</f>
        <v>NV|imports|wind</v>
      </c>
    </row>
    <row r="1916" spans="1:5" x14ac:dyDescent="0.25">
      <c r="A1916" t="s">
        <v>143</v>
      </c>
      <c r="B1916" t="s">
        <v>193</v>
      </c>
      <c r="C1916" t="s">
        <v>274</v>
      </c>
      <c r="D1916" s="10">
        <v>0</v>
      </c>
      <c r="E1916" t="str">
        <f>$A1916&amp;Keys!$C$54&amp;$B1916&amp;Keys!$C$54&amp;$C1916</f>
        <v>NV|exports|wind</v>
      </c>
    </row>
    <row r="1917" spans="1:5" x14ac:dyDescent="0.25">
      <c r="A1917" t="s">
        <v>143</v>
      </c>
      <c r="B1917" t="s">
        <v>188</v>
      </c>
      <c r="C1917" t="s">
        <v>275</v>
      </c>
      <c r="D1917" s="10">
        <v>0</v>
      </c>
      <c r="E1917" t="str">
        <f>$A1917&amp;Keys!$C$54&amp;$B1917&amp;Keys!$C$54&amp;$C1917</f>
        <v>NV|production|solar</v>
      </c>
    </row>
    <row r="1918" spans="1:5" x14ac:dyDescent="0.25">
      <c r="A1918" t="s">
        <v>143</v>
      </c>
      <c r="B1918" t="s">
        <v>191</v>
      </c>
      <c r="C1918" t="s">
        <v>275</v>
      </c>
      <c r="D1918" s="10">
        <v>0</v>
      </c>
      <c r="E1918" t="str">
        <f>$A1918&amp;Keys!$C$54&amp;$B1918&amp;Keys!$C$54&amp;$C1918</f>
        <v>NV|imports|solar</v>
      </c>
    </row>
    <row r="1919" spans="1:5" x14ac:dyDescent="0.25">
      <c r="A1919" t="s">
        <v>143</v>
      </c>
      <c r="B1919" t="s">
        <v>193</v>
      </c>
      <c r="C1919" t="s">
        <v>275</v>
      </c>
      <c r="D1919" s="10">
        <v>0</v>
      </c>
      <c r="E1919" t="str">
        <f>$A1919&amp;Keys!$C$54&amp;$B1919&amp;Keys!$C$54&amp;$C1919</f>
        <v>NV|exports|solar</v>
      </c>
    </row>
    <row r="1920" spans="1:5" x14ac:dyDescent="0.25">
      <c r="A1920" t="s">
        <v>143</v>
      </c>
      <c r="B1920" t="s">
        <v>188</v>
      </c>
      <c r="C1920" t="s">
        <v>82</v>
      </c>
      <c r="D1920" s="10">
        <v>0</v>
      </c>
      <c r="E1920" t="str">
        <f>$A1920&amp;Keys!$C$54&amp;$B1920&amp;Keys!$C$54&amp;$C1920</f>
        <v>NV|production|biomass</v>
      </c>
    </row>
    <row r="1921" spans="1:5" x14ac:dyDescent="0.25">
      <c r="A1921" t="s">
        <v>143</v>
      </c>
      <c r="B1921" t="s">
        <v>191</v>
      </c>
      <c r="C1921" t="s">
        <v>82</v>
      </c>
      <c r="D1921" s="10">
        <v>3540740000000</v>
      </c>
      <c r="E1921" t="str">
        <f>$A1921&amp;Keys!$C$54&amp;$B1921&amp;Keys!$C$54&amp;$C1921</f>
        <v>NV|imports|biomass</v>
      </c>
    </row>
    <row r="1922" spans="1:5" x14ac:dyDescent="0.25">
      <c r="A1922" t="s">
        <v>143</v>
      </c>
      <c r="B1922" t="s">
        <v>193</v>
      </c>
      <c r="C1922" t="s">
        <v>82</v>
      </c>
      <c r="D1922" s="10">
        <v>0</v>
      </c>
      <c r="E1922" t="str">
        <f>$A1922&amp;Keys!$C$54&amp;$B1922&amp;Keys!$C$54&amp;$C1922</f>
        <v>NV|exports|biomass</v>
      </c>
    </row>
    <row r="1923" spans="1:5" x14ac:dyDescent="0.25">
      <c r="A1923" t="s">
        <v>143</v>
      </c>
      <c r="B1923" t="s">
        <v>188</v>
      </c>
      <c r="C1923" t="s">
        <v>85</v>
      </c>
      <c r="D1923" s="10">
        <v>1941000000000</v>
      </c>
      <c r="E1923" t="str">
        <f>$A1923&amp;Keys!$C$54&amp;$B1923&amp;Keys!$C$54&amp;$C1923</f>
        <v>NV|production|petroleum gasoline</v>
      </c>
    </row>
    <row r="1924" spans="1:5" x14ac:dyDescent="0.25">
      <c r="A1924" t="s">
        <v>143</v>
      </c>
      <c r="B1924" t="s">
        <v>191</v>
      </c>
      <c r="C1924" t="s">
        <v>85</v>
      </c>
      <c r="D1924" s="10">
        <v>121921000000000</v>
      </c>
      <c r="E1924" t="str">
        <f>$A1924&amp;Keys!$C$54&amp;$B1924&amp;Keys!$C$54&amp;$C1924</f>
        <v>NV|imports|petroleum gasoline</v>
      </c>
    </row>
    <row r="1925" spans="1:5" x14ac:dyDescent="0.25">
      <c r="A1925" t="s">
        <v>143</v>
      </c>
      <c r="B1925" t="s">
        <v>193</v>
      </c>
      <c r="C1925" t="s">
        <v>85</v>
      </c>
      <c r="D1925" s="10">
        <v>0</v>
      </c>
      <c r="E1925" t="str">
        <f>$A1925&amp;Keys!$C$54&amp;$B1925&amp;Keys!$C$54&amp;$C1925</f>
        <v>NV|exports|petroleum gasoline</v>
      </c>
    </row>
    <row r="1926" spans="1:5" x14ac:dyDescent="0.25">
      <c r="A1926" t="s">
        <v>143</v>
      </c>
      <c r="B1926" t="s">
        <v>188</v>
      </c>
      <c r="C1926" t="s">
        <v>88</v>
      </c>
      <c r="D1926" s="10">
        <v>1148130000000</v>
      </c>
      <c r="E1926" t="str">
        <f>$A1926&amp;Keys!$C$54&amp;$B1926&amp;Keys!$C$54&amp;$C1926</f>
        <v>NV|production|petroleum diesel</v>
      </c>
    </row>
    <row r="1927" spans="1:5" x14ac:dyDescent="0.25">
      <c r="A1927" t="s">
        <v>143</v>
      </c>
      <c r="B1927" t="s">
        <v>191</v>
      </c>
      <c r="C1927" t="s">
        <v>88</v>
      </c>
      <c r="D1927" s="10">
        <v>75873700000000</v>
      </c>
      <c r="E1927" t="str">
        <f>$A1927&amp;Keys!$C$54&amp;$B1927&amp;Keys!$C$54&amp;$C1927</f>
        <v>NV|imports|petroleum diesel</v>
      </c>
    </row>
    <row r="1928" spans="1:5" x14ac:dyDescent="0.25">
      <c r="A1928" t="s">
        <v>143</v>
      </c>
      <c r="B1928" t="s">
        <v>193</v>
      </c>
      <c r="C1928" t="s">
        <v>88</v>
      </c>
      <c r="D1928" s="10">
        <v>0</v>
      </c>
      <c r="E1928" t="str">
        <f>$A1928&amp;Keys!$C$54&amp;$B1928&amp;Keys!$C$54&amp;$C1928</f>
        <v>NV|exports|petroleum diesel</v>
      </c>
    </row>
    <row r="1929" spans="1:5" x14ac:dyDescent="0.25">
      <c r="A1929" t="s">
        <v>143</v>
      </c>
      <c r="B1929" t="s">
        <v>188</v>
      </c>
      <c r="C1929" t="s">
        <v>91</v>
      </c>
      <c r="D1929" s="10">
        <v>0</v>
      </c>
      <c r="E1929" t="str">
        <f>$A1929&amp;Keys!$C$54&amp;$B1929&amp;Keys!$C$54&amp;$C1929</f>
        <v>NV|production|biofuel gasoline</v>
      </c>
    </row>
    <row r="1930" spans="1:5" x14ac:dyDescent="0.25">
      <c r="A1930" t="s">
        <v>143</v>
      </c>
      <c r="B1930" t="s">
        <v>191</v>
      </c>
      <c r="C1930" t="s">
        <v>91</v>
      </c>
      <c r="D1930" s="10">
        <v>9112170000000</v>
      </c>
      <c r="E1930" t="str">
        <f>$A1930&amp;Keys!$C$54&amp;$B1930&amp;Keys!$C$54&amp;$C1930</f>
        <v>NV|imports|biofuel gasoline</v>
      </c>
    </row>
    <row r="1931" spans="1:5" x14ac:dyDescent="0.25">
      <c r="A1931" t="s">
        <v>143</v>
      </c>
      <c r="B1931" t="s">
        <v>193</v>
      </c>
      <c r="C1931" t="s">
        <v>91</v>
      </c>
      <c r="D1931" s="10">
        <v>0</v>
      </c>
      <c r="E1931" t="str">
        <f>$A1931&amp;Keys!$C$54&amp;$B1931&amp;Keys!$C$54&amp;$C1931</f>
        <v>NV|exports|biofuel gasoline</v>
      </c>
    </row>
    <row r="1932" spans="1:5" x14ac:dyDescent="0.25">
      <c r="A1932" t="s">
        <v>143</v>
      </c>
      <c r="B1932" t="s">
        <v>188</v>
      </c>
      <c r="C1932" t="s">
        <v>94</v>
      </c>
      <c r="D1932" s="10">
        <v>0</v>
      </c>
      <c r="E1932" t="str">
        <f>$A1932&amp;Keys!$C$54&amp;$B1932&amp;Keys!$C$54&amp;$C1932</f>
        <v>NV|production|biofuel diesel</v>
      </c>
    </row>
    <row r="1933" spans="1:5" x14ac:dyDescent="0.25">
      <c r="A1933" t="s">
        <v>143</v>
      </c>
      <c r="B1933" t="s">
        <v>191</v>
      </c>
      <c r="C1933" t="s">
        <v>94</v>
      </c>
      <c r="D1933" s="10">
        <v>997819000000</v>
      </c>
      <c r="E1933" t="str">
        <f>$A1933&amp;Keys!$C$54&amp;$B1933&amp;Keys!$C$54&amp;$C1933</f>
        <v>NV|imports|biofuel diesel</v>
      </c>
    </row>
    <row r="1934" spans="1:5" x14ac:dyDescent="0.25">
      <c r="A1934" t="s">
        <v>143</v>
      </c>
      <c r="B1934" t="s">
        <v>193</v>
      </c>
      <c r="C1934" t="s">
        <v>94</v>
      </c>
      <c r="D1934" s="10">
        <v>0</v>
      </c>
      <c r="E1934" t="str">
        <f>$A1934&amp;Keys!$C$54&amp;$B1934&amp;Keys!$C$54&amp;$C1934</f>
        <v>NV|exports|biofuel diesel</v>
      </c>
    </row>
    <row r="1935" spans="1:5" x14ac:dyDescent="0.25">
      <c r="A1935" t="s">
        <v>143</v>
      </c>
      <c r="B1935" t="s">
        <v>188</v>
      </c>
      <c r="C1935" t="s">
        <v>97</v>
      </c>
      <c r="D1935" s="10">
        <v>408712000000</v>
      </c>
      <c r="E1935" t="str">
        <f>$A1935&amp;Keys!$C$54&amp;$B1935&amp;Keys!$C$54&amp;$C1935</f>
        <v>NV|production|jet fuel or kerosene</v>
      </c>
    </row>
    <row r="1936" spans="1:5" x14ac:dyDescent="0.25">
      <c r="A1936" t="s">
        <v>143</v>
      </c>
      <c r="B1936" t="s">
        <v>191</v>
      </c>
      <c r="C1936" t="s">
        <v>97</v>
      </c>
      <c r="D1936" s="10">
        <v>77501900000000</v>
      </c>
      <c r="E1936" t="str">
        <f>$A1936&amp;Keys!$C$54&amp;$B1936&amp;Keys!$C$54&amp;$C1936</f>
        <v>NV|imports|jet fuel or kerosene</v>
      </c>
    </row>
    <row r="1937" spans="1:5" x14ac:dyDescent="0.25">
      <c r="A1937" t="s">
        <v>143</v>
      </c>
      <c r="B1937" t="s">
        <v>193</v>
      </c>
      <c r="C1937" t="s">
        <v>97</v>
      </c>
      <c r="D1937" s="10">
        <v>0</v>
      </c>
      <c r="E1937" t="str">
        <f>$A1937&amp;Keys!$C$54&amp;$B1937&amp;Keys!$C$54&amp;$C1937</f>
        <v>NV|exports|jet fuel or kerosene</v>
      </c>
    </row>
    <row r="1938" spans="1:5" x14ac:dyDescent="0.25">
      <c r="A1938" t="s">
        <v>143</v>
      </c>
      <c r="B1938" t="s">
        <v>188</v>
      </c>
      <c r="C1938" t="s">
        <v>276</v>
      </c>
      <c r="D1938" s="10">
        <v>0</v>
      </c>
      <c r="E1938" t="str">
        <f>$A1938&amp;Keys!$C$54&amp;$B1938&amp;Keys!$C$54&amp;$C1938</f>
        <v>NV|production|heat</v>
      </c>
    </row>
    <row r="1939" spans="1:5" x14ac:dyDescent="0.25">
      <c r="A1939" t="s">
        <v>143</v>
      </c>
      <c r="B1939" t="s">
        <v>191</v>
      </c>
      <c r="C1939" t="s">
        <v>276</v>
      </c>
      <c r="D1939" s="10">
        <v>0</v>
      </c>
      <c r="E1939" t="str">
        <f>$A1939&amp;Keys!$C$54&amp;$B1939&amp;Keys!$C$54&amp;$C1939</f>
        <v>NV|imports|heat</v>
      </c>
    </row>
    <row r="1940" spans="1:5" x14ac:dyDescent="0.25">
      <c r="A1940" t="s">
        <v>143</v>
      </c>
      <c r="B1940" t="s">
        <v>193</v>
      </c>
      <c r="C1940" t="s">
        <v>276</v>
      </c>
      <c r="D1940" s="10">
        <v>0</v>
      </c>
      <c r="E1940" t="str">
        <f>$A1940&amp;Keys!$C$54&amp;$B1940&amp;Keys!$C$54&amp;$C1940</f>
        <v>NV|exports|heat</v>
      </c>
    </row>
    <row r="1941" spans="1:5" x14ac:dyDescent="0.25">
      <c r="A1941" t="s">
        <v>143</v>
      </c>
      <c r="B1941" t="s">
        <v>188</v>
      </c>
      <c r="C1941" t="s">
        <v>277</v>
      </c>
      <c r="D1941" s="10">
        <v>0</v>
      </c>
      <c r="E1941" t="str">
        <f>$A1941&amp;Keys!$C$54&amp;$B1941&amp;Keys!$C$54&amp;$C1941</f>
        <v>NV|production|geothermal</v>
      </c>
    </row>
    <row r="1942" spans="1:5" x14ac:dyDescent="0.25">
      <c r="A1942" t="s">
        <v>143</v>
      </c>
      <c r="B1942" t="s">
        <v>191</v>
      </c>
      <c r="C1942" t="s">
        <v>277</v>
      </c>
      <c r="D1942" s="10">
        <v>0</v>
      </c>
      <c r="E1942" t="str">
        <f>$A1942&amp;Keys!$C$54&amp;$B1942&amp;Keys!$C$54&amp;$C1942</f>
        <v>NV|imports|geothermal</v>
      </c>
    </row>
    <row r="1943" spans="1:5" x14ac:dyDescent="0.25">
      <c r="A1943" t="s">
        <v>143</v>
      </c>
      <c r="B1943" t="s">
        <v>193</v>
      </c>
      <c r="C1943" t="s">
        <v>277</v>
      </c>
      <c r="D1943" s="10">
        <v>0</v>
      </c>
      <c r="E1943" t="str">
        <f>$A1943&amp;Keys!$C$54&amp;$B1943&amp;Keys!$C$54&amp;$C1943</f>
        <v>NV|exports|geothermal</v>
      </c>
    </row>
    <row r="1944" spans="1:5" x14ac:dyDescent="0.25">
      <c r="A1944" t="s">
        <v>143</v>
      </c>
      <c r="B1944" t="s">
        <v>188</v>
      </c>
      <c r="C1944" t="s">
        <v>106</v>
      </c>
      <c r="D1944" s="10">
        <v>0</v>
      </c>
      <c r="E1944" t="str">
        <f>$A1944&amp;Keys!$C$54&amp;$B1944&amp;Keys!$C$54&amp;$C1944</f>
        <v>NV|production|lignite</v>
      </c>
    </row>
    <row r="1945" spans="1:5" x14ac:dyDescent="0.25">
      <c r="A1945" t="s">
        <v>143</v>
      </c>
      <c r="B1945" t="s">
        <v>191</v>
      </c>
      <c r="C1945" t="s">
        <v>106</v>
      </c>
      <c r="D1945" s="10">
        <v>0</v>
      </c>
      <c r="E1945" t="str">
        <f>$A1945&amp;Keys!$C$54&amp;$B1945&amp;Keys!$C$54&amp;$C1945</f>
        <v>NV|imports|lignite</v>
      </c>
    </row>
    <row r="1946" spans="1:5" x14ac:dyDescent="0.25">
      <c r="A1946" t="s">
        <v>143</v>
      </c>
      <c r="B1946" t="s">
        <v>193</v>
      </c>
      <c r="C1946" t="s">
        <v>106</v>
      </c>
      <c r="D1946" s="10">
        <v>0</v>
      </c>
      <c r="E1946" t="str">
        <f>$A1946&amp;Keys!$C$54&amp;$B1946&amp;Keys!$C$54&amp;$C1946</f>
        <v>NV|exports|lignite</v>
      </c>
    </row>
    <row r="1947" spans="1:5" x14ac:dyDescent="0.25">
      <c r="A1947" t="s">
        <v>143</v>
      </c>
      <c r="B1947" t="s">
        <v>188</v>
      </c>
      <c r="C1947" t="s">
        <v>109</v>
      </c>
      <c r="D1947" s="10">
        <v>1026600000000</v>
      </c>
      <c r="E1947" t="str">
        <f>$A1947&amp;Keys!$C$54&amp;$B1947&amp;Keys!$C$54&amp;$C1947</f>
        <v>NV|production|crude oil</v>
      </c>
    </row>
    <row r="1948" spans="1:5" x14ac:dyDescent="0.25">
      <c r="A1948" t="s">
        <v>143</v>
      </c>
      <c r="B1948" t="s">
        <v>191</v>
      </c>
      <c r="C1948" t="s">
        <v>109</v>
      </c>
      <c r="D1948" s="10">
        <v>3401660000000</v>
      </c>
      <c r="E1948" t="str">
        <f>$A1948&amp;Keys!$C$54&amp;$B1948&amp;Keys!$C$54&amp;$C1948</f>
        <v>NV|imports|crude oil</v>
      </c>
    </row>
    <row r="1949" spans="1:5" x14ac:dyDescent="0.25">
      <c r="A1949" t="s">
        <v>143</v>
      </c>
      <c r="B1949" t="s">
        <v>193</v>
      </c>
      <c r="C1949" t="s">
        <v>109</v>
      </c>
      <c r="D1949" s="10">
        <v>0</v>
      </c>
      <c r="E1949" t="str">
        <f>$A1949&amp;Keys!$C$54&amp;$B1949&amp;Keys!$C$54&amp;$C1949</f>
        <v>NV|exports|crude oil</v>
      </c>
    </row>
    <row r="1950" spans="1:5" x14ac:dyDescent="0.25">
      <c r="A1950" t="s">
        <v>143</v>
      </c>
      <c r="B1950" t="s">
        <v>188</v>
      </c>
      <c r="C1950" t="s">
        <v>114</v>
      </c>
      <c r="D1950" s="10">
        <v>79393600000</v>
      </c>
      <c r="E1950" t="str">
        <f>$A1950&amp;Keys!$C$54&amp;$B1950&amp;Keys!$C$54&amp;$C1950</f>
        <v>NV|production|heavy or residual fuel oil</v>
      </c>
    </row>
    <row r="1951" spans="1:5" x14ac:dyDescent="0.25">
      <c r="A1951" t="s">
        <v>143</v>
      </c>
      <c r="B1951" t="s">
        <v>191</v>
      </c>
      <c r="C1951" t="s">
        <v>114</v>
      </c>
      <c r="D1951" s="10">
        <v>7648310000000</v>
      </c>
      <c r="E1951" t="str">
        <f>$A1951&amp;Keys!$C$54&amp;$B1951&amp;Keys!$C$54&amp;$C1951</f>
        <v>NV|imports|heavy or residual fuel oil</v>
      </c>
    </row>
    <row r="1952" spans="1:5" x14ac:dyDescent="0.25">
      <c r="A1952" t="s">
        <v>143</v>
      </c>
      <c r="B1952" t="s">
        <v>193</v>
      </c>
      <c r="C1952" t="s">
        <v>114</v>
      </c>
      <c r="D1952" s="10">
        <v>0</v>
      </c>
      <c r="E1952" t="str">
        <f>$A1952&amp;Keys!$C$54&amp;$B1952&amp;Keys!$C$54&amp;$C1952</f>
        <v>NV|exports|heavy or residual fuel oil</v>
      </c>
    </row>
    <row r="1953" spans="1:5" x14ac:dyDescent="0.25">
      <c r="A1953" t="s">
        <v>143</v>
      </c>
      <c r="B1953" t="s">
        <v>188</v>
      </c>
      <c r="C1953" t="s">
        <v>117</v>
      </c>
      <c r="D1953" s="10">
        <v>507091000</v>
      </c>
      <c r="E1953" t="str">
        <f>$A1953&amp;Keys!$C$54&amp;$B1953&amp;Keys!$C$54&amp;$C1953</f>
        <v>NV|production|LPG propane or butane</v>
      </c>
    </row>
    <row r="1954" spans="1:5" x14ac:dyDescent="0.25">
      <c r="A1954" t="s">
        <v>143</v>
      </c>
      <c r="B1954" t="s">
        <v>191</v>
      </c>
      <c r="C1954" t="s">
        <v>117</v>
      </c>
      <c r="D1954" s="10">
        <v>5573300000000</v>
      </c>
      <c r="E1954" t="str">
        <f>$A1954&amp;Keys!$C$54&amp;$B1954&amp;Keys!$C$54&amp;$C1954</f>
        <v>NV|imports|LPG propane or butane</v>
      </c>
    </row>
    <row r="1955" spans="1:5" x14ac:dyDescent="0.25">
      <c r="A1955" t="s">
        <v>143</v>
      </c>
      <c r="B1955" t="s">
        <v>193</v>
      </c>
      <c r="C1955" t="s">
        <v>117</v>
      </c>
      <c r="D1955" s="10">
        <v>0</v>
      </c>
      <c r="E1955" t="str">
        <f>$A1955&amp;Keys!$C$54&amp;$B1955&amp;Keys!$C$54&amp;$C1955</f>
        <v>NV|exports|LPG propane or butane</v>
      </c>
    </row>
    <row r="1956" spans="1:5" x14ac:dyDescent="0.25">
      <c r="A1956" t="s">
        <v>143</v>
      </c>
      <c r="B1956" t="s">
        <v>188</v>
      </c>
      <c r="C1956" t="s">
        <v>120</v>
      </c>
      <c r="D1956" s="10">
        <v>0</v>
      </c>
      <c r="E1956" t="str">
        <f>$A1956&amp;Keys!$C$54&amp;$B1956&amp;Keys!$C$54&amp;$C1956</f>
        <v>NV|production|municipal solid waste</v>
      </c>
    </row>
    <row r="1957" spans="1:5" x14ac:dyDescent="0.25">
      <c r="A1957" t="s">
        <v>143</v>
      </c>
      <c r="B1957" t="s">
        <v>191</v>
      </c>
      <c r="C1957" t="s">
        <v>120</v>
      </c>
      <c r="D1957" s="10">
        <v>0</v>
      </c>
      <c r="E1957" t="str">
        <f>$A1957&amp;Keys!$C$54&amp;$B1957&amp;Keys!$C$54&amp;$C1957</f>
        <v>NV|imports|municipal solid waste</v>
      </c>
    </row>
    <row r="1958" spans="1:5" x14ac:dyDescent="0.25">
      <c r="A1958" t="s">
        <v>143</v>
      </c>
      <c r="B1958" t="s">
        <v>193</v>
      </c>
      <c r="C1958" t="s">
        <v>120</v>
      </c>
      <c r="D1958" s="10">
        <v>0</v>
      </c>
      <c r="E1958" t="str">
        <f>$A1958&amp;Keys!$C$54&amp;$B1958&amp;Keys!$C$54&amp;$C1958</f>
        <v>NV|exports|municipal solid waste</v>
      </c>
    </row>
    <row r="1959" spans="1:5" x14ac:dyDescent="0.25">
      <c r="A1959" t="s">
        <v>143</v>
      </c>
      <c r="B1959" t="s">
        <v>188</v>
      </c>
      <c r="C1959" t="s">
        <v>123</v>
      </c>
      <c r="D1959" s="10">
        <v>0</v>
      </c>
      <c r="E1959" t="str">
        <f>$A1959&amp;Keys!$C$54&amp;$B1959&amp;Keys!$C$54&amp;$C1959</f>
        <v>NV|production|hydrogen</v>
      </c>
    </row>
    <row r="1960" spans="1:5" x14ac:dyDescent="0.25">
      <c r="A1960" t="s">
        <v>143</v>
      </c>
      <c r="B1960" t="s">
        <v>191</v>
      </c>
      <c r="C1960" t="s">
        <v>123</v>
      </c>
      <c r="D1960" s="10">
        <v>1315780000000</v>
      </c>
      <c r="E1960" t="str">
        <f>$A1960&amp;Keys!$C$54&amp;$B1960&amp;Keys!$C$54&amp;$C1960</f>
        <v>NV|imports|hydrogen</v>
      </c>
    </row>
    <row r="1961" spans="1:5" x14ac:dyDescent="0.25">
      <c r="A1961" t="s">
        <v>143</v>
      </c>
      <c r="B1961" t="s">
        <v>193</v>
      </c>
      <c r="C1961" t="s">
        <v>123</v>
      </c>
      <c r="D1961" s="10">
        <v>0</v>
      </c>
      <c r="E1961" t="str">
        <f>$A1961&amp;Keys!$C$54&amp;$B1961&amp;Keys!$C$54&amp;$C1961</f>
        <v>NV|exports|hydrogen</v>
      </c>
    </row>
    <row r="1962" spans="1:5" x14ac:dyDescent="0.25">
      <c r="A1962" t="s">
        <v>145</v>
      </c>
      <c r="B1962" t="s">
        <v>188</v>
      </c>
      <c r="C1962" t="s">
        <v>272</v>
      </c>
      <c r="D1962" s="10">
        <v>0</v>
      </c>
      <c r="E1962" t="str">
        <f>$A1962&amp;Keys!$C$54&amp;$B1962&amp;Keys!$C$54&amp;$C1962</f>
        <v>NY|production|electricity</v>
      </c>
    </row>
    <row r="1963" spans="1:5" x14ac:dyDescent="0.25">
      <c r="A1963" t="s">
        <v>145</v>
      </c>
      <c r="B1963" t="s">
        <v>191</v>
      </c>
      <c r="C1963" t="s">
        <v>272</v>
      </c>
      <c r="D1963" s="10">
        <v>0</v>
      </c>
      <c r="E1963" t="str">
        <f>$A1963&amp;Keys!$C$54&amp;$B1963&amp;Keys!$C$54&amp;$C1963</f>
        <v>NY|imports|electricity</v>
      </c>
    </row>
    <row r="1964" spans="1:5" x14ac:dyDescent="0.25">
      <c r="A1964" t="s">
        <v>145</v>
      </c>
      <c r="B1964" t="s">
        <v>193</v>
      </c>
      <c r="C1964" t="s">
        <v>272</v>
      </c>
      <c r="D1964" s="10">
        <v>0</v>
      </c>
      <c r="E1964" t="str">
        <f>$A1964&amp;Keys!$C$54&amp;$B1964&amp;Keys!$C$54&amp;$C1964</f>
        <v>NY|exports|electricity</v>
      </c>
    </row>
    <row r="1965" spans="1:5" x14ac:dyDescent="0.25">
      <c r="A1965" t="s">
        <v>145</v>
      </c>
      <c r="B1965" t="s">
        <v>188</v>
      </c>
      <c r="C1965" t="s">
        <v>64</v>
      </c>
      <c r="D1965" s="10">
        <v>0</v>
      </c>
      <c r="E1965" t="str">
        <f>$A1965&amp;Keys!$C$54&amp;$B1965&amp;Keys!$C$54&amp;$C1965</f>
        <v>NY|production|hard coal</v>
      </c>
    </row>
    <row r="1966" spans="1:5" x14ac:dyDescent="0.25">
      <c r="A1966" t="s">
        <v>145</v>
      </c>
      <c r="B1966" t="s">
        <v>191</v>
      </c>
      <c r="C1966" t="s">
        <v>64</v>
      </c>
      <c r="D1966" s="10">
        <v>2650000000000</v>
      </c>
      <c r="E1966" t="str">
        <f>$A1966&amp;Keys!$C$54&amp;$B1966&amp;Keys!$C$54&amp;$C1966</f>
        <v>NY|imports|hard coal</v>
      </c>
    </row>
    <row r="1967" spans="1:5" x14ac:dyDescent="0.25">
      <c r="A1967" t="s">
        <v>145</v>
      </c>
      <c r="B1967" t="s">
        <v>193</v>
      </c>
      <c r="C1967" t="s">
        <v>64</v>
      </c>
      <c r="D1967" s="10">
        <v>0</v>
      </c>
      <c r="E1967" t="str">
        <f>$A1967&amp;Keys!$C$54&amp;$B1967&amp;Keys!$C$54&amp;$C1967</f>
        <v>NY|exports|hard coal</v>
      </c>
    </row>
    <row r="1968" spans="1:5" x14ac:dyDescent="0.25">
      <c r="A1968" t="s">
        <v>145</v>
      </c>
      <c r="B1968" t="s">
        <v>188</v>
      </c>
      <c r="C1968" t="s">
        <v>68</v>
      </c>
      <c r="D1968" s="10">
        <v>9162930000000</v>
      </c>
      <c r="E1968" t="str">
        <f>$A1968&amp;Keys!$C$54&amp;$B1968&amp;Keys!$C$54&amp;$C1968</f>
        <v>NY|production|natural gas</v>
      </c>
    </row>
    <row r="1969" spans="1:5" x14ac:dyDescent="0.25">
      <c r="A1969" t="s">
        <v>145</v>
      </c>
      <c r="B1969" t="s">
        <v>191</v>
      </c>
      <c r="C1969" t="s">
        <v>68</v>
      </c>
      <c r="D1969" s="10">
        <v>2567300000000000</v>
      </c>
      <c r="E1969" t="str">
        <f>$A1969&amp;Keys!$C$54&amp;$B1969&amp;Keys!$C$54&amp;$C1969</f>
        <v>NY|imports|natural gas</v>
      </c>
    </row>
    <row r="1970" spans="1:5" x14ac:dyDescent="0.25">
      <c r="A1970" t="s">
        <v>145</v>
      </c>
      <c r="B1970" t="s">
        <v>193</v>
      </c>
      <c r="C1970" t="s">
        <v>68</v>
      </c>
      <c r="D1970" s="10">
        <v>1272100000000000</v>
      </c>
      <c r="E1970" t="str">
        <f>$A1970&amp;Keys!$C$54&amp;$B1970&amp;Keys!$C$54&amp;$C1970</f>
        <v>NY|exports|natural gas</v>
      </c>
    </row>
    <row r="1971" spans="1:5" x14ac:dyDescent="0.25">
      <c r="A1971" t="s">
        <v>145</v>
      </c>
      <c r="B1971" t="s">
        <v>188</v>
      </c>
      <c r="C1971" t="s">
        <v>71</v>
      </c>
      <c r="D1971" s="10">
        <v>0</v>
      </c>
      <c r="E1971" t="str">
        <f>$A1971&amp;Keys!$C$54&amp;$B1971&amp;Keys!$C$54&amp;$C1971</f>
        <v>NY|production|nuclear</v>
      </c>
    </row>
    <row r="1972" spans="1:5" x14ac:dyDescent="0.25">
      <c r="A1972" t="s">
        <v>145</v>
      </c>
      <c r="B1972" t="s">
        <v>191</v>
      </c>
      <c r="C1972" t="s">
        <v>71</v>
      </c>
      <c r="D1972" s="10">
        <v>297051000000000</v>
      </c>
      <c r="E1972" t="str">
        <f>$A1972&amp;Keys!$C$54&amp;$B1972&amp;Keys!$C$54&amp;$C1972</f>
        <v>NY|imports|nuclear</v>
      </c>
    </row>
    <row r="1973" spans="1:5" x14ac:dyDescent="0.25">
      <c r="A1973" t="s">
        <v>145</v>
      </c>
      <c r="B1973" t="s">
        <v>193</v>
      </c>
      <c r="C1973" t="s">
        <v>71</v>
      </c>
      <c r="D1973" s="10">
        <v>0</v>
      </c>
      <c r="E1973" t="str">
        <f>$A1973&amp;Keys!$C$54&amp;$B1973&amp;Keys!$C$54&amp;$C1973</f>
        <v>NY|exports|nuclear</v>
      </c>
    </row>
    <row r="1974" spans="1:5" x14ac:dyDescent="0.25">
      <c r="A1974" t="s">
        <v>145</v>
      </c>
      <c r="B1974" t="s">
        <v>188</v>
      </c>
      <c r="C1974" t="s">
        <v>273</v>
      </c>
      <c r="D1974" s="10">
        <v>0</v>
      </c>
      <c r="E1974" t="str">
        <f>$A1974&amp;Keys!$C$54&amp;$B1974&amp;Keys!$C$54&amp;$C1974</f>
        <v>NY|production|hydro</v>
      </c>
    </row>
    <row r="1975" spans="1:5" x14ac:dyDescent="0.25">
      <c r="A1975" t="s">
        <v>145</v>
      </c>
      <c r="B1975" t="s">
        <v>191</v>
      </c>
      <c r="C1975" t="s">
        <v>273</v>
      </c>
      <c r="D1975" s="10">
        <v>0</v>
      </c>
      <c r="E1975" t="str">
        <f>$A1975&amp;Keys!$C$54&amp;$B1975&amp;Keys!$C$54&amp;$C1975</f>
        <v>NY|imports|hydro</v>
      </c>
    </row>
    <row r="1976" spans="1:5" x14ac:dyDescent="0.25">
      <c r="A1976" t="s">
        <v>145</v>
      </c>
      <c r="B1976" t="s">
        <v>193</v>
      </c>
      <c r="C1976" t="s">
        <v>273</v>
      </c>
      <c r="D1976" s="10">
        <v>0</v>
      </c>
      <c r="E1976" t="str">
        <f>$A1976&amp;Keys!$C$54&amp;$B1976&amp;Keys!$C$54&amp;$C1976</f>
        <v>NY|exports|hydro</v>
      </c>
    </row>
    <row r="1977" spans="1:5" x14ac:dyDescent="0.25">
      <c r="A1977" t="s">
        <v>145</v>
      </c>
      <c r="B1977" t="s">
        <v>188</v>
      </c>
      <c r="C1977" t="s">
        <v>274</v>
      </c>
      <c r="D1977" s="10">
        <v>0</v>
      </c>
      <c r="E1977" t="str">
        <f>$A1977&amp;Keys!$C$54&amp;$B1977&amp;Keys!$C$54&amp;$C1977</f>
        <v>NY|production|wind</v>
      </c>
    </row>
    <row r="1978" spans="1:5" x14ac:dyDescent="0.25">
      <c r="A1978" t="s">
        <v>145</v>
      </c>
      <c r="B1978" t="s">
        <v>191</v>
      </c>
      <c r="C1978" t="s">
        <v>274</v>
      </c>
      <c r="D1978" s="10">
        <v>0</v>
      </c>
      <c r="E1978" t="str">
        <f>$A1978&amp;Keys!$C$54&amp;$B1978&amp;Keys!$C$54&amp;$C1978</f>
        <v>NY|imports|wind</v>
      </c>
    </row>
    <row r="1979" spans="1:5" x14ac:dyDescent="0.25">
      <c r="A1979" t="s">
        <v>145</v>
      </c>
      <c r="B1979" t="s">
        <v>193</v>
      </c>
      <c r="C1979" t="s">
        <v>274</v>
      </c>
      <c r="D1979" s="10">
        <v>0</v>
      </c>
      <c r="E1979" t="str">
        <f>$A1979&amp;Keys!$C$54&amp;$B1979&amp;Keys!$C$54&amp;$C1979</f>
        <v>NY|exports|wind</v>
      </c>
    </row>
    <row r="1980" spans="1:5" x14ac:dyDescent="0.25">
      <c r="A1980" t="s">
        <v>145</v>
      </c>
      <c r="B1980" t="s">
        <v>188</v>
      </c>
      <c r="C1980" t="s">
        <v>275</v>
      </c>
      <c r="D1980" s="10">
        <v>0</v>
      </c>
      <c r="E1980" t="str">
        <f>$A1980&amp;Keys!$C$54&amp;$B1980&amp;Keys!$C$54&amp;$C1980</f>
        <v>NY|production|solar</v>
      </c>
    </row>
    <row r="1981" spans="1:5" x14ac:dyDescent="0.25">
      <c r="A1981" t="s">
        <v>145</v>
      </c>
      <c r="B1981" t="s">
        <v>191</v>
      </c>
      <c r="C1981" t="s">
        <v>275</v>
      </c>
      <c r="D1981" s="10">
        <v>0</v>
      </c>
      <c r="E1981" t="str">
        <f>$A1981&amp;Keys!$C$54&amp;$B1981&amp;Keys!$C$54&amp;$C1981</f>
        <v>NY|imports|solar</v>
      </c>
    </row>
    <row r="1982" spans="1:5" x14ac:dyDescent="0.25">
      <c r="A1982" t="s">
        <v>145</v>
      </c>
      <c r="B1982" t="s">
        <v>193</v>
      </c>
      <c r="C1982" t="s">
        <v>275</v>
      </c>
      <c r="D1982" s="10">
        <v>0</v>
      </c>
      <c r="E1982" t="str">
        <f>$A1982&amp;Keys!$C$54&amp;$B1982&amp;Keys!$C$54&amp;$C1982</f>
        <v>NY|exports|solar</v>
      </c>
    </row>
    <row r="1983" spans="1:5" x14ac:dyDescent="0.25">
      <c r="A1983" t="s">
        <v>145</v>
      </c>
      <c r="B1983" t="s">
        <v>188</v>
      </c>
      <c r="C1983" t="s">
        <v>82</v>
      </c>
      <c r="D1983" s="10">
        <v>5033180000000</v>
      </c>
      <c r="E1983" t="str">
        <f>$A1983&amp;Keys!$C$54&amp;$B1983&amp;Keys!$C$54&amp;$C1983</f>
        <v>NY|production|biomass</v>
      </c>
    </row>
    <row r="1984" spans="1:5" x14ac:dyDescent="0.25">
      <c r="A1984" t="s">
        <v>145</v>
      </c>
      <c r="B1984" t="s">
        <v>191</v>
      </c>
      <c r="C1984" t="s">
        <v>82</v>
      </c>
      <c r="D1984" s="10">
        <v>67023000000000</v>
      </c>
      <c r="E1984" t="str">
        <f>$A1984&amp;Keys!$C$54&amp;$B1984&amp;Keys!$C$54&amp;$C1984</f>
        <v>NY|imports|biomass</v>
      </c>
    </row>
    <row r="1985" spans="1:5" x14ac:dyDescent="0.25">
      <c r="A1985" t="s">
        <v>145</v>
      </c>
      <c r="B1985" t="s">
        <v>193</v>
      </c>
      <c r="C1985" t="s">
        <v>82</v>
      </c>
      <c r="D1985" s="10">
        <v>0</v>
      </c>
      <c r="E1985" t="str">
        <f>$A1985&amp;Keys!$C$54&amp;$B1985&amp;Keys!$C$54&amp;$C1985</f>
        <v>NY|exports|biomass</v>
      </c>
    </row>
    <row r="1986" spans="1:5" x14ac:dyDescent="0.25">
      <c r="A1986" t="s">
        <v>145</v>
      </c>
      <c r="B1986" t="s">
        <v>188</v>
      </c>
      <c r="C1986" t="s">
        <v>85</v>
      </c>
      <c r="D1986" s="10">
        <v>0</v>
      </c>
      <c r="E1986" t="str">
        <f>$A1986&amp;Keys!$C$54&amp;$B1986&amp;Keys!$C$54&amp;$C1986</f>
        <v>NY|production|petroleum gasoline</v>
      </c>
    </row>
    <row r="1987" spans="1:5" x14ac:dyDescent="0.25">
      <c r="A1987" t="s">
        <v>145</v>
      </c>
      <c r="B1987" t="s">
        <v>191</v>
      </c>
      <c r="C1987" t="s">
        <v>85</v>
      </c>
      <c r="D1987" s="10">
        <v>553935000000000</v>
      </c>
      <c r="E1987" t="str">
        <f>$A1987&amp;Keys!$C$54&amp;$B1987&amp;Keys!$C$54&amp;$C1987</f>
        <v>NY|imports|petroleum gasoline</v>
      </c>
    </row>
    <row r="1988" spans="1:5" x14ac:dyDescent="0.25">
      <c r="A1988" t="s">
        <v>145</v>
      </c>
      <c r="B1988" t="s">
        <v>193</v>
      </c>
      <c r="C1988" t="s">
        <v>85</v>
      </c>
      <c r="D1988" s="10">
        <v>0</v>
      </c>
      <c r="E1988" t="str">
        <f>$A1988&amp;Keys!$C$54&amp;$B1988&amp;Keys!$C$54&amp;$C1988</f>
        <v>NY|exports|petroleum gasoline</v>
      </c>
    </row>
    <row r="1989" spans="1:5" x14ac:dyDescent="0.25">
      <c r="A1989" t="s">
        <v>145</v>
      </c>
      <c r="B1989" t="s">
        <v>188</v>
      </c>
      <c r="C1989" t="s">
        <v>88</v>
      </c>
      <c r="D1989" s="10">
        <v>0</v>
      </c>
      <c r="E1989" t="str">
        <f>$A1989&amp;Keys!$C$54&amp;$B1989&amp;Keys!$C$54&amp;$C1989</f>
        <v>NY|production|petroleum diesel</v>
      </c>
    </row>
    <row r="1990" spans="1:5" x14ac:dyDescent="0.25">
      <c r="A1990" t="s">
        <v>145</v>
      </c>
      <c r="B1990" t="s">
        <v>191</v>
      </c>
      <c r="C1990" t="s">
        <v>88</v>
      </c>
      <c r="D1990" s="10">
        <v>422997000000000</v>
      </c>
      <c r="E1990" t="str">
        <f>$A1990&amp;Keys!$C$54&amp;$B1990&amp;Keys!$C$54&amp;$C1990</f>
        <v>NY|imports|petroleum diesel</v>
      </c>
    </row>
    <row r="1991" spans="1:5" x14ac:dyDescent="0.25">
      <c r="A1991" t="s">
        <v>145</v>
      </c>
      <c r="B1991" t="s">
        <v>193</v>
      </c>
      <c r="C1991" t="s">
        <v>88</v>
      </c>
      <c r="D1991" s="10">
        <v>29136300000000</v>
      </c>
      <c r="E1991" t="str">
        <f>$A1991&amp;Keys!$C$54&amp;$B1991&amp;Keys!$C$54&amp;$C1991</f>
        <v>NY|exports|petroleum diesel</v>
      </c>
    </row>
    <row r="1992" spans="1:5" x14ac:dyDescent="0.25">
      <c r="A1992" t="s">
        <v>145</v>
      </c>
      <c r="B1992" t="s">
        <v>188</v>
      </c>
      <c r="C1992" t="s">
        <v>91</v>
      </c>
      <c r="D1992" s="10">
        <v>5097200000000</v>
      </c>
      <c r="E1992" t="str">
        <f>$A1992&amp;Keys!$C$54&amp;$B1992&amp;Keys!$C$54&amp;$C1992</f>
        <v>NY|production|biofuel gasoline</v>
      </c>
    </row>
    <row r="1993" spans="1:5" x14ac:dyDescent="0.25">
      <c r="A1993" t="s">
        <v>145</v>
      </c>
      <c r="B1993" t="s">
        <v>191</v>
      </c>
      <c r="C1993" t="s">
        <v>91</v>
      </c>
      <c r="D1993" s="10">
        <v>34423100000000</v>
      </c>
      <c r="E1993" t="str">
        <f>$A1993&amp;Keys!$C$54&amp;$B1993&amp;Keys!$C$54&amp;$C1993</f>
        <v>NY|imports|biofuel gasoline</v>
      </c>
    </row>
    <row r="1994" spans="1:5" x14ac:dyDescent="0.25">
      <c r="A1994" t="s">
        <v>145</v>
      </c>
      <c r="B1994" t="s">
        <v>193</v>
      </c>
      <c r="C1994" t="s">
        <v>91</v>
      </c>
      <c r="D1994" s="10">
        <v>0</v>
      </c>
      <c r="E1994" t="str">
        <f>$A1994&amp;Keys!$C$54&amp;$B1994&amp;Keys!$C$54&amp;$C1994</f>
        <v>NY|exports|biofuel gasoline</v>
      </c>
    </row>
    <row r="1995" spans="1:5" x14ac:dyDescent="0.25">
      <c r="A1995" t="s">
        <v>145</v>
      </c>
      <c r="B1995" t="s">
        <v>188</v>
      </c>
      <c r="C1995" t="s">
        <v>94</v>
      </c>
      <c r="D1995" s="10">
        <v>0</v>
      </c>
      <c r="E1995" t="str">
        <f>$A1995&amp;Keys!$C$54&amp;$B1995&amp;Keys!$C$54&amp;$C1995</f>
        <v>NY|production|biofuel diesel</v>
      </c>
    </row>
    <row r="1996" spans="1:5" x14ac:dyDescent="0.25">
      <c r="A1996" t="s">
        <v>145</v>
      </c>
      <c r="B1996" t="s">
        <v>191</v>
      </c>
      <c r="C1996" t="s">
        <v>94</v>
      </c>
      <c r="D1996" s="10">
        <v>8765600000000</v>
      </c>
      <c r="E1996" t="str">
        <f>$A1996&amp;Keys!$C$54&amp;$B1996&amp;Keys!$C$54&amp;$C1996</f>
        <v>NY|imports|biofuel diesel</v>
      </c>
    </row>
    <row r="1997" spans="1:5" x14ac:dyDescent="0.25">
      <c r="A1997" t="s">
        <v>145</v>
      </c>
      <c r="B1997" t="s">
        <v>193</v>
      </c>
      <c r="C1997" t="s">
        <v>94</v>
      </c>
      <c r="D1997" s="10">
        <v>0</v>
      </c>
      <c r="E1997" t="str">
        <f>$A1997&amp;Keys!$C$54&amp;$B1997&amp;Keys!$C$54&amp;$C1997</f>
        <v>NY|exports|biofuel diesel</v>
      </c>
    </row>
    <row r="1998" spans="1:5" x14ac:dyDescent="0.25">
      <c r="A1998" t="s">
        <v>145</v>
      </c>
      <c r="B1998" t="s">
        <v>188</v>
      </c>
      <c r="C1998" t="s">
        <v>97</v>
      </c>
      <c r="D1998" s="10">
        <v>0</v>
      </c>
      <c r="E1998" t="str">
        <f>$A1998&amp;Keys!$C$54&amp;$B1998&amp;Keys!$C$54&amp;$C1998</f>
        <v>NY|production|jet fuel or kerosene</v>
      </c>
    </row>
    <row r="1999" spans="1:5" x14ac:dyDescent="0.25">
      <c r="A1999" t="s">
        <v>145</v>
      </c>
      <c r="B1999" t="s">
        <v>191</v>
      </c>
      <c r="C1999" t="s">
        <v>97</v>
      </c>
      <c r="D1999" s="10">
        <v>274282000000000</v>
      </c>
      <c r="E1999" t="str">
        <f>$A1999&amp;Keys!$C$54&amp;$B1999&amp;Keys!$C$54&amp;$C1999</f>
        <v>NY|imports|jet fuel or kerosene</v>
      </c>
    </row>
    <row r="2000" spans="1:5" x14ac:dyDescent="0.25">
      <c r="A2000" t="s">
        <v>145</v>
      </c>
      <c r="B2000" t="s">
        <v>193</v>
      </c>
      <c r="C2000" t="s">
        <v>97</v>
      </c>
      <c r="D2000" s="10">
        <v>4614930000000</v>
      </c>
      <c r="E2000" t="str">
        <f>$A2000&amp;Keys!$C$54&amp;$B2000&amp;Keys!$C$54&amp;$C2000</f>
        <v>NY|exports|jet fuel or kerosene</v>
      </c>
    </row>
    <row r="2001" spans="1:5" x14ac:dyDescent="0.25">
      <c r="A2001" t="s">
        <v>145</v>
      </c>
      <c r="B2001" t="s">
        <v>188</v>
      </c>
      <c r="C2001" t="s">
        <v>276</v>
      </c>
      <c r="D2001" s="10">
        <v>0</v>
      </c>
      <c r="E2001" t="str">
        <f>$A2001&amp;Keys!$C$54&amp;$B2001&amp;Keys!$C$54&amp;$C2001</f>
        <v>NY|production|heat</v>
      </c>
    </row>
    <row r="2002" spans="1:5" x14ac:dyDescent="0.25">
      <c r="A2002" t="s">
        <v>145</v>
      </c>
      <c r="B2002" t="s">
        <v>191</v>
      </c>
      <c r="C2002" t="s">
        <v>276</v>
      </c>
      <c r="D2002" s="10">
        <v>0</v>
      </c>
      <c r="E2002" t="str">
        <f>$A2002&amp;Keys!$C$54&amp;$B2002&amp;Keys!$C$54&amp;$C2002</f>
        <v>NY|imports|heat</v>
      </c>
    </row>
    <row r="2003" spans="1:5" x14ac:dyDescent="0.25">
      <c r="A2003" t="s">
        <v>145</v>
      </c>
      <c r="B2003" t="s">
        <v>193</v>
      </c>
      <c r="C2003" t="s">
        <v>276</v>
      </c>
      <c r="D2003" s="10">
        <v>0</v>
      </c>
      <c r="E2003" t="str">
        <f>$A2003&amp;Keys!$C$54&amp;$B2003&amp;Keys!$C$54&amp;$C2003</f>
        <v>NY|exports|heat</v>
      </c>
    </row>
    <row r="2004" spans="1:5" x14ac:dyDescent="0.25">
      <c r="A2004" t="s">
        <v>145</v>
      </c>
      <c r="B2004" t="s">
        <v>188</v>
      </c>
      <c r="C2004" t="s">
        <v>277</v>
      </c>
      <c r="D2004" s="10">
        <v>0</v>
      </c>
      <c r="E2004" t="str">
        <f>$A2004&amp;Keys!$C$54&amp;$B2004&amp;Keys!$C$54&amp;$C2004</f>
        <v>NY|production|geothermal</v>
      </c>
    </row>
    <row r="2005" spans="1:5" x14ac:dyDescent="0.25">
      <c r="A2005" t="s">
        <v>145</v>
      </c>
      <c r="B2005" t="s">
        <v>191</v>
      </c>
      <c r="C2005" t="s">
        <v>277</v>
      </c>
      <c r="D2005" s="10">
        <v>0</v>
      </c>
      <c r="E2005" t="str">
        <f>$A2005&amp;Keys!$C$54&amp;$B2005&amp;Keys!$C$54&amp;$C2005</f>
        <v>NY|imports|geothermal</v>
      </c>
    </row>
    <row r="2006" spans="1:5" x14ac:dyDescent="0.25">
      <c r="A2006" t="s">
        <v>145</v>
      </c>
      <c r="B2006" t="s">
        <v>193</v>
      </c>
      <c r="C2006" t="s">
        <v>277</v>
      </c>
      <c r="D2006" s="10">
        <v>0</v>
      </c>
      <c r="E2006" t="str">
        <f>$A2006&amp;Keys!$C$54&amp;$B2006&amp;Keys!$C$54&amp;$C2006</f>
        <v>NY|exports|geothermal</v>
      </c>
    </row>
    <row r="2007" spans="1:5" x14ac:dyDescent="0.25">
      <c r="A2007" t="s">
        <v>145</v>
      </c>
      <c r="B2007" t="s">
        <v>188</v>
      </c>
      <c r="C2007" t="s">
        <v>106</v>
      </c>
      <c r="D2007" s="10">
        <v>0</v>
      </c>
      <c r="E2007" t="str">
        <f>$A2007&amp;Keys!$C$54&amp;$B2007&amp;Keys!$C$54&amp;$C2007</f>
        <v>NY|production|lignite</v>
      </c>
    </row>
    <row r="2008" spans="1:5" x14ac:dyDescent="0.25">
      <c r="A2008" t="s">
        <v>145</v>
      </c>
      <c r="B2008" t="s">
        <v>191</v>
      </c>
      <c r="C2008" t="s">
        <v>106</v>
      </c>
      <c r="D2008" s="10">
        <v>0</v>
      </c>
      <c r="E2008" t="str">
        <f>$A2008&amp;Keys!$C$54&amp;$B2008&amp;Keys!$C$54&amp;$C2008</f>
        <v>NY|imports|lignite</v>
      </c>
    </row>
    <row r="2009" spans="1:5" x14ac:dyDescent="0.25">
      <c r="A2009" t="s">
        <v>145</v>
      </c>
      <c r="B2009" t="s">
        <v>193</v>
      </c>
      <c r="C2009" t="s">
        <v>106</v>
      </c>
      <c r="D2009" s="10">
        <v>0</v>
      </c>
      <c r="E2009" t="str">
        <f>$A2009&amp;Keys!$C$54&amp;$B2009&amp;Keys!$C$54&amp;$C2009</f>
        <v>NY|exports|lignite</v>
      </c>
    </row>
    <row r="2010" spans="1:5" x14ac:dyDescent="0.25">
      <c r="A2010" t="s">
        <v>145</v>
      </c>
      <c r="B2010" t="s">
        <v>188</v>
      </c>
      <c r="C2010" t="s">
        <v>109</v>
      </c>
      <c r="D2010" s="10">
        <v>1194800000000</v>
      </c>
      <c r="E2010" t="str">
        <f>$A2010&amp;Keys!$C$54&amp;$B2010&amp;Keys!$C$54&amp;$C2010</f>
        <v>NY|production|crude oil</v>
      </c>
    </row>
    <row r="2011" spans="1:5" x14ac:dyDescent="0.25">
      <c r="A2011" t="s">
        <v>145</v>
      </c>
      <c r="B2011" t="s">
        <v>191</v>
      </c>
      <c r="C2011" t="s">
        <v>109</v>
      </c>
      <c r="D2011" s="10">
        <v>9428200000000</v>
      </c>
      <c r="E2011" t="str">
        <f>$A2011&amp;Keys!$C$54&amp;$B2011&amp;Keys!$C$54&amp;$C2011</f>
        <v>NY|imports|crude oil</v>
      </c>
    </row>
    <row r="2012" spans="1:5" x14ac:dyDescent="0.25">
      <c r="A2012" t="s">
        <v>145</v>
      </c>
      <c r="B2012" t="s">
        <v>193</v>
      </c>
      <c r="C2012" t="s">
        <v>109</v>
      </c>
      <c r="D2012" s="10">
        <v>0</v>
      </c>
      <c r="E2012" t="str">
        <f>$A2012&amp;Keys!$C$54&amp;$B2012&amp;Keys!$C$54&amp;$C2012</f>
        <v>NY|exports|crude oil</v>
      </c>
    </row>
    <row r="2013" spans="1:5" x14ac:dyDescent="0.25">
      <c r="A2013" t="s">
        <v>145</v>
      </c>
      <c r="B2013" t="s">
        <v>188</v>
      </c>
      <c r="C2013" t="s">
        <v>114</v>
      </c>
      <c r="D2013" s="10">
        <v>0</v>
      </c>
      <c r="E2013" t="str">
        <f>$A2013&amp;Keys!$C$54&amp;$B2013&amp;Keys!$C$54&amp;$C2013</f>
        <v>NY|production|heavy or residual fuel oil</v>
      </c>
    </row>
    <row r="2014" spans="1:5" x14ac:dyDescent="0.25">
      <c r="A2014" t="s">
        <v>145</v>
      </c>
      <c r="B2014" t="s">
        <v>191</v>
      </c>
      <c r="C2014" t="s">
        <v>114</v>
      </c>
      <c r="D2014" s="10">
        <v>57420000000000</v>
      </c>
      <c r="E2014" t="str">
        <f>$A2014&amp;Keys!$C$54&amp;$B2014&amp;Keys!$C$54&amp;$C2014</f>
        <v>NY|imports|heavy or residual fuel oil</v>
      </c>
    </row>
    <row r="2015" spans="1:5" x14ac:dyDescent="0.25">
      <c r="A2015" t="s">
        <v>145</v>
      </c>
      <c r="B2015" t="s">
        <v>193</v>
      </c>
      <c r="C2015" t="s">
        <v>114</v>
      </c>
      <c r="D2015" s="10">
        <v>3327020000000</v>
      </c>
      <c r="E2015" t="str">
        <f>$A2015&amp;Keys!$C$54&amp;$B2015&amp;Keys!$C$54&amp;$C2015</f>
        <v>NY|exports|heavy or residual fuel oil</v>
      </c>
    </row>
    <row r="2016" spans="1:5" x14ac:dyDescent="0.25">
      <c r="A2016" t="s">
        <v>145</v>
      </c>
      <c r="B2016" t="s">
        <v>188</v>
      </c>
      <c r="C2016" t="s">
        <v>117</v>
      </c>
      <c r="D2016" s="10">
        <v>1120160000000</v>
      </c>
      <c r="E2016" t="str">
        <f>$A2016&amp;Keys!$C$54&amp;$B2016&amp;Keys!$C$54&amp;$C2016</f>
        <v>NY|production|LPG propane or butane</v>
      </c>
    </row>
    <row r="2017" spans="1:5" x14ac:dyDescent="0.25">
      <c r="A2017" t="s">
        <v>145</v>
      </c>
      <c r="B2017" t="s">
        <v>191</v>
      </c>
      <c r="C2017" t="s">
        <v>117</v>
      </c>
      <c r="D2017" s="10">
        <v>40745600000000</v>
      </c>
      <c r="E2017" t="str">
        <f>$A2017&amp;Keys!$C$54&amp;$B2017&amp;Keys!$C$54&amp;$C2017</f>
        <v>NY|imports|LPG propane or butane</v>
      </c>
    </row>
    <row r="2018" spans="1:5" x14ac:dyDescent="0.25">
      <c r="A2018" t="s">
        <v>145</v>
      </c>
      <c r="B2018" t="s">
        <v>193</v>
      </c>
      <c r="C2018" t="s">
        <v>117</v>
      </c>
      <c r="D2018" s="10">
        <v>0</v>
      </c>
      <c r="E2018" t="str">
        <f>$A2018&amp;Keys!$C$54&amp;$B2018&amp;Keys!$C$54&amp;$C2018</f>
        <v>NY|exports|LPG propane or butane</v>
      </c>
    </row>
    <row r="2019" spans="1:5" x14ac:dyDescent="0.25">
      <c r="A2019" t="s">
        <v>145</v>
      </c>
      <c r="B2019" t="s">
        <v>188</v>
      </c>
      <c r="C2019" t="s">
        <v>120</v>
      </c>
      <c r="D2019" s="10">
        <v>0</v>
      </c>
      <c r="E2019" t="str">
        <f>$A2019&amp;Keys!$C$54&amp;$B2019&amp;Keys!$C$54&amp;$C2019</f>
        <v>NY|production|municipal solid waste</v>
      </c>
    </row>
    <row r="2020" spans="1:5" x14ac:dyDescent="0.25">
      <c r="A2020" t="s">
        <v>145</v>
      </c>
      <c r="B2020" t="s">
        <v>191</v>
      </c>
      <c r="C2020" t="s">
        <v>120</v>
      </c>
      <c r="D2020" s="10">
        <v>5068420000000</v>
      </c>
      <c r="E2020" t="str">
        <f>$A2020&amp;Keys!$C$54&amp;$B2020&amp;Keys!$C$54&amp;$C2020</f>
        <v>NY|imports|municipal solid waste</v>
      </c>
    </row>
    <row r="2021" spans="1:5" x14ac:dyDescent="0.25">
      <c r="A2021" t="s">
        <v>145</v>
      </c>
      <c r="B2021" t="s">
        <v>193</v>
      </c>
      <c r="C2021" t="s">
        <v>120</v>
      </c>
      <c r="D2021" s="10">
        <v>0</v>
      </c>
      <c r="E2021" t="str">
        <f>$A2021&amp;Keys!$C$54&amp;$B2021&amp;Keys!$C$54&amp;$C2021</f>
        <v>NY|exports|municipal solid waste</v>
      </c>
    </row>
    <row r="2022" spans="1:5" x14ac:dyDescent="0.25">
      <c r="A2022" t="s">
        <v>145</v>
      </c>
      <c r="B2022" t="s">
        <v>188</v>
      </c>
      <c r="C2022" t="s">
        <v>123</v>
      </c>
      <c r="D2022" s="10">
        <v>0</v>
      </c>
      <c r="E2022" t="str">
        <f>$A2022&amp;Keys!$C$54&amp;$B2022&amp;Keys!$C$54&amp;$C2022</f>
        <v>NY|production|hydrogen</v>
      </c>
    </row>
    <row r="2023" spans="1:5" x14ac:dyDescent="0.25">
      <c r="A2023" t="s">
        <v>145</v>
      </c>
      <c r="B2023" t="s">
        <v>191</v>
      </c>
      <c r="C2023" t="s">
        <v>123</v>
      </c>
      <c r="D2023" s="10">
        <v>491250000000</v>
      </c>
      <c r="E2023" t="str">
        <f>$A2023&amp;Keys!$C$54&amp;$B2023&amp;Keys!$C$54&amp;$C2023</f>
        <v>NY|imports|hydrogen</v>
      </c>
    </row>
    <row r="2024" spans="1:5" x14ac:dyDescent="0.25">
      <c r="A2024" t="s">
        <v>145</v>
      </c>
      <c r="B2024" t="s">
        <v>193</v>
      </c>
      <c r="C2024" t="s">
        <v>123</v>
      </c>
      <c r="D2024" s="10">
        <v>0</v>
      </c>
      <c r="E2024" t="str">
        <f>$A2024&amp;Keys!$C$54&amp;$B2024&amp;Keys!$C$54&amp;$C2024</f>
        <v>NY|exports|hydrogen</v>
      </c>
    </row>
    <row r="2025" spans="1:5" x14ac:dyDescent="0.25">
      <c r="A2025" t="s">
        <v>147</v>
      </c>
      <c r="B2025" t="s">
        <v>188</v>
      </c>
      <c r="C2025" t="s">
        <v>272</v>
      </c>
      <c r="D2025" s="10">
        <v>0</v>
      </c>
      <c r="E2025" t="str">
        <f>$A2025&amp;Keys!$C$54&amp;$B2025&amp;Keys!$C$54&amp;$C2025</f>
        <v>OH|production|electricity</v>
      </c>
    </row>
    <row r="2026" spans="1:5" x14ac:dyDescent="0.25">
      <c r="A2026" t="s">
        <v>147</v>
      </c>
      <c r="B2026" t="s">
        <v>191</v>
      </c>
      <c r="C2026" t="s">
        <v>272</v>
      </c>
      <c r="D2026" s="10">
        <v>0</v>
      </c>
      <c r="E2026" t="str">
        <f>$A2026&amp;Keys!$C$54&amp;$B2026&amp;Keys!$C$54&amp;$C2026</f>
        <v>OH|imports|electricity</v>
      </c>
    </row>
    <row r="2027" spans="1:5" x14ac:dyDescent="0.25">
      <c r="A2027" t="s">
        <v>147</v>
      </c>
      <c r="B2027" t="s">
        <v>193</v>
      </c>
      <c r="C2027" t="s">
        <v>272</v>
      </c>
      <c r="D2027" s="10">
        <v>0</v>
      </c>
      <c r="E2027" t="str">
        <f>$A2027&amp;Keys!$C$54&amp;$B2027&amp;Keys!$C$54&amp;$C2027</f>
        <v>OH|exports|electricity</v>
      </c>
    </row>
    <row r="2028" spans="1:5" x14ac:dyDescent="0.25">
      <c r="A2028" t="s">
        <v>147</v>
      </c>
      <c r="B2028" t="s">
        <v>188</v>
      </c>
      <c r="C2028" t="s">
        <v>64</v>
      </c>
      <c r="D2028" s="10">
        <v>36799500000000</v>
      </c>
      <c r="E2028" t="str">
        <f>$A2028&amp;Keys!$C$54&amp;$B2028&amp;Keys!$C$54&amp;$C2028</f>
        <v>OH|production|hard coal</v>
      </c>
    </row>
    <row r="2029" spans="1:5" x14ac:dyDescent="0.25">
      <c r="A2029" t="s">
        <v>147</v>
      </c>
      <c r="B2029" t="s">
        <v>191</v>
      </c>
      <c r="C2029" t="s">
        <v>64</v>
      </c>
      <c r="D2029" s="10">
        <v>494191000000000</v>
      </c>
      <c r="E2029" t="str">
        <f>$A2029&amp;Keys!$C$54&amp;$B2029&amp;Keys!$C$54&amp;$C2029</f>
        <v>OH|imports|hard coal</v>
      </c>
    </row>
    <row r="2030" spans="1:5" x14ac:dyDescent="0.25">
      <c r="A2030" t="s">
        <v>147</v>
      </c>
      <c r="B2030" t="s">
        <v>193</v>
      </c>
      <c r="C2030" t="s">
        <v>64</v>
      </c>
      <c r="D2030" s="10">
        <v>24302000000000</v>
      </c>
      <c r="E2030" t="str">
        <f>$A2030&amp;Keys!$C$54&amp;$B2030&amp;Keys!$C$54&amp;$C2030</f>
        <v>OH|exports|hard coal</v>
      </c>
    </row>
    <row r="2031" spans="1:5" x14ac:dyDescent="0.25">
      <c r="A2031" t="s">
        <v>147</v>
      </c>
      <c r="B2031" t="s">
        <v>188</v>
      </c>
      <c r="C2031" t="s">
        <v>68</v>
      </c>
      <c r="D2031" s="10">
        <v>2159520000000000</v>
      </c>
      <c r="E2031" t="str">
        <f>$A2031&amp;Keys!$C$54&amp;$B2031&amp;Keys!$C$54&amp;$C2031</f>
        <v>OH|production|natural gas</v>
      </c>
    </row>
    <row r="2032" spans="1:5" x14ac:dyDescent="0.25">
      <c r="A2032" t="s">
        <v>147</v>
      </c>
      <c r="B2032" t="s">
        <v>191</v>
      </c>
      <c r="C2032" t="s">
        <v>68</v>
      </c>
      <c r="D2032" s="10">
        <v>3009400000000000</v>
      </c>
      <c r="E2032" t="str">
        <f>$A2032&amp;Keys!$C$54&amp;$B2032&amp;Keys!$C$54&amp;$C2032</f>
        <v>OH|imports|natural gas</v>
      </c>
    </row>
    <row r="2033" spans="1:5" x14ac:dyDescent="0.25">
      <c r="A2033" t="s">
        <v>147</v>
      </c>
      <c r="B2033" t="s">
        <v>193</v>
      </c>
      <c r="C2033" t="s">
        <v>68</v>
      </c>
      <c r="D2033" s="10">
        <v>3774360000000000</v>
      </c>
      <c r="E2033" t="str">
        <f>$A2033&amp;Keys!$C$54&amp;$B2033&amp;Keys!$C$54&amp;$C2033</f>
        <v>OH|exports|natural gas</v>
      </c>
    </row>
    <row r="2034" spans="1:5" x14ac:dyDescent="0.25">
      <c r="A2034" t="s">
        <v>147</v>
      </c>
      <c r="B2034" t="s">
        <v>188</v>
      </c>
      <c r="C2034" t="s">
        <v>71</v>
      </c>
      <c r="D2034" s="10">
        <v>0</v>
      </c>
      <c r="E2034" t="str">
        <f>$A2034&amp;Keys!$C$54&amp;$B2034&amp;Keys!$C$54&amp;$C2034</f>
        <v>OH|production|nuclear</v>
      </c>
    </row>
    <row r="2035" spans="1:5" x14ac:dyDescent="0.25">
      <c r="A2035" t="s">
        <v>147</v>
      </c>
      <c r="B2035" t="s">
        <v>191</v>
      </c>
      <c r="C2035" t="s">
        <v>71</v>
      </c>
      <c r="D2035" s="10">
        <v>179006000000000</v>
      </c>
      <c r="E2035" t="str">
        <f>$A2035&amp;Keys!$C$54&amp;$B2035&amp;Keys!$C$54&amp;$C2035</f>
        <v>OH|imports|nuclear</v>
      </c>
    </row>
    <row r="2036" spans="1:5" x14ac:dyDescent="0.25">
      <c r="A2036" t="s">
        <v>147</v>
      </c>
      <c r="B2036" t="s">
        <v>193</v>
      </c>
      <c r="C2036" t="s">
        <v>71</v>
      </c>
      <c r="D2036" s="10">
        <v>0</v>
      </c>
      <c r="E2036" t="str">
        <f>$A2036&amp;Keys!$C$54&amp;$B2036&amp;Keys!$C$54&amp;$C2036</f>
        <v>OH|exports|nuclear</v>
      </c>
    </row>
    <row r="2037" spans="1:5" x14ac:dyDescent="0.25">
      <c r="A2037" t="s">
        <v>147</v>
      </c>
      <c r="B2037" t="s">
        <v>188</v>
      </c>
      <c r="C2037" t="s">
        <v>273</v>
      </c>
      <c r="D2037" s="10">
        <v>0</v>
      </c>
      <c r="E2037" t="str">
        <f>$A2037&amp;Keys!$C$54&amp;$B2037&amp;Keys!$C$54&amp;$C2037</f>
        <v>OH|production|hydro</v>
      </c>
    </row>
    <row r="2038" spans="1:5" x14ac:dyDescent="0.25">
      <c r="A2038" t="s">
        <v>147</v>
      </c>
      <c r="B2038" t="s">
        <v>191</v>
      </c>
      <c r="C2038" t="s">
        <v>273</v>
      </c>
      <c r="D2038" s="10">
        <v>0</v>
      </c>
      <c r="E2038" t="str">
        <f>$A2038&amp;Keys!$C$54&amp;$B2038&amp;Keys!$C$54&amp;$C2038</f>
        <v>OH|imports|hydro</v>
      </c>
    </row>
    <row r="2039" spans="1:5" x14ac:dyDescent="0.25">
      <c r="A2039" t="s">
        <v>147</v>
      </c>
      <c r="B2039" t="s">
        <v>193</v>
      </c>
      <c r="C2039" t="s">
        <v>273</v>
      </c>
      <c r="D2039" s="10">
        <v>0</v>
      </c>
      <c r="E2039" t="str">
        <f>$A2039&amp;Keys!$C$54&amp;$B2039&amp;Keys!$C$54&amp;$C2039</f>
        <v>OH|exports|hydro</v>
      </c>
    </row>
    <row r="2040" spans="1:5" x14ac:dyDescent="0.25">
      <c r="A2040" t="s">
        <v>147</v>
      </c>
      <c r="B2040" t="s">
        <v>188</v>
      </c>
      <c r="C2040" t="s">
        <v>274</v>
      </c>
      <c r="D2040" s="10">
        <v>0</v>
      </c>
      <c r="E2040" t="str">
        <f>$A2040&amp;Keys!$C$54&amp;$B2040&amp;Keys!$C$54&amp;$C2040</f>
        <v>OH|production|wind</v>
      </c>
    </row>
    <row r="2041" spans="1:5" x14ac:dyDescent="0.25">
      <c r="A2041" t="s">
        <v>147</v>
      </c>
      <c r="B2041" t="s">
        <v>191</v>
      </c>
      <c r="C2041" t="s">
        <v>274</v>
      </c>
      <c r="D2041" s="10">
        <v>0</v>
      </c>
      <c r="E2041" t="str">
        <f>$A2041&amp;Keys!$C$54&amp;$B2041&amp;Keys!$C$54&amp;$C2041</f>
        <v>OH|imports|wind</v>
      </c>
    </row>
    <row r="2042" spans="1:5" x14ac:dyDescent="0.25">
      <c r="A2042" t="s">
        <v>147</v>
      </c>
      <c r="B2042" t="s">
        <v>193</v>
      </c>
      <c r="C2042" t="s">
        <v>274</v>
      </c>
      <c r="D2042" s="10">
        <v>0</v>
      </c>
      <c r="E2042" t="str">
        <f>$A2042&amp;Keys!$C$54&amp;$B2042&amp;Keys!$C$54&amp;$C2042</f>
        <v>OH|exports|wind</v>
      </c>
    </row>
    <row r="2043" spans="1:5" x14ac:dyDescent="0.25">
      <c r="A2043" t="s">
        <v>147</v>
      </c>
      <c r="B2043" t="s">
        <v>188</v>
      </c>
      <c r="C2043" t="s">
        <v>275</v>
      </c>
      <c r="D2043" s="10">
        <v>0</v>
      </c>
      <c r="E2043" t="str">
        <f>$A2043&amp;Keys!$C$54&amp;$B2043&amp;Keys!$C$54&amp;$C2043</f>
        <v>OH|production|solar</v>
      </c>
    </row>
    <row r="2044" spans="1:5" x14ac:dyDescent="0.25">
      <c r="A2044" t="s">
        <v>147</v>
      </c>
      <c r="B2044" t="s">
        <v>191</v>
      </c>
      <c r="C2044" t="s">
        <v>275</v>
      </c>
      <c r="D2044" s="10">
        <v>0</v>
      </c>
      <c r="E2044" t="str">
        <f>$A2044&amp;Keys!$C$54&amp;$B2044&amp;Keys!$C$54&amp;$C2044</f>
        <v>OH|imports|solar</v>
      </c>
    </row>
    <row r="2045" spans="1:5" x14ac:dyDescent="0.25">
      <c r="A2045" t="s">
        <v>147</v>
      </c>
      <c r="B2045" t="s">
        <v>193</v>
      </c>
      <c r="C2045" t="s">
        <v>275</v>
      </c>
      <c r="D2045" s="10">
        <v>0</v>
      </c>
      <c r="E2045" t="str">
        <f>$A2045&amp;Keys!$C$54&amp;$B2045&amp;Keys!$C$54&amp;$C2045</f>
        <v>OH|exports|solar</v>
      </c>
    </row>
    <row r="2046" spans="1:5" x14ac:dyDescent="0.25">
      <c r="A2046" t="s">
        <v>147</v>
      </c>
      <c r="B2046" t="s">
        <v>188</v>
      </c>
      <c r="C2046" t="s">
        <v>82</v>
      </c>
      <c r="D2046" s="10">
        <v>1720000000000</v>
      </c>
      <c r="E2046" t="str">
        <f>$A2046&amp;Keys!$C$54&amp;$B2046&amp;Keys!$C$54&amp;$C2046</f>
        <v>OH|production|biomass</v>
      </c>
    </row>
    <row r="2047" spans="1:5" x14ac:dyDescent="0.25">
      <c r="A2047" t="s">
        <v>147</v>
      </c>
      <c r="B2047" t="s">
        <v>191</v>
      </c>
      <c r="C2047" t="s">
        <v>82</v>
      </c>
      <c r="D2047" s="10">
        <v>48127000000000</v>
      </c>
      <c r="E2047" t="str">
        <f>$A2047&amp;Keys!$C$54&amp;$B2047&amp;Keys!$C$54&amp;$C2047</f>
        <v>OH|imports|biomass</v>
      </c>
    </row>
    <row r="2048" spans="1:5" x14ac:dyDescent="0.25">
      <c r="A2048" t="s">
        <v>147</v>
      </c>
      <c r="B2048" t="s">
        <v>193</v>
      </c>
      <c r="C2048" t="s">
        <v>82</v>
      </c>
      <c r="D2048" s="10">
        <v>0</v>
      </c>
      <c r="E2048" t="str">
        <f>$A2048&amp;Keys!$C$54&amp;$B2048&amp;Keys!$C$54&amp;$C2048</f>
        <v>OH|exports|biomass</v>
      </c>
    </row>
    <row r="2049" spans="1:5" x14ac:dyDescent="0.25">
      <c r="A2049" t="s">
        <v>147</v>
      </c>
      <c r="B2049" t="s">
        <v>188</v>
      </c>
      <c r="C2049" t="s">
        <v>85</v>
      </c>
      <c r="D2049" s="10">
        <v>588705000000000</v>
      </c>
      <c r="E2049" t="str">
        <f>$A2049&amp;Keys!$C$54&amp;$B2049&amp;Keys!$C$54&amp;$C2049</f>
        <v>OH|production|petroleum gasoline</v>
      </c>
    </row>
    <row r="2050" spans="1:5" x14ac:dyDescent="0.25">
      <c r="A2050" t="s">
        <v>147</v>
      </c>
      <c r="B2050" t="s">
        <v>191</v>
      </c>
      <c r="C2050" t="s">
        <v>85</v>
      </c>
      <c r="D2050" s="10">
        <v>27917800000000</v>
      </c>
      <c r="E2050" t="str">
        <f>$A2050&amp;Keys!$C$54&amp;$B2050&amp;Keys!$C$54&amp;$C2050</f>
        <v>OH|imports|petroleum gasoline</v>
      </c>
    </row>
    <row r="2051" spans="1:5" x14ac:dyDescent="0.25">
      <c r="A2051" t="s">
        <v>147</v>
      </c>
      <c r="B2051" t="s">
        <v>193</v>
      </c>
      <c r="C2051" t="s">
        <v>85</v>
      </c>
      <c r="D2051" s="10">
        <v>107130000000000</v>
      </c>
      <c r="E2051" t="str">
        <f>$A2051&amp;Keys!$C$54&amp;$B2051&amp;Keys!$C$54&amp;$C2051</f>
        <v>OH|exports|petroleum gasoline</v>
      </c>
    </row>
    <row r="2052" spans="1:5" x14ac:dyDescent="0.25">
      <c r="A2052" t="s">
        <v>147</v>
      </c>
      <c r="B2052" t="s">
        <v>188</v>
      </c>
      <c r="C2052" t="s">
        <v>88</v>
      </c>
      <c r="D2052" s="10">
        <v>348228000000000</v>
      </c>
      <c r="E2052" t="str">
        <f>$A2052&amp;Keys!$C$54&amp;$B2052&amp;Keys!$C$54&amp;$C2052</f>
        <v>OH|production|petroleum diesel</v>
      </c>
    </row>
    <row r="2053" spans="1:5" x14ac:dyDescent="0.25">
      <c r="A2053" t="s">
        <v>147</v>
      </c>
      <c r="B2053" t="s">
        <v>191</v>
      </c>
      <c r="C2053" t="s">
        <v>88</v>
      </c>
      <c r="D2053" s="10">
        <v>5173710000000</v>
      </c>
      <c r="E2053" t="str">
        <f>$A2053&amp;Keys!$C$54&amp;$B2053&amp;Keys!$C$54&amp;$C2053</f>
        <v>OH|imports|petroleum diesel</v>
      </c>
    </row>
    <row r="2054" spans="1:5" x14ac:dyDescent="0.25">
      <c r="A2054" t="s">
        <v>147</v>
      </c>
      <c r="B2054" t="s">
        <v>193</v>
      </c>
      <c r="C2054" t="s">
        <v>88</v>
      </c>
      <c r="D2054" s="10">
        <v>39564800000000</v>
      </c>
      <c r="E2054" t="str">
        <f>$A2054&amp;Keys!$C$54&amp;$B2054&amp;Keys!$C$54&amp;$C2054</f>
        <v>OH|exports|petroleum diesel</v>
      </c>
    </row>
    <row r="2055" spans="1:5" x14ac:dyDescent="0.25">
      <c r="A2055" t="s">
        <v>147</v>
      </c>
      <c r="B2055" t="s">
        <v>188</v>
      </c>
      <c r="C2055" t="s">
        <v>91</v>
      </c>
      <c r="D2055" s="10">
        <v>60383900000000</v>
      </c>
      <c r="E2055" t="str">
        <f>$A2055&amp;Keys!$C$54&amp;$B2055&amp;Keys!$C$54&amp;$C2055</f>
        <v>OH|production|biofuel gasoline</v>
      </c>
    </row>
    <row r="2056" spans="1:5" x14ac:dyDescent="0.25">
      <c r="A2056" t="s">
        <v>147</v>
      </c>
      <c r="B2056" t="s">
        <v>191</v>
      </c>
      <c r="C2056" t="s">
        <v>91</v>
      </c>
      <c r="D2056" s="10">
        <v>1897890000000</v>
      </c>
      <c r="E2056" t="str">
        <f>$A2056&amp;Keys!$C$54&amp;$B2056&amp;Keys!$C$54&amp;$C2056</f>
        <v>OH|imports|biofuel gasoline</v>
      </c>
    </row>
    <row r="2057" spans="1:5" x14ac:dyDescent="0.25">
      <c r="A2057" t="s">
        <v>147</v>
      </c>
      <c r="B2057" t="s">
        <v>193</v>
      </c>
      <c r="C2057" t="s">
        <v>91</v>
      </c>
      <c r="D2057" s="10">
        <v>27123900000000</v>
      </c>
      <c r="E2057" t="str">
        <f>$A2057&amp;Keys!$C$54&amp;$B2057&amp;Keys!$C$54&amp;$C2057</f>
        <v>OH|exports|biofuel gasoline</v>
      </c>
    </row>
    <row r="2058" spans="1:5" x14ac:dyDescent="0.25">
      <c r="A2058" t="s">
        <v>147</v>
      </c>
      <c r="B2058" t="s">
        <v>188</v>
      </c>
      <c r="C2058" t="s">
        <v>94</v>
      </c>
      <c r="D2058" s="10">
        <v>0</v>
      </c>
      <c r="E2058" t="str">
        <f>$A2058&amp;Keys!$C$54&amp;$B2058&amp;Keys!$C$54&amp;$C2058</f>
        <v>OH|production|biofuel diesel</v>
      </c>
    </row>
    <row r="2059" spans="1:5" x14ac:dyDescent="0.25">
      <c r="A2059" t="s">
        <v>147</v>
      </c>
      <c r="B2059" t="s">
        <v>191</v>
      </c>
      <c r="C2059" t="s">
        <v>94</v>
      </c>
      <c r="D2059" s="10">
        <v>5734410000000</v>
      </c>
      <c r="E2059" t="str">
        <f>$A2059&amp;Keys!$C$54&amp;$B2059&amp;Keys!$C$54&amp;$C2059</f>
        <v>OH|imports|biofuel diesel</v>
      </c>
    </row>
    <row r="2060" spans="1:5" x14ac:dyDescent="0.25">
      <c r="A2060" t="s">
        <v>147</v>
      </c>
      <c r="B2060" t="s">
        <v>193</v>
      </c>
      <c r="C2060" t="s">
        <v>94</v>
      </c>
      <c r="D2060" s="10">
        <v>0</v>
      </c>
      <c r="E2060" t="str">
        <f>$A2060&amp;Keys!$C$54&amp;$B2060&amp;Keys!$C$54&amp;$C2060</f>
        <v>OH|exports|biofuel diesel</v>
      </c>
    </row>
    <row r="2061" spans="1:5" x14ac:dyDescent="0.25">
      <c r="A2061" t="s">
        <v>147</v>
      </c>
      <c r="B2061" t="s">
        <v>188</v>
      </c>
      <c r="C2061" t="s">
        <v>97</v>
      </c>
      <c r="D2061" s="10">
        <v>123962000000000</v>
      </c>
      <c r="E2061" t="str">
        <f>$A2061&amp;Keys!$C$54&amp;$B2061&amp;Keys!$C$54&amp;$C2061</f>
        <v>OH|production|jet fuel or kerosene</v>
      </c>
    </row>
    <row r="2062" spans="1:5" x14ac:dyDescent="0.25">
      <c r="A2062" t="s">
        <v>147</v>
      </c>
      <c r="B2062" t="s">
        <v>191</v>
      </c>
      <c r="C2062" t="s">
        <v>97</v>
      </c>
      <c r="D2062" s="10">
        <v>0</v>
      </c>
      <c r="E2062" t="str">
        <f>$A2062&amp;Keys!$C$54&amp;$B2062&amp;Keys!$C$54&amp;$C2062</f>
        <v>OH|imports|jet fuel or kerosene</v>
      </c>
    </row>
    <row r="2063" spans="1:5" x14ac:dyDescent="0.25">
      <c r="A2063" t="s">
        <v>147</v>
      </c>
      <c r="B2063" t="s">
        <v>193</v>
      </c>
      <c r="C2063" t="s">
        <v>97</v>
      </c>
      <c r="D2063" s="10">
        <v>74253100000000</v>
      </c>
      <c r="E2063" t="str">
        <f>$A2063&amp;Keys!$C$54&amp;$B2063&amp;Keys!$C$54&amp;$C2063</f>
        <v>OH|exports|jet fuel or kerosene</v>
      </c>
    </row>
    <row r="2064" spans="1:5" x14ac:dyDescent="0.25">
      <c r="A2064" t="s">
        <v>147</v>
      </c>
      <c r="B2064" t="s">
        <v>188</v>
      </c>
      <c r="C2064" t="s">
        <v>276</v>
      </c>
      <c r="D2064" s="10">
        <v>0</v>
      </c>
      <c r="E2064" t="str">
        <f>$A2064&amp;Keys!$C$54&amp;$B2064&amp;Keys!$C$54&amp;$C2064</f>
        <v>OH|production|heat</v>
      </c>
    </row>
    <row r="2065" spans="1:5" x14ac:dyDescent="0.25">
      <c r="A2065" t="s">
        <v>147</v>
      </c>
      <c r="B2065" t="s">
        <v>191</v>
      </c>
      <c r="C2065" t="s">
        <v>276</v>
      </c>
      <c r="D2065" s="10">
        <v>0</v>
      </c>
      <c r="E2065" t="str">
        <f>$A2065&amp;Keys!$C$54&amp;$B2065&amp;Keys!$C$54&amp;$C2065</f>
        <v>OH|imports|heat</v>
      </c>
    </row>
    <row r="2066" spans="1:5" x14ac:dyDescent="0.25">
      <c r="A2066" t="s">
        <v>147</v>
      </c>
      <c r="B2066" t="s">
        <v>193</v>
      </c>
      <c r="C2066" t="s">
        <v>276</v>
      </c>
      <c r="D2066" s="10">
        <v>0</v>
      </c>
      <c r="E2066" t="str">
        <f>$A2066&amp;Keys!$C$54&amp;$B2066&amp;Keys!$C$54&amp;$C2066</f>
        <v>OH|exports|heat</v>
      </c>
    </row>
    <row r="2067" spans="1:5" x14ac:dyDescent="0.25">
      <c r="A2067" t="s">
        <v>147</v>
      </c>
      <c r="B2067" t="s">
        <v>188</v>
      </c>
      <c r="C2067" t="s">
        <v>277</v>
      </c>
      <c r="D2067" s="10">
        <v>0</v>
      </c>
      <c r="E2067" t="str">
        <f>$A2067&amp;Keys!$C$54&amp;$B2067&amp;Keys!$C$54&amp;$C2067</f>
        <v>OH|production|geothermal</v>
      </c>
    </row>
    <row r="2068" spans="1:5" x14ac:dyDescent="0.25">
      <c r="A2068" t="s">
        <v>147</v>
      </c>
      <c r="B2068" t="s">
        <v>191</v>
      </c>
      <c r="C2068" t="s">
        <v>277</v>
      </c>
      <c r="D2068" s="10">
        <v>0</v>
      </c>
      <c r="E2068" t="str">
        <f>$A2068&amp;Keys!$C$54&amp;$B2068&amp;Keys!$C$54&amp;$C2068</f>
        <v>OH|imports|geothermal</v>
      </c>
    </row>
    <row r="2069" spans="1:5" x14ac:dyDescent="0.25">
      <c r="A2069" t="s">
        <v>147</v>
      </c>
      <c r="B2069" t="s">
        <v>193</v>
      </c>
      <c r="C2069" t="s">
        <v>277</v>
      </c>
      <c r="D2069" s="10">
        <v>0</v>
      </c>
      <c r="E2069" t="str">
        <f>$A2069&amp;Keys!$C$54&amp;$B2069&amp;Keys!$C$54&amp;$C2069</f>
        <v>OH|exports|geothermal</v>
      </c>
    </row>
    <row r="2070" spans="1:5" x14ac:dyDescent="0.25">
      <c r="A2070" t="s">
        <v>147</v>
      </c>
      <c r="B2070" t="s">
        <v>188</v>
      </c>
      <c r="C2070" t="s">
        <v>106</v>
      </c>
      <c r="D2070" s="10">
        <v>0</v>
      </c>
      <c r="E2070" t="str">
        <f>$A2070&amp;Keys!$C$54&amp;$B2070&amp;Keys!$C$54&amp;$C2070</f>
        <v>OH|production|lignite</v>
      </c>
    </row>
    <row r="2071" spans="1:5" x14ac:dyDescent="0.25">
      <c r="A2071" t="s">
        <v>147</v>
      </c>
      <c r="B2071" t="s">
        <v>191</v>
      </c>
      <c r="C2071" t="s">
        <v>106</v>
      </c>
      <c r="D2071" s="10">
        <v>0</v>
      </c>
      <c r="E2071" t="str">
        <f>$A2071&amp;Keys!$C$54&amp;$B2071&amp;Keys!$C$54&amp;$C2071</f>
        <v>OH|imports|lignite</v>
      </c>
    </row>
    <row r="2072" spans="1:5" x14ac:dyDescent="0.25">
      <c r="A2072" t="s">
        <v>147</v>
      </c>
      <c r="B2072" t="s">
        <v>193</v>
      </c>
      <c r="C2072" t="s">
        <v>106</v>
      </c>
      <c r="D2072" s="10">
        <v>0</v>
      </c>
      <c r="E2072" t="str">
        <f>$A2072&amp;Keys!$C$54&amp;$B2072&amp;Keys!$C$54&amp;$C2072</f>
        <v>OH|exports|lignite</v>
      </c>
    </row>
    <row r="2073" spans="1:5" x14ac:dyDescent="0.25">
      <c r="A2073" t="s">
        <v>147</v>
      </c>
      <c r="B2073" t="s">
        <v>188</v>
      </c>
      <c r="C2073" t="s">
        <v>109</v>
      </c>
      <c r="D2073" s="10">
        <v>212239000000000</v>
      </c>
      <c r="E2073" t="str">
        <f>$A2073&amp;Keys!$C$54&amp;$B2073&amp;Keys!$C$54&amp;$C2073</f>
        <v>OH|production|crude oil</v>
      </c>
    </row>
    <row r="2074" spans="1:5" x14ac:dyDescent="0.25">
      <c r="A2074" t="s">
        <v>147</v>
      </c>
      <c r="B2074" t="s">
        <v>191</v>
      </c>
      <c r="C2074" t="s">
        <v>109</v>
      </c>
      <c r="D2074" s="10">
        <v>1029620000000000</v>
      </c>
      <c r="E2074" t="str">
        <f>$A2074&amp;Keys!$C$54&amp;$B2074&amp;Keys!$C$54&amp;$C2074</f>
        <v>OH|imports|crude oil</v>
      </c>
    </row>
    <row r="2075" spans="1:5" x14ac:dyDescent="0.25">
      <c r="A2075" t="s">
        <v>147</v>
      </c>
      <c r="B2075" t="s">
        <v>193</v>
      </c>
      <c r="C2075" t="s">
        <v>109</v>
      </c>
      <c r="D2075" s="10">
        <v>0</v>
      </c>
      <c r="E2075" t="str">
        <f>$A2075&amp;Keys!$C$54&amp;$B2075&amp;Keys!$C$54&amp;$C2075</f>
        <v>OH|exports|crude oil</v>
      </c>
    </row>
    <row r="2076" spans="1:5" x14ac:dyDescent="0.25">
      <c r="A2076" t="s">
        <v>147</v>
      </c>
      <c r="B2076" t="s">
        <v>188</v>
      </c>
      <c r="C2076" t="s">
        <v>114</v>
      </c>
      <c r="D2076" s="10">
        <v>24080100000000</v>
      </c>
      <c r="E2076" t="str">
        <f>$A2076&amp;Keys!$C$54&amp;$B2076&amp;Keys!$C$54&amp;$C2076</f>
        <v>OH|production|heavy or residual fuel oil</v>
      </c>
    </row>
    <row r="2077" spans="1:5" x14ac:dyDescent="0.25">
      <c r="A2077" t="s">
        <v>147</v>
      </c>
      <c r="B2077" t="s">
        <v>191</v>
      </c>
      <c r="C2077" t="s">
        <v>114</v>
      </c>
      <c r="D2077" s="10">
        <v>7044030000000</v>
      </c>
      <c r="E2077" t="str">
        <f>$A2077&amp;Keys!$C$54&amp;$B2077&amp;Keys!$C$54&amp;$C2077</f>
        <v>OH|imports|heavy or residual fuel oil</v>
      </c>
    </row>
    <row r="2078" spans="1:5" x14ac:dyDescent="0.25">
      <c r="A2078" t="s">
        <v>147</v>
      </c>
      <c r="B2078" t="s">
        <v>193</v>
      </c>
      <c r="C2078" t="s">
        <v>114</v>
      </c>
      <c r="D2078" s="10">
        <v>0</v>
      </c>
      <c r="E2078" t="str">
        <f>$A2078&amp;Keys!$C$54&amp;$B2078&amp;Keys!$C$54&amp;$C2078</f>
        <v>OH|exports|heavy or residual fuel oil</v>
      </c>
    </row>
    <row r="2079" spans="1:5" x14ac:dyDescent="0.25">
      <c r="A2079" t="s">
        <v>147</v>
      </c>
      <c r="B2079" t="s">
        <v>188</v>
      </c>
      <c r="C2079" t="s">
        <v>117</v>
      </c>
      <c r="D2079" s="10">
        <v>264000000000000</v>
      </c>
      <c r="E2079" t="str">
        <f>$A2079&amp;Keys!$C$54&amp;$B2079&amp;Keys!$C$54&amp;$C2079</f>
        <v>OH|production|LPG propane or butane</v>
      </c>
    </row>
    <row r="2080" spans="1:5" x14ac:dyDescent="0.25">
      <c r="A2080" t="s">
        <v>147</v>
      </c>
      <c r="B2080" t="s">
        <v>191</v>
      </c>
      <c r="C2080" t="s">
        <v>117</v>
      </c>
      <c r="D2080" s="10">
        <v>0</v>
      </c>
      <c r="E2080" t="str">
        <f>$A2080&amp;Keys!$C$54&amp;$B2080&amp;Keys!$C$54&amp;$C2080</f>
        <v>OH|imports|LPG propane or butane</v>
      </c>
    </row>
    <row r="2081" spans="1:5" x14ac:dyDescent="0.25">
      <c r="A2081" t="s">
        <v>147</v>
      </c>
      <c r="B2081" t="s">
        <v>193</v>
      </c>
      <c r="C2081" t="s">
        <v>117</v>
      </c>
      <c r="D2081" s="10">
        <v>220531000000000</v>
      </c>
      <c r="E2081" t="str">
        <f>$A2081&amp;Keys!$C$54&amp;$B2081&amp;Keys!$C$54&amp;$C2081</f>
        <v>OH|exports|LPG propane or butane</v>
      </c>
    </row>
    <row r="2082" spans="1:5" x14ac:dyDescent="0.25">
      <c r="A2082" t="s">
        <v>147</v>
      </c>
      <c r="B2082" t="s">
        <v>188</v>
      </c>
      <c r="C2082" t="s">
        <v>120</v>
      </c>
      <c r="D2082" s="10">
        <v>0</v>
      </c>
      <c r="E2082" t="str">
        <f>$A2082&amp;Keys!$C$54&amp;$B2082&amp;Keys!$C$54&amp;$C2082</f>
        <v>OH|production|municipal solid waste</v>
      </c>
    </row>
    <row r="2083" spans="1:5" x14ac:dyDescent="0.25">
      <c r="A2083" t="s">
        <v>147</v>
      </c>
      <c r="B2083" t="s">
        <v>191</v>
      </c>
      <c r="C2083" t="s">
        <v>120</v>
      </c>
      <c r="D2083" s="10">
        <v>0</v>
      </c>
      <c r="E2083" t="str">
        <f>$A2083&amp;Keys!$C$54&amp;$B2083&amp;Keys!$C$54&amp;$C2083</f>
        <v>OH|imports|municipal solid waste</v>
      </c>
    </row>
    <row r="2084" spans="1:5" x14ac:dyDescent="0.25">
      <c r="A2084" t="s">
        <v>147</v>
      </c>
      <c r="B2084" t="s">
        <v>193</v>
      </c>
      <c r="C2084" t="s">
        <v>120</v>
      </c>
      <c r="D2084" s="10">
        <v>0</v>
      </c>
      <c r="E2084" t="str">
        <f>$A2084&amp;Keys!$C$54&amp;$B2084&amp;Keys!$C$54&amp;$C2084</f>
        <v>OH|exports|municipal solid waste</v>
      </c>
    </row>
    <row r="2085" spans="1:5" x14ac:dyDescent="0.25">
      <c r="A2085" t="s">
        <v>147</v>
      </c>
      <c r="B2085" t="s">
        <v>188</v>
      </c>
      <c r="C2085" t="s">
        <v>123</v>
      </c>
      <c r="D2085" s="10">
        <v>0</v>
      </c>
      <c r="E2085" t="str">
        <f>$A2085&amp;Keys!$C$54&amp;$B2085&amp;Keys!$C$54&amp;$C2085</f>
        <v>OH|production|hydrogen</v>
      </c>
    </row>
    <row r="2086" spans="1:5" x14ac:dyDescent="0.25">
      <c r="A2086" t="s">
        <v>147</v>
      </c>
      <c r="B2086" t="s">
        <v>191</v>
      </c>
      <c r="C2086" t="s">
        <v>123</v>
      </c>
      <c r="D2086" s="10">
        <v>13078900000000</v>
      </c>
      <c r="E2086" t="str">
        <f>$A2086&amp;Keys!$C$54&amp;$B2086&amp;Keys!$C$54&amp;$C2086</f>
        <v>OH|imports|hydrogen</v>
      </c>
    </row>
    <row r="2087" spans="1:5" x14ac:dyDescent="0.25">
      <c r="A2087" t="s">
        <v>147</v>
      </c>
      <c r="B2087" t="s">
        <v>193</v>
      </c>
      <c r="C2087" t="s">
        <v>123</v>
      </c>
      <c r="D2087" s="10">
        <v>0</v>
      </c>
      <c r="E2087" t="str">
        <f>$A2087&amp;Keys!$C$54&amp;$B2087&amp;Keys!$C$54&amp;$C2087</f>
        <v>OH|exports|hydrogen</v>
      </c>
    </row>
    <row r="2088" spans="1:5" x14ac:dyDescent="0.25">
      <c r="A2088" t="s">
        <v>149</v>
      </c>
      <c r="B2088" t="s">
        <v>188</v>
      </c>
      <c r="C2088" t="s">
        <v>272</v>
      </c>
      <c r="D2088" s="10">
        <v>0</v>
      </c>
      <c r="E2088" t="str">
        <f>$A2088&amp;Keys!$C$54&amp;$B2088&amp;Keys!$C$54&amp;$C2088</f>
        <v>OK|production|electricity</v>
      </c>
    </row>
    <row r="2089" spans="1:5" x14ac:dyDescent="0.25">
      <c r="A2089" t="s">
        <v>149</v>
      </c>
      <c r="B2089" t="s">
        <v>191</v>
      </c>
      <c r="C2089" t="s">
        <v>272</v>
      </c>
      <c r="D2089" s="10">
        <v>0</v>
      </c>
      <c r="E2089" t="str">
        <f>$A2089&amp;Keys!$C$54&amp;$B2089&amp;Keys!$C$54&amp;$C2089</f>
        <v>OK|imports|electricity</v>
      </c>
    </row>
    <row r="2090" spans="1:5" x14ac:dyDescent="0.25">
      <c r="A2090" t="s">
        <v>149</v>
      </c>
      <c r="B2090" t="s">
        <v>193</v>
      </c>
      <c r="C2090" t="s">
        <v>272</v>
      </c>
      <c r="D2090" s="10">
        <v>0</v>
      </c>
      <c r="E2090" t="str">
        <f>$A2090&amp;Keys!$C$54&amp;$B2090&amp;Keys!$C$54&amp;$C2090</f>
        <v>OK|exports|electricity</v>
      </c>
    </row>
    <row r="2091" spans="1:5" x14ac:dyDescent="0.25">
      <c r="A2091" t="s">
        <v>149</v>
      </c>
      <c r="B2091" t="s">
        <v>188</v>
      </c>
      <c r="C2091" t="s">
        <v>64</v>
      </c>
      <c r="D2091" s="10">
        <v>2419000000</v>
      </c>
      <c r="E2091" t="str">
        <f>$A2091&amp;Keys!$C$54&amp;$B2091&amp;Keys!$C$54&amp;$C2091</f>
        <v>OK|production|hard coal</v>
      </c>
    </row>
    <row r="2092" spans="1:5" x14ac:dyDescent="0.25">
      <c r="A2092" t="s">
        <v>149</v>
      </c>
      <c r="B2092" t="s">
        <v>191</v>
      </c>
      <c r="C2092" t="s">
        <v>64</v>
      </c>
      <c r="D2092" s="10">
        <v>167423000000000</v>
      </c>
      <c r="E2092" t="str">
        <f>$A2092&amp;Keys!$C$54&amp;$B2092&amp;Keys!$C$54&amp;$C2092</f>
        <v>OK|imports|hard coal</v>
      </c>
    </row>
    <row r="2093" spans="1:5" x14ac:dyDescent="0.25">
      <c r="A2093" t="s">
        <v>149</v>
      </c>
      <c r="B2093" t="s">
        <v>193</v>
      </c>
      <c r="C2093" t="s">
        <v>64</v>
      </c>
      <c r="D2093" s="10">
        <v>0</v>
      </c>
      <c r="E2093" t="str">
        <f>$A2093&amp;Keys!$C$54&amp;$B2093&amp;Keys!$C$54&amp;$C2093</f>
        <v>OK|exports|hard coal</v>
      </c>
    </row>
    <row r="2094" spans="1:5" x14ac:dyDescent="0.25">
      <c r="A2094" t="s">
        <v>149</v>
      </c>
      <c r="B2094" t="s">
        <v>188</v>
      </c>
      <c r="C2094" t="s">
        <v>68</v>
      </c>
      <c r="D2094" s="10">
        <v>2579530000000000</v>
      </c>
      <c r="E2094" t="str">
        <f>$A2094&amp;Keys!$C$54&amp;$B2094&amp;Keys!$C$54&amp;$C2094</f>
        <v>OK|production|natural gas</v>
      </c>
    </row>
    <row r="2095" spans="1:5" x14ac:dyDescent="0.25">
      <c r="A2095" t="s">
        <v>149</v>
      </c>
      <c r="B2095" t="s">
        <v>191</v>
      </c>
      <c r="C2095" t="s">
        <v>68</v>
      </c>
      <c r="D2095" s="10">
        <v>480371000000000</v>
      </c>
      <c r="E2095" t="str">
        <f>$A2095&amp;Keys!$C$54&amp;$B2095&amp;Keys!$C$54&amp;$C2095</f>
        <v>OK|imports|natural gas</v>
      </c>
    </row>
    <row r="2096" spans="1:5" x14ac:dyDescent="0.25">
      <c r="A2096" t="s">
        <v>149</v>
      </c>
      <c r="B2096" t="s">
        <v>193</v>
      </c>
      <c r="C2096" t="s">
        <v>68</v>
      </c>
      <c r="D2096" s="10">
        <v>2317560000000000</v>
      </c>
      <c r="E2096" t="str">
        <f>$A2096&amp;Keys!$C$54&amp;$B2096&amp;Keys!$C$54&amp;$C2096</f>
        <v>OK|exports|natural gas</v>
      </c>
    </row>
    <row r="2097" spans="1:5" x14ac:dyDescent="0.25">
      <c r="A2097" t="s">
        <v>149</v>
      </c>
      <c r="B2097" t="s">
        <v>188</v>
      </c>
      <c r="C2097" t="s">
        <v>71</v>
      </c>
      <c r="D2097" s="10">
        <v>0</v>
      </c>
      <c r="E2097" t="str">
        <f>$A2097&amp;Keys!$C$54&amp;$B2097&amp;Keys!$C$54&amp;$C2097</f>
        <v>OK|production|nuclear</v>
      </c>
    </row>
    <row r="2098" spans="1:5" x14ac:dyDescent="0.25">
      <c r="A2098" t="s">
        <v>149</v>
      </c>
      <c r="B2098" t="s">
        <v>191</v>
      </c>
      <c r="C2098" t="s">
        <v>71</v>
      </c>
      <c r="D2098" s="10">
        <v>0</v>
      </c>
      <c r="E2098" t="str">
        <f>$A2098&amp;Keys!$C$54&amp;$B2098&amp;Keys!$C$54&amp;$C2098</f>
        <v>OK|imports|nuclear</v>
      </c>
    </row>
    <row r="2099" spans="1:5" x14ac:dyDescent="0.25">
      <c r="A2099" t="s">
        <v>149</v>
      </c>
      <c r="B2099" t="s">
        <v>193</v>
      </c>
      <c r="C2099" t="s">
        <v>71</v>
      </c>
      <c r="D2099" s="10">
        <v>0</v>
      </c>
      <c r="E2099" t="str">
        <f>$A2099&amp;Keys!$C$54&amp;$B2099&amp;Keys!$C$54&amp;$C2099</f>
        <v>OK|exports|nuclear</v>
      </c>
    </row>
    <row r="2100" spans="1:5" x14ac:dyDescent="0.25">
      <c r="A2100" t="s">
        <v>149</v>
      </c>
      <c r="B2100" t="s">
        <v>188</v>
      </c>
      <c r="C2100" t="s">
        <v>273</v>
      </c>
      <c r="D2100" s="10">
        <v>0</v>
      </c>
      <c r="E2100" t="str">
        <f>$A2100&amp;Keys!$C$54&amp;$B2100&amp;Keys!$C$54&amp;$C2100</f>
        <v>OK|production|hydro</v>
      </c>
    </row>
    <row r="2101" spans="1:5" x14ac:dyDescent="0.25">
      <c r="A2101" t="s">
        <v>149</v>
      </c>
      <c r="B2101" t="s">
        <v>191</v>
      </c>
      <c r="C2101" t="s">
        <v>273</v>
      </c>
      <c r="D2101" s="10">
        <v>0</v>
      </c>
      <c r="E2101" t="str">
        <f>$A2101&amp;Keys!$C$54&amp;$B2101&amp;Keys!$C$54&amp;$C2101</f>
        <v>OK|imports|hydro</v>
      </c>
    </row>
    <row r="2102" spans="1:5" x14ac:dyDescent="0.25">
      <c r="A2102" t="s">
        <v>149</v>
      </c>
      <c r="B2102" t="s">
        <v>193</v>
      </c>
      <c r="C2102" t="s">
        <v>273</v>
      </c>
      <c r="D2102" s="10">
        <v>0</v>
      </c>
      <c r="E2102" t="str">
        <f>$A2102&amp;Keys!$C$54&amp;$B2102&amp;Keys!$C$54&amp;$C2102</f>
        <v>OK|exports|hydro</v>
      </c>
    </row>
    <row r="2103" spans="1:5" x14ac:dyDescent="0.25">
      <c r="A2103" t="s">
        <v>149</v>
      </c>
      <c r="B2103" t="s">
        <v>188</v>
      </c>
      <c r="C2103" t="s">
        <v>274</v>
      </c>
      <c r="D2103" s="10">
        <v>0</v>
      </c>
      <c r="E2103" t="str">
        <f>$A2103&amp;Keys!$C$54&amp;$B2103&amp;Keys!$C$54&amp;$C2103</f>
        <v>OK|production|wind</v>
      </c>
    </row>
    <row r="2104" spans="1:5" x14ac:dyDescent="0.25">
      <c r="A2104" t="s">
        <v>149</v>
      </c>
      <c r="B2104" t="s">
        <v>191</v>
      </c>
      <c r="C2104" t="s">
        <v>274</v>
      </c>
      <c r="D2104" s="10">
        <v>0</v>
      </c>
      <c r="E2104" t="str">
        <f>$A2104&amp;Keys!$C$54&amp;$B2104&amp;Keys!$C$54&amp;$C2104</f>
        <v>OK|imports|wind</v>
      </c>
    </row>
    <row r="2105" spans="1:5" x14ac:dyDescent="0.25">
      <c r="A2105" t="s">
        <v>149</v>
      </c>
      <c r="B2105" t="s">
        <v>193</v>
      </c>
      <c r="C2105" t="s">
        <v>274</v>
      </c>
      <c r="D2105" s="10">
        <v>0</v>
      </c>
      <c r="E2105" t="str">
        <f>$A2105&amp;Keys!$C$54&amp;$B2105&amp;Keys!$C$54&amp;$C2105</f>
        <v>OK|exports|wind</v>
      </c>
    </row>
    <row r="2106" spans="1:5" x14ac:dyDescent="0.25">
      <c r="A2106" t="s">
        <v>149</v>
      </c>
      <c r="B2106" t="s">
        <v>188</v>
      </c>
      <c r="C2106" t="s">
        <v>275</v>
      </c>
      <c r="D2106" s="10">
        <v>0</v>
      </c>
      <c r="E2106" t="str">
        <f>$A2106&amp;Keys!$C$54&amp;$B2106&amp;Keys!$C$54&amp;$C2106</f>
        <v>OK|production|solar</v>
      </c>
    </row>
    <row r="2107" spans="1:5" x14ac:dyDescent="0.25">
      <c r="A2107" t="s">
        <v>149</v>
      </c>
      <c r="B2107" t="s">
        <v>191</v>
      </c>
      <c r="C2107" t="s">
        <v>275</v>
      </c>
      <c r="D2107" s="10">
        <v>0</v>
      </c>
      <c r="E2107" t="str">
        <f>$A2107&amp;Keys!$C$54&amp;$B2107&amp;Keys!$C$54&amp;$C2107</f>
        <v>OK|imports|solar</v>
      </c>
    </row>
    <row r="2108" spans="1:5" x14ac:dyDescent="0.25">
      <c r="A2108" t="s">
        <v>149</v>
      </c>
      <c r="B2108" t="s">
        <v>193</v>
      </c>
      <c r="C2108" t="s">
        <v>275</v>
      </c>
      <c r="D2108" s="10">
        <v>0</v>
      </c>
      <c r="E2108" t="str">
        <f>$A2108&amp;Keys!$C$54&amp;$B2108&amp;Keys!$C$54&amp;$C2108</f>
        <v>OK|exports|solar</v>
      </c>
    </row>
    <row r="2109" spans="1:5" x14ac:dyDescent="0.25">
      <c r="A2109" t="s">
        <v>149</v>
      </c>
      <c r="B2109" t="s">
        <v>188</v>
      </c>
      <c r="C2109" t="s">
        <v>82</v>
      </c>
      <c r="D2109" s="10">
        <v>0</v>
      </c>
      <c r="E2109" t="str">
        <f>$A2109&amp;Keys!$C$54&amp;$B2109&amp;Keys!$C$54&amp;$C2109</f>
        <v>OK|production|biomass</v>
      </c>
    </row>
    <row r="2110" spans="1:5" x14ac:dyDescent="0.25">
      <c r="A2110" t="s">
        <v>149</v>
      </c>
      <c r="B2110" t="s">
        <v>191</v>
      </c>
      <c r="C2110" t="s">
        <v>82</v>
      </c>
      <c r="D2110" s="10">
        <v>40745700000000</v>
      </c>
      <c r="E2110" t="str">
        <f>$A2110&amp;Keys!$C$54&amp;$B2110&amp;Keys!$C$54&amp;$C2110</f>
        <v>OK|imports|biomass</v>
      </c>
    </row>
    <row r="2111" spans="1:5" x14ac:dyDescent="0.25">
      <c r="A2111" t="s">
        <v>149</v>
      </c>
      <c r="B2111" t="s">
        <v>193</v>
      </c>
      <c r="C2111" t="s">
        <v>82</v>
      </c>
      <c r="D2111" s="10">
        <v>0</v>
      </c>
      <c r="E2111" t="str">
        <f>$A2111&amp;Keys!$C$54&amp;$B2111&amp;Keys!$C$54&amp;$C2111</f>
        <v>OK|exports|biomass</v>
      </c>
    </row>
    <row r="2112" spans="1:5" x14ac:dyDescent="0.25">
      <c r="A2112" t="s">
        <v>149</v>
      </c>
      <c r="B2112" t="s">
        <v>188</v>
      </c>
      <c r="C2112" t="s">
        <v>85</v>
      </c>
      <c r="D2112" s="10">
        <v>516791000000000</v>
      </c>
      <c r="E2112" t="str">
        <f>$A2112&amp;Keys!$C$54&amp;$B2112&amp;Keys!$C$54&amp;$C2112</f>
        <v>OK|production|petroleum gasoline</v>
      </c>
    </row>
    <row r="2113" spans="1:5" x14ac:dyDescent="0.25">
      <c r="A2113" t="s">
        <v>149</v>
      </c>
      <c r="B2113" t="s">
        <v>191</v>
      </c>
      <c r="C2113" t="s">
        <v>85</v>
      </c>
      <c r="D2113" s="10">
        <v>10537500000000</v>
      </c>
      <c r="E2113" t="str">
        <f>$A2113&amp;Keys!$C$54&amp;$B2113&amp;Keys!$C$54&amp;$C2113</f>
        <v>OK|imports|petroleum gasoline</v>
      </c>
    </row>
    <row r="2114" spans="1:5" x14ac:dyDescent="0.25">
      <c r="A2114" t="s">
        <v>149</v>
      </c>
      <c r="B2114" t="s">
        <v>193</v>
      </c>
      <c r="C2114" t="s">
        <v>85</v>
      </c>
      <c r="D2114" s="10">
        <v>320530000000000</v>
      </c>
      <c r="E2114" t="str">
        <f>$A2114&amp;Keys!$C$54&amp;$B2114&amp;Keys!$C$54&amp;$C2114</f>
        <v>OK|exports|petroleum gasoline</v>
      </c>
    </row>
    <row r="2115" spans="1:5" x14ac:dyDescent="0.25">
      <c r="A2115" t="s">
        <v>149</v>
      </c>
      <c r="B2115" t="s">
        <v>188</v>
      </c>
      <c r="C2115" t="s">
        <v>88</v>
      </c>
      <c r="D2115" s="10">
        <v>305690000000000</v>
      </c>
      <c r="E2115" t="str">
        <f>$A2115&amp;Keys!$C$54&amp;$B2115&amp;Keys!$C$54&amp;$C2115</f>
        <v>OK|production|petroleum diesel</v>
      </c>
    </row>
    <row r="2116" spans="1:5" x14ac:dyDescent="0.25">
      <c r="A2116" t="s">
        <v>149</v>
      </c>
      <c r="B2116" t="s">
        <v>191</v>
      </c>
      <c r="C2116" t="s">
        <v>88</v>
      </c>
      <c r="D2116" s="10">
        <v>3186720000000</v>
      </c>
      <c r="E2116" t="str">
        <f>$A2116&amp;Keys!$C$54&amp;$B2116&amp;Keys!$C$54&amp;$C2116</f>
        <v>OK|imports|petroleum diesel</v>
      </c>
    </row>
    <row r="2117" spans="1:5" x14ac:dyDescent="0.25">
      <c r="A2117" t="s">
        <v>149</v>
      </c>
      <c r="B2117" t="s">
        <v>193</v>
      </c>
      <c r="C2117" t="s">
        <v>88</v>
      </c>
      <c r="D2117" s="10">
        <v>130956000000000</v>
      </c>
      <c r="E2117" t="str">
        <f>$A2117&amp;Keys!$C$54&amp;$B2117&amp;Keys!$C$54&amp;$C2117</f>
        <v>OK|exports|petroleum diesel</v>
      </c>
    </row>
    <row r="2118" spans="1:5" x14ac:dyDescent="0.25">
      <c r="A2118" t="s">
        <v>149</v>
      </c>
      <c r="B2118" t="s">
        <v>188</v>
      </c>
      <c r="C2118" t="s">
        <v>91</v>
      </c>
      <c r="D2118" s="10">
        <v>0</v>
      </c>
      <c r="E2118" t="str">
        <f>$A2118&amp;Keys!$C$54&amp;$B2118&amp;Keys!$C$54&amp;$C2118</f>
        <v>OK|production|biofuel gasoline</v>
      </c>
    </row>
    <row r="2119" spans="1:5" x14ac:dyDescent="0.25">
      <c r="A2119" t="s">
        <v>149</v>
      </c>
      <c r="B2119" t="s">
        <v>191</v>
      </c>
      <c r="C2119" t="s">
        <v>91</v>
      </c>
      <c r="D2119" s="10">
        <v>13737800000000</v>
      </c>
      <c r="E2119" t="str">
        <f>$A2119&amp;Keys!$C$54&amp;$B2119&amp;Keys!$C$54&amp;$C2119</f>
        <v>OK|imports|biofuel gasoline</v>
      </c>
    </row>
    <row r="2120" spans="1:5" x14ac:dyDescent="0.25">
      <c r="A2120" t="s">
        <v>149</v>
      </c>
      <c r="B2120" t="s">
        <v>193</v>
      </c>
      <c r="C2120" t="s">
        <v>91</v>
      </c>
      <c r="D2120" s="10">
        <v>0</v>
      </c>
      <c r="E2120" t="str">
        <f>$A2120&amp;Keys!$C$54&amp;$B2120&amp;Keys!$C$54&amp;$C2120</f>
        <v>OK|exports|biofuel gasoline</v>
      </c>
    </row>
    <row r="2121" spans="1:5" x14ac:dyDescent="0.25">
      <c r="A2121" t="s">
        <v>149</v>
      </c>
      <c r="B2121" t="s">
        <v>188</v>
      </c>
      <c r="C2121" t="s">
        <v>94</v>
      </c>
      <c r="D2121" s="10">
        <v>12957000000000</v>
      </c>
      <c r="E2121" t="str">
        <f>$A2121&amp;Keys!$C$54&amp;$B2121&amp;Keys!$C$54&amp;$C2121</f>
        <v>OK|production|biofuel diesel</v>
      </c>
    </row>
    <row r="2122" spans="1:5" x14ac:dyDescent="0.25">
      <c r="A2122" t="s">
        <v>149</v>
      </c>
      <c r="B2122" t="s">
        <v>191</v>
      </c>
      <c r="C2122" t="s">
        <v>94</v>
      </c>
      <c r="D2122" s="10">
        <v>27408000000</v>
      </c>
      <c r="E2122" t="str">
        <f>$A2122&amp;Keys!$C$54&amp;$B2122&amp;Keys!$C$54&amp;$C2122</f>
        <v>OK|imports|biofuel diesel</v>
      </c>
    </row>
    <row r="2123" spans="1:5" x14ac:dyDescent="0.25">
      <c r="A2123" t="s">
        <v>149</v>
      </c>
      <c r="B2123" t="s">
        <v>193</v>
      </c>
      <c r="C2123" t="s">
        <v>94</v>
      </c>
      <c r="D2123" s="10">
        <v>9397930000000</v>
      </c>
      <c r="E2123" t="str">
        <f>$A2123&amp;Keys!$C$54&amp;$B2123&amp;Keys!$C$54&amp;$C2123</f>
        <v>OK|exports|biofuel diesel</v>
      </c>
    </row>
    <row r="2124" spans="1:5" x14ac:dyDescent="0.25">
      <c r="A2124" t="s">
        <v>149</v>
      </c>
      <c r="B2124" t="s">
        <v>188</v>
      </c>
      <c r="C2124" t="s">
        <v>97</v>
      </c>
      <c r="D2124" s="10">
        <v>108819000000000</v>
      </c>
      <c r="E2124" t="str">
        <f>$A2124&amp;Keys!$C$54&amp;$B2124&amp;Keys!$C$54&amp;$C2124</f>
        <v>OK|production|jet fuel or kerosene</v>
      </c>
    </row>
    <row r="2125" spans="1:5" x14ac:dyDescent="0.25">
      <c r="A2125" t="s">
        <v>149</v>
      </c>
      <c r="B2125" t="s">
        <v>191</v>
      </c>
      <c r="C2125" t="s">
        <v>97</v>
      </c>
      <c r="D2125" s="10">
        <v>0</v>
      </c>
      <c r="E2125" t="str">
        <f>$A2125&amp;Keys!$C$54&amp;$B2125&amp;Keys!$C$54&amp;$C2125</f>
        <v>OK|imports|jet fuel or kerosene</v>
      </c>
    </row>
    <row r="2126" spans="1:5" x14ac:dyDescent="0.25">
      <c r="A2126" t="s">
        <v>149</v>
      </c>
      <c r="B2126" t="s">
        <v>193</v>
      </c>
      <c r="C2126" t="s">
        <v>97</v>
      </c>
      <c r="D2126" s="10">
        <v>61311500000000</v>
      </c>
      <c r="E2126" t="str">
        <f>$A2126&amp;Keys!$C$54&amp;$B2126&amp;Keys!$C$54&amp;$C2126</f>
        <v>OK|exports|jet fuel or kerosene</v>
      </c>
    </row>
    <row r="2127" spans="1:5" x14ac:dyDescent="0.25">
      <c r="A2127" t="s">
        <v>149</v>
      </c>
      <c r="B2127" t="s">
        <v>188</v>
      </c>
      <c r="C2127" t="s">
        <v>276</v>
      </c>
      <c r="D2127" s="10">
        <v>0</v>
      </c>
      <c r="E2127" t="str">
        <f>$A2127&amp;Keys!$C$54&amp;$B2127&amp;Keys!$C$54&amp;$C2127</f>
        <v>OK|production|heat</v>
      </c>
    </row>
    <row r="2128" spans="1:5" x14ac:dyDescent="0.25">
      <c r="A2128" t="s">
        <v>149</v>
      </c>
      <c r="B2128" t="s">
        <v>191</v>
      </c>
      <c r="C2128" t="s">
        <v>276</v>
      </c>
      <c r="D2128" s="10">
        <v>0</v>
      </c>
      <c r="E2128" t="str">
        <f>$A2128&amp;Keys!$C$54&amp;$B2128&amp;Keys!$C$54&amp;$C2128</f>
        <v>OK|imports|heat</v>
      </c>
    </row>
    <row r="2129" spans="1:5" x14ac:dyDescent="0.25">
      <c r="A2129" t="s">
        <v>149</v>
      </c>
      <c r="B2129" t="s">
        <v>193</v>
      </c>
      <c r="C2129" t="s">
        <v>276</v>
      </c>
      <c r="D2129" s="10">
        <v>0</v>
      </c>
      <c r="E2129" t="str">
        <f>$A2129&amp;Keys!$C$54&amp;$B2129&amp;Keys!$C$54&amp;$C2129</f>
        <v>OK|exports|heat</v>
      </c>
    </row>
    <row r="2130" spans="1:5" x14ac:dyDescent="0.25">
      <c r="A2130" t="s">
        <v>149</v>
      </c>
      <c r="B2130" t="s">
        <v>188</v>
      </c>
      <c r="C2130" t="s">
        <v>277</v>
      </c>
      <c r="D2130" s="10">
        <v>0</v>
      </c>
      <c r="E2130" t="str">
        <f>$A2130&amp;Keys!$C$54&amp;$B2130&amp;Keys!$C$54&amp;$C2130</f>
        <v>OK|production|geothermal</v>
      </c>
    </row>
    <row r="2131" spans="1:5" x14ac:dyDescent="0.25">
      <c r="A2131" t="s">
        <v>149</v>
      </c>
      <c r="B2131" t="s">
        <v>191</v>
      </c>
      <c r="C2131" t="s">
        <v>277</v>
      </c>
      <c r="D2131" s="10">
        <v>0</v>
      </c>
      <c r="E2131" t="str">
        <f>$A2131&amp;Keys!$C$54&amp;$B2131&amp;Keys!$C$54&amp;$C2131</f>
        <v>OK|imports|geothermal</v>
      </c>
    </row>
    <row r="2132" spans="1:5" x14ac:dyDescent="0.25">
      <c r="A2132" t="s">
        <v>149</v>
      </c>
      <c r="B2132" t="s">
        <v>193</v>
      </c>
      <c r="C2132" t="s">
        <v>277</v>
      </c>
      <c r="D2132" s="10">
        <v>0</v>
      </c>
      <c r="E2132" t="str">
        <f>$A2132&amp;Keys!$C$54&amp;$B2132&amp;Keys!$C$54&amp;$C2132</f>
        <v>OK|exports|geothermal</v>
      </c>
    </row>
    <row r="2133" spans="1:5" x14ac:dyDescent="0.25">
      <c r="A2133" t="s">
        <v>149</v>
      </c>
      <c r="B2133" t="s">
        <v>188</v>
      </c>
      <c r="C2133" t="s">
        <v>106</v>
      </c>
      <c r="D2133" s="10">
        <v>0</v>
      </c>
      <c r="E2133" t="str">
        <f>$A2133&amp;Keys!$C$54&amp;$B2133&amp;Keys!$C$54&amp;$C2133</f>
        <v>OK|production|lignite</v>
      </c>
    </row>
    <row r="2134" spans="1:5" x14ac:dyDescent="0.25">
      <c r="A2134" t="s">
        <v>149</v>
      </c>
      <c r="B2134" t="s">
        <v>191</v>
      </c>
      <c r="C2134" t="s">
        <v>106</v>
      </c>
      <c r="D2134" s="10">
        <v>0</v>
      </c>
      <c r="E2134" t="str">
        <f>$A2134&amp;Keys!$C$54&amp;$B2134&amp;Keys!$C$54&amp;$C2134</f>
        <v>OK|imports|lignite</v>
      </c>
    </row>
    <row r="2135" spans="1:5" x14ac:dyDescent="0.25">
      <c r="A2135" t="s">
        <v>149</v>
      </c>
      <c r="B2135" t="s">
        <v>193</v>
      </c>
      <c r="C2135" t="s">
        <v>106</v>
      </c>
      <c r="D2135" s="10">
        <v>0</v>
      </c>
      <c r="E2135" t="str">
        <f>$A2135&amp;Keys!$C$54&amp;$B2135&amp;Keys!$C$54&amp;$C2135</f>
        <v>OK|exports|lignite</v>
      </c>
    </row>
    <row r="2136" spans="1:5" x14ac:dyDescent="0.25">
      <c r="A2136" t="s">
        <v>149</v>
      </c>
      <c r="B2136" t="s">
        <v>188</v>
      </c>
      <c r="C2136" t="s">
        <v>109</v>
      </c>
      <c r="D2136" s="10">
        <v>847769000000000</v>
      </c>
      <c r="E2136" t="str">
        <f>$A2136&amp;Keys!$C$54&amp;$B2136&amp;Keys!$C$54&amp;$C2136</f>
        <v>OK|production|crude oil</v>
      </c>
    </row>
    <row r="2137" spans="1:5" x14ac:dyDescent="0.25">
      <c r="A2137" t="s">
        <v>149</v>
      </c>
      <c r="B2137" t="s">
        <v>191</v>
      </c>
      <c r="C2137" t="s">
        <v>109</v>
      </c>
      <c r="D2137" s="10">
        <v>234931000000000</v>
      </c>
      <c r="E2137" t="str">
        <f>$A2137&amp;Keys!$C$54&amp;$B2137&amp;Keys!$C$54&amp;$C2137</f>
        <v>OK|imports|crude oil</v>
      </c>
    </row>
    <row r="2138" spans="1:5" x14ac:dyDescent="0.25">
      <c r="A2138" t="s">
        <v>149</v>
      </c>
      <c r="B2138" t="s">
        <v>193</v>
      </c>
      <c r="C2138" t="s">
        <v>109</v>
      </c>
      <c r="D2138" s="10">
        <v>0</v>
      </c>
      <c r="E2138" t="str">
        <f>$A2138&amp;Keys!$C$54&amp;$B2138&amp;Keys!$C$54&amp;$C2138</f>
        <v>OK|exports|crude oil</v>
      </c>
    </row>
    <row r="2139" spans="1:5" x14ac:dyDescent="0.25">
      <c r="A2139" t="s">
        <v>149</v>
      </c>
      <c r="B2139" t="s">
        <v>188</v>
      </c>
      <c r="C2139" t="s">
        <v>114</v>
      </c>
      <c r="D2139" s="10">
        <v>21138500000000</v>
      </c>
      <c r="E2139" t="str">
        <f>$A2139&amp;Keys!$C$54&amp;$B2139&amp;Keys!$C$54&amp;$C2139</f>
        <v>OK|production|heavy or residual fuel oil</v>
      </c>
    </row>
    <row r="2140" spans="1:5" x14ac:dyDescent="0.25">
      <c r="A2140" t="s">
        <v>149</v>
      </c>
      <c r="B2140" t="s">
        <v>191</v>
      </c>
      <c r="C2140" t="s">
        <v>114</v>
      </c>
      <c r="D2140" s="10">
        <v>38100000</v>
      </c>
      <c r="E2140" t="str">
        <f>$A2140&amp;Keys!$C$54&amp;$B2140&amp;Keys!$C$54&amp;$C2140</f>
        <v>OK|imports|heavy or residual fuel oil</v>
      </c>
    </row>
    <row r="2141" spans="1:5" x14ac:dyDescent="0.25">
      <c r="A2141" t="s">
        <v>149</v>
      </c>
      <c r="B2141" t="s">
        <v>193</v>
      </c>
      <c r="C2141" t="s">
        <v>114</v>
      </c>
      <c r="D2141" s="10">
        <v>9173320000000</v>
      </c>
      <c r="E2141" t="str">
        <f>$A2141&amp;Keys!$C$54&amp;$B2141&amp;Keys!$C$54&amp;$C2141</f>
        <v>OK|exports|heavy or residual fuel oil</v>
      </c>
    </row>
    <row r="2142" spans="1:5" x14ac:dyDescent="0.25">
      <c r="A2142" t="s">
        <v>149</v>
      </c>
      <c r="B2142" t="s">
        <v>188</v>
      </c>
      <c r="C2142" t="s">
        <v>117</v>
      </c>
      <c r="D2142" s="10">
        <v>315346000000000</v>
      </c>
      <c r="E2142" t="str">
        <f>$A2142&amp;Keys!$C$54&amp;$B2142&amp;Keys!$C$54&amp;$C2142</f>
        <v>OK|production|LPG propane or butane</v>
      </c>
    </row>
    <row r="2143" spans="1:5" x14ac:dyDescent="0.25">
      <c r="A2143" t="s">
        <v>149</v>
      </c>
      <c r="B2143" t="s">
        <v>191</v>
      </c>
      <c r="C2143" t="s">
        <v>117</v>
      </c>
      <c r="D2143" s="10">
        <v>38648200000</v>
      </c>
      <c r="E2143" t="str">
        <f>$A2143&amp;Keys!$C$54&amp;$B2143&amp;Keys!$C$54&amp;$C2143</f>
        <v>OK|imports|LPG propane or butane</v>
      </c>
    </row>
    <row r="2144" spans="1:5" x14ac:dyDescent="0.25">
      <c r="A2144" t="s">
        <v>149</v>
      </c>
      <c r="B2144" t="s">
        <v>193</v>
      </c>
      <c r="C2144" t="s">
        <v>117</v>
      </c>
      <c r="D2144" s="10">
        <v>306470000000000</v>
      </c>
      <c r="E2144" t="str">
        <f>$A2144&amp;Keys!$C$54&amp;$B2144&amp;Keys!$C$54&amp;$C2144</f>
        <v>OK|exports|LPG propane or butane</v>
      </c>
    </row>
    <row r="2145" spans="1:5" x14ac:dyDescent="0.25">
      <c r="A2145" t="s">
        <v>149</v>
      </c>
      <c r="B2145" t="s">
        <v>188</v>
      </c>
      <c r="C2145" t="s">
        <v>120</v>
      </c>
      <c r="D2145" s="10">
        <v>0</v>
      </c>
      <c r="E2145" t="str">
        <f>$A2145&amp;Keys!$C$54&amp;$B2145&amp;Keys!$C$54&amp;$C2145</f>
        <v>OK|production|municipal solid waste</v>
      </c>
    </row>
    <row r="2146" spans="1:5" x14ac:dyDescent="0.25">
      <c r="A2146" t="s">
        <v>149</v>
      </c>
      <c r="B2146" t="s">
        <v>191</v>
      </c>
      <c r="C2146" t="s">
        <v>120</v>
      </c>
      <c r="D2146" s="10">
        <v>0</v>
      </c>
      <c r="E2146" t="str">
        <f>$A2146&amp;Keys!$C$54&amp;$B2146&amp;Keys!$C$54&amp;$C2146</f>
        <v>OK|imports|municipal solid waste</v>
      </c>
    </row>
    <row r="2147" spans="1:5" x14ac:dyDescent="0.25">
      <c r="A2147" t="s">
        <v>149</v>
      </c>
      <c r="B2147" t="s">
        <v>193</v>
      </c>
      <c r="C2147" t="s">
        <v>120</v>
      </c>
      <c r="D2147" s="10">
        <v>0</v>
      </c>
      <c r="E2147" t="str">
        <f>$A2147&amp;Keys!$C$54&amp;$B2147&amp;Keys!$C$54&amp;$C2147</f>
        <v>OK|exports|municipal solid waste</v>
      </c>
    </row>
    <row r="2148" spans="1:5" x14ac:dyDescent="0.25">
      <c r="A2148" t="s">
        <v>149</v>
      </c>
      <c r="B2148" t="s">
        <v>188</v>
      </c>
      <c r="C2148" t="s">
        <v>123</v>
      </c>
      <c r="D2148" s="10">
        <v>7354750000000</v>
      </c>
      <c r="E2148" t="str">
        <f>$A2148&amp;Keys!$C$54&amp;$B2148&amp;Keys!$C$54&amp;$C2148</f>
        <v>OK|production|hydrogen</v>
      </c>
    </row>
    <row r="2149" spans="1:5" x14ac:dyDescent="0.25">
      <c r="A2149" t="s">
        <v>149</v>
      </c>
      <c r="B2149" t="s">
        <v>191</v>
      </c>
      <c r="C2149" t="s">
        <v>123</v>
      </c>
      <c r="D2149" s="10">
        <v>0</v>
      </c>
      <c r="E2149" t="str">
        <f>$A2149&amp;Keys!$C$54&amp;$B2149&amp;Keys!$C$54&amp;$C2149</f>
        <v>OK|imports|hydrogen</v>
      </c>
    </row>
    <row r="2150" spans="1:5" x14ac:dyDescent="0.25">
      <c r="A2150" t="s">
        <v>149</v>
      </c>
      <c r="B2150" t="s">
        <v>193</v>
      </c>
      <c r="C2150" t="s">
        <v>123</v>
      </c>
      <c r="D2150" s="10">
        <v>2799750000000</v>
      </c>
      <c r="E2150" t="str">
        <f>$A2150&amp;Keys!$C$54&amp;$B2150&amp;Keys!$C$54&amp;$C2150</f>
        <v>OK|exports|hydrogen</v>
      </c>
    </row>
    <row r="2151" spans="1:5" x14ac:dyDescent="0.25">
      <c r="A2151" t="s">
        <v>151</v>
      </c>
      <c r="B2151" t="s">
        <v>188</v>
      </c>
      <c r="C2151" t="s">
        <v>272</v>
      </c>
      <c r="D2151" s="10">
        <v>0</v>
      </c>
      <c r="E2151" t="str">
        <f>$A2151&amp;Keys!$C$54&amp;$B2151&amp;Keys!$C$54&amp;$C2151</f>
        <v>OR|production|electricity</v>
      </c>
    </row>
    <row r="2152" spans="1:5" x14ac:dyDescent="0.25">
      <c r="A2152" t="s">
        <v>151</v>
      </c>
      <c r="B2152" t="s">
        <v>191</v>
      </c>
      <c r="C2152" t="s">
        <v>272</v>
      </c>
      <c r="D2152" s="10">
        <v>0</v>
      </c>
      <c r="E2152" t="str">
        <f>$A2152&amp;Keys!$C$54&amp;$B2152&amp;Keys!$C$54&amp;$C2152</f>
        <v>OR|imports|electricity</v>
      </c>
    </row>
    <row r="2153" spans="1:5" x14ac:dyDescent="0.25">
      <c r="A2153" t="s">
        <v>151</v>
      </c>
      <c r="B2153" t="s">
        <v>193</v>
      </c>
      <c r="C2153" t="s">
        <v>272</v>
      </c>
      <c r="D2153" s="10">
        <v>0</v>
      </c>
      <c r="E2153" t="str">
        <f>$A2153&amp;Keys!$C$54&amp;$B2153&amp;Keys!$C$54&amp;$C2153</f>
        <v>OR|exports|electricity</v>
      </c>
    </row>
    <row r="2154" spans="1:5" x14ac:dyDescent="0.25">
      <c r="A2154" t="s">
        <v>151</v>
      </c>
      <c r="B2154" t="s">
        <v>188</v>
      </c>
      <c r="C2154" t="s">
        <v>64</v>
      </c>
      <c r="D2154" s="10">
        <v>0</v>
      </c>
      <c r="E2154" t="str">
        <f>$A2154&amp;Keys!$C$54&amp;$B2154&amp;Keys!$C$54&amp;$C2154</f>
        <v>OR|production|hard coal</v>
      </c>
    </row>
    <row r="2155" spans="1:5" x14ac:dyDescent="0.25">
      <c r="A2155" t="s">
        <v>151</v>
      </c>
      <c r="B2155" t="s">
        <v>191</v>
      </c>
      <c r="C2155" t="s">
        <v>64</v>
      </c>
      <c r="D2155" s="10">
        <v>108000000000</v>
      </c>
      <c r="E2155" t="str">
        <f>$A2155&amp;Keys!$C$54&amp;$B2155&amp;Keys!$C$54&amp;$C2155</f>
        <v>OR|imports|hard coal</v>
      </c>
    </row>
    <row r="2156" spans="1:5" x14ac:dyDescent="0.25">
      <c r="A2156" t="s">
        <v>151</v>
      </c>
      <c r="B2156" t="s">
        <v>193</v>
      </c>
      <c r="C2156" t="s">
        <v>64</v>
      </c>
      <c r="D2156" s="10">
        <v>0</v>
      </c>
      <c r="E2156" t="str">
        <f>$A2156&amp;Keys!$C$54&amp;$B2156&amp;Keys!$C$54&amp;$C2156</f>
        <v>OR|exports|hard coal</v>
      </c>
    </row>
    <row r="2157" spans="1:5" x14ac:dyDescent="0.25">
      <c r="A2157" t="s">
        <v>151</v>
      </c>
      <c r="B2157" t="s">
        <v>188</v>
      </c>
      <c r="C2157" t="s">
        <v>68</v>
      </c>
      <c r="D2157" s="10">
        <v>87108000000</v>
      </c>
      <c r="E2157" t="str">
        <f>$A2157&amp;Keys!$C$54&amp;$B2157&amp;Keys!$C$54&amp;$C2157</f>
        <v>OR|production|natural gas</v>
      </c>
    </row>
    <row r="2158" spans="1:5" x14ac:dyDescent="0.25">
      <c r="A2158" t="s">
        <v>151</v>
      </c>
      <c r="B2158" t="s">
        <v>191</v>
      </c>
      <c r="C2158" t="s">
        <v>68</v>
      </c>
      <c r="D2158" s="10">
        <v>1106640000000000</v>
      </c>
      <c r="E2158" t="str">
        <f>$A2158&amp;Keys!$C$54&amp;$B2158&amp;Keys!$C$54&amp;$C2158</f>
        <v>OR|imports|natural gas</v>
      </c>
    </row>
    <row r="2159" spans="1:5" x14ac:dyDescent="0.25">
      <c r="A2159" t="s">
        <v>151</v>
      </c>
      <c r="B2159" t="s">
        <v>193</v>
      </c>
      <c r="C2159" t="s">
        <v>68</v>
      </c>
      <c r="D2159" s="10">
        <v>784351000000000</v>
      </c>
      <c r="E2159" t="str">
        <f>$A2159&amp;Keys!$C$54&amp;$B2159&amp;Keys!$C$54&amp;$C2159</f>
        <v>OR|exports|natural gas</v>
      </c>
    </row>
    <row r="2160" spans="1:5" x14ac:dyDescent="0.25">
      <c r="A2160" t="s">
        <v>151</v>
      </c>
      <c r="B2160" t="s">
        <v>188</v>
      </c>
      <c r="C2160" t="s">
        <v>71</v>
      </c>
      <c r="D2160" s="10">
        <v>0</v>
      </c>
      <c r="E2160" t="str">
        <f>$A2160&amp;Keys!$C$54&amp;$B2160&amp;Keys!$C$54&amp;$C2160</f>
        <v>OR|production|nuclear</v>
      </c>
    </row>
    <row r="2161" spans="1:5" x14ac:dyDescent="0.25">
      <c r="A2161" t="s">
        <v>151</v>
      </c>
      <c r="B2161" t="s">
        <v>191</v>
      </c>
      <c r="C2161" t="s">
        <v>71</v>
      </c>
      <c r="D2161" s="10">
        <v>0</v>
      </c>
      <c r="E2161" t="str">
        <f>$A2161&amp;Keys!$C$54&amp;$B2161&amp;Keys!$C$54&amp;$C2161</f>
        <v>OR|imports|nuclear</v>
      </c>
    </row>
    <row r="2162" spans="1:5" x14ac:dyDescent="0.25">
      <c r="A2162" t="s">
        <v>151</v>
      </c>
      <c r="B2162" t="s">
        <v>193</v>
      </c>
      <c r="C2162" t="s">
        <v>71</v>
      </c>
      <c r="D2162" s="10">
        <v>0</v>
      </c>
      <c r="E2162" t="str">
        <f>$A2162&amp;Keys!$C$54&amp;$B2162&amp;Keys!$C$54&amp;$C2162</f>
        <v>OR|exports|nuclear</v>
      </c>
    </row>
    <row r="2163" spans="1:5" x14ac:dyDescent="0.25">
      <c r="A2163" t="s">
        <v>151</v>
      </c>
      <c r="B2163" t="s">
        <v>188</v>
      </c>
      <c r="C2163" t="s">
        <v>273</v>
      </c>
      <c r="D2163" s="10">
        <v>0</v>
      </c>
      <c r="E2163" t="str">
        <f>$A2163&amp;Keys!$C$54&amp;$B2163&amp;Keys!$C$54&amp;$C2163</f>
        <v>OR|production|hydro</v>
      </c>
    </row>
    <row r="2164" spans="1:5" x14ac:dyDescent="0.25">
      <c r="A2164" t="s">
        <v>151</v>
      </c>
      <c r="B2164" t="s">
        <v>191</v>
      </c>
      <c r="C2164" t="s">
        <v>273</v>
      </c>
      <c r="D2164" s="10">
        <v>0</v>
      </c>
      <c r="E2164" t="str">
        <f>$A2164&amp;Keys!$C$54&amp;$B2164&amp;Keys!$C$54&amp;$C2164</f>
        <v>OR|imports|hydro</v>
      </c>
    </row>
    <row r="2165" spans="1:5" x14ac:dyDescent="0.25">
      <c r="A2165" t="s">
        <v>151</v>
      </c>
      <c r="B2165" t="s">
        <v>193</v>
      </c>
      <c r="C2165" t="s">
        <v>273</v>
      </c>
      <c r="D2165" s="10">
        <v>0</v>
      </c>
      <c r="E2165" t="str">
        <f>$A2165&amp;Keys!$C$54&amp;$B2165&amp;Keys!$C$54&amp;$C2165</f>
        <v>OR|exports|hydro</v>
      </c>
    </row>
    <row r="2166" spans="1:5" x14ac:dyDescent="0.25">
      <c r="A2166" t="s">
        <v>151</v>
      </c>
      <c r="B2166" t="s">
        <v>188</v>
      </c>
      <c r="C2166" t="s">
        <v>274</v>
      </c>
      <c r="D2166" s="10">
        <v>0</v>
      </c>
      <c r="E2166" t="str">
        <f>$A2166&amp;Keys!$C$54&amp;$B2166&amp;Keys!$C$54&amp;$C2166</f>
        <v>OR|production|wind</v>
      </c>
    </row>
    <row r="2167" spans="1:5" x14ac:dyDescent="0.25">
      <c r="A2167" t="s">
        <v>151</v>
      </c>
      <c r="B2167" t="s">
        <v>191</v>
      </c>
      <c r="C2167" t="s">
        <v>274</v>
      </c>
      <c r="D2167" s="10">
        <v>0</v>
      </c>
      <c r="E2167" t="str">
        <f>$A2167&amp;Keys!$C$54&amp;$B2167&amp;Keys!$C$54&amp;$C2167</f>
        <v>OR|imports|wind</v>
      </c>
    </row>
    <row r="2168" spans="1:5" x14ac:dyDescent="0.25">
      <c r="A2168" t="s">
        <v>151</v>
      </c>
      <c r="B2168" t="s">
        <v>193</v>
      </c>
      <c r="C2168" t="s">
        <v>274</v>
      </c>
      <c r="D2168" s="10">
        <v>0</v>
      </c>
      <c r="E2168" t="str">
        <f>$A2168&amp;Keys!$C$54&amp;$B2168&amp;Keys!$C$54&amp;$C2168</f>
        <v>OR|exports|wind</v>
      </c>
    </row>
    <row r="2169" spans="1:5" x14ac:dyDescent="0.25">
      <c r="A2169" t="s">
        <v>151</v>
      </c>
      <c r="B2169" t="s">
        <v>188</v>
      </c>
      <c r="C2169" t="s">
        <v>275</v>
      </c>
      <c r="D2169" s="10">
        <v>0</v>
      </c>
      <c r="E2169" t="str">
        <f>$A2169&amp;Keys!$C$54&amp;$B2169&amp;Keys!$C$54&amp;$C2169</f>
        <v>OR|production|solar</v>
      </c>
    </row>
    <row r="2170" spans="1:5" x14ac:dyDescent="0.25">
      <c r="A2170" t="s">
        <v>151</v>
      </c>
      <c r="B2170" t="s">
        <v>191</v>
      </c>
      <c r="C2170" t="s">
        <v>275</v>
      </c>
      <c r="D2170" s="10">
        <v>0</v>
      </c>
      <c r="E2170" t="str">
        <f>$A2170&amp;Keys!$C$54&amp;$B2170&amp;Keys!$C$54&amp;$C2170</f>
        <v>OR|imports|solar</v>
      </c>
    </row>
    <row r="2171" spans="1:5" x14ac:dyDescent="0.25">
      <c r="A2171" t="s">
        <v>151</v>
      </c>
      <c r="B2171" t="s">
        <v>193</v>
      </c>
      <c r="C2171" t="s">
        <v>275</v>
      </c>
      <c r="D2171" s="10">
        <v>0</v>
      </c>
      <c r="E2171" t="str">
        <f>$A2171&amp;Keys!$C$54&amp;$B2171&amp;Keys!$C$54&amp;$C2171</f>
        <v>OR|exports|solar</v>
      </c>
    </row>
    <row r="2172" spans="1:5" x14ac:dyDescent="0.25">
      <c r="A2172" t="s">
        <v>151</v>
      </c>
      <c r="B2172" t="s">
        <v>188</v>
      </c>
      <c r="C2172" t="s">
        <v>82</v>
      </c>
      <c r="D2172" s="10">
        <v>3045440000000</v>
      </c>
      <c r="E2172" t="str">
        <f>$A2172&amp;Keys!$C$54&amp;$B2172&amp;Keys!$C$54&amp;$C2172</f>
        <v>OR|production|biomass</v>
      </c>
    </row>
    <row r="2173" spans="1:5" x14ac:dyDescent="0.25">
      <c r="A2173" t="s">
        <v>151</v>
      </c>
      <c r="B2173" t="s">
        <v>191</v>
      </c>
      <c r="C2173" t="s">
        <v>82</v>
      </c>
      <c r="D2173" s="10">
        <v>60102000000000</v>
      </c>
      <c r="E2173" t="str">
        <f>$A2173&amp;Keys!$C$54&amp;$B2173&amp;Keys!$C$54&amp;$C2173</f>
        <v>OR|imports|biomass</v>
      </c>
    </row>
    <row r="2174" spans="1:5" x14ac:dyDescent="0.25">
      <c r="A2174" t="s">
        <v>151</v>
      </c>
      <c r="B2174" t="s">
        <v>193</v>
      </c>
      <c r="C2174" t="s">
        <v>82</v>
      </c>
      <c r="D2174" s="10">
        <v>0</v>
      </c>
      <c r="E2174" t="str">
        <f>$A2174&amp;Keys!$C$54&amp;$B2174&amp;Keys!$C$54&amp;$C2174</f>
        <v>OR|exports|biomass</v>
      </c>
    </row>
    <row r="2175" spans="1:5" x14ac:dyDescent="0.25">
      <c r="A2175" t="s">
        <v>151</v>
      </c>
      <c r="B2175" t="s">
        <v>188</v>
      </c>
      <c r="C2175" t="s">
        <v>85</v>
      </c>
      <c r="D2175" s="10">
        <v>0</v>
      </c>
      <c r="E2175" t="str">
        <f>$A2175&amp;Keys!$C$54&amp;$B2175&amp;Keys!$C$54&amp;$C2175</f>
        <v>OR|production|petroleum gasoline</v>
      </c>
    </row>
    <row r="2176" spans="1:5" x14ac:dyDescent="0.25">
      <c r="A2176" t="s">
        <v>151</v>
      </c>
      <c r="B2176" t="s">
        <v>191</v>
      </c>
      <c r="C2176" t="s">
        <v>85</v>
      </c>
      <c r="D2176" s="10">
        <v>149007000000000</v>
      </c>
      <c r="E2176" t="str">
        <f>$A2176&amp;Keys!$C$54&amp;$B2176&amp;Keys!$C$54&amp;$C2176</f>
        <v>OR|imports|petroleum gasoline</v>
      </c>
    </row>
    <row r="2177" spans="1:5" x14ac:dyDescent="0.25">
      <c r="A2177" t="s">
        <v>151</v>
      </c>
      <c r="B2177" t="s">
        <v>193</v>
      </c>
      <c r="C2177" t="s">
        <v>85</v>
      </c>
      <c r="D2177" s="10">
        <v>0</v>
      </c>
      <c r="E2177" t="str">
        <f>$A2177&amp;Keys!$C$54&amp;$B2177&amp;Keys!$C$54&amp;$C2177</f>
        <v>OR|exports|petroleum gasoline</v>
      </c>
    </row>
    <row r="2178" spans="1:5" x14ac:dyDescent="0.25">
      <c r="A2178" t="s">
        <v>151</v>
      </c>
      <c r="B2178" t="s">
        <v>188</v>
      </c>
      <c r="C2178" t="s">
        <v>88</v>
      </c>
      <c r="D2178" s="10">
        <v>0</v>
      </c>
      <c r="E2178" t="str">
        <f>$A2178&amp;Keys!$C$54&amp;$B2178&amp;Keys!$C$54&amp;$C2178</f>
        <v>OR|production|petroleum diesel</v>
      </c>
    </row>
    <row r="2179" spans="1:5" x14ac:dyDescent="0.25">
      <c r="A2179" t="s">
        <v>151</v>
      </c>
      <c r="B2179" t="s">
        <v>191</v>
      </c>
      <c r="C2179" t="s">
        <v>88</v>
      </c>
      <c r="D2179" s="10">
        <v>101269000000000</v>
      </c>
      <c r="E2179" t="str">
        <f>$A2179&amp;Keys!$C$54&amp;$B2179&amp;Keys!$C$54&amp;$C2179</f>
        <v>OR|imports|petroleum diesel</v>
      </c>
    </row>
    <row r="2180" spans="1:5" x14ac:dyDescent="0.25">
      <c r="A2180" t="s">
        <v>151</v>
      </c>
      <c r="B2180" t="s">
        <v>193</v>
      </c>
      <c r="C2180" t="s">
        <v>88</v>
      </c>
      <c r="D2180" s="10">
        <v>0</v>
      </c>
      <c r="E2180" t="str">
        <f>$A2180&amp;Keys!$C$54&amp;$B2180&amp;Keys!$C$54&amp;$C2180</f>
        <v>OR|exports|petroleum diesel</v>
      </c>
    </row>
    <row r="2181" spans="1:5" x14ac:dyDescent="0.25">
      <c r="A2181" t="s">
        <v>151</v>
      </c>
      <c r="B2181" t="s">
        <v>188</v>
      </c>
      <c r="C2181" t="s">
        <v>91</v>
      </c>
      <c r="D2181" s="10">
        <v>2245600000000</v>
      </c>
      <c r="E2181" t="str">
        <f>$A2181&amp;Keys!$C$54&amp;$B2181&amp;Keys!$C$54&amp;$C2181</f>
        <v>OR|production|biofuel gasoline</v>
      </c>
    </row>
    <row r="2182" spans="1:5" x14ac:dyDescent="0.25">
      <c r="A2182" t="s">
        <v>151</v>
      </c>
      <c r="B2182" t="s">
        <v>191</v>
      </c>
      <c r="C2182" t="s">
        <v>91</v>
      </c>
      <c r="D2182" s="10">
        <v>9627840000000</v>
      </c>
      <c r="E2182" t="str">
        <f>$A2182&amp;Keys!$C$54&amp;$B2182&amp;Keys!$C$54&amp;$C2182</f>
        <v>OR|imports|biofuel gasoline</v>
      </c>
    </row>
    <row r="2183" spans="1:5" x14ac:dyDescent="0.25">
      <c r="A2183" t="s">
        <v>151</v>
      </c>
      <c r="B2183" t="s">
        <v>193</v>
      </c>
      <c r="C2183" t="s">
        <v>91</v>
      </c>
      <c r="D2183" s="10">
        <v>0</v>
      </c>
      <c r="E2183" t="str">
        <f>$A2183&amp;Keys!$C$54&amp;$B2183&amp;Keys!$C$54&amp;$C2183</f>
        <v>OR|exports|biofuel gasoline</v>
      </c>
    </row>
    <row r="2184" spans="1:5" x14ac:dyDescent="0.25">
      <c r="A2184" t="s">
        <v>151</v>
      </c>
      <c r="B2184" t="s">
        <v>188</v>
      </c>
      <c r="C2184" t="s">
        <v>94</v>
      </c>
      <c r="D2184" s="10">
        <v>291328000000</v>
      </c>
      <c r="E2184" t="str">
        <f>$A2184&amp;Keys!$C$54&amp;$B2184&amp;Keys!$C$54&amp;$C2184</f>
        <v>OR|production|biofuel diesel</v>
      </c>
    </row>
    <row r="2185" spans="1:5" x14ac:dyDescent="0.25">
      <c r="A2185" t="s">
        <v>151</v>
      </c>
      <c r="B2185" t="s">
        <v>191</v>
      </c>
      <c r="C2185" t="s">
        <v>94</v>
      </c>
      <c r="D2185" s="10">
        <v>13688100000000</v>
      </c>
      <c r="E2185" t="str">
        <f>$A2185&amp;Keys!$C$54&amp;$B2185&amp;Keys!$C$54&amp;$C2185</f>
        <v>OR|imports|biofuel diesel</v>
      </c>
    </row>
    <row r="2186" spans="1:5" x14ac:dyDescent="0.25">
      <c r="A2186" t="s">
        <v>151</v>
      </c>
      <c r="B2186" t="s">
        <v>193</v>
      </c>
      <c r="C2186" t="s">
        <v>94</v>
      </c>
      <c r="D2186" s="10">
        <v>0</v>
      </c>
      <c r="E2186" t="str">
        <f>$A2186&amp;Keys!$C$54&amp;$B2186&amp;Keys!$C$54&amp;$C2186</f>
        <v>OR|exports|biofuel diesel</v>
      </c>
    </row>
    <row r="2187" spans="1:5" x14ac:dyDescent="0.25">
      <c r="A2187" t="s">
        <v>151</v>
      </c>
      <c r="B2187" t="s">
        <v>188</v>
      </c>
      <c r="C2187" t="s">
        <v>97</v>
      </c>
      <c r="D2187" s="10">
        <v>0</v>
      </c>
      <c r="E2187" t="str">
        <f>$A2187&amp;Keys!$C$54&amp;$B2187&amp;Keys!$C$54&amp;$C2187</f>
        <v>OR|production|jet fuel or kerosene</v>
      </c>
    </row>
    <row r="2188" spans="1:5" x14ac:dyDescent="0.25">
      <c r="A2188" t="s">
        <v>151</v>
      </c>
      <c r="B2188" t="s">
        <v>191</v>
      </c>
      <c r="C2188" t="s">
        <v>97</v>
      </c>
      <c r="D2188" s="10">
        <v>32503200000000</v>
      </c>
      <c r="E2188" t="str">
        <f>$A2188&amp;Keys!$C$54&amp;$B2188&amp;Keys!$C$54&amp;$C2188</f>
        <v>OR|imports|jet fuel or kerosene</v>
      </c>
    </row>
    <row r="2189" spans="1:5" x14ac:dyDescent="0.25">
      <c r="A2189" t="s">
        <v>151</v>
      </c>
      <c r="B2189" t="s">
        <v>193</v>
      </c>
      <c r="C2189" t="s">
        <v>97</v>
      </c>
      <c r="D2189" s="10">
        <v>0</v>
      </c>
      <c r="E2189" t="str">
        <f>$A2189&amp;Keys!$C$54&amp;$B2189&amp;Keys!$C$54&amp;$C2189</f>
        <v>OR|exports|jet fuel or kerosene</v>
      </c>
    </row>
    <row r="2190" spans="1:5" x14ac:dyDescent="0.25">
      <c r="A2190" t="s">
        <v>151</v>
      </c>
      <c r="B2190" t="s">
        <v>188</v>
      </c>
      <c r="C2190" t="s">
        <v>276</v>
      </c>
      <c r="D2190" s="10">
        <v>0</v>
      </c>
      <c r="E2190" t="str">
        <f>$A2190&amp;Keys!$C$54&amp;$B2190&amp;Keys!$C$54&amp;$C2190</f>
        <v>OR|production|heat</v>
      </c>
    </row>
    <row r="2191" spans="1:5" x14ac:dyDescent="0.25">
      <c r="A2191" t="s">
        <v>151</v>
      </c>
      <c r="B2191" t="s">
        <v>191</v>
      </c>
      <c r="C2191" t="s">
        <v>276</v>
      </c>
      <c r="D2191" s="10">
        <v>0</v>
      </c>
      <c r="E2191" t="str">
        <f>$A2191&amp;Keys!$C$54&amp;$B2191&amp;Keys!$C$54&amp;$C2191</f>
        <v>OR|imports|heat</v>
      </c>
    </row>
    <row r="2192" spans="1:5" x14ac:dyDescent="0.25">
      <c r="A2192" t="s">
        <v>151</v>
      </c>
      <c r="B2192" t="s">
        <v>193</v>
      </c>
      <c r="C2192" t="s">
        <v>276</v>
      </c>
      <c r="D2192" s="10">
        <v>0</v>
      </c>
      <c r="E2192" t="str">
        <f>$A2192&amp;Keys!$C$54&amp;$B2192&amp;Keys!$C$54&amp;$C2192</f>
        <v>OR|exports|heat</v>
      </c>
    </row>
    <row r="2193" spans="1:5" x14ac:dyDescent="0.25">
      <c r="A2193" t="s">
        <v>151</v>
      </c>
      <c r="B2193" t="s">
        <v>188</v>
      </c>
      <c r="C2193" t="s">
        <v>277</v>
      </c>
      <c r="D2193" s="10">
        <v>0</v>
      </c>
      <c r="E2193" t="str">
        <f>$A2193&amp;Keys!$C$54&amp;$B2193&amp;Keys!$C$54&amp;$C2193</f>
        <v>OR|production|geothermal</v>
      </c>
    </row>
    <row r="2194" spans="1:5" x14ac:dyDescent="0.25">
      <c r="A2194" t="s">
        <v>151</v>
      </c>
      <c r="B2194" t="s">
        <v>191</v>
      </c>
      <c r="C2194" t="s">
        <v>277</v>
      </c>
      <c r="D2194" s="10">
        <v>0</v>
      </c>
      <c r="E2194" t="str">
        <f>$A2194&amp;Keys!$C$54&amp;$B2194&amp;Keys!$C$54&amp;$C2194</f>
        <v>OR|imports|geothermal</v>
      </c>
    </row>
    <row r="2195" spans="1:5" x14ac:dyDescent="0.25">
      <c r="A2195" t="s">
        <v>151</v>
      </c>
      <c r="B2195" t="s">
        <v>193</v>
      </c>
      <c r="C2195" t="s">
        <v>277</v>
      </c>
      <c r="D2195" s="10">
        <v>0</v>
      </c>
      <c r="E2195" t="str">
        <f>$A2195&amp;Keys!$C$54&amp;$B2195&amp;Keys!$C$54&amp;$C2195</f>
        <v>OR|exports|geothermal</v>
      </c>
    </row>
    <row r="2196" spans="1:5" x14ac:dyDescent="0.25">
      <c r="A2196" t="s">
        <v>151</v>
      </c>
      <c r="B2196" t="s">
        <v>188</v>
      </c>
      <c r="C2196" t="s">
        <v>106</v>
      </c>
      <c r="D2196" s="10">
        <v>0</v>
      </c>
      <c r="E2196" t="str">
        <f>$A2196&amp;Keys!$C$54&amp;$B2196&amp;Keys!$C$54&amp;$C2196</f>
        <v>OR|production|lignite</v>
      </c>
    </row>
    <row r="2197" spans="1:5" x14ac:dyDescent="0.25">
      <c r="A2197" t="s">
        <v>151</v>
      </c>
      <c r="B2197" t="s">
        <v>191</v>
      </c>
      <c r="C2197" t="s">
        <v>106</v>
      </c>
      <c r="D2197" s="10">
        <v>0</v>
      </c>
      <c r="E2197" t="str">
        <f>$A2197&amp;Keys!$C$54&amp;$B2197&amp;Keys!$C$54&amp;$C2197</f>
        <v>OR|imports|lignite</v>
      </c>
    </row>
    <row r="2198" spans="1:5" x14ac:dyDescent="0.25">
      <c r="A2198" t="s">
        <v>151</v>
      </c>
      <c r="B2198" t="s">
        <v>193</v>
      </c>
      <c r="C2198" t="s">
        <v>106</v>
      </c>
      <c r="D2198" s="10">
        <v>0</v>
      </c>
      <c r="E2198" t="str">
        <f>$A2198&amp;Keys!$C$54&amp;$B2198&amp;Keys!$C$54&amp;$C2198</f>
        <v>OR|exports|lignite</v>
      </c>
    </row>
    <row r="2199" spans="1:5" x14ac:dyDescent="0.25">
      <c r="A2199" t="s">
        <v>151</v>
      </c>
      <c r="B2199" t="s">
        <v>188</v>
      </c>
      <c r="C2199" t="s">
        <v>109</v>
      </c>
      <c r="D2199" s="10">
        <v>0</v>
      </c>
      <c r="E2199" t="str">
        <f>$A2199&amp;Keys!$C$54&amp;$B2199&amp;Keys!$C$54&amp;$C2199</f>
        <v>OR|production|crude oil</v>
      </c>
    </row>
    <row r="2200" spans="1:5" x14ac:dyDescent="0.25">
      <c r="A2200" t="s">
        <v>151</v>
      </c>
      <c r="B2200" t="s">
        <v>191</v>
      </c>
      <c r="C2200" t="s">
        <v>109</v>
      </c>
      <c r="D2200" s="10">
        <v>766000000000</v>
      </c>
      <c r="E2200" t="str">
        <f>$A2200&amp;Keys!$C$54&amp;$B2200&amp;Keys!$C$54&amp;$C2200</f>
        <v>OR|imports|crude oil</v>
      </c>
    </row>
    <row r="2201" spans="1:5" x14ac:dyDescent="0.25">
      <c r="A2201" t="s">
        <v>151</v>
      </c>
      <c r="B2201" t="s">
        <v>193</v>
      </c>
      <c r="C2201" t="s">
        <v>109</v>
      </c>
      <c r="D2201" s="10">
        <v>0</v>
      </c>
      <c r="E2201" t="str">
        <f>$A2201&amp;Keys!$C$54&amp;$B2201&amp;Keys!$C$54&amp;$C2201</f>
        <v>OR|exports|crude oil</v>
      </c>
    </row>
    <row r="2202" spans="1:5" x14ac:dyDescent="0.25">
      <c r="A2202" t="s">
        <v>151</v>
      </c>
      <c r="B2202" t="s">
        <v>188</v>
      </c>
      <c r="C2202" t="s">
        <v>114</v>
      </c>
      <c r="D2202" s="10">
        <v>0</v>
      </c>
      <c r="E2202" t="str">
        <f>$A2202&amp;Keys!$C$54&amp;$B2202&amp;Keys!$C$54&amp;$C2202</f>
        <v>OR|production|heavy or residual fuel oil</v>
      </c>
    </row>
    <row r="2203" spans="1:5" x14ac:dyDescent="0.25">
      <c r="A2203" t="s">
        <v>151</v>
      </c>
      <c r="B2203" t="s">
        <v>191</v>
      </c>
      <c r="C2203" t="s">
        <v>114</v>
      </c>
      <c r="D2203" s="10">
        <v>11312400000000</v>
      </c>
      <c r="E2203" t="str">
        <f>$A2203&amp;Keys!$C$54&amp;$B2203&amp;Keys!$C$54&amp;$C2203</f>
        <v>OR|imports|heavy or residual fuel oil</v>
      </c>
    </row>
    <row r="2204" spans="1:5" x14ac:dyDescent="0.25">
      <c r="A2204" t="s">
        <v>151</v>
      </c>
      <c r="B2204" t="s">
        <v>193</v>
      </c>
      <c r="C2204" t="s">
        <v>114</v>
      </c>
      <c r="D2204" s="10">
        <v>0</v>
      </c>
      <c r="E2204" t="str">
        <f>$A2204&amp;Keys!$C$54&amp;$B2204&amp;Keys!$C$54&amp;$C2204</f>
        <v>OR|exports|heavy or residual fuel oil</v>
      </c>
    </row>
    <row r="2205" spans="1:5" x14ac:dyDescent="0.25">
      <c r="A2205" t="s">
        <v>151</v>
      </c>
      <c r="B2205" t="s">
        <v>188</v>
      </c>
      <c r="C2205" t="s">
        <v>117</v>
      </c>
      <c r="D2205" s="10">
        <v>10648900000</v>
      </c>
      <c r="E2205" t="str">
        <f>$A2205&amp;Keys!$C$54&amp;$B2205&amp;Keys!$C$54&amp;$C2205</f>
        <v>OR|production|LPG propane or butane</v>
      </c>
    </row>
    <row r="2206" spans="1:5" x14ac:dyDescent="0.25">
      <c r="A2206" t="s">
        <v>151</v>
      </c>
      <c r="B2206" t="s">
        <v>191</v>
      </c>
      <c r="C2206" t="s">
        <v>117</v>
      </c>
      <c r="D2206" s="10">
        <v>8519100000000</v>
      </c>
      <c r="E2206" t="str">
        <f>$A2206&amp;Keys!$C$54&amp;$B2206&amp;Keys!$C$54&amp;$C2206</f>
        <v>OR|imports|LPG propane or butane</v>
      </c>
    </row>
    <row r="2207" spans="1:5" x14ac:dyDescent="0.25">
      <c r="A2207" t="s">
        <v>151</v>
      </c>
      <c r="B2207" t="s">
        <v>193</v>
      </c>
      <c r="C2207" t="s">
        <v>117</v>
      </c>
      <c r="D2207" s="10">
        <v>0</v>
      </c>
      <c r="E2207" t="str">
        <f>$A2207&amp;Keys!$C$54&amp;$B2207&amp;Keys!$C$54&amp;$C2207</f>
        <v>OR|exports|LPG propane or butane</v>
      </c>
    </row>
    <row r="2208" spans="1:5" x14ac:dyDescent="0.25">
      <c r="A2208" t="s">
        <v>151</v>
      </c>
      <c r="B2208" t="s">
        <v>188</v>
      </c>
      <c r="C2208" t="s">
        <v>120</v>
      </c>
      <c r="D2208" s="10">
        <v>0</v>
      </c>
      <c r="E2208" t="str">
        <f>$A2208&amp;Keys!$C$54&amp;$B2208&amp;Keys!$C$54&amp;$C2208</f>
        <v>OR|production|municipal solid waste</v>
      </c>
    </row>
    <row r="2209" spans="1:5" x14ac:dyDescent="0.25">
      <c r="A2209" t="s">
        <v>151</v>
      </c>
      <c r="B2209" t="s">
        <v>191</v>
      </c>
      <c r="C2209" t="s">
        <v>120</v>
      </c>
      <c r="D2209" s="10">
        <v>0</v>
      </c>
      <c r="E2209" t="str">
        <f>$A2209&amp;Keys!$C$54&amp;$B2209&amp;Keys!$C$54&amp;$C2209</f>
        <v>OR|imports|municipal solid waste</v>
      </c>
    </row>
    <row r="2210" spans="1:5" x14ac:dyDescent="0.25">
      <c r="A2210" t="s">
        <v>151</v>
      </c>
      <c r="B2210" t="s">
        <v>193</v>
      </c>
      <c r="C2210" t="s">
        <v>120</v>
      </c>
      <c r="D2210" s="10">
        <v>0</v>
      </c>
      <c r="E2210" t="str">
        <f>$A2210&amp;Keys!$C$54&amp;$B2210&amp;Keys!$C$54&amp;$C2210</f>
        <v>OR|exports|municipal solid waste</v>
      </c>
    </row>
    <row r="2211" spans="1:5" x14ac:dyDescent="0.25">
      <c r="A2211" t="s">
        <v>151</v>
      </c>
      <c r="B2211" t="s">
        <v>188</v>
      </c>
      <c r="C2211" t="s">
        <v>123</v>
      </c>
      <c r="D2211" s="10">
        <v>0</v>
      </c>
      <c r="E2211" t="str">
        <f>$A2211&amp;Keys!$C$54&amp;$B2211&amp;Keys!$C$54&amp;$C2211</f>
        <v>OR|production|hydrogen</v>
      </c>
    </row>
    <row r="2212" spans="1:5" x14ac:dyDescent="0.25">
      <c r="A2212" t="s">
        <v>151</v>
      </c>
      <c r="B2212" t="s">
        <v>191</v>
      </c>
      <c r="C2212" t="s">
        <v>123</v>
      </c>
      <c r="D2212" s="10">
        <v>587739000</v>
      </c>
      <c r="E2212" t="str">
        <f>$A2212&amp;Keys!$C$54&amp;$B2212&amp;Keys!$C$54&amp;$C2212</f>
        <v>OR|imports|hydrogen</v>
      </c>
    </row>
    <row r="2213" spans="1:5" x14ac:dyDescent="0.25">
      <c r="A2213" t="s">
        <v>151</v>
      </c>
      <c r="B2213" t="s">
        <v>193</v>
      </c>
      <c r="C2213" t="s">
        <v>123</v>
      </c>
      <c r="D2213" s="10">
        <v>0</v>
      </c>
      <c r="E2213" t="str">
        <f>$A2213&amp;Keys!$C$54&amp;$B2213&amp;Keys!$C$54&amp;$C2213</f>
        <v>OR|exports|hydrogen</v>
      </c>
    </row>
    <row r="2214" spans="1:5" x14ac:dyDescent="0.25">
      <c r="A2214" t="s">
        <v>153</v>
      </c>
      <c r="B2214" t="s">
        <v>188</v>
      </c>
      <c r="C2214" t="s">
        <v>272</v>
      </c>
      <c r="D2214" s="10">
        <v>0</v>
      </c>
      <c r="E2214" t="str">
        <f>$A2214&amp;Keys!$C$54&amp;$B2214&amp;Keys!$C$54&amp;$C2214</f>
        <v>PA|production|electricity</v>
      </c>
    </row>
    <row r="2215" spans="1:5" x14ac:dyDescent="0.25">
      <c r="A2215" t="s">
        <v>153</v>
      </c>
      <c r="B2215" t="s">
        <v>191</v>
      </c>
      <c r="C2215" t="s">
        <v>272</v>
      </c>
      <c r="D2215" s="10">
        <v>0</v>
      </c>
      <c r="E2215" t="str">
        <f>$A2215&amp;Keys!$C$54&amp;$B2215&amp;Keys!$C$54&amp;$C2215</f>
        <v>PA|imports|electricity</v>
      </c>
    </row>
    <row r="2216" spans="1:5" x14ac:dyDescent="0.25">
      <c r="A2216" t="s">
        <v>153</v>
      </c>
      <c r="B2216" t="s">
        <v>193</v>
      </c>
      <c r="C2216" t="s">
        <v>272</v>
      </c>
      <c r="D2216" s="10">
        <v>0</v>
      </c>
      <c r="E2216" t="str">
        <f>$A2216&amp;Keys!$C$54&amp;$B2216&amp;Keys!$C$54&amp;$C2216</f>
        <v>PA|exports|electricity</v>
      </c>
    </row>
    <row r="2217" spans="1:5" x14ac:dyDescent="0.25">
      <c r="A2217" t="s">
        <v>153</v>
      </c>
      <c r="B2217" t="s">
        <v>188</v>
      </c>
      <c r="C2217" t="s">
        <v>64</v>
      </c>
      <c r="D2217" s="10">
        <v>832230000000000</v>
      </c>
      <c r="E2217" t="str">
        <f>$A2217&amp;Keys!$C$54&amp;$B2217&amp;Keys!$C$54&amp;$C2217</f>
        <v>PA|production|hard coal</v>
      </c>
    </row>
    <row r="2218" spans="1:5" x14ac:dyDescent="0.25">
      <c r="A2218" t="s">
        <v>153</v>
      </c>
      <c r="B2218" t="s">
        <v>191</v>
      </c>
      <c r="C2218" t="s">
        <v>64</v>
      </c>
      <c r="D2218" s="10">
        <v>27133400000000</v>
      </c>
      <c r="E2218" t="str">
        <f>$A2218&amp;Keys!$C$54&amp;$B2218&amp;Keys!$C$54&amp;$C2218</f>
        <v>PA|imports|hard coal</v>
      </c>
    </row>
    <row r="2219" spans="1:5" x14ac:dyDescent="0.25">
      <c r="A2219" t="s">
        <v>153</v>
      </c>
      <c r="B2219" t="s">
        <v>193</v>
      </c>
      <c r="C2219" t="s">
        <v>64</v>
      </c>
      <c r="D2219" s="10">
        <v>485549000000000</v>
      </c>
      <c r="E2219" t="str">
        <f>$A2219&amp;Keys!$C$54&amp;$B2219&amp;Keys!$C$54&amp;$C2219</f>
        <v>PA|exports|hard coal</v>
      </c>
    </row>
    <row r="2220" spans="1:5" x14ac:dyDescent="0.25">
      <c r="A2220" t="s">
        <v>153</v>
      </c>
      <c r="B2220" t="s">
        <v>188</v>
      </c>
      <c r="C2220" t="s">
        <v>68</v>
      </c>
      <c r="D2220" s="10">
        <v>7569180000000000</v>
      </c>
      <c r="E2220" t="str">
        <f>$A2220&amp;Keys!$C$54&amp;$B2220&amp;Keys!$C$54&amp;$C2220</f>
        <v>PA|production|natural gas</v>
      </c>
    </row>
    <row r="2221" spans="1:5" x14ac:dyDescent="0.25">
      <c r="A2221" t="s">
        <v>153</v>
      </c>
      <c r="B2221" t="s">
        <v>191</v>
      </c>
      <c r="C2221" t="s">
        <v>68</v>
      </c>
      <c r="D2221" s="10">
        <v>443566000000000</v>
      </c>
      <c r="E2221" t="str">
        <f>$A2221&amp;Keys!$C$54&amp;$B2221&amp;Keys!$C$54&amp;$C2221</f>
        <v>PA|imports|natural gas</v>
      </c>
    </row>
    <row r="2222" spans="1:5" x14ac:dyDescent="0.25">
      <c r="A2222" t="s">
        <v>153</v>
      </c>
      <c r="B2222" t="s">
        <v>193</v>
      </c>
      <c r="C2222" t="s">
        <v>68</v>
      </c>
      <c r="D2222" s="10">
        <v>6109100000000000</v>
      </c>
      <c r="E2222" t="str">
        <f>$A2222&amp;Keys!$C$54&amp;$B2222&amp;Keys!$C$54&amp;$C2222</f>
        <v>PA|exports|natural gas</v>
      </c>
    </row>
    <row r="2223" spans="1:5" x14ac:dyDescent="0.25">
      <c r="A2223" t="s">
        <v>153</v>
      </c>
      <c r="B2223" t="s">
        <v>188</v>
      </c>
      <c r="C2223" t="s">
        <v>71</v>
      </c>
      <c r="D2223" s="10">
        <v>0</v>
      </c>
      <c r="E2223" t="str">
        <f>$A2223&amp;Keys!$C$54&amp;$B2223&amp;Keys!$C$54&amp;$C2223</f>
        <v>PA|production|nuclear</v>
      </c>
    </row>
    <row r="2224" spans="1:5" x14ac:dyDescent="0.25">
      <c r="A2224" t="s">
        <v>153</v>
      </c>
      <c r="B2224" t="s">
        <v>191</v>
      </c>
      <c r="C2224" t="s">
        <v>71</v>
      </c>
      <c r="D2224" s="10">
        <v>783709000000000</v>
      </c>
      <c r="E2224" t="str">
        <f>$A2224&amp;Keys!$C$54&amp;$B2224&amp;Keys!$C$54&amp;$C2224</f>
        <v>PA|imports|nuclear</v>
      </c>
    </row>
    <row r="2225" spans="1:5" x14ac:dyDescent="0.25">
      <c r="A2225" t="s">
        <v>153</v>
      </c>
      <c r="B2225" t="s">
        <v>193</v>
      </c>
      <c r="C2225" t="s">
        <v>71</v>
      </c>
      <c r="D2225" s="10">
        <v>0</v>
      </c>
      <c r="E2225" t="str">
        <f>$A2225&amp;Keys!$C$54&amp;$B2225&amp;Keys!$C$54&amp;$C2225</f>
        <v>PA|exports|nuclear</v>
      </c>
    </row>
    <row r="2226" spans="1:5" x14ac:dyDescent="0.25">
      <c r="A2226" t="s">
        <v>153</v>
      </c>
      <c r="B2226" t="s">
        <v>188</v>
      </c>
      <c r="C2226" t="s">
        <v>273</v>
      </c>
      <c r="D2226" s="10">
        <v>0</v>
      </c>
      <c r="E2226" t="str">
        <f>$A2226&amp;Keys!$C$54&amp;$B2226&amp;Keys!$C$54&amp;$C2226</f>
        <v>PA|production|hydro</v>
      </c>
    </row>
    <row r="2227" spans="1:5" x14ac:dyDescent="0.25">
      <c r="A2227" t="s">
        <v>153</v>
      </c>
      <c r="B2227" t="s">
        <v>191</v>
      </c>
      <c r="C2227" t="s">
        <v>273</v>
      </c>
      <c r="D2227" s="10">
        <v>0</v>
      </c>
      <c r="E2227" t="str">
        <f>$A2227&amp;Keys!$C$54&amp;$B2227&amp;Keys!$C$54&amp;$C2227</f>
        <v>PA|imports|hydro</v>
      </c>
    </row>
    <row r="2228" spans="1:5" x14ac:dyDescent="0.25">
      <c r="A2228" t="s">
        <v>153</v>
      </c>
      <c r="B2228" t="s">
        <v>193</v>
      </c>
      <c r="C2228" t="s">
        <v>273</v>
      </c>
      <c r="D2228" s="10">
        <v>0</v>
      </c>
      <c r="E2228" t="str">
        <f>$A2228&amp;Keys!$C$54&amp;$B2228&amp;Keys!$C$54&amp;$C2228</f>
        <v>PA|exports|hydro</v>
      </c>
    </row>
    <row r="2229" spans="1:5" x14ac:dyDescent="0.25">
      <c r="A2229" t="s">
        <v>153</v>
      </c>
      <c r="B2229" t="s">
        <v>188</v>
      </c>
      <c r="C2229" t="s">
        <v>274</v>
      </c>
      <c r="D2229" s="10">
        <v>0</v>
      </c>
      <c r="E2229" t="str">
        <f>$A2229&amp;Keys!$C$54&amp;$B2229&amp;Keys!$C$54&amp;$C2229</f>
        <v>PA|production|wind</v>
      </c>
    </row>
    <row r="2230" spans="1:5" x14ac:dyDescent="0.25">
      <c r="A2230" t="s">
        <v>153</v>
      </c>
      <c r="B2230" t="s">
        <v>191</v>
      </c>
      <c r="C2230" t="s">
        <v>274</v>
      </c>
      <c r="D2230" s="10">
        <v>0</v>
      </c>
      <c r="E2230" t="str">
        <f>$A2230&amp;Keys!$C$54&amp;$B2230&amp;Keys!$C$54&amp;$C2230</f>
        <v>PA|imports|wind</v>
      </c>
    </row>
    <row r="2231" spans="1:5" x14ac:dyDescent="0.25">
      <c r="A2231" t="s">
        <v>153</v>
      </c>
      <c r="B2231" t="s">
        <v>193</v>
      </c>
      <c r="C2231" t="s">
        <v>274</v>
      </c>
      <c r="D2231" s="10">
        <v>0</v>
      </c>
      <c r="E2231" t="str">
        <f>$A2231&amp;Keys!$C$54&amp;$B2231&amp;Keys!$C$54&amp;$C2231</f>
        <v>PA|exports|wind</v>
      </c>
    </row>
    <row r="2232" spans="1:5" x14ac:dyDescent="0.25">
      <c r="A2232" t="s">
        <v>153</v>
      </c>
      <c r="B2232" t="s">
        <v>188</v>
      </c>
      <c r="C2232" t="s">
        <v>275</v>
      </c>
      <c r="D2232" s="10">
        <v>0</v>
      </c>
      <c r="E2232" t="str">
        <f>$A2232&amp;Keys!$C$54&amp;$B2232&amp;Keys!$C$54&amp;$C2232</f>
        <v>PA|production|solar</v>
      </c>
    </row>
    <row r="2233" spans="1:5" x14ac:dyDescent="0.25">
      <c r="A2233" t="s">
        <v>153</v>
      </c>
      <c r="B2233" t="s">
        <v>191</v>
      </c>
      <c r="C2233" t="s">
        <v>275</v>
      </c>
      <c r="D2233" s="10">
        <v>0</v>
      </c>
      <c r="E2233" t="str">
        <f>$A2233&amp;Keys!$C$54&amp;$B2233&amp;Keys!$C$54&amp;$C2233</f>
        <v>PA|imports|solar</v>
      </c>
    </row>
    <row r="2234" spans="1:5" x14ac:dyDescent="0.25">
      <c r="A2234" t="s">
        <v>153</v>
      </c>
      <c r="B2234" t="s">
        <v>193</v>
      </c>
      <c r="C2234" t="s">
        <v>275</v>
      </c>
      <c r="D2234" s="10">
        <v>0</v>
      </c>
      <c r="E2234" t="str">
        <f>$A2234&amp;Keys!$C$54&amp;$B2234&amp;Keys!$C$54&amp;$C2234</f>
        <v>PA|exports|solar</v>
      </c>
    </row>
    <row r="2235" spans="1:5" x14ac:dyDescent="0.25">
      <c r="A2235" t="s">
        <v>153</v>
      </c>
      <c r="B2235" t="s">
        <v>188</v>
      </c>
      <c r="C2235" t="s">
        <v>82</v>
      </c>
      <c r="D2235" s="10">
        <v>6178450000000</v>
      </c>
      <c r="E2235" t="str">
        <f>$A2235&amp;Keys!$C$54&amp;$B2235&amp;Keys!$C$54&amp;$C2235</f>
        <v>PA|production|biomass</v>
      </c>
    </row>
    <row r="2236" spans="1:5" x14ac:dyDescent="0.25">
      <c r="A2236" t="s">
        <v>153</v>
      </c>
      <c r="B2236" t="s">
        <v>191</v>
      </c>
      <c r="C2236" t="s">
        <v>82</v>
      </c>
      <c r="D2236" s="10">
        <v>85008700000000</v>
      </c>
      <c r="E2236" t="str">
        <f>$A2236&amp;Keys!$C$54&amp;$B2236&amp;Keys!$C$54&amp;$C2236</f>
        <v>PA|imports|biomass</v>
      </c>
    </row>
    <row r="2237" spans="1:5" x14ac:dyDescent="0.25">
      <c r="A2237" t="s">
        <v>153</v>
      </c>
      <c r="B2237" t="s">
        <v>193</v>
      </c>
      <c r="C2237" t="s">
        <v>82</v>
      </c>
      <c r="D2237" s="10">
        <v>0</v>
      </c>
      <c r="E2237" t="str">
        <f>$A2237&amp;Keys!$C$54&amp;$B2237&amp;Keys!$C$54&amp;$C2237</f>
        <v>PA|exports|biomass</v>
      </c>
    </row>
    <row r="2238" spans="1:5" x14ac:dyDescent="0.25">
      <c r="A2238" t="s">
        <v>153</v>
      </c>
      <c r="B2238" t="s">
        <v>188</v>
      </c>
      <c r="C2238" t="s">
        <v>85</v>
      </c>
      <c r="D2238" s="10">
        <v>260094000000000</v>
      </c>
      <c r="E2238" t="str">
        <f>$A2238&amp;Keys!$C$54&amp;$B2238&amp;Keys!$C$54&amp;$C2238</f>
        <v>PA|production|petroleum gasoline</v>
      </c>
    </row>
    <row r="2239" spans="1:5" x14ac:dyDescent="0.25">
      <c r="A2239" t="s">
        <v>153</v>
      </c>
      <c r="B2239" t="s">
        <v>191</v>
      </c>
      <c r="C2239" t="s">
        <v>85</v>
      </c>
      <c r="D2239" s="10">
        <v>211412000000000</v>
      </c>
      <c r="E2239" t="str">
        <f>$A2239&amp;Keys!$C$54&amp;$B2239&amp;Keys!$C$54&amp;$C2239</f>
        <v>PA|imports|petroleum gasoline</v>
      </c>
    </row>
    <row r="2240" spans="1:5" x14ac:dyDescent="0.25">
      <c r="A2240" t="s">
        <v>153</v>
      </c>
      <c r="B2240" t="s">
        <v>193</v>
      </c>
      <c r="C2240" t="s">
        <v>85</v>
      </c>
      <c r="D2240" s="10">
        <v>0</v>
      </c>
      <c r="E2240" t="str">
        <f>$A2240&amp;Keys!$C$54&amp;$B2240&amp;Keys!$C$54&amp;$C2240</f>
        <v>PA|exports|petroleum gasoline</v>
      </c>
    </row>
    <row r="2241" spans="1:5" x14ac:dyDescent="0.25">
      <c r="A2241" t="s">
        <v>153</v>
      </c>
      <c r="B2241" t="s">
        <v>188</v>
      </c>
      <c r="C2241" t="s">
        <v>88</v>
      </c>
      <c r="D2241" s="10">
        <v>153850000000000</v>
      </c>
      <c r="E2241" t="str">
        <f>$A2241&amp;Keys!$C$54&amp;$B2241&amp;Keys!$C$54&amp;$C2241</f>
        <v>PA|production|petroleum diesel</v>
      </c>
    </row>
    <row r="2242" spans="1:5" x14ac:dyDescent="0.25">
      <c r="A2242" t="s">
        <v>153</v>
      </c>
      <c r="B2242" t="s">
        <v>191</v>
      </c>
      <c r="C2242" t="s">
        <v>88</v>
      </c>
      <c r="D2242" s="10">
        <v>200542000000000</v>
      </c>
      <c r="E2242" t="str">
        <f>$A2242&amp;Keys!$C$54&amp;$B2242&amp;Keys!$C$54&amp;$C2242</f>
        <v>PA|imports|petroleum diesel</v>
      </c>
    </row>
    <row r="2243" spans="1:5" x14ac:dyDescent="0.25">
      <c r="A2243" t="s">
        <v>153</v>
      </c>
      <c r="B2243" t="s">
        <v>193</v>
      </c>
      <c r="C2243" t="s">
        <v>88</v>
      </c>
      <c r="D2243" s="10">
        <v>0</v>
      </c>
      <c r="E2243" t="str">
        <f>$A2243&amp;Keys!$C$54&amp;$B2243&amp;Keys!$C$54&amp;$C2243</f>
        <v>PA|exports|petroleum diesel</v>
      </c>
    </row>
    <row r="2244" spans="1:5" x14ac:dyDescent="0.25">
      <c r="A2244" t="s">
        <v>153</v>
      </c>
      <c r="B2244" t="s">
        <v>188</v>
      </c>
      <c r="C2244" t="s">
        <v>91</v>
      </c>
      <c r="D2244" s="10">
        <v>10523400000000</v>
      </c>
      <c r="E2244" t="str">
        <f>$A2244&amp;Keys!$C$54&amp;$B2244&amp;Keys!$C$54&amp;$C2244</f>
        <v>PA|production|biofuel gasoline</v>
      </c>
    </row>
    <row r="2245" spans="1:5" x14ac:dyDescent="0.25">
      <c r="A2245" t="s">
        <v>153</v>
      </c>
      <c r="B2245" t="s">
        <v>191</v>
      </c>
      <c r="C2245" t="s">
        <v>91</v>
      </c>
      <c r="D2245" s="10">
        <v>22504800000000</v>
      </c>
      <c r="E2245" t="str">
        <f>$A2245&amp;Keys!$C$54&amp;$B2245&amp;Keys!$C$54&amp;$C2245</f>
        <v>PA|imports|biofuel gasoline</v>
      </c>
    </row>
    <row r="2246" spans="1:5" x14ac:dyDescent="0.25">
      <c r="A2246" t="s">
        <v>153</v>
      </c>
      <c r="B2246" t="s">
        <v>193</v>
      </c>
      <c r="C2246" t="s">
        <v>91</v>
      </c>
      <c r="D2246" s="10">
        <v>0</v>
      </c>
      <c r="E2246" t="str">
        <f>$A2246&amp;Keys!$C$54&amp;$B2246&amp;Keys!$C$54&amp;$C2246</f>
        <v>PA|exports|biofuel gasoline</v>
      </c>
    </row>
    <row r="2247" spans="1:5" x14ac:dyDescent="0.25">
      <c r="A2247" t="s">
        <v>153</v>
      </c>
      <c r="B2247" t="s">
        <v>188</v>
      </c>
      <c r="C2247" t="s">
        <v>94</v>
      </c>
      <c r="D2247" s="10">
        <v>19530300000000</v>
      </c>
      <c r="E2247" t="str">
        <f>$A2247&amp;Keys!$C$54&amp;$B2247&amp;Keys!$C$54&amp;$C2247</f>
        <v>PA|production|biofuel diesel</v>
      </c>
    </row>
    <row r="2248" spans="1:5" x14ac:dyDescent="0.25">
      <c r="A2248" t="s">
        <v>153</v>
      </c>
      <c r="B2248" t="s">
        <v>191</v>
      </c>
      <c r="C2248" t="s">
        <v>94</v>
      </c>
      <c r="D2248" s="10">
        <v>199323000000</v>
      </c>
      <c r="E2248" t="str">
        <f>$A2248&amp;Keys!$C$54&amp;$B2248&amp;Keys!$C$54&amp;$C2248</f>
        <v>PA|imports|biofuel diesel</v>
      </c>
    </row>
    <row r="2249" spans="1:5" x14ac:dyDescent="0.25">
      <c r="A2249" t="s">
        <v>153</v>
      </c>
      <c r="B2249" t="s">
        <v>193</v>
      </c>
      <c r="C2249" t="s">
        <v>94</v>
      </c>
      <c r="D2249" s="10">
        <v>14036500000000</v>
      </c>
      <c r="E2249" t="str">
        <f>$A2249&amp;Keys!$C$54&amp;$B2249&amp;Keys!$C$54&amp;$C2249</f>
        <v>PA|exports|biofuel diesel</v>
      </c>
    </row>
    <row r="2250" spans="1:5" x14ac:dyDescent="0.25">
      <c r="A2250" t="s">
        <v>153</v>
      </c>
      <c r="B2250" t="s">
        <v>188</v>
      </c>
      <c r="C2250" t="s">
        <v>97</v>
      </c>
      <c r="D2250" s="10">
        <v>54767300000000</v>
      </c>
      <c r="E2250" t="str">
        <f>$A2250&amp;Keys!$C$54&amp;$B2250&amp;Keys!$C$54&amp;$C2250</f>
        <v>PA|production|jet fuel or kerosene</v>
      </c>
    </row>
    <row r="2251" spans="1:5" x14ac:dyDescent="0.25">
      <c r="A2251" t="s">
        <v>153</v>
      </c>
      <c r="B2251" t="s">
        <v>191</v>
      </c>
      <c r="C2251" t="s">
        <v>97</v>
      </c>
      <c r="D2251" s="10">
        <v>11207400000000</v>
      </c>
      <c r="E2251" t="str">
        <f>$A2251&amp;Keys!$C$54&amp;$B2251&amp;Keys!$C$54&amp;$C2251</f>
        <v>PA|imports|jet fuel or kerosene</v>
      </c>
    </row>
    <row r="2252" spans="1:5" x14ac:dyDescent="0.25">
      <c r="A2252" t="s">
        <v>153</v>
      </c>
      <c r="B2252" t="s">
        <v>193</v>
      </c>
      <c r="C2252" t="s">
        <v>97</v>
      </c>
      <c r="D2252" s="10">
        <v>0</v>
      </c>
      <c r="E2252" t="str">
        <f>$A2252&amp;Keys!$C$54&amp;$B2252&amp;Keys!$C$54&amp;$C2252</f>
        <v>PA|exports|jet fuel or kerosene</v>
      </c>
    </row>
    <row r="2253" spans="1:5" x14ac:dyDescent="0.25">
      <c r="A2253" t="s">
        <v>153</v>
      </c>
      <c r="B2253" t="s">
        <v>188</v>
      </c>
      <c r="C2253" t="s">
        <v>276</v>
      </c>
      <c r="D2253" s="10">
        <v>0</v>
      </c>
      <c r="E2253" t="str">
        <f>$A2253&amp;Keys!$C$54&amp;$B2253&amp;Keys!$C$54&amp;$C2253</f>
        <v>PA|production|heat</v>
      </c>
    </row>
    <row r="2254" spans="1:5" x14ac:dyDescent="0.25">
      <c r="A2254" t="s">
        <v>153</v>
      </c>
      <c r="B2254" t="s">
        <v>191</v>
      </c>
      <c r="C2254" t="s">
        <v>276</v>
      </c>
      <c r="D2254" s="10">
        <v>0</v>
      </c>
      <c r="E2254" t="str">
        <f>$A2254&amp;Keys!$C$54&amp;$B2254&amp;Keys!$C$54&amp;$C2254</f>
        <v>PA|imports|heat</v>
      </c>
    </row>
    <row r="2255" spans="1:5" x14ac:dyDescent="0.25">
      <c r="A2255" t="s">
        <v>153</v>
      </c>
      <c r="B2255" t="s">
        <v>193</v>
      </c>
      <c r="C2255" t="s">
        <v>276</v>
      </c>
      <c r="D2255" s="10">
        <v>0</v>
      </c>
      <c r="E2255" t="str">
        <f>$A2255&amp;Keys!$C$54&amp;$B2255&amp;Keys!$C$54&amp;$C2255</f>
        <v>PA|exports|heat</v>
      </c>
    </row>
    <row r="2256" spans="1:5" x14ac:dyDescent="0.25">
      <c r="A2256" t="s">
        <v>153</v>
      </c>
      <c r="B2256" t="s">
        <v>188</v>
      </c>
      <c r="C2256" t="s">
        <v>277</v>
      </c>
      <c r="D2256" s="10">
        <v>0</v>
      </c>
      <c r="E2256" t="str">
        <f>$A2256&amp;Keys!$C$54&amp;$B2256&amp;Keys!$C$54&amp;$C2256</f>
        <v>PA|production|geothermal</v>
      </c>
    </row>
    <row r="2257" spans="1:5" x14ac:dyDescent="0.25">
      <c r="A2257" t="s">
        <v>153</v>
      </c>
      <c r="B2257" t="s">
        <v>191</v>
      </c>
      <c r="C2257" t="s">
        <v>277</v>
      </c>
      <c r="D2257" s="10">
        <v>0</v>
      </c>
      <c r="E2257" t="str">
        <f>$A2257&amp;Keys!$C$54&amp;$B2257&amp;Keys!$C$54&amp;$C2257</f>
        <v>PA|imports|geothermal</v>
      </c>
    </row>
    <row r="2258" spans="1:5" x14ac:dyDescent="0.25">
      <c r="A2258" t="s">
        <v>153</v>
      </c>
      <c r="B2258" t="s">
        <v>193</v>
      </c>
      <c r="C2258" t="s">
        <v>277</v>
      </c>
      <c r="D2258" s="10">
        <v>0</v>
      </c>
      <c r="E2258" t="str">
        <f>$A2258&amp;Keys!$C$54&amp;$B2258&amp;Keys!$C$54&amp;$C2258</f>
        <v>PA|exports|geothermal</v>
      </c>
    </row>
    <row r="2259" spans="1:5" x14ac:dyDescent="0.25">
      <c r="A2259" t="s">
        <v>153</v>
      </c>
      <c r="B2259" t="s">
        <v>188</v>
      </c>
      <c r="C2259" t="s">
        <v>106</v>
      </c>
      <c r="D2259" s="10">
        <v>0</v>
      </c>
      <c r="E2259" t="str">
        <f>$A2259&amp;Keys!$C$54&amp;$B2259&amp;Keys!$C$54&amp;$C2259</f>
        <v>PA|production|lignite</v>
      </c>
    </row>
    <row r="2260" spans="1:5" x14ac:dyDescent="0.25">
      <c r="A2260" t="s">
        <v>153</v>
      </c>
      <c r="B2260" t="s">
        <v>191</v>
      </c>
      <c r="C2260" t="s">
        <v>106</v>
      </c>
      <c r="D2260" s="10">
        <v>0</v>
      </c>
      <c r="E2260" t="str">
        <f>$A2260&amp;Keys!$C$54&amp;$B2260&amp;Keys!$C$54&amp;$C2260</f>
        <v>PA|imports|lignite</v>
      </c>
    </row>
    <row r="2261" spans="1:5" x14ac:dyDescent="0.25">
      <c r="A2261" t="s">
        <v>153</v>
      </c>
      <c r="B2261" t="s">
        <v>193</v>
      </c>
      <c r="C2261" t="s">
        <v>106</v>
      </c>
      <c r="D2261" s="10">
        <v>0</v>
      </c>
      <c r="E2261" t="str">
        <f>$A2261&amp;Keys!$C$54&amp;$B2261&amp;Keys!$C$54&amp;$C2261</f>
        <v>PA|exports|lignite</v>
      </c>
    </row>
    <row r="2262" spans="1:5" x14ac:dyDescent="0.25">
      <c r="A2262" t="s">
        <v>153</v>
      </c>
      <c r="B2262" t="s">
        <v>188</v>
      </c>
      <c r="C2262" t="s">
        <v>109</v>
      </c>
      <c r="D2262" s="10">
        <v>25810000000000</v>
      </c>
      <c r="E2262" t="str">
        <f>$A2262&amp;Keys!$C$54&amp;$B2262&amp;Keys!$C$54&amp;$C2262</f>
        <v>PA|production|crude oil</v>
      </c>
    </row>
    <row r="2263" spans="1:5" x14ac:dyDescent="0.25">
      <c r="A2263" t="s">
        <v>153</v>
      </c>
      <c r="B2263" t="s">
        <v>191</v>
      </c>
      <c r="C2263" t="s">
        <v>109</v>
      </c>
      <c r="D2263" s="10">
        <v>533665000000000</v>
      </c>
      <c r="E2263" t="str">
        <f>$A2263&amp;Keys!$C$54&amp;$B2263&amp;Keys!$C$54&amp;$C2263</f>
        <v>PA|imports|crude oil</v>
      </c>
    </row>
    <row r="2264" spans="1:5" x14ac:dyDescent="0.25">
      <c r="A2264" t="s">
        <v>153</v>
      </c>
      <c r="B2264" t="s">
        <v>193</v>
      </c>
      <c r="C2264" t="s">
        <v>109</v>
      </c>
      <c r="D2264" s="10">
        <v>0</v>
      </c>
      <c r="E2264" t="str">
        <f>$A2264&amp;Keys!$C$54&amp;$B2264&amp;Keys!$C$54&amp;$C2264</f>
        <v>PA|exports|crude oil</v>
      </c>
    </row>
    <row r="2265" spans="1:5" x14ac:dyDescent="0.25">
      <c r="A2265" t="s">
        <v>153</v>
      </c>
      <c r="B2265" t="s">
        <v>188</v>
      </c>
      <c r="C2265" t="s">
        <v>114</v>
      </c>
      <c r="D2265" s="10">
        <v>10638700000000</v>
      </c>
      <c r="E2265" t="str">
        <f>$A2265&amp;Keys!$C$54&amp;$B2265&amp;Keys!$C$54&amp;$C2265</f>
        <v>PA|production|heavy or residual fuel oil</v>
      </c>
    </row>
    <row r="2266" spans="1:5" x14ac:dyDescent="0.25">
      <c r="A2266" t="s">
        <v>153</v>
      </c>
      <c r="B2266" t="s">
        <v>191</v>
      </c>
      <c r="C2266" t="s">
        <v>114</v>
      </c>
      <c r="D2266" s="10">
        <v>30468200000000</v>
      </c>
      <c r="E2266" t="str">
        <f>$A2266&amp;Keys!$C$54&amp;$B2266&amp;Keys!$C$54&amp;$C2266</f>
        <v>PA|imports|heavy or residual fuel oil</v>
      </c>
    </row>
    <row r="2267" spans="1:5" x14ac:dyDescent="0.25">
      <c r="A2267" t="s">
        <v>153</v>
      </c>
      <c r="B2267" t="s">
        <v>193</v>
      </c>
      <c r="C2267" t="s">
        <v>114</v>
      </c>
      <c r="D2267" s="10">
        <v>0</v>
      </c>
      <c r="E2267" t="str">
        <f>$A2267&amp;Keys!$C$54&amp;$B2267&amp;Keys!$C$54&amp;$C2267</f>
        <v>PA|exports|heavy or residual fuel oil</v>
      </c>
    </row>
    <row r="2268" spans="1:5" x14ac:dyDescent="0.25">
      <c r="A2268" t="s">
        <v>153</v>
      </c>
      <c r="B2268" t="s">
        <v>188</v>
      </c>
      <c r="C2268" t="s">
        <v>117</v>
      </c>
      <c r="D2268" s="10">
        <v>925328000000000</v>
      </c>
      <c r="E2268" t="str">
        <f>$A2268&amp;Keys!$C$54&amp;$B2268&amp;Keys!$C$54&amp;$C2268</f>
        <v>PA|production|LPG propane or butane</v>
      </c>
    </row>
    <row r="2269" spans="1:5" x14ac:dyDescent="0.25">
      <c r="A2269" t="s">
        <v>153</v>
      </c>
      <c r="B2269" t="s">
        <v>191</v>
      </c>
      <c r="C2269" t="s">
        <v>117</v>
      </c>
      <c r="D2269" s="10">
        <v>14803000000</v>
      </c>
      <c r="E2269" t="str">
        <f>$A2269&amp;Keys!$C$54&amp;$B2269&amp;Keys!$C$54&amp;$C2269</f>
        <v>PA|imports|LPG propane or butane</v>
      </c>
    </row>
    <row r="2270" spans="1:5" x14ac:dyDescent="0.25">
      <c r="A2270" t="s">
        <v>153</v>
      </c>
      <c r="B2270" t="s">
        <v>193</v>
      </c>
      <c r="C2270" t="s">
        <v>117</v>
      </c>
      <c r="D2270" s="10">
        <v>782902000000000</v>
      </c>
      <c r="E2270" t="str">
        <f>$A2270&amp;Keys!$C$54&amp;$B2270&amp;Keys!$C$54&amp;$C2270</f>
        <v>PA|exports|LPG propane or butane</v>
      </c>
    </row>
    <row r="2271" spans="1:5" x14ac:dyDescent="0.25">
      <c r="A2271" t="s">
        <v>153</v>
      </c>
      <c r="B2271" t="s">
        <v>188</v>
      </c>
      <c r="C2271" t="s">
        <v>120</v>
      </c>
      <c r="D2271" s="10">
        <v>0</v>
      </c>
      <c r="E2271" t="str">
        <f>$A2271&amp;Keys!$C$54&amp;$B2271&amp;Keys!$C$54&amp;$C2271</f>
        <v>PA|production|municipal solid waste</v>
      </c>
    </row>
    <row r="2272" spans="1:5" x14ac:dyDescent="0.25">
      <c r="A2272" t="s">
        <v>153</v>
      </c>
      <c r="B2272" t="s">
        <v>191</v>
      </c>
      <c r="C2272" t="s">
        <v>120</v>
      </c>
      <c r="D2272" s="10">
        <v>19648300000000</v>
      </c>
      <c r="E2272" t="str">
        <f>$A2272&amp;Keys!$C$54&amp;$B2272&amp;Keys!$C$54&amp;$C2272</f>
        <v>PA|imports|municipal solid waste</v>
      </c>
    </row>
    <row r="2273" spans="1:5" x14ac:dyDescent="0.25">
      <c r="A2273" t="s">
        <v>153</v>
      </c>
      <c r="B2273" t="s">
        <v>193</v>
      </c>
      <c r="C2273" t="s">
        <v>120</v>
      </c>
      <c r="D2273" s="10">
        <v>0</v>
      </c>
      <c r="E2273" t="str">
        <f>$A2273&amp;Keys!$C$54&amp;$B2273&amp;Keys!$C$54&amp;$C2273</f>
        <v>PA|exports|municipal solid waste</v>
      </c>
    </row>
    <row r="2274" spans="1:5" x14ac:dyDescent="0.25">
      <c r="A2274" t="s">
        <v>153</v>
      </c>
      <c r="B2274" t="s">
        <v>188</v>
      </c>
      <c r="C2274" t="s">
        <v>123</v>
      </c>
      <c r="D2274" s="10">
        <v>1186250000000</v>
      </c>
      <c r="E2274" t="str">
        <f>$A2274&amp;Keys!$C$54&amp;$B2274&amp;Keys!$C$54&amp;$C2274</f>
        <v>PA|production|hydrogen</v>
      </c>
    </row>
    <row r="2275" spans="1:5" x14ac:dyDescent="0.25">
      <c r="A2275" t="s">
        <v>153</v>
      </c>
      <c r="B2275" t="s">
        <v>191</v>
      </c>
      <c r="C2275" t="s">
        <v>123</v>
      </c>
      <c r="D2275" s="10">
        <v>0</v>
      </c>
      <c r="E2275" t="str">
        <f>$A2275&amp;Keys!$C$54&amp;$B2275&amp;Keys!$C$54&amp;$C2275</f>
        <v>PA|imports|hydrogen</v>
      </c>
    </row>
    <row r="2276" spans="1:5" x14ac:dyDescent="0.25">
      <c r="A2276" t="s">
        <v>153</v>
      </c>
      <c r="B2276" t="s">
        <v>193</v>
      </c>
      <c r="C2276" t="s">
        <v>123</v>
      </c>
      <c r="D2276" s="10">
        <v>447427000000</v>
      </c>
      <c r="E2276" t="str">
        <f>$A2276&amp;Keys!$C$54&amp;$B2276&amp;Keys!$C$54&amp;$C2276</f>
        <v>PA|exports|hydrogen</v>
      </c>
    </row>
    <row r="2277" spans="1:5" x14ac:dyDescent="0.25">
      <c r="A2277" t="s">
        <v>155</v>
      </c>
      <c r="B2277" t="s">
        <v>188</v>
      </c>
      <c r="C2277" t="s">
        <v>272</v>
      </c>
      <c r="D2277" s="10">
        <v>0</v>
      </c>
      <c r="E2277" t="str">
        <f>$A2277&amp;Keys!$C$54&amp;$B2277&amp;Keys!$C$54&amp;$C2277</f>
        <v>RI|production|electricity</v>
      </c>
    </row>
    <row r="2278" spans="1:5" x14ac:dyDescent="0.25">
      <c r="A2278" t="s">
        <v>155</v>
      </c>
      <c r="B2278" t="s">
        <v>191</v>
      </c>
      <c r="C2278" t="s">
        <v>272</v>
      </c>
      <c r="D2278" s="10">
        <v>0</v>
      </c>
      <c r="E2278" t="str">
        <f>$A2278&amp;Keys!$C$54&amp;$B2278&amp;Keys!$C$54&amp;$C2278</f>
        <v>RI|imports|electricity</v>
      </c>
    </row>
    <row r="2279" spans="1:5" x14ac:dyDescent="0.25">
      <c r="A2279" t="s">
        <v>155</v>
      </c>
      <c r="B2279" t="s">
        <v>193</v>
      </c>
      <c r="C2279" t="s">
        <v>272</v>
      </c>
      <c r="D2279" s="10">
        <v>0</v>
      </c>
      <c r="E2279" t="str">
        <f>$A2279&amp;Keys!$C$54&amp;$B2279&amp;Keys!$C$54&amp;$C2279</f>
        <v>RI|exports|electricity</v>
      </c>
    </row>
    <row r="2280" spans="1:5" x14ac:dyDescent="0.25">
      <c r="A2280" t="s">
        <v>155</v>
      </c>
      <c r="B2280" t="s">
        <v>188</v>
      </c>
      <c r="C2280" t="s">
        <v>64</v>
      </c>
      <c r="D2280" s="10">
        <v>0</v>
      </c>
      <c r="E2280" t="str">
        <f>$A2280&amp;Keys!$C$54&amp;$B2280&amp;Keys!$C$54&amp;$C2280</f>
        <v>RI|production|hard coal</v>
      </c>
    </row>
    <row r="2281" spans="1:5" x14ac:dyDescent="0.25">
      <c r="A2281" t="s">
        <v>155</v>
      </c>
      <c r="B2281" t="s">
        <v>191</v>
      </c>
      <c r="C2281" t="s">
        <v>64</v>
      </c>
      <c r="D2281" s="10">
        <v>0</v>
      </c>
      <c r="E2281" t="str">
        <f>$A2281&amp;Keys!$C$54&amp;$B2281&amp;Keys!$C$54&amp;$C2281</f>
        <v>RI|imports|hard coal</v>
      </c>
    </row>
    <row r="2282" spans="1:5" x14ac:dyDescent="0.25">
      <c r="A2282" t="s">
        <v>155</v>
      </c>
      <c r="B2282" t="s">
        <v>193</v>
      </c>
      <c r="C2282" t="s">
        <v>64</v>
      </c>
      <c r="D2282" s="10">
        <v>0</v>
      </c>
      <c r="E2282" t="str">
        <f>$A2282&amp;Keys!$C$54&amp;$B2282&amp;Keys!$C$54&amp;$C2282</f>
        <v>RI|exports|hard coal</v>
      </c>
    </row>
    <row r="2283" spans="1:5" x14ac:dyDescent="0.25">
      <c r="A2283" t="s">
        <v>155</v>
      </c>
      <c r="B2283" t="s">
        <v>188</v>
      </c>
      <c r="C2283" t="s">
        <v>68</v>
      </c>
      <c r="D2283" s="10">
        <v>0</v>
      </c>
      <c r="E2283" t="str">
        <f>$A2283&amp;Keys!$C$54&amp;$B2283&amp;Keys!$C$54&amp;$C2283</f>
        <v>RI|production|natural gas</v>
      </c>
    </row>
    <row r="2284" spans="1:5" x14ac:dyDescent="0.25">
      <c r="A2284" t="s">
        <v>155</v>
      </c>
      <c r="B2284" t="s">
        <v>191</v>
      </c>
      <c r="C2284" t="s">
        <v>68</v>
      </c>
      <c r="D2284" s="10">
        <v>300329000000000</v>
      </c>
      <c r="E2284" t="str">
        <f>$A2284&amp;Keys!$C$54&amp;$B2284&amp;Keys!$C$54&amp;$C2284</f>
        <v>RI|imports|natural gas</v>
      </c>
    </row>
    <row r="2285" spans="1:5" x14ac:dyDescent="0.25">
      <c r="A2285" t="s">
        <v>155</v>
      </c>
      <c r="B2285" t="s">
        <v>193</v>
      </c>
      <c r="C2285" t="s">
        <v>68</v>
      </c>
      <c r="D2285" s="10">
        <v>194575000000000</v>
      </c>
      <c r="E2285" t="str">
        <f>$A2285&amp;Keys!$C$54&amp;$B2285&amp;Keys!$C$54&amp;$C2285</f>
        <v>RI|exports|natural gas</v>
      </c>
    </row>
    <row r="2286" spans="1:5" x14ac:dyDescent="0.25">
      <c r="A2286" t="s">
        <v>155</v>
      </c>
      <c r="B2286" t="s">
        <v>188</v>
      </c>
      <c r="C2286" t="s">
        <v>71</v>
      </c>
      <c r="D2286" s="10">
        <v>0</v>
      </c>
      <c r="E2286" t="str">
        <f>$A2286&amp;Keys!$C$54&amp;$B2286&amp;Keys!$C$54&amp;$C2286</f>
        <v>RI|production|nuclear</v>
      </c>
    </row>
    <row r="2287" spans="1:5" x14ac:dyDescent="0.25">
      <c r="A2287" t="s">
        <v>155</v>
      </c>
      <c r="B2287" t="s">
        <v>191</v>
      </c>
      <c r="C2287" t="s">
        <v>71</v>
      </c>
      <c r="D2287" s="10">
        <v>0</v>
      </c>
      <c r="E2287" t="str">
        <f>$A2287&amp;Keys!$C$54&amp;$B2287&amp;Keys!$C$54&amp;$C2287</f>
        <v>RI|imports|nuclear</v>
      </c>
    </row>
    <row r="2288" spans="1:5" x14ac:dyDescent="0.25">
      <c r="A2288" t="s">
        <v>155</v>
      </c>
      <c r="B2288" t="s">
        <v>193</v>
      </c>
      <c r="C2288" t="s">
        <v>71</v>
      </c>
      <c r="D2288" s="10">
        <v>0</v>
      </c>
      <c r="E2288" t="str">
        <f>$A2288&amp;Keys!$C$54&amp;$B2288&amp;Keys!$C$54&amp;$C2288</f>
        <v>RI|exports|nuclear</v>
      </c>
    </row>
    <row r="2289" spans="1:5" x14ac:dyDescent="0.25">
      <c r="A2289" t="s">
        <v>155</v>
      </c>
      <c r="B2289" t="s">
        <v>188</v>
      </c>
      <c r="C2289" t="s">
        <v>273</v>
      </c>
      <c r="D2289" s="10">
        <v>0</v>
      </c>
      <c r="E2289" t="str">
        <f>$A2289&amp;Keys!$C$54&amp;$B2289&amp;Keys!$C$54&amp;$C2289</f>
        <v>RI|production|hydro</v>
      </c>
    </row>
    <row r="2290" spans="1:5" x14ac:dyDescent="0.25">
      <c r="A2290" t="s">
        <v>155</v>
      </c>
      <c r="B2290" t="s">
        <v>191</v>
      </c>
      <c r="C2290" t="s">
        <v>273</v>
      </c>
      <c r="D2290" s="10">
        <v>0</v>
      </c>
      <c r="E2290" t="str">
        <f>$A2290&amp;Keys!$C$54&amp;$B2290&amp;Keys!$C$54&amp;$C2290</f>
        <v>RI|imports|hydro</v>
      </c>
    </row>
    <row r="2291" spans="1:5" x14ac:dyDescent="0.25">
      <c r="A2291" t="s">
        <v>155</v>
      </c>
      <c r="B2291" t="s">
        <v>193</v>
      </c>
      <c r="C2291" t="s">
        <v>273</v>
      </c>
      <c r="D2291" s="10">
        <v>0</v>
      </c>
      <c r="E2291" t="str">
        <f>$A2291&amp;Keys!$C$54&amp;$B2291&amp;Keys!$C$54&amp;$C2291</f>
        <v>RI|exports|hydro</v>
      </c>
    </row>
    <row r="2292" spans="1:5" x14ac:dyDescent="0.25">
      <c r="A2292" t="s">
        <v>155</v>
      </c>
      <c r="B2292" t="s">
        <v>188</v>
      </c>
      <c r="C2292" t="s">
        <v>274</v>
      </c>
      <c r="D2292" s="10">
        <v>0</v>
      </c>
      <c r="E2292" t="str">
        <f>$A2292&amp;Keys!$C$54&amp;$B2292&amp;Keys!$C$54&amp;$C2292</f>
        <v>RI|production|wind</v>
      </c>
    </row>
    <row r="2293" spans="1:5" x14ac:dyDescent="0.25">
      <c r="A2293" t="s">
        <v>155</v>
      </c>
      <c r="B2293" t="s">
        <v>191</v>
      </c>
      <c r="C2293" t="s">
        <v>274</v>
      </c>
      <c r="D2293" s="10">
        <v>0</v>
      </c>
      <c r="E2293" t="str">
        <f>$A2293&amp;Keys!$C$54&amp;$B2293&amp;Keys!$C$54&amp;$C2293</f>
        <v>RI|imports|wind</v>
      </c>
    </row>
    <row r="2294" spans="1:5" x14ac:dyDescent="0.25">
      <c r="A2294" t="s">
        <v>155</v>
      </c>
      <c r="B2294" t="s">
        <v>193</v>
      </c>
      <c r="C2294" t="s">
        <v>274</v>
      </c>
      <c r="D2294" s="10">
        <v>0</v>
      </c>
      <c r="E2294" t="str">
        <f>$A2294&amp;Keys!$C$54&amp;$B2294&amp;Keys!$C$54&amp;$C2294</f>
        <v>RI|exports|wind</v>
      </c>
    </row>
    <row r="2295" spans="1:5" x14ac:dyDescent="0.25">
      <c r="A2295" t="s">
        <v>155</v>
      </c>
      <c r="B2295" t="s">
        <v>188</v>
      </c>
      <c r="C2295" t="s">
        <v>275</v>
      </c>
      <c r="D2295" s="10">
        <v>0</v>
      </c>
      <c r="E2295" t="str">
        <f>$A2295&amp;Keys!$C$54&amp;$B2295&amp;Keys!$C$54&amp;$C2295</f>
        <v>RI|production|solar</v>
      </c>
    </row>
    <row r="2296" spans="1:5" x14ac:dyDescent="0.25">
      <c r="A2296" t="s">
        <v>155</v>
      </c>
      <c r="B2296" t="s">
        <v>191</v>
      </c>
      <c r="C2296" t="s">
        <v>275</v>
      </c>
      <c r="D2296" s="10">
        <v>0</v>
      </c>
      <c r="E2296" t="str">
        <f>$A2296&amp;Keys!$C$54&amp;$B2296&amp;Keys!$C$54&amp;$C2296</f>
        <v>RI|imports|solar</v>
      </c>
    </row>
    <row r="2297" spans="1:5" x14ac:dyDescent="0.25">
      <c r="A2297" t="s">
        <v>155</v>
      </c>
      <c r="B2297" t="s">
        <v>193</v>
      </c>
      <c r="C2297" t="s">
        <v>275</v>
      </c>
      <c r="D2297" s="10">
        <v>0</v>
      </c>
      <c r="E2297" t="str">
        <f>$A2297&amp;Keys!$C$54&amp;$B2297&amp;Keys!$C$54&amp;$C2297</f>
        <v>RI|exports|solar</v>
      </c>
    </row>
    <row r="2298" spans="1:5" x14ac:dyDescent="0.25">
      <c r="A2298" t="s">
        <v>155</v>
      </c>
      <c r="B2298" t="s">
        <v>188</v>
      </c>
      <c r="C2298" t="s">
        <v>82</v>
      </c>
      <c r="D2298" s="10">
        <v>0</v>
      </c>
      <c r="E2298" t="str">
        <f>$A2298&amp;Keys!$C$54&amp;$B2298&amp;Keys!$C$54&amp;$C2298</f>
        <v>RI|production|biomass</v>
      </c>
    </row>
    <row r="2299" spans="1:5" x14ac:dyDescent="0.25">
      <c r="A2299" t="s">
        <v>155</v>
      </c>
      <c r="B2299" t="s">
        <v>191</v>
      </c>
      <c r="C2299" t="s">
        <v>82</v>
      </c>
      <c r="D2299" s="10">
        <v>4133970000000</v>
      </c>
      <c r="E2299" t="str">
        <f>$A2299&amp;Keys!$C$54&amp;$B2299&amp;Keys!$C$54&amp;$C2299</f>
        <v>RI|imports|biomass</v>
      </c>
    </row>
    <row r="2300" spans="1:5" x14ac:dyDescent="0.25">
      <c r="A2300" t="s">
        <v>155</v>
      </c>
      <c r="B2300" t="s">
        <v>193</v>
      </c>
      <c r="C2300" t="s">
        <v>82</v>
      </c>
      <c r="D2300" s="10">
        <v>0</v>
      </c>
      <c r="E2300" t="str">
        <f>$A2300&amp;Keys!$C$54&amp;$B2300&amp;Keys!$C$54&amp;$C2300</f>
        <v>RI|exports|biomass</v>
      </c>
    </row>
    <row r="2301" spans="1:5" x14ac:dyDescent="0.25">
      <c r="A2301" t="s">
        <v>155</v>
      </c>
      <c r="B2301" t="s">
        <v>188</v>
      </c>
      <c r="C2301" t="s">
        <v>85</v>
      </c>
      <c r="D2301" s="10">
        <v>0</v>
      </c>
      <c r="E2301" t="str">
        <f>$A2301&amp;Keys!$C$54&amp;$B2301&amp;Keys!$C$54&amp;$C2301</f>
        <v>RI|production|petroleum gasoline</v>
      </c>
    </row>
    <row r="2302" spans="1:5" x14ac:dyDescent="0.25">
      <c r="A2302" t="s">
        <v>155</v>
      </c>
      <c r="B2302" t="s">
        <v>191</v>
      </c>
      <c r="C2302" t="s">
        <v>85</v>
      </c>
      <c r="D2302" s="10">
        <v>39344000000000</v>
      </c>
      <c r="E2302" t="str">
        <f>$A2302&amp;Keys!$C$54&amp;$B2302&amp;Keys!$C$54&amp;$C2302</f>
        <v>RI|imports|petroleum gasoline</v>
      </c>
    </row>
    <row r="2303" spans="1:5" x14ac:dyDescent="0.25">
      <c r="A2303" t="s">
        <v>155</v>
      </c>
      <c r="B2303" t="s">
        <v>193</v>
      </c>
      <c r="C2303" t="s">
        <v>85</v>
      </c>
      <c r="D2303" s="10">
        <v>0</v>
      </c>
      <c r="E2303" t="str">
        <f>$A2303&amp;Keys!$C$54&amp;$B2303&amp;Keys!$C$54&amp;$C2303</f>
        <v>RI|exports|petroleum gasoline</v>
      </c>
    </row>
    <row r="2304" spans="1:5" x14ac:dyDescent="0.25">
      <c r="A2304" t="s">
        <v>155</v>
      </c>
      <c r="B2304" t="s">
        <v>188</v>
      </c>
      <c r="C2304" t="s">
        <v>88</v>
      </c>
      <c r="D2304" s="10">
        <v>0</v>
      </c>
      <c r="E2304" t="str">
        <f>$A2304&amp;Keys!$C$54&amp;$B2304&amp;Keys!$C$54&amp;$C2304</f>
        <v>RI|production|petroleum diesel</v>
      </c>
    </row>
    <row r="2305" spans="1:5" x14ac:dyDescent="0.25">
      <c r="A2305" t="s">
        <v>155</v>
      </c>
      <c r="B2305" t="s">
        <v>191</v>
      </c>
      <c r="C2305" t="s">
        <v>88</v>
      </c>
      <c r="D2305" s="10">
        <v>31621600000000</v>
      </c>
      <c r="E2305" t="str">
        <f>$A2305&amp;Keys!$C$54&amp;$B2305&amp;Keys!$C$54&amp;$C2305</f>
        <v>RI|imports|petroleum diesel</v>
      </c>
    </row>
    <row r="2306" spans="1:5" x14ac:dyDescent="0.25">
      <c r="A2306" t="s">
        <v>155</v>
      </c>
      <c r="B2306" t="s">
        <v>193</v>
      </c>
      <c r="C2306" t="s">
        <v>88</v>
      </c>
      <c r="D2306" s="10">
        <v>0</v>
      </c>
      <c r="E2306" t="str">
        <f>$A2306&amp;Keys!$C$54&amp;$B2306&amp;Keys!$C$54&amp;$C2306</f>
        <v>RI|exports|petroleum diesel</v>
      </c>
    </row>
    <row r="2307" spans="1:5" x14ac:dyDescent="0.25">
      <c r="A2307" t="s">
        <v>155</v>
      </c>
      <c r="B2307" t="s">
        <v>188</v>
      </c>
      <c r="C2307" t="s">
        <v>91</v>
      </c>
      <c r="D2307" s="10">
        <v>0</v>
      </c>
      <c r="E2307" t="str">
        <f>$A2307&amp;Keys!$C$54&amp;$B2307&amp;Keys!$C$54&amp;$C2307</f>
        <v>RI|production|biofuel gasoline</v>
      </c>
    </row>
    <row r="2308" spans="1:5" x14ac:dyDescent="0.25">
      <c r="A2308" t="s">
        <v>155</v>
      </c>
      <c r="B2308" t="s">
        <v>191</v>
      </c>
      <c r="C2308" t="s">
        <v>91</v>
      </c>
      <c r="D2308" s="10">
        <v>2871960000000</v>
      </c>
      <c r="E2308" t="str">
        <f>$A2308&amp;Keys!$C$54&amp;$B2308&amp;Keys!$C$54&amp;$C2308</f>
        <v>RI|imports|biofuel gasoline</v>
      </c>
    </row>
    <row r="2309" spans="1:5" x14ac:dyDescent="0.25">
      <c r="A2309" t="s">
        <v>155</v>
      </c>
      <c r="B2309" t="s">
        <v>193</v>
      </c>
      <c r="C2309" t="s">
        <v>91</v>
      </c>
      <c r="D2309" s="10">
        <v>0</v>
      </c>
      <c r="E2309" t="str">
        <f>$A2309&amp;Keys!$C$54&amp;$B2309&amp;Keys!$C$54&amp;$C2309</f>
        <v>RI|exports|biofuel gasoline</v>
      </c>
    </row>
    <row r="2310" spans="1:5" x14ac:dyDescent="0.25">
      <c r="A2310" t="s">
        <v>155</v>
      </c>
      <c r="B2310" t="s">
        <v>188</v>
      </c>
      <c r="C2310" t="s">
        <v>94</v>
      </c>
      <c r="D2310" s="10">
        <v>0</v>
      </c>
      <c r="E2310" t="str">
        <f>$A2310&amp;Keys!$C$54&amp;$B2310&amp;Keys!$C$54&amp;$C2310</f>
        <v>RI|production|biofuel diesel</v>
      </c>
    </row>
    <row r="2311" spans="1:5" x14ac:dyDescent="0.25">
      <c r="A2311" t="s">
        <v>155</v>
      </c>
      <c r="B2311" t="s">
        <v>191</v>
      </c>
      <c r="C2311" t="s">
        <v>94</v>
      </c>
      <c r="D2311" s="10">
        <v>246988000000</v>
      </c>
      <c r="E2311" t="str">
        <f>$A2311&amp;Keys!$C$54&amp;$B2311&amp;Keys!$C$54&amp;$C2311</f>
        <v>RI|imports|biofuel diesel</v>
      </c>
    </row>
    <row r="2312" spans="1:5" x14ac:dyDescent="0.25">
      <c r="A2312" t="s">
        <v>155</v>
      </c>
      <c r="B2312" t="s">
        <v>193</v>
      </c>
      <c r="C2312" t="s">
        <v>94</v>
      </c>
      <c r="D2312" s="10">
        <v>0</v>
      </c>
      <c r="E2312" t="str">
        <f>$A2312&amp;Keys!$C$54&amp;$B2312&amp;Keys!$C$54&amp;$C2312</f>
        <v>RI|exports|biofuel diesel</v>
      </c>
    </row>
    <row r="2313" spans="1:5" x14ac:dyDescent="0.25">
      <c r="A2313" t="s">
        <v>155</v>
      </c>
      <c r="B2313" t="s">
        <v>188</v>
      </c>
      <c r="C2313" t="s">
        <v>97</v>
      </c>
      <c r="D2313" s="10">
        <v>0</v>
      </c>
      <c r="E2313" t="str">
        <f>$A2313&amp;Keys!$C$54&amp;$B2313&amp;Keys!$C$54&amp;$C2313</f>
        <v>RI|production|jet fuel or kerosene</v>
      </c>
    </row>
    <row r="2314" spans="1:5" x14ac:dyDescent="0.25">
      <c r="A2314" t="s">
        <v>155</v>
      </c>
      <c r="B2314" t="s">
        <v>191</v>
      </c>
      <c r="C2314" t="s">
        <v>97</v>
      </c>
      <c r="D2314" s="10">
        <v>2408650000000</v>
      </c>
      <c r="E2314" t="str">
        <f>$A2314&amp;Keys!$C$54&amp;$B2314&amp;Keys!$C$54&amp;$C2314</f>
        <v>RI|imports|jet fuel or kerosene</v>
      </c>
    </row>
    <row r="2315" spans="1:5" x14ac:dyDescent="0.25">
      <c r="A2315" t="s">
        <v>155</v>
      </c>
      <c r="B2315" t="s">
        <v>193</v>
      </c>
      <c r="C2315" t="s">
        <v>97</v>
      </c>
      <c r="D2315" s="10">
        <v>0</v>
      </c>
      <c r="E2315" t="str">
        <f>$A2315&amp;Keys!$C$54&amp;$B2315&amp;Keys!$C$54&amp;$C2315</f>
        <v>RI|exports|jet fuel or kerosene</v>
      </c>
    </row>
    <row r="2316" spans="1:5" x14ac:dyDescent="0.25">
      <c r="A2316" t="s">
        <v>155</v>
      </c>
      <c r="B2316" t="s">
        <v>188</v>
      </c>
      <c r="C2316" t="s">
        <v>276</v>
      </c>
      <c r="D2316" s="10">
        <v>0</v>
      </c>
      <c r="E2316" t="str">
        <f>$A2316&amp;Keys!$C$54&amp;$B2316&amp;Keys!$C$54&amp;$C2316</f>
        <v>RI|production|heat</v>
      </c>
    </row>
    <row r="2317" spans="1:5" x14ac:dyDescent="0.25">
      <c r="A2317" t="s">
        <v>155</v>
      </c>
      <c r="B2317" t="s">
        <v>191</v>
      </c>
      <c r="C2317" t="s">
        <v>276</v>
      </c>
      <c r="D2317" s="10">
        <v>0</v>
      </c>
      <c r="E2317" t="str">
        <f>$A2317&amp;Keys!$C$54&amp;$B2317&amp;Keys!$C$54&amp;$C2317</f>
        <v>RI|imports|heat</v>
      </c>
    </row>
    <row r="2318" spans="1:5" x14ac:dyDescent="0.25">
      <c r="A2318" t="s">
        <v>155</v>
      </c>
      <c r="B2318" t="s">
        <v>193</v>
      </c>
      <c r="C2318" t="s">
        <v>276</v>
      </c>
      <c r="D2318" s="10">
        <v>0</v>
      </c>
      <c r="E2318" t="str">
        <f>$A2318&amp;Keys!$C$54&amp;$B2318&amp;Keys!$C$54&amp;$C2318</f>
        <v>RI|exports|heat</v>
      </c>
    </row>
    <row r="2319" spans="1:5" x14ac:dyDescent="0.25">
      <c r="A2319" t="s">
        <v>155</v>
      </c>
      <c r="B2319" t="s">
        <v>188</v>
      </c>
      <c r="C2319" t="s">
        <v>277</v>
      </c>
      <c r="D2319" s="10">
        <v>0</v>
      </c>
      <c r="E2319" t="str">
        <f>$A2319&amp;Keys!$C$54&amp;$B2319&amp;Keys!$C$54&amp;$C2319</f>
        <v>RI|production|geothermal</v>
      </c>
    </row>
    <row r="2320" spans="1:5" x14ac:dyDescent="0.25">
      <c r="A2320" t="s">
        <v>155</v>
      </c>
      <c r="B2320" t="s">
        <v>191</v>
      </c>
      <c r="C2320" t="s">
        <v>277</v>
      </c>
      <c r="D2320" s="10">
        <v>0</v>
      </c>
      <c r="E2320" t="str">
        <f>$A2320&amp;Keys!$C$54&amp;$B2320&amp;Keys!$C$54&amp;$C2320</f>
        <v>RI|imports|geothermal</v>
      </c>
    </row>
    <row r="2321" spans="1:5" x14ac:dyDescent="0.25">
      <c r="A2321" t="s">
        <v>155</v>
      </c>
      <c r="B2321" t="s">
        <v>193</v>
      </c>
      <c r="C2321" t="s">
        <v>277</v>
      </c>
      <c r="D2321" s="10">
        <v>0</v>
      </c>
      <c r="E2321" t="str">
        <f>$A2321&amp;Keys!$C$54&amp;$B2321&amp;Keys!$C$54&amp;$C2321</f>
        <v>RI|exports|geothermal</v>
      </c>
    </row>
    <row r="2322" spans="1:5" x14ac:dyDescent="0.25">
      <c r="A2322" t="s">
        <v>155</v>
      </c>
      <c r="B2322" t="s">
        <v>188</v>
      </c>
      <c r="C2322" t="s">
        <v>106</v>
      </c>
      <c r="D2322" s="10">
        <v>0</v>
      </c>
      <c r="E2322" t="str">
        <f>$A2322&amp;Keys!$C$54&amp;$B2322&amp;Keys!$C$54&amp;$C2322</f>
        <v>RI|production|lignite</v>
      </c>
    </row>
    <row r="2323" spans="1:5" x14ac:dyDescent="0.25">
      <c r="A2323" t="s">
        <v>155</v>
      </c>
      <c r="B2323" t="s">
        <v>191</v>
      </c>
      <c r="C2323" t="s">
        <v>106</v>
      </c>
      <c r="D2323" s="10">
        <v>0</v>
      </c>
      <c r="E2323" t="str">
        <f>$A2323&amp;Keys!$C$54&amp;$B2323&amp;Keys!$C$54&amp;$C2323</f>
        <v>RI|imports|lignite</v>
      </c>
    </row>
    <row r="2324" spans="1:5" x14ac:dyDescent="0.25">
      <c r="A2324" t="s">
        <v>155</v>
      </c>
      <c r="B2324" t="s">
        <v>193</v>
      </c>
      <c r="C2324" t="s">
        <v>106</v>
      </c>
      <c r="D2324" s="10">
        <v>0</v>
      </c>
      <c r="E2324" t="str">
        <f>$A2324&amp;Keys!$C$54&amp;$B2324&amp;Keys!$C$54&amp;$C2324</f>
        <v>RI|exports|lignite</v>
      </c>
    </row>
    <row r="2325" spans="1:5" x14ac:dyDescent="0.25">
      <c r="A2325" t="s">
        <v>155</v>
      </c>
      <c r="B2325" t="s">
        <v>188</v>
      </c>
      <c r="C2325" t="s">
        <v>109</v>
      </c>
      <c r="D2325" s="10">
        <v>0</v>
      </c>
      <c r="E2325" t="str">
        <f>$A2325&amp;Keys!$C$54&amp;$B2325&amp;Keys!$C$54&amp;$C2325</f>
        <v>RI|production|crude oil</v>
      </c>
    </row>
    <row r="2326" spans="1:5" x14ac:dyDescent="0.25">
      <c r="A2326" t="s">
        <v>155</v>
      </c>
      <c r="B2326" t="s">
        <v>191</v>
      </c>
      <c r="C2326" t="s">
        <v>109</v>
      </c>
      <c r="D2326" s="10">
        <v>142000000000</v>
      </c>
      <c r="E2326" t="str">
        <f>$A2326&amp;Keys!$C$54&amp;$B2326&amp;Keys!$C$54&amp;$C2326</f>
        <v>RI|imports|crude oil</v>
      </c>
    </row>
    <row r="2327" spans="1:5" x14ac:dyDescent="0.25">
      <c r="A2327" t="s">
        <v>155</v>
      </c>
      <c r="B2327" t="s">
        <v>193</v>
      </c>
      <c r="C2327" t="s">
        <v>109</v>
      </c>
      <c r="D2327" s="10">
        <v>0</v>
      </c>
      <c r="E2327" t="str">
        <f>$A2327&amp;Keys!$C$54&amp;$B2327&amp;Keys!$C$54&amp;$C2327</f>
        <v>RI|exports|crude oil</v>
      </c>
    </row>
    <row r="2328" spans="1:5" x14ac:dyDescent="0.25">
      <c r="A2328" t="s">
        <v>155</v>
      </c>
      <c r="B2328" t="s">
        <v>188</v>
      </c>
      <c r="C2328" t="s">
        <v>114</v>
      </c>
      <c r="D2328" s="10">
        <v>0</v>
      </c>
      <c r="E2328" t="str">
        <f>$A2328&amp;Keys!$C$54&amp;$B2328&amp;Keys!$C$54&amp;$C2328</f>
        <v>RI|production|heavy or residual fuel oil</v>
      </c>
    </row>
    <row r="2329" spans="1:5" x14ac:dyDescent="0.25">
      <c r="A2329" t="s">
        <v>155</v>
      </c>
      <c r="B2329" t="s">
        <v>191</v>
      </c>
      <c r="C2329" t="s">
        <v>114</v>
      </c>
      <c r="D2329" s="10">
        <v>5274100000000</v>
      </c>
      <c r="E2329" t="str">
        <f>$A2329&amp;Keys!$C$54&amp;$B2329&amp;Keys!$C$54&amp;$C2329</f>
        <v>RI|imports|heavy or residual fuel oil</v>
      </c>
    </row>
    <row r="2330" spans="1:5" x14ac:dyDescent="0.25">
      <c r="A2330" t="s">
        <v>155</v>
      </c>
      <c r="B2330" t="s">
        <v>193</v>
      </c>
      <c r="C2330" t="s">
        <v>114</v>
      </c>
      <c r="D2330" s="10">
        <v>0</v>
      </c>
      <c r="E2330" t="str">
        <f>$A2330&amp;Keys!$C$54&amp;$B2330&amp;Keys!$C$54&amp;$C2330</f>
        <v>RI|exports|heavy or residual fuel oil</v>
      </c>
    </row>
    <row r="2331" spans="1:5" x14ac:dyDescent="0.25">
      <c r="A2331" t="s">
        <v>155</v>
      </c>
      <c r="B2331" t="s">
        <v>188</v>
      </c>
      <c r="C2331" t="s">
        <v>117</v>
      </c>
      <c r="D2331" s="10">
        <v>0</v>
      </c>
      <c r="E2331" t="str">
        <f>$A2331&amp;Keys!$C$54&amp;$B2331&amp;Keys!$C$54&amp;$C2331</f>
        <v>RI|production|LPG propane or butane</v>
      </c>
    </row>
    <row r="2332" spans="1:5" x14ac:dyDescent="0.25">
      <c r="A2332" t="s">
        <v>155</v>
      </c>
      <c r="B2332" t="s">
        <v>191</v>
      </c>
      <c r="C2332" t="s">
        <v>117</v>
      </c>
      <c r="D2332" s="10">
        <v>2501960000000</v>
      </c>
      <c r="E2332" t="str">
        <f>$A2332&amp;Keys!$C$54&amp;$B2332&amp;Keys!$C$54&amp;$C2332</f>
        <v>RI|imports|LPG propane or butane</v>
      </c>
    </row>
    <row r="2333" spans="1:5" x14ac:dyDescent="0.25">
      <c r="A2333" t="s">
        <v>155</v>
      </c>
      <c r="B2333" t="s">
        <v>193</v>
      </c>
      <c r="C2333" t="s">
        <v>117</v>
      </c>
      <c r="D2333" s="10">
        <v>0</v>
      </c>
      <c r="E2333" t="str">
        <f>$A2333&amp;Keys!$C$54&amp;$B2333&amp;Keys!$C$54&amp;$C2333</f>
        <v>RI|exports|LPG propane or butane</v>
      </c>
    </row>
    <row r="2334" spans="1:5" x14ac:dyDescent="0.25">
      <c r="A2334" t="s">
        <v>155</v>
      </c>
      <c r="B2334" t="s">
        <v>188</v>
      </c>
      <c r="C2334" t="s">
        <v>120</v>
      </c>
      <c r="D2334" s="10">
        <v>0</v>
      </c>
      <c r="E2334" t="str">
        <f>$A2334&amp;Keys!$C$54&amp;$B2334&amp;Keys!$C$54&amp;$C2334</f>
        <v>RI|production|municipal solid waste</v>
      </c>
    </row>
    <row r="2335" spans="1:5" x14ac:dyDescent="0.25">
      <c r="A2335" t="s">
        <v>155</v>
      </c>
      <c r="B2335" t="s">
        <v>191</v>
      </c>
      <c r="C2335" t="s">
        <v>120</v>
      </c>
      <c r="D2335" s="10">
        <v>0</v>
      </c>
      <c r="E2335" t="str">
        <f>$A2335&amp;Keys!$C$54&amp;$B2335&amp;Keys!$C$54&amp;$C2335</f>
        <v>RI|imports|municipal solid waste</v>
      </c>
    </row>
    <row r="2336" spans="1:5" x14ac:dyDescent="0.25">
      <c r="A2336" t="s">
        <v>155</v>
      </c>
      <c r="B2336" t="s">
        <v>193</v>
      </c>
      <c r="C2336" t="s">
        <v>120</v>
      </c>
      <c r="D2336" s="10">
        <v>0</v>
      </c>
      <c r="E2336" t="str">
        <f>$A2336&amp;Keys!$C$54&amp;$B2336&amp;Keys!$C$54&amp;$C2336</f>
        <v>RI|exports|municipal solid waste</v>
      </c>
    </row>
    <row r="2337" spans="1:5" x14ac:dyDescent="0.25">
      <c r="A2337" t="s">
        <v>155</v>
      </c>
      <c r="B2337" t="s">
        <v>188</v>
      </c>
      <c r="C2337" t="s">
        <v>123</v>
      </c>
      <c r="D2337" s="10">
        <v>0</v>
      </c>
      <c r="E2337" t="str">
        <f>$A2337&amp;Keys!$C$54&amp;$B2337&amp;Keys!$C$54&amp;$C2337</f>
        <v>RI|production|hydrogen</v>
      </c>
    </row>
    <row r="2338" spans="1:5" x14ac:dyDescent="0.25">
      <c r="A2338" t="s">
        <v>155</v>
      </c>
      <c r="B2338" t="s">
        <v>191</v>
      </c>
      <c r="C2338" t="s">
        <v>123</v>
      </c>
      <c r="D2338" s="10">
        <v>0</v>
      </c>
      <c r="E2338" t="str">
        <f>$A2338&amp;Keys!$C$54&amp;$B2338&amp;Keys!$C$54&amp;$C2338</f>
        <v>RI|imports|hydrogen</v>
      </c>
    </row>
    <row r="2339" spans="1:5" x14ac:dyDescent="0.25">
      <c r="A2339" t="s">
        <v>155</v>
      </c>
      <c r="B2339" t="s">
        <v>193</v>
      </c>
      <c r="C2339" t="s">
        <v>123</v>
      </c>
      <c r="D2339" s="10">
        <v>0</v>
      </c>
      <c r="E2339" t="str">
        <f>$A2339&amp;Keys!$C$54&amp;$B2339&amp;Keys!$C$54&amp;$C2339</f>
        <v>RI|exports|hydrogen</v>
      </c>
    </row>
    <row r="2340" spans="1:5" x14ac:dyDescent="0.25">
      <c r="A2340" t="s">
        <v>157</v>
      </c>
      <c r="B2340" t="s">
        <v>188</v>
      </c>
      <c r="C2340" t="s">
        <v>272</v>
      </c>
      <c r="D2340" s="10">
        <v>0</v>
      </c>
      <c r="E2340" t="str">
        <f>$A2340&amp;Keys!$C$54&amp;$B2340&amp;Keys!$C$54&amp;$C2340</f>
        <v>SC|production|electricity</v>
      </c>
    </row>
    <row r="2341" spans="1:5" x14ac:dyDescent="0.25">
      <c r="A2341" t="s">
        <v>157</v>
      </c>
      <c r="B2341" t="s">
        <v>191</v>
      </c>
      <c r="C2341" t="s">
        <v>272</v>
      </c>
      <c r="D2341" s="10">
        <v>0</v>
      </c>
      <c r="E2341" t="str">
        <f>$A2341&amp;Keys!$C$54&amp;$B2341&amp;Keys!$C$54&amp;$C2341</f>
        <v>SC|imports|electricity</v>
      </c>
    </row>
    <row r="2342" spans="1:5" x14ac:dyDescent="0.25">
      <c r="A2342" t="s">
        <v>157</v>
      </c>
      <c r="B2342" t="s">
        <v>193</v>
      </c>
      <c r="C2342" t="s">
        <v>272</v>
      </c>
      <c r="D2342" s="10">
        <v>0</v>
      </c>
      <c r="E2342" t="str">
        <f>$A2342&amp;Keys!$C$54&amp;$B2342&amp;Keys!$C$54&amp;$C2342</f>
        <v>SC|exports|electricity</v>
      </c>
    </row>
    <row r="2343" spans="1:5" x14ac:dyDescent="0.25">
      <c r="A2343" t="s">
        <v>157</v>
      </c>
      <c r="B2343" t="s">
        <v>188</v>
      </c>
      <c r="C2343" t="s">
        <v>64</v>
      </c>
      <c r="D2343" s="10">
        <v>0</v>
      </c>
      <c r="E2343" t="str">
        <f>$A2343&amp;Keys!$C$54&amp;$B2343&amp;Keys!$C$54&amp;$C2343</f>
        <v>SC|production|hard coal</v>
      </c>
    </row>
    <row r="2344" spans="1:5" x14ac:dyDescent="0.25">
      <c r="A2344" t="s">
        <v>157</v>
      </c>
      <c r="B2344" t="s">
        <v>191</v>
      </c>
      <c r="C2344" t="s">
        <v>64</v>
      </c>
      <c r="D2344" s="10">
        <v>262518000000000</v>
      </c>
      <c r="E2344" t="str">
        <f>$A2344&amp;Keys!$C$54&amp;$B2344&amp;Keys!$C$54&amp;$C2344</f>
        <v>SC|imports|hard coal</v>
      </c>
    </row>
    <row r="2345" spans="1:5" x14ac:dyDescent="0.25">
      <c r="A2345" t="s">
        <v>157</v>
      </c>
      <c r="B2345" t="s">
        <v>193</v>
      </c>
      <c r="C2345" t="s">
        <v>64</v>
      </c>
      <c r="D2345" s="10">
        <v>0</v>
      </c>
      <c r="E2345" t="str">
        <f>$A2345&amp;Keys!$C$54&amp;$B2345&amp;Keys!$C$54&amp;$C2345</f>
        <v>SC|exports|hard coal</v>
      </c>
    </row>
    <row r="2346" spans="1:5" x14ac:dyDescent="0.25">
      <c r="A2346" t="s">
        <v>157</v>
      </c>
      <c r="B2346" t="s">
        <v>188</v>
      </c>
      <c r="C2346" t="s">
        <v>68</v>
      </c>
      <c r="D2346" s="10">
        <v>0</v>
      </c>
      <c r="E2346" t="str">
        <f>$A2346&amp;Keys!$C$54&amp;$B2346&amp;Keys!$C$54&amp;$C2346</f>
        <v>SC|production|natural gas</v>
      </c>
    </row>
    <row r="2347" spans="1:5" x14ac:dyDescent="0.25">
      <c r="A2347" t="s">
        <v>157</v>
      </c>
      <c r="B2347" t="s">
        <v>191</v>
      </c>
      <c r="C2347" t="s">
        <v>68</v>
      </c>
      <c r="D2347" s="10">
        <v>620126000000000</v>
      </c>
      <c r="E2347" t="str">
        <f>$A2347&amp;Keys!$C$54&amp;$B2347&amp;Keys!$C$54&amp;$C2347</f>
        <v>SC|imports|natural gas</v>
      </c>
    </row>
    <row r="2348" spans="1:5" x14ac:dyDescent="0.25">
      <c r="A2348" t="s">
        <v>157</v>
      </c>
      <c r="B2348" t="s">
        <v>193</v>
      </c>
      <c r="C2348" t="s">
        <v>68</v>
      </c>
      <c r="D2348" s="10">
        <v>339254000000000</v>
      </c>
      <c r="E2348" t="str">
        <f>$A2348&amp;Keys!$C$54&amp;$B2348&amp;Keys!$C$54&amp;$C2348</f>
        <v>SC|exports|natural gas</v>
      </c>
    </row>
    <row r="2349" spans="1:5" x14ac:dyDescent="0.25">
      <c r="A2349" t="s">
        <v>157</v>
      </c>
      <c r="B2349" t="s">
        <v>188</v>
      </c>
      <c r="C2349" t="s">
        <v>71</v>
      </c>
      <c r="D2349" s="10">
        <v>0</v>
      </c>
      <c r="E2349" t="str">
        <f>$A2349&amp;Keys!$C$54&amp;$B2349&amp;Keys!$C$54&amp;$C2349</f>
        <v>SC|production|nuclear</v>
      </c>
    </row>
    <row r="2350" spans="1:5" x14ac:dyDescent="0.25">
      <c r="A2350" t="s">
        <v>157</v>
      </c>
      <c r="B2350" t="s">
        <v>191</v>
      </c>
      <c r="C2350" t="s">
        <v>71</v>
      </c>
      <c r="D2350" s="10">
        <v>591787000000000</v>
      </c>
      <c r="E2350" t="str">
        <f>$A2350&amp;Keys!$C$54&amp;$B2350&amp;Keys!$C$54&amp;$C2350</f>
        <v>SC|imports|nuclear</v>
      </c>
    </row>
    <row r="2351" spans="1:5" x14ac:dyDescent="0.25">
      <c r="A2351" t="s">
        <v>157</v>
      </c>
      <c r="B2351" t="s">
        <v>193</v>
      </c>
      <c r="C2351" t="s">
        <v>71</v>
      </c>
      <c r="D2351" s="10">
        <v>0</v>
      </c>
      <c r="E2351" t="str">
        <f>$A2351&amp;Keys!$C$54&amp;$B2351&amp;Keys!$C$54&amp;$C2351</f>
        <v>SC|exports|nuclear</v>
      </c>
    </row>
    <row r="2352" spans="1:5" x14ac:dyDescent="0.25">
      <c r="A2352" t="s">
        <v>157</v>
      </c>
      <c r="B2352" t="s">
        <v>188</v>
      </c>
      <c r="C2352" t="s">
        <v>273</v>
      </c>
      <c r="D2352" s="10">
        <v>0</v>
      </c>
      <c r="E2352" t="str">
        <f>$A2352&amp;Keys!$C$54&amp;$B2352&amp;Keys!$C$54&amp;$C2352</f>
        <v>SC|production|hydro</v>
      </c>
    </row>
    <row r="2353" spans="1:5" x14ac:dyDescent="0.25">
      <c r="A2353" t="s">
        <v>157</v>
      </c>
      <c r="B2353" t="s">
        <v>191</v>
      </c>
      <c r="C2353" t="s">
        <v>273</v>
      </c>
      <c r="D2353" s="10">
        <v>0</v>
      </c>
      <c r="E2353" t="str">
        <f>$A2353&amp;Keys!$C$54&amp;$B2353&amp;Keys!$C$54&amp;$C2353</f>
        <v>SC|imports|hydro</v>
      </c>
    </row>
    <row r="2354" spans="1:5" x14ac:dyDescent="0.25">
      <c r="A2354" t="s">
        <v>157</v>
      </c>
      <c r="B2354" t="s">
        <v>193</v>
      </c>
      <c r="C2354" t="s">
        <v>273</v>
      </c>
      <c r="D2354" s="10">
        <v>0</v>
      </c>
      <c r="E2354" t="str">
        <f>$A2354&amp;Keys!$C$54&amp;$B2354&amp;Keys!$C$54&amp;$C2354</f>
        <v>SC|exports|hydro</v>
      </c>
    </row>
    <row r="2355" spans="1:5" x14ac:dyDescent="0.25">
      <c r="A2355" t="s">
        <v>157</v>
      </c>
      <c r="B2355" t="s">
        <v>188</v>
      </c>
      <c r="C2355" t="s">
        <v>274</v>
      </c>
      <c r="D2355" s="10">
        <v>0</v>
      </c>
      <c r="E2355" t="str">
        <f>$A2355&amp;Keys!$C$54&amp;$B2355&amp;Keys!$C$54&amp;$C2355</f>
        <v>SC|production|wind</v>
      </c>
    </row>
    <row r="2356" spans="1:5" x14ac:dyDescent="0.25">
      <c r="A2356" t="s">
        <v>157</v>
      </c>
      <c r="B2356" t="s">
        <v>191</v>
      </c>
      <c r="C2356" t="s">
        <v>274</v>
      </c>
      <c r="D2356" s="10">
        <v>0</v>
      </c>
      <c r="E2356" t="str">
        <f>$A2356&amp;Keys!$C$54&amp;$B2356&amp;Keys!$C$54&amp;$C2356</f>
        <v>SC|imports|wind</v>
      </c>
    </row>
    <row r="2357" spans="1:5" x14ac:dyDescent="0.25">
      <c r="A2357" t="s">
        <v>157</v>
      </c>
      <c r="B2357" t="s">
        <v>193</v>
      </c>
      <c r="C2357" t="s">
        <v>274</v>
      </c>
      <c r="D2357" s="10">
        <v>0</v>
      </c>
      <c r="E2357" t="str">
        <f>$A2357&amp;Keys!$C$54&amp;$B2357&amp;Keys!$C$54&amp;$C2357</f>
        <v>SC|exports|wind</v>
      </c>
    </row>
    <row r="2358" spans="1:5" x14ac:dyDescent="0.25">
      <c r="A2358" t="s">
        <v>157</v>
      </c>
      <c r="B2358" t="s">
        <v>188</v>
      </c>
      <c r="C2358" t="s">
        <v>275</v>
      </c>
      <c r="D2358" s="10">
        <v>0</v>
      </c>
      <c r="E2358" t="str">
        <f>$A2358&amp;Keys!$C$54&amp;$B2358&amp;Keys!$C$54&amp;$C2358</f>
        <v>SC|production|solar</v>
      </c>
    </row>
    <row r="2359" spans="1:5" x14ac:dyDescent="0.25">
      <c r="A2359" t="s">
        <v>157</v>
      </c>
      <c r="B2359" t="s">
        <v>191</v>
      </c>
      <c r="C2359" t="s">
        <v>275</v>
      </c>
      <c r="D2359" s="10">
        <v>0</v>
      </c>
      <c r="E2359" t="str">
        <f>$A2359&amp;Keys!$C$54&amp;$B2359&amp;Keys!$C$54&amp;$C2359</f>
        <v>SC|imports|solar</v>
      </c>
    </row>
    <row r="2360" spans="1:5" x14ac:dyDescent="0.25">
      <c r="A2360" t="s">
        <v>157</v>
      </c>
      <c r="B2360" t="s">
        <v>193</v>
      </c>
      <c r="C2360" t="s">
        <v>275</v>
      </c>
      <c r="D2360" s="10">
        <v>0</v>
      </c>
      <c r="E2360" t="str">
        <f>$A2360&amp;Keys!$C$54&amp;$B2360&amp;Keys!$C$54&amp;$C2360</f>
        <v>SC|exports|solar</v>
      </c>
    </row>
    <row r="2361" spans="1:5" x14ac:dyDescent="0.25">
      <c r="A2361" t="s">
        <v>157</v>
      </c>
      <c r="B2361" t="s">
        <v>188</v>
      </c>
      <c r="C2361" t="s">
        <v>82</v>
      </c>
      <c r="D2361" s="10">
        <v>9330400000000</v>
      </c>
      <c r="E2361" t="str">
        <f>$A2361&amp;Keys!$C$54&amp;$B2361&amp;Keys!$C$54&amp;$C2361</f>
        <v>SC|production|biomass</v>
      </c>
    </row>
    <row r="2362" spans="1:5" x14ac:dyDescent="0.25">
      <c r="A2362" t="s">
        <v>157</v>
      </c>
      <c r="B2362" t="s">
        <v>191</v>
      </c>
      <c r="C2362" t="s">
        <v>82</v>
      </c>
      <c r="D2362" s="10">
        <v>95160900000000</v>
      </c>
      <c r="E2362" t="str">
        <f>$A2362&amp;Keys!$C$54&amp;$B2362&amp;Keys!$C$54&amp;$C2362</f>
        <v>SC|imports|biomass</v>
      </c>
    </row>
    <row r="2363" spans="1:5" x14ac:dyDescent="0.25">
      <c r="A2363" t="s">
        <v>157</v>
      </c>
      <c r="B2363" t="s">
        <v>193</v>
      </c>
      <c r="C2363" t="s">
        <v>82</v>
      </c>
      <c r="D2363" s="10">
        <v>0</v>
      </c>
      <c r="E2363" t="str">
        <f>$A2363&amp;Keys!$C$54&amp;$B2363&amp;Keys!$C$54&amp;$C2363</f>
        <v>SC|exports|biomass</v>
      </c>
    </row>
    <row r="2364" spans="1:5" x14ac:dyDescent="0.25">
      <c r="A2364" t="s">
        <v>157</v>
      </c>
      <c r="B2364" t="s">
        <v>188</v>
      </c>
      <c r="C2364" t="s">
        <v>85</v>
      </c>
      <c r="D2364" s="10">
        <v>0</v>
      </c>
      <c r="E2364" t="str">
        <f>$A2364&amp;Keys!$C$54&amp;$B2364&amp;Keys!$C$54&amp;$C2364</f>
        <v>SC|production|petroleum gasoline</v>
      </c>
    </row>
    <row r="2365" spans="1:5" x14ac:dyDescent="0.25">
      <c r="A2365" t="s">
        <v>157</v>
      </c>
      <c r="B2365" t="s">
        <v>191</v>
      </c>
      <c r="C2365" t="s">
        <v>85</v>
      </c>
      <c r="D2365" s="10">
        <v>302163000000000</v>
      </c>
      <c r="E2365" t="str">
        <f>$A2365&amp;Keys!$C$54&amp;$B2365&amp;Keys!$C$54&amp;$C2365</f>
        <v>SC|imports|petroleum gasoline</v>
      </c>
    </row>
    <row r="2366" spans="1:5" x14ac:dyDescent="0.25">
      <c r="A2366" t="s">
        <v>157</v>
      </c>
      <c r="B2366" t="s">
        <v>193</v>
      </c>
      <c r="C2366" t="s">
        <v>85</v>
      </c>
      <c r="D2366" s="10">
        <v>0</v>
      </c>
      <c r="E2366" t="str">
        <f>$A2366&amp;Keys!$C$54&amp;$B2366&amp;Keys!$C$54&amp;$C2366</f>
        <v>SC|exports|petroleum gasoline</v>
      </c>
    </row>
    <row r="2367" spans="1:5" x14ac:dyDescent="0.25">
      <c r="A2367" t="s">
        <v>157</v>
      </c>
      <c r="B2367" t="s">
        <v>188</v>
      </c>
      <c r="C2367" t="s">
        <v>88</v>
      </c>
      <c r="D2367" s="10">
        <v>0</v>
      </c>
      <c r="E2367" t="str">
        <f>$A2367&amp;Keys!$C$54&amp;$B2367&amp;Keys!$C$54&amp;$C2367</f>
        <v>SC|production|petroleum diesel</v>
      </c>
    </row>
    <row r="2368" spans="1:5" x14ac:dyDescent="0.25">
      <c r="A2368" t="s">
        <v>157</v>
      </c>
      <c r="B2368" t="s">
        <v>191</v>
      </c>
      <c r="C2368" t="s">
        <v>88</v>
      </c>
      <c r="D2368" s="10">
        <v>154273000000000</v>
      </c>
      <c r="E2368" t="str">
        <f>$A2368&amp;Keys!$C$54&amp;$B2368&amp;Keys!$C$54&amp;$C2368</f>
        <v>SC|imports|petroleum diesel</v>
      </c>
    </row>
    <row r="2369" spans="1:5" x14ac:dyDescent="0.25">
      <c r="A2369" t="s">
        <v>157</v>
      </c>
      <c r="B2369" t="s">
        <v>193</v>
      </c>
      <c r="C2369" t="s">
        <v>88</v>
      </c>
      <c r="D2369" s="10">
        <v>0</v>
      </c>
      <c r="E2369" t="str">
        <f>$A2369&amp;Keys!$C$54&amp;$B2369&amp;Keys!$C$54&amp;$C2369</f>
        <v>SC|exports|petroleum diesel</v>
      </c>
    </row>
    <row r="2370" spans="1:5" x14ac:dyDescent="0.25">
      <c r="A2370" t="s">
        <v>157</v>
      </c>
      <c r="B2370" t="s">
        <v>188</v>
      </c>
      <c r="C2370" t="s">
        <v>91</v>
      </c>
      <c r="D2370" s="10">
        <v>0</v>
      </c>
      <c r="E2370" t="str">
        <f>$A2370&amp;Keys!$C$54&amp;$B2370&amp;Keys!$C$54&amp;$C2370</f>
        <v>SC|production|biofuel gasoline</v>
      </c>
    </row>
    <row r="2371" spans="1:5" x14ac:dyDescent="0.25">
      <c r="A2371" t="s">
        <v>157</v>
      </c>
      <c r="B2371" t="s">
        <v>191</v>
      </c>
      <c r="C2371" t="s">
        <v>91</v>
      </c>
      <c r="D2371" s="10">
        <v>20531600000000</v>
      </c>
      <c r="E2371" t="str">
        <f>$A2371&amp;Keys!$C$54&amp;$B2371&amp;Keys!$C$54&amp;$C2371</f>
        <v>SC|imports|biofuel gasoline</v>
      </c>
    </row>
    <row r="2372" spans="1:5" x14ac:dyDescent="0.25">
      <c r="A2372" t="s">
        <v>157</v>
      </c>
      <c r="B2372" t="s">
        <v>193</v>
      </c>
      <c r="C2372" t="s">
        <v>91</v>
      </c>
      <c r="D2372" s="10">
        <v>0</v>
      </c>
      <c r="E2372" t="str">
        <f>$A2372&amp;Keys!$C$54&amp;$B2372&amp;Keys!$C$54&amp;$C2372</f>
        <v>SC|exports|biofuel gasoline</v>
      </c>
    </row>
    <row r="2373" spans="1:5" x14ac:dyDescent="0.25">
      <c r="A2373" t="s">
        <v>157</v>
      </c>
      <c r="B2373" t="s">
        <v>188</v>
      </c>
      <c r="C2373" t="s">
        <v>94</v>
      </c>
      <c r="D2373" s="10">
        <v>0</v>
      </c>
      <c r="E2373" t="str">
        <f>$A2373&amp;Keys!$C$54&amp;$B2373&amp;Keys!$C$54&amp;$C2373</f>
        <v>SC|production|biofuel diesel</v>
      </c>
    </row>
    <row r="2374" spans="1:5" x14ac:dyDescent="0.25">
      <c r="A2374" t="s">
        <v>157</v>
      </c>
      <c r="B2374" t="s">
        <v>191</v>
      </c>
      <c r="C2374" t="s">
        <v>94</v>
      </c>
      <c r="D2374" s="10">
        <v>905061000000</v>
      </c>
      <c r="E2374" t="str">
        <f>$A2374&amp;Keys!$C$54&amp;$B2374&amp;Keys!$C$54&amp;$C2374</f>
        <v>SC|imports|biofuel diesel</v>
      </c>
    </row>
    <row r="2375" spans="1:5" x14ac:dyDescent="0.25">
      <c r="A2375" t="s">
        <v>157</v>
      </c>
      <c r="B2375" t="s">
        <v>193</v>
      </c>
      <c r="C2375" t="s">
        <v>94</v>
      </c>
      <c r="D2375" s="10">
        <v>0</v>
      </c>
      <c r="E2375" t="str">
        <f>$A2375&amp;Keys!$C$54&amp;$B2375&amp;Keys!$C$54&amp;$C2375</f>
        <v>SC|exports|biofuel diesel</v>
      </c>
    </row>
    <row r="2376" spans="1:5" x14ac:dyDescent="0.25">
      <c r="A2376" t="s">
        <v>157</v>
      </c>
      <c r="B2376" t="s">
        <v>188</v>
      </c>
      <c r="C2376" t="s">
        <v>97</v>
      </c>
      <c r="D2376" s="10">
        <v>0</v>
      </c>
      <c r="E2376" t="str">
        <f>$A2376&amp;Keys!$C$54&amp;$B2376&amp;Keys!$C$54&amp;$C2376</f>
        <v>SC|production|jet fuel or kerosene</v>
      </c>
    </row>
    <row r="2377" spans="1:5" x14ac:dyDescent="0.25">
      <c r="A2377" t="s">
        <v>157</v>
      </c>
      <c r="B2377" t="s">
        <v>191</v>
      </c>
      <c r="C2377" t="s">
        <v>97</v>
      </c>
      <c r="D2377" s="10">
        <v>19503700000000</v>
      </c>
      <c r="E2377" t="str">
        <f>$A2377&amp;Keys!$C$54&amp;$B2377&amp;Keys!$C$54&amp;$C2377</f>
        <v>SC|imports|jet fuel or kerosene</v>
      </c>
    </row>
    <row r="2378" spans="1:5" x14ac:dyDescent="0.25">
      <c r="A2378" t="s">
        <v>157</v>
      </c>
      <c r="B2378" t="s">
        <v>193</v>
      </c>
      <c r="C2378" t="s">
        <v>97</v>
      </c>
      <c r="D2378" s="10">
        <v>0</v>
      </c>
      <c r="E2378" t="str">
        <f>$A2378&amp;Keys!$C$54&amp;$B2378&amp;Keys!$C$54&amp;$C2378</f>
        <v>SC|exports|jet fuel or kerosene</v>
      </c>
    </row>
    <row r="2379" spans="1:5" x14ac:dyDescent="0.25">
      <c r="A2379" t="s">
        <v>157</v>
      </c>
      <c r="B2379" t="s">
        <v>188</v>
      </c>
      <c r="C2379" t="s">
        <v>276</v>
      </c>
      <c r="D2379" s="10">
        <v>0</v>
      </c>
      <c r="E2379" t="str">
        <f>$A2379&amp;Keys!$C$54&amp;$B2379&amp;Keys!$C$54&amp;$C2379</f>
        <v>SC|production|heat</v>
      </c>
    </row>
    <row r="2380" spans="1:5" x14ac:dyDescent="0.25">
      <c r="A2380" t="s">
        <v>157</v>
      </c>
      <c r="B2380" t="s">
        <v>191</v>
      </c>
      <c r="C2380" t="s">
        <v>276</v>
      </c>
      <c r="D2380" s="10">
        <v>0</v>
      </c>
      <c r="E2380" t="str">
        <f>$A2380&amp;Keys!$C$54&amp;$B2380&amp;Keys!$C$54&amp;$C2380</f>
        <v>SC|imports|heat</v>
      </c>
    </row>
    <row r="2381" spans="1:5" x14ac:dyDescent="0.25">
      <c r="A2381" t="s">
        <v>157</v>
      </c>
      <c r="B2381" t="s">
        <v>193</v>
      </c>
      <c r="C2381" t="s">
        <v>276</v>
      </c>
      <c r="D2381" s="10">
        <v>0</v>
      </c>
      <c r="E2381" t="str">
        <f>$A2381&amp;Keys!$C$54&amp;$B2381&amp;Keys!$C$54&amp;$C2381</f>
        <v>SC|exports|heat</v>
      </c>
    </row>
    <row r="2382" spans="1:5" x14ac:dyDescent="0.25">
      <c r="A2382" t="s">
        <v>157</v>
      </c>
      <c r="B2382" t="s">
        <v>188</v>
      </c>
      <c r="C2382" t="s">
        <v>277</v>
      </c>
      <c r="D2382" s="10">
        <v>0</v>
      </c>
      <c r="E2382" t="str">
        <f>$A2382&amp;Keys!$C$54&amp;$B2382&amp;Keys!$C$54&amp;$C2382</f>
        <v>SC|production|geothermal</v>
      </c>
    </row>
    <row r="2383" spans="1:5" x14ac:dyDescent="0.25">
      <c r="A2383" t="s">
        <v>157</v>
      </c>
      <c r="B2383" t="s">
        <v>191</v>
      </c>
      <c r="C2383" t="s">
        <v>277</v>
      </c>
      <c r="D2383" s="10">
        <v>0</v>
      </c>
      <c r="E2383" t="str">
        <f>$A2383&amp;Keys!$C$54&amp;$B2383&amp;Keys!$C$54&amp;$C2383</f>
        <v>SC|imports|geothermal</v>
      </c>
    </row>
    <row r="2384" spans="1:5" x14ac:dyDescent="0.25">
      <c r="A2384" t="s">
        <v>157</v>
      </c>
      <c r="B2384" t="s">
        <v>193</v>
      </c>
      <c r="C2384" t="s">
        <v>277</v>
      </c>
      <c r="D2384" s="10">
        <v>0</v>
      </c>
      <c r="E2384" t="str">
        <f>$A2384&amp;Keys!$C$54&amp;$B2384&amp;Keys!$C$54&amp;$C2384</f>
        <v>SC|exports|geothermal</v>
      </c>
    </row>
    <row r="2385" spans="1:5" x14ac:dyDescent="0.25">
      <c r="A2385" t="s">
        <v>157</v>
      </c>
      <c r="B2385" t="s">
        <v>188</v>
      </c>
      <c r="C2385" t="s">
        <v>106</v>
      </c>
      <c r="D2385" s="10">
        <v>0</v>
      </c>
      <c r="E2385" t="str">
        <f>$A2385&amp;Keys!$C$54&amp;$B2385&amp;Keys!$C$54&amp;$C2385</f>
        <v>SC|production|lignite</v>
      </c>
    </row>
    <row r="2386" spans="1:5" x14ac:dyDescent="0.25">
      <c r="A2386" t="s">
        <v>157</v>
      </c>
      <c r="B2386" t="s">
        <v>191</v>
      </c>
      <c r="C2386" t="s">
        <v>106</v>
      </c>
      <c r="D2386" s="10">
        <v>0</v>
      </c>
      <c r="E2386" t="str">
        <f>$A2386&amp;Keys!$C$54&amp;$B2386&amp;Keys!$C$54&amp;$C2386</f>
        <v>SC|imports|lignite</v>
      </c>
    </row>
    <row r="2387" spans="1:5" x14ac:dyDescent="0.25">
      <c r="A2387" t="s">
        <v>157</v>
      </c>
      <c r="B2387" t="s">
        <v>193</v>
      </c>
      <c r="C2387" t="s">
        <v>106</v>
      </c>
      <c r="D2387" s="10">
        <v>0</v>
      </c>
      <c r="E2387" t="str">
        <f>$A2387&amp;Keys!$C$54&amp;$B2387&amp;Keys!$C$54&amp;$C2387</f>
        <v>SC|exports|lignite</v>
      </c>
    </row>
    <row r="2388" spans="1:5" x14ac:dyDescent="0.25">
      <c r="A2388" t="s">
        <v>157</v>
      </c>
      <c r="B2388" t="s">
        <v>188</v>
      </c>
      <c r="C2388" t="s">
        <v>109</v>
      </c>
      <c r="D2388" s="10">
        <v>0</v>
      </c>
      <c r="E2388" t="str">
        <f>$A2388&amp;Keys!$C$54&amp;$B2388&amp;Keys!$C$54&amp;$C2388</f>
        <v>SC|production|crude oil</v>
      </c>
    </row>
    <row r="2389" spans="1:5" x14ac:dyDescent="0.25">
      <c r="A2389" t="s">
        <v>157</v>
      </c>
      <c r="B2389" t="s">
        <v>191</v>
      </c>
      <c r="C2389" t="s">
        <v>109</v>
      </c>
      <c r="D2389" s="10">
        <v>11071000000000</v>
      </c>
      <c r="E2389" t="str">
        <f>$A2389&amp;Keys!$C$54&amp;$B2389&amp;Keys!$C$54&amp;$C2389</f>
        <v>SC|imports|crude oil</v>
      </c>
    </row>
    <row r="2390" spans="1:5" x14ac:dyDescent="0.25">
      <c r="A2390" t="s">
        <v>157</v>
      </c>
      <c r="B2390" t="s">
        <v>193</v>
      </c>
      <c r="C2390" t="s">
        <v>109</v>
      </c>
      <c r="D2390" s="10">
        <v>0</v>
      </c>
      <c r="E2390" t="str">
        <f>$A2390&amp;Keys!$C$54&amp;$B2390&amp;Keys!$C$54&amp;$C2390</f>
        <v>SC|exports|crude oil</v>
      </c>
    </row>
    <row r="2391" spans="1:5" x14ac:dyDescent="0.25">
      <c r="A2391" t="s">
        <v>157</v>
      </c>
      <c r="B2391" t="s">
        <v>188</v>
      </c>
      <c r="C2391" t="s">
        <v>114</v>
      </c>
      <c r="D2391" s="10">
        <v>0</v>
      </c>
      <c r="E2391" t="str">
        <f>$A2391&amp;Keys!$C$54&amp;$B2391&amp;Keys!$C$54&amp;$C2391</f>
        <v>SC|production|heavy or residual fuel oil</v>
      </c>
    </row>
    <row r="2392" spans="1:5" x14ac:dyDescent="0.25">
      <c r="A2392" t="s">
        <v>157</v>
      </c>
      <c r="B2392" t="s">
        <v>191</v>
      </c>
      <c r="C2392" t="s">
        <v>114</v>
      </c>
      <c r="D2392" s="10">
        <v>25836500000000</v>
      </c>
      <c r="E2392" t="str">
        <f>$A2392&amp;Keys!$C$54&amp;$B2392&amp;Keys!$C$54&amp;$C2392</f>
        <v>SC|imports|heavy or residual fuel oil</v>
      </c>
    </row>
    <row r="2393" spans="1:5" x14ac:dyDescent="0.25">
      <c r="A2393" t="s">
        <v>157</v>
      </c>
      <c r="B2393" t="s">
        <v>193</v>
      </c>
      <c r="C2393" t="s">
        <v>114</v>
      </c>
      <c r="D2393" s="10">
        <v>0</v>
      </c>
      <c r="E2393" t="str">
        <f>$A2393&amp;Keys!$C$54&amp;$B2393&amp;Keys!$C$54&amp;$C2393</f>
        <v>SC|exports|heavy or residual fuel oil</v>
      </c>
    </row>
    <row r="2394" spans="1:5" x14ac:dyDescent="0.25">
      <c r="A2394" t="s">
        <v>157</v>
      </c>
      <c r="B2394" t="s">
        <v>188</v>
      </c>
      <c r="C2394" t="s">
        <v>117</v>
      </c>
      <c r="D2394" s="10">
        <v>0</v>
      </c>
      <c r="E2394" t="str">
        <f>$A2394&amp;Keys!$C$54&amp;$B2394&amp;Keys!$C$54&amp;$C2394</f>
        <v>SC|production|LPG propane or butane</v>
      </c>
    </row>
    <row r="2395" spans="1:5" x14ac:dyDescent="0.25">
      <c r="A2395" t="s">
        <v>157</v>
      </c>
      <c r="B2395" t="s">
        <v>191</v>
      </c>
      <c r="C2395" t="s">
        <v>117</v>
      </c>
      <c r="D2395" s="10">
        <v>9159320000000</v>
      </c>
      <c r="E2395" t="str">
        <f>$A2395&amp;Keys!$C$54&amp;$B2395&amp;Keys!$C$54&amp;$C2395</f>
        <v>SC|imports|LPG propane or butane</v>
      </c>
    </row>
    <row r="2396" spans="1:5" x14ac:dyDescent="0.25">
      <c r="A2396" t="s">
        <v>157</v>
      </c>
      <c r="B2396" t="s">
        <v>193</v>
      </c>
      <c r="C2396" t="s">
        <v>117</v>
      </c>
      <c r="D2396" s="10">
        <v>0</v>
      </c>
      <c r="E2396" t="str">
        <f>$A2396&amp;Keys!$C$54&amp;$B2396&amp;Keys!$C$54&amp;$C2396</f>
        <v>SC|exports|LPG propane or butane</v>
      </c>
    </row>
    <row r="2397" spans="1:5" x14ac:dyDescent="0.25">
      <c r="A2397" t="s">
        <v>157</v>
      </c>
      <c r="B2397" t="s">
        <v>188</v>
      </c>
      <c r="C2397" t="s">
        <v>120</v>
      </c>
      <c r="D2397" s="10">
        <v>0</v>
      </c>
      <c r="E2397" t="str">
        <f>$A2397&amp;Keys!$C$54&amp;$B2397&amp;Keys!$C$54&amp;$C2397</f>
        <v>SC|production|municipal solid waste</v>
      </c>
    </row>
    <row r="2398" spans="1:5" x14ac:dyDescent="0.25">
      <c r="A2398" t="s">
        <v>157</v>
      </c>
      <c r="B2398" t="s">
        <v>191</v>
      </c>
      <c r="C2398" t="s">
        <v>120</v>
      </c>
      <c r="D2398" s="10">
        <v>0</v>
      </c>
      <c r="E2398" t="str">
        <f>$A2398&amp;Keys!$C$54&amp;$B2398&amp;Keys!$C$54&amp;$C2398</f>
        <v>SC|imports|municipal solid waste</v>
      </c>
    </row>
    <row r="2399" spans="1:5" x14ac:dyDescent="0.25">
      <c r="A2399" t="s">
        <v>157</v>
      </c>
      <c r="B2399" t="s">
        <v>193</v>
      </c>
      <c r="C2399" t="s">
        <v>120</v>
      </c>
      <c r="D2399" s="10">
        <v>0</v>
      </c>
      <c r="E2399" t="str">
        <f>$A2399&amp;Keys!$C$54&amp;$B2399&amp;Keys!$C$54&amp;$C2399</f>
        <v>SC|exports|municipal solid waste</v>
      </c>
    </row>
    <row r="2400" spans="1:5" x14ac:dyDescent="0.25">
      <c r="A2400" t="s">
        <v>157</v>
      </c>
      <c r="B2400" t="s">
        <v>188</v>
      </c>
      <c r="C2400" t="s">
        <v>123</v>
      </c>
      <c r="D2400" s="10">
        <v>0</v>
      </c>
      <c r="E2400" t="str">
        <f>$A2400&amp;Keys!$C$54&amp;$B2400&amp;Keys!$C$54&amp;$C2400</f>
        <v>SC|production|hydrogen</v>
      </c>
    </row>
    <row r="2401" spans="1:5" x14ac:dyDescent="0.25">
      <c r="A2401" t="s">
        <v>157</v>
      </c>
      <c r="B2401" t="s">
        <v>191</v>
      </c>
      <c r="C2401" t="s">
        <v>123</v>
      </c>
      <c r="D2401" s="10">
        <v>555216000</v>
      </c>
      <c r="E2401" t="str">
        <f>$A2401&amp;Keys!$C$54&amp;$B2401&amp;Keys!$C$54&amp;$C2401</f>
        <v>SC|imports|hydrogen</v>
      </c>
    </row>
    <row r="2402" spans="1:5" x14ac:dyDescent="0.25">
      <c r="A2402" t="s">
        <v>157</v>
      </c>
      <c r="B2402" t="s">
        <v>193</v>
      </c>
      <c r="C2402" t="s">
        <v>123</v>
      </c>
      <c r="D2402" s="10">
        <v>0</v>
      </c>
      <c r="E2402" t="str">
        <f>$A2402&amp;Keys!$C$54&amp;$B2402&amp;Keys!$C$54&amp;$C2402</f>
        <v>SC|exports|hydrogen</v>
      </c>
    </row>
    <row r="2403" spans="1:5" x14ac:dyDescent="0.25">
      <c r="A2403" t="s">
        <v>159</v>
      </c>
      <c r="B2403" t="s">
        <v>188</v>
      </c>
      <c r="C2403" t="s">
        <v>272</v>
      </c>
      <c r="D2403" s="10">
        <v>0</v>
      </c>
      <c r="E2403" t="str">
        <f>$A2403&amp;Keys!$C$54&amp;$B2403&amp;Keys!$C$54&amp;$C2403</f>
        <v>SD|production|electricity</v>
      </c>
    </row>
    <row r="2404" spans="1:5" x14ac:dyDescent="0.25">
      <c r="A2404" t="s">
        <v>159</v>
      </c>
      <c r="B2404" t="s">
        <v>191</v>
      </c>
      <c r="C2404" t="s">
        <v>272</v>
      </c>
      <c r="D2404" s="10">
        <v>0</v>
      </c>
      <c r="E2404" t="str">
        <f>$A2404&amp;Keys!$C$54&amp;$B2404&amp;Keys!$C$54&amp;$C2404</f>
        <v>SD|imports|electricity</v>
      </c>
    </row>
    <row r="2405" spans="1:5" x14ac:dyDescent="0.25">
      <c r="A2405" t="s">
        <v>159</v>
      </c>
      <c r="B2405" t="s">
        <v>193</v>
      </c>
      <c r="C2405" t="s">
        <v>272</v>
      </c>
      <c r="D2405" s="10">
        <v>0</v>
      </c>
      <c r="E2405" t="str">
        <f>$A2405&amp;Keys!$C$54&amp;$B2405&amp;Keys!$C$54&amp;$C2405</f>
        <v>SD|exports|electricity</v>
      </c>
    </row>
    <row r="2406" spans="1:5" x14ac:dyDescent="0.25">
      <c r="A2406" t="s">
        <v>159</v>
      </c>
      <c r="B2406" t="s">
        <v>188</v>
      </c>
      <c r="C2406" t="s">
        <v>64</v>
      </c>
      <c r="D2406" s="10">
        <v>0</v>
      </c>
      <c r="E2406" t="str">
        <f>$A2406&amp;Keys!$C$54&amp;$B2406&amp;Keys!$C$54&amp;$C2406</f>
        <v>SD|production|hard coal</v>
      </c>
    </row>
    <row r="2407" spans="1:5" x14ac:dyDescent="0.25">
      <c r="A2407" t="s">
        <v>159</v>
      </c>
      <c r="B2407" t="s">
        <v>191</v>
      </c>
      <c r="C2407" t="s">
        <v>64</v>
      </c>
      <c r="D2407" s="10">
        <v>23809100000000</v>
      </c>
      <c r="E2407" t="str">
        <f>$A2407&amp;Keys!$C$54&amp;$B2407&amp;Keys!$C$54&amp;$C2407</f>
        <v>SD|imports|hard coal</v>
      </c>
    </row>
    <row r="2408" spans="1:5" x14ac:dyDescent="0.25">
      <c r="A2408" t="s">
        <v>159</v>
      </c>
      <c r="B2408" t="s">
        <v>193</v>
      </c>
      <c r="C2408" t="s">
        <v>64</v>
      </c>
      <c r="D2408" s="10">
        <v>0</v>
      </c>
      <c r="E2408" t="str">
        <f>$A2408&amp;Keys!$C$54&amp;$B2408&amp;Keys!$C$54&amp;$C2408</f>
        <v>SD|exports|hard coal</v>
      </c>
    </row>
    <row r="2409" spans="1:5" x14ac:dyDescent="0.25">
      <c r="A2409" t="s">
        <v>159</v>
      </c>
      <c r="B2409" t="s">
        <v>188</v>
      </c>
      <c r="C2409" t="s">
        <v>68</v>
      </c>
      <c r="D2409" s="10">
        <v>139995000000</v>
      </c>
      <c r="E2409" t="str">
        <f>$A2409&amp;Keys!$C$54&amp;$B2409&amp;Keys!$C$54&amp;$C2409</f>
        <v>SD|production|natural gas</v>
      </c>
    </row>
    <row r="2410" spans="1:5" x14ac:dyDescent="0.25">
      <c r="A2410" t="s">
        <v>159</v>
      </c>
      <c r="B2410" t="s">
        <v>191</v>
      </c>
      <c r="C2410" t="s">
        <v>68</v>
      </c>
      <c r="D2410" s="10">
        <v>911526000000000</v>
      </c>
      <c r="E2410" t="str">
        <f>$A2410&amp;Keys!$C$54&amp;$B2410&amp;Keys!$C$54&amp;$C2410</f>
        <v>SD|imports|natural gas</v>
      </c>
    </row>
    <row r="2411" spans="1:5" x14ac:dyDescent="0.25">
      <c r="A2411" t="s">
        <v>159</v>
      </c>
      <c r="B2411" t="s">
        <v>193</v>
      </c>
      <c r="C2411" t="s">
        <v>68</v>
      </c>
      <c r="D2411" s="10">
        <v>803479000000000</v>
      </c>
      <c r="E2411" t="str">
        <f>$A2411&amp;Keys!$C$54&amp;$B2411&amp;Keys!$C$54&amp;$C2411</f>
        <v>SD|exports|natural gas</v>
      </c>
    </row>
    <row r="2412" spans="1:5" x14ac:dyDescent="0.25">
      <c r="A2412" t="s">
        <v>159</v>
      </c>
      <c r="B2412" t="s">
        <v>188</v>
      </c>
      <c r="C2412" t="s">
        <v>71</v>
      </c>
      <c r="D2412" s="10">
        <v>0</v>
      </c>
      <c r="E2412" t="str">
        <f>$A2412&amp;Keys!$C$54&amp;$B2412&amp;Keys!$C$54&amp;$C2412</f>
        <v>SD|production|nuclear</v>
      </c>
    </row>
    <row r="2413" spans="1:5" x14ac:dyDescent="0.25">
      <c r="A2413" t="s">
        <v>159</v>
      </c>
      <c r="B2413" t="s">
        <v>191</v>
      </c>
      <c r="C2413" t="s">
        <v>71</v>
      </c>
      <c r="D2413" s="10">
        <v>0</v>
      </c>
      <c r="E2413" t="str">
        <f>$A2413&amp;Keys!$C$54&amp;$B2413&amp;Keys!$C$54&amp;$C2413</f>
        <v>SD|imports|nuclear</v>
      </c>
    </row>
    <row r="2414" spans="1:5" x14ac:dyDescent="0.25">
      <c r="A2414" t="s">
        <v>159</v>
      </c>
      <c r="B2414" t="s">
        <v>193</v>
      </c>
      <c r="C2414" t="s">
        <v>71</v>
      </c>
      <c r="D2414" s="10">
        <v>0</v>
      </c>
      <c r="E2414" t="str">
        <f>$A2414&amp;Keys!$C$54&amp;$B2414&amp;Keys!$C$54&amp;$C2414</f>
        <v>SD|exports|nuclear</v>
      </c>
    </row>
    <row r="2415" spans="1:5" x14ac:dyDescent="0.25">
      <c r="A2415" t="s">
        <v>159</v>
      </c>
      <c r="B2415" t="s">
        <v>188</v>
      </c>
      <c r="C2415" t="s">
        <v>273</v>
      </c>
      <c r="D2415" s="10">
        <v>0</v>
      </c>
      <c r="E2415" t="str">
        <f>$A2415&amp;Keys!$C$54&amp;$B2415&amp;Keys!$C$54&amp;$C2415</f>
        <v>SD|production|hydro</v>
      </c>
    </row>
    <row r="2416" spans="1:5" x14ac:dyDescent="0.25">
      <c r="A2416" t="s">
        <v>159</v>
      </c>
      <c r="B2416" t="s">
        <v>191</v>
      </c>
      <c r="C2416" t="s">
        <v>273</v>
      </c>
      <c r="D2416" s="10">
        <v>0</v>
      </c>
      <c r="E2416" t="str">
        <f>$A2416&amp;Keys!$C$54&amp;$B2416&amp;Keys!$C$54&amp;$C2416</f>
        <v>SD|imports|hydro</v>
      </c>
    </row>
    <row r="2417" spans="1:5" x14ac:dyDescent="0.25">
      <c r="A2417" t="s">
        <v>159</v>
      </c>
      <c r="B2417" t="s">
        <v>193</v>
      </c>
      <c r="C2417" t="s">
        <v>273</v>
      </c>
      <c r="D2417" s="10">
        <v>0</v>
      </c>
      <c r="E2417" t="str">
        <f>$A2417&amp;Keys!$C$54&amp;$B2417&amp;Keys!$C$54&amp;$C2417</f>
        <v>SD|exports|hydro</v>
      </c>
    </row>
    <row r="2418" spans="1:5" x14ac:dyDescent="0.25">
      <c r="A2418" t="s">
        <v>159</v>
      </c>
      <c r="B2418" t="s">
        <v>188</v>
      </c>
      <c r="C2418" t="s">
        <v>274</v>
      </c>
      <c r="D2418" s="10">
        <v>0</v>
      </c>
      <c r="E2418" t="str">
        <f>$A2418&amp;Keys!$C$54&amp;$B2418&amp;Keys!$C$54&amp;$C2418</f>
        <v>SD|production|wind</v>
      </c>
    </row>
    <row r="2419" spans="1:5" x14ac:dyDescent="0.25">
      <c r="A2419" t="s">
        <v>159</v>
      </c>
      <c r="B2419" t="s">
        <v>191</v>
      </c>
      <c r="C2419" t="s">
        <v>274</v>
      </c>
      <c r="D2419" s="10">
        <v>0</v>
      </c>
      <c r="E2419" t="str">
        <f>$A2419&amp;Keys!$C$54&amp;$B2419&amp;Keys!$C$54&amp;$C2419</f>
        <v>SD|imports|wind</v>
      </c>
    </row>
    <row r="2420" spans="1:5" x14ac:dyDescent="0.25">
      <c r="A2420" t="s">
        <v>159</v>
      </c>
      <c r="B2420" t="s">
        <v>193</v>
      </c>
      <c r="C2420" t="s">
        <v>274</v>
      </c>
      <c r="D2420" s="10">
        <v>0</v>
      </c>
      <c r="E2420" t="str">
        <f>$A2420&amp;Keys!$C$54&amp;$B2420&amp;Keys!$C$54&amp;$C2420</f>
        <v>SD|exports|wind</v>
      </c>
    </row>
    <row r="2421" spans="1:5" x14ac:dyDescent="0.25">
      <c r="A2421" t="s">
        <v>159</v>
      </c>
      <c r="B2421" t="s">
        <v>188</v>
      </c>
      <c r="C2421" t="s">
        <v>275</v>
      </c>
      <c r="D2421" s="10">
        <v>0</v>
      </c>
      <c r="E2421" t="str">
        <f>$A2421&amp;Keys!$C$54&amp;$B2421&amp;Keys!$C$54&amp;$C2421</f>
        <v>SD|production|solar</v>
      </c>
    </row>
    <row r="2422" spans="1:5" x14ac:dyDescent="0.25">
      <c r="A2422" t="s">
        <v>159</v>
      </c>
      <c r="B2422" t="s">
        <v>191</v>
      </c>
      <c r="C2422" t="s">
        <v>275</v>
      </c>
      <c r="D2422" s="10">
        <v>0</v>
      </c>
      <c r="E2422" t="str">
        <f>$A2422&amp;Keys!$C$54&amp;$B2422&amp;Keys!$C$54&amp;$C2422</f>
        <v>SD|imports|solar</v>
      </c>
    </row>
    <row r="2423" spans="1:5" x14ac:dyDescent="0.25">
      <c r="A2423" t="s">
        <v>159</v>
      </c>
      <c r="B2423" t="s">
        <v>193</v>
      </c>
      <c r="C2423" t="s">
        <v>275</v>
      </c>
      <c r="D2423" s="10">
        <v>0</v>
      </c>
      <c r="E2423" t="str">
        <f>$A2423&amp;Keys!$C$54&amp;$B2423&amp;Keys!$C$54&amp;$C2423</f>
        <v>SD|exports|solar</v>
      </c>
    </row>
    <row r="2424" spans="1:5" x14ac:dyDescent="0.25">
      <c r="A2424" t="s">
        <v>159</v>
      </c>
      <c r="B2424" t="s">
        <v>188</v>
      </c>
      <c r="C2424" t="s">
        <v>82</v>
      </c>
      <c r="D2424" s="10">
        <v>1119360000000</v>
      </c>
      <c r="E2424" t="str">
        <f>$A2424&amp;Keys!$C$54&amp;$B2424&amp;Keys!$C$54&amp;$C2424</f>
        <v>SD|production|biomass</v>
      </c>
    </row>
    <row r="2425" spans="1:5" x14ac:dyDescent="0.25">
      <c r="A2425" t="s">
        <v>159</v>
      </c>
      <c r="B2425" t="s">
        <v>191</v>
      </c>
      <c r="C2425" t="s">
        <v>82</v>
      </c>
      <c r="D2425" s="10">
        <v>2590200000000</v>
      </c>
      <c r="E2425" t="str">
        <f>$A2425&amp;Keys!$C$54&amp;$B2425&amp;Keys!$C$54&amp;$C2425</f>
        <v>SD|imports|biomass</v>
      </c>
    </row>
    <row r="2426" spans="1:5" x14ac:dyDescent="0.25">
      <c r="A2426" t="s">
        <v>159</v>
      </c>
      <c r="B2426" t="s">
        <v>193</v>
      </c>
      <c r="C2426" t="s">
        <v>82</v>
      </c>
      <c r="D2426" s="10">
        <v>0</v>
      </c>
      <c r="E2426" t="str">
        <f>$A2426&amp;Keys!$C$54&amp;$B2426&amp;Keys!$C$54&amp;$C2426</f>
        <v>SD|exports|biomass</v>
      </c>
    </row>
    <row r="2427" spans="1:5" x14ac:dyDescent="0.25">
      <c r="A2427" t="s">
        <v>159</v>
      </c>
      <c r="B2427" t="s">
        <v>188</v>
      </c>
      <c r="C2427" t="s">
        <v>85</v>
      </c>
      <c r="D2427" s="10">
        <v>0</v>
      </c>
      <c r="E2427" t="str">
        <f>$A2427&amp;Keys!$C$54&amp;$B2427&amp;Keys!$C$54&amp;$C2427</f>
        <v>SD|production|petroleum gasoline</v>
      </c>
    </row>
    <row r="2428" spans="1:5" x14ac:dyDescent="0.25">
      <c r="A2428" t="s">
        <v>159</v>
      </c>
      <c r="B2428" t="s">
        <v>191</v>
      </c>
      <c r="C2428" t="s">
        <v>85</v>
      </c>
      <c r="D2428" s="10">
        <v>51328700000000</v>
      </c>
      <c r="E2428" t="str">
        <f>$A2428&amp;Keys!$C$54&amp;$B2428&amp;Keys!$C$54&amp;$C2428</f>
        <v>SD|imports|petroleum gasoline</v>
      </c>
    </row>
    <row r="2429" spans="1:5" x14ac:dyDescent="0.25">
      <c r="A2429" t="s">
        <v>159</v>
      </c>
      <c r="B2429" t="s">
        <v>193</v>
      </c>
      <c r="C2429" t="s">
        <v>85</v>
      </c>
      <c r="D2429" s="10">
        <v>0</v>
      </c>
      <c r="E2429" t="str">
        <f>$A2429&amp;Keys!$C$54&amp;$B2429&amp;Keys!$C$54&amp;$C2429</f>
        <v>SD|exports|petroleum gasoline</v>
      </c>
    </row>
    <row r="2430" spans="1:5" x14ac:dyDescent="0.25">
      <c r="A2430" t="s">
        <v>159</v>
      </c>
      <c r="B2430" t="s">
        <v>188</v>
      </c>
      <c r="C2430" t="s">
        <v>88</v>
      </c>
      <c r="D2430" s="10">
        <v>0</v>
      </c>
      <c r="E2430" t="str">
        <f>$A2430&amp;Keys!$C$54&amp;$B2430&amp;Keys!$C$54&amp;$C2430</f>
        <v>SD|production|petroleum diesel</v>
      </c>
    </row>
    <row r="2431" spans="1:5" x14ac:dyDescent="0.25">
      <c r="A2431" t="s">
        <v>159</v>
      </c>
      <c r="B2431" t="s">
        <v>191</v>
      </c>
      <c r="C2431" t="s">
        <v>88</v>
      </c>
      <c r="D2431" s="10">
        <v>45720300000000</v>
      </c>
      <c r="E2431" t="str">
        <f>$A2431&amp;Keys!$C$54&amp;$B2431&amp;Keys!$C$54&amp;$C2431</f>
        <v>SD|imports|petroleum diesel</v>
      </c>
    </row>
    <row r="2432" spans="1:5" x14ac:dyDescent="0.25">
      <c r="A2432" t="s">
        <v>159</v>
      </c>
      <c r="B2432" t="s">
        <v>193</v>
      </c>
      <c r="C2432" t="s">
        <v>88</v>
      </c>
      <c r="D2432" s="10">
        <v>0</v>
      </c>
      <c r="E2432" t="str">
        <f>$A2432&amp;Keys!$C$54&amp;$B2432&amp;Keys!$C$54&amp;$C2432</f>
        <v>SD|exports|petroleum diesel</v>
      </c>
    </row>
    <row r="2433" spans="1:5" x14ac:dyDescent="0.25">
      <c r="A2433" t="s">
        <v>159</v>
      </c>
      <c r="B2433" t="s">
        <v>188</v>
      </c>
      <c r="C2433" t="s">
        <v>91</v>
      </c>
      <c r="D2433" s="10">
        <v>115828000000000</v>
      </c>
      <c r="E2433" t="str">
        <f>$A2433&amp;Keys!$C$54&amp;$B2433&amp;Keys!$C$54&amp;$C2433</f>
        <v>SD|production|biofuel gasoline</v>
      </c>
    </row>
    <row r="2434" spans="1:5" x14ac:dyDescent="0.25">
      <c r="A2434" t="s">
        <v>159</v>
      </c>
      <c r="B2434" t="s">
        <v>191</v>
      </c>
      <c r="C2434" t="s">
        <v>91</v>
      </c>
      <c r="D2434" s="10">
        <v>188677000000</v>
      </c>
      <c r="E2434" t="str">
        <f>$A2434&amp;Keys!$C$54&amp;$B2434&amp;Keys!$C$54&amp;$C2434</f>
        <v>SD|imports|biofuel gasoline</v>
      </c>
    </row>
    <row r="2435" spans="1:5" x14ac:dyDescent="0.25">
      <c r="A2435" t="s">
        <v>159</v>
      </c>
      <c r="B2435" t="s">
        <v>193</v>
      </c>
      <c r="C2435" t="s">
        <v>91</v>
      </c>
      <c r="D2435" s="10">
        <v>112283000000000</v>
      </c>
      <c r="E2435" t="str">
        <f>$A2435&amp;Keys!$C$54&amp;$B2435&amp;Keys!$C$54&amp;$C2435</f>
        <v>SD|exports|biofuel gasoline</v>
      </c>
    </row>
    <row r="2436" spans="1:5" x14ac:dyDescent="0.25">
      <c r="A2436" t="s">
        <v>159</v>
      </c>
      <c r="B2436" t="s">
        <v>188</v>
      </c>
      <c r="C2436" t="s">
        <v>94</v>
      </c>
      <c r="D2436" s="10">
        <v>0</v>
      </c>
      <c r="E2436" t="str">
        <f>$A2436&amp;Keys!$C$54&amp;$B2436&amp;Keys!$C$54&amp;$C2436</f>
        <v>SD|production|biofuel diesel</v>
      </c>
    </row>
    <row r="2437" spans="1:5" x14ac:dyDescent="0.25">
      <c r="A2437" t="s">
        <v>159</v>
      </c>
      <c r="B2437" t="s">
        <v>191</v>
      </c>
      <c r="C2437" t="s">
        <v>94</v>
      </c>
      <c r="D2437" s="10">
        <v>926480000000</v>
      </c>
      <c r="E2437" t="str">
        <f>$A2437&amp;Keys!$C$54&amp;$B2437&amp;Keys!$C$54&amp;$C2437</f>
        <v>SD|imports|biofuel diesel</v>
      </c>
    </row>
    <row r="2438" spans="1:5" x14ac:dyDescent="0.25">
      <c r="A2438" t="s">
        <v>159</v>
      </c>
      <c r="B2438" t="s">
        <v>193</v>
      </c>
      <c r="C2438" t="s">
        <v>94</v>
      </c>
      <c r="D2438" s="10">
        <v>0</v>
      </c>
      <c r="E2438" t="str">
        <f>$A2438&amp;Keys!$C$54&amp;$B2438&amp;Keys!$C$54&amp;$C2438</f>
        <v>SD|exports|biofuel diesel</v>
      </c>
    </row>
    <row r="2439" spans="1:5" x14ac:dyDescent="0.25">
      <c r="A2439" t="s">
        <v>159</v>
      </c>
      <c r="B2439" t="s">
        <v>188</v>
      </c>
      <c r="C2439" t="s">
        <v>97</v>
      </c>
      <c r="D2439" s="10">
        <v>0</v>
      </c>
      <c r="E2439" t="str">
        <f>$A2439&amp;Keys!$C$54&amp;$B2439&amp;Keys!$C$54&amp;$C2439</f>
        <v>SD|production|jet fuel or kerosene</v>
      </c>
    </row>
    <row r="2440" spans="1:5" x14ac:dyDescent="0.25">
      <c r="A2440" t="s">
        <v>159</v>
      </c>
      <c r="B2440" t="s">
        <v>191</v>
      </c>
      <c r="C2440" t="s">
        <v>97</v>
      </c>
      <c r="D2440" s="10">
        <v>3877800000000</v>
      </c>
      <c r="E2440" t="str">
        <f>$A2440&amp;Keys!$C$54&amp;$B2440&amp;Keys!$C$54&amp;$C2440</f>
        <v>SD|imports|jet fuel or kerosene</v>
      </c>
    </row>
    <row r="2441" spans="1:5" x14ac:dyDescent="0.25">
      <c r="A2441" t="s">
        <v>159</v>
      </c>
      <c r="B2441" t="s">
        <v>193</v>
      </c>
      <c r="C2441" t="s">
        <v>97</v>
      </c>
      <c r="D2441" s="10">
        <v>0</v>
      </c>
      <c r="E2441" t="str">
        <f>$A2441&amp;Keys!$C$54&amp;$B2441&amp;Keys!$C$54&amp;$C2441</f>
        <v>SD|exports|jet fuel or kerosene</v>
      </c>
    </row>
    <row r="2442" spans="1:5" x14ac:dyDescent="0.25">
      <c r="A2442" t="s">
        <v>159</v>
      </c>
      <c r="B2442" t="s">
        <v>188</v>
      </c>
      <c r="C2442" t="s">
        <v>276</v>
      </c>
      <c r="D2442" s="10">
        <v>0</v>
      </c>
      <c r="E2442" t="str">
        <f>$A2442&amp;Keys!$C$54&amp;$B2442&amp;Keys!$C$54&amp;$C2442</f>
        <v>SD|production|heat</v>
      </c>
    </row>
    <row r="2443" spans="1:5" x14ac:dyDescent="0.25">
      <c r="A2443" t="s">
        <v>159</v>
      </c>
      <c r="B2443" t="s">
        <v>191</v>
      </c>
      <c r="C2443" t="s">
        <v>276</v>
      </c>
      <c r="D2443" s="10">
        <v>0</v>
      </c>
      <c r="E2443" t="str">
        <f>$A2443&amp;Keys!$C$54&amp;$B2443&amp;Keys!$C$54&amp;$C2443</f>
        <v>SD|imports|heat</v>
      </c>
    </row>
    <row r="2444" spans="1:5" x14ac:dyDescent="0.25">
      <c r="A2444" t="s">
        <v>159</v>
      </c>
      <c r="B2444" t="s">
        <v>193</v>
      </c>
      <c r="C2444" t="s">
        <v>276</v>
      </c>
      <c r="D2444" s="10">
        <v>0</v>
      </c>
      <c r="E2444" t="str">
        <f>$A2444&amp;Keys!$C$54&amp;$B2444&amp;Keys!$C$54&amp;$C2444</f>
        <v>SD|exports|heat</v>
      </c>
    </row>
    <row r="2445" spans="1:5" x14ac:dyDescent="0.25">
      <c r="A2445" t="s">
        <v>159</v>
      </c>
      <c r="B2445" t="s">
        <v>188</v>
      </c>
      <c r="C2445" t="s">
        <v>277</v>
      </c>
      <c r="D2445" s="10">
        <v>0</v>
      </c>
      <c r="E2445" t="str">
        <f>$A2445&amp;Keys!$C$54&amp;$B2445&amp;Keys!$C$54&amp;$C2445</f>
        <v>SD|production|geothermal</v>
      </c>
    </row>
    <row r="2446" spans="1:5" x14ac:dyDescent="0.25">
      <c r="A2446" t="s">
        <v>159</v>
      </c>
      <c r="B2446" t="s">
        <v>191</v>
      </c>
      <c r="C2446" t="s">
        <v>277</v>
      </c>
      <c r="D2446" s="10">
        <v>0</v>
      </c>
      <c r="E2446" t="str">
        <f>$A2446&amp;Keys!$C$54&amp;$B2446&amp;Keys!$C$54&amp;$C2446</f>
        <v>SD|imports|geothermal</v>
      </c>
    </row>
    <row r="2447" spans="1:5" x14ac:dyDescent="0.25">
      <c r="A2447" t="s">
        <v>159</v>
      </c>
      <c r="B2447" t="s">
        <v>193</v>
      </c>
      <c r="C2447" t="s">
        <v>277</v>
      </c>
      <c r="D2447" s="10">
        <v>0</v>
      </c>
      <c r="E2447" t="str">
        <f>$A2447&amp;Keys!$C$54&amp;$B2447&amp;Keys!$C$54&amp;$C2447</f>
        <v>SD|exports|geothermal</v>
      </c>
    </row>
    <row r="2448" spans="1:5" x14ac:dyDescent="0.25">
      <c r="A2448" t="s">
        <v>159</v>
      </c>
      <c r="B2448" t="s">
        <v>188</v>
      </c>
      <c r="C2448" t="s">
        <v>106</v>
      </c>
      <c r="D2448" s="10">
        <v>0</v>
      </c>
      <c r="E2448" t="str">
        <f>$A2448&amp;Keys!$C$54&amp;$B2448&amp;Keys!$C$54&amp;$C2448</f>
        <v>SD|production|lignite</v>
      </c>
    </row>
    <row r="2449" spans="1:5" x14ac:dyDescent="0.25">
      <c r="A2449" t="s">
        <v>159</v>
      </c>
      <c r="B2449" t="s">
        <v>191</v>
      </c>
      <c r="C2449" t="s">
        <v>106</v>
      </c>
      <c r="D2449" s="10">
        <v>0</v>
      </c>
      <c r="E2449" t="str">
        <f>$A2449&amp;Keys!$C$54&amp;$B2449&amp;Keys!$C$54&amp;$C2449</f>
        <v>SD|imports|lignite</v>
      </c>
    </row>
    <row r="2450" spans="1:5" x14ac:dyDescent="0.25">
      <c r="A2450" t="s">
        <v>159</v>
      </c>
      <c r="B2450" t="s">
        <v>193</v>
      </c>
      <c r="C2450" t="s">
        <v>106</v>
      </c>
      <c r="D2450" s="10">
        <v>0</v>
      </c>
      <c r="E2450" t="str">
        <f>$A2450&amp;Keys!$C$54&amp;$B2450&amp;Keys!$C$54&amp;$C2450</f>
        <v>SD|exports|lignite</v>
      </c>
    </row>
    <row r="2451" spans="1:5" x14ac:dyDescent="0.25">
      <c r="A2451" t="s">
        <v>159</v>
      </c>
      <c r="B2451" t="s">
        <v>188</v>
      </c>
      <c r="C2451" t="s">
        <v>109</v>
      </c>
      <c r="D2451" s="10">
        <v>5034400000000</v>
      </c>
      <c r="E2451" t="str">
        <f>$A2451&amp;Keys!$C$54&amp;$B2451&amp;Keys!$C$54&amp;$C2451</f>
        <v>SD|production|crude oil</v>
      </c>
    </row>
    <row r="2452" spans="1:5" x14ac:dyDescent="0.25">
      <c r="A2452" t="s">
        <v>159</v>
      </c>
      <c r="B2452" t="s">
        <v>191</v>
      </c>
      <c r="C2452" t="s">
        <v>109</v>
      </c>
      <c r="D2452" s="10">
        <v>0</v>
      </c>
      <c r="E2452" t="str">
        <f>$A2452&amp;Keys!$C$54&amp;$B2452&amp;Keys!$C$54&amp;$C2452</f>
        <v>SD|imports|crude oil</v>
      </c>
    </row>
    <row r="2453" spans="1:5" x14ac:dyDescent="0.25">
      <c r="A2453" t="s">
        <v>159</v>
      </c>
      <c r="B2453" t="s">
        <v>193</v>
      </c>
      <c r="C2453" t="s">
        <v>109</v>
      </c>
      <c r="D2453" s="10">
        <v>4772260000000</v>
      </c>
      <c r="E2453" t="str">
        <f>$A2453&amp;Keys!$C$54&amp;$B2453&amp;Keys!$C$54&amp;$C2453</f>
        <v>SD|exports|crude oil</v>
      </c>
    </row>
    <row r="2454" spans="1:5" x14ac:dyDescent="0.25">
      <c r="A2454" t="s">
        <v>159</v>
      </c>
      <c r="B2454" t="s">
        <v>188</v>
      </c>
      <c r="C2454" t="s">
        <v>114</v>
      </c>
      <c r="D2454" s="10">
        <v>0</v>
      </c>
      <c r="E2454" t="str">
        <f>$A2454&amp;Keys!$C$54&amp;$B2454&amp;Keys!$C$54&amp;$C2454</f>
        <v>SD|production|heavy or residual fuel oil</v>
      </c>
    </row>
    <row r="2455" spans="1:5" x14ac:dyDescent="0.25">
      <c r="A2455" t="s">
        <v>159</v>
      </c>
      <c r="B2455" t="s">
        <v>191</v>
      </c>
      <c r="C2455" t="s">
        <v>114</v>
      </c>
      <c r="D2455" s="10">
        <v>3925650000000</v>
      </c>
      <c r="E2455" t="str">
        <f>$A2455&amp;Keys!$C$54&amp;$B2455&amp;Keys!$C$54&amp;$C2455</f>
        <v>SD|imports|heavy or residual fuel oil</v>
      </c>
    </row>
    <row r="2456" spans="1:5" x14ac:dyDescent="0.25">
      <c r="A2456" t="s">
        <v>159</v>
      </c>
      <c r="B2456" t="s">
        <v>193</v>
      </c>
      <c r="C2456" t="s">
        <v>114</v>
      </c>
      <c r="D2456" s="10">
        <v>0</v>
      </c>
      <c r="E2456" t="str">
        <f>$A2456&amp;Keys!$C$54&amp;$B2456&amp;Keys!$C$54&amp;$C2456</f>
        <v>SD|exports|heavy or residual fuel oil</v>
      </c>
    </row>
    <row r="2457" spans="1:5" x14ac:dyDescent="0.25">
      <c r="A2457" t="s">
        <v>159</v>
      </c>
      <c r="B2457" t="s">
        <v>188</v>
      </c>
      <c r="C2457" t="s">
        <v>117</v>
      </c>
      <c r="D2457" s="10">
        <v>17114300000</v>
      </c>
      <c r="E2457" t="str">
        <f>$A2457&amp;Keys!$C$54&amp;$B2457&amp;Keys!$C$54&amp;$C2457</f>
        <v>SD|production|LPG propane or butane</v>
      </c>
    </row>
    <row r="2458" spans="1:5" x14ac:dyDescent="0.25">
      <c r="A2458" t="s">
        <v>159</v>
      </c>
      <c r="B2458" t="s">
        <v>191</v>
      </c>
      <c r="C2458" t="s">
        <v>117</v>
      </c>
      <c r="D2458" s="10">
        <v>5503680000000</v>
      </c>
      <c r="E2458" t="str">
        <f>$A2458&amp;Keys!$C$54&amp;$B2458&amp;Keys!$C$54&amp;$C2458</f>
        <v>SD|imports|LPG propane or butane</v>
      </c>
    </row>
    <row r="2459" spans="1:5" x14ac:dyDescent="0.25">
      <c r="A2459" t="s">
        <v>159</v>
      </c>
      <c r="B2459" t="s">
        <v>193</v>
      </c>
      <c r="C2459" t="s">
        <v>117</v>
      </c>
      <c r="D2459" s="10">
        <v>0</v>
      </c>
      <c r="E2459" t="str">
        <f>$A2459&amp;Keys!$C$54&amp;$B2459&amp;Keys!$C$54&amp;$C2459</f>
        <v>SD|exports|LPG propane or butane</v>
      </c>
    </row>
    <row r="2460" spans="1:5" x14ac:dyDescent="0.25">
      <c r="A2460" t="s">
        <v>159</v>
      </c>
      <c r="B2460" t="s">
        <v>188</v>
      </c>
      <c r="C2460" t="s">
        <v>120</v>
      </c>
      <c r="D2460" s="10">
        <v>0</v>
      </c>
      <c r="E2460" t="str">
        <f>$A2460&amp;Keys!$C$54&amp;$B2460&amp;Keys!$C$54&amp;$C2460</f>
        <v>SD|production|municipal solid waste</v>
      </c>
    </row>
    <row r="2461" spans="1:5" x14ac:dyDescent="0.25">
      <c r="A2461" t="s">
        <v>159</v>
      </c>
      <c r="B2461" t="s">
        <v>191</v>
      </c>
      <c r="C2461" t="s">
        <v>120</v>
      </c>
      <c r="D2461" s="10">
        <v>0</v>
      </c>
      <c r="E2461" t="str">
        <f>$A2461&amp;Keys!$C$54&amp;$B2461&amp;Keys!$C$54&amp;$C2461</f>
        <v>SD|imports|municipal solid waste</v>
      </c>
    </row>
    <row r="2462" spans="1:5" x14ac:dyDescent="0.25">
      <c r="A2462" t="s">
        <v>159</v>
      </c>
      <c r="B2462" t="s">
        <v>193</v>
      </c>
      <c r="C2462" t="s">
        <v>120</v>
      </c>
      <c r="D2462" s="10">
        <v>0</v>
      </c>
      <c r="E2462" t="str">
        <f>$A2462&amp;Keys!$C$54&amp;$B2462&amp;Keys!$C$54&amp;$C2462</f>
        <v>SD|exports|municipal solid waste</v>
      </c>
    </row>
    <row r="2463" spans="1:5" x14ac:dyDescent="0.25">
      <c r="A2463" t="s">
        <v>159</v>
      </c>
      <c r="B2463" t="s">
        <v>188</v>
      </c>
      <c r="C2463" t="s">
        <v>123</v>
      </c>
      <c r="D2463" s="10">
        <v>0</v>
      </c>
      <c r="E2463" t="str">
        <f>$A2463&amp;Keys!$C$54&amp;$B2463&amp;Keys!$C$54&amp;$C2463</f>
        <v>SD|production|hydrogen</v>
      </c>
    </row>
    <row r="2464" spans="1:5" x14ac:dyDescent="0.25">
      <c r="A2464" t="s">
        <v>159</v>
      </c>
      <c r="B2464" t="s">
        <v>191</v>
      </c>
      <c r="C2464" t="s">
        <v>123</v>
      </c>
      <c r="D2464" s="10">
        <v>308855000</v>
      </c>
      <c r="E2464" t="str">
        <f>$A2464&amp;Keys!$C$54&amp;$B2464&amp;Keys!$C$54&amp;$C2464</f>
        <v>SD|imports|hydrogen</v>
      </c>
    </row>
    <row r="2465" spans="1:5" x14ac:dyDescent="0.25">
      <c r="A2465" t="s">
        <v>159</v>
      </c>
      <c r="B2465" t="s">
        <v>193</v>
      </c>
      <c r="C2465" t="s">
        <v>123</v>
      </c>
      <c r="D2465" s="10">
        <v>0</v>
      </c>
      <c r="E2465" t="str">
        <f>$A2465&amp;Keys!$C$54&amp;$B2465&amp;Keys!$C$54&amp;$C2465</f>
        <v>SD|exports|hydrogen</v>
      </c>
    </row>
    <row r="2466" spans="1:5" x14ac:dyDescent="0.25">
      <c r="A2466" t="s">
        <v>161</v>
      </c>
      <c r="B2466" t="s">
        <v>188</v>
      </c>
      <c r="C2466" t="s">
        <v>272</v>
      </c>
      <c r="D2466" s="10">
        <v>0</v>
      </c>
      <c r="E2466" t="str">
        <f>$A2466&amp;Keys!$C$54&amp;$B2466&amp;Keys!$C$54&amp;$C2466</f>
        <v>TN|production|electricity</v>
      </c>
    </row>
    <row r="2467" spans="1:5" x14ac:dyDescent="0.25">
      <c r="A2467" t="s">
        <v>161</v>
      </c>
      <c r="B2467" t="s">
        <v>191</v>
      </c>
      <c r="C2467" t="s">
        <v>272</v>
      </c>
      <c r="D2467" s="10">
        <v>0</v>
      </c>
      <c r="E2467" t="str">
        <f>$A2467&amp;Keys!$C$54&amp;$B2467&amp;Keys!$C$54&amp;$C2467</f>
        <v>TN|imports|electricity</v>
      </c>
    </row>
    <row r="2468" spans="1:5" x14ac:dyDescent="0.25">
      <c r="A2468" t="s">
        <v>161</v>
      </c>
      <c r="B2468" t="s">
        <v>193</v>
      </c>
      <c r="C2468" t="s">
        <v>272</v>
      </c>
      <c r="D2468" s="10">
        <v>0</v>
      </c>
      <c r="E2468" t="str">
        <f>$A2468&amp;Keys!$C$54&amp;$B2468&amp;Keys!$C$54&amp;$C2468</f>
        <v>TN|exports|electricity</v>
      </c>
    </row>
    <row r="2469" spans="1:5" x14ac:dyDescent="0.25">
      <c r="A2469" t="s">
        <v>161</v>
      </c>
      <c r="B2469" t="s">
        <v>188</v>
      </c>
      <c r="C2469" t="s">
        <v>64</v>
      </c>
      <c r="D2469" s="10">
        <v>0</v>
      </c>
      <c r="E2469" t="str">
        <f>$A2469&amp;Keys!$C$54&amp;$B2469&amp;Keys!$C$54&amp;$C2469</f>
        <v>TN|production|hard coal</v>
      </c>
    </row>
    <row r="2470" spans="1:5" x14ac:dyDescent="0.25">
      <c r="A2470" t="s">
        <v>161</v>
      </c>
      <c r="B2470" t="s">
        <v>191</v>
      </c>
      <c r="C2470" t="s">
        <v>64</v>
      </c>
      <c r="D2470" s="10">
        <v>232540000000000</v>
      </c>
      <c r="E2470" t="str">
        <f>$A2470&amp;Keys!$C$54&amp;$B2470&amp;Keys!$C$54&amp;$C2470</f>
        <v>TN|imports|hard coal</v>
      </c>
    </row>
    <row r="2471" spans="1:5" x14ac:dyDescent="0.25">
      <c r="A2471" t="s">
        <v>161</v>
      </c>
      <c r="B2471" t="s">
        <v>193</v>
      </c>
      <c r="C2471" t="s">
        <v>64</v>
      </c>
      <c r="D2471" s="10">
        <v>0</v>
      </c>
      <c r="E2471" t="str">
        <f>$A2471&amp;Keys!$C$54&amp;$B2471&amp;Keys!$C$54&amp;$C2471</f>
        <v>TN|exports|hard coal</v>
      </c>
    </row>
    <row r="2472" spans="1:5" x14ac:dyDescent="0.25">
      <c r="A2472" t="s">
        <v>161</v>
      </c>
      <c r="B2472" t="s">
        <v>188</v>
      </c>
      <c r="C2472" t="s">
        <v>68</v>
      </c>
      <c r="D2472" s="10">
        <v>2739750000000</v>
      </c>
      <c r="E2472" t="str">
        <f>$A2472&amp;Keys!$C$54&amp;$B2472&amp;Keys!$C$54&amp;$C2472</f>
        <v>TN|production|natural gas</v>
      </c>
    </row>
    <row r="2473" spans="1:5" x14ac:dyDescent="0.25">
      <c r="A2473" t="s">
        <v>161</v>
      </c>
      <c r="B2473" t="s">
        <v>191</v>
      </c>
      <c r="C2473" t="s">
        <v>68</v>
      </c>
      <c r="D2473" s="10">
        <v>2785100000000000</v>
      </c>
      <c r="E2473" t="str">
        <f>$A2473&amp;Keys!$C$54&amp;$B2473&amp;Keys!$C$54&amp;$C2473</f>
        <v>TN|imports|natural gas</v>
      </c>
    </row>
    <row r="2474" spans="1:5" x14ac:dyDescent="0.25">
      <c r="A2474" t="s">
        <v>161</v>
      </c>
      <c r="B2474" t="s">
        <v>193</v>
      </c>
      <c r="C2474" t="s">
        <v>68</v>
      </c>
      <c r="D2474" s="10">
        <v>2360000000000000</v>
      </c>
      <c r="E2474" t="str">
        <f>$A2474&amp;Keys!$C$54&amp;$B2474&amp;Keys!$C$54&amp;$C2474</f>
        <v>TN|exports|natural gas</v>
      </c>
    </row>
    <row r="2475" spans="1:5" x14ac:dyDescent="0.25">
      <c r="A2475" t="s">
        <v>161</v>
      </c>
      <c r="B2475" t="s">
        <v>188</v>
      </c>
      <c r="C2475" t="s">
        <v>71</v>
      </c>
      <c r="D2475" s="10">
        <v>0</v>
      </c>
      <c r="E2475" t="str">
        <f>$A2475&amp;Keys!$C$54&amp;$B2475&amp;Keys!$C$54&amp;$C2475</f>
        <v>TN|production|nuclear</v>
      </c>
    </row>
    <row r="2476" spans="1:5" x14ac:dyDescent="0.25">
      <c r="A2476" t="s">
        <v>161</v>
      </c>
      <c r="B2476" t="s">
        <v>191</v>
      </c>
      <c r="C2476" t="s">
        <v>71</v>
      </c>
      <c r="D2476" s="10">
        <v>306646000000000</v>
      </c>
      <c r="E2476" t="str">
        <f>$A2476&amp;Keys!$C$54&amp;$B2476&amp;Keys!$C$54&amp;$C2476</f>
        <v>TN|imports|nuclear</v>
      </c>
    </row>
    <row r="2477" spans="1:5" x14ac:dyDescent="0.25">
      <c r="A2477" t="s">
        <v>161</v>
      </c>
      <c r="B2477" t="s">
        <v>193</v>
      </c>
      <c r="C2477" t="s">
        <v>71</v>
      </c>
      <c r="D2477" s="10">
        <v>0</v>
      </c>
      <c r="E2477" t="str">
        <f>$A2477&amp;Keys!$C$54&amp;$B2477&amp;Keys!$C$54&amp;$C2477</f>
        <v>TN|exports|nuclear</v>
      </c>
    </row>
    <row r="2478" spans="1:5" x14ac:dyDescent="0.25">
      <c r="A2478" t="s">
        <v>161</v>
      </c>
      <c r="B2478" t="s">
        <v>188</v>
      </c>
      <c r="C2478" t="s">
        <v>273</v>
      </c>
      <c r="D2478" s="10">
        <v>0</v>
      </c>
      <c r="E2478" t="str">
        <f>$A2478&amp;Keys!$C$54&amp;$B2478&amp;Keys!$C$54&amp;$C2478</f>
        <v>TN|production|hydro</v>
      </c>
    </row>
    <row r="2479" spans="1:5" x14ac:dyDescent="0.25">
      <c r="A2479" t="s">
        <v>161</v>
      </c>
      <c r="B2479" t="s">
        <v>191</v>
      </c>
      <c r="C2479" t="s">
        <v>273</v>
      </c>
      <c r="D2479" s="10">
        <v>0</v>
      </c>
      <c r="E2479" t="str">
        <f>$A2479&amp;Keys!$C$54&amp;$B2479&amp;Keys!$C$54&amp;$C2479</f>
        <v>TN|imports|hydro</v>
      </c>
    </row>
    <row r="2480" spans="1:5" x14ac:dyDescent="0.25">
      <c r="A2480" t="s">
        <v>161</v>
      </c>
      <c r="B2480" t="s">
        <v>193</v>
      </c>
      <c r="C2480" t="s">
        <v>273</v>
      </c>
      <c r="D2480" s="10">
        <v>0</v>
      </c>
      <c r="E2480" t="str">
        <f>$A2480&amp;Keys!$C$54&amp;$B2480&amp;Keys!$C$54&amp;$C2480</f>
        <v>TN|exports|hydro</v>
      </c>
    </row>
    <row r="2481" spans="1:5" x14ac:dyDescent="0.25">
      <c r="A2481" t="s">
        <v>161</v>
      </c>
      <c r="B2481" t="s">
        <v>188</v>
      </c>
      <c r="C2481" t="s">
        <v>274</v>
      </c>
      <c r="D2481" s="10">
        <v>0</v>
      </c>
      <c r="E2481" t="str">
        <f>$A2481&amp;Keys!$C$54&amp;$B2481&amp;Keys!$C$54&amp;$C2481</f>
        <v>TN|production|wind</v>
      </c>
    </row>
    <row r="2482" spans="1:5" x14ac:dyDescent="0.25">
      <c r="A2482" t="s">
        <v>161</v>
      </c>
      <c r="B2482" t="s">
        <v>191</v>
      </c>
      <c r="C2482" t="s">
        <v>274</v>
      </c>
      <c r="D2482" s="10">
        <v>0</v>
      </c>
      <c r="E2482" t="str">
        <f>$A2482&amp;Keys!$C$54&amp;$B2482&amp;Keys!$C$54&amp;$C2482</f>
        <v>TN|imports|wind</v>
      </c>
    </row>
    <row r="2483" spans="1:5" x14ac:dyDescent="0.25">
      <c r="A2483" t="s">
        <v>161</v>
      </c>
      <c r="B2483" t="s">
        <v>193</v>
      </c>
      <c r="C2483" t="s">
        <v>274</v>
      </c>
      <c r="D2483" s="10">
        <v>0</v>
      </c>
      <c r="E2483" t="str">
        <f>$A2483&amp;Keys!$C$54&amp;$B2483&amp;Keys!$C$54&amp;$C2483</f>
        <v>TN|exports|wind</v>
      </c>
    </row>
    <row r="2484" spans="1:5" x14ac:dyDescent="0.25">
      <c r="A2484" t="s">
        <v>161</v>
      </c>
      <c r="B2484" t="s">
        <v>188</v>
      </c>
      <c r="C2484" t="s">
        <v>275</v>
      </c>
      <c r="D2484" s="10">
        <v>0</v>
      </c>
      <c r="E2484" t="str">
        <f>$A2484&amp;Keys!$C$54&amp;$B2484&amp;Keys!$C$54&amp;$C2484</f>
        <v>TN|production|solar</v>
      </c>
    </row>
    <row r="2485" spans="1:5" x14ac:dyDescent="0.25">
      <c r="A2485" t="s">
        <v>161</v>
      </c>
      <c r="B2485" t="s">
        <v>191</v>
      </c>
      <c r="C2485" t="s">
        <v>275</v>
      </c>
      <c r="D2485" s="10">
        <v>0</v>
      </c>
      <c r="E2485" t="str">
        <f>$A2485&amp;Keys!$C$54&amp;$B2485&amp;Keys!$C$54&amp;$C2485</f>
        <v>TN|imports|solar</v>
      </c>
    </row>
    <row r="2486" spans="1:5" x14ac:dyDescent="0.25">
      <c r="A2486" t="s">
        <v>161</v>
      </c>
      <c r="B2486" t="s">
        <v>193</v>
      </c>
      <c r="C2486" t="s">
        <v>275</v>
      </c>
      <c r="D2486" s="10">
        <v>0</v>
      </c>
      <c r="E2486" t="str">
        <f>$A2486&amp;Keys!$C$54&amp;$B2486&amp;Keys!$C$54&amp;$C2486</f>
        <v>TN|exports|solar</v>
      </c>
    </row>
    <row r="2487" spans="1:5" x14ac:dyDescent="0.25">
      <c r="A2487" t="s">
        <v>161</v>
      </c>
      <c r="B2487" t="s">
        <v>188</v>
      </c>
      <c r="C2487" t="s">
        <v>82</v>
      </c>
      <c r="D2487" s="10">
        <v>2792000000000</v>
      </c>
      <c r="E2487" t="str">
        <f>$A2487&amp;Keys!$C$54&amp;$B2487&amp;Keys!$C$54&amp;$C2487</f>
        <v>TN|production|biomass</v>
      </c>
    </row>
    <row r="2488" spans="1:5" x14ac:dyDescent="0.25">
      <c r="A2488" t="s">
        <v>161</v>
      </c>
      <c r="B2488" t="s">
        <v>191</v>
      </c>
      <c r="C2488" t="s">
        <v>82</v>
      </c>
      <c r="D2488" s="10">
        <v>46573200000000</v>
      </c>
      <c r="E2488" t="str">
        <f>$A2488&amp;Keys!$C$54&amp;$B2488&amp;Keys!$C$54&amp;$C2488</f>
        <v>TN|imports|biomass</v>
      </c>
    </row>
    <row r="2489" spans="1:5" x14ac:dyDescent="0.25">
      <c r="A2489" t="s">
        <v>161</v>
      </c>
      <c r="B2489" t="s">
        <v>193</v>
      </c>
      <c r="C2489" t="s">
        <v>82</v>
      </c>
      <c r="D2489" s="10">
        <v>0</v>
      </c>
      <c r="E2489" t="str">
        <f>$A2489&amp;Keys!$C$54&amp;$B2489&amp;Keys!$C$54&amp;$C2489</f>
        <v>TN|exports|biomass</v>
      </c>
    </row>
    <row r="2490" spans="1:5" x14ac:dyDescent="0.25">
      <c r="A2490" t="s">
        <v>161</v>
      </c>
      <c r="B2490" t="s">
        <v>188</v>
      </c>
      <c r="C2490" t="s">
        <v>85</v>
      </c>
      <c r="D2490" s="10">
        <v>174690000000000</v>
      </c>
      <c r="E2490" t="str">
        <f>$A2490&amp;Keys!$C$54&amp;$B2490&amp;Keys!$C$54&amp;$C2490</f>
        <v>TN|production|petroleum gasoline</v>
      </c>
    </row>
    <row r="2491" spans="1:5" x14ac:dyDescent="0.25">
      <c r="A2491" t="s">
        <v>161</v>
      </c>
      <c r="B2491" t="s">
        <v>191</v>
      </c>
      <c r="C2491" t="s">
        <v>85</v>
      </c>
      <c r="D2491" s="10">
        <v>198350000000000</v>
      </c>
      <c r="E2491" t="str">
        <f>$A2491&amp;Keys!$C$54&amp;$B2491&amp;Keys!$C$54&amp;$C2491</f>
        <v>TN|imports|petroleum gasoline</v>
      </c>
    </row>
    <row r="2492" spans="1:5" x14ac:dyDescent="0.25">
      <c r="A2492" t="s">
        <v>161</v>
      </c>
      <c r="B2492" t="s">
        <v>193</v>
      </c>
      <c r="C2492" t="s">
        <v>85</v>
      </c>
      <c r="D2492" s="10">
        <v>0</v>
      </c>
      <c r="E2492" t="str">
        <f>$A2492&amp;Keys!$C$54&amp;$B2492&amp;Keys!$C$54&amp;$C2492</f>
        <v>TN|exports|petroleum gasoline</v>
      </c>
    </row>
    <row r="2493" spans="1:5" x14ac:dyDescent="0.25">
      <c r="A2493" t="s">
        <v>161</v>
      </c>
      <c r="B2493" t="s">
        <v>188</v>
      </c>
      <c r="C2493" t="s">
        <v>88</v>
      </c>
      <c r="D2493" s="10">
        <v>103332000000000</v>
      </c>
      <c r="E2493" t="str">
        <f>$A2493&amp;Keys!$C$54&amp;$B2493&amp;Keys!$C$54&amp;$C2493</f>
        <v>TN|production|petroleum diesel</v>
      </c>
    </row>
    <row r="2494" spans="1:5" x14ac:dyDescent="0.25">
      <c r="A2494" t="s">
        <v>161</v>
      </c>
      <c r="B2494" t="s">
        <v>191</v>
      </c>
      <c r="C2494" t="s">
        <v>88</v>
      </c>
      <c r="D2494" s="10">
        <v>78904600000000</v>
      </c>
      <c r="E2494" t="str">
        <f>$A2494&amp;Keys!$C$54&amp;$B2494&amp;Keys!$C$54&amp;$C2494</f>
        <v>TN|imports|petroleum diesel</v>
      </c>
    </row>
    <row r="2495" spans="1:5" x14ac:dyDescent="0.25">
      <c r="A2495" t="s">
        <v>161</v>
      </c>
      <c r="B2495" t="s">
        <v>193</v>
      </c>
      <c r="C2495" t="s">
        <v>88</v>
      </c>
      <c r="D2495" s="10">
        <v>0</v>
      </c>
      <c r="E2495" t="str">
        <f>$A2495&amp;Keys!$C$54&amp;$B2495&amp;Keys!$C$54&amp;$C2495</f>
        <v>TN|exports|petroleum diesel</v>
      </c>
    </row>
    <row r="2496" spans="1:5" x14ac:dyDescent="0.25">
      <c r="A2496" t="s">
        <v>161</v>
      </c>
      <c r="B2496" t="s">
        <v>188</v>
      </c>
      <c r="C2496" t="s">
        <v>91</v>
      </c>
      <c r="D2496" s="10">
        <v>14025700000000</v>
      </c>
      <c r="E2496" t="str">
        <f>$A2496&amp;Keys!$C$54&amp;$B2496&amp;Keys!$C$54&amp;$C2496</f>
        <v>TN|production|biofuel gasoline</v>
      </c>
    </row>
    <row r="2497" spans="1:5" x14ac:dyDescent="0.25">
      <c r="A2497" t="s">
        <v>161</v>
      </c>
      <c r="B2497" t="s">
        <v>191</v>
      </c>
      <c r="C2497" t="s">
        <v>91</v>
      </c>
      <c r="D2497" s="10">
        <v>11639200000000</v>
      </c>
      <c r="E2497" t="str">
        <f>$A2497&amp;Keys!$C$54&amp;$B2497&amp;Keys!$C$54&amp;$C2497</f>
        <v>TN|imports|biofuel gasoline</v>
      </c>
    </row>
    <row r="2498" spans="1:5" x14ac:dyDescent="0.25">
      <c r="A2498" t="s">
        <v>161</v>
      </c>
      <c r="B2498" t="s">
        <v>193</v>
      </c>
      <c r="C2498" t="s">
        <v>91</v>
      </c>
      <c r="D2498" s="10">
        <v>0</v>
      </c>
      <c r="E2498" t="str">
        <f>$A2498&amp;Keys!$C$54&amp;$B2498&amp;Keys!$C$54&amp;$C2498</f>
        <v>TN|exports|biofuel gasoline</v>
      </c>
    </row>
    <row r="2499" spans="1:5" x14ac:dyDescent="0.25">
      <c r="A2499" t="s">
        <v>161</v>
      </c>
      <c r="B2499" t="s">
        <v>188</v>
      </c>
      <c r="C2499" t="s">
        <v>94</v>
      </c>
      <c r="D2499" s="10">
        <v>11661600000000</v>
      </c>
      <c r="E2499" t="str">
        <f>$A2499&amp;Keys!$C$54&amp;$B2499&amp;Keys!$C$54&amp;$C2499</f>
        <v>TN|production|biofuel diesel</v>
      </c>
    </row>
    <row r="2500" spans="1:5" x14ac:dyDescent="0.25">
      <c r="A2500" t="s">
        <v>161</v>
      </c>
      <c r="B2500" t="s">
        <v>191</v>
      </c>
      <c r="C2500" t="s">
        <v>94</v>
      </c>
      <c r="D2500" s="10">
        <v>80702500000</v>
      </c>
      <c r="E2500" t="str">
        <f>$A2500&amp;Keys!$C$54&amp;$B2500&amp;Keys!$C$54&amp;$C2500</f>
        <v>TN|imports|biofuel diesel</v>
      </c>
    </row>
    <row r="2501" spans="1:5" x14ac:dyDescent="0.25">
      <c r="A2501" t="s">
        <v>161</v>
      </c>
      <c r="B2501" t="s">
        <v>193</v>
      </c>
      <c r="C2501" t="s">
        <v>94</v>
      </c>
      <c r="D2501" s="10">
        <v>8213870000000</v>
      </c>
      <c r="E2501" t="str">
        <f>$A2501&amp;Keys!$C$54&amp;$B2501&amp;Keys!$C$54&amp;$C2501</f>
        <v>TN|exports|biofuel diesel</v>
      </c>
    </row>
    <row r="2502" spans="1:5" x14ac:dyDescent="0.25">
      <c r="A2502" t="s">
        <v>161</v>
      </c>
      <c r="B2502" t="s">
        <v>188</v>
      </c>
      <c r="C2502" t="s">
        <v>97</v>
      </c>
      <c r="D2502" s="10">
        <v>36784000000000</v>
      </c>
      <c r="E2502" t="str">
        <f>$A2502&amp;Keys!$C$54&amp;$B2502&amp;Keys!$C$54&amp;$C2502</f>
        <v>TN|production|jet fuel or kerosene</v>
      </c>
    </row>
    <row r="2503" spans="1:5" x14ac:dyDescent="0.25">
      <c r="A2503" t="s">
        <v>161</v>
      </c>
      <c r="B2503" t="s">
        <v>191</v>
      </c>
      <c r="C2503" t="s">
        <v>97</v>
      </c>
      <c r="D2503" s="10">
        <v>42392500000000</v>
      </c>
      <c r="E2503" t="str">
        <f>$A2503&amp;Keys!$C$54&amp;$B2503&amp;Keys!$C$54&amp;$C2503</f>
        <v>TN|imports|jet fuel or kerosene</v>
      </c>
    </row>
    <row r="2504" spans="1:5" x14ac:dyDescent="0.25">
      <c r="A2504" t="s">
        <v>161</v>
      </c>
      <c r="B2504" t="s">
        <v>193</v>
      </c>
      <c r="C2504" t="s">
        <v>97</v>
      </c>
      <c r="D2504" s="10">
        <v>0</v>
      </c>
      <c r="E2504" t="str">
        <f>$A2504&amp;Keys!$C$54&amp;$B2504&amp;Keys!$C$54&amp;$C2504</f>
        <v>TN|exports|jet fuel or kerosene</v>
      </c>
    </row>
    <row r="2505" spans="1:5" x14ac:dyDescent="0.25">
      <c r="A2505" t="s">
        <v>161</v>
      </c>
      <c r="B2505" t="s">
        <v>188</v>
      </c>
      <c r="C2505" t="s">
        <v>276</v>
      </c>
      <c r="D2505" s="10">
        <v>0</v>
      </c>
      <c r="E2505" t="str">
        <f>$A2505&amp;Keys!$C$54&amp;$B2505&amp;Keys!$C$54&amp;$C2505</f>
        <v>TN|production|heat</v>
      </c>
    </row>
    <row r="2506" spans="1:5" x14ac:dyDescent="0.25">
      <c r="A2506" t="s">
        <v>161</v>
      </c>
      <c r="B2506" t="s">
        <v>191</v>
      </c>
      <c r="C2506" t="s">
        <v>276</v>
      </c>
      <c r="D2506" s="10">
        <v>0</v>
      </c>
      <c r="E2506" t="str">
        <f>$A2506&amp;Keys!$C$54&amp;$B2506&amp;Keys!$C$54&amp;$C2506</f>
        <v>TN|imports|heat</v>
      </c>
    </row>
    <row r="2507" spans="1:5" x14ac:dyDescent="0.25">
      <c r="A2507" t="s">
        <v>161</v>
      </c>
      <c r="B2507" t="s">
        <v>193</v>
      </c>
      <c r="C2507" t="s">
        <v>276</v>
      </c>
      <c r="D2507" s="10">
        <v>0</v>
      </c>
      <c r="E2507" t="str">
        <f>$A2507&amp;Keys!$C$54&amp;$B2507&amp;Keys!$C$54&amp;$C2507</f>
        <v>TN|exports|heat</v>
      </c>
    </row>
    <row r="2508" spans="1:5" x14ac:dyDescent="0.25">
      <c r="A2508" t="s">
        <v>161</v>
      </c>
      <c r="B2508" t="s">
        <v>188</v>
      </c>
      <c r="C2508" t="s">
        <v>277</v>
      </c>
      <c r="D2508" s="10">
        <v>0</v>
      </c>
      <c r="E2508" t="str">
        <f>$A2508&amp;Keys!$C$54&amp;$B2508&amp;Keys!$C$54&amp;$C2508</f>
        <v>TN|production|geothermal</v>
      </c>
    </row>
    <row r="2509" spans="1:5" x14ac:dyDescent="0.25">
      <c r="A2509" t="s">
        <v>161</v>
      </c>
      <c r="B2509" t="s">
        <v>191</v>
      </c>
      <c r="C2509" t="s">
        <v>277</v>
      </c>
      <c r="D2509" s="10">
        <v>0</v>
      </c>
      <c r="E2509" t="str">
        <f>$A2509&amp;Keys!$C$54&amp;$B2509&amp;Keys!$C$54&amp;$C2509</f>
        <v>TN|imports|geothermal</v>
      </c>
    </row>
    <row r="2510" spans="1:5" x14ac:dyDescent="0.25">
      <c r="A2510" t="s">
        <v>161</v>
      </c>
      <c r="B2510" t="s">
        <v>193</v>
      </c>
      <c r="C2510" t="s">
        <v>277</v>
      </c>
      <c r="D2510" s="10">
        <v>0</v>
      </c>
      <c r="E2510" t="str">
        <f>$A2510&amp;Keys!$C$54&amp;$B2510&amp;Keys!$C$54&amp;$C2510</f>
        <v>TN|exports|geothermal</v>
      </c>
    </row>
    <row r="2511" spans="1:5" x14ac:dyDescent="0.25">
      <c r="A2511" t="s">
        <v>161</v>
      </c>
      <c r="B2511" t="s">
        <v>188</v>
      </c>
      <c r="C2511" t="s">
        <v>106</v>
      </c>
      <c r="D2511" s="10">
        <v>0</v>
      </c>
      <c r="E2511" t="str">
        <f>$A2511&amp;Keys!$C$54&amp;$B2511&amp;Keys!$C$54&amp;$C2511</f>
        <v>TN|production|lignite</v>
      </c>
    </row>
    <row r="2512" spans="1:5" x14ac:dyDescent="0.25">
      <c r="A2512" t="s">
        <v>161</v>
      </c>
      <c r="B2512" t="s">
        <v>191</v>
      </c>
      <c r="C2512" t="s">
        <v>106</v>
      </c>
      <c r="D2512" s="10">
        <v>0</v>
      </c>
      <c r="E2512" t="str">
        <f>$A2512&amp;Keys!$C$54&amp;$B2512&amp;Keys!$C$54&amp;$C2512</f>
        <v>TN|imports|lignite</v>
      </c>
    </row>
    <row r="2513" spans="1:5" x14ac:dyDescent="0.25">
      <c r="A2513" t="s">
        <v>161</v>
      </c>
      <c r="B2513" t="s">
        <v>193</v>
      </c>
      <c r="C2513" t="s">
        <v>106</v>
      </c>
      <c r="D2513" s="10">
        <v>0</v>
      </c>
      <c r="E2513" t="str">
        <f>$A2513&amp;Keys!$C$54&amp;$B2513&amp;Keys!$C$54&amp;$C2513</f>
        <v>TN|exports|lignite</v>
      </c>
    </row>
    <row r="2514" spans="1:5" x14ac:dyDescent="0.25">
      <c r="A2514" t="s">
        <v>161</v>
      </c>
      <c r="B2514" t="s">
        <v>188</v>
      </c>
      <c r="C2514" t="s">
        <v>109</v>
      </c>
      <c r="D2514" s="10">
        <v>957000000000</v>
      </c>
      <c r="E2514" t="str">
        <f>$A2514&amp;Keys!$C$54&amp;$B2514&amp;Keys!$C$54&amp;$C2514</f>
        <v>TN|production|crude oil</v>
      </c>
    </row>
    <row r="2515" spans="1:5" x14ac:dyDescent="0.25">
      <c r="A2515" t="s">
        <v>161</v>
      </c>
      <c r="B2515" t="s">
        <v>191</v>
      </c>
      <c r="C2515" t="s">
        <v>109</v>
      </c>
      <c r="D2515" s="10">
        <v>363773000000000</v>
      </c>
      <c r="E2515" t="str">
        <f>$A2515&amp;Keys!$C$54&amp;$B2515&amp;Keys!$C$54&amp;$C2515</f>
        <v>TN|imports|crude oil</v>
      </c>
    </row>
    <row r="2516" spans="1:5" x14ac:dyDescent="0.25">
      <c r="A2516" t="s">
        <v>161</v>
      </c>
      <c r="B2516" t="s">
        <v>193</v>
      </c>
      <c r="C2516" t="s">
        <v>109</v>
      </c>
      <c r="D2516" s="10">
        <v>0</v>
      </c>
      <c r="E2516" t="str">
        <f>$A2516&amp;Keys!$C$54&amp;$B2516&amp;Keys!$C$54&amp;$C2516</f>
        <v>TN|exports|crude oil</v>
      </c>
    </row>
    <row r="2517" spans="1:5" x14ac:dyDescent="0.25">
      <c r="A2517" t="s">
        <v>161</v>
      </c>
      <c r="B2517" t="s">
        <v>188</v>
      </c>
      <c r="C2517" t="s">
        <v>114</v>
      </c>
      <c r="D2517" s="10">
        <v>7145420000000</v>
      </c>
      <c r="E2517" t="str">
        <f>$A2517&amp;Keys!$C$54&amp;$B2517&amp;Keys!$C$54&amp;$C2517</f>
        <v>TN|production|heavy or residual fuel oil</v>
      </c>
    </row>
    <row r="2518" spans="1:5" x14ac:dyDescent="0.25">
      <c r="A2518" t="s">
        <v>161</v>
      </c>
      <c r="B2518" t="s">
        <v>191</v>
      </c>
      <c r="C2518" t="s">
        <v>114</v>
      </c>
      <c r="D2518" s="10">
        <v>14024600000000</v>
      </c>
      <c r="E2518" t="str">
        <f>$A2518&amp;Keys!$C$54&amp;$B2518&amp;Keys!$C$54&amp;$C2518</f>
        <v>TN|imports|heavy or residual fuel oil</v>
      </c>
    </row>
    <row r="2519" spans="1:5" x14ac:dyDescent="0.25">
      <c r="A2519" t="s">
        <v>161</v>
      </c>
      <c r="B2519" t="s">
        <v>193</v>
      </c>
      <c r="C2519" t="s">
        <v>114</v>
      </c>
      <c r="D2519" s="10">
        <v>0</v>
      </c>
      <c r="E2519" t="str">
        <f>$A2519&amp;Keys!$C$54&amp;$B2519&amp;Keys!$C$54&amp;$C2519</f>
        <v>TN|exports|heavy or residual fuel oil</v>
      </c>
    </row>
    <row r="2520" spans="1:5" x14ac:dyDescent="0.25">
      <c r="A2520" t="s">
        <v>161</v>
      </c>
      <c r="B2520" t="s">
        <v>188</v>
      </c>
      <c r="C2520" t="s">
        <v>117</v>
      </c>
      <c r="D2520" s="10">
        <v>334933000000</v>
      </c>
      <c r="E2520" t="str">
        <f>$A2520&amp;Keys!$C$54&amp;$B2520&amp;Keys!$C$54&amp;$C2520</f>
        <v>TN|production|LPG propane or butane</v>
      </c>
    </row>
    <row r="2521" spans="1:5" x14ac:dyDescent="0.25">
      <c r="A2521" t="s">
        <v>161</v>
      </c>
      <c r="B2521" t="s">
        <v>191</v>
      </c>
      <c r="C2521" t="s">
        <v>117</v>
      </c>
      <c r="D2521" s="10">
        <v>12516900000000</v>
      </c>
      <c r="E2521" t="str">
        <f>$A2521&amp;Keys!$C$54&amp;$B2521&amp;Keys!$C$54&amp;$C2521</f>
        <v>TN|imports|LPG propane or butane</v>
      </c>
    </row>
    <row r="2522" spans="1:5" x14ac:dyDescent="0.25">
      <c r="A2522" t="s">
        <v>161</v>
      </c>
      <c r="B2522" t="s">
        <v>193</v>
      </c>
      <c r="C2522" t="s">
        <v>117</v>
      </c>
      <c r="D2522" s="10">
        <v>0</v>
      </c>
      <c r="E2522" t="str">
        <f>$A2522&amp;Keys!$C$54&amp;$B2522&amp;Keys!$C$54&amp;$C2522</f>
        <v>TN|exports|LPG propane or butane</v>
      </c>
    </row>
    <row r="2523" spans="1:5" x14ac:dyDescent="0.25">
      <c r="A2523" t="s">
        <v>161</v>
      </c>
      <c r="B2523" t="s">
        <v>188</v>
      </c>
      <c r="C2523" t="s">
        <v>120</v>
      </c>
      <c r="D2523" s="10">
        <v>0</v>
      </c>
      <c r="E2523" t="str">
        <f>$A2523&amp;Keys!$C$54&amp;$B2523&amp;Keys!$C$54&amp;$C2523</f>
        <v>TN|production|municipal solid waste</v>
      </c>
    </row>
    <row r="2524" spans="1:5" x14ac:dyDescent="0.25">
      <c r="A2524" t="s">
        <v>161</v>
      </c>
      <c r="B2524" t="s">
        <v>191</v>
      </c>
      <c r="C2524" t="s">
        <v>120</v>
      </c>
      <c r="D2524" s="10">
        <v>0</v>
      </c>
      <c r="E2524" t="str">
        <f>$A2524&amp;Keys!$C$54&amp;$B2524&amp;Keys!$C$54&amp;$C2524</f>
        <v>TN|imports|municipal solid waste</v>
      </c>
    </row>
    <row r="2525" spans="1:5" x14ac:dyDescent="0.25">
      <c r="A2525" t="s">
        <v>161</v>
      </c>
      <c r="B2525" t="s">
        <v>193</v>
      </c>
      <c r="C2525" t="s">
        <v>120</v>
      </c>
      <c r="D2525" s="10">
        <v>0</v>
      </c>
      <c r="E2525" t="str">
        <f>$A2525&amp;Keys!$C$54&amp;$B2525&amp;Keys!$C$54&amp;$C2525</f>
        <v>TN|exports|municipal solid waste</v>
      </c>
    </row>
    <row r="2526" spans="1:5" x14ac:dyDescent="0.25">
      <c r="A2526" t="s">
        <v>161</v>
      </c>
      <c r="B2526" t="s">
        <v>188</v>
      </c>
      <c r="C2526" t="s">
        <v>123</v>
      </c>
      <c r="D2526" s="10">
        <v>3558750000000</v>
      </c>
      <c r="E2526" t="str">
        <f>$A2526&amp;Keys!$C$54&amp;$B2526&amp;Keys!$C$54&amp;$C2526</f>
        <v>TN|production|hydrogen</v>
      </c>
    </row>
    <row r="2527" spans="1:5" x14ac:dyDescent="0.25">
      <c r="A2527" t="s">
        <v>161</v>
      </c>
      <c r="B2527" t="s">
        <v>191</v>
      </c>
      <c r="C2527" t="s">
        <v>123</v>
      </c>
      <c r="D2527" s="10">
        <v>0</v>
      </c>
      <c r="E2527" t="str">
        <f>$A2527&amp;Keys!$C$54&amp;$B2527&amp;Keys!$C$54&amp;$C2527</f>
        <v>TN|imports|hydrogen</v>
      </c>
    </row>
    <row r="2528" spans="1:5" x14ac:dyDescent="0.25">
      <c r="A2528" t="s">
        <v>161</v>
      </c>
      <c r="B2528" t="s">
        <v>193</v>
      </c>
      <c r="C2528" t="s">
        <v>123</v>
      </c>
      <c r="D2528" s="10">
        <v>1667910000000</v>
      </c>
      <c r="E2528" t="str">
        <f>$A2528&amp;Keys!$C$54&amp;$B2528&amp;Keys!$C$54&amp;$C2528</f>
        <v>TN|exports|hydrogen</v>
      </c>
    </row>
    <row r="2529" spans="1:5" x14ac:dyDescent="0.25">
      <c r="A2529" t="s">
        <v>163</v>
      </c>
      <c r="B2529" t="s">
        <v>188</v>
      </c>
      <c r="C2529" t="s">
        <v>272</v>
      </c>
      <c r="D2529" s="10">
        <v>0</v>
      </c>
      <c r="E2529" t="str">
        <f>$A2529&amp;Keys!$C$54&amp;$B2529&amp;Keys!$C$54&amp;$C2529</f>
        <v>TX|production|electricity</v>
      </c>
    </row>
    <row r="2530" spans="1:5" x14ac:dyDescent="0.25">
      <c r="A2530" t="s">
        <v>163</v>
      </c>
      <c r="B2530" t="s">
        <v>191</v>
      </c>
      <c r="C2530" t="s">
        <v>272</v>
      </c>
      <c r="D2530" s="10">
        <v>0</v>
      </c>
      <c r="E2530" t="str">
        <f>$A2530&amp;Keys!$C$54&amp;$B2530&amp;Keys!$C$54&amp;$C2530</f>
        <v>TX|imports|electricity</v>
      </c>
    </row>
    <row r="2531" spans="1:5" x14ac:dyDescent="0.25">
      <c r="A2531" t="s">
        <v>163</v>
      </c>
      <c r="B2531" t="s">
        <v>193</v>
      </c>
      <c r="C2531" t="s">
        <v>272</v>
      </c>
      <c r="D2531" s="10">
        <v>0</v>
      </c>
      <c r="E2531" t="str">
        <f>$A2531&amp;Keys!$C$54&amp;$B2531&amp;Keys!$C$54&amp;$C2531</f>
        <v>TX|exports|electricity</v>
      </c>
    </row>
    <row r="2532" spans="1:5" x14ac:dyDescent="0.25">
      <c r="A2532" t="s">
        <v>163</v>
      </c>
      <c r="B2532" t="s">
        <v>188</v>
      </c>
      <c r="C2532" t="s">
        <v>64</v>
      </c>
      <c r="D2532" s="10">
        <v>0</v>
      </c>
      <c r="E2532" t="str">
        <f>$A2532&amp;Keys!$C$54&amp;$B2532&amp;Keys!$C$54&amp;$C2532</f>
        <v>TX|production|hard coal</v>
      </c>
    </row>
    <row r="2533" spans="1:5" x14ac:dyDescent="0.25">
      <c r="A2533" t="s">
        <v>163</v>
      </c>
      <c r="B2533" t="s">
        <v>191</v>
      </c>
      <c r="C2533" t="s">
        <v>64</v>
      </c>
      <c r="D2533" s="10">
        <v>861660000000000</v>
      </c>
      <c r="E2533" t="str">
        <f>$A2533&amp;Keys!$C$54&amp;$B2533&amp;Keys!$C$54&amp;$C2533</f>
        <v>TX|imports|hard coal</v>
      </c>
    </row>
    <row r="2534" spans="1:5" x14ac:dyDescent="0.25">
      <c r="A2534" t="s">
        <v>163</v>
      </c>
      <c r="B2534" t="s">
        <v>193</v>
      </c>
      <c r="C2534" t="s">
        <v>64</v>
      </c>
      <c r="D2534" s="10">
        <v>0</v>
      </c>
      <c r="E2534" t="str">
        <f>$A2534&amp;Keys!$C$54&amp;$B2534&amp;Keys!$C$54&amp;$C2534</f>
        <v>TX|exports|hard coal</v>
      </c>
    </row>
    <row r="2535" spans="1:5" x14ac:dyDescent="0.25">
      <c r="A2535" t="s">
        <v>163</v>
      </c>
      <c r="B2535" t="s">
        <v>188</v>
      </c>
      <c r="C2535" t="s">
        <v>68</v>
      </c>
      <c r="D2535" s="10">
        <v>1.04262E+16</v>
      </c>
      <c r="E2535" t="str">
        <f>$A2535&amp;Keys!$C$54&amp;$B2535&amp;Keys!$C$54&amp;$C2535</f>
        <v>TX|production|natural gas</v>
      </c>
    </row>
    <row r="2536" spans="1:5" x14ac:dyDescent="0.25">
      <c r="A2536" t="s">
        <v>163</v>
      </c>
      <c r="B2536" t="s">
        <v>191</v>
      </c>
      <c r="C2536" t="s">
        <v>68</v>
      </c>
      <c r="D2536" s="10">
        <v>2357360000000000</v>
      </c>
      <c r="E2536" t="str">
        <f>$A2536&amp;Keys!$C$54&amp;$B2536&amp;Keys!$C$54&amp;$C2536</f>
        <v>TX|imports|natural gas</v>
      </c>
    </row>
    <row r="2537" spans="1:5" x14ac:dyDescent="0.25">
      <c r="A2537" t="s">
        <v>163</v>
      </c>
      <c r="B2537" t="s">
        <v>193</v>
      </c>
      <c r="C2537" t="s">
        <v>68</v>
      </c>
      <c r="D2537" s="10">
        <v>7894640000000000</v>
      </c>
      <c r="E2537" t="str">
        <f>$A2537&amp;Keys!$C$54&amp;$B2537&amp;Keys!$C$54&amp;$C2537</f>
        <v>TX|exports|natural gas</v>
      </c>
    </row>
    <row r="2538" spans="1:5" x14ac:dyDescent="0.25">
      <c r="A2538" t="s">
        <v>163</v>
      </c>
      <c r="B2538" t="s">
        <v>188</v>
      </c>
      <c r="C2538" t="s">
        <v>71</v>
      </c>
      <c r="D2538" s="10">
        <v>0</v>
      </c>
      <c r="E2538" t="str">
        <f>$A2538&amp;Keys!$C$54&amp;$B2538&amp;Keys!$C$54&amp;$C2538</f>
        <v>TX|production|nuclear</v>
      </c>
    </row>
    <row r="2539" spans="1:5" x14ac:dyDescent="0.25">
      <c r="A2539" t="s">
        <v>163</v>
      </c>
      <c r="B2539" t="s">
        <v>191</v>
      </c>
      <c r="C2539" t="s">
        <v>71</v>
      </c>
      <c r="D2539" s="10">
        <v>437081000000000</v>
      </c>
      <c r="E2539" t="str">
        <f>$A2539&amp;Keys!$C$54&amp;$B2539&amp;Keys!$C$54&amp;$C2539</f>
        <v>TX|imports|nuclear</v>
      </c>
    </row>
    <row r="2540" spans="1:5" x14ac:dyDescent="0.25">
      <c r="A2540" t="s">
        <v>163</v>
      </c>
      <c r="B2540" t="s">
        <v>193</v>
      </c>
      <c r="C2540" t="s">
        <v>71</v>
      </c>
      <c r="D2540" s="10">
        <v>0</v>
      </c>
      <c r="E2540" t="str">
        <f>$A2540&amp;Keys!$C$54&amp;$B2540&amp;Keys!$C$54&amp;$C2540</f>
        <v>TX|exports|nuclear</v>
      </c>
    </row>
    <row r="2541" spans="1:5" x14ac:dyDescent="0.25">
      <c r="A2541" t="s">
        <v>163</v>
      </c>
      <c r="B2541" t="s">
        <v>188</v>
      </c>
      <c r="C2541" t="s">
        <v>273</v>
      </c>
      <c r="D2541" s="10">
        <v>0</v>
      </c>
      <c r="E2541" t="str">
        <f>$A2541&amp;Keys!$C$54&amp;$B2541&amp;Keys!$C$54&amp;$C2541</f>
        <v>TX|production|hydro</v>
      </c>
    </row>
    <row r="2542" spans="1:5" x14ac:dyDescent="0.25">
      <c r="A2542" t="s">
        <v>163</v>
      </c>
      <c r="B2542" t="s">
        <v>191</v>
      </c>
      <c r="C2542" t="s">
        <v>273</v>
      </c>
      <c r="D2542" s="10">
        <v>0</v>
      </c>
      <c r="E2542" t="str">
        <f>$A2542&amp;Keys!$C$54&amp;$B2542&amp;Keys!$C$54&amp;$C2542</f>
        <v>TX|imports|hydro</v>
      </c>
    </row>
    <row r="2543" spans="1:5" x14ac:dyDescent="0.25">
      <c r="A2543" t="s">
        <v>163</v>
      </c>
      <c r="B2543" t="s">
        <v>193</v>
      </c>
      <c r="C2543" t="s">
        <v>273</v>
      </c>
      <c r="D2543" s="10">
        <v>0</v>
      </c>
      <c r="E2543" t="str">
        <f>$A2543&amp;Keys!$C$54&amp;$B2543&amp;Keys!$C$54&amp;$C2543</f>
        <v>TX|exports|hydro</v>
      </c>
    </row>
    <row r="2544" spans="1:5" x14ac:dyDescent="0.25">
      <c r="A2544" t="s">
        <v>163</v>
      </c>
      <c r="B2544" t="s">
        <v>188</v>
      </c>
      <c r="C2544" t="s">
        <v>274</v>
      </c>
      <c r="D2544" s="10">
        <v>0</v>
      </c>
      <c r="E2544" t="str">
        <f>$A2544&amp;Keys!$C$54&amp;$B2544&amp;Keys!$C$54&amp;$C2544</f>
        <v>TX|production|wind</v>
      </c>
    </row>
    <row r="2545" spans="1:5" x14ac:dyDescent="0.25">
      <c r="A2545" t="s">
        <v>163</v>
      </c>
      <c r="B2545" t="s">
        <v>191</v>
      </c>
      <c r="C2545" t="s">
        <v>274</v>
      </c>
      <c r="D2545" s="10">
        <v>0</v>
      </c>
      <c r="E2545" t="str">
        <f>$A2545&amp;Keys!$C$54&amp;$B2545&amp;Keys!$C$54&amp;$C2545</f>
        <v>TX|imports|wind</v>
      </c>
    </row>
    <row r="2546" spans="1:5" x14ac:dyDescent="0.25">
      <c r="A2546" t="s">
        <v>163</v>
      </c>
      <c r="B2546" t="s">
        <v>193</v>
      </c>
      <c r="C2546" t="s">
        <v>274</v>
      </c>
      <c r="D2546" s="10">
        <v>0</v>
      </c>
      <c r="E2546" t="str">
        <f>$A2546&amp;Keys!$C$54&amp;$B2546&amp;Keys!$C$54&amp;$C2546</f>
        <v>TX|exports|wind</v>
      </c>
    </row>
    <row r="2547" spans="1:5" x14ac:dyDescent="0.25">
      <c r="A2547" t="s">
        <v>163</v>
      </c>
      <c r="B2547" t="s">
        <v>188</v>
      </c>
      <c r="C2547" t="s">
        <v>275</v>
      </c>
      <c r="D2547" s="10">
        <v>0</v>
      </c>
      <c r="E2547" t="str">
        <f>$A2547&amp;Keys!$C$54&amp;$B2547&amp;Keys!$C$54&amp;$C2547</f>
        <v>TX|production|solar</v>
      </c>
    </row>
    <row r="2548" spans="1:5" x14ac:dyDescent="0.25">
      <c r="A2548" t="s">
        <v>163</v>
      </c>
      <c r="B2548" t="s">
        <v>191</v>
      </c>
      <c r="C2548" t="s">
        <v>275</v>
      </c>
      <c r="D2548" s="10">
        <v>0</v>
      </c>
      <c r="E2548" t="str">
        <f>$A2548&amp;Keys!$C$54&amp;$B2548&amp;Keys!$C$54&amp;$C2548</f>
        <v>TX|imports|solar</v>
      </c>
    </row>
    <row r="2549" spans="1:5" x14ac:dyDescent="0.25">
      <c r="A2549" t="s">
        <v>163</v>
      </c>
      <c r="B2549" t="s">
        <v>193</v>
      </c>
      <c r="C2549" t="s">
        <v>275</v>
      </c>
      <c r="D2549" s="10">
        <v>0</v>
      </c>
      <c r="E2549" t="str">
        <f>$A2549&amp;Keys!$C$54&amp;$B2549&amp;Keys!$C$54&amp;$C2549</f>
        <v>TX|exports|solar</v>
      </c>
    </row>
    <row r="2550" spans="1:5" x14ac:dyDescent="0.25">
      <c r="A2550" t="s">
        <v>163</v>
      </c>
      <c r="B2550" t="s">
        <v>188</v>
      </c>
      <c r="C2550" t="s">
        <v>82</v>
      </c>
      <c r="D2550" s="10">
        <v>8113010000000</v>
      </c>
      <c r="E2550" t="str">
        <f>$A2550&amp;Keys!$C$54&amp;$B2550&amp;Keys!$C$54&amp;$C2550</f>
        <v>TX|production|biomass</v>
      </c>
    </row>
    <row r="2551" spans="1:5" x14ac:dyDescent="0.25">
      <c r="A2551" t="s">
        <v>163</v>
      </c>
      <c r="B2551" t="s">
        <v>191</v>
      </c>
      <c r="C2551" t="s">
        <v>82</v>
      </c>
      <c r="D2551" s="10">
        <v>78121000000000</v>
      </c>
      <c r="E2551" t="str">
        <f>$A2551&amp;Keys!$C$54&amp;$B2551&amp;Keys!$C$54&amp;$C2551</f>
        <v>TX|imports|biomass</v>
      </c>
    </row>
    <row r="2552" spans="1:5" x14ac:dyDescent="0.25">
      <c r="A2552" t="s">
        <v>163</v>
      </c>
      <c r="B2552" t="s">
        <v>193</v>
      </c>
      <c r="C2552" t="s">
        <v>82</v>
      </c>
      <c r="D2552" s="10">
        <v>0</v>
      </c>
      <c r="E2552" t="str">
        <f>$A2552&amp;Keys!$C$54&amp;$B2552&amp;Keys!$C$54&amp;$C2552</f>
        <v>TX|exports|biomass</v>
      </c>
    </row>
    <row r="2553" spans="1:5" x14ac:dyDescent="0.25">
      <c r="A2553" t="s">
        <v>163</v>
      </c>
      <c r="B2553" t="s">
        <v>188</v>
      </c>
      <c r="C2553" t="s">
        <v>85</v>
      </c>
      <c r="D2553" s="10">
        <v>6156340000000000</v>
      </c>
      <c r="E2553" t="str">
        <f>$A2553&amp;Keys!$C$54&amp;$B2553&amp;Keys!$C$54&amp;$C2553</f>
        <v>TX|production|petroleum gasoline</v>
      </c>
    </row>
    <row r="2554" spans="1:5" x14ac:dyDescent="0.25">
      <c r="A2554" t="s">
        <v>163</v>
      </c>
      <c r="B2554" t="s">
        <v>191</v>
      </c>
      <c r="C2554" t="s">
        <v>85</v>
      </c>
      <c r="D2554" s="10">
        <v>72714300000000</v>
      </c>
      <c r="E2554" t="str">
        <f>$A2554&amp;Keys!$C$54&amp;$B2554&amp;Keys!$C$54&amp;$C2554</f>
        <v>TX|imports|petroleum gasoline</v>
      </c>
    </row>
    <row r="2555" spans="1:5" x14ac:dyDescent="0.25">
      <c r="A2555" t="s">
        <v>163</v>
      </c>
      <c r="B2555" t="s">
        <v>193</v>
      </c>
      <c r="C2555" t="s">
        <v>85</v>
      </c>
      <c r="D2555" s="10">
        <v>4652260000000000</v>
      </c>
      <c r="E2555" t="str">
        <f>$A2555&amp;Keys!$C$54&amp;$B2555&amp;Keys!$C$54&amp;$C2555</f>
        <v>TX|exports|petroleum gasoline</v>
      </c>
    </row>
    <row r="2556" spans="1:5" x14ac:dyDescent="0.25">
      <c r="A2556" t="s">
        <v>163</v>
      </c>
      <c r="B2556" t="s">
        <v>188</v>
      </c>
      <c r="C2556" t="s">
        <v>88</v>
      </c>
      <c r="D2556" s="10">
        <v>3641570000000000</v>
      </c>
      <c r="E2556" t="str">
        <f>$A2556&amp;Keys!$C$54&amp;$B2556&amp;Keys!$C$54&amp;$C2556</f>
        <v>TX|production|petroleum diesel</v>
      </c>
    </row>
    <row r="2557" spans="1:5" x14ac:dyDescent="0.25">
      <c r="A2557" t="s">
        <v>163</v>
      </c>
      <c r="B2557" t="s">
        <v>191</v>
      </c>
      <c r="C2557" t="s">
        <v>88</v>
      </c>
      <c r="D2557" s="10">
        <v>12660200000000</v>
      </c>
      <c r="E2557" t="str">
        <f>$A2557&amp;Keys!$C$54&amp;$B2557&amp;Keys!$C$54&amp;$C2557</f>
        <v>TX|imports|petroleum diesel</v>
      </c>
    </row>
    <row r="2558" spans="1:5" x14ac:dyDescent="0.25">
      <c r="A2558" t="s">
        <v>163</v>
      </c>
      <c r="B2558" t="s">
        <v>193</v>
      </c>
      <c r="C2558" t="s">
        <v>88</v>
      </c>
      <c r="D2558" s="10">
        <v>2454760000000000</v>
      </c>
      <c r="E2558" t="str">
        <f>$A2558&amp;Keys!$C$54&amp;$B2558&amp;Keys!$C$54&amp;$C2558</f>
        <v>TX|exports|petroleum diesel</v>
      </c>
    </row>
    <row r="2559" spans="1:5" x14ac:dyDescent="0.25">
      <c r="A2559" t="s">
        <v>163</v>
      </c>
      <c r="B2559" t="s">
        <v>188</v>
      </c>
      <c r="C2559" t="s">
        <v>91</v>
      </c>
      <c r="D2559" s="10">
        <v>30991300000000</v>
      </c>
      <c r="E2559" t="str">
        <f>$A2559&amp;Keys!$C$54&amp;$B2559&amp;Keys!$C$54&amp;$C2559</f>
        <v>TX|production|biofuel gasoline</v>
      </c>
    </row>
    <row r="2560" spans="1:5" x14ac:dyDescent="0.25">
      <c r="A2560" t="s">
        <v>163</v>
      </c>
      <c r="B2560" t="s">
        <v>191</v>
      </c>
      <c r="C2560" t="s">
        <v>91</v>
      </c>
      <c r="D2560" s="10">
        <v>84702400000000</v>
      </c>
      <c r="E2560" t="str">
        <f>$A2560&amp;Keys!$C$54&amp;$B2560&amp;Keys!$C$54&amp;$C2560</f>
        <v>TX|imports|biofuel gasoline</v>
      </c>
    </row>
    <row r="2561" spans="1:5" x14ac:dyDescent="0.25">
      <c r="A2561" t="s">
        <v>163</v>
      </c>
      <c r="B2561" t="s">
        <v>193</v>
      </c>
      <c r="C2561" t="s">
        <v>91</v>
      </c>
      <c r="D2561" s="10">
        <v>0</v>
      </c>
      <c r="E2561" t="str">
        <f>$A2561&amp;Keys!$C$54&amp;$B2561&amp;Keys!$C$54&amp;$C2561</f>
        <v>TX|exports|biofuel gasoline</v>
      </c>
    </row>
    <row r="2562" spans="1:5" x14ac:dyDescent="0.25">
      <c r="A2562" t="s">
        <v>163</v>
      </c>
      <c r="B2562" t="s">
        <v>188</v>
      </c>
      <c r="C2562" t="s">
        <v>94</v>
      </c>
      <c r="D2562" s="10">
        <v>52215700000000</v>
      </c>
      <c r="E2562" t="str">
        <f>$A2562&amp;Keys!$C$54&amp;$B2562&amp;Keys!$C$54&amp;$C2562</f>
        <v>TX|production|biofuel diesel</v>
      </c>
    </row>
    <row r="2563" spans="1:5" x14ac:dyDescent="0.25">
      <c r="A2563" t="s">
        <v>163</v>
      </c>
      <c r="B2563" t="s">
        <v>191</v>
      </c>
      <c r="C2563" t="s">
        <v>94</v>
      </c>
      <c r="D2563" s="10">
        <v>460494000000</v>
      </c>
      <c r="E2563" t="str">
        <f>$A2563&amp;Keys!$C$54&amp;$B2563&amp;Keys!$C$54&amp;$C2563</f>
        <v>TX|imports|biofuel diesel</v>
      </c>
    </row>
    <row r="2564" spans="1:5" x14ac:dyDescent="0.25">
      <c r="A2564" t="s">
        <v>163</v>
      </c>
      <c r="B2564" t="s">
        <v>193</v>
      </c>
      <c r="C2564" t="s">
        <v>94</v>
      </c>
      <c r="D2564" s="10">
        <v>31585700000000</v>
      </c>
      <c r="E2564" t="str">
        <f>$A2564&amp;Keys!$C$54&amp;$B2564&amp;Keys!$C$54&amp;$C2564</f>
        <v>TX|exports|biofuel diesel</v>
      </c>
    </row>
    <row r="2565" spans="1:5" x14ac:dyDescent="0.25">
      <c r="A2565" t="s">
        <v>163</v>
      </c>
      <c r="B2565" t="s">
        <v>188</v>
      </c>
      <c r="C2565" t="s">
        <v>97</v>
      </c>
      <c r="D2565" s="10">
        <v>1296320000000000</v>
      </c>
      <c r="E2565" t="str">
        <f>$A2565&amp;Keys!$C$54&amp;$B2565&amp;Keys!$C$54&amp;$C2565</f>
        <v>TX|production|jet fuel or kerosene</v>
      </c>
    </row>
    <row r="2566" spans="1:5" x14ac:dyDescent="0.25">
      <c r="A2566" t="s">
        <v>163</v>
      </c>
      <c r="B2566" t="s">
        <v>191</v>
      </c>
      <c r="C2566" t="s">
        <v>97</v>
      </c>
      <c r="D2566" s="10">
        <v>0</v>
      </c>
      <c r="E2566" t="str">
        <f>$A2566&amp;Keys!$C$54&amp;$B2566&amp;Keys!$C$54&amp;$C2566</f>
        <v>TX|imports|jet fuel or kerosene</v>
      </c>
    </row>
    <row r="2567" spans="1:5" x14ac:dyDescent="0.25">
      <c r="A2567" t="s">
        <v>163</v>
      </c>
      <c r="B2567" t="s">
        <v>193</v>
      </c>
      <c r="C2567" t="s">
        <v>97</v>
      </c>
      <c r="D2567" s="10">
        <v>982928000000000</v>
      </c>
      <c r="E2567" t="str">
        <f>$A2567&amp;Keys!$C$54&amp;$B2567&amp;Keys!$C$54&amp;$C2567</f>
        <v>TX|exports|jet fuel or kerosene</v>
      </c>
    </row>
    <row r="2568" spans="1:5" x14ac:dyDescent="0.25">
      <c r="A2568" t="s">
        <v>163</v>
      </c>
      <c r="B2568" t="s">
        <v>188</v>
      </c>
      <c r="C2568" t="s">
        <v>276</v>
      </c>
      <c r="D2568" s="10">
        <v>0</v>
      </c>
      <c r="E2568" t="str">
        <f>$A2568&amp;Keys!$C$54&amp;$B2568&amp;Keys!$C$54&amp;$C2568</f>
        <v>TX|production|heat</v>
      </c>
    </row>
    <row r="2569" spans="1:5" x14ac:dyDescent="0.25">
      <c r="A2569" t="s">
        <v>163</v>
      </c>
      <c r="B2569" t="s">
        <v>191</v>
      </c>
      <c r="C2569" t="s">
        <v>276</v>
      </c>
      <c r="D2569" s="10">
        <v>0</v>
      </c>
      <c r="E2569" t="str">
        <f>$A2569&amp;Keys!$C$54&amp;$B2569&amp;Keys!$C$54&amp;$C2569</f>
        <v>TX|imports|heat</v>
      </c>
    </row>
    <row r="2570" spans="1:5" x14ac:dyDescent="0.25">
      <c r="A2570" t="s">
        <v>163</v>
      </c>
      <c r="B2570" t="s">
        <v>193</v>
      </c>
      <c r="C2570" t="s">
        <v>276</v>
      </c>
      <c r="D2570" s="10">
        <v>0</v>
      </c>
      <c r="E2570" t="str">
        <f>$A2570&amp;Keys!$C$54&amp;$B2570&amp;Keys!$C$54&amp;$C2570</f>
        <v>TX|exports|heat</v>
      </c>
    </row>
    <row r="2571" spans="1:5" x14ac:dyDescent="0.25">
      <c r="A2571" t="s">
        <v>163</v>
      </c>
      <c r="B2571" t="s">
        <v>188</v>
      </c>
      <c r="C2571" t="s">
        <v>277</v>
      </c>
      <c r="D2571" s="10">
        <v>0</v>
      </c>
      <c r="E2571" t="str">
        <f>$A2571&amp;Keys!$C$54&amp;$B2571&amp;Keys!$C$54&amp;$C2571</f>
        <v>TX|production|geothermal</v>
      </c>
    </row>
    <row r="2572" spans="1:5" x14ac:dyDescent="0.25">
      <c r="A2572" t="s">
        <v>163</v>
      </c>
      <c r="B2572" t="s">
        <v>191</v>
      </c>
      <c r="C2572" t="s">
        <v>277</v>
      </c>
      <c r="D2572" s="10">
        <v>0</v>
      </c>
      <c r="E2572" t="str">
        <f>$A2572&amp;Keys!$C$54&amp;$B2572&amp;Keys!$C$54&amp;$C2572</f>
        <v>TX|imports|geothermal</v>
      </c>
    </row>
    <row r="2573" spans="1:5" x14ac:dyDescent="0.25">
      <c r="A2573" t="s">
        <v>163</v>
      </c>
      <c r="B2573" t="s">
        <v>193</v>
      </c>
      <c r="C2573" t="s">
        <v>277</v>
      </c>
      <c r="D2573" s="10">
        <v>0</v>
      </c>
      <c r="E2573" t="str">
        <f>$A2573&amp;Keys!$C$54&amp;$B2573&amp;Keys!$C$54&amp;$C2573</f>
        <v>TX|exports|geothermal</v>
      </c>
    </row>
    <row r="2574" spans="1:5" x14ac:dyDescent="0.25">
      <c r="A2574" t="s">
        <v>163</v>
      </c>
      <c r="B2574" t="s">
        <v>188</v>
      </c>
      <c r="C2574" t="s">
        <v>106</v>
      </c>
      <c r="D2574" s="10">
        <v>172151000000000</v>
      </c>
      <c r="E2574" t="str">
        <f>$A2574&amp;Keys!$C$54&amp;$B2574&amp;Keys!$C$54&amp;$C2574</f>
        <v>TX|production|lignite</v>
      </c>
    </row>
    <row r="2575" spans="1:5" x14ac:dyDescent="0.25">
      <c r="A2575" t="s">
        <v>163</v>
      </c>
      <c r="B2575" t="s">
        <v>191</v>
      </c>
      <c r="C2575" t="s">
        <v>106</v>
      </c>
      <c r="D2575" s="10">
        <v>33526800000000</v>
      </c>
      <c r="E2575" t="str">
        <f>$A2575&amp;Keys!$C$54&amp;$B2575&amp;Keys!$C$54&amp;$C2575</f>
        <v>TX|imports|lignite</v>
      </c>
    </row>
    <row r="2576" spans="1:5" x14ac:dyDescent="0.25">
      <c r="A2576" t="s">
        <v>163</v>
      </c>
      <c r="B2576" t="s">
        <v>193</v>
      </c>
      <c r="C2576" t="s">
        <v>106</v>
      </c>
      <c r="D2576" s="10">
        <v>63783200000000</v>
      </c>
      <c r="E2576" t="str">
        <f>$A2576&amp;Keys!$C$54&amp;$B2576&amp;Keys!$C$54&amp;$C2576</f>
        <v>TX|exports|lignite</v>
      </c>
    </row>
    <row r="2577" spans="1:5" x14ac:dyDescent="0.25">
      <c r="A2577" t="s">
        <v>163</v>
      </c>
      <c r="B2577" t="s">
        <v>188</v>
      </c>
      <c r="C2577" t="s">
        <v>109</v>
      </c>
      <c r="D2577" s="10">
        <v>1.20474E+16</v>
      </c>
      <c r="E2577" t="str">
        <f>$A2577&amp;Keys!$C$54&amp;$B2577&amp;Keys!$C$54&amp;$C2577</f>
        <v>TX|production|crude oil</v>
      </c>
    </row>
    <row r="2578" spans="1:5" x14ac:dyDescent="0.25">
      <c r="A2578" t="s">
        <v>163</v>
      </c>
      <c r="B2578" t="s">
        <v>191</v>
      </c>
      <c r="C2578" t="s">
        <v>109</v>
      </c>
      <c r="D2578" s="10">
        <v>8001010000000000</v>
      </c>
      <c r="E2578" t="str">
        <f>$A2578&amp;Keys!$C$54&amp;$B2578&amp;Keys!$C$54&amp;$C2578</f>
        <v>TX|imports|crude oil</v>
      </c>
    </row>
    <row r="2579" spans="1:5" x14ac:dyDescent="0.25">
      <c r="A2579" t="s">
        <v>163</v>
      </c>
      <c r="B2579" t="s">
        <v>193</v>
      </c>
      <c r="C2579" t="s">
        <v>109</v>
      </c>
      <c r="D2579" s="10">
        <v>7512910000000000</v>
      </c>
      <c r="E2579" t="str">
        <f>$A2579&amp;Keys!$C$54&amp;$B2579&amp;Keys!$C$54&amp;$C2579</f>
        <v>TX|exports|crude oil</v>
      </c>
    </row>
    <row r="2580" spans="1:5" x14ac:dyDescent="0.25">
      <c r="A2580" t="s">
        <v>163</v>
      </c>
      <c r="B2580" t="s">
        <v>188</v>
      </c>
      <c r="C2580" t="s">
        <v>114</v>
      </c>
      <c r="D2580" s="10">
        <v>251815000000000</v>
      </c>
      <c r="E2580" t="str">
        <f>$A2580&amp;Keys!$C$54&amp;$B2580&amp;Keys!$C$54&amp;$C2580</f>
        <v>TX|production|heavy or residual fuel oil</v>
      </c>
    </row>
    <row r="2581" spans="1:5" x14ac:dyDescent="0.25">
      <c r="A2581" t="s">
        <v>163</v>
      </c>
      <c r="B2581" t="s">
        <v>191</v>
      </c>
      <c r="C2581" t="s">
        <v>114</v>
      </c>
      <c r="D2581" s="10">
        <v>185008000000000</v>
      </c>
      <c r="E2581" t="str">
        <f>$A2581&amp;Keys!$C$54&amp;$B2581&amp;Keys!$C$54&amp;$C2581</f>
        <v>TX|imports|heavy or residual fuel oil</v>
      </c>
    </row>
    <row r="2582" spans="1:5" x14ac:dyDescent="0.25">
      <c r="A2582" t="s">
        <v>163</v>
      </c>
      <c r="B2582" t="s">
        <v>193</v>
      </c>
      <c r="C2582" t="s">
        <v>114</v>
      </c>
      <c r="D2582" s="10">
        <v>171680000000000</v>
      </c>
      <c r="E2582" t="str">
        <f>$A2582&amp;Keys!$C$54&amp;$B2582&amp;Keys!$C$54&amp;$C2582</f>
        <v>TX|exports|heavy or residual fuel oil</v>
      </c>
    </row>
    <row r="2583" spans="1:5" x14ac:dyDescent="0.25">
      <c r="A2583" t="s">
        <v>163</v>
      </c>
      <c r="B2583" t="s">
        <v>188</v>
      </c>
      <c r="C2583" t="s">
        <v>117</v>
      </c>
      <c r="D2583" s="10">
        <v>1274600000000000</v>
      </c>
      <c r="E2583" t="str">
        <f>$A2583&amp;Keys!$C$54&amp;$B2583&amp;Keys!$C$54&amp;$C2583</f>
        <v>TX|production|LPG propane or butane</v>
      </c>
    </row>
    <row r="2584" spans="1:5" x14ac:dyDescent="0.25">
      <c r="A2584" t="s">
        <v>163</v>
      </c>
      <c r="B2584" t="s">
        <v>191</v>
      </c>
      <c r="C2584" t="s">
        <v>117</v>
      </c>
      <c r="D2584" s="10">
        <v>1708760000000000</v>
      </c>
      <c r="E2584" t="str">
        <f>$A2584&amp;Keys!$C$54&amp;$B2584&amp;Keys!$C$54&amp;$C2584</f>
        <v>TX|imports|LPG propane or butane</v>
      </c>
    </row>
    <row r="2585" spans="1:5" x14ac:dyDescent="0.25">
      <c r="A2585" t="s">
        <v>163</v>
      </c>
      <c r="B2585" t="s">
        <v>193</v>
      </c>
      <c r="C2585" t="s">
        <v>117</v>
      </c>
      <c r="D2585" s="10">
        <v>0</v>
      </c>
      <c r="E2585" t="str">
        <f>$A2585&amp;Keys!$C$54&amp;$B2585&amp;Keys!$C$54&amp;$C2585</f>
        <v>TX|exports|LPG propane or butane</v>
      </c>
    </row>
    <row r="2586" spans="1:5" x14ac:dyDescent="0.25">
      <c r="A2586" t="s">
        <v>163</v>
      </c>
      <c r="B2586" t="s">
        <v>188</v>
      </c>
      <c r="C2586" t="s">
        <v>120</v>
      </c>
      <c r="D2586" s="10">
        <v>0</v>
      </c>
      <c r="E2586" t="str">
        <f>$A2586&amp;Keys!$C$54&amp;$B2586&amp;Keys!$C$54&amp;$C2586</f>
        <v>TX|production|municipal solid waste</v>
      </c>
    </row>
    <row r="2587" spans="1:5" x14ac:dyDescent="0.25">
      <c r="A2587" t="s">
        <v>163</v>
      </c>
      <c r="B2587" t="s">
        <v>191</v>
      </c>
      <c r="C2587" t="s">
        <v>120</v>
      </c>
      <c r="D2587" s="10">
        <v>0</v>
      </c>
      <c r="E2587" t="str">
        <f>$A2587&amp;Keys!$C$54&amp;$B2587&amp;Keys!$C$54&amp;$C2587</f>
        <v>TX|imports|municipal solid waste</v>
      </c>
    </row>
    <row r="2588" spans="1:5" x14ac:dyDescent="0.25">
      <c r="A2588" t="s">
        <v>163</v>
      </c>
      <c r="B2588" t="s">
        <v>193</v>
      </c>
      <c r="C2588" t="s">
        <v>120</v>
      </c>
      <c r="D2588" s="10">
        <v>0</v>
      </c>
      <c r="E2588" t="str">
        <f>$A2588&amp;Keys!$C$54&amp;$B2588&amp;Keys!$C$54&amp;$C2588</f>
        <v>TX|exports|municipal solid waste</v>
      </c>
    </row>
    <row r="2589" spans="1:5" x14ac:dyDescent="0.25">
      <c r="A2589" t="s">
        <v>163</v>
      </c>
      <c r="B2589" t="s">
        <v>188</v>
      </c>
      <c r="C2589" t="s">
        <v>123</v>
      </c>
      <c r="D2589" s="10">
        <v>51720500000000</v>
      </c>
      <c r="E2589" t="str">
        <f>$A2589&amp;Keys!$C$54&amp;$B2589&amp;Keys!$C$54&amp;$C2589</f>
        <v>TX|production|hydrogen</v>
      </c>
    </row>
    <row r="2590" spans="1:5" x14ac:dyDescent="0.25">
      <c r="A2590" t="s">
        <v>163</v>
      </c>
      <c r="B2590" t="s">
        <v>191</v>
      </c>
      <c r="C2590" t="s">
        <v>123</v>
      </c>
      <c r="D2590" s="10">
        <v>130153000000000</v>
      </c>
      <c r="E2590" t="str">
        <f>$A2590&amp;Keys!$C$54&amp;$B2590&amp;Keys!$C$54&amp;$C2590</f>
        <v>TX|imports|hydrogen</v>
      </c>
    </row>
    <row r="2591" spans="1:5" x14ac:dyDescent="0.25">
      <c r="A2591" t="s">
        <v>163</v>
      </c>
      <c r="B2591" t="s">
        <v>193</v>
      </c>
      <c r="C2591" t="s">
        <v>123</v>
      </c>
      <c r="D2591" s="10">
        <v>0</v>
      </c>
      <c r="E2591" t="str">
        <f>$A2591&amp;Keys!$C$54&amp;$B2591&amp;Keys!$C$54&amp;$C2591</f>
        <v>TX|exports|hydrogen</v>
      </c>
    </row>
    <row r="2592" spans="1:5" x14ac:dyDescent="0.25">
      <c r="A2592" t="s">
        <v>165</v>
      </c>
      <c r="B2592" t="s">
        <v>188</v>
      </c>
      <c r="C2592" t="s">
        <v>272</v>
      </c>
      <c r="D2592" s="10">
        <v>0</v>
      </c>
      <c r="E2592" t="str">
        <f>$A2592&amp;Keys!$C$54&amp;$B2592&amp;Keys!$C$54&amp;$C2592</f>
        <v>UT|production|electricity</v>
      </c>
    </row>
    <row r="2593" spans="1:5" x14ac:dyDescent="0.25">
      <c r="A2593" t="s">
        <v>165</v>
      </c>
      <c r="B2593" t="s">
        <v>191</v>
      </c>
      <c r="C2593" t="s">
        <v>272</v>
      </c>
      <c r="D2593" s="10">
        <v>0</v>
      </c>
      <c r="E2593" t="str">
        <f>$A2593&amp;Keys!$C$54&amp;$B2593&amp;Keys!$C$54&amp;$C2593</f>
        <v>UT|imports|electricity</v>
      </c>
    </row>
    <row r="2594" spans="1:5" x14ac:dyDescent="0.25">
      <c r="A2594" t="s">
        <v>165</v>
      </c>
      <c r="B2594" t="s">
        <v>193</v>
      </c>
      <c r="C2594" t="s">
        <v>272</v>
      </c>
      <c r="D2594" s="10">
        <v>0</v>
      </c>
      <c r="E2594" t="str">
        <f>$A2594&amp;Keys!$C$54&amp;$B2594&amp;Keys!$C$54&amp;$C2594</f>
        <v>UT|exports|electricity</v>
      </c>
    </row>
    <row r="2595" spans="1:5" x14ac:dyDescent="0.25">
      <c r="A2595" t="s">
        <v>165</v>
      </c>
      <c r="B2595" t="s">
        <v>188</v>
      </c>
      <c r="C2595" t="s">
        <v>64</v>
      </c>
      <c r="D2595" s="10">
        <v>152104000000000</v>
      </c>
      <c r="E2595" t="str">
        <f>$A2595&amp;Keys!$C$54&amp;$B2595&amp;Keys!$C$54&amp;$C2595</f>
        <v>UT|production|hard coal</v>
      </c>
    </row>
    <row r="2596" spans="1:5" x14ac:dyDescent="0.25">
      <c r="A2596" t="s">
        <v>165</v>
      </c>
      <c r="B2596" t="s">
        <v>191</v>
      </c>
      <c r="C2596" t="s">
        <v>64</v>
      </c>
      <c r="D2596" s="10">
        <v>68694200000000</v>
      </c>
      <c r="E2596" t="str">
        <f>$A2596&amp;Keys!$C$54&amp;$B2596&amp;Keys!$C$54&amp;$C2596</f>
        <v>UT|imports|hard coal</v>
      </c>
    </row>
    <row r="2597" spans="1:5" x14ac:dyDescent="0.25">
      <c r="A2597" t="s">
        <v>165</v>
      </c>
      <c r="B2597" t="s">
        <v>193</v>
      </c>
      <c r="C2597" t="s">
        <v>64</v>
      </c>
      <c r="D2597" s="10">
        <v>7729440000000</v>
      </c>
      <c r="E2597" t="str">
        <f>$A2597&amp;Keys!$C$54&amp;$B2597&amp;Keys!$C$54&amp;$C2597</f>
        <v>UT|exports|hard coal</v>
      </c>
    </row>
    <row r="2598" spans="1:5" x14ac:dyDescent="0.25">
      <c r="A2598" t="s">
        <v>165</v>
      </c>
      <c r="B2598" t="s">
        <v>188</v>
      </c>
      <c r="C2598" t="s">
        <v>68</v>
      </c>
      <c r="D2598" s="10">
        <v>302729000000000</v>
      </c>
      <c r="E2598" t="str">
        <f>$A2598&amp;Keys!$C$54&amp;$B2598&amp;Keys!$C$54&amp;$C2598</f>
        <v>UT|production|natural gas</v>
      </c>
    </row>
    <row r="2599" spans="1:5" x14ac:dyDescent="0.25">
      <c r="A2599" t="s">
        <v>165</v>
      </c>
      <c r="B2599" t="s">
        <v>191</v>
      </c>
      <c r="C2599" t="s">
        <v>68</v>
      </c>
      <c r="D2599" s="10">
        <v>1035480000000000</v>
      </c>
      <c r="E2599" t="str">
        <f>$A2599&amp;Keys!$C$54&amp;$B2599&amp;Keys!$C$54&amp;$C2599</f>
        <v>UT|imports|natural gas</v>
      </c>
    </row>
    <row r="2600" spans="1:5" x14ac:dyDescent="0.25">
      <c r="A2600" t="s">
        <v>165</v>
      </c>
      <c r="B2600" t="s">
        <v>193</v>
      </c>
      <c r="C2600" t="s">
        <v>68</v>
      </c>
      <c r="D2600" s="10">
        <v>1058620000000000</v>
      </c>
      <c r="E2600" t="str">
        <f>$A2600&amp;Keys!$C$54&amp;$B2600&amp;Keys!$C$54&amp;$C2600</f>
        <v>UT|exports|natural gas</v>
      </c>
    </row>
    <row r="2601" spans="1:5" x14ac:dyDescent="0.25">
      <c r="A2601" t="s">
        <v>165</v>
      </c>
      <c r="B2601" t="s">
        <v>188</v>
      </c>
      <c r="C2601" t="s">
        <v>71</v>
      </c>
      <c r="D2601" s="10">
        <v>0</v>
      </c>
      <c r="E2601" t="str">
        <f>$A2601&amp;Keys!$C$54&amp;$B2601&amp;Keys!$C$54&amp;$C2601</f>
        <v>UT|production|nuclear</v>
      </c>
    </row>
    <row r="2602" spans="1:5" x14ac:dyDescent="0.25">
      <c r="A2602" t="s">
        <v>165</v>
      </c>
      <c r="B2602" t="s">
        <v>191</v>
      </c>
      <c r="C2602" t="s">
        <v>71</v>
      </c>
      <c r="D2602" s="10">
        <v>0</v>
      </c>
      <c r="E2602" t="str">
        <f>$A2602&amp;Keys!$C$54&amp;$B2602&amp;Keys!$C$54&amp;$C2602</f>
        <v>UT|imports|nuclear</v>
      </c>
    </row>
    <row r="2603" spans="1:5" x14ac:dyDescent="0.25">
      <c r="A2603" t="s">
        <v>165</v>
      </c>
      <c r="B2603" t="s">
        <v>193</v>
      </c>
      <c r="C2603" t="s">
        <v>71</v>
      </c>
      <c r="D2603" s="10">
        <v>0</v>
      </c>
      <c r="E2603" t="str">
        <f>$A2603&amp;Keys!$C$54&amp;$B2603&amp;Keys!$C$54&amp;$C2603</f>
        <v>UT|exports|nuclear</v>
      </c>
    </row>
    <row r="2604" spans="1:5" x14ac:dyDescent="0.25">
      <c r="A2604" t="s">
        <v>165</v>
      </c>
      <c r="B2604" t="s">
        <v>188</v>
      </c>
      <c r="C2604" t="s">
        <v>273</v>
      </c>
      <c r="D2604" s="10">
        <v>0</v>
      </c>
      <c r="E2604" t="str">
        <f>$A2604&amp;Keys!$C$54&amp;$B2604&amp;Keys!$C$54&amp;$C2604</f>
        <v>UT|production|hydro</v>
      </c>
    </row>
    <row r="2605" spans="1:5" x14ac:dyDescent="0.25">
      <c r="A2605" t="s">
        <v>165</v>
      </c>
      <c r="B2605" t="s">
        <v>191</v>
      </c>
      <c r="C2605" t="s">
        <v>273</v>
      </c>
      <c r="D2605" s="10">
        <v>0</v>
      </c>
      <c r="E2605" t="str">
        <f>$A2605&amp;Keys!$C$54&amp;$B2605&amp;Keys!$C$54&amp;$C2605</f>
        <v>UT|imports|hydro</v>
      </c>
    </row>
    <row r="2606" spans="1:5" x14ac:dyDescent="0.25">
      <c r="A2606" t="s">
        <v>165</v>
      </c>
      <c r="B2606" t="s">
        <v>193</v>
      </c>
      <c r="C2606" t="s">
        <v>273</v>
      </c>
      <c r="D2606" s="10">
        <v>0</v>
      </c>
      <c r="E2606" t="str">
        <f>$A2606&amp;Keys!$C$54&amp;$B2606&amp;Keys!$C$54&amp;$C2606</f>
        <v>UT|exports|hydro</v>
      </c>
    </row>
    <row r="2607" spans="1:5" x14ac:dyDescent="0.25">
      <c r="A2607" t="s">
        <v>165</v>
      </c>
      <c r="B2607" t="s">
        <v>188</v>
      </c>
      <c r="C2607" t="s">
        <v>274</v>
      </c>
      <c r="D2607" s="10">
        <v>0</v>
      </c>
      <c r="E2607" t="str">
        <f>$A2607&amp;Keys!$C$54&amp;$B2607&amp;Keys!$C$54&amp;$C2607</f>
        <v>UT|production|wind</v>
      </c>
    </row>
    <row r="2608" spans="1:5" x14ac:dyDescent="0.25">
      <c r="A2608" t="s">
        <v>165</v>
      </c>
      <c r="B2608" t="s">
        <v>191</v>
      </c>
      <c r="C2608" t="s">
        <v>274</v>
      </c>
      <c r="D2608" s="10">
        <v>0</v>
      </c>
      <c r="E2608" t="str">
        <f>$A2608&amp;Keys!$C$54&amp;$B2608&amp;Keys!$C$54&amp;$C2608</f>
        <v>UT|imports|wind</v>
      </c>
    </row>
    <row r="2609" spans="1:5" x14ac:dyDescent="0.25">
      <c r="A2609" t="s">
        <v>165</v>
      </c>
      <c r="B2609" t="s">
        <v>193</v>
      </c>
      <c r="C2609" t="s">
        <v>274</v>
      </c>
      <c r="D2609" s="10">
        <v>0</v>
      </c>
      <c r="E2609" t="str">
        <f>$A2609&amp;Keys!$C$54&amp;$B2609&amp;Keys!$C$54&amp;$C2609</f>
        <v>UT|exports|wind</v>
      </c>
    </row>
    <row r="2610" spans="1:5" x14ac:dyDescent="0.25">
      <c r="A2610" t="s">
        <v>165</v>
      </c>
      <c r="B2610" t="s">
        <v>188</v>
      </c>
      <c r="C2610" t="s">
        <v>275</v>
      </c>
      <c r="D2610" s="10">
        <v>0</v>
      </c>
      <c r="E2610" t="str">
        <f>$A2610&amp;Keys!$C$54&amp;$B2610&amp;Keys!$C$54&amp;$C2610</f>
        <v>UT|production|solar</v>
      </c>
    </row>
    <row r="2611" spans="1:5" x14ac:dyDescent="0.25">
      <c r="A2611" t="s">
        <v>165</v>
      </c>
      <c r="B2611" t="s">
        <v>191</v>
      </c>
      <c r="C2611" t="s">
        <v>275</v>
      </c>
      <c r="D2611" s="10">
        <v>0</v>
      </c>
      <c r="E2611" t="str">
        <f>$A2611&amp;Keys!$C$54&amp;$B2611&amp;Keys!$C$54&amp;$C2611</f>
        <v>UT|imports|solar</v>
      </c>
    </row>
    <row r="2612" spans="1:5" x14ac:dyDescent="0.25">
      <c r="A2612" t="s">
        <v>165</v>
      </c>
      <c r="B2612" t="s">
        <v>193</v>
      </c>
      <c r="C2612" t="s">
        <v>275</v>
      </c>
      <c r="D2612" s="10">
        <v>0</v>
      </c>
      <c r="E2612" t="str">
        <f>$A2612&amp;Keys!$C$54&amp;$B2612&amp;Keys!$C$54&amp;$C2612</f>
        <v>UT|exports|solar</v>
      </c>
    </row>
    <row r="2613" spans="1:5" x14ac:dyDescent="0.25">
      <c r="A2613" t="s">
        <v>165</v>
      </c>
      <c r="B2613" t="s">
        <v>188</v>
      </c>
      <c r="C2613" t="s">
        <v>82</v>
      </c>
      <c r="D2613" s="10">
        <v>152000000000</v>
      </c>
      <c r="E2613" t="str">
        <f>$A2613&amp;Keys!$C$54&amp;$B2613&amp;Keys!$C$54&amp;$C2613</f>
        <v>UT|production|biomass</v>
      </c>
    </row>
    <row r="2614" spans="1:5" x14ac:dyDescent="0.25">
      <c r="A2614" t="s">
        <v>165</v>
      </c>
      <c r="B2614" t="s">
        <v>191</v>
      </c>
      <c r="C2614" t="s">
        <v>82</v>
      </c>
      <c r="D2614" s="10">
        <v>5211760000000</v>
      </c>
      <c r="E2614" t="str">
        <f>$A2614&amp;Keys!$C$54&amp;$B2614&amp;Keys!$C$54&amp;$C2614</f>
        <v>UT|imports|biomass</v>
      </c>
    </row>
    <row r="2615" spans="1:5" x14ac:dyDescent="0.25">
      <c r="A2615" t="s">
        <v>165</v>
      </c>
      <c r="B2615" t="s">
        <v>193</v>
      </c>
      <c r="C2615" t="s">
        <v>82</v>
      </c>
      <c r="D2615" s="10">
        <v>0</v>
      </c>
      <c r="E2615" t="str">
        <f>$A2615&amp;Keys!$C$54&amp;$B2615&amp;Keys!$C$54&amp;$C2615</f>
        <v>UT|exports|biomass</v>
      </c>
    </row>
    <row r="2616" spans="1:5" x14ac:dyDescent="0.25">
      <c r="A2616" t="s">
        <v>165</v>
      </c>
      <c r="B2616" t="s">
        <v>188</v>
      </c>
      <c r="C2616" t="s">
        <v>85</v>
      </c>
      <c r="D2616" s="10">
        <v>202557000000000</v>
      </c>
      <c r="E2616" t="str">
        <f>$A2616&amp;Keys!$C$54&amp;$B2616&amp;Keys!$C$54&amp;$C2616</f>
        <v>UT|production|petroleum gasoline</v>
      </c>
    </row>
    <row r="2617" spans="1:5" x14ac:dyDescent="0.25">
      <c r="A2617" t="s">
        <v>165</v>
      </c>
      <c r="B2617" t="s">
        <v>191</v>
      </c>
      <c r="C2617" t="s">
        <v>85</v>
      </c>
      <c r="D2617" s="10">
        <v>6913790000000</v>
      </c>
      <c r="E2617" t="str">
        <f>$A2617&amp;Keys!$C$54&amp;$B2617&amp;Keys!$C$54&amp;$C2617</f>
        <v>UT|imports|petroleum gasoline</v>
      </c>
    </row>
    <row r="2618" spans="1:5" x14ac:dyDescent="0.25">
      <c r="A2618" t="s">
        <v>165</v>
      </c>
      <c r="B2618" t="s">
        <v>193</v>
      </c>
      <c r="C2618" t="s">
        <v>85</v>
      </c>
      <c r="D2618" s="10">
        <v>68245600000000</v>
      </c>
      <c r="E2618" t="str">
        <f>$A2618&amp;Keys!$C$54&amp;$B2618&amp;Keys!$C$54&amp;$C2618</f>
        <v>UT|exports|petroleum gasoline</v>
      </c>
    </row>
    <row r="2619" spans="1:5" x14ac:dyDescent="0.25">
      <c r="A2619" t="s">
        <v>165</v>
      </c>
      <c r="B2619" t="s">
        <v>188</v>
      </c>
      <c r="C2619" t="s">
        <v>88</v>
      </c>
      <c r="D2619" s="10">
        <v>119816000000000</v>
      </c>
      <c r="E2619" t="str">
        <f>$A2619&amp;Keys!$C$54&amp;$B2619&amp;Keys!$C$54&amp;$C2619</f>
        <v>UT|production|petroleum diesel</v>
      </c>
    </row>
    <row r="2620" spans="1:5" x14ac:dyDescent="0.25">
      <c r="A2620" t="s">
        <v>165</v>
      </c>
      <c r="B2620" t="s">
        <v>191</v>
      </c>
      <c r="C2620" t="s">
        <v>88</v>
      </c>
      <c r="D2620" s="10">
        <v>1209190000000</v>
      </c>
      <c r="E2620" t="str">
        <f>$A2620&amp;Keys!$C$54&amp;$B2620&amp;Keys!$C$54&amp;$C2620</f>
        <v>UT|imports|petroleum diesel</v>
      </c>
    </row>
    <row r="2621" spans="1:5" x14ac:dyDescent="0.25">
      <c r="A2621" t="s">
        <v>165</v>
      </c>
      <c r="B2621" t="s">
        <v>193</v>
      </c>
      <c r="C2621" t="s">
        <v>88</v>
      </c>
      <c r="D2621" s="10">
        <v>28008300000000</v>
      </c>
      <c r="E2621" t="str">
        <f>$A2621&amp;Keys!$C$54&amp;$B2621&amp;Keys!$C$54&amp;$C2621</f>
        <v>UT|exports|petroleum diesel</v>
      </c>
    </row>
    <row r="2622" spans="1:5" x14ac:dyDescent="0.25">
      <c r="A2622" t="s">
        <v>165</v>
      </c>
      <c r="B2622" t="s">
        <v>188</v>
      </c>
      <c r="C2622" t="s">
        <v>91</v>
      </c>
      <c r="D2622" s="10">
        <v>0</v>
      </c>
      <c r="E2622" t="str">
        <f>$A2622&amp;Keys!$C$54&amp;$B2622&amp;Keys!$C$54&amp;$C2622</f>
        <v>UT|production|biofuel gasoline</v>
      </c>
    </row>
    <row r="2623" spans="1:5" x14ac:dyDescent="0.25">
      <c r="A2623" t="s">
        <v>165</v>
      </c>
      <c r="B2623" t="s">
        <v>191</v>
      </c>
      <c r="C2623" t="s">
        <v>91</v>
      </c>
      <c r="D2623" s="10">
        <v>9095820000000</v>
      </c>
      <c r="E2623" t="str">
        <f>$A2623&amp;Keys!$C$54&amp;$B2623&amp;Keys!$C$54&amp;$C2623</f>
        <v>UT|imports|biofuel gasoline</v>
      </c>
    </row>
    <row r="2624" spans="1:5" x14ac:dyDescent="0.25">
      <c r="A2624" t="s">
        <v>165</v>
      </c>
      <c r="B2624" t="s">
        <v>193</v>
      </c>
      <c r="C2624" t="s">
        <v>91</v>
      </c>
      <c r="D2624" s="10">
        <v>0</v>
      </c>
      <c r="E2624" t="str">
        <f>$A2624&amp;Keys!$C$54&amp;$B2624&amp;Keys!$C$54&amp;$C2624</f>
        <v>UT|exports|biofuel gasoline</v>
      </c>
    </row>
    <row r="2625" spans="1:5" x14ac:dyDescent="0.25">
      <c r="A2625" t="s">
        <v>165</v>
      </c>
      <c r="B2625" t="s">
        <v>188</v>
      </c>
      <c r="C2625" t="s">
        <v>94</v>
      </c>
      <c r="D2625" s="10">
        <v>0</v>
      </c>
      <c r="E2625" t="str">
        <f>$A2625&amp;Keys!$C$54&amp;$B2625&amp;Keys!$C$54&amp;$C2625</f>
        <v>UT|production|biofuel diesel</v>
      </c>
    </row>
    <row r="2626" spans="1:5" x14ac:dyDescent="0.25">
      <c r="A2626" t="s">
        <v>165</v>
      </c>
      <c r="B2626" t="s">
        <v>191</v>
      </c>
      <c r="C2626" t="s">
        <v>94</v>
      </c>
      <c r="D2626" s="10">
        <v>323914000000</v>
      </c>
      <c r="E2626" t="str">
        <f>$A2626&amp;Keys!$C$54&amp;$B2626&amp;Keys!$C$54&amp;$C2626</f>
        <v>UT|imports|biofuel diesel</v>
      </c>
    </row>
    <row r="2627" spans="1:5" x14ac:dyDescent="0.25">
      <c r="A2627" t="s">
        <v>165</v>
      </c>
      <c r="B2627" t="s">
        <v>193</v>
      </c>
      <c r="C2627" t="s">
        <v>94</v>
      </c>
      <c r="D2627" s="10">
        <v>0</v>
      </c>
      <c r="E2627" t="str">
        <f>$A2627&amp;Keys!$C$54&amp;$B2627&amp;Keys!$C$54&amp;$C2627</f>
        <v>UT|exports|biofuel diesel</v>
      </c>
    </row>
    <row r="2628" spans="1:5" x14ac:dyDescent="0.25">
      <c r="A2628" t="s">
        <v>165</v>
      </c>
      <c r="B2628" t="s">
        <v>188</v>
      </c>
      <c r="C2628" t="s">
        <v>97</v>
      </c>
      <c r="D2628" s="10">
        <v>42651900000000</v>
      </c>
      <c r="E2628" t="str">
        <f>$A2628&amp;Keys!$C$54&amp;$B2628&amp;Keys!$C$54&amp;$C2628</f>
        <v>UT|production|jet fuel or kerosene</v>
      </c>
    </row>
    <row r="2629" spans="1:5" x14ac:dyDescent="0.25">
      <c r="A2629" t="s">
        <v>165</v>
      </c>
      <c r="B2629" t="s">
        <v>191</v>
      </c>
      <c r="C2629" t="s">
        <v>97</v>
      </c>
      <c r="D2629" s="10">
        <v>7580230000000</v>
      </c>
      <c r="E2629" t="str">
        <f>$A2629&amp;Keys!$C$54&amp;$B2629&amp;Keys!$C$54&amp;$C2629</f>
        <v>UT|imports|jet fuel or kerosene</v>
      </c>
    </row>
    <row r="2630" spans="1:5" x14ac:dyDescent="0.25">
      <c r="A2630" t="s">
        <v>165</v>
      </c>
      <c r="B2630" t="s">
        <v>193</v>
      </c>
      <c r="C2630" t="s">
        <v>97</v>
      </c>
      <c r="D2630" s="10">
        <v>0</v>
      </c>
      <c r="E2630" t="str">
        <f>$A2630&amp;Keys!$C$54&amp;$B2630&amp;Keys!$C$54&amp;$C2630</f>
        <v>UT|exports|jet fuel or kerosene</v>
      </c>
    </row>
    <row r="2631" spans="1:5" x14ac:dyDescent="0.25">
      <c r="A2631" t="s">
        <v>165</v>
      </c>
      <c r="B2631" t="s">
        <v>188</v>
      </c>
      <c r="C2631" t="s">
        <v>276</v>
      </c>
      <c r="D2631" s="10">
        <v>0</v>
      </c>
      <c r="E2631" t="str">
        <f>$A2631&amp;Keys!$C$54&amp;$B2631&amp;Keys!$C$54&amp;$C2631</f>
        <v>UT|production|heat</v>
      </c>
    </row>
    <row r="2632" spans="1:5" x14ac:dyDescent="0.25">
      <c r="A2632" t="s">
        <v>165</v>
      </c>
      <c r="B2632" t="s">
        <v>191</v>
      </c>
      <c r="C2632" t="s">
        <v>276</v>
      </c>
      <c r="D2632" s="10">
        <v>0</v>
      </c>
      <c r="E2632" t="str">
        <f>$A2632&amp;Keys!$C$54&amp;$B2632&amp;Keys!$C$54&amp;$C2632</f>
        <v>UT|imports|heat</v>
      </c>
    </row>
    <row r="2633" spans="1:5" x14ac:dyDescent="0.25">
      <c r="A2633" t="s">
        <v>165</v>
      </c>
      <c r="B2633" t="s">
        <v>193</v>
      </c>
      <c r="C2633" t="s">
        <v>276</v>
      </c>
      <c r="D2633" s="10">
        <v>0</v>
      </c>
      <c r="E2633" t="str">
        <f>$A2633&amp;Keys!$C$54&amp;$B2633&amp;Keys!$C$54&amp;$C2633</f>
        <v>UT|exports|heat</v>
      </c>
    </row>
    <row r="2634" spans="1:5" x14ac:dyDescent="0.25">
      <c r="A2634" t="s">
        <v>165</v>
      </c>
      <c r="B2634" t="s">
        <v>188</v>
      </c>
      <c r="C2634" t="s">
        <v>277</v>
      </c>
      <c r="D2634" s="10">
        <v>0</v>
      </c>
      <c r="E2634" t="str">
        <f>$A2634&amp;Keys!$C$54&amp;$B2634&amp;Keys!$C$54&amp;$C2634</f>
        <v>UT|production|geothermal</v>
      </c>
    </row>
    <row r="2635" spans="1:5" x14ac:dyDescent="0.25">
      <c r="A2635" t="s">
        <v>165</v>
      </c>
      <c r="B2635" t="s">
        <v>191</v>
      </c>
      <c r="C2635" t="s">
        <v>277</v>
      </c>
      <c r="D2635" s="10">
        <v>0</v>
      </c>
      <c r="E2635" t="str">
        <f>$A2635&amp;Keys!$C$54&amp;$B2635&amp;Keys!$C$54&amp;$C2635</f>
        <v>UT|imports|geothermal</v>
      </c>
    </row>
    <row r="2636" spans="1:5" x14ac:dyDescent="0.25">
      <c r="A2636" t="s">
        <v>165</v>
      </c>
      <c r="B2636" t="s">
        <v>193</v>
      </c>
      <c r="C2636" t="s">
        <v>277</v>
      </c>
      <c r="D2636" s="10">
        <v>0</v>
      </c>
      <c r="E2636" t="str">
        <f>$A2636&amp;Keys!$C$54&amp;$B2636&amp;Keys!$C$54&amp;$C2636</f>
        <v>UT|exports|geothermal</v>
      </c>
    </row>
    <row r="2637" spans="1:5" x14ac:dyDescent="0.25">
      <c r="A2637" t="s">
        <v>165</v>
      </c>
      <c r="B2637" t="s">
        <v>188</v>
      </c>
      <c r="C2637" t="s">
        <v>106</v>
      </c>
      <c r="D2637" s="10">
        <v>0</v>
      </c>
      <c r="E2637" t="str">
        <f>$A2637&amp;Keys!$C$54&amp;$B2637&amp;Keys!$C$54&amp;$C2637</f>
        <v>UT|production|lignite</v>
      </c>
    </row>
    <row r="2638" spans="1:5" x14ac:dyDescent="0.25">
      <c r="A2638" t="s">
        <v>165</v>
      </c>
      <c r="B2638" t="s">
        <v>191</v>
      </c>
      <c r="C2638" t="s">
        <v>106</v>
      </c>
      <c r="D2638" s="10">
        <v>0</v>
      </c>
      <c r="E2638" t="str">
        <f>$A2638&amp;Keys!$C$54&amp;$B2638&amp;Keys!$C$54&amp;$C2638</f>
        <v>UT|imports|lignite</v>
      </c>
    </row>
    <row r="2639" spans="1:5" x14ac:dyDescent="0.25">
      <c r="A2639" t="s">
        <v>165</v>
      </c>
      <c r="B2639" t="s">
        <v>193</v>
      </c>
      <c r="C2639" t="s">
        <v>106</v>
      </c>
      <c r="D2639" s="10">
        <v>0</v>
      </c>
      <c r="E2639" t="str">
        <f>$A2639&amp;Keys!$C$54&amp;$B2639&amp;Keys!$C$54&amp;$C2639</f>
        <v>UT|exports|lignite</v>
      </c>
    </row>
    <row r="2640" spans="1:5" x14ac:dyDescent="0.25">
      <c r="A2640" t="s">
        <v>165</v>
      </c>
      <c r="B2640" t="s">
        <v>188</v>
      </c>
      <c r="C2640" t="s">
        <v>109</v>
      </c>
      <c r="D2640" s="10">
        <v>389215000000000</v>
      </c>
      <c r="E2640" t="str">
        <f>$A2640&amp;Keys!$C$54&amp;$B2640&amp;Keys!$C$54&amp;$C2640</f>
        <v>UT|production|crude oil</v>
      </c>
    </row>
    <row r="2641" spans="1:5" x14ac:dyDescent="0.25">
      <c r="A2641" t="s">
        <v>165</v>
      </c>
      <c r="B2641" t="s">
        <v>191</v>
      </c>
      <c r="C2641" t="s">
        <v>109</v>
      </c>
      <c r="D2641" s="10">
        <v>42975000000000</v>
      </c>
      <c r="E2641" t="str">
        <f>$A2641&amp;Keys!$C$54&amp;$B2641&amp;Keys!$C$54&amp;$C2641</f>
        <v>UT|imports|crude oil</v>
      </c>
    </row>
    <row r="2642" spans="1:5" x14ac:dyDescent="0.25">
      <c r="A2642" t="s">
        <v>165</v>
      </c>
      <c r="B2642" t="s">
        <v>193</v>
      </c>
      <c r="C2642" t="s">
        <v>109</v>
      </c>
      <c r="D2642" s="10">
        <v>0</v>
      </c>
      <c r="E2642" t="str">
        <f>$A2642&amp;Keys!$C$54&amp;$B2642&amp;Keys!$C$54&amp;$C2642</f>
        <v>UT|exports|crude oil</v>
      </c>
    </row>
    <row r="2643" spans="1:5" x14ac:dyDescent="0.25">
      <c r="A2643" t="s">
        <v>165</v>
      </c>
      <c r="B2643" t="s">
        <v>188</v>
      </c>
      <c r="C2643" t="s">
        <v>114</v>
      </c>
      <c r="D2643" s="10">
        <v>8285280000000</v>
      </c>
      <c r="E2643" t="str">
        <f>$A2643&amp;Keys!$C$54&amp;$B2643&amp;Keys!$C$54&amp;$C2643</f>
        <v>UT|production|heavy or residual fuel oil</v>
      </c>
    </row>
    <row r="2644" spans="1:5" x14ac:dyDescent="0.25">
      <c r="A2644" t="s">
        <v>165</v>
      </c>
      <c r="B2644" t="s">
        <v>191</v>
      </c>
      <c r="C2644" t="s">
        <v>114</v>
      </c>
      <c r="D2644" s="10">
        <v>0</v>
      </c>
      <c r="E2644" t="str">
        <f>$A2644&amp;Keys!$C$54&amp;$B2644&amp;Keys!$C$54&amp;$C2644</f>
        <v>UT|imports|heavy or residual fuel oil</v>
      </c>
    </row>
    <row r="2645" spans="1:5" x14ac:dyDescent="0.25">
      <c r="A2645" t="s">
        <v>165</v>
      </c>
      <c r="B2645" t="s">
        <v>193</v>
      </c>
      <c r="C2645" t="s">
        <v>114</v>
      </c>
      <c r="D2645" s="10">
        <v>649470000000</v>
      </c>
      <c r="E2645" t="str">
        <f>$A2645&amp;Keys!$C$54&amp;$B2645&amp;Keys!$C$54&amp;$C2645</f>
        <v>UT|exports|heavy or residual fuel oil</v>
      </c>
    </row>
    <row r="2646" spans="1:5" x14ac:dyDescent="0.25">
      <c r="A2646" t="s">
        <v>165</v>
      </c>
      <c r="B2646" t="s">
        <v>188</v>
      </c>
      <c r="C2646" t="s">
        <v>117</v>
      </c>
      <c r="D2646" s="10">
        <v>37008500000000</v>
      </c>
      <c r="E2646" t="str">
        <f>$A2646&amp;Keys!$C$54&amp;$B2646&amp;Keys!$C$54&amp;$C2646</f>
        <v>UT|production|LPG propane or butane</v>
      </c>
    </row>
    <row r="2647" spans="1:5" x14ac:dyDescent="0.25">
      <c r="A2647" t="s">
        <v>165</v>
      </c>
      <c r="B2647" t="s">
        <v>191</v>
      </c>
      <c r="C2647" t="s">
        <v>117</v>
      </c>
      <c r="D2647" s="10">
        <v>0</v>
      </c>
      <c r="E2647" t="str">
        <f>$A2647&amp;Keys!$C$54&amp;$B2647&amp;Keys!$C$54&amp;$C2647</f>
        <v>UT|imports|LPG propane or butane</v>
      </c>
    </row>
    <row r="2648" spans="1:5" x14ac:dyDescent="0.25">
      <c r="A2648" t="s">
        <v>165</v>
      </c>
      <c r="B2648" t="s">
        <v>193</v>
      </c>
      <c r="C2648" t="s">
        <v>117</v>
      </c>
      <c r="D2648" s="10">
        <v>28763500000000</v>
      </c>
      <c r="E2648" t="str">
        <f>$A2648&amp;Keys!$C$54&amp;$B2648&amp;Keys!$C$54&amp;$C2648</f>
        <v>UT|exports|LPG propane or butane</v>
      </c>
    </row>
    <row r="2649" spans="1:5" x14ac:dyDescent="0.25">
      <c r="A2649" t="s">
        <v>165</v>
      </c>
      <c r="B2649" t="s">
        <v>188</v>
      </c>
      <c r="C2649" t="s">
        <v>120</v>
      </c>
      <c r="D2649" s="10">
        <v>0</v>
      </c>
      <c r="E2649" t="str">
        <f>$A2649&amp;Keys!$C$54&amp;$B2649&amp;Keys!$C$54&amp;$C2649</f>
        <v>UT|production|municipal solid waste</v>
      </c>
    </row>
    <row r="2650" spans="1:5" x14ac:dyDescent="0.25">
      <c r="A2650" t="s">
        <v>165</v>
      </c>
      <c r="B2650" t="s">
        <v>191</v>
      </c>
      <c r="C2650" t="s">
        <v>120</v>
      </c>
      <c r="D2650" s="10">
        <v>0</v>
      </c>
      <c r="E2650" t="str">
        <f>$A2650&amp;Keys!$C$54&amp;$B2650&amp;Keys!$C$54&amp;$C2650</f>
        <v>UT|imports|municipal solid waste</v>
      </c>
    </row>
    <row r="2651" spans="1:5" x14ac:dyDescent="0.25">
      <c r="A2651" t="s">
        <v>165</v>
      </c>
      <c r="B2651" t="s">
        <v>193</v>
      </c>
      <c r="C2651" t="s">
        <v>120</v>
      </c>
      <c r="D2651" s="10">
        <v>0</v>
      </c>
      <c r="E2651" t="str">
        <f>$A2651&amp;Keys!$C$54&amp;$B2651&amp;Keys!$C$54&amp;$C2651</f>
        <v>UT|exports|municipal solid waste</v>
      </c>
    </row>
    <row r="2652" spans="1:5" x14ac:dyDescent="0.25">
      <c r="A2652" t="s">
        <v>165</v>
      </c>
      <c r="B2652" t="s">
        <v>188</v>
      </c>
      <c r="C2652" t="s">
        <v>123</v>
      </c>
      <c r="D2652" s="10">
        <v>0</v>
      </c>
      <c r="E2652" t="str">
        <f>$A2652&amp;Keys!$C$54&amp;$B2652&amp;Keys!$C$54&amp;$C2652</f>
        <v>UT|production|hydrogen</v>
      </c>
    </row>
    <row r="2653" spans="1:5" x14ac:dyDescent="0.25">
      <c r="A2653" t="s">
        <v>165</v>
      </c>
      <c r="B2653" t="s">
        <v>191</v>
      </c>
      <c r="C2653" t="s">
        <v>123</v>
      </c>
      <c r="D2653" s="10">
        <v>2604440000000</v>
      </c>
      <c r="E2653" t="str">
        <f>$A2653&amp;Keys!$C$54&amp;$B2653&amp;Keys!$C$54&amp;$C2653</f>
        <v>UT|imports|hydrogen</v>
      </c>
    </row>
    <row r="2654" spans="1:5" x14ac:dyDescent="0.25">
      <c r="A2654" t="s">
        <v>165</v>
      </c>
      <c r="B2654" t="s">
        <v>193</v>
      </c>
      <c r="C2654" t="s">
        <v>123</v>
      </c>
      <c r="D2654" s="10">
        <v>0</v>
      </c>
      <c r="E2654" t="str">
        <f>$A2654&amp;Keys!$C$54&amp;$B2654&amp;Keys!$C$54&amp;$C2654</f>
        <v>UT|exports|hydrogen</v>
      </c>
    </row>
    <row r="2655" spans="1:5" x14ac:dyDescent="0.25">
      <c r="A2655" t="s">
        <v>167</v>
      </c>
      <c r="B2655" t="s">
        <v>188</v>
      </c>
      <c r="C2655" t="s">
        <v>272</v>
      </c>
      <c r="D2655" s="10">
        <v>0</v>
      </c>
      <c r="E2655" t="str">
        <f>$A2655&amp;Keys!$C$54&amp;$B2655&amp;Keys!$C$54&amp;$C2655</f>
        <v>VA|production|electricity</v>
      </c>
    </row>
    <row r="2656" spans="1:5" x14ac:dyDescent="0.25">
      <c r="A2656" t="s">
        <v>167</v>
      </c>
      <c r="B2656" t="s">
        <v>191</v>
      </c>
      <c r="C2656" t="s">
        <v>272</v>
      </c>
      <c r="D2656" s="10">
        <v>0</v>
      </c>
      <c r="E2656" t="str">
        <f>$A2656&amp;Keys!$C$54&amp;$B2656&amp;Keys!$C$54&amp;$C2656</f>
        <v>VA|imports|electricity</v>
      </c>
    </row>
    <row r="2657" spans="1:5" x14ac:dyDescent="0.25">
      <c r="A2657" t="s">
        <v>167</v>
      </c>
      <c r="B2657" t="s">
        <v>193</v>
      </c>
      <c r="C2657" t="s">
        <v>272</v>
      </c>
      <c r="D2657" s="10">
        <v>0</v>
      </c>
      <c r="E2657" t="str">
        <f>$A2657&amp;Keys!$C$54&amp;$B2657&amp;Keys!$C$54&amp;$C2657</f>
        <v>VA|exports|electricity</v>
      </c>
    </row>
    <row r="2658" spans="1:5" x14ac:dyDescent="0.25">
      <c r="A2658" t="s">
        <v>167</v>
      </c>
      <c r="B2658" t="s">
        <v>188</v>
      </c>
      <c r="C2658" t="s">
        <v>64</v>
      </c>
      <c r="D2658" s="10">
        <v>199872000000000</v>
      </c>
      <c r="E2658" t="str">
        <f>$A2658&amp;Keys!$C$54&amp;$B2658&amp;Keys!$C$54&amp;$C2658</f>
        <v>VA|production|hard coal</v>
      </c>
    </row>
    <row r="2659" spans="1:5" x14ac:dyDescent="0.25">
      <c r="A2659" t="s">
        <v>167</v>
      </c>
      <c r="B2659" t="s">
        <v>191</v>
      </c>
      <c r="C2659" t="s">
        <v>64</v>
      </c>
      <c r="D2659" s="10">
        <v>7779330000000</v>
      </c>
      <c r="E2659" t="str">
        <f>$A2659&amp;Keys!$C$54&amp;$B2659&amp;Keys!$C$54&amp;$C2659</f>
        <v>VA|imports|hard coal</v>
      </c>
    </row>
    <row r="2660" spans="1:5" x14ac:dyDescent="0.25">
      <c r="A2660" t="s">
        <v>167</v>
      </c>
      <c r="B2660" t="s">
        <v>193</v>
      </c>
      <c r="C2660" t="s">
        <v>64</v>
      </c>
      <c r="D2660" s="10">
        <v>128267000000000</v>
      </c>
      <c r="E2660" t="str">
        <f>$A2660&amp;Keys!$C$54&amp;$B2660&amp;Keys!$C$54&amp;$C2660</f>
        <v>VA|exports|hard coal</v>
      </c>
    </row>
    <row r="2661" spans="1:5" x14ac:dyDescent="0.25">
      <c r="A2661" t="s">
        <v>167</v>
      </c>
      <c r="B2661" t="s">
        <v>188</v>
      </c>
      <c r="C2661" t="s">
        <v>68</v>
      </c>
      <c r="D2661" s="10">
        <v>83865300000000</v>
      </c>
      <c r="E2661" t="str">
        <f>$A2661&amp;Keys!$C$54&amp;$B2661&amp;Keys!$C$54&amp;$C2661</f>
        <v>VA|production|natural gas</v>
      </c>
    </row>
    <row r="2662" spans="1:5" x14ac:dyDescent="0.25">
      <c r="A2662" t="s">
        <v>167</v>
      </c>
      <c r="B2662" t="s">
        <v>191</v>
      </c>
      <c r="C2662" t="s">
        <v>68</v>
      </c>
      <c r="D2662" s="10">
        <v>1751770000000000</v>
      </c>
      <c r="E2662" t="str">
        <f>$A2662&amp;Keys!$C$54&amp;$B2662&amp;Keys!$C$54&amp;$C2662</f>
        <v>VA|imports|natural gas</v>
      </c>
    </row>
    <row r="2663" spans="1:5" x14ac:dyDescent="0.25">
      <c r="A2663" t="s">
        <v>167</v>
      </c>
      <c r="B2663" t="s">
        <v>193</v>
      </c>
      <c r="C2663" t="s">
        <v>68</v>
      </c>
      <c r="D2663" s="10">
        <v>1090240000000000</v>
      </c>
      <c r="E2663" t="str">
        <f>$A2663&amp;Keys!$C$54&amp;$B2663&amp;Keys!$C$54&amp;$C2663</f>
        <v>VA|exports|natural gas</v>
      </c>
    </row>
    <row r="2664" spans="1:5" x14ac:dyDescent="0.25">
      <c r="A2664" t="s">
        <v>167</v>
      </c>
      <c r="B2664" t="s">
        <v>188</v>
      </c>
      <c r="C2664" t="s">
        <v>71</v>
      </c>
      <c r="D2664" s="10">
        <v>0</v>
      </c>
      <c r="E2664" t="str">
        <f>$A2664&amp;Keys!$C$54&amp;$B2664&amp;Keys!$C$54&amp;$C2664</f>
        <v>VA|production|nuclear</v>
      </c>
    </row>
    <row r="2665" spans="1:5" x14ac:dyDescent="0.25">
      <c r="A2665" t="s">
        <v>167</v>
      </c>
      <c r="B2665" t="s">
        <v>191</v>
      </c>
      <c r="C2665" t="s">
        <v>71</v>
      </c>
      <c r="D2665" s="10">
        <v>294630000000000</v>
      </c>
      <c r="E2665" t="str">
        <f>$A2665&amp;Keys!$C$54&amp;$B2665&amp;Keys!$C$54&amp;$C2665</f>
        <v>VA|imports|nuclear</v>
      </c>
    </row>
    <row r="2666" spans="1:5" x14ac:dyDescent="0.25">
      <c r="A2666" t="s">
        <v>167</v>
      </c>
      <c r="B2666" t="s">
        <v>193</v>
      </c>
      <c r="C2666" t="s">
        <v>71</v>
      </c>
      <c r="D2666" s="10">
        <v>0</v>
      </c>
      <c r="E2666" t="str">
        <f>$A2666&amp;Keys!$C$54&amp;$B2666&amp;Keys!$C$54&amp;$C2666</f>
        <v>VA|exports|nuclear</v>
      </c>
    </row>
    <row r="2667" spans="1:5" x14ac:dyDescent="0.25">
      <c r="A2667" t="s">
        <v>167</v>
      </c>
      <c r="B2667" t="s">
        <v>188</v>
      </c>
      <c r="C2667" t="s">
        <v>273</v>
      </c>
      <c r="D2667" s="10">
        <v>0</v>
      </c>
      <c r="E2667" t="str">
        <f>$A2667&amp;Keys!$C$54&amp;$B2667&amp;Keys!$C$54&amp;$C2667</f>
        <v>VA|production|hydro</v>
      </c>
    </row>
    <row r="2668" spans="1:5" x14ac:dyDescent="0.25">
      <c r="A2668" t="s">
        <v>167</v>
      </c>
      <c r="B2668" t="s">
        <v>191</v>
      </c>
      <c r="C2668" t="s">
        <v>273</v>
      </c>
      <c r="D2668" s="10">
        <v>0</v>
      </c>
      <c r="E2668" t="str">
        <f>$A2668&amp;Keys!$C$54&amp;$B2668&amp;Keys!$C$54&amp;$C2668</f>
        <v>VA|imports|hydro</v>
      </c>
    </row>
    <row r="2669" spans="1:5" x14ac:dyDescent="0.25">
      <c r="A2669" t="s">
        <v>167</v>
      </c>
      <c r="B2669" t="s">
        <v>193</v>
      </c>
      <c r="C2669" t="s">
        <v>273</v>
      </c>
      <c r="D2669" s="10">
        <v>0</v>
      </c>
      <c r="E2669" t="str">
        <f>$A2669&amp;Keys!$C$54&amp;$B2669&amp;Keys!$C$54&amp;$C2669</f>
        <v>VA|exports|hydro</v>
      </c>
    </row>
    <row r="2670" spans="1:5" x14ac:dyDescent="0.25">
      <c r="A2670" t="s">
        <v>167</v>
      </c>
      <c r="B2670" t="s">
        <v>188</v>
      </c>
      <c r="C2670" t="s">
        <v>274</v>
      </c>
      <c r="D2670" s="10">
        <v>0</v>
      </c>
      <c r="E2670" t="str">
        <f>$A2670&amp;Keys!$C$54&amp;$B2670&amp;Keys!$C$54&amp;$C2670</f>
        <v>VA|production|wind</v>
      </c>
    </row>
    <row r="2671" spans="1:5" x14ac:dyDescent="0.25">
      <c r="A2671" t="s">
        <v>167</v>
      </c>
      <c r="B2671" t="s">
        <v>191</v>
      </c>
      <c r="C2671" t="s">
        <v>274</v>
      </c>
      <c r="D2671" s="10">
        <v>0</v>
      </c>
      <c r="E2671" t="str">
        <f>$A2671&amp;Keys!$C$54&amp;$B2671&amp;Keys!$C$54&amp;$C2671</f>
        <v>VA|imports|wind</v>
      </c>
    </row>
    <row r="2672" spans="1:5" x14ac:dyDescent="0.25">
      <c r="A2672" t="s">
        <v>167</v>
      </c>
      <c r="B2672" t="s">
        <v>193</v>
      </c>
      <c r="C2672" t="s">
        <v>274</v>
      </c>
      <c r="D2672" s="10">
        <v>0</v>
      </c>
      <c r="E2672" t="str">
        <f>$A2672&amp;Keys!$C$54&amp;$B2672&amp;Keys!$C$54&amp;$C2672</f>
        <v>VA|exports|wind</v>
      </c>
    </row>
    <row r="2673" spans="1:5" x14ac:dyDescent="0.25">
      <c r="A2673" t="s">
        <v>167</v>
      </c>
      <c r="B2673" t="s">
        <v>188</v>
      </c>
      <c r="C2673" t="s">
        <v>275</v>
      </c>
      <c r="D2673" s="10">
        <v>0</v>
      </c>
      <c r="E2673" t="str">
        <f>$A2673&amp;Keys!$C$54&amp;$B2673&amp;Keys!$C$54&amp;$C2673</f>
        <v>VA|production|solar</v>
      </c>
    </row>
    <row r="2674" spans="1:5" x14ac:dyDescent="0.25">
      <c r="A2674" t="s">
        <v>167</v>
      </c>
      <c r="B2674" t="s">
        <v>191</v>
      </c>
      <c r="C2674" t="s">
        <v>275</v>
      </c>
      <c r="D2674" s="10">
        <v>0</v>
      </c>
      <c r="E2674" t="str">
        <f>$A2674&amp;Keys!$C$54&amp;$B2674&amp;Keys!$C$54&amp;$C2674</f>
        <v>VA|imports|solar</v>
      </c>
    </row>
    <row r="2675" spans="1:5" x14ac:dyDescent="0.25">
      <c r="A2675" t="s">
        <v>167</v>
      </c>
      <c r="B2675" t="s">
        <v>193</v>
      </c>
      <c r="C2675" t="s">
        <v>275</v>
      </c>
      <c r="D2675" s="10">
        <v>0</v>
      </c>
      <c r="E2675" t="str">
        <f>$A2675&amp;Keys!$C$54&amp;$B2675&amp;Keys!$C$54&amp;$C2675</f>
        <v>VA|exports|solar</v>
      </c>
    </row>
    <row r="2676" spans="1:5" x14ac:dyDescent="0.25">
      <c r="A2676" t="s">
        <v>167</v>
      </c>
      <c r="B2676" t="s">
        <v>188</v>
      </c>
      <c r="C2676" t="s">
        <v>82</v>
      </c>
      <c r="D2676" s="10">
        <v>13794500000000</v>
      </c>
      <c r="E2676" t="str">
        <f>$A2676&amp;Keys!$C$54&amp;$B2676&amp;Keys!$C$54&amp;$C2676</f>
        <v>VA|production|biomass</v>
      </c>
    </row>
    <row r="2677" spans="1:5" x14ac:dyDescent="0.25">
      <c r="A2677" t="s">
        <v>167</v>
      </c>
      <c r="B2677" t="s">
        <v>191</v>
      </c>
      <c r="C2677" t="s">
        <v>82</v>
      </c>
      <c r="D2677" s="10">
        <v>106755000000000</v>
      </c>
      <c r="E2677" t="str">
        <f>$A2677&amp;Keys!$C$54&amp;$B2677&amp;Keys!$C$54&amp;$C2677</f>
        <v>VA|imports|biomass</v>
      </c>
    </row>
    <row r="2678" spans="1:5" x14ac:dyDescent="0.25">
      <c r="A2678" t="s">
        <v>167</v>
      </c>
      <c r="B2678" t="s">
        <v>193</v>
      </c>
      <c r="C2678" t="s">
        <v>82</v>
      </c>
      <c r="D2678" s="10">
        <v>0</v>
      </c>
      <c r="E2678" t="str">
        <f>$A2678&amp;Keys!$C$54&amp;$B2678&amp;Keys!$C$54&amp;$C2678</f>
        <v>VA|exports|biomass</v>
      </c>
    </row>
    <row r="2679" spans="1:5" x14ac:dyDescent="0.25">
      <c r="A2679" t="s">
        <v>167</v>
      </c>
      <c r="B2679" t="s">
        <v>188</v>
      </c>
      <c r="C2679" t="s">
        <v>85</v>
      </c>
      <c r="D2679" s="10">
        <v>0</v>
      </c>
      <c r="E2679" t="str">
        <f>$A2679&amp;Keys!$C$54&amp;$B2679&amp;Keys!$C$54&amp;$C2679</f>
        <v>VA|production|petroleum gasoline</v>
      </c>
    </row>
    <row r="2680" spans="1:5" x14ac:dyDescent="0.25">
      <c r="A2680" t="s">
        <v>167</v>
      </c>
      <c r="B2680" t="s">
        <v>191</v>
      </c>
      <c r="C2680" t="s">
        <v>85</v>
      </c>
      <c r="D2680" s="10">
        <v>431792000000000</v>
      </c>
      <c r="E2680" t="str">
        <f>$A2680&amp;Keys!$C$54&amp;$B2680&amp;Keys!$C$54&amp;$C2680</f>
        <v>VA|imports|petroleum gasoline</v>
      </c>
    </row>
    <row r="2681" spans="1:5" x14ac:dyDescent="0.25">
      <c r="A2681" t="s">
        <v>167</v>
      </c>
      <c r="B2681" t="s">
        <v>193</v>
      </c>
      <c r="C2681" t="s">
        <v>85</v>
      </c>
      <c r="D2681" s="10">
        <v>0</v>
      </c>
      <c r="E2681" t="str">
        <f>$A2681&amp;Keys!$C$54&amp;$B2681&amp;Keys!$C$54&amp;$C2681</f>
        <v>VA|exports|petroleum gasoline</v>
      </c>
    </row>
    <row r="2682" spans="1:5" x14ac:dyDescent="0.25">
      <c r="A2682" t="s">
        <v>167</v>
      </c>
      <c r="B2682" t="s">
        <v>188</v>
      </c>
      <c r="C2682" t="s">
        <v>88</v>
      </c>
      <c r="D2682" s="10">
        <v>0</v>
      </c>
      <c r="E2682" t="str">
        <f>$A2682&amp;Keys!$C$54&amp;$B2682&amp;Keys!$C$54&amp;$C2682</f>
        <v>VA|production|petroleum diesel</v>
      </c>
    </row>
    <row r="2683" spans="1:5" x14ac:dyDescent="0.25">
      <c r="A2683" t="s">
        <v>167</v>
      </c>
      <c r="B2683" t="s">
        <v>191</v>
      </c>
      <c r="C2683" t="s">
        <v>88</v>
      </c>
      <c r="D2683" s="10">
        <v>209936000000000</v>
      </c>
      <c r="E2683" t="str">
        <f>$A2683&amp;Keys!$C$54&amp;$B2683&amp;Keys!$C$54&amp;$C2683</f>
        <v>VA|imports|petroleum diesel</v>
      </c>
    </row>
    <row r="2684" spans="1:5" x14ac:dyDescent="0.25">
      <c r="A2684" t="s">
        <v>167</v>
      </c>
      <c r="B2684" t="s">
        <v>193</v>
      </c>
      <c r="C2684" t="s">
        <v>88</v>
      </c>
      <c r="D2684" s="10">
        <v>0</v>
      </c>
      <c r="E2684" t="str">
        <f>$A2684&amp;Keys!$C$54&amp;$B2684&amp;Keys!$C$54&amp;$C2684</f>
        <v>VA|exports|petroleum diesel</v>
      </c>
    </row>
    <row r="2685" spans="1:5" x14ac:dyDescent="0.25">
      <c r="A2685" t="s">
        <v>167</v>
      </c>
      <c r="B2685" t="s">
        <v>188</v>
      </c>
      <c r="C2685" t="s">
        <v>91</v>
      </c>
      <c r="D2685" s="10">
        <v>0</v>
      </c>
      <c r="E2685" t="str">
        <f>$A2685&amp;Keys!$C$54&amp;$B2685&amp;Keys!$C$54&amp;$C2685</f>
        <v>VA|production|biofuel gasoline</v>
      </c>
    </row>
    <row r="2686" spans="1:5" x14ac:dyDescent="0.25">
      <c r="A2686" t="s">
        <v>167</v>
      </c>
      <c r="B2686" t="s">
        <v>191</v>
      </c>
      <c r="C2686" t="s">
        <v>91</v>
      </c>
      <c r="D2686" s="10">
        <v>30928600000000</v>
      </c>
      <c r="E2686" t="str">
        <f>$A2686&amp;Keys!$C$54&amp;$B2686&amp;Keys!$C$54&amp;$C2686</f>
        <v>VA|imports|biofuel gasoline</v>
      </c>
    </row>
    <row r="2687" spans="1:5" x14ac:dyDescent="0.25">
      <c r="A2687" t="s">
        <v>167</v>
      </c>
      <c r="B2687" t="s">
        <v>193</v>
      </c>
      <c r="C2687" t="s">
        <v>91</v>
      </c>
      <c r="D2687" s="10">
        <v>0</v>
      </c>
      <c r="E2687" t="str">
        <f>$A2687&amp;Keys!$C$54&amp;$B2687&amp;Keys!$C$54&amp;$C2687</f>
        <v>VA|exports|biofuel gasoline</v>
      </c>
    </row>
    <row r="2688" spans="1:5" x14ac:dyDescent="0.25">
      <c r="A2688" t="s">
        <v>167</v>
      </c>
      <c r="B2688" t="s">
        <v>188</v>
      </c>
      <c r="C2688" t="s">
        <v>94</v>
      </c>
      <c r="D2688" s="10">
        <v>339412000000</v>
      </c>
      <c r="E2688" t="str">
        <f>$A2688&amp;Keys!$C$54&amp;$B2688&amp;Keys!$C$54&amp;$C2688</f>
        <v>VA|production|biofuel diesel</v>
      </c>
    </row>
    <row r="2689" spans="1:5" x14ac:dyDescent="0.25">
      <c r="A2689" t="s">
        <v>167</v>
      </c>
      <c r="B2689" t="s">
        <v>191</v>
      </c>
      <c r="C2689" t="s">
        <v>94</v>
      </c>
      <c r="D2689" s="10">
        <v>1002320000000</v>
      </c>
      <c r="E2689" t="str">
        <f>$A2689&amp;Keys!$C$54&amp;$B2689&amp;Keys!$C$54&amp;$C2689</f>
        <v>VA|imports|biofuel diesel</v>
      </c>
    </row>
    <row r="2690" spans="1:5" x14ac:dyDescent="0.25">
      <c r="A2690" t="s">
        <v>167</v>
      </c>
      <c r="B2690" t="s">
        <v>193</v>
      </c>
      <c r="C2690" t="s">
        <v>94</v>
      </c>
      <c r="D2690" s="10">
        <v>0</v>
      </c>
      <c r="E2690" t="str">
        <f>$A2690&amp;Keys!$C$54&amp;$B2690&amp;Keys!$C$54&amp;$C2690</f>
        <v>VA|exports|biofuel diesel</v>
      </c>
    </row>
    <row r="2691" spans="1:5" x14ac:dyDescent="0.25">
      <c r="A2691" t="s">
        <v>167</v>
      </c>
      <c r="B2691" t="s">
        <v>188</v>
      </c>
      <c r="C2691" t="s">
        <v>97</v>
      </c>
      <c r="D2691" s="10">
        <v>0</v>
      </c>
      <c r="E2691" t="str">
        <f>$A2691&amp;Keys!$C$54&amp;$B2691&amp;Keys!$C$54&amp;$C2691</f>
        <v>VA|production|jet fuel or kerosene</v>
      </c>
    </row>
    <row r="2692" spans="1:5" x14ac:dyDescent="0.25">
      <c r="A2692" t="s">
        <v>167</v>
      </c>
      <c r="B2692" t="s">
        <v>191</v>
      </c>
      <c r="C2692" t="s">
        <v>97</v>
      </c>
      <c r="D2692" s="10">
        <v>114495000000000</v>
      </c>
      <c r="E2692" t="str">
        <f>$A2692&amp;Keys!$C$54&amp;$B2692&amp;Keys!$C$54&amp;$C2692</f>
        <v>VA|imports|jet fuel or kerosene</v>
      </c>
    </row>
    <row r="2693" spans="1:5" x14ac:dyDescent="0.25">
      <c r="A2693" t="s">
        <v>167</v>
      </c>
      <c r="B2693" t="s">
        <v>193</v>
      </c>
      <c r="C2693" t="s">
        <v>97</v>
      </c>
      <c r="D2693" s="10">
        <v>0</v>
      </c>
      <c r="E2693" t="str">
        <f>$A2693&amp;Keys!$C$54&amp;$B2693&amp;Keys!$C$54&amp;$C2693</f>
        <v>VA|exports|jet fuel or kerosene</v>
      </c>
    </row>
    <row r="2694" spans="1:5" x14ac:dyDescent="0.25">
      <c r="A2694" t="s">
        <v>167</v>
      </c>
      <c r="B2694" t="s">
        <v>188</v>
      </c>
      <c r="C2694" t="s">
        <v>276</v>
      </c>
      <c r="D2694" s="10">
        <v>0</v>
      </c>
      <c r="E2694" t="str">
        <f>$A2694&amp;Keys!$C$54&amp;$B2694&amp;Keys!$C$54&amp;$C2694</f>
        <v>VA|production|heat</v>
      </c>
    </row>
    <row r="2695" spans="1:5" x14ac:dyDescent="0.25">
      <c r="A2695" t="s">
        <v>167</v>
      </c>
      <c r="B2695" t="s">
        <v>191</v>
      </c>
      <c r="C2695" t="s">
        <v>276</v>
      </c>
      <c r="D2695" s="10">
        <v>0</v>
      </c>
      <c r="E2695" t="str">
        <f>$A2695&amp;Keys!$C$54&amp;$B2695&amp;Keys!$C$54&amp;$C2695</f>
        <v>VA|imports|heat</v>
      </c>
    </row>
    <row r="2696" spans="1:5" x14ac:dyDescent="0.25">
      <c r="A2696" t="s">
        <v>167</v>
      </c>
      <c r="B2696" t="s">
        <v>193</v>
      </c>
      <c r="C2696" t="s">
        <v>276</v>
      </c>
      <c r="D2696" s="10">
        <v>0</v>
      </c>
      <c r="E2696" t="str">
        <f>$A2696&amp;Keys!$C$54&amp;$B2696&amp;Keys!$C$54&amp;$C2696</f>
        <v>VA|exports|heat</v>
      </c>
    </row>
    <row r="2697" spans="1:5" x14ac:dyDescent="0.25">
      <c r="A2697" t="s">
        <v>167</v>
      </c>
      <c r="B2697" t="s">
        <v>188</v>
      </c>
      <c r="C2697" t="s">
        <v>277</v>
      </c>
      <c r="D2697" s="10">
        <v>0</v>
      </c>
      <c r="E2697" t="str">
        <f>$A2697&amp;Keys!$C$54&amp;$B2697&amp;Keys!$C$54&amp;$C2697</f>
        <v>VA|production|geothermal</v>
      </c>
    </row>
    <row r="2698" spans="1:5" x14ac:dyDescent="0.25">
      <c r="A2698" t="s">
        <v>167</v>
      </c>
      <c r="B2698" t="s">
        <v>191</v>
      </c>
      <c r="C2698" t="s">
        <v>277</v>
      </c>
      <c r="D2698" s="10">
        <v>0</v>
      </c>
      <c r="E2698" t="str">
        <f>$A2698&amp;Keys!$C$54&amp;$B2698&amp;Keys!$C$54&amp;$C2698</f>
        <v>VA|imports|geothermal</v>
      </c>
    </row>
    <row r="2699" spans="1:5" x14ac:dyDescent="0.25">
      <c r="A2699" t="s">
        <v>167</v>
      </c>
      <c r="B2699" t="s">
        <v>193</v>
      </c>
      <c r="C2699" t="s">
        <v>277</v>
      </c>
      <c r="D2699" s="10">
        <v>0</v>
      </c>
      <c r="E2699" t="str">
        <f>$A2699&amp;Keys!$C$54&amp;$B2699&amp;Keys!$C$54&amp;$C2699</f>
        <v>VA|exports|geothermal</v>
      </c>
    </row>
    <row r="2700" spans="1:5" x14ac:dyDescent="0.25">
      <c r="A2700" t="s">
        <v>167</v>
      </c>
      <c r="B2700" t="s">
        <v>188</v>
      </c>
      <c r="C2700" t="s">
        <v>106</v>
      </c>
      <c r="D2700" s="10">
        <v>0</v>
      </c>
      <c r="E2700" t="str">
        <f>$A2700&amp;Keys!$C$54&amp;$B2700&amp;Keys!$C$54&amp;$C2700</f>
        <v>VA|production|lignite</v>
      </c>
    </row>
    <row r="2701" spans="1:5" x14ac:dyDescent="0.25">
      <c r="A2701" t="s">
        <v>167</v>
      </c>
      <c r="B2701" t="s">
        <v>191</v>
      </c>
      <c r="C2701" t="s">
        <v>106</v>
      </c>
      <c r="D2701" s="10">
        <v>0</v>
      </c>
      <c r="E2701" t="str">
        <f>$A2701&amp;Keys!$C$54&amp;$B2701&amp;Keys!$C$54&amp;$C2701</f>
        <v>VA|imports|lignite</v>
      </c>
    </row>
    <row r="2702" spans="1:5" x14ac:dyDescent="0.25">
      <c r="A2702" t="s">
        <v>167</v>
      </c>
      <c r="B2702" t="s">
        <v>193</v>
      </c>
      <c r="C2702" t="s">
        <v>106</v>
      </c>
      <c r="D2702" s="10">
        <v>0</v>
      </c>
      <c r="E2702" t="str">
        <f>$A2702&amp;Keys!$C$54&amp;$B2702&amp;Keys!$C$54&amp;$C2702</f>
        <v>VA|exports|lignite</v>
      </c>
    </row>
    <row r="2703" spans="1:5" x14ac:dyDescent="0.25">
      <c r="A2703" t="s">
        <v>167</v>
      </c>
      <c r="B2703" t="s">
        <v>188</v>
      </c>
      <c r="C2703" t="s">
        <v>109</v>
      </c>
      <c r="D2703" s="10">
        <v>29000000000</v>
      </c>
      <c r="E2703" t="str">
        <f>$A2703&amp;Keys!$C$54&amp;$B2703&amp;Keys!$C$54&amp;$C2703</f>
        <v>VA|production|crude oil</v>
      </c>
    </row>
    <row r="2704" spans="1:5" x14ac:dyDescent="0.25">
      <c r="A2704" t="s">
        <v>167</v>
      </c>
      <c r="B2704" t="s">
        <v>191</v>
      </c>
      <c r="C2704" t="s">
        <v>109</v>
      </c>
      <c r="D2704" s="10">
        <v>1320000000000</v>
      </c>
      <c r="E2704" t="str">
        <f>$A2704&amp;Keys!$C$54&amp;$B2704&amp;Keys!$C$54&amp;$C2704</f>
        <v>VA|imports|crude oil</v>
      </c>
    </row>
    <row r="2705" spans="1:5" x14ac:dyDescent="0.25">
      <c r="A2705" t="s">
        <v>167</v>
      </c>
      <c r="B2705" t="s">
        <v>193</v>
      </c>
      <c r="C2705" t="s">
        <v>109</v>
      </c>
      <c r="D2705" s="10">
        <v>0</v>
      </c>
      <c r="E2705" t="str">
        <f>$A2705&amp;Keys!$C$54&amp;$B2705&amp;Keys!$C$54&amp;$C2705</f>
        <v>VA|exports|crude oil</v>
      </c>
    </row>
    <row r="2706" spans="1:5" x14ac:dyDescent="0.25">
      <c r="A2706" t="s">
        <v>167</v>
      </c>
      <c r="B2706" t="s">
        <v>188</v>
      </c>
      <c r="C2706" t="s">
        <v>114</v>
      </c>
      <c r="D2706" s="10">
        <v>0</v>
      </c>
      <c r="E2706" t="str">
        <f>$A2706&amp;Keys!$C$54&amp;$B2706&amp;Keys!$C$54&amp;$C2706</f>
        <v>VA|production|heavy or residual fuel oil</v>
      </c>
    </row>
    <row r="2707" spans="1:5" x14ac:dyDescent="0.25">
      <c r="A2707" t="s">
        <v>167</v>
      </c>
      <c r="B2707" t="s">
        <v>191</v>
      </c>
      <c r="C2707" t="s">
        <v>114</v>
      </c>
      <c r="D2707" s="10">
        <v>23061100000000</v>
      </c>
      <c r="E2707" t="str">
        <f>$A2707&amp;Keys!$C$54&amp;$B2707&amp;Keys!$C$54&amp;$C2707</f>
        <v>VA|imports|heavy or residual fuel oil</v>
      </c>
    </row>
    <row r="2708" spans="1:5" x14ac:dyDescent="0.25">
      <c r="A2708" t="s">
        <v>167</v>
      </c>
      <c r="B2708" t="s">
        <v>193</v>
      </c>
      <c r="C2708" t="s">
        <v>114</v>
      </c>
      <c r="D2708" s="10">
        <v>0</v>
      </c>
      <c r="E2708" t="str">
        <f>$A2708&amp;Keys!$C$54&amp;$B2708&amp;Keys!$C$54&amp;$C2708</f>
        <v>VA|exports|heavy or residual fuel oil</v>
      </c>
    </row>
    <row r="2709" spans="1:5" x14ac:dyDescent="0.25">
      <c r="A2709" t="s">
        <v>167</v>
      </c>
      <c r="B2709" t="s">
        <v>188</v>
      </c>
      <c r="C2709" t="s">
        <v>117</v>
      </c>
      <c r="D2709" s="10">
        <v>10252500000000</v>
      </c>
      <c r="E2709" t="str">
        <f>$A2709&amp;Keys!$C$54&amp;$B2709&amp;Keys!$C$54&amp;$C2709</f>
        <v>VA|production|LPG propane or butane</v>
      </c>
    </row>
    <row r="2710" spans="1:5" x14ac:dyDescent="0.25">
      <c r="A2710" t="s">
        <v>167</v>
      </c>
      <c r="B2710" t="s">
        <v>191</v>
      </c>
      <c r="C2710" t="s">
        <v>117</v>
      </c>
      <c r="D2710" s="10">
        <v>14927000000000</v>
      </c>
      <c r="E2710" t="str">
        <f>$A2710&amp;Keys!$C$54&amp;$B2710&amp;Keys!$C$54&amp;$C2710</f>
        <v>VA|imports|LPG propane or butane</v>
      </c>
    </row>
    <row r="2711" spans="1:5" x14ac:dyDescent="0.25">
      <c r="A2711" t="s">
        <v>167</v>
      </c>
      <c r="B2711" t="s">
        <v>193</v>
      </c>
      <c r="C2711" t="s">
        <v>117</v>
      </c>
      <c r="D2711" s="10">
        <v>0</v>
      </c>
      <c r="E2711" t="str">
        <f>$A2711&amp;Keys!$C$54&amp;$B2711&amp;Keys!$C$54&amp;$C2711</f>
        <v>VA|exports|LPG propane or butane</v>
      </c>
    </row>
    <row r="2712" spans="1:5" x14ac:dyDescent="0.25">
      <c r="A2712" t="s">
        <v>167</v>
      </c>
      <c r="B2712" t="s">
        <v>188</v>
      </c>
      <c r="C2712" t="s">
        <v>120</v>
      </c>
      <c r="D2712" s="10">
        <v>0</v>
      </c>
      <c r="E2712" t="str">
        <f>$A2712&amp;Keys!$C$54&amp;$B2712&amp;Keys!$C$54&amp;$C2712</f>
        <v>VA|production|municipal solid waste</v>
      </c>
    </row>
    <row r="2713" spans="1:5" x14ac:dyDescent="0.25">
      <c r="A2713" t="s">
        <v>167</v>
      </c>
      <c r="B2713" t="s">
        <v>191</v>
      </c>
      <c r="C2713" t="s">
        <v>120</v>
      </c>
      <c r="D2713" s="10">
        <v>0</v>
      </c>
      <c r="E2713" t="str">
        <f>$A2713&amp;Keys!$C$54&amp;$B2713&amp;Keys!$C$54&amp;$C2713</f>
        <v>VA|imports|municipal solid waste</v>
      </c>
    </row>
    <row r="2714" spans="1:5" x14ac:dyDescent="0.25">
      <c r="A2714" t="s">
        <v>167</v>
      </c>
      <c r="B2714" t="s">
        <v>193</v>
      </c>
      <c r="C2714" t="s">
        <v>120</v>
      </c>
      <c r="D2714" s="10">
        <v>0</v>
      </c>
      <c r="E2714" t="str">
        <f>$A2714&amp;Keys!$C$54&amp;$B2714&amp;Keys!$C$54&amp;$C2714</f>
        <v>VA|exports|municipal solid waste</v>
      </c>
    </row>
    <row r="2715" spans="1:5" x14ac:dyDescent="0.25">
      <c r="A2715" t="s">
        <v>167</v>
      </c>
      <c r="B2715" t="s">
        <v>188</v>
      </c>
      <c r="C2715" t="s">
        <v>123</v>
      </c>
      <c r="D2715" s="10">
        <v>0</v>
      </c>
      <c r="E2715" t="str">
        <f>$A2715&amp;Keys!$C$54&amp;$B2715&amp;Keys!$C$54&amp;$C2715</f>
        <v>VA|production|hydrogen</v>
      </c>
    </row>
    <row r="2716" spans="1:5" x14ac:dyDescent="0.25">
      <c r="A2716" t="s">
        <v>167</v>
      </c>
      <c r="B2716" t="s">
        <v>191</v>
      </c>
      <c r="C2716" t="s">
        <v>123</v>
      </c>
      <c r="D2716" s="10">
        <v>1315110000</v>
      </c>
      <c r="E2716" t="str">
        <f>$A2716&amp;Keys!$C$54&amp;$B2716&amp;Keys!$C$54&amp;$C2716</f>
        <v>VA|imports|hydrogen</v>
      </c>
    </row>
    <row r="2717" spans="1:5" x14ac:dyDescent="0.25">
      <c r="A2717" t="s">
        <v>167</v>
      </c>
      <c r="B2717" t="s">
        <v>193</v>
      </c>
      <c r="C2717" t="s">
        <v>123</v>
      </c>
      <c r="D2717" s="10">
        <v>0</v>
      </c>
      <c r="E2717" t="str">
        <f>$A2717&amp;Keys!$C$54&amp;$B2717&amp;Keys!$C$54&amp;$C2717</f>
        <v>VA|exports|hydrogen</v>
      </c>
    </row>
    <row r="2718" spans="1:5" x14ac:dyDescent="0.25">
      <c r="A2718" t="s">
        <v>169</v>
      </c>
      <c r="B2718" t="s">
        <v>188</v>
      </c>
      <c r="C2718" t="s">
        <v>272</v>
      </c>
      <c r="D2718" s="10">
        <v>0</v>
      </c>
      <c r="E2718" t="str">
        <f>$A2718&amp;Keys!$C$54&amp;$B2718&amp;Keys!$C$54&amp;$C2718</f>
        <v>VT|production|electricity</v>
      </c>
    </row>
    <row r="2719" spans="1:5" x14ac:dyDescent="0.25">
      <c r="A2719" t="s">
        <v>169</v>
      </c>
      <c r="B2719" t="s">
        <v>191</v>
      </c>
      <c r="C2719" t="s">
        <v>272</v>
      </c>
      <c r="D2719" s="10">
        <v>0</v>
      </c>
      <c r="E2719" t="str">
        <f>$A2719&amp;Keys!$C$54&amp;$B2719&amp;Keys!$C$54&amp;$C2719</f>
        <v>VT|imports|electricity</v>
      </c>
    </row>
    <row r="2720" spans="1:5" x14ac:dyDescent="0.25">
      <c r="A2720" t="s">
        <v>169</v>
      </c>
      <c r="B2720" t="s">
        <v>193</v>
      </c>
      <c r="C2720" t="s">
        <v>272</v>
      </c>
      <c r="D2720" s="10">
        <v>0</v>
      </c>
      <c r="E2720" t="str">
        <f>$A2720&amp;Keys!$C$54&amp;$B2720&amp;Keys!$C$54&amp;$C2720</f>
        <v>VT|exports|electricity</v>
      </c>
    </row>
    <row r="2721" spans="1:5" x14ac:dyDescent="0.25">
      <c r="A2721" t="s">
        <v>169</v>
      </c>
      <c r="B2721" t="s">
        <v>188</v>
      </c>
      <c r="C2721" t="s">
        <v>64</v>
      </c>
      <c r="D2721" s="10">
        <v>0</v>
      </c>
      <c r="E2721" t="str">
        <f>$A2721&amp;Keys!$C$54&amp;$B2721&amp;Keys!$C$54&amp;$C2721</f>
        <v>VT|production|hard coal</v>
      </c>
    </row>
    <row r="2722" spans="1:5" x14ac:dyDescent="0.25">
      <c r="A2722" t="s">
        <v>169</v>
      </c>
      <c r="B2722" t="s">
        <v>191</v>
      </c>
      <c r="C2722" t="s">
        <v>64</v>
      </c>
      <c r="D2722" s="10">
        <v>0</v>
      </c>
      <c r="E2722" t="str">
        <f>$A2722&amp;Keys!$C$54&amp;$B2722&amp;Keys!$C$54&amp;$C2722</f>
        <v>VT|imports|hard coal</v>
      </c>
    </row>
    <row r="2723" spans="1:5" x14ac:dyDescent="0.25">
      <c r="A2723" t="s">
        <v>169</v>
      </c>
      <c r="B2723" t="s">
        <v>193</v>
      </c>
      <c r="C2723" t="s">
        <v>64</v>
      </c>
      <c r="D2723" s="10">
        <v>0</v>
      </c>
      <c r="E2723" t="str">
        <f>$A2723&amp;Keys!$C$54&amp;$B2723&amp;Keys!$C$54&amp;$C2723</f>
        <v>VT|exports|hard coal</v>
      </c>
    </row>
    <row r="2724" spans="1:5" x14ac:dyDescent="0.25">
      <c r="A2724" t="s">
        <v>169</v>
      </c>
      <c r="B2724" t="s">
        <v>188</v>
      </c>
      <c r="C2724" t="s">
        <v>68</v>
      </c>
      <c r="D2724" s="10">
        <v>0</v>
      </c>
      <c r="E2724" t="str">
        <f>$A2724&amp;Keys!$C$54&amp;$B2724&amp;Keys!$C$54&amp;$C2724</f>
        <v>VT|production|natural gas</v>
      </c>
    </row>
    <row r="2725" spans="1:5" x14ac:dyDescent="0.25">
      <c r="A2725" t="s">
        <v>169</v>
      </c>
      <c r="B2725" t="s">
        <v>191</v>
      </c>
      <c r="C2725" t="s">
        <v>68</v>
      </c>
      <c r="D2725" s="10">
        <v>170115000000000</v>
      </c>
      <c r="E2725" t="str">
        <f>$A2725&amp;Keys!$C$54&amp;$B2725&amp;Keys!$C$54&amp;$C2725</f>
        <v>VT|imports|natural gas</v>
      </c>
    </row>
    <row r="2726" spans="1:5" x14ac:dyDescent="0.25">
      <c r="A2726" t="s">
        <v>169</v>
      </c>
      <c r="B2726" t="s">
        <v>193</v>
      </c>
      <c r="C2726" t="s">
        <v>68</v>
      </c>
      <c r="D2726" s="10">
        <v>157126000000000</v>
      </c>
      <c r="E2726" t="str">
        <f>$A2726&amp;Keys!$C$54&amp;$B2726&amp;Keys!$C$54&amp;$C2726</f>
        <v>VT|exports|natural gas</v>
      </c>
    </row>
    <row r="2727" spans="1:5" x14ac:dyDescent="0.25">
      <c r="A2727" t="s">
        <v>169</v>
      </c>
      <c r="B2727" t="s">
        <v>188</v>
      </c>
      <c r="C2727" t="s">
        <v>71</v>
      </c>
      <c r="D2727" s="10">
        <v>0</v>
      </c>
      <c r="E2727" t="str">
        <f>$A2727&amp;Keys!$C$54&amp;$B2727&amp;Keys!$C$54&amp;$C2727</f>
        <v>VT|production|nuclear</v>
      </c>
    </row>
    <row r="2728" spans="1:5" x14ac:dyDescent="0.25">
      <c r="A2728" t="s">
        <v>169</v>
      </c>
      <c r="B2728" t="s">
        <v>191</v>
      </c>
      <c r="C2728" t="s">
        <v>71</v>
      </c>
      <c r="D2728" s="10">
        <v>0</v>
      </c>
      <c r="E2728" t="str">
        <f>$A2728&amp;Keys!$C$54&amp;$B2728&amp;Keys!$C$54&amp;$C2728</f>
        <v>VT|imports|nuclear</v>
      </c>
    </row>
    <row r="2729" spans="1:5" x14ac:dyDescent="0.25">
      <c r="A2729" t="s">
        <v>169</v>
      </c>
      <c r="B2729" t="s">
        <v>193</v>
      </c>
      <c r="C2729" t="s">
        <v>71</v>
      </c>
      <c r="D2729" s="10">
        <v>0</v>
      </c>
      <c r="E2729" t="str">
        <f>$A2729&amp;Keys!$C$54&amp;$B2729&amp;Keys!$C$54&amp;$C2729</f>
        <v>VT|exports|nuclear</v>
      </c>
    </row>
    <row r="2730" spans="1:5" x14ac:dyDescent="0.25">
      <c r="A2730" t="s">
        <v>169</v>
      </c>
      <c r="B2730" t="s">
        <v>188</v>
      </c>
      <c r="C2730" t="s">
        <v>273</v>
      </c>
      <c r="D2730" s="10">
        <v>0</v>
      </c>
      <c r="E2730" t="str">
        <f>$A2730&amp;Keys!$C$54&amp;$B2730&amp;Keys!$C$54&amp;$C2730</f>
        <v>VT|production|hydro</v>
      </c>
    </row>
    <row r="2731" spans="1:5" x14ac:dyDescent="0.25">
      <c r="A2731" t="s">
        <v>169</v>
      </c>
      <c r="B2731" t="s">
        <v>191</v>
      </c>
      <c r="C2731" t="s">
        <v>273</v>
      </c>
      <c r="D2731" s="10">
        <v>0</v>
      </c>
      <c r="E2731" t="str">
        <f>$A2731&amp;Keys!$C$54&amp;$B2731&amp;Keys!$C$54&amp;$C2731</f>
        <v>VT|imports|hydro</v>
      </c>
    </row>
    <row r="2732" spans="1:5" x14ac:dyDescent="0.25">
      <c r="A2732" t="s">
        <v>169</v>
      </c>
      <c r="B2732" t="s">
        <v>193</v>
      </c>
      <c r="C2732" t="s">
        <v>273</v>
      </c>
      <c r="D2732" s="10">
        <v>0</v>
      </c>
      <c r="E2732" t="str">
        <f>$A2732&amp;Keys!$C$54&amp;$B2732&amp;Keys!$C$54&amp;$C2732</f>
        <v>VT|exports|hydro</v>
      </c>
    </row>
    <row r="2733" spans="1:5" x14ac:dyDescent="0.25">
      <c r="A2733" t="s">
        <v>169</v>
      </c>
      <c r="B2733" t="s">
        <v>188</v>
      </c>
      <c r="C2733" t="s">
        <v>274</v>
      </c>
      <c r="D2733" s="10">
        <v>0</v>
      </c>
      <c r="E2733" t="str">
        <f>$A2733&amp;Keys!$C$54&amp;$B2733&amp;Keys!$C$54&amp;$C2733</f>
        <v>VT|production|wind</v>
      </c>
    </row>
    <row r="2734" spans="1:5" x14ac:dyDescent="0.25">
      <c r="A2734" t="s">
        <v>169</v>
      </c>
      <c r="B2734" t="s">
        <v>191</v>
      </c>
      <c r="C2734" t="s">
        <v>274</v>
      </c>
      <c r="D2734" s="10">
        <v>0</v>
      </c>
      <c r="E2734" t="str">
        <f>$A2734&amp;Keys!$C$54&amp;$B2734&amp;Keys!$C$54&amp;$C2734</f>
        <v>VT|imports|wind</v>
      </c>
    </row>
    <row r="2735" spans="1:5" x14ac:dyDescent="0.25">
      <c r="A2735" t="s">
        <v>169</v>
      </c>
      <c r="B2735" t="s">
        <v>193</v>
      </c>
      <c r="C2735" t="s">
        <v>274</v>
      </c>
      <c r="D2735" s="10">
        <v>0</v>
      </c>
      <c r="E2735" t="str">
        <f>$A2735&amp;Keys!$C$54&amp;$B2735&amp;Keys!$C$54&amp;$C2735</f>
        <v>VT|exports|wind</v>
      </c>
    </row>
    <row r="2736" spans="1:5" x14ac:dyDescent="0.25">
      <c r="A2736" t="s">
        <v>169</v>
      </c>
      <c r="B2736" t="s">
        <v>188</v>
      </c>
      <c r="C2736" t="s">
        <v>275</v>
      </c>
      <c r="D2736" s="10">
        <v>0</v>
      </c>
      <c r="E2736" t="str">
        <f>$A2736&amp;Keys!$C$54&amp;$B2736&amp;Keys!$C$54&amp;$C2736</f>
        <v>VT|production|solar</v>
      </c>
    </row>
    <row r="2737" spans="1:5" x14ac:dyDescent="0.25">
      <c r="A2737" t="s">
        <v>169</v>
      </c>
      <c r="B2737" t="s">
        <v>191</v>
      </c>
      <c r="C2737" t="s">
        <v>275</v>
      </c>
      <c r="D2737" s="10">
        <v>0</v>
      </c>
      <c r="E2737" t="str">
        <f>$A2737&amp;Keys!$C$54&amp;$B2737&amp;Keys!$C$54&amp;$C2737</f>
        <v>VT|imports|solar</v>
      </c>
    </row>
    <row r="2738" spans="1:5" x14ac:dyDescent="0.25">
      <c r="A2738" t="s">
        <v>169</v>
      </c>
      <c r="B2738" t="s">
        <v>193</v>
      </c>
      <c r="C2738" t="s">
        <v>275</v>
      </c>
      <c r="D2738" s="10">
        <v>0</v>
      </c>
      <c r="E2738" t="str">
        <f>$A2738&amp;Keys!$C$54&amp;$B2738&amp;Keys!$C$54&amp;$C2738</f>
        <v>VT|exports|solar</v>
      </c>
    </row>
    <row r="2739" spans="1:5" x14ac:dyDescent="0.25">
      <c r="A2739" t="s">
        <v>169</v>
      </c>
      <c r="B2739" t="s">
        <v>188</v>
      </c>
      <c r="C2739" t="s">
        <v>82</v>
      </c>
      <c r="D2739" s="10">
        <v>224000000000</v>
      </c>
      <c r="E2739" t="str">
        <f>$A2739&amp;Keys!$C$54&amp;$B2739&amp;Keys!$C$54&amp;$C2739</f>
        <v>VT|production|biomass</v>
      </c>
    </row>
    <row r="2740" spans="1:5" x14ac:dyDescent="0.25">
      <c r="A2740" t="s">
        <v>169</v>
      </c>
      <c r="B2740" t="s">
        <v>191</v>
      </c>
      <c r="C2740" t="s">
        <v>82</v>
      </c>
      <c r="D2740" s="10">
        <v>11585500000000</v>
      </c>
      <c r="E2740" t="str">
        <f>$A2740&amp;Keys!$C$54&amp;$B2740&amp;Keys!$C$54&amp;$C2740</f>
        <v>VT|imports|biomass</v>
      </c>
    </row>
    <row r="2741" spans="1:5" x14ac:dyDescent="0.25">
      <c r="A2741" t="s">
        <v>169</v>
      </c>
      <c r="B2741" t="s">
        <v>193</v>
      </c>
      <c r="C2741" t="s">
        <v>82</v>
      </c>
      <c r="D2741" s="10">
        <v>0</v>
      </c>
      <c r="E2741" t="str">
        <f>$A2741&amp;Keys!$C$54&amp;$B2741&amp;Keys!$C$54&amp;$C2741</f>
        <v>VT|exports|biomass</v>
      </c>
    </row>
    <row r="2742" spans="1:5" x14ac:dyDescent="0.25">
      <c r="A2742" t="s">
        <v>169</v>
      </c>
      <c r="B2742" t="s">
        <v>188</v>
      </c>
      <c r="C2742" t="s">
        <v>85</v>
      </c>
      <c r="D2742" s="10">
        <v>0</v>
      </c>
      <c r="E2742" t="str">
        <f>$A2742&amp;Keys!$C$54&amp;$B2742&amp;Keys!$C$54&amp;$C2742</f>
        <v>VT|production|petroleum gasoline</v>
      </c>
    </row>
    <row r="2743" spans="1:5" x14ac:dyDescent="0.25">
      <c r="A2743" t="s">
        <v>169</v>
      </c>
      <c r="B2743" t="s">
        <v>191</v>
      </c>
      <c r="C2743" t="s">
        <v>85</v>
      </c>
      <c r="D2743" s="10">
        <v>30055800000000</v>
      </c>
      <c r="E2743" t="str">
        <f>$A2743&amp;Keys!$C$54&amp;$B2743&amp;Keys!$C$54&amp;$C2743</f>
        <v>VT|imports|petroleum gasoline</v>
      </c>
    </row>
    <row r="2744" spans="1:5" x14ac:dyDescent="0.25">
      <c r="A2744" t="s">
        <v>169</v>
      </c>
      <c r="B2744" t="s">
        <v>193</v>
      </c>
      <c r="C2744" t="s">
        <v>85</v>
      </c>
      <c r="D2744" s="10">
        <v>0</v>
      </c>
      <c r="E2744" t="str">
        <f>$A2744&amp;Keys!$C$54&amp;$B2744&amp;Keys!$C$54&amp;$C2744</f>
        <v>VT|exports|petroleum gasoline</v>
      </c>
    </row>
    <row r="2745" spans="1:5" x14ac:dyDescent="0.25">
      <c r="A2745" t="s">
        <v>169</v>
      </c>
      <c r="B2745" t="s">
        <v>188</v>
      </c>
      <c r="C2745" t="s">
        <v>88</v>
      </c>
      <c r="D2745" s="10">
        <v>0</v>
      </c>
      <c r="E2745" t="str">
        <f>$A2745&amp;Keys!$C$54&amp;$B2745&amp;Keys!$C$54&amp;$C2745</f>
        <v>VT|production|petroleum diesel</v>
      </c>
    </row>
    <row r="2746" spans="1:5" x14ac:dyDescent="0.25">
      <c r="A2746" t="s">
        <v>169</v>
      </c>
      <c r="B2746" t="s">
        <v>191</v>
      </c>
      <c r="C2746" t="s">
        <v>88</v>
      </c>
      <c r="D2746" s="10">
        <v>25938900000000</v>
      </c>
      <c r="E2746" t="str">
        <f>$A2746&amp;Keys!$C$54&amp;$B2746&amp;Keys!$C$54&amp;$C2746</f>
        <v>VT|imports|petroleum diesel</v>
      </c>
    </row>
    <row r="2747" spans="1:5" x14ac:dyDescent="0.25">
      <c r="A2747" t="s">
        <v>169</v>
      </c>
      <c r="B2747" t="s">
        <v>193</v>
      </c>
      <c r="C2747" t="s">
        <v>88</v>
      </c>
      <c r="D2747" s="10">
        <v>0</v>
      </c>
      <c r="E2747" t="str">
        <f>$A2747&amp;Keys!$C$54&amp;$B2747&amp;Keys!$C$54&amp;$C2747</f>
        <v>VT|exports|petroleum diesel</v>
      </c>
    </row>
    <row r="2748" spans="1:5" x14ac:dyDescent="0.25">
      <c r="A2748" t="s">
        <v>169</v>
      </c>
      <c r="B2748" t="s">
        <v>188</v>
      </c>
      <c r="C2748" t="s">
        <v>91</v>
      </c>
      <c r="D2748" s="10">
        <v>0</v>
      </c>
      <c r="E2748" t="str">
        <f>$A2748&amp;Keys!$C$54&amp;$B2748&amp;Keys!$C$54&amp;$C2748</f>
        <v>VT|production|biofuel gasoline</v>
      </c>
    </row>
    <row r="2749" spans="1:5" x14ac:dyDescent="0.25">
      <c r="A2749" t="s">
        <v>169</v>
      </c>
      <c r="B2749" t="s">
        <v>191</v>
      </c>
      <c r="C2749" t="s">
        <v>91</v>
      </c>
      <c r="D2749" s="10">
        <v>2067980000000</v>
      </c>
      <c r="E2749" t="str">
        <f>$A2749&amp;Keys!$C$54&amp;$B2749&amp;Keys!$C$54&amp;$C2749</f>
        <v>VT|imports|biofuel gasoline</v>
      </c>
    </row>
    <row r="2750" spans="1:5" x14ac:dyDescent="0.25">
      <c r="A2750" t="s">
        <v>169</v>
      </c>
      <c r="B2750" t="s">
        <v>193</v>
      </c>
      <c r="C2750" t="s">
        <v>91</v>
      </c>
      <c r="D2750" s="10">
        <v>0</v>
      </c>
      <c r="E2750" t="str">
        <f>$A2750&amp;Keys!$C$54&amp;$B2750&amp;Keys!$C$54&amp;$C2750</f>
        <v>VT|exports|biofuel gasoline</v>
      </c>
    </row>
    <row r="2751" spans="1:5" x14ac:dyDescent="0.25">
      <c r="A2751" t="s">
        <v>169</v>
      </c>
      <c r="B2751" t="s">
        <v>188</v>
      </c>
      <c r="C2751" t="s">
        <v>94</v>
      </c>
      <c r="D2751" s="10">
        <v>0</v>
      </c>
      <c r="E2751" t="str">
        <f>$A2751&amp;Keys!$C$54&amp;$B2751&amp;Keys!$C$54&amp;$C2751</f>
        <v>VT|production|biofuel diesel</v>
      </c>
    </row>
    <row r="2752" spans="1:5" x14ac:dyDescent="0.25">
      <c r="A2752" t="s">
        <v>169</v>
      </c>
      <c r="B2752" t="s">
        <v>191</v>
      </c>
      <c r="C2752" t="s">
        <v>94</v>
      </c>
      <c r="D2752" s="10">
        <v>182629000000</v>
      </c>
      <c r="E2752" t="str">
        <f>$A2752&amp;Keys!$C$54&amp;$B2752&amp;Keys!$C$54&amp;$C2752</f>
        <v>VT|imports|biofuel diesel</v>
      </c>
    </row>
    <row r="2753" spans="1:5" x14ac:dyDescent="0.25">
      <c r="A2753" t="s">
        <v>169</v>
      </c>
      <c r="B2753" t="s">
        <v>193</v>
      </c>
      <c r="C2753" t="s">
        <v>94</v>
      </c>
      <c r="D2753" s="10">
        <v>0</v>
      </c>
      <c r="E2753" t="str">
        <f>$A2753&amp;Keys!$C$54&amp;$B2753&amp;Keys!$C$54&amp;$C2753</f>
        <v>VT|exports|biofuel diesel</v>
      </c>
    </row>
    <row r="2754" spans="1:5" x14ac:dyDescent="0.25">
      <c r="A2754" t="s">
        <v>169</v>
      </c>
      <c r="B2754" t="s">
        <v>188</v>
      </c>
      <c r="C2754" t="s">
        <v>97</v>
      </c>
      <c r="D2754" s="10">
        <v>0</v>
      </c>
      <c r="E2754" t="str">
        <f>$A2754&amp;Keys!$C$54&amp;$B2754&amp;Keys!$C$54&amp;$C2754</f>
        <v>VT|production|jet fuel or kerosene</v>
      </c>
    </row>
    <row r="2755" spans="1:5" x14ac:dyDescent="0.25">
      <c r="A2755" t="s">
        <v>169</v>
      </c>
      <c r="B2755" t="s">
        <v>191</v>
      </c>
      <c r="C2755" t="s">
        <v>97</v>
      </c>
      <c r="D2755" s="10">
        <v>1476690000000</v>
      </c>
      <c r="E2755" t="str">
        <f>$A2755&amp;Keys!$C$54&amp;$B2755&amp;Keys!$C$54&amp;$C2755</f>
        <v>VT|imports|jet fuel or kerosene</v>
      </c>
    </row>
    <row r="2756" spans="1:5" x14ac:dyDescent="0.25">
      <c r="A2756" t="s">
        <v>169</v>
      </c>
      <c r="B2756" t="s">
        <v>193</v>
      </c>
      <c r="C2756" t="s">
        <v>97</v>
      </c>
      <c r="D2756" s="10">
        <v>0</v>
      </c>
      <c r="E2756" t="str">
        <f>$A2756&amp;Keys!$C$54&amp;$B2756&amp;Keys!$C$54&amp;$C2756</f>
        <v>VT|exports|jet fuel or kerosene</v>
      </c>
    </row>
    <row r="2757" spans="1:5" x14ac:dyDescent="0.25">
      <c r="A2757" t="s">
        <v>169</v>
      </c>
      <c r="B2757" t="s">
        <v>188</v>
      </c>
      <c r="C2757" t="s">
        <v>276</v>
      </c>
      <c r="D2757" s="10">
        <v>0</v>
      </c>
      <c r="E2757" t="str">
        <f>$A2757&amp;Keys!$C$54&amp;$B2757&amp;Keys!$C$54&amp;$C2757</f>
        <v>VT|production|heat</v>
      </c>
    </row>
    <row r="2758" spans="1:5" x14ac:dyDescent="0.25">
      <c r="A2758" t="s">
        <v>169</v>
      </c>
      <c r="B2758" t="s">
        <v>191</v>
      </c>
      <c r="C2758" t="s">
        <v>276</v>
      </c>
      <c r="D2758" s="10">
        <v>0</v>
      </c>
      <c r="E2758" t="str">
        <f>$A2758&amp;Keys!$C$54&amp;$B2758&amp;Keys!$C$54&amp;$C2758</f>
        <v>VT|imports|heat</v>
      </c>
    </row>
    <row r="2759" spans="1:5" x14ac:dyDescent="0.25">
      <c r="A2759" t="s">
        <v>169</v>
      </c>
      <c r="B2759" t="s">
        <v>193</v>
      </c>
      <c r="C2759" t="s">
        <v>276</v>
      </c>
      <c r="D2759" s="10">
        <v>0</v>
      </c>
      <c r="E2759" t="str">
        <f>$A2759&amp;Keys!$C$54&amp;$B2759&amp;Keys!$C$54&amp;$C2759</f>
        <v>VT|exports|heat</v>
      </c>
    </row>
    <row r="2760" spans="1:5" x14ac:dyDescent="0.25">
      <c r="A2760" t="s">
        <v>169</v>
      </c>
      <c r="B2760" t="s">
        <v>188</v>
      </c>
      <c r="C2760" t="s">
        <v>277</v>
      </c>
      <c r="D2760" s="10">
        <v>0</v>
      </c>
      <c r="E2760" t="str">
        <f>$A2760&amp;Keys!$C$54&amp;$B2760&amp;Keys!$C$54&amp;$C2760</f>
        <v>VT|production|geothermal</v>
      </c>
    </row>
    <row r="2761" spans="1:5" x14ac:dyDescent="0.25">
      <c r="A2761" t="s">
        <v>169</v>
      </c>
      <c r="B2761" t="s">
        <v>191</v>
      </c>
      <c r="C2761" t="s">
        <v>277</v>
      </c>
      <c r="D2761" s="10">
        <v>0</v>
      </c>
      <c r="E2761" t="str">
        <f>$A2761&amp;Keys!$C$54&amp;$B2761&amp;Keys!$C$54&amp;$C2761</f>
        <v>VT|imports|geothermal</v>
      </c>
    </row>
    <row r="2762" spans="1:5" x14ac:dyDescent="0.25">
      <c r="A2762" t="s">
        <v>169</v>
      </c>
      <c r="B2762" t="s">
        <v>193</v>
      </c>
      <c r="C2762" t="s">
        <v>277</v>
      </c>
      <c r="D2762" s="10">
        <v>0</v>
      </c>
      <c r="E2762" t="str">
        <f>$A2762&amp;Keys!$C$54&amp;$B2762&amp;Keys!$C$54&amp;$C2762</f>
        <v>VT|exports|geothermal</v>
      </c>
    </row>
    <row r="2763" spans="1:5" x14ac:dyDescent="0.25">
      <c r="A2763" t="s">
        <v>169</v>
      </c>
      <c r="B2763" t="s">
        <v>188</v>
      </c>
      <c r="C2763" t="s">
        <v>106</v>
      </c>
      <c r="D2763" s="10">
        <v>0</v>
      </c>
      <c r="E2763" t="str">
        <f>$A2763&amp;Keys!$C$54&amp;$B2763&amp;Keys!$C$54&amp;$C2763</f>
        <v>VT|production|lignite</v>
      </c>
    </row>
    <row r="2764" spans="1:5" x14ac:dyDescent="0.25">
      <c r="A2764" t="s">
        <v>169</v>
      </c>
      <c r="B2764" t="s">
        <v>191</v>
      </c>
      <c r="C2764" t="s">
        <v>106</v>
      </c>
      <c r="D2764" s="10">
        <v>0</v>
      </c>
      <c r="E2764" t="str">
        <f>$A2764&amp;Keys!$C$54&amp;$B2764&amp;Keys!$C$54&amp;$C2764</f>
        <v>VT|imports|lignite</v>
      </c>
    </row>
    <row r="2765" spans="1:5" x14ac:dyDescent="0.25">
      <c r="A2765" t="s">
        <v>169</v>
      </c>
      <c r="B2765" t="s">
        <v>193</v>
      </c>
      <c r="C2765" t="s">
        <v>106</v>
      </c>
      <c r="D2765" s="10">
        <v>0</v>
      </c>
      <c r="E2765" t="str">
        <f>$A2765&amp;Keys!$C$54&amp;$B2765&amp;Keys!$C$54&amp;$C2765</f>
        <v>VT|exports|lignite</v>
      </c>
    </row>
    <row r="2766" spans="1:5" x14ac:dyDescent="0.25">
      <c r="A2766" t="s">
        <v>169</v>
      </c>
      <c r="B2766" t="s">
        <v>188</v>
      </c>
      <c r="C2766" t="s">
        <v>109</v>
      </c>
      <c r="D2766" s="10">
        <v>0</v>
      </c>
      <c r="E2766" t="str">
        <f>$A2766&amp;Keys!$C$54&amp;$B2766&amp;Keys!$C$54&amp;$C2766</f>
        <v>VT|production|crude oil</v>
      </c>
    </row>
    <row r="2767" spans="1:5" x14ac:dyDescent="0.25">
      <c r="A2767" t="s">
        <v>169</v>
      </c>
      <c r="B2767" t="s">
        <v>191</v>
      </c>
      <c r="C2767" t="s">
        <v>109</v>
      </c>
      <c r="D2767" s="10">
        <v>81000000000</v>
      </c>
      <c r="E2767" t="str">
        <f>$A2767&amp;Keys!$C$54&amp;$B2767&amp;Keys!$C$54&amp;$C2767</f>
        <v>VT|imports|crude oil</v>
      </c>
    </row>
    <row r="2768" spans="1:5" x14ac:dyDescent="0.25">
      <c r="A2768" t="s">
        <v>169</v>
      </c>
      <c r="B2768" t="s">
        <v>193</v>
      </c>
      <c r="C2768" t="s">
        <v>109</v>
      </c>
      <c r="D2768" s="10">
        <v>0</v>
      </c>
      <c r="E2768" t="str">
        <f>$A2768&amp;Keys!$C$54&amp;$B2768&amp;Keys!$C$54&amp;$C2768</f>
        <v>VT|exports|crude oil</v>
      </c>
    </row>
    <row r="2769" spans="1:5" x14ac:dyDescent="0.25">
      <c r="A2769" t="s">
        <v>169</v>
      </c>
      <c r="B2769" t="s">
        <v>188</v>
      </c>
      <c r="C2769" t="s">
        <v>114</v>
      </c>
      <c r="D2769" s="10">
        <v>0</v>
      </c>
      <c r="E2769" t="str">
        <f>$A2769&amp;Keys!$C$54&amp;$B2769&amp;Keys!$C$54&amp;$C2769</f>
        <v>VT|production|heavy or residual fuel oil</v>
      </c>
    </row>
    <row r="2770" spans="1:5" x14ac:dyDescent="0.25">
      <c r="A2770" t="s">
        <v>169</v>
      </c>
      <c r="B2770" t="s">
        <v>191</v>
      </c>
      <c r="C2770" t="s">
        <v>114</v>
      </c>
      <c r="D2770" s="10">
        <v>3714580000000</v>
      </c>
      <c r="E2770" t="str">
        <f>$A2770&amp;Keys!$C$54&amp;$B2770&amp;Keys!$C$54&amp;$C2770</f>
        <v>VT|imports|heavy or residual fuel oil</v>
      </c>
    </row>
    <row r="2771" spans="1:5" x14ac:dyDescent="0.25">
      <c r="A2771" t="s">
        <v>169</v>
      </c>
      <c r="B2771" t="s">
        <v>193</v>
      </c>
      <c r="C2771" t="s">
        <v>114</v>
      </c>
      <c r="D2771" s="10">
        <v>0</v>
      </c>
      <c r="E2771" t="str">
        <f>$A2771&amp;Keys!$C$54&amp;$B2771&amp;Keys!$C$54&amp;$C2771</f>
        <v>VT|exports|heavy or residual fuel oil</v>
      </c>
    </row>
    <row r="2772" spans="1:5" x14ac:dyDescent="0.25">
      <c r="A2772" t="s">
        <v>169</v>
      </c>
      <c r="B2772" t="s">
        <v>188</v>
      </c>
      <c r="C2772" t="s">
        <v>117</v>
      </c>
      <c r="D2772" s="10">
        <v>0</v>
      </c>
      <c r="E2772" t="str">
        <f>$A2772&amp;Keys!$C$54&amp;$B2772&amp;Keys!$C$54&amp;$C2772</f>
        <v>VT|production|LPG propane or butane</v>
      </c>
    </row>
    <row r="2773" spans="1:5" x14ac:dyDescent="0.25">
      <c r="A2773" t="s">
        <v>169</v>
      </c>
      <c r="B2773" t="s">
        <v>191</v>
      </c>
      <c r="C2773" t="s">
        <v>117</v>
      </c>
      <c r="D2773" s="10">
        <v>8241600000000</v>
      </c>
      <c r="E2773" t="str">
        <f>$A2773&amp;Keys!$C$54&amp;$B2773&amp;Keys!$C$54&amp;$C2773</f>
        <v>VT|imports|LPG propane or butane</v>
      </c>
    </row>
    <row r="2774" spans="1:5" x14ac:dyDescent="0.25">
      <c r="A2774" t="s">
        <v>169</v>
      </c>
      <c r="B2774" t="s">
        <v>193</v>
      </c>
      <c r="C2774" t="s">
        <v>117</v>
      </c>
      <c r="D2774" s="10">
        <v>0</v>
      </c>
      <c r="E2774" t="str">
        <f>$A2774&amp;Keys!$C$54&amp;$B2774&amp;Keys!$C$54&amp;$C2774</f>
        <v>VT|exports|LPG propane or butane</v>
      </c>
    </row>
    <row r="2775" spans="1:5" x14ac:dyDescent="0.25">
      <c r="A2775" t="s">
        <v>169</v>
      </c>
      <c r="B2775" t="s">
        <v>188</v>
      </c>
      <c r="C2775" t="s">
        <v>120</v>
      </c>
      <c r="D2775" s="10">
        <v>0</v>
      </c>
      <c r="E2775" t="str">
        <f>$A2775&amp;Keys!$C$54&amp;$B2775&amp;Keys!$C$54&amp;$C2775</f>
        <v>VT|production|municipal solid waste</v>
      </c>
    </row>
    <row r="2776" spans="1:5" x14ac:dyDescent="0.25">
      <c r="A2776" t="s">
        <v>169</v>
      </c>
      <c r="B2776" t="s">
        <v>191</v>
      </c>
      <c r="C2776" t="s">
        <v>120</v>
      </c>
      <c r="D2776" s="10">
        <v>0</v>
      </c>
      <c r="E2776" t="str">
        <f>$A2776&amp;Keys!$C$54&amp;$B2776&amp;Keys!$C$54&amp;$C2776</f>
        <v>VT|imports|municipal solid waste</v>
      </c>
    </row>
    <row r="2777" spans="1:5" x14ac:dyDescent="0.25">
      <c r="A2777" t="s">
        <v>169</v>
      </c>
      <c r="B2777" t="s">
        <v>193</v>
      </c>
      <c r="C2777" t="s">
        <v>120</v>
      </c>
      <c r="D2777" s="10">
        <v>0</v>
      </c>
      <c r="E2777" t="str">
        <f>$A2777&amp;Keys!$C$54&amp;$B2777&amp;Keys!$C$54&amp;$C2777</f>
        <v>VT|exports|municipal solid waste</v>
      </c>
    </row>
    <row r="2778" spans="1:5" x14ac:dyDescent="0.25">
      <c r="A2778" t="s">
        <v>169</v>
      </c>
      <c r="B2778" t="s">
        <v>188</v>
      </c>
      <c r="C2778" t="s">
        <v>123</v>
      </c>
      <c r="D2778" s="10">
        <v>0</v>
      </c>
      <c r="E2778" t="str">
        <f>$A2778&amp;Keys!$C$54&amp;$B2778&amp;Keys!$C$54&amp;$C2778</f>
        <v>VT|production|hydrogen</v>
      </c>
    </row>
    <row r="2779" spans="1:5" x14ac:dyDescent="0.25">
      <c r="A2779" t="s">
        <v>169</v>
      </c>
      <c r="B2779" t="s">
        <v>191</v>
      </c>
      <c r="C2779" t="s">
        <v>123</v>
      </c>
      <c r="D2779" s="10">
        <v>0</v>
      </c>
      <c r="E2779" t="str">
        <f>$A2779&amp;Keys!$C$54&amp;$B2779&amp;Keys!$C$54&amp;$C2779</f>
        <v>VT|imports|hydrogen</v>
      </c>
    </row>
    <row r="2780" spans="1:5" x14ac:dyDescent="0.25">
      <c r="A2780" t="s">
        <v>169</v>
      </c>
      <c r="B2780" t="s">
        <v>193</v>
      </c>
      <c r="C2780" t="s">
        <v>123</v>
      </c>
      <c r="D2780" s="10">
        <v>0</v>
      </c>
      <c r="E2780" t="str">
        <f>$A2780&amp;Keys!$C$54&amp;$B2780&amp;Keys!$C$54&amp;$C2780</f>
        <v>VT|exports|hydrogen</v>
      </c>
    </row>
    <row r="2781" spans="1:5" x14ac:dyDescent="0.25">
      <c r="A2781" t="s">
        <v>171</v>
      </c>
      <c r="B2781" t="s">
        <v>188</v>
      </c>
      <c r="C2781" t="s">
        <v>272</v>
      </c>
      <c r="D2781" s="10">
        <v>0</v>
      </c>
      <c r="E2781" t="str">
        <f>$A2781&amp;Keys!$C$54&amp;$B2781&amp;Keys!$C$54&amp;$C2781</f>
        <v>WA|production|electricity</v>
      </c>
    </row>
    <row r="2782" spans="1:5" x14ac:dyDescent="0.25">
      <c r="A2782" t="s">
        <v>171</v>
      </c>
      <c r="B2782" t="s">
        <v>191</v>
      </c>
      <c r="C2782" t="s">
        <v>272</v>
      </c>
      <c r="D2782" s="10">
        <v>0</v>
      </c>
      <c r="E2782" t="str">
        <f>$A2782&amp;Keys!$C$54&amp;$B2782&amp;Keys!$C$54&amp;$C2782</f>
        <v>WA|imports|electricity</v>
      </c>
    </row>
    <row r="2783" spans="1:5" x14ac:dyDescent="0.25">
      <c r="A2783" t="s">
        <v>171</v>
      </c>
      <c r="B2783" t="s">
        <v>193</v>
      </c>
      <c r="C2783" t="s">
        <v>272</v>
      </c>
      <c r="D2783" s="10">
        <v>0</v>
      </c>
      <c r="E2783" t="str">
        <f>$A2783&amp;Keys!$C$54&amp;$B2783&amp;Keys!$C$54&amp;$C2783</f>
        <v>WA|exports|electricity</v>
      </c>
    </row>
    <row r="2784" spans="1:5" x14ac:dyDescent="0.25">
      <c r="A2784" t="s">
        <v>171</v>
      </c>
      <c r="B2784" t="s">
        <v>188</v>
      </c>
      <c r="C2784" t="s">
        <v>64</v>
      </c>
      <c r="D2784" s="10">
        <v>0</v>
      </c>
      <c r="E2784" t="str">
        <f>$A2784&amp;Keys!$C$54&amp;$B2784&amp;Keys!$C$54&amp;$C2784</f>
        <v>WA|production|hard coal</v>
      </c>
    </row>
    <row r="2785" spans="1:5" x14ac:dyDescent="0.25">
      <c r="A2785" t="s">
        <v>171</v>
      </c>
      <c r="B2785" t="s">
        <v>191</v>
      </c>
      <c r="C2785" t="s">
        <v>64</v>
      </c>
      <c r="D2785" s="10">
        <v>40023700000000</v>
      </c>
      <c r="E2785" t="str">
        <f>$A2785&amp;Keys!$C$54&amp;$B2785&amp;Keys!$C$54&amp;$C2785</f>
        <v>WA|imports|hard coal</v>
      </c>
    </row>
    <row r="2786" spans="1:5" x14ac:dyDescent="0.25">
      <c r="A2786" t="s">
        <v>171</v>
      </c>
      <c r="B2786" t="s">
        <v>193</v>
      </c>
      <c r="C2786" t="s">
        <v>64</v>
      </c>
      <c r="D2786" s="10">
        <v>0</v>
      </c>
      <c r="E2786" t="str">
        <f>$A2786&amp;Keys!$C$54&amp;$B2786&amp;Keys!$C$54&amp;$C2786</f>
        <v>WA|exports|hard coal</v>
      </c>
    </row>
    <row r="2787" spans="1:5" x14ac:dyDescent="0.25">
      <c r="A2787" t="s">
        <v>171</v>
      </c>
      <c r="B2787" t="s">
        <v>188</v>
      </c>
      <c r="C2787" t="s">
        <v>68</v>
      </c>
      <c r="D2787" s="10">
        <v>0</v>
      </c>
      <c r="E2787" t="str">
        <f>$A2787&amp;Keys!$C$54&amp;$B2787&amp;Keys!$C$54&amp;$C2787</f>
        <v>WA|production|natural gas</v>
      </c>
    </row>
    <row r="2788" spans="1:5" x14ac:dyDescent="0.25">
      <c r="A2788" t="s">
        <v>171</v>
      </c>
      <c r="B2788" t="s">
        <v>191</v>
      </c>
      <c r="C2788" t="s">
        <v>68</v>
      </c>
      <c r="D2788" s="10">
        <v>1368310000000000</v>
      </c>
      <c r="E2788" t="str">
        <f>$A2788&amp;Keys!$C$54&amp;$B2788&amp;Keys!$C$54&amp;$C2788</f>
        <v>WA|imports|natural gas</v>
      </c>
    </row>
    <row r="2789" spans="1:5" x14ac:dyDescent="0.25">
      <c r="A2789" t="s">
        <v>171</v>
      </c>
      <c r="B2789" t="s">
        <v>193</v>
      </c>
      <c r="C2789" t="s">
        <v>68</v>
      </c>
      <c r="D2789" s="10">
        <v>974742000000000</v>
      </c>
      <c r="E2789" t="str">
        <f>$A2789&amp;Keys!$C$54&amp;$B2789&amp;Keys!$C$54&amp;$C2789</f>
        <v>WA|exports|natural gas</v>
      </c>
    </row>
    <row r="2790" spans="1:5" x14ac:dyDescent="0.25">
      <c r="A2790" t="s">
        <v>171</v>
      </c>
      <c r="B2790" t="s">
        <v>188</v>
      </c>
      <c r="C2790" t="s">
        <v>71</v>
      </c>
      <c r="D2790" s="10">
        <v>0</v>
      </c>
      <c r="E2790" t="str">
        <f>$A2790&amp;Keys!$C$54&amp;$B2790&amp;Keys!$C$54&amp;$C2790</f>
        <v>WA|production|nuclear</v>
      </c>
    </row>
    <row r="2791" spans="1:5" x14ac:dyDescent="0.25">
      <c r="A2791" t="s">
        <v>171</v>
      </c>
      <c r="B2791" t="s">
        <v>191</v>
      </c>
      <c r="C2791" t="s">
        <v>71</v>
      </c>
      <c r="D2791" s="10">
        <v>80910300000000</v>
      </c>
      <c r="E2791" t="str">
        <f>$A2791&amp;Keys!$C$54&amp;$B2791&amp;Keys!$C$54&amp;$C2791</f>
        <v>WA|imports|nuclear</v>
      </c>
    </row>
    <row r="2792" spans="1:5" x14ac:dyDescent="0.25">
      <c r="A2792" t="s">
        <v>171</v>
      </c>
      <c r="B2792" t="s">
        <v>193</v>
      </c>
      <c r="C2792" t="s">
        <v>71</v>
      </c>
      <c r="D2792" s="10">
        <v>0</v>
      </c>
      <c r="E2792" t="str">
        <f>$A2792&amp;Keys!$C$54&amp;$B2792&amp;Keys!$C$54&amp;$C2792</f>
        <v>WA|exports|nuclear</v>
      </c>
    </row>
    <row r="2793" spans="1:5" x14ac:dyDescent="0.25">
      <c r="A2793" t="s">
        <v>171</v>
      </c>
      <c r="B2793" t="s">
        <v>188</v>
      </c>
      <c r="C2793" t="s">
        <v>273</v>
      </c>
      <c r="D2793" s="10">
        <v>0</v>
      </c>
      <c r="E2793" t="str">
        <f>$A2793&amp;Keys!$C$54&amp;$B2793&amp;Keys!$C$54&amp;$C2793</f>
        <v>WA|production|hydro</v>
      </c>
    </row>
    <row r="2794" spans="1:5" x14ac:dyDescent="0.25">
      <c r="A2794" t="s">
        <v>171</v>
      </c>
      <c r="B2794" t="s">
        <v>191</v>
      </c>
      <c r="C2794" t="s">
        <v>273</v>
      </c>
      <c r="D2794" s="10">
        <v>0</v>
      </c>
      <c r="E2794" t="str">
        <f>$A2794&amp;Keys!$C$54&amp;$B2794&amp;Keys!$C$54&amp;$C2794</f>
        <v>WA|imports|hydro</v>
      </c>
    </row>
    <row r="2795" spans="1:5" x14ac:dyDescent="0.25">
      <c r="A2795" t="s">
        <v>171</v>
      </c>
      <c r="B2795" t="s">
        <v>193</v>
      </c>
      <c r="C2795" t="s">
        <v>273</v>
      </c>
      <c r="D2795" s="10">
        <v>0</v>
      </c>
      <c r="E2795" t="str">
        <f>$A2795&amp;Keys!$C$54&amp;$B2795&amp;Keys!$C$54&amp;$C2795</f>
        <v>WA|exports|hydro</v>
      </c>
    </row>
    <row r="2796" spans="1:5" x14ac:dyDescent="0.25">
      <c r="A2796" t="s">
        <v>171</v>
      </c>
      <c r="B2796" t="s">
        <v>188</v>
      </c>
      <c r="C2796" t="s">
        <v>274</v>
      </c>
      <c r="D2796" s="10">
        <v>0</v>
      </c>
      <c r="E2796" t="str">
        <f>$A2796&amp;Keys!$C$54&amp;$B2796&amp;Keys!$C$54&amp;$C2796</f>
        <v>WA|production|wind</v>
      </c>
    </row>
    <row r="2797" spans="1:5" x14ac:dyDescent="0.25">
      <c r="A2797" t="s">
        <v>171</v>
      </c>
      <c r="B2797" t="s">
        <v>191</v>
      </c>
      <c r="C2797" t="s">
        <v>274</v>
      </c>
      <c r="D2797" s="10">
        <v>0</v>
      </c>
      <c r="E2797" t="str">
        <f>$A2797&amp;Keys!$C$54&amp;$B2797&amp;Keys!$C$54&amp;$C2797</f>
        <v>WA|imports|wind</v>
      </c>
    </row>
    <row r="2798" spans="1:5" x14ac:dyDescent="0.25">
      <c r="A2798" t="s">
        <v>171</v>
      </c>
      <c r="B2798" t="s">
        <v>193</v>
      </c>
      <c r="C2798" t="s">
        <v>274</v>
      </c>
      <c r="D2798" s="10">
        <v>0</v>
      </c>
      <c r="E2798" t="str">
        <f>$A2798&amp;Keys!$C$54&amp;$B2798&amp;Keys!$C$54&amp;$C2798</f>
        <v>WA|exports|wind</v>
      </c>
    </row>
    <row r="2799" spans="1:5" x14ac:dyDescent="0.25">
      <c r="A2799" t="s">
        <v>171</v>
      </c>
      <c r="B2799" t="s">
        <v>188</v>
      </c>
      <c r="C2799" t="s">
        <v>275</v>
      </c>
      <c r="D2799" s="10">
        <v>0</v>
      </c>
      <c r="E2799" t="str">
        <f>$A2799&amp;Keys!$C$54&amp;$B2799&amp;Keys!$C$54&amp;$C2799</f>
        <v>WA|production|solar</v>
      </c>
    </row>
    <row r="2800" spans="1:5" x14ac:dyDescent="0.25">
      <c r="A2800" t="s">
        <v>171</v>
      </c>
      <c r="B2800" t="s">
        <v>191</v>
      </c>
      <c r="C2800" t="s">
        <v>275</v>
      </c>
      <c r="D2800" s="10">
        <v>0</v>
      </c>
      <c r="E2800" t="str">
        <f>$A2800&amp;Keys!$C$54&amp;$B2800&amp;Keys!$C$54&amp;$C2800</f>
        <v>WA|imports|solar</v>
      </c>
    </row>
    <row r="2801" spans="1:5" x14ac:dyDescent="0.25">
      <c r="A2801" t="s">
        <v>171</v>
      </c>
      <c r="B2801" t="s">
        <v>193</v>
      </c>
      <c r="C2801" t="s">
        <v>275</v>
      </c>
      <c r="D2801" s="10">
        <v>0</v>
      </c>
      <c r="E2801" t="str">
        <f>$A2801&amp;Keys!$C$54&amp;$B2801&amp;Keys!$C$54&amp;$C2801</f>
        <v>WA|exports|solar</v>
      </c>
    </row>
    <row r="2802" spans="1:5" x14ac:dyDescent="0.25">
      <c r="A2802" t="s">
        <v>171</v>
      </c>
      <c r="B2802" t="s">
        <v>188</v>
      </c>
      <c r="C2802" t="s">
        <v>82</v>
      </c>
      <c r="D2802" s="10">
        <v>1600000000000</v>
      </c>
      <c r="E2802" t="str">
        <f>$A2802&amp;Keys!$C$54&amp;$B2802&amp;Keys!$C$54&amp;$C2802</f>
        <v>WA|production|biomass</v>
      </c>
    </row>
    <row r="2803" spans="1:5" x14ac:dyDescent="0.25">
      <c r="A2803" t="s">
        <v>171</v>
      </c>
      <c r="B2803" t="s">
        <v>191</v>
      </c>
      <c r="C2803" t="s">
        <v>82</v>
      </c>
      <c r="D2803" s="10">
        <v>88971200000000</v>
      </c>
      <c r="E2803" t="str">
        <f>$A2803&amp;Keys!$C$54&amp;$B2803&amp;Keys!$C$54&amp;$C2803</f>
        <v>WA|imports|biomass</v>
      </c>
    </row>
    <row r="2804" spans="1:5" x14ac:dyDescent="0.25">
      <c r="A2804" t="s">
        <v>171</v>
      </c>
      <c r="B2804" t="s">
        <v>193</v>
      </c>
      <c r="C2804" t="s">
        <v>82</v>
      </c>
      <c r="D2804" s="10">
        <v>0</v>
      </c>
      <c r="E2804" t="str">
        <f>$A2804&amp;Keys!$C$54&amp;$B2804&amp;Keys!$C$54&amp;$C2804</f>
        <v>WA|exports|biomass</v>
      </c>
    </row>
    <row r="2805" spans="1:5" x14ac:dyDescent="0.25">
      <c r="A2805" t="s">
        <v>171</v>
      </c>
      <c r="B2805" t="s">
        <v>188</v>
      </c>
      <c r="C2805" t="s">
        <v>85</v>
      </c>
      <c r="D2805" s="10">
        <v>629078000000000</v>
      </c>
      <c r="E2805" t="str">
        <f>$A2805&amp;Keys!$C$54&amp;$B2805&amp;Keys!$C$54&amp;$C2805</f>
        <v>WA|production|petroleum gasoline</v>
      </c>
    </row>
    <row r="2806" spans="1:5" x14ac:dyDescent="0.25">
      <c r="A2806" t="s">
        <v>171</v>
      </c>
      <c r="B2806" t="s">
        <v>191</v>
      </c>
      <c r="C2806" t="s">
        <v>85</v>
      </c>
      <c r="D2806" s="10">
        <v>12127200000000</v>
      </c>
      <c r="E2806" t="str">
        <f>$A2806&amp;Keys!$C$54&amp;$B2806&amp;Keys!$C$54&amp;$C2806</f>
        <v>WA|imports|petroleum gasoline</v>
      </c>
    </row>
    <row r="2807" spans="1:5" x14ac:dyDescent="0.25">
      <c r="A2807" t="s">
        <v>171</v>
      </c>
      <c r="B2807" t="s">
        <v>193</v>
      </c>
      <c r="C2807" t="s">
        <v>85</v>
      </c>
      <c r="D2807" s="10">
        <v>368101000000000</v>
      </c>
      <c r="E2807" t="str">
        <f>$A2807&amp;Keys!$C$54&amp;$B2807&amp;Keys!$C$54&amp;$C2807</f>
        <v>WA|exports|petroleum gasoline</v>
      </c>
    </row>
    <row r="2808" spans="1:5" x14ac:dyDescent="0.25">
      <c r="A2808" t="s">
        <v>171</v>
      </c>
      <c r="B2808" t="s">
        <v>188</v>
      </c>
      <c r="C2808" t="s">
        <v>88</v>
      </c>
      <c r="D2808" s="10">
        <v>372109000000000</v>
      </c>
      <c r="E2808" t="str">
        <f>$A2808&amp;Keys!$C$54&amp;$B2808&amp;Keys!$C$54&amp;$C2808</f>
        <v>WA|production|petroleum diesel</v>
      </c>
    </row>
    <row r="2809" spans="1:5" x14ac:dyDescent="0.25">
      <c r="A2809" t="s">
        <v>171</v>
      </c>
      <c r="B2809" t="s">
        <v>191</v>
      </c>
      <c r="C2809" t="s">
        <v>88</v>
      </c>
      <c r="D2809" s="10">
        <v>1625670000000</v>
      </c>
      <c r="E2809" t="str">
        <f>$A2809&amp;Keys!$C$54&amp;$B2809&amp;Keys!$C$54&amp;$C2809</f>
        <v>WA|imports|petroleum diesel</v>
      </c>
    </row>
    <row r="2810" spans="1:5" x14ac:dyDescent="0.25">
      <c r="A2810" t="s">
        <v>171</v>
      </c>
      <c r="B2810" t="s">
        <v>193</v>
      </c>
      <c r="C2810" t="s">
        <v>88</v>
      </c>
      <c r="D2810" s="10">
        <v>221658000000000</v>
      </c>
      <c r="E2810" t="str">
        <f>$A2810&amp;Keys!$C$54&amp;$B2810&amp;Keys!$C$54&amp;$C2810</f>
        <v>WA|exports|petroleum diesel</v>
      </c>
    </row>
    <row r="2811" spans="1:5" x14ac:dyDescent="0.25">
      <c r="A2811" t="s">
        <v>171</v>
      </c>
      <c r="B2811" t="s">
        <v>188</v>
      </c>
      <c r="C2811" t="s">
        <v>91</v>
      </c>
      <c r="D2811" s="10">
        <v>0</v>
      </c>
      <c r="E2811" t="str">
        <f>$A2811&amp;Keys!$C$54&amp;$B2811&amp;Keys!$C$54&amp;$C2811</f>
        <v>WA|production|biofuel gasoline</v>
      </c>
    </row>
    <row r="2812" spans="1:5" x14ac:dyDescent="0.25">
      <c r="A2812" t="s">
        <v>171</v>
      </c>
      <c r="B2812" t="s">
        <v>191</v>
      </c>
      <c r="C2812" t="s">
        <v>91</v>
      </c>
      <c r="D2812" s="10">
        <v>20012800000000</v>
      </c>
      <c r="E2812" t="str">
        <f>$A2812&amp;Keys!$C$54&amp;$B2812&amp;Keys!$C$54&amp;$C2812</f>
        <v>WA|imports|biofuel gasoline</v>
      </c>
    </row>
    <row r="2813" spans="1:5" x14ac:dyDescent="0.25">
      <c r="A2813" t="s">
        <v>171</v>
      </c>
      <c r="B2813" t="s">
        <v>193</v>
      </c>
      <c r="C2813" t="s">
        <v>91</v>
      </c>
      <c r="D2813" s="10">
        <v>0</v>
      </c>
      <c r="E2813" t="str">
        <f>$A2813&amp;Keys!$C$54&amp;$B2813&amp;Keys!$C$54&amp;$C2813</f>
        <v>WA|exports|biofuel gasoline</v>
      </c>
    </row>
    <row r="2814" spans="1:5" x14ac:dyDescent="0.25">
      <c r="A2814" t="s">
        <v>171</v>
      </c>
      <c r="B2814" t="s">
        <v>188</v>
      </c>
      <c r="C2814" t="s">
        <v>94</v>
      </c>
      <c r="D2814" s="10">
        <v>31076000000000</v>
      </c>
      <c r="E2814" t="str">
        <f>$A2814&amp;Keys!$C$54&amp;$B2814&amp;Keys!$C$54&amp;$C2814</f>
        <v>WA|production|biofuel diesel</v>
      </c>
    </row>
    <row r="2815" spans="1:5" x14ac:dyDescent="0.25">
      <c r="A2815" t="s">
        <v>171</v>
      </c>
      <c r="B2815" t="s">
        <v>191</v>
      </c>
      <c r="C2815" t="s">
        <v>94</v>
      </c>
      <c r="D2815" s="10">
        <v>2242000000</v>
      </c>
      <c r="E2815" t="str">
        <f>$A2815&amp;Keys!$C$54&amp;$B2815&amp;Keys!$C$54&amp;$C2815</f>
        <v>WA|imports|biofuel diesel</v>
      </c>
    </row>
    <row r="2816" spans="1:5" x14ac:dyDescent="0.25">
      <c r="A2816" t="s">
        <v>171</v>
      </c>
      <c r="B2816" t="s">
        <v>193</v>
      </c>
      <c r="C2816" t="s">
        <v>94</v>
      </c>
      <c r="D2816" s="10">
        <v>28793500000000</v>
      </c>
      <c r="E2816" t="str">
        <f>$A2816&amp;Keys!$C$54&amp;$B2816&amp;Keys!$C$54&amp;$C2816</f>
        <v>WA|exports|biofuel diesel</v>
      </c>
    </row>
    <row r="2817" spans="1:5" x14ac:dyDescent="0.25">
      <c r="A2817" t="s">
        <v>171</v>
      </c>
      <c r="B2817" t="s">
        <v>188</v>
      </c>
      <c r="C2817" t="s">
        <v>97</v>
      </c>
      <c r="D2817" s="10">
        <v>132463000000000</v>
      </c>
      <c r="E2817" t="str">
        <f>$A2817&amp;Keys!$C$54&amp;$B2817&amp;Keys!$C$54&amp;$C2817</f>
        <v>WA|production|jet fuel or kerosene</v>
      </c>
    </row>
    <row r="2818" spans="1:5" x14ac:dyDescent="0.25">
      <c r="A2818" t="s">
        <v>171</v>
      </c>
      <c r="B2818" t="s">
        <v>191</v>
      </c>
      <c r="C2818" t="s">
        <v>97</v>
      </c>
      <c r="D2818" s="10">
        <v>0</v>
      </c>
      <c r="E2818" t="str">
        <f>$A2818&amp;Keys!$C$54&amp;$B2818&amp;Keys!$C$54&amp;$C2818</f>
        <v>WA|imports|jet fuel or kerosene</v>
      </c>
    </row>
    <row r="2819" spans="1:5" x14ac:dyDescent="0.25">
      <c r="A2819" t="s">
        <v>171</v>
      </c>
      <c r="B2819" t="s">
        <v>193</v>
      </c>
      <c r="C2819" t="s">
        <v>97</v>
      </c>
      <c r="D2819" s="10">
        <v>19249300000000</v>
      </c>
      <c r="E2819" t="str">
        <f>$A2819&amp;Keys!$C$54&amp;$B2819&amp;Keys!$C$54&amp;$C2819</f>
        <v>WA|exports|jet fuel or kerosene</v>
      </c>
    </row>
    <row r="2820" spans="1:5" x14ac:dyDescent="0.25">
      <c r="A2820" t="s">
        <v>171</v>
      </c>
      <c r="B2820" t="s">
        <v>188</v>
      </c>
      <c r="C2820" t="s">
        <v>276</v>
      </c>
      <c r="D2820" s="10">
        <v>0</v>
      </c>
      <c r="E2820" t="str">
        <f>$A2820&amp;Keys!$C$54&amp;$B2820&amp;Keys!$C$54&amp;$C2820</f>
        <v>WA|production|heat</v>
      </c>
    </row>
    <row r="2821" spans="1:5" x14ac:dyDescent="0.25">
      <c r="A2821" t="s">
        <v>171</v>
      </c>
      <c r="B2821" t="s">
        <v>191</v>
      </c>
      <c r="C2821" t="s">
        <v>276</v>
      </c>
      <c r="D2821" s="10">
        <v>0</v>
      </c>
      <c r="E2821" t="str">
        <f>$A2821&amp;Keys!$C$54&amp;$B2821&amp;Keys!$C$54&amp;$C2821</f>
        <v>WA|imports|heat</v>
      </c>
    </row>
    <row r="2822" spans="1:5" x14ac:dyDescent="0.25">
      <c r="A2822" t="s">
        <v>171</v>
      </c>
      <c r="B2822" t="s">
        <v>193</v>
      </c>
      <c r="C2822" t="s">
        <v>276</v>
      </c>
      <c r="D2822" s="10">
        <v>0</v>
      </c>
      <c r="E2822" t="str">
        <f>$A2822&amp;Keys!$C$54&amp;$B2822&amp;Keys!$C$54&amp;$C2822</f>
        <v>WA|exports|heat</v>
      </c>
    </row>
    <row r="2823" spans="1:5" x14ac:dyDescent="0.25">
      <c r="A2823" t="s">
        <v>171</v>
      </c>
      <c r="B2823" t="s">
        <v>188</v>
      </c>
      <c r="C2823" t="s">
        <v>277</v>
      </c>
      <c r="D2823" s="10">
        <v>0</v>
      </c>
      <c r="E2823" t="str">
        <f>$A2823&amp;Keys!$C$54&amp;$B2823&amp;Keys!$C$54&amp;$C2823</f>
        <v>WA|production|geothermal</v>
      </c>
    </row>
    <row r="2824" spans="1:5" x14ac:dyDescent="0.25">
      <c r="A2824" t="s">
        <v>171</v>
      </c>
      <c r="B2824" t="s">
        <v>191</v>
      </c>
      <c r="C2824" t="s">
        <v>277</v>
      </c>
      <c r="D2824" s="10">
        <v>0</v>
      </c>
      <c r="E2824" t="str">
        <f>$A2824&amp;Keys!$C$54&amp;$B2824&amp;Keys!$C$54&amp;$C2824</f>
        <v>WA|imports|geothermal</v>
      </c>
    </row>
    <row r="2825" spans="1:5" x14ac:dyDescent="0.25">
      <c r="A2825" t="s">
        <v>171</v>
      </c>
      <c r="B2825" t="s">
        <v>193</v>
      </c>
      <c r="C2825" t="s">
        <v>277</v>
      </c>
      <c r="D2825" s="10">
        <v>0</v>
      </c>
      <c r="E2825" t="str">
        <f>$A2825&amp;Keys!$C$54&amp;$B2825&amp;Keys!$C$54&amp;$C2825</f>
        <v>WA|exports|geothermal</v>
      </c>
    </row>
    <row r="2826" spans="1:5" x14ac:dyDescent="0.25">
      <c r="A2826" t="s">
        <v>171</v>
      </c>
      <c r="B2826" t="s">
        <v>188</v>
      </c>
      <c r="C2826" t="s">
        <v>106</v>
      </c>
      <c r="D2826" s="10">
        <v>0</v>
      </c>
      <c r="E2826" t="str">
        <f>$A2826&amp;Keys!$C$54&amp;$B2826&amp;Keys!$C$54&amp;$C2826</f>
        <v>WA|production|lignite</v>
      </c>
    </row>
    <row r="2827" spans="1:5" x14ac:dyDescent="0.25">
      <c r="A2827" t="s">
        <v>171</v>
      </c>
      <c r="B2827" t="s">
        <v>191</v>
      </c>
      <c r="C2827" t="s">
        <v>106</v>
      </c>
      <c r="D2827" s="10">
        <v>0</v>
      </c>
      <c r="E2827" t="str">
        <f>$A2827&amp;Keys!$C$54&amp;$B2827&amp;Keys!$C$54&amp;$C2827</f>
        <v>WA|imports|lignite</v>
      </c>
    </row>
    <row r="2828" spans="1:5" x14ac:dyDescent="0.25">
      <c r="A2828" t="s">
        <v>171</v>
      </c>
      <c r="B2828" t="s">
        <v>193</v>
      </c>
      <c r="C2828" t="s">
        <v>106</v>
      </c>
      <c r="D2828" s="10">
        <v>0</v>
      </c>
      <c r="E2828" t="str">
        <f>$A2828&amp;Keys!$C$54&amp;$B2828&amp;Keys!$C$54&amp;$C2828</f>
        <v>WA|exports|lignite</v>
      </c>
    </row>
    <row r="2829" spans="1:5" x14ac:dyDescent="0.25">
      <c r="A2829" t="s">
        <v>171</v>
      </c>
      <c r="B2829" t="s">
        <v>188</v>
      </c>
      <c r="C2829" t="s">
        <v>109</v>
      </c>
      <c r="D2829" s="10">
        <v>0</v>
      </c>
      <c r="E2829" t="str">
        <f>$A2829&amp;Keys!$C$54&amp;$B2829&amp;Keys!$C$54&amp;$C2829</f>
        <v>WA|production|crude oil</v>
      </c>
    </row>
    <row r="2830" spans="1:5" x14ac:dyDescent="0.25">
      <c r="A2830" t="s">
        <v>171</v>
      </c>
      <c r="B2830" t="s">
        <v>191</v>
      </c>
      <c r="C2830" t="s">
        <v>109</v>
      </c>
      <c r="D2830" s="10">
        <v>1228270000000000</v>
      </c>
      <c r="E2830" t="str">
        <f>$A2830&amp;Keys!$C$54&amp;$B2830&amp;Keys!$C$54&amp;$C2830</f>
        <v>WA|imports|crude oil</v>
      </c>
    </row>
    <row r="2831" spans="1:5" x14ac:dyDescent="0.25">
      <c r="A2831" t="s">
        <v>171</v>
      </c>
      <c r="B2831" t="s">
        <v>193</v>
      </c>
      <c r="C2831" t="s">
        <v>109</v>
      </c>
      <c r="D2831" s="10">
        <v>0</v>
      </c>
      <c r="E2831" t="str">
        <f>$A2831&amp;Keys!$C$54&amp;$B2831&amp;Keys!$C$54&amp;$C2831</f>
        <v>WA|exports|crude oil</v>
      </c>
    </row>
    <row r="2832" spans="1:5" x14ac:dyDescent="0.25">
      <c r="A2832" t="s">
        <v>171</v>
      </c>
      <c r="B2832" t="s">
        <v>188</v>
      </c>
      <c r="C2832" t="s">
        <v>114</v>
      </c>
      <c r="D2832" s="10">
        <v>25731500000000</v>
      </c>
      <c r="E2832" t="str">
        <f>$A2832&amp;Keys!$C$54&amp;$B2832&amp;Keys!$C$54&amp;$C2832</f>
        <v>WA|production|heavy or residual fuel oil</v>
      </c>
    </row>
    <row r="2833" spans="1:5" x14ac:dyDescent="0.25">
      <c r="A2833" t="s">
        <v>171</v>
      </c>
      <c r="B2833" t="s">
        <v>191</v>
      </c>
      <c r="C2833" t="s">
        <v>114</v>
      </c>
      <c r="D2833" s="10">
        <v>66681200000000</v>
      </c>
      <c r="E2833" t="str">
        <f>$A2833&amp;Keys!$C$54&amp;$B2833&amp;Keys!$C$54&amp;$C2833</f>
        <v>WA|imports|heavy or residual fuel oil</v>
      </c>
    </row>
    <row r="2834" spans="1:5" x14ac:dyDescent="0.25">
      <c r="A2834" t="s">
        <v>171</v>
      </c>
      <c r="B2834" t="s">
        <v>193</v>
      </c>
      <c r="C2834" t="s">
        <v>114</v>
      </c>
      <c r="D2834" s="10">
        <v>8505730000000</v>
      </c>
      <c r="E2834" t="str">
        <f>$A2834&amp;Keys!$C$54&amp;$B2834&amp;Keys!$C$54&amp;$C2834</f>
        <v>WA|exports|heavy or residual fuel oil</v>
      </c>
    </row>
    <row r="2835" spans="1:5" x14ac:dyDescent="0.25">
      <c r="A2835" t="s">
        <v>171</v>
      </c>
      <c r="B2835" t="s">
        <v>188</v>
      </c>
      <c r="C2835" t="s">
        <v>117</v>
      </c>
      <c r="D2835" s="10">
        <v>0</v>
      </c>
      <c r="E2835" t="str">
        <f>$A2835&amp;Keys!$C$54&amp;$B2835&amp;Keys!$C$54&amp;$C2835</f>
        <v>WA|production|LPG propane or butane</v>
      </c>
    </row>
    <row r="2836" spans="1:5" x14ac:dyDescent="0.25">
      <c r="A2836" t="s">
        <v>171</v>
      </c>
      <c r="B2836" t="s">
        <v>191</v>
      </c>
      <c r="C2836" t="s">
        <v>117</v>
      </c>
      <c r="D2836" s="10">
        <v>16566300000000</v>
      </c>
      <c r="E2836" t="str">
        <f>$A2836&amp;Keys!$C$54&amp;$B2836&amp;Keys!$C$54&amp;$C2836</f>
        <v>WA|imports|LPG propane or butane</v>
      </c>
    </row>
    <row r="2837" spans="1:5" x14ac:dyDescent="0.25">
      <c r="A2837" t="s">
        <v>171</v>
      </c>
      <c r="B2837" t="s">
        <v>193</v>
      </c>
      <c r="C2837" t="s">
        <v>117</v>
      </c>
      <c r="D2837" s="10">
        <v>0</v>
      </c>
      <c r="E2837" t="str">
        <f>$A2837&amp;Keys!$C$54&amp;$B2837&amp;Keys!$C$54&amp;$C2837</f>
        <v>WA|exports|LPG propane or butane</v>
      </c>
    </row>
    <row r="2838" spans="1:5" x14ac:dyDescent="0.25">
      <c r="A2838" t="s">
        <v>171</v>
      </c>
      <c r="B2838" t="s">
        <v>188</v>
      </c>
      <c r="C2838" t="s">
        <v>120</v>
      </c>
      <c r="D2838" s="10">
        <v>0</v>
      </c>
      <c r="E2838" t="str">
        <f>$A2838&amp;Keys!$C$54&amp;$B2838&amp;Keys!$C$54&amp;$C2838</f>
        <v>WA|production|municipal solid waste</v>
      </c>
    </row>
    <row r="2839" spans="1:5" x14ac:dyDescent="0.25">
      <c r="A2839" t="s">
        <v>171</v>
      </c>
      <c r="B2839" t="s">
        <v>191</v>
      </c>
      <c r="C2839" t="s">
        <v>120</v>
      </c>
      <c r="D2839" s="10">
        <v>1949310000000</v>
      </c>
      <c r="E2839" t="str">
        <f>$A2839&amp;Keys!$C$54&amp;$B2839&amp;Keys!$C$54&amp;$C2839</f>
        <v>WA|imports|municipal solid waste</v>
      </c>
    </row>
    <row r="2840" spans="1:5" x14ac:dyDescent="0.25">
      <c r="A2840" t="s">
        <v>171</v>
      </c>
      <c r="B2840" t="s">
        <v>193</v>
      </c>
      <c r="C2840" t="s">
        <v>120</v>
      </c>
      <c r="D2840" s="10">
        <v>0</v>
      </c>
      <c r="E2840" t="str">
        <f>$A2840&amp;Keys!$C$54&amp;$B2840&amp;Keys!$C$54&amp;$C2840</f>
        <v>WA|exports|municipal solid waste</v>
      </c>
    </row>
    <row r="2841" spans="1:5" x14ac:dyDescent="0.25">
      <c r="A2841" t="s">
        <v>171</v>
      </c>
      <c r="B2841" t="s">
        <v>188</v>
      </c>
      <c r="C2841" t="s">
        <v>123</v>
      </c>
      <c r="D2841" s="10">
        <v>22301500000000</v>
      </c>
      <c r="E2841" t="str">
        <f>$A2841&amp;Keys!$C$54&amp;$B2841&amp;Keys!$C$54&amp;$C2841</f>
        <v>WA|production|hydrogen</v>
      </c>
    </row>
    <row r="2842" spans="1:5" x14ac:dyDescent="0.25">
      <c r="A2842" t="s">
        <v>171</v>
      </c>
      <c r="B2842" t="s">
        <v>191</v>
      </c>
      <c r="C2842" t="s">
        <v>123</v>
      </c>
      <c r="D2842" s="10">
        <v>0</v>
      </c>
      <c r="E2842" t="str">
        <f>$A2842&amp;Keys!$C$54&amp;$B2842&amp;Keys!$C$54&amp;$C2842</f>
        <v>WA|imports|hydrogen</v>
      </c>
    </row>
    <row r="2843" spans="1:5" x14ac:dyDescent="0.25">
      <c r="A2843" t="s">
        <v>171</v>
      </c>
      <c r="B2843" t="s">
        <v>193</v>
      </c>
      <c r="C2843" t="s">
        <v>123</v>
      </c>
      <c r="D2843" s="10">
        <v>9750330000000</v>
      </c>
      <c r="E2843" t="str">
        <f>$A2843&amp;Keys!$C$54&amp;$B2843&amp;Keys!$C$54&amp;$C2843</f>
        <v>WA|exports|hydrogen</v>
      </c>
    </row>
    <row r="2844" spans="1:5" x14ac:dyDescent="0.25">
      <c r="A2844" t="s">
        <v>173</v>
      </c>
      <c r="B2844" t="s">
        <v>188</v>
      </c>
      <c r="C2844" t="s">
        <v>272</v>
      </c>
      <c r="D2844" s="10">
        <v>0</v>
      </c>
      <c r="E2844" t="str">
        <f>$A2844&amp;Keys!$C$54&amp;$B2844&amp;Keys!$C$54&amp;$C2844</f>
        <v>WI|production|electricity</v>
      </c>
    </row>
    <row r="2845" spans="1:5" x14ac:dyDescent="0.25">
      <c r="A2845" t="s">
        <v>173</v>
      </c>
      <c r="B2845" t="s">
        <v>191</v>
      </c>
      <c r="C2845" t="s">
        <v>272</v>
      </c>
      <c r="D2845" s="10">
        <v>0</v>
      </c>
      <c r="E2845" t="str">
        <f>$A2845&amp;Keys!$C$54&amp;$B2845&amp;Keys!$C$54&amp;$C2845</f>
        <v>WI|imports|electricity</v>
      </c>
    </row>
    <row r="2846" spans="1:5" x14ac:dyDescent="0.25">
      <c r="A2846" t="s">
        <v>173</v>
      </c>
      <c r="B2846" t="s">
        <v>193</v>
      </c>
      <c r="C2846" t="s">
        <v>272</v>
      </c>
      <c r="D2846" s="10">
        <v>0</v>
      </c>
      <c r="E2846" t="str">
        <f>$A2846&amp;Keys!$C$54&amp;$B2846&amp;Keys!$C$54&amp;$C2846</f>
        <v>WI|exports|electricity</v>
      </c>
    </row>
    <row r="2847" spans="1:5" x14ac:dyDescent="0.25">
      <c r="A2847" t="s">
        <v>173</v>
      </c>
      <c r="B2847" t="s">
        <v>188</v>
      </c>
      <c r="C2847" t="s">
        <v>64</v>
      </c>
      <c r="D2847" s="10">
        <v>0</v>
      </c>
      <c r="E2847" t="str">
        <f>$A2847&amp;Keys!$C$54&amp;$B2847&amp;Keys!$C$54&amp;$C2847</f>
        <v>WI|production|hard coal</v>
      </c>
    </row>
    <row r="2848" spans="1:5" x14ac:dyDescent="0.25">
      <c r="A2848" t="s">
        <v>173</v>
      </c>
      <c r="B2848" t="s">
        <v>191</v>
      </c>
      <c r="C2848" t="s">
        <v>64</v>
      </c>
      <c r="D2848" s="10">
        <v>300458000000000</v>
      </c>
      <c r="E2848" t="str">
        <f>$A2848&amp;Keys!$C$54&amp;$B2848&amp;Keys!$C$54&amp;$C2848</f>
        <v>WI|imports|hard coal</v>
      </c>
    </row>
    <row r="2849" spans="1:5" x14ac:dyDescent="0.25">
      <c r="A2849" t="s">
        <v>173</v>
      </c>
      <c r="B2849" t="s">
        <v>193</v>
      </c>
      <c r="C2849" t="s">
        <v>64</v>
      </c>
      <c r="D2849" s="10">
        <v>0</v>
      </c>
      <c r="E2849" t="str">
        <f>$A2849&amp;Keys!$C$54&amp;$B2849&amp;Keys!$C$54&amp;$C2849</f>
        <v>WI|exports|hard coal</v>
      </c>
    </row>
    <row r="2850" spans="1:5" x14ac:dyDescent="0.25">
      <c r="A2850" t="s">
        <v>173</v>
      </c>
      <c r="B2850" t="s">
        <v>188</v>
      </c>
      <c r="C2850" t="s">
        <v>68</v>
      </c>
      <c r="D2850" s="10">
        <v>0</v>
      </c>
      <c r="E2850" t="str">
        <f>$A2850&amp;Keys!$C$54&amp;$B2850&amp;Keys!$C$54&amp;$C2850</f>
        <v>WI|production|natural gas</v>
      </c>
    </row>
    <row r="2851" spans="1:5" x14ac:dyDescent="0.25">
      <c r="A2851" t="s">
        <v>173</v>
      </c>
      <c r="B2851" t="s">
        <v>191</v>
      </c>
      <c r="C2851" t="s">
        <v>68</v>
      </c>
      <c r="D2851" s="10">
        <v>1011900000000000</v>
      </c>
      <c r="E2851" t="str">
        <f>$A2851&amp;Keys!$C$54&amp;$B2851&amp;Keys!$C$54&amp;$C2851</f>
        <v>WI|imports|natural gas</v>
      </c>
    </row>
    <row r="2852" spans="1:5" x14ac:dyDescent="0.25">
      <c r="A2852" t="s">
        <v>173</v>
      </c>
      <c r="B2852" t="s">
        <v>193</v>
      </c>
      <c r="C2852" t="s">
        <v>68</v>
      </c>
      <c r="D2852" s="10">
        <v>504531000000000</v>
      </c>
      <c r="E2852" t="str">
        <f>$A2852&amp;Keys!$C$54&amp;$B2852&amp;Keys!$C$54&amp;$C2852</f>
        <v>WI|exports|natural gas</v>
      </c>
    </row>
    <row r="2853" spans="1:5" x14ac:dyDescent="0.25">
      <c r="A2853" t="s">
        <v>173</v>
      </c>
      <c r="B2853" t="s">
        <v>188</v>
      </c>
      <c r="C2853" t="s">
        <v>71</v>
      </c>
      <c r="D2853" s="10">
        <v>0</v>
      </c>
      <c r="E2853" t="str">
        <f>$A2853&amp;Keys!$C$54&amp;$B2853&amp;Keys!$C$54&amp;$C2853</f>
        <v>WI|production|nuclear</v>
      </c>
    </row>
    <row r="2854" spans="1:5" x14ac:dyDescent="0.25">
      <c r="A2854" t="s">
        <v>173</v>
      </c>
      <c r="B2854" t="s">
        <v>191</v>
      </c>
      <c r="C2854" t="s">
        <v>71</v>
      </c>
      <c r="D2854" s="10">
        <v>106259000000000</v>
      </c>
      <c r="E2854" t="str">
        <f>$A2854&amp;Keys!$C$54&amp;$B2854&amp;Keys!$C$54&amp;$C2854</f>
        <v>WI|imports|nuclear</v>
      </c>
    </row>
    <row r="2855" spans="1:5" x14ac:dyDescent="0.25">
      <c r="A2855" t="s">
        <v>173</v>
      </c>
      <c r="B2855" t="s">
        <v>193</v>
      </c>
      <c r="C2855" t="s">
        <v>71</v>
      </c>
      <c r="D2855" s="10">
        <v>0</v>
      </c>
      <c r="E2855" t="str">
        <f>$A2855&amp;Keys!$C$54&amp;$B2855&amp;Keys!$C$54&amp;$C2855</f>
        <v>WI|exports|nuclear</v>
      </c>
    </row>
    <row r="2856" spans="1:5" x14ac:dyDescent="0.25">
      <c r="A2856" t="s">
        <v>173</v>
      </c>
      <c r="B2856" t="s">
        <v>188</v>
      </c>
      <c r="C2856" t="s">
        <v>273</v>
      </c>
      <c r="D2856" s="10">
        <v>0</v>
      </c>
      <c r="E2856" t="str">
        <f>$A2856&amp;Keys!$C$54&amp;$B2856&amp;Keys!$C$54&amp;$C2856</f>
        <v>WI|production|hydro</v>
      </c>
    </row>
    <row r="2857" spans="1:5" x14ac:dyDescent="0.25">
      <c r="A2857" t="s">
        <v>173</v>
      </c>
      <c r="B2857" t="s">
        <v>191</v>
      </c>
      <c r="C2857" t="s">
        <v>273</v>
      </c>
      <c r="D2857" s="10">
        <v>0</v>
      </c>
      <c r="E2857" t="str">
        <f>$A2857&amp;Keys!$C$54&amp;$B2857&amp;Keys!$C$54&amp;$C2857</f>
        <v>WI|imports|hydro</v>
      </c>
    </row>
    <row r="2858" spans="1:5" x14ac:dyDescent="0.25">
      <c r="A2858" t="s">
        <v>173</v>
      </c>
      <c r="B2858" t="s">
        <v>193</v>
      </c>
      <c r="C2858" t="s">
        <v>273</v>
      </c>
      <c r="D2858" s="10">
        <v>0</v>
      </c>
      <c r="E2858" t="str">
        <f>$A2858&amp;Keys!$C$54&amp;$B2858&amp;Keys!$C$54&amp;$C2858</f>
        <v>WI|exports|hydro</v>
      </c>
    </row>
    <row r="2859" spans="1:5" x14ac:dyDescent="0.25">
      <c r="A2859" t="s">
        <v>173</v>
      </c>
      <c r="B2859" t="s">
        <v>188</v>
      </c>
      <c r="C2859" t="s">
        <v>274</v>
      </c>
      <c r="D2859" s="10">
        <v>0</v>
      </c>
      <c r="E2859" t="str">
        <f>$A2859&amp;Keys!$C$54&amp;$B2859&amp;Keys!$C$54&amp;$C2859</f>
        <v>WI|production|wind</v>
      </c>
    </row>
    <row r="2860" spans="1:5" x14ac:dyDescent="0.25">
      <c r="A2860" t="s">
        <v>173</v>
      </c>
      <c r="B2860" t="s">
        <v>191</v>
      </c>
      <c r="C2860" t="s">
        <v>274</v>
      </c>
      <c r="D2860" s="10">
        <v>0</v>
      </c>
      <c r="E2860" t="str">
        <f>$A2860&amp;Keys!$C$54&amp;$B2860&amp;Keys!$C$54&amp;$C2860</f>
        <v>WI|imports|wind</v>
      </c>
    </row>
    <row r="2861" spans="1:5" x14ac:dyDescent="0.25">
      <c r="A2861" t="s">
        <v>173</v>
      </c>
      <c r="B2861" t="s">
        <v>193</v>
      </c>
      <c r="C2861" t="s">
        <v>274</v>
      </c>
      <c r="D2861" s="10">
        <v>0</v>
      </c>
      <c r="E2861" t="str">
        <f>$A2861&amp;Keys!$C$54&amp;$B2861&amp;Keys!$C$54&amp;$C2861</f>
        <v>WI|exports|wind</v>
      </c>
    </row>
    <row r="2862" spans="1:5" x14ac:dyDescent="0.25">
      <c r="A2862" t="s">
        <v>173</v>
      </c>
      <c r="B2862" t="s">
        <v>188</v>
      </c>
      <c r="C2862" t="s">
        <v>275</v>
      </c>
      <c r="D2862" s="10">
        <v>0</v>
      </c>
      <c r="E2862" t="str">
        <f>$A2862&amp;Keys!$C$54&amp;$B2862&amp;Keys!$C$54&amp;$C2862</f>
        <v>WI|production|solar</v>
      </c>
    </row>
    <row r="2863" spans="1:5" x14ac:dyDescent="0.25">
      <c r="A2863" t="s">
        <v>173</v>
      </c>
      <c r="B2863" t="s">
        <v>191</v>
      </c>
      <c r="C2863" t="s">
        <v>275</v>
      </c>
      <c r="D2863" s="10">
        <v>0</v>
      </c>
      <c r="E2863" t="str">
        <f>$A2863&amp;Keys!$C$54&amp;$B2863&amp;Keys!$C$54&amp;$C2863</f>
        <v>WI|imports|solar</v>
      </c>
    </row>
    <row r="2864" spans="1:5" x14ac:dyDescent="0.25">
      <c r="A2864" t="s">
        <v>173</v>
      </c>
      <c r="B2864" t="s">
        <v>193</v>
      </c>
      <c r="C2864" t="s">
        <v>275</v>
      </c>
      <c r="D2864" s="10">
        <v>0</v>
      </c>
      <c r="E2864" t="str">
        <f>$A2864&amp;Keys!$C$54&amp;$B2864&amp;Keys!$C$54&amp;$C2864</f>
        <v>WI|exports|solar</v>
      </c>
    </row>
    <row r="2865" spans="1:5" x14ac:dyDescent="0.25">
      <c r="A2865" t="s">
        <v>173</v>
      </c>
      <c r="B2865" t="s">
        <v>188</v>
      </c>
      <c r="C2865" t="s">
        <v>82</v>
      </c>
      <c r="D2865" s="10">
        <v>3680000000000</v>
      </c>
      <c r="E2865" t="str">
        <f>$A2865&amp;Keys!$C$54&amp;$B2865&amp;Keys!$C$54&amp;$C2865</f>
        <v>WI|production|biomass</v>
      </c>
    </row>
    <row r="2866" spans="1:5" x14ac:dyDescent="0.25">
      <c r="A2866" t="s">
        <v>173</v>
      </c>
      <c r="B2866" t="s">
        <v>191</v>
      </c>
      <c r="C2866" t="s">
        <v>82</v>
      </c>
      <c r="D2866" s="10">
        <v>76806400000000</v>
      </c>
      <c r="E2866" t="str">
        <f>$A2866&amp;Keys!$C$54&amp;$B2866&amp;Keys!$C$54&amp;$C2866</f>
        <v>WI|imports|biomass</v>
      </c>
    </row>
    <row r="2867" spans="1:5" x14ac:dyDescent="0.25">
      <c r="A2867" t="s">
        <v>173</v>
      </c>
      <c r="B2867" t="s">
        <v>193</v>
      </c>
      <c r="C2867" t="s">
        <v>82</v>
      </c>
      <c r="D2867" s="10">
        <v>0</v>
      </c>
      <c r="E2867" t="str">
        <f>$A2867&amp;Keys!$C$54&amp;$B2867&amp;Keys!$C$54&amp;$C2867</f>
        <v>WI|exports|biomass</v>
      </c>
    </row>
    <row r="2868" spans="1:5" x14ac:dyDescent="0.25">
      <c r="A2868" t="s">
        <v>173</v>
      </c>
      <c r="B2868" t="s">
        <v>188</v>
      </c>
      <c r="C2868" t="s">
        <v>85</v>
      </c>
      <c r="D2868" s="10">
        <v>44577000000000</v>
      </c>
      <c r="E2868" t="str">
        <f>$A2868&amp;Keys!$C$54&amp;$B2868&amp;Keys!$C$54&amp;$C2868</f>
        <v>WI|production|petroleum gasoline</v>
      </c>
    </row>
    <row r="2869" spans="1:5" x14ac:dyDescent="0.25">
      <c r="A2869" t="s">
        <v>173</v>
      </c>
      <c r="B2869" t="s">
        <v>191</v>
      </c>
      <c r="C2869" t="s">
        <v>85</v>
      </c>
      <c r="D2869" s="10">
        <v>221877000000000</v>
      </c>
      <c r="E2869" t="str">
        <f>$A2869&amp;Keys!$C$54&amp;$B2869&amp;Keys!$C$54&amp;$C2869</f>
        <v>WI|imports|petroleum gasoline</v>
      </c>
    </row>
    <row r="2870" spans="1:5" x14ac:dyDescent="0.25">
      <c r="A2870" t="s">
        <v>173</v>
      </c>
      <c r="B2870" t="s">
        <v>193</v>
      </c>
      <c r="C2870" t="s">
        <v>85</v>
      </c>
      <c r="D2870" s="10">
        <v>0</v>
      </c>
      <c r="E2870" t="str">
        <f>$A2870&amp;Keys!$C$54&amp;$B2870&amp;Keys!$C$54&amp;$C2870</f>
        <v>WI|exports|petroleum gasoline</v>
      </c>
    </row>
    <row r="2871" spans="1:5" x14ac:dyDescent="0.25">
      <c r="A2871" t="s">
        <v>173</v>
      </c>
      <c r="B2871" t="s">
        <v>188</v>
      </c>
      <c r="C2871" t="s">
        <v>88</v>
      </c>
      <c r="D2871" s="10">
        <v>26368000000000</v>
      </c>
      <c r="E2871" t="str">
        <f>$A2871&amp;Keys!$C$54&amp;$B2871&amp;Keys!$C$54&amp;$C2871</f>
        <v>WI|production|petroleum diesel</v>
      </c>
    </row>
    <row r="2872" spans="1:5" x14ac:dyDescent="0.25">
      <c r="A2872" t="s">
        <v>173</v>
      </c>
      <c r="B2872" t="s">
        <v>191</v>
      </c>
      <c r="C2872" t="s">
        <v>88</v>
      </c>
      <c r="D2872" s="10">
        <v>123336000000000</v>
      </c>
      <c r="E2872" t="str">
        <f>$A2872&amp;Keys!$C$54&amp;$B2872&amp;Keys!$C$54&amp;$C2872</f>
        <v>WI|imports|petroleum diesel</v>
      </c>
    </row>
    <row r="2873" spans="1:5" x14ac:dyDescent="0.25">
      <c r="A2873" t="s">
        <v>173</v>
      </c>
      <c r="B2873" t="s">
        <v>193</v>
      </c>
      <c r="C2873" t="s">
        <v>88</v>
      </c>
      <c r="D2873" s="10">
        <v>0</v>
      </c>
      <c r="E2873" t="str">
        <f>$A2873&amp;Keys!$C$54&amp;$B2873&amp;Keys!$C$54&amp;$C2873</f>
        <v>WI|exports|petroleum diesel</v>
      </c>
    </row>
    <row r="2874" spans="1:5" x14ac:dyDescent="0.25">
      <c r="A2874" t="s">
        <v>173</v>
      </c>
      <c r="B2874" t="s">
        <v>188</v>
      </c>
      <c r="C2874" t="s">
        <v>91</v>
      </c>
      <c r="D2874" s="10">
        <v>49157900000000</v>
      </c>
      <c r="E2874" t="str">
        <f>$A2874&amp;Keys!$C$54&amp;$B2874&amp;Keys!$C$54&amp;$C2874</f>
        <v>WI|production|biofuel gasoline</v>
      </c>
    </row>
    <row r="2875" spans="1:5" x14ac:dyDescent="0.25">
      <c r="A2875" t="s">
        <v>173</v>
      </c>
      <c r="B2875" t="s">
        <v>191</v>
      </c>
      <c r="C2875" t="s">
        <v>91</v>
      </c>
      <c r="D2875" s="10">
        <v>1053530000000</v>
      </c>
      <c r="E2875" t="str">
        <f>$A2875&amp;Keys!$C$54&amp;$B2875&amp;Keys!$C$54&amp;$C2875</f>
        <v>WI|imports|biofuel gasoline</v>
      </c>
    </row>
    <row r="2876" spans="1:5" x14ac:dyDescent="0.25">
      <c r="A2876" t="s">
        <v>173</v>
      </c>
      <c r="B2876" t="s">
        <v>193</v>
      </c>
      <c r="C2876" t="s">
        <v>91</v>
      </c>
      <c r="D2876" s="10">
        <v>31175600000000</v>
      </c>
      <c r="E2876" t="str">
        <f>$A2876&amp;Keys!$C$54&amp;$B2876&amp;Keys!$C$54&amp;$C2876</f>
        <v>WI|exports|biofuel gasoline</v>
      </c>
    </row>
    <row r="2877" spans="1:5" x14ac:dyDescent="0.25">
      <c r="A2877" t="s">
        <v>173</v>
      </c>
      <c r="B2877" t="s">
        <v>188</v>
      </c>
      <c r="C2877" t="s">
        <v>94</v>
      </c>
      <c r="D2877" s="10">
        <v>9130170000000</v>
      </c>
      <c r="E2877" t="str">
        <f>$A2877&amp;Keys!$C$54&amp;$B2877&amp;Keys!$C$54&amp;$C2877</f>
        <v>WI|production|biofuel diesel</v>
      </c>
    </row>
    <row r="2878" spans="1:5" x14ac:dyDescent="0.25">
      <c r="A2878" t="s">
        <v>173</v>
      </c>
      <c r="B2878" t="s">
        <v>191</v>
      </c>
      <c r="C2878" t="s">
        <v>94</v>
      </c>
      <c r="D2878" s="10">
        <v>87952000000</v>
      </c>
      <c r="E2878" t="str">
        <f>$A2878&amp;Keys!$C$54&amp;$B2878&amp;Keys!$C$54&amp;$C2878</f>
        <v>WI|imports|biofuel diesel</v>
      </c>
    </row>
    <row r="2879" spans="1:5" x14ac:dyDescent="0.25">
      <c r="A2879" t="s">
        <v>173</v>
      </c>
      <c r="B2879" t="s">
        <v>193</v>
      </c>
      <c r="C2879" t="s">
        <v>94</v>
      </c>
      <c r="D2879" s="10">
        <v>6395240000000</v>
      </c>
      <c r="E2879" t="str">
        <f>$A2879&amp;Keys!$C$54&amp;$B2879&amp;Keys!$C$54&amp;$C2879</f>
        <v>WI|exports|biofuel diesel</v>
      </c>
    </row>
    <row r="2880" spans="1:5" x14ac:dyDescent="0.25">
      <c r="A2880" t="s">
        <v>173</v>
      </c>
      <c r="B2880" t="s">
        <v>188</v>
      </c>
      <c r="C2880" t="s">
        <v>97</v>
      </c>
      <c r="D2880" s="10">
        <v>9386470000000</v>
      </c>
      <c r="E2880" t="str">
        <f>$A2880&amp;Keys!$C$54&amp;$B2880&amp;Keys!$C$54&amp;$C2880</f>
        <v>WI|production|jet fuel or kerosene</v>
      </c>
    </row>
    <row r="2881" spans="1:5" x14ac:dyDescent="0.25">
      <c r="A2881" t="s">
        <v>173</v>
      </c>
      <c r="B2881" t="s">
        <v>191</v>
      </c>
      <c r="C2881" t="s">
        <v>97</v>
      </c>
      <c r="D2881" s="10">
        <v>4158290000000</v>
      </c>
      <c r="E2881" t="str">
        <f>$A2881&amp;Keys!$C$54&amp;$B2881&amp;Keys!$C$54&amp;$C2881</f>
        <v>WI|imports|jet fuel or kerosene</v>
      </c>
    </row>
    <row r="2882" spans="1:5" x14ac:dyDescent="0.25">
      <c r="A2882" t="s">
        <v>173</v>
      </c>
      <c r="B2882" t="s">
        <v>193</v>
      </c>
      <c r="C2882" t="s">
        <v>97</v>
      </c>
      <c r="D2882" s="10">
        <v>0</v>
      </c>
      <c r="E2882" t="str">
        <f>$A2882&amp;Keys!$C$54&amp;$B2882&amp;Keys!$C$54&amp;$C2882</f>
        <v>WI|exports|jet fuel or kerosene</v>
      </c>
    </row>
    <row r="2883" spans="1:5" x14ac:dyDescent="0.25">
      <c r="A2883" t="s">
        <v>173</v>
      </c>
      <c r="B2883" t="s">
        <v>188</v>
      </c>
      <c r="C2883" t="s">
        <v>276</v>
      </c>
      <c r="D2883" s="10">
        <v>0</v>
      </c>
      <c r="E2883" t="str">
        <f>$A2883&amp;Keys!$C$54&amp;$B2883&amp;Keys!$C$54&amp;$C2883</f>
        <v>WI|production|heat</v>
      </c>
    </row>
    <row r="2884" spans="1:5" x14ac:dyDescent="0.25">
      <c r="A2884" t="s">
        <v>173</v>
      </c>
      <c r="B2884" t="s">
        <v>191</v>
      </c>
      <c r="C2884" t="s">
        <v>276</v>
      </c>
      <c r="D2884" s="10">
        <v>0</v>
      </c>
      <c r="E2884" t="str">
        <f>$A2884&amp;Keys!$C$54&amp;$B2884&amp;Keys!$C$54&amp;$C2884</f>
        <v>WI|imports|heat</v>
      </c>
    </row>
    <row r="2885" spans="1:5" x14ac:dyDescent="0.25">
      <c r="A2885" t="s">
        <v>173</v>
      </c>
      <c r="B2885" t="s">
        <v>193</v>
      </c>
      <c r="C2885" t="s">
        <v>276</v>
      </c>
      <c r="D2885" s="10">
        <v>0</v>
      </c>
      <c r="E2885" t="str">
        <f>$A2885&amp;Keys!$C$54&amp;$B2885&amp;Keys!$C$54&amp;$C2885</f>
        <v>WI|exports|heat</v>
      </c>
    </row>
    <row r="2886" spans="1:5" x14ac:dyDescent="0.25">
      <c r="A2886" t="s">
        <v>173</v>
      </c>
      <c r="B2886" t="s">
        <v>188</v>
      </c>
      <c r="C2886" t="s">
        <v>277</v>
      </c>
      <c r="D2886" s="10">
        <v>0</v>
      </c>
      <c r="E2886" t="str">
        <f>$A2886&amp;Keys!$C$54&amp;$B2886&amp;Keys!$C$54&amp;$C2886</f>
        <v>WI|production|geothermal</v>
      </c>
    </row>
    <row r="2887" spans="1:5" x14ac:dyDescent="0.25">
      <c r="A2887" t="s">
        <v>173</v>
      </c>
      <c r="B2887" t="s">
        <v>191</v>
      </c>
      <c r="C2887" t="s">
        <v>277</v>
      </c>
      <c r="D2887" s="10">
        <v>0</v>
      </c>
      <c r="E2887" t="str">
        <f>$A2887&amp;Keys!$C$54&amp;$B2887&amp;Keys!$C$54&amp;$C2887</f>
        <v>WI|imports|geothermal</v>
      </c>
    </row>
    <row r="2888" spans="1:5" x14ac:dyDescent="0.25">
      <c r="A2888" t="s">
        <v>173</v>
      </c>
      <c r="B2888" t="s">
        <v>193</v>
      </c>
      <c r="C2888" t="s">
        <v>277</v>
      </c>
      <c r="D2888" s="10">
        <v>0</v>
      </c>
      <c r="E2888" t="str">
        <f>$A2888&amp;Keys!$C$54&amp;$B2888&amp;Keys!$C$54&amp;$C2888</f>
        <v>WI|exports|geothermal</v>
      </c>
    </row>
    <row r="2889" spans="1:5" x14ac:dyDescent="0.25">
      <c r="A2889" t="s">
        <v>173</v>
      </c>
      <c r="B2889" t="s">
        <v>188</v>
      </c>
      <c r="C2889" t="s">
        <v>106</v>
      </c>
      <c r="D2889" s="10">
        <v>0</v>
      </c>
      <c r="E2889" t="str">
        <f>$A2889&amp;Keys!$C$54&amp;$B2889&amp;Keys!$C$54&amp;$C2889</f>
        <v>WI|production|lignite</v>
      </c>
    </row>
    <row r="2890" spans="1:5" x14ac:dyDescent="0.25">
      <c r="A2890" t="s">
        <v>173</v>
      </c>
      <c r="B2890" t="s">
        <v>191</v>
      </c>
      <c r="C2890" t="s">
        <v>106</v>
      </c>
      <c r="D2890" s="10">
        <v>0</v>
      </c>
      <c r="E2890" t="str">
        <f>$A2890&amp;Keys!$C$54&amp;$B2890&amp;Keys!$C$54&amp;$C2890</f>
        <v>WI|imports|lignite</v>
      </c>
    </row>
    <row r="2891" spans="1:5" x14ac:dyDescent="0.25">
      <c r="A2891" t="s">
        <v>173</v>
      </c>
      <c r="B2891" t="s">
        <v>193</v>
      </c>
      <c r="C2891" t="s">
        <v>106</v>
      </c>
      <c r="D2891" s="10">
        <v>0</v>
      </c>
      <c r="E2891" t="str">
        <f>$A2891&amp;Keys!$C$54&amp;$B2891&amp;Keys!$C$54&amp;$C2891</f>
        <v>WI|exports|lignite</v>
      </c>
    </row>
    <row r="2892" spans="1:5" x14ac:dyDescent="0.25">
      <c r="A2892" t="s">
        <v>173</v>
      </c>
      <c r="B2892" t="s">
        <v>188</v>
      </c>
      <c r="C2892" t="s">
        <v>109</v>
      </c>
      <c r="D2892" s="10">
        <v>0</v>
      </c>
      <c r="E2892" t="str">
        <f>$A2892&amp;Keys!$C$54&amp;$B2892&amp;Keys!$C$54&amp;$C2892</f>
        <v>WI|production|crude oil</v>
      </c>
    </row>
    <row r="2893" spans="1:5" x14ac:dyDescent="0.25">
      <c r="A2893" t="s">
        <v>173</v>
      </c>
      <c r="B2893" t="s">
        <v>191</v>
      </c>
      <c r="C2893" t="s">
        <v>109</v>
      </c>
      <c r="D2893" s="10">
        <v>93390200000000</v>
      </c>
      <c r="E2893" t="str">
        <f>$A2893&amp;Keys!$C$54&amp;$B2893&amp;Keys!$C$54&amp;$C2893</f>
        <v>WI|imports|crude oil</v>
      </c>
    </row>
    <row r="2894" spans="1:5" x14ac:dyDescent="0.25">
      <c r="A2894" t="s">
        <v>173</v>
      </c>
      <c r="B2894" t="s">
        <v>193</v>
      </c>
      <c r="C2894" t="s">
        <v>109</v>
      </c>
      <c r="D2894" s="10">
        <v>0</v>
      </c>
      <c r="E2894" t="str">
        <f>$A2894&amp;Keys!$C$54&amp;$B2894&amp;Keys!$C$54&amp;$C2894</f>
        <v>WI|exports|crude oil</v>
      </c>
    </row>
    <row r="2895" spans="1:5" x14ac:dyDescent="0.25">
      <c r="A2895" t="s">
        <v>173</v>
      </c>
      <c r="B2895" t="s">
        <v>188</v>
      </c>
      <c r="C2895" t="s">
        <v>114</v>
      </c>
      <c r="D2895" s="10">
        <v>1823350000000</v>
      </c>
      <c r="E2895" t="str">
        <f>$A2895&amp;Keys!$C$54&amp;$B2895&amp;Keys!$C$54&amp;$C2895</f>
        <v>WI|production|heavy or residual fuel oil</v>
      </c>
    </row>
    <row r="2896" spans="1:5" x14ac:dyDescent="0.25">
      <c r="A2896" t="s">
        <v>173</v>
      </c>
      <c r="B2896" t="s">
        <v>191</v>
      </c>
      <c r="C2896" t="s">
        <v>114</v>
      </c>
      <c r="D2896" s="10">
        <v>18507300000000</v>
      </c>
      <c r="E2896" t="str">
        <f>$A2896&amp;Keys!$C$54&amp;$B2896&amp;Keys!$C$54&amp;$C2896</f>
        <v>WI|imports|heavy or residual fuel oil</v>
      </c>
    </row>
    <row r="2897" spans="1:5" x14ac:dyDescent="0.25">
      <c r="A2897" t="s">
        <v>173</v>
      </c>
      <c r="B2897" t="s">
        <v>193</v>
      </c>
      <c r="C2897" t="s">
        <v>114</v>
      </c>
      <c r="D2897" s="10">
        <v>0</v>
      </c>
      <c r="E2897" t="str">
        <f>$A2897&amp;Keys!$C$54&amp;$B2897&amp;Keys!$C$54&amp;$C2897</f>
        <v>WI|exports|heavy or residual fuel oil</v>
      </c>
    </row>
    <row r="2898" spans="1:5" x14ac:dyDescent="0.25">
      <c r="A2898" t="s">
        <v>173</v>
      </c>
      <c r="B2898" t="s">
        <v>188</v>
      </c>
      <c r="C2898" t="s">
        <v>117</v>
      </c>
      <c r="D2898" s="10">
        <v>0</v>
      </c>
      <c r="E2898" t="str">
        <f>$A2898&amp;Keys!$C$54&amp;$B2898&amp;Keys!$C$54&amp;$C2898</f>
        <v>WI|production|LPG propane or butane</v>
      </c>
    </row>
    <row r="2899" spans="1:5" x14ac:dyDescent="0.25">
      <c r="A2899" t="s">
        <v>173</v>
      </c>
      <c r="B2899" t="s">
        <v>191</v>
      </c>
      <c r="C2899" t="s">
        <v>117</v>
      </c>
      <c r="D2899" s="10">
        <v>38549300000000</v>
      </c>
      <c r="E2899" t="str">
        <f>$A2899&amp;Keys!$C$54&amp;$B2899&amp;Keys!$C$54&amp;$C2899</f>
        <v>WI|imports|LPG propane or butane</v>
      </c>
    </row>
    <row r="2900" spans="1:5" x14ac:dyDescent="0.25">
      <c r="A2900" t="s">
        <v>173</v>
      </c>
      <c r="B2900" t="s">
        <v>193</v>
      </c>
      <c r="C2900" t="s">
        <v>117</v>
      </c>
      <c r="D2900" s="10">
        <v>0</v>
      </c>
      <c r="E2900" t="str">
        <f>$A2900&amp;Keys!$C$54&amp;$B2900&amp;Keys!$C$54&amp;$C2900</f>
        <v>WI|exports|LPG propane or butane</v>
      </c>
    </row>
    <row r="2901" spans="1:5" x14ac:dyDescent="0.25">
      <c r="A2901" t="s">
        <v>173</v>
      </c>
      <c r="B2901" t="s">
        <v>188</v>
      </c>
      <c r="C2901" t="s">
        <v>120</v>
      </c>
      <c r="D2901" s="10">
        <v>0</v>
      </c>
      <c r="E2901" t="str">
        <f>$A2901&amp;Keys!$C$54&amp;$B2901&amp;Keys!$C$54&amp;$C2901</f>
        <v>WI|production|municipal solid waste</v>
      </c>
    </row>
    <row r="2902" spans="1:5" x14ac:dyDescent="0.25">
      <c r="A2902" t="s">
        <v>173</v>
      </c>
      <c r="B2902" t="s">
        <v>191</v>
      </c>
      <c r="C2902" t="s">
        <v>120</v>
      </c>
      <c r="D2902" s="10">
        <v>682639000000</v>
      </c>
      <c r="E2902" t="str">
        <f>$A2902&amp;Keys!$C$54&amp;$B2902&amp;Keys!$C$54&amp;$C2902</f>
        <v>WI|imports|municipal solid waste</v>
      </c>
    </row>
    <row r="2903" spans="1:5" x14ac:dyDescent="0.25">
      <c r="A2903" t="s">
        <v>173</v>
      </c>
      <c r="B2903" t="s">
        <v>193</v>
      </c>
      <c r="C2903" t="s">
        <v>120</v>
      </c>
      <c r="D2903" s="10">
        <v>0</v>
      </c>
      <c r="E2903" t="str">
        <f>$A2903&amp;Keys!$C$54&amp;$B2903&amp;Keys!$C$54&amp;$C2903</f>
        <v>WI|exports|municipal solid waste</v>
      </c>
    </row>
    <row r="2904" spans="1:5" x14ac:dyDescent="0.25">
      <c r="A2904" t="s">
        <v>173</v>
      </c>
      <c r="B2904" t="s">
        <v>188</v>
      </c>
      <c r="C2904" t="s">
        <v>123</v>
      </c>
      <c r="D2904" s="10">
        <v>0</v>
      </c>
      <c r="E2904" t="str">
        <f>$A2904&amp;Keys!$C$54&amp;$B2904&amp;Keys!$C$54&amp;$C2904</f>
        <v>WI|production|hydrogen</v>
      </c>
    </row>
    <row r="2905" spans="1:5" x14ac:dyDescent="0.25">
      <c r="A2905" t="s">
        <v>173</v>
      </c>
      <c r="B2905" t="s">
        <v>191</v>
      </c>
      <c r="C2905" t="s">
        <v>123</v>
      </c>
      <c r="D2905" s="10">
        <v>94655900</v>
      </c>
      <c r="E2905" t="str">
        <f>$A2905&amp;Keys!$C$54&amp;$B2905&amp;Keys!$C$54&amp;$C2905</f>
        <v>WI|imports|hydrogen</v>
      </c>
    </row>
    <row r="2906" spans="1:5" x14ac:dyDescent="0.25">
      <c r="A2906" t="s">
        <v>173</v>
      </c>
      <c r="B2906" t="s">
        <v>193</v>
      </c>
      <c r="C2906" t="s">
        <v>123</v>
      </c>
      <c r="D2906" s="10">
        <v>0</v>
      </c>
      <c r="E2906" t="str">
        <f>$A2906&amp;Keys!$C$54&amp;$B2906&amp;Keys!$C$54&amp;$C2906</f>
        <v>WI|exports|hydrogen</v>
      </c>
    </row>
    <row r="2907" spans="1:5" x14ac:dyDescent="0.25">
      <c r="A2907" t="s">
        <v>175</v>
      </c>
      <c r="B2907" t="s">
        <v>188</v>
      </c>
      <c r="C2907" t="s">
        <v>272</v>
      </c>
      <c r="D2907" s="10">
        <v>0</v>
      </c>
      <c r="E2907" t="str">
        <f>$A2907&amp;Keys!$C$54&amp;$B2907&amp;Keys!$C$54&amp;$C2907</f>
        <v>WV|production|electricity</v>
      </c>
    </row>
    <row r="2908" spans="1:5" x14ac:dyDescent="0.25">
      <c r="A2908" t="s">
        <v>175</v>
      </c>
      <c r="B2908" t="s">
        <v>191</v>
      </c>
      <c r="C2908" t="s">
        <v>272</v>
      </c>
      <c r="D2908" s="10">
        <v>0</v>
      </c>
      <c r="E2908" t="str">
        <f>$A2908&amp;Keys!$C$54&amp;$B2908&amp;Keys!$C$54&amp;$C2908</f>
        <v>WV|imports|electricity</v>
      </c>
    </row>
    <row r="2909" spans="1:5" x14ac:dyDescent="0.25">
      <c r="A2909" t="s">
        <v>175</v>
      </c>
      <c r="B2909" t="s">
        <v>193</v>
      </c>
      <c r="C2909" t="s">
        <v>272</v>
      </c>
      <c r="D2909" s="10">
        <v>0</v>
      </c>
      <c r="E2909" t="str">
        <f>$A2909&amp;Keys!$C$54&amp;$B2909&amp;Keys!$C$54&amp;$C2909</f>
        <v>WV|exports|electricity</v>
      </c>
    </row>
    <row r="2910" spans="1:5" x14ac:dyDescent="0.25">
      <c r="A2910" t="s">
        <v>175</v>
      </c>
      <c r="B2910" t="s">
        <v>188</v>
      </c>
      <c r="C2910" t="s">
        <v>64</v>
      </c>
      <c r="D2910" s="10">
        <v>1630430000000000</v>
      </c>
      <c r="E2910" t="str">
        <f>$A2910&amp;Keys!$C$54&amp;$B2910&amp;Keys!$C$54&amp;$C2910</f>
        <v>WV|production|hard coal</v>
      </c>
    </row>
    <row r="2911" spans="1:5" x14ac:dyDescent="0.25">
      <c r="A2911" t="s">
        <v>175</v>
      </c>
      <c r="B2911" t="s">
        <v>191</v>
      </c>
      <c r="C2911" t="s">
        <v>64</v>
      </c>
      <c r="D2911" s="10">
        <v>31631200000000</v>
      </c>
      <c r="E2911" t="str">
        <f>$A2911&amp;Keys!$C$54&amp;$B2911&amp;Keys!$C$54&amp;$C2911</f>
        <v>WV|imports|hard coal</v>
      </c>
    </row>
    <row r="2912" spans="1:5" x14ac:dyDescent="0.25">
      <c r="A2912" t="s">
        <v>175</v>
      </c>
      <c r="B2912" t="s">
        <v>193</v>
      </c>
      <c r="C2912" t="s">
        <v>64</v>
      </c>
      <c r="D2912" s="10">
        <v>1169280000000000</v>
      </c>
      <c r="E2912" t="str">
        <f>$A2912&amp;Keys!$C$54&amp;$B2912&amp;Keys!$C$54&amp;$C2912</f>
        <v>WV|exports|hard coal</v>
      </c>
    </row>
    <row r="2913" spans="1:5" x14ac:dyDescent="0.25">
      <c r="A2913" t="s">
        <v>175</v>
      </c>
      <c r="B2913" t="s">
        <v>188</v>
      </c>
      <c r="C2913" t="s">
        <v>68</v>
      </c>
      <c r="D2913" s="10">
        <v>3227660000000000</v>
      </c>
      <c r="E2913" t="str">
        <f>$A2913&amp;Keys!$C$54&amp;$B2913&amp;Keys!$C$54&amp;$C2913</f>
        <v>WV|production|natural gas</v>
      </c>
    </row>
    <row r="2914" spans="1:5" x14ac:dyDescent="0.25">
      <c r="A2914" t="s">
        <v>175</v>
      </c>
      <c r="B2914" t="s">
        <v>191</v>
      </c>
      <c r="C2914" t="s">
        <v>68</v>
      </c>
      <c r="D2914" s="10">
        <v>236687000000000</v>
      </c>
      <c r="E2914" t="str">
        <f>$A2914&amp;Keys!$C$54&amp;$B2914&amp;Keys!$C$54&amp;$C2914</f>
        <v>WV|imports|natural gas</v>
      </c>
    </row>
    <row r="2915" spans="1:5" x14ac:dyDescent="0.25">
      <c r="A2915" t="s">
        <v>175</v>
      </c>
      <c r="B2915" t="s">
        <v>193</v>
      </c>
      <c r="C2915" t="s">
        <v>68</v>
      </c>
      <c r="D2915" s="10">
        <v>3159370000000000</v>
      </c>
      <c r="E2915" t="str">
        <f>$A2915&amp;Keys!$C$54&amp;$B2915&amp;Keys!$C$54&amp;$C2915</f>
        <v>WV|exports|natural gas</v>
      </c>
    </row>
    <row r="2916" spans="1:5" x14ac:dyDescent="0.25">
      <c r="A2916" t="s">
        <v>175</v>
      </c>
      <c r="B2916" t="s">
        <v>188</v>
      </c>
      <c r="C2916" t="s">
        <v>71</v>
      </c>
      <c r="D2916" s="10">
        <v>0</v>
      </c>
      <c r="E2916" t="str">
        <f>$A2916&amp;Keys!$C$54&amp;$B2916&amp;Keys!$C$54&amp;$C2916</f>
        <v>WV|production|nuclear</v>
      </c>
    </row>
    <row r="2917" spans="1:5" x14ac:dyDescent="0.25">
      <c r="A2917" t="s">
        <v>175</v>
      </c>
      <c r="B2917" t="s">
        <v>191</v>
      </c>
      <c r="C2917" t="s">
        <v>71</v>
      </c>
      <c r="D2917" s="10">
        <v>0</v>
      </c>
      <c r="E2917" t="str">
        <f>$A2917&amp;Keys!$C$54&amp;$B2917&amp;Keys!$C$54&amp;$C2917</f>
        <v>WV|imports|nuclear</v>
      </c>
    </row>
    <row r="2918" spans="1:5" x14ac:dyDescent="0.25">
      <c r="A2918" t="s">
        <v>175</v>
      </c>
      <c r="B2918" t="s">
        <v>193</v>
      </c>
      <c r="C2918" t="s">
        <v>71</v>
      </c>
      <c r="D2918" s="10">
        <v>0</v>
      </c>
      <c r="E2918" t="str">
        <f>$A2918&amp;Keys!$C$54&amp;$B2918&amp;Keys!$C$54&amp;$C2918</f>
        <v>WV|exports|nuclear</v>
      </c>
    </row>
    <row r="2919" spans="1:5" x14ac:dyDescent="0.25">
      <c r="A2919" t="s">
        <v>175</v>
      </c>
      <c r="B2919" t="s">
        <v>188</v>
      </c>
      <c r="C2919" t="s">
        <v>273</v>
      </c>
      <c r="D2919" s="10">
        <v>0</v>
      </c>
      <c r="E2919" t="str">
        <f>$A2919&amp;Keys!$C$54&amp;$B2919&amp;Keys!$C$54&amp;$C2919</f>
        <v>WV|production|hydro</v>
      </c>
    </row>
    <row r="2920" spans="1:5" x14ac:dyDescent="0.25">
      <c r="A2920" t="s">
        <v>175</v>
      </c>
      <c r="B2920" t="s">
        <v>191</v>
      </c>
      <c r="C2920" t="s">
        <v>273</v>
      </c>
      <c r="D2920" s="10">
        <v>0</v>
      </c>
      <c r="E2920" t="str">
        <f>$A2920&amp;Keys!$C$54&amp;$B2920&amp;Keys!$C$54&amp;$C2920</f>
        <v>WV|imports|hydro</v>
      </c>
    </row>
    <row r="2921" spans="1:5" x14ac:dyDescent="0.25">
      <c r="A2921" t="s">
        <v>175</v>
      </c>
      <c r="B2921" t="s">
        <v>193</v>
      </c>
      <c r="C2921" t="s">
        <v>273</v>
      </c>
      <c r="D2921" s="10">
        <v>0</v>
      </c>
      <c r="E2921" t="str">
        <f>$A2921&amp;Keys!$C$54&amp;$B2921&amp;Keys!$C$54&amp;$C2921</f>
        <v>WV|exports|hydro</v>
      </c>
    </row>
    <row r="2922" spans="1:5" x14ac:dyDescent="0.25">
      <c r="A2922" t="s">
        <v>175</v>
      </c>
      <c r="B2922" t="s">
        <v>188</v>
      </c>
      <c r="C2922" t="s">
        <v>274</v>
      </c>
      <c r="D2922" s="10">
        <v>0</v>
      </c>
      <c r="E2922" t="str">
        <f>$A2922&amp;Keys!$C$54&amp;$B2922&amp;Keys!$C$54&amp;$C2922</f>
        <v>WV|production|wind</v>
      </c>
    </row>
    <row r="2923" spans="1:5" x14ac:dyDescent="0.25">
      <c r="A2923" t="s">
        <v>175</v>
      </c>
      <c r="B2923" t="s">
        <v>191</v>
      </c>
      <c r="C2923" t="s">
        <v>274</v>
      </c>
      <c r="D2923" s="10">
        <v>0</v>
      </c>
      <c r="E2923" t="str">
        <f>$A2923&amp;Keys!$C$54&amp;$B2923&amp;Keys!$C$54&amp;$C2923</f>
        <v>WV|imports|wind</v>
      </c>
    </row>
    <row r="2924" spans="1:5" x14ac:dyDescent="0.25">
      <c r="A2924" t="s">
        <v>175</v>
      </c>
      <c r="B2924" t="s">
        <v>193</v>
      </c>
      <c r="C2924" t="s">
        <v>274</v>
      </c>
      <c r="D2924" s="10">
        <v>0</v>
      </c>
      <c r="E2924" t="str">
        <f>$A2924&amp;Keys!$C$54&amp;$B2924&amp;Keys!$C$54&amp;$C2924</f>
        <v>WV|exports|wind</v>
      </c>
    </row>
    <row r="2925" spans="1:5" x14ac:dyDescent="0.25">
      <c r="A2925" t="s">
        <v>175</v>
      </c>
      <c r="B2925" t="s">
        <v>188</v>
      </c>
      <c r="C2925" t="s">
        <v>275</v>
      </c>
      <c r="D2925" s="10">
        <v>0</v>
      </c>
      <c r="E2925" t="str">
        <f>$A2925&amp;Keys!$C$54&amp;$B2925&amp;Keys!$C$54&amp;$C2925</f>
        <v>WV|production|solar</v>
      </c>
    </row>
    <row r="2926" spans="1:5" x14ac:dyDescent="0.25">
      <c r="A2926" t="s">
        <v>175</v>
      </c>
      <c r="B2926" t="s">
        <v>191</v>
      </c>
      <c r="C2926" t="s">
        <v>275</v>
      </c>
      <c r="D2926" s="10">
        <v>0</v>
      </c>
      <c r="E2926" t="str">
        <f>$A2926&amp;Keys!$C$54&amp;$B2926&amp;Keys!$C$54&amp;$C2926</f>
        <v>WV|imports|solar</v>
      </c>
    </row>
    <row r="2927" spans="1:5" x14ac:dyDescent="0.25">
      <c r="A2927" t="s">
        <v>175</v>
      </c>
      <c r="B2927" t="s">
        <v>193</v>
      </c>
      <c r="C2927" t="s">
        <v>275</v>
      </c>
      <c r="D2927" s="10">
        <v>0</v>
      </c>
      <c r="E2927" t="str">
        <f>$A2927&amp;Keys!$C$54&amp;$B2927&amp;Keys!$C$54&amp;$C2927</f>
        <v>WV|exports|solar</v>
      </c>
    </row>
    <row r="2928" spans="1:5" x14ac:dyDescent="0.25">
      <c r="A2928" t="s">
        <v>175</v>
      </c>
      <c r="B2928" t="s">
        <v>188</v>
      </c>
      <c r="C2928" t="s">
        <v>82</v>
      </c>
      <c r="D2928" s="10">
        <v>3930880000000</v>
      </c>
      <c r="E2928" t="str">
        <f>$A2928&amp;Keys!$C$54&amp;$B2928&amp;Keys!$C$54&amp;$C2928</f>
        <v>WV|production|biomass</v>
      </c>
    </row>
    <row r="2929" spans="1:5" x14ac:dyDescent="0.25">
      <c r="A2929" t="s">
        <v>175</v>
      </c>
      <c r="B2929" t="s">
        <v>191</v>
      </c>
      <c r="C2929" t="s">
        <v>82</v>
      </c>
      <c r="D2929" s="10">
        <v>3187720000000</v>
      </c>
      <c r="E2929" t="str">
        <f>$A2929&amp;Keys!$C$54&amp;$B2929&amp;Keys!$C$54&amp;$C2929</f>
        <v>WV|imports|biomass</v>
      </c>
    </row>
    <row r="2930" spans="1:5" x14ac:dyDescent="0.25">
      <c r="A2930" t="s">
        <v>175</v>
      </c>
      <c r="B2930" t="s">
        <v>193</v>
      </c>
      <c r="C2930" t="s">
        <v>82</v>
      </c>
      <c r="D2930" s="10">
        <v>0</v>
      </c>
      <c r="E2930" t="str">
        <f>$A2930&amp;Keys!$C$54&amp;$B2930&amp;Keys!$C$54&amp;$C2930</f>
        <v>WV|exports|biomass</v>
      </c>
    </row>
    <row r="2931" spans="1:5" x14ac:dyDescent="0.25">
      <c r="A2931" t="s">
        <v>175</v>
      </c>
      <c r="B2931" t="s">
        <v>188</v>
      </c>
      <c r="C2931" t="s">
        <v>85</v>
      </c>
      <c r="D2931" s="10">
        <v>21642200000000</v>
      </c>
      <c r="E2931" t="str">
        <f>$A2931&amp;Keys!$C$54&amp;$B2931&amp;Keys!$C$54&amp;$C2931</f>
        <v>WV|production|petroleum gasoline</v>
      </c>
    </row>
    <row r="2932" spans="1:5" x14ac:dyDescent="0.25">
      <c r="A2932" t="s">
        <v>175</v>
      </c>
      <c r="B2932" t="s">
        <v>191</v>
      </c>
      <c r="C2932" t="s">
        <v>85</v>
      </c>
      <c r="D2932" s="10">
        <v>58161400000000</v>
      </c>
      <c r="E2932" t="str">
        <f>$A2932&amp;Keys!$C$54&amp;$B2932&amp;Keys!$C$54&amp;$C2932</f>
        <v>WV|imports|petroleum gasoline</v>
      </c>
    </row>
    <row r="2933" spans="1:5" x14ac:dyDescent="0.25">
      <c r="A2933" t="s">
        <v>175</v>
      </c>
      <c r="B2933" t="s">
        <v>193</v>
      </c>
      <c r="C2933" t="s">
        <v>85</v>
      </c>
      <c r="D2933" s="10">
        <v>0</v>
      </c>
      <c r="E2933" t="str">
        <f>$A2933&amp;Keys!$C$54&amp;$B2933&amp;Keys!$C$54&amp;$C2933</f>
        <v>WV|exports|petroleum gasoline</v>
      </c>
    </row>
    <row r="2934" spans="1:5" x14ac:dyDescent="0.25">
      <c r="A2934" t="s">
        <v>175</v>
      </c>
      <c r="B2934" t="s">
        <v>188</v>
      </c>
      <c r="C2934" t="s">
        <v>88</v>
      </c>
      <c r="D2934" s="10">
        <v>12801700000000</v>
      </c>
      <c r="E2934" t="str">
        <f>$A2934&amp;Keys!$C$54&amp;$B2934&amp;Keys!$C$54&amp;$C2934</f>
        <v>WV|production|petroleum diesel</v>
      </c>
    </row>
    <row r="2935" spans="1:5" x14ac:dyDescent="0.25">
      <c r="A2935" t="s">
        <v>175</v>
      </c>
      <c r="B2935" t="s">
        <v>191</v>
      </c>
      <c r="C2935" t="s">
        <v>88</v>
      </c>
      <c r="D2935" s="10">
        <v>66964100000000</v>
      </c>
      <c r="E2935" t="str">
        <f>$A2935&amp;Keys!$C$54&amp;$B2935&amp;Keys!$C$54&amp;$C2935</f>
        <v>WV|imports|petroleum diesel</v>
      </c>
    </row>
    <row r="2936" spans="1:5" x14ac:dyDescent="0.25">
      <c r="A2936" t="s">
        <v>175</v>
      </c>
      <c r="B2936" t="s">
        <v>193</v>
      </c>
      <c r="C2936" t="s">
        <v>88</v>
      </c>
      <c r="D2936" s="10">
        <v>0</v>
      </c>
      <c r="E2936" t="str">
        <f>$A2936&amp;Keys!$C$54&amp;$B2936&amp;Keys!$C$54&amp;$C2936</f>
        <v>WV|exports|petroleum diesel</v>
      </c>
    </row>
    <row r="2937" spans="1:5" x14ac:dyDescent="0.25">
      <c r="A2937" t="s">
        <v>175</v>
      </c>
      <c r="B2937" t="s">
        <v>188</v>
      </c>
      <c r="C2937" t="s">
        <v>91</v>
      </c>
      <c r="D2937" s="10">
        <v>0</v>
      </c>
      <c r="E2937" t="str">
        <f>$A2937&amp;Keys!$C$54&amp;$B2937&amp;Keys!$C$54&amp;$C2937</f>
        <v>WV|production|biofuel gasoline</v>
      </c>
    </row>
    <row r="2938" spans="1:5" x14ac:dyDescent="0.25">
      <c r="A2938" t="s">
        <v>175</v>
      </c>
      <c r="B2938" t="s">
        <v>191</v>
      </c>
      <c r="C2938" t="s">
        <v>91</v>
      </c>
      <c r="D2938" s="10">
        <v>5492010000000</v>
      </c>
      <c r="E2938" t="str">
        <f>$A2938&amp;Keys!$C$54&amp;$B2938&amp;Keys!$C$54&amp;$C2938</f>
        <v>WV|imports|biofuel gasoline</v>
      </c>
    </row>
    <row r="2939" spans="1:5" x14ac:dyDescent="0.25">
      <c r="A2939" t="s">
        <v>175</v>
      </c>
      <c r="B2939" t="s">
        <v>193</v>
      </c>
      <c r="C2939" t="s">
        <v>91</v>
      </c>
      <c r="D2939" s="10">
        <v>0</v>
      </c>
      <c r="E2939" t="str">
        <f>$A2939&amp;Keys!$C$54&amp;$B2939&amp;Keys!$C$54&amp;$C2939</f>
        <v>WV|exports|biofuel gasoline</v>
      </c>
    </row>
    <row r="2940" spans="1:5" x14ac:dyDescent="0.25">
      <c r="A2940" t="s">
        <v>175</v>
      </c>
      <c r="B2940" t="s">
        <v>188</v>
      </c>
      <c r="C2940" t="s">
        <v>94</v>
      </c>
      <c r="D2940" s="10">
        <v>0</v>
      </c>
      <c r="E2940" t="str">
        <f>$A2940&amp;Keys!$C$54&amp;$B2940&amp;Keys!$C$54&amp;$C2940</f>
        <v>WV|production|biofuel diesel</v>
      </c>
    </row>
    <row r="2941" spans="1:5" x14ac:dyDescent="0.25">
      <c r="A2941" t="s">
        <v>175</v>
      </c>
      <c r="B2941" t="s">
        <v>191</v>
      </c>
      <c r="C2941" t="s">
        <v>94</v>
      </c>
      <c r="D2941" s="10">
        <v>476249000000</v>
      </c>
      <c r="E2941" t="str">
        <f>$A2941&amp;Keys!$C$54&amp;$B2941&amp;Keys!$C$54&amp;$C2941</f>
        <v>WV|imports|biofuel diesel</v>
      </c>
    </row>
    <row r="2942" spans="1:5" x14ac:dyDescent="0.25">
      <c r="A2942" t="s">
        <v>175</v>
      </c>
      <c r="B2942" t="s">
        <v>193</v>
      </c>
      <c r="C2942" t="s">
        <v>94</v>
      </c>
      <c r="D2942" s="10">
        <v>0</v>
      </c>
      <c r="E2942" t="str">
        <f>$A2942&amp;Keys!$C$54&amp;$B2942&amp;Keys!$C$54&amp;$C2942</f>
        <v>WV|exports|biofuel diesel</v>
      </c>
    </row>
    <row r="2943" spans="1:5" x14ac:dyDescent="0.25">
      <c r="A2943" t="s">
        <v>175</v>
      </c>
      <c r="B2943" t="s">
        <v>188</v>
      </c>
      <c r="C2943" t="s">
        <v>97</v>
      </c>
      <c r="D2943" s="10">
        <v>4557130000000</v>
      </c>
      <c r="E2943" t="str">
        <f>$A2943&amp;Keys!$C$54&amp;$B2943&amp;Keys!$C$54&amp;$C2943</f>
        <v>WV|production|jet fuel or kerosene</v>
      </c>
    </row>
    <row r="2944" spans="1:5" x14ac:dyDescent="0.25">
      <c r="A2944" t="s">
        <v>175</v>
      </c>
      <c r="B2944" t="s">
        <v>191</v>
      </c>
      <c r="C2944" t="s">
        <v>97</v>
      </c>
      <c r="D2944" s="10">
        <v>0</v>
      </c>
      <c r="E2944" t="str">
        <f>$A2944&amp;Keys!$C$54&amp;$B2944&amp;Keys!$C$54&amp;$C2944</f>
        <v>WV|imports|jet fuel or kerosene</v>
      </c>
    </row>
    <row r="2945" spans="1:5" x14ac:dyDescent="0.25">
      <c r="A2945" t="s">
        <v>175</v>
      </c>
      <c r="B2945" t="s">
        <v>193</v>
      </c>
      <c r="C2945" t="s">
        <v>97</v>
      </c>
      <c r="D2945" s="10">
        <v>3194160000000</v>
      </c>
      <c r="E2945" t="str">
        <f>$A2945&amp;Keys!$C$54&amp;$B2945&amp;Keys!$C$54&amp;$C2945</f>
        <v>WV|exports|jet fuel or kerosene</v>
      </c>
    </row>
    <row r="2946" spans="1:5" x14ac:dyDescent="0.25">
      <c r="A2946" t="s">
        <v>175</v>
      </c>
      <c r="B2946" t="s">
        <v>188</v>
      </c>
      <c r="C2946" t="s">
        <v>276</v>
      </c>
      <c r="D2946" s="10">
        <v>0</v>
      </c>
      <c r="E2946" t="str">
        <f>$A2946&amp;Keys!$C$54&amp;$B2946&amp;Keys!$C$54&amp;$C2946</f>
        <v>WV|production|heat</v>
      </c>
    </row>
    <row r="2947" spans="1:5" x14ac:dyDescent="0.25">
      <c r="A2947" t="s">
        <v>175</v>
      </c>
      <c r="B2947" t="s">
        <v>191</v>
      </c>
      <c r="C2947" t="s">
        <v>276</v>
      </c>
      <c r="D2947" s="10">
        <v>0</v>
      </c>
      <c r="E2947" t="str">
        <f>$A2947&amp;Keys!$C$54&amp;$B2947&amp;Keys!$C$54&amp;$C2947</f>
        <v>WV|imports|heat</v>
      </c>
    </row>
    <row r="2948" spans="1:5" x14ac:dyDescent="0.25">
      <c r="A2948" t="s">
        <v>175</v>
      </c>
      <c r="B2948" t="s">
        <v>193</v>
      </c>
      <c r="C2948" t="s">
        <v>276</v>
      </c>
      <c r="D2948" s="10">
        <v>0</v>
      </c>
      <c r="E2948" t="str">
        <f>$A2948&amp;Keys!$C$54&amp;$B2948&amp;Keys!$C$54&amp;$C2948</f>
        <v>WV|exports|heat</v>
      </c>
    </row>
    <row r="2949" spans="1:5" x14ac:dyDescent="0.25">
      <c r="A2949" t="s">
        <v>175</v>
      </c>
      <c r="B2949" t="s">
        <v>188</v>
      </c>
      <c r="C2949" t="s">
        <v>277</v>
      </c>
      <c r="D2949" s="10">
        <v>0</v>
      </c>
      <c r="E2949" t="str">
        <f>$A2949&amp;Keys!$C$54&amp;$B2949&amp;Keys!$C$54&amp;$C2949</f>
        <v>WV|production|geothermal</v>
      </c>
    </row>
    <row r="2950" spans="1:5" x14ac:dyDescent="0.25">
      <c r="A2950" t="s">
        <v>175</v>
      </c>
      <c r="B2950" t="s">
        <v>191</v>
      </c>
      <c r="C2950" t="s">
        <v>277</v>
      </c>
      <c r="D2950" s="10">
        <v>0</v>
      </c>
      <c r="E2950" t="str">
        <f>$A2950&amp;Keys!$C$54&amp;$B2950&amp;Keys!$C$54&amp;$C2950</f>
        <v>WV|imports|geothermal</v>
      </c>
    </row>
    <row r="2951" spans="1:5" x14ac:dyDescent="0.25">
      <c r="A2951" t="s">
        <v>175</v>
      </c>
      <c r="B2951" t="s">
        <v>193</v>
      </c>
      <c r="C2951" t="s">
        <v>277</v>
      </c>
      <c r="D2951" s="10">
        <v>0</v>
      </c>
      <c r="E2951" t="str">
        <f>$A2951&amp;Keys!$C$54&amp;$B2951&amp;Keys!$C$54&amp;$C2951</f>
        <v>WV|exports|geothermal</v>
      </c>
    </row>
    <row r="2952" spans="1:5" x14ac:dyDescent="0.25">
      <c r="A2952" t="s">
        <v>175</v>
      </c>
      <c r="B2952" t="s">
        <v>188</v>
      </c>
      <c r="C2952" t="s">
        <v>106</v>
      </c>
      <c r="D2952" s="10">
        <v>0</v>
      </c>
      <c r="E2952" t="str">
        <f>$A2952&amp;Keys!$C$54&amp;$B2952&amp;Keys!$C$54&amp;$C2952</f>
        <v>WV|production|lignite</v>
      </c>
    </row>
    <row r="2953" spans="1:5" x14ac:dyDescent="0.25">
      <c r="A2953" t="s">
        <v>175</v>
      </c>
      <c r="B2953" t="s">
        <v>191</v>
      </c>
      <c r="C2953" t="s">
        <v>106</v>
      </c>
      <c r="D2953" s="10">
        <v>0</v>
      </c>
      <c r="E2953" t="str">
        <f>$A2953&amp;Keys!$C$54&amp;$B2953&amp;Keys!$C$54&amp;$C2953</f>
        <v>WV|imports|lignite</v>
      </c>
    </row>
    <row r="2954" spans="1:5" x14ac:dyDescent="0.25">
      <c r="A2954" t="s">
        <v>175</v>
      </c>
      <c r="B2954" t="s">
        <v>193</v>
      </c>
      <c r="C2954" t="s">
        <v>106</v>
      </c>
      <c r="D2954" s="10">
        <v>0</v>
      </c>
      <c r="E2954" t="str">
        <f>$A2954&amp;Keys!$C$54&amp;$B2954&amp;Keys!$C$54&amp;$C2954</f>
        <v>WV|exports|lignite</v>
      </c>
    </row>
    <row r="2955" spans="1:5" x14ac:dyDescent="0.25">
      <c r="A2955" t="s">
        <v>175</v>
      </c>
      <c r="B2955" t="s">
        <v>188</v>
      </c>
      <c r="C2955" t="s">
        <v>109</v>
      </c>
      <c r="D2955" s="10">
        <v>79175800000000</v>
      </c>
      <c r="E2955" t="str">
        <f>$A2955&amp;Keys!$C$54&amp;$B2955&amp;Keys!$C$54&amp;$C2955</f>
        <v>WV|production|crude oil</v>
      </c>
    </row>
    <row r="2956" spans="1:5" x14ac:dyDescent="0.25">
      <c r="A2956" t="s">
        <v>175</v>
      </c>
      <c r="B2956" t="s">
        <v>191</v>
      </c>
      <c r="C2956" t="s">
        <v>109</v>
      </c>
      <c r="D2956" s="10">
        <v>0</v>
      </c>
      <c r="E2956" t="str">
        <f>$A2956&amp;Keys!$C$54&amp;$B2956&amp;Keys!$C$54&amp;$C2956</f>
        <v>WV|imports|crude oil</v>
      </c>
    </row>
    <row r="2957" spans="1:5" x14ac:dyDescent="0.25">
      <c r="A2957" t="s">
        <v>175</v>
      </c>
      <c r="B2957" t="s">
        <v>193</v>
      </c>
      <c r="C2957" t="s">
        <v>109</v>
      </c>
      <c r="D2957" s="10">
        <v>32375400000000</v>
      </c>
      <c r="E2957" t="str">
        <f>$A2957&amp;Keys!$C$54&amp;$B2957&amp;Keys!$C$54&amp;$C2957</f>
        <v>WV|exports|crude oil</v>
      </c>
    </row>
    <row r="2958" spans="1:5" x14ac:dyDescent="0.25">
      <c r="A2958" t="s">
        <v>175</v>
      </c>
      <c r="B2958" t="s">
        <v>188</v>
      </c>
      <c r="C2958" t="s">
        <v>114</v>
      </c>
      <c r="D2958" s="10">
        <v>885238000000</v>
      </c>
      <c r="E2958" t="str">
        <f>$A2958&amp;Keys!$C$54&amp;$B2958&amp;Keys!$C$54&amp;$C2958</f>
        <v>WV|production|heavy or residual fuel oil</v>
      </c>
    </row>
    <row r="2959" spans="1:5" x14ac:dyDescent="0.25">
      <c r="A2959" t="s">
        <v>175</v>
      </c>
      <c r="B2959" t="s">
        <v>191</v>
      </c>
      <c r="C2959" t="s">
        <v>114</v>
      </c>
      <c r="D2959" s="10">
        <v>7609330000000</v>
      </c>
      <c r="E2959" t="str">
        <f>$A2959&amp;Keys!$C$54&amp;$B2959&amp;Keys!$C$54&amp;$C2959</f>
        <v>WV|imports|heavy or residual fuel oil</v>
      </c>
    </row>
    <row r="2960" spans="1:5" x14ac:dyDescent="0.25">
      <c r="A2960" t="s">
        <v>175</v>
      </c>
      <c r="B2960" t="s">
        <v>193</v>
      </c>
      <c r="C2960" t="s">
        <v>114</v>
      </c>
      <c r="D2960" s="10">
        <v>0</v>
      </c>
      <c r="E2960" t="str">
        <f>$A2960&amp;Keys!$C$54&amp;$B2960&amp;Keys!$C$54&amp;$C2960</f>
        <v>WV|exports|heavy or residual fuel oil</v>
      </c>
    </row>
    <row r="2961" spans="1:5" x14ac:dyDescent="0.25">
      <c r="A2961" t="s">
        <v>175</v>
      </c>
      <c r="B2961" t="s">
        <v>188</v>
      </c>
      <c r="C2961" t="s">
        <v>117</v>
      </c>
      <c r="D2961" s="10">
        <v>394580000000000</v>
      </c>
      <c r="E2961" t="str">
        <f>$A2961&amp;Keys!$C$54&amp;$B2961&amp;Keys!$C$54&amp;$C2961</f>
        <v>WV|production|LPG propane or butane</v>
      </c>
    </row>
    <row r="2962" spans="1:5" x14ac:dyDescent="0.25">
      <c r="A2962" t="s">
        <v>175</v>
      </c>
      <c r="B2962" t="s">
        <v>191</v>
      </c>
      <c r="C2962" t="s">
        <v>117</v>
      </c>
      <c r="D2962" s="10">
        <v>10291800000</v>
      </c>
      <c r="E2962" t="str">
        <f>$A2962&amp;Keys!$C$54&amp;$B2962&amp;Keys!$C$54&amp;$C2962</f>
        <v>WV|imports|LPG propane or butane</v>
      </c>
    </row>
    <row r="2963" spans="1:5" x14ac:dyDescent="0.25">
      <c r="A2963" t="s">
        <v>175</v>
      </c>
      <c r="B2963" t="s">
        <v>193</v>
      </c>
      <c r="C2963" t="s">
        <v>117</v>
      </c>
      <c r="D2963" s="10">
        <v>380582000000000</v>
      </c>
      <c r="E2963" t="str">
        <f>$A2963&amp;Keys!$C$54&amp;$B2963&amp;Keys!$C$54&amp;$C2963</f>
        <v>WV|exports|LPG propane or butane</v>
      </c>
    </row>
    <row r="2964" spans="1:5" x14ac:dyDescent="0.25">
      <c r="A2964" t="s">
        <v>175</v>
      </c>
      <c r="B2964" t="s">
        <v>188</v>
      </c>
      <c r="C2964" t="s">
        <v>120</v>
      </c>
      <c r="D2964" s="10">
        <v>0</v>
      </c>
      <c r="E2964" t="str">
        <f>$A2964&amp;Keys!$C$54&amp;$B2964&amp;Keys!$C$54&amp;$C2964</f>
        <v>WV|production|municipal solid waste</v>
      </c>
    </row>
    <row r="2965" spans="1:5" x14ac:dyDescent="0.25">
      <c r="A2965" t="s">
        <v>175</v>
      </c>
      <c r="B2965" t="s">
        <v>191</v>
      </c>
      <c r="C2965" t="s">
        <v>120</v>
      </c>
      <c r="D2965" s="10">
        <v>0</v>
      </c>
      <c r="E2965" t="str">
        <f>$A2965&amp;Keys!$C$54&amp;$B2965&amp;Keys!$C$54&amp;$C2965</f>
        <v>WV|imports|municipal solid waste</v>
      </c>
    </row>
    <row r="2966" spans="1:5" x14ac:dyDescent="0.25">
      <c r="A2966" t="s">
        <v>175</v>
      </c>
      <c r="B2966" t="s">
        <v>193</v>
      </c>
      <c r="C2966" t="s">
        <v>120</v>
      </c>
      <c r="D2966" s="10">
        <v>0</v>
      </c>
      <c r="E2966" t="str">
        <f>$A2966&amp;Keys!$C$54&amp;$B2966&amp;Keys!$C$54&amp;$C2966</f>
        <v>WV|exports|municipal solid waste</v>
      </c>
    </row>
    <row r="2967" spans="1:5" x14ac:dyDescent="0.25">
      <c r="A2967" t="s">
        <v>175</v>
      </c>
      <c r="B2967" t="s">
        <v>188</v>
      </c>
      <c r="C2967" t="s">
        <v>123</v>
      </c>
      <c r="D2967" s="10">
        <v>355875000000</v>
      </c>
      <c r="E2967" t="str">
        <f>$A2967&amp;Keys!$C$54&amp;$B2967&amp;Keys!$C$54&amp;$C2967</f>
        <v>WV|production|hydrogen</v>
      </c>
    </row>
    <row r="2968" spans="1:5" x14ac:dyDescent="0.25">
      <c r="A2968" t="s">
        <v>175</v>
      </c>
      <c r="B2968" t="s">
        <v>191</v>
      </c>
      <c r="C2968" t="s">
        <v>123</v>
      </c>
      <c r="D2968" s="10">
        <v>0</v>
      </c>
      <c r="E2968" t="str">
        <f>$A2968&amp;Keys!$C$54&amp;$B2968&amp;Keys!$C$54&amp;$C2968</f>
        <v>WV|imports|hydrogen</v>
      </c>
    </row>
    <row r="2969" spans="1:5" x14ac:dyDescent="0.25">
      <c r="A2969" t="s">
        <v>175</v>
      </c>
      <c r="B2969" t="s">
        <v>193</v>
      </c>
      <c r="C2969" t="s">
        <v>123</v>
      </c>
      <c r="D2969" s="10">
        <v>271945000000</v>
      </c>
      <c r="E2969" t="str">
        <f>$A2969&amp;Keys!$C$54&amp;$B2969&amp;Keys!$C$54&amp;$C2969</f>
        <v>WV|exports|hydrogen</v>
      </c>
    </row>
    <row r="2970" spans="1:5" x14ac:dyDescent="0.25">
      <c r="A2970" t="s">
        <v>177</v>
      </c>
      <c r="B2970" t="s">
        <v>188</v>
      </c>
      <c r="C2970" t="s">
        <v>272</v>
      </c>
      <c r="D2970" s="10">
        <v>0</v>
      </c>
      <c r="E2970" t="str">
        <f>$A2970&amp;Keys!$C$54&amp;$B2970&amp;Keys!$C$54&amp;$C2970</f>
        <v>WY|production|electricity</v>
      </c>
    </row>
    <row r="2971" spans="1:5" x14ac:dyDescent="0.25">
      <c r="A2971" t="s">
        <v>177</v>
      </c>
      <c r="B2971" t="s">
        <v>191</v>
      </c>
      <c r="C2971" t="s">
        <v>272</v>
      </c>
      <c r="D2971" s="10">
        <v>0</v>
      </c>
      <c r="E2971" t="str">
        <f>$A2971&amp;Keys!$C$54&amp;$B2971&amp;Keys!$C$54&amp;$C2971</f>
        <v>WY|imports|electricity</v>
      </c>
    </row>
    <row r="2972" spans="1:5" x14ac:dyDescent="0.25">
      <c r="A2972" t="s">
        <v>177</v>
      </c>
      <c r="B2972" t="s">
        <v>193</v>
      </c>
      <c r="C2972" t="s">
        <v>272</v>
      </c>
      <c r="D2972" s="10">
        <v>0</v>
      </c>
      <c r="E2972" t="str">
        <f>$A2972&amp;Keys!$C$54&amp;$B2972&amp;Keys!$C$54&amp;$C2972</f>
        <v>WY|exports|electricity</v>
      </c>
    </row>
    <row r="2973" spans="1:5" x14ac:dyDescent="0.25">
      <c r="A2973" t="s">
        <v>177</v>
      </c>
      <c r="B2973" t="s">
        <v>188</v>
      </c>
      <c r="C2973" t="s">
        <v>64</v>
      </c>
      <c r="D2973" s="10">
        <v>3909980000000000</v>
      </c>
      <c r="E2973" t="str">
        <f>$A2973&amp;Keys!$C$54&amp;$B2973&amp;Keys!$C$54&amp;$C2973</f>
        <v>WY|production|hard coal</v>
      </c>
    </row>
    <row r="2974" spans="1:5" x14ac:dyDescent="0.25">
      <c r="A2974" t="s">
        <v>177</v>
      </c>
      <c r="B2974" t="s">
        <v>191</v>
      </c>
      <c r="C2974" t="s">
        <v>64</v>
      </c>
      <c r="D2974" s="10">
        <v>50447200000000</v>
      </c>
      <c r="E2974" t="str">
        <f>$A2974&amp;Keys!$C$54&amp;$B2974&amp;Keys!$C$54&amp;$C2974</f>
        <v>WY|imports|hard coal</v>
      </c>
    </row>
    <row r="2975" spans="1:5" x14ac:dyDescent="0.25">
      <c r="A2975" t="s">
        <v>177</v>
      </c>
      <c r="B2975" t="s">
        <v>193</v>
      </c>
      <c r="C2975" t="s">
        <v>64</v>
      </c>
      <c r="D2975" s="10">
        <v>3632640000000000</v>
      </c>
      <c r="E2975" t="str">
        <f>$A2975&amp;Keys!$C$54&amp;$B2975&amp;Keys!$C$54&amp;$C2975</f>
        <v>WY|exports|hard coal</v>
      </c>
    </row>
    <row r="2976" spans="1:5" x14ac:dyDescent="0.25">
      <c r="A2976" t="s">
        <v>177</v>
      </c>
      <c r="B2976" t="s">
        <v>188</v>
      </c>
      <c r="C2976" t="s">
        <v>68</v>
      </c>
      <c r="D2976" s="10">
        <v>1035050000000000</v>
      </c>
      <c r="E2976" t="str">
        <f>$A2976&amp;Keys!$C$54&amp;$B2976&amp;Keys!$C$54&amp;$C2976</f>
        <v>WY|production|natural gas</v>
      </c>
    </row>
    <row r="2977" spans="1:5" x14ac:dyDescent="0.25">
      <c r="A2977" t="s">
        <v>177</v>
      </c>
      <c r="B2977" t="s">
        <v>191</v>
      </c>
      <c r="C2977" t="s">
        <v>68</v>
      </c>
      <c r="D2977" s="10">
        <v>901807000000000</v>
      </c>
      <c r="E2977" t="str">
        <f>$A2977&amp;Keys!$C$54&amp;$B2977&amp;Keys!$C$54&amp;$C2977</f>
        <v>WY|imports|natural gas</v>
      </c>
    </row>
    <row r="2978" spans="1:5" x14ac:dyDescent="0.25">
      <c r="A2978" t="s">
        <v>177</v>
      </c>
      <c r="B2978" t="s">
        <v>193</v>
      </c>
      <c r="C2978" t="s">
        <v>68</v>
      </c>
      <c r="D2978" s="10">
        <v>1735570000000000</v>
      </c>
      <c r="E2978" t="str">
        <f>$A2978&amp;Keys!$C$54&amp;$B2978&amp;Keys!$C$54&amp;$C2978</f>
        <v>WY|exports|natural gas</v>
      </c>
    </row>
    <row r="2979" spans="1:5" x14ac:dyDescent="0.25">
      <c r="A2979" t="s">
        <v>177</v>
      </c>
      <c r="B2979" t="s">
        <v>188</v>
      </c>
      <c r="C2979" t="s">
        <v>71</v>
      </c>
      <c r="D2979" s="10">
        <v>118260000000000</v>
      </c>
      <c r="E2979" t="str">
        <f>$A2979&amp;Keys!$C$54&amp;$B2979&amp;Keys!$C$54&amp;$C2979</f>
        <v>WY|production|nuclear</v>
      </c>
    </row>
    <row r="2980" spans="1:5" x14ac:dyDescent="0.25">
      <c r="A2980" t="s">
        <v>177</v>
      </c>
      <c r="B2980" t="s">
        <v>191</v>
      </c>
      <c r="C2980" t="s">
        <v>71</v>
      </c>
      <c r="D2980" s="10">
        <v>0</v>
      </c>
      <c r="E2980" t="str">
        <f>$A2980&amp;Keys!$C$54&amp;$B2980&amp;Keys!$C$54&amp;$C2980</f>
        <v>WY|imports|nuclear</v>
      </c>
    </row>
    <row r="2981" spans="1:5" x14ac:dyDescent="0.25">
      <c r="A2981" t="s">
        <v>177</v>
      </c>
      <c r="B2981" t="s">
        <v>193</v>
      </c>
      <c r="C2981" t="s">
        <v>71</v>
      </c>
      <c r="D2981" s="10">
        <v>118260000000000</v>
      </c>
      <c r="E2981" t="str">
        <f>$A2981&amp;Keys!$C$54&amp;$B2981&amp;Keys!$C$54&amp;$C2981</f>
        <v>WY|exports|nuclear</v>
      </c>
    </row>
    <row r="2982" spans="1:5" x14ac:dyDescent="0.25">
      <c r="A2982" t="s">
        <v>177</v>
      </c>
      <c r="B2982" t="s">
        <v>188</v>
      </c>
      <c r="C2982" t="s">
        <v>273</v>
      </c>
      <c r="D2982" s="10">
        <v>0</v>
      </c>
      <c r="E2982" t="str">
        <f>$A2982&amp;Keys!$C$54&amp;$B2982&amp;Keys!$C$54&amp;$C2982</f>
        <v>WY|production|hydro</v>
      </c>
    </row>
    <row r="2983" spans="1:5" x14ac:dyDescent="0.25">
      <c r="A2983" t="s">
        <v>177</v>
      </c>
      <c r="B2983" t="s">
        <v>191</v>
      </c>
      <c r="C2983" t="s">
        <v>273</v>
      </c>
      <c r="D2983" s="10">
        <v>0</v>
      </c>
      <c r="E2983" t="str">
        <f>$A2983&amp;Keys!$C$54&amp;$B2983&amp;Keys!$C$54&amp;$C2983</f>
        <v>WY|imports|hydro</v>
      </c>
    </row>
    <row r="2984" spans="1:5" x14ac:dyDescent="0.25">
      <c r="A2984" t="s">
        <v>177</v>
      </c>
      <c r="B2984" t="s">
        <v>193</v>
      </c>
      <c r="C2984" t="s">
        <v>273</v>
      </c>
      <c r="D2984" s="10">
        <v>0</v>
      </c>
      <c r="E2984" t="str">
        <f>$A2984&amp;Keys!$C$54&amp;$B2984&amp;Keys!$C$54&amp;$C2984</f>
        <v>WY|exports|hydro</v>
      </c>
    </row>
    <row r="2985" spans="1:5" x14ac:dyDescent="0.25">
      <c r="A2985" t="s">
        <v>177</v>
      </c>
      <c r="B2985" t="s">
        <v>188</v>
      </c>
      <c r="C2985" t="s">
        <v>274</v>
      </c>
      <c r="D2985" s="10">
        <v>0</v>
      </c>
      <c r="E2985" t="str">
        <f>$A2985&amp;Keys!$C$54&amp;$B2985&amp;Keys!$C$54&amp;$C2985</f>
        <v>WY|production|wind</v>
      </c>
    </row>
    <row r="2986" spans="1:5" x14ac:dyDescent="0.25">
      <c r="A2986" t="s">
        <v>177</v>
      </c>
      <c r="B2986" t="s">
        <v>191</v>
      </c>
      <c r="C2986" t="s">
        <v>274</v>
      </c>
      <c r="D2986" s="10">
        <v>0</v>
      </c>
      <c r="E2986" t="str">
        <f>$A2986&amp;Keys!$C$54&amp;$B2986&amp;Keys!$C$54&amp;$C2986</f>
        <v>WY|imports|wind</v>
      </c>
    </row>
    <row r="2987" spans="1:5" x14ac:dyDescent="0.25">
      <c r="A2987" t="s">
        <v>177</v>
      </c>
      <c r="B2987" t="s">
        <v>193</v>
      </c>
      <c r="C2987" t="s">
        <v>274</v>
      </c>
      <c r="D2987" s="10">
        <v>0</v>
      </c>
      <c r="E2987" t="str">
        <f>$A2987&amp;Keys!$C$54&amp;$B2987&amp;Keys!$C$54&amp;$C2987</f>
        <v>WY|exports|wind</v>
      </c>
    </row>
    <row r="2988" spans="1:5" x14ac:dyDescent="0.25">
      <c r="A2988" t="s">
        <v>177</v>
      </c>
      <c r="B2988" t="s">
        <v>188</v>
      </c>
      <c r="C2988" t="s">
        <v>275</v>
      </c>
      <c r="D2988" s="10">
        <v>0</v>
      </c>
      <c r="E2988" t="str">
        <f>$A2988&amp;Keys!$C$54&amp;$B2988&amp;Keys!$C$54&amp;$C2988</f>
        <v>WY|production|solar</v>
      </c>
    </row>
    <row r="2989" spans="1:5" x14ac:dyDescent="0.25">
      <c r="A2989" t="s">
        <v>177</v>
      </c>
      <c r="B2989" t="s">
        <v>191</v>
      </c>
      <c r="C2989" t="s">
        <v>275</v>
      </c>
      <c r="D2989" s="10">
        <v>0</v>
      </c>
      <c r="E2989" t="str">
        <f>$A2989&amp;Keys!$C$54&amp;$B2989&amp;Keys!$C$54&amp;$C2989</f>
        <v>WY|imports|solar</v>
      </c>
    </row>
    <row r="2990" spans="1:5" x14ac:dyDescent="0.25">
      <c r="A2990" t="s">
        <v>177</v>
      </c>
      <c r="B2990" t="s">
        <v>193</v>
      </c>
      <c r="C2990" t="s">
        <v>275</v>
      </c>
      <c r="D2990" s="10">
        <v>0</v>
      </c>
      <c r="E2990" t="str">
        <f>$A2990&amp;Keys!$C$54&amp;$B2990&amp;Keys!$C$54&amp;$C2990</f>
        <v>WY|exports|solar</v>
      </c>
    </row>
    <row r="2991" spans="1:5" x14ac:dyDescent="0.25">
      <c r="A2991" t="s">
        <v>177</v>
      </c>
      <c r="B2991" t="s">
        <v>188</v>
      </c>
      <c r="C2991" t="s">
        <v>82</v>
      </c>
      <c r="D2991" s="10">
        <v>0</v>
      </c>
      <c r="E2991" t="str">
        <f>$A2991&amp;Keys!$C$54&amp;$B2991&amp;Keys!$C$54&amp;$C2991</f>
        <v>WY|production|biomass</v>
      </c>
    </row>
    <row r="2992" spans="1:5" x14ac:dyDescent="0.25">
      <c r="A2992" t="s">
        <v>177</v>
      </c>
      <c r="B2992" t="s">
        <v>191</v>
      </c>
      <c r="C2992" t="s">
        <v>82</v>
      </c>
      <c r="D2992" s="10">
        <v>1759330000000</v>
      </c>
      <c r="E2992" t="str">
        <f>$A2992&amp;Keys!$C$54&amp;$B2992&amp;Keys!$C$54&amp;$C2992</f>
        <v>WY|imports|biomass</v>
      </c>
    </row>
    <row r="2993" spans="1:5" x14ac:dyDescent="0.25">
      <c r="A2993" t="s">
        <v>177</v>
      </c>
      <c r="B2993" t="s">
        <v>193</v>
      </c>
      <c r="C2993" t="s">
        <v>82</v>
      </c>
      <c r="D2993" s="10">
        <v>0</v>
      </c>
      <c r="E2993" t="str">
        <f>$A2993&amp;Keys!$C$54&amp;$B2993&amp;Keys!$C$54&amp;$C2993</f>
        <v>WY|exports|biomass</v>
      </c>
    </row>
    <row r="2994" spans="1:5" x14ac:dyDescent="0.25">
      <c r="A2994" t="s">
        <v>177</v>
      </c>
      <c r="B2994" t="s">
        <v>188</v>
      </c>
      <c r="C2994" t="s">
        <v>85</v>
      </c>
      <c r="D2994" s="10">
        <v>123254000000000</v>
      </c>
      <c r="E2994" t="str">
        <f>$A2994&amp;Keys!$C$54&amp;$B2994&amp;Keys!$C$54&amp;$C2994</f>
        <v>WY|production|petroleum gasoline</v>
      </c>
    </row>
    <row r="2995" spans="1:5" x14ac:dyDescent="0.25">
      <c r="A2995" t="s">
        <v>177</v>
      </c>
      <c r="B2995" t="s">
        <v>191</v>
      </c>
      <c r="C2995" t="s">
        <v>85</v>
      </c>
      <c r="D2995" s="10">
        <v>2023170000000</v>
      </c>
      <c r="E2995" t="str">
        <f>$A2995&amp;Keys!$C$54&amp;$B2995&amp;Keys!$C$54&amp;$C2995</f>
        <v>WY|imports|petroleum gasoline</v>
      </c>
    </row>
    <row r="2996" spans="1:5" x14ac:dyDescent="0.25">
      <c r="A2996" t="s">
        <v>177</v>
      </c>
      <c r="B2996" t="s">
        <v>193</v>
      </c>
      <c r="C2996" t="s">
        <v>85</v>
      </c>
      <c r="D2996" s="10">
        <v>87220000000000</v>
      </c>
      <c r="E2996" t="str">
        <f>$A2996&amp;Keys!$C$54&amp;$B2996&amp;Keys!$C$54&amp;$C2996</f>
        <v>WY|exports|petroleum gasoline</v>
      </c>
    </row>
    <row r="2997" spans="1:5" x14ac:dyDescent="0.25">
      <c r="A2997" t="s">
        <v>177</v>
      </c>
      <c r="B2997" t="s">
        <v>188</v>
      </c>
      <c r="C2997" t="s">
        <v>88</v>
      </c>
      <c r="D2997" s="10">
        <v>72906300000000</v>
      </c>
      <c r="E2997" t="str">
        <f>$A2997&amp;Keys!$C$54&amp;$B2997&amp;Keys!$C$54&amp;$C2997</f>
        <v>WY|production|petroleum diesel</v>
      </c>
    </row>
    <row r="2998" spans="1:5" x14ac:dyDescent="0.25">
      <c r="A2998" t="s">
        <v>177</v>
      </c>
      <c r="B2998" t="s">
        <v>191</v>
      </c>
      <c r="C2998" t="s">
        <v>88</v>
      </c>
      <c r="D2998" s="10">
        <v>7793610000000</v>
      </c>
      <c r="E2998" t="str">
        <f>$A2998&amp;Keys!$C$54&amp;$B2998&amp;Keys!$C$54&amp;$C2998</f>
        <v>WY|imports|petroleum diesel</v>
      </c>
    </row>
    <row r="2999" spans="1:5" x14ac:dyDescent="0.25">
      <c r="A2999" t="s">
        <v>177</v>
      </c>
      <c r="B2999" t="s">
        <v>193</v>
      </c>
      <c r="C2999" t="s">
        <v>88</v>
      </c>
      <c r="D2999" s="10">
        <v>799771000000</v>
      </c>
      <c r="E2999" t="str">
        <f>$A2999&amp;Keys!$C$54&amp;$B2999&amp;Keys!$C$54&amp;$C2999</f>
        <v>WY|exports|petroleum diesel</v>
      </c>
    </row>
    <row r="3000" spans="1:5" x14ac:dyDescent="0.25">
      <c r="A3000" t="s">
        <v>177</v>
      </c>
      <c r="B3000" t="s">
        <v>188</v>
      </c>
      <c r="C3000" t="s">
        <v>91</v>
      </c>
      <c r="D3000" s="10">
        <v>0</v>
      </c>
      <c r="E3000" t="str">
        <f>$A3000&amp;Keys!$C$54&amp;$B3000&amp;Keys!$C$54&amp;$C3000</f>
        <v>WY|production|biofuel gasoline</v>
      </c>
    </row>
    <row r="3001" spans="1:5" x14ac:dyDescent="0.25">
      <c r="A3001" t="s">
        <v>177</v>
      </c>
      <c r="B3001" t="s">
        <v>191</v>
      </c>
      <c r="C3001" t="s">
        <v>91</v>
      </c>
      <c r="D3001" s="10">
        <v>2451300000000</v>
      </c>
      <c r="E3001" t="str">
        <f>$A3001&amp;Keys!$C$54&amp;$B3001&amp;Keys!$C$54&amp;$C3001</f>
        <v>WY|imports|biofuel gasoline</v>
      </c>
    </row>
    <row r="3002" spans="1:5" x14ac:dyDescent="0.25">
      <c r="A3002" t="s">
        <v>177</v>
      </c>
      <c r="B3002" t="s">
        <v>193</v>
      </c>
      <c r="C3002" t="s">
        <v>91</v>
      </c>
      <c r="D3002" s="10">
        <v>0</v>
      </c>
      <c r="E3002" t="str">
        <f>$A3002&amp;Keys!$C$54&amp;$B3002&amp;Keys!$C$54&amp;$C3002</f>
        <v>WY|exports|biofuel gasoline</v>
      </c>
    </row>
    <row r="3003" spans="1:5" x14ac:dyDescent="0.25">
      <c r="A3003" t="s">
        <v>177</v>
      </c>
      <c r="B3003" t="s">
        <v>188</v>
      </c>
      <c r="C3003" t="s">
        <v>94</v>
      </c>
      <c r="D3003" s="10">
        <v>0</v>
      </c>
      <c r="E3003" t="str">
        <f>$A3003&amp;Keys!$C$54&amp;$B3003&amp;Keys!$C$54&amp;$C3003</f>
        <v>WY|production|biofuel diesel</v>
      </c>
    </row>
    <row r="3004" spans="1:5" x14ac:dyDescent="0.25">
      <c r="A3004" t="s">
        <v>177</v>
      </c>
      <c r="B3004" t="s">
        <v>191</v>
      </c>
      <c r="C3004" t="s">
        <v>94</v>
      </c>
      <c r="D3004" s="10">
        <v>2844710000000</v>
      </c>
      <c r="E3004" t="str">
        <f>$A3004&amp;Keys!$C$54&amp;$B3004&amp;Keys!$C$54&amp;$C3004</f>
        <v>WY|imports|biofuel diesel</v>
      </c>
    </row>
    <row r="3005" spans="1:5" x14ac:dyDescent="0.25">
      <c r="A3005" t="s">
        <v>177</v>
      </c>
      <c r="B3005" t="s">
        <v>193</v>
      </c>
      <c r="C3005" t="s">
        <v>94</v>
      </c>
      <c r="D3005" s="10">
        <v>2671110000000</v>
      </c>
      <c r="E3005" t="str">
        <f>$A3005&amp;Keys!$C$54&amp;$B3005&amp;Keys!$C$54&amp;$C3005</f>
        <v>WY|exports|biofuel diesel</v>
      </c>
    </row>
    <row r="3006" spans="1:5" x14ac:dyDescent="0.25">
      <c r="A3006" t="s">
        <v>177</v>
      </c>
      <c r="B3006" t="s">
        <v>188</v>
      </c>
      <c r="C3006" t="s">
        <v>97</v>
      </c>
      <c r="D3006" s="10">
        <v>25953200000000</v>
      </c>
      <c r="E3006" t="str">
        <f>$A3006&amp;Keys!$C$54&amp;$B3006&amp;Keys!$C$54&amp;$C3006</f>
        <v>WY|production|jet fuel or kerosene</v>
      </c>
    </row>
    <row r="3007" spans="1:5" x14ac:dyDescent="0.25">
      <c r="A3007" t="s">
        <v>177</v>
      </c>
      <c r="B3007" t="s">
        <v>191</v>
      </c>
      <c r="C3007" t="s">
        <v>97</v>
      </c>
      <c r="D3007" s="10">
        <v>0</v>
      </c>
      <c r="E3007" t="str">
        <f>$A3007&amp;Keys!$C$54&amp;$B3007&amp;Keys!$C$54&amp;$C3007</f>
        <v>WY|imports|jet fuel or kerosene</v>
      </c>
    </row>
    <row r="3008" spans="1:5" x14ac:dyDescent="0.25">
      <c r="A3008" t="s">
        <v>177</v>
      </c>
      <c r="B3008" t="s">
        <v>193</v>
      </c>
      <c r="C3008" t="s">
        <v>97</v>
      </c>
      <c r="D3008" s="10">
        <v>23042500000000</v>
      </c>
      <c r="E3008" t="str">
        <f>$A3008&amp;Keys!$C$54&amp;$B3008&amp;Keys!$C$54&amp;$C3008</f>
        <v>WY|exports|jet fuel or kerosene</v>
      </c>
    </row>
    <row r="3009" spans="1:5" x14ac:dyDescent="0.25">
      <c r="A3009" t="s">
        <v>177</v>
      </c>
      <c r="B3009" t="s">
        <v>188</v>
      </c>
      <c r="C3009" t="s">
        <v>276</v>
      </c>
      <c r="D3009" s="10">
        <v>0</v>
      </c>
      <c r="E3009" t="str">
        <f>$A3009&amp;Keys!$C$54&amp;$B3009&amp;Keys!$C$54&amp;$C3009</f>
        <v>WY|production|heat</v>
      </c>
    </row>
    <row r="3010" spans="1:5" x14ac:dyDescent="0.25">
      <c r="A3010" t="s">
        <v>177</v>
      </c>
      <c r="B3010" t="s">
        <v>191</v>
      </c>
      <c r="C3010" t="s">
        <v>276</v>
      </c>
      <c r="D3010" s="10">
        <v>0</v>
      </c>
      <c r="E3010" t="str">
        <f>$A3010&amp;Keys!$C$54&amp;$B3010&amp;Keys!$C$54&amp;$C3010</f>
        <v>WY|imports|heat</v>
      </c>
    </row>
    <row r="3011" spans="1:5" x14ac:dyDescent="0.25">
      <c r="A3011" t="s">
        <v>177</v>
      </c>
      <c r="B3011" t="s">
        <v>193</v>
      </c>
      <c r="C3011" t="s">
        <v>276</v>
      </c>
      <c r="D3011" s="10">
        <v>0</v>
      </c>
      <c r="E3011" t="str">
        <f>$A3011&amp;Keys!$C$54&amp;$B3011&amp;Keys!$C$54&amp;$C3011</f>
        <v>WY|exports|heat</v>
      </c>
    </row>
    <row r="3012" spans="1:5" x14ac:dyDescent="0.25">
      <c r="A3012" t="s">
        <v>177</v>
      </c>
      <c r="B3012" t="s">
        <v>188</v>
      </c>
      <c r="C3012" t="s">
        <v>277</v>
      </c>
      <c r="D3012" s="10">
        <v>0</v>
      </c>
      <c r="E3012" t="str">
        <f>$A3012&amp;Keys!$C$54&amp;$B3012&amp;Keys!$C$54&amp;$C3012</f>
        <v>WY|production|geothermal</v>
      </c>
    </row>
    <row r="3013" spans="1:5" x14ac:dyDescent="0.25">
      <c r="A3013" t="s">
        <v>177</v>
      </c>
      <c r="B3013" t="s">
        <v>191</v>
      </c>
      <c r="C3013" t="s">
        <v>277</v>
      </c>
      <c r="D3013" s="10">
        <v>0</v>
      </c>
      <c r="E3013" t="str">
        <f>$A3013&amp;Keys!$C$54&amp;$B3013&amp;Keys!$C$54&amp;$C3013</f>
        <v>WY|imports|geothermal</v>
      </c>
    </row>
    <row r="3014" spans="1:5" x14ac:dyDescent="0.25">
      <c r="A3014" t="s">
        <v>177</v>
      </c>
      <c r="B3014" t="s">
        <v>193</v>
      </c>
      <c r="C3014" t="s">
        <v>277</v>
      </c>
      <c r="D3014" s="10">
        <v>0</v>
      </c>
      <c r="E3014" t="str">
        <f>$A3014&amp;Keys!$C$54&amp;$B3014&amp;Keys!$C$54&amp;$C3014</f>
        <v>WY|exports|geothermal</v>
      </c>
    </row>
    <row r="3015" spans="1:5" x14ac:dyDescent="0.25">
      <c r="A3015" t="s">
        <v>177</v>
      </c>
      <c r="B3015" t="s">
        <v>188</v>
      </c>
      <c r="C3015" t="s">
        <v>106</v>
      </c>
      <c r="D3015" s="10">
        <v>0</v>
      </c>
      <c r="E3015" t="str">
        <f>$A3015&amp;Keys!$C$54&amp;$B3015&amp;Keys!$C$54&amp;$C3015</f>
        <v>WY|production|lignite</v>
      </c>
    </row>
    <row r="3016" spans="1:5" x14ac:dyDescent="0.25">
      <c r="A3016" t="s">
        <v>177</v>
      </c>
      <c r="B3016" t="s">
        <v>191</v>
      </c>
      <c r="C3016" t="s">
        <v>106</v>
      </c>
      <c r="D3016" s="10">
        <v>0</v>
      </c>
      <c r="E3016" t="str">
        <f>$A3016&amp;Keys!$C$54&amp;$B3016&amp;Keys!$C$54&amp;$C3016</f>
        <v>WY|imports|lignite</v>
      </c>
    </row>
    <row r="3017" spans="1:5" x14ac:dyDescent="0.25">
      <c r="A3017" t="s">
        <v>177</v>
      </c>
      <c r="B3017" t="s">
        <v>193</v>
      </c>
      <c r="C3017" t="s">
        <v>106</v>
      </c>
      <c r="D3017" s="10">
        <v>0</v>
      </c>
      <c r="E3017" t="str">
        <f>$A3017&amp;Keys!$C$54&amp;$B3017&amp;Keys!$C$54&amp;$C3017</f>
        <v>WY|exports|lignite</v>
      </c>
    </row>
    <row r="3018" spans="1:5" x14ac:dyDescent="0.25">
      <c r="A3018" t="s">
        <v>177</v>
      </c>
      <c r="B3018" t="s">
        <v>188</v>
      </c>
      <c r="C3018" t="s">
        <v>109</v>
      </c>
      <c r="D3018" s="10">
        <v>619191000000000</v>
      </c>
      <c r="E3018" t="str">
        <f>$A3018&amp;Keys!$C$54&amp;$B3018&amp;Keys!$C$54&amp;$C3018</f>
        <v>WY|production|crude oil</v>
      </c>
    </row>
    <row r="3019" spans="1:5" x14ac:dyDescent="0.25">
      <c r="A3019" t="s">
        <v>177</v>
      </c>
      <c r="B3019" t="s">
        <v>191</v>
      </c>
      <c r="C3019" t="s">
        <v>109</v>
      </c>
      <c r="D3019" s="10">
        <v>0</v>
      </c>
      <c r="E3019" t="str">
        <f>$A3019&amp;Keys!$C$54&amp;$B3019&amp;Keys!$C$54&amp;$C3019</f>
        <v>WY|imports|crude oil</v>
      </c>
    </row>
    <row r="3020" spans="1:5" x14ac:dyDescent="0.25">
      <c r="A3020" t="s">
        <v>177</v>
      </c>
      <c r="B3020" t="s">
        <v>193</v>
      </c>
      <c r="C3020" t="s">
        <v>109</v>
      </c>
      <c r="D3020" s="10">
        <v>358440000000000</v>
      </c>
      <c r="E3020" t="str">
        <f>$A3020&amp;Keys!$C$54&amp;$B3020&amp;Keys!$C$54&amp;$C3020</f>
        <v>WY|exports|crude oil</v>
      </c>
    </row>
    <row r="3021" spans="1:5" x14ac:dyDescent="0.25">
      <c r="A3021" t="s">
        <v>177</v>
      </c>
      <c r="B3021" t="s">
        <v>188</v>
      </c>
      <c r="C3021" t="s">
        <v>114</v>
      </c>
      <c r="D3021" s="10">
        <v>5041490000000</v>
      </c>
      <c r="E3021" t="str">
        <f>$A3021&amp;Keys!$C$54&amp;$B3021&amp;Keys!$C$54&amp;$C3021</f>
        <v>WY|production|heavy or residual fuel oil</v>
      </c>
    </row>
    <row r="3022" spans="1:5" x14ac:dyDescent="0.25">
      <c r="A3022" t="s">
        <v>177</v>
      </c>
      <c r="B3022" t="s">
        <v>191</v>
      </c>
      <c r="C3022" t="s">
        <v>114</v>
      </c>
      <c r="D3022" s="10">
        <v>341484000000</v>
      </c>
      <c r="E3022" t="str">
        <f>$A3022&amp;Keys!$C$54&amp;$B3022&amp;Keys!$C$54&amp;$C3022</f>
        <v>WY|imports|heavy or residual fuel oil</v>
      </c>
    </row>
    <row r="3023" spans="1:5" x14ac:dyDescent="0.25">
      <c r="A3023" t="s">
        <v>177</v>
      </c>
      <c r="B3023" t="s">
        <v>193</v>
      </c>
      <c r="C3023" t="s">
        <v>114</v>
      </c>
      <c r="D3023" s="10">
        <v>91324500000</v>
      </c>
      <c r="E3023" t="str">
        <f>$A3023&amp;Keys!$C$54&amp;$B3023&amp;Keys!$C$54&amp;$C3023</f>
        <v>WY|exports|heavy or residual fuel oil</v>
      </c>
    </row>
    <row r="3024" spans="1:5" x14ac:dyDescent="0.25">
      <c r="A3024" t="s">
        <v>177</v>
      </c>
      <c r="B3024" t="s">
        <v>188</v>
      </c>
      <c r="C3024" t="s">
        <v>117</v>
      </c>
      <c r="D3024" s="10">
        <v>126534000000000</v>
      </c>
      <c r="E3024" t="str">
        <f>$A3024&amp;Keys!$C$54&amp;$B3024&amp;Keys!$C$54&amp;$C3024</f>
        <v>WY|production|LPG propane or butane</v>
      </c>
    </row>
    <row r="3025" spans="1:5" x14ac:dyDescent="0.25">
      <c r="A3025" t="s">
        <v>177</v>
      </c>
      <c r="B3025" t="s">
        <v>191</v>
      </c>
      <c r="C3025" t="s">
        <v>117</v>
      </c>
      <c r="D3025" s="10">
        <v>0</v>
      </c>
      <c r="E3025" t="str">
        <f>$A3025&amp;Keys!$C$54&amp;$B3025&amp;Keys!$C$54&amp;$C3025</f>
        <v>WY|imports|LPG propane or butane</v>
      </c>
    </row>
    <row r="3026" spans="1:5" x14ac:dyDescent="0.25">
      <c r="A3026" t="s">
        <v>177</v>
      </c>
      <c r="B3026" t="s">
        <v>193</v>
      </c>
      <c r="C3026" t="s">
        <v>117</v>
      </c>
      <c r="D3026" s="10">
        <v>120826000000000</v>
      </c>
      <c r="E3026" t="str">
        <f>$A3026&amp;Keys!$C$54&amp;$B3026&amp;Keys!$C$54&amp;$C3026</f>
        <v>WY|exports|LPG propane or butane</v>
      </c>
    </row>
    <row r="3027" spans="1:5" x14ac:dyDescent="0.25">
      <c r="A3027" t="s">
        <v>177</v>
      </c>
      <c r="B3027" t="s">
        <v>188</v>
      </c>
      <c r="C3027" t="s">
        <v>120</v>
      </c>
      <c r="D3027" s="10">
        <v>0</v>
      </c>
      <c r="E3027" t="str">
        <f>$A3027&amp;Keys!$C$54&amp;$B3027&amp;Keys!$C$54&amp;$C3027</f>
        <v>WY|production|municipal solid waste</v>
      </c>
    </row>
    <row r="3028" spans="1:5" x14ac:dyDescent="0.25">
      <c r="A3028" t="s">
        <v>177</v>
      </c>
      <c r="B3028" t="s">
        <v>191</v>
      </c>
      <c r="C3028" t="s">
        <v>120</v>
      </c>
      <c r="D3028" s="10">
        <v>0</v>
      </c>
      <c r="E3028" t="str">
        <f>$A3028&amp;Keys!$C$54&amp;$B3028&amp;Keys!$C$54&amp;$C3028</f>
        <v>WY|imports|municipal solid waste</v>
      </c>
    </row>
    <row r="3029" spans="1:5" x14ac:dyDescent="0.25">
      <c r="A3029" t="s">
        <v>177</v>
      </c>
      <c r="B3029" t="s">
        <v>193</v>
      </c>
      <c r="C3029" t="s">
        <v>120</v>
      </c>
      <c r="D3029" s="10">
        <v>0</v>
      </c>
      <c r="E3029" t="str">
        <f>$A3029&amp;Keys!$C$54&amp;$B3029&amp;Keys!$C$54&amp;$C3029</f>
        <v>WY|exports|municipal solid waste</v>
      </c>
    </row>
    <row r="3030" spans="1:5" x14ac:dyDescent="0.25">
      <c r="A3030" t="s">
        <v>177</v>
      </c>
      <c r="B3030" t="s">
        <v>188</v>
      </c>
      <c r="C3030" t="s">
        <v>123</v>
      </c>
      <c r="D3030" s="10">
        <v>6168500000000</v>
      </c>
      <c r="E3030" t="str">
        <f>$A3030&amp;Keys!$C$54&amp;$B3030&amp;Keys!$C$54&amp;$C3030</f>
        <v>WY|production|hydrogen</v>
      </c>
    </row>
    <row r="3031" spans="1:5" x14ac:dyDescent="0.25">
      <c r="A3031" t="s">
        <v>177</v>
      </c>
      <c r="B3031" t="s">
        <v>191</v>
      </c>
      <c r="C3031" t="s">
        <v>123</v>
      </c>
      <c r="D3031" s="10">
        <v>0</v>
      </c>
      <c r="E3031" t="str">
        <f>$A3031&amp;Keys!$C$54&amp;$B3031&amp;Keys!$C$54&amp;$C3031</f>
        <v>WY|imports|hydrogen</v>
      </c>
    </row>
    <row r="3032" spans="1:5" x14ac:dyDescent="0.25">
      <c r="A3032" t="s">
        <v>177</v>
      </c>
      <c r="B3032" t="s">
        <v>193</v>
      </c>
      <c r="C3032" t="s">
        <v>123</v>
      </c>
      <c r="D3032" s="10">
        <v>953160000000</v>
      </c>
      <c r="E3032" t="str">
        <f>$A3032&amp;Keys!$C$54&amp;$B3032&amp;Keys!$C$54&amp;$C3032</f>
        <v>WY|exports|hydrogen</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X1037"/>
  <sheetViews>
    <sheetView workbookViewId="0"/>
  </sheetViews>
  <sheetFormatPr defaultRowHeight="15" x14ac:dyDescent="0.25"/>
  <cols>
    <col min="1" max="1" width="10" customWidth="1"/>
    <col min="2" max="2" width="38" customWidth="1"/>
    <col min="3" max="3" width="30" customWidth="1"/>
    <col min="4" max="4" width="14" customWidth="1"/>
    <col min="5" max="5" width="8" customWidth="1"/>
    <col min="6" max="6" width="22" customWidth="1"/>
    <col min="7" max="10" width="16" customWidth="1"/>
    <col min="11" max="12" width="18" customWidth="1"/>
    <col min="13" max="13" width="12" customWidth="1"/>
    <col min="14" max="14" width="14" customWidth="1"/>
    <col min="15" max="15" width="12" customWidth="1"/>
    <col min="16" max="18" width="16" customWidth="1"/>
    <col min="19" max="20" width="14" customWidth="1"/>
    <col min="21" max="21" width="12" customWidth="1"/>
    <col min="22" max="22" width="14" customWidth="1"/>
    <col min="23" max="23" width="12" customWidth="1"/>
    <col min="24" max="24" width="14" customWidth="1"/>
  </cols>
  <sheetData>
    <row r="1" spans="1:24" x14ac:dyDescent="0.25">
      <c r="A1" s="7" t="s">
        <v>278</v>
      </c>
    </row>
    <row r="2" spans="1:24" ht="409.5" x14ac:dyDescent="0.25">
      <c r="A2" s="3" t="s">
        <v>279</v>
      </c>
    </row>
    <row r="3" spans="1:24" ht="72" customHeight="1" x14ac:dyDescent="0.25">
      <c r="A3" s="5" t="s">
        <v>257</v>
      </c>
      <c r="B3" s="5" t="s">
        <v>280</v>
      </c>
      <c r="C3" s="5" t="s">
        <v>281</v>
      </c>
      <c r="D3" s="5" t="s">
        <v>282</v>
      </c>
      <c r="E3" s="5" t="s">
        <v>283</v>
      </c>
      <c r="F3" s="5" t="s">
        <v>284</v>
      </c>
      <c r="G3" s="5" t="s">
        <v>285</v>
      </c>
      <c r="H3" s="5" t="s">
        <v>286</v>
      </c>
      <c r="I3" s="5" t="s">
        <v>287</v>
      </c>
      <c r="J3" s="5" t="s">
        <v>288</v>
      </c>
      <c r="K3" s="5" t="s">
        <v>289</v>
      </c>
      <c r="L3" s="5" t="s">
        <v>290</v>
      </c>
      <c r="M3" s="5" t="s">
        <v>291</v>
      </c>
      <c r="N3" s="5" t="s">
        <v>292</v>
      </c>
      <c r="O3" s="5" t="s">
        <v>293</v>
      </c>
      <c r="P3" s="5" t="s">
        <v>294</v>
      </c>
      <c r="Q3" s="5" t="s">
        <v>295</v>
      </c>
      <c r="R3" s="5" t="s">
        <v>296</v>
      </c>
      <c r="S3" s="5" t="s">
        <v>297</v>
      </c>
      <c r="T3" s="5" t="s">
        <v>298</v>
      </c>
      <c r="U3" s="5" t="s">
        <v>299</v>
      </c>
      <c r="V3" s="5" t="s">
        <v>300</v>
      </c>
      <c r="W3" s="5" t="s">
        <v>301</v>
      </c>
      <c r="X3" s="5" t="s">
        <v>302</v>
      </c>
    </row>
    <row r="4" spans="1:24" x14ac:dyDescent="0.25">
      <c r="A4" t="s">
        <v>58</v>
      </c>
      <c r="B4" t="s">
        <v>60</v>
      </c>
      <c r="C4">
        <f>VLOOKUP($B4,Keys!$F$2:$I$22,2,FALSE)</f>
        <v>0</v>
      </c>
      <c r="D4">
        <f>VLOOKUP($B4,Keys!$F$2:$I$22,3,FALSE)</f>
        <v>0</v>
      </c>
      <c r="E4" t="str">
        <f>VLOOKUP($B4,Keys!$F$2:$I$22,4,FALSE)</f>
        <v>zero</v>
      </c>
      <c r="F4" t="str">
        <f>$A4&amp;Keys!$C$54&amp;$B4</f>
        <v>AL|electricity (not used in this variable)</v>
      </c>
      <c r="G4" s="10">
        <f>IF($E4=Keys!$C$60,Keys!$C$51,INDEX(Balanced_2025!$D$9:$D$3032,MATCH($A4&amp;Keys!$C$54&amp;Keys!$C$55&amp;Keys!$C$54&amp;$C4,Balanced_2025!$E$9:$E$3032,0)))</f>
        <v>0</v>
      </c>
      <c r="H4" s="10">
        <f>IF($E4=Keys!$C$60,Keys!$C$51,INDEX(Balanced_2025!$D$9:$D$3032,MATCH($A4&amp;Keys!$C$54&amp;Keys!$C$56&amp;Keys!$C$54&amp;$C4,Balanced_2025!$E$9:$E$3032,0)))</f>
        <v>0</v>
      </c>
      <c r="I4" s="10">
        <f>IF($E4=Keys!$C$60,Keys!$C$51,INDEX(Balanced_2025!$D$9:$D$3032,MATCH($A4&amp;Keys!$C$54&amp;Keys!$C$57&amp;Keys!$C$54&amp;$C4,Balanced_2025!$E$9:$E$3032,0)))</f>
        <v>0</v>
      </c>
      <c r="J4" s="10">
        <f t="shared" ref="J4:J67" si="0">$G4+$H4-$I4</f>
        <v>0</v>
      </c>
      <c r="K4" s="10">
        <f>MAX(Keys!$C$51,$I4-$H4)</f>
        <v>0</v>
      </c>
      <c r="L4" s="10">
        <f t="shared" ref="L4:L67" si="1">$K4+$J4</f>
        <v>0</v>
      </c>
      <c r="M4" s="11">
        <f>IF($L4&gt;Keys!$C$51,MIN(Keys!$C$52,$K4/$L4),Keys!$C$51)</f>
        <v>0</v>
      </c>
      <c r="N4" s="11">
        <f>IF($E4=Keys!$C$60,Keys!$C$51,IF($E4=Keys!$C$59,$D4,$M4))</f>
        <v>0</v>
      </c>
      <c r="O4">
        <f t="shared" ref="O4:O67" si="2">IF($N4&lt;&gt;$D4,1,0)</f>
        <v>0</v>
      </c>
      <c r="P4" s="10">
        <f>IF($E4=Keys!$C$60,Keys!$C$51,INDEX(Raw_BFPIaE!$G$9:$G$3032,MATCH($A4&amp;Keys!$C$54&amp;Keys!$C$55&amp;Keys!$C$54&amp;$B4,Raw_BFPIaE!$H$9:$H$3032,0)))</f>
        <v>0</v>
      </c>
      <c r="Q4" s="10">
        <f>IF($E4=Keys!$C$60,Keys!$C$51,INDEX(Raw_BFPIaE!$G$9:$G$3032,MATCH($A4&amp;Keys!$C$54&amp;Keys!$C$56&amp;Keys!$C$54&amp;$B4,Raw_BFPIaE!$H$9:$H$3032,0)))</f>
        <v>0</v>
      </c>
      <c r="R4" s="10">
        <f>IF($E4=Keys!$C$60,Keys!$C$51,INDEX(Raw_BFPIaE!$G$9:$G$3032,MATCH($A4&amp;Keys!$C$54&amp;Keys!$C$57&amp;Keys!$C$54&amp;$B4,Raw_BFPIaE!$H$9:$H$3032,0)))</f>
        <v>0</v>
      </c>
      <c r="S4" s="11">
        <f>IF(($P4+$Q4-$R4+MAX(Keys!$C$51,$R4-$Q4))&gt;Keys!$C$51,MIN(Keys!$C$52,MAX(Keys!$C$51,$R4-$Q4)/($P4+$Q4-$R4+MAX(Keys!$C$51,$R4-$Q4))),Keys!$C$51)</f>
        <v>0</v>
      </c>
      <c r="T4">
        <f>IF(AND($I4&gt;$H4,ABS($L4-$G4)&gt;MAX(Keys!$C$62,ABS($G4)*Keys!$C$63)),1,0)</f>
        <v>0</v>
      </c>
      <c r="U4">
        <f>IF(OR($N4&lt;Keys!$C$51,$N4&gt;Keys!$C$52),1,0)</f>
        <v>0</v>
      </c>
      <c r="V4">
        <f>IF(AND($E4=Keys!$C$60,$N4&lt;&gt;Keys!$C$51),1,0)</f>
        <v>0</v>
      </c>
      <c r="W4">
        <f>IF($L4&gt;Keys!$C$51,IF($K4/$L4&gt;Keys!$C$52,1,0),0)</f>
        <v>0</v>
      </c>
      <c r="X4" s="11">
        <f t="shared" ref="X4:X67" si="3">ABS($M4-$S4)</f>
        <v>0</v>
      </c>
    </row>
    <row r="5" spans="1:24" x14ac:dyDescent="0.25">
      <c r="A5" t="s">
        <v>58</v>
      </c>
      <c r="B5" t="s">
        <v>64</v>
      </c>
      <c r="C5" t="str">
        <f>VLOOKUP($B5,Keys!$F$2:$I$22,2,FALSE)</f>
        <v>hard coal</v>
      </c>
      <c r="D5">
        <f>VLOOKUP($B5,Keys!$F$2:$I$22,3,FALSE)</f>
        <v>0.137539879</v>
      </c>
      <c r="E5" t="str">
        <f>VLOOKUP($B5,Keys!$F$2:$I$22,4,FALSE)</f>
        <v>rule</v>
      </c>
      <c r="F5" t="str">
        <f>$A5&amp;Keys!$C$54&amp;$B5</f>
        <v>AL|hard coal</v>
      </c>
      <c r="G5" s="10">
        <f>IF($E5=Keys!$C$60,Keys!$C$51,INDEX(Balanced_2025!$D$9:$D$3032,MATCH($A5&amp;Keys!$C$54&amp;Keys!$C$55&amp;Keys!$C$54&amp;$C5,Balanced_2025!$E$9:$E$3032,0)))</f>
        <v>294838000000000</v>
      </c>
      <c r="H5" s="10">
        <f>IF($E5=Keys!$C$60,Keys!$C$51,INDEX(Balanced_2025!$D$9:$D$3032,MATCH($A5&amp;Keys!$C$54&amp;Keys!$C$56&amp;Keys!$C$54&amp;$C5,Balanced_2025!$E$9:$E$3032,0)))</f>
        <v>75813100000000</v>
      </c>
      <c r="I5" s="10">
        <f>IF($E5=Keys!$C$60,Keys!$C$51,INDEX(Balanced_2025!$D$9:$D$3032,MATCH($A5&amp;Keys!$C$54&amp;Keys!$C$57&amp;Keys!$C$54&amp;$C5,Balanced_2025!$E$9:$E$3032,0)))</f>
        <v>45989100000000</v>
      </c>
      <c r="J5" s="10">
        <f t="shared" si="0"/>
        <v>324662000000000</v>
      </c>
      <c r="K5" s="10">
        <f>MAX(Keys!$C$51,$I5-$H5)</f>
        <v>0</v>
      </c>
      <c r="L5" s="10">
        <f t="shared" si="1"/>
        <v>324662000000000</v>
      </c>
      <c r="M5" s="11">
        <f>IF($L5&gt;Keys!$C$51,MIN(Keys!$C$52,$K5/$L5),Keys!$C$51)</f>
        <v>0</v>
      </c>
      <c r="N5" s="11">
        <f>IF($E5=Keys!$C$60,Keys!$C$51,IF($E5=Keys!$C$59,$D5,$M5))</f>
        <v>0</v>
      </c>
      <c r="O5">
        <f t="shared" si="2"/>
        <v>1</v>
      </c>
      <c r="P5" s="10">
        <f>IF($E5=Keys!$C$60,Keys!$C$51,INDEX(Raw_BFPIaE!$G$9:$G$3032,MATCH($A5&amp;Keys!$C$54&amp;Keys!$C$55&amp;Keys!$C$54&amp;$B5,Raw_BFPIaE!$H$9:$H$3032,0)))</f>
        <v>294840666666666.69</v>
      </c>
      <c r="Q5" s="10">
        <f>IF($E5=Keys!$C$60,Keys!$C$51,INDEX(Raw_BFPIaE!$G$9:$G$3032,MATCH($A5&amp;Keys!$C$54&amp;Keys!$C$56&amp;Keys!$C$54&amp;$B5,Raw_BFPIaE!$H$9:$H$3032,0)))</f>
        <v>78936433333333.328</v>
      </c>
      <c r="R5" s="10">
        <f>IF($E5=Keys!$C$60,Keys!$C$51,INDEX(Raw_BFPIaE!$G$9:$G$3032,MATCH($A5&amp;Keys!$C$54&amp;Keys!$C$57&amp;Keys!$C$54&amp;$B5,Raw_BFPIaE!$H$9:$H$3032,0)))</f>
        <v>15546880000000</v>
      </c>
      <c r="S5" s="11">
        <f>IF(($P5+$Q5-$R5+MAX(Keys!$C$51,$R5-$Q5))&gt;Keys!$C$51,MIN(Keys!$C$52,MAX(Keys!$C$51,$R5-$Q5)/($P5+$Q5-$R5+MAX(Keys!$C$51,$R5-$Q5))),Keys!$C$51)</f>
        <v>0</v>
      </c>
      <c r="T5">
        <f>IF(AND($I5&gt;$H5,ABS($L5-$G5)&gt;MAX(Keys!$C$62,ABS($G5)*Keys!$C$63)),1,0)</f>
        <v>0</v>
      </c>
      <c r="U5">
        <f>IF(OR($N5&lt;Keys!$C$51,$N5&gt;Keys!$C$52),1,0)</f>
        <v>0</v>
      </c>
      <c r="V5">
        <f>IF(AND($E5=Keys!$C$60,$N5&lt;&gt;Keys!$C$51),1,0)</f>
        <v>0</v>
      </c>
      <c r="W5">
        <f>IF($L5&gt;Keys!$C$51,IF($K5/$L5&gt;Keys!$C$52,1,0),0)</f>
        <v>0</v>
      </c>
      <c r="X5" s="11">
        <f t="shared" si="3"/>
        <v>0</v>
      </c>
    </row>
    <row r="6" spans="1:24" x14ac:dyDescent="0.25">
      <c r="A6" t="s">
        <v>58</v>
      </c>
      <c r="B6" t="s">
        <v>68</v>
      </c>
      <c r="C6" t="str">
        <f>VLOOKUP($B6,Keys!$F$2:$I$22,2,FALSE)</f>
        <v>natural gas</v>
      </c>
      <c r="D6">
        <f>VLOOKUP($B6,Keys!$F$2:$I$22,3,FALSE)</f>
        <v>0.190839183</v>
      </c>
      <c r="E6" t="str">
        <f>VLOOKUP($B6,Keys!$F$2:$I$22,4,FALSE)</f>
        <v>rule</v>
      </c>
      <c r="F6" t="str">
        <f>$A6&amp;Keys!$C$54&amp;$B6</f>
        <v>AL|natural gas</v>
      </c>
      <c r="G6" s="10">
        <f>IF($E6=Keys!$C$60,Keys!$C$51,INDEX(Balanced_2025!$D$9:$D$3032,MATCH($A6&amp;Keys!$C$54&amp;Keys!$C$55&amp;Keys!$C$54&amp;$C6,Balanced_2025!$E$9:$E$3032,0)))</f>
        <v>76628100000000</v>
      </c>
      <c r="H6" s="10">
        <f>IF($E6=Keys!$C$60,Keys!$C$51,INDEX(Balanced_2025!$D$9:$D$3032,MATCH($A6&amp;Keys!$C$54&amp;Keys!$C$56&amp;Keys!$C$54&amp;$C6,Balanced_2025!$E$9:$E$3032,0)))</f>
        <v>4758490000000000</v>
      </c>
      <c r="I6" s="10">
        <f>IF($E6=Keys!$C$60,Keys!$C$51,INDEX(Balanced_2025!$D$9:$D$3032,MATCH($A6&amp;Keys!$C$54&amp;Keys!$C$57&amp;Keys!$C$54&amp;$C6,Balanced_2025!$E$9:$E$3032,0)))</f>
        <v>4112610000000000</v>
      </c>
      <c r="J6" s="10">
        <f t="shared" si="0"/>
        <v>722508100000000</v>
      </c>
      <c r="K6" s="10">
        <f>MAX(Keys!$C$51,$I6-$H6)</f>
        <v>0</v>
      </c>
      <c r="L6" s="10">
        <f t="shared" si="1"/>
        <v>722508100000000</v>
      </c>
      <c r="M6" s="11">
        <f>IF($L6&gt;Keys!$C$51,MIN(Keys!$C$52,$K6/$L6),Keys!$C$51)</f>
        <v>0</v>
      </c>
      <c r="N6" s="11">
        <f>IF($E6=Keys!$C$60,Keys!$C$51,IF($E6=Keys!$C$59,$D6,$M6))</f>
        <v>0</v>
      </c>
      <c r="O6">
        <f t="shared" si="2"/>
        <v>1</v>
      </c>
      <c r="P6" s="10">
        <f>IF($E6=Keys!$C$60,Keys!$C$51,INDEX(Raw_BFPIaE!$G$9:$G$3032,MATCH($A6&amp;Keys!$C$54&amp;Keys!$C$55&amp;Keys!$C$54&amp;$B6,Raw_BFPIaE!$H$9:$H$3032,0)))</f>
        <v>76334833333333.328</v>
      </c>
      <c r="Q6" s="10">
        <f>IF($E6=Keys!$C$60,Keys!$C$51,INDEX(Raw_BFPIaE!$G$9:$G$3032,MATCH($A6&amp;Keys!$C$54&amp;Keys!$C$56&amp;Keys!$C$54&amp;$B6,Raw_BFPIaE!$H$9:$H$3032,0)))</f>
        <v>4781486666666667</v>
      </c>
      <c r="R6" s="10">
        <f>IF($E6=Keys!$C$60,Keys!$C$51,INDEX(Raw_BFPIaE!$G$9:$G$3032,MATCH($A6&amp;Keys!$C$54&amp;Keys!$C$57&amp;Keys!$C$54&amp;$B6,Raw_BFPIaE!$H$9:$H$3032,0)))</f>
        <v>4096870000000000</v>
      </c>
      <c r="S6" s="11">
        <f>IF(($P6+$Q6-$R6+MAX(Keys!$C$51,$R6-$Q6))&gt;Keys!$C$51,MIN(Keys!$C$52,MAX(Keys!$C$51,$R6-$Q6)/($P6+$Q6-$R6+MAX(Keys!$C$51,$R6-$Q6))),Keys!$C$51)</f>
        <v>0</v>
      </c>
      <c r="T6">
        <f>IF(AND($I6&gt;$H6,ABS($L6-$G6)&gt;MAX(Keys!$C$62,ABS($G6)*Keys!$C$63)),1,0)</f>
        <v>0</v>
      </c>
      <c r="U6">
        <f>IF(OR($N6&lt;Keys!$C$51,$N6&gt;Keys!$C$52),1,0)</f>
        <v>0</v>
      </c>
      <c r="V6">
        <f>IF(AND($E6=Keys!$C$60,$N6&lt;&gt;Keys!$C$51),1,0)</f>
        <v>0</v>
      </c>
      <c r="W6">
        <f>IF($L6&gt;Keys!$C$51,IF($K6/$L6&gt;Keys!$C$52,1,0),0)</f>
        <v>0</v>
      </c>
      <c r="X6" s="11">
        <f t="shared" si="3"/>
        <v>0</v>
      </c>
    </row>
    <row r="7" spans="1:24" x14ac:dyDescent="0.25">
      <c r="A7" t="s">
        <v>58</v>
      </c>
      <c r="B7" t="s">
        <v>71</v>
      </c>
      <c r="C7">
        <f>VLOOKUP($B7,Keys!$F$2:$I$22,2,FALSE)</f>
        <v>0</v>
      </c>
      <c r="D7">
        <f>VLOOKUP($B7,Keys!$F$2:$I$22,3,FALSE)</f>
        <v>0</v>
      </c>
      <c r="E7" t="str">
        <f>VLOOKUP($B7,Keys!$F$2:$I$22,4,FALSE)</f>
        <v>zero</v>
      </c>
      <c r="F7" t="str">
        <f>$A7&amp;Keys!$C$54&amp;$B7</f>
        <v>AL|nuclear</v>
      </c>
      <c r="G7" s="10">
        <f>IF($E7=Keys!$C$60,Keys!$C$51,INDEX(Balanced_2025!$D$9:$D$3032,MATCH($A7&amp;Keys!$C$54&amp;Keys!$C$55&amp;Keys!$C$54&amp;$C7,Balanced_2025!$E$9:$E$3032,0)))</f>
        <v>0</v>
      </c>
      <c r="H7" s="10">
        <f>IF($E7=Keys!$C$60,Keys!$C$51,INDEX(Balanced_2025!$D$9:$D$3032,MATCH($A7&amp;Keys!$C$54&amp;Keys!$C$56&amp;Keys!$C$54&amp;$C7,Balanced_2025!$E$9:$E$3032,0)))</f>
        <v>0</v>
      </c>
      <c r="I7" s="10">
        <f>IF($E7=Keys!$C$60,Keys!$C$51,INDEX(Balanced_2025!$D$9:$D$3032,MATCH($A7&amp;Keys!$C$54&amp;Keys!$C$57&amp;Keys!$C$54&amp;$C7,Balanced_2025!$E$9:$E$3032,0)))</f>
        <v>0</v>
      </c>
      <c r="J7" s="10">
        <f t="shared" si="0"/>
        <v>0</v>
      </c>
      <c r="K7" s="10">
        <f>MAX(Keys!$C$51,$I7-$H7)</f>
        <v>0</v>
      </c>
      <c r="L7" s="10">
        <f t="shared" si="1"/>
        <v>0</v>
      </c>
      <c r="M7" s="11">
        <f>IF($L7&gt;Keys!$C$51,MIN(Keys!$C$52,$K7/$L7),Keys!$C$51)</f>
        <v>0</v>
      </c>
      <c r="N7" s="11">
        <f>IF($E7=Keys!$C$60,Keys!$C$51,IF($E7=Keys!$C$59,$D7,$M7))</f>
        <v>0</v>
      </c>
      <c r="O7">
        <f t="shared" si="2"/>
        <v>0</v>
      </c>
      <c r="P7" s="10">
        <f>IF($E7=Keys!$C$60,Keys!$C$51,INDEX(Raw_BFPIaE!$G$9:$G$3032,MATCH($A7&amp;Keys!$C$54&amp;Keys!$C$55&amp;Keys!$C$54&amp;$B7,Raw_BFPIaE!$H$9:$H$3032,0)))</f>
        <v>0</v>
      </c>
      <c r="Q7" s="10">
        <f>IF($E7=Keys!$C$60,Keys!$C$51,INDEX(Raw_BFPIaE!$G$9:$G$3032,MATCH($A7&amp;Keys!$C$54&amp;Keys!$C$56&amp;Keys!$C$54&amp;$B7,Raw_BFPIaE!$H$9:$H$3032,0)))</f>
        <v>0</v>
      </c>
      <c r="R7" s="10">
        <f>IF($E7=Keys!$C$60,Keys!$C$51,INDEX(Raw_BFPIaE!$G$9:$G$3032,MATCH($A7&amp;Keys!$C$54&amp;Keys!$C$57&amp;Keys!$C$54&amp;$B7,Raw_BFPIaE!$H$9:$H$3032,0)))</f>
        <v>0</v>
      </c>
      <c r="S7" s="11">
        <f>IF(($P7+$Q7-$R7+MAX(Keys!$C$51,$R7-$Q7))&gt;Keys!$C$51,MIN(Keys!$C$52,MAX(Keys!$C$51,$R7-$Q7)/($P7+$Q7-$R7+MAX(Keys!$C$51,$R7-$Q7))),Keys!$C$51)</f>
        <v>0</v>
      </c>
      <c r="T7">
        <f>IF(AND($I7&gt;$H7,ABS($L7-$G7)&gt;MAX(Keys!$C$62,ABS($G7)*Keys!$C$63)),1,0)</f>
        <v>0</v>
      </c>
      <c r="U7">
        <f>IF(OR($N7&lt;Keys!$C$51,$N7&gt;Keys!$C$52),1,0)</f>
        <v>0</v>
      </c>
      <c r="V7">
        <f>IF(AND($E7=Keys!$C$60,$N7&lt;&gt;Keys!$C$51),1,0)</f>
        <v>0</v>
      </c>
      <c r="W7">
        <f>IF($L7&gt;Keys!$C$51,IF($K7/$L7&gt;Keys!$C$52,1,0),0)</f>
        <v>0</v>
      </c>
      <c r="X7" s="11">
        <f t="shared" si="3"/>
        <v>0</v>
      </c>
    </row>
    <row r="8" spans="1:24" x14ac:dyDescent="0.25">
      <c r="A8" t="s">
        <v>58</v>
      </c>
      <c r="B8" t="s">
        <v>74</v>
      </c>
      <c r="C8">
        <f>VLOOKUP($B8,Keys!$F$2:$I$22,2,FALSE)</f>
        <v>0</v>
      </c>
      <c r="D8">
        <f>VLOOKUP($B8,Keys!$F$2:$I$22,3,FALSE)</f>
        <v>0</v>
      </c>
      <c r="E8" t="str">
        <f>VLOOKUP($B8,Keys!$F$2:$I$22,4,FALSE)</f>
        <v>zero</v>
      </c>
      <c r="F8" t="str">
        <f>$A8&amp;Keys!$C$54&amp;$B8</f>
        <v>AL|hydro (is not a fuel)</v>
      </c>
      <c r="G8" s="10">
        <f>IF($E8=Keys!$C$60,Keys!$C$51,INDEX(Balanced_2025!$D$9:$D$3032,MATCH($A8&amp;Keys!$C$54&amp;Keys!$C$55&amp;Keys!$C$54&amp;$C8,Balanced_2025!$E$9:$E$3032,0)))</f>
        <v>0</v>
      </c>
      <c r="H8" s="10">
        <f>IF($E8=Keys!$C$60,Keys!$C$51,INDEX(Balanced_2025!$D$9:$D$3032,MATCH($A8&amp;Keys!$C$54&amp;Keys!$C$56&amp;Keys!$C$54&amp;$C8,Balanced_2025!$E$9:$E$3032,0)))</f>
        <v>0</v>
      </c>
      <c r="I8" s="10">
        <f>IF($E8=Keys!$C$60,Keys!$C$51,INDEX(Balanced_2025!$D$9:$D$3032,MATCH($A8&amp;Keys!$C$54&amp;Keys!$C$57&amp;Keys!$C$54&amp;$C8,Balanced_2025!$E$9:$E$3032,0)))</f>
        <v>0</v>
      </c>
      <c r="J8" s="10">
        <f t="shared" si="0"/>
        <v>0</v>
      </c>
      <c r="K8" s="10">
        <f>MAX(Keys!$C$51,$I8-$H8)</f>
        <v>0</v>
      </c>
      <c r="L8" s="10">
        <f t="shared" si="1"/>
        <v>0</v>
      </c>
      <c r="M8" s="11">
        <f>IF($L8&gt;Keys!$C$51,MIN(Keys!$C$52,$K8/$L8),Keys!$C$51)</f>
        <v>0</v>
      </c>
      <c r="N8" s="11">
        <f>IF($E8=Keys!$C$60,Keys!$C$51,IF($E8=Keys!$C$59,$D8,$M8))</f>
        <v>0</v>
      </c>
      <c r="O8">
        <f t="shared" si="2"/>
        <v>0</v>
      </c>
      <c r="P8" s="10">
        <f>IF($E8=Keys!$C$60,Keys!$C$51,INDEX(Raw_BFPIaE!$G$9:$G$3032,MATCH($A8&amp;Keys!$C$54&amp;Keys!$C$55&amp;Keys!$C$54&amp;$B8,Raw_BFPIaE!$H$9:$H$3032,0)))</f>
        <v>0</v>
      </c>
      <c r="Q8" s="10">
        <f>IF($E8=Keys!$C$60,Keys!$C$51,INDEX(Raw_BFPIaE!$G$9:$G$3032,MATCH($A8&amp;Keys!$C$54&amp;Keys!$C$56&amp;Keys!$C$54&amp;$B8,Raw_BFPIaE!$H$9:$H$3032,0)))</f>
        <v>0</v>
      </c>
      <c r="R8" s="10">
        <f>IF($E8=Keys!$C$60,Keys!$C$51,INDEX(Raw_BFPIaE!$G$9:$G$3032,MATCH($A8&amp;Keys!$C$54&amp;Keys!$C$57&amp;Keys!$C$54&amp;$B8,Raw_BFPIaE!$H$9:$H$3032,0)))</f>
        <v>0</v>
      </c>
      <c r="S8" s="11">
        <f>IF(($P8+$Q8-$R8+MAX(Keys!$C$51,$R8-$Q8))&gt;Keys!$C$51,MIN(Keys!$C$52,MAX(Keys!$C$51,$R8-$Q8)/($P8+$Q8-$R8+MAX(Keys!$C$51,$R8-$Q8))),Keys!$C$51)</f>
        <v>0</v>
      </c>
      <c r="T8">
        <f>IF(AND($I8&gt;$H8,ABS($L8-$G8)&gt;MAX(Keys!$C$62,ABS($G8)*Keys!$C$63)),1,0)</f>
        <v>0</v>
      </c>
      <c r="U8">
        <f>IF(OR($N8&lt;Keys!$C$51,$N8&gt;Keys!$C$52),1,0)</f>
        <v>0</v>
      </c>
      <c r="V8">
        <f>IF(AND($E8=Keys!$C$60,$N8&lt;&gt;Keys!$C$51),1,0)</f>
        <v>0</v>
      </c>
      <c r="W8">
        <f>IF($L8&gt;Keys!$C$51,IF($K8/$L8&gt;Keys!$C$52,1,0),0)</f>
        <v>0</v>
      </c>
      <c r="X8" s="11">
        <f t="shared" si="3"/>
        <v>0</v>
      </c>
    </row>
    <row r="9" spans="1:24" x14ac:dyDescent="0.25">
      <c r="A9" t="s">
        <v>58</v>
      </c>
      <c r="B9" t="s">
        <v>77</v>
      </c>
      <c r="C9">
        <f>VLOOKUP($B9,Keys!$F$2:$I$22,2,FALSE)</f>
        <v>0</v>
      </c>
      <c r="D9">
        <f>VLOOKUP($B9,Keys!$F$2:$I$22,3,FALSE)</f>
        <v>0</v>
      </c>
      <c r="E9" t="str">
        <f>VLOOKUP($B9,Keys!$F$2:$I$22,4,FALSE)</f>
        <v>zero</v>
      </c>
      <c r="F9" t="str">
        <f>$A9&amp;Keys!$C$54&amp;$B9</f>
        <v>AL|wind (is not a fuel)</v>
      </c>
      <c r="G9" s="10">
        <f>IF($E9=Keys!$C$60,Keys!$C$51,INDEX(Balanced_2025!$D$9:$D$3032,MATCH($A9&amp;Keys!$C$54&amp;Keys!$C$55&amp;Keys!$C$54&amp;$C9,Balanced_2025!$E$9:$E$3032,0)))</f>
        <v>0</v>
      </c>
      <c r="H9" s="10">
        <f>IF($E9=Keys!$C$60,Keys!$C$51,INDEX(Balanced_2025!$D$9:$D$3032,MATCH($A9&amp;Keys!$C$54&amp;Keys!$C$56&amp;Keys!$C$54&amp;$C9,Balanced_2025!$E$9:$E$3032,0)))</f>
        <v>0</v>
      </c>
      <c r="I9" s="10">
        <f>IF($E9=Keys!$C$60,Keys!$C$51,INDEX(Balanced_2025!$D$9:$D$3032,MATCH($A9&amp;Keys!$C$54&amp;Keys!$C$57&amp;Keys!$C$54&amp;$C9,Balanced_2025!$E$9:$E$3032,0)))</f>
        <v>0</v>
      </c>
      <c r="J9" s="10">
        <f t="shared" si="0"/>
        <v>0</v>
      </c>
      <c r="K9" s="10">
        <f>MAX(Keys!$C$51,$I9-$H9)</f>
        <v>0</v>
      </c>
      <c r="L9" s="10">
        <f t="shared" si="1"/>
        <v>0</v>
      </c>
      <c r="M9" s="11">
        <f>IF($L9&gt;Keys!$C$51,MIN(Keys!$C$52,$K9/$L9),Keys!$C$51)</f>
        <v>0</v>
      </c>
      <c r="N9" s="11">
        <f>IF($E9=Keys!$C$60,Keys!$C$51,IF($E9=Keys!$C$59,$D9,$M9))</f>
        <v>0</v>
      </c>
      <c r="O9">
        <f t="shared" si="2"/>
        <v>0</v>
      </c>
      <c r="P9" s="10">
        <f>IF($E9=Keys!$C$60,Keys!$C$51,INDEX(Raw_BFPIaE!$G$9:$G$3032,MATCH($A9&amp;Keys!$C$54&amp;Keys!$C$55&amp;Keys!$C$54&amp;$B9,Raw_BFPIaE!$H$9:$H$3032,0)))</f>
        <v>0</v>
      </c>
      <c r="Q9" s="10">
        <f>IF($E9=Keys!$C$60,Keys!$C$51,INDEX(Raw_BFPIaE!$G$9:$G$3032,MATCH($A9&amp;Keys!$C$54&amp;Keys!$C$56&amp;Keys!$C$54&amp;$B9,Raw_BFPIaE!$H$9:$H$3032,0)))</f>
        <v>0</v>
      </c>
      <c r="R9" s="10">
        <f>IF($E9=Keys!$C$60,Keys!$C$51,INDEX(Raw_BFPIaE!$G$9:$G$3032,MATCH($A9&amp;Keys!$C$54&amp;Keys!$C$57&amp;Keys!$C$54&amp;$B9,Raw_BFPIaE!$H$9:$H$3032,0)))</f>
        <v>0</v>
      </c>
      <c r="S9" s="11">
        <f>IF(($P9+$Q9-$R9+MAX(Keys!$C$51,$R9-$Q9))&gt;Keys!$C$51,MIN(Keys!$C$52,MAX(Keys!$C$51,$R9-$Q9)/($P9+$Q9-$R9+MAX(Keys!$C$51,$R9-$Q9))),Keys!$C$51)</f>
        <v>0</v>
      </c>
      <c r="T9">
        <f>IF(AND($I9&gt;$H9,ABS($L9-$G9)&gt;MAX(Keys!$C$62,ABS($G9)*Keys!$C$63)),1,0)</f>
        <v>0</v>
      </c>
      <c r="U9">
        <f>IF(OR($N9&lt;Keys!$C$51,$N9&gt;Keys!$C$52),1,0)</f>
        <v>0</v>
      </c>
      <c r="V9">
        <f>IF(AND($E9=Keys!$C$60,$N9&lt;&gt;Keys!$C$51),1,0)</f>
        <v>0</v>
      </c>
      <c r="W9">
        <f>IF($L9&gt;Keys!$C$51,IF($K9/$L9&gt;Keys!$C$52,1,0),0)</f>
        <v>0</v>
      </c>
      <c r="X9" s="11">
        <f t="shared" si="3"/>
        <v>0</v>
      </c>
    </row>
    <row r="10" spans="1:24" x14ac:dyDescent="0.25">
      <c r="A10" t="s">
        <v>58</v>
      </c>
      <c r="B10" t="s">
        <v>80</v>
      </c>
      <c r="C10">
        <f>VLOOKUP($B10,Keys!$F$2:$I$22,2,FALSE)</f>
        <v>0</v>
      </c>
      <c r="D10">
        <f>VLOOKUP($B10,Keys!$F$2:$I$22,3,FALSE)</f>
        <v>0</v>
      </c>
      <c r="E10" t="str">
        <f>VLOOKUP($B10,Keys!$F$2:$I$22,4,FALSE)</f>
        <v>zero</v>
      </c>
      <c r="F10" t="str">
        <f>$A10&amp;Keys!$C$54&amp;$B10</f>
        <v>AL|solar (is not a fuel)</v>
      </c>
      <c r="G10" s="10">
        <f>IF($E10=Keys!$C$60,Keys!$C$51,INDEX(Balanced_2025!$D$9:$D$3032,MATCH($A10&amp;Keys!$C$54&amp;Keys!$C$55&amp;Keys!$C$54&amp;$C10,Balanced_2025!$E$9:$E$3032,0)))</f>
        <v>0</v>
      </c>
      <c r="H10" s="10">
        <f>IF($E10=Keys!$C$60,Keys!$C$51,INDEX(Balanced_2025!$D$9:$D$3032,MATCH($A10&amp;Keys!$C$54&amp;Keys!$C$56&amp;Keys!$C$54&amp;$C10,Balanced_2025!$E$9:$E$3032,0)))</f>
        <v>0</v>
      </c>
      <c r="I10" s="10">
        <f>IF($E10=Keys!$C$60,Keys!$C$51,INDEX(Balanced_2025!$D$9:$D$3032,MATCH($A10&amp;Keys!$C$54&amp;Keys!$C$57&amp;Keys!$C$54&amp;$C10,Balanced_2025!$E$9:$E$3032,0)))</f>
        <v>0</v>
      </c>
      <c r="J10" s="10">
        <f t="shared" si="0"/>
        <v>0</v>
      </c>
      <c r="K10" s="10">
        <f>MAX(Keys!$C$51,$I10-$H10)</f>
        <v>0</v>
      </c>
      <c r="L10" s="10">
        <f t="shared" si="1"/>
        <v>0</v>
      </c>
      <c r="M10" s="11">
        <f>IF($L10&gt;Keys!$C$51,MIN(Keys!$C$52,$K10/$L10),Keys!$C$51)</f>
        <v>0</v>
      </c>
      <c r="N10" s="11">
        <f>IF($E10=Keys!$C$60,Keys!$C$51,IF($E10=Keys!$C$59,$D10,$M10))</f>
        <v>0</v>
      </c>
      <c r="O10">
        <f t="shared" si="2"/>
        <v>0</v>
      </c>
      <c r="P10" s="10">
        <f>IF($E10=Keys!$C$60,Keys!$C$51,INDEX(Raw_BFPIaE!$G$9:$G$3032,MATCH($A10&amp;Keys!$C$54&amp;Keys!$C$55&amp;Keys!$C$54&amp;$B10,Raw_BFPIaE!$H$9:$H$3032,0)))</f>
        <v>0</v>
      </c>
      <c r="Q10" s="10">
        <f>IF($E10=Keys!$C$60,Keys!$C$51,INDEX(Raw_BFPIaE!$G$9:$G$3032,MATCH($A10&amp;Keys!$C$54&amp;Keys!$C$56&amp;Keys!$C$54&amp;$B10,Raw_BFPIaE!$H$9:$H$3032,0)))</f>
        <v>0</v>
      </c>
      <c r="R10" s="10">
        <f>IF($E10=Keys!$C$60,Keys!$C$51,INDEX(Raw_BFPIaE!$G$9:$G$3032,MATCH($A10&amp;Keys!$C$54&amp;Keys!$C$57&amp;Keys!$C$54&amp;$B10,Raw_BFPIaE!$H$9:$H$3032,0)))</f>
        <v>0</v>
      </c>
      <c r="S10" s="11">
        <f>IF(($P10+$Q10-$R10+MAX(Keys!$C$51,$R10-$Q10))&gt;Keys!$C$51,MIN(Keys!$C$52,MAX(Keys!$C$51,$R10-$Q10)/($P10+$Q10-$R10+MAX(Keys!$C$51,$R10-$Q10))),Keys!$C$51)</f>
        <v>0</v>
      </c>
      <c r="T10">
        <f>IF(AND($I10&gt;$H10,ABS($L10-$G10)&gt;MAX(Keys!$C$62,ABS($G10)*Keys!$C$63)),1,0)</f>
        <v>0</v>
      </c>
      <c r="U10">
        <f>IF(OR($N10&lt;Keys!$C$51,$N10&gt;Keys!$C$52),1,0)</f>
        <v>0</v>
      </c>
      <c r="V10">
        <f>IF(AND($E10=Keys!$C$60,$N10&lt;&gt;Keys!$C$51),1,0)</f>
        <v>0</v>
      </c>
      <c r="W10">
        <f>IF($L10&gt;Keys!$C$51,IF($K10/$L10&gt;Keys!$C$52,1,0),0)</f>
        <v>0</v>
      </c>
      <c r="X10" s="11">
        <f t="shared" si="3"/>
        <v>0</v>
      </c>
    </row>
    <row r="11" spans="1:24" x14ac:dyDescent="0.25">
      <c r="A11" t="s">
        <v>58</v>
      </c>
      <c r="B11" t="s">
        <v>82</v>
      </c>
      <c r="C11" t="str">
        <f>VLOOKUP($B11,Keys!$F$2:$I$22,2,FALSE)</f>
        <v>biomass</v>
      </c>
      <c r="D11">
        <f>VLOOKUP($B11,Keys!$F$2:$I$22,3,FALSE)</f>
        <v>0.74947425499999998</v>
      </c>
      <c r="E11" t="str">
        <f>VLOOKUP($B11,Keys!$F$2:$I$22,4,FALSE)</f>
        <v>rule</v>
      </c>
      <c r="F11" t="str">
        <f>$A11&amp;Keys!$C$54&amp;$B11</f>
        <v>AL|biomass</v>
      </c>
      <c r="G11" s="10">
        <f>IF($E11=Keys!$C$60,Keys!$C$51,INDEX(Balanced_2025!$D$9:$D$3032,MATCH($A11&amp;Keys!$C$54&amp;Keys!$C$55&amp;Keys!$C$54&amp;$C11,Balanced_2025!$E$9:$E$3032,0)))</f>
        <v>13897400000000</v>
      </c>
      <c r="H11" s="10">
        <f>IF($E11=Keys!$C$60,Keys!$C$51,INDEX(Balanced_2025!$D$9:$D$3032,MATCH($A11&amp;Keys!$C$54&amp;Keys!$C$56&amp;Keys!$C$54&amp;$C11,Balanced_2025!$E$9:$E$3032,0)))</f>
        <v>158106000000000</v>
      </c>
      <c r="I11" s="10">
        <f>IF($E11=Keys!$C$60,Keys!$C$51,INDEX(Balanced_2025!$D$9:$D$3032,MATCH($A11&amp;Keys!$C$54&amp;Keys!$C$57&amp;Keys!$C$54&amp;$C11,Balanced_2025!$E$9:$E$3032,0)))</f>
        <v>0</v>
      </c>
      <c r="J11" s="10">
        <f t="shared" si="0"/>
        <v>172003400000000</v>
      </c>
      <c r="K11" s="10">
        <f>MAX(Keys!$C$51,$I11-$H11)</f>
        <v>0</v>
      </c>
      <c r="L11" s="10">
        <f t="shared" si="1"/>
        <v>172003400000000</v>
      </c>
      <c r="M11" s="11">
        <f>IF($L11&gt;Keys!$C$51,MIN(Keys!$C$52,$K11/$L11),Keys!$C$51)</f>
        <v>0</v>
      </c>
      <c r="N11" s="11">
        <f>IF($E11=Keys!$C$60,Keys!$C$51,IF($E11=Keys!$C$59,$D11,$M11))</f>
        <v>0</v>
      </c>
      <c r="O11">
        <f t="shared" si="2"/>
        <v>1</v>
      </c>
      <c r="P11" s="10">
        <f>IF($E11=Keys!$C$60,Keys!$C$51,INDEX(Raw_BFPIaE!$G$9:$G$3032,MATCH($A11&amp;Keys!$C$54&amp;Keys!$C$55&amp;Keys!$C$54&amp;$B11,Raw_BFPIaE!$H$9:$H$3032,0)))</f>
        <v>13897400000000</v>
      </c>
      <c r="Q11" s="10">
        <f>IF($E11=Keys!$C$60,Keys!$C$51,INDEX(Raw_BFPIaE!$G$9:$G$3032,MATCH($A11&amp;Keys!$C$54&amp;Keys!$C$56&amp;Keys!$C$54&amp;$B11,Raw_BFPIaE!$H$9:$H$3032,0)))</f>
        <v>108411333333333.33</v>
      </c>
      <c r="R11" s="10">
        <f>IF($E11=Keys!$C$60,Keys!$C$51,INDEX(Raw_BFPIaE!$G$9:$G$3032,MATCH($A11&amp;Keys!$C$54&amp;Keys!$C$57&amp;Keys!$C$54&amp;$B11,Raw_BFPIaE!$H$9:$H$3032,0)))</f>
        <v>0</v>
      </c>
      <c r="S11" s="11">
        <f>IF(($P11+$Q11-$R11+MAX(Keys!$C$51,$R11-$Q11))&gt;Keys!$C$51,MIN(Keys!$C$52,MAX(Keys!$C$51,$R11-$Q11)/($P11+$Q11-$R11+MAX(Keys!$C$51,$R11-$Q11))),Keys!$C$51)</f>
        <v>0</v>
      </c>
      <c r="T11">
        <f>IF(AND($I11&gt;$H11,ABS($L11-$G11)&gt;MAX(Keys!$C$62,ABS($G11)*Keys!$C$63)),1,0)</f>
        <v>0</v>
      </c>
      <c r="U11">
        <f>IF(OR($N11&lt;Keys!$C$51,$N11&gt;Keys!$C$52),1,0)</f>
        <v>0</v>
      </c>
      <c r="V11">
        <f>IF(AND($E11=Keys!$C$60,$N11&lt;&gt;Keys!$C$51),1,0)</f>
        <v>0</v>
      </c>
      <c r="W11">
        <f>IF($L11&gt;Keys!$C$51,IF($K11/$L11&gt;Keys!$C$52,1,0),0)</f>
        <v>0</v>
      </c>
      <c r="X11" s="11">
        <f t="shared" si="3"/>
        <v>0</v>
      </c>
    </row>
    <row r="12" spans="1:24" x14ac:dyDescent="0.25">
      <c r="A12" t="s">
        <v>58</v>
      </c>
      <c r="B12" t="s">
        <v>85</v>
      </c>
      <c r="C12" t="str">
        <f>VLOOKUP($B12,Keys!$F$2:$I$22,2,FALSE)</f>
        <v>petroleum gasoline</v>
      </c>
      <c r="D12">
        <f>VLOOKUP($B12,Keys!$F$2:$I$22,3,FALSE)</f>
        <v>7.5004052000000002E-2</v>
      </c>
      <c r="E12" t="str">
        <f>VLOOKUP($B12,Keys!$F$2:$I$22,4,FALSE)</f>
        <v>rule</v>
      </c>
      <c r="F12" t="str">
        <f>$A12&amp;Keys!$C$54&amp;$B12</f>
        <v>AL|petroleum gasoline</v>
      </c>
      <c r="G12" s="10">
        <f>IF($E12=Keys!$C$60,Keys!$C$51,INDEX(Balanced_2025!$D$9:$D$3032,MATCH($A12&amp;Keys!$C$54&amp;Keys!$C$55&amp;Keys!$C$54&amp;$C12,Balanced_2025!$E$9:$E$3032,0)))</f>
        <v>137908000000000</v>
      </c>
      <c r="H12" s="10">
        <f>IF($E12=Keys!$C$60,Keys!$C$51,INDEX(Balanced_2025!$D$9:$D$3032,MATCH($A12&amp;Keys!$C$54&amp;Keys!$C$56&amp;Keys!$C$54&amp;$C12,Balanced_2025!$E$9:$E$3032,0)))</f>
        <v>216640000000000</v>
      </c>
      <c r="I12" s="10">
        <f>IF($E12=Keys!$C$60,Keys!$C$51,INDEX(Balanced_2025!$D$9:$D$3032,MATCH($A12&amp;Keys!$C$54&amp;Keys!$C$57&amp;Keys!$C$54&amp;$C12,Balanced_2025!$E$9:$E$3032,0)))</f>
        <v>0</v>
      </c>
      <c r="J12" s="10">
        <f t="shared" si="0"/>
        <v>354548000000000</v>
      </c>
      <c r="K12" s="10">
        <f>MAX(Keys!$C$51,$I12-$H12)</f>
        <v>0</v>
      </c>
      <c r="L12" s="10">
        <f t="shared" si="1"/>
        <v>354548000000000</v>
      </c>
      <c r="M12" s="11">
        <f>IF($L12&gt;Keys!$C$51,MIN(Keys!$C$52,$K12/$L12),Keys!$C$51)</f>
        <v>0</v>
      </c>
      <c r="N12" s="11">
        <f>IF($E12=Keys!$C$60,Keys!$C$51,IF($E12=Keys!$C$59,$D12,$M12))</f>
        <v>0</v>
      </c>
      <c r="O12">
        <f t="shared" si="2"/>
        <v>1</v>
      </c>
      <c r="P12" s="10">
        <f>IF($E12=Keys!$C$60,Keys!$C$51,INDEX(Raw_BFPIaE!$G$9:$G$3032,MATCH($A12&amp;Keys!$C$54&amp;Keys!$C$55&amp;Keys!$C$54&amp;$B12,Raw_BFPIaE!$H$9:$H$3032,0)))</f>
        <v>136793666666666.67</v>
      </c>
      <c r="Q12" s="10">
        <f>IF($E12=Keys!$C$60,Keys!$C$51,INDEX(Raw_BFPIaE!$G$9:$G$3032,MATCH($A12&amp;Keys!$C$54&amp;Keys!$C$56&amp;Keys!$C$54&amp;$B12,Raw_BFPIaE!$H$9:$H$3032,0)))</f>
        <v>131298333333333.33</v>
      </c>
      <c r="R12" s="10">
        <f>IF($E12=Keys!$C$60,Keys!$C$51,INDEX(Raw_BFPIaE!$G$9:$G$3032,MATCH($A12&amp;Keys!$C$54&amp;Keys!$C$57&amp;Keys!$C$54&amp;$B12,Raw_BFPIaE!$H$9:$H$3032,0)))</f>
        <v>0</v>
      </c>
      <c r="S12" s="11">
        <f>IF(($P12+$Q12-$R12+MAX(Keys!$C$51,$R12-$Q12))&gt;Keys!$C$51,MIN(Keys!$C$52,MAX(Keys!$C$51,$R12-$Q12)/($P12+$Q12-$R12+MAX(Keys!$C$51,$R12-$Q12))),Keys!$C$51)</f>
        <v>0</v>
      </c>
      <c r="T12">
        <f>IF(AND($I12&gt;$H12,ABS($L12-$G12)&gt;MAX(Keys!$C$62,ABS($G12)*Keys!$C$63)),1,0)</f>
        <v>0</v>
      </c>
      <c r="U12">
        <f>IF(OR($N12&lt;Keys!$C$51,$N12&gt;Keys!$C$52),1,0)</f>
        <v>0</v>
      </c>
      <c r="V12">
        <f>IF(AND($E12=Keys!$C$60,$N12&lt;&gt;Keys!$C$51),1,0)</f>
        <v>0</v>
      </c>
      <c r="W12">
        <f>IF($L12&gt;Keys!$C$51,IF($K12/$L12&gt;Keys!$C$52,1,0),0)</f>
        <v>0</v>
      </c>
      <c r="X12" s="11">
        <f t="shared" si="3"/>
        <v>0</v>
      </c>
    </row>
    <row r="13" spans="1:24" x14ac:dyDescent="0.25">
      <c r="A13" t="s">
        <v>58</v>
      </c>
      <c r="B13" t="s">
        <v>88</v>
      </c>
      <c r="C13" t="str">
        <f>VLOOKUP($B13,Keys!$F$2:$I$22,2,FALSE)</f>
        <v>petroleum diesel</v>
      </c>
      <c r="D13">
        <f>VLOOKUP($B13,Keys!$F$2:$I$22,3,FALSE)</f>
        <v>0.26691051799999999</v>
      </c>
      <c r="E13" t="str">
        <f>VLOOKUP($B13,Keys!$F$2:$I$22,4,FALSE)</f>
        <v>rule</v>
      </c>
      <c r="F13" t="str">
        <f>$A13&amp;Keys!$C$54&amp;$B13</f>
        <v>AL|petroleum diesel</v>
      </c>
      <c r="G13" s="10">
        <f>IF($E13=Keys!$C$60,Keys!$C$51,INDEX(Balanced_2025!$D$9:$D$3032,MATCH($A13&amp;Keys!$C$54&amp;Keys!$C$55&amp;Keys!$C$54&amp;$C13,Balanced_2025!$E$9:$E$3032,0)))</f>
        <v>81574700000000</v>
      </c>
      <c r="H13" s="10">
        <f>IF($E13=Keys!$C$60,Keys!$C$51,INDEX(Balanced_2025!$D$9:$D$3032,MATCH($A13&amp;Keys!$C$54&amp;Keys!$C$56&amp;Keys!$C$54&amp;$C13,Balanced_2025!$E$9:$E$3032,0)))</f>
        <v>99160900000000</v>
      </c>
      <c r="I13" s="10">
        <f>IF($E13=Keys!$C$60,Keys!$C$51,INDEX(Balanced_2025!$D$9:$D$3032,MATCH($A13&amp;Keys!$C$54&amp;Keys!$C$57&amp;Keys!$C$54&amp;$C13,Balanced_2025!$E$9:$E$3032,0)))</f>
        <v>17761500000000</v>
      </c>
      <c r="J13" s="10">
        <f t="shared" si="0"/>
        <v>162974100000000</v>
      </c>
      <c r="K13" s="10">
        <f>MAX(Keys!$C$51,$I13-$H13)</f>
        <v>0</v>
      </c>
      <c r="L13" s="10">
        <f t="shared" si="1"/>
        <v>162974100000000</v>
      </c>
      <c r="M13" s="11">
        <f>IF($L13&gt;Keys!$C$51,MIN(Keys!$C$52,$K13/$L13),Keys!$C$51)</f>
        <v>0</v>
      </c>
      <c r="N13" s="11">
        <f>IF($E13=Keys!$C$60,Keys!$C$51,IF($E13=Keys!$C$59,$D13,$M13))</f>
        <v>0</v>
      </c>
      <c r="O13">
        <f t="shared" si="2"/>
        <v>1</v>
      </c>
      <c r="P13" s="10">
        <f>IF($E13=Keys!$C$60,Keys!$C$51,INDEX(Raw_BFPIaE!$G$9:$G$3032,MATCH($A13&amp;Keys!$C$54&amp;Keys!$C$55&amp;Keys!$C$54&amp;$B13,Raw_BFPIaE!$H$9:$H$3032,0)))</f>
        <v>80915633333333.328</v>
      </c>
      <c r="Q13" s="10">
        <f>IF($E13=Keys!$C$60,Keys!$C$51,INDEX(Raw_BFPIaE!$G$9:$G$3032,MATCH($A13&amp;Keys!$C$54&amp;Keys!$C$56&amp;Keys!$C$54&amp;$B13,Raw_BFPIaE!$H$9:$H$3032,0)))</f>
        <v>64915300000000</v>
      </c>
      <c r="R13" s="10">
        <f>IF($E13=Keys!$C$60,Keys!$C$51,INDEX(Raw_BFPIaE!$G$9:$G$3032,MATCH($A13&amp;Keys!$C$54&amp;Keys!$C$57&amp;Keys!$C$54&amp;$B13,Raw_BFPIaE!$H$9:$H$3032,0)))</f>
        <v>17618000000000</v>
      </c>
      <c r="S13" s="11">
        <f>IF(($P13+$Q13-$R13+MAX(Keys!$C$51,$R13-$Q13))&gt;Keys!$C$51,MIN(Keys!$C$52,MAX(Keys!$C$51,$R13-$Q13)/($P13+$Q13-$R13+MAX(Keys!$C$51,$R13-$Q13))),Keys!$C$51)</f>
        <v>0</v>
      </c>
      <c r="T13">
        <f>IF(AND($I13&gt;$H13,ABS($L13-$G13)&gt;MAX(Keys!$C$62,ABS($G13)*Keys!$C$63)),1,0)</f>
        <v>0</v>
      </c>
      <c r="U13">
        <f>IF(OR($N13&lt;Keys!$C$51,$N13&gt;Keys!$C$52),1,0)</f>
        <v>0</v>
      </c>
      <c r="V13">
        <f>IF(AND($E13=Keys!$C$60,$N13&lt;&gt;Keys!$C$51),1,0)</f>
        <v>0</v>
      </c>
      <c r="W13">
        <f>IF($L13&gt;Keys!$C$51,IF($K13/$L13&gt;Keys!$C$52,1,0),0)</f>
        <v>0</v>
      </c>
      <c r="X13" s="11">
        <f t="shared" si="3"/>
        <v>0</v>
      </c>
    </row>
    <row r="14" spans="1:24" x14ac:dyDescent="0.25">
      <c r="A14" t="s">
        <v>58</v>
      </c>
      <c r="B14" t="s">
        <v>91</v>
      </c>
      <c r="C14" t="str">
        <f>VLOOKUP($B14,Keys!$F$2:$I$22,2,FALSE)</f>
        <v>biofuel gasoline</v>
      </c>
      <c r="D14">
        <f>VLOOKUP($B14,Keys!$F$2:$I$22,3,FALSE)</f>
        <v>8.7213884000000005E-2</v>
      </c>
      <c r="E14" t="str">
        <f>VLOOKUP($B14,Keys!$F$2:$I$22,4,FALSE)</f>
        <v>rule</v>
      </c>
      <c r="F14" t="str">
        <f>$A14&amp;Keys!$C$54&amp;$B14</f>
        <v>AL|biofuel gasoline</v>
      </c>
      <c r="G14" s="10">
        <f>IF($E14=Keys!$C$60,Keys!$C$51,INDEX(Balanced_2025!$D$9:$D$3032,MATCH($A14&amp;Keys!$C$54&amp;Keys!$C$55&amp;Keys!$C$54&amp;$C14,Balanced_2025!$E$9:$E$3032,0)))</f>
        <v>0</v>
      </c>
      <c r="H14" s="10">
        <f>IF($E14=Keys!$C$60,Keys!$C$51,INDEX(Balanced_2025!$D$9:$D$3032,MATCH($A14&amp;Keys!$C$54&amp;Keys!$C$56&amp;Keys!$C$54&amp;$C14,Balanced_2025!$E$9:$E$3032,0)))</f>
        <v>25214800000000</v>
      </c>
      <c r="I14" s="10">
        <f>IF($E14=Keys!$C$60,Keys!$C$51,INDEX(Balanced_2025!$D$9:$D$3032,MATCH($A14&amp;Keys!$C$54&amp;Keys!$C$57&amp;Keys!$C$54&amp;$C14,Balanced_2025!$E$9:$E$3032,0)))</f>
        <v>0</v>
      </c>
      <c r="J14" s="10">
        <f t="shared" si="0"/>
        <v>25214800000000</v>
      </c>
      <c r="K14" s="10">
        <f>MAX(Keys!$C$51,$I14-$H14)</f>
        <v>0</v>
      </c>
      <c r="L14" s="10">
        <f t="shared" si="1"/>
        <v>25214800000000</v>
      </c>
      <c r="M14" s="11">
        <f>IF($L14&gt;Keys!$C$51,MIN(Keys!$C$52,$K14/$L14),Keys!$C$51)</f>
        <v>0</v>
      </c>
      <c r="N14" s="11">
        <f>IF($E14=Keys!$C$60,Keys!$C$51,IF($E14=Keys!$C$59,$D14,$M14))</f>
        <v>0</v>
      </c>
      <c r="O14">
        <f t="shared" si="2"/>
        <v>1</v>
      </c>
      <c r="P14" s="10">
        <f>IF($E14=Keys!$C$60,Keys!$C$51,INDEX(Raw_BFPIaE!$G$9:$G$3032,MATCH($A14&amp;Keys!$C$54&amp;Keys!$C$55&amp;Keys!$C$54&amp;$B14,Raw_BFPIaE!$H$9:$H$3032,0)))</f>
        <v>0</v>
      </c>
      <c r="Q14" s="10">
        <f>IF($E14=Keys!$C$60,Keys!$C$51,INDEX(Raw_BFPIaE!$G$9:$G$3032,MATCH($A14&amp;Keys!$C$54&amp;Keys!$C$56&amp;Keys!$C$54&amp;$B14,Raw_BFPIaE!$H$9:$H$3032,0)))</f>
        <v>15789033333333.334</v>
      </c>
      <c r="R14" s="10">
        <f>IF($E14=Keys!$C$60,Keys!$C$51,INDEX(Raw_BFPIaE!$G$9:$G$3032,MATCH($A14&amp;Keys!$C$54&amp;Keys!$C$57&amp;Keys!$C$54&amp;$B14,Raw_BFPIaE!$H$9:$H$3032,0)))</f>
        <v>0</v>
      </c>
      <c r="S14" s="11">
        <f>IF(($P14+$Q14-$R14+MAX(Keys!$C$51,$R14-$Q14))&gt;Keys!$C$51,MIN(Keys!$C$52,MAX(Keys!$C$51,$R14-$Q14)/($P14+$Q14-$R14+MAX(Keys!$C$51,$R14-$Q14))),Keys!$C$51)</f>
        <v>0</v>
      </c>
      <c r="T14">
        <f>IF(AND($I14&gt;$H14,ABS($L14-$G14)&gt;MAX(Keys!$C$62,ABS($G14)*Keys!$C$63)),1,0)</f>
        <v>0</v>
      </c>
      <c r="U14">
        <f>IF(OR($N14&lt;Keys!$C$51,$N14&gt;Keys!$C$52),1,0)</f>
        <v>0</v>
      </c>
      <c r="V14">
        <f>IF(AND($E14=Keys!$C$60,$N14&lt;&gt;Keys!$C$51),1,0)</f>
        <v>0</v>
      </c>
      <c r="W14">
        <f>IF($L14&gt;Keys!$C$51,IF($K14/$L14&gt;Keys!$C$52,1,0),0)</f>
        <v>0</v>
      </c>
      <c r="X14" s="11">
        <f t="shared" si="3"/>
        <v>0</v>
      </c>
    </row>
    <row r="15" spans="1:24" x14ac:dyDescent="0.25">
      <c r="A15" t="s">
        <v>58</v>
      </c>
      <c r="B15" t="s">
        <v>94</v>
      </c>
      <c r="C15" t="str">
        <f>VLOOKUP($B15,Keys!$F$2:$I$22,2,FALSE)</f>
        <v>biofuel diesel</v>
      </c>
      <c r="D15">
        <f>VLOOKUP($B15,Keys!$F$2:$I$22,3,FALSE)</f>
        <v>5.8642381E-2</v>
      </c>
      <c r="E15" t="str">
        <f>VLOOKUP($B15,Keys!$F$2:$I$22,4,FALSE)</f>
        <v>rule</v>
      </c>
      <c r="F15" t="str">
        <f>$A15&amp;Keys!$C$54&amp;$B15</f>
        <v>AL|biofuel diesel</v>
      </c>
      <c r="G15" s="10">
        <f>IF($E15=Keys!$C$60,Keys!$C$51,INDEX(Balanced_2025!$D$9:$D$3032,MATCH($A15&amp;Keys!$C$54&amp;Keys!$C$55&amp;Keys!$C$54&amp;$C15,Balanced_2025!$E$9:$E$3032,0)))</f>
        <v>6007590000000</v>
      </c>
      <c r="H15" s="10">
        <f>IF($E15=Keys!$C$60,Keys!$C$51,INDEX(Balanced_2025!$D$9:$D$3032,MATCH($A15&amp;Keys!$C$54&amp;Keys!$C$56&amp;Keys!$C$54&amp;$C15,Balanced_2025!$E$9:$E$3032,0)))</f>
        <v>83777100000</v>
      </c>
      <c r="I15" s="10">
        <f>IF($E15=Keys!$C$60,Keys!$C$51,INDEX(Balanced_2025!$D$9:$D$3032,MATCH($A15&amp;Keys!$C$54&amp;Keys!$C$57&amp;Keys!$C$54&amp;$C15,Balanced_2025!$E$9:$E$3032,0)))</f>
        <v>3014380000000</v>
      </c>
      <c r="J15" s="10">
        <f t="shared" si="0"/>
        <v>3076987100000</v>
      </c>
      <c r="K15" s="10">
        <f>MAX(Keys!$C$51,$I15-$H15)</f>
        <v>2930602900000</v>
      </c>
      <c r="L15" s="10">
        <f t="shared" si="1"/>
        <v>6007590000000</v>
      </c>
      <c r="M15" s="11">
        <f>IF($L15&gt;Keys!$C$51,MIN(Keys!$C$52,$K15/$L15),Keys!$C$51)</f>
        <v>0.48781672850510771</v>
      </c>
      <c r="N15" s="11">
        <f>IF($E15=Keys!$C$60,Keys!$C$51,IF($E15=Keys!$C$59,$D15,$M15))</f>
        <v>0.48781672850510771</v>
      </c>
      <c r="O15">
        <f t="shared" si="2"/>
        <v>1</v>
      </c>
      <c r="P15" s="10">
        <f>IF($E15=Keys!$C$60,Keys!$C$51,INDEX(Raw_BFPIaE!$G$9:$G$3032,MATCH($A15&amp;Keys!$C$54&amp;Keys!$C$55&amp;Keys!$C$54&amp;$B15,Raw_BFPIaE!$H$9:$H$3032,0)))</f>
        <v>6383790000000</v>
      </c>
      <c r="Q15" s="10">
        <f>IF($E15=Keys!$C$60,Keys!$C$51,INDEX(Raw_BFPIaE!$G$9:$G$3032,MATCH($A15&amp;Keys!$C$54&amp;Keys!$C$56&amp;Keys!$C$54&amp;$B15,Raw_BFPIaE!$H$9:$H$3032,0)))</f>
        <v>0</v>
      </c>
      <c r="R15" s="10">
        <f>IF($E15=Keys!$C$60,Keys!$C$51,INDEX(Raw_BFPIaE!$G$9:$G$3032,MATCH($A15&amp;Keys!$C$54&amp;Keys!$C$57&amp;Keys!$C$54&amp;$B15,Raw_BFPIaE!$H$9:$H$3032,0)))</f>
        <v>2380440000000</v>
      </c>
      <c r="S15" s="11">
        <f>IF(($P15+$Q15-$R15+MAX(Keys!$C$51,$R15-$Q15))&gt;Keys!$C$51,MIN(Keys!$C$52,MAX(Keys!$C$51,$R15-$Q15)/($P15+$Q15-$R15+MAX(Keys!$C$51,$R15-$Q15))),Keys!$C$51)</f>
        <v>0.37288820590902894</v>
      </c>
      <c r="T15">
        <f>IF(AND($I15&gt;$H15,ABS($L15-$G15)&gt;MAX(Keys!$C$62,ABS($G15)*Keys!$C$63)),1,0)</f>
        <v>0</v>
      </c>
      <c r="U15">
        <f>IF(OR($N15&lt;Keys!$C$51,$N15&gt;Keys!$C$52),1,0)</f>
        <v>0</v>
      </c>
      <c r="V15">
        <f>IF(AND($E15=Keys!$C$60,$N15&lt;&gt;Keys!$C$51),1,0)</f>
        <v>0</v>
      </c>
      <c r="W15">
        <f>IF($L15&gt;Keys!$C$51,IF($K15/$L15&gt;Keys!$C$52,1,0),0)</f>
        <v>0</v>
      </c>
      <c r="X15" s="11">
        <f t="shared" si="3"/>
        <v>0.11492852259607877</v>
      </c>
    </row>
    <row r="16" spans="1:24" x14ac:dyDescent="0.25">
      <c r="A16" t="s">
        <v>58</v>
      </c>
      <c r="B16" t="s">
        <v>97</v>
      </c>
      <c r="C16" t="str">
        <f>VLOOKUP($B16,Keys!$F$2:$I$22,2,FALSE)</f>
        <v>jet fuel or kerosene</v>
      </c>
      <c r="D16">
        <f>VLOOKUP($B16,Keys!$F$2:$I$22,3,FALSE)</f>
        <v>0.10155994</v>
      </c>
      <c r="E16" t="str">
        <f>VLOOKUP($B16,Keys!$F$2:$I$22,4,FALSE)</f>
        <v>rule</v>
      </c>
      <c r="F16" t="str">
        <f>$A16&amp;Keys!$C$54&amp;$B16</f>
        <v>AL|jet fuel or kerosene</v>
      </c>
      <c r="G16" s="10">
        <f>IF($E16=Keys!$C$60,Keys!$C$51,INDEX(Balanced_2025!$D$9:$D$3032,MATCH($A16&amp;Keys!$C$54&amp;Keys!$C$55&amp;Keys!$C$54&amp;$C16,Balanced_2025!$E$9:$E$3032,0)))</f>
        <v>29039000000000</v>
      </c>
      <c r="H16" s="10">
        <f>IF($E16=Keys!$C$60,Keys!$C$51,INDEX(Balanced_2025!$D$9:$D$3032,MATCH($A16&amp;Keys!$C$54&amp;Keys!$C$56&amp;Keys!$C$54&amp;$C16,Balanced_2025!$E$9:$E$3032,0)))</f>
        <v>0</v>
      </c>
      <c r="I16" s="10">
        <f>IF($E16=Keys!$C$60,Keys!$C$51,INDEX(Balanced_2025!$D$9:$D$3032,MATCH($A16&amp;Keys!$C$54&amp;Keys!$C$57&amp;Keys!$C$54&amp;$C16,Balanced_2025!$E$9:$E$3032,0)))</f>
        <v>17827800000000</v>
      </c>
      <c r="J16" s="10">
        <f t="shared" si="0"/>
        <v>11211200000000</v>
      </c>
      <c r="K16" s="10">
        <f>MAX(Keys!$C$51,$I16-$H16)</f>
        <v>17827800000000</v>
      </c>
      <c r="L16" s="10">
        <f t="shared" si="1"/>
        <v>29039000000000</v>
      </c>
      <c r="M16" s="11">
        <f>IF($L16&gt;Keys!$C$51,MIN(Keys!$C$52,$K16/$L16),Keys!$C$51)</f>
        <v>0.61392609938358755</v>
      </c>
      <c r="N16" s="11">
        <f>IF($E16=Keys!$C$60,Keys!$C$51,IF($E16=Keys!$C$59,$D16,$M16))</f>
        <v>0.61392609938358755</v>
      </c>
      <c r="O16">
        <f t="shared" si="2"/>
        <v>1</v>
      </c>
      <c r="P16" s="10">
        <f>IF($E16=Keys!$C$60,Keys!$C$51,INDEX(Raw_BFPIaE!$G$9:$G$3032,MATCH($A16&amp;Keys!$C$54&amp;Keys!$C$55&amp;Keys!$C$54&amp;$B16,Raw_BFPIaE!$H$9:$H$3032,0)))</f>
        <v>28804366666666.668</v>
      </c>
      <c r="Q16" s="10">
        <f>IF($E16=Keys!$C$60,Keys!$C$51,INDEX(Raw_BFPIaE!$G$9:$G$3032,MATCH($A16&amp;Keys!$C$54&amp;Keys!$C$56&amp;Keys!$C$54&amp;$B16,Raw_BFPIaE!$H$9:$H$3032,0)))</f>
        <v>0</v>
      </c>
      <c r="R16" s="10">
        <f>IF($E16=Keys!$C$60,Keys!$C$51,INDEX(Raw_BFPIaE!$G$9:$G$3032,MATCH($A16&amp;Keys!$C$54&amp;Keys!$C$57&amp;Keys!$C$54&amp;$B16,Raw_BFPIaE!$H$9:$H$3032,0)))</f>
        <v>12489886666666.666</v>
      </c>
      <c r="S16" s="11">
        <f>IF(($P16+$Q16-$R16+MAX(Keys!$C$51,$R16-$Q16))&gt;Keys!$C$51,MIN(Keys!$C$52,MAX(Keys!$C$51,$R16-$Q16)/($P16+$Q16-$R16+MAX(Keys!$C$51,$R16-$Q16))),Keys!$C$51)</f>
        <v>0.43361087612873506</v>
      </c>
      <c r="T16">
        <f>IF(AND($I16&gt;$H16,ABS($L16-$G16)&gt;MAX(Keys!$C$62,ABS($G16)*Keys!$C$63)),1,0)</f>
        <v>0</v>
      </c>
      <c r="U16">
        <f>IF(OR($N16&lt;Keys!$C$51,$N16&gt;Keys!$C$52),1,0)</f>
        <v>0</v>
      </c>
      <c r="V16">
        <f>IF(AND($E16=Keys!$C$60,$N16&lt;&gt;Keys!$C$51),1,0)</f>
        <v>0</v>
      </c>
      <c r="W16">
        <f>IF($L16&gt;Keys!$C$51,IF($K16/$L16&gt;Keys!$C$52,1,0),0)</f>
        <v>0</v>
      </c>
      <c r="X16" s="11">
        <f t="shared" si="3"/>
        <v>0.1803152232548525</v>
      </c>
    </row>
    <row r="17" spans="1:24" x14ac:dyDescent="0.25">
      <c r="A17" t="s">
        <v>58</v>
      </c>
      <c r="B17" t="s">
        <v>100</v>
      </c>
      <c r="C17">
        <f>VLOOKUP($B17,Keys!$F$2:$I$22,2,FALSE)</f>
        <v>0</v>
      </c>
      <c r="D17">
        <f>VLOOKUP($B17,Keys!$F$2:$I$22,3,FALSE)</f>
        <v>0</v>
      </c>
      <c r="E17" t="str">
        <f>VLOOKUP($B17,Keys!$F$2:$I$22,4,FALSE)</f>
        <v>zero</v>
      </c>
      <c r="F17" t="str">
        <f>$A17&amp;Keys!$C$54&amp;$B17</f>
        <v>AL|heat (not used in this variable)</v>
      </c>
      <c r="G17" s="10">
        <f>IF($E17=Keys!$C$60,Keys!$C$51,INDEX(Balanced_2025!$D$9:$D$3032,MATCH($A17&amp;Keys!$C$54&amp;Keys!$C$55&amp;Keys!$C$54&amp;$C17,Balanced_2025!$E$9:$E$3032,0)))</f>
        <v>0</v>
      </c>
      <c r="H17" s="10">
        <f>IF($E17=Keys!$C$60,Keys!$C$51,INDEX(Balanced_2025!$D$9:$D$3032,MATCH($A17&amp;Keys!$C$54&amp;Keys!$C$56&amp;Keys!$C$54&amp;$C17,Balanced_2025!$E$9:$E$3032,0)))</f>
        <v>0</v>
      </c>
      <c r="I17" s="10">
        <f>IF($E17=Keys!$C$60,Keys!$C$51,INDEX(Balanced_2025!$D$9:$D$3032,MATCH($A17&amp;Keys!$C$54&amp;Keys!$C$57&amp;Keys!$C$54&amp;$C17,Balanced_2025!$E$9:$E$3032,0)))</f>
        <v>0</v>
      </c>
      <c r="J17" s="10">
        <f t="shared" si="0"/>
        <v>0</v>
      </c>
      <c r="K17" s="10">
        <f>MAX(Keys!$C$51,$I17-$H17)</f>
        <v>0</v>
      </c>
      <c r="L17" s="10">
        <f t="shared" si="1"/>
        <v>0</v>
      </c>
      <c r="M17" s="11">
        <f>IF($L17&gt;Keys!$C$51,MIN(Keys!$C$52,$K17/$L17),Keys!$C$51)</f>
        <v>0</v>
      </c>
      <c r="N17" s="11">
        <f>IF($E17=Keys!$C$60,Keys!$C$51,IF($E17=Keys!$C$59,$D17,$M17))</f>
        <v>0</v>
      </c>
      <c r="O17">
        <f t="shared" si="2"/>
        <v>0</v>
      </c>
      <c r="P17" s="10">
        <f>IF($E17=Keys!$C$60,Keys!$C$51,INDEX(Raw_BFPIaE!$G$9:$G$3032,MATCH($A17&amp;Keys!$C$54&amp;Keys!$C$55&amp;Keys!$C$54&amp;$B17,Raw_BFPIaE!$H$9:$H$3032,0)))</f>
        <v>0</v>
      </c>
      <c r="Q17" s="10">
        <f>IF($E17=Keys!$C$60,Keys!$C$51,INDEX(Raw_BFPIaE!$G$9:$G$3032,MATCH($A17&amp;Keys!$C$54&amp;Keys!$C$56&amp;Keys!$C$54&amp;$B17,Raw_BFPIaE!$H$9:$H$3032,0)))</f>
        <v>0</v>
      </c>
      <c r="R17" s="10">
        <f>IF($E17=Keys!$C$60,Keys!$C$51,INDEX(Raw_BFPIaE!$G$9:$G$3032,MATCH($A17&amp;Keys!$C$54&amp;Keys!$C$57&amp;Keys!$C$54&amp;$B17,Raw_BFPIaE!$H$9:$H$3032,0)))</f>
        <v>0</v>
      </c>
      <c r="S17" s="11">
        <f>IF(($P17+$Q17-$R17+MAX(Keys!$C$51,$R17-$Q17))&gt;Keys!$C$51,MIN(Keys!$C$52,MAX(Keys!$C$51,$R17-$Q17)/($P17+$Q17-$R17+MAX(Keys!$C$51,$R17-$Q17))),Keys!$C$51)</f>
        <v>0</v>
      </c>
      <c r="T17">
        <f>IF(AND($I17&gt;$H17,ABS($L17-$G17)&gt;MAX(Keys!$C$62,ABS($G17)*Keys!$C$63)),1,0)</f>
        <v>0</v>
      </c>
      <c r="U17">
        <f>IF(OR($N17&lt;Keys!$C$51,$N17&gt;Keys!$C$52),1,0)</f>
        <v>0</v>
      </c>
      <c r="V17">
        <f>IF(AND($E17=Keys!$C$60,$N17&lt;&gt;Keys!$C$51),1,0)</f>
        <v>0</v>
      </c>
      <c r="W17">
        <f>IF($L17&gt;Keys!$C$51,IF($K17/$L17&gt;Keys!$C$52,1,0),0)</f>
        <v>0</v>
      </c>
      <c r="X17" s="11">
        <f t="shared" si="3"/>
        <v>0</v>
      </c>
    </row>
    <row r="18" spans="1:24" x14ac:dyDescent="0.25">
      <c r="A18" t="s">
        <v>58</v>
      </c>
      <c r="B18" t="s">
        <v>103</v>
      </c>
      <c r="C18">
        <f>VLOOKUP($B18,Keys!$F$2:$I$22,2,FALSE)</f>
        <v>0</v>
      </c>
      <c r="D18">
        <f>VLOOKUP($B18,Keys!$F$2:$I$22,3,FALSE)</f>
        <v>0</v>
      </c>
      <c r="E18" t="str">
        <f>VLOOKUP($B18,Keys!$F$2:$I$22,4,FALSE)</f>
        <v>zero</v>
      </c>
      <c r="F18" t="str">
        <f>$A18&amp;Keys!$C$54&amp;$B18</f>
        <v>AL|geothermal (is not a fuel)</v>
      </c>
      <c r="G18" s="10">
        <f>IF($E18=Keys!$C$60,Keys!$C$51,INDEX(Balanced_2025!$D$9:$D$3032,MATCH($A18&amp;Keys!$C$54&amp;Keys!$C$55&amp;Keys!$C$54&amp;$C18,Balanced_2025!$E$9:$E$3032,0)))</f>
        <v>0</v>
      </c>
      <c r="H18" s="10">
        <f>IF($E18=Keys!$C$60,Keys!$C$51,INDEX(Balanced_2025!$D$9:$D$3032,MATCH($A18&amp;Keys!$C$54&amp;Keys!$C$56&amp;Keys!$C$54&amp;$C18,Balanced_2025!$E$9:$E$3032,0)))</f>
        <v>0</v>
      </c>
      <c r="I18" s="10">
        <f>IF($E18=Keys!$C$60,Keys!$C$51,INDEX(Balanced_2025!$D$9:$D$3032,MATCH($A18&amp;Keys!$C$54&amp;Keys!$C$57&amp;Keys!$C$54&amp;$C18,Balanced_2025!$E$9:$E$3032,0)))</f>
        <v>0</v>
      </c>
      <c r="J18" s="10">
        <f t="shared" si="0"/>
        <v>0</v>
      </c>
      <c r="K18" s="10">
        <f>MAX(Keys!$C$51,$I18-$H18)</f>
        <v>0</v>
      </c>
      <c r="L18" s="10">
        <f t="shared" si="1"/>
        <v>0</v>
      </c>
      <c r="M18" s="11">
        <f>IF($L18&gt;Keys!$C$51,MIN(Keys!$C$52,$K18/$L18),Keys!$C$51)</f>
        <v>0</v>
      </c>
      <c r="N18" s="11">
        <f>IF($E18=Keys!$C$60,Keys!$C$51,IF($E18=Keys!$C$59,$D18,$M18))</f>
        <v>0</v>
      </c>
      <c r="O18">
        <f t="shared" si="2"/>
        <v>0</v>
      </c>
      <c r="P18" s="10">
        <f>IF($E18=Keys!$C$60,Keys!$C$51,INDEX(Raw_BFPIaE!$G$9:$G$3032,MATCH($A18&amp;Keys!$C$54&amp;Keys!$C$55&amp;Keys!$C$54&amp;$B18,Raw_BFPIaE!$H$9:$H$3032,0)))</f>
        <v>0</v>
      </c>
      <c r="Q18" s="10">
        <f>IF($E18=Keys!$C$60,Keys!$C$51,INDEX(Raw_BFPIaE!$G$9:$G$3032,MATCH($A18&amp;Keys!$C$54&amp;Keys!$C$56&amp;Keys!$C$54&amp;$B18,Raw_BFPIaE!$H$9:$H$3032,0)))</f>
        <v>0</v>
      </c>
      <c r="R18" s="10">
        <f>IF($E18=Keys!$C$60,Keys!$C$51,INDEX(Raw_BFPIaE!$G$9:$G$3032,MATCH($A18&amp;Keys!$C$54&amp;Keys!$C$57&amp;Keys!$C$54&amp;$B18,Raw_BFPIaE!$H$9:$H$3032,0)))</f>
        <v>0</v>
      </c>
      <c r="S18" s="11">
        <f>IF(($P18+$Q18-$R18+MAX(Keys!$C$51,$R18-$Q18))&gt;Keys!$C$51,MIN(Keys!$C$52,MAX(Keys!$C$51,$R18-$Q18)/($P18+$Q18-$R18+MAX(Keys!$C$51,$R18-$Q18))),Keys!$C$51)</f>
        <v>0</v>
      </c>
      <c r="T18">
        <f>IF(AND($I18&gt;$H18,ABS($L18-$G18)&gt;MAX(Keys!$C$62,ABS($G18)*Keys!$C$63)),1,0)</f>
        <v>0</v>
      </c>
      <c r="U18">
        <f>IF(OR($N18&lt;Keys!$C$51,$N18&gt;Keys!$C$52),1,0)</f>
        <v>0</v>
      </c>
      <c r="V18">
        <f>IF(AND($E18=Keys!$C$60,$N18&lt;&gt;Keys!$C$51),1,0)</f>
        <v>0</v>
      </c>
      <c r="W18">
        <f>IF($L18&gt;Keys!$C$51,IF($K18/$L18&gt;Keys!$C$52,1,0),0)</f>
        <v>0</v>
      </c>
      <c r="X18" s="11">
        <f t="shared" si="3"/>
        <v>0</v>
      </c>
    </row>
    <row r="19" spans="1:24" x14ac:dyDescent="0.25">
      <c r="A19" t="s">
        <v>58</v>
      </c>
      <c r="B19" t="s">
        <v>106</v>
      </c>
      <c r="C19" t="str">
        <f>VLOOKUP($B19,Keys!$F$2:$I$22,2,FALSE)</f>
        <v>lignite</v>
      </c>
      <c r="D19">
        <f>VLOOKUP($B19,Keys!$F$2:$I$22,3,FALSE)</f>
        <v>0</v>
      </c>
      <c r="E19" t="str">
        <f>VLOOKUP($B19,Keys!$F$2:$I$22,4,FALSE)</f>
        <v>rule</v>
      </c>
      <c r="F19" t="str">
        <f>$A19&amp;Keys!$C$54&amp;$B19</f>
        <v>AL|lignite</v>
      </c>
      <c r="G19" s="10">
        <f>IF($E19=Keys!$C$60,Keys!$C$51,INDEX(Balanced_2025!$D$9:$D$3032,MATCH($A19&amp;Keys!$C$54&amp;Keys!$C$55&amp;Keys!$C$54&amp;$C19,Balanced_2025!$E$9:$E$3032,0)))</f>
        <v>0</v>
      </c>
      <c r="H19" s="10">
        <f>IF($E19=Keys!$C$60,Keys!$C$51,INDEX(Balanced_2025!$D$9:$D$3032,MATCH($A19&amp;Keys!$C$54&amp;Keys!$C$56&amp;Keys!$C$54&amp;$C19,Balanced_2025!$E$9:$E$3032,0)))</f>
        <v>0</v>
      </c>
      <c r="I19" s="10">
        <f>IF($E19=Keys!$C$60,Keys!$C$51,INDEX(Balanced_2025!$D$9:$D$3032,MATCH($A19&amp;Keys!$C$54&amp;Keys!$C$57&amp;Keys!$C$54&amp;$C19,Balanced_2025!$E$9:$E$3032,0)))</f>
        <v>0</v>
      </c>
      <c r="J19" s="10">
        <f t="shared" si="0"/>
        <v>0</v>
      </c>
      <c r="K19" s="10">
        <f>MAX(Keys!$C$51,$I19-$H19)</f>
        <v>0</v>
      </c>
      <c r="L19" s="10">
        <f t="shared" si="1"/>
        <v>0</v>
      </c>
      <c r="M19" s="11">
        <f>IF($L19&gt;Keys!$C$51,MIN(Keys!$C$52,$K19/$L19),Keys!$C$51)</f>
        <v>0</v>
      </c>
      <c r="N19" s="11">
        <f>IF($E19=Keys!$C$60,Keys!$C$51,IF($E19=Keys!$C$59,$D19,$M19))</f>
        <v>0</v>
      </c>
      <c r="O19">
        <f t="shared" si="2"/>
        <v>0</v>
      </c>
      <c r="P19" s="10">
        <f>IF($E19=Keys!$C$60,Keys!$C$51,INDEX(Raw_BFPIaE!$G$9:$G$3032,MATCH($A19&amp;Keys!$C$54&amp;Keys!$C$55&amp;Keys!$C$54&amp;$B19,Raw_BFPIaE!$H$9:$H$3032,0)))</f>
        <v>0</v>
      </c>
      <c r="Q19" s="10">
        <f>IF($E19=Keys!$C$60,Keys!$C$51,INDEX(Raw_BFPIaE!$G$9:$G$3032,MATCH($A19&amp;Keys!$C$54&amp;Keys!$C$56&amp;Keys!$C$54&amp;$B19,Raw_BFPIaE!$H$9:$H$3032,0)))</f>
        <v>0</v>
      </c>
      <c r="R19" s="10">
        <f>IF($E19=Keys!$C$60,Keys!$C$51,INDEX(Raw_BFPIaE!$G$9:$G$3032,MATCH($A19&amp;Keys!$C$54&amp;Keys!$C$57&amp;Keys!$C$54&amp;$B19,Raw_BFPIaE!$H$9:$H$3032,0)))</f>
        <v>0</v>
      </c>
      <c r="S19" s="11">
        <f>IF(($P19+$Q19-$R19+MAX(Keys!$C$51,$R19-$Q19))&gt;Keys!$C$51,MIN(Keys!$C$52,MAX(Keys!$C$51,$R19-$Q19)/($P19+$Q19-$R19+MAX(Keys!$C$51,$R19-$Q19))),Keys!$C$51)</f>
        <v>0</v>
      </c>
      <c r="T19">
        <f>IF(AND($I19&gt;$H19,ABS($L19-$G19)&gt;MAX(Keys!$C$62,ABS($G19)*Keys!$C$63)),1,0)</f>
        <v>0</v>
      </c>
      <c r="U19">
        <f>IF(OR($N19&lt;Keys!$C$51,$N19&gt;Keys!$C$52),1,0)</f>
        <v>0</v>
      </c>
      <c r="V19">
        <f>IF(AND($E19=Keys!$C$60,$N19&lt;&gt;Keys!$C$51),1,0)</f>
        <v>0</v>
      </c>
      <c r="W19">
        <f>IF($L19&gt;Keys!$C$51,IF($K19/$L19&gt;Keys!$C$52,1,0),0)</f>
        <v>0</v>
      </c>
      <c r="X19" s="11">
        <f t="shared" si="3"/>
        <v>0</v>
      </c>
    </row>
    <row r="20" spans="1:24" x14ac:dyDescent="0.25">
      <c r="A20" t="s">
        <v>58</v>
      </c>
      <c r="B20" t="s">
        <v>109</v>
      </c>
      <c r="C20" t="str">
        <f>VLOOKUP($B20,Keys!$F$2:$I$22,2,FALSE)</f>
        <v>crude oil</v>
      </c>
      <c r="D20">
        <f>VLOOKUP($B20,Keys!$F$2:$I$22,3,FALSE)</f>
        <v>1</v>
      </c>
      <c r="E20" t="str">
        <f>VLOOKUP($B20,Keys!$F$2:$I$22,4,FALSE)</f>
        <v>hold</v>
      </c>
      <c r="F20" t="str">
        <f>$A20&amp;Keys!$C$54&amp;$B20</f>
        <v>AL|crude oil</v>
      </c>
      <c r="G20" s="10">
        <f>IF($E20=Keys!$C$60,Keys!$C$51,INDEX(Balanced_2025!$D$9:$D$3032,MATCH($A20&amp;Keys!$C$54&amp;Keys!$C$55&amp;Keys!$C$54&amp;$C20,Balanced_2025!$E$9:$E$3032,0)))</f>
        <v>19470600000000</v>
      </c>
      <c r="H20" s="10">
        <f>IF($E20=Keys!$C$60,Keys!$C$51,INDEX(Balanced_2025!$D$9:$D$3032,MATCH($A20&amp;Keys!$C$54&amp;Keys!$C$56&amp;Keys!$C$54&amp;$C20,Balanced_2025!$E$9:$E$3032,0)))</f>
        <v>258921000000000</v>
      </c>
      <c r="I20" s="10">
        <f>IF($E20=Keys!$C$60,Keys!$C$51,INDEX(Balanced_2025!$D$9:$D$3032,MATCH($A20&amp;Keys!$C$54&amp;Keys!$C$57&amp;Keys!$C$54&amp;$C20,Balanced_2025!$E$9:$E$3032,0)))</f>
        <v>0</v>
      </c>
      <c r="J20" s="10">
        <f t="shared" si="0"/>
        <v>278391600000000</v>
      </c>
      <c r="K20" s="10">
        <f>MAX(Keys!$C$51,$I20-$H20)</f>
        <v>0</v>
      </c>
      <c r="L20" s="10">
        <f t="shared" si="1"/>
        <v>278391600000000</v>
      </c>
      <c r="M20" s="11">
        <f>IF($L20&gt;Keys!$C$51,MIN(Keys!$C$52,$K20/$L20),Keys!$C$51)</f>
        <v>0</v>
      </c>
      <c r="N20" s="11">
        <f>IF($E20=Keys!$C$60,Keys!$C$51,IF($E20=Keys!$C$59,$D20,$M20))</f>
        <v>1</v>
      </c>
      <c r="O20">
        <f t="shared" si="2"/>
        <v>0</v>
      </c>
      <c r="P20" s="10">
        <f>IF($E20=Keys!$C$60,Keys!$C$51,INDEX(Raw_BFPIaE!$G$9:$G$3032,MATCH($A20&amp;Keys!$C$54&amp;Keys!$C$55&amp;Keys!$C$54&amp;$B20,Raw_BFPIaE!$H$9:$H$3032,0)))</f>
        <v>19091533333333.332</v>
      </c>
      <c r="Q20" s="10">
        <f>IF($E20=Keys!$C$60,Keys!$C$51,INDEX(Raw_BFPIaE!$G$9:$G$3032,MATCH($A20&amp;Keys!$C$54&amp;Keys!$C$56&amp;Keys!$C$54&amp;$B20,Raw_BFPIaE!$H$9:$H$3032,0)))</f>
        <v>172993333333333.34</v>
      </c>
      <c r="R20" s="10">
        <f>IF($E20=Keys!$C$60,Keys!$C$51,INDEX(Raw_BFPIaE!$G$9:$G$3032,MATCH($A20&amp;Keys!$C$54&amp;Keys!$C$57&amp;Keys!$C$54&amp;$B20,Raw_BFPIaE!$H$9:$H$3032,0)))</f>
        <v>0</v>
      </c>
      <c r="S20" s="11">
        <f>IF(($P20+$Q20-$R20+MAX(Keys!$C$51,$R20-$Q20))&gt;Keys!$C$51,MIN(Keys!$C$52,MAX(Keys!$C$51,$R20-$Q20)/($P20+$Q20-$R20+MAX(Keys!$C$51,$R20-$Q20))),Keys!$C$51)</f>
        <v>0</v>
      </c>
      <c r="T20">
        <f>IF(AND($I20&gt;$H20,ABS($L20-$G20)&gt;MAX(Keys!$C$62,ABS($G20)*Keys!$C$63)),1,0)</f>
        <v>0</v>
      </c>
      <c r="U20">
        <f>IF(OR($N20&lt;Keys!$C$51,$N20&gt;Keys!$C$52),1,0)</f>
        <v>0</v>
      </c>
      <c r="V20">
        <f>IF(AND($E20=Keys!$C$60,$N20&lt;&gt;Keys!$C$51),1,0)</f>
        <v>0</v>
      </c>
      <c r="W20">
        <f>IF($L20&gt;Keys!$C$51,IF($K20/$L20&gt;Keys!$C$52,1,0),0)</f>
        <v>0</v>
      </c>
      <c r="X20" s="11">
        <f t="shared" si="3"/>
        <v>0</v>
      </c>
    </row>
    <row r="21" spans="1:24" x14ac:dyDescent="0.25">
      <c r="A21" t="s">
        <v>58</v>
      </c>
      <c r="B21" t="s">
        <v>113</v>
      </c>
      <c r="C21" t="str">
        <f>VLOOKUP($B21,Keys!$F$2:$I$22,2,FALSE)</f>
        <v>heavy or residual fuel oil</v>
      </c>
      <c r="D21">
        <f>VLOOKUP($B21,Keys!$F$2:$I$22,3,FALSE)</f>
        <v>0.49914171099999999</v>
      </c>
      <c r="E21" t="str">
        <f>VLOOKUP($B21,Keys!$F$2:$I$22,4,FALSE)</f>
        <v>rule</v>
      </c>
      <c r="F21" t="str">
        <f>$A21&amp;Keys!$C$54&amp;$B21</f>
        <v>AL|heavy fuel oil</v>
      </c>
      <c r="G21" s="10">
        <f>IF($E21=Keys!$C$60,Keys!$C$51,INDEX(Balanced_2025!$D$9:$D$3032,MATCH($A21&amp;Keys!$C$54&amp;Keys!$C$55&amp;Keys!$C$54&amp;$C21,Balanced_2025!$E$9:$E$3032,0)))</f>
        <v>5640910000000</v>
      </c>
      <c r="H21" s="10">
        <f>IF($E21=Keys!$C$60,Keys!$C$51,INDEX(Balanced_2025!$D$9:$D$3032,MATCH($A21&amp;Keys!$C$54&amp;Keys!$C$56&amp;Keys!$C$54&amp;$C21,Balanced_2025!$E$9:$E$3032,0)))</f>
        <v>17288700000000</v>
      </c>
      <c r="I21" s="10">
        <f>IF($E21=Keys!$C$60,Keys!$C$51,INDEX(Balanced_2025!$D$9:$D$3032,MATCH($A21&amp;Keys!$C$54&amp;Keys!$C$57&amp;Keys!$C$54&amp;$C21,Balanced_2025!$E$9:$E$3032,0)))</f>
        <v>2028150000000</v>
      </c>
      <c r="J21" s="10">
        <f t="shared" si="0"/>
        <v>20901460000000</v>
      </c>
      <c r="K21" s="10">
        <f>MAX(Keys!$C$51,$I21-$H21)</f>
        <v>0</v>
      </c>
      <c r="L21" s="10">
        <f t="shared" si="1"/>
        <v>20901460000000</v>
      </c>
      <c r="M21" s="11">
        <f>IF($L21&gt;Keys!$C$51,MIN(Keys!$C$52,$K21/$L21),Keys!$C$51)</f>
        <v>0</v>
      </c>
      <c r="N21" s="11">
        <f>IF($E21=Keys!$C$60,Keys!$C$51,IF($E21=Keys!$C$59,$D21,$M21))</f>
        <v>0</v>
      </c>
      <c r="O21">
        <f t="shared" si="2"/>
        <v>1</v>
      </c>
      <c r="P21" s="10">
        <f>IF($E21=Keys!$C$60,Keys!$C$51,INDEX(Raw_BFPIaE!$G$9:$G$3032,MATCH($A21&amp;Keys!$C$54&amp;Keys!$C$55&amp;Keys!$C$54&amp;$B21,Raw_BFPIaE!$H$9:$H$3032,0)))</f>
        <v>5595336666666.667</v>
      </c>
      <c r="Q21" s="10">
        <f>IF($E21=Keys!$C$60,Keys!$C$51,INDEX(Raw_BFPIaE!$G$9:$G$3032,MATCH($A21&amp;Keys!$C$54&amp;Keys!$C$56&amp;Keys!$C$54&amp;$B21,Raw_BFPIaE!$H$9:$H$3032,0)))</f>
        <v>11697500000000</v>
      </c>
      <c r="R21" s="10">
        <f>IF($E21=Keys!$C$60,Keys!$C$51,INDEX(Raw_BFPIaE!$G$9:$G$3032,MATCH($A21&amp;Keys!$C$54&amp;Keys!$C$57&amp;Keys!$C$54&amp;$B21,Raw_BFPIaE!$H$9:$H$3032,0)))</f>
        <v>2011763333333.3333</v>
      </c>
      <c r="S21" s="11">
        <f>IF(($P21+$Q21-$R21+MAX(Keys!$C$51,$R21-$Q21))&gt;Keys!$C$51,MIN(Keys!$C$52,MAX(Keys!$C$51,$R21-$Q21)/($P21+$Q21-$R21+MAX(Keys!$C$51,$R21-$Q21))),Keys!$C$51)</f>
        <v>0</v>
      </c>
      <c r="T21">
        <f>IF(AND($I21&gt;$H21,ABS($L21-$G21)&gt;MAX(Keys!$C$62,ABS($G21)*Keys!$C$63)),1,0)</f>
        <v>0</v>
      </c>
      <c r="U21">
        <f>IF(OR($N21&lt;Keys!$C$51,$N21&gt;Keys!$C$52),1,0)</f>
        <v>0</v>
      </c>
      <c r="V21">
        <f>IF(AND($E21=Keys!$C$60,$N21&lt;&gt;Keys!$C$51),1,0)</f>
        <v>0</v>
      </c>
      <c r="W21">
        <f>IF($L21&gt;Keys!$C$51,IF($K21/$L21&gt;Keys!$C$52,1,0),0)</f>
        <v>0</v>
      </c>
      <c r="X21" s="11">
        <f t="shared" si="3"/>
        <v>0</v>
      </c>
    </row>
    <row r="22" spans="1:24" x14ac:dyDescent="0.25">
      <c r="A22" t="s">
        <v>58</v>
      </c>
      <c r="B22" t="s">
        <v>117</v>
      </c>
      <c r="C22" t="str">
        <f>VLOOKUP($B22,Keys!$F$2:$I$22,2,FALSE)</f>
        <v>LPG propane or butane</v>
      </c>
      <c r="D22">
        <f>VLOOKUP($B22,Keys!$F$2:$I$22,3,FALSE)</f>
        <v>0.54955999499999997</v>
      </c>
      <c r="E22" t="str">
        <f>VLOOKUP($B22,Keys!$F$2:$I$22,4,FALSE)</f>
        <v>rule</v>
      </c>
      <c r="F22" t="str">
        <f>$A22&amp;Keys!$C$54&amp;$B22</f>
        <v>AL|LPG propane or butane</v>
      </c>
      <c r="G22" s="10">
        <f>IF($E22=Keys!$C$60,Keys!$C$51,INDEX(Balanced_2025!$D$9:$D$3032,MATCH($A22&amp;Keys!$C$54&amp;Keys!$C$55&amp;Keys!$C$54&amp;$C22,Balanced_2025!$E$9:$E$3032,0)))</f>
        <v>9367740000000</v>
      </c>
      <c r="H22" s="10">
        <f>IF($E22=Keys!$C$60,Keys!$C$51,INDEX(Balanced_2025!$D$9:$D$3032,MATCH($A22&amp;Keys!$C$54&amp;Keys!$C$56&amp;Keys!$C$54&amp;$C22,Balanced_2025!$E$9:$E$3032,0)))</f>
        <v>525808000000</v>
      </c>
      <c r="I22" s="10">
        <f>IF($E22=Keys!$C$60,Keys!$C$51,INDEX(Balanced_2025!$D$9:$D$3032,MATCH($A22&amp;Keys!$C$54&amp;Keys!$C$57&amp;Keys!$C$54&amp;$C22,Balanced_2025!$E$9:$E$3032,0)))</f>
        <v>0</v>
      </c>
      <c r="J22" s="10">
        <f t="shared" si="0"/>
        <v>9893548000000</v>
      </c>
      <c r="K22" s="10">
        <f>MAX(Keys!$C$51,$I22-$H22)</f>
        <v>0</v>
      </c>
      <c r="L22" s="10">
        <f t="shared" si="1"/>
        <v>9893548000000</v>
      </c>
      <c r="M22" s="11">
        <f>IF($L22&gt;Keys!$C$51,MIN(Keys!$C$52,$K22/$L22),Keys!$C$51)</f>
        <v>0</v>
      </c>
      <c r="N22" s="11">
        <f>IF($E22=Keys!$C$60,Keys!$C$51,IF($E22=Keys!$C$59,$D22,$M22))</f>
        <v>0</v>
      </c>
      <c r="O22">
        <f t="shared" si="2"/>
        <v>1</v>
      </c>
      <c r="P22" s="10">
        <f>IF($E22=Keys!$C$60,Keys!$C$51,INDEX(Raw_BFPIaE!$G$9:$G$3032,MATCH($A22&amp;Keys!$C$54&amp;Keys!$C$55&amp;Keys!$C$54&amp;$B22,Raw_BFPIaE!$H$9:$H$3032,0)))</f>
        <v>9434043333333.334</v>
      </c>
      <c r="Q22" s="10">
        <f>IF($E22=Keys!$C$60,Keys!$C$51,INDEX(Raw_BFPIaE!$G$9:$G$3032,MATCH($A22&amp;Keys!$C$54&amp;Keys!$C$56&amp;Keys!$C$54&amp;$B22,Raw_BFPIaE!$H$9:$H$3032,0)))</f>
        <v>262338000000</v>
      </c>
      <c r="R22" s="10">
        <f>IF($E22=Keys!$C$60,Keys!$C$51,INDEX(Raw_BFPIaE!$G$9:$G$3032,MATCH($A22&amp;Keys!$C$54&amp;Keys!$C$57&amp;Keys!$C$54&amp;$B22,Raw_BFPIaE!$H$9:$H$3032,0)))</f>
        <v>0</v>
      </c>
      <c r="S22" s="11">
        <f>IF(($P22+$Q22-$R22+MAX(Keys!$C$51,$R22-$Q22))&gt;Keys!$C$51,MIN(Keys!$C$52,MAX(Keys!$C$51,$R22-$Q22)/($P22+$Q22-$R22+MAX(Keys!$C$51,$R22-$Q22))),Keys!$C$51)</f>
        <v>0</v>
      </c>
      <c r="T22">
        <f>IF(AND($I22&gt;$H22,ABS($L22-$G22)&gt;MAX(Keys!$C$62,ABS($G22)*Keys!$C$63)),1,0)</f>
        <v>0</v>
      </c>
      <c r="U22">
        <f>IF(OR($N22&lt;Keys!$C$51,$N22&gt;Keys!$C$52),1,0)</f>
        <v>0</v>
      </c>
      <c r="V22">
        <f>IF(AND($E22=Keys!$C$60,$N22&lt;&gt;Keys!$C$51),1,0)</f>
        <v>0</v>
      </c>
      <c r="W22">
        <f>IF($L22&gt;Keys!$C$51,IF($K22/$L22&gt;Keys!$C$52,1,0),0)</f>
        <v>0</v>
      </c>
      <c r="X22" s="11">
        <f t="shared" si="3"/>
        <v>0</v>
      </c>
    </row>
    <row r="23" spans="1:24" x14ac:dyDescent="0.25">
      <c r="A23" t="s">
        <v>58</v>
      </c>
      <c r="B23" t="s">
        <v>120</v>
      </c>
      <c r="C23">
        <f>VLOOKUP($B23,Keys!$F$2:$I$22,2,FALSE)</f>
        <v>0</v>
      </c>
      <c r="D23">
        <f>VLOOKUP($B23,Keys!$F$2:$I$22,3,FALSE)</f>
        <v>0</v>
      </c>
      <c r="E23" t="str">
        <f>VLOOKUP($B23,Keys!$F$2:$I$22,4,FALSE)</f>
        <v>zero</v>
      </c>
      <c r="F23" t="str">
        <f>$A23&amp;Keys!$C$54&amp;$B23</f>
        <v>AL|municipal solid waste</v>
      </c>
      <c r="G23" s="10">
        <f>IF($E23=Keys!$C$60,Keys!$C$51,INDEX(Balanced_2025!$D$9:$D$3032,MATCH($A23&amp;Keys!$C$54&amp;Keys!$C$55&amp;Keys!$C$54&amp;$C23,Balanced_2025!$E$9:$E$3032,0)))</f>
        <v>0</v>
      </c>
      <c r="H23" s="10">
        <f>IF($E23=Keys!$C$60,Keys!$C$51,INDEX(Balanced_2025!$D$9:$D$3032,MATCH($A23&amp;Keys!$C$54&amp;Keys!$C$56&amp;Keys!$C$54&amp;$C23,Balanced_2025!$E$9:$E$3032,0)))</f>
        <v>0</v>
      </c>
      <c r="I23" s="10">
        <f>IF($E23=Keys!$C$60,Keys!$C$51,INDEX(Balanced_2025!$D$9:$D$3032,MATCH($A23&amp;Keys!$C$54&amp;Keys!$C$57&amp;Keys!$C$54&amp;$C23,Balanced_2025!$E$9:$E$3032,0)))</f>
        <v>0</v>
      </c>
      <c r="J23" s="10">
        <f t="shared" si="0"/>
        <v>0</v>
      </c>
      <c r="K23" s="10">
        <f>MAX(Keys!$C$51,$I23-$H23)</f>
        <v>0</v>
      </c>
      <c r="L23" s="10">
        <f t="shared" si="1"/>
        <v>0</v>
      </c>
      <c r="M23" s="11">
        <f>IF($L23&gt;Keys!$C$51,MIN(Keys!$C$52,$K23/$L23),Keys!$C$51)</f>
        <v>0</v>
      </c>
      <c r="N23" s="11">
        <f>IF($E23=Keys!$C$60,Keys!$C$51,IF($E23=Keys!$C$59,$D23,$M23))</f>
        <v>0</v>
      </c>
      <c r="O23">
        <f t="shared" si="2"/>
        <v>0</v>
      </c>
      <c r="P23" s="10">
        <f>IF($E23=Keys!$C$60,Keys!$C$51,INDEX(Raw_BFPIaE!$G$9:$G$3032,MATCH($A23&amp;Keys!$C$54&amp;Keys!$C$55&amp;Keys!$C$54&amp;$B23,Raw_BFPIaE!$H$9:$H$3032,0)))</f>
        <v>0</v>
      </c>
      <c r="Q23" s="10">
        <f>IF($E23=Keys!$C$60,Keys!$C$51,INDEX(Raw_BFPIaE!$G$9:$G$3032,MATCH($A23&amp;Keys!$C$54&amp;Keys!$C$56&amp;Keys!$C$54&amp;$B23,Raw_BFPIaE!$H$9:$H$3032,0)))</f>
        <v>0</v>
      </c>
      <c r="R23" s="10">
        <f>IF($E23=Keys!$C$60,Keys!$C$51,INDEX(Raw_BFPIaE!$G$9:$G$3032,MATCH($A23&amp;Keys!$C$54&amp;Keys!$C$57&amp;Keys!$C$54&amp;$B23,Raw_BFPIaE!$H$9:$H$3032,0)))</f>
        <v>0</v>
      </c>
      <c r="S23" s="11">
        <f>IF(($P23+$Q23-$R23+MAX(Keys!$C$51,$R23-$Q23))&gt;Keys!$C$51,MIN(Keys!$C$52,MAX(Keys!$C$51,$R23-$Q23)/($P23+$Q23-$R23+MAX(Keys!$C$51,$R23-$Q23))),Keys!$C$51)</f>
        <v>0</v>
      </c>
      <c r="T23">
        <f>IF(AND($I23&gt;$H23,ABS($L23-$G23)&gt;MAX(Keys!$C$62,ABS($G23)*Keys!$C$63)),1,0)</f>
        <v>0</v>
      </c>
      <c r="U23">
        <f>IF(OR($N23&lt;Keys!$C$51,$N23&gt;Keys!$C$52),1,0)</f>
        <v>0</v>
      </c>
      <c r="V23">
        <f>IF(AND($E23=Keys!$C$60,$N23&lt;&gt;Keys!$C$51),1,0)</f>
        <v>0</v>
      </c>
      <c r="W23">
        <f>IF($L23&gt;Keys!$C$51,IF($K23/$L23&gt;Keys!$C$52,1,0),0)</f>
        <v>0</v>
      </c>
      <c r="X23" s="11">
        <f t="shared" si="3"/>
        <v>0</v>
      </c>
    </row>
    <row r="24" spans="1:24" x14ac:dyDescent="0.25">
      <c r="A24" t="s">
        <v>58</v>
      </c>
      <c r="B24" t="s">
        <v>123</v>
      </c>
      <c r="C24">
        <f>VLOOKUP($B24,Keys!$F$2:$I$22,2,FALSE)</f>
        <v>0</v>
      </c>
      <c r="D24">
        <f>VLOOKUP($B24,Keys!$F$2:$I$22,3,FALSE)</f>
        <v>0</v>
      </c>
      <c r="E24" t="str">
        <f>VLOOKUP($B24,Keys!$F$2:$I$22,4,FALSE)</f>
        <v>zero</v>
      </c>
      <c r="F24" t="str">
        <f>$A24&amp;Keys!$C$54&amp;$B24</f>
        <v>AL|hydrogen</v>
      </c>
      <c r="G24" s="10">
        <f>IF($E24=Keys!$C$60,Keys!$C$51,INDEX(Balanced_2025!$D$9:$D$3032,MATCH($A24&amp;Keys!$C$54&amp;Keys!$C$55&amp;Keys!$C$54&amp;$C24,Balanced_2025!$E$9:$E$3032,0)))</f>
        <v>0</v>
      </c>
      <c r="H24" s="10">
        <f>IF($E24=Keys!$C$60,Keys!$C$51,INDEX(Balanced_2025!$D$9:$D$3032,MATCH($A24&amp;Keys!$C$54&amp;Keys!$C$56&amp;Keys!$C$54&amp;$C24,Balanced_2025!$E$9:$E$3032,0)))</f>
        <v>0</v>
      </c>
      <c r="I24" s="10">
        <f>IF($E24=Keys!$C$60,Keys!$C$51,INDEX(Balanced_2025!$D$9:$D$3032,MATCH($A24&amp;Keys!$C$54&amp;Keys!$C$57&amp;Keys!$C$54&amp;$C24,Balanced_2025!$E$9:$E$3032,0)))</f>
        <v>0</v>
      </c>
      <c r="J24" s="10">
        <f t="shared" si="0"/>
        <v>0</v>
      </c>
      <c r="K24" s="10">
        <f>MAX(Keys!$C$51,$I24-$H24)</f>
        <v>0</v>
      </c>
      <c r="L24" s="10">
        <f t="shared" si="1"/>
        <v>0</v>
      </c>
      <c r="M24" s="11">
        <f>IF($L24&gt;Keys!$C$51,MIN(Keys!$C$52,$K24/$L24),Keys!$C$51)</f>
        <v>0</v>
      </c>
      <c r="N24" s="11">
        <f>IF($E24=Keys!$C$60,Keys!$C$51,IF($E24=Keys!$C$59,$D24,$M24))</f>
        <v>0</v>
      </c>
      <c r="O24">
        <f t="shared" si="2"/>
        <v>0</v>
      </c>
      <c r="P24" s="10">
        <f>IF($E24=Keys!$C$60,Keys!$C$51,INDEX(Raw_BFPIaE!$G$9:$G$3032,MATCH($A24&amp;Keys!$C$54&amp;Keys!$C$55&amp;Keys!$C$54&amp;$B24,Raw_BFPIaE!$H$9:$H$3032,0)))</f>
        <v>0</v>
      </c>
      <c r="Q24" s="10">
        <f>IF($E24=Keys!$C$60,Keys!$C$51,INDEX(Raw_BFPIaE!$G$9:$G$3032,MATCH($A24&amp;Keys!$C$54&amp;Keys!$C$56&amp;Keys!$C$54&amp;$B24,Raw_BFPIaE!$H$9:$H$3032,0)))</f>
        <v>0</v>
      </c>
      <c r="R24" s="10">
        <f>IF($E24=Keys!$C$60,Keys!$C$51,INDEX(Raw_BFPIaE!$G$9:$G$3032,MATCH($A24&amp;Keys!$C$54&amp;Keys!$C$57&amp;Keys!$C$54&amp;$B24,Raw_BFPIaE!$H$9:$H$3032,0)))</f>
        <v>0</v>
      </c>
      <c r="S24" s="11">
        <f>IF(($P24+$Q24-$R24+MAX(Keys!$C$51,$R24-$Q24))&gt;Keys!$C$51,MIN(Keys!$C$52,MAX(Keys!$C$51,$R24-$Q24)/($P24+$Q24-$R24+MAX(Keys!$C$51,$R24-$Q24))),Keys!$C$51)</f>
        <v>0</v>
      </c>
      <c r="T24">
        <f>IF(AND($I24&gt;$H24,ABS($L24-$G24)&gt;MAX(Keys!$C$62,ABS($G24)*Keys!$C$63)),1,0)</f>
        <v>0</v>
      </c>
      <c r="U24">
        <f>IF(OR($N24&lt;Keys!$C$51,$N24&gt;Keys!$C$52),1,0)</f>
        <v>0</v>
      </c>
      <c r="V24">
        <f>IF(AND($E24=Keys!$C$60,$N24&lt;&gt;Keys!$C$51),1,0)</f>
        <v>0</v>
      </c>
      <c r="W24">
        <f>IF($L24&gt;Keys!$C$51,IF($K24/$L24&gt;Keys!$C$52,1,0),0)</f>
        <v>0</v>
      </c>
      <c r="X24" s="11">
        <f t="shared" si="3"/>
        <v>0</v>
      </c>
    </row>
    <row r="25" spans="1:24" x14ac:dyDescent="0.25">
      <c r="A25" t="s">
        <v>63</v>
      </c>
      <c r="B25" t="s">
        <v>60</v>
      </c>
      <c r="C25">
        <f>VLOOKUP($B25,Keys!$F$2:$I$22,2,FALSE)</f>
        <v>0</v>
      </c>
      <c r="D25">
        <f>VLOOKUP($B25,Keys!$F$2:$I$22,3,FALSE)</f>
        <v>0</v>
      </c>
      <c r="E25" t="str">
        <f>VLOOKUP($B25,Keys!$F$2:$I$22,4,FALSE)</f>
        <v>zero</v>
      </c>
      <c r="F25" t="str">
        <f>$A25&amp;Keys!$C$54&amp;$B25</f>
        <v>AR|electricity (not used in this variable)</v>
      </c>
      <c r="G25" s="10">
        <f>IF($E25=Keys!$C$60,Keys!$C$51,INDEX(Balanced_2025!$D$9:$D$3032,MATCH($A25&amp;Keys!$C$54&amp;Keys!$C$55&amp;Keys!$C$54&amp;$C25,Balanced_2025!$E$9:$E$3032,0)))</f>
        <v>0</v>
      </c>
      <c r="H25" s="10">
        <f>IF($E25=Keys!$C$60,Keys!$C$51,INDEX(Balanced_2025!$D$9:$D$3032,MATCH($A25&amp;Keys!$C$54&amp;Keys!$C$56&amp;Keys!$C$54&amp;$C25,Balanced_2025!$E$9:$E$3032,0)))</f>
        <v>0</v>
      </c>
      <c r="I25" s="10">
        <f>IF($E25=Keys!$C$60,Keys!$C$51,INDEX(Balanced_2025!$D$9:$D$3032,MATCH($A25&amp;Keys!$C$54&amp;Keys!$C$57&amp;Keys!$C$54&amp;$C25,Balanced_2025!$E$9:$E$3032,0)))</f>
        <v>0</v>
      </c>
      <c r="J25" s="10">
        <f t="shared" si="0"/>
        <v>0</v>
      </c>
      <c r="K25" s="10">
        <f>MAX(Keys!$C$51,$I25-$H25)</f>
        <v>0</v>
      </c>
      <c r="L25" s="10">
        <f t="shared" si="1"/>
        <v>0</v>
      </c>
      <c r="M25" s="11">
        <f>IF($L25&gt;Keys!$C$51,MIN(Keys!$C$52,$K25/$L25),Keys!$C$51)</f>
        <v>0</v>
      </c>
      <c r="N25" s="11">
        <f>IF($E25=Keys!$C$60,Keys!$C$51,IF($E25=Keys!$C$59,$D25,$M25))</f>
        <v>0</v>
      </c>
      <c r="O25">
        <f t="shared" si="2"/>
        <v>0</v>
      </c>
      <c r="P25" s="10">
        <f>IF($E25=Keys!$C$60,Keys!$C$51,INDEX(Raw_BFPIaE!$G$9:$G$3032,MATCH($A25&amp;Keys!$C$54&amp;Keys!$C$55&amp;Keys!$C$54&amp;$B25,Raw_BFPIaE!$H$9:$H$3032,0)))</f>
        <v>0</v>
      </c>
      <c r="Q25" s="10">
        <f>IF($E25=Keys!$C$60,Keys!$C$51,INDEX(Raw_BFPIaE!$G$9:$G$3032,MATCH($A25&amp;Keys!$C$54&amp;Keys!$C$56&amp;Keys!$C$54&amp;$B25,Raw_BFPIaE!$H$9:$H$3032,0)))</f>
        <v>0</v>
      </c>
      <c r="R25" s="10">
        <f>IF($E25=Keys!$C$60,Keys!$C$51,INDEX(Raw_BFPIaE!$G$9:$G$3032,MATCH($A25&amp;Keys!$C$54&amp;Keys!$C$57&amp;Keys!$C$54&amp;$B25,Raw_BFPIaE!$H$9:$H$3032,0)))</f>
        <v>0</v>
      </c>
      <c r="S25" s="11">
        <f>IF(($P25+$Q25-$R25+MAX(Keys!$C$51,$R25-$Q25))&gt;Keys!$C$51,MIN(Keys!$C$52,MAX(Keys!$C$51,$R25-$Q25)/($P25+$Q25-$R25+MAX(Keys!$C$51,$R25-$Q25))),Keys!$C$51)</f>
        <v>0</v>
      </c>
      <c r="T25">
        <f>IF(AND($I25&gt;$H25,ABS($L25-$G25)&gt;MAX(Keys!$C$62,ABS($G25)*Keys!$C$63)),1,0)</f>
        <v>0</v>
      </c>
      <c r="U25">
        <f>IF(OR($N25&lt;Keys!$C$51,$N25&gt;Keys!$C$52),1,0)</f>
        <v>0</v>
      </c>
      <c r="V25">
        <f>IF(AND($E25=Keys!$C$60,$N25&lt;&gt;Keys!$C$51),1,0)</f>
        <v>0</v>
      </c>
      <c r="W25">
        <f>IF($L25&gt;Keys!$C$51,IF($K25/$L25&gt;Keys!$C$52,1,0),0)</f>
        <v>0</v>
      </c>
      <c r="X25" s="11">
        <f t="shared" si="3"/>
        <v>0</v>
      </c>
    </row>
    <row r="26" spans="1:24" x14ac:dyDescent="0.25">
      <c r="A26" t="s">
        <v>63</v>
      </c>
      <c r="B26" t="s">
        <v>64</v>
      </c>
      <c r="C26" t="str">
        <f>VLOOKUP($B26,Keys!$F$2:$I$22,2,FALSE)</f>
        <v>hard coal</v>
      </c>
      <c r="D26">
        <f>VLOOKUP($B26,Keys!$F$2:$I$22,3,FALSE)</f>
        <v>0.137539879</v>
      </c>
      <c r="E26" t="str">
        <f>VLOOKUP($B26,Keys!$F$2:$I$22,4,FALSE)</f>
        <v>rule</v>
      </c>
      <c r="F26" t="str">
        <f>$A26&amp;Keys!$C$54&amp;$B26</f>
        <v>AR|hard coal</v>
      </c>
      <c r="G26" s="10">
        <f>IF($E26=Keys!$C$60,Keys!$C$51,INDEX(Balanced_2025!$D$9:$D$3032,MATCH($A26&amp;Keys!$C$54&amp;Keys!$C$55&amp;Keys!$C$54&amp;$C26,Balanced_2025!$E$9:$E$3032,0)))</f>
        <v>0</v>
      </c>
      <c r="H26" s="10">
        <f>IF($E26=Keys!$C$60,Keys!$C$51,INDEX(Balanced_2025!$D$9:$D$3032,MATCH($A26&amp;Keys!$C$54&amp;Keys!$C$56&amp;Keys!$C$54&amp;$C26,Balanced_2025!$E$9:$E$3032,0)))</f>
        <v>285609000000000</v>
      </c>
      <c r="I26" s="10">
        <f>IF($E26=Keys!$C$60,Keys!$C$51,INDEX(Balanced_2025!$D$9:$D$3032,MATCH($A26&amp;Keys!$C$54&amp;Keys!$C$57&amp;Keys!$C$54&amp;$C26,Balanced_2025!$E$9:$E$3032,0)))</f>
        <v>0</v>
      </c>
      <c r="J26" s="10">
        <f t="shared" si="0"/>
        <v>285609000000000</v>
      </c>
      <c r="K26" s="10">
        <f>MAX(Keys!$C$51,$I26-$H26)</f>
        <v>0</v>
      </c>
      <c r="L26" s="10">
        <f t="shared" si="1"/>
        <v>285609000000000</v>
      </c>
      <c r="M26" s="11">
        <f>IF($L26&gt;Keys!$C$51,MIN(Keys!$C$52,$K26/$L26),Keys!$C$51)</f>
        <v>0</v>
      </c>
      <c r="N26" s="11">
        <f>IF($E26=Keys!$C$60,Keys!$C$51,IF($E26=Keys!$C$59,$D26,$M26))</f>
        <v>0</v>
      </c>
      <c r="O26">
        <f t="shared" si="2"/>
        <v>1</v>
      </c>
      <c r="P26" s="10">
        <f>IF($E26=Keys!$C$60,Keys!$C$51,INDEX(Raw_BFPIaE!$G$9:$G$3032,MATCH($A26&amp;Keys!$C$54&amp;Keys!$C$55&amp;Keys!$C$54&amp;$B26,Raw_BFPIaE!$H$9:$H$3032,0)))</f>
        <v>0</v>
      </c>
      <c r="Q26" s="10">
        <f>IF($E26=Keys!$C$60,Keys!$C$51,INDEX(Raw_BFPIaE!$G$9:$G$3032,MATCH($A26&amp;Keys!$C$54&amp;Keys!$C$56&amp;Keys!$C$54&amp;$B26,Raw_BFPIaE!$H$9:$H$3032,0)))</f>
        <v>213376333333333.34</v>
      </c>
      <c r="R26" s="10">
        <f>IF($E26=Keys!$C$60,Keys!$C$51,INDEX(Raw_BFPIaE!$G$9:$G$3032,MATCH($A26&amp;Keys!$C$54&amp;Keys!$C$57&amp;Keys!$C$54&amp;$B26,Raw_BFPIaE!$H$9:$H$3032,0)))</f>
        <v>0</v>
      </c>
      <c r="S26" s="11">
        <f>IF(($P26+$Q26-$R26+MAX(Keys!$C$51,$R26-$Q26))&gt;Keys!$C$51,MIN(Keys!$C$52,MAX(Keys!$C$51,$R26-$Q26)/($P26+$Q26-$R26+MAX(Keys!$C$51,$R26-$Q26))),Keys!$C$51)</f>
        <v>0</v>
      </c>
      <c r="T26">
        <f>IF(AND($I26&gt;$H26,ABS($L26-$G26)&gt;MAX(Keys!$C$62,ABS($G26)*Keys!$C$63)),1,0)</f>
        <v>0</v>
      </c>
      <c r="U26">
        <f>IF(OR($N26&lt;Keys!$C$51,$N26&gt;Keys!$C$52),1,0)</f>
        <v>0</v>
      </c>
      <c r="V26">
        <f>IF(AND($E26=Keys!$C$60,$N26&lt;&gt;Keys!$C$51),1,0)</f>
        <v>0</v>
      </c>
      <c r="W26">
        <f>IF($L26&gt;Keys!$C$51,IF($K26/$L26&gt;Keys!$C$52,1,0),0)</f>
        <v>0</v>
      </c>
      <c r="X26" s="11">
        <f t="shared" si="3"/>
        <v>0</v>
      </c>
    </row>
    <row r="27" spans="1:24" x14ac:dyDescent="0.25">
      <c r="A27" t="s">
        <v>63</v>
      </c>
      <c r="B27" t="s">
        <v>68</v>
      </c>
      <c r="C27" t="str">
        <f>VLOOKUP($B27,Keys!$F$2:$I$22,2,FALSE)</f>
        <v>natural gas</v>
      </c>
      <c r="D27">
        <f>VLOOKUP($B27,Keys!$F$2:$I$22,3,FALSE)</f>
        <v>0.190839183</v>
      </c>
      <c r="E27" t="str">
        <f>VLOOKUP($B27,Keys!$F$2:$I$22,4,FALSE)</f>
        <v>rule</v>
      </c>
      <c r="F27" t="str">
        <f>$A27&amp;Keys!$C$54&amp;$B27</f>
        <v>AR|natural gas</v>
      </c>
      <c r="G27" s="10">
        <f>IF($E27=Keys!$C$60,Keys!$C$51,INDEX(Balanced_2025!$D$9:$D$3032,MATCH($A27&amp;Keys!$C$54&amp;Keys!$C$55&amp;Keys!$C$54&amp;$C27,Balanced_2025!$E$9:$E$3032,0)))</f>
        <v>368311000000000</v>
      </c>
      <c r="H27" s="10">
        <f>IF($E27=Keys!$C$60,Keys!$C$51,INDEX(Balanced_2025!$D$9:$D$3032,MATCH($A27&amp;Keys!$C$54&amp;Keys!$C$56&amp;Keys!$C$54&amp;$C27,Balanced_2025!$E$9:$E$3032,0)))</f>
        <v>1148980000000000</v>
      </c>
      <c r="I27" s="10">
        <f>IF($E27=Keys!$C$60,Keys!$C$51,INDEX(Balanced_2025!$D$9:$D$3032,MATCH($A27&amp;Keys!$C$54&amp;Keys!$C$57&amp;Keys!$C$54&amp;$C27,Balanced_2025!$E$9:$E$3032,0)))</f>
        <v>1212640000000000</v>
      </c>
      <c r="J27" s="10">
        <f t="shared" si="0"/>
        <v>304651000000000</v>
      </c>
      <c r="K27" s="10">
        <f>MAX(Keys!$C$51,$I27-$H27)</f>
        <v>63660000000000</v>
      </c>
      <c r="L27" s="10">
        <f t="shared" si="1"/>
        <v>368311000000000</v>
      </c>
      <c r="M27" s="11">
        <f>IF($L27&gt;Keys!$C$51,MIN(Keys!$C$52,$K27/$L27),Keys!$C$51)</f>
        <v>0.1728430592624168</v>
      </c>
      <c r="N27" s="11">
        <f>IF($E27=Keys!$C$60,Keys!$C$51,IF($E27=Keys!$C$59,$D27,$M27))</f>
        <v>0.1728430592624168</v>
      </c>
      <c r="O27">
        <f t="shared" si="2"/>
        <v>1</v>
      </c>
      <c r="P27" s="10">
        <f>IF($E27=Keys!$C$60,Keys!$C$51,INDEX(Raw_BFPIaE!$G$9:$G$3032,MATCH($A27&amp;Keys!$C$54&amp;Keys!$C$55&amp;Keys!$C$54&amp;$B27,Raw_BFPIaE!$H$9:$H$3032,0)))</f>
        <v>356853333333333.31</v>
      </c>
      <c r="Q27" s="10">
        <f>IF($E27=Keys!$C$60,Keys!$C$51,INDEX(Raw_BFPIaE!$G$9:$G$3032,MATCH($A27&amp;Keys!$C$54&amp;Keys!$C$56&amp;Keys!$C$54&amp;$B27,Raw_BFPIaE!$H$9:$H$3032,0)))</f>
        <v>1158976666666666.8</v>
      </c>
      <c r="R27" s="10">
        <f>IF($E27=Keys!$C$60,Keys!$C$51,INDEX(Raw_BFPIaE!$G$9:$G$3032,MATCH($A27&amp;Keys!$C$54&amp;Keys!$C$57&amp;Keys!$C$54&amp;$B27,Raw_BFPIaE!$H$9:$H$3032,0)))</f>
        <v>1174916666666666.8</v>
      </c>
      <c r="S27" s="11">
        <f>IF(($P27+$Q27-$R27+MAX(Keys!$C$51,$R27-$Q27))&gt;Keys!$C$51,MIN(Keys!$C$52,MAX(Keys!$C$51,$R27-$Q27)/($P27+$Q27-$R27+MAX(Keys!$C$51,$R27-$Q27))),Keys!$C$51)</f>
        <v>4.4668211029741452E-2</v>
      </c>
      <c r="T27">
        <f>IF(AND($I27&gt;$H27,ABS($L27-$G27)&gt;MAX(Keys!$C$62,ABS($G27)*Keys!$C$63)),1,0)</f>
        <v>0</v>
      </c>
      <c r="U27">
        <f>IF(OR($N27&lt;Keys!$C$51,$N27&gt;Keys!$C$52),1,0)</f>
        <v>0</v>
      </c>
      <c r="V27">
        <f>IF(AND($E27=Keys!$C$60,$N27&lt;&gt;Keys!$C$51),1,0)</f>
        <v>0</v>
      </c>
      <c r="W27">
        <f>IF($L27&gt;Keys!$C$51,IF($K27/$L27&gt;Keys!$C$52,1,0),0)</f>
        <v>0</v>
      </c>
      <c r="X27" s="11">
        <f t="shared" si="3"/>
        <v>0.12817484823267536</v>
      </c>
    </row>
    <row r="28" spans="1:24" x14ac:dyDescent="0.25">
      <c r="A28" t="s">
        <v>63</v>
      </c>
      <c r="B28" t="s">
        <v>71</v>
      </c>
      <c r="C28">
        <f>VLOOKUP($B28,Keys!$F$2:$I$22,2,FALSE)</f>
        <v>0</v>
      </c>
      <c r="D28">
        <f>VLOOKUP($B28,Keys!$F$2:$I$22,3,FALSE)</f>
        <v>0</v>
      </c>
      <c r="E28" t="str">
        <f>VLOOKUP($B28,Keys!$F$2:$I$22,4,FALSE)</f>
        <v>zero</v>
      </c>
      <c r="F28" t="str">
        <f>$A28&amp;Keys!$C$54&amp;$B28</f>
        <v>AR|nuclear</v>
      </c>
      <c r="G28" s="10">
        <f>IF($E28=Keys!$C$60,Keys!$C$51,INDEX(Balanced_2025!$D$9:$D$3032,MATCH($A28&amp;Keys!$C$54&amp;Keys!$C$55&amp;Keys!$C$54&amp;$C28,Balanced_2025!$E$9:$E$3032,0)))</f>
        <v>0</v>
      </c>
      <c r="H28" s="10">
        <f>IF($E28=Keys!$C$60,Keys!$C$51,INDEX(Balanced_2025!$D$9:$D$3032,MATCH($A28&amp;Keys!$C$54&amp;Keys!$C$56&amp;Keys!$C$54&amp;$C28,Balanced_2025!$E$9:$E$3032,0)))</f>
        <v>0</v>
      </c>
      <c r="I28" s="10">
        <f>IF($E28=Keys!$C$60,Keys!$C$51,INDEX(Balanced_2025!$D$9:$D$3032,MATCH($A28&amp;Keys!$C$54&amp;Keys!$C$57&amp;Keys!$C$54&amp;$C28,Balanced_2025!$E$9:$E$3032,0)))</f>
        <v>0</v>
      </c>
      <c r="J28" s="10">
        <f t="shared" si="0"/>
        <v>0</v>
      </c>
      <c r="K28" s="10">
        <f>MAX(Keys!$C$51,$I28-$H28)</f>
        <v>0</v>
      </c>
      <c r="L28" s="10">
        <f t="shared" si="1"/>
        <v>0</v>
      </c>
      <c r="M28" s="11">
        <f>IF($L28&gt;Keys!$C$51,MIN(Keys!$C$52,$K28/$L28),Keys!$C$51)</f>
        <v>0</v>
      </c>
      <c r="N28" s="11">
        <f>IF($E28=Keys!$C$60,Keys!$C$51,IF($E28=Keys!$C$59,$D28,$M28))</f>
        <v>0</v>
      </c>
      <c r="O28">
        <f t="shared" si="2"/>
        <v>0</v>
      </c>
      <c r="P28" s="10">
        <f>IF($E28=Keys!$C$60,Keys!$C$51,INDEX(Raw_BFPIaE!$G$9:$G$3032,MATCH($A28&amp;Keys!$C$54&amp;Keys!$C$55&amp;Keys!$C$54&amp;$B28,Raw_BFPIaE!$H$9:$H$3032,0)))</f>
        <v>0</v>
      </c>
      <c r="Q28" s="10">
        <f>IF($E28=Keys!$C$60,Keys!$C$51,INDEX(Raw_BFPIaE!$G$9:$G$3032,MATCH($A28&amp;Keys!$C$54&amp;Keys!$C$56&amp;Keys!$C$54&amp;$B28,Raw_BFPIaE!$H$9:$H$3032,0)))</f>
        <v>0</v>
      </c>
      <c r="R28" s="10">
        <f>IF($E28=Keys!$C$60,Keys!$C$51,INDEX(Raw_BFPIaE!$G$9:$G$3032,MATCH($A28&amp;Keys!$C$54&amp;Keys!$C$57&amp;Keys!$C$54&amp;$B28,Raw_BFPIaE!$H$9:$H$3032,0)))</f>
        <v>0</v>
      </c>
      <c r="S28" s="11">
        <f>IF(($P28+$Q28-$R28+MAX(Keys!$C$51,$R28-$Q28))&gt;Keys!$C$51,MIN(Keys!$C$52,MAX(Keys!$C$51,$R28-$Q28)/($P28+$Q28-$R28+MAX(Keys!$C$51,$R28-$Q28))),Keys!$C$51)</f>
        <v>0</v>
      </c>
      <c r="T28">
        <f>IF(AND($I28&gt;$H28,ABS($L28-$G28)&gt;MAX(Keys!$C$62,ABS($G28)*Keys!$C$63)),1,0)</f>
        <v>0</v>
      </c>
      <c r="U28">
        <f>IF(OR($N28&lt;Keys!$C$51,$N28&gt;Keys!$C$52),1,0)</f>
        <v>0</v>
      </c>
      <c r="V28">
        <f>IF(AND($E28=Keys!$C$60,$N28&lt;&gt;Keys!$C$51),1,0)</f>
        <v>0</v>
      </c>
      <c r="W28">
        <f>IF($L28&gt;Keys!$C$51,IF($K28/$L28&gt;Keys!$C$52,1,0),0)</f>
        <v>0</v>
      </c>
      <c r="X28" s="11">
        <f t="shared" si="3"/>
        <v>0</v>
      </c>
    </row>
    <row r="29" spans="1:24" x14ac:dyDescent="0.25">
      <c r="A29" t="s">
        <v>63</v>
      </c>
      <c r="B29" t="s">
        <v>74</v>
      </c>
      <c r="C29">
        <f>VLOOKUP($B29,Keys!$F$2:$I$22,2,FALSE)</f>
        <v>0</v>
      </c>
      <c r="D29">
        <f>VLOOKUP($B29,Keys!$F$2:$I$22,3,FALSE)</f>
        <v>0</v>
      </c>
      <c r="E29" t="str">
        <f>VLOOKUP($B29,Keys!$F$2:$I$22,4,FALSE)</f>
        <v>zero</v>
      </c>
      <c r="F29" t="str">
        <f>$A29&amp;Keys!$C$54&amp;$B29</f>
        <v>AR|hydro (is not a fuel)</v>
      </c>
      <c r="G29" s="10">
        <f>IF($E29=Keys!$C$60,Keys!$C$51,INDEX(Balanced_2025!$D$9:$D$3032,MATCH($A29&amp;Keys!$C$54&amp;Keys!$C$55&amp;Keys!$C$54&amp;$C29,Balanced_2025!$E$9:$E$3032,0)))</f>
        <v>0</v>
      </c>
      <c r="H29" s="10">
        <f>IF($E29=Keys!$C$60,Keys!$C$51,INDEX(Balanced_2025!$D$9:$D$3032,MATCH($A29&amp;Keys!$C$54&amp;Keys!$C$56&amp;Keys!$C$54&amp;$C29,Balanced_2025!$E$9:$E$3032,0)))</f>
        <v>0</v>
      </c>
      <c r="I29" s="10">
        <f>IF($E29=Keys!$C$60,Keys!$C$51,INDEX(Balanced_2025!$D$9:$D$3032,MATCH($A29&amp;Keys!$C$54&amp;Keys!$C$57&amp;Keys!$C$54&amp;$C29,Balanced_2025!$E$9:$E$3032,0)))</f>
        <v>0</v>
      </c>
      <c r="J29" s="10">
        <f t="shared" si="0"/>
        <v>0</v>
      </c>
      <c r="K29" s="10">
        <f>MAX(Keys!$C$51,$I29-$H29)</f>
        <v>0</v>
      </c>
      <c r="L29" s="10">
        <f t="shared" si="1"/>
        <v>0</v>
      </c>
      <c r="M29" s="11">
        <f>IF($L29&gt;Keys!$C$51,MIN(Keys!$C$52,$K29/$L29),Keys!$C$51)</f>
        <v>0</v>
      </c>
      <c r="N29" s="11">
        <f>IF($E29=Keys!$C$60,Keys!$C$51,IF($E29=Keys!$C$59,$D29,$M29))</f>
        <v>0</v>
      </c>
      <c r="O29">
        <f t="shared" si="2"/>
        <v>0</v>
      </c>
      <c r="P29" s="10">
        <f>IF($E29=Keys!$C$60,Keys!$C$51,INDEX(Raw_BFPIaE!$G$9:$G$3032,MATCH($A29&amp;Keys!$C$54&amp;Keys!$C$55&amp;Keys!$C$54&amp;$B29,Raw_BFPIaE!$H$9:$H$3032,0)))</f>
        <v>0</v>
      </c>
      <c r="Q29" s="10">
        <f>IF($E29=Keys!$C$60,Keys!$C$51,INDEX(Raw_BFPIaE!$G$9:$G$3032,MATCH($A29&amp;Keys!$C$54&amp;Keys!$C$56&amp;Keys!$C$54&amp;$B29,Raw_BFPIaE!$H$9:$H$3032,0)))</f>
        <v>0</v>
      </c>
      <c r="R29" s="10">
        <f>IF($E29=Keys!$C$60,Keys!$C$51,INDEX(Raw_BFPIaE!$G$9:$G$3032,MATCH($A29&amp;Keys!$C$54&amp;Keys!$C$57&amp;Keys!$C$54&amp;$B29,Raw_BFPIaE!$H$9:$H$3032,0)))</f>
        <v>0</v>
      </c>
      <c r="S29" s="11">
        <f>IF(($P29+$Q29-$R29+MAX(Keys!$C$51,$R29-$Q29))&gt;Keys!$C$51,MIN(Keys!$C$52,MAX(Keys!$C$51,$R29-$Q29)/($P29+$Q29-$R29+MAX(Keys!$C$51,$R29-$Q29))),Keys!$C$51)</f>
        <v>0</v>
      </c>
      <c r="T29">
        <f>IF(AND($I29&gt;$H29,ABS($L29-$G29)&gt;MAX(Keys!$C$62,ABS($G29)*Keys!$C$63)),1,0)</f>
        <v>0</v>
      </c>
      <c r="U29">
        <f>IF(OR($N29&lt;Keys!$C$51,$N29&gt;Keys!$C$52),1,0)</f>
        <v>0</v>
      </c>
      <c r="V29">
        <f>IF(AND($E29=Keys!$C$60,$N29&lt;&gt;Keys!$C$51),1,0)</f>
        <v>0</v>
      </c>
      <c r="W29">
        <f>IF($L29&gt;Keys!$C$51,IF($K29/$L29&gt;Keys!$C$52,1,0),0)</f>
        <v>0</v>
      </c>
      <c r="X29" s="11">
        <f t="shared" si="3"/>
        <v>0</v>
      </c>
    </row>
    <row r="30" spans="1:24" x14ac:dyDescent="0.25">
      <c r="A30" t="s">
        <v>63</v>
      </c>
      <c r="B30" t="s">
        <v>77</v>
      </c>
      <c r="C30">
        <f>VLOOKUP($B30,Keys!$F$2:$I$22,2,FALSE)</f>
        <v>0</v>
      </c>
      <c r="D30">
        <f>VLOOKUP($B30,Keys!$F$2:$I$22,3,FALSE)</f>
        <v>0</v>
      </c>
      <c r="E30" t="str">
        <f>VLOOKUP($B30,Keys!$F$2:$I$22,4,FALSE)</f>
        <v>zero</v>
      </c>
      <c r="F30" t="str">
        <f>$A30&amp;Keys!$C$54&amp;$B30</f>
        <v>AR|wind (is not a fuel)</v>
      </c>
      <c r="G30" s="10">
        <f>IF($E30=Keys!$C$60,Keys!$C$51,INDEX(Balanced_2025!$D$9:$D$3032,MATCH($A30&amp;Keys!$C$54&amp;Keys!$C$55&amp;Keys!$C$54&amp;$C30,Balanced_2025!$E$9:$E$3032,0)))</f>
        <v>0</v>
      </c>
      <c r="H30" s="10">
        <f>IF($E30=Keys!$C$60,Keys!$C$51,INDEX(Balanced_2025!$D$9:$D$3032,MATCH($A30&amp;Keys!$C$54&amp;Keys!$C$56&amp;Keys!$C$54&amp;$C30,Balanced_2025!$E$9:$E$3032,0)))</f>
        <v>0</v>
      </c>
      <c r="I30" s="10">
        <f>IF($E30=Keys!$C$60,Keys!$C$51,INDEX(Balanced_2025!$D$9:$D$3032,MATCH($A30&amp;Keys!$C$54&amp;Keys!$C$57&amp;Keys!$C$54&amp;$C30,Balanced_2025!$E$9:$E$3032,0)))</f>
        <v>0</v>
      </c>
      <c r="J30" s="10">
        <f t="shared" si="0"/>
        <v>0</v>
      </c>
      <c r="K30" s="10">
        <f>MAX(Keys!$C$51,$I30-$H30)</f>
        <v>0</v>
      </c>
      <c r="L30" s="10">
        <f t="shared" si="1"/>
        <v>0</v>
      </c>
      <c r="M30" s="11">
        <f>IF($L30&gt;Keys!$C$51,MIN(Keys!$C$52,$K30/$L30),Keys!$C$51)</f>
        <v>0</v>
      </c>
      <c r="N30" s="11">
        <f>IF($E30=Keys!$C$60,Keys!$C$51,IF($E30=Keys!$C$59,$D30,$M30))</f>
        <v>0</v>
      </c>
      <c r="O30">
        <f t="shared" si="2"/>
        <v>0</v>
      </c>
      <c r="P30" s="10">
        <f>IF($E30=Keys!$C$60,Keys!$C$51,INDEX(Raw_BFPIaE!$G$9:$G$3032,MATCH($A30&amp;Keys!$C$54&amp;Keys!$C$55&amp;Keys!$C$54&amp;$B30,Raw_BFPIaE!$H$9:$H$3032,0)))</f>
        <v>0</v>
      </c>
      <c r="Q30" s="10">
        <f>IF($E30=Keys!$C$60,Keys!$C$51,INDEX(Raw_BFPIaE!$G$9:$G$3032,MATCH($A30&amp;Keys!$C$54&amp;Keys!$C$56&amp;Keys!$C$54&amp;$B30,Raw_BFPIaE!$H$9:$H$3032,0)))</f>
        <v>0</v>
      </c>
      <c r="R30" s="10">
        <f>IF($E30=Keys!$C$60,Keys!$C$51,INDEX(Raw_BFPIaE!$G$9:$G$3032,MATCH($A30&amp;Keys!$C$54&amp;Keys!$C$57&amp;Keys!$C$54&amp;$B30,Raw_BFPIaE!$H$9:$H$3032,0)))</f>
        <v>0</v>
      </c>
      <c r="S30" s="11">
        <f>IF(($P30+$Q30-$R30+MAX(Keys!$C$51,$R30-$Q30))&gt;Keys!$C$51,MIN(Keys!$C$52,MAX(Keys!$C$51,$R30-$Q30)/($P30+$Q30-$R30+MAX(Keys!$C$51,$R30-$Q30))),Keys!$C$51)</f>
        <v>0</v>
      </c>
      <c r="T30">
        <f>IF(AND($I30&gt;$H30,ABS($L30-$G30)&gt;MAX(Keys!$C$62,ABS($G30)*Keys!$C$63)),1,0)</f>
        <v>0</v>
      </c>
      <c r="U30">
        <f>IF(OR($N30&lt;Keys!$C$51,$N30&gt;Keys!$C$52),1,0)</f>
        <v>0</v>
      </c>
      <c r="V30">
        <f>IF(AND($E30=Keys!$C$60,$N30&lt;&gt;Keys!$C$51),1,0)</f>
        <v>0</v>
      </c>
      <c r="W30">
        <f>IF($L30&gt;Keys!$C$51,IF($K30/$L30&gt;Keys!$C$52,1,0),0)</f>
        <v>0</v>
      </c>
      <c r="X30" s="11">
        <f t="shared" si="3"/>
        <v>0</v>
      </c>
    </row>
    <row r="31" spans="1:24" x14ac:dyDescent="0.25">
      <c r="A31" t="s">
        <v>63</v>
      </c>
      <c r="B31" t="s">
        <v>80</v>
      </c>
      <c r="C31">
        <f>VLOOKUP($B31,Keys!$F$2:$I$22,2,FALSE)</f>
        <v>0</v>
      </c>
      <c r="D31">
        <f>VLOOKUP($B31,Keys!$F$2:$I$22,3,FALSE)</f>
        <v>0</v>
      </c>
      <c r="E31" t="str">
        <f>VLOOKUP($B31,Keys!$F$2:$I$22,4,FALSE)</f>
        <v>zero</v>
      </c>
      <c r="F31" t="str">
        <f>$A31&amp;Keys!$C$54&amp;$B31</f>
        <v>AR|solar (is not a fuel)</v>
      </c>
      <c r="G31" s="10">
        <f>IF($E31=Keys!$C$60,Keys!$C$51,INDEX(Balanced_2025!$D$9:$D$3032,MATCH($A31&amp;Keys!$C$54&amp;Keys!$C$55&amp;Keys!$C$54&amp;$C31,Balanced_2025!$E$9:$E$3032,0)))</f>
        <v>0</v>
      </c>
      <c r="H31" s="10">
        <f>IF($E31=Keys!$C$60,Keys!$C$51,INDEX(Balanced_2025!$D$9:$D$3032,MATCH($A31&amp;Keys!$C$54&amp;Keys!$C$56&amp;Keys!$C$54&amp;$C31,Balanced_2025!$E$9:$E$3032,0)))</f>
        <v>0</v>
      </c>
      <c r="I31" s="10">
        <f>IF($E31=Keys!$C$60,Keys!$C$51,INDEX(Balanced_2025!$D$9:$D$3032,MATCH($A31&amp;Keys!$C$54&amp;Keys!$C$57&amp;Keys!$C$54&amp;$C31,Balanced_2025!$E$9:$E$3032,0)))</f>
        <v>0</v>
      </c>
      <c r="J31" s="10">
        <f t="shared" si="0"/>
        <v>0</v>
      </c>
      <c r="K31" s="10">
        <f>MAX(Keys!$C$51,$I31-$H31)</f>
        <v>0</v>
      </c>
      <c r="L31" s="10">
        <f t="shared" si="1"/>
        <v>0</v>
      </c>
      <c r="M31" s="11">
        <f>IF($L31&gt;Keys!$C$51,MIN(Keys!$C$52,$K31/$L31),Keys!$C$51)</f>
        <v>0</v>
      </c>
      <c r="N31" s="11">
        <f>IF($E31=Keys!$C$60,Keys!$C$51,IF($E31=Keys!$C$59,$D31,$M31))</f>
        <v>0</v>
      </c>
      <c r="O31">
        <f t="shared" si="2"/>
        <v>0</v>
      </c>
      <c r="P31" s="10">
        <f>IF($E31=Keys!$C$60,Keys!$C$51,INDEX(Raw_BFPIaE!$G$9:$G$3032,MATCH($A31&amp;Keys!$C$54&amp;Keys!$C$55&amp;Keys!$C$54&amp;$B31,Raw_BFPIaE!$H$9:$H$3032,0)))</f>
        <v>0</v>
      </c>
      <c r="Q31" s="10">
        <f>IF($E31=Keys!$C$60,Keys!$C$51,INDEX(Raw_BFPIaE!$G$9:$G$3032,MATCH($A31&amp;Keys!$C$54&amp;Keys!$C$56&amp;Keys!$C$54&amp;$B31,Raw_BFPIaE!$H$9:$H$3032,0)))</f>
        <v>0</v>
      </c>
      <c r="R31" s="10">
        <f>IF($E31=Keys!$C$60,Keys!$C$51,INDEX(Raw_BFPIaE!$G$9:$G$3032,MATCH($A31&amp;Keys!$C$54&amp;Keys!$C$57&amp;Keys!$C$54&amp;$B31,Raw_BFPIaE!$H$9:$H$3032,0)))</f>
        <v>0</v>
      </c>
      <c r="S31" s="11">
        <f>IF(($P31+$Q31-$R31+MAX(Keys!$C$51,$R31-$Q31))&gt;Keys!$C$51,MIN(Keys!$C$52,MAX(Keys!$C$51,$R31-$Q31)/($P31+$Q31-$R31+MAX(Keys!$C$51,$R31-$Q31))),Keys!$C$51)</f>
        <v>0</v>
      </c>
      <c r="T31">
        <f>IF(AND($I31&gt;$H31,ABS($L31-$G31)&gt;MAX(Keys!$C$62,ABS($G31)*Keys!$C$63)),1,0)</f>
        <v>0</v>
      </c>
      <c r="U31">
        <f>IF(OR($N31&lt;Keys!$C$51,$N31&gt;Keys!$C$52),1,0)</f>
        <v>0</v>
      </c>
      <c r="V31">
        <f>IF(AND($E31=Keys!$C$60,$N31&lt;&gt;Keys!$C$51),1,0)</f>
        <v>0</v>
      </c>
      <c r="W31">
        <f>IF($L31&gt;Keys!$C$51,IF($K31/$L31&gt;Keys!$C$52,1,0),0)</f>
        <v>0</v>
      </c>
      <c r="X31" s="11">
        <f t="shared" si="3"/>
        <v>0</v>
      </c>
    </row>
    <row r="32" spans="1:24" x14ac:dyDescent="0.25">
      <c r="A32" t="s">
        <v>63</v>
      </c>
      <c r="B32" t="s">
        <v>82</v>
      </c>
      <c r="C32" t="str">
        <f>VLOOKUP($B32,Keys!$F$2:$I$22,2,FALSE)</f>
        <v>biomass</v>
      </c>
      <c r="D32">
        <f>VLOOKUP($B32,Keys!$F$2:$I$22,3,FALSE)</f>
        <v>0.74947425499999998</v>
      </c>
      <c r="E32" t="str">
        <f>VLOOKUP($B32,Keys!$F$2:$I$22,4,FALSE)</f>
        <v>rule</v>
      </c>
      <c r="F32" t="str">
        <f>$A32&amp;Keys!$C$54&amp;$B32</f>
        <v>AR|biomass</v>
      </c>
      <c r="G32" s="10">
        <f>IF($E32=Keys!$C$60,Keys!$C$51,INDEX(Balanced_2025!$D$9:$D$3032,MATCH($A32&amp;Keys!$C$54&amp;Keys!$C$55&amp;Keys!$C$54&amp;$C32,Balanced_2025!$E$9:$E$3032,0)))</f>
        <v>14550500000000</v>
      </c>
      <c r="H32" s="10">
        <f>IF($E32=Keys!$C$60,Keys!$C$51,INDEX(Balanced_2025!$D$9:$D$3032,MATCH($A32&amp;Keys!$C$54&amp;Keys!$C$56&amp;Keys!$C$54&amp;$C32,Balanced_2025!$E$9:$E$3032,0)))</f>
        <v>49528500000000</v>
      </c>
      <c r="I32" s="10">
        <f>IF($E32=Keys!$C$60,Keys!$C$51,INDEX(Balanced_2025!$D$9:$D$3032,MATCH($A32&amp;Keys!$C$54&amp;Keys!$C$57&amp;Keys!$C$54&amp;$C32,Balanced_2025!$E$9:$E$3032,0)))</f>
        <v>0</v>
      </c>
      <c r="J32" s="10">
        <f t="shared" si="0"/>
        <v>64079000000000</v>
      </c>
      <c r="K32" s="10">
        <f>MAX(Keys!$C$51,$I32-$H32)</f>
        <v>0</v>
      </c>
      <c r="L32" s="10">
        <f t="shared" si="1"/>
        <v>64079000000000</v>
      </c>
      <c r="M32" s="11">
        <f>IF($L32&gt;Keys!$C$51,MIN(Keys!$C$52,$K32/$L32),Keys!$C$51)</f>
        <v>0</v>
      </c>
      <c r="N32" s="11">
        <f>IF($E32=Keys!$C$60,Keys!$C$51,IF($E32=Keys!$C$59,$D32,$M32))</f>
        <v>0</v>
      </c>
      <c r="O32">
        <f t="shared" si="2"/>
        <v>1</v>
      </c>
      <c r="P32" s="10">
        <f>IF($E32=Keys!$C$60,Keys!$C$51,INDEX(Raw_BFPIaE!$G$9:$G$3032,MATCH($A32&amp;Keys!$C$54&amp;Keys!$C$55&amp;Keys!$C$54&amp;$B32,Raw_BFPIaE!$H$9:$H$3032,0)))</f>
        <v>14550500000000</v>
      </c>
      <c r="Q32" s="10">
        <f>IF($E32=Keys!$C$60,Keys!$C$51,INDEX(Raw_BFPIaE!$G$9:$G$3032,MATCH($A32&amp;Keys!$C$54&amp;Keys!$C$56&amp;Keys!$C$54&amp;$B32,Raw_BFPIaE!$H$9:$H$3032,0)))</f>
        <v>34160300000000</v>
      </c>
      <c r="R32" s="10">
        <f>IF($E32=Keys!$C$60,Keys!$C$51,INDEX(Raw_BFPIaE!$G$9:$G$3032,MATCH($A32&amp;Keys!$C$54&amp;Keys!$C$57&amp;Keys!$C$54&amp;$B32,Raw_BFPIaE!$H$9:$H$3032,0)))</f>
        <v>0</v>
      </c>
      <c r="S32" s="11">
        <f>IF(($P32+$Q32-$R32+MAX(Keys!$C$51,$R32-$Q32))&gt;Keys!$C$51,MIN(Keys!$C$52,MAX(Keys!$C$51,$R32-$Q32)/($P32+$Q32-$R32+MAX(Keys!$C$51,$R32-$Q32))),Keys!$C$51)</f>
        <v>0</v>
      </c>
      <c r="T32">
        <f>IF(AND($I32&gt;$H32,ABS($L32-$G32)&gt;MAX(Keys!$C$62,ABS($G32)*Keys!$C$63)),1,0)</f>
        <v>0</v>
      </c>
      <c r="U32">
        <f>IF(OR($N32&lt;Keys!$C$51,$N32&gt;Keys!$C$52),1,0)</f>
        <v>0</v>
      </c>
      <c r="V32">
        <f>IF(AND($E32=Keys!$C$60,$N32&lt;&gt;Keys!$C$51),1,0)</f>
        <v>0</v>
      </c>
      <c r="W32">
        <f>IF($L32&gt;Keys!$C$51,IF($K32/$L32&gt;Keys!$C$52,1,0),0)</f>
        <v>0</v>
      </c>
      <c r="X32" s="11">
        <f t="shared" si="3"/>
        <v>0</v>
      </c>
    </row>
    <row r="33" spans="1:24" x14ac:dyDescent="0.25">
      <c r="A33" t="s">
        <v>63</v>
      </c>
      <c r="B33" t="s">
        <v>85</v>
      </c>
      <c r="C33" t="str">
        <f>VLOOKUP($B33,Keys!$F$2:$I$22,2,FALSE)</f>
        <v>petroleum gasoline</v>
      </c>
      <c r="D33">
        <f>VLOOKUP($B33,Keys!$F$2:$I$22,3,FALSE)</f>
        <v>7.5004052000000002E-2</v>
      </c>
      <c r="E33" t="str">
        <f>VLOOKUP($B33,Keys!$F$2:$I$22,4,FALSE)</f>
        <v>rule</v>
      </c>
      <c r="F33" t="str">
        <f>$A33&amp;Keys!$C$54&amp;$B33</f>
        <v>AR|petroleum gasoline</v>
      </c>
      <c r="G33" s="10">
        <f>IF($E33=Keys!$C$60,Keys!$C$51,INDEX(Balanced_2025!$D$9:$D$3032,MATCH($A33&amp;Keys!$C$54&amp;Keys!$C$55&amp;Keys!$C$54&amp;$C33,Balanced_2025!$E$9:$E$3032,0)))</f>
        <v>87830300000000</v>
      </c>
      <c r="H33" s="10">
        <f>IF($E33=Keys!$C$60,Keys!$C$51,INDEX(Balanced_2025!$D$9:$D$3032,MATCH($A33&amp;Keys!$C$54&amp;Keys!$C$56&amp;Keys!$C$54&amp;$C33,Balanced_2025!$E$9:$E$3032,0)))</f>
        <v>79351200000000</v>
      </c>
      <c r="I33" s="10">
        <f>IF($E33=Keys!$C$60,Keys!$C$51,INDEX(Balanced_2025!$D$9:$D$3032,MATCH($A33&amp;Keys!$C$54&amp;Keys!$C$57&amp;Keys!$C$54&amp;$C33,Balanced_2025!$E$9:$E$3032,0)))</f>
        <v>2729670000000</v>
      </c>
      <c r="J33" s="10">
        <f t="shared" si="0"/>
        <v>164451830000000</v>
      </c>
      <c r="K33" s="10">
        <f>MAX(Keys!$C$51,$I33-$H33)</f>
        <v>0</v>
      </c>
      <c r="L33" s="10">
        <f t="shared" si="1"/>
        <v>164451830000000</v>
      </c>
      <c r="M33" s="11">
        <f>IF($L33&gt;Keys!$C$51,MIN(Keys!$C$52,$K33/$L33),Keys!$C$51)</f>
        <v>0</v>
      </c>
      <c r="N33" s="11">
        <f>IF($E33=Keys!$C$60,Keys!$C$51,IF($E33=Keys!$C$59,$D33,$M33))</f>
        <v>0</v>
      </c>
      <c r="O33">
        <f t="shared" si="2"/>
        <v>1</v>
      </c>
      <c r="P33" s="10">
        <f>IF($E33=Keys!$C$60,Keys!$C$51,INDEX(Raw_BFPIaE!$G$9:$G$3032,MATCH($A33&amp;Keys!$C$54&amp;Keys!$C$55&amp;Keys!$C$54&amp;$B33,Raw_BFPIaE!$H$9:$H$3032,0)))</f>
        <v>87120666666666.672</v>
      </c>
      <c r="Q33" s="10">
        <f>IF($E33=Keys!$C$60,Keys!$C$51,INDEX(Raw_BFPIaE!$G$9:$G$3032,MATCH($A33&amp;Keys!$C$54&amp;Keys!$C$56&amp;Keys!$C$54&amp;$B33,Raw_BFPIaE!$H$9:$H$3032,0)))</f>
        <v>46966700000000</v>
      </c>
      <c r="R33" s="10">
        <f>IF($E33=Keys!$C$60,Keys!$C$51,INDEX(Raw_BFPIaE!$G$9:$G$3032,MATCH($A33&amp;Keys!$C$54&amp;Keys!$C$57&amp;Keys!$C$54&amp;$B33,Raw_BFPIaE!$H$9:$H$3032,0)))</f>
        <v>2707613333333.3335</v>
      </c>
      <c r="S33" s="11">
        <f>IF(($P33+$Q33-$R33+MAX(Keys!$C$51,$R33-$Q33))&gt;Keys!$C$51,MIN(Keys!$C$52,MAX(Keys!$C$51,$R33-$Q33)/($P33+$Q33-$R33+MAX(Keys!$C$51,$R33-$Q33))),Keys!$C$51)</f>
        <v>0</v>
      </c>
      <c r="T33">
        <f>IF(AND($I33&gt;$H33,ABS($L33-$G33)&gt;MAX(Keys!$C$62,ABS($G33)*Keys!$C$63)),1,0)</f>
        <v>0</v>
      </c>
      <c r="U33">
        <f>IF(OR($N33&lt;Keys!$C$51,$N33&gt;Keys!$C$52),1,0)</f>
        <v>0</v>
      </c>
      <c r="V33">
        <f>IF(AND($E33=Keys!$C$60,$N33&lt;&gt;Keys!$C$51),1,0)</f>
        <v>0</v>
      </c>
      <c r="W33">
        <f>IF($L33&gt;Keys!$C$51,IF($K33/$L33&gt;Keys!$C$52,1,0),0)</f>
        <v>0</v>
      </c>
      <c r="X33" s="11">
        <f t="shared" si="3"/>
        <v>0</v>
      </c>
    </row>
    <row r="34" spans="1:24" x14ac:dyDescent="0.25">
      <c r="A34" t="s">
        <v>63</v>
      </c>
      <c r="B34" t="s">
        <v>88</v>
      </c>
      <c r="C34" t="str">
        <f>VLOOKUP($B34,Keys!$F$2:$I$22,2,FALSE)</f>
        <v>petroleum diesel</v>
      </c>
      <c r="D34">
        <f>VLOOKUP($B34,Keys!$F$2:$I$22,3,FALSE)</f>
        <v>0.26691051799999999</v>
      </c>
      <c r="E34" t="str">
        <f>VLOOKUP($B34,Keys!$F$2:$I$22,4,FALSE)</f>
        <v>rule</v>
      </c>
      <c r="F34" t="str">
        <f>$A34&amp;Keys!$C$54&amp;$B34</f>
        <v>AR|petroleum diesel</v>
      </c>
      <c r="G34" s="10">
        <f>IF($E34=Keys!$C$60,Keys!$C$51,INDEX(Balanced_2025!$D$9:$D$3032,MATCH($A34&amp;Keys!$C$54&amp;Keys!$C$55&amp;Keys!$C$54&amp;$C34,Balanced_2025!$E$9:$E$3032,0)))</f>
        <v>51952900000000</v>
      </c>
      <c r="H34" s="10">
        <f>IF($E34=Keys!$C$60,Keys!$C$51,INDEX(Balanced_2025!$D$9:$D$3032,MATCH($A34&amp;Keys!$C$54&amp;Keys!$C$56&amp;Keys!$C$54&amp;$C34,Balanced_2025!$E$9:$E$3032,0)))</f>
        <v>68000300000000</v>
      </c>
      <c r="I34" s="10">
        <f>IF($E34=Keys!$C$60,Keys!$C$51,INDEX(Balanced_2025!$D$9:$D$3032,MATCH($A34&amp;Keys!$C$54&amp;Keys!$C$57&amp;Keys!$C$54&amp;$C34,Balanced_2025!$E$9:$E$3032,0)))</f>
        <v>0</v>
      </c>
      <c r="J34" s="10">
        <f t="shared" si="0"/>
        <v>119953200000000</v>
      </c>
      <c r="K34" s="10">
        <f>MAX(Keys!$C$51,$I34-$H34)</f>
        <v>0</v>
      </c>
      <c r="L34" s="10">
        <f t="shared" si="1"/>
        <v>119953200000000</v>
      </c>
      <c r="M34" s="11">
        <f>IF($L34&gt;Keys!$C$51,MIN(Keys!$C$52,$K34/$L34),Keys!$C$51)</f>
        <v>0</v>
      </c>
      <c r="N34" s="11">
        <f>IF($E34=Keys!$C$60,Keys!$C$51,IF($E34=Keys!$C$59,$D34,$M34))</f>
        <v>0</v>
      </c>
      <c r="O34">
        <f t="shared" si="2"/>
        <v>1</v>
      </c>
      <c r="P34" s="10">
        <f>IF($E34=Keys!$C$60,Keys!$C$51,INDEX(Raw_BFPIaE!$G$9:$G$3032,MATCH($A34&amp;Keys!$C$54&amp;Keys!$C$55&amp;Keys!$C$54&amp;$B34,Raw_BFPIaE!$H$9:$H$3032,0)))</f>
        <v>51533166666666.664</v>
      </c>
      <c r="Q34" s="10">
        <f>IF($E34=Keys!$C$60,Keys!$C$51,INDEX(Raw_BFPIaE!$G$9:$G$3032,MATCH($A34&amp;Keys!$C$54&amp;Keys!$C$56&amp;Keys!$C$54&amp;$B34,Raw_BFPIaE!$H$9:$H$3032,0)))</f>
        <v>44342133333333.336</v>
      </c>
      <c r="R34" s="10">
        <f>IF($E34=Keys!$C$60,Keys!$C$51,INDEX(Raw_BFPIaE!$G$9:$G$3032,MATCH($A34&amp;Keys!$C$54&amp;Keys!$C$57&amp;Keys!$C$54&amp;$B34,Raw_BFPIaE!$H$9:$H$3032,0)))</f>
        <v>0</v>
      </c>
      <c r="S34" s="11">
        <f>IF(($P34+$Q34-$R34+MAX(Keys!$C$51,$R34-$Q34))&gt;Keys!$C$51,MIN(Keys!$C$52,MAX(Keys!$C$51,$R34-$Q34)/($P34+$Q34-$R34+MAX(Keys!$C$51,$R34-$Q34))),Keys!$C$51)</f>
        <v>0</v>
      </c>
      <c r="T34">
        <f>IF(AND($I34&gt;$H34,ABS($L34-$G34)&gt;MAX(Keys!$C$62,ABS($G34)*Keys!$C$63)),1,0)</f>
        <v>0</v>
      </c>
      <c r="U34">
        <f>IF(OR($N34&lt;Keys!$C$51,$N34&gt;Keys!$C$52),1,0)</f>
        <v>0</v>
      </c>
      <c r="V34">
        <f>IF(AND($E34=Keys!$C$60,$N34&lt;&gt;Keys!$C$51),1,0)</f>
        <v>0</v>
      </c>
      <c r="W34">
        <f>IF($L34&gt;Keys!$C$51,IF($K34/$L34&gt;Keys!$C$52,1,0),0)</f>
        <v>0</v>
      </c>
      <c r="X34" s="11">
        <f t="shared" si="3"/>
        <v>0</v>
      </c>
    </row>
    <row r="35" spans="1:24" x14ac:dyDescent="0.25">
      <c r="A35" t="s">
        <v>63</v>
      </c>
      <c r="B35" t="s">
        <v>91</v>
      </c>
      <c r="C35" t="str">
        <f>VLOOKUP($B35,Keys!$F$2:$I$22,2,FALSE)</f>
        <v>biofuel gasoline</v>
      </c>
      <c r="D35">
        <f>VLOOKUP($B35,Keys!$F$2:$I$22,3,FALSE)</f>
        <v>8.7213884000000005E-2</v>
      </c>
      <c r="E35" t="str">
        <f>VLOOKUP($B35,Keys!$F$2:$I$22,4,FALSE)</f>
        <v>rule</v>
      </c>
      <c r="F35" t="str">
        <f>$A35&amp;Keys!$C$54&amp;$B35</f>
        <v>AR|biofuel gasoline</v>
      </c>
      <c r="G35" s="10">
        <f>IF($E35=Keys!$C$60,Keys!$C$51,INDEX(Balanced_2025!$D$9:$D$3032,MATCH($A35&amp;Keys!$C$54&amp;Keys!$C$55&amp;Keys!$C$54&amp;$C35,Balanced_2025!$E$9:$E$3032,0)))</f>
        <v>0</v>
      </c>
      <c r="H35" s="10">
        <f>IF($E35=Keys!$C$60,Keys!$C$51,INDEX(Balanced_2025!$D$9:$D$3032,MATCH($A35&amp;Keys!$C$54&amp;Keys!$C$56&amp;Keys!$C$54&amp;$C35,Balanced_2025!$E$9:$E$3032,0)))</f>
        <v>11655200000000</v>
      </c>
      <c r="I35" s="10">
        <f>IF($E35=Keys!$C$60,Keys!$C$51,INDEX(Balanced_2025!$D$9:$D$3032,MATCH($A35&amp;Keys!$C$54&amp;Keys!$C$57&amp;Keys!$C$54&amp;$C35,Balanced_2025!$E$9:$E$3032,0)))</f>
        <v>0</v>
      </c>
      <c r="J35" s="10">
        <f t="shared" si="0"/>
        <v>11655200000000</v>
      </c>
      <c r="K35" s="10">
        <f>MAX(Keys!$C$51,$I35-$H35)</f>
        <v>0</v>
      </c>
      <c r="L35" s="10">
        <f t="shared" si="1"/>
        <v>11655200000000</v>
      </c>
      <c r="M35" s="11">
        <f>IF($L35&gt;Keys!$C$51,MIN(Keys!$C$52,$K35/$L35),Keys!$C$51)</f>
        <v>0</v>
      </c>
      <c r="N35" s="11">
        <f>IF($E35=Keys!$C$60,Keys!$C$51,IF($E35=Keys!$C$59,$D35,$M35))</f>
        <v>0</v>
      </c>
      <c r="O35">
        <f t="shared" si="2"/>
        <v>1</v>
      </c>
      <c r="P35" s="10">
        <f>IF($E35=Keys!$C$60,Keys!$C$51,INDEX(Raw_BFPIaE!$G$9:$G$3032,MATCH($A35&amp;Keys!$C$54&amp;Keys!$C$55&amp;Keys!$C$54&amp;$B35,Raw_BFPIaE!$H$9:$H$3032,0)))</f>
        <v>0</v>
      </c>
      <c r="Q35" s="10">
        <f>IF($E35=Keys!$C$60,Keys!$C$51,INDEX(Raw_BFPIaE!$G$9:$G$3032,MATCH($A35&amp;Keys!$C$54&amp;Keys!$C$56&amp;Keys!$C$54&amp;$B35,Raw_BFPIaE!$H$9:$H$3032,0)))</f>
        <v>7296000000000</v>
      </c>
      <c r="R35" s="10">
        <f>IF($E35=Keys!$C$60,Keys!$C$51,INDEX(Raw_BFPIaE!$G$9:$G$3032,MATCH($A35&amp;Keys!$C$54&amp;Keys!$C$57&amp;Keys!$C$54&amp;$B35,Raw_BFPIaE!$H$9:$H$3032,0)))</f>
        <v>0</v>
      </c>
      <c r="S35" s="11">
        <f>IF(($P35+$Q35-$R35+MAX(Keys!$C$51,$R35-$Q35))&gt;Keys!$C$51,MIN(Keys!$C$52,MAX(Keys!$C$51,$R35-$Q35)/($P35+$Q35-$R35+MAX(Keys!$C$51,$R35-$Q35))),Keys!$C$51)</f>
        <v>0</v>
      </c>
      <c r="T35">
        <f>IF(AND($I35&gt;$H35,ABS($L35-$G35)&gt;MAX(Keys!$C$62,ABS($G35)*Keys!$C$63)),1,0)</f>
        <v>0</v>
      </c>
      <c r="U35">
        <f>IF(OR($N35&lt;Keys!$C$51,$N35&gt;Keys!$C$52),1,0)</f>
        <v>0</v>
      </c>
      <c r="V35">
        <f>IF(AND($E35=Keys!$C$60,$N35&lt;&gt;Keys!$C$51),1,0)</f>
        <v>0</v>
      </c>
      <c r="W35">
        <f>IF($L35&gt;Keys!$C$51,IF($K35/$L35&gt;Keys!$C$52,1,0),0)</f>
        <v>0</v>
      </c>
      <c r="X35" s="11">
        <f t="shared" si="3"/>
        <v>0</v>
      </c>
    </row>
    <row r="36" spans="1:24" x14ac:dyDescent="0.25">
      <c r="A36" t="s">
        <v>63</v>
      </c>
      <c r="B36" t="s">
        <v>94</v>
      </c>
      <c r="C36" t="str">
        <f>VLOOKUP($B36,Keys!$F$2:$I$22,2,FALSE)</f>
        <v>biofuel diesel</v>
      </c>
      <c r="D36">
        <f>VLOOKUP($B36,Keys!$F$2:$I$22,3,FALSE)</f>
        <v>5.8642381E-2</v>
      </c>
      <c r="E36" t="str">
        <f>VLOOKUP($B36,Keys!$F$2:$I$22,4,FALSE)</f>
        <v>rule</v>
      </c>
      <c r="F36" t="str">
        <f>$A36&amp;Keys!$C$54&amp;$B36</f>
        <v>AR|biofuel diesel</v>
      </c>
      <c r="G36" s="10">
        <f>IF($E36=Keys!$C$60,Keys!$C$51,INDEX(Balanced_2025!$D$9:$D$3032,MATCH($A36&amp;Keys!$C$54&amp;Keys!$C$55&amp;Keys!$C$54&amp;$C36,Balanced_2025!$E$9:$E$3032,0)))</f>
        <v>22525600000000</v>
      </c>
      <c r="H36" s="10">
        <f>IF($E36=Keys!$C$60,Keys!$C$51,INDEX(Balanced_2025!$D$9:$D$3032,MATCH($A36&amp;Keys!$C$54&amp;Keys!$C$56&amp;Keys!$C$54&amp;$C36,Balanced_2025!$E$9:$E$3032,0)))</f>
        <v>66651700000</v>
      </c>
      <c r="I36" s="10">
        <f>IF($E36=Keys!$C$60,Keys!$C$51,INDEX(Balanced_2025!$D$9:$D$3032,MATCH($A36&amp;Keys!$C$54&amp;Keys!$C$57&amp;Keys!$C$54&amp;$C36,Balanced_2025!$E$9:$E$3032,0)))</f>
        <v>20335200000000</v>
      </c>
      <c r="J36" s="10">
        <f t="shared" si="0"/>
        <v>2257051700000</v>
      </c>
      <c r="K36" s="10">
        <f>MAX(Keys!$C$51,$I36-$H36)</f>
        <v>20268548300000</v>
      </c>
      <c r="L36" s="10">
        <f t="shared" si="1"/>
        <v>22525600000000</v>
      </c>
      <c r="M36" s="11">
        <f>IF($L36&gt;Keys!$C$51,MIN(Keys!$C$52,$K36/$L36),Keys!$C$51)</f>
        <v>0.89980059576659444</v>
      </c>
      <c r="N36" s="11">
        <f>IF($E36=Keys!$C$60,Keys!$C$51,IF($E36=Keys!$C$59,$D36,$M36))</f>
        <v>0.89980059576659444</v>
      </c>
      <c r="O36">
        <f t="shared" si="2"/>
        <v>1</v>
      </c>
      <c r="P36" s="10">
        <f>IF($E36=Keys!$C$60,Keys!$C$51,INDEX(Raw_BFPIaE!$G$9:$G$3032,MATCH($A36&amp;Keys!$C$54&amp;Keys!$C$55&amp;Keys!$C$54&amp;$B36,Raw_BFPIaE!$H$9:$H$3032,0)))</f>
        <v>23936200000000</v>
      </c>
      <c r="Q36" s="10">
        <f>IF($E36=Keys!$C$60,Keys!$C$51,INDEX(Raw_BFPIaE!$G$9:$G$3032,MATCH($A36&amp;Keys!$C$54&amp;Keys!$C$56&amp;Keys!$C$54&amp;$B36,Raw_BFPIaE!$H$9:$H$3032,0)))</f>
        <v>0</v>
      </c>
      <c r="R36" s="10">
        <f>IF($E36=Keys!$C$60,Keys!$C$51,INDEX(Raw_BFPIaE!$G$9:$G$3032,MATCH($A36&amp;Keys!$C$54&amp;Keys!$C$57&amp;Keys!$C$54&amp;$B36,Raw_BFPIaE!$H$9:$H$3032,0)))</f>
        <v>14966233333333.334</v>
      </c>
      <c r="S36" s="11">
        <f>IF(($P36+$Q36-$R36+MAX(Keys!$C$51,$R36-$Q36))&gt;Keys!$C$51,MIN(Keys!$C$52,MAX(Keys!$C$51,$R36-$Q36)/($P36+$Q36-$R36+MAX(Keys!$C$51,$R36-$Q36))),Keys!$C$51)</f>
        <v>0.62525519227502002</v>
      </c>
      <c r="T36">
        <f>IF(AND($I36&gt;$H36,ABS($L36-$G36)&gt;MAX(Keys!$C$62,ABS($G36)*Keys!$C$63)),1,0)</f>
        <v>0</v>
      </c>
      <c r="U36">
        <f>IF(OR($N36&lt;Keys!$C$51,$N36&gt;Keys!$C$52),1,0)</f>
        <v>0</v>
      </c>
      <c r="V36">
        <f>IF(AND($E36=Keys!$C$60,$N36&lt;&gt;Keys!$C$51),1,0)</f>
        <v>0</v>
      </c>
      <c r="W36">
        <f>IF($L36&gt;Keys!$C$51,IF($K36/$L36&gt;Keys!$C$52,1,0),0)</f>
        <v>0</v>
      </c>
      <c r="X36" s="11">
        <f t="shared" si="3"/>
        <v>0.27454540349157441</v>
      </c>
    </row>
    <row r="37" spans="1:24" x14ac:dyDescent="0.25">
      <c r="A37" t="s">
        <v>63</v>
      </c>
      <c r="B37" t="s">
        <v>97</v>
      </c>
      <c r="C37" t="str">
        <f>VLOOKUP($B37,Keys!$F$2:$I$22,2,FALSE)</f>
        <v>jet fuel or kerosene</v>
      </c>
      <c r="D37">
        <f>VLOOKUP($B37,Keys!$F$2:$I$22,3,FALSE)</f>
        <v>0.10155994</v>
      </c>
      <c r="E37" t="str">
        <f>VLOOKUP($B37,Keys!$F$2:$I$22,4,FALSE)</f>
        <v>rule</v>
      </c>
      <c r="F37" t="str">
        <f>$A37&amp;Keys!$C$54&amp;$B37</f>
        <v>AR|jet fuel or kerosene</v>
      </c>
      <c r="G37" s="10">
        <f>IF($E37=Keys!$C$60,Keys!$C$51,INDEX(Balanced_2025!$D$9:$D$3032,MATCH($A37&amp;Keys!$C$54&amp;Keys!$C$55&amp;Keys!$C$54&amp;$C37,Balanced_2025!$E$9:$E$3032,0)))</f>
        <v>18494200000000</v>
      </c>
      <c r="H37" s="10">
        <f>IF($E37=Keys!$C$60,Keys!$C$51,INDEX(Balanced_2025!$D$9:$D$3032,MATCH($A37&amp;Keys!$C$54&amp;Keys!$C$56&amp;Keys!$C$54&amp;$C37,Balanced_2025!$E$9:$E$3032,0)))</f>
        <v>0</v>
      </c>
      <c r="I37" s="10">
        <f>IF($E37=Keys!$C$60,Keys!$C$51,INDEX(Balanced_2025!$D$9:$D$3032,MATCH($A37&amp;Keys!$C$54&amp;Keys!$C$57&amp;Keys!$C$54&amp;$C37,Balanced_2025!$E$9:$E$3032,0)))</f>
        <v>11570500000000</v>
      </c>
      <c r="J37" s="10">
        <f t="shared" si="0"/>
        <v>6923700000000</v>
      </c>
      <c r="K37" s="10">
        <f>MAX(Keys!$C$51,$I37-$H37)</f>
        <v>11570500000000</v>
      </c>
      <c r="L37" s="10">
        <f t="shared" si="1"/>
        <v>18494200000000</v>
      </c>
      <c r="M37" s="11">
        <f>IF($L37&gt;Keys!$C$51,MIN(Keys!$C$52,$K37/$L37),Keys!$C$51)</f>
        <v>0.62562857544527473</v>
      </c>
      <c r="N37" s="11">
        <f>IF($E37=Keys!$C$60,Keys!$C$51,IF($E37=Keys!$C$59,$D37,$M37))</f>
        <v>0.62562857544527473</v>
      </c>
      <c r="O37">
        <f t="shared" si="2"/>
        <v>1</v>
      </c>
      <c r="P37" s="10">
        <f>IF($E37=Keys!$C$60,Keys!$C$51,INDEX(Raw_BFPIaE!$G$9:$G$3032,MATCH($A37&amp;Keys!$C$54&amp;Keys!$C$55&amp;Keys!$C$54&amp;$B37,Raw_BFPIaE!$H$9:$H$3032,0)))</f>
        <v>18344766666666.668</v>
      </c>
      <c r="Q37" s="10">
        <f>IF($E37=Keys!$C$60,Keys!$C$51,INDEX(Raw_BFPIaE!$G$9:$G$3032,MATCH($A37&amp;Keys!$C$54&amp;Keys!$C$56&amp;Keys!$C$54&amp;$B37,Raw_BFPIaE!$H$9:$H$3032,0)))</f>
        <v>0</v>
      </c>
      <c r="R37" s="10">
        <f>IF($E37=Keys!$C$60,Keys!$C$51,INDEX(Raw_BFPIaE!$G$9:$G$3032,MATCH($A37&amp;Keys!$C$54&amp;Keys!$C$57&amp;Keys!$C$54&amp;$B37,Raw_BFPIaE!$H$9:$H$3032,0)))</f>
        <v>7498533333333.333</v>
      </c>
      <c r="S37" s="11">
        <f>IF(($P37+$Q37-$R37+MAX(Keys!$C$51,$R37-$Q37))&gt;Keys!$C$51,MIN(Keys!$C$52,MAX(Keys!$C$51,$R37-$Q37)/($P37+$Q37-$R37+MAX(Keys!$C$51,$R37-$Q37))),Keys!$C$51)</f>
        <v>0.40875599398920304</v>
      </c>
      <c r="T37">
        <f>IF(AND($I37&gt;$H37,ABS($L37-$G37)&gt;MAX(Keys!$C$62,ABS($G37)*Keys!$C$63)),1,0)</f>
        <v>0</v>
      </c>
      <c r="U37">
        <f>IF(OR($N37&lt;Keys!$C$51,$N37&gt;Keys!$C$52),1,0)</f>
        <v>0</v>
      </c>
      <c r="V37">
        <f>IF(AND($E37=Keys!$C$60,$N37&lt;&gt;Keys!$C$51),1,0)</f>
        <v>0</v>
      </c>
      <c r="W37">
        <f>IF($L37&gt;Keys!$C$51,IF($K37/$L37&gt;Keys!$C$52,1,0),0)</f>
        <v>0</v>
      </c>
      <c r="X37" s="11">
        <f t="shared" si="3"/>
        <v>0.21687258145607169</v>
      </c>
    </row>
    <row r="38" spans="1:24" x14ac:dyDescent="0.25">
      <c r="A38" t="s">
        <v>63</v>
      </c>
      <c r="B38" t="s">
        <v>100</v>
      </c>
      <c r="C38">
        <f>VLOOKUP($B38,Keys!$F$2:$I$22,2,FALSE)</f>
        <v>0</v>
      </c>
      <c r="D38">
        <f>VLOOKUP($B38,Keys!$F$2:$I$22,3,FALSE)</f>
        <v>0</v>
      </c>
      <c r="E38" t="str">
        <f>VLOOKUP($B38,Keys!$F$2:$I$22,4,FALSE)</f>
        <v>zero</v>
      </c>
      <c r="F38" t="str">
        <f>$A38&amp;Keys!$C$54&amp;$B38</f>
        <v>AR|heat (not used in this variable)</v>
      </c>
      <c r="G38" s="10">
        <f>IF($E38=Keys!$C$60,Keys!$C$51,INDEX(Balanced_2025!$D$9:$D$3032,MATCH($A38&amp;Keys!$C$54&amp;Keys!$C$55&amp;Keys!$C$54&amp;$C38,Balanced_2025!$E$9:$E$3032,0)))</f>
        <v>0</v>
      </c>
      <c r="H38" s="10">
        <f>IF($E38=Keys!$C$60,Keys!$C$51,INDEX(Balanced_2025!$D$9:$D$3032,MATCH($A38&amp;Keys!$C$54&amp;Keys!$C$56&amp;Keys!$C$54&amp;$C38,Balanced_2025!$E$9:$E$3032,0)))</f>
        <v>0</v>
      </c>
      <c r="I38" s="10">
        <f>IF($E38=Keys!$C$60,Keys!$C$51,INDEX(Balanced_2025!$D$9:$D$3032,MATCH($A38&amp;Keys!$C$54&amp;Keys!$C$57&amp;Keys!$C$54&amp;$C38,Balanced_2025!$E$9:$E$3032,0)))</f>
        <v>0</v>
      </c>
      <c r="J38" s="10">
        <f t="shared" si="0"/>
        <v>0</v>
      </c>
      <c r="K38" s="10">
        <f>MAX(Keys!$C$51,$I38-$H38)</f>
        <v>0</v>
      </c>
      <c r="L38" s="10">
        <f t="shared" si="1"/>
        <v>0</v>
      </c>
      <c r="M38" s="11">
        <f>IF($L38&gt;Keys!$C$51,MIN(Keys!$C$52,$K38/$L38),Keys!$C$51)</f>
        <v>0</v>
      </c>
      <c r="N38" s="11">
        <f>IF($E38=Keys!$C$60,Keys!$C$51,IF($E38=Keys!$C$59,$D38,$M38))</f>
        <v>0</v>
      </c>
      <c r="O38">
        <f t="shared" si="2"/>
        <v>0</v>
      </c>
      <c r="P38" s="10">
        <f>IF($E38=Keys!$C$60,Keys!$C$51,INDEX(Raw_BFPIaE!$G$9:$G$3032,MATCH($A38&amp;Keys!$C$54&amp;Keys!$C$55&amp;Keys!$C$54&amp;$B38,Raw_BFPIaE!$H$9:$H$3032,0)))</f>
        <v>0</v>
      </c>
      <c r="Q38" s="10">
        <f>IF($E38=Keys!$C$60,Keys!$C$51,INDEX(Raw_BFPIaE!$G$9:$G$3032,MATCH($A38&amp;Keys!$C$54&amp;Keys!$C$56&amp;Keys!$C$54&amp;$B38,Raw_BFPIaE!$H$9:$H$3032,0)))</f>
        <v>0</v>
      </c>
      <c r="R38" s="10">
        <f>IF($E38=Keys!$C$60,Keys!$C$51,INDEX(Raw_BFPIaE!$G$9:$G$3032,MATCH($A38&amp;Keys!$C$54&amp;Keys!$C$57&amp;Keys!$C$54&amp;$B38,Raw_BFPIaE!$H$9:$H$3032,0)))</f>
        <v>0</v>
      </c>
      <c r="S38" s="11">
        <f>IF(($P38+$Q38-$R38+MAX(Keys!$C$51,$R38-$Q38))&gt;Keys!$C$51,MIN(Keys!$C$52,MAX(Keys!$C$51,$R38-$Q38)/($P38+$Q38-$R38+MAX(Keys!$C$51,$R38-$Q38))),Keys!$C$51)</f>
        <v>0</v>
      </c>
      <c r="T38">
        <f>IF(AND($I38&gt;$H38,ABS($L38-$G38)&gt;MAX(Keys!$C$62,ABS($G38)*Keys!$C$63)),1,0)</f>
        <v>0</v>
      </c>
      <c r="U38">
        <f>IF(OR($N38&lt;Keys!$C$51,$N38&gt;Keys!$C$52),1,0)</f>
        <v>0</v>
      </c>
      <c r="V38">
        <f>IF(AND($E38=Keys!$C$60,$N38&lt;&gt;Keys!$C$51),1,0)</f>
        <v>0</v>
      </c>
      <c r="W38">
        <f>IF($L38&gt;Keys!$C$51,IF($K38/$L38&gt;Keys!$C$52,1,0),0)</f>
        <v>0</v>
      </c>
      <c r="X38" s="11">
        <f t="shared" si="3"/>
        <v>0</v>
      </c>
    </row>
    <row r="39" spans="1:24" x14ac:dyDescent="0.25">
      <c r="A39" t="s">
        <v>63</v>
      </c>
      <c r="B39" t="s">
        <v>103</v>
      </c>
      <c r="C39">
        <f>VLOOKUP($B39,Keys!$F$2:$I$22,2,FALSE)</f>
        <v>0</v>
      </c>
      <c r="D39">
        <f>VLOOKUP($B39,Keys!$F$2:$I$22,3,FALSE)</f>
        <v>0</v>
      </c>
      <c r="E39" t="str">
        <f>VLOOKUP($B39,Keys!$F$2:$I$22,4,FALSE)</f>
        <v>zero</v>
      </c>
      <c r="F39" t="str">
        <f>$A39&amp;Keys!$C$54&amp;$B39</f>
        <v>AR|geothermal (is not a fuel)</v>
      </c>
      <c r="G39" s="10">
        <f>IF($E39=Keys!$C$60,Keys!$C$51,INDEX(Balanced_2025!$D$9:$D$3032,MATCH($A39&amp;Keys!$C$54&amp;Keys!$C$55&amp;Keys!$C$54&amp;$C39,Balanced_2025!$E$9:$E$3032,0)))</f>
        <v>0</v>
      </c>
      <c r="H39" s="10">
        <f>IF($E39=Keys!$C$60,Keys!$C$51,INDEX(Balanced_2025!$D$9:$D$3032,MATCH($A39&amp;Keys!$C$54&amp;Keys!$C$56&amp;Keys!$C$54&amp;$C39,Balanced_2025!$E$9:$E$3032,0)))</f>
        <v>0</v>
      </c>
      <c r="I39" s="10">
        <f>IF($E39=Keys!$C$60,Keys!$C$51,INDEX(Balanced_2025!$D$9:$D$3032,MATCH($A39&amp;Keys!$C$54&amp;Keys!$C$57&amp;Keys!$C$54&amp;$C39,Balanced_2025!$E$9:$E$3032,0)))</f>
        <v>0</v>
      </c>
      <c r="J39" s="10">
        <f t="shared" si="0"/>
        <v>0</v>
      </c>
      <c r="K39" s="10">
        <f>MAX(Keys!$C$51,$I39-$H39)</f>
        <v>0</v>
      </c>
      <c r="L39" s="10">
        <f t="shared" si="1"/>
        <v>0</v>
      </c>
      <c r="M39" s="11">
        <f>IF($L39&gt;Keys!$C$51,MIN(Keys!$C$52,$K39/$L39),Keys!$C$51)</f>
        <v>0</v>
      </c>
      <c r="N39" s="11">
        <f>IF($E39=Keys!$C$60,Keys!$C$51,IF($E39=Keys!$C$59,$D39,$M39))</f>
        <v>0</v>
      </c>
      <c r="O39">
        <f t="shared" si="2"/>
        <v>0</v>
      </c>
      <c r="P39" s="10">
        <f>IF($E39=Keys!$C$60,Keys!$C$51,INDEX(Raw_BFPIaE!$G$9:$G$3032,MATCH($A39&amp;Keys!$C$54&amp;Keys!$C$55&amp;Keys!$C$54&amp;$B39,Raw_BFPIaE!$H$9:$H$3032,0)))</f>
        <v>0</v>
      </c>
      <c r="Q39" s="10">
        <f>IF($E39=Keys!$C$60,Keys!$C$51,INDEX(Raw_BFPIaE!$G$9:$G$3032,MATCH($A39&amp;Keys!$C$54&amp;Keys!$C$56&amp;Keys!$C$54&amp;$B39,Raw_BFPIaE!$H$9:$H$3032,0)))</f>
        <v>0</v>
      </c>
      <c r="R39" s="10">
        <f>IF($E39=Keys!$C$60,Keys!$C$51,INDEX(Raw_BFPIaE!$G$9:$G$3032,MATCH($A39&amp;Keys!$C$54&amp;Keys!$C$57&amp;Keys!$C$54&amp;$B39,Raw_BFPIaE!$H$9:$H$3032,0)))</f>
        <v>0</v>
      </c>
      <c r="S39" s="11">
        <f>IF(($P39+$Q39-$R39+MAX(Keys!$C$51,$R39-$Q39))&gt;Keys!$C$51,MIN(Keys!$C$52,MAX(Keys!$C$51,$R39-$Q39)/($P39+$Q39-$R39+MAX(Keys!$C$51,$R39-$Q39))),Keys!$C$51)</f>
        <v>0</v>
      </c>
      <c r="T39">
        <f>IF(AND($I39&gt;$H39,ABS($L39-$G39)&gt;MAX(Keys!$C$62,ABS($G39)*Keys!$C$63)),1,0)</f>
        <v>0</v>
      </c>
      <c r="U39">
        <f>IF(OR($N39&lt;Keys!$C$51,$N39&gt;Keys!$C$52),1,0)</f>
        <v>0</v>
      </c>
      <c r="V39">
        <f>IF(AND($E39=Keys!$C$60,$N39&lt;&gt;Keys!$C$51),1,0)</f>
        <v>0</v>
      </c>
      <c r="W39">
        <f>IF($L39&gt;Keys!$C$51,IF($K39/$L39&gt;Keys!$C$52,1,0),0)</f>
        <v>0</v>
      </c>
      <c r="X39" s="11">
        <f t="shared" si="3"/>
        <v>0</v>
      </c>
    </row>
    <row r="40" spans="1:24" x14ac:dyDescent="0.25">
      <c r="A40" t="s">
        <v>63</v>
      </c>
      <c r="B40" t="s">
        <v>106</v>
      </c>
      <c r="C40" t="str">
        <f>VLOOKUP($B40,Keys!$F$2:$I$22,2,FALSE)</f>
        <v>lignite</v>
      </c>
      <c r="D40">
        <f>VLOOKUP($B40,Keys!$F$2:$I$22,3,FALSE)</f>
        <v>0</v>
      </c>
      <c r="E40" t="str">
        <f>VLOOKUP($B40,Keys!$F$2:$I$22,4,FALSE)</f>
        <v>rule</v>
      </c>
      <c r="F40" t="str">
        <f>$A40&amp;Keys!$C$54&amp;$B40</f>
        <v>AR|lignite</v>
      </c>
      <c r="G40" s="10">
        <f>IF($E40=Keys!$C$60,Keys!$C$51,INDEX(Balanced_2025!$D$9:$D$3032,MATCH($A40&amp;Keys!$C$54&amp;Keys!$C$55&amp;Keys!$C$54&amp;$C40,Balanced_2025!$E$9:$E$3032,0)))</f>
        <v>0</v>
      </c>
      <c r="H40" s="10">
        <f>IF($E40=Keys!$C$60,Keys!$C$51,INDEX(Balanced_2025!$D$9:$D$3032,MATCH($A40&amp;Keys!$C$54&amp;Keys!$C$56&amp;Keys!$C$54&amp;$C40,Balanced_2025!$E$9:$E$3032,0)))</f>
        <v>0</v>
      </c>
      <c r="I40" s="10">
        <f>IF($E40=Keys!$C$60,Keys!$C$51,INDEX(Balanced_2025!$D$9:$D$3032,MATCH($A40&amp;Keys!$C$54&amp;Keys!$C$57&amp;Keys!$C$54&amp;$C40,Balanced_2025!$E$9:$E$3032,0)))</f>
        <v>0</v>
      </c>
      <c r="J40" s="10">
        <f t="shared" si="0"/>
        <v>0</v>
      </c>
      <c r="K40" s="10">
        <f>MAX(Keys!$C$51,$I40-$H40)</f>
        <v>0</v>
      </c>
      <c r="L40" s="10">
        <f t="shared" si="1"/>
        <v>0</v>
      </c>
      <c r="M40" s="11">
        <f>IF($L40&gt;Keys!$C$51,MIN(Keys!$C$52,$K40/$L40),Keys!$C$51)</f>
        <v>0</v>
      </c>
      <c r="N40" s="11">
        <f>IF($E40=Keys!$C$60,Keys!$C$51,IF($E40=Keys!$C$59,$D40,$M40))</f>
        <v>0</v>
      </c>
      <c r="O40">
        <f t="shared" si="2"/>
        <v>0</v>
      </c>
      <c r="P40" s="10">
        <f>IF($E40=Keys!$C$60,Keys!$C$51,INDEX(Raw_BFPIaE!$G$9:$G$3032,MATCH($A40&amp;Keys!$C$54&amp;Keys!$C$55&amp;Keys!$C$54&amp;$B40,Raw_BFPIaE!$H$9:$H$3032,0)))</f>
        <v>0</v>
      </c>
      <c r="Q40" s="10">
        <f>IF($E40=Keys!$C$60,Keys!$C$51,INDEX(Raw_BFPIaE!$G$9:$G$3032,MATCH($A40&amp;Keys!$C$54&amp;Keys!$C$56&amp;Keys!$C$54&amp;$B40,Raw_BFPIaE!$H$9:$H$3032,0)))</f>
        <v>0</v>
      </c>
      <c r="R40" s="10">
        <f>IF($E40=Keys!$C$60,Keys!$C$51,INDEX(Raw_BFPIaE!$G$9:$G$3032,MATCH($A40&amp;Keys!$C$54&amp;Keys!$C$57&amp;Keys!$C$54&amp;$B40,Raw_BFPIaE!$H$9:$H$3032,0)))</f>
        <v>0</v>
      </c>
      <c r="S40" s="11">
        <f>IF(($P40+$Q40-$R40+MAX(Keys!$C$51,$R40-$Q40))&gt;Keys!$C$51,MIN(Keys!$C$52,MAX(Keys!$C$51,$R40-$Q40)/($P40+$Q40-$R40+MAX(Keys!$C$51,$R40-$Q40))),Keys!$C$51)</f>
        <v>0</v>
      </c>
      <c r="T40">
        <f>IF(AND($I40&gt;$H40,ABS($L40-$G40)&gt;MAX(Keys!$C$62,ABS($G40)*Keys!$C$63)),1,0)</f>
        <v>0</v>
      </c>
      <c r="U40">
        <f>IF(OR($N40&lt;Keys!$C$51,$N40&gt;Keys!$C$52),1,0)</f>
        <v>0</v>
      </c>
      <c r="V40">
        <f>IF(AND($E40=Keys!$C$60,$N40&lt;&gt;Keys!$C$51),1,0)</f>
        <v>0</v>
      </c>
      <c r="W40">
        <f>IF($L40&gt;Keys!$C$51,IF($K40/$L40&gt;Keys!$C$52,1,0),0)</f>
        <v>0</v>
      </c>
      <c r="X40" s="11">
        <f t="shared" si="3"/>
        <v>0</v>
      </c>
    </row>
    <row r="41" spans="1:24" x14ac:dyDescent="0.25">
      <c r="A41" t="s">
        <v>63</v>
      </c>
      <c r="B41" t="s">
        <v>109</v>
      </c>
      <c r="C41" t="str">
        <f>VLOOKUP($B41,Keys!$F$2:$I$22,2,FALSE)</f>
        <v>crude oil</v>
      </c>
      <c r="D41">
        <f>VLOOKUP($B41,Keys!$F$2:$I$22,3,FALSE)</f>
        <v>1</v>
      </c>
      <c r="E41" t="str">
        <f>VLOOKUP($B41,Keys!$F$2:$I$22,4,FALSE)</f>
        <v>hold</v>
      </c>
      <c r="F41" t="str">
        <f>$A41&amp;Keys!$C$54&amp;$B41</f>
        <v>AR|crude oil</v>
      </c>
      <c r="G41" s="10">
        <f>IF($E41=Keys!$C$60,Keys!$C$51,INDEX(Balanced_2025!$D$9:$D$3032,MATCH($A41&amp;Keys!$C$54&amp;Keys!$C$55&amp;Keys!$C$54&amp;$C41,Balanced_2025!$E$9:$E$3032,0)))</f>
        <v>23582800000000</v>
      </c>
      <c r="H41" s="10">
        <f>IF($E41=Keys!$C$60,Keys!$C$51,INDEX(Balanced_2025!$D$9:$D$3032,MATCH($A41&amp;Keys!$C$54&amp;Keys!$C$56&amp;Keys!$C$54&amp;$C41,Balanced_2025!$E$9:$E$3032,0)))</f>
        <v>154204000000000</v>
      </c>
      <c r="I41" s="10">
        <f>IF($E41=Keys!$C$60,Keys!$C$51,INDEX(Balanced_2025!$D$9:$D$3032,MATCH($A41&amp;Keys!$C$54&amp;Keys!$C$57&amp;Keys!$C$54&amp;$C41,Balanced_2025!$E$9:$E$3032,0)))</f>
        <v>0</v>
      </c>
      <c r="J41" s="10">
        <f t="shared" si="0"/>
        <v>177786800000000</v>
      </c>
      <c r="K41" s="10">
        <f>MAX(Keys!$C$51,$I41-$H41)</f>
        <v>0</v>
      </c>
      <c r="L41" s="10">
        <f t="shared" si="1"/>
        <v>177786800000000</v>
      </c>
      <c r="M41" s="11">
        <f>IF($L41&gt;Keys!$C$51,MIN(Keys!$C$52,$K41/$L41),Keys!$C$51)</f>
        <v>0</v>
      </c>
      <c r="N41" s="11">
        <f>IF($E41=Keys!$C$60,Keys!$C$51,IF($E41=Keys!$C$59,$D41,$M41))</f>
        <v>1</v>
      </c>
      <c r="O41">
        <f t="shared" si="2"/>
        <v>0</v>
      </c>
      <c r="P41" s="10">
        <f>IF($E41=Keys!$C$60,Keys!$C$51,INDEX(Raw_BFPIaE!$G$9:$G$3032,MATCH($A41&amp;Keys!$C$54&amp;Keys!$C$55&amp;Keys!$C$54&amp;$B41,Raw_BFPIaE!$H$9:$H$3032,0)))</f>
        <v>23341833333333.332</v>
      </c>
      <c r="Q41" s="10">
        <f>IF($E41=Keys!$C$60,Keys!$C$51,INDEX(Raw_BFPIaE!$G$9:$G$3032,MATCH($A41&amp;Keys!$C$54&amp;Keys!$C$56&amp;Keys!$C$54&amp;$B41,Raw_BFPIaE!$H$9:$H$3032,0)))</f>
        <v>103043666666666.67</v>
      </c>
      <c r="R41" s="10">
        <f>IF($E41=Keys!$C$60,Keys!$C$51,INDEX(Raw_BFPIaE!$G$9:$G$3032,MATCH($A41&amp;Keys!$C$54&amp;Keys!$C$57&amp;Keys!$C$54&amp;$B41,Raw_BFPIaE!$H$9:$H$3032,0)))</f>
        <v>0</v>
      </c>
      <c r="S41" s="11">
        <f>IF(($P41+$Q41-$R41+MAX(Keys!$C$51,$R41-$Q41))&gt;Keys!$C$51,MIN(Keys!$C$52,MAX(Keys!$C$51,$R41-$Q41)/($P41+$Q41-$R41+MAX(Keys!$C$51,$R41-$Q41))),Keys!$C$51)</f>
        <v>0</v>
      </c>
      <c r="T41">
        <f>IF(AND($I41&gt;$H41,ABS($L41-$G41)&gt;MAX(Keys!$C$62,ABS($G41)*Keys!$C$63)),1,0)</f>
        <v>0</v>
      </c>
      <c r="U41">
        <f>IF(OR($N41&lt;Keys!$C$51,$N41&gt;Keys!$C$52),1,0)</f>
        <v>0</v>
      </c>
      <c r="V41">
        <f>IF(AND($E41=Keys!$C$60,$N41&lt;&gt;Keys!$C$51),1,0)</f>
        <v>0</v>
      </c>
      <c r="W41">
        <f>IF($L41&gt;Keys!$C$51,IF($K41/$L41&gt;Keys!$C$52,1,0),0)</f>
        <v>0</v>
      </c>
      <c r="X41" s="11">
        <f t="shared" si="3"/>
        <v>0</v>
      </c>
    </row>
    <row r="42" spans="1:24" x14ac:dyDescent="0.25">
      <c r="A42" t="s">
        <v>63</v>
      </c>
      <c r="B42" t="s">
        <v>113</v>
      </c>
      <c r="C42" t="str">
        <f>VLOOKUP($B42,Keys!$F$2:$I$22,2,FALSE)</f>
        <v>heavy or residual fuel oil</v>
      </c>
      <c r="D42">
        <f>VLOOKUP($B42,Keys!$F$2:$I$22,3,FALSE)</f>
        <v>0.49914171099999999</v>
      </c>
      <c r="E42" t="str">
        <f>VLOOKUP($B42,Keys!$F$2:$I$22,4,FALSE)</f>
        <v>rule</v>
      </c>
      <c r="F42" t="str">
        <f>$A42&amp;Keys!$C$54&amp;$B42</f>
        <v>AR|heavy fuel oil</v>
      </c>
      <c r="G42" s="10">
        <f>IF($E42=Keys!$C$60,Keys!$C$51,INDEX(Balanced_2025!$D$9:$D$3032,MATCH($A42&amp;Keys!$C$54&amp;Keys!$C$55&amp;Keys!$C$54&amp;$C42,Balanced_2025!$E$9:$E$3032,0)))</f>
        <v>3592560000000</v>
      </c>
      <c r="H42" s="10">
        <f>IF($E42=Keys!$C$60,Keys!$C$51,INDEX(Balanced_2025!$D$9:$D$3032,MATCH($A42&amp;Keys!$C$54&amp;Keys!$C$56&amp;Keys!$C$54&amp;$C42,Balanced_2025!$E$9:$E$3032,0)))</f>
        <v>7985340000000</v>
      </c>
      <c r="I42" s="10">
        <f>IF($E42=Keys!$C$60,Keys!$C$51,INDEX(Balanced_2025!$D$9:$D$3032,MATCH($A42&amp;Keys!$C$54&amp;Keys!$C$57&amp;Keys!$C$54&amp;$C42,Balanced_2025!$E$9:$E$3032,0)))</f>
        <v>0</v>
      </c>
      <c r="J42" s="10">
        <f t="shared" si="0"/>
        <v>11577900000000</v>
      </c>
      <c r="K42" s="10">
        <f>MAX(Keys!$C$51,$I42-$H42)</f>
        <v>0</v>
      </c>
      <c r="L42" s="10">
        <f t="shared" si="1"/>
        <v>11577900000000</v>
      </c>
      <c r="M42" s="11">
        <f>IF($L42&gt;Keys!$C$51,MIN(Keys!$C$52,$K42/$L42),Keys!$C$51)</f>
        <v>0</v>
      </c>
      <c r="N42" s="11">
        <f>IF($E42=Keys!$C$60,Keys!$C$51,IF($E42=Keys!$C$59,$D42,$M42))</f>
        <v>0</v>
      </c>
      <c r="O42">
        <f t="shared" si="2"/>
        <v>1</v>
      </c>
      <c r="P42" s="10">
        <f>IF($E42=Keys!$C$60,Keys!$C$51,INDEX(Raw_BFPIaE!$G$9:$G$3032,MATCH($A42&amp;Keys!$C$54&amp;Keys!$C$55&amp;Keys!$C$54&amp;$B42,Raw_BFPIaE!$H$9:$H$3032,0)))</f>
        <v>3563533333333.3335</v>
      </c>
      <c r="Q42" s="10">
        <f>IF($E42=Keys!$C$60,Keys!$C$51,INDEX(Raw_BFPIaE!$G$9:$G$3032,MATCH($A42&amp;Keys!$C$54&amp;Keys!$C$56&amp;Keys!$C$54&amp;$B42,Raw_BFPIaE!$H$9:$H$3032,0)))</f>
        <v>5434893333333.333</v>
      </c>
      <c r="R42" s="10">
        <f>IF($E42=Keys!$C$60,Keys!$C$51,INDEX(Raw_BFPIaE!$G$9:$G$3032,MATCH($A42&amp;Keys!$C$54&amp;Keys!$C$57&amp;Keys!$C$54&amp;$B42,Raw_BFPIaE!$H$9:$H$3032,0)))</f>
        <v>0</v>
      </c>
      <c r="S42" s="11">
        <f>IF(($P42+$Q42-$R42+MAX(Keys!$C$51,$R42-$Q42))&gt;Keys!$C$51,MIN(Keys!$C$52,MAX(Keys!$C$51,$R42-$Q42)/($P42+$Q42-$R42+MAX(Keys!$C$51,$R42-$Q42))),Keys!$C$51)</f>
        <v>0</v>
      </c>
      <c r="T42">
        <f>IF(AND($I42&gt;$H42,ABS($L42-$G42)&gt;MAX(Keys!$C$62,ABS($G42)*Keys!$C$63)),1,0)</f>
        <v>0</v>
      </c>
      <c r="U42">
        <f>IF(OR($N42&lt;Keys!$C$51,$N42&gt;Keys!$C$52),1,0)</f>
        <v>0</v>
      </c>
      <c r="V42">
        <f>IF(AND($E42=Keys!$C$60,$N42&lt;&gt;Keys!$C$51),1,0)</f>
        <v>0</v>
      </c>
      <c r="W42">
        <f>IF($L42&gt;Keys!$C$51,IF($K42/$L42&gt;Keys!$C$52,1,0),0)</f>
        <v>0</v>
      </c>
      <c r="X42" s="11">
        <f t="shared" si="3"/>
        <v>0</v>
      </c>
    </row>
    <row r="43" spans="1:24" x14ac:dyDescent="0.25">
      <c r="A43" t="s">
        <v>63</v>
      </c>
      <c r="B43" t="s">
        <v>117</v>
      </c>
      <c r="C43" t="str">
        <f>VLOOKUP($B43,Keys!$F$2:$I$22,2,FALSE)</f>
        <v>LPG propane or butane</v>
      </c>
      <c r="D43">
        <f>VLOOKUP($B43,Keys!$F$2:$I$22,3,FALSE)</f>
        <v>0.54955999499999997</v>
      </c>
      <c r="E43" t="str">
        <f>VLOOKUP($B43,Keys!$F$2:$I$22,4,FALSE)</f>
        <v>rule</v>
      </c>
      <c r="F43" t="str">
        <f>$A43&amp;Keys!$C$54&amp;$B43</f>
        <v>AR|LPG propane or butane</v>
      </c>
      <c r="G43" s="10">
        <f>IF($E43=Keys!$C$60,Keys!$C$51,INDEX(Balanced_2025!$D$9:$D$3032,MATCH($A43&amp;Keys!$C$54&amp;Keys!$C$55&amp;Keys!$C$54&amp;$C43,Balanced_2025!$E$9:$E$3032,0)))</f>
        <v>45025800000000</v>
      </c>
      <c r="H43" s="10">
        <f>IF($E43=Keys!$C$60,Keys!$C$51,INDEX(Balanced_2025!$D$9:$D$3032,MATCH($A43&amp;Keys!$C$54&amp;Keys!$C$56&amp;Keys!$C$54&amp;$C43,Balanced_2025!$E$9:$E$3032,0)))</f>
        <v>0</v>
      </c>
      <c r="I43" s="10">
        <f>IF($E43=Keys!$C$60,Keys!$C$51,INDEX(Balanced_2025!$D$9:$D$3032,MATCH($A43&amp;Keys!$C$54&amp;Keys!$C$57&amp;Keys!$C$54&amp;$C43,Balanced_2025!$E$9:$E$3032,0)))</f>
        <v>37155700000000</v>
      </c>
      <c r="J43" s="10">
        <f t="shared" si="0"/>
        <v>7870100000000</v>
      </c>
      <c r="K43" s="10">
        <f>MAX(Keys!$C$51,$I43-$H43)</f>
        <v>37155700000000</v>
      </c>
      <c r="L43" s="10">
        <f t="shared" si="1"/>
        <v>45025800000000</v>
      </c>
      <c r="M43" s="11">
        <f>IF($L43&gt;Keys!$C$51,MIN(Keys!$C$52,$K43/$L43),Keys!$C$51)</f>
        <v>0.82520910233688238</v>
      </c>
      <c r="N43" s="11">
        <f>IF($E43=Keys!$C$60,Keys!$C$51,IF($E43=Keys!$C$59,$D43,$M43))</f>
        <v>0.82520910233688238</v>
      </c>
      <c r="O43">
        <f t="shared" si="2"/>
        <v>1</v>
      </c>
      <c r="P43" s="10">
        <f>IF($E43=Keys!$C$60,Keys!$C$51,INDEX(Raw_BFPIaE!$G$9:$G$3032,MATCH($A43&amp;Keys!$C$54&amp;Keys!$C$55&amp;Keys!$C$54&amp;$B43,Raw_BFPIaE!$H$9:$H$3032,0)))</f>
        <v>45344500000000</v>
      </c>
      <c r="Q43" s="10">
        <f>IF($E43=Keys!$C$60,Keys!$C$51,INDEX(Raw_BFPIaE!$G$9:$G$3032,MATCH($A43&amp;Keys!$C$54&amp;Keys!$C$56&amp;Keys!$C$54&amp;$B43,Raw_BFPIaE!$H$9:$H$3032,0)))</f>
        <v>0</v>
      </c>
      <c r="R43" s="10">
        <f>IF($E43=Keys!$C$60,Keys!$C$51,INDEX(Raw_BFPIaE!$G$9:$G$3032,MATCH($A43&amp;Keys!$C$54&amp;Keys!$C$57&amp;Keys!$C$54&amp;$B43,Raw_BFPIaE!$H$9:$H$3032,0)))</f>
        <v>25125366666666.668</v>
      </c>
      <c r="S43" s="11">
        <f>IF(($P43+$Q43-$R43+MAX(Keys!$C$51,$R43-$Q43))&gt;Keys!$C$51,MIN(Keys!$C$52,MAX(Keys!$C$51,$R43-$Q43)/($P43+$Q43-$R43+MAX(Keys!$C$51,$R43-$Q43))),Keys!$C$51)</f>
        <v>0.55409954165701836</v>
      </c>
      <c r="T43">
        <f>IF(AND($I43&gt;$H43,ABS($L43-$G43)&gt;MAX(Keys!$C$62,ABS($G43)*Keys!$C$63)),1,0)</f>
        <v>0</v>
      </c>
      <c r="U43">
        <f>IF(OR($N43&lt;Keys!$C$51,$N43&gt;Keys!$C$52),1,0)</f>
        <v>0</v>
      </c>
      <c r="V43">
        <f>IF(AND($E43=Keys!$C$60,$N43&lt;&gt;Keys!$C$51),1,0)</f>
        <v>0</v>
      </c>
      <c r="W43">
        <f>IF($L43&gt;Keys!$C$51,IF($K43/$L43&gt;Keys!$C$52,1,0),0)</f>
        <v>0</v>
      </c>
      <c r="X43" s="11">
        <f t="shared" si="3"/>
        <v>0.27110956067986403</v>
      </c>
    </row>
    <row r="44" spans="1:24" x14ac:dyDescent="0.25">
      <c r="A44" t="s">
        <v>63</v>
      </c>
      <c r="B44" t="s">
        <v>120</v>
      </c>
      <c r="C44">
        <f>VLOOKUP($B44,Keys!$F$2:$I$22,2,FALSE)</f>
        <v>0</v>
      </c>
      <c r="D44">
        <f>VLOOKUP($B44,Keys!$F$2:$I$22,3,FALSE)</f>
        <v>0</v>
      </c>
      <c r="E44" t="str">
        <f>VLOOKUP($B44,Keys!$F$2:$I$22,4,FALSE)</f>
        <v>zero</v>
      </c>
      <c r="F44" t="str">
        <f>$A44&amp;Keys!$C$54&amp;$B44</f>
        <v>AR|municipal solid waste</v>
      </c>
      <c r="G44" s="10">
        <f>IF($E44=Keys!$C$60,Keys!$C$51,INDEX(Balanced_2025!$D$9:$D$3032,MATCH($A44&amp;Keys!$C$54&amp;Keys!$C$55&amp;Keys!$C$54&amp;$C44,Balanced_2025!$E$9:$E$3032,0)))</f>
        <v>0</v>
      </c>
      <c r="H44" s="10">
        <f>IF($E44=Keys!$C$60,Keys!$C$51,INDEX(Balanced_2025!$D$9:$D$3032,MATCH($A44&amp;Keys!$C$54&amp;Keys!$C$56&amp;Keys!$C$54&amp;$C44,Balanced_2025!$E$9:$E$3032,0)))</f>
        <v>0</v>
      </c>
      <c r="I44" s="10">
        <f>IF($E44=Keys!$C$60,Keys!$C$51,INDEX(Balanced_2025!$D$9:$D$3032,MATCH($A44&amp;Keys!$C$54&amp;Keys!$C$57&amp;Keys!$C$54&amp;$C44,Balanced_2025!$E$9:$E$3032,0)))</f>
        <v>0</v>
      </c>
      <c r="J44" s="10">
        <f t="shared" si="0"/>
        <v>0</v>
      </c>
      <c r="K44" s="10">
        <f>MAX(Keys!$C$51,$I44-$H44)</f>
        <v>0</v>
      </c>
      <c r="L44" s="10">
        <f t="shared" si="1"/>
        <v>0</v>
      </c>
      <c r="M44" s="11">
        <f>IF($L44&gt;Keys!$C$51,MIN(Keys!$C$52,$K44/$L44),Keys!$C$51)</f>
        <v>0</v>
      </c>
      <c r="N44" s="11">
        <f>IF($E44=Keys!$C$60,Keys!$C$51,IF($E44=Keys!$C$59,$D44,$M44))</f>
        <v>0</v>
      </c>
      <c r="O44">
        <f t="shared" si="2"/>
        <v>0</v>
      </c>
      <c r="P44" s="10">
        <f>IF($E44=Keys!$C$60,Keys!$C$51,INDEX(Raw_BFPIaE!$G$9:$G$3032,MATCH($A44&amp;Keys!$C$54&amp;Keys!$C$55&amp;Keys!$C$54&amp;$B44,Raw_BFPIaE!$H$9:$H$3032,0)))</f>
        <v>0</v>
      </c>
      <c r="Q44" s="10">
        <f>IF($E44=Keys!$C$60,Keys!$C$51,INDEX(Raw_BFPIaE!$G$9:$G$3032,MATCH($A44&amp;Keys!$C$54&amp;Keys!$C$56&amp;Keys!$C$54&amp;$B44,Raw_BFPIaE!$H$9:$H$3032,0)))</f>
        <v>0</v>
      </c>
      <c r="R44" s="10">
        <f>IF($E44=Keys!$C$60,Keys!$C$51,INDEX(Raw_BFPIaE!$G$9:$G$3032,MATCH($A44&amp;Keys!$C$54&amp;Keys!$C$57&amp;Keys!$C$54&amp;$B44,Raw_BFPIaE!$H$9:$H$3032,0)))</f>
        <v>0</v>
      </c>
      <c r="S44" s="11">
        <f>IF(($P44+$Q44-$R44+MAX(Keys!$C$51,$R44-$Q44))&gt;Keys!$C$51,MIN(Keys!$C$52,MAX(Keys!$C$51,$R44-$Q44)/($P44+$Q44-$R44+MAX(Keys!$C$51,$R44-$Q44))),Keys!$C$51)</f>
        <v>0</v>
      </c>
      <c r="T44">
        <f>IF(AND($I44&gt;$H44,ABS($L44-$G44)&gt;MAX(Keys!$C$62,ABS($G44)*Keys!$C$63)),1,0)</f>
        <v>0</v>
      </c>
      <c r="U44">
        <f>IF(OR($N44&lt;Keys!$C$51,$N44&gt;Keys!$C$52),1,0)</f>
        <v>0</v>
      </c>
      <c r="V44">
        <f>IF(AND($E44=Keys!$C$60,$N44&lt;&gt;Keys!$C$51),1,0)</f>
        <v>0</v>
      </c>
      <c r="W44">
        <f>IF($L44&gt;Keys!$C$51,IF($K44/$L44&gt;Keys!$C$52,1,0),0)</f>
        <v>0</v>
      </c>
      <c r="X44" s="11">
        <f t="shared" si="3"/>
        <v>0</v>
      </c>
    </row>
    <row r="45" spans="1:24" x14ac:dyDescent="0.25">
      <c r="A45" t="s">
        <v>63</v>
      </c>
      <c r="B45" t="s">
        <v>123</v>
      </c>
      <c r="C45">
        <f>VLOOKUP($B45,Keys!$F$2:$I$22,2,FALSE)</f>
        <v>0</v>
      </c>
      <c r="D45">
        <f>VLOOKUP($B45,Keys!$F$2:$I$22,3,FALSE)</f>
        <v>0</v>
      </c>
      <c r="E45" t="str">
        <f>VLOOKUP($B45,Keys!$F$2:$I$22,4,FALSE)</f>
        <v>zero</v>
      </c>
      <c r="F45" t="str">
        <f>$A45&amp;Keys!$C$54&amp;$B45</f>
        <v>AR|hydrogen</v>
      </c>
      <c r="G45" s="10">
        <f>IF($E45=Keys!$C$60,Keys!$C$51,INDEX(Balanced_2025!$D$9:$D$3032,MATCH($A45&amp;Keys!$C$54&amp;Keys!$C$55&amp;Keys!$C$54&amp;$C45,Balanced_2025!$E$9:$E$3032,0)))</f>
        <v>0</v>
      </c>
      <c r="H45" s="10">
        <f>IF($E45=Keys!$C$60,Keys!$C$51,INDEX(Balanced_2025!$D$9:$D$3032,MATCH($A45&amp;Keys!$C$54&amp;Keys!$C$56&amp;Keys!$C$54&amp;$C45,Balanced_2025!$E$9:$E$3032,0)))</f>
        <v>0</v>
      </c>
      <c r="I45" s="10">
        <f>IF($E45=Keys!$C$60,Keys!$C$51,INDEX(Balanced_2025!$D$9:$D$3032,MATCH($A45&amp;Keys!$C$54&amp;Keys!$C$57&amp;Keys!$C$54&amp;$C45,Balanced_2025!$E$9:$E$3032,0)))</f>
        <v>0</v>
      </c>
      <c r="J45" s="10">
        <f t="shared" si="0"/>
        <v>0</v>
      </c>
      <c r="K45" s="10">
        <f>MAX(Keys!$C$51,$I45-$H45)</f>
        <v>0</v>
      </c>
      <c r="L45" s="10">
        <f t="shared" si="1"/>
        <v>0</v>
      </c>
      <c r="M45" s="11">
        <f>IF($L45&gt;Keys!$C$51,MIN(Keys!$C$52,$K45/$L45),Keys!$C$51)</f>
        <v>0</v>
      </c>
      <c r="N45" s="11">
        <f>IF($E45=Keys!$C$60,Keys!$C$51,IF($E45=Keys!$C$59,$D45,$M45))</f>
        <v>0</v>
      </c>
      <c r="O45">
        <f t="shared" si="2"/>
        <v>0</v>
      </c>
      <c r="P45" s="10">
        <f>IF($E45=Keys!$C$60,Keys!$C$51,INDEX(Raw_BFPIaE!$G$9:$G$3032,MATCH($A45&amp;Keys!$C$54&amp;Keys!$C$55&amp;Keys!$C$54&amp;$B45,Raw_BFPIaE!$H$9:$H$3032,0)))</f>
        <v>0</v>
      </c>
      <c r="Q45" s="10">
        <f>IF($E45=Keys!$C$60,Keys!$C$51,INDEX(Raw_BFPIaE!$G$9:$G$3032,MATCH($A45&amp;Keys!$C$54&amp;Keys!$C$56&amp;Keys!$C$54&amp;$B45,Raw_BFPIaE!$H$9:$H$3032,0)))</f>
        <v>0</v>
      </c>
      <c r="R45" s="10">
        <f>IF($E45=Keys!$C$60,Keys!$C$51,INDEX(Raw_BFPIaE!$G$9:$G$3032,MATCH($A45&amp;Keys!$C$54&amp;Keys!$C$57&amp;Keys!$C$54&amp;$B45,Raw_BFPIaE!$H$9:$H$3032,0)))</f>
        <v>0</v>
      </c>
      <c r="S45" s="11">
        <f>IF(($P45+$Q45-$R45+MAX(Keys!$C$51,$R45-$Q45))&gt;Keys!$C$51,MIN(Keys!$C$52,MAX(Keys!$C$51,$R45-$Q45)/($P45+$Q45-$R45+MAX(Keys!$C$51,$R45-$Q45))),Keys!$C$51)</f>
        <v>0</v>
      </c>
      <c r="T45">
        <f>IF(AND($I45&gt;$H45,ABS($L45-$G45)&gt;MAX(Keys!$C$62,ABS($G45)*Keys!$C$63)),1,0)</f>
        <v>0</v>
      </c>
      <c r="U45">
        <f>IF(OR($N45&lt;Keys!$C$51,$N45&gt;Keys!$C$52),1,0)</f>
        <v>0</v>
      </c>
      <c r="V45">
        <f>IF(AND($E45=Keys!$C$60,$N45&lt;&gt;Keys!$C$51),1,0)</f>
        <v>0</v>
      </c>
      <c r="W45">
        <f>IF($L45&gt;Keys!$C$51,IF($K45/$L45&gt;Keys!$C$52,1,0),0)</f>
        <v>0</v>
      </c>
      <c r="X45" s="11">
        <f t="shared" si="3"/>
        <v>0</v>
      </c>
    </row>
    <row r="46" spans="1:24" x14ac:dyDescent="0.25">
      <c r="A46" t="s">
        <v>67</v>
      </c>
      <c r="B46" t="s">
        <v>60</v>
      </c>
      <c r="C46">
        <f>VLOOKUP($B46,Keys!$F$2:$I$22,2,FALSE)</f>
        <v>0</v>
      </c>
      <c r="D46">
        <f>VLOOKUP($B46,Keys!$F$2:$I$22,3,FALSE)</f>
        <v>0</v>
      </c>
      <c r="E46" t="str">
        <f>VLOOKUP($B46,Keys!$F$2:$I$22,4,FALSE)</f>
        <v>zero</v>
      </c>
      <c r="F46" t="str">
        <f>$A46&amp;Keys!$C$54&amp;$B46</f>
        <v>AZ|electricity (not used in this variable)</v>
      </c>
      <c r="G46" s="10">
        <f>IF($E46=Keys!$C$60,Keys!$C$51,INDEX(Balanced_2025!$D$9:$D$3032,MATCH($A46&amp;Keys!$C$54&amp;Keys!$C$55&amp;Keys!$C$54&amp;$C46,Balanced_2025!$E$9:$E$3032,0)))</f>
        <v>0</v>
      </c>
      <c r="H46" s="10">
        <f>IF($E46=Keys!$C$60,Keys!$C$51,INDEX(Balanced_2025!$D$9:$D$3032,MATCH($A46&amp;Keys!$C$54&amp;Keys!$C$56&amp;Keys!$C$54&amp;$C46,Balanced_2025!$E$9:$E$3032,0)))</f>
        <v>0</v>
      </c>
      <c r="I46" s="10">
        <f>IF($E46=Keys!$C$60,Keys!$C$51,INDEX(Balanced_2025!$D$9:$D$3032,MATCH($A46&amp;Keys!$C$54&amp;Keys!$C$57&amp;Keys!$C$54&amp;$C46,Balanced_2025!$E$9:$E$3032,0)))</f>
        <v>0</v>
      </c>
      <c r="J46" s="10">
        <f t="shared" si="0"/>
        <v>0</v>
      </c>
      <c r="K46" s="10">
        <f>MAX(Keys!$C$51,$I46-$H46)</f>
        <v>0</v>
      </c>
      <c r="L46" s="10">
        <f t="shared" si="1"/>
        <v>0</v>
      </c>
      <c r="M46" s="11">
        <f>IF($L46&gt;Keys!$C$51,MIN(Keys!$C$52,$K46/$L46),Keys!$C$51)</f>
        <v>0</v>
      </c>
      <c r="N46" s="11">
        <f>IF($E46=Keys!$C$60,Keys!$C$51,IF($E46=Keys!$C$59,$D46,$M46))</f>
        <v>0</v>
      </c>
      <c r="O46">
        <f t="shared" si="2"/>
        <v>0</v>
      </c>
      <c r="P46" s="10">
        <f>IF($E46=Keys!$C$60,Keys!$C$51,INDEX(Raw_BFPIaE!$G$9:$G$3032,MATCH($A46&amp;Keys!$C$54&amp;Keys!$C$55&amp;Keys!$C$54&amp;$B46,Raw_BFPIaE!$H$9:$H$3032,0)))</f>
        <v>0</v>
      </c>
      <c r="Q46" s="10">
        <f>IF($E46=Keys!$C$60,Keys!$C$51,INDEX(Raw_BFPIaE!$G$9:$G$3032,MATCH($A46&amp;Keys!$C$54&amp;Keys!$C$56&amp;Keys!$C$54&amp;$B46,Raw_BFPIaE!$H$9:$H$3032,0)))</f>
        <v>0</v>
      </c>
      <c r="R46" s="10">
        <f>IF($E46=Keys!$C$60,Keys!$C$51,INDEX(Raw_BFPIaE!$G$9:$G$3032,MATCH($A46&amp;Keys!$C$54&amp;Keys!$C$57&amp;Keys!$C$54&amp;$B46,Raw_BFPIaE!$H$9:$H$3032,0)))</f>
        <v>0</v>
      </c>
      <c r="S46" s="11">
        <f>IF(($P46+$Q46-$R46+MAX(Keys!$C$51,$R46-$Q46))&gt;Keys!$C$51,MIN(Keys!$C$52,MAX(Keys!$C$51,$R46-$Q46)/($P46+$Q46-$R46+MAX(Keys!$C$51,$R46-$Q46))),Keys!$C$51)</f>
        <v>0</v>
      </c>
      <c r="T46">
        <f>IF(AND($I46&gt;$H46,ABS($L46-$G46)&gt;MAX(Keys!$C$62,ABS($G46)*Keys!$C$63)),1,0)</f>
        <v>0</v>
      </c>
      <c r="U46">
        <f>IF(OR($N46&lt;Keys!$C$51,$N46&gt;Keys!$C$52),1,0)</f>
        <v>0</v>
      </c>
      <c r="V46">
        <f>IF(AND($E46=Keys!$C$60,$N46&lt;&gt;Keys!$C$51),1,0)</f>
        <v>0</v>
      </c>
      <c r="W46">
        <f>IF($L46&gt;Keys!$C$51,IF($K46/$L46&gt;Keys!$C$52,1,0),0)</f>
        <v>0</v>
      </c>
      <c r="X46" s="11">
        <f t="shared" si="3"/>
        <v>0</v>
      </c>
    </row>
    <row r="47" spans="1:24" x14ac:dyDescent="0.25">
      <c r="A47" t="s">
        <v>67</v>
      </c>
      <c r="B47" t="s">
        <v>64</v>
      </c>
      <c r="C47" t="str">
        <f>VLOOKUP($B47,Keys!$F$2:$I$22,2,FALSE)</f>
        <v>hard coal</v>
      </c>
      <c r="D47">
        <f>VLOOKUP($B47,Keys!$F$2:$I$22,3,FALSE)</f>
        <v>0.137539879</v>
      </c>
      <c r="E47" t="str">
        <f>VLOOKUP($B47,Keys!$F$2:$I$22,4,FALSE)</f>
        <v>rule</v>
      </c>
      <c r="F47" t="str">
        <f>$A47&amp;Keys!$C$54&amp;$B47</f>
        <v>AZ|hard coal</v>
      </c>
      <c r="G47" s="10">
        <f>IF($E47=Keys!$C$60,Keys!$C$51,INDEX(Balanced_2025!$D$9:$D$3032,MATCH($A47&amp;Keys!$C$54&amp;Keys!$C$55&amp;Keys!$C$54&amp;$C47,Balanced_2025!$E$9:$E$3032,0)))</f>
        <v>0</v>
      </c>
      <c r="H47" s="10">
        <f>IF($E47=Keys!$C$60,Keys!$C$51,INDEX(Balanced_2025!$D$9:$D$3032,MATCH($A47&amp;Keys!$C$54&amp;Keys!$C$56&amp;Keys!$C$54&amp;$C47,Balanced_2025!$E$9:$E$3032,0)))</f>
        <v>130866000000000</v>
      </c>
      <c r="I47" s="10">
        <f>IF($E47=Keys!$C$60,Keys!$C$51,INDEX(Balanced_2025!$D$9:$D$3032,MATCH($A47&amp;Keys!$C$54&amp;Keys!$C$57&amp;Keys!$C$54&amp;$C47,Balanced_2025!$E$9:$E$3032,0)))</f>
        <v>0</v>
      </c>
      <c r="J47" s="10">
        <f t="shared" si="0"/>
        <v>130866000000000</v>
      </c>
      <c r="K47" s="10">
        <f>MAX(Keys!$C$51,$I47-$H47)</f>
        <v>0</v>
      </c>
      <c r="L47" s="10">
        <f t="shared" si="1"/>
        <v>130866000000000</v>
      </c>
      <c r="M47" s="11">
        <f>IF($L47&gt;Keys!$C$51,MIN(Keys!$C$52,$K47/$L47),Keys!$C$51)</f>
        <v>0</v>
      </c>
      <c r="N47" s="11">
        <f>IF($E47=Keys!$C$60,Keys!$C$51,IF($E47=Keys!$C$59,$D47,$M47))</f>
        <v>0</v>
      </c>
      <c r="O47">
        <f t="shared" si="2"/>
        <v>1</v>
      </c>
      <c r="P47" s="10">
        <f>IF($E47=Keys!$C$60,Keys!$C$51,INDEX(Raw_BFPIaE!$G$9:$G$3032,MATCH($A47&amp;Keys!$C$54&amp;Keys!$C$55&amp;Keys!$C$54&amp;$B47,Raw_BFPIaE!$H$9:$H$3032,0)))</f>
        <v>0</v>
      </c>
      <c r="Q47" s="10">
        <f>IF($E47=Keys!$C$60,Keys!$C$51,INDEX(Raw_BFPIaE!$G$9:$G$3032,MATCH($A47&amp;Keys!$C$54&amp;Keys!$C$56&amp;Keys!$C$54&amp;$B47,Raw_BFPIaE!$H$9:$H$3032,0)))</f>
        <v>116927000000000</v>
      </c>
      <c r="R47" s="10">
        <f>IF($E47=Keys!$C$60,Keys!$C$51,INDEX(Raw_BFPIaE!$G$9:$G$3032,MATCH($A47&amp;Keys!$C$54&amp;Keys!$C$57&amp;Keys!$C$54&amp;$B47,Raw_BFPIaE!$H$9:$H$3032,0)))</f>
        <v>0</v>
      </c>
      <c r="S47" s="11">
        <f>IF(($P47+$Q47-$R47+MAX(Keys!$C$51,$R47-$Q47))&gt;Keys!$C$51,MIN(Keys!$C$52,MAX(Keys!$C$51,$R47-$Q47)/($P47+$Q47-$R47+MAX(Keys!$C$51,$R47-$Q47))),Keys!$C$51)</f>
        <v>0</v>
      </c>
      <c r="T47">
        <f>IF(AND($I47&gt;$H47,ABS($L47-$G47)&gt;MAX(Keys!$C$62,ABS($G47)*Keys!$C$63)),1,0)</f>
        <v>0</v>
      </c>
      <c r="U47">
        <f>IF(OR($N47&lt;Keys!$C$51,$N47&gt;Keys!$C$52),1,0)</f>
        <v>0</v>
      </c>
      <c r="V47">
        <f>IF(AND($E47=Keys!$C$60,$N47&lt;&gt;Keys!$C$51),1,0)</f>
        <v>0</v>
      </c>
      <c r="W47">
        <f>IF($L47&gt;Keys!$C$51,IF($K47/$L47&gt;Keys!$C$52,1,0),0)</f>
        <v>0</v>
      </c>
      <c r="X47" s="11">
        <f t="shared" si="3"/>
        <v>0</v>
      </c>
    </row>
    <row r="48" spans="1:24" x14ac:dyDescent="0.25">
      <c r="A48" t="s">
        <v>67</v>
      </c>
      <c r="B48" t="s">
        <v>68</v>
      </c>
      <c r="C48" t="str">
        <f>VLOOKUP($B48,Keys!$F$2:$I$22,2,FALSE)</f>
        <v>natural gas</v>
      </c>
      <c r="D48">
        <f>VLOOKUP($B48,Keys!$F$2:$I$22,3,FALSE)</f>
        <v>0.190839183</v>
      </c>
      <c r="E48" t="str">
        <f>VLOOKUP($B48,Keys!$F$2:$I$22,4,FALSE)</f>
        <v>rule</v>
      </c>
      <c r="F48" t="str">
        <f>$A48&amp;Keys!$C$54&amp;$B48</f>
        <v>AZ|natural gas</v>
      </c>
      <c r="G48" s="10">
        <f>IF($E48=Keys!$C$60,Keys!$C$51,INDEX(Balanced_2025!$D$9:$D$3032,MATCH($A48&amp;Keys!$C$54&amp;Keys!$C$55&amp;Keys!$C$54&amp;$C48,Balanced_2025!$E$9:$E$3032,0)))</f>
        <v>144143000000</v>
      </c>
      <c r="H48" s="10">
        <f>IF($E48=Keys!$C$60,Keys!$C$51,INDEX(Balanced_2025!$D$9:$D$3032,MATCH($A48&amp;Keys!$C$54&amp;Keys!$C$56&amp;Keys!$C$54&amp;$C48,Balanced_2025!$E$9:$E$3032,0)))</f>
        <v>1540970000000000</v>
      </c>
      <c r="I48" s="10">
        <f>IF($E48=Keys!$C$60,Keys!$C$51,INDEX(Balanced_2025!$D$9:$D$3032,MATCH($A48&amp;Keys!$C$54&amp;Keys!$C$57&amp;Keys!$C$54&amp;$C48,Balanced_2025!$E$9:$E$3032,0)))</f>
        <v>1017200000000000</v>
      </c>
      <c r="J48" s="10">
        <f t="shared" si="0"/>
        <v>523914143000000</v>
      </c>
      <c r="K48" s="10">
        <f>MAX(Keys!$C$51,$I48-$H48)</f>
        <v>0</v>
      </c>
      <c r="L48" s="10">
        <f t="shared" si="1"/>
        <v>523914143000000</v>
      </c>
      <c r="M48" s="11">
        <f>IF($L48&gt;Keys!$C$51,MIN(Keys!$C$52,$K48/$L48),Keys!$C$51)</f>
        <v>0</v>
      </c>
      <c r="N48" s="11">
        <f>IF($E48=Keys!$C$60,Keys!$C$51,IF($E48=Keys!$C$59,$D48,$M48))</f>
        <v>0</v>
      </c>
      <c r="O48">
        <f t="shared" si="2"/>
        <v>1</v>
      </c>
      <c r="P48" s="10">
        <f>IF($E48=Keys!$C$60,Keys!$C$51,INDEX(Raw_BFPIaE!$G$9:$G$3032,MATCH($A48&amp;Keys!$C$54&amp;Keys!$C$55&amp;Keys!$C$54&amp;$B48,Raw_BFPIaE!$H$9:$H$3032,0)))</f>
        <v>144274000000</v>
      </c>
      <c r="Q48" s="10">
        <f>IF($E48=Keys!$C$60,Keys!$C$51,INDEX(Raw_BFPIaE!$G$9:$G$3032,MATCH($A48&amp;Keys!$C$54&amp;Keys!$C$56&amp;Keys!$C$54&amp;$B48,Raw_BFPIaE!$H$9:$H$3032,0)))</f>
        <v>1532330000000000</v>
      </c>
      <c r="R48" s="10">
        <f>IF($E48=Keys!$C$60,Keys!$C$51,INDEX(Raw_BFPIaE!$G$9:$G$3032,MATCH($A48&amp;Keys!$C$54&amp;Keys!$C$57&amp;Keys!$C$54&amp;$B48,Raw_BFPIaE!$H$9:$H$3032,0)))</f>
        <v>1018123333333333.4</v>
      </c>
      <c r="S48" s="11">
        <f>IF(($P48+$Q48-$R48+MAX(Keys!$C$51,$R48-$Q48))&gt;Keys!$C$51,MIN(Keys!$C$52,MAX(Keys!$C$51,$R48-$Q48)/($P48+$Q48-$R48+MAX(Keys!$C$51,$R48-$Q48))),Keys!$C$51)</f>
        <v>0</v>
      </c>
      <c r="T48">
        <f>IF(AND($I48&gt;$H48,ABS($L48-$G48)&gt;MAX(Keys!$C$62,ABS($G48)*Keys!$C$63)),1,0)</f>
        <v>0</v>
      </c>
      <c r="U48">
        <f>IF(OR($N48&lt;Keys!$C$51,$N48&gt;Keys!$C$52),1,0)</f>
        <v>0</v>
      </c>
      <c r="V48">
        <f>IF(AND($E48=Keys!$C$60,$N48&lt;&gt;Keys!$C$51),1,0)</f>
        <v>0</v>
      </c>
      <c r="W48">
        <f>IF($L48&gt;Keys!$C$51,IF($K48/$L48&gt;Keys!$C$52,1,0),0)</f>
        <v>0</v>
      </c>
      <c r="X48" s="11">
        <f t="shared" si="3"/>
        <v>0</v>
      </c>
    </row>
    <row r="49" spans="1:24" x14ac:dyDescent="0.25">
      <c r="A49" t="s">
        <v>67</v>
      </c>
      <c r="B49" t="s">
        <v>71</v>
      </c>
      <c r="C49">
        <f>VLOOKUP($B49,Keys!$F$2:$I$22,2,FALSE)</f>
        <v>0</v>
      </c>
      <c r="D49">
        <f>VLOOKUP($B49,Keys!$F$2:$I$22,3,FALSE)</f>
        <v>0</v>
      </c>
      <c r="E49" t="str">
        <f>VLOOKUP($B49,Keys!$F$2:$I$22,4,FALSE)</f>
        <v>zero</v>
      </c>
      <c r="F49" t="str">
        <f>$A49&amp;Keys!$C$54&amp;$B49</f>
        <v>AZ|nuclear</v>
      </c>
      <c r="G49" s="10">
        <f>IF($E49=Keys!$C$60,Keys!$C$51,INDEX(Balanced_2025!$D$9:$D$3032,MATCH($A49&amp;Keys!$C$54&amp;Keys!$C$55&amp;Keys!$C$54&amp;$C49,Balanced_2025!$E$9:$E$3032,0)))</f>
        <v>0</v>
      </c>
      <c r="H49" s="10">
        <f>IF($E49=Keys!$C$60,Keys!$C$51,INDEX(Balanced_2025!$D$9:$D$3032,MATCH($A49&amp;Keys!$C$54&amp;Keys!$C$56&amp;Keys!$C$54&amp;$C49,Balanced_2025!$E$9:$E$3032,0)))</f>
        <v>0</v>
      </c>
      <c r="I49" s="10">
        <f>IF($E49=Keys!$C$60,Keys!$C$51,INDEX(Balanced_2025!$D$9:$D$3032,MATCH($A49&amp;Keys!$C$54&amp;Keys!$C$57&amp;Keys!$C$54&amp;$C49,Balanced_2025!$E$9:$E$3032,0)))</f>
        <v>0</v>
      </c>
      <c r="J49" s="10">
        <f t="shared" si="0"/>
        <v>0</v>
      </c>
      <c r="K49" s="10">
        <f>MAX(Keys!$C$51,$I49-$H49)</f>
        <v>0</v>
      </c>
      <c r="L49" s="10">
        <f t="shared" si="1"/>
        <v>0</v>
      </c>
      <c r="M49" s="11">
        <f>IF($L49&gt;Keys!$C$51,MIN(Keys!$C$52,$K49/$L49),Keys!$C$51)</f>
        <v>0</v>
      </c>
      <c r="N49" s="11">
        <f>IF($E49=Keys!$C$60,Keys!$C$51,IF($E49=Keys!$C$59,$D49,$M49))</f>
        <v>0</v>
      </c>
      <c r="O49">
        <f t="shared" si="2"/>
        <v>0</v>
      </c>
      <c r="P49" s="10">
        <f>IF($E49=Keys!$C$60,Keys!$C$51,INDEX(Raw_BFPIaE!$G$9:$G$3032,MATCH($A49&amp;Keys!$C$54&amp;Keys!$C$55&amp;Keys!$C$54&amp;$B49,Raw_BFPIaE!$H$9:$H$3032,0)))</f>
        <v>0</v>
      </c>
      <c r="Q49" s="10">
        <f>IF($E49=Keys!$C$60,Keys!$C$51,INDEX(Raw_BFPIaE!$G$9:$G$3032,MATCH($A49&amp;Keys!$C$54&amp;Keys!$C$56&amp;Keys!$C$54&amp;$B49,Raw_BFPIaE!$H$9:$H$3032,0)))</f>
        <v>0</v>
      </c>
      <c r="R49" s="10">
        <f>IF($E49=Keys!$C$60,Keys!$C$51,INDEX(Raw_BFPIaE!$G$9:$G$3032,MATCH($A49&amp;Keys!$C$54&amp;Keys!$C$57&amp;Keys!$C$54&amp;$B49,Raw_BFPIaE!$H$9:$H$3032,0)))</f>
        <v>0</v>
      </c>
      <c r="S49" s="11">
        <f>IF(($P49+$Q49-$R49+MAX(Keys!$C$51,$R49-$Q49))&gt;Keys!$C$51,MIN(Keys!$C$52,MAX(Keys!$C$51,$R49-$Q49)/($P49+$Q49-$R49+MAX(Keys!$C$51,$R49-$Q49))),Keys!$C$51)</f>
        <v>0</v>
      </c>
      <c r="T49">
        <f>IF(AND($I49&gt;$H49,ABS($L49-$G49)&gt;MAX(Keys!$C$62,ABS($G49)*Keys!$C$63)),1,0)</f>
        <v>0</v>
      </c>
      <c r="U49">
        <f>IF(OR($N49&lt;Keys!$C$51,$N49&gt;Keys!$C$52),1,0)</f>
        <v>0</v>
      </c>
      <c r="V49">
        <f>IF(AND($E49=Keys!$C$60,$N49&lt;&gt;Keys!$C$51),1,0)</f>
        <v>0</v>
      </c>
      <c r="W49">
        <f>IF($L49&gt;Keys!$C$51,IF($K49/$L49&gt;Keys!$C$52,1,0),0)</f>
        <v>0</v>
      </c>
      <c r="X49" s="11">
        <f t="shared" si="3"/>
        <v>0</v>
      </c>
    </row>
    <row r="50" spans="1:24" x14ac:dyDescent="0.25">
      <c r="A50" t="s">
        <v>67</v>
      </c>
      <c r="B50" t="s">
        <v>74</v>
      </c>
      <c r="C50">
        <f>VLOOKUP($B50,Keys!$F$2:$I$22,2,FALSE)</f>
        <v>0</v>
      </c>
      <c r="D50">
        <f>VLOOKUP($B50,Keys!$F$2:$I$22,3,FALSE)</f>
        <v>0</v>
      </c>
      <c r="E50" t="str">
        <f>VLOOKUP($B50,Keys!$F$2:$I$22,4,FALSE)</f>
        <v>zero</v>
      </c>
      <c r="F50" t="str">
        <f>$A50&amp;Keys!$C$54&amp;$B50</f>
        <v>AZ|hydro (is not a fuel)</v>
      </c>
      <c r="G50" s="10">
        <f>IF($E50=Keys!$C$60,Keys!$C$51,INDEX(Balanced_2025!$D$9:$D$3032,MATCH($A50&amp;Keys!$C$54&amp;Keys!$C$55&amp;Keys!$C$54&amp;$C50,Balanced_2025!$E$9:$E$3032,0)))</f>
        <v>0</v>
      </c>
      <c r="H50" s="10">
        <f>IF($E50=Keys!$C$60,Keys!$C$51,INDEX(Balanced_2025!$D$9:$D$3032,MATCH($A50&amp;Keys!$C$54&amp;Keys!$C$56&amp;Keys!$C$54&amp;$C50,Balanced_2025!$E$9:$E$3032,0)))</f>
        <v>0</v>
      </c>
      <c r="I50" s="10">
        <f>IF($E50=Keys!$C$60,Keys!$C$51,INDEX(Balanced_2025!$D$9:$D$3032,MATCH($A50&amp;Keys!$C$54&amp;Keys!$C$57&amp;Keys!$C$54&amp;$C50,Balanced_2025!$E$9:$E$3032,0)))</f>
        <v>0</v>
      </c>
      <c r="J50" s="10">
        <f t="shared" si="0"/>
        <v>0</v>
      </c>
      <c r="K50" s="10">
        <f>MAX(Keys!$C$51,$I50-$H50)</f>
        <v>0</v>
      </c>
      <c r="L50" s="10">
        <f t="shared" si="1"/>
        <v>0</v>
      </c>
      <c r="M50" s="11">
        <f>IF($L50&gt;Keys!$C$51,MIN(Keys!$C$52,$K50/$L50),Keys!$C$51)</f>
        <v>0</v>
      </c>
      <c r="N50" s="11">
        <f>IF($E50=Keys!$C$60,Keys!$C$51,IF($E50=Keys!$C$59,$D50,$M50))</f>
        <v>0</v>
      </c>
      <c r="O50">
        <f t="shared" si="2"/>
        <v>0</v>
      </c>
      <c r="P50" s="10">
        <f>IF($E50=Keys!$C$60,Keys!$C$51,INDEX(Raw_BFPIaE!$G$9:$G$3032,MATCH($A50&amp;Keys!$C$54&amp;Keys!$C$55&amp;Keys!$C$54&amp;$B50,Raw_BFPIaE!$H$9:$H$3032,0)))</f>
        <v>0</v>
      </c>
      <c r="Q50" s="10">
        <f>IF($E50=Keys!$C$60,Keys!$C$51,INDEX(Raw_BFPIaE!$G$9:$G$3032,MATCH($A50&amp;Keys!$C$54&amp;Keys!$C$56&amp;Keys!$C$54&amp;$B50,Raw_BFPIaE!$H$9:$H$3032,0)))</f>
        <v>0</v>
      </c>
      <c r="R50" s="10">
        <f>IF($E50=Keys!$C$60,Keys!$C$51,INDEX(Raw_BFPIaE!$G$9:$G$3032,MATCH($A50&amp;Keys!$C$54&amp;Keys!$C$57&amp;Keys!$C$54&amp;$B50,Raw_BFPIaE!$H$9:$H$3032,0)))</f>
        <v>0</v>
      </c>
      <c r="S50" s="11">
        <f>IF(($P50+$Q50-$R50+MAX(Keys!$C$51,$R50-$Q50))&gt;Keys!$C$51,MIN(Keys!$C$52,MAX(Keys!$C$51,$R50-$Q50)/($P50+$Q50-$R50+MAX(Keys!$C$51,$R50-$Q50))),Keys!$C$51)</f>
        <v>0</v>
      </c>
      <c r="T50">
        <f>IF(AND($I50&gt;$H50,ABS($L50-$G50)&gt;MAX(Keys!$C$62,ABS($G50)*Keys!$C$63)),1,0)</f>
        <v>0</v>
      </c>
      <c r="U50">
        <f>IF(OR($N50&lt;Keys!$C$51,$N50&gt;Keys!$C$52),1,0)</f>
        <v>0</v>
      </c>
      <c r="V50">
        <f>IF(AND($E50=Keys!$C$60,$N50&lt;&gt;Keys!$C$51),1,0)</f>
        <v>0</v>
      </c>
      <c r="W50">
        <f>IF($L50&gt;Keys!$C$51,IF($K50/$L50&gt;Keys!$C$52,1,0),0)</f>
        <v>0</v>
      </c>
      <c r="X50" s="11">
        <f t="shared" si="3"/>
        <v>0</v>
      </c>
    </row>
    <row r="51" spans="1:24" x14ac:dyDescent="0.25">
      <c r="A51" t="s">
        <v>67</v>
      </c>
      <c r="B51" t="s">
        <v>77</v>
      </c>
      <c r="C51">
        <f>VLOOKUP($B51,Keys!$F$2:$I$22,2,FALSE)</f>
        <v>0</v>
      </c>
      <c r="D51">
        <f>VLOOKUP($B51,Keys!$F$2:$I$22,3,FALSE)</f>
        <v>0</v>
      </c>
      <c r="E51" t="str">
        <f>VLOOKUP($B51,Keys!$F$2:$I$22,4,FALSE)</f>
        <v>zero</v>
      </c>
      <c r="F51" t="str">
        <f>$A51&amp;Keys!$C$54&amp;$B51</f>
        <v>AZ|wind (is not a fuel)</v>
      </c>
      <c r="G51" s="10">
        <f>IF($E51=Keys!$C$60,Keys!$C$51,INDEX(Balanced_2025!$D$9:$D$3032,MATCH($A51&amp;Keys!$C$54&amp;Keys!$C$55&amp;Keys!$C$54&amp;$C51,Balanced_2025!$E$9:$E$3032,0)))</f>
        <v>0</v>
      </c>
      <c r="H51" s="10">
        <f>IF($E51=Keys!$C$60,Keys!$C$51,INDEX(Balanced_2025!$D$9:$D$3032,MATCH($A51&amp;Keys!$C$54&amp;Keys!$C$56&amp;Keys!$C$54&amp;$C51,Balanced_2025!$E$9:$E$3032,0)))</f>
        <v>0</v>
      </c>
      <c r="I51" s="10">
        <f>IF($E51=Keys!$C$60,Keys!$C$51,INDEX(Balanced_2025!$D$9:$D$3032,MATCH($A51&amp;Keys!$C$54&amp;Keys!$C$57&amp;Keys!$C$54&amp;$C51,Balanced_2025!$E$9:$E$3032,0)))</f>
        <v>0</v>
      </c>
      <c r="J51" s="10">
        <f t="shared" si="0"/>
        <v>0</v>
      </c>
      <c r="K51" s="10">
        <f>MAX(Keys!$C$51,$I51-$H51)</f>
        <v>0</v>
      </c>
      <c r="L51" s="10">
        <f t="shared" si="1"/>
        <v>0</v>
      </c>
      <c r="M51" s="11">
        <f>IF($L51&gt;Keys!$C$51,MIN(Keys!$C$52,$K51/$L51),Keys!$C$51)</f>
        <v>0</v>
      </c>
      <c r="N51" s="11">
        <f>IF($E51=Keys!$C$60,Keys!$C$51,IF($E51=Keys!$C$59,$D51,$M51))</f>
        <v>0</v>
      </c>
      <c r="O51">
        <f t="shared" si="2"/>
        <v>0</v>
      </c>
      <c r="P51" s="10">
        <f>IF($E51=Keys!$C$60,Keys!$C$51,INDEX(Raw_BFPIaE!$G$9:$G$3032,MATCH($A51&amp;Keys!$C$54&amp;Keys!$C$55&amp;Keys!$C$54&amp;$B51,Raw_BFPIaE!$H$9:$H$3032,0)))</f>
        <v>0</v>
      </c>
      <c r="Q51" s="10">
        <f>IF($E51=Keys!$C$60,Keys!$C$51,INDEX(Raw_BFPIaE!$G$9:$G$3032,MATCH($A51&amp;Keys!$C$54&amp;Keys!$C$56&amp;Keys!$C$54&amp;$B51,Raw_BFPIaE!$H$9:$H$3032,0)))</f>
        <v>0</v>
      </c>
      <c r="R51" s="10">
        <f>IF($E51=Keys!$C$60,Keys!$C$51,INDEX(Raw_BFPIaE!$G$9:$G$3032,MATCH($A51&amp;Keys!$C$54&amp;Keys!$C$57&amp;Keys!$C$54&amp;$B51,Raw_BFPIaE!$H$9:$H$3032,0)))</f>
        <v>0</v>
      </c>
      <c r="S51" s="11">
        <f>IF(($P51+$Q51-$R51+MAX(Keys!$C$51,$R51-$Q51))&gt;Keys!$C$51,MIN(Keys!$C$52,MAX(Keys!$C$51,$R51-$Q51)/($P51+$Q51-$R51+MAX(Keys!$C$51,$R51-$Q51))),Keys!$C$51)</f>
        <v>0</v>
      </c>
      <c r="T51">
        <f>IF(AND($I51&gt;$H51,ABS($L51-$G51)&gt;MAX(Keys!$C$62,ABS($G51)*Keys!$C$63)),1,0)</f>
        <v>0</v>
      </c>
      <c r="U51">
        <f>IF(OR($N51&lt;Keys!$C$51,$N51&gt;Keys!$C$52),1,0)</f>
        <v>0</v>
      </c>
      <c r="V51">
        <f>IF(AND($E51=Keys!$C$60,$N51&lt;&gt;Keys!$C$51),1,0)</f>
        <v>0</v>
      </c>
      <c r="W51">
        <f>IF($L51&gt;Keys!$C$51,IF($K51/$L51&gt;Keys!$C$52,1,0),0)</f>
        <v>0</v>
      </c>
      <c r="X51" s="11">
        <f t="shared" si="3"/>
        <v>0</v>
      </c>
    </row>
    <row r="52" spans="1:24" x14ac:dyDescent="0.25">
      <c r="A52" t="s">
        <v>67</v>
      </c>
      <c r="B52" t="s">
        <v>80</v>
      </c>
      <c r="C52">
        <f>VLOOKUP($B52,Keys!$F$2:$I$22,2,FALSE)</f>
        <v>0</v>
      </c>
      <c r="D52">
        <f>VLOOKUP($B52,Keys!$F$2:$I$22,3,FALSE)</f>
        <v>0</v>
      </c>
      <c r="E52" t="str">
        <f>VLOOKUP($B52,Keys!$F$2:$I$22,4,FALSE)</f>
        <v>zero</v>
      </c>
      <c r="F52" t="str">
        <f>$A52&amp;Keys!$C$54&amp;$B52</f>
        <v>AZ|solar (is not a fuel)</v>
      </c>
      <c r="G52" s="10">
        <f>IF($E52=Keys!$C$60,Keys!$C$51,INDEX(Balanced_2025!$D$9:$D$3032,MATCH($A52&amp;Keys!$C$54&amp;Keys!$C$55&amp;Keys!$C$54&amp;$C52,Balanced_2025!$E$9:$E$3032,0)))</f>
        <v>0</v>
      </c>
      <c r="H52" s="10">
        <f>IF($E52=Keys!$C$60,Keys!$C$51,INDEX(Balanced_2025!$D$9:$D$3032,MATCH($A52&amp;Keys!$C$54&amp;Keys!$C$56&amp;Keys!$C$54&amp;$C52,Balanced_2025!$E$9:$E$3032,0)))</f>
        <v>0</v>
      </c>
      <c r="I52" s="10">
        <f>IF($E52=Keys!$C$60,Keys!$C$51,INDEX(Balanced_2025!$D$9:$D$3032,MATCH($A52&amp;Keys!$C$54&amp;Keys!$C$57&amp;Keys!$C$54&amp;$C52,Balanced_2025!$E$9:$E$3032,0)))</f>
        <v>0</v>
      </c>
      <c r="J52" s="10">
        <f t="shared" si="0"/>
        <v>0</v>
      </c>
      <c r="K52" s="10">
        <f>MAX(Keys!$C$51,$I52-$H52)</f>
        <v>0</v>
      </c>
      <c r="L52" s="10">
        <f t="shared" si="1"/>
        <v>0</v>
      </c>
      <c r="M52" s="11">
        <f>IF($L52&gt;Keys!$C$51,MIN(Keys!$C$52,$K52/$L52),Keys!$C$51)</f>
        <v>0</v>
      </c>
      <c r="N52" s="11">
        <f>IF($E52=Keys!$C$60,Keys!$C$51,IF($E52=Keys!$C$59,$D52,$M52))</f>
        <v>0</v>
      </c>
      <c r="O52">
        <f t="shared" si="2"/>
        <v>0</v>
      </c>
      <c r="P52" s="10">
        <f>IF($E52=Keys!$C$60,Keys!$C$51,INDEX(Raw_BFPIaE!$G$9:$G$3032,MATCH($A52&amp;Keys!$C$54&amp;Keys!$C$55&amp;Keys!$C$54&amp;$B52,Raw_BFPIaE!$H$9:$H$3032,0)))</f>
        <v>0</v>
      </c>
      <c r="Q52" s="10">
        <f>IF($E52=Keys!$C$60,Keys!$C$51,INDEX(Raw_BFPIaE!$G$9:$G$3032,MATCH($A52&amp;Keys!$C$54&amp;Keys!$C$56&amp;Keys!$C$54&amp;$B52,Raw_BFPIaE!$H$9:$H$3032,0)))</f>
        <v>0</v>
      </c>
      <c r="R52" s="10">
        <f>IF($E52=Keys!$C$60,Keys!$C$51,INDEX(Raw_BFPIaE!$G$9:$G$3032,MATCH($A52&amp;Keys!$C$54&amp;Keys!$C$57&amp;Keys!$C$54&amp;$B52,Raw_BFPIaE!$H$9:$H$3032,0)))</f>
        <v>0</v>
      </c>
      <c r="S52" s="11">
        <f>IF(($P52+$Q52-$R52+MAX(Keys!$C$51,$R52-$Q52))&gt;Keys!$C$51,MIN(Keys!$C$52,MAX(Keys!$C$51,$R52-$Q52)/($P52+$Q52-$R52+MAX(Keys!$C$51,$R52-$Q52))),Keys!$C$51)</f>
        <v>0</v>
      </c>
      <c r="T52">
        <f>IF(AND($I52&gt;$H52,ABS($L52-$G52)&gt;MAX(Keys!$C$62,ABS($G52)*Keys!$C$63)),1,0)</f>
        <v>0</v>
      </c>
      <c r="U52">
        <f>IF(OR($N52&lt;Keys!$C$51,$N52&gt;Keys!$C$52),1,0)</f>
        <v>0</v>
      </c>
      <c r="V52">
        <f>IF(AND($E52=Keys!$C$60,$N52&lt;&gt;Keys!$C$51),1,0)</f>
        <v>0</v>
      </c>
      <c r="W52">
        <f>IF($L52&gt;Keys!$C$51,IF($K52/$L52&gt;Keys!$C$52,1,0),0)</f>
        <v>0</v>
      </c>
      <c r="X52" s="11">
        <f t="shared" si="3"/>
        <v>0</v>
      </c>
    </row>
    <row r="53" spans="1:24" x14ac:dyDescent="0.25">
      <c r="A53" t="s">
        <v>67</v>
      </c>
      <c r="B53" t="s">
        <v>82</v>
      </c>
      <c r="C53" t="str">
        <f>VLOOKUP($B53,Keys!$F$2:$I$22,2,FALSE)</f>
        <v>biomass</v>
      </c>
      <c r="D53">
        <f>VLOOKUP($B53,Keys!$F$2:$I$22,3,FALSE)</f>
        <v>0.74947425499999998</v>
      </c>
      <c r="E53" t="str">
        <f>VLOOKUP($B53,Keys!$F$2:$I$22,4,FALSE)</f>
        <v>rule</v>
      </c>
      <c r="F53" t="str">
        <f>$A53&amp;Keys!$C$54&amp;$B53</f>
        <v>AZ|biomass</v>
      </c>
      <c r="G53" s="10">
        <f>IF($E53=Keys!$C$60,Keys!$C$51,INDEX(Balanced_2025!$D$9:$D$3032,MATCH($A53&amp;Keys!$C$54&amp;Keys!$C$55&amp;Keys!$C$54&amp;$C53,Balanced_2025!$E$9:$E$3032,0)))</f>
        <v>0</v>
      </c>
      <c r="H53" s="10">
        <f>IF($E53=Keys!$C$60,Keys!$C$51,INDEX(Balanced_2025!$D$9:$D$3032,MATCH($A53&amp;Keys!$C$54&amp;Keys!$C$56&amp;Keys!$C$54&amp;$C53,Balanced_2025!$E$9:$E$3032,0)))</f>
        <v>10731900000000</v>
      </c>
      <c r="I53" s="10">
        <f>IF($E53=Keys!$C$60,Keys!$C$51,INDEX(Balanced_2025!$D$9:$D$3032,MATCH($A53&amp;Keys!$C$54&amp;Keys!$C$57&amp;Keys!$C$54&amp;$C53,Balanced_2025!$E$9:$E$3032,0)))</f>
        <v>0</v>
      </c>
      <c r="J53" s="10">
        <f t="shared" si="0"/>
        <v>10731900000000</v>
      </c>
      <c r="K53" s="10">
        <f>MAX(Keys!$C$51,$I53-$H53)</f>
        <v>0</v>
      </c>
      <c r="L53" s="10">
        <f t="shared" si="1"/>
        <v>10731900000000</v>
      </c>
      <c r="M53" s="11">
        <f>IF($L53&gt;Keys!$C$51,MIN(Keys!$C$52,$K53/$L53),Keys!$C$51)</f>
        <v>0</v>
      </c>
      <c r="N53" s="11">
        <f>IF($E53=Keys!$C$60,Keys!$C$51,IF($E53=Keys!$C$59,$D53,$M53))</f>
        <v>0</v>
      </c>
      <c r="O53">
        <f t="shared" si="2"/>
        <v>1</v>
      </c>
      <c r="P53" s="10">
        <f>IF($E53=Keys!$C$60,Keys!$C$51,INDEX(Raw_BFPIaE!$G$9:$G$3032,MATCH($A53&amp;Keys!$C$54&amp;Keys!$C$55&amp;Keys!$C$54&amp;$B53,Raw_BFPIaE!$H$9:$H$3032,0)))</f>
        <v>0</v>
      </c>
      <c r="Q53" s="10">
        <f>IF($E53=Keys!$C$60,Keys!$C$51,INDEX(Raw_BFPIaE!$G$9:$G$3032,MATCH($A53&amp;Keys!$C$54&amp;Keys!$C$56&amp;Keys!$C$54&amp;$B53,Raw_BFPIaE!$H$9:$H$3032,0)))</f>
        <v>6971566666666.667</v>
      </c>
      <c r="R53" s="10">
        <f>IF($E53=Keys!$C$60,Keys!$C$51,INDEX(Raw_BFPIaE!$G$9:$G$3032,MATCH($A53&amp;Keys!$C$54&amp;Keys!$C$57&amp;Keys!$C$54&amp;$B53,Raw_BFPIaE!$H$9:$H$3032,0)))</f>
        <v>0</v>
      </c>
      <c r="S53" s="11">
        <f>IF(($P53+$Q53-$R53+MAX(Keys!$C$51,$R53-$Q53))&gt;Keys!$C$51,MIN(Keys!$C$52,MAX(Keys!$C$51,$R53-$Q53)/($P53+$Q53-$R53+MAX(Keys!$C$51,$R53-$Q53))),Keys!$C$51)</f>
        <v>0</v>
      </c>
      <c r="T53">
        <f>IF(AND($I53&gt;$H53,ABS($L53-$G53)&gt;MAX(Keys!$C$62,ABS($G53)*Keys!$C$63)),1,0)</f>
        <v>0</v>
      </c>
      <c r="U53">
        <f>IF(OR($N53&lt;Keys!$C$51,$N53&gt;Keys!$C$52),1,0)</f>
        <v>0</v>
      </c>
      <c r="V53">
        <f>IF(AND($E53=Keys!$C$60,$N53&lt;&gt;Keys!$C$51),1,0)</f>
        <v>0</v>
      </c>
      <c r="W53">
        <f>IF($L53&gt;Keys!$C$51,IF($K53/$L53&gt;Keys!$C$52,1,0),0)</f>
        <v>0</v>
      </c>
      <c r="X53" s="11">
        <f t="shared" si="3"/>
        <v>0</v>
      </c>
    </row>
    <row r="54" spans="1:24" x14ac:dyDescent="0.25">
      <c r="A54" t="s">
        <v>67</v>
      </c>
      <c r="B54" t="s">
        <v>85</v>
      </c>
      <c r="C54" t="str">
        <f>VLOOKUP($B54,Keys!$F$2:$I$22,2,FALSE)</f>
        <v>petroleum gasoline</v>
      </c>
      <c r="D54">
        <f>VLOOKUP($B54,Keys!$F$2:$I$22,3,FALSE)</f>
        <v>7.5004052000000002E-2</v>
      </c>
      <c r="E54" t="str">
        <f>VLOOKUP($B54,Keys!$F$2:$I$22,4,FALSE)</f>
        <v>rule</v>
      </c>
      <c r="F54" t="str">
        <f>$A54&amp;Keys!$C$54&amp;$B54</f>
        <v>AZ|petroleum gasoline</v>
      </c>
      <c r="G54" s="10">
        <f>IF($E54=Keys!$C$60,Keys!$C$51,INDEX(Balanced_2025!$D$9:$D$3032,MATCH($A54&amp;Keys!$C$54&amp;Keys!$C$55&amp;Keys!$C$54&amp;$C54,Balanced_2025!$E$9:$E$3032,0)))</f>
        <v>0</v>
      </c>
      <c r="H54" s="10">
        <f>IF($E54=Keys!$C$60,Keys!$C$51,INDEX(Balanced_2025!$D$9:$D$3032,MATCH($A54&amp;Keys!$C$54&amp;Keys!$C$56&amp;Keys!$C$54&amp;$C54,Balanced_2025!$E$9:$E$3032,0)))</f>
        <v>316902000000000</v>
      </c>
      <c r="I54" s="10">
        <f>IF($E54=Keys!$C$60,Keys!$C$51,INDEX(Balanced_2025!$D$9:$D$3032,MATCH($A54&amp;Keys!$C$54&amp;Keys!$C$57&amp;Keys!$C$54&amp;$C54,Balanced_2025!$E$9:$E$3032,0)))</f>
        <v>0</v>
      </c>
      <c r="J54" s="10">
        <f t="shared" si="0"/>
        <v>316902000000000</v>
      </c>
      <c r="K54" s="10">
        <f>MAX(Keys!$C$51,$I54-$H54)</f>
        <v>0</v>
      </c>
      <c r="L54" s="10">
        <f t="shared" si="1"/>
        <v>316902000000000</v>
      </c>
      <c r="M54" s="11">
        <f>IF($L54&gt;Keys!$C$51,MIN(Keys!$C$52,$K54/$L54),Keys!$C$51)</f>
        <v>0</v>
      </c>
      <c r="N54" s="11">
        <f>IF($E54=Keys!$C$60,Keys!$C$51,IF($E54=Keys!$C$59,$D54,$M54))</f>
        <v>0</v>
      </c>
      <c r="O54">
        <f t="shared" si="2"/>
        <v>1</v>
      </c>
      <c r="P54" s="10">
        <f>IF($E54=Keys!$C$60,Keys!$C$51,INDEX(Raw_BFPIaE!$G$9:$G$3032,MATCH($A54&amp;Keys!$C$54&amp;Keys!$C$55&amp;Keys!$C$54&amp;$B54,Raw_BFPIaE!$H$9:$H$3032,0)))</f>
        <v>0</v>
      </c>
      <c r="Q54" s="10">
        <f>IF($E54=Keys!$C$60,Keys!$C$51,INDEX(Raw_BFPIaE!$G$9:$G$3032,MATCH($A54&amp;Keys!$C$54&amp;Keys!$C$56&amp;Keys!$C$54&amp;$B54,Raw_BFPIaE!$H$9:$H$3032,0)))</f>
        <v>199176333333333.34</v>
      </c>
      <c r="R54" s="10">
        <f>IF($E54=Keys!$C$60,Keys!$C$51,INDEX(Raw_BFPIaE!$G$9:$G$3032,MATCH($A54&amp;Keys!$C$54&amp;Keys!$C$57&amp;Keys!$C$54&amp;$B54,Raw_BFPIaE!$H$9:$H$3032,0)))</f>
        <v>0</v>
      </c>
      <c r="S54" s="11">
        <f>IF(($P54+$Q54-$R54+MAX(Keys!$C$51,$R54-$Q54))&gt;Keys!$C$51,MIN(Keys!$C$52,MAX(Keys!$C$51,$R54-$Q54)/($P54+$Q54-$R54+MAX(Keys!$C$51,$R54-$Q54))),Keys!$C$51)</f>
        <v>0</v>
      </c>
      <c r="T54">
        <f>IF(AND($I54&gt;$H54,ABS($L54-$G54)&gt;MAX(Keys!$C$62,ABS($G54)*Keys!$C$63)),1,0)</f>
        <v>0</v>
      </c>
      <c r="U54">
        <f>IF(OR($N54&lt;Keys!$C$51,$N54&gt;Keys!$C$52),1,0)</f>
        <v>0</v>
      </c>
      <c r="V54">
        <f>IF(AND($E54=Keys!$C$60,$N54&lt;&gt;Keys!$C$51),1,0)</f>
        <v>0</v>
      </c>
      <c r="W54">
        <f>IF($L54&gt;Keys!$C$51,IF($K54/$L54&gt;Keys!$C$52,1,0),0)</f>
        <v>0</v>
      </c>
      <c r="X54" s="11">
        <f t="shared" si="3"/>
        <v>0</v>
      </c>
    </row>
    <row r="55" spans="1:24" x14ac:dyDescent="0.25">
      <c r="A55" t="s">
        <v>67</v>
      </c>
      <c r="B55" t="s">
        <v>88</v>
      </c>
      <c r="C55" t="str">
        <f>VLOOKUP($B55,Keys!$F$2:$I$22,2,FALSE)</f>
        <v>petroleum diesel</v>
      </c>
      <c r="D55">
        <f>VLOOKUP($B55,Keys!$F$2:$I$22,3,FALSE)</f>
        <v>0.26691051799999999</v>
      </c>
      <c r="E55" t="str">
        <f>VLOOKUP($B55,Keys!$F$2:$I$22,4,FALSE)</f>
        <v>rule</v>
      </c>
      <c r="F55" t="str">
        <f>$A55&amp;Keys!$C$54&amp;$B55</f>
        <v>AZ|petroleum diesel</v>
      </c>
      <c r="G55" s="10">
        <f>IF($E55=Keys!$C$60,Keys!$C$51,INDEX(Balanced_2025!$D$9:$D$3032,MATCH($A55&amp;Keys!$C$54&amp;Keys!$C$55&amp;Keys!$C$54&amp;$C55,Balanced_2025!$E$9:$E$3032,0)))</f>
        <v>0</v>
      </c>
      <c r="H55" s="10">
        <f>IF($E55=Keys!$C$60,Keys!$C$51,INDEX(Balanced_2025!$D$9:$D$3032,MATCH($A55&amp;Keys!$C$54&amp;Keys!$C$56&amp;Keys!$C$54&amp;$C55,Balanced_2025!$E$9:$E$3032,0)))</f>
        <v>174234000000000</v>
      </c>
      <c r="I55" s="10">
        <f>IF($E55=Keys!$C$60,Keys!$C$51,INDEX(Balanced_2025!$D$9:$D$3032,MATCH($A55&amp;Keys!$C$54&amp;Keys!$C$57&amp;Keys!$C$54&amp;$C55,Balanced_2025!$E$9:$E$3032,0)))</f>
        <v>0</v>
      </c>
      <c r="J55" s="10">
        <f t="shared" si="0"/>
        <v>174234000000000</v>
      </c>
      <c r="K55" s="10">
        <f>MAX(Keys!$C$51,$I55-$H55)</f>
        <v>0</v>
      </c>
      <c r="L55" s="10">
        <f t="shared" si="1"/>
        <v>174234000000000</v>
      </c>
      <c r="M55" s="11">
        <f>IF($L55&gt;Keys!$C$51,MIN(Keys!$C$52,$K55/$L55),Keys!$C$51)</f>
        <v>0</v>
      </c>
      <c r="N55" s="11">
        <f>IF($E55=Keys!$C$60,Keys!$C$51,IF($E55=Keys!$C$59,$D55,$M55))</f>
        <v>0</v>
      </c>
      <c r="O55">
        <f t="shared" si="2"/>
        <v>1</v>
      </c>
      <c r="P55" s="10">
        <f>IF($E55=Keys!$C$60,Keys!$C$51,INDEX(Raw_BFPIaE!$G$9:$G$3032,MATCH($A55&amp;Keys!$C$54&amp;Keys!$C$55&amp;Keys!$C$54&amp;$B55,Raw_BFPIaE!$H$9:$H$3032,0)))</f>
        <v>0</v>
      </c>
      <c r="Q55" s="10">
        <f>IF($E55=Keys!$C$60,Keys!$C$51,INDEX(Raw_BFPIaE!$G$9:$G$3032,MATCH($A55&amp;Keys!$C$54&amp;Keys!$C$56&amp;Keys!$C$54&amp;$B55,Raw_BFPIaE!$H$9:$H$3032,0)))</f>
        <v>114251333333333.33</v>
      </c>
      <c r="R55" s="10">
        <f>IF($E55=Keys!$C$60,Keys!$C$51,INDEX(Raw_BFPIaE!$G$9:$G$3032,MATCH($A55&amp;Keys!$C$54&amp;Keys!$C$57&amp;Keys!$C$54&amp;$B55,Raw_BFPIaE!$H$9:$H$3032,0)))</f>
        <v>0</v>
      </c>
      <c r="S55" s="11">
        <f>IF(($P55+$Q55-$R55+MAX(Keys!$C$51,$R55-$Q55))&gt;Keys!$C$51,MIN(Keys!$C$52,MAX(Keys!$C$51,$R55-$Q55)/($P55+$Q55-$R55+MAX(Keys!$C$51,$R55-$Q55))),Keys!$C$51)</f>
        <v>0</v>
      </c>
      <c r="T55">
        <f>IF(AND($I55&gt;$H55,ABS($L55-$G55)&gt;MAX(Keys!$C$62,ABS($G55)*Keys!$C$63)),1,0)</f>
        <v>0</v>
      </c>
      <c r="U55">
        <f>IF(OR($N55&lt;Keys!$C$51,$N55&gt;Keys!$C$52),1,0)</f>
        <v>0</v>
      </c>
      <c r="V55">
        <f>IF(AND($E55=Keys!$C$60,$N55&lt;&gt;Keys!$C$51),1,0)</f>
        <v>0</v>
      </c>
      <c r="W55">
        <f>IF($L55&gt;Keys!$C$51,IF($K55/$L55&gt;Keys!$C$52,1,0),0)</f>
        <v>0</v>
      </c>
      <c r="X55" s="11">
        <f t="shared" si="3"/>
        <v>0</v>
      </c>
    </row>
    <row r="56" spans="1:24" x14ac:dyDescent="0.25">
      <c r="A56" t="s">
        <v>67</v>
      </c>
      <c r="B56" t="s">
        <v>91</v>
      </c>
      <c r="C56" t="str">
        <f>VLOOKUP($B56,Keys!$F$2:$I$22,2,FALSE)</f>
        <v>biofuel gasoline</v>
      </c>
      <c r="D56">
        <f>VLOOKUP($B56,Keys!$F$2:$I$22,3,FALSE)</f>
        <v>8.7213884000000005E-2</v>
      </c>
      <c r="E56" t="str">
        <f>VLOOKUP($B56,Keys!$F$2:$I$22,4,FALSE)</f>
        <v>rule</v>
      </c>
      <c r="F56" t="str">
        <f>$A56&amp;Keys!$C$54&amp;$B56</f>
        <v>AZ|biofuel gasoline</v>
      </c>
      <c r="G56" s="10">
        <f>IF($E56=Keys!$C$60,Keys!$C$51,INDEX(Balanced_2025!$D$9:$D$3032,MATCH($A56&amp;Keys!$C$54&amp;Keys!$C$55&amp;Keys!$C$54&amp;$C56,Balanced_2025!$E$9:$E$3032,0)))</f>
        <v>0</v>
      </c>
      <c r="H56" s="10">
        <f>IF($E56=Keys!$C$60,Keys!$C$51,INDEX(Balanced_2025!$D$9:$D$3032,MATCH($A56&amp;Keys!$C$54&amp;Keys!$C$56&amp;Keys!$C$54&amp;$C56,Balanced_2025!$E$9:$E$3032,0)))</f>
        <v>23322900000000</v>
      </c>
      <c r="I56" s="10">
        <f>IF($E56=Keys!$C$60,Keys!$C$51,INDEX(Balanced_2025!$D$9:$D$3032,MATCH($A56&amp;Keys!$C$54&amp;Keys!$C$57&amp;Keys!$C$54&amp;$C56,Balanced_2025!$E$9:$E$3032,0)))</f>
        <v>0</v>
      </c>
      <c r="J56" s="10">
        <f t="shared" si="0"/>
        <v>23322900000000</v>
      </c>
      <c r="K56" s="10">
        <f>MAX(Keys!$C$51,$I56-$H56)</f>
        <v>0</v>
      </c>
      <c r="L56" s="10">
        <f t="shared" si="1"/>
        <v>23322900000000</v>
      </c>
      <c r="M56" s="11">
        <f>IF($L56&gt;Keys!$C$51,MIN(Keys!$C$52,$K56/$L56),Keys!$C$51)</f>
        <v>0</v>
      </c>
      <c r="N56" s="11">
        <f>IF($E56=Keys!$C$60,Keys!$C$51,IF($E56=Keys!$C$59,$D56,$M56))</f>
        <v>0</v>
      </c>
      <c r="O56">
        <f t="shared" si="2"/>
        <v>1</v>
      </c>
      <c r="P56" s="10">
        <f>IF($E56=Keys!$C$60,Keys!$C$51,INDEX(Raw_BFPIaE!$G$9:$G$3032,MATCH($A56&amp;Keys!$C$54&amp;Keys!$C$55&amp;Keys!$C$54&amp;$B56,Raw_BFPIaE!$H$9:$H$3032,0)))</f>
        <v>0</v>
      </c>
      <c r="Q56" s="10">
        <f>IF($E56=Keys!$C$60,Keys!$C$51,INDEX(Raw_BFPIaE!$G$9:$G$3032,MATCH($A56&amp;Keys!$C$54&amp;Keys!$C$56&amp;Keys!$C$54&amp;$B56,Raw_BFPIaE!$H$9:$H$3032,0)))</f>
        <v>14656666666666.666</v>
      </c>
      <c r="R56" s="10">
        <f>IF($E56=Keys!$C$60,Keys!$C$51,INDEX(Raw_BFPIaE!$G$9:$G$3032,MATCH($A56&amp;Keys!$C$54&amp;Keys!$C$57&amp;Keys!$C$54&amp;$B56,Raw_BFPIaE!$H$9:$H$3032,0)))</f>
        <v>0</v>
      </c>
      <c r="S56" s="11">
        <f>IF(($P56+$Q56-$R56+MAX(Keys!$C$51,$R56-$Q56))&gt;Keys!$C$51,MIN(Keys!$C$52,MAX(Keys!$C$51,$R56-$Q56)/($P56+$Q56-$R56+MAX(Keys!$C$51,$R56-$Q56))),Keys!$C$51)</f>
        <v>0</v>
      </c>
      <c r="T56">
        <f>IF(AND($I56&gt;$H56,ABS($L56-$G56)&gt;MAX(Keys!$C$62,ABS($G56)*Keys!$C$63)),1,0)</f>
        <v>0</v>
      </c>
      <c r="U56">
        <f>IF(OR($N56&lt;Keys!$C$51,$N56&gt;Keys!$C$52),1,0)</f>
        <v>0</v>
      </c>
      <c r="V56">
        <f>IF(AND($E56=Keys!$C$60,$N56&lt;&gt;Keys!$C$51),1,0)</f>
        <v>0</v>
      </c>
      <c r="W56">
        <f>IF($L56&gt;Keys!$C$51,IF($K56/$L56&gt;Keys!$C$52,1,0),0)</f>
        <v>0</v>
      </c>
      <c r="X56" s="11">
        <f t="shared" si="3"/>
        <v>0</v>
      </c>
    </row>
    <row r="57" spans="1:24" x14ac:dyDescent="0.25">
      <c r="A57" t="s">
        <v>67</v>
      </c>
      <c r="B57" t="s">
        <v>94</v>
      </c>
      <c r="C57" t="str">
        <f>VLOOKUP($B57,Keys!$F$2:$I$22,2,FALSE)</f>
        <v>biofuel diesel</v>
      </c>
      <c r="D57">
        <f>VLOOKUP($B57,Keys!$F$2:$I$22,3,FALSE)</f>
        <v>5.8642381E-2</v>
      </c>
      <c r="E57" t="str">
        <f>VLOOKUP($B57,Keys!$F$2:$I$22,4,FALSE)</f>
        <v>rule</v>
      </c>
      <c r="F57" t="str">
        <f>$A57&amp;Keys!$C$54&amp;$B57</f>
        <v>AZ|biofuel diesel</v>
      </c>
      <c r="G57" s="10">
        <f>IF($E57=Keys!$C$60,Keys!$C$51,INDEX(Balanced_2025!$D$9:$D$3032,MATCH($A57&amp;Keys!$C$54&amp;Keys!$C$55&amp;Keys!$C$54&amp;$C57,Balanced_2025!$E$9:$E$3032,0)))</f>
        <v>0</v>
      </c>
      <c r="H57" s="10">
        <f>IF($E57=Keys!$C$60,Keys!$C$51,INDEX(Balanced_2025!$D$9:$D$3032,MATCH($A57&amp;Keys!$C$54&amp;Keys!$C$56&amp;Keys!$C$54&amp;$C57,Balanced_2025!$E$9:$E$3032,0)))</f>
        <v>1990050000000</v>
      </c>
      <c r="I57" s="10">
        <f>IF($E57=Keys!$C$60,Keys!$C$51,INDEX(Balanced_2025!$D$9:$D$3032,MATCH($A57&amp;Keys!$C$54&amp;Keys!$C$57&amp;Keys!$C$54&amp;$C57,Balanced_2025!$E$9:$E$3032,0)))</f>
        <v>0</v>
      </c>
      <c r="J57" s="10">
        <f t="shared" si="0"/>
        <v>1990050000000</v>
      </c>
      <c r="K57" s="10">
        <f>MAX(Keys!$C$51,$I57-$H57)</f>
        <v>0</v>
      </c>
      <c r="L57" s="10">
        <f t="shared" si="1"/>
        <v>1990050000000</v>
      </c>
      <c r="M57" s="11">
        <f>IF($L57&gt;Keys!$C$51,MIN(Keys!$C$52,$K57/$L57),Keys!$C$51)</f>
        <v>0</v>
      </c>
      <c r="N57" s="11">
        <f>IF($E57=Keys!$C$60,Keys!$C$51,IF($E57=Keys!$C$59,$D57,$M57))</f>
        <v>0</v>
      </c>
      <c r="O57">
        <f t="shared" si="2"/>
        <v>1</v>
      </c>
      <c r="P57" s="10">
        <f>IF($E57=Keys!$C$60,Keys!$C$51,INDEX(Raw_BFPIaE!$G$9:$G$3032,MATCH($A57&amp;Keys!$C$54&amp;Keys!$C$55&amp;Keys!$C$54&amp;$B57,Raw_BFPIaE!$H$9:$H$3032,0)))</f>
        <v>0</v>
      </c>
      <c r="Q57" s="10">
        <f>IF($E57=Keys!$C$60,Keys!$C$51,INDEX(Raw_BFPIaE!$G$9:$G$3032,MATCH($A57&amp;Keys!$C$54&amp;Keys!$C$56&amp;Keys!$C$54&amp;$B57,Raw_BFPIaE!$H$9:$H$3032,0)))</f>
        <v>1296750000000</v>
      </c>
      <c r="R57" s="10">
        <f>IF($E57=Keys!$C$60,Keys!$C$51,INDEX(Raw_BFPIaE!$G$9:$G$3032,MATCH($A57&amp;Keys!$C$54&amp;Keys!$C$57&amp;Keys!$C$54&amp;$B57,Raw_BFPIaE!$H$9:$H$3032,0)))</f>
        <v>0</v>
      </c>
      <c r="S57" s="11">
        <f>IF(($P57+$Q57-$R57+MAX(Keys!$C$51,$R57-$Q57))&gt;Keys!$C$51,MIN(Keys!$C$52,MAX(Keys!$C$51,$R57-$Q57)/($P57+$Q57-$R57+MAX(Keys!$C$51,$R57-$Q57))),Keys!$C$51)</f>
        <v>0</v>
      </c>
      <c r="T57">
        <f>IF(AND($I57&gt;$H57,ABS($L57-$G57)&gt;MAX(Keys!$C$62,ABS($G57)*Keys!$C$63)),1,0)</f>
        <v>0</v>
      </c>
      <c r="U57">
        <f>IF(OR($N57&lt;Keys!$C$51,$N57&gt;Keys!$C$52),1,0)</f>
        <v>0</v>
      </c>
      <c r="V57">
        <f>IF(AND($E57=Keys!$C$60,$N57&lt;&gt;Keys!$C$51),1,0)</f>
        <v>0</v>
      </c>
      <c r="W57">
        <f>IF($L57&gt;Keys!$C$51,IF($K57/$L57&gt;Keys!$C$52,1,0),0)</f>
        <v>0</v>
      </c>
      <c r="X57" s="11">
        <f t="shared" si="3"/>
        <v>0</v>
      </c>
    </row>
    <row r="58" spans="1:24" x14ac:dyDescent="0.25">
      <c r="A58" t="s">
        <v>67</v>
      </c>
      <c r="B58" t="s">
        <v>97</v>
      </c>
      <c r="C58" t="str">
        <f>VLOOKUP($B58,Keys!$F$2:$I$22,2,FALSE)</f>
        <v>jet fuel or kerosene</v>
      </c>
      <c r="D58">
        <f>VLOOKUP($B58,Keys!$F$2:$I$22,3,FALSE)</f>
        <v>0.10155994</v>
      </c>
      <c r="E58" t="str">
        <f>VLOOKUP($B58,Keys!$F$2:$I$22,4,FALSE)</f>
        <v>rule</v>
      </c>
      <c r="F58" t="str">
        <f>$A58&amp;Keys!$C$54&amp;$B58</f>
        <v>AZ|jet fuel or kerosene</v>
      </c>
      <c r="G58" s="10">
        <f>IF($E58=Keys!$C$60,Keys!$C$51,INDEX(Balanced_2025!$D$9:$D$3032,MATCH($A58&amp;Keys!$C$54&amp;Keys!$C$55&amp;Keys!$C$54&amp;$C58,Balanced_2025!$E$9:$E$3032,0)))</f>
        <v>0</v>
      </c>
      <c r="H58" s="10">
        <f>IF($E58=Keys!$C$60,Keys!$C$51,INDEX(Balanced_2025!$D$9:$D$3032,MATCH($A58&amp;Keys!$C$54&amp;Keys!$C$56&amp;Keys!$C$54&amp;$C58,Balanced_2025!$E$9:$E$3032,0)))</f>
        <v>81273500000000</v>
      </c>
      <c r="I58" s="10">
        <f>IF($E58=Keys!$C$60,Keys!$C$51,INDEX(Balanced_2025!$D$9:$D$3032,MATCH($A58&amp;Keys!$C$54&amp;Keys!$C$57&amp;Keys!$C$54&amp;$C58,Balanced_2025!$E$9:$E$3032,0)))</f>
        <v>0</v>
      </c>
      <c r="J58" s="10">
        <f t="shared" si="0"/>
        <v>81273500000000</v>
      </c>
      <c r="K58" s="10">
        <f>MAX(Keys!$C$51,$I58-$H58)</f>
        <v>0</v>
      </c>
      <c r="L58" s="10">
        <f t="shared" si="1"/>
        <v>81273500000000</v>
      </c>
      <c r="M58" s="11">
        <f>IF($L58&gt;Keys!$C$51,MIN(Keys!$C$52,$K58/$L58),Keys!$C$51)</f>
        <v>0</v>
      </c>
      <c r="N58" s="11">
        <f>IF($E58=Keys!$C$60,Keys!$C$51,IF($E58=Keys!$C$59,$D58,$M58))</f>
        <v>0</v>
      </c>
      <c r="O58">
        <f t="shared" si="2"/>
        <v>1</v>
      </c>
      <c r="P58" s="10">
        <f>IF($E58=Keys!$C$60,Keys!$C$51,INDEX(Raw_BFPIaE!$G$9:$G$3032,MATCH($A58&amp;Keys!$C$54&amp;Keys!$C$55&amp;Keys!$C$54&amp;$B58,Raw_BFPIaE!$H$9:$H$3032,0)))</f>
        <v>0</v>
      </c>
      <c r="Q58" s="10">
        <f>IF($E58=Keys!$C$60,Keys!$C$51,INDEX(Raw_BFPIaE!$G$9:$G$3032,MATCH($A58&amp;Keys!$C$54&amp;Keys!$C$56&amp;Keys!$C$54&amp;$B58,Raw_BFPIaE!$H$9:$H$3032,0)))</f>
        <v>55288800000000</v>
      </c>
      <c r="R58" s="10">
        <f>IF($E58=Keys!$C$60,Keys!$C$51,INDEX(Raw_BFPIaE!$G$9:$G$3032,MATCH($A58&amp;Keys!$C$54&amp;Keys!$C$57&amp;Keys!$C$54&amp;$B58,Raw_BFPIaE!$H$9:$H$3032,0)))</f>
        <v>0</v>
      </c>
      <c r="S58" s="11">
        <f>IF(($P58+$Q58-$R58+MAX(Keys!$C$51,$R58-$Q58))&gt;Keys!$C$51,MIN(Keys!$C$52,MAX(Keys!$C$51,$R58-$Q58)/($P58+$Q58-$R58+MAX(Keys!$C$51,$R58-$Q58))),Keys!$C$51)</f>
        <v>0</v>
      </c>
      <c r="T58">
        <f>IF(AND($I58&gt;$H58,ABS($L58-$G58)&gt;MAX(Keys!$C$62,ABS($G58)*Keys!$C$63)),1,0)</f>
        <v>0</v>
      </c>
      <c r="U58">
        <f>IF(OR($N58&lt;Keys!$C$51,$N58&gt;Keys!$C$52),1,0)</f>
        <v>0</v>
      </c>
      <c r="V58">
        <f>IF(AND($E58=Keys!$C$60,$N58&lt;&gt;Keys!$C$51),1,0)</f>
        <v>0</v>
      </c>
      <c r="W58">
        <f>IF($L58&gt;Keys!$C$51,IF($K58/$L58&gt;Keys!$C$52,1,0),0)</f>
        <v>0</v>
      </c>
      <c r="X58" s="11">
        <f t="shared" si="3"/>
        <v>0</v>
      </c>
    </row>
    <row r="59" spans="1:24" x14ac:dyDescent="0.25">
      <c r="A59" t="s">
        <v>67</v>
      </c>
      <c r="B59" t="s">
        <v>100</v>
      </c>
      <c r="C59">
        <f>VLOOKUP($B59,Keys!$F$2:$I$22,2,FALSE)</f>
        <v>0</v>
      </c>
      <c r="D59">
        <f>VLOOKUP($B59,Keys!$F$2:$I$22,3,FALSE)</f>
        <v>0</v>
      </c>
      <c r="E59" t="str">
        <f>VLOOKUP($B59,Keys!$F$2:$I$22,4,FALSE)</f>
        <v>zero</v>
      </c>
      <c r="F59" t="str">
        <f>$A59&amp;Keys!$C$54&amp;$B59</f>
        <v>AZ|heat (not used in this variable)</v>
      </c>
      <c r="G59" s="10">
        <f>IF($E59=Keys!$C$60,Keys!$C$51,INDEX(Balanced_2025!$D$9:$D$3032,MATCH($A59&amp;Keys!$C$54&amp;Keys!$C$55&amp;Keys!$C$54&amp;$C59,Balanced_2025!$E$9:$E$3032,0)))</f>
        <v>0</v>
      </c>
      <c r="H59" s="10">
        <f>IF($E59=Keys!$C$60,Keys!$C$51,INDEX(Balanced_2025!$D$9:$D$3032,MATCH($A59&amp;Keys!$C$54&amp;Keys!$C$56&amp;Keys!$C$54&amp;$C59,Balanced_2025!$E$9:$E$3032,0)))</f>
        <v>0</v>
      </c>
      <c r="I59" s="10">
        <f>IF($E59=Keys!$C$60,Keys!$C$51,INDEX(Balanced_2025!$D$9:$D$3032,MATCH($A59&amp;Keys!$C$54&amp;Keys!$C$57&amp;Keys!$C$54&amp;$C59,Balanced_2025!$E$9:$E$3032,0)))</f>
        <v>0</v>
      </c>
      <c r="J59" s="10">
        <f t="shared" si="0"/>
        <v>0</v>
      </c>
      <c r="K59" s="10">
        <f>MAX(Keys!$C$51,$I59-$H59)</f>
        <v>0</v>
      </c>
      <c r="L59" s="10">
        <f t="shared" si="1"/>
        <v>0</v>
      </c>
      <c r="M59" s="11">
        <f>IF($L59&gt;Keys!$C$51,MIN(Keys!$C$52,$K59/$L59),Keys!$C$51)</f>
        <v>0</v>
      </c>
      <c r="N59" s="11">
        <f>IF($E59=Keys!$C$60,Keys!$C$51,IF($E59=Keys!$C$59,$D59,$M59))</f>
        <v>0</v>
      </c>
      <c r="O59">
        <f t="shared" si="2"/>
        <v>0</v>
      </c>
      <c r="P59" s="10">
        <f>IF($E59=Keys!$C$60,Keys!$C$51,INDEX(Raw_BFPIaE!$G$9:$G$3032,MATCH($A59&amp;Keys!$C$54&amp;Keys!$C$55&amp;Keys!$C$54&amp;$B59,Raw_BFPIaE!$H$9:$H$3032,0)))</f>
        <v>0</v>
      </c>
      <c r="Q59" s="10">
        <f>IF($E59=Keys!$C$60,Keys!$C$51,INDEX(Raw_BFPIaE!$G$9:$G$3032,MATCH($A59&amp;Keys!$C$54&amp;Keys!$C$56&amp;Keys!$C$54&amp;$B59,Raw_BFPIaE!$H$9:$H$3032,0)))</f>
        <v>0</v>
      </c>
      <c r="R59" s="10">
        <f>IF($E59=Keys!$C$60,Keys!$C$51,INDEX(Raw_BFPIaE!$G$9:$G$3032,MATCH($A59&amp;Keys!$C$54&amp;Keys!$C$57&amp;Keys!$C$54&amp;$B59,Raw_BFPIaE!$H$9:$H$3032,0)))</f>
        <v>0</v>
      </c>
      <c r="S59" s="11">
        <f>IF(($P59+$Q59-$R59+MAX(Keys!$C$51,$R59-$Q59))&gt;Keys!$C$51,MIN(Keys!$C$52,MAX(Keys!$C$51,$R59-$Q59)/($P59+$Q59-$R59+MAX(Keys!$C$51,$R59-$Q59))),Keys!$C$51)</f>
        <v>0</v>
      </c>
      <c r="T59">
        <f>IF(AND($I59&gt;$H59,ABS($L59-$G59)&gt;MAX(Keys!$C$62,ABS($G59)*Keys!$C$63)),1,0)</f>
        <v>0</v>
      </c>
      <c r="U59">
        <f>IF(OR($N59&lt;Keys!$C$51,$N59&gt;Keys!$C$52),1,0)</f>
        <v>0</v>
      </c>
      <c r="V59">
        <f>IF(AND($E59=Keys!$C$60,$N59&lt;&gt;Keys!$C$51),1,0)</f>
        <v>0</v>
      </c>
      <c r="W59">
        <f>IF($L59&gt;Keys!$C$51,IF($K59/$L59&gt;Keys!$C$52,1,0),0)</f>
        <v>0</v>
      </c>
      <c r="X59" s="11">
        <f t="shared" si="3"/>
        <v>0</v>
      </c>
    </row>
    <row r="60" spans="1:24" x14ac:dyDescent="0.25">
      <c r="A60" t="s">
        <v>67</v>
      </c>
      <c r="B60" t="s">
        <v>103</v>
      </c>
      <c r="C60">
        <f>VLOOKUP($B60,Keys!$F$2:$I$22,2,FALSE)</f>
        <v>0</v>
      </c>
      <c r="D60">
        <f>VLOOKUP($B60,Keys!$F$2:$I$22,3,FALSE)</f>
        <v>0</v>
      </c>
      <c r="E60" t="str">
        <f>VLOOKUP($B60,Keys!$F$2:$I$22,4,FALSE)</f>
        <v>zero</v>
      </c>
      <c r="F60" t="str">
        <f>$A60&amp;Keys!$C$54&amp;$B60</f>
        <v>AZ|geothermal (is not a fuel)</v>
      </c>
      <c r="G60" s="10">
        <f>IF($E60=Keys!$C$60,Keys!$C$51,INDEX(Balanced_2025!$D$9:$D$3032,MATCH($A60&amp;Keys!$C$54&amp;Keys!$C$55&amp;Keys!$C$54&amp;$C60,Balanced_2025!$E$9:$E$3032,0)))</f>
        <v>0</v>
      </c>
      <c r="H60" s="10">
        <f>IF($E60=Keys!$C$60,Keys!$C$51,INDEX(Balanced_2025!$D$9:$D$3032,MATCH($A60&amp;Keys!$C$54&amp;Keys!$C$56&amp;Keys!$C$54&amp;$C60,Balanced_2025!$E$9:$E$3032,0)))</f>
        <v>0</v>
      </c>
      <c r="I60" s="10">
        <f>IF($E60=Keys!$C$60,Keys!$C$51,INDEX(Balanced_2025!$D$9:$D$3032,MATCH($A60&amp;Keys!$C$54&amp;Keys!$C$57&amp;Keys!$C$54&amp;$C60,Balanced_2025!$E$9:$E$3032,0)))</f>
        <v>0</v>
      </c>
      <c r="J60" s="10">
        <f t="shared" si="0"/>
        <v>0</v>
      </c>
      <c r="K60" s="10">
        <f>MAX(Keys!$C$51,$I60-$H60)</f>
        <v>0</v>
      </c>
      <c r="L60" s="10">
        <f t="shared" si="1"/>
        <v>0</v>
      </c>
      <c r="M60" s="11">
        <f>IF($L60&gt;Keys!$C$51,MIN(Keys!$C$52,$K60/$L60),Keys!$C$51)</f>
        <v>0</v>
      </c>
      <c r="N60" s="11">
        <f>IF($E60=Keys!$C$60,Keys!$C$51,IF($E60=Keys!$C$59,$D60,$M60))</f>
        <v>0</v>
      </c>
      <c r="O60">
        <f t="shared" si="2"/>
        <v>0</v>
      </c>
      <c r="P60" s="10">
        <f>IF($E60=Keys!$C$60,Keys!$C$51,INDEX(Raw_BFPIaE!$G$9:$G$3032,MATCH($A60&amp;Keys!$C$54&amp;Keys!$C$55&amp;Keys!$C$54&amp;$B60,Raw_BFPIaE!$H$9:$H$3032,0)))</f>
        <v>0</v>
      </c>
      <c r="Q60" s="10">
        <f>IF($E60=Keys!$C$60,Keys!$C$51,INDEX(Raw_BFPIaE!$G$9:$G$3032,MATCH($A60&amp;Keys!$C$54&amp;Keys!$C$56&amp;Keys!$C$54&amp;$B60,Raw_BFPIaE!$H$9:$H$3032,0)))</f>
        <v>0</v>
      </c>
      <c r="R60" s="10">
        <f>IF($E60=Keys!$C$60,Keys!$C$51,INDEX(Raw_BFPIaE!$G$9:$G$3032,MATCH($A60&amp;Keys!$C$54&amp;Keys!$C$57&amp;Keys!$C$54&amp;$B60,Raw_BFPIaE!$H$9:$H$3032,0)))</f>
        <v>0</v>
      </c>
      <c r="S60" s="11">
        <f>IF(($P60+$Q60-$R60+MAX(Keys!$C$51,$R60-$Q60))&gt;Keys!$C$51,MIN(Keys!$C$52,MAX(Keys!$C$51,$R60-$Q60)/($P60+$Q60-$R60+MAX(Keys!$C$51,$R60-$Q60))),Keys!$C$51)</f>
        <v>0</v>
      </c>
      <c r="T60">
        <f>IF(AND($I60&gt;$H60,ABS($L60-$G60)&gt;MAX(Keys!$C$62,ABS($G60)*Keys!$C$63)),1,0)</f>
        <v>0</v>
      </c>
      <c r="U60">
        <f>IF(OR($N60&lt;Keys!$C$51,$N60&gt;Keys!$C$52),1,0)</f>
        <v>0</v>
      </c>
      <c r="V60">
        <f>IF(AND($E60=Keys!$C$60,$N60&lt;&gt;Keys!$C$51),1,0)</f>
        <v>0</v>
      </c>
      <c r="W60">
        <f>IF($L60&gt;Keys!$C$51,IF($K60/$L60&gt;Keys!$C$52,1,0),0)</f>
        <v>0</v>
      </c>
      <c r="X60" s="11">
        <f t="shared" si="3"/>
        <v>0</v>
      </c>
    </row>
    <row r="61" spans="1:24" x14ac:dyDescent="0.25">
      <c r="A61" t="s">
        <v>67</v>
      </c>
      <c r="B61" t="s">
        <v>106</v>
      </c>
      <c r="C61" t="str">
        <f>VLOOKUP($B61,Keys!$F$2:$I$22,2,FALSE)</f>
        <v>lignite</v>
      </c>
      <c r="D61">
        <f>VLOOKUP($B61,Keys!$F$2:$I$22,3,FALSE)</f>
        <v>0</v>
      </c>
      <c r="E61" t="str">
        <f>VLOOKUP($B61,Keys!$F$2:$I$22,4,FALSE)</f>
        <v>rule</v>
      </c>
      <c r="F61" t="str">
        <f>$A61&amp;Keys!$C$54&amp;$B61</f>
        <v>AZ|lignite</v>
      </c>
      <c r="G61" s="10">
        <f>IF($E61=Keys!$C$60,Keys!$C$51,INDEX(Balanced_2025!$D$9:$D$3032,MATCH($A61&amp;Keys!$C$54&amp;Keys!$C$55&amp;Keys!$C$54&amp;$C61,Balanced_2025!$E$9:$E$3032,0)))</f>
        <v>0</v>
      </c>
      <c r="H61" s="10">
        <f>IF($E61=Keys!$C$60,Keys!$C$51,INDEX(Balanced_2025!$D$9:$D$3032,MATCH($A61&amp;Keys!$C$54&amp;Keys!$C$56&amp;Keys!$C$54&amp;$C61,Balanced_2025!$E$9:$E$3032,0)))</f>
        <v>0</v>
      </c>
      <c r="I61" s="10">
        <f>IF($E61=Keys!$C$60,Keys!$C$51,INDEX(Balanced_2025!$D$9:$D$3032,MATCH($A61&amp;Keys!$C$54&amp;Keys!$C$57&amp;Keys!$C$54&amp;$C61,Balanced_2025!$E$9:$E$3032,0)))</f>
        <v>0</v>
      </c>
      <c r="J61" s="10">
        <f t="shared" si="0"/>
        <v>0</v>
      </c>
      <c r="K61" s="10">
        <f>MAX(Keys!$C$51,$I61-$H61)</f>
        <v>0</v>
      </c>
      <c r="L61" s="10">
        <f t="shared" si="1"/>
        <v>0</v>
      </c>
      <c r="M61" s="11">
        <f>IF($L61&gt;Keys!$C$51,MIN(Keys!$C$52,$K61/$L61),Keys!$C$51)</f>
        <v>0</v>
      </c>
      <c r="N61" s="11">
        <f>IF($E61=Keys!$C$60,Keys!$C$51,IF($E61=Keys!$C$59,$D61,$M61))</f>
        <v>0</v>
      </c>
      <c r="O61">
        <f t="shared" si="2"/>
        <v>0</v>
      </c>
      <c r="P61" s="10">
        <f>IF($E61=Keys!$C$60,Keys!$C$51,INDEX(Raw_BFPIaE!$G$9:$G$3032,MATCH($A61&amp;Keys!$C$54&amp;Keys!$C$55&amp;Keys!$C$54&amp;$B61,Raw_BFPIaE!$H$9:$H$3032,0)))</f>
        <v>0</v>
      </c>
      <c r="Q61" s="10">
        <f>IF($E61=Keys!$C$60,Keys!$C$51,INDEX(Raw_BFPIaE!$G$9:$G$3032,MATCH($A61&amp;Keys!$C$54&amp;Keys!$C$56&amp;Keys!$C$54&amp;$B61,Raw_BFPIaE!$H$9:$H$3032,0)))</f>
        <v>0</v>
      </c>
      <c r="R61" s="10">
        <f>IF($E61=Keys!$C$60,Keys!$C$51,INDEX(Raw_BFPIaE!$G$9:$G$3032,MATCH($A61&amp;Keys!$C$54&amp;Keys!$C$57&amp;Keys!$C$54&amp;$B61,Raw_BFPIaE!$H$9:$H$3032,0)))</f>
        <v>0</v>
      </c>
      <c r="S61" s="11">
        <f>IF(($P61+$Q61-$R61+MAX(Keys!$C$51,$R61-$Q61))&gt;Keys!$C$51,MIN(Keys!$C$52,MAX(Keys!$C$51,$R61-$Q61)/($P61+$Q61-$R61+MAX(Keys!$C$51,$R61-$Q61))),Keys!$C$51)</f>
        <v>0</v>
      </c>
      <c r="T61">
        <f>IF(AND($I61&gt;$H61,ABS($L61-$G61)&gt;MAX(Keys!$C$62,ABS($G61)*Keys!$C$63)),1,0)</f>
        <v>0</v>
      </c>
      <c r="U61">
        <f>IF(OR($N61&lt;Keys!$C$51,$N61&gt;Keys!$C$52),1,0)</f>
        <v>0</v>
      </c>
      <c r="V61">
        <f>IF(AND($E61=Keys!$C$60,$N61&lt;&gt;Keys!$C$51),1,0)</f>
        <v>0</v>
      </c>
      <c r="W61">
        <f>IF($L61&gt;Keys!$C$51,IF($K61/$L61&gt;Keys!$C$52,1,0),0)</f>
        <v>0</v>
      </c>
      <c r="X61" s="11">
        <f t="shared" si="3"/>
        <v>0</v>
      </c>
    </row>
    <row r="62" spans="1:24" x14ac:dyDescent="0.25">
      <c r="A62" t="s">
        <v>67</v>
      </c>
      <c r="B62" t="s">
        <v>109</v>
      </c>
      <c r="C62" t="str">
        <f>VLOOKUP($B62,Keys!$F$2:$I$22,2,FALSE)</f>
        <v>crude oil</v>
      </c>
      <c r="D62">
        <f>VLOOKUP($B62,Keys!$F$2:$I$22,3,FALSE)</f>
        <v>1</v>
      </c>
      <c r="E62" t="str">
        <f>VLOOKUP($B62,Keys!$F$2:$I$22,4,FALSE)</f>
        <v>hold</v>
      </c>
      <c r="F62" t="str">
        <f>$A62&amp;Keys!$C$54&amp;$B62</f>
        <v>AZ|crude oil</v>
      </c>
      <c r="G62" s="10">
        <f>IF($E62=Keys!$C$60,Keys!$C$51,INDEX(Balanced_2025!$D$9:$D$3032,MATCH($A62&amp;Keys!$C$54&amp;Keys!$C$55&amp;Keys!$C$54&amp;$C62,Balanced_2025!$E$9:$E$3032,0)))</f>
        <v>34800000000</v>
      </c>
      <c r="H62" s="10">
        <f>IF($E62=Keys!$C$60,Keys!$C$51,INDEX(Balanced_2025!$D$9:$D$3032,MATCH($A62&amp;Keys!$C$54&amp;Keys!$C$56&amp;Keys!$C$54&amp;$C62,Balanced_2025!$E$9:$E$3032,0)))</f>
        <v>1153200000000</v>
      </c>
      <c r="I62" s="10">
        <f>IF($E62=Keys!$C$60,Keys!$C$51,INDEX(Balanced_2025!$D$9:$D$3032,MATCH($A62&amp;Keys!$C$54&amp;Keys!$C$57&amp;Keys!$C$54&amp;$C62,Balanced_2025!$E$9:$E$3032,0)))</f>
        <v>0</v>
      </c>
      <c r="J62" s="10">
        <f t="shared" si="0"/>
        <v>1188000000000</v>
      </c>
      <c r="K62" s="10">
        <f>MAX(Keys!$C$51,$I62-$H62)</f>
        <v>0</v>
      </c>
      <c r="L62" s="10">
        <f t="shared" si="1"/>
        <v>1188000000000</v>
      </c>
      <c r="M62" s="11">
        <f>IF($L62&gt;Keys!$C$51,MIN(Keys!$C$52,$K62/$L62),Keys!$C$51)</f>
        <v>0</v>
      </c>
      <c r="N62" s="11">
        <f>IF($E62=Keys!$C$60,Keys!$C$51,IF($E62=Keys!$C$59,$D62,$M62))</f>
        <v>1</v>
      </c>
      <c r="O62">
        <f t="shared" si="2"/>
        <v>0</v>
      </c>
      <c r="P62" s="10">
        <f>IF($E62=Keys!$C$60,Keys!$C$51,INDEX(Raw_BFPIaE!$G$9:$G$3032,MATCH($A62&amp;Keys!$C$54&amp;Keys!$C$55&amp;Keys!$C$54&amp;$B62,Raw_BFPIaE!$H$9:$H$3032,0)))</f>
        <v>34588800000</v>
      </c>
      <c r="Q62" s="10">
        <f>IF($E62=Keys!$C$60,Keys!$C$51,INDEX(Raw_BFPIaE!$G$9:$G$3032,MATCH($A62&amp;Keys!$C$54&amp;Keys!$C$56&amp;Keys!$C$54&amp;$B62,Raw_BFPIaE!$H$9:$H$3032,0)))</f>
        <v>769010000000</v>
      </c>
      <c r="R62" s="10">
        <f>IF($E62=Keys!$C$60,Keys!$C$51,INDEX(Raw_BFPIaE!$G$9:$G$3032,MATCH($A62&amp;Keys!$C$54&amp;Keys!$C$57&amp;Keys!$C$54&amp;$B62,Raw_BFPIaE!$H$9:$H$3032,0)))</f>
        <v>0</v>
      </c>
      <c r="S62" s="11">
        <f>IF(($P62+$Q62-$R62+MAX(Keys!$C$51,$R62-$Q62))&gt;Keys!$C$51,MIN(Keys!$C$52,MAX(Keys!$C$51,$R62-$Q62)/($P62+$Q62-$R62+MAX(Keys!$C$51,$R62-$Q62))),Keys!$C$51)</f>
        <v>0</v>
      </c>
      <c r="T62">
        <f>IF(AND($I62&gt;$H62,ABS($L62-$G62)&gt;MAX(Keys!$C$62,ABS($G62)*Keys!$C$63)),1,0)</f>
        <v>0</v>
      </c>
      <c r="U62">
        <f>IF(OR($N62&lt;Keys!$C$51,$N62&gt;Keys!$C$52),1,0)</f>
        <v>0</v>
      </c>
      <c r="V62">
        <f>IF(AND($E62=Keys!$C$60,$N62&lt;&gt;Keys!$C$51),1,0)</f>
        <v>0</v>
      </c>
      <c r="W62">
        <f>IF($L62&gt;Keys!$C$51,IF($K62/$L62&gt;Keys!$C$52,1,0),0)</f>
        <v>0</v>
      </c>
      <c r="X62" s="11">
        <f t="shared" si="3"/>
        <v>0</v>
      </c>
    </row>
    <row r="63" spans="1:24" x14ac:dyDescent="0.25">
      <c r="A63" t="s">
        <v>67</v>
      </c>
      <c r="B63" t="s">
        <v>113</v>
      </c>
      <c r="C63" t="str">
        <f>VLOOKUP($B63,Keys!$F$2:$I$22,2,FALSE)</f>
        <v>heavy or residual fuel oil</v>
      </c>
      <c r="D63">
        <f>VLOOKUP($B63,Keys!$F$2:$I$22,3,FALSE)</f>
        <v>0.49914171099999999</v>
      </c>
      <c r="E63" t="str">
        <f>VLOOKUP($B63,Keys!$F$2:$I$22,4,FALSE)</f>
        <v>rule</v>
      </c>
      <c r="F63" t="str">
        <f>$A63&amp;Keys!$C$54&amp;$B63</f>
        <v>AZ|heavy fuel oil</v>
      </c>
      <c r="G63" s="10">
        <f>IF($E63=Keys!$C$60,Keys!$C$51,INDEX(Balanced_2025!$D$9:$D$3032,MATCH($A63&amp;Keys!$C$54&amp;Keys!$C$55&amp;Keys!$C$54&amp;$C63,Balanced_2025!$E$9:$E$3032,0)))</f>
        <v>0</v>
      </c>
      <c r="H63" s="10">
        <f>IF($E63=Keys!$C$60,Keys!$C$51,INDEX(Balanced_2025!$D$9:$D$3032,MATCH($A63&amp;Keys!$C$54&amp;Keys!$C$56&amp;Keys!$C$54&amp;$C63,Balanced_2025!$E$9:$E$3032,0)))</f>
        <v>18631000000000</v>
      </c>
      <c r="I63" s="10">
        <f>IF($E63=Keys!$C$60,Keys!$C$51,INDEX(Balanced_2025!$D$9:$D$3032,MATCH($A63&amp;Keys!$C$54&amp;Keys!$C$57&amp;Keys!$C$54&amp;$C63,Balanced_2025!$E$9:$E$3032,0)))</f>
        <v>0</v>
      </c>
      <c r="J63" s="10">
        <f t="shared" si="0"/>
        <v>18631000000000</v>
      </c>
      <c r="K63" s="10">
        <f>MAX(Keys!$C$51,$I63-$H63)</f>
        <v>0</v>
      </c>
      <c r="L63" s="10">
        <f t="shared" si="1"/>
        <v>18631000000000</v>
      </c>
      <c r="M63" s="11">
        <f>IF($L63&gt;Keys!$C$51,MIN(Keys!$C$52,$K63/$L63),Keys!$C$51)</f>
        <v>0</v>
      </c>
      <c r="N63" s="11">
        <f>IF($E63=Keys!$C$60,Keys!$C$51,IF($E63=Keys!$C$59,$D63,$M63))</f>
        <v>0</v>
      </c>
      <c r="O63">
        <f t="shared" si="2"/>
        <v>1</v>
      </c>
      <c r="P63" s="10">
        <f>IF($E63=Keys!$C$60,Keys!$C$51,INDEX(Raw_BFPIaE!$G$9:$G$3032,MATCH($A63&amp;Keys!$C$54&amp;Keys!$C$55&amp;Keys!$C$54&amp;$B63,Raw_BFPIaE!$H$9:$H$3032,0)))</f>
        <v>0</v>
      </c>
      <c r="Q63" s="10">
        <f>IF($E63=Keys!$C$60,Keys!$C$51,INDEX(Raw_BFPIaE!$G$9:$G$3032,MATCH($A63&amp;Keys!$C$54&amp;Keys!$C$56&amp;Keys!$C$54&amp;$B63,Raw_BFPIaE!$H$9:$H$3032,0)))</f>
        <v>12549900000000</v>
      </c>
      <c r="R63" s="10">
        <f>IF($E63=Keys!$C$60,Keys!$C$51,INDEX(Raw_BFPIaE!$G$9:$G$3032,MATCH($A63&amp;Keys!$C$54&amp;Keys!$C$57&amp;Keys!$C$54&amp;$B63,Raw_BFPIaE!$H$9:$H$3032,0)))</f>
        <v>0</v>
      </c>
      <c r="S63" s="11">
        <f>IF(($P63+$Q63-$R63+MAX(Keys!$C$51,$R63-$Q63))&gt;Keys!$C$51,MIN(Keys!$C$52,MAX(Keys!$C$51,$R63-$Q63)/($P63+$Q63-$R63+MAX(Keys!$C$51,$R63-$Q63))),Keys!$C$51)</f>
        <v>0</v>
      </c>
      <c r="T63">
        <f>IF(AND($I63&gt;$H63,ABS($L63-$G63)&gt;MAX(Keys!$C$62,ABS($G63)*Keys!$C$63)),1,0)</f>
        <v>0</v>
      </c>
      <c r="U63">
        <f>IF(OR($N63&lt;Keys!$C$51,$N63&gt;Keys!$C$52),1,0)</f>
        <v>0</v>
      </c>
      <c r="V63">
        <f>IF(AND($E63=Keys!$C$60,$N63&lt;&gt;Keys!$C$51),1,0)</f>
        <v>0</v>
      </c>
      <c r="W63">
        <f>IF($L63&gt;Keys!$C$51,IF($K63/$L63&gt;Keys!$C$52,1,0),0)</f>
        <v>0</v>
      </c>
      <c r="X63" s="11">
        <f t="shared" si="3"/>
        <v>0</v>
      </c>
    </row>
    <row r="64" spans="1:24" x14ac:dyDescent="0.25">
      <c r="A64" t="s">
        <v>67</v>
      </c>
      <c r="B64" t="s">
        <v>117</v>
      </c>
      <c r="C64" t="str">
        <f>VLOOKUP($B64,Keys!$F$2:$I$22,2,FALSE)</f>
        <v>LPG propane or butane</v>
      </c>
      <c r="D64">
        <f>VLOOKUP($B64,Keys!$F$2:$I$22,3,FALSE)</f>
        <v>0.54955999499999997</v>
      </c>
      <c r="E64" t="str">
        <f>VLOOKUP($B64,Keys!$F$2:$I$22,4,FALSE)</f>
        <v>rule</v>
      </c>
      <c r="F64" t="str">
        <f>$A64&amp;Keys!$C$54&amp;$B64</f>
        <v>AZ|LPG propane or butane</v>
      </c>
      <c r="G64" s="10">
        <f>IF($E64=Keys!$C$60,Keys!$C$51,INDEX(Balanced_2025!$D$9:$D$3032,MATCH($A64&amp;Keys!$C$54&amp;Keys!$C$55&amp;Keys!$C$54&amp;$C64,Balanced_2025!$E$9:$E$3032,0)))</f>
        <v>17621400000</v>
      </c>
      <c r="H64" s="10">
        <f>IF($E64=Keys!$C$60,Keys!$C$51,INDEX(Balanced_2025!$D$9:$D$3032,MATCH($A64&amp;Keys!$C$54&amp;Keys!$C$56&amp;Keys!$C$54&amp;$C64,Balanced_2025!$E$9:$E$3032,0)))</f>
        <v>11191400000000</v>
      </c>
      <c r="I64" s="10">
        <f>IF($E64=Keys!$C$60,Keys!$C$51,INDEX(Balanced_2025!$D$9:$D$3032,MATCH($A64&amp;Keys!$C$54&amp;Keys!$C$57&amp;Keys!$C$54&amp;$C64,Balanced_2025!$E$9:$E$3032,0)))</f>
        <v>0</v>
      </c>
      <c r="J64" s="10">
        <f t="shared" si="0"/>
        <v>11209021400000</v>
      </c>
      <c r="K64" s="10">
        <f>MAX(Keys!$C$51,$I64-$H64)</f>
        <v>0</v>
      </c>
      <c r="L64" s="10">
        <f t="shared" si="1"/>
        <v>11209021400000</v>
      </c>
      <c r="M64" s="11">
        <f>IF($L64&gt;Keys!$C$51,MIN(Keys!$C$52,$K64/$L64),Keys!$C$51)</f>
        <v>0</v>
      </c>
      <c r="N64" s="11">
        <f>IF($E64=Keys!$C$60,Keys!$C$51,IF($E64=Keys!$C$59,$D64,$M64))</f>
        <v>0</v>
      </c>
      <c r="O64">
        <f t="shared" si="2"/>
        <v>1</v>
      </c>
      <c r="P64" s="10">
        <f>IF($E64=Keys!$C$60,Keys!$C$51,INDEX(Raw_BFPIaE!$G$9:$G$3032,MATCH($A64&amp;Keys!$C$54&amp;Keys!$C$55&amp;Keys!$C$54&amp;$B64,Raw_BFPIaE!$H$9:$H$3032,0)))</f>
        <v>17746133333.333332</v>
      </c>
      <c r="Q64" s="10">
        <f>IF($E64=Keys!$C$60,Keys!$C$51,INDEX(Raw_BFPIaE!$G$9:$G$3032,MATCH($A64&amp;Keys!$C$54&amp;Keys!$C$56&amp;Keys!$C$54&amp;$B64,Raw_BFPIaE!$H$9:$H$3032,0)))</f>
        <v>7397333333333.333</v>
      </c>
      <c r="R64" s="10">
        <f>IF($E64=Keys!$C$60,Keys!$C$51,INDEX(Raw_BFPIaE!$G$9:$G$3032,MATCH($A64&amp;Keys!$C$54&amp;Keys!$C$57&amp;Keys!$C$54&amp;$B64,Raw_BFPIaE!$H$9:$H$3032,0)))</f>
        <v>0</v>
      </c>
      <c r="S64" s="11">
        <f>IF(($P64+$Q64-$R64+MAX(Keys!$C$51,$R64-$Q64))&gt;Keys!$C$51,MIN(Keys!$C$52,MAX(Keys!$C$51,$R64-$Q64)/($P64+$Q64-$R64+MAX(Keys!$C$51,$R64-$Q64))),Keys!$C$51)</f>
        <v>0</v>
      </c>
      <c r="T64">
        <f>IF(AND($I64&gt;$H64,ABS($L64-$G64)&gt;MAX(Keys!$C$62,ABS($G64)*Keys!$C$63)),1,0)</f>
        <v>0</v>
      </c>
      <c r="U64">
        <f>IF(OR($N64&lt;Keys!$C$51,$N64&gt;Keys!$C$52),1,0)</f>
        <v>0</v>
      </c>
      <c r="V64">
        <f>IF(AND($E64=Keys!$C$60,$N64&lt;&gt;Keys!$C$51),1,0)</f>
        <v>0</v>
      </c>
      <c r="W64">
        <f>IF($L64&gt;Keys!$C$51,IF($K64/$L64&gt;Keys!$C$52,1,0),0)</f>
        <v>0</v>
      </c>
      <c r="X64" s="11">
        <f t="shared" si="3"/>
        <v>0</v>
      </c>
    </row>
    <row r="65" spans="1:24" x14ac:dyDescent="0.25">
      <c r="A65" t="s">
        <v>67</v>
      </c>
      <c r="B65" t="s">
        <v>120</v>
      </c>
      <c r="C65">
        <f>VLOOKUP($B65,Keys!$F$2:$I$22,2,FALSE)</f>
        <v>0</v>
      </c>
      <c r="D65">
        <f>VLOOKUP($B65,Keys!$F$2:$I$22,3,FALSE)</f>
        <v>0</v>
      </c>
      <c r="E65" t="str">
        <f>VLOOKUP($B65,Keys!$F$2:$I$22,4,FALSE)</f>
        <v>zero</v>
      </c>
      <c r="F65" t="str">
        <f>$A65&amp;Keys!$C$54&amp;$B65</f>
        <v>AZ|municipal solid waste</v>
      </c>
      <c r="G65" s="10">
        <f>IF($E65=Keys!$C$60,Keys!$C$51,INDEX(Balanced_2025!$D$9:$D$3032,MATCH($A65&amp;Keys!$C$54&amp;Keys!$C$55&amp;Keys!$C$54&amp;$C65,Balanced_2025!$E$9:$E$3032,0)))</f>
        <v>0</v>
      </c>
      <c r="H65" s="10">
        <f>IF($E65=Keys!$C$60,Keys!$C$51,INDEX(Balanced_2025!$D$9:$D$3032,MATCH($A65&amp;Keys!$C$54&amp;Keys!$C$56&amp;Keys!$C$54&amp;$C65,Balanced_2025!$E$9:$E$3032,0)))</f>
        <v>0</v>
      </c>
      <c r="I65" s="10">
        <f>IF($E65=Keys!$C$60,Keys!$C$51,INDEX(Balanced_2025!$D$9:$D$3032,MATCH($A65&amp;Keys!$C$54&amp;Keys!$C$57&amp;Keys!$C$54&amp;$C65,Balanced_2025!$E$9:$E$3032,0)))</f>
        <v>0</v>
      </c>
      <c r="J65" s="10">
        <f t="shared" si="0"/>
        <v>0</v>
      </c>
      <c r="K65" s="10">
        <f>MAX(Keys!$C$51,$I65-$H65)</f>
        <v>0</v>
      </c>
      <c r="L65" s="10">
        <f t="shared" si="1"/>
        <v>0</v>
      </c>
      <c r="M65" s="11">
        <f>IF($L65&gt;Keys!$C$51,MIN(Keys!$C$52,$K65/$L65),Keys!$C$51)</f>
        <v>0</v>
      </c>
      <c r="N65" s="11">
        <f>IF($E65=Keys!$C$60,Keys!$C$51,IF($E65=Keys!$C$59,$D65,$M65))</f>
        <v>0</v>
      </c>
      <c r="O65">
        <f t="shared" si="2"/>
        <v>0</v>
      </c>
      <c r="P65" s="10">
        <f>IF($E65=Keys!$C$60,Keys!$C$51,INDEX(Raw_BFPIaE!$G$9:$G$3032,MATCH($A65&amp;Keys!$C$54&amp;Keys!$C$55&amp;Keys!$C$54&amp;$B65,Raw_BFPIaE!$H$9:$H$3032,0)))</f>
        <v>0</v>
      </c>
      <c r="Q65" s="10">
        <f>IF($E65=Keys!$C$60,Keys!$C$51,INDEX(Raw_BFPIaE!$G$9:$G$3032,MATCH($A65&amp;Keys!$C$54&amp;Keys!$C$56&amp;Keys!$C$54&amp;$B65,Raw_BFPIaE!$H$9:$H$3032,0)))</f>
        <v>0</v>
      </c>
      <c r="R65" s="10">
        <f>IF($E65=Keys!$C$60,Keys!$C$51,INDEX(Raw_BFPIaE!$G$9:$G$3032,MATCH($A65&amp;Keys!$C$54&amp;Keys!$C$57&amp;Keys!$C$54&amp;$B65,Raw_BFPIaE!$H$9:$H$3032,0)))</f>
        <v>0</v>
      </c>
      <c r="S65" s="11">
        <f>IF(($P65+$Q65-$R65+MAX(Keys!$C$51,$R65-$Q65))&gt;Keys!$C$51,MIN(Keys!$C$52,MAX(Keys!$C$51,$R65-$Q65)/($P65+$Q65-$R65+MAX(Keys!$C$51,$R65-$Q65))),Keys!$C$51)</f>
        <v>0</v>
      </c>
      <c r="T65">
        <f>IF(AND($I65&gt;$H65,ABS($L65-$G65)&gt;MAX(Keys!$C$62,ABS($G65)*Keys!$C$63)),1,0)</f>
        <v>0</v>
      </c>
      <c r="U65">
        <f>IF(OR($N65&lt;Keys!$C$51,$N65&gt;Keys!$C$52),1,0)</f>
        <v>0</v>
      </c>
      <c r="V65">
        <f>IF(AND($E65=Keys!$C$60,$N65&lt;&gt;Keys!$C$51),1,0)</f>
        <v>0</v>
      </c>
      <c r="W65">
        <f>IF($L65&gt;Keys!$C$51,IF($K65/$L65&gt;Keys!$C$52,1,0),0)</f>
        <v>0</v>
      </c>
      <c r="X65" s="11">
        <f t="shared" si="3"/>
        <v>0</v>
      </c>
    </row>
    <row r="66" spans="1:24" x14ac:dyDescent="0.25">
      <c r="A66" t="s">
        <v>67</v>
      </c>
      <c r="B66" t="s">
        <v>123</v>
      </c>
      <c r="C66">
        <f>VLOOKUP($B66,Keys!$F$2:$I$22,2,FALSE)</f>
        <v>0</v>
      </c>
      <c r="D66">
        <f>VLOOKUP($B66,Keys!$F$2:$I$22,3,FALSE)</f>
        <v>0</v>
      </c>
      <c r="E66" t="str">
        <f>VLOOKUP($B66,Keys!$F$2:$I$22,4,FALSE)</f>
        <v>zero</v>
      </c>
      <c r="F66" t="str">
        <f>$A66&amp;Keys!$C$54&amp;$B66</f>
        <v>AZ|hydrogen</v>
      </c>
      <c r="G66" s="10">
        <f>IF($E66=Keys!$C$60,Keys!$C$51,INDEX(Balanced_2025!$D$9:$D$3032,MATCH($A66&amp;Keys!$C$54&amp;Keys!$C$55&amp;Keys!$C$54&amp;$C66,Balanced_2025!$E$9:$E$3032,0)))</f>
        <v>0</v>
      </c>
      <c r="H66" s="10">
        <f>IF($E66=Keys!$C$60,Keys!$C$51,INDEX(Balanced_2025!$D$9:$D$3032,MATCH($A66&amp;Keys!$C$54&amp;Keys!$C$56&amp;Keys!$C$54&amp;$C66,Balanced_2025!$E$9:$E$3032,0)))</f>
        <v>0</v>
      </c>
      <c r="I66" s="10">
        <f>IF($E66=Keys!$C$60,Keys!$C$51,INDEX(Balanced_2025!$D$9:$D$3032,MATCH($A66&amp;Keys!$C$54&amp;Keys!$C$57&amp;Keys!$C$54&amp;$C66,Balanced_2025!$E$9:$E$3032,0)))</f>
        <v>0</v>
      </c>
      <c r="J66" s="10">
        <f t="shared" si="0"/>
        <v>0</v>
      </c>
      <c r="K66" s="10">
        <f>MAX(Keys!$C$51,$I66-$H66)</f>
        <v>0</v>
      </c>
      <c r="L66" s="10">
        <f t="shared" si="1"/>
        <v>0</v>
      </c>
      <c r="M66" s="11">
        <f>IF($L66&gt;Keys!$C$51,MIN(Keys!$C$52,$K66/$L66),Keys!$C$51)</f>
        <v>0</v>
      </c>
      <c r="N66" s="11">
        <f>IF($E66=Keys!$C$60,Keys!$C$51,IF($E66=Keys!$C$59,$D66,$M66))</f>
        <v>0</v>
      </c>
      <c r="O66">
        <f t="shared" si="2"/>
        <v>0</v>
      </c>
      <c r="P66" s="10">
        <f>IF($E66=Keys!$C$60,Keys!$C$51,INDEX(Raw_BFPIaE!$G$9:$G$3032,MATCH($A66&amp;Keys!$C$54&amp;Keys!$C$55&amp;Keys!$C$54&amp;$B66,Raw_BFPIaE!$H$9:$H$3032,0)))</f>
        <v>0</v>
      </c>
      <c r="Q66" s="10">
        <f>IF($E66=Keys!$C$60,Keys!$C$51,INDEX(Raw_BFPIaE!$G$9:$G$3032,MATCH($A66&amp;Keys!$C$54&amp;Keys!$C$56&amp;Keys!$C$54&amp;$B66,Raw_BFPIaE!$H$9:$H$3032,0)))</f>
        <v>0</v>
      </c>
      <c r="R66" s="10">
        <f>IF($E66=Keys!$C$60,Keys!$C$51,INDEX(Raw_BFPIaE!$G$9:$G$3032,MATCH($A66&amp;Keys!$C$54&amp;Keys!$C$57&amp;Keys!$C$54&amp;$B66,Raw_BFPIaE!$H$9:$H$3032,0)))</f>
        <v>0</v>
      </c>
      <c r="S66" s="11">
        <f>IF(($P66+$Q66-$R66+MAX(Keys!$C$51,$R66-$Q66))&gt;Keys!$C$51,MIN(Keys!$C$52,MAX(Keys!$C$51,$R66-$Q66)/($P66+$Q66-$R66+MAX(Keys!$C$51,$R66-$Q66))),Keys!$C$51)</f>
        <v>0</v>
      </c>
      <c r="T66">
        <f>IF(AND($I66&gt;$H66,ABS($L66-$G66)&gt;MAX(Keys!$C$62,ABS($G66)*Keys!$C$63)),1,0)</f>
        <v>0</v>
      </c>
      <c r="U66">
        <f>IF(OR($N66&lt;Keys!$C$51,$N66&gt;Keys!$C$52),1,0)</f>
        <v>0</v>
      </c>
      <c r="V66">
        <f>IF(AND($E66=Keys!$C$60,$N66&lt;&gt;Keys!$C$51),1,0)</f>
        <v>0</v>
      </c>
      <c r="W66">
        <f>IF($L66&gt;Keys!$C$51,IF($K66/$L66&gt;Keys!$C$52,1,0),0)</f>
        <v>0</v>
      </c>
      <c r="X66" s="11">
        <f t="shared" si="3"/>
        <v>0</v>
      </c>
    </row>
    <row r="67" spans="1:24" x14ac:dyDescent="0.25">
      <c r="A67" t="s">
        <v>70</v>
      </c>
      <c r="B67" t="s">
        <v>60</v>
      </c>
      <c r="C67">
        <f>VLOOKUP($B67,Keys!$F$2:$I$22,2,FALSE)</f>
        <v>0</v>
      </c>
      <c r="D67">
        <f>VLOOKUP($B67,Keys!$F$2:$I$22,3,FALSE)</f>
        <v>0</v>
      </c>
      <c r="E67" t="str">
        <f>VLOOKUP($B67,Keys!$F$2:$I$22,4,FALSE)</f>
        <v>zero</v>
      </c>
      <c r="F67" t="str">
        <f>$A67&amp;Keys!$C$54&amp;$B67</f>
        <v>CA|electricity (not used in this variable)</v>
      </c>
      <c r="G67" s="10">
        <f>IF($E67=Keys!$C$60,Keys!$C$51,INDEX(Balanced_2025!$D$9:$D$3032,MATCH($A67&amp;Keys!$C$54&amp;Keys!$C$55&amp;Keys!$C$54&amp;$C67,Balanced_2025!$E$9:$E$3032,0)))</f>
        <v>0</v>
      </c>
      <c r="H67" s="10">
        <f>IF($E67=Keys!$C$60,Keys!$C$51,INDEX(Balanced_2025!$D$9:$D$3032,MATCH($A67&amp;Keys!$C$54&amp;Keys!$C$56&amp;Keys!$C$54&amp;$C67,Balanced_2025!$E$9:$E$3032,0)))</f>
        <v>0</v>
      </c>
      <c r="I67" s="10">
        <f>IF($E67=Keys!$C$60,Keys!$C$51,INDEX(Balanced_2025!$D$9:$D$3032,MATCH($A67&amp;Keys!$C$54&amp;Keys!$C$57&amp;Keys!$C$54&amp;$C67,Balanced_2025!$E$9:$E$3032,0)))</f>
        <v>0</v>
      </c>
      <c r="J67" s="10">
        <f t="shared" si="0"/>
        <v>0</v>
      </c>
      <c r="K67" s="10">
        <f>MAX(Keys!$C$51,$I67-$H67)</f>
        <v>0</v>
      </c>
      <c r="L67" s="10">
        <f t="shared" si="1"/>
        <v>0</v>
      </c>
      <c r="M67" s="11">
        <f>IF($L67&gt;Keys!$C$51,MIN(Keys!$C$52,$K67/$L67),Keys!$C$51)</f>
        <v>0</v>
      </c>
      <c r="N67" s="11">
        <f>IF($E67=Keys!$C$60,Keys!$C$51,IF($E67=Keys!$C$59,$D67,$M67))</f>
        <v>0</v>
      </c>
      <c r="O67">
        <f t="shared" si="2"/>
        <v>0</v>
      </c>
      <c r="P67" s="10">
        <f>IF($E67=Keys!$C$60,Keys!$C$51,INDEX(Raw_BFPIaE!$G$9:$G$3032,MATCH($A67&amp;Keys!$C$54&amp;Keys!$C$55&amp;Keys!$C$54&amp;$B67,Raw_BFPIaE!$H$9:$H$3032,0)))</f>
        <v>0</v>
      </c>
      <c r="Q67" s="10">
        <f>IF($E67=Keys!$C$60,Keys!$C$51,INDEX(Raw_BFPIaE!$G$9:$G$3032,MATCH($A67&amp;Keys!$C$54&amp;Keys!$C$56&amp;Keys!$C$54&amp;$B67,Raw_BFPIaE!$H$9:$H$3032,0)))</f>
        <v>0</v>
      </c>
      <c r="R67" s="10">
        <f>IF($E67=Keys!$C$60,Keys!$C$51,INDEX(Raw_BFPIaE!$G$9:$G$3032,MATCH($A67&amp;Keys!$C$54&amp;Keys!$C$57&amp;Keys!$C$54&amp;$B67,Raw_BFPIaE!$H$9:$H$3032,0)))</f>
        <v>0</v>
      </c>
      <c r="S67" s="11">
        <f>IF(($P67+$Q67-$R67+MAX(Keys!$C$51,$R67-$Q67))&gt;Keys!$C$51,MIN(Keys!$C$52,MAX(Keys!$C$51,$R67-$Q67)/($P67+$Q67-$R67+MAX(Keys!$C$51,$R67-$Q67))),Keys!$C$51)</f>
        <v>0</v>
      </c>
      <c r="T67">
        <f>IF(AND($I67&gt;$H67,ABS($L67-$G67)&gt;MAX(Keys!$C$62,ABS($G67)*Keys!$C$63)),1,0)</f>
        <v>0</v>
      </c>
      <c r="U67">
        <f>IF(OR($N67&lt;Keys!$C$51,$N67&gt;Keys!$C$52),1,0)</f>
        <v>0</v>
      </c>
      <c r="V67">
        <f>IF(AND($E67=Keys!$C$60,$N67&lt;&gt;Keys!$C$51),1,0)</f>
        <v>0</v>
      </c>
      <c r="W67">
        <f>IF($L67&gt;Keys!$C$51,IF($K67/$L67&gt;Keys!$C$52,1,0),0)</f>
        <v>0</v>
      </c>
      <c r="X67" s="11">
        <f t="shared" si="3"/>
        <v>0</v>
      </c>
    </row>
    <row r="68" spans="1:24" x14ac:dyDescent="0.25">
      <c r="A68" t="s">
        <v>70</v>
      </c>
      <c r="B68" t="s">
        <v>64</v>
      </c>
      <c r="C68" t="str">
        <f>VLOOKUP($B68,Keys!$F$2:$I$22,2,FALSE)</f>
        <v>hard coal</v>
      </c>
      <c r="D68">
        <f>VLOOKUP($B68,Keys!$F$2:$I$22,3,FALSE)</f>
        <v>0.137539879</v>
      </c>
      <c r="E68" t="str">
        <f>VLOOKUP($B68,Keys!$F$2:$I$22,4,FALSE)</f>
        <v>rule</v>
      </c>
      <c r="F68" t="str">
        <f>$A68&amp;Keys!$C$54&amp;$B68</f>
        <v>CA|hard coal</v>
      </c>
      <c r="G68" s="10">
        <f>IF($E68=Keys!$C$60,Keys!$C$51,INDEX(Balanced_2025!$D$9:$D$3032,MATCH($A68&amp;Keys!$C$54&amp;Keys!$C$55&amp;Keys!$C$54&amp;$C68,Balanced_2025!$E$9:$E$3032,0)))</f>
        <v>0</v>
      </c>
      <c r="H68" s="10">
        <f>IF($E68=Keys!$C$60,Keys!$C$51,INDEX(Balanced_2025!$D$9:$D$3032,MATCH($A68&amp;Keys!$C$54&amp;Keys!$C$56&amp;Keys!$C$54&amp;$C68,Balanced_2025!$E$9:$E$3032,0)))</f>
        <v>29082000000000</v>
      </c>
      <c r="I68" s="10">
        <f>IF($E68=Keys!$C$60,Keys!$C$51,INDEX(Balanced_2025!$D$9:$D$3032,MATCH($A68&amp;Keys!$C$54&amp;Keys!$C$57&amp;Keys!$C$54&amp;$C68,Balanced_2025!$E$9:$E$3032,0)))</f>
        <v>0</v>
      </c>
      <c r="J68" s="10">
        <f t="shared" ref="J68:J131" si="4">$G68+$H68-$I68</f>
        <v>29082000000000</v>
      </c>
      <c r="K68" s="10">
        <f>MAX(Keys!$C$51,$I68-$H68)</f>
        <v>0</v>
      </c>
      <c r="L68" s="10">
        <f t="shared" ref="L68:L131" si="5">$K68+$J68</f>
        <v>29082000000000</v>
      </c>
      <c r="M68" s="11">
        <f>IF($L68&gt;Keys!$C$51,MIN(Keys!$C$52,$K68/$L68),Keys!$C$51)</f>
        <v>0</v>
      </c>
      <c r="N68" s="11">
        <f>IF($E68=Keys!$C$60,Keys!$C$51,IF($E68=Keys!$C$59,$D68,$M68))</f>
        <v>0</v>
      </c>
      <c r="O68">
        <f t="shared" ref="O68:O131" si="6">IF($N68&lt;&gt;$D68,1,0)</f>
        <v>1</v>
      </c>
      <c r="P68" s="10">
        <f>IF($E68=Keys!$C$60,Keys!$C$51,INDEX(Raw_BFPIaE!$G$9:$G$3032,MATCH($A68&amp;Keys!$C$54&amp;Keys!$C$55&amp;Keys!$C$54&amp;$B68,Raw_BFPIaE!$H$9:$H$3032,0)))</f>
        <v>0</v>
      </c>
      <c r="Q68" s="10">
        <f>IF($E68=Keys!$C$60,Keys!$C$51,INDEX(Raw_BFPIaE!$G$9:$G$3032,MATCH($A68&amp;Keys!$C$54&amp;Keys!$C$56&amp;Keys!$C$54&amp;$B68,Raw_BFPIaE!$H$9:$H$3032,0)))</f>
        <v>28406666666666.668</v>
      </c>
      <c r="R68" s="10">
        <f>IF($E68=Keys!$C$60,Keys!$C$51,INDEX(Raw_BFPIaE!$G$9:$G$3032,MATCH($A68&amp;Keys!$C$54&amp;Keys!$C$57&amp;Keys!$C$54&amp;$B68,Raw_BFPIaE!$H$9:$H$3032,0)))</f>
        <v>0</v>
      </c>
      <c r="S68" s="11">
        <f>IF(($P68+$Q68-$R68+MAX(Keys!$C$51,$R68-$Q68))&gt;Keys!$C$51,MIN(Keys!$C$52,MAX(Keys!$C$51,$R68-$Q68)/($P68+$Q68-$R68+MAX(Keys!$C$51,$R68-$Q68))),Keys!$C$51)</f>
        <v>0</v>
      </c>
      <c r="T68">
        <f>IF(AND($I68&gt;$H68,ABS($L68-$G68)&gt;MAX(Keys!$C$62,ABS($G68)*Keys!$C$63)),1,0)</f>
        <v>0</v>
      </c>
      <c r="U68">
        <f>IF(OR($N68&lt;Keys!$C$51,$N68&gt;Keys!$C$52),1,0)</f>
        <v>0</v>
      </c>
      <c r="V68">
        <f>IF(AND($E68=Keys!$C$60,$N68&lt;&gt;Keys!$C$51),1,0)</f>
        <v>0</v>
      </c>
      <c r="W68">
        <f>IF($L68&gt;Keys!$C$51,IF($K68/$L68&gt;Keys!$C$52,1,0),0)</f>
        <v>0</v>
      </c>
      <c r="X68" s="11">
        <f t="shared" ref="X68:X131" si="7">ABS($M68-$S68)</f>
        <v>0</v>
      </c>
    </row>
    <row r="69" spans="1:24" x14ac:dyDescent="0.25">
      <c r="A69" t="s">
        <v>70</v>
      </c>
      <c r="B69" t="s">
        <v>68</v>
      </c>
      <c r="C69" t="str">
        <f>VLOOKUP($B69,Keys!$F$2:$I$22,2,FALSE)</f>
        <v>natural gas</v>
      </c>
      <c r="D69">
        <f>VLOOKUP($B69,Keys!$F$2:$I$22,3,FALSE)</f>
        <v>0.190839183</v>
      </c>
      <c r="E69" t="str">
        <f>VLOOKUP($B69,Keys!$F$2:$I$22,4,FALSE)</f>
        <v>rule</v>
      </c>
      <c r="F69" t="str">
        <f>$A69&amp;Keys!$C$54&amp;$B69</f>
        <v>CA|natural gas</v>
      </c>
      <c r="G69" s="10">
        <f>IF($E69=Keys!$C$60,Keys!$C$51,INDEX(Balanced_2025!$D$9:$D$3032,MATCH($A69&amp;Keys!$C$54&amp;Keys!$C$55&amp;Keys!$C$54&amp;$C69,Balanced_2025!$E$9:$E$3032,0)))</f>
        <v>122738000000000</v>
      </c>
      <c r="H69" s="10">
        <f>IF($E69=Keys!$C$60,Keys!$C$51,INDEX(Balanced_2025!$D$9:$D$3032,MATCH($A69&amp;Keys!$C$54&amp;Keys!$C$56&amp;Keys!$C$54&amp;$C69,Balanced_2025!$E$9:$E$3032,0)))</f>
        <v>2245180000000000</v>
      </c>
      <c r="I69" s="10">
        <f>IF($E69=Keys!$C$60,Keys!$C$51,INDEX(Balanced_2025!$D$9:$D$3032,MATCH($A69&amp;Keys!$C$54&amp;Keys!$C$57&amp;Keys!$C$54&amp;$C69,Balanced_2025!$E$9:$E$3032,0)))</f>
        <v>295856000000000</v>
      </c>
      <c r="J69" s="10">
        <f t="shared" si="4"/>
        <v>2072062000000000</v>
      </c>
      <c r="K69" s="10">
        <f>MAX(Keys!$C$51,$I69-$H69)</f>
        <v>0</v>
      </c>
      <c r="L69" s="10">
        <f t="shared" si="5"/>
        <v>2072062000000000</v>
      </c>
      <c r="M69" s="11">
        <f>IF($L69&gt;Keys!$C$51,MIN(Keys!$C$52,$K69/$L69),Keys!$C$51)</f>
        <v>0</v>
      </c>
      <c r="N69" s="11">
        <f>IF($E69=Keys!$C$60,Keys!$C$51,IF($E69=Keys!$C$59,$D69,$M69))</f>
        <v>0</v>
      </c>
      <c r="O69">
        <f t="shared" si="6"/>
        <v>1</v>
      </c>
      <c r="P69" s="10">
        <f>IF($E69=Keys!$C$60,Keys!$C$51,INDEX(Raw_BFPIaE!$G$9:$G$3032,MATCH($A69&amp;Keys!$C$54&amp;Keys!$C$55&amp;Keys!$C$54&amp;$B69,Raw_BFPIaE!$H$9:$H$3032,0)))</f>
        <v>119853000000000</v>
      </c>
      <c r="Q69" s="10">
        <f>IF($E69=Keys!$C$60,Keys!$C$51,INDEX(Raw_BFPIaE!$G$9:$G$3032,MATCH($A69&amp;Keys!$C$54&amp;Keys!$C$56&amp;Keys!$C$54&amp;$B69,Raw_BFPIaE!$H$9:$H$3032,0)))</f>
        <v>2125180000000000</v>
      </c>
      <c r="R69" s="10">
        <f>IF($E69=Keys!$C$60,Keys!$C$51,INDEX(Raw_BFPIaE!$G$9:$G$3032,MATCH($A69&amp;Keys!$C$54&amp;Keys!$C$57&amp;Keys!$C$54&amp;$B69,Raw_BFPIaE!$H$9:$H$3032,0)))</f>
        <v>288901666666666.69</v>
      </c>
      <c r="S69" s="11">
        <f>IF(($P69+$Q69-$R69+MAX(Keys!$C$51,$R69-$Q69))&gt;Keys!$C$51,MIN(Keys!$C$52,MAX(Keys!$C$51,$R69-$Q69)/($P69+$Q69-$R69+MAX(Keys!$C$51,$R69-$Q69))),Keys!$C$51)</f>
        <v>0</v>
      </c>
      <c r="T69">
        <f>IF(AND($I69&gt;$H69,ABS($L69-$G69)&gt;MAX(Keys!$C$62,ABS($G69)*Keys!$C$63)),1,0)</f>
        <v>0</v>
      </c>
      <c r="U69">
        <f>IF(OR($N69&lt;Keys!$C$51,$N69&gt;Keys!$C$52),1,0)</f>
        <v>0</v>
      </c>
      <c r="V69">
        <f>IF(AND($E69=Keys!$C$60,$N69&lt;&gt;Keys!$C$51),1,0)</f>
        <v>0</v>
      </c>
      <c r="W69">
        <f>IF($L69&gt;Keys!$C$51,IF($K69/$L69&gt;Keys!$C$52,1,0),0)</f>
        <v>0</v>
      </c>
      <c r="X69" s="11">
        <f t="shared" si="7"/>
        <v>0</v>
      </c>
    </row>
    <row r="70" spans="1:24" x14ac:dyDescent="0.25">
      <c r="A70" t="s">
        <v>70</v>
      </c>
      <c r="B70" t="s">
        <v>71</v>
      </c>
      <c r="C70">
        <f>VLOOKUP($B70,Keys!$F$2:$I$22,2,FALSE)</f>
        <v>0</v>
      </c>
      <c r="D70">
        <f>VLOOKUP($B70,Keys!$F$2:$I$22,3,FALSE)</f>
        <v>0</v>
      </c>
      <c r="E70" t="str">
        <f>VLOOKUP($B70,Keys!$F$2:$I$22,4,FALSE)</f>
        <v>zero</v>
      </c>
      <c r="F70" t="str">
        <f>$A70&amp;Keys!$C$54&amp;$B70</f>
        <v>CA|nuclear</v>
      </c>
      <c r="G70" s="10">
        <f>IF($E70=Keys!$C$60,Keys!$C$51,INDEX(Balanced_2025!$D$9:$D$3032,MATCH($A70&amp;Keys!$C$54&amp;Keys!$C$55&amp;Keys!$C$54&amp;$C70,Balanced_2025!$E$9:$E$3032,0)))</f>
        <v>0</v>
      </c>
      <c r="H70" s="10">
        <f>IF($E70=Keys!$C$60,Keys!$C$51,INDEX(Balanced_2025!$D$9:$D$3032,MATCH($A70&amp;Keys!$C$54&amp;Keys!$C$56&amp;Keys!$C$54&amp;$C70,Balanced_2025!$E$9:$E$3032,0)))</f>
        <v>0</v>
      </c>
      <c r="I70" s="10">
        <f>IF($E70=Keys!$C$60,Keys!$C$51,INDEX(Balanced_2025!$D$9:$D$3032,MATCH($A70&amp;Keys!$C$54&amp;Keys!$C$57&amp;Keys!$C$54&amp;$C70,Balanced_2025!$E$9:$E$3032,0)))</f>
        <v>0</v>
      </c>
      <c r="J70" s="10">
        <f t="shared" si="4"/>
        <v>0</v>
      </c>
      <c r="K70" s="10">
        <f>MAX(Keys!$C$51,$I70-$H70)</f>
        <v>0</v>
      </c>
      <c r="L70" s="10">
        <f t="shared" si="5"/>
        <v>0</v>
      </c>
      <c r="M70" s="11">
        <f>IF($L70&gt;Keys!$C$51,MIN(Keys!$C$52,$K70/$L70),Keys!$C$51)</f>
        <v>0</v>
      </c>
      <c r="N70" s="11">
        <f>IF($E70=Keys!$C$60,Keys!$C$51,IF($E70=Keys!$C$59,$D70,$M70))</f>
        <v>0</v>
      </c>
      <c r="O70">
        <f t="shared" si="6"/>
        <v>0</v>
      </c>
      <c r="P70" s="10">
        <f>IF($E70=Keys!$C$60,Keys!$C$51,INDEX(Raw_BFPIaE!$G$9:$G$3032,MATCH($A70&amp;Keys!$C$54&amp;Keys!$C$55&amp;Keys!$C$54&amp;$B70,Raw_BFPIaE!$H$9:$H$3032,0)))</f>
        <v>0</v>
      </c>
      <c r="Q70" s="10">
        <f>IF($E70=Keys!$C$60,Keys!$C$51,INDEX(Raw_BFPIaE!$G$9:$G$3032,MATCH($A70&amp;Keys!$C$54&amp;Keys!$C$56&amp;Keys!$C$54&amp;$B70,Raw_BFPIaE!$H$9:$H$3032,0)))</f>
        <v>0</v>
      </c>
      <c r="R70" s="10">
        <f>IF($E70=Keys!$C$60,Keys!$C$51,INDEX(Raw_BFPIaE!$G$9:$G$3032,MATCH($A70&amp;Keys!$C$54&amp;Keys!$C$57&amp;Keys!$C$54&amp;$B70,Raw_BFPIaE!$H$9:$H$3032,0)))</f>
        <v>0</v>
      </c>
      <c r="S70" s="11">
        <f>IF(($P70+$Q70-$R70+MAX(Keys!$C$51,$R70-$Q70))&gt;Keys!$C$51,MIN(Keys!$C$52,MAX(Keys!$C$51,$R70-$Q70)/($P70+$Q70-$R70+MAX(Keys!$C$51,$R70-$Q70))),Keys!$C$51)</f>
        <v>0</v>
      </c>
      <c r="T70">
        <f>IF(AND($I70&gt;$H70,ABS($L70-$G70)&gt;MAX(Keys!$C$62,ABS($G70)*Keys!$C$63)),1,0)</f>
        <v>0</v>
      </c>
      <c r="U70">
        <f>IF(OR($N70&lt;Keys!$C$51,$N70&gt;Keys!$C$52),1,0)</f>
        <v>0</v>
      </c>
      <c r="V70">
        <f>IF(AND($E70=Keys!$C$60,$N70&lt;&gt;Keys!$C$51),1,0)</f>
        <v>0</v>
      </c>
      <c r="W70">
        <f>IF($L70&gt;Keys!$C$51,IF($K70/$L70&gt;Keys!$C$52,1,0),0)</f>
        <v>0</v>
      </c>
      <c r="X70" s="11">
        <f t="shared" si="7"/>
        <v>0</v>
      </c>
    </row>
    <row r="71" spans="1:24" x14ac:dyDescent="0.25">
      <c r="A71" t="s">
        <v>70</v>
      </c>
      <c r="B71" t="s">
        <v>74</v>
      </c>
      <c r="C71">
        <f>VLOOKUP($B71,Keys!$F$2:$I$22,2,FALSE)</f>
        <v>0</v>
      </c>
      <c r="D71">
        <f>VLOOKUP($B71,Keys!$F$2:$I$22,3,FALSE)</f>
        <v>0</v>
      </c>
      <c r="E71" t="str">
        <f>VLOOKUP($B71,Keys!$F$2:$I$22,4,FALSE)</f>
        <v>zero</v>
      </c>
      <c r="F71" t="str">
        <f>$A71&amp;Keys!$C$54&amp;$B71</f>
        <v>CA|hydro (is not a fuel)</v>
      </c>
      <c r="G71" s="10">
        <f>IF($E71=Keys!$C$60,Keys!$C$51,INDEX(Balanced_2025!$D$9:$D$3032,MATCH($A71&amp;Keys!$C$54&amp;Keys!$C$55&amp;Keys!$C$54&amp;$C71,Balanced_2025!$E$9:$E$3032,0)))</f>
        <v>0</v>
      </c>
      <c r="H71" s="10">
        <f>IF($E71=Keys!$C$60,Keys!$C$51,INDEX(Balanced_2025!$D$9:$D$3032,MATCH($A71&amp;Keys!$C$54&amp;Keys!$C$56&amp;Keys!$C$54&amp;$C71,Balanced_2025!$E$9:$E$3032,0)))</f>
        <v>0</v>
      </c>
      <c r="I71" s="10">
        <f>IF($E71=Keys!$C$60,Keys!$C$51,INDEX(Balanced_2025!$D$9:$D$3032,MATCH($A71&amp;Keys!$C$54&amp;Keys!$C$57&amp;Keys!$C$54&amp;$C71,Balanced_2025!$E$9:$E$3032,0)))</f>
        <v>0</v>
      </c>
      <c r="J71" s="10">
        <f t="shared" si="4"/>
        <v>0</v>
      </c>
      <c r="K71" s="10">
        <f>MAX(Keys!$C$51,$I71-$H71)</f>
        <v>0</v>
      </c>
      <c r="L71" s="10">
        <f t="shared" si="5"/>
        <v>0</v>
      </c>
      <c r="M71" s="11">
        <f>IF($L71&gt;Keys!$C$51,MIN(Keys!$C$52,$K71/$L71),Keys!$C$51)</f>
        <v>0</v>
      </c>
      <c r="N71" s="11">
        <f>IF($E71=Keys!$C$60,Keys!$C$51,IF($E71=Keys!$C$59,$D71,$M71))</f>
        <v>0</v>
      </c>
      <c r="O71">
        <f t="shared" si="6"/>
        <v>0</v>
      </c>
      <c r="P71" s="10">
        <f>IF($E71=Keys!$C$60,Keys!$C$51,INDEX(Raw_BFPIaE!$G$9:$G$3032,MATCH($A71&amp;Keys!$C$54&amp;Keys!$C$55&amp;Keys!$C$54&amp;$B71,Raw_BFPIaE!$H$9:$H$3032,0)))</f>
        <v>0</v>
      </c>
      <c r="Q71" s="10">
        <f>IF($E71=Keys!$C$60,Keys!$C$51,INDEX(Raw_BFPIaE!$G$9:$G$3032,MATCH($A71&amp;Keys!$C$54&amp;Keys!$C$56&amp;Keys!$C$54&amp;$B71,Raw_BFPIaE!$H$9:$H$3032,0)))</f>
        <v>0</v>
      </c>
      <c r="R71" s="10">
        <f>IF($E71=Keys!$C$60,Keys!$C$51,INDEX(Raw_BFPIaE!$G$9:$G$3032,MATCH($A71&amp;Keys!$C$54&amp;Keys!$C$57&amp;Keys!$C$54&amp;$B71,Raw_BFPIaE!$H$9:$H$3032,0)))</f>
        <v>0</v>
      </c>
      <c r="S71" s="11">
        <f>IF(($P71+$Q71-$R71+MAX(Keys!$C$51,$R71-$Q71))&gt;Keys!$C$51,MIN(Keys!$C$52,MAX(Keys!$C$51,$R71-$Q71)/($P71+$Q71-$R71+MAX(Keys!$C$51,$R71-$Q71))),Keys!$C$51)</f>
        <v>0</v>
      </c>
      <c r="T71">
        <f>IF(AND($I71&gt;$H71,ABS($L71-$G71)&gt;MAX(Keys!$C$62,ABS($G71)*Keys!$C$63)),1,0)</f>
        <v>0</v>
      </c>
      <c r="U71">
        <f>IF(OR($N71&lt;Keys!$C$51,$N71&gt;Keys!$C$52),1,0)</f>
        <v>0</v>
      </c>
      <c r="V71">
        <f>IF(AND($E71=Keys!$C$60,$N71&lt;&gt;Keys!$C$51),1,0)</f>
        <v>0</v>
      </c>
      <c r="W71">
        <f>IF($L71&gt;Keys!$C$51,IF($K71/$L71&gt;Keys!$C$52,1,0),0)</f>
        <v>0</v>
      </c>
      <c r="X71" s="11">
        <f t="shared" si="7"/>
        <v>0</v>
      </c>
    </row>
    <row r="72" spans="1:24" x14ac:dyDescent="0.25">
      <c r="A72" t="s">
        <v>70</v>
      </c>
      <c r="B72" t="s">
        <v>77</v>
      </c>
      <c r="C72">
        <f>VLOOKUP($B72,Keys!$F$2:$I$22,2,FALSE)</f>
        <v>0</v>
      </c>
      <c r="D72">
        <f>VLOOKUP($B72,Keys!$F$2:$I$22,3,FALSE)</f>
        <v>0</v>
      </c>
      <c r="E72" t="str">
        <f>VLOOKUP($B72,Keys!$F$2:$I$22,4,FALSE)</f>
        <v>zero</v>
      </c>
      <c r="F72" t="str">
        <f>$A72&amp;Keys!$C$54&amp;$B72</f>
        <v>CA|wind (is not a fuel)</v>
      </c>
      <c r="G72" s="10">
        <f>IF($E72=Keys!$C$60,Keys!$C$51,INDEX(Balanced_2025!$D$9:$D$3032,MATCH($A72&amp;Keys!$C$54&amp;Keys!$C$55&amp;Keys!$C$54&amp;$C72,Balanced_2025!$E$9:$E$3032,0)))</f>
        <v>0</v>
      </c>
      <c r="H72" s="10">
        <f>IF($E72=Keys!$C$60,Keys!$C$51,INDEX(Balanced_2025!$D$9:$D$3032,MATCH($A72&amp;Keys!$C$54&amp;Keys!$C$56&amp;Keys!$C$54&amp;$C72,Balanced_2025!$E$9:$E$3032,0)))</f>
        <v>0</v>
      </c>
      <c r="I72" s="10">
        <f>IF($E72=Keys!$C$60,Keys!$C$51,INDEX(Balanced_2025!$D$9:$D$3032,MATCH($A72&amp;Keys!$C$54&amp;Keys!$C$57&amp;Keys!$C$54&amp;$C72,Balanced_2025!$E$9:$E$3032,0)))</f>
        <v>0</v>
      </c>
      <c r="J72" s="10">
        <f t="shared" si="4"/>
        <v>0</v>
      </c>
      <c r="K72" s="10">
        <f>MAX(Keys!$C$51,$I72-$H72)</f>
        <v>0</v>
      </c>
      <c r="L72" s="10">
        <f t="shared" si="5"/>
        <v>0</v>
      </c>
      <c r="M72" s="11">
        <f>IF($L72&gt;Keys!$C$51,MIN(Keys!$C$52,$K72/$L72),Keys!$C$51)</f>
        <v>0</v>
      </c>
      <c r="N72" s="11">
        <f>IF($E72=Keys!$C$60,Keys!$C$51,IF($E72=Keys!$C$59,$D72,$M72))</f>
        <v>0</v>
      </c>
      <c r="O72">
        <f t="shared" si="6"/>
        <v>0</v>
      </c>
      <c r="P72" s="10">
        <f>IF($E72=Keys!$C$60,Keys!$C$51,INDEX(Raw_BFPIaE!$G$9:$G$3032,MATCH($A72&amp;Keys!$C$54&amp;Keys!$C$55&amp;Keys!$C$54&amp;$B72,Raw_BFPIaE!$H$9:$H$3032,0)))</f>
        <v>0</v>
      </c>
      <c r="Q72" s="10">
        <f>IF($E72=Keys!$C$60,Keys!$C$51,INDEX(Raw_BFPIaE!$G$9:$G$3032,MATCH($A72&amp;Keys!$C$54&amp;Keys!$C$56&amp;Keys!$C$54&amp;$B72,Raw_BFPIaE!$H$9:$H$3032,0)))</f>
        <v>0</v>
      </c>
      <c r="R72" s="10">
        <f>IF($E72=Keys!$C$60,Keys!$C$51,INDEX(Raw_BFPIaE!$G$9:$G$3032,MATCH($A72&amp;Keys!$C$54&amp;Keys!$C$57&amp;Keys!$C$54&amp;$B72,Raw_BFPIaE!$H$9:$H$3032,0)))</f>
        <v>0</v>
      </c>
      <c r="S72" s="11">
        <f>IF(($P72+$Q72-$R72+MAX(Keys!$C$51,$R72-$Q72))&gt;Keys!$C$51,MIN(Keys!$C$52,MAX(Keys!$C$51,$R72-$Q72)/($P72+$Q72-$R72+MAX(Keys!$C$51,$R72-$Q72))),Keys!$C$51)</f>
        <v>0</v>
      </c>
      <c r="T72">
        <f>IF(AND($I72&gt;$H72,ABS($L72-$G72)&gt;MAX(Keys!$C$62,ABS($G72)*Keys!$C$63)),1,0)</f>
        <v>0</v>
      </c>
      <c r="U72">
        <f>IF(OR($N72&lt;Keys!$C$51,$N72&gt;Keys!$C$52),1,0)</f>
        <v>0</v>
      </c>
      <c r="V72">
        <f>IF(AND($E72=Keys!$C$60,$N72&lt;&gt;Keys!$C$51),1,0)</f>
        <v>0</v>
      </c>
      <c r="W72">
        <f>IF($L72&gt;Keys!$C$51,IF($K72/$L72&gt;Keys!$C$52,1,0),0)</f>
        <v>0</v>
      </c>
      <c r="X72" s="11">
        <f t="shared" si="7"/>
        <v>0</v>
      </c>
    </row>
    <row r="73" spans="1:24" x14ac:dyDescent="0.25">
      <c r="A73" t="s">
        <v>70</v>
      </c>
      <c r="B73" t="s">
        <v>80</v>
      </c>
      <c r="C73">
        <f>VLOOKUP($B73,Keys!$F$2:$I$22,2,FALSE)</f>
        <v>0</v>
      </c>
      <c r="D73">
        <f>VLOOKUP($B73,Keys!$F$2:$I$22,3,FALSE)</f>
        <v>0</v>
      </c>
      <c r="E73" t="str">
        <f>VLOOKUP($B73,Keys!$F$2:$I$22,4,FALSE)</f>
        <v>zero</v>
      </c>
      <c r="F73" t="str">
        <f>$A73&amp;Keys!$C$54&amp;$B73</f>
        <v>CA|solar (is not a fuel)</v>
      </c>
      <c r="G73" s="10">
        <f>IF($E73=Keys!$C$60,Keys!$C$51,INDEX(Balanced_2025!$D$9:$D$3032,MATCH($A73&amp;Keys!$C$54&amp;Keys!$C$55&amp;Keys!$C$54&amp;$C73,Balanced_2025!$E$9:$E$3032,0)))</f>
        <v>0</v>
      </c>
      <c r="H73" s="10">
        <f>IF($E73=Keys!$C$60,Keys!$C$51,INDEX(Balanced_2025!$D$9:$D$3032,MATCH($A73&amp;Keys!$C$54&amp;Keys!$C$56&amp;Keys!$C$54&amp;$C73,Balanced_2025!$E$9:$E$3032,0)))</f>
        <v>0</v>
      </c>
      <c r="I73" s="10">
        <f>IF($E73=Keys!$C$60,Keys!$C$51,INDEX(Balanced_2025!$D$9:$D$3032,MATCH($A73&amp;Keys!$C$54&amp;Keys!$C$57&amp;Keys!$C$54&amp;$C73,Balanced_2025!$E$9:$E$3032,0)))</f>
        <v>0</v>
      </c>
      <c r="J73" s="10">
        <f t="shared" si="4"/>
        <v>0</v>
      </c>
      <c r="K73" s="10">
        <f>MAX(Keys!$C$51,$I73-$H73)</f>
        <v>0</v>
      </c>
      <c r="L73" s="10">
        <f t="shared" si="5"/>
        <v>0</v>
      </c>
      <c r="M73" s="11">
        <f>IF($L73&gt;Keys!$C$51,MIN(Keys!$C$52,$K73/$L73),Keys!$C$51)</f>
        <v>0</v>
      </c>
      <c r="N73" s="11">
        <f>IF($E73=Keys!$C$60,Keys!$C$51,IF($E73=Keys!$C$59,$D73,$M73))</f>
        <v>0</v>
      </c>
      <c r="O73">
        <f t="shared" si="6"/>
        <v>0</v>
      </c>
      <c r="P73" s="10">
        <f>IF($E73=Keys!$C$60,Keys!$C$51,INDEX(Raw_BFPIaE!$G$9:$G$3032,MATCH($A73&amp;Keys!$C$54&amp;Keys!$C$55&amp;Keys!$C$54&amp;$B73,Raw_BFPIaE!$H$9:$H$3032,0)))</f>
        <v>0</v>
      </c>
      <c r="Q73" s="10">
        <f>IF($E73=Keys!$C$60,Keys!$C$51,INDEX(Raw_BFPIaE!$G$9:$G$3032,MATCH($A73&amp;Keys!$C$54&amp;Keys!$C$56&amp;Keys!$C$54&amp;$B73,Raw_BFPIaE!$H$9:$H$3032,0)))</f>
        <v>0</v>
      </c>
      <c r="R73" s="10">
        <f>IF($E73=Keys!$C$60,Keys!$C$51,INDEX(Raw_BFPIaE!$G$9:$G$3032,MATCH($A73&amp;Keys!$C$54&amp;Keys!$C$57&amp;Keys!$C$54&amp;$B73,Raw_BFPIaE!$H$9:$H$3032,0)))</f>
        <v>0</v>
      </c>
      <c r="S73" s="11">
        <f>IF(($P73+$Q73-$R73+MAX(Keys!$C$51,$R73-$Q73))&gt;Keys!$C$51,MIN(Keys!$C$52,MAX(Keys!$C$51,$R73-$Q73)/($P73+$Q73-$R73+MAX(Keys!$C$51,$R73-$Q73))),Keys!$C$51)</f>
        <v>0</v>
      </c>
      <c r="T73">
        <f>IF(AND($I73&gt;$H73,ABS($L73-$G73)&gt;MAX(Keys!$C$62,ABS($G73)*Keys!$C$63)),1,0)</f>
        <v>0</v>
      </c>
      <c r="U73">
        <f>IF(OR($N73&lt;Keys!$C$51,$N73&gt;Keys!$C$52),1,0)</f>
        <v>0</v>
      </c>
      <c r="V73">
        <f>IF(AND($E73=Keys!$C$60,$N73&lt;&gt;Keys!$C$51),1,0)</f>
        <v>0</v>
      </c>
      <c r="W73">
        <f>IF($L73&gt;Keys!$C$51,IF($K73/$L73&gt;Keys!$C$52,1,0),0)</f>
        <v>0</v>
      </c>
      <c r="X73" s="11">
        <f t="shared" si="7"/>
        <v>0</v>
      </c>
    </row>
    <row r="74" spans="1:24" x14ac:dyDescent="0.25">
      <c r="A74" t="s">
        <v>70</v>
      </c>
      <c r="B74" t="s">
        <v>82</v>
      </c>
      <c r="C74" t="str">
        <f>VLOOKUP($B74,Keys!$F$2:$I$22,2,FALSE)</f>
        <v>biomass</v>
      </c>
      <c r="D74">
        <f>VLOOKUP($B74,Keys!$F$2:$I$22,3,FALSE)</f>
        <v>0.74947425499999998</v>
      </c>
      <c r="E74" t="str">
        <f>VLOOKUP($B74,Keys!$F$2:$I$22,4,FALSE)</f>
        <v>rule</v>
      </c>
      <c r="F74" t="str">
        <f>$A74&amp;Keys!$C$54&amp;$B74</f>
        <v>CA|biomass</v>
      </c>
      <c r="G74" s="10">
        <f>IF($E74=Keys!$C$60,Keys!$C$51,INDEX(Balanced_2025!$D$9:$D$3032,MATCH($A74&amp;Keys!$C$54&amp;Keys!$C$55&amp;Keys!$C$54&amp;$C74,Balanced_2025!$E$9:$E$3032,0)))</f>
        <v>2688000000000</v>
      </c>
      <c r="H74" s="10">
        <f>IF($E74=Keys!$C$60,Keys!$C$51,INDEX(Balanced_2025!$D$9:$D$3032,MATCH($A74&amp;Keys!$C$54&amp;Keys!$C$56&amp;Keys!$C$54&amp;$C74,Balanced_2025!$E$9:$E$3032,0)))</f>
        <v>101390000000000</v>
      </c>
      <c r="I74" s="10">
        <f>IF($E74=Keys!$C$60,Keys!$C$51,INDEX(Balanced_2025!$D$9:$D$3032,MATCH($A74&amp;Keys!$C$54&amp;Keys!$C$57&amp;Keys!$C$54&amp;$C74,Balanced_2025!$E$9:$E$3032,0)))</f>
        <v>0</v>
      </c>
      <c r="J74" s="10">
        <f t="shared" si="4"/>
        <v>104078000000000</v>
      </c>
      <c r="K74" s="10">
        <f>MAX(Keys!$C$51,$I74-$H74)</f>
        <v>0</v>
      </c>
      <c r="L74" s="10">
        <f t="shared" si="5"/>
        <v>104078000000000</v>
      </c>
      <c r="M74" s="11">
        <f>IF($L74&gt;Keys!$C$51,MIN(Keys!$C$52,$K74/$L74),Keys!$C$51)</f>
        <v>0</v>
      </c>
      <c r="N74" s="11">
        <f>IF($E74=Keys!$C$60,Keys!$C$51,IF($E74=Keys!$C$59,$D74,$M74))</f>
        <v>0</v>
      </c>
      <c r="O74">
        <f t="shared" si="6"/>
        <v>1</v>
      </c>
      <c r="P74" s="10">
        <f>IF($E74=Keys!$C$60,Keys!$C$51,INDEX(Raw_BFPIaE!$G$9:$G$3032,MATCH($A74&amp;Keys!$C$54&amp;Keys!$C$55&amp;Keys!$C$54&amp;$B74,Raw_BFPIaE!$H$9:$H$3032,0)))</f>
        <v>2688000000000</v>
      </c>
      <c r="Q74" s="10">
        <f>IF($E74=Keys!$C$60,Keys!$C$51,INDEX(Raw_BFPIaE!$G$9:$G$3032,MATCH($A74&amp;Keys!$C$54&amp;Keys!$C$56&amp;Keys!$C$54&amp;$B74,Raw_BFPIaE!$H$9:$H$3032,0)))</f>
        <v>68140666666666.664</v>
      </c>
      <c r="R74" s="10">
        <f>IF($E74=Keys!$C$60,Keys!$C$51,INDEX(Raw_BFPIaE!$G$9:$G$3032,MATCH($A74&amp;Keys!$C$54&amp;Keys!$C$57&amp;Keys!$C$54&amp;$B74,Raw_BFPIaE!$H$9:$H$3032,0)))</f>
        <v>0</v>
      </c>
      <c r="S74" s="11">
        <f>IF(($P74+$Q74-$R74+MAX(Keys!$C$51,$R74-$Q74))&gt;Keys!$C$51,MIN(Keys!$C$52,MAX(Keys!$C$51,$R74-$Q74)/($P74+$Q74-$R74+MAX(Keys!$C$51,$R74-$Q74))),Keys!$C$51)</f>
        <v>0</v>
      </c>
      <c r="T74">
        <f>IF(AND($I74&gt;$H74,ABS($L74-$G74)&gt;MAX(Keys!$C$62,ABS($G74)*Keys!$C$63)),1,0)</f>
        <v>0</v>
      </c>
      <c r="U74">
        <f>IF(OR($N74&lt;Keys!$C$51,$N74&gt;Keys!$C$52),1,0)</f>
        <v>0</v>
      </c>
      <c r="V74">
        <f>IF(AND($E74=Keys!$C$60,$N74&lt;&gt;Keys!$C$51),1,0)</f>
        <v>0</v>
      </c>
      <c r="W74">
        <f>IF($L74&gt;Keys!$C$51,IF($K74/$L74&gt;Keys!$C$52,1,0),0)</f>
        <v>0</v>
      </c>
      <c r="X74" s="11">
        <f t="shared" si="7"/>
        <v>0</v>
      </c>
    </row>
    <row r="75" spans="1:24" x14ac:dyDescent="0.25">
      <c r="A75" t="s">
        <v>70</v>
      </c>
      <c r="B75" t="s">
        <v>85</v>
      </c>
      <c r="C75" t="str">
        <f>VLOOKUP($B75,Keys!$F$2:$I$22,2,FALSE)</f>
        <v>petroleum gasoline</v>
      </c>
      <c r="D75">
        <f>VLOOKUP($B75,Keys!$F$2:$I$22,3,FALSE)</f>
        <v>7.5004052000000002E-2</v>
      </c>
      <c r="E75" t="str">
        <f>VLOOKUP($B75,Keys!$F$2:$I$22,4,FALSE)</f>
        <v>rule</v>
      </c>
      <c r="F75" t="str">
        <f>$A75&amp;Keys!$C$54&amp;$B75</f>
        <v>CA|petroleum gasoline</v>
      </c>
      <c r="G75" s="10">
        <f>IF($E75=Keys!$C$60,Keys!$C$51,INDEX(Balanced_2025!$D$9:$D$3032,MATCH($A75&amp;Keys!$C$54&amp;Keys!$C$55&amp;Keys!$C$54&amp;$C75,Balanced_2025!$E$9:$E$3032,0)))</f>
        <v>1589550000000000</v>
      </c>
      <c r="H75" s="10">
        <f>IF($E75=Keys!$C$60,Keys!$C$51,INDEX(Balanced_2025!$D$9:$D$3032,MATCH($A75&amp;Keys!$C$54&amp;Keys!$C$56&amp;Keys!$C$54&amp;$C75,Balanced_2025!$E$9:$E$3032,0)))</f>
        <v>77707800000000</v>
      </c>
      <c r="I75" s="10">
        <f>IF($E75=Keys!$C$60,Keys!$C$51,INDEX(Balanced_2025!$D$9:$D$3032,MATCH($A75&amp;Keys!$C$54&amp;Keys!$C$57&amp;Keys!$C$54&amp;$C75,Balanced_2025!$E$9:$E$3032,0)))</f>
        <v>345901000000000</v>
      </c>
      <c r="J75" s="10">
        <f t="shared" si="4"/>
        <v>1321356800000000</v>
      </c>
      <c r="K75" s="10">
        <f>MAX(Keys!$C$51,$I75-$H75)</f>
        <v>268193200000000</v>
      </c>
      <c r="L75" s="10">
        <f t="shared" si="5"/>
        <v>1589550000000000</v>
      </c>
      <c r="M75" s="11">
        <f>IF($L75&gt;Keys!$C$51,MIN(Keys!$C$52,$K75/$L75),Keys!$C$51)</f>
        <v>0.16872272026674215</v>
      </c>
      <c r="N75" s="11">
        <f>IF($E75=Keys!$C$60,Keys!$C$51,IF($E75=Keys!$C$59,$D75,$M75))</f>
        <v>0.16872272026674215</v>
      </c>
      <c r="O75">
        <f t="shared" si="6"/>
        <v>1</v>
      </c>
      <c r="P75" s="10">
        <f>IF($E75=Keys!$C$60,Keys!$C$51,INDEX(Raw_BFPIaE!$G$9:$G$3032,MATCH($A75&amp;Keys!$C$54&amp;Keys!$C$55&amp;Keys!$C$54&amp;$B75,Raw_BFPIaE!$H$9:$H$3032,0)))</f>
        <v>1576710000000000</v>
      </c>
      <c r="Q75" s="10">
        <f>IF($E75=Keys!$C$60,Keys!$C$51,INDEX(Raw_BFPIaE!$G$9:$G$3032,MATCH($A75&amp;Keys!$C$54&amp;Keys!$C$56&amp;Keys!$C$54&amp;$B75,Raw_BFPIaE!$H$9:$H$3032,0)))</f>
        <v>0</v>
      </c>
      <c r="R75" s="10">
        <f>IF($E75=Keys!$C$60,Keys!$C$51,INDEX(Raw_BFPIaE!$G$9:$G$3032,MATCH($A75&amp;Keys!$C$54&amp;Keys!$C$57&amp;Keys!$C$54&amp;$B75,Raw_BFPIaE!$H$9:$H$3032,0)))</f>
        <v>224081666666666.66</v>
      </c>
      <c r="S75" s="11">
        <f>IF(($P75+$Q75-$R75+MAX(Keys!$C$51,$R75-$Q75))&gt;Keys!$C$51,MIN(Keys!$C$52,MAX(Keys!$C$51,$R75-$Q75)/($P75+$Q75-$R75+MAX(Keys!$C$51,$R75-$Q75))),Keys!$C$51)</f>
        <v>0.14211977260667255</v>
      </c>
      <c r="T75">
        <f>IF(AND($I75&gt;$H75,ABS($L75-$G75)&gt;MAX(Keys!$C$62,ABS($G75)*Keys!$C$63)),1,0)</f>
        <v>0</v>
      </c>
      <c r="U75">
        <f>IF(OR($N75&lt;Keys!$C$51,$N75&gt;Keys!$C$52),1,0)</f>
        <v>0</v>
      </c>
      <c r="V75">
        <f>IF(AND($E75=Keys!$C$60,$N75&lt;&gt;Keys!$C$51),1,0)</f>
        <v>0</v>
      </c>
      <c r="W75">
        <f>IF($L75&gt;Keys!$C$51,IF($K75/$L75&gt;Keys!$C$52,1,0),0)</f>
        <v>0</v>
      </c>
      <c r="X75" s="11">
        <f t="shared" si="7"/>
        <v>2.6602947660069598E-2</v>
      </c>
    </row>
    <row r="76" spans="1:24" x14ac:dyDescent="0.25">
      <c r="A76" t="s">
        <v>70</v>
      </c>
      <c r="B76" t="s">
        <v>88</v>
      </c>
      <c r="C76" t="str">
        <f>VLOOKUP($B76,Keys!$F$2:$I$22,2,FALSE)</f>
        <v>petroleum diesel</v>
      </c>
      <c r="D76">
        <f>VLOOKUP($B76,Keys!$F$2:$I$22,3,FALSE)</f>
        <v>0.26691051799999999</v>
      </c>
      <c r="E76" t="str">
        <f>VLOOKUP($B76,Keys!$F$2:$I$22,4,FALSE)</f>
        <v>rule</v>
      </c>
      <c r="F76" t="str">
        <f>$A76&amp;Keys!$C$54&amp;$B76</f>
        <v>CA|petroleum diesel</v>
      </c>
      <c r="G76" s="10">
        <f>IF($E76=Keys!$C$60,Keys!$C$51,INDEX(Balanced_2025!$D$9:$D$3032,MATCH($A76&amp;Keys!$C$54&amp;Keys!$C$55&amp;Keys!$C$54&amp;$C76,Balanced_2025!$E$9:$E$3032,0)))</f>
        <v>940245000000000</v>
      </c>
      <c r="H76" s="10">
        <f>IF($E76=Keys!$C$60,Keys!$C$51,INDEX(Balanced_2025!$D$9:$D$3032,MATCH($A76&amp;Keys!$C$54&amp;Keys!$C$56&amp;Keys!$C$54&amp;$C76,Balanced_2025!$E$9:$E$3032,0)))</f>
        <v>4454300000000</v>
      </c>
      <c r="I76" s="10">
        <f>IF($E76=Keys!$C$60,Keys!$C$51,INDEX(Balanced_2025!$D$9:$D$3032,MATCH($A76&amp;Keys!$C$54&amp;Keys!$C$57&amp;Keys!$C$54&amp;$C76,Balanced_2025!$E$9:$E$3032,0)))</f>
        <v>452647000000000</v>
      </c>
      <c r="J76" s="10">
        <f t="shared" si="4"/>
        <v>492052300000000</v>
      </c>
      <c r="K76" s="10">
        <f>MAX(Keys!$C$51,$I76-$H76)</f>
        <v>448192700000000</v>
      </c>
      <c r="L76" s="10">
        <f t="shared" si="5"/>
        <v>940245000000000</v>
      </c>
      <c r="M76" s="11">
        <f>IF($L76&gt;Keys!$C$51,MIN(Keys!$C$52,$K76/$L76),Keys!$C$51)</f>
        <v>0.47667650452807514</v>
      </c>
      <c r="N76" s="11">
        <f>IF($E76=Keys!$C$60,Keys!$C$51,IF($E76=Keys!$C$59,$D76,$M76))</f>
        <v>0.47667650452807514</v>
      </c>
      <c r="O76">
        <f t="shared" si="6"/>
        <v>1</v>
      </c>
      <c r="P76" s="10">
        <f>IF($E76=Keys!$C$60,Keys!$C$51,INDEX(Raw_BFPIaE!$G$9:$G$3032,MATCH($A76&amp;Keys!$C$54&amp;Keys!$C$55&amp;Keys!$C$54&amp;$B76,Raw_BFPIaE!$H$9:$H$3032,0)))</f>
        <v>932648666666666.63</v>
      </c>
      <c r="Q76" s="10">
        <f>IF($E76=Keys!$C$60,Keys!$C$51,INDEX(Raw_BFPIaE!$G$9:$G$3032,MATCH($A76&amp;Keys!$C$54&amp;Keys!$C$56&amp;Keys!$C$54&amp;$B76,Raw_BFPIaE!$H$9:$H$3032,0)))</f>
        <v>0</v>
      </c>
      <c r="R76" s="10">
        <f>IF($E76=Keys!$C$60,Keys!$C$51,INDEX(Raw_BFPIaE!$G$9:$G$3032,MATCH($A76&amp;Keys!$C$54&amp;Keys!$C$57&amp;Keys!$C$54&amp;$B76,Raw_BFPIaE!$H$9:$H$3032,0)))</f>
        <v>344447000000000</v>
      </c>
      <c r="S76" s="11">
        <f>IF(($P76+$Q76-$R76+MAX(Keys!$C$51,$R76-$Q76))&gt;Keys!$C$51,MIN(Keys!$C$52,MAX(Keys!$C$51,$R76-$Q76)/($P76+$Q76-$R76+MAX(Keys!$C$51,$R76-$Q76))),Keys!$C$51)</f>
        <v>0.36932128068232911</v>
      </c>
      <c r="T76">
        <f>IF(AND($I76&gt;$H76,ABS($L76-$G76)&gt;MAX(Keys!$C$62,ABS($G76)*Keys!$C$63)),1,0)</f>
        <v>0</v>
      </c>
      <c r="U76">
        <f>IF(OR($N76&lt;Keys!$C$51,$N76&gt;Keys!$C$52),1,0)</f>
        <v>0</v>
      </c>
      <c r="V76">
        <f>IF(AND($E76=Keys!$C$60,$N76&lt;&gt;Keys!$C$51),1,0)</f>
        <v>0</v>
      </c>
      <c r="W76">
        <f>IF($L76&gt;Keys!$C$51,IF($K76/$L76&gt;Keys!$C$52,1,0),0)</f>
        <v>0</v>
      </c>
      <c r="X76" s="11">
        <f t="shared" si="7"/>
        <v>0.10735522384574603</v>
      </c>
    </row>
    <row r="77" spans="1:24" x14ac:dyDescent="0.25">
      <c r="A77" t="s">
        <v>70</v>
      </c>
      <c r="B77" t="s">
        <v>91</v>
      </c>
      <c r="C77" t="str">
        <f>VLOOKUP($B77,Keys!$F$2:$I$22,2,FALSE)</f>
        <v>biofuel gasoline</v>
      </c>
      <c r="D77">
        <f>VLOOKUP($B77,Keys!$F$2:$I$22,3,FALSE)</f>
        <v>8.7213884000000005E-2</v>
      </c>
      <c r="E77" t="str">
        <f>VLOOKUP($B77,Keys!$F$2:$I$22,4,FALSE)</f>
        <v>rule</v>
      </c>
      <c r="F77" t="str">
        <f>$A77&amp;Keys!$C$54&amp;$B77</f>
        <v>CA|biofuel gasoline</v>
      </c>
      <c r="G77" s="10">
        <f>IF($E77=Keys!$C$60,Keys!$C$51,INDEX(Balanced_2025!$D$9:$D$3032,MATCH($A77&amp;Keys!$C$54&amp;Keys!$C$55&amp;Keys!$C$54&amp;$C77,Balanced_2025!$E$9:$E$3032,0)))</f>
        <v>5548790000000</v>
      </c>
      <c r="H77" s="10">
        <f>IF($E77=Keys!$C$60,Keys!$C$51,INDEX(Balanced_2025!$D$9:$D$3032,MATCH($A77&amp;Keys!$C$54&amp;Keys!$C$56&amp;Keys!$C$54&amp;$C77,Balanced_2025!$E$9:$E$3032,0)))</f>
        <v>134545000000000</v>
      </c>
      <c r="I77" s="10">
        <f>IF($E77=Keys!$C$60,Keys!$C$51,INDEX(Balanced_2025!$D$9:$D$3032,MATCH($A77&amp;Keys!$C$54&amp;Keys!$C$57&amp;Keys!$C$54&amp;$C77,Balanced_2025!$E$9:$E$3032,0)))</f>
        <v>0</v>
      </c>
      <c r="J77" s="10">
        <f t="shared" si="4"/>
        <v>140093790000000</v>
      </c>
      <c r="K77" s="10">
        <f>MAX(Keys!$C$51,$I77-$H77)</f>
        <v>0</v>
      </c>
      <c r="L77" s="10">
        <f t="shared" si="5"/>
        <v>140093790000000</v>
      </c>
      <c r="M77" s="11">
        <f>IF($L77&gt;Keys!$C$51,MIN(Keys!$C$52,$K77/$L77),Keys!$C$51)</f>
        <v>0</v>
      </c>
      <c r="N77" s="11">
        <f>IF($E77=Keys!$C$60,Keys!$C$51,IF($E77=Keys!$C$59,$D77,$M77))</f>
        <v>0</v>
      </c>
      <c r="O77">
        <f t="shared" si="6"/>
        <v>1</v>
      </c>
      <c r="P77" s="10">
        <f>IF($E77=Keys!$C$60,Keys!$C$51,INDEX(Raw_BFPIaE!$G$9:$G$3032,MATCH($A77&amp;Keys!$C$54&amp;Keys!$C$55&amp;Keys!$C$54&amp;$B77,Raw_BFPIaE!$H$9:$H$3032,0)))</f>
        <v>5553993333333.333</v>
      </c>
      <c r="Q77" s="10">
        <f>IF($E77=Keys!$C$60,Keys!$C$51,INDEX(Raw_BFPIaE!$G$9:$G$3032,MATCH($A77&amp;Keys!$C$54&amp;Keys!$C$56&amp;Keys!$C$54&amp;$B77,Raw_BFPIaE!$H$9:$H$3032,0)))</f>
        <v>85458666666666.672</v>
      </c>
      <c r="R77" s="10">
        <f>IF($E77=Keys!$C$60,Keys!$C$51,INDEX(Raw_BFPIaE!$G$9:$G$3032,MATCH($A77&amp;Keys!$C$54&amp;Keys!$C$57&amp;Keys!$C$54&amp;$B77,Raw_BFPIaE!$H$9:$H$3032,0)))</f>
        <v>0</v>
      </c>
      <c r="S77" s="11">
        <f>IF(($P77+$Q77-$R77+MAX(Keys!$C$51,$R77-$Q77))&gt;Keys!$C$51,MIN(Keys!$C$52,MAX(Keys!$C$51,$R77-$Q77)/($P77+$Q77-$R77+MAX(Keys!$C$51,$R77-$Q77))),Keys!$C$51)</f>
        <v>0</v>
      </c>
      <c r="T77">
        <f>IF(AND($I77&gt;$H77,ABS($L77-$G77)&gt;MAX(Keys!$C$62,ABS($G77)*Keys!$C$63)),1,0)</f>
        <v>0</v>
      </c>
      <c r="U77">
        <f>IF(OR($N77&lt;Keys!$C$51,$N77&gt;Keys!$C$52),1,0)</f>
        <v>0</v>
      </c>
      <c r="V77">
        <f>IF(AND($E77=Keys!$C$60,$N77&lt;&gt;Keys!$C$51),1,0)</f>
        <v>0</v>
      </c>
      <c r="W77">
        <f>IF($L77&gt;Keys!$C$51,IF($K77/$L77&gt;Keys!$C$52,1,0),0)</f>
        <v>0</v>
      </c>
      <c r="X77" s="11">
        <f t="shared" si="7"/>
        <v>0</v>
      </c>
    </row>
    <row r="78" spans="1:24" x14ac:dyDescent="0.25">
      <c r="A78" t="s">
        <v>70</v>
      </c>
      <c r="B78" t="s">
        <v>94</v>
      </c>
      <c r="C78" t="str">
        <f>VLOOKUP($B78,Keys!$F$2:$I$22,2,FALSE)</f>
        <v>biofuel diesel</v>
      </c>
      <c r="D78">
        <f>VLOOKUP($B78,Keys!$F$2:$I$22,3,FALSE)</f>
        <v>5.8642381E-2</v>
      </c>
      <c r="E78" t="str">
        <f>VLOOKUP($B78,Keys!$F$2:$I$22,4,FALSE)</f>
        <v>rule</v>
      </c>
      <c r="F78" t="str">
        <f>$A78&amp;Keys!$C$54&amp;$B78</f>
        <v>CA|biofuel diesel</v>
      </c>
      <c r="G78" s="10">
        <f>IF($E78=Keys!$C$60,Keys!$C$51,INDEX(Balanced_2025!$D$9:$D$3032,MATCH($A78&amp;Keys!$C$54&amp;Keys!$C$55&amp;Keys!$C$54&amp;$C78,Balanced_2025!$E$9:$E$3032,0)))</f>
        <v>17423100000000</v>
      </c>
      <c r="H78" s="10">
        <f>IF($E78=Keys!$C$60,Keys!$C$51,INDEX(Balanced_2025!$D$9:$D$3032,MATCH($A78&amp;Keys!$C$54&amp;Keys!$C$56&amp;Keys!$C$54&amp;$C78,Balanced_2025!$E$9:$E$3032,0)))</f>
        <v>145974000000000</v>
      </c>
      <c r="I78" s="10">
        <f>IF($E78=Keys!$C$60,Keys!$C$51,INDEX(Balanced_2025!$D$9:$D$3032,MATCH($A78&amp;Keys!$C$54&amp;Keys!$C$57&amp;Keys!$C$54&amp;$C78,Balanced_2025!$E$9:$E$3032,0)))</f>
        <v>0</v>
      </c>
      <c r="J78" s="10">
        <f t="shared" si="4"/>
        <v>163397100000000</v>
      </c>
      <c r="K78" s="10">
        <f>MAX(Keys!$C$51,$I78-$H78)</f>
        <v>0</v>
      </c>
      <c r="L78" s="10">
        <f t="shared" si="5"/>
        <v>163397100000000</v>
      </c>
      <c r="M78" s="11">
        <f>IF($L78&gt;Keys!$C$51,MIN(Keys!$C$52,$K78/$L78),Keys!$C$51)</f>
        <v>0</v>
      </c>
      <c r="N78" s="11">
        <f>IF($E78=Keys!$C$60,Keys!$C$51,IF($E78=Keys!$C$59,$D78,$M78))</f>
        <v>0</v>
      </c>
      <c r="O78">
        <f t="shared" si="6"/>
        <v>1</v>
      </c>
      <c r="P78" s="10">
        <f>IF($E78=Keys!$C$60,Keys!$C$51,INDEX(Raw_BFPIaE!$G$9:$G$3032,MATCH($A78&amp;Keys!$C$54&amp;Keys!$C$55&amp;Keys!$C$54&amp;$B78,Raw_BFPIaE!$H$9:$H$3032,0)))</f>
        <v>18514166666666.668</v>
      </c>
      <c r="Q78" s="10">
        <f>IF($E78=Keys!$C$60,Keys!$C$51,INDEX(Raw_BFPIaE!$G$9:$G$3032,MATCH($A78&amp;Keys!$C$54&amp;Keys!$C$56&amp;Keys!$C$54&amp;$B78,Raw_BFPIaE!$H$9:$H$3032,0)))</f>
        <v>99405000000000</v>
      </c>
      <c r="R78" s="10">
        <f>IF($E78=Keys!$C$60,Keys!$C$51,INDEX(Raw_BFPIaE!$G$9:$G$3032,MATCH($A78&amp;Keys!$C$54&amp;Keys!$C$57&amp;Keys!$C$54&amp;$B78,Raw_BFPIaE!$H$9:$H$3032,0)))</f>
        <v>0</v>
      </c>
      <c r="S78" s="11">
        <f>IF(($P78+$Q78-$R78+MAX(Keys!$C$51,$R78-$Q78))&gt;Keys!$C$51,MIN(Keys!$C$52,MAX(Keys!$C$51,$R78-$Q78)/($P78+$Q78-$R78+MAX(Keys!$C$51,$R78-$Q78))),Keys!$C$51)</f>
        <v>0</v>
      </c>
      <c r="T78">
        <f>IF(AND($I78&gt;$H78,ABS($L78-$G78)&gt;MAX(Keys!$C$62,ABS($G78)*Keys!$C$63)),1,0)</f>
        <v>0</v>
      </c>
      <c r="U78">
        <f>IF(OR($N78&lt;Keys!$C$51,$N78&gt;Keys!$C$52),1,0)</f>
        <v>0</v>
      </c>
      <c r="V78">
        <f>IF(AND($E78=Keys!$C$60,$N78&lt;&gt;Keys!$C$51),1,0)</f>
        <v>0</v>
      </c>
      <c r="W78">
        <f>IF($L78&gt;Keys!$C$51,IF($K78/$L78&gt;Keys!$C$52,1,0),0)</f>
        <v>0</v>
      </c>
      <c r="X78" s="11">
        <f t="shared" si="7"/>
        <v>0</v>
      </c>
    </row>
    <row r="79" spans="1:24" x14ac:dyDescent="0.25">
      <c r="A79" t="s">
        <v>70</v>
      </c>
      <c r="B79" t="s">
        <v>97</v>
      </c>
      <c r="C79" t="str">
        <f>VLOOKUP($B79,Keys!$F$2:$I$22,2,FALSE)</f>
        <v>jet fuel or kerosene</v>
      </c>
      <c r="D79">
        <f>VLOOKUP($B79,Keys!$F$2:$I$22,3,FALSE)</f>
        <v>0.10155994</v>
      </c>
      <c r="E79" t="str">
        <f>VLOOKUP($B79,Keys!$F$2:$I$22,4,FALSE)</f>
        <v>rule</v>
      </c>
      <c r="F79" t="str">
        <f>$A79&amp;Keys!$C$54&amp;$B79</f>
        <v>CA|jet fuel or kerosene</v>
      </c>
      <c r="G79" s="10">
        <f>IF($E79=Keys!$C$60,Keys!$C$51,INDEX(Balanced_2025!$D$9:$D$3032,MATCH($A79&amp;Keys!$C$54&amp;Keys!$C$55&amp;Keys!$C$54&amp;$C79,Balanced_2025!$E$9:$E$3032,0)))</f>
        <v>334708000000000</v>
      </c>
      <c r="H79" s="10">
        <f>IF($E79=Keys!$C$60,Keys!$C$51,INDEX(Balanced_2025!$D$9:$D$3032,MATCH($A79&amp;Keys!$C$54&amp;Keys!$C$56&amp;Keys!$C$54&amp;$C79,Balanced_2025!$E$9:$E$3032,0)))</f>
        <v>212256000000000</v>
      </c>
      <c r="I79" s="10">
        <f>IF($E79=Keys!$C$60,Keys!$C$51,INDEX(Balanced_2025!$D$9:$D$3032,MATCH($A79&amp;Keys!$C$54&amp;Keys!$C$57&amp;Keys!$C$54&amp;$C79,Balanced_2025!$E$9:$E$3032,0)))</f>
        <v>20319300000000</v>
      </c>
      <c r="J79" s="10">
        <f t="shared" si="4"/>
        <v>526644700000000</v>
      </c>
      <c r="K79" s="10">
        <f>MAX(Keys!$C$51,$I79-$H79)</f>
        <v>0</v>
      </c>
      <c r="L79" s="10">
        <f t="shared" si="5"/>
        <v>526644700000000</v>
      </c>
      <c r="M79" s="11">
        <f>IF($L79&gt;Keys!$C$51,MIN(Keys!$C$52,$K79/$L79),Keys!$C$51)</f>
        <v>0</v>
      </c>
      <c r="N79" s="11">
        <f>IF($E79=Keys!$C$60,Keys!$C$51,IF($E79=Keys!$C$59,$D79,$M79))</f>
        <v>0</v>
      </c>
      <c r="O79">
        <f t="shared" si="6"/>
        <v>1</v>
      </c>
      <c r="P79" s="10">
        <f>IF($E79=Keys!$C$60,Keys!$C$51,INDEX(Raw_BFPIaE!$G$9:$G$3032,MATCH($A79&amp;Keys!$C$54&amp;Keys!$C$55&amp;Keys!$C$54&amp;$B79,Raw_BFPIaE!$H$9:$H$3032,0)))</f>
        <v>332004000000000</v>
      </c>
      <c r="Q79" s="10">
        <f>IF($E79=Keys!$C$60,Keys!$C$51,INDEX(Raw_BFPIaE!$G$9:$G$3032,MATCH($A79&amp;Keys!$C$54&amp;Keys!$C$56&amp;Keys!$C$54&amp;$B79,Raw_BFPIaE!$H$9:$H$3032,0)))</f>
        <v>149702333333333.34</v>
      </c>
      <c r="R79" s="10">
        <f>IF($E79=Keys!$C$60,Keys!$C$51,INDEX(Raw_BFPIaE!$G$9:$G$3032,MATCH($A79&amp;Keys!$C$54&amp;Keys!$C$57&amp;Keys!$C$54&amp;$B79,Raw_BFPIaE!$H$9:$H$3032,0)))</f>
        <v>20155133333333.332</v>
      </c>
      <c r="S79" s="11">
        <f>IF(($P79+$Q79-$R79+MAX(Keys!$C$51,$R79-$Q79))&gt;Keys!$C$51,MIN(Keys!$C$52,MAX(Keys!$C$51,$R79-$Q79)/($P79+$Q79-$R79+MAX(Keys!$C$51,$R79-$Q79))),Keys!$C$51)</f>
        <v>0</v>
      </c>
      <c r="T79">
        <f>IF(AND($I79&gt;$H79,ABS($L79-$G79)&gt;MAX(Keys!$C$62,ABS($G79)*Keys!$C$63)),1,0)</f>
        <v>0</v>
      </c>
      <c r="U79">
        <f>IF(OR($N79&lt;Keys!$C$51,$N79&gt;Keys!$C$52),1,0)</f>
        <v>0</v>
      </c>
      <c r="V79">
        <f>IF(AND($E79=Keys!$C$60,$N79&lt;&gt;Keys!$C$51),1,0)</f>
        <v>0</v>
      </c>
      <c r="W79">
        <f>IF($L79&gt;Keys!$C$51,IF($K79/$L79&gt;Keys!$C$52,1,0),0)</f>
        <v>0</v>
      </c>
      <c r="X79" s="11">
        <f t="shared" si="7"/>
        <v>0</v>
      </c>
    </row>
    <row r="80" spans="1:24" x14ac:dyDescent="0.25">
      <c r="A80" t="s">
        <v>70</v>
      </c>
      <c r="B80" t="s">
        <v>100</v>
      </c>
      <c r="C80">
        <f>VLOOKUP($B80,Keys!$F$2:$I$22,2,FALSE)</f>
        <v>0</v>
      </c>
      <c r="D80">
        <f>VLOOKUP($B80,Keys!$F$2:$I$22,3,FALSE)</f>
        <v>0</v>
      </c>
      <c r="E80" t="str">
        <f>VLOOKUP($B80,Keys!$F$2:$I$22,4,FALSE)</f>
        <v>zero</v>
      </c>
      <c r="F80" t="str">
        <f>$A80&amp;Keys!$C$54&amp;$B80</f>
        <v>CA|heat (not used in this variable)</v>
      </c>
      <c r="G80" s="10">
        <f>IF($E80=Keys!$C$60,Keys!$C$51,INDEX(Balanced_2025!$D$9:$D$3032,MATCH($A80&amp;Keys!$C$54&amp;Keys!$C$55&amp;Keys!$C$54&amp;$C80,Balanced_2025!$E$9:$E$3032,0)))</f>
        <v>0</v>
      </c>
      <c r="H80" s="10">
        <f>IF($E80=Keys!$C$60,Keys!$C$51,INDEX(Balanced_2025!$D$9:$D$3032,MATCH($A80&amp;Keys!$C$54&amp;Keys!$C$56&amp;Keys!$C$54&amp;$C80,Balanced_2025!$E$9:$E$3032,0)))</f>
        <v>0</v>
      </c>
      <c r="I80" s="10">
        <f>IF($E80=Keys!$C$60,Keys!$C$51,INDEX(Balanced_2025!$D$9:$D$3032,MATCH($A80&amp;Keys!$C$54&amp;Keys!$C$57&amp;Keys!$C$54&amp;$C80,Balanced_2025!$E$9:$E$3032,0)))</f>
        <v>0</v>
      </c>
      <c r="J80" s="10">
        <f t="shared" si="4"/>
        <v>0</v>
      </c>
      <c r="K80" s="10">
        <f>MAX(Keys!$C$51,$I80-$H80)</f>
        <v>0</v>
      </c>
      <c r="L80" s="10">
        <f t="shared" si="5"/>
        <v>0</v>
      </c>
      <c r="M80" s="11">
        <f>IF($L80&gt;Keys!$C$51,MIN(Keys!$C$52,$K80/$L80),Keys!$C$51)</f>
        <v>0</v>
      </c>
      <c r="N80" s="11">
        <f>IF($E80=Keys!$C$60,Keys!$C$51,IF($E80=Keys!$C$59,$D80,$M80))</f>
        <v>0</v>
      </c>
      <c r="O80">
        <f t="shared" si="6"/>
        <v>0</v>
      </c>
      <c r="P80" s="10">
        <f>IF($E80=Keys!$C$60,Keys!$C$51,INDEX(Raw_BFPIaE!$G$9:$G$3032,MATCH($A80&amp;Keys!$C$54&amp;Keys!$C$55&amp;Keys!$C$54&amp;$B80,Raw_BFPIaE!$H$9:$H$3032,0)))</f>
        <v>0</v>
      </c>
      <c r="Q80" s="10">
        <f>IF($E80=Keys!$C$60,Keys!$C$51,INDEX(Raw_BFPIaE!$G$9:$G$3032,MATCH($A80&amp;Keys!$C$54&amp;Keys!$C$56&amp;Keys!$C$54&amp;$B80,Raw_BFPIaE!$H$9:$H$3032,0)))</f>
        <v>0</v>
      </c>
      <c r="R80" s="10">
        <f>IF($E80=Keys!$C$60,Keys!$C$51,INDEX(Raw_BFPIaE!$G$9:$G$3032,MATCH($A80&amp;Keys!$C$54&amp;Keys!$C$57&amp;Keys!$C$54&amp;$B80,Raw_BFPIaE!$H$9:$H$3032,0)))</f>
        <v>0</v>
      </c>
      <c r="S80" s="11">
        <f>IF(($P80+$Q80-$R80+MAX(Keys!$C$51,$R80-$Q80))&gt;Keys!$C$51,MIN(Keys!$C$52,MAX(Keys!$C$51,$R80-$Q80)/($P80+$Q80-$R80+MAX(Keys!$C$51,$R80-$Q80))),Keys!$C$51)</f>
        <v>0</v>
      </c>
      <c r="T80">
        <f>IF(AND($I80&gt;$H80,ABS($L80-$G80)&gt;MAX(Keys!$C$62,ABS($G80)*Keys!$C$63)),1,0)</f>
        <v>0</v>
      </c>
      <c r="U80">
        <f>IF(OR($N80&lt;Keys!$C$51,$N80&gt;Keys!$C$52),1,0)</f>
        <v>0</v>
      </c>
      <c r="V80">
        <f>IF(AND($E80=Keys!$C$60,$N80&lt;&gt;Keys!$C$51),1,0)</f>
        <v>0</v>
      </c>
      <c r="W80">
        <f>IF($L80&gt;Keys!$C$51,IF($K80/$L80&gt;Keys!$C$52,1,0),0)</f>
        <v>0</v>
      </c>
      <c r="X80" s="11">
        <f t="shared" si="7"/>
        <v>0</v>
      </c>
    </row>
    <row r="81" spans="1:24" x14ac:dyDescent="0.25">
      <c r="A81" t="s">
        <v>70</v>
      </c>
      <c r="B81" t="s">
        <v>103</v>
      </c>
      <c r="C81">
        <f>VLOOKUP($B81,Keys!$F$2:$I$22,2,FALSE)</f>
        <v>0</v>
      </c>
      <c r="D81">
        <f>VLOOKUP($B81,Keys!$F$2:$I$22,3,FALSE)</f>
        <v>0</v>
      </c>
      <c r="E81" t="str">
        <f>VLOOKUP($B81,Keys!$F$2:$I$22,4,FALSE)</f>
        <v>zero</v>
      </c>
      <c r="F81" t="str">
        <f>$A81&amp;Keys!$C$54&amp;$B81</f>
        <v>CA|geothermal (is not a fuel)</v>
      </c>
      <c r="G81" s="10">
        <f>IF($E81=Keys!$C$60,Keys!$C$51,INDEX(Balanced_2025!$D$9:$D$3032,MATCH($A81&amp;Keys!$C$54&amp;Keys!$C$55&amp;Keys!$C$54&amp;$C81,Balanced_2025!$E$9:$E$3032,0)))</f>
        <v>0</v>
      </c>
      <c r="H81" s="10">
        <f>IF($E81=Keys!$C$60,Keys!$C$51,INDEX(Balanced_2025!$D$9:$D$3032,MATCH($A81&amp;Keys!$C$54&amp;Keys!$C$56&amp;Keys!$C$54&amp;$C81,Balanced_2025!$E$9:$E$3032,0)))</f>
        <v>0</v>
      </c>
      <c r="I81" s="10">
        <f>IF($E81=Keys!$C$60,Keys!$C$51,INDEX(Balanced_2025!$D$9:$D$3032,MATCH($A81&amp;Keys!$C$54&amp;Keys!$C$57&amp;Keys!$C$54&amp;$C81,Balanced_2025!$E$9:$E$3032,0)))</f>
        <v>0</v>
      </c>
      <c r="J81" s="10">
        <f t="shared" si="4"/>
        <v>0</v>
      </c>
      <c r="K81" s="10">
        <f>MAX(Keys!$C$51,$I81-$H81)</f>
        <v>0</v>
      </c>
      <c r="L81" s="10">
        <f t="shared" si="5"/>
        <v>0</v>
      </c>
      <c r="M81" s="11">
        <f>IF($L81&gt;Keys!$C$51,MIN(Keys!$C$52,$K81/$L81),Keys!$C$51)</f>
        <v>0</v>
      </c>
      <c r="N81" s="11">
        <f>IF($E81=Keys!$C$60,Keys!$C$51,IF($E81=Keys!$C$59,$D81,$M81))</f>
        <v>0</v>
      </c>
      <c r="O81">
        <f t="shared" si="6"/>
        <v>0</v>
      </c>
      <c r="P81" s="10">
        <f>IF($E81=Keys!$C$60,Keys!$C$51,INDEX(Raw_BFPIaE!$G$9:$G$3032,MATCH($A81&amp;Keys!$C$54&amp;Keys!$C$55&amp;Keys!$C$54&amp;$B81,Raw_BFPIaE!$H$9:$H$3032,0)))</f>
        <v>0</v>
      </c>
      <c r="Q81" s="10">
        <f>IF($E81=Keys!$C$60,Keys!$C$51,INDEX(Raw_BFPIaE!$G$9:$G$3032,MATCH($A81&amp;Keys!$C$54&amp;Keys!$C$56&amp;Keys!$C$54&amp;$B81,Raw_BFPIaE!$H$9:$H$3032,0)))</f>
        <v>0</v>
      </c>
      <c r="R81" s="10">
        <f>IF($E81=Keys!$C$60,Keys!$C$51,INDEX(Raw_BFPIaE!$G$9:$G$3032,MATCH($A81&amp;Keys!$C$54&amp;Keys!$C$57&amp;Keys!$C$54&amp;$B81,Raw_BFPIaE!$H$9:$H$3032,0)))</f>
        <v>0</v>
      </c>
      <c r="S81" s="11">
        <f>IF(($P81+$Q81-$R81+MAX(Keys!$C$51,$R81-$Q81))&gt;Keys!$C$51,MIN(Keys!$C$52,MAX(Keys!$C$51,$R81-$Q81)/($P81+$Q81-$R81+MAX(Keys!$C$51,$R81-$Q81))),Keys!$C$51)</f>
        <v>0</v>
      </c>
      <c r="T81">
        <f>IF(AND($I81&gt;$H81,ABS($L81-$G81)&gt;MAX(Keys!$C$62,ABS($G81)*Keys!$C$63)),1,0)</f>
        <v>0</v>
      </c>
      <c r="U81">
        <f>IF(OR($N81&lt;Keys!$C$51,$N81&gt;Keys!$C$52),1,0)</f>
        <v>0</v>
      </c>
      <c r="V81">
        <f>IF(AND($E81=Keys!$C$60,$N81&lt;&gt;Keys!$C$51),1,0)</f>
        <v>0</v>
      </c>
      <c r="W81">
        <f>IF($L81&gt;Keys!$C$51,IF($K81/$L81&gt;Keys!$C$52,1,0),0)</f>
        <v>0</v>
      </c>
      <c r="X81" s="11">
        <f t="shared" si="7"/>
        <v>0</v>
      </c>
    </row>
    <row r="82" spans="1:24" x14ac:dyDescent="0.25">
      <c r="A82" t="s">
        <v>70</v>
      </c>
      <c r="B82" t="s">
        <v>106</v>
      </c>
      <c r="C82" t="str">
        <f>VLOOKUP($B82,Keys!$F$2:$I$22,2,FALSE)</f>
        <v>lignite</v>
      </c>
      <c r="D82">
        <f>VLOOKUP($B82,Keys!$F$2:$I$22,3,FALSE)</f>
        <v>0</v>
      </c>
      <c r="E82" t="str">
        <f>VLOOKUP($B82,Keys!$F$2:$I$22,4,FALSE)</f>
        <v>rule</v>
      </c>
      <c r="F82" t="str">
        <f>$A82&amp;Keys!$C$54&amp;$B82</f>
        <v>CA|lignite</v>
      </c>
      <c r="G82" s="10">
        <f>IF($E82=Keys!$C$60,Keys!$C$51,INDEX(Balanced_2025!$D$9:$D$3032,MATCH($A82&amp;Keys!$C$54&amp;Keys!$C$55&amp;Keys!$C$54&amp;$C82,Balanced_2025!$E$9:$E$3032,0)))</f>
        <v>0</v>
      </c>
      <c r="H82" s="10">
        <f>IF($E82=Keys!$C$60,Keys!$C$51,INDEX(Balanced_2025!$D$9:$D$3032,MATCH($A82&amp;Keys!$C$54&amp;Keys!$C$56&amp;Keys!$C$54&amp;$C82,Balanced_2025!$E$9:$E$3032,0)))</f>
        <v>0</v>
      </c>
      <c r="I82" s="10">
        <f>IF($E82=Keys!$C$60,Keys!$C$51,INDEX(Balanced_2025!$D$9:$D$3032,MATCH($A82&amp;Keys!$C$54&amp;Keys!$C$57&amp;Keys!$C$54&amp;$C82,Balanced_2025!$E$9:$E$3032,0)))</f>
        <v>0</v>
      </c>
      <c r="J82" s="10">
        <f t="shared" si="4"/>
        <v>0</v>
      </c>
      <c r="K82" s="10">
        <f>MAX(Keys!$C$51,$I82-$H82)</f>
        <v>0</v>
      </c>
      <c r="L82" s="10">
        <f t="shared" si="5"/>
        <v>0</v>
      </c>
      <c r="M82" s="11">
        <f>IF($L82&gt;Keys!$C$51,MIN(Keys!$C$52,$K82/$L82),Keys!$C$51)</f>
        <v>0</v>
      </c>
      <c r="N82" s="11">
        <f>IF($E82=Keys!$C$60,Keys!$C$51,IF($E82=Keys!$C$59,$D82,$M82))</f>
        <v>0</v>
      </c>
      <c r="O82">
        <f t="shared" si="6"/>
        <v>0</v>
      </c>
      <c r="P82" s="10">
        <f>IF($E82=Keys!$C$60,Keys!$C$51,INDEX(Raw_BFPIaE!$G$9:$G$3032,MATCH($A82&amp;Keys!$C$54&amp;Keys!$C$55&amp;Keys!$C$54&amp;$B82,Raw_BFPIaE!$H$9:$H$3032,0)))</f>
        <v>0</v>
      </c>
      <c r="Q82" s="10">
        <f>IF($E82=Keys!$C$60,Keys!$C$51,INDEX(Raw_BFPIaE!$G$9:$G$3032,MATCH($A82&amp;Keys!$C$54&amp;Keys!$C$56&amp;Keys!$C$54&amp;$B82,Raw_BFPIaE!$H$9:$H$3032,0)))</f>
        <v>0</v>
      </c>
      <c r="R82" s="10">
        <f>IF($E82=Keys!$C$60,Keys!$C$51,INDEX(Raw_BFPIaE!$G$9:$G$3032,MATCH($A82&amp;Keys!$C$54&amp;Keys!$C$57&amp;Keys!$C$54&amp;$B82,Raw_BFPIaE!$H$9:$H$3032,0)))</f>
        <v>0</v>
      </c>
      <c r="S82" s="11">
        <f>IF(($P82+$Q82-$R82+MAX(Keys!$C$51,$R82-$Q82))&gt;Keys!$C$51,MIN(Keys!$C$52,MAX(Keys!$C$51,$R82-$Q82)/($P82+$Q82-$R82+MAX(Keys!$C$51,$R82-$Q82))),Keys!$C$51)</f>
        <v>0</v>
      </c>
      <c r="T82">
        <f>IF(AND($I82&gt;$H82,ABS($L82-$G82)&gt;MAX(Keys!$C$62,ABS($G82)*Keys!$C$63)),1,0)</f>
        <v>0</v>
      </c>
      <c r="U82">
        <f>IF(OR($N82&lt;Keys!$C$51,$N82&gt;Keys!$C$52),1,0)</f>
        <v>0</v>
      </c>
      <c r="V82">
        <f>IF(AND($E82=Keys!$C$60,$N82&lt;&gt;Keys!$C$51),1,0)</f>
        <v>0</v>
      </c>
      <c r="W82">
        <f>IF($L82&gt;Keys!$C$51,IF($K82/$L82&gt;Keys!$C$52,1,0),0)</f>
        <v>0</v>
      </c>
      <c r="X82" s="11">
        <f t="shared" si="7"/>
        <v>0</v>
      </c>
    </row>
    <row r="83" spans="1:24" x14ac:dyDescent="0.25">
      <c r="A83" t="s">
        <v>70</v>
      </c>
      <c r="B83" t="s">
        <v>109</v>
      </c>
      <c r="C83" t="str">
        <f>VLOOKUP($B83,Keys!$F$2:$I$22,2,FALSE)</f>
        <v>crude oil</v>
      </c>
      <c r="D83">
        <f>VLOOKUP($B83,Keys!$F$2:$I$22,3,FALSE)</f>
        <v>1</v>
      </c>
      <c r="E83" t="str">
        <f>VLOOKUP($B83,Keys!$F$2:$I$22,4,FALSE)</f>
        <v>hold</v>
      </c>
      <c r="F83" t="str">
        <f>$A83&amp;Keys!$C$54&amp;$B83</f>
        <v>CA|crude oil</v>
      </c>
      <c r="G83" s="10">
        <f>IF($E83=Keys!$C$60,Keys!$C$51,INDEX(Balanced_2025!$D$9:$D$3032,MATCH($A83&amp;Keys!$C$54&amp;Keys!$C$55&amp;Keys!$C$54&amp;$C83,Balanced_2025!$E$9:$E$3032,0)))</f>
        <v>637002000000000</v>
      </c>
      <c r="H83" s="10">
        <f>IF($E83=Keys!$C$60,Keys!$C$51,INDEX(Balanced_2025!$D$9:$D$3032,MATCH($A83&amp;Keys!$C$54&amp;Keys!$C$56&amp;Keys!$C$54&amp;$C83,Balanced_2025!$E$9:$E$3032,0)))</f>
        <v>2487140000000000</v>
      </c>
      <c r="I83" s="10">
        <f>IF($E83=Keys!$C$60,Keys!$C$51,INDEX(Balanced_2025!$D$9:$D$3032,MATCH($A83&amp;Keys!$C$54&amp;Keys!$C$57&amp;Keys!$C$54&amp;$C83,Balanced_2025!$E$9:$E$3032,0)))</f>
        <v>0</v>
      </c>
      <c r="J83" s="10">
        <f t="shared" si="4"/>
        <v>3124142000000000</v>
      </c>
      <c r="K83" s="10">
        <f>MAX(Keys!$C$51,$I83-$H83)</f>
        <v>0</v>
      </c>
      <c r="L83" s="10">
        <f t="shared" si="5"/>
        <v>3124142000000000</v>
      </c>
      <c r="M83" s="11">
        <f>IF($L83&gt;Keys!$C$51,MIN(Keys!$C$52,$K83/$L83),Keys!$C$51)</f>
        <v>0</v>
      </c>
      <c r="N83" s="11">
        <f>IF($E83=Keys!$C$60,Keys!$C$51,IF($E83=Keys!$C$59,$D83,$M83))</f>
        <v>1</v>
      </c>
      <c r="O83">
        <f t="shared" si="6"/>
        <v>0</v>
      </c>
      <c r="P83" s="10">
        <f>IF($E83=Keys!$C$60,Keys!$C$51,INDEX(Raw_BFPIaE!$G$9:$G$3032,MATCH($A83&amp;Keys!$C$54&amp;Keys!$C$55&amp;Keys!$C$54&amp;$B83,Raw_BFPIaE!$H$9:$H$3032,0)))</f>
        <v>569258000000000</v>
      </c>
      <c r="Q83" s="10">
        <f>IF($E83=Keys!$C$60,Keys!$C$51,INDEX(Raw_BFPIaE!$G$9:$G$3032,MATCH($A83&amp;Keys!$C$54&amp;Keys!$C$56&amp;Keys!$C$54&amp;$B83,Raw_BFPIaE!$H$9:$H$3032,0)))</f>
        <v>1725836666666666.8</v>
      </c>
      <c r="R83" s="10">
        <f>IF($E83=Keys!$C$60,Keys!$C$51,INDEX(Raw_BFPIaE!$G$9:$G$3032,MATCH($A83&amp;Keys!$C$54&amp;Keys!$C$57&amp;Keys!$C$54&amp;$B83,Raw_BFPIaE!$H$9:$H$3032,0)))</f>
        <v>0</v>
      </c>
      <c r="S83" s="11">
        <f>IF(($P83+$Q83-$R83+MAX(Keys!$C$51,$R83-$Q83))&gt;Keys!$C$51,MIN(Keys!$C$52,MAX(Keys!$C$51,$R83-$Q83)/($P83+$Q83-$R83+MAX(Keys!$C$51,$R83-$Q83))),Keys!$C$51)</f>
        <v>0</v>
      </c>
      <c r="T83">
        <f>IF(AND($I83&gt;$H83,ABS($L83-$G83)&gt;MAX(Keys!$C$62,ABS($G83)*Keys!$C$63)),1,0)</f>
        <v>0</v>
      </c>
      <c r="U83">
        <f>IF(OR($N83&lt;Keys!$C$51,$N83&gt;Keys!$C$52),1,0)</f>
        <v>0</v>
      </c>
      <c r="V83">
        <f>IF(AND($E83=Keys!$C$60,$N83&lt;&gt;Keys!$C$51),1,0)</f>
        <v>0</v>
      </c>
      <c r="W83">
        <f>IF($L83&gt;Keys!$C$51,IF($K83/$L83&gt;Keys!$C$52,1,0),0)</f>
        <v>0</v>
      </c>
      <c r="X83" s="11">
        <f t="shared" si="7"/>
        <v>0</v>
      </c>
    </row>
    <row r="84" spans="1:24" x14ac:dyDescent="0.25">
      <c r="A84" t="s">
        <v>70</v>
      </c>
      <c r="B84" t="s">
        <v>113</v>
      </c>
      <c r="C84" t="str">
        <f>VLOOKUP($B84,Keys!$F$2:$I$22,2,FALSE)</f>
        <v>heavy or residual fuel oil</v>
      </c>
      <c r="D84">
        <f>VLOOKUP($B84,Keys!$F$2:$I$22,3,FALSE)</f>
        <v>0.49914171099999999</v>
      </c>
      <c r="E84" t="str">
        <f>VLOOKUP($B84,Keys!$F$2:$I$22,4,FALSE)</f>
        <v>rule</v>
      </c>
      <c r="F84" t="str">
        <f>$A84&amp;Keys!$C$54&amp;$B84</f>
        <v>CA|heavy fuel oil</v>
      </c>
      <c r="G84" s="10">
        <f>IF($E84=Keys!$C$60,Keys!$C$51,INDEX(Balanced_2025!$D$9:$D$3032,MATCH($A84&amp;Keys!$C$54&amp;Keys!$C$55&amp;Keys!$C$54&amp;$C84,Balanced_2025!$E$9:$E$3032,0)))</f>
        <v>65018200000000</v>
      </c>
      <c r="H84" s="10">
        <f>IF($E84=Keys!$C$60,Keys!$C$51,INDEX(Balanced_2025!$D$9:$D$3032,MATCH($A84&amp;Keys!$C$54&amp;Keys!$C$56&amp;Keys!$C$54&amp;$C84,Balanced_2025!$E$9:$E$3032,0)))</f>
        <v>166734000000000</v>
      </c>
      <c r="I84" s="10">
        <f>IF($E84=Keys!$C$60,Keys!$C$51,INDEX(Balanced_2025!$D$9:$D$3032,MATCH($A84&amp;Keys!$C$54&amp;Keys!$C$57&amp;Keys!$C$54&amp;$C84,Balanced_2025!$E$9:$E$3032,0)))</f>
        <v>14648700000000</v>
      </c>
      <c r="J84" s="10">
        <f t="shared" si="4"/>
        <v>217103500000000</v>
      </c>
      <c r="K84" s="10">
        <f>MAX(Keys!$C$51,$I84-$H84)</f>
        <v>0</v>
      </c>
      <c r="L84" s="10">
        <f t="shared" si="5"/>
        <v>217103500000000</v>
      </c>
      <c r="M84" s="11">
        <f>IF($L84&gt;Keys!$C$51,MIN(Keys!$C$52,$K84/$L84),Keys!$C$51)</f>
        <v>0</v>
      </c>
      <c r="N84" s="11">
        <f>IF($E84=Keys!$C$60,Keys!$C$51,IF($E84=Keys!$C$59,$D84,$M84))</f>
        <v>0</v>
      </c>
      <c r="O84">
        <f t="shared" si="6"/>
        <v>1</v>
      </c>
      <c r="P84" s="10">
        <f>IF($E84=Keys!$C$60,Keys!$C$51,INDEX(Raw_BFPIaE!$G$9:$G$3032,MATCH($A84&amp;Keys!$C$54&amp;Keys!$C$55&amp;Keys!$C$54&amp;$B84,Raw_BFPIaE!$H$9:$H$3032,0)))</f>
        <v>64492900000000</v>
      </c>
      <c r="Q84" s="10">
        <f>IF($E84=Keys!$C$60,Keys!$C$51,INDEX(Raw_BFPIaE!$G$9:$G$3032,MATCH($A84&amp;Keys!$C$54&amp;Keys!$C$56&amp;Keys!$C$54&amp;$B84,Raw_BFPIaE!$H$9:$H$3032,0)))</f>
        <v>115483333333333.33</v>
      </c>
      <c r="R84" s="10">
        <f>IF($E84=Keys!$C$60,Keys!$C$51,INDEX(Raw_BFPIaE!$G$9:$G$3032,MATCH($A84&amp;Keys!$C$54&amp;Keys!$C$57&amp;Keys!$C$54&amp;$B84,Raw_BFPIaE!$H$9:$H$3032,0)))</f>
        <v>14530366666666.666</v>
      </c>
      <c r="S84" s="11">
        <f>IF(($P84+$Q84-$R84+MAX(Keys!$C$51,$R84-$Q84))&gt;Keys!$C$51,MIN(Keys!$C$52,MAX(Keys!$C$51,$R84-$Q84)/($P84+$Q84-$R84+MAX(Keys!$C$51,$R84-$Q84))),Keys!$C$51)</f>
        <v>0</v>
      </c>
      <c r="T84">
        <f>IF(AND($I84&gt;$H84,ABS($L84-$G84)&gt;MAX(Keys!$C$62,ABS($G84)*Keys!$C$63)),1,0)</f>
        <v>0</v>
      </c>
      <c r="U84">
        <f>IF(OR($N84&lt;Keys!$C$51,$N84&gt;Keys!$C$52),1,0)</f>
        <v>0</v>
      </c>
      <c r="V84">
        <f>IF(AND($E84=Keys!$C$60,$N84&lt;&gt;Keys!$C$51),1,0)</f>
        <v>0</v>
      </c>
      <c r="W84">
        <f>IF($L84&gt;Keys!$C$51,IF($K84/$L84&gt;Keys!$C$52,1,0),0)</f>
        <v>0</v>
      </c>
      <c r="X84" s="11">
        <f t="shared" si="7"/>
        <v>0</v>
      </c>
    </row>
    <row r="85" spans="1:24" x14ac:dyDescent="0.25">
      <c r="A85" t="s">
        <v>70</v>
      </c>
      <c r="B85" t="s">
        <v>117</v>
      </c>
      <c r="C85" t="str">
        <f>VLOOKUP($B85,Keys!$F$2:$I$22,2,FALSE)</f>
        <v>LPG propane or butane</v>
      </c>
      <c r="D85">
        <f>VLOOKUP($B85,Keys!$F$2:$I$22,3,FALSE)</f>
        <v>0.54955999499999997</v>
      </c>
      <c r="E85" t="str">
        <f>VLOOKUP($B85,Keys!$F$2:$I$22,4,FALSE)</f>
        <v>rule</v>
      </c>
      <c r="F85" t="str">
        <f>$A85&amp;Keys!$C$54&amp;$B85</f>
        <v>CA|LPG propane or butane</v>
      </c>
      <c r="G85" s="10">
        <f>IF($E85=Keys!$C$60,Keys!$C$51,INDEX(Balanced_2025!$D$9:$D$3032,MATCH($A85&amp;Keys!$C$54&amp;Keys!$C$55&amp;Keys!$C$54&amp;$C85,Balanced_2025!$E$9:$E$3032,0)))</f>
        <v>15004700000000</v>
      </c>
      <c r="H85" s="10">
        <f>IF($E85=Keys!$C$60,Keys!$C$51,INDEX(Balanced_2025!$D$9:$D$3032,MATCH($A85&amp;Keys!$C$54&amp;Keys!$C$56&amp;Keys!$C$54&amp;$C85,Balanced_2025!$E$9:$E$3032,0)))</f>
        <v>48516000000000</v>
      </c>
      <c r="I85" s="10">
        <f>IF($E85=Keys!$C$60,Keys!$C$51,INDEX(Balanced_2025!$D$9:$D$3032,MATCH($A85&amp;Keys!$C$54&amp;Keys!$C$57&amp;Keys!$C$54&amp;$C85,Balanced_2025!$E$9:$E$3032,0)))</f>
        <v>0</v>
      </c>
      <c r="J85" s="10">
        <f t="shared" si="4"/>
        <v>63520700000000</v>
      </c>
      <c r="K85" s="10">
        <f>MAX(Keys!$C$51,$I85-$H85)</f>
        <v>0</v>
      </c>
      <c r="L85" s="10">
        <f t="shared" si="5"/>
        <v>63520700000000</v>
      </c>
      <c r="M85" s="11">
        <f>IF($L85&gt;Keys!$C$51,MIN(Keys!$C$52,$K85/$L85),Keys!$C$51)</f>
        <v>0</v>
      </c>
      <c r="N85" s="11">
        <f>IF($E85=Keys!$C$60,Keys!$C$51,IF($E85=Keys!$C$59,$D85,$M85))</f>
        <v>0</v>
      </c>
      <c r="O85">
        <f t="shared" si="6"/>
        <v>1</v>
      </c>
      <c r="P85" s="10">
        <f>IF($E85=Keys!$C$60,Keys!$C$51,INDEX(Raw_BFPIaE!$G$9:$G$3032,MATCH($A85&amp;Keys!$C$54&amp;Keys!$C$55&amp;Keys!$C$54&amp;$B85,Raw_BFPIaE!$H$9:$H$3032,0)))</f>
        <v>15110900000000</v>
      </c>
      <c r="Q85" s="10">
        <f>IF($E85=Keys!$C$60,Keys!$C$51,INDEX(Raw_BFPIaE!$G$9:$G$3032,MATCH($A85&amp;Keys!$C$54&amp;Keys!$C$56&amp;Keys!$C$54&amp;$B85,Raw_BFPIaE!$H$9:$H$3032,0)))</f>
        <v>32060766666666.668</v>
      </c>
      <c r="R85" s="10">
        <f>IF($E85=Keys!$C$60,Keys!$C$51,INDEX(Raw_BFPIaE!$G$9:$G$3032,MATCH($A85&amp;Keys!$C$54&amp;Keys!$C$57&amp;Keys!$C$54&amp;$B85,Raw_BFPIaE!$H$9:$H$3032,0)))</f>
        <v>0</v>
      </c>
      <c r="S85" s="11">
        <f>IF(($P85+$Q85-$R85+MAX(Keys!$C$51,$R85-$Q85))&gt;Keys!$C$51,MIN(Keys!$C$52,MAX(Keys!$C$51,$R85-$Q85)/($P85+$Q85-$R85+MAX(Keys!$C$51,$R85-$Q85))),Keys!$C$51)</f>
        <v>0</v>
      </c>
      <c r="T85">
        <f>IF(AND($I85&gt;$H85,ABS($L85-$G85)&gt;MAX(Keys!$C$62,ABS($G85)*Keys!$C$63)),1,0)</f>
        <v>0</v>
      </c>
      <c r="U85">
        <f>IF(OR($N85&lt;Keys!$C$51,$N85&gt;Keys!$C$52),1,0)</f>
        <v>0</v>
      </c>
      <c r="V85">
        <f>IF(AND($E85=Keys!$C$60,$N85&lt;&gt;Keys!$C$51),1,0)</f>
        <v>0</v>
      </c>
      <c r="W85">
        <f>IF($L85&gt;Keys!$C$51,IF($K85/$L85&gt;Keys!$C$52,1,0),0)</f>
        <v>0</v>
      </c>
      <c r="X85" s="11">
        <f t="shared" si="7"/>
        <v>0</v>
      </c>
    </row>
    <row r="86" spans="1:24" x14ac:dyDescent="0.25">
      <c r="A86" t="s">
        <v>70</v>
      </c>
      <c r="B86" t="s">
        <v>120</v>
      </c>
      <c r="C86">
        <f>VLOOKUP($B86,Keys!$F$2:$I$22,2,FALSE)</f>
        <v>0</v>
      </c>
      <c r="D86">
        <f>VLOOKUP($B86,Keys!$F$2:$I$22,3,FALSE)</f>
        <v>0</v>
      </c>
      <c r="E86" t="str">
        <f>VLOOKUP($B86,Keys!$F$2:$I$22,4,FALSE)</f>
        <v>zero</v>
      </c>
      <c r="F86" t="str">
        <f>$A86&amp;Keys!$C$54&amp;$B86</f>
        <v>CA|municipal solid waste</v>
      </c>
      <c r="G86" s="10">
        <f>IF($E86=Keys!$C$60,Keys!$C$51,INDEX(Balanced_2025!$D$9:$D$3032,MATCH($A86&amp;Keys!$C$54&amp;Keys!$C$55&amp;Keys!$C$54&amp;$C86,Balanced_2025!$E$9:$E$3032,0)))</f>
        <v>0</v>
      </c>
      <c r="H86" s="10">
        <f>IF($E86=Keys!$C$60,Keys!$C$51,INDEX(Balanced_2025!$D$9:$D$3032,MATCH($A86&amp;Keys!$C$54&amp;Keys!$C$56&amp;Keys!$C$54&amp;$C86,Balanced_2025!$E$9:$E$3032,0)))</f>
        <v>0</v>
      </c>
      <c r="I86" s="10">
        <f>IF($E86=Keys!$C$60,Keys!$C$51,INDEX(Balanced_2025!$D$9:$D$3032,MATCH($A86&amp;Keys!$C$54&amp;Keys!$C$57&amp;Keys!$C$54&amp;$C86,Balanced_2025!$E$9:$E$3032,0)))</f>
        <v>0</v>
      </c>
      <c r="J86" s="10">
        <f t="shared" si="4"/>
        <v>0</v>
      </c>
      <c r="K86" s="10">
        <f>MAX(Keys!$C$51,$I86-$H86)</f>
        <v>0</v>
      </c>
      <c r="L86" s="10">
        <f t="shared" si="5"/>
        <v>0</v>
      </c>
      <c r="M86" s="11">
        <f>IF($L86&gt;Keys!$C$51,MIN(Keys!$C$52,$K86/$L86),Keys!$C$51)</f>
        <v>0</v>
      </c>
      <c r="N86" s="11">
        <f>IF($E86=Keys!$C$60,Keys!$C$51,IF($E86=Keys!$C$59,$D86,$M86))</f>
        <v>0</v>
      </c>
      <c r="O86">
        <f t="shared" si="6"/>
        <v>0</v>
      </c>
      <c r="P86" s="10">
        <f>IF($E86=Keys!$C$60,Keys!$C$51,INDEX(Raw_BFPIaE!$G$9:$G$3032,MATCH($A86&amp;Keys!$C$54&amp;Keys!$C$55&amp;Keys!$C$54&amp;$B86,Raw_BFPIaE!$H$9:$H$3032,0)))</f>
        <v>0</v>
      </c>
      <c r="Q86" s="10">
        <f>IF($E86=Keys!$C$60,Keys!$C$51,INDEX(Raw_BFPIaE!$G$9:$G$3032,MATCH($A86&amp;Keys!$C$54&amp;Keys!$C$56&amp;Keys!$C$54&amp;$B86,Raw_BFPIaE!$H$9:$H$3032,0)))</f>
        <v>0</v>
      </c>
      <c r="R86" s="10">
        <f>IF($E86=Keys!$C$60,Keys!$C$51,INDEX(Raw_BFPIaE!$G$9:$G$3032,MATCH($A86&amp;Keys!$C$54&amp;Keys!$C$57&amp;Keys!$C$54&amp;$B86,Raw_BFPIaE!$H$9:$H$3032,0)))</f>
        <v>0</v>
      </c>
      <c r="S86" s="11">
        <f>IF(($P86+$Q86-$R86+MAX(Keys!$C$51,$R86-$Q86))&gt;Keys!$C$51,MIN(Keys!$C$52,MAX(Keys!$C$51,$R86-$Q86)/($P86+$Q86-$R86+MAX(Keys!$C$51,$R86-$Q86))),Keys!$C$51)</f>
        <v>0</v>
      </c>
      <c r="T86">
        <f>IF(AND($I86&gt;$H86,ABS($L86-$G86)&gt;MAX(Keys!$C$62,ABS($G86)*Keys!$C$63)),1,0)</f>
        <v>0</v>
      </c>
      <c r="U86">
        <f>IF(OR($N86&lt;Keys!$C$51,$N86&gt;Keys!$C$52),1,0)</f>
        <v>0</v>
      </c>
      <c r="V86">
        <f>IF(AND($E86=Keys!$C$60,$N86&lt;&gt;Keys!$C$51),1,0)</f>
        <v>0</v>
      </c>
      <c r="W86">
        <f>IF($L86&gt;Keys!$C$51,IF($K86/$L86&gt;Keys!$C$52,1,0),0)</f>
        <v>0</v>
      </c>
      <c r="X86" s="11">
        <f t="shared" si="7"/>
        <v>0</v>
      </c>
    </row>
    <row r="87" spans="1:24" x14ac:dyDescent="0.25">
      <c r="A87" t="s">
        <v>70</v>
      </c>
      <c r="B87" t="s">
        <v>123</v>
      </c>
      <c r="C87">
        <f>VLOOKUP($B87,Keys!$F$2:$I$22,2,FALSE)</f>
        <v>0</v>
      </c>
      <c r="D87">
        <f>VLOOKUP($B87,Keys!$F$2:$I$22,3,FALSE)</f>
        <v>0</v>
      </c>
      <c r="E87" t="str">
        <f>VLOOKUP($B87,Keys!$F$2:$I$22,4,FALSE)</f>
        <v>zero</v>
      </c>
      <c r="F87" t="str">
        <f>$A87&amp;Keys!$C$54&amp;$B87</f>
        <v>CA|hydrogen</v>
      </c>
      <c r="G87" s="10">
        <f>IF($E87=Keys!$C$60,Keys!$C$51,INDEX(Balanced_2025!$D$9:$D$3032,MATCH($A87&amp;Keys!$C$54&amp;Keys!$C$55&amp;Keys!$C$54&amp;$C87,Balanced_2025!$E$9:$E$3032,0)))</f>
        <v>0</v>
      </c>
      <c r="H87" s="10">
        <f>IF($E87=Keys!$C$60,Keys!$C$51,INDEX(Balanced_2025!$D$9:$D$3032,MATCH($A87&amp;Keys!$C$54&amp;Keys!$C$56&amp;Keys!$C$54&amp;$C87,Balanced_2025!$E$9:$E$3032,0)))</f>
        <v>0</v>
      </c>
      <c r="I87" s="10">
        <f>IF($E87=Keys!$C$60,Keys!$C$51,INDEX(Balanced_2025!$D$9:$D$3032,MATCH($A87&amp;Keys!$C$54&amp;Keys!$C$57&amp;Keys!$C$54&amp;$C87,Balanced_2025!$E$9:$E$3032,0)))</f>
        <v>0</v>
      </c>
      <c r="J87" s="10">
        <f t="shared" si="4"/>
        <v>0</v>
      </c>
      <c r="K87" s="10">
        <f>MAX(Keys!$C$51,$I87-$H87)</f>
        <v>0</v>
      </c>
      <c r="L87" s="10">
        <f t="shared" si="5"/>
        <v>0</v>
      </c>
      <c r="M87" s="11">
        <f>IF($L87&gt;Keys!$C$51,MIN(Keys!$C$52,$K87/$L87),Keys!$C$51)</f>
        <v>0</v>
      </c>
      <c r="N87" s="11">
        <f>IF($E87=Keys!$C$60,Keys!$C$51,IF($E87=Keys!$C$59,$D87,$M87))</f>
        <v>0</v>
      </c>
      <c r="O87">
        <f t="shared" si="6"/>
        <v>0</v>
      </c>
      <c r="P87" s="10">
        <f>IF($E87=Keys!$C$60,Keys!$C$51,INDEX(Raw_BFPIaE!$G$9:$G$3032,MATCH($A87&amp;Keys!$C$54&amp;Keys!$C$55&amp;Keys!$C$54&amp;$B87,Raw_BFPIaE!$H$9:$H$3032,0)))</f>
        <v>0</v>
      </c>
      <c r="Q87" s="10">
        <f>IF($E87=Keys!$C$60,Keys!$C$51,INDEX(Raw_BFPIaE!$G$9:$G$3032,MATCH($A87&amp;Keys!$C$54&amp;Keys!$C$56&amp;Keys!$C$54&amp;$B87,Raw_BFPIaE!$H$9:$H$3032,0)))</f>
        <v>0</v>
      </c>
      <c r="R87" s="10">
        <f>IF($E87=Keys!$C$60,Keys!$C$51,INDEX(Raw_BFPIaE!$G$9:$G$3032,MATCH($A87&amp;Keys!$C$54&amp;Keys!$C$57&amp;Keys!$C$54&amp;$B87,Raw_BFPIaE!$H$9:$H$3032,0)))</f>
        <v>0</v>
      </c>
      <c r="S87" s="11">
        <f>IF(($P87+$Q87-$R87+MAX(Keys!$C$51,$R87-$Q87))&gt;Keys!$C$51,MIN(Keys!$C$52,MAX(Keys!$C$51,$R87-$Q87)/($P87+$Q87-$R87+MAX(Keys!$C$51,$R87-$Q87))),Keys!$C$51)</f>
        <v>0</v>
      </c>
      <c r="T87">
        <f>IF(AND($I87&gt;$H87,ABS($L87-$G87)&gt;MAX(Keys!$C$62,ABS($G87)*Keys!$C$63)),1,0)</f>
        <v>0</v>
      </c>
      <c r="U87">
        <f>IF(OR($N87&lt;Keys!$C$51,$N87&gt;Keys!$C$52),1,0)</f>
        <v>0</v>
      </c>
      <c r="V87">
        <f>IF(AND($E87=Keys!$C$60,$N87&lt;&gt;Keys!$C$51),1,0)</f>
        <v>0</v>
      </c>
      <c r="W87">
        <f>IF($L87&gt;Keys!$C$51,IF($K87/$L87&gt;Keys!$C$52,1,0),0)</f>
        <v>0</v>
      </c>
      <c r="X87" s="11">
        <f t="shared" si="7"/>
        <v>0</v>
      </c>
    </row>
    <row r="88" spans="1:24" x14ac:dyDescent="0.25">
      <c r="A88" t="s">
        <v>73</v>
      </c>
      <c r="B88" t="s">
        <v>60</v>
      </c>
      <c r="C88">
        <f>VLOOKUP($B88,Keys!$F$2:$I$22,2,FALSE)</f>
        <v>0</v>
      </c>
      <c r="D88">
        <f>VLOOKUP($B88,Keys!$F$2:$I$22,3,FALSE)</f>
        <v>0</v>
      </c>
      <c r="E88" t="str">
        <f>VLOOKUP($B88,Keys!$F$2:$I$22,4,FALSE)</f>
        <v>zero</v>
      </c>
      <c r="F88" t="str">
        <f>$A88&amp;Keys!$C$54&amp;$B88</f>
        <v>CO|electricity (not used in this variable)</v>
      </c>
      <c r="G88" s="10">
        <f>IF($E88=Keys!$C$60,Keys!$C$51,INDEX(Balanced_2025!$D$9:$D$3032,MATCH($A88&amp;Keys!$C$54&amp;Keys!$C$55&amp;Keys!$C$54&amp;$C88,Balanced_2025!$E$9:$E$3032,0)))</f>
        <v>0</v>
      </c>
      <c r="H88" s="10">
        <f>IF($E88=Keys!$C$60,Keys!$C$51,INDEX(Balanced_2025!$D$9:$D$3032,MATCH($A88&amp;Keys!$C$54&amp;Keys!$C$56&amp;Keys!$C$54&amp;$C88,Balanced_2025!$E$9:$E$3032,0)))</f>
        <v>0</v>
      </c>
      <c r="I88" s="10">
        <f>IF($E88=Keys!$C$60,Keys!$C$51,INDEX(Balanced_2025!$D$9:$D$3032,MATCH($A88&amp;Keys!$C$54&amp;Keys!$C$57&amp;Keys!$C$54&amp;$C88,Balanced_2025!$E$9:$E$3032,0)))</f>
        <v>0</v>
      </c>
      <c r="J88" s="10">
        <f t="shared" si="4"/>
        <v>0</v>
      </c>
      <c r="K88" s="10">
        <f>MAX(Keys!$C$51,$I88-$H88)</f>
        <v>0</v>
      </c>
      <c r="L88" s="10">
        <f t="shared" si="5"/>
        <v>0</v>
      </c>
      <c r="M88" s="11">
        <f>IF($L88&gt;Keys!$C$51,MIN(Keys!$C$52,$K88/$L88),Keys!$C$51)</f>
        <v>0</v>
      </c>
      <c r="N88" s="11">
        <f>IF($E88=Keys!$C$60,Keys!$C$51,IF($E88=Keys!$C$59,$D88,$M88))</f>
        <v>0</v>
      </c>
      <c r="O88">
        <f t="shared" si="6"/>
        <v>0</v>
      </c>
      <c r="P88" s="10">
        <f>IF($E88=Keys!$C$60,Keys!$C$51,INDEX(Raw_BFPIaE!$G$9:$G$3032,MATCH($A88&amp;Keys!$C$54&amp;Keys!$C$55&amp;Keys!$C$54&amp;$B88,Raw_BFPIaE!$H$9:$H$3032,0)))</f>
        <v>0</v>
      </c>
      <c r="Q88" s="10">
        <f>IF($E88=Keys!$C$60,Keys!$C$51,INDEX(Raw_BFPIaE!$G$9:$G$3032,MATCH($A88&amp;Keys!$C$54&amp;Keys!$C$56&amp;Keys!$C$54&amp;$B88,Raw_BFPIaE!$H$9:$H$3032,0)))</f>
        <v>0</v>
      </c>
      <c r="R88" s="10">
        <f>IF($E88=Keys!$C$60,Keys!$C$51,INDEX(Raw_BFPIaE!$G$9:$G$3032,MATCH($A88&amp;Keys!$C$54&amp;Keys!$C$57&amp;Keys!$C$54&amp;$B88,Raw_BFPIaE!$H$9:$H$3032,0)))</f>
        <v>0</v>
      </c>
      <c r="S88" s="11">
        <f>IF(($P88+$Q88-$R88+MAX(Keys!$C$51,$R88-$Q88))&gt;Keys!$C$51,MIN(Keys!$C$52,MAX(Keys!$C$51,$R88-$Q88)/($P88+$Q88-$R88+MAX(Keys!$C$51,$R88-$Q88))),Keys!$C$51)</f>
        <v>0</v>
      </c>
      <c r="T88">
        <f>IF(AND($I88&gt;$H88,ABS($L88-$G88)&gt;MAX(Keys!$C$62,ABS($G88)*Keys!$C$63)),1,0)</f>
        <v>0</v>
      </c>
      <c r="U88">
        <f>IF(OR($N88&lt;Keys!$C$51,$N88&gt;Keys!$C$52),1,0)</f>
        <v>0</v>
      </c>
      <c r="V88">
        <f>IF(AND($E88=Keys!$C$60,$N88&lt;&gt;Keys!$C$51),1,0)</f>
        <v>0</v>
      </c>
      <c r="W88">
        <f>IF($L88&gt;Keys!$C$51,IF($K88/$L88&gt;Keys!$C$52,1,0),0)</f>
        <v>0</v>
      </c>
      <c r="X88" s="11">
        <f t="shared" si="7"/>
        <v>0</v>
      </c>
    </row>
    <row r="89" spans="1:24" x14ac:dyDescent="0.25">
      <c r="A89" t="s">
        <v>73</v>
      </c>
      <c r="B89" t="s">
        <v>64</v>
      </c>
      <c r="C89" t="str">
        <f>VLOOKUP($B89,Keys!$F$2:$I$22,2,FALSE)</f>
        <v>hard coal</v>
      </c>
      <c r="D89">
        <f>VLOOKUP($B89,Keys!$F$2:$I$22,3,FALSE)</f>
        <v>0.137539879</v>
      </c>
      <c r="E89" t="str">
        <f>VLOOKUP($B89,Keys!$F$2:$I$22,4,FALSE)</f>
        <v>rule</v>
      </c>
      <c r="F89" t="str">
        <f>$A89&amp;Keys!$C$54&amp;$B89</f>
        <v>CO|hard coal</v>
      </c>
      <c r="G89" s="10">
        <f>IF($E89=Keys!$C$60,Keys!$C$51,INDEX(Balanced_2025!$D$9:$D$3032,MATCH($A89&amp;Keys!$C$54&amp;Keys!$C$55&amp;Keys!$C$54&amp;$C89,Balanced_2025!$E$9:$E$3032,0)))</f>
        <v>254022000000000</v>
      </c>
      <c r="H89" s="10">
        <f>IF($E89=Keys!$C$60,Keys!$C$51,INDEX(Balanced_2025!$D$9:$D$3032,MATCH($A89&amp;Keys!$C$54&amp;Keys!$C$56&amp;Keys!$C$54&amp;$C89,Balanced_2025!$E$9:$E$3032,0)))</f>
        <v>69682100000000</v>
      </c>
      <c r="I89" s="10">
        <f>IF($E89=Keys!$C$60,Keys!$C$51,INDEX(Balanced_2025!$D$9:$D$3032,MATCH($A89&amp;Keys!$C$54&amp;Keys!$C$57&amp;Keys!$C$54&amp;$C89,Balanced_2025!$E$9:$E$3032,0)))</f>
        <v>97185000000000</v>
      </c>
      <c r="J89" s="10">
        <f t="shared" si="4"/>
        <v>226519100000000</v>
      </c>
      <c r="K89" s="10">
        <f>MAX(Keys!$C$51,$I89-$H89)</f>
        <v>27502900000000</v>
      </c>
      <c r="L89" s="10">
        <f t="shared" si="5"/>
        <v>254022000000000</v>
      </c>
      <c r="M89" s="11">
        <f>IF($L89&gt;Keys!$C$51,MIN(Keys!$C$52,$K89/$L89),Keys!$C$51)</f>
        <v>0.10826975616285203</v>
      </c>
      <c r="N89" s="11">
        <f>IF($E89=Keys!$C$60,Keys!$C$51,IF($E89=Keys!$C$59,$D89,$M89))</f>
        <v>0.10826975616285203</v>
      </c>
      <c r="O89">
        <f t="shared" si="6"/>
        <v>1</v>
      </c>
      <c r="P89" s="10">
        <f>IF($E89=Keys!$C$60,Keys!$C$51,INDEX(Raw_BFPIaE!$G$9:$G$3032,MATCH($A89&amp;Keys!$C$54&amp;Keys!$C$55&amp;Keys!$C$54&amp;$B89,Raw_BFPIaE!$H$9:$H$3032,0)))</f>
        <v>248416666666666.66</v>
      </c>
      <c r="Q89" s="10">
        <f>IF($E89=Keys!$C$60,Keys!$C$51,INDEX(Raw_BFPIaE!$G$9:$G$3032,MATCH($A89&amp;Keys!$C$54&amp;Keys!$C$56&amp;Keys!$C$54&amp;$B89,Raw_BFPIaE!$H$9:$H$3032,0)))</f>
        <v>61370866666666.664</v>
      </c>
      <c r="R89" s="10">
        <f>IF($E89=Keys!$C$60,Keys!$C$51,INDEX(Raw_BFPIaE!$G$9:$G$3032,MATCH($A89&amp;Keys!$C$54&amp;Keys!$C$57&amp;Keys!$C$54&amp;$B89,Raw_BFPIaE!$H$9:$H$3032,0)))</f>
        <v>95040500000000</v>
      </c>
      <c r="S89" s="11">
        <f>IF(($P89+$Q89-$R89+MAX(Keys!$C$51,$R89-$Q89))&gt;Keys!$C$51,MIN(Keys!$C$52,MAX(Keys!$C$51,$R89-$Q89)/($P89+$Q89-$R89+MAX(Keys!$C$51,$R89-$Q89))),Keys!$C$51)</f>
        <v>0.13553693391479371</v>
      </c>
      <c r="T89">
        <f>IF(AND($I89&gt;$H89,ABS($L89-$G89)&gt;MAX(Keys!$C$62,ABS($G89)*Keys!$C$63)),1,0)</f>
        <v>0</v>
      </c>
      <c r="U89">
        <f>IF(OR($N89&lt;Keys!$C$51,$N89&gt;Keys!$C$52),1,0)</f>
        <v>0</v>
      </c>
      <c r="V89">
        <f>IF(AND($E89=Keys!$C$60,$N89&lt;&gt;Keys!$C$51),1,0)</f>
        <v>0</v>
      </c>
      <c r="W89">
        <f>IF($L89&gt;Keys!$C$51,IF($K89/$L89&gt;Keys!$C$52,1,0),0)</f>
        <v>0</v>
      </c>
      <c r="X89" s="11">
        <f t="shared" si="7"/>
        <v>2.7267177751941679E-2</v>
      </c>
    </row>
    <row r="90" spans="1:24" x14ac:dyDescent="0.25">
      <c r="A90" t="s">
        <v>73</v>
      </c>
      <c r="B90" t="s">
        <v>68</v>
      </c>
      <c r="C90" t="str">
        <f>VLOOKUP($B90,Keys!$F$2:$I$22,2,FALSE)</f>
        <v>natural gas</v>
      </c>
      <c r="D90">
        <f>VLOOKUP($B90,Keys!$F$2:$I$22,3,FALSE)</f>
        <v>0.190839183</v>
      </c>
      <c r="E90" t="str">
        <f>VLOOKUP($B90,Keys!$F$2:$I$22,4,FALSE)</f>
        <v>rule</v>
      </c>
      <c r="F90" t="str">
        <f>$A90&amp;Keys!$C$54&amp;$B90</f>
        <v>CO|natural gas</v>
      </c>
      <c r="G90" s="10">
        <f>IF($E90=Keys!$C$60,Keys!$C$51,INDEX(Balanced_2025!$D$9:$D$3032,MATCH($A90&amp;Keys!$C$54&amp;Keys!$C$55&amp;Keys!$C$54&amp;$C90,Balanced_2025!$E$9:$E$3032,0)))</f>
        <v>1693430000000000</v>
      </c>
      <c r="H90" s="10">
        <f>IF($E90=Keys!$C$60,Keys!$C$51,INDEX(Balanced_2025!$D$9:$D$3032,MATCH($A90&amp;Keys!$C$54&amp;Keys!$C$56&amp;Keys!$C$54&amp;$C90,Balanced_2025!$E$9:$E$3032,0)))</f>
        <v>757684000000000</v>
      </c>
      <c r="I90" s="10">
        <f>IF($E90=Keys!$C$60,Keys!$C$51,INDEX(Balanced_2025!$D$9:$D$3032,MATCH($A90&amp;Keys!$C$54&amp;Keys!$C$57&amp;Keys!$C$54&amp;$C90,Balanced_2025!$E$9:$E$3032,0)))</f>
        <v>1960690000000000</v>
      </c>
      <c r="J90" s="10">
        <f t="shared" si="4"/>
        <v>490424000000000</v>
      </c>
      <c r="K90" s="10">
        <f>MAX(Keys!$C$51,$I90-$H90)</f>
        <v>1203006000000000</v>
      </c>
      <c r="L90" s="10">
        <f t="shared" si="5"/>
        <v>1693430000000000</v>
      </c>
      <c r="M90" s="11">
        <f>IF($L90&gt;Keys!$C$51,MIN(Keys!$C$52,$K90/$L90),Keys!$C$51)</f>
        <v>0.71039606006743705</v>
      </c>
      <c r="N90" s="11">
        <f>IF($E90=Keys!$C$60,Keys!$C$51,IF($E90=Keys!$C$59,$D90,$M90))</f>
        <v>0.71039606006743705</v>
      </c>
      <c r="O90">
        <f t="shared" si="6"/>
        <v>1</v>
      </c>
      <c r="P90" s="10">
        <f>IF($E90=Keys!$C$60,Keys!$C$51,INDEX(Raw_BFPIaE!$G$9:$G$3032,MATCH($A90&amp;Keys!$C$54&amp;Keys!$C$55&amp;Keys!$C$54&amp;$B90,Raw_BFPIaE!$H$9:$H$3032,0)))</f>
        <v>1694970000000000</v>
      </c>
      <c r="Q90" s="10">
        <f>IF($E90=Keys!$C$60,Keys!$C$51,INDEX(Raw_BFPIaE!$G$9:$G$3032,MATCH($A90&amp;Keys!$C$54&amp;Keys!$C$56&amp;Keys!$C$54&amp;$B90,Raw_BFPIaE!$H$9:$H$3032,0)))</f>
        <v>757302333333333.38</v>
      </c>
      <c r="R90" s="10">
        <f>IF($E90=Keys!$C$60,Keys!$C$51,INDEX(Raw_BFPIaE!$G$9:$G$3032,MATCH($A90&amp;Keys!$C$54&amp;Keys!$C$57&amp;Keys!$C$54&amp;$B90,Raw_BFPIaE!$H$9:$H$3032,0)))</f>
        <v>1962473333333333.3</v>
      </c>
      <c r="S90" s="11">
        <f>IF(($P90+$Q90-$R90+MAX(Keys!$C$51,$R90-$Q90))&gt;Keys!$C$51,MIN(Keys!$C$52,MAX(Keys!$C$51,$R90-$Q90)/($P90+$Q90-$R90+MAX(Keys!$C$51,$R90-$Q90))),Keys!$C$51)</f>
        <v>0.71102792379806123</v>
      </c>
      <c r="T90">
        <f>IF(AND($I90&gt;$H90,ABS($L90-$G90)&gt;MAX(Keys!$C$62,ABS($G90)*Keys!$C$63)),1,0)</f>
        <v>0</v>
      </c>
      <c r="U90">
        <f>IF(OR($N90&lt;Keys!$C$51,$N90&gt;Keys!$C$52),1,0)</f>
        <v>0</v>
      </c>
      <c r="V90">
        <f>IF(AND($E90=Keys!$C$60,$N90&lt;&gt;Keys!$C$51),1,0)</f>
        <v>0</v>
      </c>
      <c r="W90">
        <f>IF($L90&gt;Keys!$C$51,IF($K90/$L90&gt;Keys!$C$52,1,0),0)</f>
        <v>0</v>
      </c>
      <c r="X90" s="11">
        <f t="shared" si="7"/>
        <v>6.3186373062418255E-4</v>
      </c>
    </row>
    <row r="91" spans="1:24" x14ac:dyDescent="0.25">
      <c r="A91" t="s">
        <v>73</v>
      </c>
      <c r="B91" t="s">
        <v>71</v>
      </c>
      <c r="C91">
        <f>VLOOKUP($B91,Keys!$F$2:$I$22,2,FALSE)</f>
        <v>0</v>
      </c>
      <c r="D91">
        <f>VLOOKUP($B91,Keys!$F$2:$I$22,3,FALSE)</f>
        <v>0</v>
      </c>
      <c r="E91" t="str">
        <f>VLOOKUP($B91,Keys!$F$2:$I$22,4,FALSE)</f>
        <v>zero</v>
      </c>
      <c r="F91" t="str">
        <f>$A91&amp;Keys!$C$54&amp;$B91</f>
        <v>CO|nuclear</v>
      </c>
      <c r="G91" s="10">
        <f>IF($E91=Keys!$C$60,Keys!$C$51,INDEX(Balanced_2025!$D$9:$D$3032,MATCH($A91&amp;Keys!$C$54&amp;Keys!$C$55&amp;Keys!$C$54&amp;$C91,Balanced_2025!$E$9:$E$3032,0)))</f>
        <v>0</v>
      </c>
      <c r="H91" s="10">
        <f>IF($E91=Keys!$C$60,Keys!$C$51,INDEX(Balanced_2025!$D$9:$D$3032,MATCH($A91&amp;Keys!$C$54&amp;Keys!$C$56&amp;Keys!$C$54&amp;$C91,Balanced_2025!$E$9:$E$3032,0)))</f>
        <v>0</v>
      </c>
      <c r="I91" s="10">
        <f>IF($E91=Keys!$C$60,Keys!$C$51,INDEX(Balanced_2025!$D$9:$D$3032,MATCH($A91&amp;Keys!$C$54&amp;Keys!$C$57&amp;Keys!$C$54&amp;$C91,Balanced_2025!$E$9:$E$3032,0)))</f>
        <v>0</v>
      </c>
      <c r="J91" s="10">
        <f t="shared" si="4"/>
        <v>0</v>
      </c>
      <c r="K91" s="10">
        <f>MAX(Keys!$C$51,$I91-$H91)</f>
        <v>0</v>
      </c>
      <c r="L91" s="10">
        <f t="shared" si="5"/>
        <v>0</v>
      </c>
      <c r="M91" s="11">
        <f>IF($L91&gt;Keys!$C$51,MIN(Keys!$C$52,$K91/$L91),Keys!$C$51)</f>
        <v>0</v>
      </c>
      <c r="N91" s="11">
        <f>IF($E91=Keys!$C$60,Keys!$C$51,IF($E91=Keys!$C$59,$D91,$M91))</f>
        <v>0</v>
      </c>
      <c r="O91">
        <f t="shared" si="6"/>
        <v>0</v>
      </c>
      <c r="P91" s="10">
        <f>IF($E91=Keys!$C$60,Keys!$C$51,INDEX(Raw_BFPIaE!$G$9:$G$3032,MATCH($A91&amp;Keys!$C$54&amp;Keys!$C$55&amp;Keys!$C$54&amp;$B91,Raw_BFPIaE!$H$9:$H$3032,0)))</f>
        <v>0</v>
      </c>
      <c r="Q91" s="10">
        <f>IF($E91=Keys!$C$60,Keys!$C$51,INDEX(Raw_BFPIaE!$G$9:$G$3032,MATCH($A91&amp;Keys!$C$54&amp;Keys!$C$56&amp;Keys!$C$54&amp;$B91,Raw_BFPIaE!$H$9:$H$3032,0)))</f>
        <v>0</v>
      </c>
      <c r="R91" s="10">
        <f>IF($E91=Keys!$C$60,Keys!$C$51,INDEX(Raw_BFPIaE!$G$9:$G$3032,MATCH($A91&amp;Keys!$C$54&amp;Keys!$C$57&amp;Keys!$C$54&amp;$B91,Raw_BFPIaE!$H$9:$H$3032,0)))</f>
        <v>0</v>
      </c>
      <c r="S91" s="11">
        <f>IF(($P91+$Q91-$R91+MAX(Keys!$C$51,$R91-$Q91))&gt;Keys!$C$51,MIN(Keys!$C$52,MAX(Keys!$C$51,$R91-$Q91)/($P91+$Q91-$R91+MAX(Keys!$C$51,$R91-$Q91))),Keys!$C$51)</f>
        <v>0</v>
      </c>
      <c r="T91">
        <f>IF(AND($I91&gt;$H91,ABS($L91-$G91)&gt;MAX(Keys!$C$62,ABS($G91)*Keys!$C$63)),1,0)</f>
        <v>0</v>
      </c>
      <c r="U91">
        <f>IF(OR($N91&lt;Keys!$C$51,$N91&gt;Keys!$C$52),1,0)</f>
        <v>0</v>
      </c>
      <c r="V91">
        <f>IF(AND($E91=Keys!$C$60,$N91&lt;&gt;Keys!$C$51),1,0)</f>
        <v>0</v>
      </c>
      <c r="W91">
        <f>IF($L91&gt;Keys!$C$51,IF($K91/$L91&gt;Keys!$C$52,1,0),0)</f>
        <v>0</v>
      </c>
      <c r="X91" s="11">
        <f t="shared" si="7"/>
        <v>0</v>
      </c>
    </row>
    <row r="92" spans="1:24" x14ac:dyDescent="0.25">
      <c r="A92" t="s">
        <v>73</v>
      </c>
      <c r="B92" t="s">
        <v>74</v>
      </c>
      <c r="C92">
        <f>VLOOKUP($B92,Keys!$F$2:$I$22,2,FALSE)</f>
        <v>0</v>
      </c>
      <c r="D92">
        <f>VLOOKUP($B92,Keys!$F$2:$I$22,3,FALSE)</f>
        <v>0</v>
      </c>
      <c r="E92" t="str">
        <f>VLOOKUP($B92,Keys!$F$2:$I$22,4,FALSE)</f>
        <v>zero</v>
      </c>
      <c r="F92" t="str">
        <f>$A92&amp;Keys!$C$54&amp;$B92</f>
        <v>CO|hydro (is not a fuel)</v>
      </c>
      <c r="G92" s="10">
        <f>IF($E92=Keys!$C$60,Keys!$C$51,INDEX(Balanced_2025!$D$9:$D$3032,MATCH($A92&amp;Keys!$C$54&amp;Keys!$C$55&amp;Keys!$C$54&amp;$C92,Balanced_2025!$E$9:$E$3032,0)))</f>
        <v>0</v>
      </c>
      <c r="H92" s="10">
        <f>IF($E92=Keys!$C$60,Keys!$C$51,INDEX(Balanced_2025!$D$9:$D$3032,MATCH($A92&amp;Keys!$C$54&amp;Keys!$C$56&amp;Keys!$C$54&amp;$C92,Balanced_2025!$E$9:$E$3032,0)))</f>
        <v>0</v>
      </c>
      <c r="I92" s="10">
        <f>IF($E92=Keys!$C$60,Keys!$C$51,INDEX(Balanced_2025!$D$9:$D$3032,MATCH($A92&amp;Keys!$C$54&amp;Keys!$C$57&amp;Keys!$C$54&amp;$C92,Balanced_2025!$E$9:$E$3032,0)))</f>
        <v>0</v>
      </c>
      <c r="J92" s="10">
        <f t="shared" si="4"/>
        <v>0</v>
      </c>
      <c r="K92" s="10">
        <f>MAX(Keys!$C$51,$I92-$H92)</f>
        <v>0</v>
      </c>
      <c r="L92" s="10">
        <f t="shared" si="5"/>
        <v>0</v>
      </c>
      <c r="M92" s="11">
        <f>IF($L92&gt;Keys!$C$51,MIN(Keys!$C$52,$K92/$L92),Keys!$C$51)</f>
        <v>0</v>
      </c>
      <c r="N92" s="11">
        <f>IF($E92=Keys!$C$60,Keys!$C$51,IF($E92=Keys!$C$59,$D92,$M92))</f>
        <v>0</v>
      </c>
      <c r="O92">
        <f t="shared" si="6"/>
        <v>0</v>
      </c>
      <c r="P92" s="10">
        <f>IF($E92=Keys!$C$60,Keys!$C$51,INDEX(Raw_BFPIaE!$G$9:$G$3032,MATCH($A92&amp;Keys!$C$54&amp;Keys!$C$55&amp;Keys!$C$54&amp;$B92,Raw_BFPIaE!$H$9:$H$3032,0)))</f>
        <v>0</v>
      </c>
      <c r="Q92" s="10">
        <f>IF($E92=Keys!$C$60,Keys!$C$51,INDEX(Raw_BFPIaE!$G$9:$G$3032,MATCH($A92&amp;Keys!$C$54&amp;Keys!$C$56&amp;Keys!$C$54&amp;$B92,Raw_BFPIaE!$H$9:$H$3032,0)))</f>
        <v>0</v>
      </c>
      <c r="R92" s="10">
        <f>IF($E92=Keys!$C$60,Keys!$C$51,INDEX(Raw_BFPIaE!$G$9:$G$3032,MATCH($A92&amp;Keys!$C$54&amp;Keys!$C$57&amp;Keys!$C$54&amp;$B92,Raw_BFPIaE!$H$9:$H$3032,0)))</f>
        <v>0</v>
      </c>
      <c r="S92" s="11">
        <f>IF(($P92+$Q92-$R92+MAX(Keys!$C$51,$R92-$Q92))&gt;Keys!$C$51,MIN(Keys!$C$52,MAX(Keys!$C$51,$R92-$Q92)/($P92+$Q92-$R92+MAX(Keys!$C$51,$R92-$Q92))),Keys!$C$51)</f>
        <v>0</v>
      </c>
      <c r="T92">
        <f>IF(AND($I92&gt;$H92,ABS($L92-$G92)&gt;MAX(Keys!$C$62,ABS($G92)*Keys!$C$63)),1,0)</f>
        <v>0</v>
      </c>
      <c r="U92">
        <f>IF(OR($N92&lt;Keys!$C$51,$N92&gt;Keys!$C$52),1,0)</f>
        <v>0</v>
      </c>
      <c r="V92">
        <f>IF(AND($E92=Keys!$C$60,$N92&lt;&gt;Keys!$C$51),1,0)</f>
        <v>0</v>
      </c>
      <c r="W92">
        <f>IF($L92&gt;Keys!$C$51,IF($K92/$L92&gt;Keys!$C$52,1,0),0)</f>
        <v>0</v>
      </c>
      <c r="X92" s="11">
        <f t="shared" si="7"/>
        <v>0</v>
      </c>
    </row>
    <row r="93" spans="1:24" x14ac:dyDescent="0.25">
      <c r="A93" t="s">
        <v>73</v>
      </c>
      <c r="B93" t="s">
        <v>77</v>
      </c>
      <c r="C93">
        <f>VLOOKUP($B93,Keys!$F$2:$I$22,2,FALSE)</f>
        <v>0</v>
      </c>
      <c r="D93">
        <f>VLOOKUP($B93,Keys!$F$2:$I$22,3,FALSE)</f>
        <v>0</v>
      </c>
      <c r="E93" t="str">
        <f>VLOOKUP($B93,Keys!$F$2:$I$22,4,FALSE)</f>
        <v>zero</v>
      </c>
      <c r="F93" t="str">
        <f>$A93&amp;Keys!$C$54&amp;$B93</f>
        <v>CO|wind (is not a fuel)</v>
      </c>
      <c r="G93" s="10">
        <f>IF($E93=Keys!$C$60,Keys!$C$51,INDEX(Balanced_2025!$D$9:$D$3032,MATCH($A93&amp;Keys!$C$54&amp;Keys!$C$55&amp;Keys!$C$54&amp;$C93,Balanced_2025!$E$9:$E$3032,0)))</f>
        <v>0</v>
      </c>
      <c r="H93" s="10">
        <f>IF($E93=Keys!$C$60,Keys!$C$51,INDEX(Balanced_2025!$D$9:$D$3032,MATCH($A93&amp;Keys!$C$54&amp;Keys!$C$56&amp;Keys!$C$54&amp;$C93,Balanced_2025!$E$9:$E$3032,0)))</f>
        <v>0</v>
      </c>
      <c r="I93" s="10">
        <f>IF($E93=Keys!$C$60,Keys!$C$51,INDEX(Balanced_2025!$D$9:$D$3032,MATCH($A93&amp;Keys!$C$54&amp;Keys!$C$57&amp;Keys!$C$54&amp;$C93,Balanced_2025!$E$9:$E$3032,0)))</f>
        <v>0</v>
      </c>
      <c r="J93" s="10">
        <f t="shared" si="4"/>
        <v>0</v>
      </c>
      <c r="K93" s="10">
        <f>MAX(Keys!$C$51,$I93-$H93)</f>
        <v>0</v>
      </c>
      <c r="L93" s="10">
        <f t="shared" si="5"/>
        <v>0</v>
      </c>
      <c r="M93" s="11">
        <f>IF($L93&gt;Keys!$C$51,MIN(Keys!$C$52,$K93/$L93),Keys!$C$51)</f>
        <v>0</v>
      </c>
      <c r="N93" s="11">
        <f>IF($E93=Keys!$C$60,Keys!$C$51,IF($E93=Keys!$C$59,$D93,$M93))</f>
        <v>0</v>
      </c>
      <c r="O93">
        <f t="shared" si="6"/>
        <v>0</v>
      </c>
      <c r="P93" s="10">
        <f>IF($E93=Keys!$C$60,Keys!$C$51,INDEX(Raw_BFPIaE!$G$9:$G$3032,MATCH($A93&amp;Keys!$C$54&amp;Keys!$C$55&amp;Keys!$C$54&amp;$B93,Raw_BFPIaE!$H$9:$H$3032,0)))</f>
        <v>0</v>
      </c>
      <c r="Q93" s="10">
        <f>IF($E93=Keys!$C$60,Keys!$C$51,INDEX(Raw_BFPIaE!$G$9:$G$3032,MATCH($A93&amp;Keys!$C$54&amp;Keys!$C$56&amp;Keys!$C$54&amp;$B93,Raw_BFPIaE!$H$9:$H$3032,0)))</f>
        <v>0</v>
      </c>
      <c r="R93" s="10">
        <f>IF($E93=Keys!$C$60,Keys!$C$51,INDEX(Raw_BFPIaE!$G$9:$G$3032,MATCH($A93&amp;Keys!$C$54&amp;Keys!$C$57&amp;Keys!$C$54&amp;$B93,Raw_BFPIaE!$H$9:$H$3032,0)))</f>
        <v>0</v>
      </c>
      <c r="S93" s="11">
        <f>IF(($P93+$Q93-$R93+MAX(Keys!$C$51,$R93-$Q93))&gt;Keys!$C$51,MIN(Keys!$C$52,MAX(Keys!$C$51,$R93-$Q93)/($P93+$Q93-$R93+MAX(Keys!$C$51,$R93-$Q93))),Keys!$C$51)</f>
        <v>0</v>
      </c>
      <c r="T93">
        <f>IF(AND($I93&gt;$H93,ABS($L93-$G93)&gt;MAX(Keys!$C$62,ABS($G93)*Keys!$C$63)),1,0)</f>
        <v>0</v>
      </c>
      <c r="U93">
        <f>IF(OR($N93&lt;Keys!$C$51,$N93&gt;Keys!$C$52),1,0)</f>
        <v>0</v>
      </c>
      <c r="V93">
        <f>IF(AND($E93=Keys!$C$60,$N93&lt;&gt;Keys!$C$51),1,0)</f>
        <v>0</v>
      </c>
      <c r="W93">
        <f>IF($L93&gt;Keys!$C$51,IF($K93/$L93&gt;Keys!$C$52,1,0),0)</f>
        <v>0</v>
      </c>
      <c r="X93" s="11">
        <f t="shared" si="7"/>
        <v>0</v>
      </c>
    </row>
    <row r="94" spans="1:24" x14ac:dyDescent="0.25">
      <c r="A94" t="s">
        <v>73</v>
      </c>
      <c r="B94" t="s">
        <v>80</v>
      </c>
      <c r="C94">
        <f>VLOOKUP($B94,Keys!$F$2:$I$22,2,FALSE)</f>
        <v>0</v>
      </c>
      <c r="D94">
        <f>VLOOKUP($B94,Keys!$F$2:$I$22,3,FALSE)</f>
        <v>0</v>
      </c>
      <c r="E94" t="str">
        <f>VLOOKUP($B94,Keys!$F$2:$I$22,4,FALSE)</f>
        <v>zero</v>
      </c>
      <c r="F94" t="str">
        <f>$A94&amp;Keys!$C$54&amp;$B94</f>
        <v>CO|solar (is not a fuel)</v>
      </c>
      <c r="G94" s="10">
        <f>IF($E94=Keys!$C$60,Keys!$C$51,INDEX(Balanced_2025!$D$9:$D$3032,MATCH($A94&amp;Keys!$C$54&amp;Keys!$C$55&amp;Keys!$C$54&amp;$C94,Balanced_2025!$E$9:$E$3032,0)))</f>
        <v>0</v>
      </c>
      <c r="H94" s="10">
        <f>IF($E94=Keys!$C$60,Keys!$C$51,INDEX(Balanced_2025!$D$9:$D$3032,MATCH($A94&amp;Keys!$C$54&amp;Keys!$C$56&amp;Keys!$C$54&amp;$C94,Balanced_2025!$E$9:$E$3032,0)))</f>
        <v>0</v>
      </c>
      <c r="I94" s="10">
        <f>IF($E94=Keys!$C$60,Keys!$C$51,INDEX(Balanced_2025!$D$9:$D$3032,MATCH($A94&amp;Keys!$C$54&amp;Keys!$C$57&amp;Keys!$C$54&amp;$C94,Balanced_2025!$E$9:$E$3032,0)))</f>
        <v>0</v>
      </c>
      <c r="J94" s="10">
        <f t="shared" si="4"/>
        <v>0</v>
      </c>
      <c r="K94" s="10">
        <f>MAX(Keys!$C$51,$I94-$H94)</f>
        <v>0</v>
      </c>
      <c r="L94" s="10">
        <f t="shared" si="5"/>
        <v>0</v>
      </c>
      <c r="M94" s="11">
        <f>IF($L94&gt;Keys!$C$51,MIN(Keys!$C$52,$K94/$L94),Keys!$C$51)</f>
        <v>0</v>
      </c>
      <c r="N94" s="11">
        <f>IF($E94=Keys!$C$60,Keys!$C$51,IF($E94=Keys!$C$59,$D94,$M94))</f>
        <v>0</v>
      </c>
      <c r="O94">
        <f t="shared" si="6"/>
        <v>0</v>
      </c>
      <c r="P94" s="10">
        <f>IF($E94=Keys!$C$60,Keys!$C$51,INDEX(Raw_BFPIaE!$G$9:$G$3032,MATCH($A94&amp;Keys!$C$54&amp;Keys!$C$55&amp;Keys!$C$54&amp;$B94,Raw_BFPIaE!$H$9:$H$3032,0)))</f>
        <v>0</v>
      </c>
      <c r="Q94" s="10">
        <f>IF($E94=Keys!$C$60,Keys!$C$51,INDEX(Raw_BFPIaE!$G$9:$G$3032,MATCH($A94&amp;Keys!$C$54&amp;Keys!$C$56&amp;Keys!$C$54&amp;$B94,Raw_BFPIaE!$H$9:$H$3032,0)))</f>
        <v>0</v>
      </c>
      <c r="R94" s="10">
        <f>IF($E94=Keys!$C$60,Keys!$C$51,INDEX(Raw_BFPIaE!$G$9:$G$3032,MATCH($A94&amp;Keys!$C$54&amp;Keys!$C$57&amp;Keys!$C$54&amp;$B94,Raw_BFPIaE!$H$9:$H$3032,0)))</f>
        <v>0</v>
      </c>
      <c r="S94" s="11">
        <f>IF(($P94+$Q94-$R94+MAX(Keys!$C$51,$R94-$Q94))&gt;Keys!$C$51,MIN(Keys!$C$52,MAX(Keys!$C$51,$R94-$Q94)/($P94+$Q94-$R94+MAX(Keys!$C$51,$R94-$Q94))),Keys!$C$51)</f>
        <v>0</v>
      </c>
      <c r="T94">
        <f>IF(AND($I94&gt;$H94,ABS($L94-$G94)&gt;MAX(Keys!$C$62,ABS($G94)*Keys!$C$63)),1,0)</f>
        <v>0</v>
      </c>
      <c r="U94">
        <f>IF(OR($N94&lt;Keys!$C$51,$N94&gt;Keys!$C$52),1,0)</f>
        <v>0</v>
      </c>
      <c r="V94">
        <f>IF(AND($E94=Keys!$C$60,$N94&lt;&gt;Keys!$C$51),1,0)</f>
        <v>0</v>
      </c>
      <c r="W94">
        <f>IF($L94&gt;Keys!$C$51,IF($K94/$L94&gt;Keys!$C$52,1,0),0)</f>
        <v>0</v>
      </c>
      <c r="X94" s="11">
        <f t="shared" si="7"/>
        <v>0</v>
      </c>
    </row>
    <row r="95" spans="1:24" x14ac:dyDescent="0.25">
      <c r="A95" t="s">
        <v>73</v>
      </c>
      <c r="B95" t="s">
        <v>82</v>
      </c>
      <c r="C95" t="str">
        <f>VLOOKUP($B95,Keys!$F$2:$I$22,2,FALSE)</f>
        <v>biomass</v>
      </c>
      <c r="D95">
        <f>VLOOKUP($B95,Keys!$F$2:$I$22,3,FALSE)</f>
        <v>0.74947425499999998</v>
      </c>
      <c r="E95" t="str">
        <f>VLOOKUP($B95,Keys!$F$2:$I$22,4,FALSE)</f>
        <v>rule</v>
      </c>
      <c r="F95" t="str">
        <f>$A95&amp;Keys!$C$54&amp;$B95</f>
        <v>CO|biomass</v>
      </c>
      <c r="G95" s="10">
        <f>IF($E95=Keys!$C$60,Keys!$C$51,INDEX(Balanced_2025!$D$9:$D$3032,MATCH($A95&amp;Keys!$C$54&amp;Keys!$C$55&amp;Keys!$C$54&amp;$C95,Balanced_2025!$E$9:$E$3032,0)))</f>
        <v>0</v>
      </c>
      <c r="H95" s="10">
        <f>IF($E95=Keys!$C$60,Keys!$C$51,INDEX(Balanced_2025!$D$9:$D$3032,MATCH($A95&amp;Keys!$C$54&amp;Keys!$C$56&amp;Keys!$C$54&amp;$C95,Balanced_2025!$E$9:$E$3032,0)))</f>
        <v>8315760000000</v>
      </c>
      <c r="I95" s="10">
        <f>IF($E95=Keys!$C$60,Keys!$C$51,INDEX(Balanced_2025!$D$9:$D$3032,MATCH($A95&amp;Keys!$C$54&amp;Keys!$C$57&amp;Keys!$C$54&amp;$C95,Balanced_2025!$E$9:$E$3032,0)))</f>
        <v>0</v>
      </c>
      <c r="J95" s="10">
        <f t="shared" si="4"/>
        <v>8315760000000</v>
      </c>
      <c r="K95" s="10">
        <f>MAX(Keys!$C$51,$I95-$H95)</f>
        <v>0</v>
      </c>
      <c r="L95" s="10">
        <f t="shared" si="5"/>
        <v>8315760000000</v>
      </c>
      <c r="M95" s="11">
        <f>IF($L95&gt;Keys!$C$51,MIN(Keys!$C$52,$K95/$L95),Keys!$C$51)</f>
        <v>0</v>
      </c>
      <c r="N95" s="11">
        <f>IF($E95=Keys!$C$60,Keys!$C$51,IF($E95=Keys!$C$59,$D95,$M95))</f>
        <v>0</v>
      </c>
      <c r="O95">
        <f t="shared" si="6"/>
        <v>1</v>
      </c>
      <c r="P95" s="10">
        <f>IF($E95=Keys!$C$60,Keys!$C$51,INDEX(Raw_BFPIaE!$G$9:$G$3032,MATCH($A95&amp;Keys!$C$54&amp;Keys!$C$55&amp;Keys!$C$54&amp;$B95,Raw_BFPIaE!$H$9:$H$3032,0)))</f>
        <v>0</v>
      </c>
      <c r="Q95" s="10">
        <f>IF($E95=Keys!$C$60,Keys!$C$51,INDEX(Raw_BFPIaE!$G$9:$G$3032,MATCH($A95&amp;Keys!$C$54&amp;Keys!$C$56&amp;Keys!$C$54&amp;$B95,Raw_BFPIaE!$H$9:$H$3032,0)))</f>
        <v>5380950000000</v>
      </c>
      <c r="R95" s="10">
        <f>IF($E95=Keys!$C$60,Keys!$C$51,INDEX(Raw_BFPIaE!$G$9:$G$3032,MATCH($A95&amp;Keys!$C$54&amp;Keys!$C$57&amp;Keys!$C$54&amp;$B95,Raw_BFPIaE!$H$9:$H$3032,0)))</f>
        <v>0</v>
      </c>
      <c r="S95" s="11">
        <f>IF(($P95+$Q95-$R95+MAX(Keys!$C$51,$R95-$Q95))&gt;Keys!$C$51,MIN(Keys!$C$52,MAX(Keys!$C$51,$R95-$Q95)/($P95+$Q95-$R95+MAX(Keys!$C$51,$R95-$Q95))),Keys!$C$51)</f>
        <v>0</v>
      </c>
      <c r="T95">
        <f>IF(AND($I95&gt;$H95,ABS($L95-$G95)&gt;MAX(Keys!$C$62,ABS($G95)*Keys!$C$63)),1,0)</f>
        <v>0</v>
      </c>
      <c r="U95">
        <f>IF(OR($N95&lt;Keys!$C$51,$N95&gt;Keys!$C$52),1,0)</f>
        <v>0</v>
      </c>
      <c r="V95">
        <f>IF(AND($E95=Keys!$C$60,$N95&lt;&gt;Keys!$C$51),1,0)</f>
        <v>0</v>
      </c>
      <c r="W95">
        <f>IF($L95&gt;Keys!$C$51,IF($K95/$L95&gt;Keys!$C$52,1,0),0)</f>
        <v>0</v>
      </c>
      <c r="X95" s="11">
        <f t="shared" si="7"/>
        <v>0</v>
      </c>
    </row>
    <row r="96" spans="1:24" x14ac:dyDescent="0.25">
      <c r="A96" t="s">
        <v>73</v>
      </c>
      <c r="B96" t="s">
        <v>85</v>
      </c>
      <c r="C96" t="str">
        <f>VLOOKUP($B96,Keys!$F$2:$I$22,2,FALSE)</f>
        <v>petroleum gasoline</v>
      </c>
      <c r="D96">
        <f>VLOOKUP($B96,Keys!$F$2:$I$22,3,FALSE)</f>
        <v>7.5004052000000002E-2</v>
      </c>
      <c r="E96" t="str">
        <f>VLOOKUP($B96,Keys!$F$2:$I$22,4,FALSE)</f>
        <v>rule</v>
      </c>
      <c r="F96" t="str">
        <f>$A96&amp;Keys!$C$54&amp;$B96</f>
        <v>CO|petroleum gasoline</v>
      </c>
      <c r="G96" s="10">
        <f>IF($E96=Keys!$C$60,Keys!$C$51,INDEX(Balanced_2025!$D$9:$D$3032,MATCH($A96&amp;Keys!$C$54&amp;Keys!$C$55&amp;Keys!$C$54&amp;$C96,Balanced_2025!$E$9:$E$3032,0)))</f>
        <v>99961500000000</v>
      </c>
      <c r="H96" s="10">
        <f>IF($E96=Keys!$C$60,Keys!$C$51,INDEX(Balanced_2025!$D$9:$D$3032,MATCH($A96&amp;Keys!$C$54&amp;Keys!$C$56&amp;Keys!$C$54&amp;$C96,Balanced_2025!$E$9:$E$3032,0)))</f>
        <v>144178000000000</v>
      </c>
      <c r="I96" s="10">
        <f>IF($E96=Keys!$C$60,Keys!$C$51,INDEX(Balanced_2025!$D$9:$D$3032,MATCH($A96&amp;Keys!$C$54&amp;Keys!$C$57&amp;Keys!$C$54&amp;$C96,Balanced_2025!$E$9:$E$3032,0)))</f>
        <v>0</v>
      </c>
      <c r="J96" s="10">
        <f t="shared" si="4"/>
        <v>244139500000000</v>
      </c>
      <c r="K96" s="10">
        <f>MAX(Keys!$C$51,$I96-$H96)</f>
        <v>0</v>
      </c>
      <c r="L96" s="10">
        <f t="shared" si="5"/>
        <v>244139500000000</v>
      </c>
      <c r="M96" s="11">
        <f>IF($L96&gt;Keys!$C$51,MIN(Keys!$C$52,$K96/$L96),Keys!$C$51)</f>
        <v>0</v>
      </c>
      <c r="N96" s="11">
        <f>IF($E96=Keys!$C$60,Keys!$C$51,IF($E96=Keys!$C$59,$D96,$M96))</f>
        <v>0</v>
      </c>
      <c r="O96">
        <f t="shared" si="6"/>
        <v>1</v>
      </c>
      <c r="P96" s="10">
        <f>IF($E96=Keys!$C$60,Keys!$C$51,INDEX(Raw_BFPIaE!$G$9:$G$3032,MATCH($A96&amp;Keys!$C$54&amp;Keys!$C$55&amp;Keys!$C$54&amp;$B96,Raw_BFPIaE!$H$9:$H$3032,0)))</f>
        <v>99153866666666.672</v>
      </c>
      <c r="Q96" s="10">
        <f>IF($E96=Keys!$C$60,Keys!$C$51,INDEX(Raw_BFPIaE!$G$9:$G$3032,MATCH($A96&amp;Keys!$C$54&amp;Keys!$C$56&amp;Keys!$C$54&amp;$B96,Raw_BFPIaE!$H$9:$H$3032,0)))</f>
        <v>87421666666666.672</v>
      </c>
      <c r="R96" s="10">
        <f>IF($E96=Keys!$C$60,Keys!$C$51,INDEX(Raw_BFPIaE!$G$9:$G$3032,MATCH($A96&amp;Keys!$C$54&amp;Keys!$C$57&amp;Keys!$C$54&amp;$B96,Raw_BFPIaE!$H$9:$H$3032,0)))</f>
        <v>0</v>
      </c>
      <c r="S96" s="11">
        <f>IF(($P96+$Q96-$R96+MAX(Keys!$C$51,$R96-$Q96))&gt;Keys!$C$51,MIN(Keys!$C$52,MAX(Keys!$C$51,$R96-$Q96)/($P96+$Q96-$R96+MAX(Keys!$C$51,$R96-$Q96))),Keys!$C$51)</f>
        <v>0</v>
      </c>
      <c r="T96">
        <f>IF(AND($I96&gt;$H96,ABS($L96-$G96)&gt;MAX(Keys!$C$62,ABS($G96)*Keys!$C$63)),1,0)</f>
        <v>0</v>
      </c>
      <c r="U96">
        <f>IF(OR($N96&lt;Keys!$C$51,$N96&gt;Keys!$C$52),1,0)</f>
        <v>0</v>
      </c>
      <c r="V96">
        <f>IF(AND($E96=Keys!$C$60,$N96&lt;&gt;Keys!$C$51),1,0)</f>
        <v>0</v>
      </c>
      <c r="W96">
        <f>IF($L96&gt;Keys!$C$51,IF($K96/$L96&gt;Keys!$C$52,1,0),0)</f>
        <v>0</v>
      </c>
      <c r="X96" s="11">
        <f t="shared" si="7"/>
        <v>0</v>
      </c>
    </row>
    <row r="97" spans="1:24" x14ac:dyDescent="0.25">
      <c r="A97" t="s">
        <v>73</v>
      </c>
      <c r="B97" t="s">
        <v>88</v>
      </c>
      <c r="C97" t="str">
        <f>VLOOKUP($B97,Keys!$F$2:$I$22,2,FALSE)</f>
        <v>petroleum diesel</v>
      </c>
      <c r="D97">
        <f>VLOOKUP($B97,Keys!$F$2:$I$22,3,FALSE)</f>
        <v>0.26691051799999999</v>
      </c>
      <c r="E97" t="str">
        <f>VLOOKUP($B97,Keys!$F$2:$I$22,4,FALSE)</f>
        <v>rule</v>
      </c>
      <c r="F97" t="str">
        <f>$A97&amp;Keys!$C$54&amp;$B97</f>
        <v>CO|petroleum diesel</v>
      </c>
      <c r="G97" s="10">
        <f>IF($E97=Keys!$C$60,Keys!$C$51,INDEX(Balanced_2025!$D$9:$D$3032,MATCH($A97&amp;Keys!$C$54&amp;Keys!$C$55&amp;Keys!$C$54&amp;$C97,Balanced_2025!$E$9:$E$3032,0)))</f>
        <v>59128800000000</v>
      </c>
      <c r="H97" s="10">
        <f>IF($E97=Keys!$C$60,Keys!$C$51,INDEX(Balanced_2025!$D$9:$D$3032,MATCH($A97&amp;Keys!$C$54&amp;Keys!$C$56&amp;Keys!$C$54&amp;$C97,Balanced_2025!$E$9:$E$3032,0)))</f>
        <v>71353500000000</v>
      </c>
      <c r="I97" s="10">
        <f>IF($E97=Keys!$C$60,Keys!$C$51,INDEX(Balanced_2025!$D$9:$D$3032,MATCH($A97&amp;Keys!$C$54&amp;Keys!$C$57&amp;Keys!$C$54&amp;$C97,Balanced_2025!$E$9:$E$3032,0)))</f>
        <v>0</v>
      </c>
      <c r="J97" s="10">
        <f t="shared" si="4"/>
        <v>130482300000000</v>
      </c>
      <c r="K97" s="10">
        <f>MAX(Keys!$C$51,$I97-$H97)</f>
        <v>0</v>
      </c>
      <c r="L97" s="10">
        <f t="shared" si="5"/>
        <v>130482300000000</v>
      </c>
      <c r="M97" s="11">
        <f>IF($L97&gt;Keys!$C$51,MIN(Keys!$C$52,$K97/$L97),Keys!$C$51)</f>
        <v>0</v>
      </c>
      <c r="N97" s="11">
        <f>IF($E97=Keys!$C$60,Keys!$C$51,IF($E97=Keys!$C$59,$D97,$M97))</f>
        <v>0</v>
      </c>
      <c r="O97">
        <f t="shared" si="6"/>
        <v>1</v>
      </c>
      <c r="P97" s="10">
        <f>IF($E97=Keys!$C$60,Keys!$C$51,INDEX(Raw_BFPIaE!$G$9:$G$3032,MATCH($A97&amp;Keys!$C$54&amp;Keys!$C$55&amp;Keys!$C$54&amp;$B97,Raw_BFPIaE!$H$9:$H$3032,0)))</f>
        <v>58651066666666.664</v>
      </c>
      <c r="Q97" s="10">
        <f>IF($E97=Keys!$C$60,Keys!$C$51,INDEX(Raw_BFPIaE!$G$9:$G$3032,MATCH($A97&amp;Keys!$C$54&amp;Keys!$C$56&amp;Keys!$C$54&amp;$B97,Raw_BFPIaE!$H$9:$H$3032,0)))</f>
        <v>47168766666666.664</v>
      </c>
      <c r="R97" s="10">
        <f>IF($E97=Keys!$C$60,Keys!$C$51,INDEX(Raw_BFPIaE!$G$9:$G$3032,MATCH($A97&amp;Keys!$C$54&amp;Keys!$C$57&amp;Keys!$C$54&amp;$B97,Raw_BFPIaE!$H$9:$H$3032,0)))</f>
        <v>0</v>
      </c>
      <c r="S97" s="11">
        <f>IF(($P97+$Q97-$R97+MAX(Keys!$C$51,$R97-$Q97))&gt;Keys!$C$51,MIN(Keys!$C$52,MAX(Keys!$C$51,$R97-$Q97)/($P97+$Q97-$R97+MAX(Keys!$C$51,$R97-$Q97))),Keys!$C$51)</f>
        <v>0</v>
      </c>
      <c r="T97">
        <f>IF(AND($I97&gt;$H97,ABS($L97-$G97)&gt;MAX(Keys!$C$62,ABS($G97)*Keys!$C$63)),1,0)</f>
        <v>0</v>
      </c>
      <c r="U97">
        <f>IF(OR($N97&lt;Keys!$C$51,$N97&gt;Keys!$C$52),1,0)</f>
        <v>0</v>
      </c>
      <c r="V97">
        <f>IF(AND($E97=Keys!$C$60,$N97&lt;&gt;Keys!$C$51),1,0)</f>
        <v>0</v>
      </c>
      <c r="W97">
        <f>IF($L97&gt;Keys!$C$51,IF($K97/$L97&gt;Keys!$C$52,1,0),0)</f>
        <v>0</v>
      </c>
      <c r="X97" s="11">
        <f t="shared" si="7"/>
        <v>0</v>
      </c>
    </row>
    <row r="98" spans="1:24" x14ac:dyDescent="0.25">
      <c r="A98" t="s">
        <v>73</v>
      </c>
      <c r="B98" t="s">
        <v>91</v>
      </c>
      <c r="C98" t="str">
        <f>VLOOKUP($B98,Keys!$F$2:$I$22,2,FALSE)</f>
        <v>biofuel gasoline</v>
      </c>
      <c r="D98">
        <f>VLOOKUP($B98,Keys!$F$2:$I$22,3,FALSE)</f>
        <v>8.7213884000000005E-2</v>
      </c>
      <c r="E98" t="str">
        <f>VLOOKUP($B98,Keys!$F$2:$I$22,4,FALSE)</f>
        <v>rule</v>
      </c>
      <c r="F98" t="str">
        <f>$A98&amp;Keys!$C$54&amp;$B98</f>
        <v>CO|biofuel gasoline</v>
      </c>
      <c r="G98" s="10">
        <f>IF($E98=Keys!$C$60,Keys!$C$51,INDEX(Balanced_2025!$D$9:$D$3032,MATCH($A98&amp;Keys!$C$54&amp;Keys!$C$55&amp;Keys!$C$54&amp;$C98,Balanced_2025!$E$9:$E$3032,0)))</f>
        <v>12759900000000</v>
      </c>
      <c r="H98" s="10">
        <f>IF($E98=Keys!$C$60,Keys!$C$51,INDEX(Balanced_2025!$D$9:$D$3032,MATCH($A98&amp;Keys!$C$54&amp;Keys!$C$56&amp;Keys!$C$54&amp;$C98,Balanced_2025!$E$9:$E$3032,0)))</f>
        <v>3034610000000</v>
      </c>
      <c r="I98" s="10">
        <f>IF($E98=Keys!$C$60,Keys!$C$51,INDEX(Balanced_2025!$D$9:$D$3032,MATCH($A98&amp;Keys!$C$54&amp;Keys!$C$57&amp;Keys!$C$54&amp;$C98,Balanced_2025!$E$9:$E$3032,0)))</f>
        <v>0</v>
      </c>
      <c r="J98" s="10">
        <f t="shared" si="4"/>
        <v>15794510000000</v>
      </c>
      <c r="K98" s="10">
        <f>MAX(Keys!$C$51,$I98-$H98)</f>
        <v>0</v>
      </c>
      <c r="L98" s="10">
        <f t="shared" si="5"/>
        <v>15794510000000</v>
      </c>
      <c r="M98" s="11">
        <f>IF($L98&gt;Keys!$C$51,MIN(Keys!$C$52,$K98/$L98),Keys!$C$51)</f>
        <v>0</v>
      </c>
      <c r="N98" s="11">
        <f>IF($E98=Keys!$C$60,Keys!$C$51,IF($E98=Keys!$C$59,$D98,$M98))</f>
        <v>0</v>
      </c>
      <c r="O98">
        <f t="shared" si="6"/>
        <v>1</v>
      </c>
      <c r="P98" s="10">
        <f>IF($E98=Keys!$C$60,Keys!$C$51,INDEX(Raw_BFPIaE!$G$9:$G$3032,MATCH($A98&amp;Keys!$C$54&amp;Keys!$C$55&amp;Keys!$C$54&amp;$B98,Raw_BFPIaE!$H$9:$H$3032,0)))</f>
        <v>12771866666666.666</v>
      </c>
      <c r="Q98" s="10">
        <f>IF($E98=Keys!$C$60,Keys!$C$51,INDEX(Raw_BFPIaE!$G$9:$G$3032,MATCH($A98&amp;Keys!$C$54&amp;Keys!$C$56&amp;Keys!$C$54&amp;$B98,Raw_BFPIaE!$H$9:$H$3032,0)))</f>
        <v>1395436666666.6667</v>
      </c>
      <c r="R98" s="10">
        <f>IF($E98=Keys!$C$60,Keys!$C$51,INDEX(Raw_BFPIaE!$G$9:$G$3032,MATCH($A98&amp;Keys!$C$54&amp;Keys!$C$57&amp;Keys!$C$54&amp;$B98,Raw_BFPIaE!$H$9:$H$3032,0)))</f>
        <v>0</v>
      </c>
      <c r="S98" s="11">
        <f>IF(($P98+$Q98-$R98+MAX(Keys!$C$51,$R98-$Q98))&gt;Keys!$C$51,MIN(Keys!$C$52,MAX(Keys!$C$51,$R98-$Q98)/($P98+$Q98-$R98+MAX(Keys!$C$51,$R98-$Q98))),Keys!$C$51)</f>
        <v>0</v>
      </c>
      <c r="T98">
        <f>IF(AND($I98&gt;$H98,ABS($L98-$G98)&gt;MAX(Keys!$C$62,ABS($G98)*Keys!$C$63)),1,0)</f>
        <v>0</v>
      </c>
      <c r="U98">
        <f>IF(OR($N98&lt;Keys!$C$51,$N98&gt;Keys!$C$52),1,0)</f>
        <v>0</v>
      </c>
      <c r="V98">
        <f>IF(AND($E98=Keys!$C$60,$N98&lt;&gt;Keys!$C$51),1,0)</f>
        <v>0</v>
      </c>
      <c r="W98">
        <f>IF($L98&gt;Keys!$C$51,IF($K98/$L98&gt;Keys!$C$52,1,0),0)</f>
        <v>0</v>
      </c>
      <c r="X98" s="11">
        <f t="shared" si="7"/>
        <v>0</v>
      </c>
    </row>
    <row r="99" spans="1:24" x14ac:dyDescent="0.25">
      <c r="A99" t="s">
        <v>73</v>
      </c>
      <c r="B99" t="s">
        <v>94</v>
      </c>
      <c r="C99" t="str">
        <f>VLOOKUP($B99,Keys!$F$2:$I$22,2,FALSE)</f>
        <v>biofuel diesel</v>
      </c>
      <c r="D99">
        <f>VLOOKUP($B99,Keys!$F$2:$I$22,3,FALSE)</f>
        <v>5.8642381E-2</v>
      </c>
      <c r="E99" t="str">
        <f>VLOOKUP($B99,Keys!$F$2:$I$22,4,FALSE)</f>
        <v>rule</v>
      </c>
      <c r="F99" t="str">
        <f>$A99&amp;Keys!$C$54&amp;$B99</f>
        <v>CO|biofuel diesel</v>
      </c>
      <c r="G99" s="10">
        <f>IF($E99=Keys!$C$60,Keys!$C$51,INDEX(Balanced_2025!$D$9:$D$3032,MATCH($A99&amp;Keys!$C$54&amp;Keys!$C$55&amp;Keys!$C$54&amp;$C99,Balanced_2025!$E$9:$E$3032,0)))</f>
        <v>0</v>
      </c>
      <c r="H99" s="10">
        <f>IF($E99=Keys!$C$60,Keys!$C$51,INDEX(Balanced_2025!$D$9:$D$3032,MATCH($A99&amp;Keys!$C$54&amp;Keys!$C$56&amp;Keys!$C$54&amp;$C99,Balanced_2025!$E$9:$E$3032,0)))</f>
        <v>418725000000</v>
      </c>
      <c r="I99" s="10">
        <f>IF($E99=Keys!$C$60,Keys!$C$51,INDEX(Balanced_2025!$D$9:$D$3032,MATCH($A99&amp;Keys!$C$54&amp;Keys!$C$57&amp;Keys!$C$54&amp;$C99,Balanced_2025!$E$9:$E$3032,0)))</f>
        <v>0</v>
      </c>
      <c r="J99" s="10">
        <f t="shared" si="4"/>
        <v>418725000000</v>
      </c>
      <c r="K99" s="10">
        <f>MAX(Keys!$C$51,$I99-$H99)</f>
        <v>0</v>
      </c>
      <c r="L99" s="10">
        <f t="shared" si="5"/>
        <v>418725000000</v>
      </c>
      <c r="M99" s="11">
        <f>IF($L99&gt;Keys!$C$51,MIN(Keys!$C$52,$K99/$L99),Keys!$C$51)</f>
        <v>0</v>
      </c>
      <c r="N99" s="11">
        <f>IF($E99=Keys!$C$60,Keys!$C$51,IF($E99=Keys!$C$59,$D99,$M99))</f>
        <v>0</v>
      </c>
      <c r="O99">
        <f t="shared" si="6"/>
        <v>1</v>
      </c>
      <c r="P99" s="10">
        <f>IF($E99=Keys!$C$60,Keys!$C$51,INDEX(Raw_BFPIaE!$G$9:$G$3032,MATCH($A99&amp;Keys!$C$54&amp;Keys!$C$55&amp;Keys!$C$54&amp;$B99,Raw_BFPIaE!$H$9:$H$3032,0)))</f>
        <v>0</v>
      </c>
      <c r="Q99" s="10">
        <f>IF($E99=Keys!$C$60,Keys!$C$51,INDEX(Raw_BFPIaE!$G$9:$G$3032,MATCH($A99&amp;Keys!$C$54&amp;Keys!$C$56&amp;Keys!$C$54&amp;$B99,Raw_BFPIaE!$H$9:$H$3032,0)))</f>
        <v>272912333333.33334</v>
      </c>
      <c r="R99" s="10">
        <f>IF($E99=Keys!$C$60,Keys!$C$51,INDEX(Raw_BFPIaE!$G$9:$G$3032,MATCH($A99&amp;Keys!$C$54&amp;Keys!$C$57&amp;Keys!$C$54&amp;$B99,Raw_BFPIaE!$H$9:$H$3032,0)))</f>
        <v>0</v>
      </c>
      <c r="S99" s="11">
        <f>IF(($P99+$Q99-$R99+MAX(Keys!$C$51,$R99-$Q99))&gt;Keys!$C$51,MIN(Keys!$C$52,MAX(Keys!$C$51,$R99-$Q99)/($P99+$Q99-$R99+MAX(Keys!$C$51,$R99-$Q99))),Keys!$C$51)</f>
        <v>0</v>
      </c>
      <c r="T99">
        <f>IF(AND($I99&gt;$H99,ABS($L99-$G99)&gt;MAX(Keys!$C$62,ABS($G99)*Keys!$C$63)),1,0)</f>
        <v>0</v>
      </c>
      <c r="U99">
        <f>IF(OR($N99&lt;Keys!$C$51,$N99&gt;Keys!$C$52),1,0)</f>
        <v>0</v>
      </c>
      <c r="V99">
        <f>IF(AND($E99=Keys!$C$60,$N99&lt;&gt;Keys!$C$51),1,0)</f>
        <v>0</v>
      </c>
      <c r="W99">
        <f>IF($L99&gt;Keys!$C$51,IF($K99/$L99&gt;Keys!$C$52,1,0),0)</f>
        <v>0</v>
      </c>
      <c r="X99" s="11">
        <f t="shared" si="7"/>
        <v>0</v>
      </c>
    </row>
    <row r="100" spans="1:24" x14ac:dyDescent="0.25">
      <c r="A100" t="s">
        <v>73</v>
      </c>
      <c r="B100" t="s">
        <v>97</v>
      </c>
      <c r="C100" t="str">
        <f>VLOOKUP($B100,Keys!$F$2:$I$22,2,FALSE)</f>
        <v>jet fuel or kerosene</v>
      </c>
      <c r="D100">
        <f>VLOOKUP($B100,Keys!$F$2:$I$22,3,FALSE)</f>
        <v>0.10155994</v>
      </c>
      <c r="E100" t="str">
        <f>VLOOKUP($B100,Keys!$F$2:$I$22,4,FALSE)</f>
        <v>rule</v>
      </c>
      <c r="F100" t="str">
        <f>$A100&amp;Keys!$C$54&amp;$B100</f>
        <v>CO|jet fuel or kerosene</v>
      </c>
      <c r="G100" s="10">
        <f>IF($E100=Keys!$C$60,Keys!$C$51,INDEX(Balanced_2025!$D$9:$D$3032,MATCH($A100&amp;Keys!$C$54&amp;Keys!$C$55&amp;Keys!$C$54&amp;$C100,Balanced_2025!$E$9:$E$3032,0)))</f>
        <v>21048600000000</v>
      </c>
      <c r="H100" s="10">
        <f>IF($E100=Keys!$C$60,Keys!$C$51,INDEX(Balanced_2025!$D$9:$D$3032,MATCH($A100&amp;Keys!$C$54&amp;Keys!$C$56&amp;Keys!$C$54&amp;$C100,Balanced_2025!$E$9:$E$3032,0)))</f>
        <v>61021700000000</v>
      </c>
      <c r="I100" s="10">
        <f>IF($E100=Keys!$C$60,Keys!$C$51,INDEX(Balanced_2025!$D$9:$D$3032,MATCH($A100&amp;Keys!$C$54&amp;Keys!$C$57&amp;Keys!$C$54&amp;$C100,Balanced_2025!$E$9:$E$3032,0)))</f>
        <v>0</v>
      </c>
      <c r="J100" s="10">
        <f t="shared" si="4"/>
        <v>82070300000000</v>
      </c>
      <c r="K100" s="10">
        <f>MAX(Keys!$C$51,$I100-$H100)</f>
        <v>0</v>
      </c>
      <c r="L100" s="10">
        <f t="shared" si="5"/>
        <v>82070300000000</v>
      </c>
      <c r="M100" s="11">
        <f>IF($L100&gt;Keys!$C$51,MIN(Keys!$C$52,$K100/$L100),Keys!$C$51)</f>
        <v>0</v>
      </c>
      <c r="N100" s="11">
        <f>IF($E100=Keys!$C$60,Keys!$C$51,IF($E100=Keys!$C$59,$D100,$M100))</f>
        <v>0</v>
      </c>
      <c r="O100">
        <f t="shared" si="6"/>
        <v>1</v>
      </c>
      <c r="P100" s="10">
        <f>IF($E100=Keys!$C$60,Keys!$C$51,INDEX(Raw_BFPIaE!$G$9:$G$3032,MATCH($A100&amp;Keys!$C$54&amp;Keys!$C$55&amp;Keys!$C$54&amp;$B100,Raw_BFPIaE!$H$9:$H$3032,0)))</f>
        <v>20878566666666.668</v>
      </c>
      <c r="Q100" s="10">
        <f>IF($E100=Keys!$C$60,Keys!$C$51,INDEX(Raw_BFPIaE!$G$9:$G$3032,MATCH($A100&amp;Keys!$C$54&amp;Keys!$C$56&amp;Keys!$C$54&amp;$B100,Raw_BFPIaE!$H$9:$H$3032,0)))</f>
        <v>41915833333333.336</v>
      </c>
      <c r="R100" s="10">
        <f>IF($E100=Keys!$C$60,Keys!$C$51,INDEX(Raw_BFPIaE!$G$9:$G$3032,MATCH($A100&amp;Keys!$C$54&amp;Keys!$C$57&amp;Keys!$C$54&amp;$B100,Raw_BFPIaE!$H$9:$H$3032,0)))</f>
        <v>0</v>
      </c>
      <c r="S100" s="11">
        <f>IF(($P100+$Q100-$R100+MAX(Keys!$C$51,$R100-$Q100))&gt;Keys!$C$51,MIN(Keys!$C$52,MAX(Keys!$C$51,$R100-$Q100)/($P100+$Q100-$R100+MAX(Keys!$C$51,$R100-$Q100))),Keys!$C$51)</f>
        <v>0</v>
      </c>
      <c r="T100">
        <f>IF(AND($I100&gt;$H100,ABS($L100-$G100)&gt;MAX(Keys!$C$62,ABS($G100)*Keys!$C$63)),1,0)</f>
        <v>0</v>
      </c>
      <c r="U100">
        <f>IF(OR($N100&lt;Keys!$C$51,$N100&gt;Keys!$C$52),1,0)</f>
        <v>0</v>
      </c>
      <c r="V100">
        <f>IF(AND($E100=Keys!$C$60,$N100&lt;&gt;Keys!$C$51),1,0)</f>
        <v>0</v>
      </c>
      <c r="W100">
        <f>IF($L100&gt;Keys!$C$51,IF($K100/$L100&gt;Keys!$C$52,1,0),0)</f>
        <v>0</v>
      </c>
      <c r="X100" s="11">
        <f t="shared" si="7"/>
        <v>0</v>
      </c>
    </row>
    <row r="101" spans="1:24" x14ac:dyDescent="0.25">
      <c r="A101" t="s">
        <v>73</v>
      </c>
      <c r="B101" t="s">
        <v>100</v>
      </c>
      <c r="C101">
        <f>VLOOKUP($B101,Keys!$F$2:$I$22,2,FALSE)</f>
        <v>0</v>
      </c>
      <c r="D101">
        <f>VLOOKUP($B101,Keys!$F$2:$I$22,3,FALSE)</f>
        <v>0</v>
      </c>
      <c r="E101" t="str">
        <f>VLOOKUP($B101,Keys!$F$2:$I$22,4,FALSE)</f>
        <v>zero</v>
      </c>
      <c r="F101" t="str">
        <f>$A101&amp;Keys!$C$54&amp;$B101</f>
        <v>CO|heat (not used in this variable)</v>
      </c>
      <c r="G101" s="10">
        <f>IF($E101=Keys!$C$60,Keys!$C$51,INDEX(Balanced_2025!$D$9:$D$3032,MATCH($A101&amp;Keys!$C$54&amp;Keys!$C$55&amp;Keys!$C$54&amp;$C101,Balanced_2025!$E$9:$E$3032,0)))</f>
        <v>0</v>
      </c>
      <c r="H101" s="10">
        <f>IF($E101=Keys!$C$60,Keys!$C$51,INDEX(Balanced_2025!$D$9:$D$3032,MATCH($A101&amp;Keys!$C$54&amp;Keys!$C$56&amp;Keys!$C$54&amp;$C101,Balanced_2025!$E$9:$E$3032,0)))</f>
        <v>0</v>
      </c>
      <c r="I101" s="10">
        <f>IF($E101=Keys!$C$60,Keys!$C$51,INDEX(Balanced_2025!$D$9:$D$3032,MATCH($A101&amp;Keys!$C$54&amp;Keys!$C$57&amp;Keys!$C$54&amp;$C101,Balanced_2025!$E$9:$E$3032,0)))</f>
        <v>0</v>
      </c>
      <c r="J101" s="10">
        <f t="shared" si="4"/>
        <v>0</v>
      </c>
      <c r="K101" s="10">
        <f>MAX(Keys!$C$51,$I101-$H101)</f>
        <v>0</v>
      </c>
      <c r="L101" s="10">
        <f t="shared" si="5"/>
        <v>0</v>
      </c>
      <c r="M101" s="11">
        <f>IF($L101&gt;Keys!$C$51,MIN(Keys!$C$52,$K101/$L101),Keys!$C$51)</f>
        <v>0</v>
      </c>
      <c r="N101" s="11">
        <f>IF($E101=Keys!$C$60,Keys!$C$51,IF($E101=Keys!$C$59,$D101,$M101))</f>
        <v>0</v>
      </c>
      <c r="O101">
        <f t="shared" si="6"/>
        <v>0</v>
      </c>
      <c r="P101" s="10">
        <f>IF($E101=Keys!$C$60,Keys!$C$51,INDEX(Raw_BFPIaE!$G$9:$G$3032,MATCH($A101&amp;Keys!$C$54&amp;Keys!$C$55&amp;Keys!$C$54&amp;$B101,Raw_BFPIaE!$H$9:$H$3032,0)))</f>
        <v>0</v>
      </c>
      <c r="Q101" s="10">
        <f>IF($E101=Keys!$C$60,Keys!$C$51,INDEX(Raw_BFPIaE!$G$9:$G$3032,MATCH($A101&amp;Keys!$C$54&amp;Keys!$C$56&amp;Keys!$C$54&amp;$B101,Raw_BFPIaE!$H$9:$H$3032,0)))</f>
        <v>0</v>
      </c>
      <c r="R101" s="10">
        <f>IF($E101=Keys!$C$60,Keys!$C$51,INDEX(Raw_BFPIaE!$G$9:$G$3032,MATCH($A101&amp;Keys!$C$54&amp;Keys!$C$57&amp;Keys!$C$54&amp;$B101,Raw_BFPIaE!$H$9:$H$3032,0)))</f>
        <v>0</v>
      </c>
      <c r="S101" s="11">
        <f>IF(($P101+$Q101-$R101+MAX(Keys!$C$51,$R101-$Q101))&gt;Keys!$C$51,MIN(Keys!$C$52,MAX(Keys!$C$51,$R101-$Q101)/($P101+$Q101-$R101+MAX(Keys!$C$51,$R101-$Q101))),Keys!$C$51)</f>
        <v>0</v>
      </c>
      <c r="T101">
        <f>IF(AND($I101&gt;$H101,ABS($L101-$G101)&gt;MAX(Keys!$C$62,ABS($G101)*Keys!$C$63)),1,0)</f>
        <v>0</v>
      </c>
      <c r="U101">
        <f>IF(OR($N101&lt;Keys!$C$51,$N101&gt;Keys!$C$52),1,0)</f>
        <v>0</v>
      </c>
      <c r="V101">
        <f>IF(AND($E101=Keys!$C$60,$N101&lt;&gt;Keys!$C$51),1,0)</f>
        <v>0</v>
      </c>
      <c r="W101">
        <f>IF($L101&gt;Keys!$C$51,IF($K101/$L101&gt;Keys!$C$52,1,0),0)</f>
        <v>0</v>
      </c>
      <c r="X101" s="11">
        <f t="shared" si="7"/>
        <v>0</v>
      </c>
    </row>
    <row r="102" spans="1:24" x14ac:dyDescent="0.25">
      <c r="A102" t="s">
        <v>73</v>
      </c>
      <c r="B102" t="s">
        <v>103</v>
      </c>
      <c r="C102">
        <f>VLOOKUP($B102,Keys!$F$2:$I$22,2,FALSE)</f>
        <v>0</v>
      </c>
      <c r="D102">
        <f>VLOOKUP($B102,Keys!$F$2:$I$22,3,FALSE)</f>
        <v>0</v>
      </c>
      <c r="E102" t="str">
        <f>VLOOKUP($B102,Keys!$F$2:$I$22,4,FALSE)</f>
        <v>zero</v>
      </c>
      <c r="F102" t="str">
        <f>$A102&amp;Keys!$C$54&amp;$B102</f>
        <v>CO|geothermal (is not a fuel)</v>
      </c>
      <c r="G102" s="10">
        <f>IF($E102=Keys!$C$60,Keys!$C$51,INDEX(Balanced_2025!$D$9:$D$3032,MATCH($A102&amp;Keys!$C$54&amp;Keys!$C$55&amp;Keys!$C$54&amp;$C102,Balanced_2025!$E$9:$E$3032,0)))</f>
        <v>0</v>
      </c>
      <c r="H102" s="10">
        <f>IF($E102=Keys!$C$60,Keys!$C$51,INDEX(Balanced_2025!$D$9:$D$3032,MATCH($A102&amp;Keys!$C$54&amp;Keys!$C$56&amp;Keys!$C$54&amp;$C102,Balanced_2025!$E$9:$E$3032,0)))</f>
        <v>0</v>
      </c>
      <c r="I102" s="10">
        <f>IF($E102=Keys!$C$60,Keys!$C$51,INDEX(Balanced_2025!$D$9:$D$3032,MATCH($A102&amp;Keys!$C$54&amp;Keys!$C$57&amp;Keys!$C$54&amp;$C102,Balanced_2025!$E$9:$E$3032,0)))</f>
        <v>0</v>
      </c>
      <c r="J102" s="10">
        <f t="shared" si="4"/>
        <v>0</v>
      </c>
      <c r="K102" s="10">
        <f>MAX(Keys!$C$51,$I102-$H102)</f>
        <v>0</v>
      </c>
      <c r="L102" s="10">
        <f t="shared" si="5"/>
        <v>0</v>
      </c>
      <c r="M102" s="11">
        <f>IF($L102&gt;Keys!$C$51,MIN(Keys!$C$52,$K102/$L102),Keys!$C$51)</f>
        <v>0</v>
      </c>
      <c r="N102" s="11">
        <f>IF($E102=Keys!$C$60,Keys!$C$51,IF($E102=Keys!$C$59,$D102,$M102))</f>
        <v>0</v>
      </c>
      <c r="O102">
        <f t="shared" si="6"/>
        <v>0</v>
      </c>
      <c r="P102" s="10">
        <f>IF($E102=Keys!$C$60,Keys!$C$51,INDEX(Raw_BFPIaE!$G$9:$G$3032,MATCH($A102&amp;Keys!$C$54&amp;Keys!$C$55&amp;Keys!$C$54&amp;$B102,Raw_BFPIaE!$H$9:$H$3032,0)))</f>
        <v>0</v>
      </c>
      <c r="Q102" s="10">
        <f>IF($E102=Keys!$C$60,Keys!$C$51,INDEX(Raw_BFPIaE!$G$9:$G$3032,MATCH($A102&amp;Keys!$C$54&amp;Keys!$C$56&amp;Keys!$C$54&amp;$B102,Raw_BFPIaE!$H$9:$H$3032,0)))</f>
        <v>0</v>
      </c>
      <c r="R102" s="10">
        <f>IF($E102=Keys!$C$60,Keys!$C$51,INDEX(Raw_BFPIaE!$G$9:$G$3032,MATCH($A102&amp;Keys!$C$54&amp;Keys!$C$57&amp;Keys!$C$54&amp;$B102,Raw_BFPIaE!$H$9:$H$3032,0)))</f>
        <v>0</v>
      </c>
      <c r="S102" s="11">
        <f>IF(($P102+$Q102-$R102+MAX(Keys!$C$51,$R102-$Q102))&gt;Keys!$C$51,MIN(Keys!$C$52,MAX(Keys!$C$51,$R102-$Q102)/($P102+$Q102-$R102+MAX(Keys!$C$51,$R102-$Q102))),Keys!$C$51)</f>
        <v>0</v>
      </c>
      <c r="T102">
        <f>IF(AND($I102&gt;$H102,ABS($L102-$G102)&gt;MAX(Keys!$C$62,ABS($G102)*Keys!$C$63)),1,0)</f>
        <v>0</v>
      </c>
      <c r="U102">
        <f>IF(OR($N102&lt;Keys!$C$51,$N102&gt;Keys!$C$52),1,0)</f>
        <v>0</v>
      </c>
      <c r="V102">
        <f>IF(AND($E102=Keys!$C$60,$N102&lt;&gt;Keys!$C$51),1,0)</f>
        <v>0</v>
      </c>
      <c r="W102">
        <f>IF($L102&gt;Keys!$C$51,IF($K102/$L102&gt;Keys!$C$52,1,0),0)</f>
        <v>0</v>
      </c>
      <c r="X102" s="11">
        <f t="shared" si="7"/>
        <v>0</v>
      </c>
    </row>
    <row r="103" spans="1:24" x14ac:dyDescent="0.25">
      <c r="A103" t="s">
        <v>73</v>
      </c>
      <c r="B103" t="s">
        <v>106</v>
      </c>
      <c r="C103" t="str">
        <f>VLOOKUP($B103,Keys!$F$2:$I$22,2,FALSE)</f>
        <v>lignite</v>
      </c>
      <c r="D103">
        <f>VLOOKUP($B103,Keys!$F$2:$I$22,3,FALSE)</f>
        <v>0</v>
      </c>
      <c r="E103" t="str">
        <f>VLOOKUP($B103,Keys!$F$2:$I$22,4,FALSE)</f>
        <v>rule</v>
      </c>
      <c r="F103" t="str">
        <f>$A103&amp;Keys!$C$54&amp;$B103</f>
        <v>CO|lignite</v>
      </c>
      <c r="G103" s="10">
        <f>IF($E103=Keys!$C$60,Keys!$C$51,INDEX(Balanced_2025!$D$9:$D$3032,MATCH($A103&amp;Keys!$C$54&amp;Keys!$C$55&amp;Keys!$C$54&amp;$C103,Balanced_2025!$E$9:$E$3032,0)))</f>
        <v>0</v>
      </c>
      <c r="H103" s="10">
        <f>IF($E103=Keys!$C$60,Keys!$C$51,INDEX(Balanced_2025!$D$9:$D$3032,MATCH($A103&amp;Keys!$C$54&amp;Keys!$C$56&amp;Keys!$C$54&amp;$C103,Balanced_2025!$E$9:$E$3032,0)))</f>
        <v>0</v>
      </c>
      <c r="I103" s="10">
        <f>IF($E103=Keys!$C$60,Keys!$C$51,INDEX(Balanced_2025!$D$9:$D$3032,MATCH($A103&amp;Keys!$C$54&amp;Keys!$C$57&amp;Keys!$C$54&amp;$C103,Balanced_2025!$E$9:$E$3032,0)))</f>
        <v>0</v>
      </c>
      <c r="J103" s="10">
        <f t="shared" si="4"/>
        <v>0</v>
      </c>
      <c r="K103" s="10">
        <f>MAX(Keys!$C$51,$I103-$H103)</f>
        <v>0</v>
      </c>
      <c r="L103" s="10">
        <f t="shared" si="5"/>
        <v>0</v>
      </c>
      <c r="M103" s="11">
        <f>IF($L103&gt;Keys!$C$51,MIN(Keys!$C$52,$K103/$L103),Keys!$C$51)</f>
        <v>0</v>
      </c>
      <c r="N103" s="11">
        <f>IF($E103=Keys!$C$60,Keys!$C$51,IF($E103=Keys!$C$59,$D103,$M103))</f>
        <v>0</v>
      </c>
      <c r="O103">
        <f t="shared" si="6"/>
        <v>0</v>
      </c>
      <c r="P103" s="10">
        <f>IF($E103=Keys!$C$60,Keys!$C$51,INDEX(Raw_BFPIaE!$G$9:$G$3032,MATCH($A103&amp;Keys!$C$54&amp;Keys!$C$55&amp;Keys!$C$54&amp;$B103,Raw_BFPIaE!$H$9:$H$3032,0)))</f>
        <v>0</v>
      </c>
      <c r="Q103" s="10">
        <f>IF($E103=Keys!$C$60,Keys!$C$51,INDEX(Raw_BFPIaE!$G$9:$G$3032,MATCH($A103&amp;Keys!$C$54&amp;Keys!$C$56&amp;Keys!$C$54&amp;$B103,Raw_BFPIaE!$H$9:$H$3032,0)))</f>
        <v>0</v>
      </c>
      <c r="R103" s="10">
        <f>IF($E103=Keys!$C$60,Keys!$C$51,INDEX(Raw_BFPIaE!$G$9:$G$3032,MATCH($A103&amp;Keys!$C$54&amp;Keys!$C$57&amp;Keys!$C$54&amp;$B103,Raw_BFPIaE!$H$9:$H$3032,0)))</f>
        <v>0</v>
      </c>
      <c r="S103" s="11">
        <f>IF(($P103+$Q103-$R103+MAX(Keys!$C$51,$R103-$Q103))&gt;Keys!$C$51,MIN(Keys!$C$52,MAX(Keys!$C$51,$R103-$Q103)/($P103+$Q103-$R103+MAX(Keys!$C$51,$R103-$Q103))),Keys!$C$51)</f>
        <v>0</v>
      </c>
      <c r="T103">
        <f>IF(AND($I103&gt;$H103,ABS($L103-$G103)&gt;MAX(Keys!$C$62,ABS($G103)*Keys!$C$63)),1,0)</f>
        <v>0</v>
      </c>
      <c r="U103">
        <f>IF(OR($N103&lt;Keys!$C$51,$N103&gt;Keys!$C$52),1,0)</f>
        <v>0</v>
      </c>
      <c r="V103">
        <f>IF(AND($E103=Keys!$C$60,$N103&lt;&gt;Keys!$C$51),1,0)</f>
        <v>0</v>
      </c>
      <c r="W103">
        <f>IF($L103&gt;Keys!$C$51,IF($K103/$L103&gt;Keys!$C$52,1,0),0)</f>
        <v>0</v>
      </c>
      <c r="X103" s="11">
        <f t="shared" si="7"/>
        <v>0</v>
      </c>
    </row>
    <row r="104" spans="1:24" x14ac:dyDescent="0.25">
      <c r="A104" t="s">
        <v>73</v>
      </c>
      <c r="B104" t="s">
        <v>109</v>
      </c>
      <c r="C104" t="str">
        <f>VLOOKUP($B104,Keys!$F$2:$I$22,2,FALSE)</f>
        <v>crude oil</v>
      </c>
      <c r="D104">
        <f>VLOOKUP($B104,Keys!$F$2:$I$22,3,FALSE)</f>
        <v>1</v>
      </c>
      <c r="E104" t="str">
        <f>VLOOKUP($B104,Keys!$F$2:$I$22,4,FALSE)</f>
        <v>hold</v>
      </c>
      <c r="F104" t="str">
        <f>$A104&amp;Keys!$C$54&amp;$B104</f>
        <v>CO|crude oil</v>
      </c>
      <c r="G104" s="10">
        <f>IF($E104=Keys!$C$60,Keys!$C$51,INDEX(Balanced_2025!$D$9:$D$3032,MATCH($A104&amp;Keys!$C$54&amp;Keys!$C$55&amp;Keys!$C$54&amp;$C104,Balanced_2025!$E$9:$E$3032,0)))</f>
        <v>987676000000000</v>
      </c>
      <c r="H104" s="10">
        <f>IF($E104=Keys!$C$60,Keys!$C$51,INDEX(Balanced_2025!$D$9:$D$3032,MATCH($A104&amp;Keys!$C$54&amp;Keys!$C$56&amp;Keys!$C$54&amp;$C104,Balanced_2025!$E$9:$E$3032,0)))</f>
        <v>0</v>
      </c>
      <c r="I104" s="10">
        <f>IF($E104=Keys!$C$60,Keys!$C$51,INDEX(Balanced_2025!$D$9:$D$3032,MATCH($A104&amp;Keys!$C$54&amp;Keys!$C$57&amp;Keys!$C$54&amp;$C104,Balanced_2025!$E$9:$E$3032,0)))</f>
        <v>774787000000000</v>
      </c>
      <c r="J104" s="10">
        <f t="shared" si="4"/>
        <v>212889000000000</v>
      </c>
      <c r="K104" s="10">
        <f>MAX(Keys!$C$51,$I104-$H104)</f>
        <v>774787000000000</v>
      </c>
      <c r="L104" s="10">
        <f t="shared" si="5"/>
        <v>987676000000000</v>
      </c>
      <c r="M104" s="11">
        <f>IF($L104&gt;Keys!$C$51,MIN(Keys!$C$52,$K104/$L104),Keys!$C$51)</f>
        <v>0.7844546187211191</v>
      </c>
      <c r="N104" s="11">
        <f>IF($E104=Keys!$C$60,Keys!$C$51,IF($E104=Keys!$C$59,$D104,$M104))</f>
        <v>1</v>
      </c>
      <c r="O104">
        <f t="shared" si="6"/>
        <v>0</v>
      </c>
      <c r="P104" s="10">
        <f>IF($E104=Keys!$C$60,Keys!$C$51,INDEX(Raw_BFPIaE!$G$9:$G$3032,MATCH($A104&amp;Keys!$C$54&amp;Keys!$C$55&amp;Keys!$C$54&amp;$B104,Raw_BFPIaE!$H$9:$H$3032,0)))</f>
        <v>981682000000000</v>
      </c>
      <c r="Q104" s="10">
        <f>IF($E104=Keys!$C$60,Keys!$C$51,INDEX(Raw_BFPIaE!$G$9:$G$3032,MATCH($A104&amp;Keys!$C$54&amp;Keys!$C$56&amp;Keys!$C$54&amp;$B104,Raw_BFPIaE!$H$9:$H$3032,0)))</f>
        <v>0</v>
      </c>
      <c r="R104" s="10">
        <f>IF($E104=Keys!$C$60,Keys!$C$51,INDEX(Raw_BFPIaE!$G$9:$G$3032,MATCH($A104&amp;Keys!$C$54&amp;Keys!$C$57&amp;Keys!$C$54&amp;$B104,Raw_BFPIaE!$H$9:$H$3032,0)))</f>
        <v>510530666666666.69</v>
      </c>
      <c r="S104" s="11">
        <f>IF(($P104+$Q104-$R104+MAX(Keys!$C$51,$R104-$Q104))&gt;Keys!$C$51,MIN(Keys!$C$52,MAX(Keys!$C$51,$R104-$Q104)/($P104+$Q104-$R104+MAX(Keys!$C$51,$R104-$Q104))),Keys!$C$51)</f>
        <v>0.52005707211364438</v>
      </c>
      <c r="T104">
        <f>IF(AND($I104&gt;$H104,ABS($L104-$G104)&gt;MAX(Keys!$C$62,ABS($G104)*Keys!$C$63)),1,0)</f>
        <v>0</v>
      </c>
      <c r="U104">
        <f>IF(OR($N104&lt;Keys!$C$51,$N104&gt;Keys!$C$52),1,0)</f>
        <v>0</v>
      </c>
      <c r="V104">
        <f>IF(AND($E104=Keys!$C$60,$N104&lt;&gt;Keys!$C$51),1,0)</f>
        <v>0</v>
      </c>
      <c r="W104">
        <f>IF($L104&gt;Keys!$C$51,IF($K104/$L104&gt;Keys!$C$52,1,0),0)</f>
        <v>0</v>
      </c>
      <c r="X104" s="11">
        <f t="shared" si="7"/>
        <v>0.26439754660747472</v>
      </c>
    </row>
    <row r="105" spans="1:24" x14ac:dyDescent="0.25">
      <c r="A105" t="s">
        <v>73</v>
      </c>
      <c r="B105" t="s">
        <v>113</v>
      </c>
      <c r="C105" t="str">
        <f>VLOOKUP($B105,Keys!$F$2:$I$22,2,FALSE)</f>
        <v>heavy or residual fuel oil</v>
      </c>
      <c r="D105">
        <f>VLOOKUP($B105,Keys!$F$2:$I$22,3,FALSE)</f>
        <v>0.49914171099999999</v>
      </c>
      <c r="E105" t="str">
        <f>VLOOKUP($B105,Keys!$F$2:$I$22,4,FALSE)</f>
        <v>rule</v>
      </c>
      <c r="F105" t="str">
        <f>$A105&amp;Keys!$C$54&amp;$B105</f>
        <v>CO|heavy fuel oil</v>
      </c>
      <c r="G105" s="10">
        <f>IF($E105=Keys!$C$60,Keys!$C$51,INDEX(Balanced_2025!$D$9:$D$3032,MATCH($A105&amp;Keys!$C$54&amp;Keys!$C$55&amp;Keys!$C$54&amp;$C105,Balanced_2025!$E$9:$E$3032,0)))</f>
        <v>4088770000000</v>
      </c>
      <c r="H105" s="10">
        <f>IF($E105=Keys!$C$60,Keys!$C$51,INDEX(Balanced_2025!$D$9:$D$3032,MATCH($A105&amp;Keys!$C$54&amp;Keys!$C$56&amp;Keys!$C$54&amp;$C105,Balanced_2025!$E$9:$E$3032,0)))</f>
        <v>8248130000000</v>
      </c>
      <c r="I105" s="10">
        <f>IF($E105=Keys!$C$60,Keys!$C$51,INDEX(Balanced_2025!$D$9:$D$3032,MATCH($A105&amp;Keys!$C$54&amp;Keys!$C$57&amp;Keys!$C$54&amp;$C105,Balanced_2025!$E$9:$E$3032,0)))</f>
        <v>0</v>
      </c>
      <c r="J105" s="10">
        <f t="shared" si="4"/>
        <v>12336900000000</v>
      </c>
      <c r="K105" s="10">
        <f>MAX(Keys!$C$51,$I105-$H105)</f>
        <v>0</v>
      </c>
      <c r="L105" s="10">
        <f t="shared" si="5"/>
        <v>12336900000000</v>
      </c>
      <c r="M105" s="11">
        <f>IF($L105&gt;Keys!$C$51,MIN(Keys!$C$52,$K105/$L105),Keys!$C$51)</f>
        <v>0</v>
      </c>
      <c r="N105" s="11">
        <f>IF($E105=Keys!$C$60,Keys!$C$51,IF($E105=Keys!$C$59,$D105,$M105))</f>
        <v>0</v>
      </c>
      <c r="O105">
        <f t="shared" si="6"/>
        <v>1</v>
      </c>
      <c r="P105" s="10">
        <f>IF($E105=Keys!$C$60,Keys!$C$51,INDEX(Raw_BFPIaE!$G$9:$G$3032,MATCH($A105&amp;Keys!$C$54&amp;Keys!$C$55&amp;Keys!$C$54&amp;$B105,Raw_BFPIaE!$H$9:$H$3032,0)))</f>
        <v>4055733333333.3335</v>
      </c>
      <c r="Q105" s="10">
        <f>IF($E105=Keys!$C$60,Keys!$C$51,INDEX(Raw_BFPIaE!$G$9:$G$3032,MATCH($A105&amp;Keys!$C$54&amp;Keys!$C$56&amp;Keys!$C$54&amp;$B105,Raw_BFPIaE!$H$9:$H$3032,0)))</f>
        <v>5617356666666.667</v>
      </c>
      <c r="R105" s="10">
        <f>IF($E105=Keys!$C$60,Keys!$C$51,INDEX(Raw_BFPIaE!$G$9:$G$3032,MATCH($A105&amp;Keys!$C$54&amp;Keys!$C$57&amp;Keys!$C$54&amp;$B105,Raw_BFPIaE!$H$9:$H$3032,0)))</f>
        <v>0</v>
      </c>
      <c r="S105" s="11">
        <f>IF(($P105+$Q105-$R105+MAX(Keys!$C$51,$R105-$Q105))&gt;Keys!$C$51,MIN(Keys!$C$52,MAX(Keys!$C$51,$R105-$Q105)/($P105+$Q105-$R105+MAX(Keys!$C$51,$R105-$Q105))),Keys!$C$51)</f>
        <v>0</v>
      </c>
      <c r="T105">
        <f>IF(AND($I105&gt;$H105,ABS($L105-$G105)&gt;MAX(Keys!$C$62,ABS($G105)*Keys!$C$63)),1,0)</f>
        <v>0</v>
      </c>
      <c r="U105">
        <f>IF(OR($N105&lt;Keys!$C$51,$N105&gt;Keys!$C$52),1,0)</f>
        <v>0</v>
      </c>
      <c r="V105">
        <f>IF(AND($E105=Keys!$C$60,$N105&lt;&gt;Keys!$C$51),1,0)</f>
        <v>0</v>
      </c>
      <c r="W105">
        <f>IF($L105&gt;Keys!$C$51,IF($K105/$L105&gt;Keys!$C$52,1,0),0)</f>
        <v>0</v>
      </c>
      <c r="X105" s="11">
        <f t="shared" si="7"/>
        <v>0</v>
      </c>
    </row>
    <row r="106" spans="1:24" x14ac:dyDescent="0.25">
      <c r="A106" t="s">
        <v>73</v>
      </c>
      <c r="B106" t="s">
        <v>117</v>
      </c>
      <c r="C106" t="str">
        <f>VLOOKUP($B106,Keys!$F$2:$I$22,2,FALSE)</f>
        <v>LPG propane or butane</v>
      </c>
      <c r="D106">
        <f>VLOOKUP($B106,Keys!$F$2:$I$22,3,FALSE)</f>
        <v>0.54955999499999997</v>
      </c>
      <c r="E106" t="str">
        <f>VLOOKUP($B106,Keys!$F$2:$I$22,4,FALSE)</f>
        <v>rule</v>
      </c>
      <c r="F106" t="str">
        <f>$A106&amp;Keys!$C$54&amp;$B106</f>
        <v>CO|LPG propane or butane</v>
      </c>
      <c r="G106" s="10">
        <f>IF($E106=Keys!$C$60,Keys!$C$51,INDEX(Balanced_2025!$D$9:$D$3032,MATCH($A106&amp;Keys!$C$54&amp;Keys!$C$55&amp;Keys!$C$54&amp;$C106,Balanced_2025!$E$9:$E$3032,0)))</f>
        <v>207021000000000</v>
      </c>
      <c r="H106" s="10">
        <f>IF($E106=Keys!$C$60,Keys!$C$51,INDEX(Balanced_2025!$D$9:$D$3032,MATCH($A106&amp;Keys!$C$54&amp;Keys!$C$56&amp;Keys!$C$54&amp;$C106,Balanced_2025!$E$9:$E$3032,0)))</f>
        <v>48078300000</v>
      </c>
      <c r="I106" s="10">
        <f>IF($E106=Keys!$C$60,Keys!$C$51,INDEX(Balanced_2025!$D$9:$D$3032,MATCH($A106&amp;Keys!$C$54&amp;Keys!$C$57&amp;Keys!$C$54&amp;$C106,Balanced_2025!$E$9:$E$3032,0)))</f>
        <v>190003000000000</v>
      </c>
      <c r="J106" s="10">
        <f t="shared" si="4"/>
        <v>17066078300000</v>
      </c>
      <c r="K106" s="10">
        <f>MAX(Keys!$C$51,$I106-$H106)</f>
        <v>189954921700000</v>
      </c>
      <c r="L106" s="10">
        <f t="shared" si="5"/>
        <v>207021000000000</v>
      </c>
      <c r="M106" s="11">
        <f>IF($L106&gt;Keys!$C$51,MIN(Keys!$C$52,$K106/$L106),Keys!$C$51)</f>
        <v>0.91756354041377441</v>
      </c>
      <c r="N106" s="11">
        <f>IF($E106=Keys!$C$60,Keys!$C$51,IF($E106=Keys!$C$59,$D106,$M106))</f>
        <v>0.91756354041377441</v>
      </c>
      <c r="O106">
        <f t="shared" si="6"/>
        <v>1</v>
      </c>
      <c r="P106" s="10">
        <f>IF($E106=Keys!$C$60,Keys!$C$51,INDEX(Raw_BFPIaE!$G$9:$G$3032,MATCH($A106&amp;Keys!$C$54&amp;Keys!$C$55&amp;Keys!$C$54&amp;$B106,Raw_BFPIaE!$H$9:$H$3032,0)))</f>
        <v>208486333333333.34</v>
      </c>
      <c r="Q106" s="10">
        <f>IF($E106=Keys!$C$60,Keys!$C$51,INDEX(Raw_BFPIaE!$G$9:$G$3032,MATCH($A106&amp;Keys!$C$54&amp;Keys!$C$56&amp;Keys!$C$54&amp;$B106,Raw_BFPIaE!$H$9:$H$3032,0)))</f>
        <v>0</v>
      </c>
      <c r="R106" s="10">
        <f>IF($E106=Keys!$C$60,Keys!$C$51,INDEX(Raw_BFPIaE!$G$9:$G$3032,MATCH($A106&amp;Keys!$C$54&amp;Keys!$C$57&amp;Keys!$C$54&amp;$B106,Raw_BFPIaE!$H$9:$H$3032,0)))</f>
        <v>128189000000000</v>
      </c>
      <c r="S106" s="11">
        <f>IF(($P106+$Q106-$R106+MAX(Keys!$C$51,$R106-$Q106))&gt;Keys!$C$51,MIN(Keys!$C$52,MAX(Keys!$C$51,$R106-$Q106)/($P106+$Q106-$R106+MAX(Keys!$C$51,$R106-$Q106))),Keys!$C$51)</f>
        <v>0.61485565001063214</v>
      </c>
      <c r="T106">
        <f>IF(AND($I106&gt;$H106,ABS($L106-$G106)&gt;MAX(Keys!$C$62,ABS($G106)*Keys!$C$63)),1,0)</f>
        <v>0</v>
      </c>
      <c r="U106">
        <f>IF(OR($N106&lt;Keys!$C$51,$N106&gt;Keys!$C$52),1,0)</f>
        <v>0</v>
      </c>
      <c r="V106">
        <f>IF(AND($E106=Keys!$C$60,$N106&lt;&gt;Keys!$C$51),1,0)</f>
        <v>0</v>
      </c>
      <c r="W106">
        <f>IF($L106&gt;Keys!$C$51,IF($K106/$L106&gt;Keys!$C$52,1,0),0)</f>
        <v>0</v>
      </c>
      <c r="X106" s="11">
        <f t="shared" si="7"/>
        <v>0.30270789040314228</v>
      </c>
    </row>
    <row r="107" spans="1:24" x14ac:dyDescent="0.25">
      <c r="A107" t="s">
        <v>73</v>
      </c>
      <c r="B107" t="s">
        <v>120</v>
      </c>
      <c r="C107">
        <f>VLOOKUP($B107,Keys!$F$2:$I$22,2,FALSE)</f>
        <v>0</v>
      </c>
      <c r="D107">
        <f>VLOOKUP($B107,Keys!$F$2:$I$22,3,FALSE)</f>
        <v>0</v>
      </c>
      <c r="E107" t="str">
        <f>VLOOKUP($B107,Keys!$F$2:$I$22,4,FALSE)</f>
        <v>zero</v>
      </c>
      <c r="F107" t="str">
        <f>$A107&amp;Keys!$C$54&amp;$B107</f>
        <v>CO|municipal solid waste</v>
      </c>
      <c r="G107" s="10">
        <f>IF($E107=Keys!$C$60,Keys!$C$51,INDEX(Balanced_2025!$D$9:$D$3032,MATCH($A107&amp;Keys!$C$54&amp;Keys!$C$55&amp;Keys!$C$54&amp;$C107,Balanced_2025!$E$9:$E$3032,0)))</f>
        <v>0</v>
      </c>
      <c r="H107" s="10">
        <f>IF($E107=Keys!$C$60,Keys!$C$51,INDEX(Balanced_2025!$D$9:$D$3032,MATCH($A107&amp;Keys!$C$54&amp;Keys!$C$56&amp;Keys!$C$54&amp;$C107,Balanced_2025!$E$9:$E$3032,0)))</f>
        <v>0</v>
      </c>
      <c r="I107" s="10">
        <f>IF($E107=Keys!$C$60,Keys!$C$51,INDEX(Balanced_2025!$D$9:$D$3032,MATCH($A107&amp;Keys!$C$54&amp;Keys!$C$57&amp;Keys!$C$54&amp;$C107,Balanced_2025!$E$9:$E$3032,0)))</f>
        <v>0</v>
      </c>
      <c r="J107" s="10">
        <f t="shared" si="4"/>
        <v>0</v>
      </c>
      <c r="K107" s="10">
        <f>MAX(Keys!$C$51,$I107-$H107)</f>
        <v>0</v>
      </c>
      <c r="L107" s="10">
        <f t="shared" si="5"/>
        <v>0</v>
      </c>
      <c r="M107" s="11">
        <f>IF($L107&gt;Keys!$C$51,MIN(Keys!$C$52,$K107/$L107),Keys!$C$51)</f>
        <v>0</v>
      </c>
      <c r="N107" s="11">
        <f>IF($E107=Keys!$C$60,Keys!$C$51,IF($E107=Keys!$C$59,$D107,$M107))</f>
        <v>0</v>
      </c>
      <c r="O107">
        <f t="shared" si="6"/>
        <v>0</v>
      </c>
      <c r="P107" s="10">
        <f>IF($E107=Keys!$C$60,Keys!$C$51,INDEX(Raw_BFPIaE!$G$9:$G$3032,MATCH($A107&amp;Keys!$C$54&amp;Keys!$C$55&amp;Keys!$C$54&amp;$B107,Raw_BFPIaE!$H$9:$H$3032,0)))</f>
        <v>0</v>
      </c>
      <c r="Q107" s="10">
        <f>IF($E107=Keys!$C$60,Keys!$C$51,INDEX(Raw_BFPIaE!$G$9:$G$3032,MATCH($A107&amp;Keys!$C$54&amp;Keys!$C$56&amp;Keys!$C$54&amp;$B107,Raw_BFPIaE!$H$9:$H$3032,0)))</f>
        <v>0</v>
      </c>
      <c r="R107" s="10">
        <f>IF($E107=Keys!$C$60,Keys!$C$51,INDEX(Raw_BFPIaE!$G$9:$G$3032,MATCH($A107&amp;Keys!$C$54&amp;Keys!$C$57&amp;Keys!$C$54&amp;$B107,Raw_BFPIaE!$H$9:$H$3032,0)))</f>
        <v>0</v>
      </c>
      <c r="S107" s="11">
        <f>IF(($P107+$Q107-$R107+MAX(Keys!$C$51,$R107-$Q107))&gt;Keys!$C$51,MIN(Keys!$C$52,MAX(Keys!$C$51,$R107-$Q107)/($P107+$Q107-$R107+MAX(Keys!$C$51,$R107-$Q107))),Keys!$C$51)</f>
        <v>0</v>
      </c>
      <c r="T107">
        <f>IF(AND($I107&gt;$H107,ABS($L107-$G107)&gt;MAX(Keys!$C$62,ABS($G107)*Keys!$C$63)),1,0)</f>
        <v>0</v>
      </c>
      <c r="U107">
        <f>IF(OR($N107&lt;Keys!$C$51,$N107&gt;Keys!$C$52),1,0)</f>
        <v>0</v>
      </c>
      <c r="V107">
        <f>IF(AND($E107=Keys!$C$60,$N107&lt;&gt;Keys!$C$51),1,0)</f>
        <v>0</v>
      </c>
      <c r="W107">
        <f>IF($L107&gt;Keys!$C$51,IF($K107/$L107&gt;Keys!$C$52,1,0),0)</f>
        <v>0</v>
      </c>
      <c r="X107" s="11">
        <f t="shared" si="7"/>
        <v>0</v>
      </c>
    </row>
    <row r="108" spans="1:24" x14ac:dyDescent="0.25">
      <c r="A108" t="s">
        <v>73</v>
      </c>
      <c r="B108" t="s">
        <v>123</v>
      </c>
      <c r="C108">
        <f>VLOOKUP($B108,Keys!$F$2:$I$22,2,FALSE)</f>
        <v>0</v>
      </c>
      <c r="D108">
        <f>VLOOKUP($B108,Keys!$F$2:$I$22,3,FALSE)</f>
        <v>0</v>
      </c>
      <c r="E108" t="str">
        <f>VLOOKUP($B108,Keys!$F$2:$I$22,4,FALSE)</f>
        <v>zero</v>
      </c>
      <c r="F108" t="str">
        <f>$A108&amp;Keys!$C$54&amp;$B108</f>
        <v>CO|hydrogen</v>
      </c>
      <c r="G108" s="10">
        <f>IF($E108=Keys!$C$60,Keys!$C$51,INDEX(Balanced_2025!$D$9:$D$3032,MATCH($A108&amp;Keys!$C$54&amp;Keys!$C$55&amp;Keys!$C$54&amp;$C108,Balanced_2025!$E$9:$E$3032,0)))</f>
        <v>0</v>
      </c>
      <c r="H108" s="10">
        <f>IF($E108=Keys!$C$60,Keys!$C$51,INDEX(Balanced_2025!$D$9:$D$3032,MATCH($A108&amp;Keys!$C$54&amp;Keys!$C$56&amp;Keys!$C$54&amp;$C108,Balanced_2025!$E$9:$E$3032,0)))</f>
        <v>0</v>
      </c>
      <c r="I108" s="10">
        <f>IF($E108=Keys!$C$60,Keys!$C$51,INDEX(Balanced_2025!$D$9:$D$3032,MATCH($A108&amp;Keys!$C$54&amp;Keys!$C$57&amp;Keys!$C$54&amp;$C108,Balanced_2025!$E$9:$E$3032,0)))</f>
        <v>0</v>
      </c>
      <c r="J108" s="10">
        <f t="shared" si="4"/>
        <v>0</v>
      </c>
      <c r="K108" s="10">
        <f>MAX(Keys!$C$51,$I108-$H108)</f>
        <v>0</v>
      </c>
      <c r="L108" s="10">
        <f t="shared" si="5"/>
        <v>0</v>
      </c>
      <c r="M108" s="11">
        <f>IF($L108&gt;Keys!$C$51,MIN(Keys!$C$52,$K108/$L108),Keys!$C$51)</f>
        <v>0</v>
      </c>
      <c r="N108" s="11">
        <f>IF($E108=Keys!$C$60,Keys!$C$51,IF($E108=Keys!$C$59,$D108,$M108))</f>
        <v>0</v>
      </c>
      <c r="O108">
        <f t="shared" si="6"/>
        <v>0</v>
      </c>
      <c r="P108" s="10">
        <f>IF($E108=Keys!$C$60,Keys!$C$51,INDEX(Raw_BFPIaE!$G$9:$G$3032,MATCH($A108&amp;Keys!$C$54&amp;Keys!$C$55&amp;Keys!$C$54&amp;$B108,Raw_BFPIaE!$H$9:$H$3032,0)))</f>
        <v>0</v>
      </c>
      <c r="Q108" s="10">
        <f>IF($E108=Keys!$C$60,Keys!$C$51,INDEX(Raw_BFPIaE!$G$9:$G$3032,MATCH($A108&amp;Keys!$C$54&amp;Keys!$C$56&amp;Keys!$C$54&amp;$B108,Raw_BFPIaE!$H$9:$H$3032,0)))</f>
        <v>0</v>
      </c>
      <c r="R108" s="10">
        <f>IF($E108=Keys!$C$60,Keys!$C$51,INDEX(Raw_BFPIaE!$G$9:$G$3032,MATCH($A108&amp;Keys!$C$54&amp;Keys!$C$57&amp;Keys!$C$54&amp;$B108,Raw_BFPIaE!$H$9:$H$3032,0)))</f>
        <v>0</v>
      </c>
      <c r="S108" s="11">
        <f>IF(($P108+$Q108-$R108+MAX(Keys!$C$51,$R108-$Q108))&gt;Keys!$C$51,MIN(Keys!$C$52,MAX(Keys!$C$51,$R108-$Q108)/($P108+$Q108-$R108+MAX(Keys!$C$51,$R108-$Q108))),Keys!$C$51)</f>
        <v>0</v>
      </c>
      <c r="T108">
        <f>IF(AND($I108&gt;$H108,ABS($L108-$G108)&gt;MAX(Keys!$C$62,ABS($G108)*Keys!$C$63)),1,0)</f>
        <v>0</v>
      </c>
      <c r="U108">
        <f>IF(OR($N108&lt;Keys!$C$51,$N108&gt;Keys!$C$52),1,0)</f>
        <v>0</v>
      </c>
      <c r="V108">
        <f>IF(AND($E108=Keys!$C$60,$N108&lt;&gt;Keys!$C$51),1,0)</f>
        <v>0</v>
      </c>
      <c r="W108">
        <f>IF($L108&gt;Keys!$C$51,IF($K108/$L108&gt;Keys!$C$52,1,0),0)</f>
        <v>0</v>
      </c>
      <c r="X108" s="11">
        <f t="shared" si="7"/>
        <v>0</v>
      </c>
    </row>
    <row r="109" spans="1:24" x14ac:dyDescent="0.25">
      <c r="A109" t="s">
        <v>76</v>
      </c>
      <c r="B109" t="s">
        <v>60</v>
      </c>
      <c r="C109">
        <f>VLOOKUP($B109,Keys!$F$2:$I$22,2,FALSE)</f>
        <v>0</v>
      </c>
      <c r="D109">
        <f>VLOOKUP($B109,Keys!$F$2:$I$22,3,FALSE)</f>
        <v>0</v>
      </c>
      <c r="E109" t="str">
        <f>VLOOKUP($B109,Keys!$F$2:$I$22,4,FALSE)</f>
        <v>zero</v>
      </c>
      <c r="F109" t="str">
        <f>$A109&amp;Keys!$C$54&amp;$B109</f>
        <v>CT|electricity (not used in this variable)</v>
      </c>
      <c r="G109" s="10">
        <f>IF($E109=Keys!$C$60,Keys!$C$51,INDEX(Balanced_2025!$D$9:$D$3032,MATCH($A109&amp;Keys!$C$54&amp;Keys!$C$55&amp;Keys!$C$54&amp;$C109,Balanced_2025!$E$9:$E$3032,0)))</f>
        <v>0</v>
      </c>
      <c r="H109" s="10">
        <f>IF($E109=Keys!$C$60,Keys!$C$51,INDEX(Balanced_2025!$D$9:$D$3032,MATCH($A109&amp;Keys!$C$54&amp;Keys!$C$56&amp;Keys!$C$54&amp;$C109,Balanced_2025!$E$9:$E$3032,0)))</f>
        <v>0</v>
      </c>
      <c r="I109" s="10">
        <f>IF($E109=Keys!$C$60,Keys!$C$51,INDEX(Balanced_2025!$D$9:$D$3032,MATCH($A109&amp;Keys!$C$54&amp;Keys!$C$57&amp;Keys!$C$54&amp;$C109,Balanced_2025!$E$9:$E$3032,0)))</f>
        <v>0</v>
      </c>
      <c r="J109" s="10">
        <f t="shared" si="4"/>
        <v>0</v>
      </c>
      <c r="K109" s="10">
        <f>MAX(Keys!$C$51,$I109-$H109)</f>
        <v>0</v>
      </c>
      <c r="L109" s="10">
        <f t="shared" si="5"/>
        <v>0</v>
      </c>
      <c r="M109" s="11">
        <f>IF($L109&gt;Keys!$C$51,MIN(Keys!$C$52,$K109/$L109),Keys!$C$51)</f>
        <v>0</v>
      </c>
      <c r="N109" s="11">
        <f>IF($E109=Keys!$C$60,Keys!$C$51,IF($E109=Keys!$C$59,$D109,$M109))</f>
        <v>0</v>
      </c>
      <c r="O109">
        <f t="shared" si="6"/>
        <v>0</v>
      </c>
      <c r="P109" s="10">
        <f>IF($E109=Keys!$C$60,Keys!$C$51,INDEX(Raw_BFPIaE!$G$9:$G$3032,MATCH($A109&amp;Keys!$C$54&amp;Keys!$C$55&amp;Keys!$C$54&amp;$B109,Raw_BFPIaE!$H$9:$H$3032,0)))</f>
        <v>0</v>
      </c>
      <c r="Q109" s="10">
        <f>IF($E109=Keys!$C$60,Keys!$C$51,INDEX(Raw_BFPIaE!$G$9:$G$3032,MATCH($A109&amp;Keys!$C$54&amp;Keys!$C$56&amp;Keys!$C$54&amp;$B109,Raw_BFPIaE!$H$9:$H$3032,0)))</f>
        <v>0</v>
      </c>
      <c r="R109" s="10">
        <f>IF($E109=Keys!$C$60,Keys!$C$51,INDEX(Raw_BFPIaE!$G$9:$G$3032,MATCH($A109&amp;Keys!$C$54&amp;Keys!$C$57&amp;Keys!$C$54&amp;$B109,Raw_BFPIaE!$H$9:$H$3032,0)))</f>
        <v>0</v>
      </c>
      <c r="S109" s="11">
        <f>IF(($P109+$Q109-$R109+MAX(Keys!$C$51,$R109-$Q109))&gt;Keys!$C$51,MIN(Keys!$C$52,MAX(Keys!$C$51,$R109-$Q109)/($P109+$Q109-$R109+MAX(Keys!$C$51,$R109-$Q109))),Keys!$C$51)</f>
        <v>0</v>
      </c>
      <c r="T109">
        <f>IF(AND($I109&gt;$H109,ABS($L109-$G109)&gt;MAX(Keys!$C$62,ABS($G109)*Keys!$C$63)),1,0)</f>
        <v>0</v>
      </c>
      <c r="U109">
        <f>IF(OR($N109&lt;Keys!$C$51,$N109&gt;Keys!$C$52),1,0)</f>
        <v>0</v>
      </c>
      <c r="V109">
        <f>IF(AND($E109=Keys!$C$60,$N109&lt;&gt;Keys!$C$51),1,0)</f>
        <v>0</v>
      </c>
      <c r="W109">
        <f>IF($L109&gt;Keys!$C$51,IF($K109/$L109&gt;Keys!$C$52,1,0),0)</f>
        <v>0</v>
      </c>
      <c r="X109" s="11">
        <f t="shared" si="7"/>
        <v>0</v>
      </c>
    </row>
    <row r="110" spans="1:24" x14ac:dyDescent="0.25">
      <c r="A110" t="s">
        <v>76</v>
      </c>
      <c r="B110" t="s">
        <v>64</v>
      </c>
      <c r="C110" t="str">
        <f>VLOOKUP($B110,Keys!$F$2:$I$22,2,FALSE)</f>
        <v>hard coal</v>
      </c>
      <c r="D110">
        <f>VLOOKUP($B110,Keys!$F$2:$I$22,3,FALSE)</f>
        <v>0.137539879</v>
      </c>
      <c r="E110" t="str">
        <f>VLOOKUP($B110,Keys!$F$2:$I$22,4,FALSE)</f>
        <v>rule</v>
      </c>
      <c r="F110" t="str">
        <f>$A110&amp;Keys!$C$54&amp;$B110</f>
        <v>CT|hard coal</v>
      </c>
      <c r="G110" s="10">
        <f>IF($E110=Keys!$C$60,Keys!$C$51,INDEX(Balanced_2025!$D$9:$D$3032,MATCH($A110&amp;Keys!$C$54&amp;Keys!$C$55&amp;Keys!$C$54&amp;$C110,Balanced_2025!$E$9:$E$3032,0)))</f>
        <v>0</v>
      </c>
      <c r="H110" s="10">
        <f>IF($E110=Keys!$C$60,Keys!$C$51,INDEX(Balanced_2025!$D$9:$D$3032,MATCH($A110&amp;Keys!$C$54&amp;Keys!$C$56&amp;Keys!$C$54&amp;$C110,Balanced_2025!$E$9:$E$3032,0)))</f>
        <v>0</v>
      </c>
      <c r="I110" s="10">
        <f>IF($E110=Keys!$C$60,Keys!$C$51,INDEX(Balanced_2025!$D$9:$D$3032,MATCH($A110&amp;Keys!$C$54&amp;Keys!$C$57&amp;Keys!$C$54&amp;$C110,Balanced_2025!$E$9:$E$3032,0)))</f>
        <v>0</v>
      </c>
      <c r="J110" s="10">
        <f t="shared" si="4"/>
        <v>0</v>
      </c>
      <c r="K110" s="10">
        <f>MAX(Keys!$C$51,$I110-$H110)</f>
        <v>0</v>
      </c>
      <c r="L110" s="10">
        <f t="shared" si="5"/>
        <v>0</v>
      </c>
      <c r="M110" s="11">
        <f>IF($L110&gt;Keys!$C$51,MIN(Keys!$C$52,$K110/$L110),Keys!$C$51)</f>
        <v>0</v>
      </c>
      <c r="N110" s="11">
        <f>IF($E110=Keys!$C$60,Keys!$C$51,IF($E110=Keys!$C$59,$D110,$M110))</f>
        <v>0</v>
      </c>
      <c r="O110">
        <f t="shared" si="6"/>
        <v>1</v>
      </c>
      <c r="P110" s="10">
        <f>IF($E110=Keys!$C$60,Keys!$C$51,INDEX(Raw_BFPIaE!$G$9:$G$3032,MATCH($A110&amp;Keys!$C$54&amp;Keys!$C$55&amp;Keys!$C$54&amp;$B110,Raw_BFPIaE!$H$9:$H$3032,0)))</f>
        <v>0</v>
      </c>
      <c r="Q110" s="10">
        <f>IF($E110=Keys!$C$60,Keys!$C$51,INDEX(Raw_BFPIaE!$G$9:$G$3032,MATCH($A110&amp;Keys!$C$54&amp;Keys!$C$56&amp;Keys!$C$54&amp;$B110,Raw_BFPIaE!$H$9:$H$3032,0)))</f>
        <v>0</v>
      </c>
      <c r="R110" s="10">
        <f>IF($E110=Keys!$C$60,Keys!$C$51,INDEX(Raw_BFPIaE!$G$9:$G$3032,MATCH($A110&amp;Keys!$C$54&amp;Keys!$C$57&amp;Keys!$C$54&amp;$B110,Raw_BFPIaE!$H$9:$H$3032,0)))</f>
        <v>0</v>
      </c>
      <c r="S110" s="11">
        <f>IF(($P110+$Q110-$R110+MAX(Keys!$C$51,$R110-$Q110))&gt;Keys!$C$51,MIN(Keys!$C$52,MAX(Keys!$C$51,$R110-$Q110)/($P110+$Q110-$R110+MAX(Keys!$C$51,$R110-$Q110))),Keys!$C$51)</f>
        <v>0</v>
      </c>
      <c r="T110">
        <f>IF(AND($I110&gt;$H110,ABS($L110-$G110)&gt;MAX(Keys!$C$62,ABS($G110)*Keys!$C$63)),1,0)</f>
        <v>0</v>
      </c>
      <c r="U110">
        <f>IF(OR($N110&lt;Keys!$C$51,$N110&gt;Keys!$C$52),1,0)</f>
        <v>0</v>
      </c>
      <c r="V110">
        <f>IF(AND($E110=Keys!$C$60,$N110&lt;&gt;Keys!$C$51),1,0)</f>
        <v>0</v>
      </c>
      <c r="W110">
        <f>IF($L110&gt;Keys!$C$51,IF($K110/$L110&gt;Keys!$C$52,1,0),0)</f>
        <v>0</v>
      </c>
      <c r="X110" s="11">
        <f t="shared" si="7"/>
        <v>0</v>
      </c>
    </row>
    <row r="111" spans="1:24" x14ac:dyDescent="0.25">
      <c r="A111" t="s">
        <v>76</v>
      </c>
      <c r="B111" t="s">
        <v>68</v>
      </c>
      <c r="C111" t="str">
        <f>VLOOKUP($B111,Keys!$F$2:$I$22,2,FALSE)</f>
        <v>natural gas</v>
      </c>
      <c r="D111">
        <f>VLOOKUP($B111,Keys!$F$2:$I$22,3,FALSE)</f>
        <v>0.190839183</v>
      </c>
      <c r="E111" t="str">
        <f>VLOOKUP($B111,Keys!$F$2:$I$22,4,FALSE)</f>
        <v>rule</v>
      </c>
      <c r="F111" t="str">
        <f>$A111&amp;Keys!$C$54&amp;$B111</f>
        <v>CT|natural gas</v>
      </c>
      <c r="G111" s="10">
        <f>IF($E111=Keys!$C$60,Keys!$C$51,INDEX(Balanced_2025!$D$9:$D$3032,MATCH($A111&amp;Keys!$C$54&amp;Keys!$C$55&amp;Keys!$C$54&amp;$C111,Balanced_2025!$E$9:$E$3032,0)))</f>
        <v>0</v>
      </c>
      <c r="H111" s="10">
        <f>IF($E111=Keys!$C$60,Keys!$C$51,INDEX(Balanced_2025!$D$9:$D$3032,MATCH($A111&amp;Keys!$C$54&amp;Keys!$C$56&amp;Keys!$C$54&amp;$C111,Balanced_2025!$E$9:$E$3032,0)))</f>
        <v>674030000000000</v>
      </c>
      <c r="I111" s="10">
        <f>IF($E111=Keys!$C$60,Keys!$C$51,INDEX(Balanced_2025!$D$9:$D$3032,MATCH($A111&amp;Keys!$C$54&amp;Keys!$C$57&amp;Keys!$C$54&amp;$C111,Balanced_2025!$E$9:$E$3032,0)))</f>
        <v>376494000000000</v>
      </c>
      <c r="J111" s="10">
        <f t="shared" si="4"/>
        <v>297536000000000</v>
      </c>
      <c r="K111" s="10">
        <f>MAX(Keys!$C$51,$I111-$H111)</f>
        <v>0</v>
      </c>
      <c r="L111" s="10">
        <f t="shared" si="5"/>
        <v>297536000000000</v>
      </c>
      <c r="M111" s="11">
        <f>IF($L111&gt;Keys!$C$51,MIN(Keys!$C$52,$K111/$L111),Keys!$C$51)</f>
        <v>0</v>
      </c>
      <c r="N111" s="11">
        <f>IF($E111=Keys!$C$60,Keys!$C$51,IF($E111=Keys!$C$59,$D111,$M111))</f>
        <v>0</v>
      </c>
      <c r="O111">
        <f t="shared" si="6"/>
        <v>1</v>
      </c>
      <c r="P111" s="10">
        <f>IF($E111=Keys!$C$60,Keys!$C$51,INDEX(Raw_BFPIaE!$G$9:$G$3032,MATCH($A111&amp;Keys!$C$54&amp;Keys!$C$55&amp;Keys!$C$54&amp;$B111,Raw_BFPIaE!$H$9:$H$3032,0)))</f>
        <v>0</v>
      </c>
      <c r="Q111" s="10">
        <f>IF($E111=Keys!$C$60,Keys!$C$51,INDEX(Raw_BFPIaE!$G$9:$G$3032,MATCH($A111&amp;Keys!$C$54&amp;Keys!$C$56&amp;Keys!$C$54&amp;$B111,Raw_BFPIaE!$H$9:$H$3032,0)))</f>
        <v>676265000000000</v>
      </c>
      <c r="R111" s="10">
        <f>IF($E111=Keys!$C$60,Keys!$C$51,INDEX(Raw_BFPIaE!$G$9:$G$3032,MATCH($A111&amp;Keys!$C$54&amp;Keys!$C$57&amp;Keys!$C$54&amp;$B111,Raw_BFPIaE!$H$9:$H$3032,0)))</f>
        <v>376884000000000</v>
      </c>
      <c r="S111" s="11">
        <f>IF(($P111+$Q111-$R111+MAX(Keys!$C$51,$R111-$Q111))&gt;Keys!$C$51,MIN(Keys!$C$52,MAX(Keys!$C$51,$R111-$Q111)/($P111+$Q111-$R111+MAX(Keys!$C$51,$R111-$Q111))),Keys!$C$51)</f>
        <v>0</v>
      </c>
      <c r="T111">
        <f>IF(AND($I111&gt;$H111,ABS($L111-$G111)&gt;MAX(Keys!$C$62,ABS($G111)*Keys!$C$63)),1,0)</f>
        <v>0</v>
      </c>
      <c r="U111">
        <f>IF(OR($N111&lt;Keys!$C$51,$N111&gt;Keys!$C$52),1,0)</f>
        <v>0</v>
      </c>
      <c r="V111">
        <f>IF(AND($E111=Keys!$C$60,$N111&lt;&gt;Keys!$C$51),1,0)</f>
        <v>0</v>
      </c>
      <c r="W111">
        <f>IF($L111&gt;Keys!$C$51,IF($K111/$L111&gt;Keys!$C$52,1,0),0)</f>
        <v>0</v>
      </c>
      <c r="X111" s="11">
        <f t="shared" si="7"/>
        <v>0</v>
      </c>
    </row>
    <row r="112" spans="1:24" x14ac:dyDescent="0.25">
      <c r="A112" t="s">
        <v>76</v>
      </c>
      <c r="B112" t="s">
        <v>71</v>
      </c>
      <c r="C112">
        <f>VLOOKUP($B112,Keys!$F$2:$I$22,2,FALSE)</f>
        <v>0</v>
      </c>
      <c r="D112">
        <f>VLOOKUP($B112,Keys!$F$2:$I$22,3,FALSE)</f>
        <v>0</v>
      </c>
      <c r="E112" t="str">
        <f>VLOOKUP($B112,Keys!$F$2:$I$22,4,FALSE)</f>
        <v>zero</v>
      </c>
      <c r="F112" t="str">
        <f>$A112&amp;Keys!$C$54&amp;$B112</f>
        <v>CT|nuclear</v>
      </c>
      <c r="G112" s="10">
        <f>IF($E112=Keys!$C$60,Keys!$C$51,INDEX(Balanced_2025!$D$9:$D$3032,MATCH($A112&amp;Keys!$C$54&amp;Keys!$C$55&amp;Keys!$C$54&amp;$C112,Balanced_2025!$E$9:$E$3032,0)))</f>
        <v>0</v>
      </c>
      <c r="H112" s="10">
        <f>IF($E112=Keys!$C$60,Keys!$C$51,INDEX(Balanced_2025!$D$9:$D$3032,MATCH($A112&amp;Keys!$C$54&amp;Keys!$C$56&amp;Keys!$C$54&amp;$C112,Balanced_2025!$E$9:$E$3032,0)))</f>
        <v>0</v>
      </c>
      <c r="I112" s="10">
        <f>IF($E112=Keys!$C$60,Keys!$C$51,INDEX(Balanced_2025!$D$9:$D$3032,MATCH($A112&amp;Keys!$C$54&amp;Keys!$C$57&amp;Keys!$C$54&amp;$C112,Balanced_2025!$E$9:$E$3032,0)))</f>
        <v>0</v>
      </c>
      <c r="J112" s="10">
        <f t="shared" si="4"/>
        <v>0</v>
      </c>
      <c r="K112" s="10">
        <f>MAX(Keys!$C$51,$I112-$H112)</f>
        <v>0</v>
      </c>
      <c r="L112" s="10">
        <f t="shared" si="5"/>
        <v>0</v>
      </c>
      <c r="M112" s="11">
        <f>IF($L112&gt;Keys!$C$51,MIN(Keys!$C$52,$K112/$L112),Keys!$C$51)</f>
        <v>0</v>
      </c>
      <c r="N112" s="11">
        <f>IF($E112=Keys!$C$60,Keys!$C$51,IF($E112=Keys!$C$59,$D112,$M112))</f>
        <v>0</v>
      </c>
      <c r="O112">
        <f t="shared" si="6"/>
        <v>0</v>
      </c>
      <c r="P112" s="10">
        <f>IF($E112=Keys!$C$60,Keys!$C$51,INDEX(Raw_BFPIaE!$G$9:$G$3032,MATCH($A112&amp;Keys!$C$54&amp;Keys!$C$55&amp;Keys!$C$54&amp;$B112,Raw_BFPIaE!$H$9:$H$3032,0)))</f>
        <v>0</v>
      </c>
      <c r="Q112" s="10">
        <f>IF($E112=Keys!$C$60,Keys!$C$51,INDEX(Raw_BFPIaE!$G$9:$G$3032,MATCH($A112&amp;Keys!$C$54&amp;Keys!$C$56&amp;Keys!$C$54&amp;$B112,Raw_BFPIaE!$H$9:$H$3032,0)))</f>
        <v>0</v>
      </c>
      <c r="R112" s="10">
        <f>IF($E112=Keys!$C$60,Keys!$C$51,INDEX(Raw_BFPIaE!$G$9:$G$3032,MATCH($A112&amp;Keys!$C$54&amp;Keys!$C$57&amp;Keys!$C$54&amp;$B112,Raw_BFPIaE!$H$9:$H$3032,0)))</f>
        <v>0</v>
      </c>
      <c r="S112" s="11">
        <f>IF(($P112+$Q112-$R112+MAX(Keys!$C$51,$R112-$Q112))&gt;Keys!$C$51,MIN(Keys!$C$52,MAX(Keys!$C$51,$R112-$Q112)/($P112+$Q112-$R112+MAX(Keys!$C$51,$R112-$Q112))),Keys!$C$51)</f>
        <v>0</v>
      </c>
      <c r="T112">
        <f>IF(AND($I112&gt;$H112,ABS($L112-$G112)&gt;MAX(Keys!$C$62,ABS($G112)*Keys!$C$63)),1,0)</f>
        <v>0</v>
      </c>
      <c r="U112">
        <f>IF(OR($N112&lt;Keys!$C$51,$N112&gt;Keys!$C$52),1,0)</f>
        <v>0</v>
      </c>
      <c r="V112">
        <f>IF(AND($E112=Keys!$C$60,$N112&lt;&gt;Keys!$C$51),1,0)</f>
        <v>0</v>
      </c>
      <c r="W112">
        <f>IF($L112&gt;Keys!$C$51,IF($K112/$L112&gt;Keys!$C$52,1,0),0)</f>
        <v>0</v>
      </c>
      <c r="X112" s="11">
        <f t="shared" si="7"/>
        <v>0</v>
      </c>
    </row>
    <row r="113" spans="1:24" x14ac:dyDescent="0.25">
      <c r="A113" t="s">
        <v>76</v>
      </c>
      <c r="B113" t="s">
        <v>74</v>
      </c>
      <c r="C113">
        <f>VLOOKUP($B113,Keys!$F$2:$I$22,2,FALSE)</f>
        <v>0</v>
      </c>
      <c r="D113">
        <f>VLOOKUP($B113,Keys!$F$2:$I$22,3,FALSE)</f>
        <v>0</v>
      </c>
      <c r="E113" t="str">
        <f>VLOOKUP($B113,Keys!$F$2:$I$22,4,FALSE)</f>
        <v>zero</v>
      </c>
      <c r="F113" t="str">
        <f>$A113&amp;Keys!$C$54&amp;$B113</f>
        <v>CT|hydro (is not a fuel)</v>
      </c>
      <c r="G113" s="10">
        <f>IF($E113=Keys!$C$60,Keys!$C$51,INDEX(Balanced_2025!$D$9:$D$3032,MATCH($A113&amp;Keys!$C$54&amp;Keys!$C$55&amp;Keys!$C$54&amp;$C113,Balanced_2025!$E$9:$E$3032,0)))</f>
        <v>0</v>
      </c>
      <c r="H113" s="10">
        <f>IF($E113=Keys!$C$60,Keys!$C$51,INDEX(Balanced_2025!$D$9:$D$3032,MATCH($A113&amp;Keys!$C$54&amp;Keys!$C$56&amp;Keys!$C$54&amp;$C113,Balanced_2025!$E$9:$E$3032,0)))</f>
        <v>0</v>
      </c>
      <c r="I113" s="10">
        <f>IF($E113=Keys!$C$60,Keys!$C$51,INDEX(Balanced_2025!$D$9:$D$3032,MATCH($A113&amp;Keys!$C$54&amp;Keys!$C$57&amp;Keys!$C$54&amp;$C113,Balanced_2025!$E$9:$E$3032,0)))</f>
        <v>0</v>
      </c>
      <c r="J113" s="10">
        <f t="shared" si="4"/>
        <v>0</v>
      </c>
      <c r="K113" s="10">
        <f>MAX(Keys!$C$51,$I113-$H113)</f>
        <v>0</v>
      </c>
      <c r="L113" s="10">
        <f t="shared" si="5"/>
        <v>0</v>
      </c>
      <c r="M113" s="11">
        <f>IF($L113&gt;Keys!$C$51,MIN(Keys!$C$52,$K113/$L113),Keys!$C$51)</f>
        <v>0</v>
      </c>
      <c r="N113" s="11">
        <f>IF($E113=Keys!$C$60,Keys!$C$51,IF($E113=Keys!$C$59,$D113,$M113))</f>
        <v>0</v>
      </c>
      <c r="O113">
        <f t="shared" si="6"/>
        <v>0</v>
      </c>
      <c r="P113" s="10">
        <f>IF($E113=Keys!$C$60,Keys!$C$51,INDEX(Raw_BFPIaE!$G$9:$G$3032,MATCH($A113&amp;Keys!$C$54&amp;Keys!$C$55&amp;Keys!$C$54&amp;$B113,Raw_BFPIaE!$H$9:$H$3032,0)))</f>
        <v>0</v>
      </c>
      <c r="Q113" s="10">
        <f>IF($E113=Keys!$C$60,Keys!$C$51,INDEX(Raw_BFPIaE!$G$9:$G$3032,MATCH($A113&amp;Keys!$C$54&amp;Keys!$C$56&amp;Keys!$C$54&amp;$B113,Raw_BFPIaE!$H$9:$H$3032,0)))</f>
        <v>0</v>
      </c>
      <c r="R113" s="10">
        <f>IF($E113=Keys!$C$60,Keys!$C$51,INDEX(Raw_BFPIaE!$G$9:$G$3032,MATCH($A113&amp;Keys!$C$54&amp;Keys!$C$57&amp;Keys!$C$54&amp;$B113,Raw_BFPIaE!$H$9:$H$3032,0)))</f>
        <v>0</v>
      </c>
      <c r="S113" s="11">
        <f>IF(($P113+$Q113-$R113+MAX(Keys!$C$51,$R113-$Q113))&gt;Keys!$C$51,MIN(Keys!$C$52,MAX(Keys!$C$51,$R113-$Q113)/($P113+$Q113-$R113+MAX(Keys!$C$51,$R113-$Q113))),Keys!$C$51)</f>
        <v>0</v>
      </c>
      <c r="T113">
        <f>IF(AND($I113&gt;$H113,ABS($L113-$G113)&gt;MAX(Keys!$C$62,ABS($G113)*Keys!$C$63)),1,0)</f>
        <v>0</v>
      </c>
      <c r="U113">
        <f>IF(OR($N113&lt;Keys!$C$51,$N113&gt;Keys!$C$52),1,0)</f>
        <v>0</v>
      </c>
      <c r="V113">
        <f>IF(AND($E113=Keys!$C$60,$N113&lt;&gt;Keys!$C$51),1,0)</f>
        <v>0</v>
      </c>
      <c r="W113">
        <f>IF($L113&gt;Keys!$C$51,IF($K113/$L113&gt;Keys!$C$52,1,0),0)</f>
        <v>0</v>
      </c>
      <c r="X113" s="11">
        <f t="shared" si="7"/>
        <v>0</v>
      </c>
    </row>
    <row r="114" spans="1:24" x14ac:dyDescent="0.25">
      <c r="A114" t="s">
        <v>76</v>
      </c>
      <c r="B114" t="s">
        <v>77</v>
      </c>
      <c r="C114">
        <f>VLOOKUP($B114,Keys!$F$2:$I$22,2,FALSE)</f>
        <v>0</v>
      </c>
      <c r="D114">
        <f>VLOOKUP($B114,Keys!$F$2:$I$22,3,FALSE)</f>
        <v>0</v>
      </c>
      <c r="E114" t="str">
        <f>VLOOKUP($B114,Keys!$F$2:$I$22,4,FALSE)</f>
        <v>zero</v>
      </c>
      <c r="F114" t="str">
        <f>$A114&amp;Keys!$C$54&amp;$B114</f>
        <v>CT|wind (is not a fuel)</v>
      </c>
      <c r="G114" s="10">
        <f>IF($E114=Keys!$C$60,Keys!$C$51,INDEX(Balanced_2025!$D$9:$D$3032,MATCH($A114&amp;Keys!$C$54&amp;Keys!$C$55&amp;Keys!$C$54&amp;$C114,Balanced_2025!$E$9:$E$3032,0)))</f>
        <v>0</v>
      </c>
      <c r="H114" s="10">
        <f>IF($E114=Keys!$C$60,Keys!$C$51,INDEX(Balanced_2025!$D$9:$D$3032,MATCH($A114&amp;Keys!$C$54&amp;Keys!$C$56&amp;Keys!$C$54&amp;$C114,Balanced_2025!$E$9:$E$3032,0)))</f>
        <v>0</v>
      </c>
      <c r="I114" s="10">
        <f>IF($E114=Keys!$C$60,Keys!$C$51,INDEX(Balanced_2025!$D$9:$D$3032,MATCH($A114&amp;Keys!$C$54&amp;Keys!$C$57&amp;Keys!$C$54&amp;$C114,Balanced_2025!$E$9:$E$3032,0)))</f>
        <v>0</v>
      </c>
      <c r="J114" s="10">
        <f t="shared" si="4"/>
        <v>0</v>
      </c>
      <c r="K114" s="10">
        <f>MAX(Keys!$C$51,$I114-$H114)</f>
        <v>0</v>
      </c>
      <c r="L114" s="10">
        <f t="shared" si="5"/>
        <v>0</v>
      </c>
      <c r="M114" s="11">
        <f>IF($L114&gt;Keys!$C$51,MIN(Keys!$C$52,$K114/$L114),Keys!$C$51)</f>
        <v>0</v>
      </c>
      <c r="N114" s="11">
        <f>IF($E114=Keys!$C$60,Keys!$C$51,IF($E114=Keys!$C$59,$D114,$M114))</f>
        <v>0</v>
      </c>
      <c r="O114">
        <f t="shared" si="6"/>
        <v>0</v>
      </c>
      <c r="P114" s="10">
        <f>IF($E114=Keys!$C$60,Keys!$C$51,INDEX(Raw_BFPIaE!$G$9:$G$3032,MATCH($A114&amp;Keys!$C$54&amp;Keys!$C$55&amp;Keys!$C$54&amp;$B114,Raw_BFPIaE!$H$9:$H$3032,0)))</f>
        <v>0</v>
      </c>
      <c r="Q114" s="10">
        <f>IF($E114=Keys!$C$60,Keys!$C$51,INDEX(Raw_BFPIaE!$G$9:$G$3032,MATCH($A114&amp;Keys!$C$54&amp;Keys!$C$56&amp;Keys!$C$54&amp;$B114,Raw_BFPIaE!$H$9:$H$3032,0)))</f>
        <v>0</v>
      </c>
      <c r="R114" s="10">
        <f>IF($E114=Keys!$C$60,Keys!$C$51,INDEX(Raw_BFPIaE!$G$9:$G$3032,MATCH($A114&amp;Keys!$C$54&amp;Keys!$C$57&amp;Keys!$C$54&amp;$B114,Raw_BFPIaE!$H$9:$H$3032,0)))</f>
        <v>0</v>
      </c>
      <c r="S114" s="11">
        <f>IF(($P114+$Q114-$R114+MAX(Keys!$C$51,$R114-$Q114))&gt;Keys!$C$51,MIN(Keys!$C$52,MAX(Keys!$C$51,$R114-$Q114)/($P114+$Q114-$R114+MAX(Keys!$C$51,$R114-$Q114))),Keys!$C$51)</f>
        <v>0</v>
      </c>
      <c r="T114">
        <f>IF(AND($I114&gt;$H114,ABS($L114-$G114)&gt;MAX(Keys!$C$62,ABS($G114)*Keys!$C$63)),1,0)</f>
        <v>0</v>
      </c>
      <c r="U114">
        <f>IF(OR($N114&lt;Keys!$C$51,$N114&gt;Keys!$C$52),1,0)</f>
        <v>0</v>
      </c>
      <c r="V114">
        <f>IF(AND($E114=Keys!$C$60,$N114&lt;&gt;Keys!$C$51),1,0)</f>
        <v>0</v>
      </c>
      <c r="W114">
        <f>IF($L114&gt;Keys!$C$51,IF($K114/$L114&gt;Keys!$C$52,1,0),0)</f>
        <v>0</v>
      </c>
      <c r="X114" s="11">
        <f t="shared" si="7"/>
        <v>0</v>
      </c>
    </row>
    <row r="115" spans="1:24" x14ac:dyDescent="0.25">
      <c r="A115" t="s">
        <v>76</v>
      </c>
      <c r="B115" t="s">
        <v>80</v>
      </c>
      <c r="C115">
        <f>VLOOKUP($B115,Keys!$F$2:$I$22,2,FALSE)</f>
        <v>0</v>
      </c>
      <c r="D115">
        <f>VLOOKUP($B115,Keys!$F$2:$I$22,3,FALSE)</f>
        <v>0</v>
      </c>
      <c r="E115" t="str">
        <f>VLOOKUP($B115,Keys!$F$2:$I$22,4,FALSE)</f>
        <v>zero</v>
      </c>
      <c r="F115" t="str">
        <f>$A115&amp;Keys!$C$54&amp;$B115</f>
        <v>CT|solar (is not a fuel)</v>
      </c>
      <c r="G115" s="10">
        <f>IF($E115=Keys!$C$60,Keys!$C$51,INDEX(Balanced_2025!$D$9:$D$3032,MATCH($A115&amp;Keys!$C$54&amp;Keys!$C$55&amp;Keys!$C$54&amp;$C115,Balanced_2025!$E$9:$E$3032,0)))</f>
        <v>0</v>
      </c>
      <c r="H115" s="10">
        <f>IF($E115=Keys!$C$60,Keys!$C$51,INDEX(Balanced_2025!$D$9:$D$3032,MATCH($A115&amp;Keys!$C$54&amp;Keys!$C$56&amp;Keys!$C$54&amp;$C115,Balanced_2025!$E$9:$E$3032,0)))</f>
        <v>0</v>
      </c>
      <c r="I115" s="10">
        <f>IF($E115=Keys!$C$60,Keys!$C$51,INDEX(Balanced_2025!$D$9:$D$3032,MATCH($A115&amp;Keys!$C$54&amp;Keys!$C$57&amp;Keys!$C$54&amp;$C115,Balanced_2025!$E$9:$E$3032,0)))</f>
        <v>0</v>
      </c>
      <c r="J115" s="10">
        <f t="shared" si="4"/>
        <v>0</v>
      </c>
      <c r="K115" s="10">
        <f>MAX(Keys!$C$51,$I115-$H115)</f>
        <v>0</v>
      </c>
      <c r="L115" s="10">
        <f t="shared" si="5"/>
        <v>0</v>
      </c>
      <c r="M115" s="11">
        <f>IF($L115&gt;Keys!$C$51,MIN(Keys!$C$52,$K115/$L115),Keys!$C$51)</f>
        <v>0</v>
      </c>
      <c r="N115" s="11">
        <f>IF($E115=Keys!$C$60,Keys!$C$51,IF($E115=Keys!$C$59,$D115,$M115))</f>
        <v>0</v>
      </c>
      <c r="O115">
        <f t="shared" si="6"/>
        <v>0</v>
      </c>
      <c r="P115" s="10">
        <f>IF($E115=Keys!$C$60,Keys!$C$51,INDEX(Raw_BFPIaE!$G$9:$G$3032,MATCH($A115&amp;Keys!$C$54&amp;Keys!$C$55&amp;Keys!$C$54&amp;$B115,Raw_BFPIaE!$H$9:$H$3032,0)))</f>
        <v>0</v>
      </c>
      <c r="Q115" s="10">
        <f>IF($E115=Keys!$C$60,Keys!$C$51,INDEX(Raw_BFPIaE!$G$9:$G$3032,MATCH($A115&amp;Keys!$C$54&amp;Keys!$C$56&amp;Keys!$C$54&amp;$B115,Raw_BFPIaE!$H$9:$H$3032,0)))</f>
        <v>0</v>
      </c>
      <c r="R115" s="10">
        <f>IF($E115=Keys!$C$60,Keys!$C$51,INDEX(Raw_BFPIaE!$G$9:$G$3032,MATCH($A115&amp;Keys!$C$54&amp;Keys!$C$57&amp;Keys!$C$54&amp;$B115,Raw_BFPIaE!$H$9:$H$3032,0)))</f>
        <v>0</v>
      </c>
      <c r="S115" s="11">
        <f>IF(($P115+$Q115-$R115+MAX(Keys!$C$51,$R115-$Q115))&gt;Keys!$C$51,MIN(Keys!$C$52,MAX(Keys!$C$51,$R115-$Q115)/($P115+$Q115-$R115+MAX(Keys!$C$51,$R115-$Q115))),Keys!$C$51)</f>
        <v>0</v>
      </c>
      <c r="T115">
        <f>IF(AND($I115&gt;$H115,ABS($L115-$G115)&gt;MAX(Keys!$C$62,ABS($G115)*Keys!$C$63)),1,0)</f>
        <v>0</v>
      </c>
      <c r="U115">
        <f>IF(OR($N115&lt;Keys!$C$51,$N115&gt;Keys!$C$52),1,0)</f>
        <v>0</v>
      </c>
      <c r="V115">
        <f>IF(AND($E115=Keys!$C$60,$N115&lt;&gt;Keys!$C$51),1,0)</f>
        <v>0</v>
      </c>
      <c r="W115">
        <f>IF($L115&gt;Keys!$C$51,IF($K115/$L115&gt;Keys!$C$52,1,0),0)</f>
        <v>0</v>
      </c>
      <c r="X115" s="11">
        <f t="shared" si="7"/>
        <v>0</v>
      </c>
    </row>
    <row r="116" spans="1:24" x14ac:dyDescent="0.25">
      <c r="A116" t="s">
        <v>76</v>
      </c>
      <c r="B116" t="s">
        <v>82</v>
      </c>
      <c r="C116" t="str">
        <f>VLOOKUP($B116,Keys!$F$2:$I$22,2,FALSE)</f>
        <v>biomass</v>
      </c>
      <c r="D116">
        <f>VLOOKUP($B116,Keys!$F$2:$I$22,3,FALSE)</f>
        <v>0.74947425499999998</v>
      </c>
      <c r="E116" t="str">
        <f>VLOOKUP($B116,Keys!$F$2:$I$22,4,FALSE)</f>
        <v>rule</v>
      </c>
      <c r="F116" t="str">
        <f>$A116&amp;Keys!$C$54&amp;$B116</f>
        <v>CT|biomass</v>
      </c>
      <c r="G116" s="10">
        <f>IF($E116=Keys!$C$60,Keys!$C$51,INDEX(Balanced_2025!$D$9:$D$3032,MATCH($A116&amp;Keys!$C$54&amp;Keys!$C$55&amp;Keys!$C$54&amp;$C116,Balanced_2025!$E$9:$E$3032,0)))</f>
        <v>0</v>
      </c>
      <c r="H116" s="10">
        <f>IF($E116=Keys!$C$60,Keys!$C$51,INDEX(Balanced_2025!$D$9:$D$3032,MATCH($A116&amp;Keys!$C$54&amp;Keys!$C$56&amp;Keys!$C$54&amp;$C116,Balanced_2025!$E$9:$E$3032,0)))</f>
        <v>17278800000000</v>
      </c>
      <c r="I116" s="10">
        <f>IF($E116=Keys!$C$60,Keys!$C$51,INDEX(Balanced_2025!$D$9:$D$3032,MATCH($A116&amp;Keys!$C$54&amp;Keys!$C$57&amp;Keys!$C$54&amp;$C116,Balanced_2025!$E$9:$E$3032,0)))</f>
        <v>0</v>
      </c>
      <c r="J116" s="10">
        <f t="shared" si="4"/>
        <v>17278800000000</v>
      </c>
      <c r="K116" s="10">
        <f>MAX(Keys!$C$51,$I116-$H116)</f>
        <v>0</v>
      </c>
      <c r="L116" s="10">
        <f t="shared" si="5"/>
        <v>17278800000000</v>
      </c>
      <c r="M116" s="11">
        <f>IF($L116&gt;Keys!$C$51,MIN(Keys!$C$52,$K116/$L116),Keys!$C$51)</f>
        <v>0</v>
      </c>
      <c r="N116" s="11">
        <f>IF($E116=Keys!$C$60,Keys!$C$51,IF($E116=Keys!$C$59,$D116,$M116))</f>
        <v>0</v>
      </c>
      <c r="O116">
        <f t="shared" si="6"/>
        <v>1</v>
      </c>
      <c r="P116" s="10">
        <f>IF($E116=Keys!$C$60,Keys!$C$51,INDEX(Raw_BFPIaE!$G$9:$G$3032,MATCH($A116&amp;Keys!$C$54&amp;Keys!$C$55&amp;Keys!$C$54&amp;$B116,Raw_BFPIaE!$H$9:$H$3032,0)))</f>
        <v>0</v>
      </c>
      <c r="Q116" s="10">
        <f>IF($E116=Keys!$C$60,Keys!$C$51,INDEX(Raw_BFPIaE!$G$9:$G$3032,MATCH($A116&amp;Keys!$C$54&amp;Keys!$C$56&amp;Keys!$C$54&amp;$B116,Raw_BFPIaE!$H$9:$H$3032,0)))</f>
        <v>10734966666666.666</v>
      </c>
      <c r="R116" s="10">
        <f>IF($E116=Keys!$C$60,Keys!$C$51,INDEX(Raw_BFPIaE!$G$9:$G$3032,MATCH($A116&amp;Keys!$C$54&amp;Keys!$C$57&amp;Keys!$C$54&amp;$B116,Raw_BFPIaE!$H$9:$H$3032,0)))</f>
        <v>0</v>
      </c>
      <c r="S116" s="11">
        <f>IF(($P116+$Q116-$R116+MAX(Keys!$C$51,$R116-$Q116))&gt;Keys!$C$51,MIN(Keys!$C$52,MAX(Keys!$C$51,$R116-$Q116)/($P116+$Q116-$R116+MAX(Keys!$C$51,$R116-$Q116))),Keys!$C$51)</f>
        <v>0</v>
      </c>
      <c r="T116">
        <f>IF(AND($I116&gt;$H116,ABS($L116-$G116)&gt;MAX(Keys!$C$62,ABS($G116)*Keys!$C$63)),1,0)</f>
        <v>0</v>
      </c>
      <c r="U116">
        <f>IF(OR($N116&lt;Keys!$C$51,$N116&gt;Keys!$C$52),1,0)</f>
        <v>0</v>
      </c>
      <c r="V116">
        <f>IF(AND($E116=Keys!$C$60,$N116&lt;&gt;Keys!$C$51),1,0)</f>
        <v>0</v>
      </c>
      <c r="W116">
        <f>IF($L116&gt;Keys!$C$51,IF($K116/$L116&gt;Keys!$C$52,1,0),0)</f>
        <v>0</v>
      </c>
      <c r="X116" s="11">
        <f t="shared" si="7"/>
        <v>0</v>
      </c>
    </row>
    <row r="117" spans="1:24" x14ac:dyDescent="0.25">
      <c r="A117" t="s">
        <v>76</v>
      </c>
      <c r="B117" t="s">
        <v>85</v>
      </c>
      <c r="C117" t="str">
        <f>VLOOKUP($B117,Keys!$F$2:$I$22,2,FALSE)</f>
        <v>petroleum gasoline</v>
      </c>
      <c r="D117">
        <f>VLOOKUP($B117,Keys!$F$2:$I$22,3,FALSE)</f>
        <v>7.5004052000000002E-2</v>
      </c>
      <c r="E117" t="str">
        <f>VLOOKUP($B117,Keys!$F$2:$I$22,4,FALSE)</f>
        <v>rule</v>
      </c>
      <c r="F117" t="str">
        <f>$A117&amp;Keys!$C$54&amp;$B117</f>
        <v>CT|petroleum gasoline</v>
      </c>
      <c r="G117" s="10">
        <f>IF($E117=Keys!$C$60,Keys!$C$51,INDEX(Balanced_2025!$D$9:$D$3032,MATCH($A117&amp;Keys!$C$54&amp;Keys!$C$55&amp;Keys!$C$54&amp;$C117,Balanced_2025!$E$9:$E$3032,0)))</f>
        <v>0</v>
      </c>
      <c r="H117" s="10">
        <f>IF($E117=Keys!$C$60,Keys!$C$51,INDEX(Balanced_2025!$D$9:$D$3032,MATCH($A117&amp;Keys!$C$54&amp;Keys!$C$56&amp;Keys!$C$54&amp;$C117,Balanced_2025!$E$9:$E$3032,0)))</f>
        <v>159966000000000</v>
      </c>
      <c r="I117" s="10">
        <f>IF($E117=Keys!$C$60,Keys!$C$51,INDEX(Balanced_2025!$D$9:$D$3032,MATCH($A117&amp;Keys!$C$54&amp;Keys!$C$57&amp;Keys!$C$54&amp;$C117,Balanced_2025!$E$9:$E$3032,0)))</f>
        <v>0</v>
      </c>
      <c r="J117" s="10">
        <f t="shared" si="4"/>
        <v>159966000000000</v>
      </c>
      <c r="K117" s="10">
        <f>MAX(Keys!$C$51,$I117-$H117)</f>
        <v>0</v>
      </c>
      <c r="L117" s="10">
        <f t="shared" si="5"/>
        <v>159966000000000</v>
      </c>
      <c r="M117" s="11">
        <f>IF($L117&gt;Keys!$C$51,MIN(Keys!$C$52,$K117/$L117),Keys!$C$51)</f>
        <v>0</v>
      </c>
      <c r="N117" s="11">
        <f>IF($E117=Keys!$C$60,Keys!$C$51,IF($E117=Keys!$C$59,$D117,$M117))</f>
        <v>0</v>
      </c>
      <c r="O117">
        <f t="shared" si="6"/>
        <v>1</v>
      </c>
      <c r="P117" s="10">
        <f>IF($E117=Keys!$C$60,Keys!$C$51,INDEX(Raw_BFPIaE!$G$9:$G$3032,MATCH($A117&amp;Keys!$C$54&amp;Keys!$C$55&amp;Keys!$C$54&amp;$B117,Raw_BFPIaE!$H$9:$H$3032,0)))</f>
        <v>0</v>
      </c>
      <c r="Q117" s="10">
        <f>IF($E117=Keys!$C$60,Keys!$C$51,INDEX(Raw_BFPIaE!$G$9:$G$3032,MATCH($A117&amp;Keys!$C$54&amp;Keys!$C$56&amp;Keys!$C$54&amp;$B117,Raw_BFPIaE!$H$9:$H$3032,0)))</f>
        <v>99704333333333.328</v>
      </c>
      <c r="R117" s="10">
        <f>IF($E117=Keys!$C$60,Keys!$C$51,INDEX(Raw_BFPIaE!$G$9:$G$3032,MATCH($A117&amp;Keys!$C$54&amp;Keys!$C$57&amp;Keys!$C$54&amp;$B117,Raw_BFPIaE!$H$9:$H$3032,0)))</f>
        <v>0</v>
      </c>
      <c r="S117" s="11">
        <f>IF(($P117+$Q117-$R117+MAX(Keys!$C$51,$R117-$Q117))&gt;Keys!$C$51,MIN(Keys!$C$52,MAX(Keys!$C$51,$R117-$Q117)/($P117+$Q117-$R117+MAX(Keys!$C$51,$R117-$Q117))),Keys!$C$51)</f>
        <v>0</v>
      </c>
      <c r="T117">
        <f>IF(AND($I117&gt;$H117,ABS($L117-$G117)&gt;MAX(Keys!$C$62,ABS($G117)*Keys!$C$63)),1,0)</f>
        <v>0</v>
      </c>
      <c r="U117">
        <f>IF(OR($N117&lt;Keys!$C$51,$N117&gt;Keys!$C$52),1,0)</f>
        <v>0</v>
      </c>
      <c r="V117">
        <f>IF(AND($E117=Keys!$C$60,$N117&lt;&gt;Keys!$C$51),1,0)</f>
        <v>0</v>
      </c>
      <c r="W117">
        <f>IF($L117&gt;Keys!$C$51,IF($K117/$L117&gt;Keys!$C$52,1,0),0)</f>
        <v>0</v>
      </c>
      <c r="X117" s="11">
        <f t="shared" si="7"/>
        <v>0</v>
      </c>
    </row>
    <row r="118" spans="1:24" x14ac:dyDescent="0.25">
      <c r="A118" t="s">
        <v>76</v>
      </c>
      <c r="B118" t="s">
        <v>88</v>
      </c>
      <c r="C118" t="str">
        <f>VLOOKUP($B118,Keys!$F$2:$I$22,2,FALSE)</f>
        <v>petroleum diesel</v>
      </c>
      <c r="D118">
        <f>VLOOKUP($B118,Keys!$F$2:$I$22,3,FALSE)</f>
        <v>0.26691051799999999</v>
      </c>
      <c r="E118" t="str">
        <f>VLOOKUP($B118,Keys!$F$2:$I$22,4,FALSE)</f>
        <v>rule</v>
      </c>
      <c r="F118" t="str">
        <f>$A118&amp;Keys!$C$54&amp;$B118</f>
        <v>CT|petroleum diesel</v>
      </c>
      <c r="G118" s="10">
        <f>IF($E118=Keys!$C$60,Keys!$C$51,INDEX(Balanced_2025!$D$9:$D$3032,MATCH($A118&amp;Keys!$C$54&amp;Keys!$C$55&amp;Keys!$C$54&amp;$C118,Balanced_2025!$E$9:$E$3032,0)))</f>
        <v>0</v>
      </c>
      <c r="H118" s="10">
        <f>IF($E118=Keys!$C$60,Keys!$C$51,INDEX(Balanced_2025!$D$9:$D$3032,MATCH($A118&amp;Keys!$C$54&amp;Keys!$C$56&amp;Keys!$C$54&amp;$C118,Balanced_2025!$E$9:$E$3032,0)))</f>
        <v>109756000000000</v>
      </c>
      <c r="I118" s="10">
        <f>IF($E118=Keys!$C$60,Keys!$C$51,INDEX(Balanced_2025!$D$9:$D$3032,MATCH($A118&amp;Keys!$C$54&amp;Keys!$C$57&amp;Keys!$C$54&amp;$C118,Balanced_2025!$E$9:$E$3032,0)))</f>
        <v>0</v>
      </c>
      <c r="J118" s="10">
        <f t="shared" si="4"/>
        <v>109756000000000</v>
      </c>
      <c r="K118" s="10">
        <f>MAX(Keys!$C$51,$I118-$H118)</f>
        <v>0</v>
      </c>
      <c r="L118" s="10">
        <f t="shared" si="5"/>
        <v>109756000000000</v>
      </c>
      <c r="M118" s="11">
        <f>IF($L118&gt;Keys!$C$51,MIN(Keys!$C$52,$K118/$L118),Keys!$C$51)</f>
        <v>0</v>
      </c>
      <c r="N118" s="11">
        <f>IF($E118=Keys!$C$60,Keys!$C$51,IF($E118=Keys!$C$59,$D118,$M118))</f>
        <v>0</v>
      </c>
      <c r="O118">
        <f t="shared" si="6"/>
        <v>1</v>
      </c>
      <c r="P118" s="10">
        <f>IF($E118=Keys!$C$60,Keys!$C$51,INDEX(Raw_BFPIaE!$G$9:$G$3032,MATCH($A118&amp;Keys!$C$54&amp;Keys!$C$55&amp;Keys!$C$54&amp;$B118,Raw_BFPIaE!$H$9:$H$3032,0)))</f>
        <v>0</v>
      </c>
      <c r="Q118" s="10">
        <f>IF($E118=Keys!$C$60,Keys!$C$51,INDEX(Raw_BFPIaE!$G$9:$G$3032,MATCH($A118&amp;Keys!$C$54&amp;Keys!$C$56&amp;Keys!$C$54&amp;$B118,Raw_BFPIaE!$H$9:$H$3032,0)))</f>
        <v>71405333333333.328</v>
      </c>
      <c r="R118" s="10">
        <f>IF($E118=Keys!$C$60,Keys!$C$51,INDEX(Raw_BFPIaE!$G$9:$G$3032,MATCH($A118&amp;Keys!$C$54&amp;Keys!$C$57&amp;Keys!$C$54&amp;$B118,Raw_BFPIaE!$H$9:$H$3032,0)))</f>
        <v>0</v>
      </c>
      <c r="S118" s="11">
        <f>IF(($P118+$Q118-$R118+MAX(Keys!$C$51,$R118-$Q118))&gt;Keys!$C$51,MIN(Keys!$C$52,MAX(Keys!$C$51,$R118-$Q118)/($P118+$Q118-$R118+MAX(Keys!$C$51,$R118-$Q118))),Keys!$C$51)</f>
        <v>0</v>
      </c>
      <c r="T118">
        <f>IF(AND($I118&gt;$H118,ABS($L118-$G118)&gt;MAX(Keys!$C$62,ABS($G118)*Keys!$C$63)),1,0)</f>
        <v>0</v>
      </c>
      <c r="U118">
        <f>IF(OR($N118&lt;Keys!$C$51,$N118&gt;Keys!$C$52),1,0)</f>
        <v>0</v>
      </c>
      <c r="V118">
        <f>IF(AND($E118=Keys!$C$60,$N118&lt;&gt;Keys!$C$51),1,0)</f>
        <v>0</v>
      </c>
      <c r="W118">
        <f>IF($L118&gt;Keys!$C$51,IF($K118/$L118&gt;Keys!$C$52,1,0),0)</f>
        <v>0</v>
      </c>
      <c r="X118" s="11">
        <f t="shared" si="7"/>
        <v>0</v>
      </c>
    </row>
    <row r="119" spans="1:24" x14ac:dyDescent="0.25">
      <c r="A119" t="s">
        <v>76</v>
      </c>
      <c r="B119" t="s">
        <v>91</v>
      </c>
      <c r="C119" t="str">
        <f>VLOOKUP($B119,Keys!$F$2:$I$22,2,FALSE)</f>
        <v>biofuel gasoline</v>
      </c>
      <c r="D119">
        <f>VLOOKUP($B119,Keys!$F$2:$I$22,3,FALSE)</f>
        <v>8.7213884000000005E-2</v>
      </c>
      <c r="E119" t="str">
        <f>VLOOKUP($B119,Keys!$F$2:$I$22,4,FALSE)</f>
        <v>rule</v>
      </c>
      <c r="F119" t="str">
        <f>$A119&amp;Keys!$C$54&amp;$B119</f>
        <v>CT|biofuel gasoline</v>
      </c>
      <c r="G119" s="10">
        <f>IF($E119=Keys!$C$60,Keys!$C$51,INDEX(Balanced_2025!$D$9:$D$3032,MATCH($A119&amp;Keys!$C$54&amp;Keys!$C$55&amp;Keys!$C$54&amp;$C119,Balanced_2025!$E$9:$E$3032,0)))</f>
        <v>0</v>
      </c>
      <c r="H119" s="10">
        <f>IF($E119=Keys!$C$60,Keys!$C$51,INDEX(Balanced_2025!$D$9:$D$3032,MATCH($A119&amp;Keys!$C$54&amp;Keys!$C$56&amp;Keys!$C$54&amp;$C119,Balanced_2025!$E$9:$E$3032,0)))</f>
        <v>11706100000000</v>
      </c>
      <c r="I119" s="10">
        <f>IF($E119=Keys!$C$60,Keys!$C$51,INDEX(Balanced_2025!$D$9:$D$3032,MATCH($A119&amp;Keys!$C$54&amp;Keys!$C$57&amp;Keys!$C$54&amp;$C119,Balanced_2025!$E$9:$E$3032,0)))</f>
        <v>0</v>
      </c>
      <c r="J119" s="10">
        <f t="shared" si="4"/>
        <v>11706100000000</v>
      </c>
      <c r="K119" s="10">
        <f>MAX(Keys!$C$51,$I119-$H119)</f>
        <v>0</v>
      </c>
      <c r="L119" s="10">
        <f t="shared" si="5"/>
        <v>11706100000000</v>
      </c>
      <c r="M119" s="11">
        <f>IF($L119&gt;Keys!$C$51,MIN(Keys!$C$52,$K119/$L119),Keys!$C$51)</f>
        <v>0</v>
      </c>
      <c r="N119" s="11">
        <f>IF($E119=Keys!$C$60,Keys!$C$51,IF($E119=Keys!$C$59,$D119,$M119))</f>
        <v>0</v>
      </c>
      <c r="O119">
        <f t="shared" si="6"/>
        <v>1</v>
      </c>
      <c r="P119" s="10">
        <f>IF($E119=Keys!$C$60,Keys!$C$51,INDEX(Raw_BFPIaE!$G$9:$G$3032,MATCH($A119&amp;Keys!$C$54&amp;Keys!$C$55&amp;Keys!$C$54&amp;$B119,Raw_BFPIaE!$H$9:$H$3032,0)))</f>
        <v>0</v>
      </c>
      <c r="Q119" s="10">
        <f>IF($E119=Keys!$C$60,Keys!$C$51,INDEX(Raw_BFPIaE!$G$9:$G$3032,MATCH($A119&amp;Keys!$C$54&amp;Keys!$C$56&amp;Keys!$C$54&amp;$B119,Raw_BFPIaE!$H$9:$H$3032,0)))</f>
        <v>7293100000000</v>
      </c>
      <c r="R119" s="10">
        <f>IF($E119=Keys!$C$60,Keys!$C$51,INDEX(Raw_BFPIaE!$G$9:$G$3032,MATCH($A119&amp;Keys!$C$54&amp;Keys!$C$57&amp;Keys!$C$54&amp;$B119,Raw_BFPIaE!$H$9:$H$3032,0)))</f>
        <v>0</v>
      </c>
      <c r="S119" s="11">
        <f>IF(($P119+$Q119-$R119+MAX(Keys!$C$51,$R119-$Q119))&gt;Keys!$C$51,MIN(Keys!$C$52,MAX(Keys!$C$51,$R119-$Q119)/($P119+$Q119-$R119+MAX(Keys!$C$51,$R119-$Q119))),Keys!$C$51)</f>
        <v>0</v>
      </c>
      <c r="T119">
        <f>IF(AND($I119&gt;$H119,ABS($L119-$G119)&gt;MAX(Keys!$C$62,ABS($G119)*Keys!$C$63)),1,0)</f>
        <v>0</v>
      </c>
      <c r="U119">
        <f>IF(OR($N119&lt;Keys!$C$51,$N119&gt;Keys!$C$52),1,0)</f>
        <v>0</v>
      </c>
      <c r="V119">
        <f>IF(AND($E119=Keys!$C$60,$N119&lt;&gt;Keys!$C$51),1,0)</f>
        <v>0</v>
      </c>
      <c r="W119">
        <f>IF($L119&gt;Keys!$C$51,IF($K119/$L119&gt;Keys!$C$52,1,0),0)</f>
        <v>0</v>
      </c>
      <c r="X119" s="11">
        <f t="shared" si="7"/>
        <v>0</v>
      </c>
    </row>
    <row r="120" spans="1:24" x14ac:dyDescent="0.25">
      <c r="A120" t="s">
        <v>76</v>
      </c>
      <c r="B120" t="s">
        <v>94</v>
      </c>
      <c r="C120" t="str">
        <f>VLOOKUP($B120,Keys!$F$2:$I$22,2,FALSE)</f>
        <v>biofuel diesel</v>
      </c>
      <c r="D120">
        <f>VLOOKUP($B120,Keys!$F$2:$I$22,3,FALSE)</f>
        <v>5.8642381E-2</v>
      </c>
      <c r="E120" t="str">
        <f>VLOOKUP($B120,Keys!$F$2:$I$22,4,FALSE)</f>
        <v>rule</v>
      </c>
      <c r="F120" t="str">
        <f>$A120&amp;Keys!$C$54&amp;$B120</f>
        <v>CT|biofuel diesel</v>
      </c>
      <c r="G120" s="10">
        <f>IF($E120=Keys!$C$60,Keys!$C$51,INDEX(Balanced_2025!$D$9:$D$3032,MATCH($A120&amp;Keys!$C$54&amp;Keys!$C$55&amp;Keys!$C$54&amp;$C120,Balanced_2025!$E$9:$E$3032,0)))</f>
        <v>10680200000000</v>
      </c>
      <c r="H120" s="10">
        <f>IF($E120=Keys!$C$60,Keys!$C$51,INDEX(Balanced_2025!$D$9:$D$3032,MATCH($A120&amp;Keys!$C$54&amp;Keys!$C$56&amp;Keys!$C$54&amp;$C120,Balanced_2025!$E$9:$E$3032,0)))</f>
        <v>21529300000</v>
      </c>
      <c r="I120" s="10">
        <f>IF($E120=Keys!$C$60,Keys!$C$51,INDEX(Balanced_2025!$D$9:$D$3032,MATCH($A120&amp;Keys!$C$54&amp;Keys!$C$57&amp;Keys!$C$54&amp;$C120,Balanced_2025!$E$9:$E$3032,0)))</f>
        <v>9974050000000</v>
      </c>
      <c r="J120" s="10">
        <f t="shared" si="4"/>
        <v>727679300000</v>
      </c>
      <c r="K120" s="10">
        <f>MAX(Keys!$C$51,$I120-$H120)</f>
        <v>9952520700000</v>
      </c>
      <c r="L120" s="10">
        <f t="shared" si="5"/>
        <v>10680200000000</v>
      </c>
      <c r="M120" s="11">
        <f>IF($L120&gt;Keys!$C$51,MIN(Keys!$C$52,$K120/$L120),Keys!$C$51)</f>
        <v>0.93186650999044962</v>
      </c>
      <c r="N120" s="11">
        <f>IF($E120=Keys!$C$60,Keys!$C$51,IF($E120=Keys!$C$59,$D120,$M120))</f>
        <v>0.93186650999044962</v>
      </c>
      <c r="O120">
        <f t="shared" si="6"/>
        <v>1</v>
      </c>
      <c r="P120" s="10">
        <f>IF($E120=Keys!$C$60,Keys!$C$51,INDEX(Raw_BFPIaE!$G$9:$G$3032,MATCH($A120&amp;Keys!$C$54&amp;Keys!$C$55&amp;Keys!$C$54&amp;$B120,Raw_BFPIaE!$H$9:$H$3032,0)))</f>
        <v>11349000000000</v>
      </c>
      <c r="Q120" s="10">
        <f>IF($E120=Keys!$C$60,Keys!$C$51,INDEX(Raw_BFPIaE!$G$9:$G$3032,MATCH($A120&amp;Keys!$C$54&amp;Keys!$C$56&amp;Keys!$C$54&amp;$B120,Raw_BFPIaE!$H$9:$H$3032,0)))</f>
        <v>0</v>
      </c>
      <c r="R120" s="10">
        <f>IF($E120=Keys!$C$60,Keys!$C$51,INDEX(Raw_BFPIaE!$G$9:$G$3032,MATCH($A120&amp;Keys!$C$54&amp;Keys!$C$57&amp;Keys!$C$54&amp;$B120,Raw_BFPIaE!$H$9:$H$3032,0)))</f>
        <v>7317416666666.667</v>
      </c>
      <c r="S120" s="11">
        <f>IF(($P120+$Q120-$R120+MAX(Keys!$C$51,$R120-$Q120))&gt;Keys!$C$51,MIN(Keys!$C$52,MAX(Keys!$C$51,$R120-$Q120)/($P120+$Q120-$R120+MAX(Keys!$C$51,$R120-$Q120))),Keys!$C$51)</f>
        <v>0.64476312156724536</v>
      </c>
      <c r="T120">
        <f>IF(AND($I120&gt;$H120,ABS($L120-$G120)&gt;MAX(Keys!$C$62,ABS($G120)*Keys!$C$63)),1,0)</f>
        <v>0</v>
      </c>
      <c r="U120">
        <f>IF(OR($N120&lt;Keys!$C$51,$N120&gt;Keys!$C$52),1,0)</f>
        <v>0</v>
      </c>
      <c r="V120">
        <f>IF(AND($E120=Keys!$C$60,$N120&lt;&gt;Keys!$C$51),1,0)</f>
        <v>0</v>
      </c>
      <c r="W120">
        <f>IF($L120&gt;Keys!$C$51,IF($K120/$L120&gt;Keys!$C$52,1,0),0)</f>
        <v>0</v>
      </c>
      <c r="X120" s="11">
        <f t="shared" si="7"/>
        <v>0.28710338842320426</v>
      </c>
    </row>
    <row r="121" spans="1:24" x14ac:dyDescent="0.25">
      <c r="A121" t="s">
        <v>76</v>
      </c>
      <c r="B121" t="s">
        <v>97</v>
      </c>
      <c r="C121" t="str">
        <f>VLOOKUP($B121,Keys!$F$2:$I$22,2,FALSE)</f>
        <v>jet fuel or kerosene</v>
      </c>
      <c r="D121">
        <f>VLOOKUP($B121,Keys!$F$2:$I$22,3,FALSE)</f>
        <v>0.10155994</v>
      </c>
      <c r="E121" t="str">
        <f>VLOOKUP($B121,Keys!$F$2:$I$22,4,FALSE)</f>
        <v>rule</v>
      </c>
      <c r="F121" t="str">
        <f>$A121&amp;Keys!$C$54&amp;$B121</f>
        <v>CT|jet fuel or kerosene</v>
      </c>
      <c r="G121" s="10">
        <f>IF($E121=Keys!$C$60,Keys!$C$51,INDEX(Balanced_2025!$D$9:$D$3032,MATCH($A121&amp;Keys!$C$54&amp;Keys!$C$55&amp;Keys!$C$54&amp;$C121,Balanced_2025!$E$9:$E$3032,0)))</f>
        <v>0</v>
      </c>
      <c r="H121" s="10">
        <f>IF($E121=Keys!$C$60,Keys!$C$51,INDEX(Balanced_2025!$D$9:$D$3032,MATCH($A121&amp;Keys!$C$54&amp;Keys!$C$56&amp;Keys!$C$54&amp;$C121,Balanced_2025!$E$9:$E$3032,0)))</f>
        <v>9759880000000</v>
      </c>
      <c r="I121" s="10">
        <f>IF($E121=Keys!$C$60,Keys!$C$51,INDEX(Balanced_2025!$D$9:$D$3032,MATCH($A121&amp;Keys!$C$54&amp;Keys!$C$57&amp;Keys!$C$54&amp;$C121,Balanced_2025!$E$9:$E$3032,0)))</f>
        <v>0</v>
      </c>
      <c r="J121" s="10">
        <f t="shared" si="4"/>
        <v>9759880000000</v>
      </c>
      <c r="K121" s="10">
        <f>MAX(Keys!$C$51,$I121-$H121)</f>
        <v>0</v>
      </c>
      <c r="L121" s="10">
        <f t="shared" si="5"/>
        <v>9759880000000</v>
      </c>
      <c r="M121" s="11">
        <f>IF($L121&gt;Keys!$C$51,MIN(Keys!$C$52,$K121/$L121),Keys!$C$51)</f>
        <v>0</v>
      </c>
      <c r="N121" s="11">
        <f>IF($E121=Keys!$C$60,Keys!$C$51,IF($E121=Keys!$C$59,$D121,$M121))</f>
        <v>0</v>
      </c>
      <c r="O121">
        <f t="shared" si="6"/>
        <v>1</v>
      </c>
      <c r="P121" s="10">
        <f>IF($E121=Keys!$C$60,Keys!$C$51,INDEX(Raw_BFPIaE!$G$9:$G$3032,MATCH($A121&amp;Keys!$C$54&amp;Keys!$C$55&amp;Keys!$C$54&amp;$B121,Raw_BFPIaE!$H$9:$H$3032,0)))</f>
        <v>0</v>
      </c>
      <c r="Q121" s="10">
        <f>IF($E121=Keys!$C$60,Keys!$C$51,INDEX(Raw_BFPIaE!$G$9:$G$3032,MATCH($A121&amp;Keys!$C$54&amp;Keys!$C$56&amp;Keys!$C$54&amp;$B121,Raw_BFPIaE!$H$9:$H$3032,0)))</f>
        <v>6592826666666.667</v>
      </c>
      <c r="R121" s="10">
        <f>IF($E121=Keys!$C$60,Keys!$C$51,INDEX(Raw_BFPIaE!$G$9:$G$3032,MATCH($A121&amp;Keys!$C$54&amp;Keys!$C$57&amp;Keys!$C$54&amp;$B121,Raw_BFPIaE!$H$9:$H$3032,0)))</f>
        <v>0</v>
      </c>
      <c r="S121" s="11">
        <f>IF(($P121+$Q121-$R121+MAX(Keys!$C$51,$R121-$Q121))&gt;Keys!$C$51,MIN(Keys!$C$52,MAX(Keys!$C$51,$R121-$Q121)/($P121+$Q121-$R121+MAX(Keys!$C$51,$R121-$Q121))),Keys!$C$51)</f>
        <v>0</v>
      </c>
      <c r="T121">
        <f>IF(AND($I121&gt;$H121,ABS($L121-$G121)&gt;MAX(Keys!$C$62,ABS($G121)*Keys!$C$63)),1,0)</f>
        <v>0</v>
      </c>
      <c r="U121">
        <f>IF(OR($N121&lt;Keys!$C$51,$N121&gt;Keys!$C$52),1,0)</f>
        <v>0</v>
      </c>
      <c r="V121">
        <f>IF(AND($E121=Keys!$C$60,$N121&lt;&gt;Keys!$C$51),1,0)</f>
        <v>0</v>
      </c>
      <c r="W121">
        <f>IF($L121&gt;Keys!$C$51,IF($K121/$L121&gt;Keys!$C$52,1,0),0)</f>
        <v>0</v>
      </c>
      <c r="X121" s="11">
        <f t="shared" si="7"/>
        <v>0</v>
      </c>
    </row>
    <row r="122" spans="1:24" x14ac:dyDescent="0.25">
      <c r="A122" t="s">
        <v>76</v>
      </c>
      <c r="B122" t="s">
        <v>100</v>
      </c>
      <c r="C122">
        <f>VLOOKUP($B122,Keys!$F$2:$I$22,2,FALSE)</f>
        <v>0</v>
      </c>
      <c r="D122">
        <f>VLOOKUP($B122,Keys!$F$2:$I$22,3,FALSE)</f>
        <v>0</v>
      </c>
      <c r="E122" t="str">
        <f>VLOOKUP($B122,Keys!$F$2:$I$22,4,FALSE)</f>
        <v>zero</v>
      </c>
      <c r="F122" t="str">
        <f>$A122&amp;Keys!$C$54&amp;$B122</f>
        <v>CT|heat (not used in this variable)</v>
      </c>
      <c r="G122" s="10">
        <f>IF($E122=Keys!$C$60,Keys!$C$51,INDEX(Balanced_2025!$D$9:$D$3032,MATCH($A122&amp;Keys!$C$54&amp;Keys!$C$55&amp;Keys!$C$54&amp;$C122,Balanced_2025!$E$9:$E$3032,0)))</f>
        <v>0</v>
      </c>
      <c r="H122" s="10">
        <f>IF($E122=Keys!$C$60,Keys!$C$51,INDEX(Balanced_2025!$D$9:$D$3032,MATCH($A122&amp;Keys!$C$54&amp;Keys!$C$56&amp;Keys!$C$54&amp;$C122,Balanced_2025!$E$9:$E$3032,0)))</f>
        <v>0</v>
      </c>
      <c r="I122" s="10">
        <f>IF($E122=Keys!$C$60,Keys!$C$51,INDEX(Balanced_2025!$D$9:$D$3032,MATCH($A122&amp;Keys!$C$54&amp;Keys!$C$57&amp;Keys!$C$54&amp;$C122,Balanced_2025!$E$9:$E$3032,0)))</f>
        <v>0</v>
      </c>
      <c r="J122" s="10">
        <f t="shared" si="4"/>
        <v>0</v>
      </c>
      <c r="K122" s="10">
        <f>MAX(Keys!$C$51,$I122-$H122)</f>
        <v>0</v>
      </c>
      <c r="L122" s="10">
        <f t="shared" si="5"/>
        <v>0</v>
      </c>
      <c r="M122" s="11">
        <f>IF($L122&gt;Keys!$C$51,MIN(Keys!$C$52,$K122/$L122),Keys!$C$51)</f>
        <v>0</v>
      </c>
      <c r="N122" s="11">
        <f>IF($E122=Keys!$C$60,Keys!$C$51,IF($E122=Keys!$C$59,$D122,$M122))</f>
        <v>0</v>
      </c>
      <c r="O122">
        <f t="shared" si="6"/>
        <v>0</v>
      </c>
      <c r="P122" s="10">
        <f>IF($E122=Keys!$C$60,Keys!$C$51,INDEX(Raw_BFPIaE!$G$9:$G$3032,MATCH($A122&amp;Keys!$C$54&amp;Keys!$C$55&amp;Keys!$C$54&amp;$B122,Raw_BFPIaE!$H$9:$H$3032,0)))</f>
        <v>0</v>
      </c>
      <c r="Q122" s="10">
        <f>IF($E122=Keys!$C$60,Keys!$C$51,INDEX(Raw_BFPIaE!$G$9:$G$3032,MATCH($A122&amp;Keys!$C$54&amp;Keys!$C$56&amp;Keys!$C$54&amp;$B122,Raw_BFPIaE!$H$9:$H$3032,0)))</f>
        <v>0</v>
      </c>
      <c r="R122" s="10">
        <f>IF($E122=Keys!$C$60,Keys!$C$51,INDEX(Raw_BFPIaE!$G$9:$G$3032,MATCH($A122&amp;Keys!$C$54&amp;Keys!$C$57&amp;Keys!$C$54&amp;$B122,Raw_BFPIaE!$H$9:$H$3032,0)))</f>
        <v>0</v>
      </c>
      <c r="S122" s="11">
        <f>IF(($P122+$Q122-$R122+MAX(Keys!$C$51,$R122-$Q122))&gt;Keys!$C$51,MIN(Keys!$C$52,MAX(Keys!$C$51,$R122-$Q122)/($P122+$Q122-$R122+MAX(Keys!$C$51,$R122-$Q122))),Keys!$C$51)</f>
        <v>0</v>
      </c>
      <c r="T122">
        <f>IF(AND($I122&gt;$H122,ABS($L122-$G122)&gt;MAX(Keys!$C$62,ABS($G122)*Keys!$C$63)),1,0)</f>
        <v>0</v>
      </c>
      <c r="U122">
        <f>IF(OR($N122&lt;Keys!$C$51,$N122&gt;Keys!$C$52),1,0)</f>
        <v>0</v>
      </c>
      <c r="V122">
        <f>IF(AND($E122=Keys!$C$60,$N122&lt;&gt;Keys!$C$51),1,0)</f>
        <v>0</v>
      </c>
      <c r="W122">
        <f>IF($L122&gt;Keys!$C$51,IF($K122/$L122&gt;Keys!$C$52,1,0),0)</f>
        <v>0</v>
      </c>
      <c r="X122" s="11">
        <f t="shared" si="7"/>
        <v>0</v>
      </c>
    </row>
    <row r="123" spans="1:24" x14ac:dyDescent="0.25">
      <c r="A123" t="s">
        <v>76</v>
      </c>
      <c r="B123" t="s">
        <v>103</v>
      </c>
      <c r="C123">
        <f>VLOOKUP($B123,Keys!$F$2:$I$22,2,FALSE)</f>
        <v>0</v>
      </c>
      <c r="D123">
        <f>VLOOKUP($B123,Keys!$F$2:$I$22,3,FALSE)</f>
        <v>0</v>
      </c>
      <c r="E123" t="str">
        <f>VLOOKUP($B123,Keys!$F$2:$I$22,4,FALSE)</f>
        <v>zero</v>
      </c>
      <c r="F123" t="str">
        <f>$A123&amp;Keys!$C$54&amp;$B123</f>
        <v>CT|geothermal (is not a fuel)</v>
      </c>
      <c r="G123" s="10">
        <f>IF($E123=Keys!$C$60,Keys!$C$51,INDEX(Balanced_2025!$D$9:$D$3032,MATCH($A123&amp;Keys!$C$54&amp;Keys!$C$55&amp;Keys!$C$54&amp;$C123,Balanced_2025!$E$9:$E$3032,0)))</f>
        <v>0</v>
      </c>
      <c r="H123" s="10">
        <f>IF($E123=Keys!$C$60,Keys!$C$51,INDEX(Balanced_2025!$D$9:$D$3032,MATCH($A123&amp;Keys!$C$54&amp;Keys!$C$56&amp;Keys!$C$54&amp;$C123,Balanced_2025!$E$9:$E$3032,0)))</f>
        <v>0</v>
      </c>
      <c r="I123" s="10">
        <f>IF($E123=Keys!$C$60,Keys!$C$51,INDEX(Balanced_2025!$D$9:$D$3032,MATCH($A123&amp;Keys!$C$54&amp;Keys!$C$57&amp;Keys!$C$54&amp;$C123,Balanced_2025!$E$9:$E$3032,0)))</f>
        <v>0</v>
      </c>
      <c r="J123" s="10">
        <f t="shared" si="4"/>
        <v>0</v>
      </c>
      <c r="K123" s="10">
        <f>MAX(Keys!$C$51,$I123-$H123)</f>
        <v>0</v>
      </c>
      <c r="L123" s="10">
        <f t="shared" si="5"/>
        <v>0</v>
      </c>
      <c r="M123" s="11">
        <f>IF($L123&gt;Keys!$C$51,MIN(Keys!$C$52,$K123/$L123),Keys!$C$51)</f>
        <v>0</v>
      </c>
      <c r="N123" s="11">
        <f>IF($E123=Keys!$C$60,Keys!$C$51,IF($E123=Keys!$C$59,$D123,$M123))</f>
        <v>0</v>
      </c>
      <c r="O123">
        <f t="shared" si="6"/>
        <v>0</v>
      </c>
      <c r="P123" s="10">
        <f>IF($E123=Keys!$C$60,Keys!$C$51,INDEX(Raw_BFPIaE!$G$9:$G$3032,MATCH($A123&amp;Keys!$C$54&amp;Keys!$C$55&amp;Keys!$C$54&amp;$B123,Raw_BFPIaE!$H$9:$H$3032,0)))</f>
        <v>0</v>
      </c>
      <c r="Q123" s="10">
        <f>IF($E123=Keys!$C$60,Keys!$C$51,INDEX(Raw_BFPIaE!$G$9:$G$3032,MATCH($A123&amp;Keys!$C$54&amp;Keys!$C$56&amp;Keys!$C$54&amp;$B123,Raw_BFPIaE!$H$9:$H$3032,0)))</f>
        <v>0</v>
      </c>
      <c r="R123" s="10">
        <f>IF($E123=Keys!$C$60,Keys!$C$51,INDEX(Raw_BFPIaE!$G$9:$G$3032,MATCH($A123&amp;Keys!$C$54&amp;Keys!$C$57&amp;Keys!$C$54&amp;$B123,Raw_BFPIaE!$H$9:$H$3032,0)))</f>
        <v>0</v>
      </c>
      <c r="S123" s="11">
        <f>IF(($P123+$Q123-$R123+MAX(Keys!$C$51,$R123-$Q123))&gt;Keys!$C$51,MIN(Keys!$C$52,MAX(Keys!$C$51,$R123-$Q123)/($P123+$Q123-$R123+MAX(Keys!$C$51,$R123-$Q123))),Keys!$C$51)</f>
        <v>0</v>
      </c>
      <c r="T123">
        <f>IF(AND($I123&gt;$H123,ABS($L123-$G123)&gt;MAX(Keys!$C$62,ABS($G123)*Keys!$C$63)),1,0)</f>
        <v>0</v>
      </c>
      <c r="U123">
        <f>IF(OR($N123&lt;Keys!$C$51,$N123&gt;Keys!$C$52),1,0)</f>
        <v>0</v>
      </c>
      <c r="V123">
        <f>IF(AND($E123=Keys!$C$60,$N123&lt;&gt;Keys!$C$51),1,0)</f>
        <v>0</v>
      </c>
      <c r="W123">
        <f>IF($L123&gt;Keys!$C$51,IF($K123/$L123&gt;Keys!$C$52,1,0),0)</f>
        <v>0</v>
      </c>
      <c r="X123" s="11">
        <f t="shared" si="7"/>
        <v>0</v>
      </c>
    </row>
    <row r="124" spans="1:24" x14ac:dyDescent="0.25">
      <c r="A124" t="s">
        <v>76</v>
      </c>
      <c r="B124" t="s">
        <v>106</v>
      </c>
      <c r="C124" t="str">
        <f>VLOOKUP($B124,Keys!$F$2:$I$22,2,FALSE)</f>
        <v>lignite</v>
      </c>
      <c r="D124">
        <f>VLOOKUP($B124,Keys!$F$2:$I$22,3,FALSE)</f>
        <v>0</v>
      </c>
      <c r="E124" t="str">
        <f>VLOOKUP($B124,Keys!$F$2:$I$22,4,FALSE)</f>
        <v>rule</v>
      </c>
      <c r="F124" t="str">
        <f>$A124&amp;Keys!$C$54&amp;$B124</f>
        <v>CT|lignite</v>
      </c>
      <c r="G124" s="10">
        <f>IF($E124=Keys!$C$60,Keys!$C$51,INDEX(Balanced_2025!$D$9:$D$3032,MATCH($A124&amp;Keys!$C$54&amp;Keys!$C$55&amp;Keys!$C$54&amp;$C124,Balanced_2025!$E$9:$E$3032,0)))</f>
        <v>0</v>
      </c>
      <c r="H124" s="10">
        <f>IF($E124=Keys!$C$60,Keys!$C$51,INDEX(Balanced_2025!$D$9:$D$3032,MATCH($A124&amp;Keys!$C$54&amp;Keys!$C$56&amp;Keys!$C$54&amp;$C124,Balanced_2025!$E$9:$E$3032,0)))</f>
        <v>0</v>
      </c>
      <c r="I124" s="10">
        <f>IF($E124=Keys!$C$60,Keys!$C$51,INDEX(Balanced_2025!$D$9:$D$3032,MATCH($A124&amp;Keys!$C$54&amp;Keys!$C$57&amp;Keys!$C$54&amp;$C124,Balanced_2025!$E$9:$E$3032,0)))</f>
        <v>0</v>
      </c>
      <c r="J124" s="10">
        <f t="shared" si="4"/>
        <v>0</v>
      </c>
      <c r="K124" s="10">
        <f>MAX(Keys!$C$51,$I124-$H124)</f>
        <v>0</v>
      </c>
      <c r="L124" s="10">
        <f t="shared" si="5"/>
        <v>0</v>
      </c>
      <c r="M124" s="11">
        <f>IF($L124&gt;Keys!$C$51,MIN(Keys!$C$52,$K124/$L124),Keys!$C$51)</f>
        <v>0</v>
      </c>
      <c r="N124" s="11">
        <f>IF($E124=Keys!$C$60,Keys!$C$51,IF($E124=Keys!$C$59,$D124,$M124))</f>
        <v>0</v>
      </c>
      <c r="O124">
        <f t="shared" si="6"/>
        <v>0</v>
      </c>
      <c r="P124" s="10">
        <f>IF($E124=Keys!$C$60,Keys!$C$51,INDEX(Raw_BFPIaE!$G$9:$G$3032,MATCH($A124&amp;Keys!$C$54&amp;Keys!$C$55&amp;Keys!$C$54&amp;$B124,Raw_BFPIaE!$H$9:$H$3032,0)))</f>
        <v>0</v>
      </c>
      <c r="Q124" s="10">
        <f>IF($E124=Keys!$C$60,Keys!$C$51,INDEX(Raw_BFPIaE!$G$9:$G$3032,MATCH($A124&amp;Keys!$C$54&amp;Keys!$C$56&amp;Keys!$C$54&amp;$B124,Raw_BFPIaE!$H$9:$H$3032,0)))</f>
        <v>0</v>
      </c>
      <c r="R124" s="10">
        <f>IF($E124=Keys!$C$60,Keys!$C$51,INDEX(Raw_BFPIaE!$G$9:$G$3032,MATCH($A124&amp;Keys!$C$54&amp;Keys!$C$57&amp;Keys!$C$54&amp;$B124,Raw_BFPIaE!$H$9:$H$3032,0)))</f>
        <v>0</v>
      </c>
      <c r="S124" s="11">
        <f>IF(($P124+$Q124-$R124+MAX(Keys!$C$51,$R124-$Q124))&gt;Keys!$C$51,MIN(Keys!$C$52,MAX(Keys!$C$51,$R124-$Q124)/($P124+$Q124-$R124+MAX(Keys!$C$51,$R124-$Q124))),Keys!$C$51)</f>
        <v>0</v>
      </c>
      <c r="T124">
        <f>IF(AND($I124&gt;$H124,ABS($L124-$G124)&gt;MAX(Keys!$C$62,ABS($G124)*Keys!$C$63)),1,0)</f>
        <v>0</v>
      </c>
      <c r="U124">
        <f>IF(OR($N124&lt;Keys!$C$51,$N124&gt;Keys!$C$52),1,0)</f>
        <v>0</v>
      </c>
      <c r="V124">
        <f>IF(AND($E124=Keys!$C$60,$N124&lt;&gt;Keys!$C$51),1,0)</f>
        <v>0</v>
      </c>
      <c r="W124">
        <f>IF($L124&gt;Keys!$C$51,IF($K124/$L124&gt;Keys!$C$52,1,0),0)</f>
        <v>0</v>
      </c>
      <c r="X124" s="11">
        <f t="shared" si="7"/>
        <v>0</v>
      </c>
    </row>
    <row r="125" spans="1:24" x14ac:dyDescent="0.25">
      <c r="A125" t="s">
        <v>76</v>
      </c>
      <c r="B125" t="s">
        <v>109</v>
      </c>
      <c r="C125" t="str">
        <f>VLOOKUP($B125,Keys!$F$2:$I$22,2,FALSE)</f>
        <v>crude oil</v>
      </c>
      <c r="D125">
        <f>VLOOKUP($B125,Keys!$F$2:$I$22,3,FALSE)</f>
        <v>1</v>
      </c>
      <c r="E125" t="str">
        <f>VLOOKUP($B125,Keys!$F$2:$I$22,4,FALSE)</f>
        <v>hold</v>
      </c>
      <c r="F125" t="str">
        <f>$A125&amp;Keys!$C$54&amp;$B125</f>
        <v>CT|crude oil</v>
      </c>
      <c r="G125" s="10">
        <f>IF($E125=Keys!$C$60,Keys!$C$51,INDEX(Balanced_2025!$D$9:$D$3032,MATCH($A125&amp;Keys!$C$54&amp;Keys!$C$55&amp;Keys!$C$54&amp;$C125,Balanced_2025!$E$9:$E$3032,0)))</f>
        <v>0</v>
      </c>
      <c r="H125" s="10">
        <f>IF($E125=Keys!$C$60,Keys!$C$51,INDEX(Balanced_2025!$D$9:$D$3032,MATCH($A125&amp;Keys!$C$54&amp;Keys!$C$56&amp;Keys!$C$54&amp;$C125,Balanced_2025!$E$9:$E$3032,0)))</f>
        <v>18366500000000</v>
      </c>
      <c r="I125" s="10">
        <f>IF($E125=Keys!$C$60,Keys!$C$51,INDEX(Balanced_2025!$D$9:$D$3032,MATCH($A125&amp;Keys!$C$54&amp;Keys!$C$57&amp;Keys!$C$54&amp;$C125,Balanced_2025!$E$9:$E$3032,0)))</f>
        <v>17753500000000</v>
      </c>
      <c r="J125" s="10">
        <f t="shared" si="4"/>
        <v>613000000000</v>
      </c>
      <c r="K125" s="10">
        <f>MAX(Keys!$C$51,$I125-$H125)</f>
        <v>0</v>
      </c>
      <c r="L125" s="10">
        <f t="shared" si="5"/>
        <v>613000000000</v>
      </c>
      <c r="M125" s="11">
        <f>IF($L125&gt;Keys!$C$51,MIN(Keys!$C$52,$K125/$L125),Keys!$C$51)</f>
        <v>0</v>
      </c>
      <c r="N125" s="11">
        <f>IF($E125=Keys!$C$60,Keys!$C$51,IF($E125=Keys!$C$59,$D125,$M125))</f>
        <v>1</v>
      </c>
      <c r="O125">
        <f t="shared" si="6"/>
        <v>0</v>
      </c>
      <c r="P125" s="10">
        <f>IF($E125=Keys!$C$60,Keys!$C$51,INDEX(Raw_BFPIaE!$G$9:$G$3032,MATCH($A125&amp;Keys!$C$54&amp;Keys!$C$55&amp;Keys!$C$54&amp;$B125,Raw_BFPIaE!$H$9:$H$3032,0)))</f>
        <v>0</v>
      </c>
      <c r="Q125" s="10">
        <f>IF($E125=Keys!$C$60,Keys!$C$51,INDEX(Raw_BFPIaE!$G$9:$G$3032,MATCH($A125&amp;Keys!$C$54&amp;Keys!$C$56&amp;Keys!$C$54&amp;$B125,Raw_BFPIaE!$H$9:$H$3032,0)))</f>
        <v>11499733333333.334</v>
      </c>
      <c r="R125" s="10">
        <f>IF($E125=Keys!$C$60,Keys!$C$51,INDEX(Raw_BFPIaE!$G$9:$G$3032,MATCH($A125&amp;Keys!$C$54&amp;Keys!$C$57&amp;Keys!$C$54&amp;$B125,Raw_BFPIaE!$H$9:$H$3032,0)))</f>
        <v>17213233333333.334</v>
      </c>
      <c r="S125" s="11">
        <f>IF(($P125+$Q125-$R125+MAX(Keys!$C$51,$R125-$Q125))&gt;Keys!$C$51,MIN(Keys!$C$52,MAX(Keys!$C$51,$R125-$Q125)/($P125+$Q125-$R125+MAX(Keys!$C$51,$R125-$Q125))),Keys!$C$51)</f>
        <v>0</v>
      </c>
      <c r="T125">
        <f>IF(AND($I125&gt;$H125,ABS($L125-$G125)&gt;MAX(Keys!$C$62,ABS($G125)*Keys!$C$63)),1,0)</f>
        <v>0</v>
      </c>
      <c r="U125">
        <f>IF(OR($N125&lt;Keys!$C$51,$N125&gt;Keys!$C$52),1,0)</f>
        <v>0</v>
      </c>
      <c r="V125">
        <f>IF(AND($E125=Keys!$C$60,$N125&lt;&gt;Keys!$C$51),1,0)</f>
        <v>0</v>
      </c>
      <c r="W125">
        <f>IF($L125&gt;Keys!$C$51,IF($K125/$L125&gt;Keys!$C$52,1,0),0)</f>
        <v>0</v>
      </c>
      <c r="X125" s="11">
        <f t="shared" si="7"/>
        <v>0</v>
      </c>
    </row>
    <row r="126" spans="1:24" x14ac:dyDescent="0.25">
      <c r="A126" t="s">
        <v>76</v>
      </c>
      <c r="B126" t="s">
        <v>113</v>
      </c>
      <c r="C126" t="str">
        <f>VLOOKUP($B126,Keys!$F$2:$I$22,2,FALSE)</f>
        <v>heavy or residual fuel oil</v>
      </c>
      <c r="D126">
        <f>VLOOKUP($B126,Keys!$F$2:$I$22,3,FALSE)</f>
        <v>0.49914171099999999</v>
      </c>
      <c r="E126" t="str">
        <f>VLOOKUP($B126,Keys!$F$2:$I$22,4,FALSE)</f>
        <v>rule</v>
      </c>
      <c r="F126" t="str">
        <f>$A126&amp;Keys!$C$54&amp;$B126</f>
        <v>CT|heavy fuel oil</v>
      </c>
      <c r="G126" s="10">
        <f>IF($E126=Keys!$C$60,Keys!$C$51,INDEX(Balanced_2025!$D$9:$D$3032,MATCH($A126&amp;Keys!$C$54&amp;Keys!$C$55&amp;Keys!$C$54&amp;$C126,Balanced_2025!$E$9:$E$3032,0)))</f>
        <v>0</v>
      </c>
      <c r="H126" s="10">
        <f>IF($E126=Keys!$C$60,Keys!$C$51,INDEX(Balanced_2025!$D$9:$D$3032,MATCH($A126&amp;Keys!$C$54&amp;Keys!$C$56&amp;Keys!$C$54&amp;$C126,Balanced_2025!$E$9:$E$3032,0)))</f>
        <v>10748700000000</v>
      </c>
      <c r="I126" s="10">
        <f>IF($E126=Keys!$C$60,Keys!$C$51,INDEX(Balanced_2025!$D$9:$D$3032,MATCH($A126&amp;Keys!$C$54&amp;Keys!$C$57&amp;Keys!$C$54&amp;$C126,Balanced_2025!$E$9:$E$3032,0)))</f>
        <v>0</v>
      </c>
      <c r="J126" s="10">
        <f t="shared" si="4"/>
        <v>10748700000000</v>
      </c>
      <c r="K126" s="10">
        <f>MAX(Keys!$C$51,$I126-$H126)</f>
        <v>0</v>
      </c>
      <c r="L126" s="10">
        <f t="shared" si="5"/>
        <v>10748700000000</v>
      </c>
      <c r="M126" s="11">
        <f>IF($L126&gt;Keys!$C$51,MIN(Keys!$C$52,$K126/$L126),Keys!$C$51)</f>
        <v>0</v>
      </c>
      <c r="N126" s="11">
        <f>IF($E126=Keys!$C$60,Keys!$C$51,IF($E126=Keys!$C$59,$D126,$M126))</f>
        <v>0</v>
      </c>
      <c r="O126">
        <f t="shared" si="6"/>
        <v>1</v>
      </c>
      <c r="P126" s="10">
        <f>IF($E126=Keys!$C$60,Keys!$C$51,INDEX(Raw_BFPIaE!$G$9:$G$3032,MATCH($A126&amp;Keys!$C$54&amp;Keys!$C$55&amp;Keys!$C$54&amp;$B126,Raw_BFPIaE!$H$9:$H$3032,0)))</f>
        <v>0</v>
      </c>
      <c r="Q126" s="10">
        <f>IF($E126=Keys!$C$60,Keys!$C$51,INDEX(Raw_BFPIaE!$G$9:$G$3032,MATCH($A126&amp;Keys!$C$54&amp;Keys!$C$56&amp;Keys!$C$54&amp;$B126,Raw_BFPIaE!$H$9:$H$3032,0)))</f>
        <v>7239833333333.333</v>
      </c>
      <c r="R126" s="10">
        <f>IF($E126=Keys!$C$60,Keys!$C$51,INDEX(Raw_BFPIaE!$G$9:$G$3032,MATCH($A126&amp;Keys!$C$54&amp;Keys!$C$57&amp;Keys!$C$54&amp;$B126,Raw_BFPIaE!$H$9:$H$3032,0)))</f>
        <v>0</v>
      </c>
      <c r="S126" s="11">
        <f>IF(($P126+$Q126-$R126+MAX(Keys!$C$51,$R126-$Q126))&gt;Keys!$C$51,MIN(Keys!$C$52,MAX(Keys!$C$51,$R126-$Q126)/($P126+$Q126-$R126+MAX(Keys!$C$51,$R126-$Q126))),Keys!$C$51)</f>
        <v>0</v>
      </c>
      <c r="T126">
        <f>IF(AND($I126&gt;$H126,ABS($L126-$G126)&gt;MAX(Keys!$C$62,ABS($G126)*Keys!$C$63)),1,0)</f>
        <v>0</v>
      </c>
      <c r="U126">
        <f>IF(OR($N126&lt;Keys!$C$51,$N126&gt;Keys!$C$52),1,0)</f>
        <v>0</v>
      </c>
      <c r="V126">
        <f>IF(AND($E126=Keys!$C$60,$N126&lt;&gt;Keys!$C$51),1,0)</f>
        <v>0</v>
      </c>
      <c r="W126">
        <f>IF($L126&gt;Keys!$C$51,IF($K126/$L126&gt;Keys!$C$52,1,0),0)</f>
        <v>0</v>
      </c>
      <c r="X126" s="11">
        <f t="shared" si="7"/>
        <v>0</v>
      </c>
    </row>
    <row r="127" spans="1:24" x14ac:dyDescent="0.25">
      <c r="A127" t="s">
        <v>76</v>
      </c>
      <c r="B127" t="s">
        <v>117</v>
      </c>
      <c r="C127" t="str">
        <f>VLOOKUP($B127,Keys!$F$2:$I$22,2,FALSE)</f>
        <v>LPG propane or butane</v>
      </c>
      <c r="D127">
        <f>VLOOKUP($B127,Keys!$F$2:$I$22,3,FALSE)</f>
        <v>0.54955999499999997</v>
      </c>
      <c r="E127" t="str">
        <f>VLOOKUP($B127,Keys!$F$2:$I$22,4,FALSE)</f>
        <v>rule</v>
      </c>
      <c r="F127" t="str">
        <f>$A127&amp;Keys!$C$54&amp;$B127</f>
        <v>CT|LPG propane or butane</v>
      </c>
      <c r="G127" s="10">
        <f>IF($E127=Keys!$C$60,Keys!$C$51,INDEX(Balanced_2025!$D$9:$D$3032,MATCH($A127&amp;Keys!$C$54&amp;Keys!$C$55&amp;Keys!$C$54&amp;$C127,Balanced_2025!$E$9:$E$3032,0)))</f>
        <v>0</v>
      </c>
      <c r="H127" s="10">
        <f>IF($E127=Keys!$C$60,Keys!$C$51,INDEX(Balanced_2025!$D$9:$D$3032,MATCH($A127&amp;Keys!$C$54&amp;Keys!$C$56&amp;Keys!$C$54&amp;$C127,Balanced_2025!$E$9:$E$3032,0)))</f>
        <v>11384500000000</v>
      </c>
      <c r="I127" s="10">
        <f>IF($E127=Keys!$C$60,Keys!$C$51,INDEX(Balanced_2025!$D$9:$D$3032,MATCH($A127&amp;Keys!$C$54&amp;Keys!$C$57&amp;Keys!$C$54&amp;$C127,Balanced_2025!$E$9:$E$3032,0)))</f>
        <v>0</v>
      </c>
      <c r="J127" s="10">
        <f t="shared" si="4"/>
        <v>11384500000000</v>
      </c>
      <c r="K127" s="10">
        <f>MAX(Keys!$C$51,$I127-$H127)</f>
        <v>0</v>
      </c>
      <c r="L127" s="10">
        <f t="shared" si="5"/>
        <v>11384500000000</v>
      </c>
      <c r="M127" s="11">
        <f>IF($L127&gt;Keys!$C$51,MIN(Keys!$C$52,$K127/$L127),Keys!$C$51)</f>
        <v>0</v>
      </c>
      <c r="N127" s="11">
        <f>IF($E127=Keys!$C$60,Keys!$C$51,IF($E127=Keys!$C$59,$D127,$M127))</f>
        <v>0</v>
      </c>
      <c r="O127">
        <f t="shared" si="6"/>
        <v>1</v>
      </c>
      <c r="P127" s="10">
        <f>IF($E127=Keys!$C$60,Keys!$C$51,INDEX(Raw_BFPIaE!$G$9:$G$3032,MATCH($A127&amp;Keys!$C$54&amp;Keys!$C$55&amp;Keys!$C$54&amp;$B127,Raw_BFPIaE!$H$9:$H$3032,0)))</f>
        <v>0</v>
      </c>
      <c r="Q127" s="10">
        <f>IF($E127=Keys!$C$60,Keys!$C$51,INDEX(Raw_BFPIaE!$G$9:$G$3032,MATCH($A127&amp;Keys!$C$54&amp;Keys!$C$56&amp;Keys!$C$54&amp;$B127,Raw_BFPIaE!$H$9:$H$3032,0)))</f>
        <v>7530366666666.667</v>
      </c>
      <c r="R127" s="10">
        <f>IF($E127=Keys!$C$60,Keys!$C$51,INDEX(Raw_BFPIaE!$G$9:$G$3032,MATCH($A127&amp;Keys!$C$54&amp;Keys!$C$57&amp;Keys!$C$54&amp;$B127,Raw_BFPIaE!$H$9:$H$3032,0)))</f>
        <v>0</v>
      </c>
      <c r="S127" s="11">
        <f>IF(($P127+$Q127-$R127+MAX(Keys!$C$51,$R127-$Q127))&gt;Keys!$C$51,MIN(Keys!$C$52,MAX(Keys!$C$51,$R127-$Q127)/($P127+$Q127-$R127+MAX(Keys!$C$51,$R127-$Q127))),Keys!$C$51)</f>
        <v>0</v>
      </c>
      <c r="T127">
        <f>IF(AND($I127&gt;$H127,ABS($L127-$G127)&gt;MAX(Keys!$C$62,ABS($G127)*Keys!$C$63)),1,0)</f>
        <v>0</v>
      </c>
      <c r="U127">
        <f>IF(OR($N127&lt;Keys!$C$51,$N127&gt;Keys!$C$52),1,0)</f>
        <v>0</v>
      </c>
      <c r="V127">
        <f>IF(AND($E127=Keys!$C$60,$N127&lt;&gt;Keys!$C$51),1,0)</f>
        <v>0</v>
      </c>
      <c r="W127">
        <f>IF($L127&gt;Keys!$C$51,IF($K127/$L127&gt;Keys!$C$52,1,0),0)</f>
        <v>0</v>
      </c>
      <c r="X127" s="11">
        <f t="shared" si="7"/>
        <v>0</v>
      </c>
    </row>
    <row r="128" spans="1:24" x14ac:dyDescent="0.25">
      <c r="A128" t="s">
        <v>76</v>
      </c>
      <c r="B128" t="s">
        <v>120</v>
      </c>
      <c r="C128">
        <f>VLOOKUP($B128,Keys!$F$2:$I$22,2,FALSE)</f>
        <v>0</v>
      </c>
      <c r="D128">
        <f>VLOOKUP($B128,Keys!$F$2:$I$22,3,FALSE)</f>
        <v>0</v>
      </c>
      <c r="E128" t="str">
        <f>VLOOKUP($B128,Keys!$F$2:$I$22,4,FALSE)</f>
        <v>zero</v>
      </c>
      <c r="F128" t="str">
        <f>$A128&amp;Keys!$C$54&amp;$B128</f>
        <v>CT|municipal solid waste</v>
      </c>
      <c r="G128" s="10">
        <f>IF($E128=Keys!$C$60,Keys!$C$51,INDEX(Balanced_2025!$D$9:$D$3032,MATCH($A128&amp;Keys!$C$54&amp;Keys!$C$55&amp;Keys!$C$54&amp;$C128,Balanced_2025!$E$9:$E$3032,0)))</f>
        <v>0</v>
      </c>
      <c r="H128" s="10">
        <f>IF($E128=Keys!$C$60,Keys!$C$51,INDEX(Balanced_2025!$D$9:$D$3032,MATCH($A128&amp;Keys!$C$54&amp;Keys!$C$56&amp;Keys!$C$54&amp;$C128,Balanced_2025!$E$9:$E$3032,0)))</f>
        <v>0</v>
      </c>
      <c r="I128" s="10">
        <f>IF($E128=Keys!$C$60,Keys!$C$51,INDEX(Balanced_2025!$D$9:$D$3032,MATCH($A128&amp;Keys!$C$54&amp;Keys!$C$57&amp;Keys!$C$54&amp;$C128,Balanced_2025!$E$9:$E$3032,0)))</f>
        <v>0</v>
      </c>
      <c r="J128" s="10">
        <f t="shared" si="4"/>
        <v>0</v>
      </c>
      <c r="K128" s="10">
        <f>MAX(Keys!$C$51,$I128-$H128)</f>
        <v>0</v>
      </c>
      <c r="L128" s="10">
        <f t="shared" si="5"/>
        <v>0</v>
      </c>
      <c r="M128" s="11">
        <f>IF($L128&gt;Keys!$C$51,MIN(Keys!$C$52,$K128/$L128),Keys!$C$51)</f>
        <v>0</v>
      </c>
      <c r="N128" s="11">
        <f>IF($E128=Keys!$C$60,Keys!$C$51,IF($E128=Keys!$C$59,$D128,$M128))</f>
        <v>0</v>
      </c>
      <c r="O128">
        <f t="shared" si="6"/>
        <v>0</v>
      </c>
      <c r="P128" s="10">
        <f>IF($E128=Keys!$C$60,Keys!$C$51,INDEX(Raw_BFPIaE!$G$9:$G$3032,MATCH($A128&amp;Keys!$C$54&amp;Keys!$C$55&amp;Keys!$C$54&amp;$B128,Raw_BFPIaE!$H$9:$H$3032,0)))</f>
        <v>0</v>
      </c>
      <c r="Q128" s="10">
        <f>IF($E128=Keys!$C$60,Keys!$C$51,INDEX(Raw_BFPIaE!$G$9:$G$3032,MATCH($A128&amp;Keys!$C$54&amp;Keys!$C$56&amp;Keys!$C$54&amp;$B128,Raw_BFPIaE!$H$9:$H$3032,0)))</f>
        <v>0</v>
      </c>
      <c r="R128" s="10">
        <f>IF($E128=Keys!$C$60,Keys!$C$51,INDEX(Raw_BFPIaE!$G$9:$G$3032,MATCH($A128&amp;Keys!$C$54&amp;Keys!$C$57&amp;Keys!$C$54&amp;$B128,Raw_BFPIaE!$H$9:$H$3032,0)))</f>
        <v>0</v>
      </c>
      <c r="S128" s="11">
        <f>IF(($P128+$Q128-$R128+MAX(Keys!$C$51,$R128-$Q128))&gt;Keys!$C$51,MIN(Keys!$C$52,MAX(Keys!$C$51,$R128-$Q128)/($P128+$Q128-$R128+MAX(Keys!$C$51,$R128-$Q128))),Keys!$C$51)</f>
        <v>0</v>
      </c>
      <c r="T128">
        <f>IF(AND($I128&gt;$H128,ABS($L128-$G128)&gt;MAX(Keys!$C$62,ABS($G128)*Keys!$C$63)),1,0)</f>
        <v>0</v>
      </c>
      <c r="U128">
        <f>IF(OR($N128&lt;Keys!$C$51,$N128&gt;Keys!$C$52),1,0)</f>
        <v>0</v>
      </c>
      <c r="V128">
        <f>IF(AND($E128=Keys!$C$60,$N128&lt;&gt;Keys!$C$51),1,0)</f>
        <v>0</v>
      </c>
      <c r="W128">
        <f>IF($L128&gt;Keys!$C$51,IF($K128/$L128&gt;Keys!$C$52,1,0),0)</f>
        <v>0</v>
      </c>
      <c r="X128" s="11">
        <f t="shared" si="7"/>
        <v>0</v>
      </c>
    </row>
    <row r="129" spans="1:24" x14ac:dyDescent="0.25">
      <c r="A129" t="s">
        <v>76</v>
      </c>
      <c r="B129" t="s">
        <v>123</v>
      </c>
      <c r="C129">
        <f>VLOOKUP($B129,Keys!$F$2:$I$22,2,FALSE)</f>
        <v>0</v>
      </c>
      <c r="D129">
        <f>VLOOKUP($B129,Keys!$F$2:$I$22,3,FALSE)</f>
        <v>0</v>
      </c>
      <c r="E129" t="str">
        <f>VLOOKUP($B129,Keys!$F$2:$I$22,4,FALSE)</f>
        <v>zero</v>
      </c>
      <c r="F129" t="str">
        <f>$A129&amp;Keys!$C$54&amp;$B129</f>
        <v>CT|hydrogen</v>
      </c>
      <c r="G129" s="10">
        <f>IF($E129=Keys!$C$60,Keys!$C$51,INDEX(Balanced_2025!$D$9:$D$3032,MATCH($A129&amp;Keys!$C$54&amp;Keys!$C$55&amp;Keys!$C$54&amp;$C129,Balanced_2025!$E$9:$E$3032,0)))</f>
        <v>0</v>
      </c>
      <c r="H129" s="10">
        <f>IF($E129=Keys!$C$60,Keys!$C$51,INDEX(Balanced_2025!$D$9:$D$3032,MATCH($A129&amp;Keys!$C$54&amp;Keys!$C$56&amp;Keys!$C$54&amp;$C129,Balanced_2025!$E$9:$E$3032,0)))</f>
        <v>0</v>
      </c>
      <c r="I129" s="10">
        <f>IF($E129=Keys!$C$60,Keys!$C$51,INDEX(Balanced_2025!$D$9:$D$3032,MATCH($A129&amp;Keys!$C$54&amp;Keys!$C$57&amp;Keys!$C$54&amp;$C129,Balanced_2025!$E$9:$E$3032,0)))</f>
        <v>0</v>
      </c>
      <c r="J129" s="10">
        <f t="shared" si="4"/>
        <v>0</v>
      </c>
      <c r="K129" s="10">
        <f>MAX(Keys!$C$51,$I129-$H129)</f>
        <v>0</v>
      </c>
      <c r="L129" s="10">
        <f t="shared" si="5"/>
        <v>0</v>
      </c>
      <c r="M129" s="11">
        <f>IF($L129&gt;Keys!$C$51,MIN(Keys!$C$52,$K129/$L129),Keys!$C$51)</f>
        <v>0</v>
      </c>
      <c r="N129" s="11">
        <f>IF($E129=Keys!$C$60,Keys!$C$51,IF($E129=Keys!$C$59,$D129,$M129))</f>
        <v>0</v>
      </c>
      <c r="O129">
        <f t="shared" si="6"/>
        <v>0</v>
      </c>
      <c r="P129" s="10">
        <f>IF($E129=Keys!$C$60,Keys!$C$51,INDEX(Raw_BFPIaE!$G$9:$G$3032,MATCH($A129&amp;Keys!$C$54&amp;Keys!$C$55&amp;Keys!$C$54&amp;$B129,Raw_BFPIaE!$H$9:$H$3032,0)))</f>
        <v>0</v>
      </c>
      <c r="Q129" s="10">
        <f>IF($E129=Keys!$C$60,Keys!$C$51,INDEX(Raw_BFPIaE!$G$9:$G$3032,MATCH($A129&amp;Keys!$C$54&amp;Keys!$C$56&amp;Keys!$C$54&amp;$B129,Raw_BFPIaE!$H$9:$H$3032,0)))</f>
        <v>0</v>
      </c>
      <c r="R129" s="10">
        <f>IF($E129=Keys!$C$60,Keys!$C$51,INDEX(Raw_BFPIaE!$G$9:$G$3032,MATCH($A129&amp;Keys!$C$54&amp;Keys!$C$57&amp;Keys!$C$54&amp;$B129,Raw_BFPIaE!$H$9:$H$3032,0)))</f>
        <v>0</v>
      </c>
      <c r="S129" s="11">
        <f>IF(($P129+$Q129-$R129+MAX(Keys!$C$51,$R129-$Q129))&gt;Keys!$C$51,MIN(Keys!$C$52,MAX(Keys!$C$51,$R129-$Q129)/($P129+$Q129-$R129+MAX(Keys!$C$51,$R129-$Q129))),Keys!$C$51)</f>
        <v>0</v>
      </c>
      <c r="T129">
        <f>IF(AND($I129&gt;$H129,ABS($L129-$G129)&gt;MAX(Keys!$C$62,ABS($G129)*Keys!$C$63)),1,0)</f>
        <v>0</v>
      </c>
      <c r="U129">
        <f>IF(OR($N129&lt;Keys!$C$51,$N129&gt;Keys!$C$52),1,0)</f>
        <v>0</v>
      </c>
      <c r="V129">
        <f>IF(AND($E129=Keys!$C$60,$N129&lt;&gt;Keys!$C$51),1,0)</f>
        <v>0</v>
      </c>
      <c r="W129">
        <f>IF($L129&gt;Keys!$C$51,IF($K129/$L129&gt;Keys!$C$52,1,0),0)</f>
        <v>0</v>
      </c>
      <c r="X129" s="11">
        <f t="shared" si="7"/>
        <v>0</v>
      </c>
    </row>
    <row r="130" spans="1:24" x14ac:dyDescent="0.25">
      <c r="A130" t="s">
        <v>79</v>
      </c>
      <c r="B130" t="s">
        <v>60</v>
      </c>
      <c r="C130">
        <f>VLOOKUP($B130,Keys!$F$2:$I$22,2,FALSE)</f>
        <v>0</v>
      </c>
      <c r="D130">
        <f>VLOOKUP($B130,Keys!$F$2:$I$22,3,FALSE)</f>
        <v>0</v>
      </c>
      <c r="E130" t="str">
        <f>VLOOKUP($B130,Keys!$F$2:$I$22,4,FALSE)</f>
        <v>zero</v>
      </c>
      <c r="F130" t="str">
        <f>$A130&amp;Keys!$C$54&amp;$B130</f>
        <v>DE|electricity (not used in this variable)</v>
      </c>
      <c r="G130" s="10">
        <f>IF($E130=Keys!$C$60,Keys!$C$51,INDEX(Balanced_2025!$D$9:$D$3032,MATCH($A130&amp;Keys!$C$54&amp;Keys!$C$55&amp;Keys!$C$54&amp;$C130,Balanced_2025!$E$9:$E$3032,0)))</f>
        <v>0</v>
      </c>
      <c r="H130" s="10">
        <f>IF($E130=Keys!$C$60,Keys!$C$51,INDEX(Balanced_2025!$D$9:$D$3032,MATCH($A130&amp;Keys!$C$54&amp;Keys!$C$56&amp;Keys!$C$54&amp;$C130,Balanced_2025!$E$9:$E$3032,0)))</f>
        <v>0</v>
      </c>
      <c r="I130" s="10">
        <f>IF($E130=Keys!$C$60,Keys!$C$51,INDEX(Balanced_2025!$D$9:$D$3032,MATCH($A130&amp;Keys!$C$54&amp;Keys!$C$57&amp;Keys!$C$54&amp;$C130,Balanced_2025!$E$9:$E$3032,0)))</f>
        <v>0</v>
      </c>
      <c r="J130" s="10">
        <f t="shared" si="4"/>
        <v>0</v>
      </c>
      <c r="K130" s="10">
        <f>MAX(Keys!$C$51,$I130-$H130)</f>
        <v>0</v>
      </c>
      <c r="L130" s="10">
        <f t="shared" si="5"/>
        <v>0</v>
      </c>
      <c r="M130" s="11">
        <f>IF($L130&gt;Keys!$C$51,MIN(Keys!$C$52,$K130/$L130),Keys!$C$51)</f>
        <v>0</v>
      </c>
      <c r="N130" s="11">
        <f>IF($E130=Keys!$C$60,Keys!$C$51,IF($E130=Keys!$C$59,$D130,$M130))</f>
        <v>0</v>
      </c>
      <c r="O130">
        <f t="shared" si="6"/>
        <v>0</v>
      </c>
      <c r="P130" s="10">
        <f>IF($E130=Keys!$C$60,Keys!$C$51,INDEX(Raw_BFPIaE!$G$9:$G$3032,MATCH($A130&amp;Keys!$C$54&amp;Keys!$C$55&amp;Keys!$C$54&amp;$B130,Raw_BFPIaE!$H$9:$H$3032,0)))</f>
        <v>0</v>
      </c>
      <c r="Q130" s="10">
        <f>IF($E130=Keys!$C$60,Keys!$C$51,INDEX(Raw_BFPIaE!$G$9:$G$3032,MATCH($A130&amp;Keys!$C$54&amp;Keys!$C$56&amp;Keys!$C$54&amp;$B130,Raw_BFPIaE!$H$9:$H$3032,0)))</f>
        <v>0</v>
      </c>
      <c r="R130" s="10">
        <f>IF($E130=Keys!$C$60,Keys!$C$51,INDEX(Raw_BFPIaE!$G$9:$G$3032,MATCH($A130&amp;Keys!$C$54&amp;Keys!$C$57&amp;Keys!$C$54&amp;$B130,Raw_BFPIaE!$H$9:$H$3032,0)))</f>
        <v>0</v>
      </c>
      <c r="S130" s="11">
        <f>IF(($P130+$Q130-$R130+MAX(Keys!$C$51,$R130-$Q130))&gt;Keys!$C$51,MIN(Keys!$C$52,MAX(Keys!$C$51,$R130-$Q130)/($P130+$Q130-$R130+MAX(Keys!$C$51,$R130-$Q130))),Keys!$C$51)</f>
        <v>0</v>
      </c>
      <c r="T130">
        <f>IF(AND($I130&gt;$H130,ABS($L130-$G130)&gt;MAX(Keys!$C$62,ABS($G130)*Keys!$C$63)),1,0)</f>
        <v>0</v>
      </c>
      <c r="U130">
        <f>IF(OR($N130&lt;Keys!$C$51,$N130&gt;Keys!$C$52),1,0)</f>
        <v>0</v>
      </c>
      <c r="V130">
        <f>IF(AND($E130=Keys!$C$60,$N130&lt;&gt;Keys!$C$51),1,0)</f>
        <v>0</v>
      </c>
      <c r="W130">
        <f>IF($L130&gt;Keys!$C$51,IF($K130/$L130&gt;Keys!$C$52,1,0),0)</f>
        <v>0</v>
      </c>
      <c r="X130" s="11">
        <f t="shared" si="7"/>
        <v>0</v>
      </c>
    </row>
    <row r="131" spans="1:24" x14ac:dyDescent="0.25">
      <c r="A131" t="s">
        <v>79</v>
      </c>
      <c r="B131" t="s">
        <v>64</v>
      </c>
      <c r="C131" t="str">
        <f>VLOOKUP($B131,Keys!$F$2:$I$22,2,FALSE)</f>
        <v>hard coal</v>
      </c>
      <c r="D131">
        <f>VLOOKUP($B131,Keys!$F$2:$I$22,3,FALSE)</f>
        <v>0.137539879</v>
      </c>
      <c r="E131" t="str">
        <f>VLOOKUP($B131,Keys!$F$2:$I$22,4,FALSE)</f>
        <v>rule</v>
      </c>
      <c r="F131" t="str">
        <f>$A131&amp;Keys!$C$54&amp;$B131</f>
        <v>DE|hard coal</v>
      </c>
      <c r="G131" s="10">
        <f>IF($E131=Keys!$C$60,Keys!$C$51,INDEX(Balanced_2025!$D$9:$D$3032,MATCH($A131&amp;Keys!$C$54&amp;Keys!$C$55&amp;Keys!$C$54&amp;$C131,Balanced_2025!$E$9:$E$3032,0)))</f>
        <v>0</v>
      </c>
      <c r="H131" s="10">
        <f>IF($E131=Keys!$C$60,Keys!$C$51,INDEX(Balanced_2025!$D$9:$D$3032,MATCH($A131&amp;Keys!$C$54&amp;Keys!$C$56&amp;Keys!$C$54&amp;$C131,Balanced_2025!$E$9:$E$3032,0)))</f>
        <v>0</v>
      </c>
      <c r="I131" s="10">
        <f>IF($E131=Keys!$C$60,Keys!$C$51,INDEX(Balanced_2025!$D$9:$D$3032,MATCH($A131&amp;Keys!$C$54&amp;Keys!$C$57&amp;Keys!$C$54&amp;$C131,Balanced_2025!$E$9:$E$3032,0)))</f>
        <v>0</v>
      </c>
      <c r="J131" s="10">
        <f t="shared" si="4"/>
        <v>0</v>
      </c>
      <c r="K131" s="10">
        <f>MAX(Keys!$C$51,$I131-$H131)</f>
        <v>0</v>
      </c>
      <c r="L131" s="10">
        <f t="shared" si="5"/>
        <v>0</v>
      </c>
      <c r="M131" s="11">
        <f>IF($L131&gt;Keys!$C$51,MIN(Keys!$C$52,$K131/$L131),Keys!$C$51)</f>
        <v>0</v>
      </c>
      <c r="N131" s="11">
        <f>IF($E131=Keys!$C$60,Keys!$C$51,IF($E131=Keys!$C$59,$D131,$M131))</f>
        <v>0</v>
      </c>
      <c r="O131">
        <f t="shared" si="6"/>
        <v>1</v>
      </c>
      <c r="P131" s="10">
        <f>IF($E131=Keys!$C$60,Keys!$C$51,INDEX(Raw_BFPIaE!$G$9:$G$3032,MATCH($A131&amp;Keys!$C$54&amp;Keys!$C$55&amp;Keys!$C$54&amp;$B131,Raw_BFPIaE!$H$9:$H$3032,0)))</f>
        <v>0</v>
      </c>
      <c r="Q131" s="10">
        <f>IF($E131=Keys!$C$60,Keys!$C$51,INDEX(Raw_BFPIaE!$G$9:$G$3032,MATCH($A131&amp;Keys!$C$54&amp;Keys!$C$56&amp;Keys!$C$54&amp;$B131,Raw_BFPIaE!$H$9:$H$3032,0)))</f>
        <v>0</v>
      </c>
      <c r="R131" s="10">
        <f>IF($E131=Keys!$C$60,Keys!$C$51,INDEX(Raw_BFPIaE!$G$9:$G$3032,MATCH($A131&amp;Keys!$C$54&amp;Keys!$C$57&amp;Keys!$C$54&amp;$B131,Raw_BFPIaE!$H$9:$H$3032,0)))</f>
        <v>0</v>
      </c>
      <c r="S131" s="11">
        <f>IF(($P131+$Q131-$R131+MAX(Keys!$C$51,$R131-$Q131))&gt;Keys!$C$51,MIN(Keys!$C$52,MAX(Keys!$C$51,$R131-$Q131)/($P131+$Q131-$R131+MAX(Keys!$C$51,$R131-$Q131))),Keys!$C$51)</f>
        <v>0</v>
      </c>
      <c r="T131">
        <f>IF(AND($I131&gt;$H131,ABS($L131-$G131)&gt;MAX(Keys!$C$62,ABS($G131)*Keys!$C$63)),1,0)</f>
        <v>0</v>
      </c>
      <c r="U131">
        <f>IF(OR($N131&lt;Keys!$C$51,$N131&gt;Keys!$C$52),1,0)</f>
        <v>0</v>
      </c>
      <c r="V131">
        <f>IF(AND($E131=Keys!$C$60,$N131&lt;&gt;Keys!$C$51),1,0)</f>
        <v>0</v>
      </c>
      <c r="W131">
        <f>IF($L131&gt;Keys!$C$51,IF($K131/$L131&gt;Keys!$C$52,1,0),0)</f>
        <v>0</v>
      </c>
      <c r="X131" s="11">
        <f t="shared" si="7"/>
        <v>0</v>
      </c>
    </row>
    <row r="132" spans="1:24" x14ac:dyDescent="0.25">
      <c r="A132" t="s">
        <v>79</v>
      </c>
      <c r="B132" t="s">
        <v>68</v>
      </c>
      <c r="C132" t="str">
        <f>VLOOKUP($B132,Keys!$F$2:$I$22,2,FALSE)</f>
        <v>natural gas</v>
      </c>
      <c r="D132">
        <f>VLOOKUP($B132,Keys!$F$2:$I$22,3,FALSE)</f>
        <v>0.190839183</v>
      </c>
      <c r="E132" t="str">
        <f>VLOOKUP($B132,Keys!$F$2:$I$22,4,FALSE)</f>
        <v>rule</v>
      </c>
      <c r="F132" t="str">
        <f>$A132&amp;Keys!$C$54&amp;$B132</f>
        <v>DE|natural gas</v>
      </c>
      <c r="G132" s="10">
        <f>IF($E132=Keys!$C$60,Keys!$C$51,INDEX(Balanced_2025!$D$9:$D$3032,MATCH($A132&amp;Keys!$C$54&amp;Keys!$C$55&amp;Keys!$C$54&amp;$C132,Balanced_2025!$E$9:$E$3032,0)))</f>
        <v>0</v>
      </c>
      <c r="H132" s="10">
        <f>IF($E132=Keys!$C$60,Keys!$C$51,INDEX(Balanced_2025!$D$9:$D$3032,MATCH($A132&amp;Keys!$C$54&amp;Keys!$C$56&amp;Keys!$C$54&amp;$C132,Balanced_2025!$E$9:$E$3032,0)))</f>
        <v>100509000000000</v>
      </c>
      <c r="I132" s="10">
        <f>IF($E132=Keys!$C$60,Keys!$C$51,INDEX(Balanced_2025!$D$9:$D$3032,MATCH($A132&amp;Keys!$C$54&amp;Keys!$C$57&amp;Keys!$C$54&amp;$C132,Balanced_2025!$E$9:$E$3032,0)))</f>
        <v>7207150000000</v>
      </c>
      <c r="J132" s="10">
        <f t="shared" ref="J132:J195" si="8">$G132+$H132-$I132</f>
        <v>93301850000000</v>
      </c>
      <c r="K132" s="10">
        <f>MAX(Keys!$C$51,$I132-$H132)</f>
        <v>0</v>
      </c>
      <c r="L132" s="10">
        <f t="shared" ref="L132:L195" si="9">$K132+$J132</f>
        <v>93301850000000</v>
      </c>
      <c r="M132" s="11">
        <f>IF($L132&gt;Keys!$C$51,MIN(Keys!$C$52,$K132/$L132),Keys!$C$51)</f>
        <v>0</v>
      </c>
      <c r="N132" s="11">
        <f>IF($E132=Keys!$C$60,Keys!$C$51,IF($E132=Keys!$C$59,$D132,$M132))</f>
        <v>0</v>
      </c>
      <c r="O132">
        <f t="shared" ref="O132:O195" si="10">IF($N132&lt;&gt;$D132,1,0)</f>
        <v>1</v>
      </c>
      <c r="P132" s="10">
        <f>IF($E132=Keys!$C$60,Keys!$C$51,INDEX(Raw_BFPIaE!$G$9:$G$3032,MATCH($A132&amp;Keys!$C$54&amp;Keys!$C$55&amp;Keys!$C$54&amp;$B132,Raw_BFPIaE!$H$9:$H$3032,0)))</f>
        <v>0</v>
      </c>
      <c r="Q132" s="10">
        <f>IF($E132=Keys!$C$60,Keys!$C$51,INDEX(Raw_BFPIaE!$G$9:$G$3032,MATCH($A132&amp;Keys!$C$54&amp;Keys!$C$56&amp;Keys!$C$54&amp;$B132,Raw_BFPIaE!$H$9:$H$3032,0)))</f>
        <v>85373200000000</v>
      </c>
      <c r="R132" s="10">
        <f>IF($E132=Keys!$C$60,Keys!$C$51,INDEX(Raw_BFPIaE!$G$9:$G$3032,MATCH($A132&amp;Keys!$C$54&amp;Keys!$C$57&amp;Keys!$C$54&amp;$B132,Raw_BFPIaE!$H$9:$H$3032,0)))</f>
        <v>7214610000000</v>
      </c>
      <c r="S132" s="11">
        <f>IF(($P132+$Q132-$R132+MAX(Keys!$C$51,$R132-$Q132))&gt;Keys!$C$51,MIN(Keys!$C$52,MAX(Keys!$C$51,$R132-$Q132)/($P132+$Q132-$R132+MAX(Keys!$C$51,$R132-$Q132))),Keys!$C$51)</f>
        <v>0</v>
      </c>
      <c r="T132">
        <f>IF(AND($I132&gt;$H132,ABS($L132-$G132)&gt;MAX(Keys!$C$62,ABS($G132)*Keys!$C$63)),1,0)</f>
        <v>0</v>
      </c>
      <c r="U132">
        <f>IF(OR($N132&lt;Keys!$C$51,$N132&gt;Keys!$C$52),1,0)</f>
        <v>0</v>
      </c>
      <c r="V132">
        <f>IF(AND($E132=Keys!$C$60,$N132&lt;&gt;Keys!$C$51),1,0)</f>
        <v>0</v>
      </c>
      <c r="W132">
        <f>IF($L132&gt;Keys!$C$51,IF($K132/$L132&gt;Keys!$C$52,1,0),0)</f>
        <v>0</v>
      </c>
      <c r="X132" s="11">
        <f t="shared" ref="X132:X195" si="11">ABS($M132-$S132)</f>
        <v>0</v>
      </c>
    </row>
    <row r="133" spans="1:24" x14ac:dyDescent="0.25">
      <c r="A133" t="s">
        <v>79</v>
      </c>
      <c r="B133" t="s">
        <v>71</v>
      </c>
      <c r="C133">
        <f>VLOOKUP($B133,Keys!$F$2:$I$22,2,FALSE)</f>
        <v>0</v>
      </c>
      <c r="D133">
        <f>VLOOKUP($B133,Keys!$F$2:$I$22,3,FALSE)</f>
        <v>0</v>
      </c>
      <c r="E133" t="str">
        <f>VLOOKUP($B133,Keys!$F$2:$I$22,4,FALSE)</f>
        <v>zero</v>
      </c>
      <c r="F133" t="str">
        <f>$A133&amp;Keys!$C$54&amp;$B133</f>
        <v>DE|nuclear</v>
      </c>
      <c r="G133" s="10">
        <f>IF($E133=Keys!$C$60,Keys!$C$51,INDEX(Balanced_2025!$D$9:$D$3032,MATCH($A133&amp;Keys!$C$54&amp;Keys!$C$55&amp;Keys!$C$54&amp;$C133,Balanced_2025!$E$9:$E$3032,0)))</f>
        <v>0</v>
      </c>
      <c r="H133" s="10">
        <f>IF($E133=Keys!$C$60,Keys!$C$51,INDEX(Balanced_2025!$D$9:$D$3032,MATCH($A133&amp;Keys!$C$54&amp;Keys!$C$56&amp;Keys!$C$54&amp;$C133,Balanced_2025!$E$9:$E$3032,0)))</f>
        <v>0</v>
      </c>
      <c r="I133" s="10">
        <f>IF($E133=Keys!$C$60,Keys!$C$51,INDEX(Balanced_2025!$D$9:$D$3032,MATCH($A133&amp;Keys!$C$54&amp;Keys!$C$57&amp;Keys!$C$54&amp;$C133,Balanced_2025!$E$9:$E$3032,0)))</f>
        <v>0</v>
      </c>
      <c r="J133" s="10">
        <f t="shared" si="8"/>
        <v>0</v>
      </c>
      <c r="K133" s="10">
        <f>MAX(Keys!$C$51,$I133-$H133)</f>
        <v>0</v>
      </c>
      <c r="L133" s="10">
        <f t="shared" si="9"/>
        <v>0</v>
      </c>
      <c r="M133" s="11">
        <f>IF($L133&gt;Keys!$C$51,MIN(Keys!$C$52,$K133/$L133),Keys!$C$51)</f>
        <v>0</v>
      </c>
      <c r="N133" s="11">
        <f>IF($E133=Keys!$C$60,Keys!$C$51,IF($E133=Keys!$C$59,$D133,$M133))</f>
        <v>0</v>
      </c>
      <c r="O133">
        <f t="shared" si="10"/>
        <v>0</v>
      </c>
      <c r="P133" s="10">
        <f>IF($E133=Keys!$C$60,Keys!$C$51,INDEX(Raw_BFPIaE!$G$9:$G$3032,MATCH($A133&amp;Keys!$C$54&amp;Keys!$C$55&amp;Keys!$C$54&amp;$B133,Raw_BFPIaE!$H$9:$H$3032,0)))</f>
        <v>0</v>
      </c>
      <c r="Q133" s="10">
        <f>IF($E133=Keys!$C$60,Keys!$C$51,INDEX(Raw_BFPIaE!$G$9:$G$3032,MATCH($A133&amp;Keys!$C$54&amp;Keys!$C$56&amp;Keys!$C$54&amp;$B133,Raw_BFPIaE!$H$9:$H$3032,0)))</f>
        <v>0</v>
      </c>
      <c r="R133" s="10">
        <f>IF($E133=Keys!$C$60,Keys!$C$51,INDEX(Raw_BFPIaE!$G$9:$G$3032,MATCH($A133&amp;Keys!$C$54&amp;Keys!$C$57&amp;Keys!$C$54&amp;$B133,Raw_BFPIaE!$H$9:$H$3032,0)))</f>
        <v>0</v>
      </c>
      <c r="S133" s="11">
        <f>IF(($P133+$Q133-$R133+MAX(Keys!$C$51,$R133-$Q133))&gt;Keys!$C$51,MIN(Keys!$C$52,MAX(Keys!$C$51,$R133-$Q133)/($P133+$Q133-$R133+MAX(Keys!$C$51,$R133-$Q133))),Keys!$C$51)</f>
        <v>0</v>
      </c>
      <c r="T133">
        <f>IF(AND($I133&gt;$H133,ABS($L133-$G133)&gt;MAX(Keys!$C$62,ABS($G133)*Keys!$C$63)),1,0)</f>
        <v>0</v>
      </c>
      <c r="U133">
        <f>IF(OR($N133&lt;Keys!$C$51,$N133&gt;Keys!$C$52),1,0)</f>
        <v>0</v>
      </c>
      <c r="V133">
        <f>IF(AND($E133=Keys!$C$60,$N133&lt;&gt;Keys!$C$51),1,0)</f>
        <v>0</v>
      </c>
      <c r="W133">
        <f>IF($L133&gt;Keys!$C$51,IF($K133/$L133&gt;Keys!$C$52,1,0),0)</f>
        <v>0</v>
      </c>
      <c r="X133" s="11">
        <f t="shared" si="11"/>
        <v>0</v>
      </c>
    </row>
    <row r="134" spans="1:24" x14ac:dyDescent="0.25">
      <c r="A134" t="s">
        <v>79</v>
      </c>
      <c r="B134" t="s">
        <v>74</v>
      </c>
      <c r="C134">
        <f>VLOOKUP($B134,Keys!$F$2:$I$22,2,FALSE)</f>
        <v>0</v>
      </c>
      <c r="D134">
        <f>VLOOKUP($B134,Keys!$F$2:$I$22,3,FALSE)</f>
        <v>0</v>
      </c>
      <c r="E134" t="str">
        <f>VLOOKUP($B134,Keys!$F$2:$I$22,4,FALSE)</f>
        <v>zero</v>
      </c>
      <c r="F134" t="str">
        <f>$A134&amp;Keys!$C$54&amp;$B134</f>
        <v>DE|hydro (is not a fuel)</v>
      </c>
      <c r="G134" s="10">
        <f>IF($E134=Keys!$C$60,Keys!$C$51,INDEX(Balanced_2025!$D$9:$D$3032,MATCH($A134&amp;Keys!$C$54&amp;Keys!$C$55&amp;Keys!$C$54&amp;$C134,Balanced_2025!$E$9:$E$3032,0)))</f>
        <v>0</v>
      </c>
      <c r="H134" s="10">
        <f>IF($E134=Keys!$C$60,Keys!$C$51,INDEX(Balanced_2025!$D$9:$D$3032,MATCH($A134&amp;Keys!$C$54&amp;Keys!$C$56&amp;Keys!$C$54&amp;$C134,Balanced_2025!$E$9:$E$3032,0)))</f>
        <v>0</v>
      </c>
      <c r="I134" s="10">
        <f>IF($E134=Keys!$C$60,Keys!$C$51,INDEX(Balanced_2025!$D$9:$D$3032,MATCH($A134&amp;Keys!$C$54&amp;Keys!$C$57&amp;Keys!$C$54&amp;$C134,Balanced_2025!$E$9:$E$3032,0)))</f>
        <v>0</v>
      </c>
      <c r="J134" s="10">
        <f t="shared" si="8"/>
        <v>0</v>
      </c>
      <c r="K134" s="10">
        <f>MAX(Keys!$C$51,$I134-$H134)</f>
        <v>0</v>
      </c>
      <c r="L134" s="10">
        <f t="shared" si="9"/>
        <v>0</v>
      </c>
      <c r="M134" s="11">
        <f>IF($L134&gt;Keys!$C$51,MIN(Keys!$C$52,$K134/$L134),Keys!$C$51)</f>
        <v>0</v>
      </c>
      <c r="N134" s="11">
        <f>IF($E134=Keys!$C$60,Keys!$C$51,IF($E134=Keys!$C$59,$D134,$M134))</f>
        <v>0</v>
      </c>
      <c r="O134">
        <f t="shared" si="10"/>
        <v>0</v>
      </c>
      <c r="P134" s="10">
        <f>IF($E134=Keys!$C$60,Keys!$C$51,INDEX(Raw_BFPIaE!$G$9:$G$3032,MATCH($A134&amp;Keys!$C$54&amp;Keys!$C$55&amp;Keys!$C$54&amp;$B134,Raw_BFPIaE!$H$9:$H$3032,0)))</f>
        <v>0</v>
      </c>
      <c r="Q134" s="10">
        <f>IF($E134=Keys!$C$60,Keys!$C$51,INDEX(Raw_BFPIaE!$G$9:$G$3032,MATCH($A134&amp;Keys!$C$54&amp;Keys!$C$56&amp;Keys!$C$54&amp;$B134,Raw_BFPIaE!$H$9:$H$3032,0)))</f>
        <v>0</v>
      </c>
      <c r="R134" s="10">
        <f>IF($E134=Keys!$C$60,Keys!$C$51,INDEX(Raw_BFPIaE!$G$9:$G$3032,MATCH($A134&amp;Keys!$C$54&amp;Keys!$C$57&amp;Keys!$C$54&amp;$B134,Raw_BFPIaE!$H$9:$H$3032,0)))</f>
        <v>0</v>
      </c>
      <c r="S134" s="11">
        <f>IF(($P134+$Q134-$R134+MAX(Keys!$C$51,$R134-$Q134))&gt;Keys!$C$51,MIN(Keys!$C$52,MAX(Keys!$C$51,$R134-$Q134)/($P134+$Q134-$R134+MAX(Keys!$C$51,$R134-$Q134))),Keys!$C$51)</f>
        <v>0</v>
      </c>
      <c r="T134">
        <f>IF(AND($I134&gt;$H134,ABS($L134-$G134)&gt;MAX(Keys!$C$62,ABS($G134)*Keys!$C$63)),1,0)</f>
        <v>0</v>
      </c>
      <c r="U134">
        <f>IF(OR($N134&lt;Keys!$C$51,$N134&gt;Keys!$C$52),1,0)</f>
        <v>0</v>
      </c>
      <c r="V134">
        <f>IF(AND($E134=Keys!$C$60,$N134&lt;&gt;Keys!$C$51),1,0)</f>
        <v>0</v>
      </c>
      <c r="W134">
        <f>IF($L134&gt;Keys!$C$51,IF($K134/$L134&gt;Keys!$C$52,1,0),0)</f>
        <v>0</v>
      </c>
      <c r="X134" s="11">
        <f t="shared" si="11"/>
        <v>0</v>
      </c>
    </row>
    <row r="135" spans="1:24" x14ac:dyDescent="0.25">
      <c r="A135" t="s">
        <v>79</v>
      </c>
      <c r="B135" t="s">
        <v>77</v>
      </c>
      <c r="C135">
        <f>VLOOKUP($B135,Keys!$F$2:$I$22,2,FALSE)</f>
        <v>0</v>
      </c>
      <c r="D135">
        <f>VLOOKUP($B135,Keys!$F$2:$I$22,3,FALSE)</f>
        <v>0</v>
      </c>
      <c r="E135" t="str">
        <f>VLOOKUP($B135,Keys!$F$2:$I$22,4,FALSE)</f>
        <v>zero</v>
      </c>
      <c r="F135" t="str">
        <f>$A135&amp;Keys!$C$54&amp;$B135</f>
        <v>DE|wind (is not a fuel)</v>
      </c>
      <c r="G135" s="10">
        <f>IF($E135=Keys!$C$60,Keys!$C$51,INDEX(Balanced_2025!$D$9:$D$3032,MATCH($A135&amp;Keys!$C$54&amp;Keys!$C$55&amp;Keys!$C$54&amp;$C135,Balanced_2025!$E$9:$E$3032,0)))</f>
        <v>0</v>
      </c>
      <c r="H135" s="10">
        <f>IF($E135=Keys!$C$60,Keys!$C$51,INDEX(Balanced_2025!$D$9:$D$3032,MATCH($A135&amp;Keys!$C$54&amp;Keys!$C$56&amp;Keys!$C$54&amp;$C135,Balanced_2025!$E$9:$E$3032,0)))</f>
        <v>0</v>
      </c>
      <c r="I135" s="10">
        <f>IF($E135=Keys!$C$60,Keys!$C$51,INDEX(Balanced_2025!$D$9:$D$3032,MATCH($A135&amp;Keys!$C$54&amp;Keys!$C$57&amp;Keys!$C$54&amp;$C135,Balanced_2025!$E$9:$E$3032,0)))</f>
        <v>0</v>
      </c>
      <c r="J135" s="10">
        <f t="shared" si="8"/>
        <v>0</v>
      </c>
      <c r="K135" s="10">
        <f>MAX(Keys!$C$51,$I135-$H135)</f>
        <v>0</v>
      </c>
      <c r="L135" s="10">
        <f t="shared" si="9"/>
        <v>0</v>
      </c>
      <c r="M135" s="11">
        <f>IF($L135&gt;Keys!$C$51,MIN(Keys!$C$52,$K135/$L135),Keys!$C$51)</f>
        <v>0</v>
      </c>
      <c r="N135" s="11">
        <f>IF($E135=Keys!$C$60,Keys!$C$51,IF($E135=Keys!$C$59,$D135,$M135))</f>
        <v>0</v>
      </c>
      <c r="O135">
        <f t="shared" si="10"/>
        <v>0</v>
      </c>
      <c r="P135" s="10">
        <f>IF($E135=Keys!$C$60,Keys!$C$51,INDEX(Raw_BFPIaE!$G$9:$G$3032,MATCH($A135&amp;Keys!$C$54&amp;Keys!$C$55&amp;Keys!$C$54&amp;$B135,Raw_BFPIaE!$H$9:$H$3032,0)))</f>
        <v>0</v>
      </c>
      <c r="Q135" s="10">
        <f>IF($E135=Keys!$C$60,Keys!$C$51,INDEX(Raw_BFPIaE!$G$9:$G$3032,MATCH($A135&amp;Keys!$C$54&amp;Keys!$C$56&amp;Keys!$C$54&amp;$B135,Raw_BFPIaE!$H$9:$H$3032,0)))</f>
        <v>0</v>
      </c>
      <c r="R135" s="10">
        <f>IF($E135=Keys!$C$60,Keys!$C$51,INDEX(Raw_BFPIaE!$G$9:$G$3032,MATCH($A135&amp;Keys!$C$54&amp;Keys!$C$57&amp;Keys!$C$54&amp;$B135,Raw_BFPIaE!$H$9:$H$3032,0)))</f>
        <v>0</v>
      </c>
      <c r="S135" s="11">
        <f>IF(($P135+$Q135-$R135+MAX(Keys!$C$51,$R135-$Q135))&gt;Keys!$C$51,MIN(Keys!$C$52,MAX(Keys!$C$51,$R135-$Q135)/($P135+$Q135-$R135+MAX(Keys!$C$51,$R135-$Q135))),Keys!$C$51)</f>
        <v>0</v>
      </c>
      <c r="T135">
        <f>IF(AND($I135&gt;$H135,ABS($L135-$G135)&gt;MAX(Keys!$C$62,ABS($G135)*Keys!$C$63)),1,0)</f>
        <v>0</v>
      </c>
      <c r="U135">
        <f>IF(OR($N135&lt;Keys!$C$51,$N135&gt;Keys!$C$52),1,0)</f>
        <v>0</v>
      </c>
      <c r="V135">
        <f>IF(AND($E135=Keys!$C$60,$N135&lt;&gt;Keys!$C$51),1,0)</f>
        <v>0</v>
      </c>
      <c r="W135">
        <f>IF($L135&gt;Keys!$C$51,IF($K135/$L135&gt;Keys!$C$52,1,0),0)</f>
        <v>0</v>
      </c>
      <c r="X135" s="11">
        <f t="shared" si="11"/>
        <v>0</v>
      </c>
    </row>
    <row r="136" spans="1:24" x14ac:dyDescent="0.25">
      <c r="A136" t="s">
        <v>79</v>
      </c>
      <c r="B136" t="s">
        <v>80</v>
      </c>
      <c r="C136">
        <f>VLOOKUP($B136,Keys!$F$2:$I$22,2,FALSE)</f>
        <v>0</v>
      </c>
      <c r="D136">
        <f>VLOOKUP($B136,Keys!$F$2:$I$22,3,FALSE)</f>
        <v>0</v>
      </c>
      <c r="E136" t="str">
        <f>VLOOKUP($B136,Keys!$F$2:$I$22,4,FALSE)</f>
        <v>zero</v>
      </c>
      <c r="F136" t="str">
        <f>$A136&amp;Keys!$C$54&amp;$B136</f>
        <v>DE|solar (is not a fuel)</v>
      </c>
      <c r="G136" s="10">
        <f>IF($E136=Keys!$C$60,Keys!$C$51,INDEX(Balanced_2025!$D$9:$D$3032,MATCH($A136&amp;Keys!$C$54&amp;Keys!$C$55&amp;Keys!$C$54&amp;$C136,Balanced_2025!$E$9:$E$3032,0)))</f>
        <v>0</v>
      </c>
      <c r="H136" s="10">
        <f>IF($E136=Keys!$C$60,Keys!$C$51,INDEX(Balanced_2025!$D$9:$D$3032,MATCH($A136&amp;Keys!$C$54&amp;Keys!$C$56&amp;Keys!$C$54&amp;$C136,Balanced_2025!$E$9:$E$3032,0)))</f>
        <v>0</v>
      </c>
      <c r="I136" s="10">
        <f>IF($E136=Keys!$C$60,Keys!$C$51,INDEX(Balanced_2025!$D$9:$D$3032,MATCH($A136&amp;Keys!$C$54&amp;Keys!$C$57&amp;Keys!$C$54&amp;$C136,Balanced_2025!$E$9:$E$3032,0)))</f>
        <v>0</v>
      </c>
      <c r="J136" s="10">
        <f t="shared" si="8"/>
        <v>0</v>
      </c>
      <c r="K136" s="10">
        <f>MAX(Keys!$C$51,$I136-$H136)</f>
        <v>0</v>
      </c>
      <c r="L136" s="10">
        <f t="shared" si="9"/>
        <v>0</v>
      </c>
      <c r="M136" s="11">
        <f>IF($L136&gt;Keys!$C$51,MIN(Keys!$C$52,$K136/$L136),Keys!$C$51)</f>
        <v>0</v>
      </c>
      <c r="N136" s="11">
        <f>IF($E136=Keys!$C$60,Keys!$C$51,IF($E136=Keys!$C$59,$D136,$M136))</f>
        <v>0</v>
      </c>
      <c r="O136">
        <f t="shared" si="10"/>
        <v>0</v>
      </c>
      <c r="P136" s="10">
        <f>IF($E136=Keys!$C$60,Keys!$C$51,INDEX(Raw_BFPIaE!$G$9:$G$3032,MATCH($A136&amp;Keys!$C$54&amp;Keys!$C$55&amp;Keys!$C$54&amp;$B136,Raw_BFPIaE!$H$9:$H$3032,0)))</f>
        <v>0</v>
      </c>
      <c r="Q136" s="10">
        <f>IF($E136=Keys!$C$60,Keys!$C$51,INDEX(Raw_BFPIaE!$G$9:$G$3032,MATCH($A136&amp;Keys!$C$54&amp;Keys!$C$56&amp;Keys!$C$54&amp;$B136,Raw_BFPIaE!$H$9:$H$3032,0)))</f>
        <v>0</v>
      </c>
      <c r="R136" s="10">
        <f>IF($E136=Keys!$C$60,Keys!$C$51,INDEX(Raw_BFPIaE!$G$9:$G$3032,MATCH($A136&amp;Keys!$C$54&amp;Keys!$C$57&amp;Keys!$C$54&amp;$B136,Raw_BFPIaE!$H$9:$H$3032,0)))</f>
        <v>0</v>
      </c>
      <c r="S136" s="11">
        <f>IF(($P136+$Q136-$R136+MAX(Keys!$C$51,$R136-$Q136))&gt;Keys!$C$51,MIN(Keys!$C$52,MAX(Keys!$C$51,$R136-$Q136)/($P136+$Q136-$R136+MAX(Keys!$C$51,$R136-$Q136))),Keys!$C$51)</f>
        <v>0</v>
      </c>
      <c r="T136">
        <f>IF(AND($I136&gt;$H136,ABS($L136-$G136)&gt;MAX(Keys!$C$62,ABS($G136)*Keys!$C$63)),1,0)</f>
        <v>0</v>
      </c>
      <c r="U136">
        <f>IF(OR($N136&lt;Keys!$C$51,$N136&gt;Keys!$C$52),1,0)</f>
        <v>0</v>
      </c>
      <c r="V136">
        <f>IF(AND($E136=Keys!$C$60,$N136&lt;&gt;Keys!$C$51),1,0)</f>
        <v>0</v>
      </c>
      <c r="W136">
        <f>IF($L136&gt;Keys!$C$51,IF($K136/$L136&gt;Keys!$C$52,1,0),0)</f>
        <v>0</v>
      </c>
      <c r="X136" s="11">
        <f t="shared" si="11"/>
        <v>0</v>
      </c>
    </row>
    <row r="137" spans="1:24" x14ac:dyDescent="0.25">
      <c r="A137" t="s">
        <v>79</v>
      </c>
      <c r="B137" t="s">
        <v>82</v>
      </c>
      <c r="C137" t="str">
        <f>VLOOKUP($B137,Keys!$F$2:$I$22,2,FALSE)</f>
        <v>biomass</v>
      </c>
      <c r="D137">
        <f>VLOOKUP($B137,Keys!$F$2:$I$22,3,FALSE)</f>
        <v>0.74947425499999998</v>
      </c>
      <c r="E137" t="str">
        <f>VLOOKUP($B137,Keys!$F$2:$I$22,4,FALSE)</f>
        <v>rule</v>
      </c>
      <c r="F137" t="str">
        <f>$A137&amp;Keys!$C$54&amp;$B137</f>
        <v>DE|biomass</v>
      </c>
      <c r="G137" s="10">
        <f>IF($E137=Keys!$C$60,Keys!$C$51,INDEX(Balanced_2025!$D$9:$D$3032,MATCH($A137&amp;Keys!$C$54&amp;Keys!$C$55&amp;Keys!$C$54&amp;$C137,Balanced_2025!$E$9:$E$3032,0)))</f>
        <v>0</v>
      </c>
      <c r="H137" s="10">
        <f>IF($E137=Keys!$C$60,Keys!$C$51,INDEX(Balanced_2025!$D$9:$D$3032,MATCH($A137&amp;Keys!$C$54&amp;Keys!$C$56&amp;Keys!$C$54&amp;$C137,Balanced_2025!$E$9:$E$3032,0)))</f>
        <v>1456120000000</v>
      </c>
      <c r="I137" s="10">
        <f>IF($E137=Keys!$C$60,Keys!$C$51,INDEX(Balanced_2025!$D$9:$D$3032,MATCH($A137&amp;Keys!$C$54&amp;Keys!$C$57&amp;Keys!$C$54&amp;$C137,Balanced_2025!$E$9:$E$3032,0)))</f>
        <v>0</v>
      </c>
      <c r="J137" s="10">
        <f t="shared" si="8"/>
        <v>1456120000000</v>
      </c>
      <c r="K137" s="10">
        <f>MAX(Keys!$C$51,$I137-$H137)</f>
        <v>0</v>
      </c>
      <c r="L137" s="10">
        <f t="shared" si="9"/>
        <v>1456120000000</v>
      </c>
      <c r="M137" s="11">
        <f>IF($L137&gt;Keys!$C$51,MIN(Keys!$C$52,$K137/$L137),Keys!$C$51)</f>
        <v>0</v>
      </c>
      <c r="N137" s="11">
        <f>IF($E137=Keys!$C$60,Keys!$C$51,IF($E137=Keys!$C$59,$D137,$M137))</f>
        <v>0</v>
      </c>
      <c r="O137">
        <f t="shared" si="10"/>
        <v>1</v>
      </c>
      <c r="P137" s="10">
        <f>IF($E137=Keys!$C$60,Keys!$C$51,INDEX(Raw_BFPIaE!$G$9:$G$3032,MATCH($A137&amp;Keys!$C$54&amp;Keys!$C$55&amp;Keys!$C$54&amp;$B137,Raw_BFPIaE!$H$9:$H$3032,0)))</f>
        <v>0</v>
      </c>
      <c r="Q137" s="10">
        <f>IF($E137=Keys!$C$60,Keys!$C$51,INDEX(Raw_BFPIaE!$G$9:$G$3032,MATCH($A137&amp;Keys!$C$54&amp;Keys!$C$56&amp;Keys!$C$54&amp;$B137,Raw_BFPIaE!$H$9:$H$3032,0)))</f>
        <v>886303333333.33337</v>
      </c>
      <c r="R137" s="10">
        <f>IF($E137=Keys!$C$60,Keys!$C$51,INDEX(Raw_BFPIaE!$G$9:$G$3032,MATCH($A137&amp;Keys!$C$54&amp;Keys!$C$57&amp;Keys!$C$54&amp;$B137,Raw_BFPIaE!$H$9:$H$3032,0)))</f>
        <v>0</v>
      </c>
      <c r="S137" s="11">
        <f>IF(($P137+$Q137-$R137+MAX(Keys!$C$51,$R137-$Q137))&gt;Keys!$C$51,MIN(Keys!$C$52,MAX(Keys!$C$51,$R137-$Q137)/($P137+$Q137-$R137+MAX(Keys!$C$51,$R137-$Q137))),Keys!$C$51)</f>
        <v>0</v>
      </c>
      <c r="T137">
        <f>IF(AND($I137&gt;$H137,ABS($L137-$G137)&gt;MAX(Keys!$C$62,ABS($G137)*Keys!$C$63)),1,0)</f>
        <v>0</v>
      </c>
      <c r="U137">
        <f>IF(OR($N137&lt;Keys!$C$51,$N137&gt;Keys!$C$52),1,0)</f>
        <v>0</v>
      </c>
      <c r="V137">
        <f>IF(AND($E137=Keys!$C$60,$N137&lt;&gt;Keys!$C$51),1,0)</f>
        <v>0</v>
      </c>
      <c r="W137">
        <f>IF($L137&gt;Keys!$C$51,IF($K137/$L137&gt;Keys!$C$52,1,0),0)</f>
        <v>0</v>
      </c>
      <c r="X137" s="11">
        <f t="shared" si="11"/>
        <v>0</v>
      </c>
    </row>
    <row r="138" spans="1:24" x14ac:dyDescent="0.25">
      <c r="A138" t="s">
        <v>79</v>
      </c>
      <c r="B138" t="s">
        <v>85</v>
      </c>
      <c r="C138" t="str">
        <f>VLOOKUP($B138,Keys!$F$2:$I$22,2,FALSE)</f>
        <v>petroleum gasoline</v>
      </c>
      <c r="D138">
        <f>VLOOKUP($B138,Keys!$F$2:$I$22,3,FALSE)</f>
        <v>7.5004052000000002E-2</v>
      </c>
      <c r="E138" t="str">
        <f>VLOOKUP($B138,Keys!$F$2:$I$22,4,FALSE)</f>
        <v>rule</v>
      </c>
      <c r="F138" t="str">
        <f>$A138&amp;Keys!$C$54&amp;$B138</f>
        <v>DE|petroleum gasoline</v>
      </c>
      <c r="G138" s="10">
        <f>IF($E138=Keys!$C$60,Keys!$C$51,INDEX(Balanced_2025!$D$9:$D$3032,MATCH($A138&amp;Keys!$C$54&amp;Keys!$C$55&amp;Keys!$C$54&amp;$C138,Balanced_2025!$E$9:$E$3032,0)))</f>
        <v>165956000000000</v>
      </c>
      <c r="H138" s="10">
        <f>IF($E138=Keys!$C$60,Keys!$C$51,INDEX(Balanced_2025!$D$9:$D$3032,MATCH($A138&amp;Keys!$C$54&amp;Keys!$C$56&amp;Keys!$C$54&amp;$C138,Balanced_2025!$E$9:$E$3032,0)))</f>
        <v>2524760000000</v>
      </c>
      <c r="I138" s="10">
        <f>IF($E138=Keys!$C$60,Keys!$C$51,INDEX(Balanced_2025!$D$9:$D$3032,MATCH($A138&amp;Keys!$C$54&amp;Keys!$C$57&amp;Keys!$C$54&amp;$C138,Balanced_2025!$E$9:$E$3032,0)))</f>
        <v>115903000000000</v>
      </c>
      <c r="J138" s="10">
        <f t="shared" si="8"/>
        <v>52577760000000</v>
      </c>
      <c r="K138" s="10">
        <f>MAX(Keys!$C$51,$I138-$H138)</f>
        <v>113378240000000</v>
      </c>
      <c r="L138" s="10">
        <f t="shared" si="9"/>
        <v>165956000000000</v>
      </c>
      <c r="M138" s="11">
        <f>IF($L138&gt;Keys!$C$51,MIN(Keys!$C$52,$K138/$L138),Keys!$C$51)</f>
        <v>0.68318253030923859</v>
      </c>
      <c r="N138" s="11">
        <f>IF($E138=Keys!$C$60,Keys!$C$51,IF($E138=Keys!$C$59,$D138,$M138))</f>
        <v>0.68318253030923859</v>
      </c>
      <c r="O138">
        <f t="shared" si="10"/>
        <v>1</v>
      </c>
      <c r="P138" s="10">
        <f>IF($E138=Keys!$C$60,Keys!$C$51,INDEX(Raw_BFPIaE!$G$9:$G$3032,MATCH($A138&amp;Keys!$C$54&amp;Keys!$C$55&amp;Keys!$C$54&amp;$B138,Raw_BFPIaE!$H$9:$H$3032,0)))</f>
        <v>164615000000000</v>
      </c>
      <c r="Q138" s="10">
        <f>IF($E138=Keys!$C$60,Keys!$C$51,INDEX(Raw_BFPIaE!$G$9:$G$3032,MATCH($A138&amp;Keys!$C$54&amp;Keys!$C$56&amp;Keys!$C$54&amp;$B138,Raw_BFPIaE!$H$9:$H$3032,0)))</f>
        <v>0</v>
      </c>
      <c r="R138" s="10">
        <f>IF($E138=Keys!$C$60,Keys!$C$51,INDEX(Raw_BFPIaE!$G$9:$G$3032,MATCH($A138&amp;Keys!$C$54&amp;Keys!$C$57&amp;Keys!$C$54&amp;$B138,Raw_BFPIaE!$H$9:$H$3032,0)))</f>
        <v>76187000000000</v>
      </c>
      <c r="S138" s="11">
        <f>IF(($P138+$Q138-$R138+MAX(Keys!$C$51,$R138-$Q138))&gt;Keys!$C$51,MIN(Keys!$C$52,MAX(Keys!$C$51,$R138-$Q138)/($P138+$Q138-$R138+MAX(Keys!$C$51,$R138-$Q138))),Keys!$C$51)</f>
        <v>0.46281930565258328</v>
      </c>
      <c r="T138">
        <f>IF(AND($I138&gt;$H138,ABS($L138-$G138)&gt;MAX(Keys!$C$62,ABS($G138)*Keys!$C$63)),1,0)</f>
        <v>0</v>
      </c>
      <c r="U138">
        <f>IF(OR($N138&lt;Keys!$C$51,$N138&gt;Keys!$C$52),1,0)</f>
        <v>0</v>
      </c>
      <c r="V138">
        <f>IF(AND($E138=Keys!$C$60,$N138&lt;&gt;Keys!$C$51),1,0)</f>
        <v>0</v>
      </c>
      <c r="W138">
        <f>IF($L138&gt;Keys!$C$51,IF($K138/$L138&gt;Keys!$C$52,1,0),0)</f>
        <v>0</v>
      </c>
      <c r="X138" s="11">
        <f t="shared" si="11"/>
        <v>0.22036322465665531</v>
      </c>
    </row>
    <row r="139" spans="1:24" x14ac:dyDescent="0.25">
      <c r="A139" t="s">
        <v>79</v>
      </c>
      <c r="B139" t="s">
        <v>88</v>
      </c>
      <c r="C139" t="str">
        <f>VLOOKUP($B139,Keys!$F$2:$I$22,2,FALSE)</f>
        <v>petroleum diesel</v>
      </c>
      <c r="D139">
        <f>VLOOKUP($B139,Keys!$F$2:$I$22,3,FALSE)</f>
        <v>0.26691051799999999</v>
      </c>
      <c r="E139" t="str">
        <f>VLOOKUP($B139,Keys!$F$2:$I$22,4,FALSE)</f>
        <v>rule</v>
      </c>
      <c r="F139" t="str">
        <f>$A139&amp;Keys!$C$54&amp;$B139</f>
        <v>DE|petroleum diesel</v>
      </c>
      <c r="G139" s="10">
        <f>IF($E139=Keys!$C$60,Keys!$C$51,INDEX(Balanced_2025!$D$9:$D$3032,MATCH($A139&amp;Keys!$C$54&amp;Keys!$C$55&amp;Keys!$C$54&amp;$C139,Balanced_2025!$E$9:$E$3032,0)))</f>
        <v>98165200000000</v>
      </c>
      <c r="H139" s="10">
        <f>IF($E139=Keys!$C$60,Keys!$C$51,INDEX(Balanced_2025!$D$9:$D$3032,MATCH($A139&amp;Keys!$C$54&amp;Keys!$C$56&amp;Keys!$C$54&amp;$C139,Balanced_2025!$E$9:$E$3032,0)))</f>
        <v>210966000000</v>
      </c>
      <c r="I139" s="10">
        <f>IF($E139=Keys!$C$60,Keys!$C$51,INDEX(Balanced_2025!$D$9:$D$3032,MATCH($A139&amp;Keys!$C$54&amp;Keys!$C$57&amp;Keys!$C$54&amp;$C139,Balanced_2025!$E$9:$E$3032,0)))</f>
        <v>79854900000000</v>
      </c>
      <c r="J139" s="10">
        <f t="shared" si="8"/>
        <v>18521266000000</v>
      </c>
      <c r="K139" s="10">
        <f>MAX(Keys!$C$51,$I139-$H139)</f>
        <v>79643934000000</v>
      </c>
      <c r="L139" s="10">
        <f t="shared" si="9"/>
        <v>98165200000000</v>
      </c>
      <c r="M139" s="11">
        <f>IF($L139&gt;Keys!$C$51,MIN(Keys!$C$52,$K139/$L139),Keys!$C$51)</f>
        <v>0.81132554102675902</v>
      </c>
      <c r="N139" s="11">
        <f>IF($E139=Keys!$C$60,Keys!$C$51,IF($E139=Keys!$C$59,$D139,$M139))</f>
        <v>0.81132554102675902</v>
      </c>
      <c r="O139">
        <f t="shared" si="10"/>
        <v>1</v>
      </c>
      <c r="P139" s="10">
        <f>IF($E139=Keys!$C$60,Keys!$C$51,INDEX(Raw_BFPIaE!$G$9:$G$3032,MATCH($A139&amp;Keys!$C$54&amp;Keys!$C$55&amp;Keys!$C$54&amp;$B139,Raw_BFPIaE!$H$9:$H$3032,0)))</f>
        <v>97372100000000</v>
      </c>
      <c r="Q139" s="10">
        <f>IF($E139=Keys!$C$60,Keys!$C$51,INDEX(Raw_BFPIaE!$G$9:$G$3032,MATCH($A139&amp;Keys!$C$54&amp;Keys!$C$56&amp;Keys!$C$54&amp;$B139,Raw_BFPIaE!$H$9:$H$3032,0)))</f>
        <v>0</v>
      </c>
      <c r="R139" s="10">
        <f>IF($E139=Keys!$C$60,Keys!$C$51,INDEX(Raw_BFPIaE!$G$9:$G$3032,MATCH($A139&amp;Keys!$C$54&amp;Keys!$C$57&amp;Keys!$C$54&amp;$B139,Raw_BFPIaE!$H$9:$H$3032,0)))</f>
        <v>53793143333333.336</v>
      </c>
      <c r="S139" s="11">
        <f>IF(($P139+$Q139-$R139+MAX(Keys!$C$51,$R139-$Q139))&gt;Keys!$C$51,MIN(Keys!$C$52,MAX(Keys!$C$51,$R139-$Q139)/($P139+$Q139-$R139+MAX(Keys!$C$51,$R139-$Q139))),Keys!$C$51)</f>
        <v>0.55244924709781684</v>
      </c>
      <c r="T139">
        <f>IF(AND($I139&gt;$H139,ABS($L139-$G139)&gt;MAX(Keys!$C$62,ABS($G139)*Keys!$C$63)),1,0)</f>
        <v>0</v>
      </c>
      <c r="U139">
        <f>IF(OR($N139&lt;Keys!$C$51,$N139&gt;Keys!$C$52),1,0)</f>
        <v>0</v>
      </c>
      <c r="V139">
        <f>IF(AND($E139=Keys!$C$60,$N139&lt;&gt;Keys!$C$51),1,0)</f>
        <v>0</v>
      </c>
      <c r="W139">
        <f>IF($L139&gt;Keys!$C$51,IF($K139/$L139&gt;Keys!$C$52,1,0),0)</f>
        <v>0</v>
      </c>
      <c r="X139" s="11">
        <f t="shared" si="11"/>
        <v>0.25887629392894218</v>
      </c>
    </row>
    <row r="140" spans="1:24" x14ac:dyDescent="0.25">
      <c r="A140" t="s">
        <v>79</v>
      </c>
      <c r="B140" t="s">
        <v>91</v>
      </c>
      <c r="C140" t="str">
        <f>VLOOKUP($B140,Keys!$F$2:$I$22,2,FALSE)</f>
        <v>biofuel gasoline</v>
      </c>
      <c r="D140">
        <f>VLOOKUP($B140,Keys!$F$2:$I$22,3,FALSE)</f>
        <v>8.7213884000000005E-2</v>
      </c>
      <c r="E140" t="str">
        <f>VLOOKUP($B140,Keys!$F$2:$I$22,4,FALSE)</f>
        <v>rule</v>
      </c>
      <c r="F140" t="str">
        <f>$A140&amp;Keys!$C$54&amp;$B140</f>
        <v>DE|biofuel gasoline</v>
      </c>
      <c r="G140" s="10">
        <f>IF($E140=Keys!$C$60,Keys!$C$51,INDEX(Balanced_2025!$D$9:$D$3032,MATCH($A140&amp;Keys!$C$54&amp;Keys!$C$55&amp;Keys!$C$54&amp;$C140,Balanced_2025!$E$9:$E$3032,0)))</f>
        <v>0</v>
      </c>
      <c r="H140" s="10">
        <f>IF($E140=Keys!$C$60,Keys!$C$51,INDEX(Balanced_2025!$D$9:$D$3032,MATCH($A140&amp;Keys!$C$54&amp;Keys!$C$56&amp;Keys!$C$54&amp;$C140,Balanced_2025!$E$9:$E$3032,0)))</f>
        <v>3821400000000</v>
      </c>
      <c r="I140" s="10">
        <f>IF($E140=Keys!$C$60,Keys!$C$51,INDEX(Balanced_2025!$D$9:$D$3032,MATCH($A140&amp;Keys!$C$54&amp;Keys!$C$57&amp;Keys!$C$54&amp;$C140,Balanced_2025!$E$9:$E$3032,0)))</f>
        <v>0</v>
      </c>
      <c r="J140" s="10">
        <f t="shared" si="8"/>
        <v>3821400000000</v>
      </c>
      <c r="K140" s="10">
        <f>MAX(Keys!$C$51,$I140-$H140)</f>
        <v>0</v>
      </c>
      <c r="L140" s="10">
        <f t="shared" si="9"/>
        <v>3821400000000</v>
      </c>
      <c r="M140" s="11">
        <f>IF($L140&gt;Keys!$C$51,MIN(Keys!$C$52,$K140/$L140),Keys!$C$51)</f>
        <v>0</v>
      </c>
      <c r="N140" s="11">
        <f>IF($E140=Keys!$C$60,Keys!$C$51,IF($E140=Keys!$C$59,$D140,$M140))</f>
        <v>0</v>
      </c>
      <c r="O140">
        <f t="shared" si="10"/>
        <v>1</v>
      </c>
      <c r="P140" s="10">
        <f>IF($E140=Keys!$C$60,Keys!$C$51,INDEX(Raw_BFPIaE!$G$9:$G$3032,MATCH($A140&amp;Keys!$C$54&amp;Keys!$C$55&amp;Keys!$C$54&amp;$B140,Raw_BFPIaE!$H$9:$H$3032,0)))</f>
        <v>0</v>
      </c>
      <c r="Q140" s="10">
        <f>IF($E140=Keys!$C$60,Keys!$C$51,INDEX(Raw_BFPIaE!$G$9:$G$3032,MATCH($A140&amp;Keys!$C$54&amp;Keys!$C$56&amp;Keys!$C$54&amp;$B140,Raw_BFPIaE!$H$9:$H$3032,0)))</f>
        <v>2404513333333.3335</v>
      </c>
      <c r="R140" s="10">
        <f>IF($E140=Keys!$C$60,Keys!$C$51,INDEX(Raw_BFPIaE!$G$9:$G$3032,MATCH($A140&amp;Keys!$C$54&amp;Keys!$C$57&amp;Keys!$C$54&amp;$B140,Raw_BFPIaE!$H$9:$H$3032,0)))</f>
        <v>0</v>
      </c>
      <c r="S140" s="11">
        <f>IF(($P140+$Q140-$R140+MAX(Keys!$C$51,$R140-$Q140))&gt;Keys!$C$51,MIN(Keys!$C$52,MAX(Keys!$C$51,$R140-$Q140)/($P140+$Q140-$R140+MAX(Keys!$C$51,$R140-$Q140))),Keys!$C$51)</f>
        <v>0</v>
      </c>
      <c r="T140">
        <f>IF(AND($I140&gt;$H140,ABS($L140-$G140)&gt;MAX(Keys!$C$62,ABS($G140)*Keys!$C$63)),1,0)</f>
        <v>0</v>
      </c>
      <c r="U140">
        <f>IF(OR($N140&lt;Keys!$C$51,$N140&gt;Keys!$C$52),1,0)</f>
        <v>0</v>
      </c>
      <c r="V140">
        <f>IF(AND($E140=Keys!$C$60,$N140&lt;&gt;Keys!$C$51),1,0)</f>
        <v>0</v>
      </c>
      <c r="W140">
        <f>IF($L140&gt;Keys!$C$51,IF($K140/$L140&gt;Keys!$C$52,1,0),0)</f>
        <v>0</v>
      </c>
      <c r="X140" s="11">
        <f t="shared" si="11"/>
        <v>0</v>
      </c>
    </row>
    <row r="141" spans="1:24" x14ac:dyDescent="0.25">
      <c r="A141" t="s">
        <v>79</v>
      </c>
      <c r="B141" t="s">
        <v>94</v>
      </c>
      <c r="C141" t="str">
        <f>VLOOKUP($B141,Keys!$F$2:$I$22,2,FALSE)</f>
        <v>biofuel diesel</v>
      </c>
      <c r="D141">
        <f>VLOOKUP($B141,Keys!$F$2:$I$22,3,FALSE)</f>
        <v>5.8642381E-2</v>
      </c>
      <c r="E141" t="str">
        <f>VLOOKUP($B141,Keys!$F$2:$I$22,4,FALSE)</f>
        <v>rule</v>
      </c>
      <c r="F141" t="str">
        <f>$A141&amp;Keys!$C$54&amp;$B141</f>
        <v>DE|biofuel diesel</v>
      </c>
      <c r="G141" s="10">
        <f>IF($E141=Keys!$C$60,Keys!$C$51,INDEX(Balanced_2025!$D$9:$D$3032,MATCH($A141&amp;Keys!$C$54&amp;Keys!$C$55&amp;Keys!$C$54&amp;$C141,Balanced_2025!$E$9:$E$3032,0)))</f>
        <v>0</v>
      </c>
      <c r="H141" s="10">
        <f>IF($E141=Keys!$C$60,Keys!$C$51,INDEX(Balanced_2025!$D$9:$D$3032,MATCH($A141&amp;Keys!$C$54&amp;Keys!$C$56&amp;Keys!$C$54&amp;$C141,Balanced_2025!$E$9:$E$3032,0)))</f>
        <v>118145000000</v>
      </c>
      <c r="I141" s="10">
        <f>IF($E141=Keys!$C$60,Keys!$C$51,INDEX(Balanced_2025!$D$9:$D$3032,MATCH($A141&amp;Keys!$C$54&amp;Keys!$C$57&amp;Keys!$C$54&amp;$C141,Balanced_2025!$E$9:$E$3032,0)))</f>
        <v>0</v>
      </c>
      <c r="J141" s="10">
        <f t="shared" si="8"/>
        <v>118145000000</v>
      </c>
      <c r="K141" s="10">
        <f>MAX(Keys!$C$51,$I141-$H141)</f>
        <v>0</v>
      </c>
      <c r="L141" s="10">
        <f t="shared" si="9"/>
        <v>118145000000</v>
      </c>
      <c r="M141" s="11">
        <f>IF($L141&gt;Keys!$C$51,MIN(Keys!$C$52,$K141/$L141),Keys!$C$51)</f>
        <v>0</v>
      </c>
      <c r="N141" s="11">
        <f>IF($E141=Keys!$C$60,Keys!$C$51,IF($E141=Keys!$C$59,$D141,$M141))</f>
        <v>0</v>
      </c>
      <c r="O141">
        <f t="shared" si="10"/>
        <v>1</v>
      </c>
      <c r="P141" s="10">
        <f>IF($E141=Keys!$C$60,Keys!$C$51,INDEX(Raw_BFPIaE!$G$9:$G$3032,MATCH($A141&amp;Keys!$C$54&amp;Keys!$C$55&amp;Keys!$C$54&amp;$B141,Raw_BFPIaE!$H$9:$H$3032,0)))</f>
        <v>0</v>
      </c>
      <c r="Q141" s="10">
        <f>IF($E141=Keys!$C$60,Keys!$C$51,INDEX(Raw_BFPIaE!$G$9:$G$3032,MATCH($A141&amp;Keys!$C$54&amp;Keys!$C$56&amp;Keys!$C$54&amp;$B141,Raw_BFPIaE!$H$9:$H$3032,0)))</f>
        <v>77357000000</v>
      </c>
      <c r="R141" s="10">
        <f>IF($E141=Keys!$C$60,Keys!$C$51,INDEX(Raw_BFPIaE!$G$9:$G$3032,MATCH($A141&amp;Keys!$C$54&amp;Keys!$C$57&amp;Keys!$C$54&amp;$B141,Raw_BFPIaE!$H$9:$H$3032,0)))</f>
        <v>0</v>
      </c>
      <c r="S141" s="11">
        <f>IF(($P141+$Q141-$R141+MAX(Keys!$C$51,$R141-$Q141))&gt;Keys!$C$51,MIN(Keys!$C$52,MAX(Keys!$C$51,$R141-$Q141)/($P141+$Q141-$R141+MAX(Keys!$C$51,$R141-$Q141))),Keys!$C$51)</f>
        <v>0</v>
      </c>
      <c r="T141">
        <f>IF(AND($I141&gt;$H141,ABS($L141-$G141)&gt;MAX(Keys!$C$62,ABS($G141)*Keys!$C$63)),1,0)</f>
        <v>0</v>
      </c>
      <c r="U141">
        <f>IF(OR($N141&lt;Keys!$C$51,$N141&gt;Keys!$C$52),1,0)</f>
        <v>0</v>
      </c>
      <c r="V141">
        <f>IF(AND($E141=Keys!$C$60,$N141&lt;&gt;Keys!$C$51),1,0)</f>
        <v>0</v>
      </c>
      <c r="W141">
        <f>IF($L141&gt;Keys!$C$51,IF($K141/$L141&gt;Keys!$C$52,1,0),0)</f>
        <v>0</v>
      </c>
      <c r="X141" s="11">
        <f t="shared" si="11"/>
        <v>0</v>
      </c>
    </row>
    <row r="142" spans="1:24" x14ac:dyDescent="0.25">
      <c r="A142" t="s">
        <v>79</v>
      </c>
      <c r="B142" t="s">
        <v>97</v>
      </c>
      <c r="C142" t="str">
        <f>VLOOKUP($B142,Keys!$F$2:$I$22,2,FALSE)</f>
        <v>jet fuel or kerosene</v>
      </c>
      <c r="D142">
        <f>VLOOKUP($B142,Keys!$F$2:$I$22,3,FALSE)</f>
        <v>0.10155994</v>
      </c>
      <c r="E142" t="str">
        <f>VLOOKUP($B142,Keys!$F$2:$I$22,4,FALSE)</f>
        <v>rule</v>
      </c>
      <c r="F142" t="str">
        <f>$A142&amp;Keys!$C$54&amp;$B142</f>
        <v>DE|jet fuel or kerosene</v>
      </c>
      <c r="G142" s="10">
        <f>IF($E142=Keys!$C$60,Keys!$C$51,INDEX(Balanced_2025!$D$9:$D$3032,MATCH($A142&amp;Keys!$C$54&amp;Keys!$C$55&amp;Keys!$C$54&amp;$C142,Balanced_2025!$E$9:$E$3032,0)))</f>
        <v>34944800000000</v>
      </c>
      <c r="H142" s="10">
        <f>IF($E142=Keys!$C$60,Keys!$C$51,INDEX(Balanced_2025!$D$9:$D$3032,MATCH($A142&amp;Keys!$C$54&amp;Keys!$C$56&amp;Keys!$C$54&amp;$C142,Balanced_2025!$E$9:$E$3032,0)))</f>
        <v>0</v>
      </c>
      <c r="I142" s="10">
        <f>IF($E142=Keys!$C$60,Keys!$C$51,INDEX(Balanced_2025!$D$9:$D$3032,MATCH($A142&amp;Keys!$C$54&amp;Keys!$C$57&amp;Keys!$C$54&amp;$C142,Balanced_2025!$E$9:$E$3032,0)))</f>
        <v>25492400000000</v>
      </c>
      <c r="J142" s="10">
        <f t="shared" si="8"/>
        <v>9452400000000</v>
      </c>
      <c r="K142" s="10">
        <f>MAX(Keys!$C$51,$I142-$H142)</f>
        <v>25492400000000</v>
      </c>
      <c r="L142" s="10">
        <f t="shared" si="9"/>
        <v>34944800000000</v>
      </c>
      <c r="M142" s="11">
        <f>IF($L142&gt;Keys!$C$51,MIN(Keys!$C$52,$K142/$L142),Keys!$C$51)</f>
        <v>0.72950481902886843</v>
      </c>
      <c r="N142" s="11">
        <f>IF($E142=Keys!$C$60,Keys!$C$51,IF($E142=Keys!$C$59,$D142,$M142))</f>
        <v>0.72950481902886843</v>
      </c>
      <c r="O142">
        <f t="shared" si="10"/>
        <v>1</v>
      </c>
      <c r="P142" s="10">
        <f>IF($E142=Keys!$C$60,Keys!$C$51,INDEX(Raw_BFPIaE!$G$9:$G$3032,MATCH($A142&amp;Keys!$C$54&amp;Keys!$C$55&amp;Keys!$C$54&amp;$B142,Raw_BFPIaE!$H$9:$H$3032,0)))</f>
        <v>34662466666666.668</v>
      </c>
      <c r="Q142" s="10">
        <f>IF($E142=Keys!$C$60,Keys!$C$51,INDEX(Raw_BFPIaE!$G$9:$G$3032,MATCH($A142&amp;Keys!$C$54&amp;Keys!$C$56&amp;Keys!$C$54&amp;$B142,Raw_BFPIaE!$H$9:$H$3032,0)))</f>
        <v>0</v>
      </c>
      <c r="R142" s="10">
        <f>IF($E142=Keys!$C$60,Keys!$C$51,INDEX(Raw_BFPIaE!$G$9:$G$3032,MATCH($A142&amp;Keys!$C$54&amp;Keys!$C$57&amp;Keys!$C$54&amp;$B142,Raw_BFPIaE!$H$9:$H$3032,0)))</f>
        <v>16757014666666.666</v>
      </c>
      <c r="S142" s="11">
        <f>IF(($P142+$Q142-$R142+MAX(Keys!$C$51,$R142-$Q142))&gt;Keys!$C$51,MIN(Keys!$C$52,MAX(Keys!$C$51,$R142-$Q142)/($P142+$Q142-$R142+MAX(Keys!$C$51,$R142-$Q142))),Keys!$C$51)</f>
        <v>0.48343399296453227</v>
      </c>
      <c r="T142">
        <f>IF(AND($I142&gt;$H142,ABS($L142-$G142)&gt;MAX(Keys!$C$62,ABS($G142)*Keys!$C$63)),1,0)</f>
        <v>0</v>
      </c>
      <c r="U142">
        <f>IF(OR($N142&lt;Keys!$C$51,$N142&gt;Keys!$C$52),1,0)</f>
        <v>0</v>
      </c>
      <c r="V142">
        <f>IF(AND($E142=Keys!$C$60,$N142&lt;&gt;Keys!$C$51),1,0)</f>
        <v>0</v>
      </c>
      <c r="W142">
        <f>IF($L142&gt;Keys!$C$51,IF($K142/$L142&gt;Keys!$C$52,1,0),0)</f>
        <v>0</v>
      </c>
      <c r="X142" s="11">
        <f t="shared" si="11"/>
        <v>0.24607082606433617</v>
      </c>
    </row>
    <row r="143" spans="1:24" x14ac:dyDescent="0.25">
      <c r="A143" t="s">
        <v>79</v>
      </c>
      <c r="B143" t="s">
        <v>100</v>
      </c>
      <c r="C143">
        <f>VLOOKUP($B143,Keys!$F$2:$I$22,2,FALSE)</f>
        <v>0</v>
      </c>
      <c r="D143">
        <f>VLOOKUP($B143,Keys!$F$2:$I$22,3,FALSE)</f>
        <v>0</v>
      </c>
      <c r="E143" t="str">
        <f>VLOOKUP($B143,Keys!$F$2:$I$22,4,FALSE)</f>
        <v>zero</v>
      </c>
      <c r="F143" t="str">
        <f>$A143&amp;Keys!$C$54&amp;$B143</f>
        <v>DE|heat (not used in this variable)</v>
      </c>
      <c r="G143" s="10">
        <f>IF($E143=Keys!$C$60,Keys!$C$51,INDEX(Balanced_2025!$D$9:$D$3032,MATCH($A143&amp;Keys!$C$54&amp;Keys!$C$55&amp;Keys!$C$54&amp;$C143,Balanced_2025!$E$9:$E$3032,0)))</f>
        <v>0</v>
      </c>
      <c r="H143" s="10">
        <f>IF($E143=Keys!$C$60,Keys!$C$51,INDEX(Balanced_2025!$D$9:$D$3032,MATCH($A143&amp;Keys!$C$54&amp;Keys!$C$56&amp;Keys!$C$54&amp;$C143,Balanced_2025!$E$9:$E$3032,0)))</f>
        <v>0</v>
      </c>
      <c r="I143" s="10">
        <f>IF($E143=Keys!$C$60,Keys!$C$51,INDEX(Balanced_2025!$D$9:$D$3032,MATCH($A143&amp;Keys!$C$54&amp;Keys!$C$57&amp;Keys!$C$54&amp;$C143,Balanced_2025!$E$9:$E$3032,0)))</f>
        <v>0</v>
      </c>
      <c r="J143" s="10">
        <f t="shared" si="8"/>
        <v>0</v>
      </c>
      <c r="K143" s="10">
        <f>MAX(Keys!$C$51,$I143-$H143)</f>
        <v>0</v>
      </c>
      <c r="L143" s="10">
        <f t="shared" si="9"/>
        <v>0</v>
      </c>
      <c r="M143" s="11">
        <f>IF($L143&gt;Keys!$C$51,MIN(Keys!$C$52,$K143/$L143),Keys!$C$51)</f>
        <v>0</v>
      </c>
      <c r="N143" s="11">
        <f>IF($E143=Keys!$C$60,Keys!$C$51,IF($E143=Keys!$C$59,$D143,$M143))</f>
        <v>0</v>
      </c>
      <c r="O143">
        <f t="shared" si="10"/>
        <v>0</v>
      </c>
      <c r="P143" s="10">
        <f>IF($E143=Keys!$C$60,Keys!$C$51,INDEX(Raw_BFPIaE!$G$9:$G$3032,MATCH($A143&amp;Keys!$C$54&amp;Keys!$C$55&amp;Keys!$C$54&amp;$B143,Raw_BFPIaE!$H$9:$H$3032,0)))</f>
        <v>0</v>
      </c>
      <c r="Q143" s="10">
        <f>IF($E143=Keys!$C$60,Keys!$C$51,INDEX(Raw_BFPIaE!$G$9:$G$3032,MATCH($A143&amp;Keys!$C$54&amp;Keys!$C$56&amp;Keys!$C$54&amp;$B143,Raw_BFPIaE!$H$9:$H$3032,0)))</f>
        <v>0</v>
      </c>
      <c r="R143" s="10">
        <f>IF($E143=Keys!$C$60,Keys!$C$51,INDEX(Raw_BFPIaE!$G$9:$G$3032,MATCH($A143&amp;Keys!$C$54&amp;Keys!$C$57&amp;Keys!$C$54&amp;$B143,Raw_BFPIaE!$H$9:$H$3032,0)))</f>
        <v>0</v>
      </c>
      <c r="S143" s="11">
        <f>IF(($P143+$Q143-$R143+MAX(Keys!$C$51,$R143-$Q143))&gt;Keys!$C$51,MIN(Keys!$C$52,MAX(Keys!$C$51,$R143-$Q143)/($P143+$Q143-$R143+MAX(Keys!$C$51,$R143-$Q143))),Keys!$C$51)</f>
        <v>0</v>
      </c>
      <c r="T143">
        <f>IF(AND($I143&gt;$H143,ABS($L143-$G143)&gt;MAX(Keys!$C$62,ABS($G143)*Keys!$C$63)),1,0)</f>
        <v>0</v>
      </c>
      <c r="U143">
        <f>IF(OR($N143&lt;Keys!$C$51,$N143&gt;Keys!$C$52),1,0)</f>
        <v>0</v>
      </c>
      <c r="V143">
        <f>IF(AND($E143=Keys!$C$60,$N143&lt;&gt;Keys!$C$51),1,0)</f>
        <v>0</v>
      </c>
      <c r="W143">
        <f>IF($L143&gt;Keys!$C$51,IF($K143/$L143&gt;Keys!$C$52,1,0),0)</f>
        <v>0</v>
      </c>
      <c r="X143" s="11">
        <f t="shared" si="11"/>
        <v>0</v>
      </c>
    </row>
    <row r="144" spans="1:24" x14ac:dyDescent="0.25">
      <c r="A144" t="s">
        <v>79</v>
      </c>
      <c r="B144" t="s">
        <v>103</v>
      </c>
      <c r="C144">
        <f>VLOOKUP($B144,Keys!$F$2:$I$22,2,FALSE)</f>
        <v>0</v>
      </c>
      <c r="D144">
        <f>VLOOKUP($B144,Keys!$F$2:$I$22,3,FALSE)</f>
        <v>0</v>
      </c>
      <c r="E144" t="str">
        <f>VLOOKUP($B144,Keys!$F$2:$I$22,4,FALSE)</f>
        <v>zero</v>
      </c>
      <c r="F144" t="str">
        <f>$A144&amp;Keys!$C$54&amp;$B144</f>
        <v>DE|geothermal (is not a fuel)</v>
      </c>
      <c r="G144" s="10">
        <f>IF($E144=Keys!$C$60,Keys!$C$51,INDEX(Balanced_2025!$D$9:$D$3032,MATCH($A144&amp;Keys!$C$54&amp;Keys!$C$55&amp;Keys!$C$54&amp;$C144,Balanced_2025!$E$9:$E$3032,0)))</f>
        <v>0</v>
      </c>
      <c r="H144" s="10">
        <f>IF($E144=Keys!$C$60,Keys!$C$51,INDEX(Balanced_2025!$D$9:$D$3032,MATCH($A144&amp;Keys!$C$54&amp;Keys!$C$56&amp;Keys!$C$54&amp;$C144,Balanced_2025!$E$9:$E$3032,0)))</f>
        <v>0</v>
      </c>
      <c r="I144" s="10">
        <f>IF($E144=Keys!$C$60,Keys!$C$51,INDEX(Balanced_2025!$D$9:$D$3032,MATCH($A144&amp;Keys!$C$54&amp;Keys!$C$57&amp;Keys!$C$54&amp;$C144,Balanced_2025!$E$9:$E$3032,0)))</f>
        <v>0</v>
      </c>
      <c r="J144" s="10">
        <f t="shared" si="8"/>
        <v>0</v>
      </c>
      <c r="K144" s="10">
        <f>MAX(Keys!$C$51,$I144-$H144)</f>
        <v>0</v>
      </c>
      <c r="L144" s="10">
        <f t="shared" si="9"/>
        <v>0</v>
      </c>
      <c r="M144" s="11">
        <f>IF($L144&gt;Keys!$C$51,MIN(Keys!$C$52,$K144/$L144),Keys!$C$51)</f>
        <v>0</v>
      </c>
      <c r="N144" s="11">
        <f>IF($E144=Keys!$C$60,Keys!$C$51,IF($E144=Keys!$C$59,$D144,$M144))</f>
        <v>0</v>
      </c>
      <c r="O144">
        <f t="shared" si="10"/>
        <v>0</v>
      </c>
      <c r="P144" s="10">
        <f>IF($E144=Keys!$C$60,Keys!$C$51,INDEX(Raw_BFPIaE!$G$9:$G$3032,MATCH($A144&amp;Keys!$C$54&amp;Keys!$C$55&amp;Keys!$C$54&amp;$B144,Raw_BFPIaE!$H$9:$H$3032,0)))</f>
        <v>0</v>
      </c>
      <c r="Q144" s="10">
        <f>IF($E144=Keys!$C$60,Keys!$C$51,INDEX(Raw_BFPIaE!$G$9:$G$3032,MATCH($A144&amp;Keys!$C$54&amp;Keys!$C$56&amp;Keys!$C$54&amp;$B144,Raw_BFPIaE!$H$9:$H$3032,0)))</f>
        <v>0</v>
      </c>
      <c r="R144" s="10">
        <f>IF($E144=Keys!$C$60,Keys!$C$51,INDEX(Raw_BFPIaE!$G$9:$G$3032,MATCH($A144&amp;Keys!$C$54&amp;Keys!$C$57&amp;Keys!$C$54&amp;$B144,Raw_BFPIaE!$H$9:$H$3032,0)))</f>
        <v>0</v>
      </c>
      <c r="S144" s="11">
        <f>IF(($P144+$Q144-$R144+MAX(Keys!$C$51,$R144-$Q144))&gt;Keys!$C$51,MIN(Keys!$C$52,MAX(Keys!$C$51,$R144-$Q144)/($P144+$Q144-$R144+MAX(Keys!$C$51,$R144-$Q144))),Keys!$C$51)</f>
        <v>0</v>
      </c>
      <c r="T144">
        <f>IF(AND($I144&gt;$H144,ABS($L144-$G144)&gt;MAX(Keys!$C$62,ABS($G144)*Keys!$C$63)),1,0)</f>
        <v>0</v>
      </c>
      <c r="U144">
        <f>IF(OR($N144&lt;Keys!$C$51,$N144&gt;Keys!$C$52),1,0)</f>
        <v>0</v>
      </c>
      <c r="V144">
        <f>IF(AND($E144=Keys!$C$60,$N144&lt;&gt;Keys!$C$51),1,0)</f>
        <v>0</v>
      </c>
      <c r="W144">
        <f>IF($L144&gt;Keys!$C$51,IF($K144/$L144&gt;Keys!$C$52,1,0),0)</f>
        <v>0</v>
      </c>
      <c r="X144" s="11">
        <f t="shared" si="11"/>
        <v>0</v>
      </c>
    </row>
    <row r="145" spans="1:24" x14ac:dyDescent="0.25">
      <c r="A145" t="s">
        <v>79</v>
      </c>
      <c r="B145" t="s">
        <v>106</v>
      </c>
      <c r="C145" t="str">
        <f>VLOOKUP($B145,Keys!$F$2:$I$22,2,FALSE)</f>
        <v>lignite</v>
      </c>
      <c r="D145">
        <f>VLOOKUP($B145,Keys!$F$2:$I$22,3,FALSE)</f>
        <v>0</v>
      </c>
      <c r="E145" t="str">
        <f>VLOOKUP($B145,Keys!$F$2:$I$22,4,FALSE)</f>
        <v>rule</v>
      </c>
      <c r="F145" t="str">
        <f>$A145&amp;Keys!$C$54&amp;$B145</f>
        <v>DE|lignite</v>
      </c>
      <c r="G145" s="10">
        <f>IF($E145=Keys!$C$60,Keys!$C$51,INDEX(Balanced_2025!$D$9:$D$3032,MATCH($A145&amp;Keys!$C$54&amp;Keys!$C$55&amp;Keys!$C$54&amp;$C145,Balanced_2025!$E$9:$E$3032,0)))</f>
        <v>0</v>
      </c>
      <c r="H145" s="10">
        <f>IF($E145=Keys!$C$60,Keys!$C$51,INDEX(Balanced_2025!$D$9:$D$3032,MATCH($A145&amp;Keys!$C$54&amp;Keys!$C$56&amp;Keys!$C$54&amp;$C145,Balanced_2025!$E$9:$E$3032,0)))</f>
        <v>0</v>
      </c>
      <c r="I145" s="10">
        <f>IF($E145=Keys!$C$60,Keys!$C$51,INDEX(Balanced_2025!$D$9:$D$3032,MATCH($A145&amp;Keys!$C$54&amp;Keys!$C$57&amp;Keys!$C$54&amp;$C145,Balanced_2025!$E$9:$E$3032,0)))</f>
        <v>0</v>
      </c>
      <c r="J145" s="10">
        <f t="shared" si="8"/>
        <v>0</v>
      </c>
      <c r="K145" s="10">
        <f>MAX(Keys!$C$51,$I145-$H145)</f>
        <v>0</v>
      </c>
      <c r="L145" s="10">
        <f t="shared" si="9"/>
        <v>0</v>
      </c>
      <c r="M145" s="11">
        <f>IF($L145&gt;Keys!$C$51,MIN(Keys!$C$52,$K145/$L145),Keys!$C$51)</f>
        <v>0</v>
      </c>
      <c r="N145" s="11">
        <f>IF($E145=Keys!$C$60,Keys!$C$51,IF($E145=Keys!$C$59,$D145,$M145))</f>
        <v>0</v>
      </c>
      <c r="O145">
        <f t="shared" si="10"/>
        <v>0</v>
      </c>
      <c r="P145" s="10">
        <f>IF($E145=Keys!$C$60,Keys!$C$51,INDEX(Raw_BFPIaE!$G$9:$G$3032,MATCH($A145&amp;Keys!$C$54&amp;Keys!$C$55&amp;Keys!$C$54&amp;$B145,Raw_BFPIaE!$H$9:$H$3032,0)))</f>
        <v>0</v>
      </c>
      <c r="Q145" s="10">
        <f>IF($E145=Keys!$C$60,Keys!$C$51,INDEX(Raw_BFPIaE!$G$9:$G$3032,MATCH($A145&amp;Keys!$C$54&amp;Keys!$C$56&amp;Keys!$C$54&amp;$B145,Raw_BFPIaE!$H$9:$H$3032,0)))</f>
        <v>0</v>
      </c>
      <c r="R145" s="10">
        <f>IF($E145=Keys!$C$60,Keys!$C$51,INDEX(Raw_BFPIaE!$G$9:$G$3032,MATCH($A145&amp;Keys!$C$54&amp;Keys!$C$57&amp;Keys!$C$54&amp;$B145,Raw_BFPIaE!$H$9:$H$3032,0)))</f>
        <v>0</v>
      </c>
      <c r="S145" s="11">
        <f>IF(($P145+$Q145-$R145+MAX(Keys!$C$51,$R145-$Q145))&gt;Keys!$C$51,MIN(Keys!$C$52,MAX(Keys!$C$51,$R145-$Q145)/($P145+$Q145-$R145+MAX(Keys!$C$51,$R145-$Q145))),Keys!$C$51)</f>
        <v>0</v>
      </c>
      <c r="T145">
        <f>IF(AND($I145&gt;$H145,ABS($L145-$G145)&gt;MAX(Keys!$C$62,ABS($G145)*Keys!$C$63)),1,0)</f>
        <v>0</v>
      </c>
      <c r="U145">
        <f>IF(OR($N145&lt;Keys!$C$51,$N145&gt;Keys!$C$52),1,0)</f>
        <v>0</v>
      </c>
      <c r="V145">
        <f>IF(AND($E145=Keys!$C$60,$N145&lt;&gt;Keys!$C$51),1,0)</f>
        <v>0</v>
      </c>
      <c r="W145">
        <f>IF($L145&gt;Keys!$C$51,IF($K145/$L145&gt;Keys!$C$52,1,0),0)</f>
        <v>0</v>
      </c>
      <c r="X145" s="11">
        <f t="shared" si="11"/>
        <v>0</v>
      </c>
    </row>
    <row r="146" spans="1:24" x14ac:dyDescent="0.25">
      <c r="A146" t="s">
        <v>79</v>
      </c>
      <c r="B146" t="s">
        <v>109</v>
      </c>
      <c r="C146" t="str">
        <f>VLOOKUP($B146,Keys!$F$2:$I$22,2,FALSE)</f>
        <v>crude oil</v>
      </c>
      <c r="D146">
        <f>VLOOKUP($B146,Keys!$F$2:$I$22,3,FALSE)</f>
        <v>1</v>
      </c>
      <c r="E146" t="str">
        <f>VLOOKUP($B146,Keys!$F$2:$I$22,4,FALSE)</f>
        <v>hold</v>
      </c>
      <c r="F146" t="str">
        <f>$A146&amp;Keys!$C$54&amp;$B146</f>
        <v>DE|crude oil</v>
      </c>
      <c r="G146" s="10">
        <f>IF($E146=Keys!$C$60,Keys!$C$51,INDEX(Balanced_2025!$D$9:$D$3032,MATCH($A146&amp;Keys!$C$54&amp;Keys!$C$55&amp;Keys!$C$54&amp;$C146,Balanced_2025!$E$9:$E$3032,0)))</f>
        <v>0</v>
      </c>
      <c r="H146" s="10">
        <f>IF($E146=Keys!$C$60,Keys!$C$51,INDEX(Balanced_2025!$D$9:$D$3032,MATCH($A146&amp;Keys!$C$54&amp;Keys!$C$56&amp;Keys!$C$54&amp;$C146,Balanced_2025!$E$9:$E$3032,0)))</f>
        <v>356196000000000</v>
      </c>
      <c r="I146" s="10">
        <f>IF($E146=Keys!$C$60,Keys!$C$51,INDEX(Balanced_2025!$D$9:$D$3032,MATCH($A146&amp;Keys!$C$54&amp;Keys!$C$57&amp;Keys!$C$54&amp;$C146,Balanced_2025!$E$9:$E$3032,0)))</f>
        <v>0</v>
      </c>
      <c r="J146" s="10">
        <f t="shared" si="8"/>
        <v>356196000000000</v>
      </c>
      <c r="K146" s="10">
        <f>MAX(Keys!$C$51,$I146-$H146)</f>
        <v>0</v>
      </c>
      <c r="L146" s="10">
        <f t="shared" si="9"/>
        <v>356196000000000</v>
      </c>
      <c r="M146" s="11">
        <f>IF($L146&gt;Keys!$C$51,MIN(Keys!$C$52,$K146/$L146),Keys!$C$51)</f>
        <v>0</v>
      </c>
      <c r="N146" s="11">
        <f>IF($E146=Keys!$C$60,Keys!$C$51,IF($E146=Keys!$C$59,$D146,$M146))</f>
        <v>1</v>
      </c>
      <c r="O146">
        <f t="shared" si="10"/>
        <v>0</v>
      </c>
      <c r="P146" s="10">
        <f>IF($E146=Keys!$C$60,Keys!$C$51,INDEX(Raw_BFPIaE!$G$9:$G$3032,MATCH($A146&amp;Keys!$C$54&amp;Keys!$C$55&amp;Keys!$C$54&amp;$B146,Raw_BFPIaE!$H$9:$H$3032,0)))</f>
        <v>0</v>
      </c>
      <c r="Q146" s="10">
        <f>IF($E146=Keys!$C$60,Keys!$C$51,INDEX(Raw_BFPIaE!$G$9:$G$3032,MATCH($A146&amp;Keys!$C$54&amp;Keys!$C$56&amp;Keys!$C$54&amp;$B146,Raw_BFPIaE!$H$9:$H$3032,0)))</f>
        <v>237464000000000</v>
      </c>
      <c r="R146" s="10">
        <f>IF($E146=Keys!$C$60,Keys!$C$51,INDEX(Raw_BFPIaE!$G$9:$G$3032,MATCH($A146&amp;Keys!$C$54&amp;Keys!$C$57&amp;Keys!$C$54&amp;$B146,Raw_BFPIaE!$H$9:$H$3032,0)))</f>
        <v>0</v>
      </c>
      <c r="S146" s="11">
        <f>IF(($P146+$Q146-$R146+MAX(Keys!$C$51,$R146-$Q146))&gt;Keys!$C$51,MIN(Keys!$C$52,MAX(Keys!$C$51,$R146-$Q146)/($P146+$Q146-$R146+MAX(Keys!$C$51,$R146-$Q146))),Keys!$C$51)</f>
        <v>0</v>
      </c>
      <c r="T146">
        <f>IF(AND($I146&gt;$H146,ABS($L146-$G146)&gt;MAX(Keys!$C$62,ABS($G146)*Keys!$C$63)),1,0)</f>
        <v>0</v>
      </c>
      <c r="U146">
        <f>IF(OR($N146&lt;Keys!$C$51,$N146&gt;Keys!$C$52),1,0)</f>
        <v>0</v>
      </c>
      <c r="V146">
        <f>IF(AND($E146=Keys!$C$60,$N146&lt;&gt;Keys!$C$51),1,0)</f>
        <v>0</v>
      </c>
      <c r="W146">
        <f>IF($L146&gt;Keys!$C$51,IF($K146/$L146&gt;Keys!$C$52,1,0),0)</f>
        <v>0</v>
      </c>
      <c r="X146" s="11">
        <f t="shared" si="11"/>
        <v>0</v>
      </c>
    </row>
    <row r="147" spans="1:24" x14ac:dyDescent="0.25">
      <c r="A147" t="s">
        <v>79</v>
      </c>
      <c r="B147" t="s">
        <v>113</v>
      </c>
      <c r="C147" t="str">
        <f>VLOOKUP($B147,Keys!$F$2:$I$22,2,FALSE)</f>
        <v>heavy or residual fuel oil</v>
      </c>
      <c r="D147">
        <f>VLOOKUP($B147,Keys!$F$2:$I$22,3,FALSE)</f>
        <v>0.49914171099999999</v>
      </c>
      <c r="E147" t="str">
        <f>VLOOKUP($B147,Keys!$F$2:$I$22,4,FALSE)</f>
        <v>rule</v>
      </c>
      <c r="F147" t="str">
        <f>$A147&amp;Keys!$C$54&amp;$B147</f>
        <v>DE|heavy fuel oil</v>
      </c>
      <c r="G147" s="10">
        <f>IF($E147=Keys!$C$60,Keys!$C$51,INDEX(Balanced_2025!$D$9:$D$3032,MATCH($A147&amp;Keys!$C$54&amp;Keys!$C$55&amp;Keys!$C$54&amp;$C147,Balanced_2025!$E$9:$E$3032,0)))</f>
        <v>6788150000000</v>
      </c>
      <c r="H147" s="10">
        <f>IF($E147=Keys!$C$60,Keys!$C$51,INDEX(Balanced_2025!$D$9:$D$3032,MATCH($A147&amp;Keys!$C$54&amp;Keys!$C$56&amp;Keys!$C$54&amp;$C147,Balanced_2025!$E$9:$E$3032,0)))</f>
        <v>241421000000</v>
      </c>
      <c r="I147" s="10">
        <f>IF($E147=Keys!$C$60,Keys!$C$51,INDEX(Balanced_2025!$D$9:$D$3032,MATCH($A147&amp;Keys!$C$54&amp;Keys!$C$57&amp;Keys!$C$54&amp;$C147,Balanced_2025!$E$9:$E$3032,0)))</f>
        <v>4201950000000</v>
      </c>
      <c r="J147" s="10">
        <f t="shared" si="8"/>
        <v>2827621000000</v>
      </c>
      <c r="K147" s="10">
        <f>MAX(Keys!$C$51,$I147-$H147)</f>
        <v>3960529000000</v>
      </c>
      <c r="L147" s="10">
        <f t="shared" si="9"/>
        <v>6788150000000</v>
      </c>
      <c r="M147" s="11">
        <f>IF($L147&gt;Keys!$C$51,MIN(Keys!$C$52,$K147/$L147),Keys!$C$51)</f>
        <v>0.58344747832620081</v>
      </c>
      <c r="N147" s="11">
        <f>IF($E147=Keys!$C$60,Keys!$C$51,IF($E147=Keys!$C$59,$D147,$M147))</f>
        <v>0.58344747832620081</v>
      </c>
      <c r="O147">
        <f t="shared" si="10"/>
        <v>1</v>
      </c>
      <c r="P147" s="10">
        <f>IF($E147=Keys!$C$60,Keys!$C$51,INDEX(Raw_BFPIaE!$G$9:$G$3032,MATCH($A147&amp;Keys!$C$54&amp;Keys!$C$55&amp;Keys!$C$54&amp;$B147,Raw_BFPIaE!$H$9:$H$3032,0)))</f>
        <v>6733306666666.667</v>
      </c>
      <c r="Q147" s="10">
        <f>IF($E147=Keys!$C$60,Keys!$C$51,INDEX(Raw_BFPIaE!$G$9:$G$3032,MATCH($A147&amp;Keys!$C$54&amp;Keys!$C$56&amp;Keys!$C$54&amp;$B147,Raw_BFPIaE!$H$9:$H$3032,0)))</f>
        <v>0</v>
      </c>
      <c r="R147" s="10">
        <f>IF($E147=Keys!$C$60,Keys!$C$51,INDEX(Raw_BFPIaE!$G$9:$G$3032,MATCH($A147&amp;Keys!$C$54&amp;Keys!$C$57&amp;Keys!$C$54&amp;$B147,Raw_BFPIaE!$H$9:$H$3032,0)))</f>
        <v>2855341000000</v>
      </c>
      <c r="S147" s="11">
        <f>IF(($P147+$Q147-$R147+MAX(Keys!$C$51,$R147-$Q147))&gt;Keys!$C$51,MIN(Keys!$C$52,MAX(Keys!$C$51,$R147-$Q147)/($P147+$Q147-$R147+MAX(Keys!$C$51,$R147-$Q147))),Keys!$C$51)</f>
        <v>0.42406222400880794</v>
      </c>
      <c r="T147">
        <f>IF(AND($I147&gt;$H147,ABS($L147-$G147)&gt;MAX(Keys!$C$62,ABS($G147)*Keys!$C$63)),1,0)</f>
        <v>0</v>
      </c>
      <c r="U147">
        <f>IF(OR($N147&lt;Keys!$C$51,$N147&gt;Keys!$C$52),1,0)</f>
        <v>0</v>
      </c>
      <c r="V147">
        <f>IF(AND($E147=Keys!$C$60,$N147&lt;&gt;Keys!$C$51),1,0)</f>
        <v>0</v>
      </c>
      <c r="W147">
        <f>IF($L147&gt;Keys!$C$51,IF($K147/$L147&gt;Keys!$C$52,1,0),0)</f>
        <v>0</v>
      </c>
      <c r="X147" s="11">
        <f t="shared" si="11"/>
        <v>0.15938525431739287</v>
      </c>
    </row>
    <row r="148" spans="1:24" x14ac:dyDescent="0.25">
      <c r="A148" t="s">
        <v>79</v>
      </c>
      <c r="B148" t="s">
        <v>117</v>
      </c>
      <c r="C148" t="str">
        <f>VLOOKUP($B148,Keys!$F$2:$I$22,2,FALSE)</f>
        <v>LPG propane or butane</v>
      </c>
      <c r="D148">
        <f>VLOOKUP($B148,Keys!$F$2:$I$22,3,FALSE)</f>
        <v>0.54955999499999997</v>
      </c>
      <c r="E148" t="str">
        <f>VLOOKUP($B148,Keys!$F$2:$I$22,4,FALSE)</f>
        <v>rule</v>
      </c>
      <c r="F148" t="str">
        <f>$A148&amp;Keys!$C$54&amp;$B148</f>
        <v>DE|LPG propane or butane</v>
      </c>
      <c r="G148" s="10">
        <f>IF($E148=Keys!$C$60,Keys!$C$51,INDEX(Balanced_2025!$D$9:$D$3032,MATCH($A148&amp;Keys!$C$54&amp;Keys!$C$55&amp;Keys!$C$54&amp;$C148,Balanced_2025!$E$9:$E$3032,0)))</f>
        <v>0</v>
      </c>
      <c r="H148" s="10">
        <f>IF($E148=Keys!$C$60,Keys!$C$51,INDEX(Balanced_2025!$D$9:$D$3032,MATCH($A148&amp;Keys!$C$54&amp;Keys!$C$56&amp;Keys!$C$54&amp;$C148,Balanced_2025!$E$9:$E$3032,0)))</f>
        <v>4227250000000</v>
      </c>
      <c r="I148" s="10">
        <f>IF($E148=Keys!$C$60,Keys!$C$51,INDEX(Balanced_2025!$D$9:$D$3032,MATCH($A148&amp;Keys!$C$54&amp;Keys!$C$57&amp;Keys!$C$54&amp;$C148,Balanced_2025!$E$9:$E$3032,0)))</f>
        <v>0</v>
      </c>
      <c r="J148" s="10">
        <f t="shared" si="8"/>
        <v>4227250000000</v>
      </c>
      <c r="K148" s="10">
        <f>MAX(Keys!$C$51,$I148-$H148)</f>
        <v>0</v>
      </c>
      <c r="L148" s="10">
        <f t="shared" si="9"/>
        <v>4227250000000</v>
      </c>
      <c r="M148" s="11">
        <f>IF($L148&gt;Keys!$C$51,MIN(Keys!$C$52,$K148/$L148),Keys!$C$51)</f>
        <v>0</v>
      </c>
      <c r="N148" s="11">
        <f>IF($E148=Keys!$C$60,Keys!$C$51,IF($E148=Keys!$C$59,$D148,$M148))</f>
        <v>0</v>
      </c>
      <c r="O148">
        <f t="shared" si="10"/>
        <v>1</v>
      </c>
      <c r="P148" s="10">
        <f>IF($E148=Keys!$C$60,Keys!$C$51,INDEX(Raw_BFPIaE!$G$9:$G$3032,MATCH($A148&amp;Keys!$C$54&amp;Keys!$C$55&amp;Keys!$C$54&amp;$B148,Raw_BFPIaE!$H$9:$H$3032,0)))</f>
        <v>0</v>
      </c>
      <c r="Q148" s="10">
        <f>IF($E148=Keys!$C$60,Keys!$C$51,INDEX(Raw_BFPIaE!$G$9:$G$3032,MATCH($A148&amp;Keys!$C$54&amp;Keys!$C$56&amp;Keys!$C$54&amp;$B148,Raw_BFPIaE!$H$9:$H$3032,0)))</f>
        <v>2797696666666.6665</v>
      </c>
      <c r="R148" s="10">
        <f>IF($E148=Keys!$C$60,Keys!$C$51,INDEX(Raw_BFPIaE!$G$9:$G$3032,MATCH($A148&amp;Keys!$C$54&amp;Keys!$C$57&amp;Keys!$C$54&amp;$B148,Raw_BFPIaE!$H$9:$H$3032,0)))</f>
        <v>0</v>
      </c>
      <c r="S148" s="11">
        <f>IF(($P148+$Q148-$R148+MAX(Keys!$C$51,$R148-$Q148))&gt;Keys!$C$51,MIN(Keys!$C$52,MAX(Keys!$C$51,$R148-$Q148)/($P148+$Q148-$R148+MAX(Keys!$C$51,$R148-$Q148))),Keys!$C$51)</f>
        <v>0</v>
      </c>
      <c r="T148">
        <f>IF(AND($I148&gt;$H148,ABS($L148-$G148)&gt;MAX(Keys!$C$62,ABS($G148)*Keys!$C$63)),1,0)</f>
        <v>0</v>
      </c>
      <c r="U148">
        <f>IF(OR($N148&lt;Keys!$C$51,$N148&gt;Keys!$C$52),1,0)</f>
        <v>0</v>
      </c>
      <c r="V148">
        <f>IF(AND($E148=Keys!$C$60,$N148&lt;&gt;Keys!$C$51),1,0)</f>
        <v>0</v>
      </c>
      <c r="W148">
        <f>IF($L148&gt;Keys!$C$51,IF($K148/$L148&gt;Keys!$C$52,1,0),0)</f>
        <v>0</v>
      </c>
      <c r="X148" s="11">
        <f t="shared" si="11"/>
        <v>0</v>
      </c>
    </row>
    <row r="149" spans="1:24" x14ac:dyDescent="0.25">
      <c r="A149" t="s">
        <v>79</v>
      </c>
      <c r="B149" t="s">
        <v>120</v>
      </c>
      <c r="C149">
        <f>VLOOKUP($B149,Keys!$F$2:$I$22,2,FALSE)</f>
        <v>0</v>
      </c>
      <c r="D149">
        <f>VLOOKUP($B149,Keys!$F$2:$I$22,3,FALSE)</f>
        <v>0</v>
      </c>
      <c r="E149" t="str">
        <f>VLOOKUP($B149,Keys!$F$2:$I$22,4,FALSE)</f>
        <v>zero</v>
      </c>
      <c r="F149" t="str">
        <f>$A149&amp;Keys!$C$54&amp;$B149</f>
        <v>DE|municipal solid waste</v>
      </c>
      <c r="G149" s="10">
        <f>IF($E149=Keys!$C$60,Keys!$C$51,INDEX(Balanced_2025!$D$9:$D$3032,MATCH($A149&amp;Keys!$C$54&amp;Keys!$C$55&amp;Keys!$C$54&amp;$C149,Balanced_2025!$E$9:$E$3032,0)))</f>
        <v>0</v>
      </c>
      <c r="H149" s="10">
        <f>IF($E149=Keys!$C$60,Keys!$C$51,INDEX(Balanced_2025!$D$9:$D$3032,MATCH($A149&amp;Keys!$C$54&amp;Keys!$C$56&amp;Keys!$C$54&amp;$C149,Balanced_2025!$E$9:$E$3032,0)))</f>
        <v>0</v>
      </c>
      <c r="I149" s="10">
        <f>IF($E149=Keys!$C$60,Keys!$C$51,INDEX(Balanced_2025!$D$9:$D$3032,MATCH($A149&amp;Keys!$C$54&amp;Keys!$C$57&amp;Keys!$C$54&amp;$C149,Balanced_2025!$E$9:$E$3032,0)))</f>
        <v>0</v>
      </c>
      <c r="J149" s="10">
        <f t="shared" si="8"/>
        <v>0</v>
      </c>
      <c r="K149" s="10">
        <f>MAX(Keys!$C$51,$I149-$H149)</f>
        <v>0</v>
      </c>
      <c r="L149" s="10">
        <f t="shared" si="9"/>
        <v>0</v>
      </c>
      <c r="M149" s="11">
        <f>IF($L149&gt;Keys!$C$51,MIN(Keys!$C$52,$K149/$L149),Keys!$C$51)</f>
        <v>0</v>
      </c>
      <c r="N149" s="11">
        <f>IF($E149=Keys!$C$60,Keys!$C$51,IF($E149=Keys!$C$59,$D149,$M149))</f>
        <v>0</v>
      </c>
      <c r="O149">
        <f t="shared" si="10"/>
        <v>0</v>
      </c>
      <c r="P149" s="10">
        <f>IF($E149=Keys!$C$60,Keys!$C$51,INDEX(Raw_BFPIaE!$G$9:$G$3032,MATCH($A149&amp;Keys!$C$54&amp;Keys!$C$55&amp;Keys!$C$54&amp;$B149,Raw_BFPIaE!$H$9:$H$3032,0)))</f>
        <v>0</v>
      </c>
      <c r="Q149" s="10">
        <f>IF($E149=Keys!$C$60,Keys!$C$51,INDEX(Raw_BFPIaE!$G$9:$G$3032,MATCH($A149&amp;Keys!$C$54&amp;Keys!$C$56&amp;Keys!$C$54&amp;$B149,Raw_BFPIaE!$H$9:$H$3032,0)))</f>
        <v>0</v>
      </c>
      <c r="R149" s="10">
        <f>IF($E149=Keys!$C$60,Keys!$C$51,INDEX(Raw_BFPIaE!$G$9:$G$3032,MATCH($A149&amp;Keys!$C$54&amp;Keys!$C$57&amp;Keys!$C$54&amp;$B149,Raw_BFPIaE!$H$9:$H$3032,0)))</f>
        <v>0</v>
      </c>
      <c r="S149" s="11">
        <f>IF(($P149+$Q149-$R149+MAX(Keys!$C$51,$R149-$Q149))&gt;Keys!$C$51,MIN(Keys!$C$52,MAX(Keys!$C$51,$R149-$Q149)/($P149+$Q149-$R149+MAX(Keys!$C$51,$R149-$Q149))),Keys!$C$51)</f>
        <v>0</v>
      </c>
      <c r="T149">
        <f>IF(AND($I149&gt;$H149,ABS($L149-$G149)&gt;MAX(Keys!$C$62,ABS($G149)*Keys!$C$63)),1,0)</f>
        <v>0</v>
      </c>
      <c r="U149">
        <f>IF(OR($N149&lt;Keys!$C$51,$N149&gt;Keys!$C$52),1,0)</f>
        <v>0</v>
      </c>
      <c r="V149">
        <f>IF(AND($E149=Keys!$C$60,$N149&lt;&gt;Keys!$C$51),1,0)</f>
        <v>0</v>
      </c>
      <c r="W149">
        <f>IF($L149&gt;Keys!$C$51,IF($K149/$L149&gt;Keys!$C$52,1,0),0)</f>
        <v>0</v>
      </c>
      <c r="X149" s="11">
        <f t="shared" si="11"/>
        <v>0</v>
      </c>
    </row>
    <row r="150" spans="1:24" x14ac:dyDescent="0.25">
      <c r="A150" t="s">
        <v>79</v>
      </c>
      <c r="B150" t="s">
        <v>123</v>
      </c>
      <c r="C150">
        <f>VLOOKUP($B150,Keys!$F$2:$I$22,2,FALSE)</f>
        <v>0</v>
      </c>
      <c r="D150">
        <f>VLOOKUP($B150,Keys!$F$2:$I$22,3,FALSE)</f>
        <v>0</v>
      </c>
      <c r="E150" t="str">
        <f>VLOOKUP($B150,Keys!$F$2:$I$22,4,FALSE)</f>
        <v>zero</v>
      </c>
      <c r="F150" t="str">
        <f>$A150&amp;Keys!$C$54&amp;$B150</f>
        <v>DE|hydrogen</v>
      </c>
      <c r="G150" s="10">
        <f>IF($E150=Keys!$C$60,Keys!$C$51,INDEX(Balanced_2025!$D$9:$D$3032,MATCH($A150&amp;Keys!$C$54&amp;Keys!$C$55&amp;Keys!$C$54&amp;$C150,Balanced_2025!$E$9:$E$3032,0)))</f>
        <v>0</v>
      </c>
      <c r="H150" s="10">
        <f>IF($E150=Keys!$C$60,Keys!$C$51,INDEX(Balanced_2025!$D$9:$D$3032,MATCH($A150&amp;Keys!$C$54&amp;Keys!$C$56&amp;Keys!$C$54&amp;$C150,Balanced_2025!$E$9:$E$3032,0)))</f>
        <v>0</v>
      </c>
      <c r="I150" s="10">
        <f>IF($E150=Keys!$C$60,Keys!$C$51,INDEX(Balanced_2025!$D$9:$D$3032,MATCH($A150&amp;Keys!$C$54&amp;Keys!$C$57&amp;Keys!$C$54&amp;$C150,Balanced_2025!$E$9:$E$3032,0)))</f>
        <v>0</v>
      </c>
      <c r="J150" s="10">
        <f t="shared" si="8"/>
        <v>0</v>
      </c>
      <c r="K150" s="10">
        <f>MAX(Keys!$C$51,$I150-$H150)</f>
        <v>0</v>
      </c>
      <c r="L150" s="10">
        <f t="shared" si="9"/>
        <v>0</v>
      </c>
      <c r="M150" s="11">
        <f>IF($L150&gt;Keys!$C$51,MIN(Keys!$C$52,$K150/$L150),Keys!$C$51)</f>
        <v>0</v>
      </c>
      <c r="N150" s="11">
        <f>IF($E150=Keys!$C$60,Keys!$C$51,IF($E150=Keys!$C$59,$D150,$M150))</f>
        <v>0</v>
      </c>
      <c r="O150">
        <f t="shared" si="10"/>
        <v>0</v>
      </c>
      <c r="P150" s="10">
        <f>IF($E150=Keys!$C$60,Keys!$C$51,INDEX(Raw_BFPIaE!$G$9:$G$3032,MATCH($A150&amp;Keys!$C$54&amp;Keys!$C$55&amp;Keys!$C$54&amp;$B150,Raw_BFPIaE!$H$9:$H$3032,0)))</f>
        <v>0</v>
      </c>
      <c r="Q150" s="10">
        <f>IF($E150=Keys!$C$60,Keys!$C$51,INDEX(Raw_BFPIaE!$G$9:$G$3032,MATCH($A150&amp;Keys!$C$54&amp;Keys!$C$56&amp;Keys!$C$54&amp;$B150,Raw_BFPIaE!$H$9:$H$3032,0)))</f>
        <v>0</v>
      </c>
      <c r="R150" s="10">
        <f>IF($E150=Keys!$C$60,Keys!$C$51,INDEX(Raw_BFPIaE!$G$9:$G$3032,MATCH($A150&amp;Keys!$C$54&amp;Keys!$C$57&amp;Keys!$C$54&amp;$B150,Raw_BFPIaE!$H$9:$H$3032,0)))</f>
        <v>0</v>
      </c>
      <c r="S150" s="11">
        <f>IF(($P150+$Q150-$R150+MAX(Keys!$C$51,$R150-$Q150))&gt;Keys!$C$51,MIN(Keys!$C$52,MAX(Keys!$C$51,$R150-$Q150)/($P150+$Q150-$R150+MAX(Keys!$C$51,$R150-$Q150))),Keys!$C$51)</f>
        <v>0</v>
      </c>
      <c r="T150">
        <f>IF(AND($I150&gt;$H150,ABS($L150-$G150)&gt;MAX(Keys!$C$62,ABS($G150)*Keys!$C$63)),1,0)</f>
        <v>0</v>
      </c>
      <c r="U150">
        <f>IF(OR($N150&lt;Keys!$C$51,$N150&gt;Keys!$C$52),1,0)</f>
        <v>0</v>
      </c>
      <c r="V150">
        <f>IF(AND($E150=Keys!$C$60,$N150&lt;&gt;Keys!$C$51),1,0)</f>
        <v>0</v>
      </c>
      <c r="W150">
        <f>IF($L150&gt;Keys!$C$51,IF($K150/$L150&gt;Keys!$C$52,1,0),0)</f>
        <v>0</v>
      </c>
      <c r="X150" s="11">
        <f t="shared" si="11"/>
        <v>0</v>
      </c>
    </row>
    <row r="151" spans="1:24" x14ac:dyDescent="0.25">
      <c r="A151" t="s">
        <v>81</v>
      </c>
      <c r="B151" t="s">
        <v>60</v>
      </c>
      <c r="C151">
        <f>VLOOKUP($B151,Keys!$F$2:$I$22,2,FALSE)</f>
        <v>0</v>
      </c>
      <c r="D151">
        <f>VLOOKUP($B151,Keys!$F$2:$I$22,3,FALSE)</f>
        <v>0</v>
      </c>
      <c r="E151" t="str">
        <f>VLOOKUP($B151,Keys!$F$2:$I$22,4,FALSE)</f>
        <v>zero</v>
      </c>
      <c r="F151" t="str">
        <f>$A151&amp;Keys!$C$54&amp;$B151</f>
        <v>FL|electricity (not used in this variable)</v>
      </c>
      <c r="G151" s="10">
        <f>IF($E151=Keys!$C$60,Keys!$C$51,INDEX(Balanced_2025!$D$9:$D$3032,MATCH($A151&amp;Keys!$C$54&amp;Keys!$C$55&amp;Keys!$C$54&amp;$C151,Balanced_2025!$E$9:$E$3032,0)))</f>
        <v>0</v>
      </c>
      <c r="H151" s="10">
        <f>IF($E151=Keys!$C$60,Keys!$C$51,INDEX(Balanced_2025!$D$9:$D$3032,MATCH($A151&amp;Keys!$C$54&amp;Keys!$C$56&amp;Keys!$C$54&amp;$C151,Balanced_2025!$E$9:$E$3032,0)))</f>
        <v>0</v>
      </c>
      <c r="I151" s="10">
        <f>IF($E151=Keys!$C$60,Keys!$C$51,INDEX(Balanced_2025!$D$9:$D$3032,MATCH($A151&amp;Keys!$C$54&amp;Keys!$C$57&amp;Keys!$C$54&amp;$C151,Balanced_2025!$E$9:$E$3032,0)))</f>
        <v>0</v>
      </c>
      <c r="J151" s="10">
        <f t="shared" si="8"/>
        <v>0</v>
      </c>
      <c r="K151" s="10">
        <f>MAX(Keys!$C$51,$I151-$H151)</f>
        <v>0</v>
      </c>
      <c r="L151" s="10">
        <f t="shared" si="9"/>
        <v>0</v>
      </c>
      <c r="M151" s="11">
        <f>IF($L151&gt;Keys!$C$51,MIN(Keys!$C$52,$K151/$L151),Keys!$C$51)</f>
        <v>0</v>
      </c>
      <c r="N151" s="11">
        <f>IF($E151=Keys!$C$60,Keys!$C$51,IF($E151=Keys!$C$59,$D151,$M151))</f>
        <v>0</v>
      </c>
      <c r="O151">
        <f t="shared" si="10"/>
        <v>0</v>
      </c>
      <c r="P151" s="10">
        <f>IF($E151=Keys!$C$60,Keys!$C$51,INDEX(Raw_BFPIaE!$G$9:$G$3032,MATCH($A151&amp;Keys!$C$54&amp;Keys!$C$55&amp;Keys!$C$54&amp;$B151,Raw_BFPIaE!$H$9:$H$3032,0)))</f>
        <v>0</v>
      </c>
      <c r="Q151" s="10">
        <f>IF($E151=Keys!$C$60,Keys!$C$51,INDEX(Raw_BFPIaE!$G$9:$G$3032,MATCH($A151&amp;Keys!$C$54&amp;Keys!$C$56&amp;Keys!$C$54&amp;$B151,Raw_BFPIaE!$H$9:$H$3032,0)))</f>
        <v>0</v>
      </c>
      <c r="R151" s="10">
        <f>IF($E151=Keys!$C$60,Keys!$C$51,INDEX(Raw_BFPIaE!$G$9:$G$3032,MATCH($A151&amp;Keys!$C$54&amp;Keys!$C$57&amp;Keys!$C$54&amp;$B151,Raw_BFPIaE!$H$9:$H$3032,0)))</f>
        <v>0</v>
      </c>
      <c r="S151" s="11">
        <f>IF(($P151+$Q151-$R151+MAX(Keys!$C$51,$R151-$Q151))&gt;Keys!$C$51,MIN(Keys!$C$52,MAX(Keys!$C$51,$R151-$Q151)/($P151+$Q151-$R151+MAX(Keys!$C$51,$R151-$Q151))),Keys!$C$51)</f>
        <v>0</v>
      </c>
      <c r="T151">
        <f>IF(AND($I151&gt;$H151,ABS($L151-$G151)&gt;MAX(Keys!$C$62,ABS($G151)*Keys!$C$63)),1,0)</f>
        <v>0</v>
      </c>
      <c r="U151">
        <f>IF(OR($N151&lt;Keys!$C$51,$N151&gt;Keys!$C$52),1,0)</f>
        <v>0</v>
      </c>
      <c r="V151">
        <f>IF(AND($E151=Keys!$C$60,$N151&lt;&gt;Keys!$C$51),1,0)</f>
        <v>0</v>
      </c>
      <c r="W151">
        <f>IF($L151&gt;Keys!$C$51,IF($K151/$L151&gt;Keys!$C$52,1,0),0)</f>
        <v>0</v>
      </c>
      <c r="X151" s="11">
        <f t="shared" si="11"/>
        <v>0</v>
      </c>
    </row>
    <row r="152" spans="1:24" x14ac:dyDescent="0.25">
      <c r="A152" t="s">
        <v>81</v>
      </c>
      <c r="B152" t="s">
        <v>64</v>
      </c>
      <c r="C152" t="str">
        <f>VLOOKUP($B152,Keys!$F$2:$I$22,2,FALSE)</f>
        <v>hard coal</v>
      </c>
      <c r="D152">
        <f>VLOOKUP($B152,Keys!$F$2:$I$22,3,FALSE)</f>
        <v>0.137539879</v>
      </c>
      <c r="E152" t="str">
        <f>VLOOKUP($B152,Keys!$F$2:$I$22,4,FALSE)</f>
        <v>rule</v>
      </c>
      <c r="F152" t="str">
        <f>$A152&amp;Keys!$C$54&amp;$B152</f>
        <v>FL|hard coal</v>
      </c>
      <c r="G152" s="10">
        <f>IF($E152=Keys!$C$60,Keys!$C$51,INDEX(Balanced_2025!$D$9:$D$3032,MATCH($A152&amp;Keys!$C$54&amp;Keys!$C$55&amp;Keys!$C$54&amp;$C152,Balanced_2025!$E$9:$E$3032,0)))</f>
        <v>0</v>
      </c>
      <c r="H152" s="10">
        <f>IF($E152=Keys!$C$60,Keys!$C$51,INDEX(Balanced_2025!$D$9:$D$3032,MATCH($A152&amp;Keys!$C$54&amp;Keys!$C$56&amp;Keys!$C$54&amp;$C152,Balanced_2025!$E$9:$E$3032,0)))</f>
        <v>186058000000000</v>
      </c>
      <c r="I152" s="10">
        <f>IF($E152=Keys!$C$60,Keys!$C$51,INDEX(Balanced_2025!$D$9:$D$3032,MATCH($A152&amp;Keys!$C$54&amp;Keys!$C$57&amp;Keys!$C$54&amp;$C152,Balanced_2025!$E$9:$E$3032,0)))</f>
        <v>0</v>
      </c>
      <c r="J152" s="10">
        <f t="shared" si="8"/>
        <v>186058000000000</v>
      </c>
      <c r="K152" s="10">
        <f>MAX(Keys!$C$51,$I152-$H152)</f>
        <v>0</v>
      </c>
      <c r="L152" s="10">
        <f t="shared" si="9"/>
        <v>186058000000000</v>
      </c>
      <c r="M152" s="11">
        <f>IF($L152&gt;Keys!$C$51,MIN(Keys!$C$52,$K152/$L152),Keys!$C$51)</f>
        <v>0</v>
      </c>
      <c r="N152" s="11">
        <f>IF($E152=Keys!$C$60,Keys!$C$51,IF($E152=Keys!$C$59,$D152,$M152))</f>
        <v>0</v>
      </c>
      <c r="O152">
        <f t="shared" si="10"/>
        <v>1</v>
      </c>
      <c r="P152" s="10">
        <f>IF($E152=Keys!$C$60,Keys!$C$51,INDEX(Raw_BFPIaE!$G$9:$G$3032,MATCH($A152&amp;Keys!$C$54&amp;Keys!$C$55&amp;Keys!$C$54&amp;$B152,Raw_BFPIaE!$H$9:$H$3032,0)))</f>
        <v>0</v>
      </c>
      <c r="Q152" s="10">
        <f>IF($E152=Keys!$C$60,Keys!$C$51,INDEX(Raw_BFPIaE!$G$9:$G$3032,MATCH($A152&amp;Keys!$C$54&amp;Keys!$C$56&amp;Keys!$C$54&amp;$B152,Raw_BFPIaE!$H$9:$H$3032,0)))</f>
        <v>123293133333333.33</v>
      </c>
      <c r="R152" s="10">
        <f>IF($E152=Keys!$C$60,Keys!$C$51,INDEX(Raw_BFPIaE!$G$9:$G$3032,MATCH($A152&amp;Keys!$C$54&amp;Keys!$C$57&amp;Keys!$C$54&amp;$B152,Raw_BFPIaE!$H$9:$H$3032,0)))</f>
        <v>0</v>
      </c>
      <c r="S152" s="11">
        <f>IF(($P152+$Q152-$R152+MAX(Keys!$C$51,$R152-$Q152))&gt;Keys!$C$51,MIN(Keys!$C$52,MAX(Keys!$C$51,$R152-$Q152)/($P152+$Q152-$R152+MAX(Keys!$C$51,$R152-$Q152))),Keys!$C$51)</f>
        <v>0</v>
      </c>
      <c r="T152">
        <f>IF(AND($I152&gt;$H152,ABS($L152-$G152)&gt;MAX(Keys!$C$62,ABS($G152)*Keys!$C$63)),1,0)</f>
        <v>0</v>
      </c>
      <c r="U152">
        <f>IF(OR($N152&lt;Keys!$C$51,$N152&gt;Keys!$C$52),1,0)</f>
        <v>0</v>
      </c>
      <c r="V152">
        <f>IF(AND($E152=Keys!$C$60,$N152&lt;&gt;Keys!$C$51),1,0)</f>
        <v>0</v>
      </c>
      <c r="W152">
        <f>IF($L152&gt;Keys!$C$51,IF($K152/$L152&gt;Keys!$C$52,1,0),0)</f>
        <v>0</v>
      </c>
      <c r="X152" s="11">
        <f t="shared" si="11"/>
        <v>0</v>
      </c>
    </row>
    <row r="153" spans="1:24" x14ac:dyDescent="0.25">
      <c r="A153" t="s">
        <v>81</v>
      </c>
      <c r="B153" t="s">
        <v>68</v>
      </c>
      <c r="C153" t="str">
        <f>VLOOKUP($B153,Keys!$F$2:$I$22,2,FALSE)</f>
        <v>natural gas</v>
      </c>
      <c r="D153">
        <f>VLOOKUP($B153,Keys!$F$2:$I$22,3,FALSE)</f>
        <v>0.190839183</v>
      </c>
      <c r="E153" t="str">
        <f>VLOOKUP($B153,Keys!$F$2:$I$22,4,FALSE)</f>
        <v>rule</v>
      </c>
      <c r="F153" t="str">
        <f>$A153&amp;Keys!$C$54&amp;$B153</f>
        <v>FL|natural gas</v>
      </c>
      <c r="G153" s="10">
        <f>IF($E153=Keys!$C$60,Keys!$C$51,INDEX(Balanced_2025!$D$9:$D$3032,MATCH($A153&amp;Keys!$C$54&amp;Keys!$C$55&amp;Keys!$C$54&amp;$C153,Balanced_2025!$E$9:$E$3032,0)))</f>
        <v>274805000000</v>
      </c>
      <c r="H153" s="10">
        <f>IF($E153=Keys!$C$60,Keys!$C$51,INDEX(Balanced_2025!$D$9:$D$3032,MATCH($A153&amp;Keys!$C$54&amp;Keys!$C$56&amp;Keys!$C$54&amp;$C153,Balanced_2025!$E$9:$E$3032,0)))</f>
        <v>1584730000000000</v>
      </c>
      <c r="I153" s="10">
        <f>IF($E153=Keys!$C$60,Keys!$C$51,INDEX(Balanced_2025!$D$9:$D$3032,MATCH($A153&amp;Keys!$C$54&amp;Keys!$C$57&amp;Keys!$C$54&amp;$C153,Balanced_2025!$E$9:$E$3032,0)))</f>
        <v>976854000000</v>
      </c>
      <c r="J153" s="10">
        <f t="shared" si="8"/>
        <v>1584027951000000</v>
      </c>
      <c r="K153" s="10">
        <f>MAX(Keys!$C$51,$I153-$H153)</f>
        <v>0</v>
      </c>
      <c r="L153" s="10">
        <f t="shared" si="9"/>
        <v>1584027951000000</v>
      </c>
      <c r="M153" s="11">
        <f>IF($L153&gt;Keys!$C$51,MIN(Keys!$C$52,$K153/$L153),Keys!$C$51)</f>
        <v>0</v>
      </c>
      <c r="N153" s="11">
        <f>IF($E153=Keys!$C$60,Keys!$C$51,IF($E153=Keys!$C$59,$D153,$M153))</f>
        <v>0</v>
      </c>
      <c r="O153">
        <f t="shared" si="10"/>
        <v>1</v>
      </c>
      <c r="P153" s="10">
        <f>IF($E153=Keys!$C$60,Keys!$C$51,INDEX(Raw_BFPIaE!$G$9:$G$3032,MATCH($A153&amp;Keys!$C$54&amp;Keys!$C$55&amp;Keys!$C$54&amp;$B153,Raw_BFPIaE!$H$9:$H$3032,0)))</f>
        <v>273753333333.33334</v>
      </c>
      <c r="Q153" s="10">
        <f>IF($E153=Keys!$C$60,Keys!$C$51,INDEX(Raw_BFPIaE!$G$9:$G$3032,MATCH($A153&amp;Keys!$C$54&amp;Keys!$C$56&amp;Keys!$C$54&amp;$B153,Raw_BFPIaE!$H$9:$H$3032,0)))</f>
        <v>1665266666666666.8</v>
      </c>
      <c r="R153" s="10">
        <f>IF($E153=Keys!$C$60,Keys!$C$51,INDEX(Raw_BFPIaE!$G$9:$G$3032,MATCH($A153&amp;Keys!$C$54&amp;Keys!$C$57&amp;Keys!$C$54&amp;$B153,Raw_BFPIaE!$H$9:$H$3032,0)))</f>
        <v>973115333333.33337</v>
      </c>
      <c r="S153" s="11">
        <f>IF(($P153+$Q153-$R153+MAX(Keys!$C$51,$R153-$Q153))&gt;Keys!$C$51,MIN(Keys!$C$52,MAX(Keys!$C$51,$R153-$Q153)/($P153+$Q153-$R153+MAX(Keys!$C$51,$R153-$Q153))),Keys!$C$51)</f>
        <v>0</v>
      </c>
      <c r="T153">
        <f>IF(AND($I153&gt;$H153,ABS($L153-$G153)&gt;MAX(Keys!$C$62,ABS($G153)*Keys!$C$63)),1,0)</f>
        <v>0</v>
      </c>
      <c r="U153">
        <f>IF(OR($N153&lt;Keys!$C$51,$N153&gt;Keys!$C$52),1,0)</f>
        <v>0</v>
      </c>
      <c r="V153">
        <f>IF(AND($E153=Keys!$C$60,$N153&lt;&gt;Keys!$C$51),1,0)</f>
        <v>0</v>
      </c>
      <c r="W153">
        <f>IF($L153&gt;Keys!$C$51,IF($K153/$L153&gt;Keys!$C$52,1,0),0)</f>
        <v>0</v>
      </c>
      <c r="X153" s="11">
        <f t="shared" si="11"/>
        <v>0</v>
      </c>
    </row>
    <row r="154" spans="1:24" x14ac:dyDescent="0.25">
      <c r="A154" t="s">
        <v>81</v>
      </c>
      <c r="B154" t="s">
        <v>71</v>
      </c>
      <c r="C154">
        <f>VLOOKUP($B154,Keys!$F$2:$I$22,2,FALSE)</f>
        <v>0</v>
      </c>
      <c r="D154">
        <f>VLOOKUP($B154,Keys!$F$2:$I$22,3,FALSE)</f>
        <v>0</v>
      </c>
      <c r="E154" t="str">
        <f>VLOOKUP($B154,Keys!$F$2:$I$22,4,FALSE)</f>
        <v>zero</v>
      </c>
      <c r="F154" t="str">
        <f>$A154&amp;Keys!$C$54&amp;$B154</f>
        <v>FL|nuclear</v>
      </c>
      <c r="G154" s="10">
        <f>IF($E154=Keys!$C$60,Keys!$C$51,INDEX(Balanced_2025!$D$9:$D$3032,MATCH($A154&amp;Keys!$C$54&amp;Keys!$C$55&amp;Keys!$C$54&amp;$C154,Balanced_2025!$E$9:$E$3032,0)))</f>
        <v>0</v>
      </c>
      <c r="H154" s="10">
        <f>IF($E154=Keys!$C$60,Keys!$C$51,INDEX(Balanced_2025!$D$9:$D$3032,MATCH($A154&amp;Keys!$C$54&amp;Keys!$C$56&amp;Keys!$C$54&amp;$C154,Balanced_2025!$E$9:$E$3032,0)))</f>
        <v>0</v>
      </c>
      <c r="I154" s="10">
        <f>IF($E154=Keys!$C$60,Keys!$C$51,INDEX(Balanced_2025!$D$9:$D$3032,MATCH($A154&amp;Keys!$C$54&amp;Keys!$C$57&amp;Keys!$C$54&amp;$C154,Balanced_2025!$E$9:$E$3032,0)))</f>
        <v>0</v>
      </c>
      <c r="J154" s="10">
        <f t="shared" si="8"/>
        <v>0</v>
      </c>
      <c r="K154" s="10">
        <f>MAX(Keys!$C$51,$I154-$H154)</f>
        <v>0</v>
      </c>
      <c r="L154" s="10">
        <f t="shared" si="9"/>
        <v>0</v>
      </c>
      <c r="M154" s="11">
        <f>IF($L154&gt;Keys!$C$51,MIN(Keys!$C$52,$K154/$L154),Keys!$C$51)</f>
        <v>0</v>
      </c>
      <c r="N154" s="11">
        <f>IF($E154=Keys!$C$60,Keys!$C$51,IF($E154=Keys!$C$59,$D154,$M154))</f>
        <v>0</v>
      </c>
      <c r="O154">
        <f t="shared" si="10"/>
        <v>0</v>
      </c>
      <c r="P154" s="10">
        <f>IF($E154=Keys!$C$60,Keys!$C$51,INDEX(Raw_BFPIaE!$G$9:$G$3032,MATCH($A154&amp;Keys!$C$54&amp;Keys!$C$55&amp;Keys!$C$54&amp;$B154,Raw_BFPIaE!$H$9:$H$3032,0)))</f>
        <v>0</v>
      </c>
      <c r="Q154" s="10">
        <f>IF($E154=Keys!$C$60,Keys!$C$51,INDEX(Raw_BFPIaE!$G$9:$G$3032,MATCH($A154&amp;Keys!$C$54&amp;Keys!$C$56&amp;Keys!$C$54&amp;$B154,Raw_BFPIaE!$H$9:$H$3032,0)))</f>
        <v>0</v>
      </c>
      <c r="R154" s="10">
        <f>IF($E154=Keys!$C$60,Keys!$C$51,INDEX(Raw_BFPIaE!$G$9:$G$3032,MATCH($A154&amp;Keys!$C$54&amp;Keys!$C$57&amp;Keys!$C$54&amp;$B154,Raw_BFPIaE!$H$9:$H$3032,0)))</f>
        <v>0</v>
      </c>
      <c r="S154" s="11">
        <f>IF(($P154+$Q154-$R154+MAX(Keys!$C$51,$R154-$Q154))&gt;Keys!$C$51,MIN(Keys!$C$52,MAX(Keys!$C$51,$R154-$Q154)/($P154+$Q154-$R154+MAX(Keys!$C$51,$R154-$Q154))),Keys!$C$51)</f>
        <v>0</v>
      </c>
      <c r="T154">
        <f>IF(AND($I154&gt;$H154,ABS($L154-$G154)&gt;MAX(Keys!$C$62,ABS($G154)*Keys!$C$63)),1,0)</f>
        <v>0</v>
      </c>
      <c r="U154">
        <f>IF(OR($N154&lt;Keys!$C$51,$N154&gt;Keys!$C$52),1,0)</f>
        <v>0</v>
      </c>
      <c r="V154">
        <f>IF(AND($E154=Keys!$C$60,$N154&lt;&gt;Keys!$C$51),1,0)</f>
        <v>0</v>
      </c>
      <c r="W154">
        <f>IF($L154&gt;Keys!$C$51,IF($K154/$L154&gt;Keys!$C$52,1,0),0)</f>
        <v>0</v>
      </c>
      <c r="X154" s="11">
        <f t="shared" si="11"/>
        <v>0</v>
      </c>
    </row>
    <row r="155" spans="1:24" x14ac:dyDescent="0.25">
      <c r="A155" t="s">
        <v>81</v>
      </c>
      <c r="B155" t="s">
        <v>74</v>
      </c>
      <c r="C155">
        <f>VLOOKUP($B155,Keys!$F$2:$I$22,2,FALSE)</f>
        <v>0</v>
      </c>
      <c r="D155">
        <f>VLOOKUP($B155,Keys!$F$2:$I$22,3,FALSE)</f>
        <v>0</v>
      </c>
      <c r="E155" t="str">
        <f>VLOOKUP($B155,Keys!$F$2:$I$22,4,FALSE)</f>
        <v>zero</v>
      </c>
      <c r="F155" t="str">
        <f>$A155&amp;Keys!$C$54&amp;$B155</f>
        <v>FL|hydro (is not a fuel)</v>
      </c>
      <c r="G155" s="10">
        <f>IF($E155=Keys!$C$60,Keys!$C$51,INDEX(Balanced_2025!$D$9:$D$3032,MATCH($A155&amp;Keys!$C$54&amp;Keys!$C$55&amp;Keys!$C$54&amp;$C155,Balanced_2025!$E$9:$E$3032,0)))</f>
        <v>0</v>
      </c>
      <c r="H155" s="10">
        <f>IF($E155=Keys!$C$60,Keys!$C$51,INDEX(Balanced_2025!$D$9:$D$3032,MATCH($A155&amp;Keys!$C$54&amp;Keys!$C$56&amp;Keys!$C$54&amp;$C155,Balanced_2025!$E$9:$E$3032,0)))</f>
        <v>0</v>
      </c>
      <c r="I155" s="10">
        <f>IF($E155=Keys!$C$60,Keys!$C$51,INDEX(Balanced_2025!$D$9:$D$3032,MATCH($A155&amp;Keys!$C$54&amp;Keys!$C$57&amp;Keys!$C$54&amp;$C155,Balanced_2025!$E$9:$E$3032,0)))</f>
        <v>0</v>
      </c>
      <c r="J155" s="10">
        <f t="shared" si="8"/>
        <v>0</v>
      </c>
      <c r="K155" s="10">
        <f>MAX(Keys!$C$51,$I155-$H155)</f>
        <v>0</v>
      </c>
      <c r="L155" s="10">
        <f t="shared" si="9"/>
        <v>0</v>
      </c>
      <c r="M155" s="11">
        <f>IF($L155&gt;Keys!$C$51,MIN(Keys!$C$52,$K155/$L155),Keys!$C$51)</f>
        <v>0</v>
      </c>
      <c r="N155" s="11">
        <f>IF($E155=Keys!$C$60,Keys!$C$51,IF($E155=Keys!$C$59,$D155,$M155))</f>
        <v>0</v>
      </c>
      <c r="O155">
        <f t="shared" si="10"/>
        <v>0</v>
      </c>
      <c r="P155" s="10">
        <f>IF($E155=Keys!$C$60,Keys!$C$51,INDEX(Raw_BFPIaE!$G$9:$G$3032,MATCH($A155&amp;Keys!$C$54&amp;Keys!$C$55&amp;Keys!$C$54&amp;$B155,Raw_BFPIaE!$H$9:$H$3032,0)))</f>
        <v>0</v>
      </c>
      <c r="Q155" s="10">
        <f>IF($E155=Keys!$C$60,Keys!$C$51,INDEX(Raw_BFPIaE!$G$9:$G$3032,MATCH($A155&amp;Keys!$C$54&amp;Keys!$C$56&amp;Keys!$C$54&amp;$B155,Raw_BFPIaE!$H$9:$H$3032,0)))</f>
        <v>0</v>
      </c>
      <c r="R155" s="10">
        <f>IF($E155=Keys!$C$60,Keys!$C$51,INDEX(Raw_BFPIaE!$G$9:$G$3032,MATCH($A155&amp;Keys!$C$54&amp;Keys!$C$57&amp;Keys!$C$54&amp;$B155,Raw_BFPIaE!$H$9:$H$3032,0)))</f>
        <v>0</v>
      </c>
      <c r="S155" s="11">
        <f>IF(($P155+$Q155-$R155+MAX(Keys!$C$51,$R155-$Q155))&gt;Keys!$C$51,MIN(Keys!$C$52,MAX(Keys!$C$51,$R155-$Q155)/($P155+$Q155-$R155+MAX(Keys!$C$51,$R155-$Q155))),Keys!$C$51)</f>
        <v>0</v>
      </c>
      <c r="T155">
        <f>IF(AND($I155&gt;$H155,ABS($L155-$G155)&gt;MAX(Keys!$C$62,ABS($G155)*Keys!$C$63)),1,0)</f>
        <v>0</v>
      </c>
      <c r="U155">
        <f>IF(OR($N155&lt;Keys!$C$51,$N155&gt;Keys!$C$52),1,0)</f>
        <v>0</v>
      </c>
      <c r="V155">
        <f>IF(AND($E155=Keys!$C$60,$N155&lt;&gt;Keys!$C$51),1,0)</f>
        <v>0</v>
      </c>
      <c r="W155">
        <f>IF($L155&gt;Keys!$C$51,IF($K155/$L155&gt;Keys!$C$52,1,0),0)</f>
        <v>0</v>
      </c>
      <c r="X155" s="11">
        <f t="shared" si="11"/>
        <v>0</v>
      </c>
    </row>
    <row r="156" spans="1:24" x14ac:dyDescent="0.25">
      <c r="A156" t="s">
        <v>81</v>
      </c>
      <c r="B156" t="s">
        <v>77</v>
      </c>
      <c r="C156">
        <f>VLOOKUP($B156,Keys!$F$2:$I$22,2,FALSE)</f>
        <v>0</v>
      </c>
      <c r="D156">
        <f>VLOOKUP($B156,Keys!$F$2:$I$22,3,FALSE)</f>
        <v>0</v>
      </c>
      <c r="E156" t="str">
        <f>VLOOKUP($B156,Keys!$F$2:$I$22,4,FALSE)</f>
        <v>zero</v>
      </c>
      <c r="F156" t="str">
        <f>$A156&amp;Keys!$C$54&amp;$B156</f>
        <v>FL|wind (is not a fuel)</v>
      </c>
      <c r="G156" s="10">
        <f>IF($E156=Keys!$C$60,Keys!$C$51,INDEX(Balanced_2025!$D$9:$D$3032,MATCH($A156&amp;Keys!$C$54&amp;Keys!$C$55&amp;Keys!$C$54&amp;$C156,Balanced_2025!$E$9:$E$3032,0)))</f>
        <v>0</v>
      </c>
      <c r="H156" s="10">
        <f>IF($E156=Keys!$C$60,Keys!$C$51,INDEX(Balanced_2025!$D$9:$D$3032,MATCH($A156&amp;Keys!$C$54&amp;Keys!$C$56&amp;Keys!$C$54&amp;$C156,Balanced_2025!$E$9:$E$3032,0)))</f>
        <v>0</v>
      </c>
      <c r="I156" s="10">
        <f>IF($E156=Keys!$C$60,Keys!$C$51,INDEX(Balanced_2025!$D$9:$D$3032,MATCH($A156&amp;Keys!$C$54&amp;Keys!$C$57&amp;Keys!$C$54&amp;$C156,Balanced_2025!$E$9:$E$3032,0)))</f>
        <v>0</v>
      </c>
      <c r="J156" s="10">
        <f t="shared" si="8"/>
        <v>0</v>
      </c>
      <c r="K156" s="10">
        <f>MAX(Keys!$C$51,$I156-$H156)</f>
        <v>0</v>
      </c>
      <c r="L156" s="10">
        <f t="shared" si="9"/>
        <v>0</v>
      </c>
      <c r="M156" s="11">
        <f>IF($L156&gt;Keys!$C$51,MIN(Keys!$C$52,$K156/$L156),Keys!$C$51)</f>
        <v>0</v>
      </c>
      <c r="N156" s="11">
        <f>IF($E156=Keys!$C$60,Keys!$C$51,IF($E156=Keys!$C$59,$D156,$M156))</f>
        <v>0</v>
      </c>
      <c r="O156">
        <f t="shared" si="10"/>
        <v>0</v>
      </c>
      <c r="P156" s="10">
        <f>IF($E156=Keys!$C$60,Keys!$C$51,INDEX(Raw_BFPIaE!$G$9:$G$3032,MATCH($A156&amp;Keys!$C$54&amp;Keys!$C$55&amp;Keys!$C$54&amp;$B156,Raw_BFPIaE!$H$9:$H$3032,0)))</f>
        <v>0</v>
      </c>
      <c r="Q156" s="10">
        <f>IF($E156=Keys!$C$60,Keys!$C$51,INDEX(Raw_BFPIaE!$G$9:$G$3032,MATCH($A156&amp;Keys!$C$54&amp;Keys!$C$56&amp;Keys!$C$54&amp;$B156,Raw_BFPIaE!$H$9:$H$3032,0)))</f>
        <v>0</v>
      </c>
      <c r="R156" s="10">
        <f>IF($E156=Keys!$C$60,Keys!$C$51,INDEX(Raw_BFPIaE!$G$9:$G$3032,MATCH($A156&amp;Keys!$C$54&amp;Keys!$C$57&amp;Keys!$C$54&amp;$B156,Raw_BFPIaE!$H$9:$H$3032,0)))</f>
        <v>0</v>
      </c>
      <c r="S156" s="11">
        <f>IF(($P156+$Q156-$R156+MAX(Keys!$C$51,$R156-$Q156))&gt;Keys!$C$51,MIN(Keys!$C$52,MAX(Keys!$C$51,$R156-$Q156)/($P156+$Q156-$R156+MAX(Keys!$C$51,$R156-$Q156))),Keys!$C$51)</f>
        <v>0</v>
      </c>
      <c r="T156">
        <f>IF(AND($I156&gt;$H156,ABS($L156-$G156)&gt;MAX(Keys!$C$62,ABS($G156)*Keys!$C$63)),1,0)</f>
        <v>0</v>
      </c>
      <c r="U156">
        <f>IF(OR($N156&lt;Keys!$C$51,$N156&gt;Keys!$C$52),1,0)</f>
        <v>0</v>
      </c>
      <c r="V156">
        <f>IF(AND($E156=Keys!$C$60,$N156&lt;&gt;Keys!$C$51),1,0)</f>
        <v>0</v>
      </c>
      <c r="W156">
        <f>IF($L156&gt;Keys!$C$51,IF($K156/$L156&gt;Keys!$C$52,1,0),0)</f>
        <v>0</v>
      </c>
      <c r="X156" s="11">
        <f t="shared" si="11"/>
        <v>0</v>
      </c>
    </row>
    <row r="157" spans="1:24" x14ac:dyDescent="0.25">
      <c r="A157" t="s">
        <v>81</v>
      </c>
      <c r="B157" t="s">
        <v>80</v>
      </c>
      <c r="C157">
        <f>VLOOKUP($B157,Keys!$F$2:$I$22,2,FALSE)</f>
        <v>0</v>
      </c>
      <c r="D157">
        <f>VLOOKUP($B157,Keys!$F$2:$I$22,3,FALSE)</f>
        <v>0</v>
      </c>
      <c r="E157" t="str">
        <f>VLOOKUP($B157,Keys!$F$2:$I$22,4,FALSE)</f>
        <v>zero</v>
      </c>
      <c r="F157" t="str">
        <f>$A157&amp;Keys!$C$54&amp;$B157</f>
        <v>FL|solar (is not a fuel)</v>
      </c>
      <c r="G157" s="10">
        <f>IF($E157=Keys!$C$60,Keys!$C$51,INDEX(Balanced_2025!$D$9:$D$3032,MATCH($A157&amp;Keys!$C$54&amp;Keys!$C$55&amp;Keys!$C$54&amp;$C157,Balanced_2025!$E$9:$E$3032,0)))</f>
        <v>0</v>
      </c>
      <c r="H157" s="10">
        <f>IF($E157=Keys!$C$60,Keys!$C$51,INDEX(Balanced_2025!$D$9:$D$3032,MATCH($A157&amp;Keys!$C$54&amp;Keys!$C$56&amp;Keys!$C$54&amp;$C157,Balanced_2025!$E$9:$E$3032,0)))</f>
        <v>0</v>
      </c>
      <c r="I157" s="10">
        <f>IF($E157=Keys!$C$60,Keys!$C$51,INDEX(Balanced_2025!$D$9:$D$3032,MATCH($A157&amp;Keys!$C$54&amp;Keys!$C$57&amp;Keys!$C$54&amp;$C157,Balanced_2025!$E$9:$E$3032,0)))</f>
        <v>0</v>
      </c>
      <c r="J157" s="10">
        <f t="shared" si="8"/>
        <v>0</v>
      </c>
      <c r="K157" s="10">
        <f>MAX(Keys!$C$51,$I157-$H157)</f>
        <v>0</v>
      </c>
      <c r="L157" s="10">
        <f t="shared" si="9"/>
        <v>0</v>
      </c>
      <c r="M157" s="11">
        <f>IF($L157&gt;Keys!$C$51,MIN(Keys!$C$52,$K157/$L157),Keys!$C$51)</f>
        <v>0</v>
      </c>
      <c r="N157" s="11">
        <f>IF($E157=Keys!$C$60,Keys!$C$51,IF($E157=Keys!$C$59,$D157,$M157))</f>
        <v>0</v>
      </c>
      <c r="O157">
        <f t="shared" si="10"/>
        <v>0</v>
      </c>
      <c r="P157" s="10">
        <f>IF($E157=Keys!$C$60,Keys!$C$51,INDEX(Raw_BFPIaE!$G$9:$G$3032,MATCH($A157&amp;Keys!$C$54&amp;Keys!$C$55&amp;Keys!$C$54&amp;$B157,Raw_BFPIaE!$H$9:$H$3032,0)))</f>
        <v>0</v>
      </c>
      <c r="Q157" s="10">
        <f>IF($E157=Keys!$C$60,Keys!$C$51,INDEX(Raw_BFPIaE!$G$9:$G$3032,MATCH($A157&amp;Keys!$C$54&amp;Keys!$C$56&amp;Keys!$C$54&amp;$B157,Raw_BFPIaE!$H$9:$H$3032,0)))</f>
        <v>0</v>
      </c>
      <c r="R157" s="10">
        <f>IF($E157=Keys!$C$60,Keys!$C$51,INDEX(Raw_BFPIaE!$G$9:$G$3032,MATCH($A157&amp;Keys!$C$54&amp;Keys!$C$57&amp;Keys!$C$54&amp;$B157,Raw_BFPIaE!$H$9:$H$3032,0)))</f>
        <v>0</v>
      </c>
      <c r="S157" s="11">
        <f>IF(($P157+$Q157-$R157+MAX(Keys!$C$51,$R157-$Q157))&gt;Keys!$C$51,MIN(Keys!$C$52,MAX(Keys!$C$51,$R157-$Q157)/($P157+$Q157-$R157+MAX(Keys!$C$51,$R157-$Q157))),Keys!$C$51)</f>
        <v>0</v>
      </c>
      <c r="T157">
        <f>IF(AND($I157&gt;$H157,ABS($L157-$G157)&gt;MAX(Keys!$C$62,ABS($G157)*Keys!$C$63)),1,0)</f>
        <v>0</v>
      </c>
      <c r="U157">
        <f>IF(OR($N157&lt;Keys!$C$51,$N157&gt;Keys!$C$52),1,0)</f>
        <v>0</v>
      </c>
      <c r="V157">
        <f>IF(AND($E157=Keys!$C$60,$N157&lt;&gt;Keys!$C$51),1,0)</f>
        <v>0</v>
      </c>
      <c r="W157">
        <f>IF($L157&gt;Keys!$C$51,IF($K157/$L157&gt;Keys!$C$52,1,0),0)</f>
        <v>0</v>
      </c>
      <c r="X157" s="11">
        <f t="shared" si="11"/>
        <v>0</v>
      </c>
    </row>
    <row r="158" spans="1:24" x14ac:dyDescent="0.25">
      <c r="A158" t="s">
        <v>81</v>
      </c>
      <c r="B158" t="s">
        <v>82</v>
      </c>
      <c r="C158" t="str">
        <f>VLOOKUP($B158,Keys!$F$2:$I$22,2,FALSE)</f>
        <v>biomass</v>
      </c>
      <c r="D158">
        <f>VLOOKUP($B158,Keys!$F$2:$I$22,3,FALSE)</f>
        <v>0.74947425499999998</v>
      </c>
      <c r="E158" t="str">
        <f>VLOOKUP($B158,Keys!$F$2:$I$22,4,FALSE)</f>
        <v>rule</v>
      </c>
      <c r="F158" t="str">
        <f>$A158&amp;Keys!$C$54&amp;$B158</f>
        <v>FL|biomass</v>
      </c>
      <c r="G158" s="10">
        <f>IF($E158=Keys!$C$60,Keys!$C$51,INDEX(Balanced_2025!$D$9:$D$3032,MATCH($A158&amp;Keys!$C$54&amp;Keys!$C$55&amp;Keys!$C$54&amp;$C158,Balanced_2025!$E$9:$E$3032,0)))</f>
        <v>13227600000000</v>
      </c>
      <c r="H158" s="10">
        <f>IF($E158=Keys!$C$60,Keys!$C$51,INDEX(Balanced_2025!$D$9:$D$3032,MATCH($A158&amp;Keys!$C$54&amp;Keys!$C$56&amp;Keys!$C$54&amp;$C158,Balanced_2025!$E$9:$E$3032,0)))</f>
        <v>74403800000000</v>
      </c>
      <c r="I158" s="10">
        <f>IF($E158=Keys!$C$60,Keys!$C$51,INDEX(Balanced_2025!$D$9:$D$3032,MATCH($A158&amp;Keys!$C$54&amp;Keys!$C$57&amp;Keys!$C$54&amp;$C158,Balanced_2025!$E$9:$E$3032,0)))</f>
        <v>0</v>
      </c>
      <c r="J158" s="10">
        <f t="shared" si="8"/>
        <v>87631400000000</v>
      </c>
      <c r="K158" s="10">
        <f>MAX(Keys!$C$51,$I158-$H158)</f>
        <v>0</v>
      </c>
      <c r="L158" s="10">
        <f t="shared" si="9"/>
        <v>87631400000000</v>
      </c>
      <c r="M158" s="11">
        <f>IF($L158&gt;Keys!$C$51,MIN(Keys!$C$52,$K158/$L158),Keys!$C$51)</f>
        <v>0</v>
      </c>
      <c r="N158" s="11">
        <f>IF($E158=Keys!$C$60,Keys!$C$51,IF($E158=Keys!$C$59,$D158,$M158))</f>
        <v>0</v>
      </c>
      <c r="O158">
        <f t="shared" si="10"/>
        <v>1</v>
      </c>
      <c r="P158" s="10">
        <f>IF($E158=Keys!$C$60,Keys!$C$51,INDEX(Raw_BFPIaE!$G$9:$G$3032,MATCH($A158&amp;Keys!$C$54&amp;Keys!$C$55&amp;Keys!$C$54&amp;$B158,Raw_BFPIaE!$H$9:$H$3032,0)))</f>
        <v>13227600000000</v>
      </c>
      <c r="Q158" s="10">
        <f>IF($E158=Keys!$C$60,Keys!$C$51,INDEX(Raw_BFPIaE!$G$9:$G$3032,MATCH($A158&amp;Keys!$C$54&amp;Keys!$C$56&amp;Keys!$C$54&amp;$B158,Raw_BFPIaE!$H$9:$H$3032,0)))</f>
        <v>50756200000000</v>
      </c>
      <c r="R158" s="10">
        <f>IF($E158=Keys!$C$60,Keys!$C$51,INDEX(Raw_BFPIaE!$G$9:$G$3032,MATCH($A158&amp;Keys!$C$54&amp;Keys!$C$57&amp;Keys!$C$54&amp;$B158,Raw_BFPIaE!$H$9:$H$3032,0)))</f>
        <v>0</v>
      </c>
      <c r="S158" s="11">
        <f>IF(($P158+$Q158-$R158+MAX(Keys!$C$51,$R158-$Q158))&gt;Keys!$C$51,MIN(Keys!$C$52,MAX(Keys!$C$51,$R158-$Q158)/($P158+$Q158-$R158+MAX(Keys!$C$51,$R158-$Q158))),Keys!$C$51)</f>
        <v>0</v>
      </c>
      <c r="T158">
        <f>IF(AND($I158&gt;$H158,ABS($L158-$G158)&gt;MAX(Keys!$C$62,ABS($G158)*Keys!$C$63)),1,0)</f>
        <v>0</v>
      </c>
      <c r="U158">
        <f>IF(OR($N158&lt;Keys!$C$51,$N158&gt;Keys!$C$52),1,0)</f>
        <v>0</v>
      </c>
      <c r="V158">
        <f>IF(AND($E158=Keys!$C$60,$N158&lt;&gt;Keys!$C$51),1,0)</f>
        <v>0</v>
      </c>
      <c r="W158">
        <f>IF($L158&gt;Keys!$C$51,IF($K158/$L158&gt;Keys!$C$52,1,0),0)</f>
        <v>0</v>
      </c>
      <c r="X158" s="11">
        <f t="shared" si="11"/>
        <v>0</v>
      </c>
    </row>
    <row r="159" spans="1:24" x14ac:dyDescent="0.25">
      <c r="A159" t="s">
        <v>81</v>
      </c>
      <c r="B159" t="s">
        <v>85</v>
      </c>
      <c r="C159" t="str">
        <f>VLOOKUP($B159,Keys!$F$2:$I$22,2,FALSE)</f>
        <v>petroleum gasoline</v>
      </c>
      <c r="D159">
        <f>VLOOKUP($B159,Keys!$F$2:$I$22,3,FALSE)</f>
        <v>7.5004052000000002E-2</v>
      </c>
      <c r="E159" t="str">
        <f>VLOOKUP($B159,Keys!$F$2:$I$22,4,FALSE)</f>
        <v>rule</v>
      </c>
      <c r="F159" t="str">
        <f>$A159&amp;Keys!$C$54&amp;$B159</f>
        <v>FL|petroleum gasoline</v>
      </c>
      <c r="G159" s="10">
        <f>IF($E159=Keys!$C$60,Keys!$C$51,INDEX(Balanced_2025!$D$9:$D$3032,MATCH($A159&amp;Keys!$C$54&amp;Keys!$C$55&amp;Keys!$C$54&amp;$C159,Balanced_2025!$E$9:$E$3032,0)))</f>
        <v>0</v>
      </c>
      <c r="H159" s="10">
        <f>IF($E159=Keys!$C$60,Keys!$C$51,INDEX(Balanced_2025!$D$9:$D$3032,MATCH($A159&amp;Keys!$C$54&amp;Keys!$C$56&amp;Keys!$C$54&amp;$C159,Balanced_2025!$E$9:$E$3032,0)))</f>
        <v>1005070000000000</v>
      </c>
      <c r="I159" s="10">
        <f>IF($E159=Keys!$C$60,Keys!$C$51,INDEX(Balanced_2025!$D$9:$D$3032,MATCH($A159&amp;Keys!$C$54&amp;Keys!$C$57&amp;Keys!$C$54&amp;$C159,Balanced_2025!$E$9:$E$3032,0)))</f>
        <v>0</v>
      </c>
      <c r="J159" s="10">
        <f t="shared" si="8"/>
        <v>1005070000000000</v>
      </c>
      <c r="K159" s="10">
        <f>MAX(Keys!$C$51,$I159-$H159)</f>
        <v>0</v>
      </c>
      <c r="L159" s="10">
        <f t="shared" si="9"/>
        <v>1005070000000000</v>
      </c>
      <c r="M159" s="11">
        <f>IF($L159&gt;Keys!$C$51,MIN(Keys!$C$52,$K159/$L159),Keys!$C$51)</f>
        <v>0</v>
      </c>
      <c r="N159" s="11">
        <f>IF($E159=Keys!$C$60,Keys!$C$51,IF($E159=Keys!$C$59,$D159,$M159))</f>
        <v>0</v>
      </c>
      <c r="O159">
        <f t="shared" si="10"/>
        <v>1</v>
      </c>
      <c r="P159" s="10">
        <f>IF($E159=Keys!$C$60,Keys!$C$51,INDEX(Raw_BFPIaE!$G$9:$G$3032,MATCH($A159&amp;Keys!$C$54&amp;Keys!$C$55&amp;Keys!$C$54&amp;$B159,Raw_BFPIaE!$H$9:$H$3032,0)))</f>
        <v>0</v>
      </c>
      <c r="Q159" s="10">
        <f>IF($E159=Keys!$C$60,Keys!$C$51,INDEX(Raw_BFPIaE!$G$9:$G$3032,MATCH($A159&amp;Keys!$C$54&amp;Keys!$C$56&amp;Keys!$C$54&amp;$B159,Raw_BFPIaE!$H$9:$H$3032,0)))</f>
        <v>630908333333333.38</v>
      </c>
      <c r="R159" s="10">
        <f>IF($E159=Keys!$C$60,Keys!$C$51,INDEX(Raw_BFPIaE!$G$9:$G$3032,MATCH($A159&amp;Keys!$C$54&amp;Keys!$C$57&amp;Keys!$C$54&amp;$B159,Raw_BFPIaE!$H$9:$H$3032,0)))</f>
        <v>0</v>
      </c>
      <c r="S159" s="11">
        <f>IF(($P159+$Q159-$R159+MAX(Keys!$C$51,$R159-$Q159))&gt;Keys!$C$51,MIN(Keys!$C$52,MAX(Keys!$C$51,$R159-$Q159)/($P159+$Q159-$R159+MAX(Keys!$C$51,$R159-$Q159))),Keys!$C$51)</f>
        <v>0</v>
      </c>
      <c r="T159">
        <f>IF(AND($I159&gt;$H159,ABS($L159-$G159)&gt;MAX(Keys!$C$62,ABS($G159)*Keys!$C$63)),1,0)</f>
        <v>0</v>
      </c>
      <c r="U159">
        <f>IF(OR($N159&lt;Keys!$C$51,$N159&gt;Keys!$C$52),1,0)</f>
        <v>0</v>
      </c>
      <c r="V159">
        <f>IF(AND($E159=Keys!$C$60,$N159&lt;&gt;Keys!$C$51),1,0)</f>
        <v>0</v>
      </c>
      <c r="W159">
        <f>IF($L159&gt;Keys!$C$51,IF($K159/$L159&gt;Keys!$C$52,1,0),0)</f>
        <v>0</v>
      </c>
      <c r="X159" s="11">
        <f t="shared" si="11"/>
        <v>0</v>
      </c>
    </row>
    <row r="160" spans="1:24" x14ac:dyDescent="0.25">
      <c r="A160" t="s">
        <v>81</v>
      </c>
      <c r="B160" t="s">
        <v>88</v>
      </c>
      <c r="C160" t="str">
        <f>VLOOKUP($B160,Keys!$F$2:$I$22,2,FALSE)</f>
        <v>petroleum diesel</v>
      </c>
      <c r="D160">
        <f>VLOOKUP($B160,Keys!$F$2:$I$22,3,FALSE)</f>
        <v>0.26691051799999999</v>
      </c>
      <c r="E160" t="str">
        <f>VLOOKUP($B160,Keys!$F$2:$I$22,4,FALSE)</f>
        <v>rule</v>
      </c>
      <c r="F160" t="str">
        <f>$A160&amp;Keys!$C$54&amp;$B160</f>
        <v>FL|petroleum diesel</v>
      </c>
      <c r="G160" s="10">
        <f>IF($E160=Keys!$C$60,Keys!$C$51,INDEX(Balanced_2025!$D$9:$D$3032,MATCH($A160&amp;Keys!$C$54&amp;Keys!$C$55&amp;Keys!$C$54&amp;$C160,Balanced_2025!$E$9:$E$3032,0)))</f>
        <v>0</v>
      </c>
      <c r="H160" s="10">
        <f>IF($E160=Keys!$C$60,Keys!$C$51,INDEX(Balanced_2025!$D$9:$D$3032,MATCH($A160&amp;Keys!$C$54&amp;Keys!$C$56&amp;Keys!$C$54&amp;$C160,Balanced_2025!$E$9:$E$3032,0)))</f>
        <v>390712000000000</v>
      </c>
      <c r="I160" s="10">
        <f>IF($E160=Keys!$C$60,Keys!$C$51,INDEX(Balanced_2025!$D$9:$D$3032,MATCH($A160&amp;Keys!$C$54&amp;Keys!$C$57&amp;Keys!$C$54&amp;$C160,Balanced_2025!$E$9:$E$3032,0)))</f>
        <v>0</v>
      </c>
      <c r="J160" s="10">
        <f t="shared" si="8"/>
        <v>390712000000000</v>
      </c>
      <c r="K160" s="10">
        <f>MAX(Keys!$C$51,$I160-$H160)</f>
        <v>0</v>
      </c>
      <c r="L160" s="10">
        <f t="shared" si="9"/>
        <v>390712000000000</v>
      </c>
      <c r="M160" s="11">
        <f>IF($L160&gt;Keys!$C$51,MIN(Keys!$C$52,$K160/$L160),Keys!$C$51)</f>
        <v>0</v>
      </c>
      <c r="N160" s="11">
        <f>IF($E160=Keys!$C$60,Keys!$C$51,IF($E160=Keys!$C$59,$D160,$M160))</f>
        <v>0</v>
      </c>
      <c r="O160">
        <f t="shared" si="10"/>
        <v>1</v>
      </c>
      <c r="P160" s="10">
        <f>IF($E160=Keys!$C$60,Keys!$C$51,INDEX(Raw_BFPIaE!$G$9:$G$3032,MATCH($A160&amp;Keys!$C$54&amp;Keys!$C$55&amp;Keys!$C$54&amp;$B160,Raw_BFPIaE!$H$9:$H$3032,0)))</f>
        <v>0</v>
      </c>
      <c r="Q160" s="10">
        <f>IF($E160=Keys!$C$60,Keys!$C$51,INDEX(Raw_BFPIaE!$G$9:$G$3032,MATCH($A160&amp;Keys!$C$54&amp;Keys!$C$56&amp;Keys!$C$54&amp;$B160,Raw_BFPIaE!$H$9:$H$3032,0)))</f>
        <v>256056333333333.34</v>
      </c>
      <c r="R160" s="10">
        <f>IF($E160=Keys!$C$60,Keys!$C$51,INDEX(Raw_BFPIaE!$G$9:$G$3032,MATCH($A160&amp;Keys!$C$54&amp;Keys!$C$57&amp;Keys!$C$54&amp;$B160,Raw_BFPIaE!$H$9:$H$3032,0)))</f>
        <v>0</v>
      </c>
      <c r="S160" s="11">
        <f>IF(($P160+$Q160-$R160+MAX(Keys!$C$51,$R160-$Q160))&gt;Keys!$C$51,MIN(Keys!$C$52,MAX(Keys!$C$51,$R160-$Q160)/($P160+$Q160-$R160+MAX(Keys!$C$51,$R160-$Q160))),Keys!$C$51)</f>
        <v>0</v>
      </c>
      <c r="T160">
        <f>IF(AND($I160&gt;$H160,ABS($L160-$G160)&gt;MAX(Keys!$C$62,ABS($G160)*Keys!$C$63)),1,0)</f>
        <v>0</v>
      </c>
      <c r="U160">
        <f>IF(OR($N160&lt;Keys!$C$51,$N160&gt;Keys!$C$52),1,0)</f>
        <v>0</v>
      </c>
      <c r="V160">
        <f>IF(AND($E160=Keys!$C$60,$N160&lt;&gt;Keys!$C$51),1,0)</f>
        <v>0</v>
      </c>
      <c r="W160">
        <f>IF($L160&gt;Keys!$C$51,IF($K160/$L160&gt;Keys!$C$52,1,0),0)</f>
        <v>0</v>
      </c>
      <c r="X160" s="11">
        <f t="shared" si="11"/>
        <v>0</v>
      </c>
    </row>
    <row r="161" spans="1:24" x14ac:dyDescent="0.25">
      <c r="A161" t="s">
        <v>81</v>
      </c>
      <c r="B161" t="s">
        <v>91</v>
      </c>
      <c r="C161" t="str">
        <f>VLOOKUP($B161,Keys!$F$2:$I$22,2,FALSE)</f>
        <v>biofuel gasoline</v>
      </c>
      <c r="D161">
        <f>VLOOKUP($B161,Keys!$F$2:$I$22,3,FALSE)</f>
        <v>8.7213884000000005E-2</v>
      </c>
      <c r="E161" t="str">
        <f>VLOOKUP($B161,Keys!$F$2:$I$22,4,FALSE)</f>
        <v>rule</v>
      </c>
      <c r="F161" t="str">
        <f>$A161&amp;Keys!$C$54&amp;$B161</f>
        <v>FL|biofuel gasoline</v>
      </c>
      <c r="G161" s="10">
        <f>IF($E161=Keys!$C$60,Keys!$C$51,INDEX(Balanced_2025!$D$9:$D$3032,MATCH($A161&amp;Keys!$C$54&amp;Keys!$C$55&amp;Keys!$C$54&amp;$C161,Balanced_2025!$E$9:$E$3032,0)))</f>
        <v>0</v>
      </c>
      <c r="H161" s="10">
        <f>IF($E161=Keys!$C$60,Keys!$C$51,INDEX(Balanced_2025!$D$9:$D$3032,MATCH($A161&amp;Keys!$C$54&amp;Keys!$C$56&amp;Keys!$C$54&amp;$C161,Balanced_2025!$E$9:$E$3032,0)))</f>
        <v>69157700000000</v>
      </c>
      <c r="I161" s="10">
        <f>IF($E161=Keys!$C$60,Keys!$C$51,INDEX(Balanced_2025!$D$9:$D$3032,MATCH($A161&amp;Keys!$C$54&amp;Keys!$C$57&amp;Keys!$C$54&amp;$C161,Balanced_2025!$E$9:$E$3032,0)))</f>
        <v>0</v>
      </c>
      <c r="J161" s="10">
        <f t="shared" si="8"/>
        <v>69157700000000</v>
      </c>
      <c r="K161" s="10">
        <f>MAX(Keys!$C$51,$I161-$H161)</f>
        <v>0</v>
      </c>
      <c r="L161" s="10">
        <f t="shared" si="9"/>
        <v>69157700000000</v>
      </c>
      <c r="M161" s="11">
        <f>IF($L161&gt;Keys!$C$51,MIN(Keys!$C$52,$K161/$L161),Keys!$C$51)</f>
        <v>0</v>
      </c>
      <c r="N161" s="11">
        <f>IF($E161=Keys!$C$60,Keys!$C$51,IF($E161=Keys!$C$59,$D161,$M161))</f>
        <v>0</v>
      </c>
      <c r="O161">
        <f t="shared" si="10"/>
        <v>1</v>
      </c>
      <c r="P161" s="10">
        <f>IF($E161=Keys!$C$60,Keys!$C$51,INDEX(Raw_BFPIaE!$G$9:$G$3032,MATCH($A161&amp;Keys!$C$54&amp;Keys!$C$55&amp;Keys!$C$54&amp;$B161,Raw_BFPIaE!$H$9:$H$3032,0)))</f>
        <v>0</v>
      </c>
      <c r="Q161" s="10">
        <f>IF($E161=Keys!$C$60,Keys!$C$51,INDEX(Raw_BFPIaE!$G$9:$G$3032,MATCH($A161&amp;Keys!$C$54&amp;Keys!$C$56&amp;Keys!$C$54&amp;$B161,Raw_BFPIaE!$H$9:$H$3032,0)))</f>
        <v>43390633333333.336</v>
      </c>
      <c r="R161" s="10">
        <f>IF($E161=Keys!$C$60,Keys!$C$51,INDEX(Raw_BFPIaE!$G$9:$G$3032,MATCH($A161&amp;Keys!$C$54&amp;Keys!$C$57&amp;Keys!$C$54&amp;$B161,Raw_BFPIaE!$H$9:$H$3032,0)))</f>
        <v>0</v>
      </c>
      <c r="S161" s="11">
        <f>IF(($P161+$Q161-$R161+MAX(Keys!$C$51,$R161-$Q161))&gt;Keys!$C$51,MIN(Keys!$C$52,MAX(Keys!$C$51,$R161-$Q161)/($P161+$Q161-$R161+MAX(Keys!$C$51,$R161-$Q161))),Keys!$C$51)</f>
        <v>0</v>
      </c>
      <c r="T161">
        <f>IF(AND($I161&gt;$H161,ABS($L161-$G161)&gt;MAX(Keys!$C$62,ABS($G161)*Keys!$C$63)),1,0)</f>
        <v>0</v>
      </c>
      <c r="U161">
        <f>IF(OR($N161&lt;Keys!$C$51,$N161&gt;Keys!$C$52),1,0)</f>
        <v>0</v>
      </c>
      <c r="V161">
        <f>IF(AND($E161=Keys!$C$60,$N161&lt;&gt;Keys!$C$51),1,0)</f>
        <v>0</v>
      </c>
      <c r="W161">
        <f>IF($L161&gt;Keys!$C$51,IF($K161/$L161&gt;Keys!$C$52,1,0),0)</f>
        <v>0</v>
      </c>
      <c r="X161" s="11">
        <f t="shared" si="11"/>
        <v>0</v>
      </c>
    </row>
    <row r="162" spans="1:24" x14ac:dyDescent="0.25">
      <c r="A162" t="s">
        <v>81</v>
      </c>
      <c r="B162" t="s">
        <v>94</v>
      </c>
      <c r="C162" t="str">
        <f>VLOOKUP($B162,Keys!$F$2:$I$22,2,FALSE)</f>
        <v>biofuel diesel</v>
      </c>
      <c r="D162">
        <f>VLOOKUP($B162,Keys!$F$2:$I$22,3,FALSE)</f>
        <v>5.8642381E-2</v>
      </c>
      <c r="E162" t="str">
        <f>VLOOKUP($B162,Keys!$F$2:$I$22,4,FALSE)</f>
        <v>rule</v>
      </c>
      <c r="F162" t="str">
        <f>$A162&amp;Keys!$C$54&amp;$B162</f>
        <v>FL|biofuel diesel</v>
      </c>
      <c r="G162" s="10">
        <f>IF($E162=Keys!$C$60,Keys!$C$51,INDEX(Balanced_2025!$D$9:$D$3032,MATCH($A162&amp;Keys!$C$54&amp;Keys!$C$55&amp;Keys!$C$54&amp;$C162,Balanced_2025!$E$9:$E$3032,0)))</f>
        <v>571343000000</v>
      </c>
      <c r="H162" s="10">
        <f>IF($E162=Keys!$C$60,Keys!$C$51,INDEX(Balanced_2025!$D$9:$D$3032,MATCH($A162&amp;Keys!$C$54&amp;Keys!$C$56&amp;Keys!$C$54&amp;$C162,Balanced_2025!$E$9:$E$3032,0)))</f>
        <v>1821260000000</v>
      </c>
      <c r="I162" s="10">
        <f>IF($E162=Keys!$C$60,Keys!$C$51,INDEX(Balanced_2025!$D$9:$D$3032,MATCH($A162&amp;Keys!$C$54&amp;Keys!$C$57&amp;Keys!$C$54&amp;$C162,Balanced_2025!$E$9:$E$3032,0)))</f>
        <v>0</v>
      </c>
      <c r="J162" s="10">
        <f t="shared" si="8"/>
        <v>2392603000000</v>
      </c>
      <c r="K162" s="10">
        <f>MAX(Keys!$C$51,$I162-$H162)</f>
        <v>0</v>
      </c>
      <c r="L162" s="10">
        <f t="shared" si="9"/>
        <v>2392603000000</v>
      </c>
      <c r="M162" s="11">
        <f>IF($L162&gt;Keys!$C$51,MIN(Keys!$C$52,$K162/$L162),Keys!$C$51)</f>
        <v>0</v>
      </c>
      <c r="N162" s="11">
        <f>IF($E162=Keys!$C$60,Keys!$C$51,IF($E162=Keys!$C$59,$D162,$M162))</f>
        <v>0</v>
      </c>
      <c r="O162">
        <f t="shared" si="10"/>
        <v>1</v>
      </c>
      <c r="P162" s="10">
        <f>IF($E162=Keys!$C$60,Keys!$C$51,INDEX(Raw_BFPIaE!$G$9:$G$3032,MATCH($A162&amp;Keys!$C$54&amp;Keys!$C$55&amp;Keys!$C$54&amp;$B162,Raw_BFPIaE!$H$9:$H$3032,0)))</f>
        <v>607121000000</v>
      </c>
      <c r="Q162" s="10">
        <f>IF($E162=Keys!$C$60,Keys!$C$51,INDEX(Raw_BFPIaE!$G$9:$G$3032,MATCH($A162&amp;Keys!$C$54&amp;Keys!$C$56&amp;Keys!$C$54&amp;$B162,Raw_BFPIaE!$H$9:$H$3032,0)))</f>
        <v>1143103333333.3333</v>
      </c>
      <c r="R162" s="10">
        <f>IF($E162=Keys!$C$60,Keys!$C$51,INDEX(Raw_BFPIaE!$G$9:$G$3032,MATCH($A162&amp;Keys!$C$54&amp;Keys!$C$57&amp;Keys!$C$54&amp;$B162,Raw_BFPIaE!$H$9:$H$3032,0)))</f>
        <v>0</v>
      </c>
      <c r="S162" s="11">
        <f>IF(($P162+$Q162-$R162+MAX(Keys!$C$51,$R162-$Q162))&gt;Keys!$C$51,MIN(Keys!$C$52,MAX(Keys!$C$51,$R162-$Q162)/($P162+$Q162-$R162+MAX(Keys!$C$51,$R162-$Q162))),Keys!$C$51)</f>
        <v>0</v>
      </c>
      <c r="T162">
        <f>IF(AND($I162&gt;$H162,ABS($L162-$G162)&gt;MAX(Keys!$C$62,ABS($G162)*Keys!$C$63)),1,0)</f>
        <v>0</v>
      </c>
      <c r="U162">
        <f>IF(OR($N162&lt;Keys!$C$51,$N162&gt;Keys!$C$52),1,0)</f>
        <v>0</v>
      </c>
      <c r="V162">
        <f>IF(AND($E162=Keys!$C$60,$N162&lt;&gt;Keys!$C$51),1,0)</f>
        <v>0</v>
      </c>
      <c r="W162">
        <f>IF($L162&gt;Keys!$C$51,IF($K162/$L162&gt;Keys!$C$52,1,0),0)</f>
        <v>0</v>
      </c>
      <c r="X162" s="11">
        <f t="shared" si="11"/>
        <v>0</v>
      </c>
    </row>
    <row r="163" spans="1:24" x14ac:dyDescent="0.25">
      <c r="A163" t="s">
        <v>81</v>
      </c>
      <c r="B163" t="s">
        <v>97</v>
      </c>
      <c r="C163" t="str">
        <f>VLOOKUP($B163,Keys!$F$2:$I$22,2,FALSE)</f>
        <v>jet fuel or kerosene</v>
      </c>
      <c r="D163">
        <f>VLOOKUP($B163,Keys!$F$2:$I$22,3,FALSE)</f>
        <v>0.10155994</v>
      </c>
      <c r="E163" t="str">
        <f>VLOOKUP($B163,Keys!$F$2:$I$22,4,FALSE)</f>
        <v>rule</v>
      </c>
      <c r="F163" t="str">
        <f>$A163&amp;Keys!$C$54&amp;$B163</f>
        <v>FL|jet fuel or kerosene</v>
      </c>
      <c r="G163" s="10">
        <f>IF($E163=Keys!$C$60,Keys!$C$51,INDEX(Balanced_2025!$D$9:$D$3032,MATCH($A163&amp;Keys!$C$54&amp;Keys!$C$55&amp;Keys!$C$54&amp;$C163,Balanced_2025!$E$9:$E$3032,0)))</f>
        <v>0</v>
      </c>
      <c r="H163" s="10">
        <f>IF($E163=Keys!$C$60,Keys!$C$51,INDEX(Balanced_2025!$D$9:$D$3032,MATCH($A163&amp;Keys!$C$54&amp;Keys!$C$56&amp;Keys!$C$54&amp;$C163,Balanced_2025!$E$9:$E$3032,0)))</f>
        <v>343802000000000</v>
      </c>
      <c r="I163" s="10">
        <f>IF($E163=Keys!$C$60,Keys!$C$51,INDEX(Balanced_2025!$D$9:$D$3032,MATCH($A163&amp;Keys!$C$54&amp;Keys!$C$57&amp;Keys!$C$54&amp;$C163,Balanced_2025!$E$9:$E$3032,0)))</f>
        <v>0</v>
      </c>
      <c r="J163" s="10">
        <f t="shared" si="8"/>
        <v>343802000000000</v>
      </c>
      <c r="K163" s="10">
        <f>MAX(Keys!$C$51,$I163-$H163)</f>
        <v>0</v>
      </c>
      <c r="L163" s="10">
        <f t="shared" si="9"/>
        <v>343802000000000</v>
      </c>
      <c r="M163" s="11">
        <f>IF($L163&gt;Keys!$C$51,MIN(Keys!$C$52,$K163/$L163),Keys!$C$51)</f>
        <v>0</v>
      </c>
      <c r="N163" s="11">
        <f>IF($E163=Keys!$C$60,Keys!$C$51,IF($E163=Keys!$C$59,$D163,$M163))</f>
        <v>0</v>
      </c>
      <c r="O163">
        <f t="shared" si="10"/>
        <v>1</v>
      </c>
      <c r="P163" s="10">
        <f>IF($E163=Keys!$C$60,Keys!$C$51,INDEX(Raw_BFPIaE!$G$9:$G$3032,MATCH($A163&amp;Keys!$C$54&amp;Keys!$C$55&amp;Keys!$C$54&amp;$B163,Raw_BFPIaE!$H$9:$H$3032,0)))</f>
        <v>0</v>
      </c>
      <c r="Q163" s="10">
        <f>IF($E163=Keys!$C$60,Keys!$C$51,INDEX(Raw_BFPIaE!$G$9:$G$3032,MATCH($A163&amp;Keys!$C$54&amp;Keys!$C$56&amp;Keys!$C$54&amp;$B163,Raw_BFPIaE!$H$9:$H$3032,0)))</f>
        <v>233990333333333.34</v>
      </c>
      <c r="R163" s="10">
        <f>IF($E163=Keys!$C$60,Keys!$C$51,INDEX(Raw_BFPIaE!$G$9:$G$3032,MATCH($A163&amp;Keys!$C$54&amp;Keys!$C$57&amp;Keys!$C$54&amp;$B163,Raw_BFPIaE!$H$9:$H$3032,0)))</f>
        <v>0</v>
      </c>
      <c r="S163" s="11">
        <f>IF(($P163+$Q163-$R163+MAX(Keys!$C$51,$R163-$Q163))&gt;Keys!$C$51,MIN(Keys!$C$52,MAX(Keys!$C$51,$R163-$Q163)/($P163+$Q163-$R163+MAX(Keys!$C$51,$R163-$Q163))),Keys!$C$51)</f>
        <v>0</v>
      </c>
      <c r="T163">
        <f>IF(AND($I163&gt;$H163,ABS($L163-$G163)&gt;MAX(Keys!$C$62,ABS($G163)*Keys!$C$63)),1,0)</f>
        <v>0</v>
      </c>
      <c r="U163">
        <f>IF(OR($N163&lt;Keys!$C$51,$N163&gt;Keys!$C$52),1,0)</f>
        <v>0</v>
      </c>
      <c r="V163">
        <f>IF(AND($E163=Keys!$C$60,$N163&lt;&gt;Keys!$C$51),1,0)</f>
        <v>0</v>
      </c>
      <c r="W163">
        <f>IF($L163&gt;Keys!$C$51,IF($K163/$L163&gt;Keys!$C$52,1,0),0)</f>
        <v>0</v>
      </c>
      <c r="X163" s="11">
        <f t="shared" si="11"/>
        <v>0</v>
      </c>
    </row>
    <row r="164" spans="1:24" x14ac:dyDescent="0.25">
      <c r="A164" t="s">
        <v>81</v>
      </c>
      <c r="B164" t="s">
        <v>100</v>
      </c>
      <c r="C164">
        <f>VLOOKUP($B164,Keys!$F$2:$I$22,2,FALSE)</f>
        <v>0</v>
      </c>
      <c r="D164">
        <f>VLOOKUP($B164,Keys!$F$2:$I$22,3,FALSE)</f>
        <v>0</v>
      </c>
      <c r="E164" t="str">
        <f>VLOOKUP($B164,Keys!$F$2:$I$22,4,FALSE)</f>
        <v>zero</v>
      </c>
      <c r="F164" t="str">
        <f>$A164&amp;Keys!$C$54&amp;$B164</f>
        <v>FL|heat (not used in this variable)</v>
      </c>
      <c r="G164" s="10">
        <f>IF($E164=Keys!$C$60,Keys!$C$51,INDEX(Balanced_2025!$D$9:$D$3032,MATCH($A164&amp;Keys!$C$54&amp;Keys!$C$55&amp;Keys!$C$54&amp;$C164,Balanced_2025!$E$9:$E$3032,0)))</f>
        <v>0</v>
      </c>
      <c r="H164" s="10">
        <f>IF($E164=Keys!$C$60,Keys!$C$51,INDEX(Balanced_2025!$D$9:$D$3032,MATCH($A164&amp;Keys!$C$54&amp;Keys!$C$56&amp;Keys!$C$54&amp;$C164,Balanced_2025!$E$9:$E$3032,0)))</f>
        <v>0</v>
      </c>
      <c r="I164" s="10">
        <f>IF($E164=Keys!$C$60,Keys!$C$51,INDEX(Balanced_2025!$D$9:$D$3032,MATCH($A164&amp;Keys!$C$54&amp;Keys!$C$57&amp;Keys!$C$54&amp;$C164,Balanced_2025!$E$9:$E$3032,0)))</f>
        <v>0</v>
      </c>
      <c r="J164" s="10">
        <f t="shared" si="8"/>
        <v>0</v>
      </c>
      <c r="K164" s="10">
        <f>MAX(Keys!$C$51,$I164-$H164)</f>
        <v>0</v>
      </c>
      <c r="L164" s="10">
        <f t="shared" si="9"/>
        <v>0</v>
      </c>
      <c r="M164" s="11">
        <f>IF($L164&gt;Keys!$C$51,MIN(Keys!$C$52,$K164/$L164),Keys!$C$51)</f>
        <v>0</v>
      </c>
      <c r="N164" s="11">
        <f>IF($E164=Keys!$C$60,Keys!$C$51,IF($E164=Keys!$C$59,$D164,$M164))</f>
        <v>0</v>
      </c>
      <c r="O164">
        <f t="shared" si="10"/>
        <v>0</v>
      </c>
      <c r="P164" s="10">
        <f>IF($E164=Keys!$C$60,Keys!$C$51,INDEX(Raw_BFPIaE!$G$9:$G$3032,MATCH($A164&amp;Keys!$C$54&amp;Keys!$C$55&amp;Keys!$C$54&amp;$B164,Raw_BFPIaE!$H$9:$H$3032,0)))</f>
        <v>0</v>
      </c>
      <c r="Q164" s="10">
        <f>IF($E164=Keys!$C$60,Keys!$C$51,INDEX(Raw_BFPIaE!$G$9:$G$3032,MATCH($A164&amp;Keys!$C$54&amp;Keys!$C$56&amp;Keys!$C$54&amp;$B164,Raw_BFPIaE!$H$9:$H$3032,0)))</f>
        <v>0</v>
      </c>
      <c r="R164" s="10">
        <f>IF($E164=Keys!$C$60,Keys!$C$51,INDEX(Raw_BFPIaE!$G$9:$G$3032,MATCH($A164&amp;Keys!$C$54&amp;Keys!$C$57&amp;Keys!$C$54&amp;$B164,Raw_BFPIaE!$H$9:$H$3032,0)))</f>
        <v>0</v>
      </c>
      <c r="S164" s="11">
        <f>IF(($P164+$Q164-$R164+MAX(Keys!$C$51,$R164-$Q164))&gt;Keys!$C$51,MIN(Keys!$C$52,MAX(Keys!$C$51,$R164-$Q164)/($P164+$Q164-$R164+MAX(Keys!$C$51,$R164-$Q164))),Keys!$C$51)</f>
        <v>0</v>
      </c>
      <c r="T164">
        <f>IF(AND($I164&gt;$H164,ABS($L164-$G164)&gt;MAX(Keys!$C$62,ABS($G164)*Keys!$C$63)),1,0)</f>
        <v>0</v>
      </c>
      <c r="U164">
        <f>IF(OR($N164&lt;Keys!$C$51,$N164&gt;Keys!$C$52),1,0)</f>
        <v>0</v>
      </c>
      <c r="V164">
        <f>IF(AND($E164=Keys!$C$60,$N164&lt;&gt;Keys!$C$51),1,0)</f>
        <v>0</v>
      </c>
      <c r="W164">
        <f>IF($L164&gt;Keys!$C$51,IF($K164/$L164&gt;Keys!$C$52,1,0),0)</f>
        <v>0</v>
      </c>
      <c r="X164" s="11">
        <f t="shared" si="11"/>
        <v>0</v>
      </c>
    </row>
    <row r="165" spans="1:24" x14ac:dyDescent="0.25">
      <c r="A165" t="s">
        <v>81</v>
      </c>
      <c r="B165" t="s">
        <v>103</v>
      </c>
      <c r="C165">
        <f>VLOOKUP($B165,Keys!$F$2:$I$22,2,FALSE)</f>
        <v>0</v>
      </c>
      <c r="D165">
        <f>VLOOKUP($B165,Keys!$F$2:$I$22,3,FALSE)</f>
        <v>0</v>
      </c>
      <c r="E165" t="str">
        <f>VLOOKUP($B165,Keys!$F$2:$I$22,4,FALSE)</f>
        <v>zero</v>
      </c>
      <c r="F165" t="str">
        <f>$A165&amp;Keys!$C$54&amp;$B165</f>
        <v>FL|geothermal (is not a fuel)</v>
      </c>
      <c r="G165" s="10">
        <f>IF($E165=Keys!$C$60,Keys!$C$51,INDEX(Balanced_2025!$D$9:$D$3032,MATCH($A165&amp;Keys!$C$54&amp;Keys!$C$55&amp;Keys!$C$54&amp;$C165,Balanced_2025!$E$9:$E$3032,0)))</f>
        <v>0</v>
      </c>
      <c r="H165" s="10">
        <f>IF($E165=Keys!$C$60,Keys!$C$51,INDEX(Balanced_2025!$D$9:$D$3032,MATCH($A165&amp;Keys!$C$54&amp;Keys!$C$56&amp;Keys!$C$54&amp;$C165,Balanced_2025!$E$9:$E$3032,0)))</f>
        <v>0</v>
      </c>
      <c r="I165" s="10">
        <f>IF($E165=Keys!$C$60,Keys!$C$51,INDEX(Balanced_2025!$D$9:$D$3032,MATCH($A165&amp;Keys!$C$54&amp;Keys!$C$57&amp;Keys!$C$54&amp;$C165,Balanced_2025!$E$9:$E$3032,0)))</f>
        <v>0</v>
      </c>
      <c r="J165" s="10">
        <f t="shared" si="8"/>
        <v>0</v>
      </c>
      <c r="K165" s="10">
        <f>MAX(Keys!$C$51,$I165-$H165)</f>
        <v>0</v>
      </c>
      <c r="L165" s="10">
        <f t="shared" si="9"/>
        <v>0</v>
      </c>
      <c r="M165" s="11">
        <f>IF($L165&gt;Keys!$C$51,MIN(Keys!$C$52,$K165/$L165),Keys!$C$51)</f>
        <v>0</v>
      </c>
      <c r="N165" s="11">
        <f>IF($E165=Keys!$C$60,Keys!$C$51,IF($E165=Keys!$C$59,$D165,$M165))</f>
        <v>0</v>
      </c>
      <c r="O165">
        <f t="shared" si="10"/>
        <v>0</v>
      </c>
      <c r="P165" s="10">
        <f>IF($E165=Keys!$C$60,Keys!$C$51,INDEX(Raw_BFPIaE!$G$9:$G$3032,MATCH($A165&amp;Keys!$C$54&amp;Keys!$C$55&amp;Keys!$C$54&amp;$B165,Raw_BFPIaE!$H$9:$H$3032,0)))</f>
        <v>0</v>
      </c>
      <c r="Q165" s="10">
        <f>IF($E165=Keys!$C$60,Keys!$C$51,INDEX(Raw_BFPIaE!$G$9:$G$3032,MATCH($A165&amp;Keys!$C$54&amp;Keys!$C$56&amp;Keys!$C$54&amp;$B165,Raw_BFPIaE!$H$9:$H$3032,0)))</f>
        <v>0</v>
      </c>
      <c r="R165" s="10">
        <f>IF($E165=Keys!$C$60,Keys!$C$51,INDEX(Raw_BFPIaE!$G$9:$G$3032,MATCH($A165&amp;Keys!$C$54&amp;Keys!$C$57&amp;Keys!$C$54&amp;$B165,Raw_BFPIaE!$H$9:$H$3032,0)))</f>
        <v>0</v>
      </c>
      <c r="S165" s="11">
        <f>IF(($P165+$Q165-$R165+MAX(Keys!$C$51,$R165-$Q165))&gt;Keys!$C$51,MIN(Keys!$C$52,MAX(Keys!$C$51,$R165-$Q165)/($P165+$Q165-$R165+MAX(Keys!$C$51,$R165-$Q165))),Keys!$C$51)</f>
        <v>0</v>
      </c>
      <c r="T165">
        <f>IF(AND($I165&gt;$H165,ABS($L165-$G165)&gt;MAX(Keys!$C$62,ABS($G165)*Keys!$C$63)),1,0)</f>
        <v>0</v>
      </c>
      <c r="U165">
        <f>IF(OR($N165&lt;Keys!$C$51,$N165&gt;Keys!$C$52),1,0)</f>
        <v>0</v>
      </c>
      <c r="V165">
        <f>IF(AND($E165=Keys!$C$60,$N165&lt;&gt;Keys!$C$51),1,0)</f>
        <v>0</v>
      </c>
      <c r="W165">
        <f>IF($L165&gt;Keys!$C$51,IF($K165/$L165&gt;Keys!$C$52,1,0),0)</f>
        <v>0</v>
      </c>
      <c r="X165" s="11">
        <f t="shared" si="11"/>
        <v>0</v>
      </c>
    </row>
    <row r="166" spans="1:24" x14ac:dyDescent="0.25">
      <c r="A166" t="s">
        <v>81</v>
      </c>
      <c r="B166" t="s">
        <v>106</v>
      </c>
      <c r="C166" t="str">
        <f>VLOOKUP($B166,Keys!$F$2:$I$22,2,FALSE)</f>
        <v>lignite</v>
      </c>
      <c r="D166">
        <f>VLOOKUP($B166,Keys!$F$2:$I$22,3,FALSE)</f>
        <v>0</v>
      </c>
      <c r="E166" t="str">
        <f>VLOOKUP($B166,Keys!$F$2:$I$22,4,FALSE)</f>
        <v>rule</v>
      </c>
      <c r="F166" t="str">
        <f>$A166&amp;Keys!$C$54&amp;$B166</f>
        <v>FL|lignite</v>
      </c>
      <c r="G166" s="10">
        <f>IF($E166=Keys!$C$60,Keys!$C$51,INDEX(Balanced_2025!$D$9:$D$3032,MATCH($A166&amp;Keys!$C$54&amp;Keys!$C$55&amp;Keys!$C$54&amp;$C166,Balanced_2025!$E$9:$E$3032,0)))</f>
        <v>0</v>
      </c>
      <c r="H166" s="10">
        <f>IF($E166=Keys!$C$60,Keys!$C$51,INDEX(Balanced_2025!$D$9:$D$3032,MATCH($A166&amp;Keys!$C$54&amp;Keys!$C$56&amp;Keys!$C$54&amp;$C166,Balanced_2025!$E$9:$E$3032,0)))</f>
        <v>0</v>
      </c>
      <c r="I166" s="10">
        <f>IF($E166=Keys!$C$60,Keys!$C$51,INDEX(Balanced_2025!$D$9:$D$3032,MATCH($A166&amp;Keys!$C$54&amp;Keys!$C$57&amp;Keys!$C$54&amp;$C166,Balanced_2025!$E$9:$E$3032,0)))</f>
        <v>0</v>
      </c>
      <c r="J166" s="10">
        <f t="shared" si="8"/>
        <v>0</v>
      </c>
      <c r="K166" s="10">
        <f>MAX(Keys!$C$51,$I166-$H166)</f>
        <v>0</v>
      </c>
      <c r="L166" s="10">
        <f t="shared" si="9"/>
        <v>0</v>
      </c>
      <c r="M166" s="11">
        <f>IF($L166&gt;Keys!$C$51,MIN(Keys!$C$52,$K166/$L166),Keys!$C$51)</f>
        <v>0</v>
      </c>
      <c r="N166" s="11">
        <f>IF($E166=Keys!$C$60,Keys!$C$51,IF($E166=Keys!$C$59,$D166,$M166))</f>
        <v>0</v>
      </c>
      <c r="O166">
        <f t="shared" si="10"/>
        <v>0</v>
      </c>
      <c r="P166" s="10">
        <f>IF($E166=Keys!$C$60,Keys!$C$51,INDEX(Raw_BFPIaE!$G$9:$G$3032,MATCH($A166&amp;Keys!$C$54&amp;Keys!$C$55&amp;Keys!$C$54&amp;$B166,Raw_BFPIaE!$H$9:$H$3032,0)))</f>
        <v>0</v>
      </c>
      <c r="Q166" s="10">
        <f>IF($E166=Keys!$C$60,Keys!$C$51,INDEX(Raw_BFPIaE!$G$9:$G$3032,MATCH($A166&amp;Keys!$C$54&amp;Keys!$C$56&amp;Keys!$C$54&amp;$B166,Raw_BFPIaE!$H$9:$H$3032,0)))</f>
        <v>0</v>
      </c>
      <c r="R166" s="10">
        <f>IF($E166=Keys!$C$60,Keys!$C$51,INDEX(Raw_BFPIaE!$G$9:$G$3032,MATCH($A166&amp;Keys!$C$54&amp;Keys!$C$57&amp;Keys!$C$54&amp;$B166,Raw_BFPIaE!$H$9:$H$3032,0)))</f>
        <v>0</v>
      </c>
      <c r="S166" s="11">
        <f>IF(($P166+$Q166-$R166+MAX(Keys!$C$51,$R166-$Q166))&gt;Keys!$C$51,MIN(Keys!$C$52,MAX(Keys!$C$51,$R166-$Q166)/($P166+$Q166-$R166+MAX(Keys!$C$51,$R166-$Q166))),Keys!$C$51)</f>
        <v>0</v>
      </c>
      <c r="T166">
        <f>IF(AND($I166&gt;$H166,ABS($L166-$G166)&gt;MAX(Keys!$C$62,ABS($G166)*Keys!$C$63)),1,0)</f>
        <v>0</v>
      </c>
      <c r="U166">
        <f>IF(OR($N166&lt;Keys!$C$51,$N166&gt;Keys!$C$52),1,0)</f>
        <v>0</v>
      </c>
      <c r="V166">
        <f>IF(AND($E166=Keys!$C$60,$N166&lt;&gt;Keys!$C$51),1,0)</f>
        <v>0</v>
      </c>
      <c r="W166">
        <f>IF($L166&gt;Keys!$C$51,IF($K166/$L166&gt;Keys!$C$52,1,0),0)</f>
        <v>0</v>
      </c>
      <c r="X166" s="11">
        <f t="shared" si="11"/>
        <v>0</v>
      </c>
    </row>
    <row r="167" spans="1:24" x14ac:dyDescent="0.25">
      <c r="A167" t="s">
        <v>81</v>
      </c>
      <c r="B167" t="s">
        <v>109</v>
      </c>
      <c r="C167" t="str">
        <f>VLOOKUP($B167,Keys!$F$2:$I$22,2,FALSE)</f>
        <v>crude oil</v>
      </c>
      <c r="D167">
        <f>VLOOKUP($B167,Keys!$F$2:$I$22,3,FALSE)</f>
        <v>1</v>
      </c>
      <c r="E167" t="str">
        <f>VLOOKUP($B167,Keys!$F$2:$I$22,4,FALSE)</f>
        <v>hold</v>
      </c>
      <c r="F167" t="str">
        <f>$A167&amp;Keys!$C$54&amp;$B167</f>
        <v>FL|crude oil</v>
      </c>
      <c r="G167" s="10">
        <f>IF($E167=Keys!$C$60,Keys!$C$51,INDEX(Balanced_2025!$D$9:$D$3032,MATCH($A167&amp;Keys!$C$54&amp;Keys!$C$55&amp;Keys!$C$54&amp;$C167,Balanced_2025!$E$9:$E$3032,0)))</f>
        <v>5092400000000</v>
      </c>
      <c r="H167" s="10">
        <f>IF($E167=Keys!$C$60,Keys!$C$51,INDEX(Balanced_2025!$D$9:$D$3032,MATCH($A167&amp;Keys!$C$54&amp;Keys!$C$56&amp;Keys!$C$54&amp;$C167,Balanced_2025!$E$9:$E$3032,0)))</f>
        <v>0</v>
      </c>
      <c r="I167" s="10">
        <f>IF($E167=Keys!$C$60,Keys!$C$51,INDEX(Balanced_2025!$D$9:$D$3032,MATCH($A167&amp;Keys!$C$54&amp;Keys!$C$57&amp;Keys!$C$54&amp;$C167,Balanced_2025!$E$9:$E$3032,0)))</f>
        <v>2586400000000</v>
      </c>
      <c r="J167" s="10">
        <f t="shared" si="8"/>
        <v>2506000000000</v>
      </c>
      <c r="K167" s="10">
        <f>MAX(Keys!$C$51,$I167-$H167)</f>
        <v>2586400000000</v>
      </c>
      <c r="L167" s="10">
        <f t="shared" si="9"/>
        <v>5092400000000</v>
      </c>
      <c r="M167" s="11">
        <f>IF($L167&gt;Keys!$C$51,MIN(Keys!$C$52,$K167/$L167),Keys!$C$51)</f>
        <v>0.5078941167229597</v>
      </c>
      <c r="N167" s="11">
        <f>IF($E167=Keys!$C$60,Keys!$C$51,IF($E167=Keys!$C$59,$D167,$M167))</f>
        <v>1</v>
      </c>
      <c r="O167">
        <f t="shared" si="10"/>
        <v>0</v>
      </c>
      <c r="P167" s="10">
        <f>IF($E167=Keys!$C$60,Keys!$C$51,INDEX(Raw_BFPIaE!$G$9:$G$3032,MATCH($A167&amp;Keys!$C$54&amp;Keys!$C$55&amp;Keys!$C$54&amp;$B167,Raw_BFPIaE!$H$9:$H$3032,0)))</f>
        <v>4993253333333.333</v>
      </c>
      <c r="Q167" s="10">
        <f>IF($E167=Keys!$C$60,Keys!$C$51,INDEX(Raw_BFPIaE!$G$9:$G$3032,MATCH($A167&amp;Keys!$C$54&amp;Keys!$C$56&amp;Keys!$C$54&amp;$B167,Raw_BFPIaE!$H$9:$H$3032,0)))</f>
        <v>0</v>
      </c>
      <c r="R167" s="10">
        <f>IF($E167=Keys!$C$60,Keys!$C$51,INDEX(Raw_BFPIaE!$G$9:$G$3032,MATCH($A167&amp;Keys!$C$54&amp;Keys!$C$57&amp;Keys!$C$54&amp;$B167,Raw_BFPIaE!$H$9:$H$3032,0)))</f>
        <v>1625120000000</v>
      </c>
      <c r="S167" s="11">
        <f>IF(($P167+$Q167-$R167+MAX(Keys!$C$51,$R167-$Q167))&gt;Keys!$C$51,MIN(Keys!$C$52,MAX(Keys!$C$51,$R167-$Q167)/($P167+$Q167-$R167+MAX(Keys!$C$51,$R167-$Q167))),Keys!$C$51)</f>
        <v>0.32546315828825029</v>
      </c>
      <c r="T167">
        <f>IF(AND($I167&gt;$H167,ABS($L167-$G167)&gt;MAX(Keys!$C$62,ABS($G167)*Keys!$C$63)),1,0)</f>
        <v>0</v>
      </c>
      <c r="U167">
        <f>IF(OR($N167&lt;Keys!$C$51,$N167&gt;Keys!$C$52),1,0)</f>
        <v>0</v>
      </c>
      <c r="V167">
        <f>IF(AND($E167=Keys!$C$60,$N167&lt;&gt;Keys!$C$51),1,0)</f>
        <v>0</v>
      </c>
      <c r="W167">
        <f>IF($L167&gt;Keys!$C$51,IF($K167/$L167&gt;Keys!$C$52,1,0),0)</f>
        <v>0</v>
      </c>
      <c r="X167" s="11">
        <f t="shared" si="11"/>
        <v>0.18243095843470941</v>
      </c>
    </row>
    <row r="168" spans="1:24" x14ac:dyDescent="0.25">
      <c r="A168" t="s">
        <v>81</v>
      </c>
      <c r="B168" t="s">
        <v>113</v>
      </c>
      <c r="C168" t="str">
        <f>VLOOKUP($B168,Keys!$F$2:$I$22,2,FALSE)</f>
        <v>heavy or residual fuel oil</v>
      </c>
      <c r="D168">
        <f>VLOOKUP($B168,Keys!$F$2:$I$22,3,FALSE)</f>
        <v>0.49914171099999999</v>
      </c>
      <c r="E168" t="str">
        <f>VLOOKUP($B168,Keys!$F$2:$I$22,4,FALSE)</f>
        <v>rule</v>
      </c>
      <c r="F168" t="str">
        <f>$A168&amp;Keys!$C$54&amp;$B168</f>
        <v>FL|heavy fuel oil</v>
      </c>
      <c r="G168" s="10">
        <f>IF($E168=Keys!$C$60,Keys!$C$51,INDEX(Balanced_2025!$D$9:$D$3032,MATCH($A168&amp;Keys!$C$54&amp;Keys!$C$55&amp;Keys!$C$54&amp;$C168,Balanced_2025!$E$9:$E$3032,0)))</f>
        <v>0</v>
      </c>
      <c r="H168" s="10">
        <f>IF($E168=Keys!$C$60,Keys!$C$51,INDEX(Balanced_2025!$D$9:$D$3032,MATCH($A168&amp;Keys!$C$54&amp;Keys!$C$56&amp;Keys!$C$54&amp;$C168,Balanced_2025!$E$9:$E$3032,0)))</f>
        <v>100471000000000</v>
      </c>
      <c r="I168" s="10">
        <f>IF($E168=Keys!$C$60,Keys!$C$51,INDEX(Balanced_2025!$D$9:$D$3032,MATCH($A168&amp;Keys!$C$54&amp;Keys!$C$57&amp;Keys!$C$54&amp;$C168,Balanced_2025!$E$9:$E$3032,0)))</f>
        <v>0</v>
      </c>
      <c r="J168" s="10">
        <f t="shared" si="8"/>
        <v>100471000000000</v>
      </c>
      <c r="K168" s="10">
        <f>MAX(Keys!$C$51,$I168-$H168)</f>
        <v>0</v>
      </c>
      <c r="L168" s="10">
        <f t="shared" si="9"/>
        <v>100471000000000</v>
      </c>
      <c r="M168" s="11">
        <f>IF($L168&gt;Keys!$C$51,MIN(Keys!$C$52,$K168/$L168),Keys!$C$51)</f>
        <v>0</v>
      </c>
      <c r="N168" s="11">
        <f>IF($E168=Keys!$C$60,Keys!$C$51,IF($E168=Keys!$C$59,$D168,$M168))</f>
        <v>0</v>
      </c>
      <c r="O168">
        <f t="shared" si="10"/>
        <v>1</v>
      </c>
      <c r="P168" s="10">
        <f>IF($E168=Keys!$C$60,Keys!$C$51,INDEX(Raw_BFPIaE!$G$9:$G$3032,MATCH($A168&amp;Keys!$C$54&amp;Keys!$C$55&amp;Keys!$C$54&amp;$B168,Raw_BFPIaE!$H$9:$H$3032,0)))</f>
        <v>0</v>
      </c>
      <c r="Q168" s="10">
        <f>IF($E168=Keys!$C$60,Keys!$C$51,INDEX(Raw_BFPIaE!$G$9:$G$3032,MATCH($A168&amp;Keys!$C$54&amp;Keys!$C$56&amp;Keys!$C$54&amp;$B168,Raw_BFPIaE!$H$9:$H$3032,0)))</f>
        <v>68462666666666.664</v>
      </c>
      <c r="R168" s="10">
        <f>IF($E168=Keys!$C$60,Keys!$C$51,INDEX(Raw_BFPIaE!$G$9:$G$3032,MATCH($A168&amp;Keys!$C$54&amp;Keys!$C$57&amp;Keys!$C$54&amp;$B168,Raw_BFPIaE!$H$9:$H$3032,0)))</f>
        <v>0</v>
      </c>
      <c r="S168" s="11">
        <f>IF(($P168+$Q168-$R168+MAX(Keys!$C$51,$R168-$Q168))&gt;Keys!$C$51,MIN(Keys!$C$52,MAX(Keys!$C$51,$R168-$Q168)/($P168+$Q168-$R168+MAX(Keys!$C$51,$R168-$Q168))),Keys!$C$51)</f>
        <v>0</v>
      </c>
      <c r="T168">
        <f>IF(AND($I168&gt;$H168,ABS($L168-$G168)&gt;MAX(Keys!$C$62,ABS($G168)*Keys!$C$63)),1,0)</f>
        <v>0</v>
      </c>
      <c r="U168">
        <f>IF(OR($N168&lt;Keys!$C$51,$N168&gt;Keys!$C$52),1,0)</f>
        <v>0</v>
      </c>
      <c r="V168">
        <f>IF(AND($E168=Keys!$C$60,$N168&lt;&gt;Keys!$C$51),1,0)</f>
        <v>0</v>
      </c>
      <c r="W168">
        <f>IF($L168&gt;Keys!$C$51,IF($K168/$L168&gt;Keys!$C$52,1,0),0)</f>
        <v>0</v>
      </c>
      <c r="X168" s="11">
        <f t="shared" si="11"/>
        <v>0</v>
      </c>
    </row>
    <row r="169" spans="1:24" x14ac:dyDescent="0.25">
      <c r="A169" t="s">
        <v>81</v>
      </c>
      <c r="B169" t="s">
        <v>117</v>
      </c>
      <c r="C169" t="str">
        <f>VLOOKUP($B169,Keys!$F$2:$I$22,2,FALSE)</f>
        <v>LPG propane or butane</v>
      </c>
      <c r="D169">
        <f>VLOOKUP($B169,Keys!$F$2:$I$22,3,FALSE)</f>
        <v>0.54955999499999997</v>
      </c>
      <c r="E169" t="str">
        <f>VLOOKUP($B169,Keys!$F$2:$I$22,4,FALSE)</f>
        <v>rule</v>
      </c>
      <c r="F169" t="str">
        <f>$A169&amp;Keys!$C$54&amp;$B169</f>
        <v>FL|LPG propane or butane</v>
      </c>
      <c r="G169" s="10">
        <f>IF($E169=Keys!$C$60,Keys!$C$51,INDEX(Balanced_2025!$D$9:$D$3032,MATCH($A169&amp;Keys!$C$54&amp;Keys!$C$55&amp;Keys!$C$54&amp;$C169,Balanced_2025!$E$9:$E$3032,0)))</f>
        <v>33594800000</v>
      </c>
      <c r="H169" s="10">
        <f>IF($E169=Keys!$C$60,Keys!$C$51,INDEX(Balanced_2025!$D$9:$D$3032,MATCH($A169&amp;Keys!$C$54&amp;Keys!$C$56&amp;Keys!$C$54&amp;$C169,Balanced_2025!$E$9:$E$3032,0)))</f>
        <v>19270100000000</v>
      </c>
      <c r="I169" s="10">
        <f>IF($E169=Keys!$C$60,Keys!$C$51,INDEX(Balanced_2025!$D$9:$D$3032,MATCH($A169&amp;Keys!$C$54&amp;Keys!$C$57&amp;Keys!$C$54&amp;$C169,Balanced_2025!$E$9:$E$3032,0)))</f>
        <v>0</v>
      </c>
      <c r="J169" s="10">
        <f t="shared" si="8"/>
        <v>19303694800000</v>
      </c>
      <c r="K169" s="10">
        <f>MAX(Keys!$C$51,$I169-$H169)</f>
        <v>0</v>
      </c>
      <c r="L169" s="10">
        <f t="shared" si="9"/>
        <v>19303694800000</v>
      </c>
      <c r="M169" s="11">
        <f>IF($L169&gt;Keys!$C$51,MIN(Keys!$C$52,$K169/$L169),Keys!$C$51)</f>
        <v>0</v>
      </c>
      <c r="N169" s="11">
        <f>IF($E169=Keys!$C$60,Keys!$C$51,IF($E169=Keys!$C$59,$D169,$M169))</f>
        <v>0</v>
      </c>
      <c r="O169">
        <f t="shared" si="10"/>
        <v>1</v>
      </c>
      <c r="P169" s="10">
        <f>IF($E169=Keys!$C$60,Keys!$C$51,INDEX(Raw_BFPIaE!$G$9:$G$3032,MATCH($A169&amp;Keys!$C$54&amp;Keys!$C$55&amp;Keys!$C$54&amp;$B169,Raw_BFPIaE!$H$9:$H$3032,0)))</f>
        <v>33832566666.666668</v>
      </c>
      <c r="Q169" s="10">
        <f>IF($E169=Keys!$C$60,Keys!$C$51,INDEX(Raw_BFPIaE!$G$9:$G$3032,MATCH($A169&amp;Keys!$C$54&amp;Keys!$C$56&amp;Keys!$C$54&amp;$B169,Raw_BFPIaE!$H$9:$H$3032,0)))</f>
        <v>12786166666666.666</v>
      </c>
      <c r="R169" s="10">
        <f>IF($E169=Keys!$C$60,Keys!$C$51,INDEX(Raw_BFPIaE!$G$9:$G$3032,MATCH($A169&amp;Keys!$C$54&amp;Keys!$C$57&amp;Keys!$C$54&amp;$B169,Raw_BFPIaE!$H$9:$H$3032,0)))</f>
        <v>0</v>
      </c>
      <c r="S169" s="11">
        <f>IF(($P169+$Q169-$R169+MAX(Keys!$C$51,$R169-$Q169))&gt;Keys!$C$51,MIN(Keys!$C$52,MAX(Keys!$C$51,$R169-$Q169)/($P169+$Q169-$R169+MAX(Keys!$C$51,$R169-$Q169))),Keys!$C$51)</f>
        <v>0</v>
      </c>
      <c r="T169">
        <f>IF(AND($I169&gt;$H169,ABS($L169-$G169)&gt;MAX(Keys!$C$62,ABS($G169)*Keys!$C$63)),1,0)</f>
        <v>0</v>
      </c>
      <c r="U169">
        <f>IF(OR($N169&lt;Keys!$C$51,$N169&gt;Keys!$C$52),1,0)</f>
        <v>0</v>
      </c>
      <c r="V169">
        <f>IF(AND($E169=Keys!$C$60,$N169&lt;&gt;Keys!$C$51),1,0)</f>
        <v>0</v>
      </c>
      <c r="W169">
        <f>IF($L169&gt;Keys!$C$51,IF($K169/$L169&gt;Keys!$C$52,1,0),0)</f>
        <v>0</v>
      </c>
      <c r="X169" s="11">
        <f t="shared" si="11"/>
        <v>0</v>
      </c>
    </row>
    <row r="170" spans="1:24" x14ac:dyDescent="0.25">
      <c r="A170" t="s">
        <v>81</v>
      </c>
      <c r="B170" t="s">
        <v>120</v>
      </c>
      <c r="C170">
        <f>VLOOKUP($B170,Keys!$F$2:$I$22,2,FALSE)</f>
        <v>0</v>
      </c>
      <c r="D170">
        <f>VLOOKUP($B170,Keys!$F$2:$I$22,3,FALSE)</f>
        <v>0</v>
      </c>
      <c r="E170" t="str">
        <f>VLOOKUP($B170,Keys!$F$2:$I$22,4,FALSE)</f>
        <v>zero</v>
      </c>
      <c r="F170" t="str">
        <f>$A170&amp;Keys!$C$54&amp;$B170</f>
        <v>FL|municipal solid waste</v>
      </c>
      <c r="G170" s="10">
        <f>IF($E170=Keys!$C$60,Keys!$C$51,INDEX(Balanced_2025!$D$9:$D$3032,MATCH($A170&amp;Keys!$C$54&amp;Keys!$C$55&amp;Keys!$C$54&amp;$C170,Balanced_2025!$E$9:$E$3032,0)))</f>
        <v>0</v>
      </c>
      <c r="H170" s="10">
        <f>IF($E170=Keys!$C$60,Keys!$C$51,INDEX(Balanced_2025!$D$9:$D$3032,MATCH($A170&amp;Keys!$C$54&amp;Keys!$C$56&amp;Keys!$C$54&amp;$C170,Balanced_2025!$E$9:$E$3032,0)))</f>
        <v>0</v>
      </c>
      <c r="I170" s="10">
        <f>IF($E170=Keys!$C$60,Keys!$C$51,INDEX(Balanced_2025!$D$9:$D$3032,MATCH($A170&amp;Keys!$C$54&amp;Keys!$C$57&amp;Keys!$C$54&amp;$C170,Balanced_2025!$E$9:$E$3032,0)))</f>
        <v>0</v>
      </c>
      <c r="J170" s="10">
        <f t="shared" si="8"/>
        <v>0</v>
      </c>
      <c r="K170" s="10">
        <f>MAX(Keys!$C$51,$I170-$H170)</f>
        <v>0</v>
      </c>
      <c r="L170" s="10">
        <f t="shared" si="9"/>
        <v>0</v>
      </c>
      <c r="M170" s="11">
        <f>IF($L170&gt;Keys!$C$51,MIN(Keys!$C$52,$K170/$L170),Keys!$C$51)</f>
        <v>0</v>
      </c>
      <c r="N170" s="11">
        <f>IF($E170=Keys!$C$60,Keys!$C$51,IF($E170=Keys!$C$59,$D170,$M170))</f>
        <v>0</v>
      </c>
      <c r="O170">
        <f t="shared" si="10"/>
        <v>0</v>
      </c>
      <c r="P170" s="10">
        <f>IF($E170=Keys!$C$60,Keys!$C$51,INDEX(Raw_BFPIaE!$G$9:$G$3032,MATCH($A170&amp;Keys!$C$54&amp;Keys!$C$55&amp;Keys!$C$54&amp;$B170,Raw_BFPIaE!$H$9:$H$3032,0)))</f>
        <v>0</v>
      </c>
      <c r="Q170" s="10">
        <f>IF($E170=Keys!$C$60,Keys!$C$51,INDEX(Raw_BFPIaE!$G$9:$G$3032,MATCH($A170&amp;Keys!$C$54&amp;Keys!$C$56&amp;Keys!$C$54&amp;$B170,Raw_BFPIaE!$H$9:$H$3032,0)))</f>
        <v>0</v>
      </c>
      <c r="R170" s="10">
        <f>IF($E170=Keys!$C$60,Keys!$C$51,INDEX(Raw_BFPIaE!$G$9:$G$3032,MATCH($A170&amp;Keys!$C$54&amp;Keys!$C$57&amp;Keys!$C$54&amp;$B170,Raw_BFPIaE!$H$9:$H$3032,0)))</f>
        <v>0</v>
      </c>
      <c r="S170" s="11">
        <f>IF(($P170+$Q170-$R170+MAX(Keys!$C$51,$R170-$Q170))&gt;Keys!$C$51,MIN(Keys!$C$52,MAX(Keys!$C$51,$R170-$Q170)/($P170+$Q170-$R170+MAX(Keys!$C$51,$R170-$Q170))),Keys!$C$51)</f>
        <v>0</v>
      </c>
      <c r="T170">
        <f>IF(AND($I170&gt;$H170,ABS($L170-$G170)&gt;MAX(Keys!$C$62,ABS($G170)*Keys!$C$63)),1,0)</f>
        <v>0</v>
      </c>
      <c r="U170">
        <f>IF(OR($N170&lt;Keys!$C$51,$N170&gt;Keys!$C$52),1,0)</f>
        <v>0</v>
      </c>
      <c r="V170">
        <f>IF(AND($E170=Keys!$C$60,$N170&lt;&gt;Keys!$C$51),1,0)</f>
        <v>0</v>
      </c>
      <c r="W170">
        <f>IF($L170&gt;Keys!$C$51,IF($K170/$L170&gt;Keys!$C$52,1,0),0)</f>
        <v>0</v>
      </c>
      <c r="X170" s="11">
        <f t="shared" si="11"/>
        <v>0</v>
      </c>
    </row>
    <row r="171" spans="1:24" x14ac:dyDescent="0.25">
      <c r="A171" t="s">
        <v>81</v>
      </c>
      <c r="B171" t="s">
        <v>123</v>
      </c>
      <c r="C171">
        <f>VLOOKUP($B171,Keys!$F$2:$I$22,2,FALSE)</f>
        <v>0</v>
      </c>
      <c r="D171">
        <f>VLOOKUP($B171,Keys!$F$2:$I$22,3,FALSE)</f>
        <v>0</v>
      </c>
      <c r="E171" t="str">
        <f>VLOOKUP($B171,Keys!$F$2:$I$22,4,FALSE)</f>
        <v>zero</v>
      </c>
      <c r="F171" t="str">
        <f>$A171&amp;Keys!$C$54&amp;$B171</f>
        <v>FL|hydrogen</v>
      </c>
      <c r="G171" s="10">
        <f>IF($E171=Keys!$C$60,Keys!$C$51,INDEX(Balanced_2025!$D$9:$D$3032,MATCH($A171&amp;Keys!$C$54&amp;Keys!$C$55&amp;Keys!$C$54&amp;$C171,Balanced_2025!$E$9:$E$3032,0)))</f>
        <v>0</v>
      </c>
      <c r="H171" s="10">
        <f>IF($E171=Keys!$C$60,Keys!$C$51,INDEX(Balanced_2025!$D$9:$D$3032,MATCH($A171&amp;Keys!$C$54&amp;Keys!$C$56&amp;Keys!$C$54&amp;$C171,Balanced_2025!$E$9:$E$3032,0)))</f>
        <v>0</v>
      </c>
      <c r="I171" s="10">
        <f>IF($E171=Keys!$C$60,Keys!$C$51,INDEX(Balanced_2025!$D$9:$D$3032,MATCH($A171&amp;Keys!$C$54&amp;Keys!$C$57&amp;Keys!$C$54&amp;$C171,Balanced_2025!$E$9:$E$3032,0)))</f>
        <v>0</v>
      </c>
      <c r="J171" s="10">
        <f t="shared" si="8"/>
        <v>0</v>
      </c>
      <c r="K171" s="10">
        <f>MAX(Keys!$C$51,$I171-$H171)</f>
        <v>0</v>
      </c>
      <c r="L171" s="10">
        <f t="shared" si="9"/>
        <v>0</v>
      </c>
      <c r="M171" s="11">
        <f>IF($L171&gt;Keys!$C$51,MIN(Keys!$C$52,$K171/$L171),Keys!$C$51)</f>
        <v>0</v>
      </c>
      <c r="N171" s="11">
        <f>IF($E171=Keys!$C$60,Keys!$C$51,IF($E171=Keys!$C$59,$D171,$M171))</f>
        <v>0</v>
      </c>
      <c r="O171">
        <f t="shared" si="10"/>
        <v>0</v>
      </c>
      <c r="P171" s="10">
        <f>IF($E171=Keys!$C$60,Keys!$C$51,INDEX(Raw_BFPIaE!$G$9:$G$3032,MATCH($A171&amp;Keys!$C$54&amp;Keys!$C$55&amp;Keys!$C$54&amp;$B171,Raw_BFPIaE!$H$9:$H$3032,0)))</f>
        <v>0</v>
      </c>
      <c r="Q171" s="10">
        <f>IF($E171=Keys!$C$60,Keys!$C$51,INDEX(Raw_BFPIaE!$G$9:$G$3032,MATCH($A171&amp;Keys!$C$54&amp;Keys!$C$56&amp;Keys!$C$54&amp;$B171,Raw_BFPIaE!$H$9:$H$3032,0)))</f>
        <v>0</v>
      </c>
      <c r="R171" s="10">
        <f>IF($E171=Keys!$C$60,Keys!$C$51,INDEX(Raw_BFPIaE!$G$9:$G$3032,MATCH($A171&amp;Keys!$C$54&amp;Keys!$C$57&amp;Keys!$C$54&amp;$B171,Raw_BFPIaE!$H$9:$H$3032,0)))</f>
        <v>0</v>
      </c>
      <c r="S171" s="11">
        <f>IF(($P171+$Q171-$R171+MAX(Keys!$C$51,$R171-$Q171))&gt;Keys!$C$51,MIN(Keys!$C$52,MAX(Keys!$C$51,$R171-$Q171)/($P171+$Q171-$R171+MAX(Keys!$C$51,$R171-$Q171))),Keys!$C$51)</f>
        <v>0</v>
      </c>
      <c r="T171">
        <f>IF(AND($I171&gt;$H171,ABS($L171-$G171)&gt;MAX(Keys!$C$62,ABS($G171)*Keys!$C$63)),1,0)</f>
        <v>0</v>
      </c>
      <c r="U171">
        <f>IF(OR($N171&lt;Keys!$C$51,$N171&gt;Keys!$C$52),1,0)</f>
        <v>0</v>
      </c>
      <c r="V171">
        <f>IF(AND($E171=Keys!$C$60,$N171&lt;&gt;Keys!$C$51),1,0)</f>
        <v>0</v>
      </c>
      <c r="W171">
        <f>IF($L171&gt;Keys!$C$51,IF($K171/$L171&gt;Keys!$C$52,1,0),0)</f>
        <v>0</v>
      </c>
      <c r="X171" s="11">
        <f t="shared" si="11"/>
        <v>0</v>
      </c>
    </row>
    <row r="172" spans="1:24" x14ac:dyDescent="0.25">
      <c r="A172" t="s">
        <v>84</v>
      </c>
      <c r="B172" t="s">
        <v>60</v>
      </c>
      <c r="C172">
        <f>VLOOKUP($B172,Keys!$F$2:$I$22,2,FALSE)</f>
        <v>0</v>
      </c>
      <c r="D172">
        <f>VLOOKUP($B172,Keys!$F$2:$I$22,3,FALSE)</f>
        <v>0</v>
      </c>
      <c r="E172" t="str">
        <f>VLOOKUP($B172,Keys!$F$2:$I$22,4,FALSE)</f>
        <v>zero</v>
      </c>
      <c r="F172" t="str">
        <f>$A172&amp;Keys!$C$54&amp;$B172</f>
        <v>GA|electricity (not used in this variable)</v>
      </c>
      <c r="G172" s="10">
        <f>IF($E172=Keys!$C$60,Keys!$C$51,INDEX(Balanced_2025!$D$9:$D$3032,MATCH($A172&amp;Keys!$C$54&amp;Keys!$C$55&amp;Keys!$C$54&amp;$C172,Balanced_2025!$E$9:$E$3032,0)))</f>
        <v>0</v>
      </c>
      <c r="H172" s="10">
        <f>IF($E172=Keys!$C$60,Keys!$C$51,INDEX(Balanced_2025!$D$9:$D$3032,MATCH($A172&amp;Keys!$C$54&amp;Keys!$C$56&amp;Keys!$C$54&amp;$C172,Balanced_2025!$E$9:$E$3032,0)))</f>
        <v>0</v>
      </c>
      <c r="I172" s="10">
        <f>IF($E172=Keys!$C$60,Keys!$C$51,INDEX(Balanced_2025!$D$9:$D$3032,MATCH($A172&amp;Keys!$C$54&amp;Keys!$C$57&amp;Keys!$C$54&amp;$C172,Balanced_2025!$E$9:$E$3032,0)))</f>
        <v>0</v>
      </c>
      <c r="J172" s="10">
        <f t="shared" si="8"/>
        <v>0</v>
      </c>
      <c r="K172" s="10">
        <f>MAX(Keys!$C$51,$I172-$H172)</f>
        <v>0</v>
      </c>
      <c r="L172" s="10">
        <f t="shared" si="9"/>
        <v>0</v>
      </c>
      <c r="M172" s="11">
        <f>IF($L172&gt;Keys!$C$51,MIN(Keys!$C$52,$K172/$L172),Keys!$C$51)</f>
        <v>0</v>
      </c>
      <c r="N172" s="11">
        <f>IF($E172=Keys!$C$60,Keys!$C$51,IF($E172=Keys!$C$59,$D172,$M172))</f>
        <v>0</v>
      </c>
      <c r="O172">
        <f t="shared" si="10"/>
        <v>0</v>
      </c>
      <c r="P172" s="10">
        <f>IF($E172=Keys!$C$60,Keys!$C$51,INDEX(Raw_BFPIaE!$G$9:$G$3032,MATCH($A172&amp;Keys!$C$54&amp;Keys!$C$55&amp;Keys!$C$54&amp;$B172,Raw_BFPIaE!$H$9:$H$3032,0)))</f>
        <v>0</v>
      </c>
      <c r="Q172" s="10">
        <f>IF($E172=Keys!$C$60,Keys!$C$51,INDEX(Raw_BFPIaE!$G$9:$G$3032,MATCH($A172&amp;Keys!$C$54&amp;Keys!$C$56&amp;Keys!$C$54&amp;$B172,Raw_BFPIaE!$H$9:$H$3032,0)))</f>
        <v>0</v>
      </c>
      <c r="R172" s="10">
        <f>IF($E172=Keys!$C$60,Keys!$C$51,INDEX(Raw_BFPIaE!$G$9:$G$3032,MATCH($A172&amp;Keys!$C$54&amp;Keys!$C$57&amp;Keys!$C$54&amp;$B172,Raw_BFPIaE!$H$9:$H$3032,0)))</f>
        <v>0</v>
      </c>
      <c r="S172" s="11">
        <f>IF(($P172+$Q172-$R172+MAX(Keys!$C$51,$R172-$Q172))&gt;Keys!$C$51,MIN(Keys!$C$52,MAX(Keys!$C$51,$R172-$Q172)/($P172+$Q172-$R172+MAX(Keys!$C$51,$R172-$Q172))),Keys!$C$51)</f>
        <v>0</v>
      </c>
      <c r="T172">
        <f>IF(AND($I172&gt;$H172,ABS($L172-$G172)&gt;MAX(Keys!$C$62,ABS($G172)*Keys!$C$63)),1,0)</f>
        <v>0</v>
      </c>
      <c r="U172">
        <f>IF(OR($N172&lt;Keys!$C$51,$N172&gt;Keys!$C$52),1,0)</f>
        <v>0</v>
      </c>
      <c r="V172">
        <f>IF(AND($E172=Keys!$C$60,$N172&lt;&gt;Keys!$C$51),1,0)</f>
        <v>0</v>
      </c>
      <c r="W172">
        <f>IF($L172&gt;Keys!$C$51,IF($K172/$L172&gt;Keys!$C$52,1,0),0)</f>
        <v>0</v>
      </c>
      <c r="X172" s="11">
        <f t="shared" si="11"/>
        <v>0</v>
      </c>
    </row>
    <row r="173" spans="1:24" x14ac:dyDescent="0.25">
      <c r="A173" t="s">
        <v>84</v>
      </c>
      <c r="B173" t="s">
        <v>64</v>
      </c>
      <c r="C173" t="str">
        <f>VLOOKUP($B173,Keys!$F$2:$I$22,2,FALSE)</f>
        <v>hard coal</v>
      </c>
      <c r="D173">
        <f>VLOOKUP($B173,Keys!$F$2:$I$22,3,FALSE)</f>
        <v>0.137539879</v>
      </c>
      <c r="E173" t="str">
        <f>VLOOKUP($B173,Keys!$F$2:$I$22,4,FALSE)</f>
        <v>rule</v>
      </c>
      <c r="F173" t="str">
        <f>$A173&amp;Keys!$C$54&amp;$B173</f>
        <v>GA|hard coal</v>
      </c>
      <c r="G173" s="10">
        <f>IF($E173=Keys!$C$60,Keys!$C$51,INDEX(Balanced_2025!$D$9:$D$3032,MATCH($A173&amp;Keys!$C$54&amp;Keys!$C$55&amp;Keys!$C$54&amp;$C173,Balanced_2025!$E$9:$E$3032,0)))</f>
        <v>0</v>
      </c>
      <c r="H173" s="10">
        <f>IF($E173=Keys!$C$60,Keys!$C$51,INDEX(Balanced_2025!$D$9:$D$3032,MATCH($A173&amp;Keys!$C$54&amp;Keys!$C$56&amp;Keys!$C$54&amp;$C173,Balanced_2025!$E$9:$E$3032,0)))</f>
        <v>283692000000000</v>
      </c>
      <c r="I173" s="10">
        <f>IF($E173=Keys!$C$60,Keys!$C$51,INDEX(Balanced_2025!$D$9:$D$3032,MATCH($A173&amp;Keys!$C$54&amp;Keys!$C$57&amp;Keys!$C$54&amp;$C173,Balanced_2025!$E$9:$E$3032,0)))</f>
        <v>0</v>
      </c>
      <c r="J173" s="10">
        <f t="shared" si="8"/>
        <v>283692000000000</v>
      </c>
      <c r="K173" s="10">
        <f>MAX(Keys!$C$51,$I173-$H173)</f>
        <v>0</v>
      </c>
      <c r="L173" s="10">
        <f t="shared" si="9"/>
        <v>283692000000000</v>
      </c>
      <c r="M173" s="11">
        <f>IF($L173&gt;Keys!$C$51,MIN(Keys!$C$52,$K173/$L173),Keys!$C$51)</f>
        <v>0</v>
      </c>
      <c r="N173" s="11">
        <f>IF($E173=Keys!$C$60,Keys!$C$51,IF($E173=Keys!$C$59,$D173,$M173))</f>
        <v>0</v>
      </c>
      <c r="O173">
        <f t="shared" si="10"/>
        <v>1</v>
      </c>
      <c r="P173" s="10">
        <f>IF($E173=Keys!$C$60,Keys!$C$51,INDEX(Raw_BFPIaE!$G$9:$G$3032,MATCH($A173&amp;Keys!$C$54&amp;Keys!$C$55&amp;Keys!$C$54&amp;$B173,Raw_BFPIaE!$H$9:$H$3032,0)))</f>
        <v>0</v>
      </c>
      <c r="Q173" s="10">
        <f>IF($E173=Keys!$C$60,Keys!$C$51,INDEX(Raw_BFPIaE!$G$9:$G$3032,MATCH($A173&amp;Keys!$C$54&amp;Keys!$C$56&amp;Keys!$C$54&amp;$B173,Raw_BFPIaE!$H$9:$H$3032,0)))</f>
        <v>213816333333333.34</v>
      </c>
      <c r="R173" s="10">
        <f>IF($E173=Keys!$C$60,Keys!$C$51,INDEX(Raw_BFPIaE!$G$9:$G$3032,MATCH($A173&amp;Keys!$C$54&amp;Keys!$C$57&amp;Keys!$C$54&amp;$B173,Raw_BFPIaE!$H$9:$H$3032,0)))</f>
        <v>0</v>
      </c>
      <c r="S173" s="11">
        <f>IF(($P173+$Q173-$R173+MAX(Keys!$C$51,$R173-$Q173))&gt;Keys!$C$51,MIN(Keys!$C$52,MAX(Keys!$C$51,$R173-$Q173)/($P173+$Q173-$R173+MAX(Keys!$C$51,$R173-$Q173))),Keys!$C$51)</f>
        <v>0</v>
      </c>
      <c r="T173">
        <f>IF(AND($I173&gt;$H173,ABS($L173-$G173)&gt;MAX(Keys!$C$62,ABS($G173)*Keys!$C$63)),1,0)</f>
        <v>0</v>
      </c>
      <c r="U173">
        <f>IF(OR($N173&lt;Keys!$C$51,$N173&gt;Keys!$C$52),1,0)</f>
        <v>0</v>
      </c>
      <c r="V173">
        <f>IF(AND($E173=Keys!$C$60,$N173&lt;&gt;Keys!$C$51),1,0)</f>
        <v>0</v>
      </c>
      <c r="W173">
        <f>IF($L173&gt;Keys!$C$51,IF($K173/$L173&gt;Keys!$C$52,1,0),0)</f>
        <v>0</v>
      </c>
      <c r="X173" s="11">
        <f t="shared" si="11"/>
        <v>0</v>
      </c>
    </row>
    <row r="174" spans="1:24" x14ac:dyDescent="0.25">
      <c r="A174" t="s">
        <v>84</v>
      </c>
      <c r="B174" t="s">
        <v>68</v>
      </c>
      <c r="C174" t="str">
        <f>VLOOKUP($B174,Keys!$F$2:$I$22,2,FALSE)</f>
        <v>natural gas</v>
      </c>
      <c r="D174">
        <f>VLOOKUP($B174,Keys!$F$2:$I$22,3,FALSE)</f>
        <v>0.190839183</v>
      </c>
      <c r="E174" t="str">
        <f>VLOOKUP($B174,Keys!$F$2:$I$22,4,FALSE)</f>
        <v>rule</v>
      </c>
      <c r="F174" t="str">
        <f>$A174&amp;Keys!$C$54&amp;$B174</f>
        <v>GA|natural gas</v>
      </c>
      <c r="G174" s="10">
        <f>IF($E174=Keys!$C$60,Keys!$C$51,INDEX(Balanced_2025!$D$9:$D$3032,MATCH($A174&amp;Keys!$C$54&amp;Keys!$C$55&amp;Keys!$C$54&amp;$C174,Balanced_2025!$E$9:$E$3032,0)))</f>
        <v>0</v>
      </c>
      <c r="H174" s="10">
        <f>IF($E174=Keys!$C$60,Keys!$C$51,INDEX(Balanced_2025!$D$9:$D$3032,MATCH($A174&amp;Keys!$C$54&amp;Keys!$C$56&amp;Keys!$C$54&amp;$C174,Balanced_2025!$E$9:$E$3032,0)))</f>
        <v>1847560000000000</v>
      </c>
      <c r="I174" s="10">
        <f>IF($E174=Keys!$C$60,Keys!$C$51,INDEX(Balanced_2025!$D$9:$D$3032,MATCH($A174&amp;Keys!$C$54&amp;Keys!$C$57&amp;Keys!$C$54&amp;$C174,Balanced_2025!$E$9:$E$3032,0)))</f>
        <v>1141260000000000</v>
      </c>
      <c r="J174" s="10">
        <f t="shared" si="8"/>
        <v>706300000000000</v>
      </c>
      <c r="K174" s="10">
        <f>MAX(Keys!$C$51,$I174-$H174)</f>
        <v>0</v>
      </c>
      <c r="L174" s="10">
        <f t="shared" si="9"/>
        <v>706300000000000</v>
      </c>
      <c r="M174" s="11">
        <f>IF($L174&gt;Keys!$C$51,MIN(Keys!$C$52,$K174/$L174),Keys!$C$51)</f>
        <v>0</v>
      </c>
      <c r="N174" s="11">
        <f>IF($E174=Keys!$C$60,Keys!$C$51,IF($E174=Keys!$C$59,$D174,$M174))</f>
        <v>0</v>
      </c>
      <c r="O174">
        <f t="shared" si="10"/>
        <v>1</v>
      </c>
      <c r="P174" s="10">
        <f>IF($E174=Keys!$C$60,Keys!$C$51,INDEX(Raw_BFPIaE!$G$9:$G$3032,MATCH($A174&amp;Keys!$C$54&amp;Keys!$C$55&amp;Keys!$C$54&amp;$B174,Raw_BFPIaE!$H$9:$H$3032,0)))</f>
        <v>0</v>
      </c>
      <c r="Q174" s="10">
        <f>IF($E174=Keys!$C$60,Keys!$C$51,INDEX(Raw_BFPIaE!$G$9:$G$3032,MATCH($A174&amp;Keys!$C$54&amp;Keys!$C$56&amp;Keys!$C$54&amp;$B174,Raw_BFPIaE!$H$9:$H$3032,0)))</f>
        <v>1895906666666666.8</v>
      </c>
      <c r="R174" s="10">
        <f>IF($E174=Keys!$C$60,Keys!$C$51,INDEX(Raw_BFPIaE!$G$9:$G$3032,MATCH($A174&amp;Keys!$C$54&amp;Keys!$C$57&amp;Keys!$C$54&amp;$B174,Raw_BFPIaE!$H$9:$H$3032,0)))</f>
        <v>1142443333333333.3</v>
      </c>
      <c r="S174" s="11">
        <f>IF(($P174+$Q174-$R174+MAX(Keys!$C$51,$R174-$Q174))&gt;Keys!$C$51,MIN(Keys!$C$52,MAX(Keys!$C$51,$R174-$Q174)/($P174+$Q174-$R174+MAX(Keys!$C$51,$R174-$Q174))),Keys!$C$51)</f>
        <v>0</v>
      </c>
      <c r="T174">
        <f>IF(AND($I174&gt;$H174,ABS($L174-$G174)&gt;MAX(Keys!$C$62,ABS($G174)*Keys!$C$63)),1,0)</f>
        <v>0</v>
      </c>
      <c r="U174">
        <f>IF(OR($N174&lt;Keys!$C$51,$N174&gt;Keys!$C$52),1,0)</f>
        <v>0</v>
      </c>
      <c r="V174">
        <f>IF(AND($E174=Keys!$C$60,$N174&lt;&gt;Keys!$C$51),1,0)</f>
        <v>0</v>
      </c>
      <c r="W174">
        <f>IF($L174&gt;Keys!$C$51,IF($K174/$L174&gt;Keys!$C$52,1,0),0)</f>
        <v>0</v>
      </c>
      <c r="X174" s="11">
        <f t="shared" si="11"/>
        <v>0</v>
      </c>
    </row>
    <row r="175" spans="1:24" x14ac:dyDescent="0.25">
      <c r="A175" t="s">
        <v>84</v>
      </c>
      <c r="B175" t="s">
        <v>71</v>
      </c>
      <c r="C175">
        <f>VLOOKUP($B175,Keys!$F$2:$I$22,2,FALSE)</f>
        <v>0</v>
      </c>
      <c r="D175">
        <f>VLOOKUP($B175,Keys!$F$2:$I$22,3,FALSE)</f>
        <v>0</v>
      </c>
      <c r="E175" t="str">
        <f>VLOOKUP($B175,Keys!$F$2:$I$22,4,FALSE)</f>
        <v>zero</v>
      </c>
      <c r="F175" t="str">
        <f>$A175&amp;Keys!$C$54&amp;$B175</f>
        <v>GA|nuclear</v>
      </c>
      <c r="G175" s="10">
        <f>IF($E175=Keys!$C$60,Keys!$C$51,INDEX(Balanced_2025!$D$9:$D$3032,MATCH($A175&amp;Keys!$C$54&amp;Keys!$C$55&amp;Keys!$C$54&amp;$C175,Balanced_2025!$E$9:$E$3032,0)))</f>
        <v>0</v>
      </c>
      <c r="H175" s="10">
        <f>IF($E175=Keys!$C$60,Keys!$C$51,INDEX(Balanced_2025!$D$9:$D$3032,MATCH($A175&amp;Keys!$C$54&amp;Keys!$C$56&amp;Keys!$C$54&amp;$C175,Balanced_2025!$E$9:$E$3032,0)))</f>
        <v>0</v>
      </c>
      <c r="I175" s="10">
        <f>IF($E175=Keys!$C$60,Keys!$C$51,INDEX(Balanced_2025!$D$9:$D$3032,MATCH($A175&amp;Keys!$C$54&amp;Keys!$C$57&amp;Keys!$C$54&amp;$C175,Balanced_2025!$E$9:$E$3032,0)))</f>
        <v>0</v>
      </c>
      <c r="J175" s="10">
        <f t="shared" si="8"/>
        <v>0</v>
      </c>
      <c r="K175" s="10">
        <f>MAX(Keys!$C$51,$I175-$H175)</f>
        <v>0</v>
      </c>
      <c r="L175" s="10">
        <f t="shared" si="9"/>
        <v>0</v>
      </c>
      <c r="M175" s="11">
        <f>IF($L175&gt;Keys!$C$51,MIN(Keys!$C$52,$K175/$L175),Keys!$C$51)</f>
        <v>0</v>
      </c>
      <c r="N175" s="11">
        <f>IF($E175=Keys!$C$60,Keys!$C$51,IF($E175=Keys!$C$59,$D175,$M175))</f>
        <v>0</v>
      </c>
      <c r="O175">
        <f t="shared" si="10"/>
        <v>0</v>
      </c>
      <c r="P175" s="10">
        <f>IF($E175=Keys!$C$60,Keys!$C$51,INDEX(Raw_BFPIaE!$G$9:$G$3032,MATCH($A175&amp;Keys!$C$54&amp;Keys!$C$55&amp;Keys!$C$54&amp;$B175,Raw_BFPIaE!$H$9:$H$3032,0)))</f>
        <v>0</v>
      </c>
      <c r="Q175" s="10">
        <f>IF($E175=Keys!$C$60,Keys!$C$51,INDEX(Raw_BFPIaE!$G$9:$G$3032,MATCH($A175&amp;Keys!$C$54&amp;Keys!$C$56&amp;Keys!$C$54&amp;$B175,Raw_BFPIaE!$H$9:$H$3032,0)))</f>
        <v>0</v>
      </c>
      <c r="R175" s="10">
        <f>IF($E175=Keys!$C$60,Keys!$C$51,INDEX(Raw_BFPIaE!$G$9:$G$3032,MATCH($A175&amp;Keys!$C$54&amp;Keys!$C$57&amp;Keys!$C$54&amp;$B175,Raw_BFPIaE!$H$9:$H$3032,0)))</f>
        <v>0</v>
      </c>
      <c r="S175" s="11">
        <f>IF(($P175+$Q175-$R175+MAX(Keys!$C$51,$R175-$Q175))&gt;Keys!$C$51,MIN(Keys!$C$52,MAX(Keys!$C$51,$R175-$Q175)/($P175+$Q175-$R175+MAX(Keys!$C$51,$R175-$Q175))),Keys!$C$51)</f>
        <v>0</v>
      </c>
      <c r="T175">
        <f>IF(AND($I175&gt;$H175,ABS($L175-$G175)&gt;MAX(Keys!$C$62,ABS($G175)*Keys!$C$63)),1,0)</f>
        <v>0</v>
      </c>
      <c r="U175">
        <f>IF(OR($N175&lt;Keys!$C$51,$N175&gt;Keys!$C$52),1,0)</f>
        <v>0</v>
      </c>
      <c r="V175">
        <f>IF(AND($E175=Keys!$C$60,$N175&lt;&gt;Keys!$C$51),1,0)</f>
        <v>0</v>
      </c>
      <c r="W175">
        <f>IF($L175&gt;Keys!$C$51,IF($K175/$L175&gt;Keys!$C$52,1,0),0)</f>
        <v>0</v>
      </c>
      <c r="X175" s="11">
        <f t="shared" si="11"/>
        <v>0</v>
      </c>
    </row>
    <row r="176" spans="1:24" x14ac:dyDescent="0.25">
      <c r="A176" t="s">
        <v>84</v>
      </c>
      <c r="B176" t="s">
        <v>74</v>
      </c>
      <c r="C176">
        <f>VLOOKUP($B176,Keys!$F$2:$I$22,2,FALSE)</f>
        <v>0</v>
      </c>
      <c r="D176">
        <f>VLOOKUP($B176,Keys!$F$2:$I$22,3,FALSE)</f>
        <v>0</v>
      </c>
      <c r="E176" t="str">
        <f>VLOOKUP($B176,Keys!$F$2:$I$22,4,FALSE)</f>
        <v>zero</v>
      </c>
      <c r="F176" t="str">
        <f>$A176&amp;Keys!$C$54&amp;$B176</f>
        <v>GA|hydro (is not a fuel)</v>
      </c>
      <c r="G176" s="10">
        <f>IF($E176=Keys!$C$60,Keys!$C$51,INDEX(Balanced_2025!$D$9:$D$3032,MATCH($A176&amp;Keys!$C$54&amp;Keys!$C$55&amp;Keys!$C$54&amp;$C176,Balanced_2025!$E$9:$E$3032,0)))</f>
        <v>0</v>
      </c>
      <c r="H176" s="10">
        <f>IF($E176=Keys!$C$60,Keys!$C$51,INDEX(Balanced_2025!$D$9:$D$3032,MATCH($A176&amp;Keys!$C$54&amp;Keys!$C$56&amp;Keys!$C$54&amp;$C176,Balanced_2025!$E$9:$E$3032,0)))</f>
        <v>0</v>
      </c>
      <c r="I176" s="10">
        <f>IF($E176=Keys!$C$60,Keys!$C$51,INDEX(Balanced_2025!$D$9:$D$3032,MATCH($A176&amp;Keys!$C$54&amp;Keys!$C$57&amp;Keys!$C$54&amp;$C176,Balanced_2025!$E$9:$E$3032,0)))</f>
        <v>0</v>
      </c>
      <c r="J176" s="10">
        <f t="shared" si="8"/>
        <v>0</v>
      </c>
      <c r="K176" s="10">
        <f>MAX(Keys!$C$51,$I176-$H176)</f>
        <v>0</v>
      </c>
      <c r="L176" s="10">
        <f t="shared" si="9"/>
        <v>0</v>
      </c>
      <c r="M176" s="11">
        <f>IF($L176&gt;Keys!$C$51,MIN(Keys!$C$52,$K176/$L176),Keys!$C$51)</f>
        <v>0</v>
      </c>
      <c r="N176" s="11">
        <f>IF($E176=Keys!$C$60,Keys!$C$51,IF($E176=Keys!$C$59,$D176,$M176))</f>
        <v>0</v>
      </c>
      <c r="O176">
        <f t="shared" si="10"/>
        <v>0</v>
      </c>
      <c r="P176" s="10">
        <f>IF($E176=Keys!$C$60,Keys!$C$51,INDEX(Raw_BFPIaE!$G$9:$G$3032,MATCH($A176&amp;Keys!$C$54&amp;Keys!$C$55&amp;Keys!$C$54&amp;$B176,Raw_BFPIaE!$H$9:$H$3032,0)))</f>
        <v>0</v>
      </c>
      <c r="Q176" s="10">
        <f>IF($E176=Keys!$C$60,Keys!$C$51,INDEX(Raw_BFPIaE!$G$9:$G$3032,MATCH($A176&amp;Keys!$C$54&amp;Keys!$C$56&amp;Keys!$C$54&amp;$B176,Raw_BFPIaE!$H$9:$H$3032,0)))</f>
        <v>0</v>
      </c>
      <c r="R176" s="10">
        <f>IF($E176=Keys!$C$60,Keys!$C$51,INDEX(Raw_BFPIaE!$G$9:$G$3032,MATCH($A176&amp;Keys!$C$54&amp;Keys!$C$57&amp;Keys!$C$54&amp;$B176,Raw_BFPIaE!$H$9:$H$3032,0)))</f>
        <v>0</v>
      </c>
      <c r="S176" s="11">
        <f>IF(($P176+$Q176-$R176+MAX(Keys!$C$51,$R176-$Q176))&gt;Keys!$C$51,MIN(Keys!$C$52,MAX(Keys!$C$51,$R176-$Q176)/($P176+$Q176-$R176+MAX(Keys!$C$51,$R176-$Q176))),Keys!$C$51)</f>
        <v>0</v>
      </c>
      <c r="T176">
        <f>IF(AND($I176&gt;$H176,ABS($L176-$G176)&gt;MAX(Keys!$C$62,ABS($G176)*Keys!$C$63)),1,0)</f>
        <v>0</v>
      </c>
      <c r="U176">
        <f>IF(OR($N176&lt;Keys!$C$51,$N176&gt;Keys!$C$52),1,0)</f>
        <v>0</v>
      </c>
      <c r="V176">
        <f>IF(AND($E176=Keys!$C$60,$N176&lt;&gt;Keys!$C$51),1,0)</f>
        <v>0</v>
      </c>
      <c r="W176">
        <f>IF($L176&gt;Keys!$C$51,IF($K176/$L176&gt;Keys!$C$52,1,0),0)</f>
        <v>0</v>
      </c>
      <c r="X176" s="11">
        <f t="shared" si="11"/>
        <v>0</v>
      </c>
    </row>
    <row r="177" spans="1:24" x14ac:dyDescent="0.25">
      <c r="A177" t="s">
        <v>84</v>
      </c>
      <c r="B177" t="s">
        <v>77</v>
      </c>
      <c r="C177">
        <f>VLOOKUP($B177,Keys!$F$2:$I$22,2,FALSE)</f>
        <v>0</v>
      </c>
      <c r="D177">
        <f>VLOOKUP($B177,Keys!$F$2:$I$22,3,FALSE)</f>
        <v>0</v>
      </c>
      <c r="E177" t="str">
        <f>VLOOKUP($B177,Keys!$F$2:$I$22,4,FALSE)</f>
        <v>zero</v>
      </c>
      <c r="F177" t="str">
        <f>$A177&amp;Keys!$C$54&amp;$B177</f>
        <v>GA|wind (is not a fuel)</v>
      </c>
      <c r="G177" s="10">
        <f>IF($E177=Keys!$C$60,Keys!$C$51,INDEX(Balanced_2025!$D$9:$D$3032,MATCH($A177&amp;Keys!$C$54&amp;Keys!$C$55&amp;Keys!$C$54&amp;$C177,Balanced_2025!$E$9:$E$3032,0)))</f>
        <v>0</v>
      </c>
      <c r="H177" s="10">
        <f>IF($E177=Keys!$C$60,Keys!$C$51,INDEX(Balanced_2025!$D$9:$D$3032,MATCH($A177&amp;Keys!$C$54&amp;Keys!$C$56&amp;Keys!$C$54&amp;$C177,Balanced_2025!$E$9:$E$3032,0)))</f>
        <v>0</v>
      </c>
      <c r="I177" s="10">
        <f>IF($E177=Keys!$C$60,Keys!$C$51,INDEX(Balanced_2025!$D$9:$D$3032,MATCH($A177&amp;Keys!$C$54&amp;Keys!$C$57&amp;Keys!$C$54&amp;$C177,Balanced_2025!$E$9:$E$3032,0)))</f>
        <v>0</v>
      </c>
      <c r="J177" s="10">
        <f t="shared" si="8"/>
        <v>0</v>
      </c>
      <c r="K177" s="10">
        <f>MAX(Keys!$C$51,$I177-$H177)</f>
        <v>0</v>
      </c>
      <c r="L177" s="10">
        <f t="shared" si="9"/>
        <v>0</v>
      </c>
      <c r="M177" s="11">
        <f>IF($L177&gt;Keys!$C$51,MIN(Keys!$C$52,$K177/$L177),Keys!$C$51)</f>
        <v>0</v>
      </c>
      <c r="N177" s="11">
        <f>IF($E177=Keys!$C$60,Keys!$C$51,IF($E177=Keys!$C$59,$D177,$M177))</f>
        <v>0</v>
      </c>
      <c r="O177">
        <f t="shared" si="10"/>
        <v>0</v>
      </c>
      <c r="P177" s="10">
        <f>IF($E177=Keys!$C$60,Keys!$C$51,INDEX(Raw_BFPIaE!$G$9:$G$3032,MATCH($A177&amp;Keys!$C$54&amp;Keys!$C$55&amp;Keys!$C$54&amp;$B177,Raw_BFPIaE!$H$9:$H$3032,0)))</f>
        <v>0</v>
      </c>
      <c r="Q177" s="10">
        <f>IF($E177=Keys!$C$60,Keys!$C$51,INDEX(Raw_BFPIaE!$G$9:$G$3032,MATCH($A177&amp;Keys!$C$54&amp;Keys!$C$56&amp;Keys!$C$54&amp;$B177,Raw_BFPIaE!$H$9:$H$3032,0)))</f>
        <v>0</v>
      </c>
      <c r="R177" s="10">
        <f>IF($E177=Keys!$C$60,Keys!$C$51,INDEX(Raw_BFPIaE!$G$9:$G$3032,MATCH($A177&amp;Keys!$C$54&amp;Keys!$C$57&amp;Keys!$C$54&amp;$B177,Raw_BFPIaE!$H$9:$H$3032,0)))</f>
        <v>0</v>
      </c>
      <c r="S177" s="11">
        <f>IF(($P177+$Q177-$R177+MAX(Keys!$C$51,$R177-$Q177))&gt;Keys!$C$51,MIN(Keys!$C$52,MAX(Keys!$C$51,$R177-$Q177)/($P177+$Q177-$R177+MAX(Keys!$C$51,$R177-$Q177))),Keys!$C$51)</f>
        <v>0</v>
      </c>
      <c r="T177">
        <f>IF(AND($I177&gt;$H177,ABS($L177-$G177)&gt;MAX(Keys!$C$62,ABS($G177)*Keys!$C$63)),1,0)</f>
        <v>0</v>
      </c>
      <c r="U177">
        <f>IF(OR($N177&lt;Keys!$C$51,$N177&gt;Keys!$C$52),1,0)</f>
        <v>0</v>
      </c>
      <c r="V177">
        <f>IF(AND($E177=Keys!$C$60,$N177&lt;&gt;Keys!$C$51),1,0)</f>
        <v>0</v>
      </c>
      <c r="W177">
        <f>IF($L177&gt;Keys!$C$51,IF($K177/$L177&gt;Keys!$C$52,1,0),0)</f>
        <v>0</v>
      </c>
      <c r="X177" s="11">
        <f t="shared" si="11"/>
        <v>0</v>
      </c>
    </row>
    <row r="178" spans="1:24" x14ac:dyDescent="0.25">
      <c r="A178" t="s">
        <v>84</v>
      </c>
      <c r="B178" t="s">
        <v>80</v>
      </c>
      <c r="C178">
        <f>VLOOKUP($B178,Keys!$F$2:$I$22,2,FALSE)</f>
        <v>0</v>
      </c>
      <c r="D178">
        <f>VLOOKUP($B178,Keys!$F$2:$I$22,3,FALSE)</f>
        <v>0</v>
      </c>
      <c r="E178" t="str">
        <f>VLOOKUP($B178,Keys!$F$2:$I$22,4,FALSE)</f>
        <v>zero</v>
      </c>
      <c r="F178" t="str">
        <f>$A178&amp;Keys!$C$54&amp;$B178</f>
        <v>GA|solar (is not a fuel)</v>
      </c>
      <c r="G178" s="10">
        <f>IF($E178=Keys!$C$60,Keys!$C$51,INDEX(Balanced_2025!$D$9:$D$3032,MATCH($A178&amp;Keys!$C$54&amp;Keys!$C$55&amp;Keys!$C$54&amp;$C178,Balanced_2025!$E$9:$E$3032,0)))</f>
        <v>0</v>
      </c>
      <c r="H178" s="10">
        <f>IF($E178=Keys!$C$60,Keys!$C$51,INDEX(Balanced_2025!$D$9:$D$3032,MATCH($A178&amp;Keys!$C$54&amp;Keys!$C$56&amp;Keys!$C$54&amp;$C178,Balanced_2025!$E$9:$E$3032,0)))</f>
        <v>0</v>
      </c>
      <c r="I178" s="10">
        <f>IF($E178=Keys!$C$60,Keys!$C$51,INDEX(Balanced_2025!$D$9:$D$3032,MATCH($A178&amp;Keys!$C$54&amp;Keys!$C$57&amp;Keys!$C$54&amp;$C178,Balanced_2025!$E$9:$E$3032,0)))</f>
        <v>0</v>
      </c>
      <c r="J178" s="10">
        <f t="shared" si="8"/>
        <v>0</v>
      </c>
      <c r="K178" s="10">
        <f>MAX(Keys!$C$51,$I178-$H178)</f>
        <v>0</v>
      </c>
      <c r="L178" s="10">
        <f t="shared" si="9"/>
        <v>0</v>
      </c>
      <c r="M178" s="11">
        <f>IF($L178&gt;Keys!$C$51,MIN(Keys!$C$52,$K178/$L178),Keys!$C$51)</f>
        <v>0</v>
      </c>
      <c r="N178" s="11">
        <f>IF($E178=Keys!$C$60,Keys!$C$51,IF($E178=Keys!$C$59,$D178,$M178))</f>
        <v>0</v>
      </c>
      <c r="O178">
        <f t="shared" si="10"/>
        <v>0</v>
      </c>
      <c r="P178" s="10">
        <f>IF($E178=Keys!$C$60,Keys!$C$51,INDEX(Raw_BFPIaE!$G$9:$G$3032,MATCH($A178&amp;Keys!$C$54&amp;Keys!$C$55&amp;Keys!$C$54&amp;$B178,Raw_BFPIaE!$H$9:$H$3032,0)))</f>
        <v>0</v>
      </c>
      <c r="Q178" s="10">
        <f>IF($E178=Keys!$C$60,Keys!$C$51,INDEX(Raw_BFPIaE!$G$9:$G$3032,MATCH($A178&amp;Keys!$C$54&amp;Keys!$C$56&amp;Keys!$C$54&amp;$B178,Raw_BFPIaE!$H$9:$H$3032,0)))</f>
        <v>0</v>
      </c>
      <c r="R178" s="10">
        <f>IF($E178=Keys!$C$60,Keys!$C$51,INDEX(Raw_BFPIaE!$G$9:$G$3032,MATCH($A178&amp;Keys!$C$54&amp;Keys!$C$57&amp;Keys!$C$54&amp;$B178,Raw_BFPIaE!$H$9:$H$3032,0)))</f>
        <v>0</v>
      </c>
      <c r="S178" s="11">
        <f>IF(($P178+$Q178-$R178+MAX(Keys!$C$51,$R178-$Q178))&gt;Keys!$C$51,MIN(Keys!$C$52,MAX(Keys!$C$51,$R178-$Q178)/($P178+$Q178-$R178+MAX(Keys!$C$51,$R178-$Q178))),Keys!$C$51)</f>
        <v>0</v>
      </c>
      <c r="T178">
        <f>IF(AND($I178&gt;$H178,ABS($L178-$G178)&gt;MAX(Keys!$C$62,ABS($G178)*Keys!$C$63)),1,0)</f>
        <v>0</v>
      </c>
      <c r="U178">
        <f>IF(OR($N178&lt;Keys!$C$51,$N178&gt;Keys!$C$52),1,0)</f>
        <v>0</v>
      </c>
      <c r="V178">
        <f>IF(AND($E178=Keys!$C$60,$N178&lt;&gt;Keys!$C$51),1,0)</f>
        <v>0</v>
      </c>
      <c r="W178">
        <f>IF($L178&gt;Keys!$C$51,IF($K178/$L178&gt;Keys!$C$52,1,0),0)</f>
        <v>0</v>
      </c>
      <c r="X178" s="11">
        <f t="shared" si="11"/>
        <v>0</v>
      </c>
    </row>
    <row r="179" spans="1:24" x14ac:dyDescent="0.25">
      <c r="A179" t="s">
        <v>84</v>
      </c>
      <c r="B179" t="s">
        <v>82</v>
      </c>
      <c r="C179" t="str">
        <f>VLOOKUP($B179,Keys!$F$2:$I$22,2,FALSE)</f>
        <v>biomass</v>
      </c>
      <c r="D179">
        <f>VLOOKUP($B179,Keys!$F$2:$I$22,3,FALSE)</f>
        <v>0.74947425499999998</v>
      </c>
      <c r="E179" t="str">
        <f>VLOOKUP($B179,Keys!$F$2:$I$22,4,FALSE)</f>
        <v>rule</v>
      </c>
      <c r="F179" t="str">
        <f>$A179&amp;Keys!$C$54&amp;$B179</f>
        <v>GA|biomass</v>
      </c>
      <c r="G179" s="10">
        <f>IF($E179=Keys!$C$60,Keys!$C$51,INDEX(Balanced_2025!$D$9:$D$3032,MATCH($A179&amp;Keys!$C$54&amp;Keys!$C$55&amp;Keys!$C$54&amp;$C179,Balanced_2025!$E$9:$E$3032,0)))</f>
        <v>29595700000000</v>
      </c>
      <c r="H179" s="10">
        <f>IF($E179=Keys!$C$60,Keys!$C$51,INDEX(Balanced_2025!$D$9:$D$3032,MATCH($A179&amp;Keys!$C$54&amp;Keys!$C$56&amp;Keys!$C$54&amp;$C179,Balanced_2025!$E$9:$E$3032,0)))</f>
        <v>177822000000000</v>
      </c>
      <c r="I179" s="10">
        <f>IF($E179=Keys!$C$60,Keys!$C$51,INDEX(Balanced_2025!$D$9:$D$3032,MATCH($A179&amp;Keys!$C$54&amp;Keys!$C$57&amp;Keys!$C$54&amp;$C179,Balanced_2025!$E$9:$E$3032,0)))</f>
        <v>0</v>
      </c>
      <c r="J179" s="10">
        <f t="shared" si="8"/>
        <v>207417700000000</v>
      </c>
      <c r="K179" s="10">
        <f>MAX(Keys!$C$51,$I179-$H179)</f>
        <v>0</v>
      </c>
      <c r="L179" s="10">
        <f t="shared" si="9"/>
        <v>207417700000000</v>
      </c>
      <c r="M179" s="11">
        <f>IF($L179&gt;Keys!$C$51,MIN(Keys!$C$52,$K179/$L179),Keys!$C$51)</f>
        <v>0</v>
      </c>
      <c r="N179" s="11">
        <f>IF($E179=Keys!$C$60,Keys!$C$51,IF($E179=Keys!$C$59,$D179,$M179))</f>
        <v>0</v>
      </c>
      <c r="O179">
        <f t="shared" si="10"/>
        <v>1</v>
      </c>
      <c r="P179" s="10">
        <f>IF($E179=Keys!$C$60,Keys!$C$51,INDEX(Raw_BFPIaE!$G$9:$G$3032,MATCH($A179&amp;Keys!$C$54&amp;Keys!$C$55&amp;Keys!$C$54&amp;$B179,Raw_BFPIaE!$H$9:$H$3032,0)))</f>
        <v>29595700000000</v>
      </c>
      <c r="Q179" s="10">
        <f>IF($E179=Keys!$C$60,Keys!$C$51,INDEX(Raw_BFPIaE!$G$9:$G$3032,MATCH($A179&amp;Keys!$C$54&amp;Keys!$C$56&amp;Keys!$C$54&amp;$B179,Raw_BFPIaE!$H$9:$H$3032,0)))</f>
        <v>117431333333333.33</v>
      </c>
      <c r="R179" s="10">
        <f>IF($E179=Keys!$C$60,Keys!$C$51,INDEX(Raw_BFPIaE!$G$9:$G$3032,MATCH($A179&amp;Keys!$C$54&amp;Keys!$C$57&amp;Keys!$C$54&amp;$B179,Raw_BFPIaE!$H$9:$H$3032,0)))</f>
        <v>0</v>
      </c>
      <c r="S179" s="11">
        <f>IF(($P179+$Q179-$R179+MAX(Keys!$C$51,$R179-$Q179))&gt;Keys!$C$51,MIN(Keys!$C$52,MAX(Keys!$C$51,$R179-$Q179)/($P179+$Q179-$R179+MAX(Keys!$C$51,$R179-$Q179))),Keys!$C$51)</f>
        <v>0</v>
      </c>
      <c r="T179">
        <f>IF(AND($I179&gt;$H179,ABS($L179-$G179)&gt;MAX(Keys!$C$62,ABS($G179)*Keys!$C$63)),1,0)</f>
        <v>0</v>
      </c>
      <c r="U179">
        <f>IF(OR($N179&lt;Keys!$C$51,$N179&gt;Keys!$C$52),1,0)</f>
        <v>0</v>
      </c>
      <c r="V179">
        <f>IF(AND($E179=Keys!$C$60,$N179&lt;&gt;Keys!$C$51),1,0)</f>
        <v>0</v>
      </c>
      <c r="W179">
        <f>IF($L179&gt;Keys!$C$51,IF($K179/$L179&gt;Keys!$C$52,1,0),0)</f>
        <v>0</v>
      </c>
      <c r="X179" s="11">
        <f t="shared" si="11"/>
        <v>0</v>
      </c>
    </row>
    <row r="180" spans="1:24" x14ac:dyDescent="0.25">
      <c r="A180" t="s">
        <v>84</v>
      </c>
      <c r="B180" t="s">
        <v>85</v>
      </c>
      <c r="C180" t="str">
        <f>VLOOKUP($B180,Keys!$F$2:$I$22,2,FALSE)</f>
        <v>petroleum gasoline</v>
      </c>
      <c r="D180">
        <f>VLOOKUP($B180,Keys!$F$2:$I$22,3,FALSE)</f>
        <v>7.5004052000000002E-2</v>
      </c>
      <c r="E180" t="str">
        <f>VLOOKUP($B180,Keys!$F$2:$I$22,4,FALSE)</f>
        <v>rule</v>
      </c>
      <c r="F180" t="str">
        <f>$A180&amp;Keys!$C$54&amp;$B180</f>
        <v>GA|petroleum gasoline</v>
      </c>
      <c r="G180" s="10">
        <f>IF($E180=Keys!$C$60,Keys!$C$51,INDEX(Balanced_2025!$D$9:$D$3032,MATCH($A180&amp;Keys!$C$54&amp;Keys!$C$55&amp;Keys!$C$54&amp;$C180,Balanced_2025!$E$9:$E$3032,0)))</f>
        <v>0</v>
      </c>
      <c r="H180" s="10">
        <f>IF($E180=Keys!$C$60,Keys!$C$51,INDEX(Balanced_2025!$D$9:$D$3032,MATCH($A180&amp;Keys!$C$54&amp;Keys!$C$56&amp;Keys!$C$54&amp;$C180,Balanced_2025!$E$9:$E$3032,0)))</f>
        <v>524921000000000</v>
      </c>
      <c r="I180" s="10">
        <f>IF($E180=Keys!$C$60,Keys!$C$51,INDEX(Balanced_2025!$D$9:$D$3032,MATCH($A180&amp;Keys!$C$54&amp;Keys!$C$57&amp;Keys!$C$54&amp;$C180,Balanced_2025!$E$9:$E$3032,0)))</f>
        <v>0</v>
      </c>
      <c r="J180" s="10">
        <f t="shared" si="8"/>
        <v>524921000000000</v>
      </c>
      <c r="K180" s="10">
        <f>MAX(Keys!$C$51,$I180-$H180)</f>
        <v>0</v>
      </c>
      <c r="L180" s="10">
        <f t="shared" si="9"/>
        <v>524921000000000</v>
      </c>
      <c r="M180" s="11">
        <f>IF($L180&gt;Keys!$C$51,MIN(Keys!$C$52,$K180/$L180),Keys!$C$51)</f>
        <v>0</v>
      </c>
      <c r="N180" s="11">
        <f>IF($E180=Keys!$C$60,Keys!$C$51,IF($E180=Keys!$C$59,$D180,$M180))</f>
        <v>0</v>
      </c>
      <c r="O180">
        <f t="shared" si="10"/>
        <v>1</v>
      </c>
      <c r="P180" s="10">
        <f>IF($E180=Keys!$C$60,Keys!$C$51,INDEX(Raw_BFPIaE!$G$9:$G$3032,MATCH($A180&amp;Keys!$C$54&amp;Keys!$C$55&amp;Keys!$C$54&amp;$B180,Raw_BFPIaE!$H$9:$H$3032,0)))</f>
        <v>0</v>
      </c>
      <c r="Q180" s="10">
        <f>IF($E180=Keys!$C$60,Keys!$C$51,INDEX(Raw_BFPIaE!$G$9:$G$3032,MATCH($A180&amp;Keys!$C$54&amp;Keys!$C$56&amp;Keys!$C$54&amp;$B180,Raw_BFPIaE!$H$9:$H$3032,0)))</f>
        <v>330051666666666.69</v>
      </c>
      <c r="R180" s="10">
        <f>IF($E180=Keys!$C$60,Keys!$C$51,INDEX(Raw_BFPIaE!$G$9:$G$3032,MATCH($A180&amp;Keys!$C$54&amp;Keys!$C$57&amp;Keys!$C$54&amp;$B180,Raw_BFPIaE!$H$9:$H$3032,0)))</f>
        <v>0</v>
      </c>
      <c r="S180" s="11">
        <f>IF(($P180+$Q180-$R180+MAX(Keys!$C$51,$R180-$Q180))&gt;Keys!$C$51,MIN(Keys!$C$52,MAX(Keys!$C$51,$R180-$Q180)/($P180+$Q180-$R180+MAX(Keys!$C$51,$R180-$Q180))),Keys!$C$51)</f>
        <v>0</v>
      </c>
      <c r="T180">
        <f>IF(AND($I180&gt;$H180,ABS($L180-$G180)&gt;MAX(Keys!$C$62,ABS($G180)*Keys!$C$63)),1,0)</f>
        <v>0</v>
      </c>
      <c r="U180">
        <f>IF(OR($N180&lt;Keys!$C$51,$N180&gt;Keys!$C$52),1,0)</f>
        <v>0</v>
      </c>
      <c r="V180">
        <f>IF(AND($E180=Keys!$C$60,$N180&lt;&gt;Keys!$C$51),1,0)</f>
        <v>0</v>
      </c>
      <c r="W180">
        <f>IF($L180&gt;Keys!$C$51,IF($K180/$L180&gt;Keys!$C$52,1,0),0)</f>
        <v>0</v>
      </c>
      <c r="X180" s="11">
        <f t="shared" si="11"/>
        <v>0</v>
      </c>
    </row>
    <row r="181" spans="1:24" x14ac:dyDescent="0.25">
      <c r="A181" t="s">
        <v>84</v>
      </c>
      <c r="B181" t="s">
        <v>88</v>
      </c>
      <c r="C181" t="str">
        <f>VLOOKUP($B181,Keys!$F$2:$I$22,2,FALSE)</f>
        <v>petroleum diesel</v>
      </c>
      <c r="D181">
        <f>VLOOKUP($B181,Keys!$F$2:$I$22,3,FALSE)</f>
        <v>0.26691051799999999</v>
      </c>
      <c r="E181" t="str">
        <f>VLOOKUP($B181,Keys!$F$2:$I$22,4,FALSE)</f>
        <v>rule</v>
      </c>
      <c r="F181" t="str">
        <f>$A181&amp;Keys!$C$54&amp;$B181</f>
        <v>GA|petroleum diesel</v>
      </c>
      <c r="G181" s="10">
        <f>IF($E181=Keys!$C$60,Keys!$C$51,INDEX(Balanced_2025!$D$9:$D$3032,MATCH($A181&amp;Keys!$C$54&amp;Keys!$C$55&amp;Keys!$C$54&amp;$C181,Balanced_2025!$E$9:$E$3032,0)))</f>
        <v>0</v>
      </c>
      <c r="H181" s="10">
        <f>IF($E181=Keys!$C$60,Keys!$C$51,INDEX(Balanced_2025!$D$9:$D$3032,MATCH($A181&amp;Keys!$C$54&amp;Keys!$C$56&amp;Keys!$C$54&amp;$C181,Balanced_2025!$E$9:$E$3032,0)))</f>
        <v>257718000000000</v>
      </c>
      <c r="I181" s="10">
        <f>IF($E181=Keys!$C$60,Keys!$C$51,INDEX(Balanced_2025!$D$9:$D$3032,MATCH($A181&amp;Keys!$C$54&amp;Keys!$C$57&amp;Keys!$C$54&amp;$C181,Balanced_2025!$E$9:$E$3032,0)))</f>
        <v>0</v>
      </c>
      <c r="J181" s="10">
        <f t="shared" si="8"/>
        <v>257718000000000</v>
      </c>
      <c r="K181" s="10">
        <f>MAX(Keys!$C$51,$I181-$H181)</f>
        <v>0</v>
      </c>
      <c r="L181" s="10">
        <f t="shared" si="9"/>
        <v>257718000000000</v>
      </c>
      <c r="M181" s="11">
        <f>IF($L181&gt;Keys!$C$51,MIN(Keys!$C$52,$K181/$L181),Keys!$C$51)</f>
        <v>0</v>
      </c>
      <c r="N181" s="11">
        <f>IF($E181=Keys!$C$60,Keys!$C$51,IF($E181=Keys!$C$59,$D181,$M181))</f>
        <v>0</v>
      </c>
      <c r="O181">
        <f t="shared" si="10"/>
        <v>1</v>
      </c>
      <c r="P181" s="10">
        <f>IF($E181=Keys!$C$60,Keys!$C$51,INDEX(Raw_BFPIaE!$G$9:$G$3032,MATCH($A181&amp;Keys!$C$54&amp;Keys!$C$55&amp;Keys!$C$54&amp;$B181,Raw_BFPIaE!$H$9:$H$3032,0)))</f>
        <v>0</v>
      </c>
      <c r="Q181" s="10">
        <f>IF($E181=Keys!$C$60,Keys!$C$51,INDEX(Raw_BFPIaE!$G$9:$G$3032,MATCH($A181&amp;Keys!$C$54&amp;Keys!$C$56&amp;Keys!$C$54&amp;$B181,Raw_BFPIaE!$H$9:$H$3032,0)))</f>
        <v>169648000000000</v>
      </c>
      <c r="R181" s="10">
        <f>IF($E181=Keys!$C$60,Keys!$C$51,INDEX(Raw_BFPIaE!$G$9:$G$3032,MATCH($A181&amp;Keys!$C$54&amp;Keys!$C$57&amp;Keys!$C$54&amp;$B181,Raw_BFPIaE!$H$9:$H$3032,0)))</f>
        <v>0</v>
      </c>
      <c r="S181" s="11">
        <f>IF(($P181+$Q181-$R181+MAX(Keys!$C$51,$R181-$Q181))&gt;Keys!$C$51,MIN(Keys!$C$52,MAX(Keys!$C$51,$R181-$Q181)/($P181+$Q181-$R181+MAX(Keys!$C$51,$R181-$Q181))),Keys!$C$51)</f>
        <v>0</v>
      </c>
      <c r="T181">
        <f>IF(AND($I181&gt;$H181,ABS($L181-$G181)&gt;MAX(Keys!$C$62,ABS($G181)*Keys!$C$63)),1,0)</f>
        <v>0</v>
      </c>
      <c r="U181">
        <f>IF(OR($N181&lt;Keys!$C$51,$N181&gt;Keys!$C$52),1,0)</f>
        <v>0</v>
      </c>
      <c r="V181">
        <f>IF(AND($E181=Keys!$C$60,$N181&lt;&gt;Keys!$C$51),1,0)</f>
        <v>0</v>
      </c>
      <c r="W181">
        <f>IF($L181&gt;Keys!$C$51,IF($K181/$L181&gt;Keys!$C$52,1,0),0)</f>
        <v>0</v>
      </c>
      <c r="X181" s="11">
        <f t="shared" si="11"/>
        <v>0</v>
      </c>
    </row>
    <row r="182" spans="1:24" x14ac:dyDescent="0.25">
      <c r="A182" t="s">
        <v>84</v>
      </c>
      <c r="B182" t="s">
        <v>91</v>
      </c>
      <c r="C182" t="str">
        <f>VLOOKUP($B182,Keys!$F$2:$I$22,2,FALSE)</f>
        <v>biofuel gasoline</v>
      </c>
      <c r="D182">
        <f>VLOOKUP($B182,Keys!$F$2:$I$22,3,FALSE)</f>
        <v>8.7213884000000005E-2</v>
      </c>
      <c r="E182" t="str">
        <f>VLOOKUP($B182,Keys!$F$2:$I$22,4,FALSE)</f>
        <v>rule</v>
      </c>
      <c r="F182" t="str">
        <f>$A182&amp;Keys!$C$54&amp;$B182</f>
        <v>GA|biofuel gasoline</v>
      </c>
      <c r="G182" s="10">
        <f>IF($E182=Keys!$C$60,Keys!$C$51,INDEX(Balanced_2025!$D$9:$D$3032,MATCH($A182&amp;Keys!$C$54&amp;Keys!$C$55&amp;Keys!$C$54&amp;$C182,Balanced_2025!$E$9:$E$3032,0)))</f>
        <v>0</v>
      </c>
      <c r="H182" s="10">
        <f>IF($E182=Keys!$C$60,Keys!$C$51,INDEX(Balanced_2025!$D$9:$D$3032,MATCH($A182&amp;Keys!$C$54&amp;Keys!$C$56&amp;Keys!$C$54&amp;$C182,Balanced_2025!$E$9:$E$3032,0)))</f>
        <v>36192200000000</v>
      </c>
      <c r="I182" s="10">
        <f>IF($E182=Keys!$C$60,Keys!$C$51,INDEX(Balanced_2025!$D$9:$D$3032,MATCH($A182&amp;Keys!$C$54&amp;Keys!$C$57&amp;Keys!$C$54&amp;$C182,Balanced_2025!$E$9:$E$3032,0)))</f>
        <v>0</v>
      </c>
      <c r="J182" s="10">
        <f t="shared" si="8"/>
        <v>36192200000000</v>
      </c>
      <c r="K182" s="10">
        <f>MAX(Keys!$C$51,$I182-$H182)</f>
        <v>0</v>
      </c>
      <c r="L182" s="10">
        <f t="shared" si="9"/>
        <v>36192200000000</v>
      </c>
      <c r="M182" s="11">
        <f>IF($L182&gt;Keys!$C$51,MIN(Keys!$C$52,$K182/$L182),Keys!$C$51)</f>
        <v>0</v>
      </c>
      <c r="N182" s="11">
        <f>IF($E182=Keys!$C$60,Keys!$C$51,IF($E182=Keys!$C$59,$D182,$M182))</f>
        <v>0</v>
      </c>
      <c r="O182">
        <f t="shared" si="10"/>
        <v>1</v>
      </c>
      <c r="P182" s="10">
        <f>IF($E182=Keys!$C$60,Keys!$C$51,INDEX(Raw_BFPIaE!$G$9:$G$3032,MATCH($A182&amp;Keys!$C$54&amp;Keys!$C$55&amp;Keys!$C$54&amp;$B182,Raw_BFPIaE!$H$9:$H$3032,0)))</f>
        <v>0</v>
      </c>
      <c r="Q182" s="10">
        <f>IF($E182=Keys!$C$60,Keys!$C$51,INDEX(Raw_BFPIaE!$G$9:$G$3032,MATCH($A182&amp;Keys!$C$54&amp;Keys!$C$56&amp;Keys!$C$54&amp;$B182,Raw_BFPIaE!$H$9:$H$3032,0)))</f>
        <v>22747666666666.668</v>
      </c>
      <c r="R182" s="10">
        <f>IF($E182=Keys!$C$60,Keys!$C$51,INDEX(Raw_BFPIaE!$G$9:$G$3032,MATCH($A182&amp;Keys!$C$54&amp;Keys!$C$57&amp;Keys!$C$54&amp;$B182,Raw_BFPIaE!$H$9:$H$3032,0)))</f>
        <v>0</v>
      </c>
      <c r="S182" s="11">
        <f>IF(($P182+$Q182-$R182+MAX(Keys!$C$51,$R182-$Q182))&gt;Keys!$C$51,MIN(Keys!$C$52,MAX(Keys!$C$51,$R182-$Q182)/($P182+$Q182-$R182+MAX(Keys!$C$51,$R182-$Q182))),Keys!$C$51)</f>
        <v>0</v>
      </c>
      <c r="T182">
        <f>IF(AND($I182&gt;$H182,ABS($L182-$G182)&gt;MAX(Keys!$C$62,ABS($G182)*Keys!$C$63)),1,0)</f>
        <v>0</v>
      </c>
      <c r="U182">
        <f>IF(OR($N182&lt;Keys!$C$51,$N182&gt;Keys!$C$52),1,0)</f>
        <v>0</v>
      </c>
      <c r="V182">
        <f>IF(AND($E182=Keys!$C$60,$N182&lt;&gt;Keys!$C$51),1,0)</f>
        <v>0</v>
      </c>
      <c r="W182">
        <f>IF($L182&gt;Keys!$C$51,IF($K182/$L182&gt;Keys!$C$52,1,0),0)</f>
        <v>0</v>
      </c>
      <c r="X182" s="11">
        <f t="shared" si="11"/>
        <v>0</v>
      </c>
    </row>
    <row r="183" spans="1:24" x14ac:dyDescent="0.25">
      <c r="A183" t="s">
        <v>84</v>
      </c>
      <c r="B183" t="s">
        <v>94</v>
      </c>
      <c r="C183" t="str">
        <f>VLOOKUP($B183,Keys!$F$2:$I$22,2,FALSE)</f>
        <v>biofuel diesel</v>
      </c>
      <c r="D183">
        <f>VLOOKUP($B183,Keys!$F$2:$I$22,3,FALSE)</f>
        <v>5.8642381E-2</v>
      </c>
      <c r="E183" t="str">
        <f>VLOOKUP($B183,Keys!$F$2:$I$22,4,FALSE)</f>
        <v>rule</v>
      </c>
      <c r="F183" t="str">
        <f>$A183&amp;Keys!$C$54&amp;$B183</f>
        <v>GA|biofuel diesel</v>
      </c>
      <c r="G183" s="10">
        <f>IF($E183=Keys!$C$60,Keys!$C$51,INDEX(Balanced_2025!$D$9:$D$3032,MATCH($A183&amp;Keys!$C$54&amp;Keys!$C$55&amp;Keys!$C$54&amp;$C183,Balanced_2025!$E$9:$E$3032,0)))</f>
        <v>50911700000</v>
      </c>
      <c r="H183" s="10">
        <f>IF($E183=Keys!$C$60,Keys!$C$51,INDEX(Balanced_2025!$D$9:$D$3032,MATCH($A183&amp;Keys!$C$54&amp;Keys!$C$56&amp;Keys!$C$54&amp;$C183,Balanced_2025!$E$9:$E$3032,0)))</f>
        <v>1538710000000</v>
      </c>
      <c r="I183" s="10">
        <f>IF($E183=Keys!$C$60,Keys!$C$51,INDEX(Balanced_2025!$D$9:$D$3032,MATCH($A183&amp;Keys!$C$54&amp;Keys!$C$57&amp;Keys!$C$54&amp;$C183,Balanced_2025!$E$9:$E$3032,0)))</f>
        <v>0</v>
      </c>
      <c r="J183" s="10">
        <f t="shared" si="8"/>
        <v>1589621700000</v>
      </c>
      <c r="K183" s="10">
        <f>MAX(Keys!$C$51,$I183-$H183)</f>
        <v>0</v>
      </c>
      <c r="L183" s="10">
        <f t="shared" si="9"/>
        <v>1589621700000</v>
      </c>
      <c r="M183" s="11">
        <f>IF($L183&gt;Keys!$C$51,MIN(Keys!$C$52,$K183/$L183),Keys!$C$51)</f>
        <v>0</v>
      </c>
      <c r="N183" s="11">
        <f>IF($E183=Keys!$C$60,Keys!$C$51,IF($E183=Keys!$C$59,$D183,$M183))</f>
        <v>0</v>
      </c>
      <c r="O183">
        <f t="shared" si="10"/>
        <v>1</v>
      </c>
      <c r="P183" s="10">
        <f>IF($E183=Keys!$C$60,Keys!$C$51,INDEX(Raw_BFPIaE!$G$9:$G$3032,MATCH($A183&amp;Keys!$C$54&amp;Keys!$C$55&amp;Keys!$C$54&amp;$B183,Raw_BFPIaE!$H$9:$H$3032,0)))</f>
        <v>54099866666.666664</v>
      </c>
      <c r="Q183" s="10">
        <f>IF($E183=Keys!$C$60,Keys!$C$51,INDEX(Raw_BFPIaE!$G$9:$G$3032,MATCH($A183&amp;Keys!$C$54&amp;Keys!$C$56&amp;Keys!$C$54&amp;$B183,Raw_BFPIaE!$H$9:$H$3032,0)))</f>
        <v>998866666666.66663</v>
      </c>
      <c r="R183" s="10">
        <f>IF($E183=Keys!$C$60,Keys!$C$51,INDEX(Raw_BFPIaE!$G$9:$G$3032,MATCH($A183&amp;Keys!$C$54&amp;Keys!$C$57&amp;Keys!$C$54&amp;$B183,Raw_BFPIaE!$H$9:$H$3032,0)))</f>
        <v>0</v>
      </c>
      <c r="S183" s="11">
        <f>IF(($P183+$Q183-$R183+MAX(Keys!$C$51,$R183-$Q183))&gt;Keys!$C$51,MIN(Keys!$C$52,MAX(Keys!$C$51,$R183-$Q183)/($P183+$Q183-$R183+MAX(Keys!$C$51,$R183-$Q183))),Keys!$C$51)</f>
        <v>0</v>
      </c>
      <c r="T183">
        <f>IF(AND($I183&gt;$H183,ABS($L183-$G183)&gt;MAX(Keys!$C$62,ABS($G183)*Keys!$C$63)),1,0)</f>
        <v>0</v>
      </c>
      <c r="U183">
        <f>IF(OR($N183&lt;Keys!$C$51,$N183&gt;Keys!$C$52),1,0)</f>
        <v>0</v>
      </c>
      <c r="V183">
        <f>IF(AND($E183=Keys!$C$60,$N183&lt;&gt;Keys!$C$51),1,0)</f>
        <v>0</v>
      </c>
      <c r="W183">
        <f>IF($L183&gt;Keys!$C$51,IF($K183/$L183&gt;Keys!$C$52,1,0),0)</f>
        <v>0</v>
      </c>
      <c r="X183" s="11">
        <f t="shared" si="11"/>
        <v>0</v>
      </c>
    </row>
    <row r="184" spans="1:24" x14ac:dyDescent="0.25">
      <c r="A184" t="s">
        <v>84</v>
      </c>
      <c r="B184" t="s">
        <v>97</v>
      </c>
      <c r="C184" t="str">
        <f>VLOOKUP($B184,Keys!$F$2:$I$22,2,FALSE)</f>
        <v>jet fuel or kerosene</v>
      </c>
      <c r="D184">
        <f>VLOOKUP($B184,Keys!$F$2:$I$22,3,FALSE)</f>
        <v>0.10155994</v>
      </c>
      <c r="E184" t="str">
        <f>VLOOKUP($B184,Keys!$F$2:$I$22,4,FALSE)</f>
        <v>rule</v>
      </c>
      <c r="F184" t="str">
        <f>$A184&amp;Keys!$C$54&amp;$B184</f>
        <v>GA|jet fuel or kerosene</v>
      </c>
      <c r="G184" s="10">
        <f>IF($E184=Keys!$C$60,Keys!$C$51,INDEX(Balanced_2025!$D$9:$D$3032,MATCH($A184&amp;Keys!$C$54&amp;Keys!$C$55&amp;Keys!$C$54&amp;$C184,Balanced_2025!$E$9:$E$3032,0)))</f>
        <v>0</v>
      </c>
      <c r="H184" s="10">
        <f>IF($E184=Keys!$C$60,Keys!$C$51,INDEX(Balanced_2025!$D$9:$D$3032,MATCH($A184&amp;Keys!$C$54&amp;Keys!$C$56&amp;Keys!$C$54&amp;$C184,Balanced_2025!$E$9:$E$3032,0)))</f>
        <v>144319000000000</v>
      </c>
      <c r="I184" s="10">
        <f>IF($E184=Keys!$C$60,Keys!$C$51,INDEX(Balanced_2025!$D$9:$D$3032,MATCH($A184&amp;Keys!$C$54&amp;Keys!$C$57&amp;Keys!$C$54&amp;$C184,Balanced_2025!$E$9:$E$3032,0)))</f>
        <v>0</v>
      </c>
      <c r="J184" s="10">
        <f t="shared" si="8"/>
        <v>144319000000000</v>
      </c>
      <c r="K184" s="10">
        <f>MAX(Keys!$C$51,$I184-$H184)</f>
        <v>0</v>
      </c>
      <c r="L184" s="10">
        <f t="shared" si="9"/>
        <v>144319000000000</v>
      </c>
      <c r="M184" s="11">
        <f>IF($L184&gt;Keys!$C$51,MIN(Keys!$C$52,$K184/$L184),Keys!$C$51)</f>
        <v>0</v>
      </c>
      <c r="N184" s="11">
        <f>IF($E184=Keys!$C$60,Keys!$C$51,IF($E184=Keys!$C$59,$D184,$M184))</f>
        <v>0</v>
      </c>
      <c r="O184">
        <f t="shared" si="10"/>
        <v>1</v>
      </c>
      <c r="P184" s="10">
        <f>IF($E184=Keys!$C$60,Keys!$C$51,INDEX(Raw_BFPIaE!$G$9:$G$3032,MATCH($A184&amp;Keys!$C$54&amp;Keys!$C$55&amp;Keys!$C$54&amp;$B184,Raw_BFPIaE!$H$9:$H$3032,0)))</f>
        <v>0</v>
      </c>
      <c r="Q184" s="10">
        <f>IF($E184=Keys!$C$60,Keys!$C$51,INDEX(Raw_BFPIaE!$G$9:$G$3032,MATCH($A184&amp;Keys!$C$54&amp;Keys!$C$56&amp;Keys!$C$54&amp;$B184,Raw_BFPIaE!$H$9:$H$3032,0)))</f>
        <v>98195000000000</v>
      </c>
      <c r="R184" s="10">
        <f>IF($E184=Keys!$C$60,Keys!$C$51,INDEX(Raw_BFPIaE!$G$9:$G$3032,MATCH($A184&amp;Keys!$C$54&amp;Keys!$C$57&amp;Keys!$C$54&amp;$B184,Raw_BFPIaE!$H$9:$H$3032,0)))</f>
        <v>0</v>
      </c>
      <c r="S184" s="11">
        <f>IF(($P184+$Q184-$R184+MAX(Keys!$C$51,$R184-$Q184))&gt;Keys!$C$51,MIN(Keys!$C$52,MAX(Keys!$C$51,$R184-$Q184)/($P184+$Q184-$R184+MAX(Keys!$C$51,$R184-$Q184))),Keys!$C$51)</f>
        <v>0</v>
      </c>
      <c r="T184">
        <f>IF(AND($I184&gt;$H184,ABS($L184-$G184)&gt;MAX(Keys!$C$62,ABS($G184)*Keys!$C$63)),1,0)</f>
        <v>0</v>
      </c>
      <c r="U184">
        <f>IF(OR($N184&lt;Keys!$C$51,$N184&gt;Keys!$C$52),1,0)</f>
        <v>0</v>
      </c>
      <c r="V184">
        <f>IF(AND($E184=Keys!$C$60,$N184&lt;&gt;Keys!$C$51),1,0)</f>
        <v>0</v>
      </c>
      <c r="W184">
        <f>IF($L184&gt;Keys!$C$51,IF($K184/$L184&gt;Keys!$C$52,1,0),0)</f>
        <v>0</v>
      </c>
      <c r="X184" s="11">
        <f t="shared" si="11"/>
        <v>0</v>
      </c>
    </row>
    <row r="185" spans="1:24" x14ac:dyDescent="0.25">
      <c r="A185" t="s">
        <v>84</v>
      </c>
      <c r="B185" t="s">
        <v>100</v>
      </c>
      <c r="C185">
        <f>VLOOKUP($B185,Keys!$F$2:$I$22,2,FALSE)</f>
        <v>0</v>
      </c>
      <c r="D185">
        <f>VLOOKUP($B185,Keys!$F$2:$I$22,3,FALSE)</f>
        <v>0</v>
      </c>
      <c r="E185" t="str">
        <f>VLOOKUP($B185,Keys!$F$2:$I$22,4,FALSE)</f>
        <v>zero</v>
      </c>
      <c r="F185" t="str">
        <f>$A185&amp;Keys!$C$54&amp;$B185</f>
        <v>GA|heat (not used in this variable)</v>
      </c>
      <c r="G185" s="10">
        <f>IF($E185=Keys!$C$60,Keys!$C$51,INDEX(Balanced_2025!$D$9:$D$3032,MATCH($A185&amp;Keys!$C$54&amp;Keys!$C$55&amp;Keys!$C$54&amp;$C185,Balanced_2025!$E$9:$E$3032,0)))</f>
        <v>0</v>
      </c>
      <c r="H185" s="10">
        <f>IF($E185=Keys!$C$60,Keys!$C$51,INDEX(Balanced_2025!$D$9:$D$3032,MATCH($A185&amp;Keys!$C$54&amp;Keys!$C$56&amp;Keys!$C$54&amp;$C185,Balanced_2025!$E$9:$E$3032,0)))</f>
        <v>0</v>
      </c>
      <c r="I185" s="10">
        <f>IF($E185=Keys!$C$60,Keys!$C$51,INDEX(Balanced_2025!$D$9:$D$3032,MATCH($A185&amp;Keys!$C$54&amp;Keys!$C$57&amp;Keys!$C$54&amp;$C185,Balanced_2025!$E$9:$E$3032,0)))</f>
        <v>0</v>
      </c>
      <c r="J185" s="10">
        <f t="shared" si="8"/>
        <v>0</v>
      </c>
      <c r="K185" s="10">
        <f>MAX(Keys!$C$51,$I185-$H185)</f>
        <v>0</v>
      </c>
      <c r="L185" s="10">
        <f t="shared" si="9"/>
        <v>0</v>
      </c>
      <c r="M185" s="11">
        <f>IF($L185&gt;Keys!$C$51,MIN(Keys!$C$52,$K185/$L185),Keys!$C$51)</f>
        <v>0</v>
      </c>
      <c r="N185" s="11">
        <f>IF($E185=Keys!$C$60,Keys!$C$51,IF($E185=Keys!$C$59,$D185,$M185))</f>
        <v>0</v>
      </c>
      <c r="O185">
        <f t="shared" si="10"/>
        <v>0</v>
      </c>
      <c r="P185" s="10">
        <f>IF($E185=Keys!$C$60,Keys!$C$51,INDEX(Raw_BFPIaE!$G$9:$G$3032,MATCH($A185&amp;Keys!$C$54&amp;Keys!$C$55&amp;Keys!$C$54&amp;$B185,Raw_BFPIaE!$H$9:$H$3032,0)))</f>
        <v>0</v>
      </c>
      <c r="Q185" s="10">
        <f>IF($E185=Keys!$C$60,Keys!$C$51,INDEX(Raw_BFPIaE!$G$9:$G$3032,MATCH($A185&amp;Keys!$C$54&amp;Keys!$C$56&amp;Keys!$C$54&amp;$B185,Raw_BFPIaE!$H$9:$H$3032,0)))</f>
        <v>0</v>
      </c>
      <c r="R185" s="10">
        <f>IF($E185=Keys!$C$60,Keys!$C$51,INDEX(Raw_BFPIaE!$G$9:$G$3032,MATCH($A185&amp;Keys!$C$54&amp;Keys!$C$57&amp;Keys!$C$54&amp;$B185,Raw_BFPIaE!$H$9:$H$3032,0)))</f>
        <v>0</v>
      </c>
      <c r="S185" s="11">
        <f>IF(($P185+$Q185-$R185+MAX(Keys!$C$51,$R185-$Q185))&gt;Keys!$C$51,MIN(Keys!$C$52,MAX(Keys!$C$51,$R185-$Q185)/($P185+$Q185-$R185+MAX(Keys!$C$51,$R185-$Q185))),Keys!$C$51)</f>
        <v>0</v>
      </c>
      <c r="T185">
        <f>IF(AND($I185&gt;$H185,ABS($L185-$G185)&gt;MAX(Keys!$C$62,ABS($G185)*Keys!$C$63)),1,0)</f>
        <v>0</v>
      </c>
      <c r="U185">
        <f>IF(OR($N185&lt;Keys!$C$51,$N185&gt;Keys!$C$52),1,0)</f>
        <v>0</v>
      </c>
      <c r="V185">
        <f>IF(AND($E185=Keys!$C$60,$N185&lt;&gt;Keys!$C$51),1,0)</f>
        <v>0</v>
      </c>
      <c r="W185">
        <f>IF($L185&gt;Keys!$C$51,IF($K185/$L185&gt;Keys!$C$52,1,0),0)</f>
        <v>0</v>
      </c>
      <c r="X185" s="11">
        <f t="shared" si="11"/>
        <v>0</v>
      </c>
    </row>
    <row r="186" spans="1:24" x14ac:dyDescent="0.25">
      <c r="A186" t="s">
        <v>84</v>
      </c>
      <c r="B186" t="s">
        <v>103</v>
      </c>
      <c r="C186">
        <f>VLOOKUP($B186,Keys!$F$2:$I$22,2,FALSE)</f>
        <v>0</v>
      </c>
      <c r="D186">
        <f>VLOOKUP($B186,Keys!$F$2:$I$22,3,FALSE)</f>
        <v>0</v>
      </c>
      <c r="E186" t="str">
        <f>VLOOKUP($B186,Keys!$F$2:$I$22,4,FALSE)</f>
        <v>zero</v>
      </c>
      <c r="F186" t="str">
        <f>$A186&amp;Keys!$C$54&amp;$B186</f>
        <v>GA|geothermal (is not a fuel)</v>
      </c>
      <c r="G186" s="10">
        <f>IF($E186=Keys!$C$60,Keys!$C$51,INDEX(Balanced_2025!$D$9:$D$3032,MATCH($A186&amp;Keys!$C$54&amp;Keys!$C$55&amp;Keys!$C$54&amp;$C186,Balanced_2025!$E$9:$E$3032,0)))</f>
        <v>0</v>
      </c>
      <c r="H186" s="10">
        <f>IF($E186=Keys!$C$60,Keys!$C$51,INDEX(Balanced_2025!$D$9:$D$3032,MATCH($A186&amp;Keys!$C$54&amp;Keys!$C$56&amp;Keys!$C$54&amp;$C186,Balanced_2025!$E$9:$E$3032,0)))</f>
        <v>0</v>
      </c>
      <c r="I186" s="10">
        <f>IF($E186=Keys!$C$60,Keys!$C$51,INDEX(Balanced_2025!$D$9:$D$3032,MATCH($A186&amp;Keys!$C$54&amp;Keys!$C$57&amp;Keys!$C$54&amp;$C186,Balanced_2025!$E$9:$E$3032,0)))</f>
        <v>0</v>
      </c>
      <c r="J186" s="10">
        <f t="shared" si="8"/>
        <v>0</v>
      </c>
      <c r="K186" s="10">
        <f>MAX(Keys!$C$51,$I186-$H186)</f>
        <v>0</v>
      </c>
      <c r="L186" s="10">
        <f t="shared" si="9"/>
        <v>0</v>
      </c>
      <c r="M186" s="11">
        <f>IF($L186&gt;Keys!$C$51,MIN(Keys!$C$52,$K186/$L186),Keys!$C$51)</f>
        <v>0</v>
      </c>
      <c r="N186" s="11">
        <f>IF($E186=Keys!$C$60,Keys!$C$51,IF($E186=Keys!$C$59,$D186,$M186))</f>
        <v>0</v>
      </c>
      <c r="O186">
        <f t="shared" si="10"/>
        <v>0</v>
      </c>
      <c r="P186" s="10">
        <f>IF($E186=Keys!$C$60,Keys!$C$51,INDEX(Raw_BFPIaE!$G$9:$G$3032,MATCH($A186&amp;Keys!$C$54&amp;Keys!$C$55&amp;Keys!$C$54&amp;$B186,Raw_BFPIaE!$H$9:$H$3032,0)))</f>
        <v>0</v>
      </c>
      <c r="Q186" s="10">
        <f>IF($E186=Keys!$C$60,Keys!$C$51,INDEX(Raw_BFPIaE!$G$9:$G$3032,MATCH($A186&amp;Keys!$C$54&amp;Keys!$C$56&amp;Keys!$C$54&amp;$B186,Raw_BFPIaE!$H$9:$H$3032,0)))</f>
        <v>0</v>
      </c>
      <c r="R186" s="10">
        <f>IF($E186=Keys!$C$60,Keys!$C$51,INDEX(Raw_BFPIaE!$G$9:$G$3032,MATCH($A186&amp;Keys!$C$54&amp;Keys!$C$57&amp;Keys!$C$54&amp;$B186,Raw_BFPIaE!$H$9:$H$3032,0)))</f>
        <v>0</v>
      </c>
      <c r="S186" s="11">
        <f>IF(($P186+$Q186-$R186+MAX(Keys!$C$51,$R186-$Q186))&gt;Keys!$C$51,MIN(Keys!$C$52,MAX(Keys!$C$51,$R186-$Q186)/($P186+$Q186-$R186+MAX(Keys!$C$51,$R186-$Q186))),Keys!$C$51)</f>
        <v>0</v>
      </c>
      <c r="T186">
        <f>IF(AND($I186&gt;$H186,ABS($L186-$G186)&gt;MAX(Keys!$C$62,ABS($G186)*Keys!$C$63)),1,0)</f>
        <v>0</v>
      </c>
      <c r="U186">
        <f>IF(OR($N186&lt;Keys!$C$51,$N186&gt;Keys!$C$52),1,0)</f>
        <v>0</v>
      </c>
      <c r="V186">
        <f>IF(AND($E186=Keys!$C$60,$N186&lt;&gt;Keys!$C$51),1,0)</f>
        <v>0</v>
      </c>
      <c r="W186">
        <f>IF($L186&gt;Keys!$C$51,IF($K186/$L186&gt;Keys!$C$52,1,0),0)</f>
        <v>0</v>
      </c>
      <c r="X186" s="11">
        <f t="shared" si="11"/>
        <v>0</v>
      </c>
    </row>
    <row r="187" spans="1:24" x14ac:dyDescent="0.25">
      <c r="A187" t="s">
        <v>84</v>
      </c>
      <c r="B187" t="s">
        <v>106</v>
      </c>
      <c r="C187" t="str">
        <f>VLOOKUP($B187,Keys!$F$2:$I$22,2,FALSE)</f>
        <v>lignite</v>
      </c>
      <c r="D187">
        <f>VLOOKUP($B187,Keys!$F$2:$I$22,3,FALSE)</f>
        <v>0</v>
      </c>
      <c r="E187" t="str">
        <f>VLOOKUP($B187,Keys!$F$2:$I$22,4,FALSE)</f>
        <v>rule</v>
      </c>
      <c r="F187" t="str">
        <f>$A187&amp;Keys!$C$54&amp;$B187</f>
        <v>GA|lignite</v>
      </c>
      <c r="G187" s="10">
        <f>IF($E187=Keys!$C$60,Keys!$C$51,INDEX(Balanced_2025!$D$9:$D$3032,MATCH($A187&amp;Keys!$C$54&amp;Keys!$C$55&amp;Keys!$C$54&amp;$C187,Balanced_2025!$E$9:$E$3032,0)))</f>
        <v>0</v>
      </c>
      <c r="H187" s="10">
        <f>IF($E187=Keys!$C$60,Keys!$C$51,INDEX(Balanced_2025!$D$9:$D$3032,MATCH($A187&amp;Keys!$C$54&amp;Keys!$C$56&amp;Keys!$C$54&amp;$C187,Balanced_2025!$E$9:$E$3032,0)))</f>
        <v>0</v>
      </c>
      <c r="I187" s="10">
        <f>IF($E187=Keys!$C$60,Keys!$C$51,INDEX(Balanced_2025!$D$9:$D$3032,MATCH($A187&amp;Keys!$C$54&amp;Keys!$C$57&amp;Keys!$C$54&amp;$C187,Balanced_2025!$E$9:$E$3032,0)))</f>
        <v>0</v>
      </c>
      <c r="J187" s="10">
        <f t="shared" si="8"/>
        <v>0</v>
      </c>
      <c r="K187" s="10">
        <f>MAX(Keys!$C$51,$I187-$H187)</f>
        <v>0</v>
      </c>
      <c r="L187" s="10">
        <f t="shared" si="9"/>
        <v>0</v>
      </c>
      <c r="M187" s="11">
        <f>IF($L187&gt;Keys!$C$51,MIN(Keys!$C$52,$K187/$L187),Keys!$C$51)</f>
        <v>0</v>
      </c>
      <c r="N187" s="11">
        <f>IF($E187=Keys!$C$60,Keys!$C$51,IF($E187=Keys!$C$59,$D187,$M187))</f>
        <v>0</v>
      </c>
      <c r="O187">
        <f t="shared" si="10"/>
        <v>0</v>
      </c>
      <c r="P187" s="10">
        <f>IF($E187=Keys!$C$60,Keys!$C$51,INDEX(Raw_BFPIaE!$G$9:$G$3032,MATCH($A187&amp;Keys!$C$54&amp;Keys!$C$55&amp;Keys!$C$54&amp;$B187,Raw_BFPIaE!$H$9:$H$3032,0)))</f>
        <v>0</v>
      </c>
      <c r="Q187" s="10">
        <f>IF($E187=Keys!$C$60,Keys!$C$51,INDEX(Raw_BFPIaE!$G$9:$G$3032,MATCH($A187&amp;Keys!$C$54&amp;Keys!$C$56&amp;Keys!$C$54&amp;$B187,Raw_BFPIaE!$H$9:$H$3032,0)))</f>
        <v>0</v>
      </c>
      <c r="R187" s="10">
        <f>IF($E187=Keys!$C$60,Keys!$C$51,INDEX(Raw_BFPIaE!$G$9:$G$3032,MATCH($A187&amp;Keys!$C$54&amp;Keys!$C$57&amp;Keys!$C$54&amp;$B187,Raw_BFPIaE!$H$9:$H$3032,0)))</f>
        <v>0</v>
      </c>
      <c r="S187" s="11">
        <f>IF(($P187+$Q187-$R187+MAX(Keys!$C$51,$R187-$Q187))&gt;Keys!$C$51,MIN(Keys!$C$52,MAX(Keys!$C$51,$R187-$Q187)/($P187+$Q187-$R187+MAX(Keys!$C$51,$R187-$Q187))),Keys!$C$51)</f>
        <v>0</v>
      </c>
      <c r="T187">
        <f>IF(AND($I187&gt;$H187,ABS($L187-$G187)&gt;MAX(Keys!$C$62,ABS($G187)*Keys!$C$63)),1,0)</f>
        <v>0</v>
      </c>
      <c r="U187">
        <f>IF(OR($N187&lt;Keys!$C$51,$N187&gt;Keys!$C$52),1,0)</f>
        <v>0</v>
      </c>
      <c r="V187">
        <f>IF(AND($E187=Keys!$C$60,$N187&lt;&gt;Keys!$C$51),1,0)</f>
        <v>0</v>
      </c>
      <c r="W187">
        <f>IF($L187&gt;Keys!$C$51,IF($K187/$L187&gt;Keys!$C$52,1,0),0)</f>
        <v>0</v>
      </c>
      <c r="X187" s="11">
        <f t="shared" si="11"/>
        <v>0</v>
      </c>
    </row>
    <row r="188" spans="1:24" x14ac:dyDescent="0.25">
      <c r="A188" t="s">
        <v>84</v>
      </c>
      <c r="B188" t="s">
        <v>109</v>
      </c>
      <c r="C188" t="str">
        <f>VLOOKUP($B188,Keys!$F$2:$I$22,2,FALSE)</f>
        <v>crude oil</v>
      </c>
      <c r="D188">
        <f>VLOOKUP($B188,Keys!$F$2:$I$22,3,FALSE)</f>
        <v>1</v>
      </c>
      <c r="E188" t="str">
        <f>VLOOKUP($B188,Keys!$F$2:$I$22,4,FALSE)</f>
        <v>hold</v>
      </c>
      <c r="F188" t="str">
        <f>$A188&amp;Keys!$C$54&amp;$B188</f>
        <v>GA|crude oil</v>
      </c>
      <c r="G188" s="10">
        <f>IF($E188=Keys!$C$60,Keys!$C$51,INDEX(Balanced_2025!$D$9:$D$3032,MATCH($A188&amp;Keys!$C$54&amp;Keys!$C$55&amp;Keys!$C$54&amp;$C188,Balanced_2025!$E$9:$E$3032,0)))</f>
        <v>0</v>
      </c>
      <c r="H188" s="10">
        <f>IF($E188=Keys!$C$60,Keys!$C$51,INDEX(Balanced_2025!$D$9:$D$3032,MATCH($A188&amp;Keys!$C$54&amp;Keys!$C$56&amp;Keys!$C$54&amp;$C188,Balanced_2025!$E$9:$E$3032,0)))</f>
        <v>4978000000000</v>
      </c>
      <c r="I188" s="10">
        <f>IF($E188=Keys!$C$60,Keys!$C$51,INDEX(Balanced_2025!$D$9:$D$3032,MATCH($A188&amp;Keys!$C$54&amp;Keys!$C$57&amp;Keys!$C$54&amp;$C188,Balanced_2025!$E$9:$E$3032,0)))</f>
        <v>0</v>
      </c>
      <c r="J188" s="10">
        <f t="shared" si="8"/>
        <v>4978000000000</v>
      </c>
      <c r="K188" s="10">
        <f>MAX(Keys!$C$51,$I188-$H188)</f>
        <v>0</v>
      </c>
      <c r="L188" s="10">
        <f t="shared" si="9"/>
        <v>4978000000000</v>
      </c>
      <c r="M188" s="11">
        <f>IF($L188&gt;Keys!$C$51,MIN(Keys!$C$52,$K188/$L188),Keys!$C$51)</f>
        <v>0</v>
      </c>
      <c r="N188" s="11">
        <f>IF($E188=Keys!$C$60,Keys!$C$51,IF($E188=Keys!$C$59,$D188,$M188))</f>
        <v>1</v>
      </c>
      <c r="O188">
        <f t="shared" si="10"/>
        <v>0</v>
      </c>
      <c r="P188" s="10">
        <f>IF($E188=Keys!$C$60,Keys!$C$51,INDEX(Raw_BFPIaE!$G$9:$G$3032,MATCH($A188&amp;Keys!$C$54&amp;Keys!$C$55&amp;Keys!$C$54&amp;$B188,Raw_BFPIaE!$H$9:$H$3032,0)))</f>
        <v>0</v>
      </c>
      <c r="Q188" s="10">
        <f>IF($E188=Keys!$C$60,Keys!$C$51,INDEX(Raw_BFPIaE!$G$9:$G$3032,MATCH($A188&amp;Keys!$C$54&amp;Keys!$C$56&amp;Keys!$C$54&amp;$B188,Raw_BFPIaE!$H$9:$H$3032,0)))</f>
        <v>1659333333333.3333</v>
      </c>
      <c r="R188" s="10">
        <f>IF($E188=Keys!$C$60,Keys!$C$51,INDEX(Raw_BFPIaE!$G$9:$G$3032,MATCH($A188&amp;Keys!$C$54&amp;Keys!$C$57&amp;Keys!$C$54&amp;$B188,Raw_BFPIaE!$H$9:$H$3032,0)))</f>
        <v>0</v>
      </c>
      <c r="S188" s="11">
        <f>IF(($P188+$Q188-$R188+MAX(Keys!$C$51,$R188-$Q188))&gt;Keys!$C$51,MIN(Keys!$C$52,MAX(Keys!$C$51,$R188-$Q188)/($P188+$Q188-$R188+MAX(Keys!$C$51,$R188-$Q188))),Keys!$C$51)</f>
        <v>0</v>
      </c>
      <c r="T188">
        <f>IF(AND($I188&gt;$H188,ABS($L188-$G188)&gt;MAX(Keys!$C$62,ABS($G188)*Keys!$C$63)),1,0)</f>
        <v>0</v>
      </c>
      <c r="U188">
        <f>IF(OR($N188&lt;Keys!$C$51,$N188&gt;Keys!$C$52),1,0)</f>
        <v>0</v>
      </c>
      <c r="V188">
        <f>IF(AND($E188=Keys!$C$60,$N188&lt;&gt;Keys!$C$51),1,0)</f>
        <v>0</v>
      </c>
      <c r="W188">
        <f>IF($L188&gt;Keys!$C$51,IF($K188/$L188&gt;Keys!$C$52,1,0),0)</f>
        <v>0</v>
      </c>
      <c r="X188" s="11">
        <f t="shared" si="11"/>
        <v>0</v>
      </c>
    </row>
    <row r="189" spans="1:24" x14ac:dyDescent="0.25">
      <c r="A189" t="s">
        <v>84</v>
      </c>
      <c r="B189" t="s">
        <v>113</v>
      </c>
      <c r="C189" t="str">
        <f>VLOOKUP($B189,Keys!$F$2:$I$22,2,FALSE)</f>
        <v>heavy or residual fuel oil</v>
      </c>
      <c r="D189">
        <f>VLOOKUP($B189,Keys!$F$2:$I$22,3,FALSE)</f>
        <v>0.49914171099999999</v>
      </c>
      <c r="E189" t="str">
        <f>VLOOKUP($B189,Keys!$F$2:$I$22,4,FALSE)</f>
        <v>rule</v>
      </c>
      <c r="F189" t="str">
        <f>$A189&amp;Keys!$C$54&amp;$B189</f>
        <v>GA|heavy fuel oil</v>
      </c>
      <c r="G189" s="10">
        <f>IF($E189=Keys!$C$60,Keys!$C$51,INDEX(Balanced_2025!$D$9:$D$3032,MATCH($A189&amp;Keys!$C$54&amp;Keys!$C$55&amp;Keys!$C$54&amp;$C189,Balanced_2025!$E$9:$E$3032,0)))</f>
        <v>0</v>
      </c>
      <c r="H189" s="10">
        <f>IF($E189=Keys!$C$60,Keys!$C$51,INDEX(Balanced_2025!$D$9:$D$3032,MATCH($A189&amp;Keys!$C$54&amp;Keys!$C$56&amp;Keys!$C$54&amp;$C189,Balanced_2025!$E$9:$E$3032,0)))</f>
        <v>34908300000000</v>
      </c>
      <c r="I189" s="10">
        <f>IF($E189=Keys!$C$60,Keys!$C$51,INDEX(Balanced_2025!$D$9:$D$3032,MATCH($A189&amp;Keys!$C$54&amp;Keys!$C$57&amp;Keys!$C$54&amp;$C189,Balanced_2025!$E$9:$E$3032,0)))</f>
        <v>0</v>
      </c>
      <c r="J189" s="10">
        <f t="shared" si="8"/>
        <v>34908300000000</v>
      </c>
      <c r="K189" s="10">
        <f>MAX(Keys!$C$51,$I189-$H189)</f>
        <v>0</v>
      </c>
      <c r="L189" s="10">
        <f t="shared" si="9"/>
        <v>34908300000000</v>
      </c>
      <c r="M189" s="11">
        <f>IF($L189&gt;Keys!$C$51,MIN(Keys!$C$52,$K189/$L189),Keys!$C$51)</f>
        <v>0</v>
      </c>
      <c r="N189" s="11">
        <f>IF($E189=Keys!$C$60,Keys!$C$51,IF($E189=Keys!$C$59,$D189,$M189))</f>
        <v>0</v>
      </c>
      <c r="O189">
        <f t="shared" si="10"/>
        <v>1</v>
      </c>
      <c r="P189" s="10">
        <f>IF($E189=Keys!$C$60,Keys!$C$51,INDEX(Raw_BFPIaE!$G$9:$G$3032,MATCH($A189&amp;Keys!$C$54&amp;Keys!$C$55&amp;Keys!$C$54&amp;$B189,Raw_BFPIaE!$H$9:$H$3032,0)))</f>
        <v>0</v>
      </c>
      <c r="Q189" s="10">
        <f>IF($E189=Keys!$C$60,Keys!$C$51,INDEX(Raw_BFPIaE!$G$9:$G$3032,MATCH($A189&amp;Keys!$C$54&amp;Keys!$C$56&amp;Keys!$C$54&amp;$B189,Raw_BFPIaE!$H$9:$H$3032,0)))</f>
        <v>23564233333333.332</v>
      </c>
      <c r="R189" s="10">
        <f>IF($E189=Keys!$C$60,Keys!$C$51,INDEX(Raw_BFPIaE!$G$9:$G$3032,MATCH($A189&amp;Keys!$C$54&amp;Keys!$C$57&amp;Keys!$C$54&amp;$B189,Raw_BFPIaE!$H$9:$H$3032,0)))</f>
        <v>0</v>
      </c>
      <c r="S189" s="11">
        <f>IF(($P189+$Q189-$R189+MAX(Keys!$C$51,$R189-$Q189))&gt;Keys!$C$51,MIN(Keys!$C$52,MAX(Keys!$C$51,$R189-$Q189)/($P189+$Q189-$R189+MAX(Keys!$C$51,$R189-$Q189))),Keys!$C$51)</f>
        <v>0</v>
      </c>
      <c r="T189">
        <f>IF(AND($I189&gt;$H189,ABS($L189-$G189)&gt;MAX(Keys!$C$62,ABS($G189)*Keys!$C$63)),1,0)</f>
        <v>0</v>
      </c>
      <c r="U189">
        <f>IF(OR($N189&lt;Keys!$C$51,$N189&gt;Keys!$C$52),1,0)</f>
        <v>0</v>
      </c>
      <c r="V189">
        <f>IF(AND($E189=Keys!$C$60,$N189&lt;&gt;Keys!$C$51),1,0)</f>
        <v>0</v>
      </c>
      <c r="W189">
        <f>IF($L189&gt;Keys!$C$51,IF($K189/$L189&gt;Keys!$C$52,1,0),0)</f>
        <v>0</v>
      </c>
      <c r="X189" s="11">
        <f t="shared" si="11"/>
        <v>0</v>
      </c>
    </row>
    <row r="190" spans="1:24" x14ac:dyDescent="0.25">
      <c r="A190" t="s">
        <v>84</v>
      </c>
      <c r="B190" t="s">
        <v>117</v>
      </c>
      <c r="C190" t="str">
        <f>VLOOKUP($B190,Keys!$F$2:$I$22,2,FALSE)</f>
        <v>LPG propane or butane</v>
      </c>
      <c r="D190">
        <f>VLOOKUP($B190,Keys!$F$2:$I$22,3,FALSE)</f>
        <v>0.54955999499999997</v>
      </c>
      <c r="E190" t="str">
        <f>VLOOKUP($B190,Keys!$F$2:$I$22,4,FALSE)</f>
        <v>rule</v>
      </c>
      <c r="F190" t="str">
        <f>$A190&amp;Keys!$C$54&amp;$B190</f>
        <v>GA|LPG propane or butane</v>
      </c>
      <c r="G190" s="10">
        <f>IF($E190=Keys!$C$60,Keys!$C$51,INDEX(Balanced_2025!$D$9:$D$3032,MATCH($A190&amp;Keys!$C$54&amp;Keys!$C$55&amp;Keys!$C$54&amp;$C190,Balanced_2025!$E$9:$E$3032,0)))</f>
        <v>0</v>
      </c>
      <c r="H190" s="10">
        <f>IF($E190=Keys!$C$60,Keys!$C$51,INDEX(Balanced_2025!$D$9:$D$3032,MATCH($A190&amp;Keys!$C$54&amp;Keys!$C$56&amp;Keys!$C$54&amp;$C190,Balanced_2025!$E$9:$E$3032,0)))</f>
        <v>22603300000000</v>
      </c>
      <c r="I190" s="10">
        <f>IF($E190=Keys!$C$60,Keys!$C$51,INDEX(Balanced_2025!$D$9:$D$3032,MATCH($A190&amp;Keys!$C$54&amp;Keys!$C$57&amp;Keys!$C$54&amp;$C190,Balanced_2025!$E$9:$E$3032,0)))</f>
        <v>0</v>
      </c>
      <c r="J190" s="10">
        <f t="shared" si="8"/>
        <v>22603300000000</v>
      </c>
      <c r="K190" s="10">
        <f>MAX(Keys!$C$51,$I190-$H190)</f>
        <v>0</v>
      </c>
      <c r="L190" s="10">
        <f t="shared" si="9"/>
        <v>22603300000000</v>
      </c>
      <c r="M190" s="11">
        <f>IF($L190&gt;Keys!$C$51,MIN(Keys!$C$52,$K190/$L190),Keys!$C$51)</f>
        <v>0</v>
      </c>
      <c r="N190" s="11">
        <f>IF($E190=Keys!$C$60,Keys!$C$51,IF($E190=Keys!$C$59,$D190,$M190))</f>
        <v>0</v>
      </c>
      <c r="O190">
        <f t="shared" si="10"/>
        <v>1</v>
      </c>
      <c r="P190" s="10">
        <f>IF($E190=Keys!$C$60,Keys!$C$51,INDEX(Raw_BFPIaE!$G$9:$G$3032,MATCH($A190&amp;Keys!$C$54&amp;Keys!$C$55&amp;Keys!$C$54&amp;$B190,Raw_BFPIaE!$H$9:$H$3032,0)))</f>
        <v>0</v>
      </c>
      <c r="Q190" s="10">
        <f>IF($E190=Keys!$C$60,Keys!$C$51,INDEX(Raw_BFPIaE!$G$9:$G$3032,MATCH($A190&amp;Keys!$C$54&amp;Keys!$C$56&amp;Keys!$C$54&amp;$B190,Raw_BFPIaE!$H$9:$H$3032,0)))</f>
        <v>14984533333333.334</v>
      </c>
      <c r="R190" s="10">
        <f>IF($E190=Keys!$C$60,Keys!$C$51,INDEX(Raw_BFPIaE!$G$9:$G$3032,MATCH($A190&amp;Keys!$C$54&amp;Keys!$C$57&amp;Keys!$C$54&amp;$B190,Raw_BFPIaE!$H$9:$H$3032,0)))</f>
        <v>0</v>
      </c>
      <c r="S190" s="11">
        <f>IF(($P190+$Q190-$R190+MAX(Keys!$C$51,$R190-$Q190))&gt;Keys!$C$51,MIN(Keys!$C$52,MAX(Keys!$C$51,$R190-$Q190)/($P190+$Q190-$R190+MAX(Keys!$C$51,$R190-$Q190))),Keys!$C$51)</f>
        <v>0</v>
      </c>
      <c r="T190">
        <f>IF(AND($I190&gt;$H190,ABS($L190-$G190)&gt;MAX(Keys!$C$62,ABS($G190)*Keys!$C$63)),1,0)</f>
        <v>0</v>
      </c>
      <c r="U190">
        <f>IF(OR($N190&lt;Keys!$C$51,$N190&gt;Keys!$C$52),1,0)</f>
        <v>0</v>
      </c>
      <c r="V190">
        <f>IF(AND($E190=Keys!$C$60,$N190&lt;&gt;Keys!$C$51),1,0)</f>
        <v>0</v>
      </c>
      <c r="W190">
        <f>IF($L190&gt;Keys!$C$51,IF($K190/$L190&gt;Keys!$C$52,1,0),0)</f>
        <v>0</v>
      </c>
      <c r="X190" s="11">
        <f t="shared" si="11"/>
        <v>0</v>
      </c>
    </row>
    <row r="191" spans="1:24" x14ac:dyDescent="0.25">
      <c r="A191" t="s">
        <v>84</v>
      </c>
      <c r="B191" t="s">
        <v>120</v>
      </c>
      <c r="C191">
        <f>VLOOKUP($B191,Keys!$F$2:$I$22,2,FALSE)</f>
        <v>0</v>
      </c>
      <c r="D191">
        <f>VLOOKUP($B191,Keys!$F$2:$I$22,3,FALSE)</f>
        <v>0</v>
      </c>
      <c r="E191" t="str">
        <f>VLOOKUP($B191,Keys!$F$2:$I$22,4,FALSE)</f>
        <v>zero</v>
      </c>
      <c r="F191" t="str">
        <f>$A191&amp;Keys!$C$54&amp;$B191</f>
        <v>GA|municipal solid waste</v>
      </c>
      <c r="G191" s="10">
        <f>IF($E191=Keys!$C$60,Keys!$C$51,INDEX(Balanced_2025!$D$9:$D$3032,MATCH($A191&amp;Keys!$C$54&amp;Keys!$C$55&amp;Keys!$C$54&amp;$C191,Balanced_2025!$E$9:$E$3032,0)))</f>
        <v>0</v>
      </c>
      <c r="H191" s="10">
        <f>IF($E191=Keys!$C$60,Keys!$C$51,INDEX(Balanced_2025!$D$9:$D$3032,MATCH($A191&amp;Keys!$C$54&amp;Keys!$C$56&amp;Keys!$C$54&amp;$C191,Balanced_2025!$E$9:$E$3032,0)))</f>
        <v>0</v>
      </c>
      <c r="I191" s="10">
        <f>IF($E191=Keys!$C$60,Keys!$C$51,INDEX(Balanced_2025!$D$9:$D$3032,MATCH($A191&amp;Keys!$C$54&amp;Keys!$C$57&amp;Keys!$C$54&amp;$C191,Balanced_2025!$E$9:$E$3032,0)))</f>
        <v>0</v>
      </c>
      <c r="J191" s="10">
        <f t="shared" si="8"/>
        <v>0</v>
      </c>
      <c r="K191" s="10">
        <f>MAX(Keys!$C$51,$I191-$H191)</f>
        <v>0</v>
      </c>
      <c r="L191" s="10">
        <f t="shared" si="9"/>
        <v>0</v>
      </c>
      <c r="M191" s="11">
        <f>IF($L191&gt;Keys!$C$51,MIN(Keys!$C$52,$K191/$L191),Keys!$C$51)</f>
        <v>0</v>
      </c>
      <c r="N191" s="11">
        <f>IF($E191=Keys!$C$60,Keys!$C$51,IF($E191=Keys!$C$59,$D191,$M191))</f>
        <v>0</v>
      </c>
      <c r="O191">
        <f t="shared" si="10"/>
        <v>0</v>
      </c>
      <c r="P191" s="10">
        <f>IF($E191=Keys!$C$60,Keys!$C$51,INDEX(Raw_BFPIaE!$G$9:$G$3032,MATCH($A191&amp;Keys!$C$54&amp;Keys!$C$55&amp;Keys!$C$54&amp;$B191,Raw_BFPIaE!$H$9:$H$3032,0)))</f>
        <v>0</v>
      </c>
      <c r="Q191" s="10">
        <f>IF($E191=Keys!$C$60,Keys!$C$51,INDEX(Raw_BFPIaE!$G$9:$G$3032,MATCH($A191&amp;Keys!$C$54&amp;Keys!$C$56&amp;Keys!$C$54&amp;$B191,Raw_BFPIaE!$H$9:$H$3032,0)))</f>
        <v>0</v>
      </c>
      <c r="R191" s="10">
        <f>IF($E191=Keys!$C$60,Keys!$C$51,INDEX(Raw_BFPIaE!$G$9:$G$3032,MATCH($A191&amp;Keys!$C$54&amp;Keys!$C$57&amp;Keys!$C$54&amp;$B191,Raw_BFPIaE!$H$9:$H$3032,0)))</f>
        <v>0</v>
      </c>
      <c r="S191" s="11">
        <f>IF(($P191+$Q191-$R191+MAX(Keys!$C$51,$R191-$Q191))&gt;Keys!$C$51,MIN(Keys!$C$52,MAX(Keys!$C$51,$R191-$Q191)/($P191+$Q191-$R191+MAX(Keys!$C$51,$R191-$Q191))),Keys!$C$51)</f>
        <v>0</v>
      </c>
      <c r="T191">
        <f>IF(AND($I191&gt;$H191,ABS($L191-$G191)&gt;MAX(Keys!$C$62,ABS($G191)*Keys!$C$63)),1,0)</f>
        <v>0</v>
      </c>
      <c r="U191">
        <f>IF(OR($N191&lt;Keys!$C$51,$N191&gt;Keys!$C$52),1,0)</f>
        <v>0</v>
      </c>
      <c r="V191">
        <f>IF(AND($E191=Keys!$C$60,$N191&lt;&gt;Keys!$C$51),1,0)</f>
        <v>0</v>
      </c>
      <c r="W191">
        <f>IF($L191&gt;Keys!$C$51,IF($K191/$L191&gt;Keys!$C$52,1,0),0)</f>
        <v>0</v>
      </c>
      <c r="X191" s="11">
        <f t="shared" si="11"/>
        <v>0</v>
      </c>
    </row>
    <row r="192" spans="1:24" x14ac:dyDescent="0.25">
      <c r="A192" t="s">
        <v>84</v>
      </c>
      <c r="B192" t="s">
        <v>123</v>
      </c>
      <c r="C192">
        <f>VLOOKUP($B192,Keys!$F$2:$I$22,2,FALSE)</f>
        <v>0</v>
      </c>
      <c r="D192">
        <f>VLOOKUP($B192,Keys!$F$2:$I$22,3,FALSE)</f>
        <v>0</v>
      </c>
      <c r="E192" t="str">
        <f>VLOOKUP($B192,Keys!$F$2:$I$22,4,FALSE)</f>
        <v>zero</v>
      </c>
      <c r="F192" t="str">
        <f>$A192&amp;Keys!$C$54&amp;$B192</f>
        <v>GA|hydrogen</v>
      </c>
      <c r="G192" s="10">
        <f>IF($E192=Keys!$C$60,Keys!$C$51,INDEX(Balanced_2025!$D$9:$D$3032,MATCH($A192&amp;Keys!$C$54&amp;Keys!$C$55&amp;Keys!$C$54&amp;$C192,Balanced_2025!$E$9:$E$3032,0)))</f>
        <v>0</v>
      </c>
      <c r="H192" s="10">
        <f>IF($E192=Keys!$C$60,Keys!$C$51,INDEX(Balanced_2025!$D$9:$D$3032,MATCH($A192&amp;Keys!$C$54&amp;Keys!$C$56&amp;Keys!$C$54&amp;$C192,Balanced_2025!$E$9:$E$3032,0)))</f>
        <v>0</v>
      </c>
      <c r="I192" s="10">
        <f>IF($E192=Keys!$C$60,Keys!$C$51,INDEX(Balanced_2025!$D$9:$D$3032,MATCH($A192&amp;Keys!$C$54&amp;Keys!$C$57&amp;Keys!$C$54&amp;$C192,Balanced_2025!$E$9:$E$3032,0)))</f>
        <v>0</v>
      </c>
      <c r="J192" s="10">
        <f t="shared" si="8"/>
        <v>0</v>
      </c>
      <c r="K192" s="10">
        <f>MAX(Keys!$C$51,$I192-$H192)</f>
        <v>0</v>
      </c>
      <c r="L192" s="10">
        <f t="shared" si="9"/>
        <v>0</v>
      </c>
      <c r="M192" s="11">
        <f>IF($L192&gt;Keys!$C$51,MIN(Keys!$C$52,$K192/$L192),Keys!$C$51)</f>
        <v>0</v>
      </c>
      <c r="N192" s="11">
        <f>IF($E192=Keys!$C$60,Keys!$C$51,IF($E192=Keys!$C$59,$D192,$M192))</f>
        <v>0</v>
      </c>
      <c r="O192">
        <f t="shared" si="10"/>
        <v>0</v>
      </c>
      <c r="P192" s="10">
        <f>IF($E192=Keys!$C$60,Keys!$C$51,INDEX(Raw_BFPIaE!$G$9:$G$3032,MATCH($A192&amp;Keys!$C$54&amp;Keys!$C$55&amp;Keys!$C$54&amp;$B192,Raw_BFPIaE!$H$9:$H$3032,0)))</f>
        <v>0</v>
      </c>
      <c r="Q192" s="10">
        <f>IF($E192=Keys!$C$60,Keys!$C$51,INDEX(Raw_BFPIaE!$G$9:$G$3032,MATCH($A192&amp;Keys!$C$54&amp;Keys!$C$56&amp;Keys!$C$54&amp;$B192,Raw_BFPIaE!$H$9:$H$3032,0)))</f>
        <v>0</v>
      </c>
      <c r="R192" s="10">
        <f>IF($E192=Keys!$C$60,Keys!$C$51,INDEX(Raw_BFPIaE!$G$9:$G$3032,MATCH($A192&amp;Keys!$C$54&amp;Keys!$C$57&amp;Keys!$C$54&amp;$B192,Raw_BFPIaE!$H$9:$H$3032,0)))</f>
        <v>0</v>
      </c>
      <c r="S192" s="11">
        <f>IF(($P192+$Q192-$R192+MAX(Keys!$C$51,$R192-$Q192))&gt;Keys!$C$51,MIN(Keys!$C$52,MAX(Keys!$C$51,$R192-$Q192)/($P192+$Q192-$R192+MAX(Keys!$C$51,$R192-$Q192))),Keys!$C$51)</f>
        <v>0</v>
      </c>
      <c r="T192">
        <f>IF(AND($I192&gt;$H192,ABS($L192-$G192)&gt;MAX(Keys!$C$62,ABS($G192)*Keys!$C$63)),1,0)</f>
        <v>0</v>
      </c>
      <c r="U192">
        <f>IF(OR($N192&lt;Keys!$C$51,$N192&gt;Keys!$C$52),1,0)</f>
        <v>0</v>
      </c>
      <c r="V192">
        <f>IF(AND($E192=Keys!$C$60,$N192&lt;&gt;Keys!$C$51),1,0)</f>
        <v>0</v>
      </c>
      <c r="W192">
        <f>IF($L192&gt;Keys!$C$51,IF($K192/$L192&gt;Keys!$C$52,1,0),0)</f>
        <v>0</v>
      </c>
      <c r="X192" s="11">
        <f t="shared" si="11"/>
        <v>0</v>
      </c>
    </row>
    <row r="193" spans="1:24" x14ac:dyDescent="0.25">
      <c r="A193" t="s">
        <v>87</v>
      </c>
      <c r="B193" t="s">
        <v>60</v>
      </c>
      <c r="C193">
        <f>VLOOKUP($B193,Keys!$F$2:$I$22,2,FALSE)</f>
        <v>0</v>
      </c>
      <c r="D193">
        <f>VLOOKUP($B193,Keys!$F$2:$I$22,3,FALSE)</f>
        <v>0</v>
      </c>
      <c r="E193" t="str">
        <f>VLOOKUP($B193,Keys!$F$2:$I$22,4,FALSE)</f>
        <v>zero</v>
      </c>
      <c r="F193" t="str">
        <f>$A193&amp;Keys!$C$54&amp;$B193</f>
        <v>IA|electricity (not used in this variable)</v>
      </c>
      <c r="G193" s="10">
        <f>IF($E193=Keys!$C$60,Keys!$C$51,INDEX(Balanced_2025!$D$9:$D$3032,MATCH($A193&amp;Keys!$C$54&amp;Keys!$C$55&amp;Keys!$C$54&amp;$C193,Balanced_2025!$E$9:$E$3032,0)))</f>
        <v>0</v>
      </c>
      <c r="H193" s="10">
        <f>IF($E193=Keys!$C$60,Keys!$C$51,INDEX(Balanced_2025!$D$9:$D$3032,MATCH($A193&amp;Keys!$C$54&amp;Keys!$C$56&amp;Keys!$C$54&amp;$C193,Balanced_2025!$E$9:$E$3032,0)))</f>
        <v>0</v>
      </c>
      <c r="I193" s="10">
        <f>IF($E193=Keys!$C$60,Keys!$C$51,INDEX(Balanced_2025!$D$9:$D$3032,MATCH($A193&amp;Keys!$C$54&amp;Keys!$C$57&amp;Keys!$C$54&amp;$C193,Balanced_2025!$E$9:$E$3032,0)))</f>
        <v>0</v>
      </c>
      <c r="J193" s="10">
        <f t="shared" si="8"/>
        <v>0</v>
      </c>
      <c r="K193" s="10">
        <f>MAX(Keys!$C$51,$I193-$H193)</f>
        <v>0</v>
      </c>
      <c r="L193" s="10">
        <f t="shared" si="9"/>
        <v>0</v>
      </c>
      <c r="M193" s="11">
        <f>IF($L193&gt;Keys!$C$51,MIN(Keys!$C$52,$K193/$L193),Keys!$C$51)</f>
        <v>0</v>
      </c>
      <c r="N193" s="11">
        <f>IF($E193=Keys!$C$60,Keys!$C$51,IF($E193=Keys!$C$59,$D193,$M193))</f>
        <v>0</v>
      </c>
      <c r="O193">
        <f t="shared" si="10"/>
        <v>0</v>
      </c>
      <c r="P193" s="10">
        <f>IF($E193=Keys!$C$60,Keys!$C$51,INDEX(Raw_BFPIaE!$G$9:$G$3032,MATCH($A193&amp;Keys!$C$54&amp;Keys!$C$55&amp;Keys!$C$54&amp;$B193,Raw_BFPIaE!$H$9:$H$3032,0)))</f>
        <v>0</v>
      </c>
      <c r="Q193" s="10">
        <f>IF($E193=Keys!$C$60,Keys!$C$51,INDEX(Raw_BFPIaE!$G$9:$G$3032,MATCH($A193&amp;Keys!$C$54&amp;Keys!$C$56&amp;Keys!$C$54&amp;$B193,Raw_BFPIaE!$H$9:$H$3032,0)))</f>
        <v>0</v>
      </c>
      <c r="R193" s="10">
        <f>IF($E193=Keys!$C$60,Keys!$C$51,INDEX(Raw_BFPIaE!$G$9:$G$3032,MATCH($A193&amp;Keys!$C$54&amp;Keys!$C$57&amp;Keys!$C$54&amp;$B193,Raw_BFPIaE!$H$9:$H$3032,0)))</f>
        <v>0</v>
      </c>
      <c r="S193" s="11">
        <f>IF(($P193+$Q193-$R193+MAX(Keys!$C$51,$R193-$Q193))&gt;Keys!$C$51,MIN(Keys!$C$52,MAX(Keys!$C$51,$R193-$Q193)/($P193+$Q193-$R193+MAX(Keys!$C$51,$R193-$Q193))),Keys!$C$51)</f>
        <v>0</v>
      </c>
      <c r="T193">
        <f>IF(AND($I193&gt;$H193,ABS($L193-$G193)&gt;MAX(Keys!$C$62,ABS($G193)*Keys!$C$63)),1,0)</f>
        <v>0</v>
      </c>
      <c r="U193">
        <f>IF(OR($N193&lt;Keys!$C$51,$N193&gt;Keys!$C$52),1,0)</f>
        <v>0</v>
      </c>
      <c r="V193">
        <f>IF(AND($E193=Keys!$C$60,$N193&lt;&gt;Keys!$C$51),1,0)</f>
        <v>0</v>
      </c>
      <c r="W193">
        <f>IF($L193&gt;Keys!$C$51,IF($K193/$L193&gt;Keys!$C$52,1,0),0)</f>
        <v>0</v>
      </c>
      <c r="X193" s="11">
        <f t="shared" si="11"/>
        <v>0</v>
      </c>
    </row>
    <row r="194" spans="1:24" x14ac:dyDescent="0.25">
      <c r="A194" t="s">
        <v>87</v>
      </c>
      <c r="B194" t="s">
        <v>64</v>
      </c>
      <c r="C194" t="str">
        <f>VLOOKUP($B194,Keys!$F$2:$I$22,2,FALSE)</f>
        <v>hard coal</v>
      </c>
      <c r="D194">
        <f>VLOOKUP($B194,Keys!$F$2:$I$22,3,FALSE)</f>
        <v>0.137539879</v>
      </c>
      <c r="E194" t="str">
        <f>VLOOKUP($B194,Keys!$F$2:$I$22,4,FALSE)</f>
        <v>rule</v>
      </c>
      <c r="F194" t="str">
        <f>$A194&amp;Keys!$C$54&amp;$B194</f>
        <v>IA|hard coal</v>
      </c>
      <c r="G194" s="10">
        <f>IF($E194=Keys!$C$60,Keys!$C$51,INDEX(Balanced_2025!$D$9:$D$3032,MATCH($A194&amp;Keys!$C$54&amp;Keys!$C$55&amp;Keys!$C$54&amp;$C194,Balanced_2025!$E$9:$E$3032,0)))</f>
        <v>0</v>
      </c>
      <c r="H194" s="10">
        <f>IF($E194=Keys!$C$60,Keys!$C$51,INDEX(Balanced_2025!$D$9:$D$3032,MATCH($A194&amp;Keys!$C$54&amp;Keys!$C$56&amp;Keys!$C$54&amp;$C194,Balanced_2025!$E$9:$E$3032,0)))</f>
        <v>236083000000000</v>
      </c>
      <c r="I194" s="10">
        <f>IF($E194=Keys!$C$60,Keys!$C$51,INDEX(Balanced_2025!$D$9:$D$3032,MATCH($A194&amp;Keys!$C$54&amp;Keys!$C$57&amp;Keys!$C$54&amp;$C194,Balanced_2025!$E$9:$E$3032,0)))</f>
        <v>0</v>
      </c>
      <c r="J194" s="10">
        <f t="shared" si="8"/>
        <v>236083000000000</v>
      </c>
      <c r="K194" s="10">
        <f>MAX(Keys!$C$51,$I194-$H194)</f>
        <v>0</v>
      </c>
      <c r="L194" s="10">
        <f t="shared" si="9"/>
        <v>236083000000000</v>
      </c>
      <c r="M194" s="11">
        <f>IF($L194&gt;Keys!$C$51,MIN(Keys!$C$52,$K194/$L194),Keys!$C$51)</f>
        <v>0</v>
      </c>
      <c r="N194" s="11">
        <f>IF($E194=Keys!$C$60,Keys!$C$51,IF($E194=Keys!$C$59,$D194,$M194))</f>
        <v>0</v>
      </c>
      <c r="O194">
        <f t="shared" si="10"/>
        <v>1</v>
      </c>
      <c r="P194" s="10">
        <f>IF($E194=Keys!$C$60,Keys!$C$51,INDEX(Raw_BFPIaE!$G$9:$G$3032,MATCH($A194&amp;Keys!$C$54&amp;Keys!$C$55&amp;Keys!$C$54&amp;$B194,Raw_BFPIaE!$H$9:$H$3032,0)))</f>
        <v>0</v>
      </c>
      <c r="Q194" s="10">
        <f>IF($E194=Keys!$C$60,Keys!$C$51,INDEX(Raw_BFPIaE!$G$9:$G$3032,MATCH($A194&amp;Keys!$C$54&amp;Keys!$C$56&amp;Keys!$C$54&amp;$B194,Raw_BFPIaE!$H$9:$H$3032,0)))</f>
        <v>220157666666666.66</v>
      </c>
      <c r="R194" s="10">
        <f>IF($E194=Keys!$C$60,Keys!$C$51,INDEX(Raw_BFPIaE!$G$9:$G$3032,MATCH($A194&amp;Keys!$C$54&amp;Keys!$C$57&amp;Keys!$C$54&amp;$B194,Raw_BFPIaE!$H$9:$H$3032,0)))</f>
        <v>0</v>
      </c>
      <c r="S194" s="11">
        <f>IF(($P194+$Q194-$R194+MAX(Keys!$C$51,$R194-$Q194))&gt;Keys!$C$51,MIN(Keys!$C$52,MAX(Keys!$C$51,$R194-$Q194)/($P194+$Q194-$R194+MAX(Keys!$C$51,$R194-$Q194))),Keys!$C$51)</f>
        <v>0</v>
      </c>
      <c r="T194">
        <f>IF(AND($I194&gt;$H194,ABS($L194-$G194)&gt;MAX(Keys!$C$62,ABS($G194)*Keys!$C$63)),1,0)</f>
        <v>0</v>
      </c>
      <c r="U194">
        <f>IF(OR($N194&lt;Keys!$C$51,$N194&gt;Keys!$C$52),1,0)</f>
        <v>0</v>
      </c>
      <c r="V194">
        <f>IF(AND($E194=Keys!$C$60,$N194&lt;&gt;Keys!$C$51),1,0)</f>
        <v>0</v>
      </c>
      <c r="W194">
        <f>IF($L194&gt;Keys!$C$51,IF($K194/$L194&gt;Keys!$C$52,1,0),0)</f>
        <v>0</v>
      </c>
      <c r="X194" s="11">
        <f t="shared" si="11"/>
        <v>0</v>
      </c>
    </row>
    <row r="195" spans="1:24" x14ac:dyDescent="0.25">
      <c r="A195" t="s">
        <v>87</v>
      </c>
      <c r="B195" t="s">
        <v>68</v>
      </c>
      <c r="C195" t="str">
        <f>VLOOKUP($B195,Keys!$F$2:$I$22,2,FALSE)</f>
        <v>natural gas</v>
      </c>
      <c r="D195">
        <f>VLOOKUP($B195,Keys!$F$2:$I$22,3,FALSE)</f>
        <v>0.190839183</v>
      </c>
      <c r="E195" t="str">
        <f>VLOOKUP($B195,Keys!$F$2:$I$22,4,FALSE)</f>
        <v>rule</v>
      </c>
      <c r="F195" t="str">
        <f>$A195&amp;Keys!$C$54&amp;$B195</f>
        <v>IA|natural gas</v>
      </c>
      <c r="G195" s="10">
        <f>IF($E195=Keys!$C$60,Keys!$C$51,INDEX(Balanced_2025!$D$9:$D$3032,MATCH($A195&amp;Keys!$C$54&amp;Keys!$C$55&amp;Keys!$C$54&amp;$C195,Balanced_2025!$E$9:$E$3032,0)))</f>
        <v>0</v>
      </c>
      <c r="H195" s="10">
        <f>IF($E195=Keys!$C$60,Keys!$C$51,INDEX(Balanced_2025!$D$9:$D$3032,MATCH($A195&amp;Keys!$C$54&amp;Keys!$C$56&amp;Keys!$C$54&amp;$C195,Balanced_2025!$E$9:$E$3032,0)))</f>
        <v>1996450000000000</v>
      </c>
      <c r="I195" s="10">
        <f>IF($E195=Keys!$C$60,Keys!$C$51,INDEX(Balanced_2025!$D$9:$D$3032,MATCH($A195&amp;Keys!$C$54&amp;Keys!$C$57&amp;Keys!$C$54&amp;$C195,Balanced_2025!$E$9:$E$3032,0)))</f>
        <v>1573230000000000</v>
      </c>
      <c r="J195" s="10">
        <f t="shared" si="8"/>
        <v>423220000000000</v>
      </c>
      <c r="K195" s="10">
        <f>MAX(Keys!$C$51,$I195-$H195)</f>
        <v>0</v>
      </c>
      <c r="L195" s="10">
        <f t="shared" si="9"/>
        <v>423220000000000</v>
      </c>
      <c r="M195" s="11">
        <f>IF($L195&gt;Keys!$C$51,MIN(Keys!$C$52,$K195/$L195),Keys!$C$51)</f>
        <v>0</v>
      </c>
      <c r="N195" s="11">
        <f>IF($E195=Keys!$C$60,Keys!$C$51,IF($E195=Keys!$C$59,$D195,$M195))</f>
        <v>0</v>
      </c>
      <c r="O195">
        <f t="shared" si="10"/>
        <v>1</v>
      </c>
      <c r="P195" s="10">
        <f>IF($E195=Keys!$C$60,Keys!$C$51,INDEX(Raw_BFPIaE!$G$9:$G$3032,MATCH($A195&amp;Keys!$C$54&amp;Keys!$C$55&amp;Keys!$C$54&amp;$B195,Raw_BFPIaE!$H$9:$H$3032,0)))</f>
        <v>0</v>
      </c>
      <c r="Q195" s="10">
        <f>IF($E195=Keys!$C$60,Keys!$C$51,INDEX(Raw_BFPIaE!$G$9:$G$3032,MATCH($A195&amp;Keys!$C$54&amp;Keys!$C$56&amp;Keys!$C$54&amp;$B195,Raw_BFPIaE!$H$9:$H$3032,0)))</f>
        <v>1977603333333333.3</v>
      </c>
      <c r="R195" s="10">
        <f>IF($E195=Keys!$C$60,Keys!$C$51,INDEX(Raw_BFPIaE!$G$9:$G$3032,MATCH($A195&amp;Keys!$C$54&amp;Keys!$C$57&amp;Keys!$C$54&amp;$B195,Raw_BFPIaE!$H$9:$H$3032,0)))</f>
        <v>1524286666666666.8</v>
      </c>
      <c r="S195" s="11">
        <f>IF(($P195+$Q195-$R195+MAX(Keys!$C$51,$R195-$Q195))&gt;Keys!$C$51,MIN(Keys!$C$52,MAX(Keys!$C$51,$R195-$Q195)/($P195+$Q195-$R195+MAX(Keys!$C$51,$R195-$Q195))),Keys!$C$51)</f>
        <v>0</v>
      </c>
      <c r="T195">
        <f>IF(AND($I195&gt;$H195,ABS($L195-$G195)&gt;MAX(Keys!$C$62,ABS($G195)*Keys!$C$63)),1,0)</f>
        <v>0</v>
      </c>
      <c r="U195">
        <f>IF(OR($N195&lt;Keys!$C$51,$N195&gt;Keys!$C$52),1,0)</f>
        <v>0</v>
      </c>
      <c r="V195">
        <f>IF(AND($E195=Keys!$C$60,$N195&lt;&gt;Keys!$C$51),1,0)</f>
        <v>0</v>
      </c>
      <c r="W195">
        <f>IF($L195&gt;Keys!$C$51,IF($K195/$L195&gt;Keys!$C$52,1,0),0)</f>
        <v>0</v>
      </c>
      <c r="X195" s="11">
        <f t="shared" si="11"/>
        <v>0</v>
      </c>
    </row>
    <row r="196" spans="1:24" x14ac:dyDescent="0.25">
      <c r="A196" t="s">
        <v>87</v>
      </c>
      <c r="B196" t="s">
        <v>71</v>
      </c>
      <c r="C196">
        <f>VLOOKUP($B196,Keys!$F$2:$I$22,2,FALSE)</f>
        <v>0</v>
      </c>
      <c r="D196">
        <f>VLOOKUP($B196,Keys!$F$2:$I$22,3,FALSE)</f>
        <v>0</v>
      </c>
      <c r="E196" t="str">
        <f>VLOOKUP($B196,Keys!$F$2:$I$22,4,FALSE)</f>
        <v>zero</v>
      </c>
      <c r="F196" t="str">
        <f>$A196&amp;Keys!$C$54&amp;$B196</f>
        <v>IA|nuclear</v>
      </c>
      <c r="G196" s="10">
        <f>IF($E196=Keys!$C$60,Keys!$C$51,INDEX(Balanced_2025!$D$9:$D$3032,MATCH($A196&amp;Keys!$C$54&amp;Keys!$C$55&amp;Keys!$C$54&amp;$C196,Balanced_2025!$E$9:$E$3032,0)))</f>
        <v>0</v>
      </c>
      <c r="H196" s="10">
        <f>IF($E196=Keys!$C$60,Keys!$C$51,INDEX(Balanced_2025!$D$9:$D$3032,MATCH($A196&amp;Keys!$C$54&amp;Keys!$C$56&amp;Keys!$C$54&amp;$C196,Balanced_2025!$E$9:$E$3032,0)))</f>
        <v>0</v>
      </c>
      <c r="I196" s="10">
        <f>IF($E196=Keys!$C$60,Keys!$C$51,INDEX(Balanced_2025!$D$9:$D$3032,MATCH($A196&amp;Keys!$C$54&amp;Keys!$C$57&amp;Keys!$C$54&amp;$C196,Balanced_2025!$E$9:$E$3032,0)))</f>
        <v>0</v>
      </c>
      <c r="J196" s="10">
        <f t="shared" ref="J196:J259" si="12">$G196+$H196-$I196</f>
        <v>0</v>
      </c>
      <c r="K196" s="10">
        <f>MAX(Keys!$C$51,$I196-$H196)</f>
        <v>0</v>
      </c>
      <c r="L196" s="10">
        <f t="shared" ref="L196:L259" si="13">$K196+$J196</f>
        <v>0</v>
      </c>
      <c r="M196" s="11">
        <f>IF($L196&gt;Keys!$C$51,MIN(Keys!$C$52,$K196/$L196),Keys!$C$51)</f>
        <v>0</v>
      </c>
      <c r="N196" s="11">
        <f>IF($E196=Keys!$C$60,Keys!$C$51,IF($E196=Keys!$C$59,$D196,$M196))</f>
        <v>0</v>
      </c>
      <c r="O196">
        <f t="shared" ref="O196:O259" si="14">IF($N196&lt;&gt;$D196,1,0)</f>
        <v>0</v>
      </c>
      <c r="P196" s="10">
        <f>IF($E196=Keys!$C$60,Keys!$C$51,INDEX(Raw_BFPIaE!$G$9:$G$3032,MATCH($A196&amp;Keys!$C$54&amp;Keys!$C$55&amp;Keys!$C$54&amp;$B196,Raw_BFPIaE!$H$9:$H$3032,0)))</f>
        <v>0</v>
      </c>
      <c r="Q196" s="10">
        <f>IF($E196=Keys!$C$60,Keys!$C$51,INDEX(Raw_BFPIaE!$G$9:$G$3032,MATCH($A196&amp;Keys!$C$54&amp;Keys!$C$56&amp;Keys!$C$54&amp;$B196,Raw_BFPIaE!$H$9:$H$3032,0)))</f>
        <v>0</v>
      </c>
      <c r="R196" s="10">
        <f>IF($E196=Keys!$C$60,Keys!$C$51,INDEX(Raw_BFPIaE!$G$9:$G$3032,MATCH($A196&amp;Keys!$C$54&amp;Keys!$C$57&amp;Keys!$C$54&amp;$B196,Raw_BFPIaE!$H$9:$H$3032,0)))</f>
        <v>0</v>
      </c>
      <c r="S196" s="11">
        <f>IF(($P196+$Q196-$R196+MAX(Keys!$C$51,$R196-$Q196))&gt;Keys!$C$51,MIN(Keys!$C$52,MAX(Keys!$C$51,$R196-$Q196)/($P196+$Q196-$R196+MAX(Keys!$C$51,$R196-$Q196))),Keys!$C$51)</f>
        <v>0</v>
      </c>
      <c r="T196">
        <f>IF(AND($I196&gt;$H196,ABS($L196-$G196)&gt;MAX(Keys!$C$62,ABS($G196)*Keys!$C$63)),1,0)</f>
        <v>0</v>
      </c>
      <c r="U196">
        <f>IF(OR($N196&lt;Keys!$C$51,$N196&gt;Keys!$C$52),1,0)</f>
        <v>0</v>
      </c>
      <c r="V196">
        <f>IF(AND($E196=Keys!$C$60,$N196&lt;&gt;Keys!$C$51),1,0)</f>
        <v>0</v>
      </c>
      <c r="W196">
        <f>IF($L196&gt;Keys!$C$51,IF($K196/$L196&gt;Keys!$C$52,1,0),0)</f>
        <v>0</v>
      </c>
      <c r="X196" s="11">
        <f t="shared" ref="X196:X259" si="15">ABS($M196-$S196)</f>
        <v>0</v>
      </c>
    </row>
    <row r="197" spans="1:24" x14ac:dyDescent="0.25">
      <c r="A197" t="s">
        <v>87</v>
      </c>
      <c r="B197" t="s">
        <v>74</v>
      </c>
      <c r="C197">
        <f>VLOOKUP($B197,Keys!$F$2:$I$22,2,FALSE)</f>
        <v>0</v>
      </c>
      <c r="D197">
        <f>VLOOKUP($B197,Keys!$F$2:$I$22,3,FALSE)</f>
        <v>0</v>
      </c>
      <c r="E197" t="str">
        <f>VLOOKUP($B197,Keys!$F$2:$I$22,4,FALSE)</f>
        <v>zero</v>
      </c>
      <c r="F197" t="str">
        <f>$A197&amp;Keys!$C$54&amp;$B197</f>
        <v>IA|hydro (is not a fuel)</v>
      </c>
      <c r="G197" s="10">
        <f>IF($E197=Keys!$C$60,Keys!$C$51,INDEX(Balanced_2025!$D$9:$D$3032,MATCH($A197&amp;Keys!$C$54&amp;Keys!$C$55&amp;Keys!$C$54&amp;$C197,Balanced_2025!$E$9:$E$3032,0)))</f>
        <v>0</v>
      </c>
      <c r="H197" s="10">
        <f>IF($E197=Keys!$C$60,Keys!$C$51,INDEX(Balanced_2025!$D$9:$D$3032,MATCH($A197&amp;Keys!$C$54&amp;Keys!$C$56&amp;Keys!$C$54&amp;$C197,Balanced_2025!$E$9:$E$3032,0)))</f>
        <v>0</v>
      </c>
      <c r="I197" s="10">
        <f>IF($E197=Keys!$C$60,Keys!$C$51,INDEX(Balanced_2025!$D$9:$D$3032,MATCH($A197&amp;Keys!$C$54&amp;Keys!$C$57&amp;Keys!$C$54&amp;$C197,Balanced_2025!$E$9:$E$3032,0)))</f>
        <v>0</v>
      </c>
      <c r="J197" s="10">
        <f t="shared" si="12"/>
        <v>0</v>
      </c>
      <c r="K197" s="10">
        <f>MAX(Keys!$C$51,$I197-$H197)</f>
        <v>0</v>
      </c>
      <c r="L197" s="10">
        <f t="shared" si="13"/>
        <v>0</v>
      </c>
      <c r="M197" s="11">
        <f>IF($L197&gt;Keys!$C$51,MIN(Keys!$C$52,$K197/$L197),Keys!$C$51)</f>
        <v>0</v>
      </c>
      <c r="N197" s="11">
        <f>IF($E197=Keys!$C$60,Keys!$C$51,IF($E197=Keys!$C$59,$D197,$M197))</f>
        <v>0</v>
      </c>
      <c r="O197">
        <f t="shared" si="14"/>
        <v>0</v>
      </c>
      <c r="P197" s="10">
        <f>IF($E197=Keys!$C$60,Keys!$C$51,INDEX(Raw_BFPIaE!$G$9:$G$3032,MATCH($A197&amp;Keys!$C$54&amp;Keys!$C$55&amp;Keys!$C$54&amp;$B197,Raw_BFPIaE!$H$9:$H$3032,0)))</f>
        <v>0</v>
      </c>
      <c r="Q197" s="10">
        <f>IF($E197=Keys!$C$60,Keys!$C$51,INDEX(Raw_BFPIaE!$G$9:$G$3032,MATCH($A197&amp;Keys!$C$54&amp;Keys!$C$56&amp;Keys!$C$54&amp;$B197,Raw_BFPIaE!$H$9:$H$3032,0)))</f>
        <v>0</v>
      </c>
      <c r="R197" s="10">
        <f>IF($E197=Keys!$C$60,Keys!$C$51,INDEX(Raw_BFPIaE!$G$9:$G$3032,MATCH($A197&amp;Keys!$C$54&amp;Keys!$C$57&amp;Keys!$C$54&amp;$B197,Raw_BFPIaE!$H$9:$H$3032,0)))</f>
        <v>0</v>
      </c>
      <c r="S197" s="11">
        <f>IF(($P197+$Q197-$R197+MAX(Keys!$C$51,$R197-$Q197))&gt;Keys!$C$51,MIN(Keys!$C$52,MAX(Keys!$C$51,$R197-$Q197)/($P197+$Q197-$R197+MAX(Keys!$C$51,$R197-$Q197))),Keys!$C$51)</f>
        <v>0</v>
      </c>
      <c r="T197">
        <f>IF(AND($I197&gt;$H197,ABS($L197-$G197)&gt;MAX(Keys!$C$62,ABS($G197)*Keys!$C$63)),1,0)</f>
        <v>0</v>
      </c>
      <c r="U197">
        <f>IF(OR($N197&lt;Keys!$C$51,$N197&gt;Keys!$C$52),1,0)</f>
        <v>0</v>
      </c>
      <c r="V197">
        <f>IF(AND($E197=Keys!$C$60,$N197&lt;&gt;Keys!$C$51),1,0)</f>
        <v>0</v>
      </c>
      <c r="W197">
        <f>IF($L197&gt;Keys!$C$51,IF($K197/$L197&gt;Keys!$C$52,1,0),0)</f>
        <v>0</v>
      </c>
      <c r="X197" s="11">
        <f t="shared" si="15"/>
        <v>0</v>
      </c>
    </row>
    <row r="198" spans="1:24" x14ac:dyDescent="0.25">
      <c r="A198" t="s">
        <v>87</v>
      </c>
      <c r="B198" t="s">
        <v>77</v>
      </c>
      <c r="C198">
        <f>VLOOKUP($B198,Keys!$F$2:$I$22,2,FALSE)</f>
        <v>0</v>
      </c>
      <c r="D198">
        <f>VLOOKUP($B198,Keys!$F$2:$I$22,3,FALSE)</f>
        <v>0</v>
      </c>
      <c r="E198" t="str">
        <f>VLOOKUP($B198,Keys!$F$2:$I$22,4,FALSE)</f>
        <v>zero</v>
      </c>
      <c r="F198" t="str">
        <f>$A198&amp;Keys!$C$54&amp;$B198</f>
        <v>IA|wind (is not a fuel)</v>
      </c>
      <c r="G198" s="10">
        <f>IF($E198=Keys!$C$60,Keys!$C$51,INDEX(Balanced_2025!$D$9:$D$3032,MATCH($A198&amp;Keys!$C$54&amp;Keys!$C$55&amp;Keys!$C$54&amp;$C198,Balanced_2025!$E$9:$E$3032,0)))</f>
        <v>0</v>
      </c>
      <c r="H198" s="10">
        <f>IF($E198=Keys!$C$60,Keys!$C$51,INDEX(Balanced_2025!$D$9:$D$3032,MATCH($A198&amp;Keys!$C$54&amp;Keys!$C$56&amp;Keys!$C$54&amp;$C198,Balanced_2025!$E$9:$E$3032,0)))</f>
        <v>0</v>
      </c>
      <c r="I198" s="10">
        <f>IF($E198=Keys!$C$60,Keys!$C$51,INDEX(Balanced_2025!$D$9:$D$3032,MATCH($A198&amp;Keys!$C$54&amp;Keys!$C$57&amp;Keys!$C$54&amp;$C198,Balanced_2025!$E$9:$E$3032,0)))</f>
        <v>0</v>
      </c>
      <c r="J198" s="10">
        <f t="shared" si="12"/>
        <v>0</v>
      </c>
      <c r="K198" s="10">
        <f>MAX(Keys!$C$51,$I198-$H198)</f>
        <v>0</v>
      </c>
      <c r="L198" s="10">
        <f t="shared" si="13"/>
        <v>0</v>
      </c>
      <c r="M198" s="11">
        <f>IF($L198&gt;Keys!$C$51,MIN(Keys!$C$52,$K198/$L198),Keys!$C$51)</f>
        <v>0</v>
      </c>
      <c r="N198" s="11">
        <f>IF($E198=Keys!$C$60,Keys!$C$51,IF($E198=Keys!$C$59,$D198,$M198))</f>
        <v>0</v>
      </c>
      <c r="O198">
        <f t="shared" si="14"/>
        <v>0</v>
      </c>
      <c r="P198" s="10">
        <f>IF($E198=Keys!$C$60,Keys!$C$51,INDEX(Raw_BFPIaE!$G$9:$G$3032,MATCH($A198&amp;Keys!$C$54&amp;Keys!$C$55&amp;Keys!$C$54&amp;$B198,Raw_BFPIaE!$H$9:$H$3032,0)))</f>
        <v>0</v>
      </c>
      <c r="Q198" s="10">
        <f>IF($E198=Keys!$C$60,Keys!$C$51,INDEX(Raw_BFPIaE!$G$9:$G$3032,MATCH($A198&amp;Keys!$C$54&amp;Keys!$C$56&amp;Keys!$C$54&amp;$B198,Raw_BFPIaE!$H$9:$H$3032,0)))</f>
        <v>0</v>
      </c>
      <c r="R198" s="10">
        <f>IF($E198=Keys!$C$60,Keys!$C$51,INDEX(Raw_BFPIaE!$G$9:$G$3032,MATCH($A198&amp;Keys!$C$54&amp;Keys!$C$57&amp;Keys!$C$54&amp;$B198,Raw_BFPIaE!$H$9:$H$3032,0)))</f>
        <v>0</v>
      </c>
      <c r="S198" s="11">
        <f>IF(($P198+$Q198-$R198+MAX(Keys!$C$51,$R198-$Q198))&gt;Keys!$C$51,MIN(Keys!$C$52,MAX(Keys!$C$51,$R198-$Q198)/($P198+$Q198-$R198+MAX(Keys!$C$51,$R198-$Q198))),Keys!$C$51)</f>
        <v>0</v>
      </c>
      <c r="T198">
        <f>IF(AND($I198&gt;$H198,ABS($L198-$G198)&gt;MAX(Keys!$C$62,ABS($G198)*Keys!$C$63)),1,0)</f>
        <v>0</v>
      </c>
      <c r="U198">
        <f>IF(OR($N198&lt;Keys!$C$51,$N198&gt;Keys!$C$52),1,0)</f>
        <v>0</v>
      </c>
      <c r="V198">
        <f>IF(AND($E198=Keys!$C$60,$N198&lt;&gt;Keys!$C$51),1,0)</f>
        <v>0</v>
      </c>
      <c r="W198">
        <f>IF($L198&gt;Keys!$C$51,IF($K198/$L198&gt;Keys!$C$52,1,0),0)</f>
        <v>0</v>
      </c>
      <c r="X198" s="11">
        <f t="shared" si="15"/>
        <v>0</v>
      </c>
    </row>
    <row r="199" spans="1:24" x14ac:dyDescent="0.25">
      <c r="A199" t="s">
        <v>87</v>
      </c>
      <c r="B199" t="s">
        <v>80</v>
      </c>
      <c r="C199">
        <f>VLOOKUP($B199,Keys!$F$2:$I$22,2,FALSE)</f>
        <v>0</v>
      </c>
      <c r="D199">
        <f>VLOOKUP($B199,Keys!$F$2:$I$22,3,FALSE)</f>
        <v>0</v>
      </c>
      <c r="E199" t="str">
        <f>VLOOKUP($B199,Keys!$F$2:$I$22,4,FALSE)</f>
        <v>zero</v>
      </c>
      <c r="F199" t="str">
        <f>$A199&amp;Keys!$C$54&amp;$B199</f>
        <v>IA|solar (is not a fuel)</v>
      </c>
      <c r="G199" s="10">
        <f>IF($E199=Keys!$C$60,Keys!$C$51,INDEX(Balanced_2025!$D$9:$D$3032,MATCH($A199&amp;Keys!$C$54&amp;Keys!$C$55&amp;Keys!$C$54&amp;$C199,Balanced_2025!$E$9:$E$3032,0)))</f>
        <v>0</v>
      </c>
      <c r="H199" s="10">
        <f>IF($E199=Keys!$C$60,Keys!$C$51,INDEX(Balanced_2025!$D$9:$D$3032,MATCH($A199&amp;Keys!$C$54&amp;Keys!$C$56&amp;Keys!$C$54&amp;$C199,Balanced_2025!$E$9:$E$3032,0)))</f>
        <v>0</v>
      </c>
      <c r="I199" s="10">
        <f>IF($E199=Keys!$C$60,Keys!$C$51,INDEX(Balanced_2025!$D$9:$D$3032,MATCH($A199&amp;Keys!$C$54&amp;Keys!$C$57&amp;Keys!$C$54&amp;$C199,Balanced_2025!$E$9:$E$3032,0)))</f>
        <v>0</v>
      </c>
      <c r="J199" s="10">
        <f t="shared" si="12"/>
        <v>0</v>
      </c>
      <c r="K199" s="10">
        <f>MAX(Keys!$C$51,$I199-$H199)</f>
        <v>0</v>
      </c>
      <c r="L199" s="10">
        <f t="shared" si="13"/>
        <v>0</v>
      </c>
      <c r="M199" s="11">
        <f>IF($L199&gt;Keys!$C$51,MIN(Keys!$C$52,$K199/$L199),Keys!$C$51)</f>
        <v>0</v>
      </c>
      <c r="N199" s="11">
        <f>IF($E199=Keys!$C$60,Keys!$C$51,IF($E199=Keys!$C$59,$D199,$M199))</f>
        <v>0</v>
      </c>
      <c r="O199">
        <f t="shared" si="14"/>
        <v>0</v>
      </c>
      <c r="P199" s="10">
        <f>IF($E199=Keys!$C$60,Keys!$C$51,INDEX(Raw_BFPIaE!$G$9:$G$3032,MATCH($A199&amp;Keys!$C$54&amp;Keys!$C$55&amp;Keys!$C$54&amp;$B199,Raw_BFPIaE!$H$9:$H$3032,0)))</f>
        <v>0</v>
      </c>
      <c r="Q199" s="10">
        <f>IF($E199=Keys!$C$60,Keys!$C$51,INDEX(Raw_BFPIaE!$G$9:$G$3032,MATCH($A199&amp;Keys!$C$54&amp;Keys!$C$56&amp;Keys!$C$54&amp;$B199,Raw_BFPIaE!$H$9:$H$3032,0)))</f>
        <v>0</v>
      </c>
      <c r="R199" s="10">
        <f>IF($E199=Keys!$C$60,Keys!$C$51,INDEX(Raw_BFPIaE!$G$9:$G$3032,MATCH($A199&amp;Keys!$C$54&amp;Keys!$C$57&amp;Keys!$C$54&amp;$B199,Raw_BFPIaE!$H$9:$H$3032,0)))</f>
        <v>0</v>
      </c>
      <c r="S199" s="11">
        <f>IF(($P199+$Q199-$R199+MAX(Keys!$C$51,$R199-$Q199))&gt;Keys!$C$51,MIN(Keys!$C$52,MAX(Keys!$C$51,$R199-$Q199)/($P199+$Q199-$R199+MAX(Keys!$C$51,$R199-$Q199))),Keys!$C$51)</f>
        <v>0</v>
      </c>
      <c r="T199">
        <f>IF(AND($I199&gt;$H199,ABS($L199-$G199)&gt;MAX(Keys!$C$62,ABS($G199)*Keys!$C$63)),1,0)</f>
        <v>0</v>
      </c>
      <c r="U199">
        <f>IF(OR($N199&lt;Keys!$C$51,$N199&gt;Keys!$C$52),1,0)</f>
        <v>0</v>
      </c>
      <c r="V199">
        <f>IF(AND($E199=Keys!$C$60,$N199&lt;&gt;Keys!$C$51),1,0)</f>
        <v>0</v>
      </c>
      <c r="W199">
        <f>IF($L199&gt;Keys!$C$51,IF($K199/$L199&gt;Keys!$C$52,1,0),0)</f>
        <v>0</v>
      </c>
      <c r="X199" s="11">
        <f t="shared" si="15"/>
        <v>0</v>
      </c>
    </row>
    <row r="200" spans="1:24" x14ac:dyDescent="0.25">
      <c r="A200" t="s">
        <v>87</v>
      </c>
      <c r="B200" t="s">
        <v>82</v>
      </c>
      <c r="C200" t="str">
        <f>VLOOKUP($B200,Keys!$F$2:$I$22,2,FALSE)</f>
        <v>biomass</v>
      </c>
      <c r="D200">
        <f>VLOOKUP($B200,Keys!$F$2:$I$22,3,FALSE)</f>
        <v>0.74947425499999998</v>
      </c>
      <c r="E200" t="str">
        <f>VLOOKUP($B200,Keys!$F$2:$I$22,4,FALSE)</f>
        <v>rule</v>
      </c>
      <c r="F200" t="str">
        <f>$A200&amp;Keys!$C$54&amp;$B200</f>
        <v>IA|biomass</v>
      </c>
      <c r="G200" s="10">
        <f>IF($E200=Keys!$C$60,Keys!$C$51,INDEX(Balanced_2025!$D$9:$D$3032,MATCH($A200&amp;Keys!$C$54&amp;Keys!$C$55&amp;Keys!$C$54&amp;$C200,Balanced_2025!$E$9:$E$3032,0)))</f>
        <v>160000000000</v>
      </c>
      <c r="H200" s="10">
        <f>IF($E200=Keys!$C$60,Keys!$C$51,INDEX(Balanced_2025!$D$9:$D$3032,MATCH($A200&amp;Keys!$C$54&amp;Keys!$C$56&amp;Keys!$C$54&amp;$C200,Balanced_2025!$E$9:$E$3032,0)))</f>
        <v>25428200000000</v>
      </c>
      <c r="I200" s="10">
        <f>IF($E200=Keys!$C$60,Keys!$C$51,INDEX(Balanced_2025!$D$9:$D$3032,MATCH($A200&amp;Keys!$C$54&amp;Keys!$C$57&amp;Keys!$C$54&amp;$C200,Balanced_2025!$E$9:$E$3032,0)))</f>
        <v>0</v>
      </c>
      <c r="J200" s="10">
        <f t="shared" si="12"/>
        <v>25588200000000</v>
      </c>
      <c r="K200" s="10">
        <f>MAX(Keys!$C$51,$I200-$H200)</f>
        <v>0</v>
      </c>
      <c r="L200" s="10">
        <f t="shared" si="13"/>
        <v>25588200000000</v>
      </c>
      <c r="M200" s="11">
        <f>IF($L200&gt;Keys!$C$51,MIN(Keys!$C$52,$K200/$L200),Keys!$C$51)</f>
        <v>0</v>
      </c>
      <c r="N200" s="11">
        <f>IF($E200=Keys!$C$60,Keys!$C$51,IF($E200=Keys!$C$59,$D200,$M200))</f>
        <v>0</v>
      </c>
      <c r="O200">
        <f t="shared" si="14"/>
        <v>1</v>
      </c>
      <c r="P200" s="10">
        <f>IF($E200=Keys!$C$60,Keys!$C$51,INDEX(Raw_BFPIaE!$G$9:$G$3032,MATCH($A200&amp;Keys!$C$54&amp;Keys!$C$55&amp;Keys!$C$54&amp;$B200,Raw_BFPIaE!$H$9:$H$3032,0)))</f>
        <v>160000000000</v>
      </c>
      <c r="Q200" s="10">
        <f>IF($E200=Keys!$C$60,Keys!$C$51,INDEX(Raw_BFPIaE!$G$9:$G$3032,MATCH($A200&amp;Keys!$C$54&amp;Keys!$C$56&amp;Keys!$C$54&amp;$B200,Raw_BFPIaE!$H$9:$H$3032,0)))</f>
        <v>16869733333333.334</v>
      </c>
      <c r="R200" s="10">
        <f>IF($E200=Keys!$C$60,Keys!$C$51,INDEX(Raw_BFPIaE!$G$9:$G$3032,MATCH($A200&amp;Keys!$C$54&amp;Keys!$C$57&amp;Keys!$C$54&amp;$B200,Raw_BFPIaE!$H$9:$H$3032,0)))</f>
        <v>0</v>
      </c>
      <c r="S200" s="11">
        <f>IF(($P200+$Q200-$R200+MAX(Keys!$C$51,$R200-$Q200))&gt;Keys!$C$51,MIN(Keys!$C$52,MAX(Keys!$C$51,$R200-$Q200)/($P200+$Q200-$R200+MAX(Keys!$C$51,$R200-$Q200))),Keys!$C$51)</f>
        <v>0</v>
      </c>
      <c r="T200">
        <f>IF(AND($I200&gt;$H200,ABS($L200-$G200)&gt;MAX(Keys!$C$62,ABS($G200)*Keys!$C$63)),1,0)</f>
        <v>0</v>
      </c>
      <c r="U200">
        <f>IF(OR($N200&lt;Keys!$C$51,$N200&gt;Keys!$C$52),1,0)</f>
        <v>0</v>
      </c>
      <c r="V200">
        <f>IF(AND($E200=Keys!$C$60,$N200&lt;&gt;Keys!$C$51),1,0)</f>
        <v>0</v>
      </c>
      <c r="W200">
        <f>IF($L200&gt;Keys!$C$51,IF($K200/$L200&gt;Keys!$C$52,1,0),0)</f>
        <v>0</v>
      </c>
      <c r="X200" s="11">
        <f t="shared" si="15"/>
        <v>0</v>
      </c>
    </row>
    <row r="201" spans="1:24" x14ac:dyDescent="0.25">
      <c r="A201" t="s">
        <v>87</v>
      </c>
      <c r="B201" t="s">
        <v>85</v>
      </c>
      <c r="C201" t="str">
        <f>VLOOKUP($B201,Keys!$F$2:$I$22,2,FALSE)</f>
        <v>petroleum gasoline</v>
      </c>
      <c r="D201">
        <f>VLOOKUP($B201,Keys!$F$2:$I$22,3,FALSE)</f>
        <v>7.5004052000000002E-2</v>
      </c>
      <c r="E201" t="str">
        <f>VLOOKUP($B201,Keys!$F$2:$I$22,4,FALSE)</f>
        <v>rule</v>
      </c>
      <c r="F201" t="str">
        <f>$A201&amp;Keys!$C$54&amp;$B201</f>
        <v>IA|petroleum gasoline</v>
      </c>
      <c r="G201" s="10">
        <f>IF($E201=Keys!$C$60,Keys!$C$51,INDEX(Balanced_2025!$D$9:$D$3032,MATCH($A201&amp;Keys!$C$54&amp;Keys!$C$55&amp;Keys!$C$54&amp;$C201,Balanced_2025!$E$9:$E$3032,0)))</f>
        <v>0</v>
      </c>
      <c r="H201" s="10">
        <f>IF($E201=Keys!$C$60,Keys!$C$51,INDEX(Balanced_2025!$D$9:$D$3032,MATCH($A201&amp;Keys!$C$54&amp;Keys!$C$56&amp;Keys!$C$54&amp;$C201,Balanced_2025!$E$9:$E$3032,0)))</f>
        <v>162254000000000</v>
      </c>
      <c r="I201" s="10">
        <f>IF($E201=Keys!$C$60,Keys!$C$51,INDEX(Balanced_2025!$D$9:$D$3032,MATCH($A201&amp;Keys!$C$54&amp;Keys!$C$57&amp;Keys!$C$54&amp;$C201,Balanced_2025!$E$9:$E$3032,0)))</f>
        <v>0</v>
      </c>
      <c r="J201" s="10">
        <f t="shared" si="12"/>
        <v>162254000000000</v>
      </c>
      <c r="K201" s="10">
        <f>MAX(Keys!$C$51,$I201-$H201)</f>
        <v>0</v>
      </c>
      <c r="L201" s="10">
        <f t="shared" si="13"/>
        <v>162254000000000</v>
      </c>
      <c r="M201" s="11">
        <f>IF($L201&gt;Keys!$C$51,MIN(Keys!$C$52,$K201/$L201),Keys!$C$51)</f>
        <v>0</v>
      </c>
      <c r="N201" s="11">
        <f>IF($E201=Keys!$C$60,Keys!$C$51,IF($E201=Keys!$C$59,$D201,$M201))</f>
        <v>0</v>
      </c>
      <c r="O201">
        <f t="shared" si="14"/>
        <v>1</v>
      </c>
      <c r="P201" s="10">
        <f>IF($E201=Keys!$C$60,Keys!$C$51,INDEX(Raw_BFPIaE!$G$9:$G$3032,MATCH($A201&amp;Keys!$C$54&amp;Keys!$C$55&amp;Keys!$C$54&amp;$B201,Raw_BFPIaE!$H$9:$H$3032,0)))</f>
        <v>0</v>
      </c>
      <c r="Q201" s="10">
        <f>IF($E201=Keys!$C$60,Keys!$C$51,INDEX(Raw_BFPIaE!$G$9:$G$3032,MATCH($A201&amp;Keys!$C$54&amp;Keys!$C$56&amp;Keys!$C$54&amp;$B201,Raw_BFPIaE!$H$9:$H$3032,0)))</f>
        <v>101514000000000</v>
      </c>
      <c r="R201" s="10">
        <f>IF($E201=Keys!$C$60,Keys!$C$51,INDEX(Raw_BFPIaE!$G$9:$G$3032,MATCH($A201&amp;Keys!$C$54&amp;Keys!$C$57&amp;Keys!$C$54&amp;$B201,Raw_BFPIaE!$H$9:$H$3032,0)))</f>
        <v>0</v>
      </c>
      <c r="S201" s="11">
        <f>IF(($P201+$Q201-$R201+MAX(Keys!$C$51,$R201-$Q201))&gt;Keys!$C$51,MIN(Keys!$C$52,MAX(Keys!$C$51,$R201-$Q201)/($P201+$Q201-$R201+MAX(Keys!$C$51,$R201-$Q201))),Keys!$C$51)</f>
        <v>0</v>
      </c>
      <c r="T201">
        <f>IF(AND($I201&gt;$H201,ABS($L201-$G201)&gt;MAX(Keys!$C$62,ABS($G201)*Keys!$C$63)),1,0)</f>
        <v>0</v>
      </c>
      <c r="U201">
        <f>IF(OR($N201&lt;Keys!$C$51,$N201&gt;Keys!$C$52),1,0)</f>
        <v>0</v>
      </c>
      <c r="V201">
        <f>IF(AND($E201=Keys!$C$60,$N201&lt;&gt;Keys!$C$51),1,0)</f>
        <v>0</v>
      </c>
      <c r="W201">
        <f>IF($L201&gt;Keys!$C$51,IF($K201/$L201&gt;Keys!$C$52,1,0),0)</f>
        <v>0</v>
      </c>
      <c r="X201" s="11">
        <f t="shared" si="15"/>
        <v>0</v>
      </c>
    </row>
    <row r="202" spans="1:24" x14ac:dyDescent="0.25">
      <c r="A202" t="s">
        <v>87</v>
      </c>
      <c r="B202" t="s">
        <v>88</v>
      </c>
      <c r="C202" t="str">
        <f>VLOOKUP($B202,Keys!$F$2:$I$22,2,FALSE)</f>
        <v>petroleum diesel</v>
      </c>
      <c r="D202">
        <f>VLOOKUP($B202,Keys!$F$2:$I$22,3,FALSE)</f>
        <v>0.26691051799999999</v>
      </c>
      <c r="E202" t="str">
        <f>VLOOKUP($B202,Keys!$F$2:$I$22,4,FALSE)</f>
        <v>rule</v>
      </c>
      <c r="F202" t="str">
        <f>$A202&amp;Keys!$C$54&amp;$B202</f>
        <v>IA|petroleum diesel</v>
      </c>
      <c r="G202" s="10">
        <f>IF($E202=Keys!$C$60,Keys!$C$51,INDEX(Balanced_2025!$D$9:$D$3032,MATCH($A202&amp;Keys!$C$54&amp;Keys!$C$55&amp;Keys!$C$54&amp;$C202,Balanced_2025!$E$9:$E$3032,0)))</f>
        <v>0</v>
      </c>
      <c r="H202" s="10">
        <f>IF($E202=Keys!$C$60,Keys!$C$51,INDEX(Balanced_2025!$D$9:$D$3032,MATCH($A202&amp;Keys!$C$54&amp;Keys!$C$56&amp;Keys!$C$54&amp;$C202,Balanced_2025!$E$9:$E$3032,0)))</f>
        <v>156917000000000</v>
      </c>
      <c r="I202" s="10">
        <f>IF($E202=Keys!$C$60,Keys!$C$51,INDEX(Balanced_2025!$D$9:$D$3032,MATCH($A202&amp;Keys!$C$54&amp;Keys!$C$57&amp;Keys!$C$54&amp;$C202,Balanced_2025!$E$9:$E$3032,0)))</f>
        <v>0</v>
      </c>
      <c r="J202" s="10">
        <f t="shared" si="12"/>
        <v>156917000000000</v>
      </c>
      <c r="K202" s="10">
        <f>MAX(Keys!$C$51,$I202-$H202)</f>
        <v>0</v>
      </c>
      <c r="L202" s="10">
        <f t="shared" si="13"/>
        <v>156917000000000</v>
      </c>
      <c r="M202" s="11">
        <f>IF($L202&gt;Keys!$C$51,MIN(Keys!$C$52,$K202/$L202),Keys!$C$51)</f>
        <v>0</v>
      </c>
      <c r="N202" s="11">
        <f>IF($E202=Keys!$C$60,Keys!$C$51,IF($E202=Keys!$C$59,$D202,$M202))</f>
        <v>0</v>
      </c>
      <c r="O202">
        <f t="shared" si="14"/>
        <v>1</v>
      </c>
      <c r="P202" s="10">
        <f>IF($E202=Keys!$C$60,Keys!$C$51,INDEX(Raw_BFPIaE!$G$9:$G$3032,MATCH($A202&amp;Keys!$C$54&amp;Keys!$C$55&amp;Keys!$C$54&amp;$B202,Raw_BFPIaE!$H$9:$H$3032,0)))</f>
        <v>0</v>
      </c>
      <c r="Q202" s="10">
        <f>IF($E202=Keys!$C$60,Keys!$C$51,INDEX(Raw_BFPIaE!$G$9:$G$3032,MATCH($A202&amp;Keys!$C$54&amp;Keys!$C$56&amp;Keys!$C$54&amp;$B202,Raw_BFPIaE!$H$9:$H$3032,0)))</f>
        <v>103131000000000</v>
      </c>
      <c r="R202" s="10">
        <f>IF($E202=Keys!$C$60,Keys!$C$51,INDEX(Raw_BFPIaE!$G$9:$G$3032,MATCH($A202&amp;Keys!$C$54&amp;Keys!$C$57&amp;Keys!$C$54&amp;$B202,Raw_BFPIaE!$H$9:$H$3032,0)))</f>
        <v>0</v>
      </c>
      <c r="S202" s="11">
        <f>IF(($P202+$Q202-$R202+MAX(Keys!$C$51,$R202-$Q202))&gt;Keys!$C$51,MIN(Keys!$C$52,MAX(Keys!$C$51,$R202-$Q202)/($P202+$Q202-$R202+MAX(Keys!$C$51,$R202-$Q202))),Keys!$C$51)</f>
        <v>0</v>
      </c>
      <c r="T202">
        <f>IF(AND($I202&gt;$H202,ABS($L202-$G202)&gt;MAX(Keys!$C$62,ABS($G202)*Keys!$C$63)),1,0)</f>
        <v>0</v>
      </c>
      <c r="U202">
        <f>IF(OR($N202&lt;Keys!$C$51,$N202&gt;Keys!$C$52),1,0)</f>
        <v>0</v>
      </c>
      <c r="V202">
        <f>IF(AND($E202=Keys!$C$60,$N202&lt;&gt;Keys!$C$51),1,0)</f>
        <v>0</v>
      </c>
      <c r="W202">
        <f>IF($L202&gt;Keys!$C$51,IF($K202/$L202&gt;Keys!$C$52,1,0),0)</f>
        <v>0</v>
      </c>
      <c r="X202" s="11">
        <f t="shared" si="15"/>
        <v>0</v>
      </c>
    </row>
    <row r="203" spans="1:24" x14ac:dyDescent="0.25">
      <c r="A203" t="s">
        <v>87</v>
      </c>
      <c r="B203" t="s">
        <v>91</v>
      </c>
      <c r="C203" t="str">
        <f>VLOOKUP($B203,Keys!$F$2:$I$22,2,FALSE)</f>
        <v>biofuel gasoline</v>
      </c>
      <c r="D203">
        <f>VLOOKUP($B203,Keys!$F$2:$I$22,3,FALSE)</f>
        <v>8.7213884000000005E-2</v>
      </c>
      <c r="E203" t="str">
        <f>VLOOKUP($B203,Keys!$F$2:$I$22,4,FALSE)</f>
        <v>rule</v>
      </c>
      <c r="F203" t="str">
        <f>$A203&amp;Keys!$C$54&amp;$B203</f>
        <v>IA|biofuel gasoline</v>
      </c>
      <c r="G203" s="10">
        <f>IF($E203=Keys!$C$60,Keys!$C$51,INDEX(Balanced_2025!$D$9:$D$3032,MATCH($A203&amp;Keys!$C$54&amp;Keys!$C$55&amp;Keys!$C$54&amp;$C203,Balanced_2025!$E$9:$E$3032,0)))</f>
        <v>367410000000000</v>
      </c>
      <c r="H203" s="10">
        <f>IF($E203=Keys!$C$60,Keys!$C$51,INDEX(Balanced_2025!$D$9:$D$3032,MATCH($A203&amp;Keys!$C$54&amp;Keys!$C$56&amp;Keys!$C$54&amp;$C203,Balanced_2025!$E$9:$E$3032,0)))</f>
        <v>735942000000</v>
      </c>
      <c r="I203" s="10">
        <f>IF($E203=Keys!$C$60,Keys!$C$51,INDEX(Balanced_2025!$D$9:$D$3032,MATCH($A203&amp;Keys!$C$54&amp;Keys!$C$57&amp;Keys!$C$54&amp;$C203,Balanced_2025!$E$9:$E$3032,0)))</f>
        <v>355186000000000</v>
      </c>
      <c r="J203" s="10">
        <f t="shared" si="12"/>
        <v>12959942000000</v>
      </c>
      <c r="K203" s="10">
        <f>MAX(Keys!$C$51,$I203-$H203)</f>
        <v>354450058000000</v>
      </c>
      <c r="L203" s="10">
        <f t="shared" si="13"/>
        <v>367410000000000</v>
      </c>
      <c r="M203" s="11">
        <f>IF($L203&gt;Keys!$C$51,MIN(Keys!$C$52,$K203/$L203),Keys!$C$51)</f>
        <v>0.96472621322228569</v>
      </c>
      <c r="N203" s="11">
        <f>IF($E203=Keys!$C$60,Keys!$C$51,IF($E203=Keys!$C$59,$D203,$M203))</f>
        <v>0.96472621322228569</v>
      </c>
      <c r="O203">
        <f t="shared" si="14"/>
        <v>1</v>
      </c>
      <c r="P203" s="10">
        <f>IF($E203=Keys!$C$60,Keys!$C$51,INDEX(Raw_BFPIaE!$G$9:$G$3032,MATCH($A203&amp;Keys!$C$54&amp;Keys!$C$55&amp;Keys!$C$54&amp;$B203,Raw_BFPIaE!$H$9:$H$3032,0)))</f>
        <v>367754666666666.69</v>
      </c>
      <c r="Q203" s="10">
        <f>IF($E203=Keys!$C$60,Keys!$C$51,INDEX(Raw_BFPIaE!$G$9:$G$3032,MATCH($A203&amp;Keys!$C$54&amp;Keys!$C$56&amp;Keys!$C$54&amp;$B203,Raw_BFPIaE!$H$9:$H$3032,0)))</f>
        <v>0</v>
      </c>
      <c r="R203" s="10">
        <f>IF($E203=Keys!$C$60,Keys!$C$51,INDEX(Raw_BFPIaE!$G$9:$G$3032,MATCH($A203&amp;Keys!$C$54&amp;Keys!$C$57&amp;Keys!$C$54&amp;$B203,Raw_BFPIaE!$H$9:$H$3032,0)))</f>
        <v>255355200000000</v>
      </c>
      <c r="S203" s="11">
        <f>IF(($P203+$Q203-$R203+MAX(Keys!$C$51,$R203-$Q203))&gt;Keys!$C$51,MIN(Keys!$C$52,MAX(Keys!$C$51,$R203-$Q203)/($P203+$Q203-$R203+MAX(Keys!$C$51,$R203-$Q203))),Keys!$C$51)</f>
        <v>0.69436290860573713</v>
      </c>
      <c r="T203">
        <f>IF(AND($I203&gt;$H203,ABS($L203-$G203)&gt;MAX(Keys!$C$62,ABS($G203)*Keys!$C$63)),1,0)</f>
        <v>0</v>
      </c>
      <c r="U203">
        <f>IF(OR($N203&lt;Keys!$C$51,$N203&gt;Keys!$C$52),1,0)</f>
        <v>0</v>
      </c>
      <c r="V203">
        <f>IF(AND($E203=Keys!$C$60,$N203&lt;&gt;Keys!$C$51),1,0)</f>
        <v>0</v>
      </c>
      <c r="W203">
        <f>IF($L203&gt;Keys!$C$51,IF($K203/$L203&gt;Keys!$C$52,1,0),0)</f>
        <v>0</v>
      </c>
      <c r="X203" s="11">
        <f t="shared" si="15"/>
        <v>0.27036330461654856</v>
      </c>
    </row>
    <row r="204" spans="1:24" x14ac:dyDescent="0.25">
      <c r="A204" t="s">
        <v>87</v>
      </c>
      <c r="B204" t="s">
        <v>94</v>
      </c>
      <c r="C204" t="str">
        <f>VLOOKUP($B204,Keys!$F$2:$I$22,2,FALSE)</f>
        <v>biofuel diesel</v>
      </c>
      <c r="D204">
        <f>VLOOKUP($B204,Keys!$F$2:$I$22,3,FALSE)</f>
        <v>5.8642381E-2</v>
      </c>
      <c r="E204" t="str">
        <f>VLOOKUP($B204,Keys!$F$2:$I$22,4,FALSE)</f>
        <v>rule</v>
      </c>
      <c r="F204" t="str">
        <f>$A204&amp;Keys!$C$54&amp;$B204</f>
        <v>IA|biofuel diesel</v>
      </c>
      <c r="G204" s="10">
        <f>IF($E204=Keys!$C$60,Keys!$C$51,INDEX(Balanced_2025!$D$9:$D$3032,MATCH($A204&amp;Keys!$C$54&amp;Keys!$C$55&amp;Keys!$C$54&amp;$C204,Balanced_2025!$E$9:$E$3032,0)))</f>
        <v>128057000000000</v>
      </c>
      <c r="H204" s="10">
        <f>IF($E204=Keys!$C$60,Keys!$C$51,INDEX(Balanced_2025!$D$9:$D$3032,MATCH($A204&amp;Keys!$C$54&amp;Keys!$C$56&amp;Keys!$C$54&amp;$C204,Balanced_2025!$E$9:$E$3032,0)))</f>
        <v>250031000000</v>
      </c>
      <c r="I204" s="10">
        <f>IF($E204=Keys!$C$60,Keys!$C$51,INDEX(Balanced_2025!$D$9:$D$3032,MATCH($A204&amp;Keys!$C$54&amp;Keys!$C$57&amp;Keys!$C$54&amp;$C204,Balanced_2025!$E$9:$E$3032,0)))</f>
        <v>120676000000000</v>
      </c>
      <c r="J204" s="10">
        <f t="shared" si="12"/>
        <v>7631031000000</v>
      </c>
      <c r="K204" s="10">
        <f>MAX(Keys!$C$51,$I204-$H204)</f>
        <v>120425969000000</v>
      </c>
      <c r="L204" s="10">
        <f t="shared" si="13"/>
        <v>128057000000000</v>
      </c>
      <c r="M204" s="11">
        <f>IF($L204&gt;Keys!$C$51,MIN(Keys!$C$52,$K204/$L204),Keys!$C$51)</f>
        <v>0.94040910688209156</v>
      </c>
      <c r="N204" s="11">
        <f>IF($E204=Keys!$C$60,Keys!$C$51,IF($E204=Keys!$C$59,$D204,$M204))</f>
        <v>0.94040910688209156</v>
      </c>
      <c r="O204">
        <f t="shared" si="14"/>
        <v>1</v>
      </c>
      <c r="P204" s="10">
        <f>IF($E204=Keys!$C$60,Keys!$C$51,INDEX(Raw_BFPIaE!$G$9:$G$3032,MATCH($A204&amp;Keys!$C$54&amp;Keys!$C$55&amp;Keys!$C$54&amp;$B204,Raw_BFPIaE!$H$9:$H$3032,0)))</f>
        <v>136076000000000</v>
      </c>
      <c r="Q204" s="10">
        <f>IF($E204=Keys!$C$60,Keys!$C$51,INDEX(Raw_BFPIaE!$G$9:$G$3032,MATCH($A204&amp;Keys!$C$54&amp;Keys!$C$56&amp;Keys!$C$54&amp;$B204,Raw_BFPIaE!$H$9:$H$3032,0)))</f>
        <v>0</v>
      </c>
      <c r="R204" s="10">
        <f>IF($E204=Keys!$C$60,Keys!$C$51,INDEX(Raw_BFPIaE!$G$9:$G$3032,MATCH($A204&amp;Keys!$C$54&amp;Keys!$C$57&amp;Keys!$C$54&amp;$B204,Raw_BFPIaE!$H$9:$H$3032,0)))</f>
        <v>88453333333333.328</v>
      </c>
      <c r="S204" s="11">
        <f>IF(($P204+$Q204-$R204+MAX(Keys!$C$51,$R204-$Q204))&gt;Keys!$C$51,MIN(Keys!$C$52,MAX(Keys!$C$51,$R204-$Q204)/($P204+$Q204-$R204+MAX(Keys!$C$51,$R204-$Q204))),Keys!$C$51)</f>
        <v>0.6500289054156011</v>
      </c>
      <c r="T204">
        <f>IF(AND($I204&gt;$H204,ABS($L204-$G204)&gt;MAX(Keys!$C$62,ABS($G204)*Keys!$C$63)),1,0)</f>
        <v>0</v>
      </c>
      <c r="U204">
        <f>IF(OR($N204&lt;Keys!$C$51,$N204&gt;Keys!$C$52),1,0)</f>
        <v>0</v>
      </c>
      <c r="V204">
        <f>IF(AND($E204=Keys!$C$60,$N204&lt;&gt;Keys!$C$51),1,0)</f>
        <v>0</v>
      </c>
      <c r="W204">
        <f>IF($L204&gt;Keys!$C$51,IF($K204/$L204&gt;Keys!$C$52,1,0),0)</f>
        <v>0</v>
      </c>
      <c r="X204" s="11">
        <f t="shared" si="15"/>
        <v>0.29038020146649046</v>
      </c>
    </row>
    <row r="205" spans="1:24" x14ac:dyDescent="0.25">
      <c r="A205" t="s">
        <v>87</v>
      </c>
      <c r="B205" t="s">
        <v>97</v>
      </c>
      <c r="C205" t="str">
        <f>VLOOKUP($B205,Keys!$F$2:$I$22,2,FALSE)</f>
        <v>jet fuel or kerosene</v>
      </c>
      <c r="D205">
        <f>VLOOKUP($B205,Keys!$F$2:$I$22,3,FALSE)</f>
        <v>0.10155994</v>
      </c>
      <c r="E205" t="str">
        <f>VLOOKUP($B205,Keys!$F$2:$I$22,4,FALSE)</f>
        <v>rule</v>
      </c>
      <c r="F205" t="str">
        <f>$A205&amp;Keys!$C$54&amp;$B205</f>
        <v>IA|jet fuel or kerosene</v>
      </c>
      <c r="G205" s="10">
        <f>IF($E205=Keys!$C$60,Keys!$C$51,INDEX(Balanced_2025!$D$9:$D$3032,MATCH($A205&amp;Keys!$C$54&amp;Keys!$C$55&amp;Keys!$C$54&amp;$C205,Balanced_2025!$E$9:$E$3032,0)))</f>
        <v>0</v>
      </c>
      <c r="H205" s="10">
        <f>IF($E205=Keys!$C$60,Keys!$C$51,INDEX(Balanced_2025!$D$9:$D$3032,MATCH($A205&amp;Keys!$C$54&amp;Keys!$C$56&amp;Keys!$C$54&amp;$C205,Balanced_2025!$E$9:$E$3032,0)))</f>
        <v>6215340000000</v>
      </c>
      <c r="I205" s="10">
        <f>IF($E205=Keys!$C$60,Keys!$C$51,INDEX(Balanced_2025!$D$9:$D$3032,MATCH($A205&amp;Keys!$C$54&amp;Keys!$C$57&amp;Keys!$C$54&amp;$C205,Balanced_2025!$E$9:$E$3032,0)))</f>
        <v>0</v>
      </c>
      <c r="J205" s="10">
        <f t="shared" si="12"/>
        <v>6215340000000</v>
      </c>
      <c r="K205" s="10">
        <f>MAX(Keys!$C$51,$I205-$H205)</f>
        <v>0</v>
      </c>
      <c r="L205" s="10">
        <f t="shared" si="13"/>
        <v>6215340000000</v>
      </c>
      <c r="M205" s="11">
        <f>IF($L205&gt;Keys!$C$51,MIN(Keys!$C$52,$K205/$L205),Keys!$C$51)</f>
        <v>0</v>
      </c>
      <c r="N205" s="11">
        <f>IF($E205=Keys!$C$60,Keys!$C$51,IF($E205=Keys!$C$59,$D205,$M205))</f>
        <v>0</v>
      </c>
      <c r="O205">
        <f t="shared" si="14"/>
        <v>1</v>
      </c>
      <c r="P205" s="10">
        <f>IF($E205=Keys!$C$60,Keys!$C$51,INDEX(Raw_BFPIaE!$G$9:$G$3032,MATCH($A205&amp;Keys!$C$54&amp;Keys!$C$55&amp;Keys!$C$54&amp;$B205,Raw_BFPIaE!$H$9:$H$3032,0)))</f>
        <v>0</v>
      </c>
      <c r="Q205" s="10">
        <f>IF($E205=Keys!$C$60,Keys!$C$51,INDEX(Raw_BFPIaE!$G$9:$G$3032,MATCH($A205&amp;Keys!$C$54&amp;Keys!$C$56&amp;Keys!$C$54&amp;$B205,Raw_BFPIaE!$H$9:$H$3032,0)))</f>
        <v>4197866666666.6665</v>
      </c>
      <c r="R205" s="10">
        <f>IF($E205=Keys!$C$60,Keys!$C$51,INDEX(Raw_BFPIaE!$G$9:$G$3032,MATCH($A205&amp;Keys!$C$54&amp;Keys!$C$57&amp;Keys!$C$54&amp;$B205,Raw_BFPIaE!$H$9:$H$3032,0)))</f>
        <v>0</v>
      </c>
      <c r="S205" s="11">
        <f>IF(($P205+$Q205-$R205+MAX(Keys!$C$51,$R205-$Q205))&gt;Keys!$C$51,MIN(Keys!$C$52,MAX(Keys!$C$51,$R205-$Q205)/($P205+$Q205-$R205+MAX(Keys!$C$51,$R205-$Q205))),Keys!$C$51)</f>
        <v>0</v>
      </c>
      <c r="T205">
        <f>IF(AND($I205&gt;$H205,ABS($L205-$G205)&gt;MAX(Keys!$C$62,ABS($G205)*Keys!$C$63)),1,0)</f>
        <v>0</v>
      </c>
      <c r="U205">
        <f>IF(OR($N205&lt;Keys!$C$51,$N205&gt;Keys!$C$52),1,0)</f>
        <v>0</v>
      </c>
      <c r="V205">
        <f>IF(AND($E205=Keys!$C$60,$N205&lt;&gt;Keys!$C$51),1,0)</f>
        <v>0</v>
      </c>
      <c r="W205">
        <f>IF($L205&gt;Keys!$C$51,IF($K205/$L205&gt;Keys!$C$52,1,0),0)</f>
        <v>0</v>
      </c>
      <c r="X205" s="11">
        <f t="shared" si="15"/>
        <v>0</v>
      </c>
    </row>
    <row r="206" spans="1:24" x14ac:dyDescent="0.25">
      <c r="A206" t="s">
        <v>87</v>
      </c>
      <c r="B206" t="s">
        <v>100</v>
      </c>
      <c r="C206">
        <f>VLOOKUP($B206,Keys!$F$2:$I$22,2,FALSE)</f>
        <v>0</v>
      </c>
      <c r="D206">
        <f>VLOOKUP($B206,Keys!$F$2:$I$22,3,FALSE)</f>
        <v>0</v>
      </c>
      <c r="E206" t="str">
        <f>VLOOKUP($B206,Keys!$F$2:$I$22,4,FALSE)</f>
        <v>zero</v>
      </c>
      <c r="F206" t="str">
        <f>$A206&amp;Keys!$C$54&amp;$B206</f>
        <v>IA|heat (not used in this variable)</v>
      </c>
      <c r="G206" s="10">
        <f>IF($E206=Keys!$C$60,Keys!$C$51,INDEX(Balanced_2025!$D$9:$D$3032,MATCH($A206&amp;Keys!$C$54&amp;Keys!$C$55&amp;Keys!$C$54&amp;$C206,Balanced_2025!$E$9:$E$3032,0)))</f>
        <v>0</v>
      </c>
      <c r="H206" s="10">
        <f>IF($E206=Keys!$C$60,Keys!$C$51,INDEX(Balanced_2025!$D$9:$D$3032,MATCH($A206&amp;Keys!$C$54&amp;Keys!$C$56&amp;Keys!$C$54&amp;$C206,Balanced_2025!$E$9:$E$3032,0)))</f>
        <v>0</v>
      </c>
      <c r="I206" s="10">
        <f>IF($E206=Keys!$C$60,Keys!$C$51,INDEX(Balanced_2025!$D$9:$D$3032,MATCH($A206&amp;Keys!$C$54&amp;Keys!$C$57&amp;Keys!$C$54&amp;$C206,Balanced_2025!$E$9:$E$3032,0)))</f>
        <v>0</v>
      </c>
      <c r="J206" s="10">
        <f t="shared" si="12"/>
        <v>0</v>
      </c>
      <c r="K206" s="10">
        <f>MAX(Keys!$C$51,$I206-$H206)</f>
        <v>0</v>
      </c>
      <c r="L206" s="10">
        <f t="shared" si="13"/>
        <v>0</v>
      </c>
      <c r="M206" s="11">
        <f>IF($L206&gt;Keys!$C$51,MIN(Keys!$C$52,$K206/$L206),Keys!$C$51)</f>
        <v>0</v>
      </c>
      <c r="N206" s="11">
        <f>IF($E206=Keys!$C$60,Keys!$C$51,IF($E206=Keys!$C$59,$D206,$M206))</f>
        <v>0</v>
      </c>
      <c r="O206">
        <f t="shared" si="14"/>
        <v>0</v>
      </c>
      <c r="P206" s="10">
        <f>IF($E206=Keys!$C$60,Keys!$C$51,INDEX(Raw_BFPIaE!$G$9:$G$3032,MATCH($A206&amp;Keys!$C$54&amp;Keys!$C$55&amp;Keys!$C$54&amp;$B206,Raw_BFPIaE!$H$9:$H$3032,0)))</f>
        <v>0</v>
      </c>
      <c r="Q206" s="10">
        <f>IF($E206=Keys!$C$60,Keys!$C$51,INDEX(Raw_BFPIaE!$G$9:$G$3032,MATCH($A206&amp;Keys!$C$54&amp;Keys!$C$56&amp;Keys!$C$54&amp;$B206,Raw_BFPIaE!$H$9:$H$3032,0)))</f>
        <v>0</v>
      </c>
      <c r="R206" s="10">
        <f>IF($E206=Keys!$C$60,Keys!$C$51,INDEX(Raw_BFPIaE!$G$9:$G$3032,MATCH($A206&amp;Keys!$C$54&amp;Keys!$C$57&amp;Keys!$C$54&amp;$B206,Raw_BFPIaE!$H$9:$H$3032,0)))</f>
        <v>0</v>
      </c>
      <c r="S206" s="11">
        <f>IF(($P206+$Q206-$R206+MAX(Keys!$C$51,$R206-$Q206))&gt;Keys!$C$51,MIN(Keys!$C$52,MAX(Keys!$C$51,$R206-$Q206)/($P206+$Q206-$R206+MAX(Keys!$C$51,$R206-$Q206))),Keys!$C$51)</f>
        <v>0</v>
      </c>
      <c r="T206">
        <f>IF(AND($I206&gt;$H206,ABS($L206-$G206)&gt;MAX(Keys!$C$62,ABS($G206)*Keys!$C$63)),1,0)</f>
        <v>0</v>
      </c>
      <c r="U206">
        <f>IF(OR($N206&lt;Keys!$C$51,$N206&gt;Keys!$C$52),1,0)</f>
        <v>0</v>
      </c>
      <c r="V206">
        <f>IF(AND($E206=Keys!$C$60,$N206&lt;&gt;Keys!$C$51),1,0)</f>
        <v>0</v>
      </c>
      <c r="W206">
        <f>IF($L206&gt;Keys!$C$51,IF($K206/$L206&gt;Keys!$C$52,1,0),0)</f>
        <v>0</v>
      </c>
      <c r="X206" s="11">
        <f t="shared" si="15"/>
        <v>0</v>
      </c>
    </row>
    <row r="207" spans="1:24" x14ac:dyDescent="0.25">
      <c r="A207" t="s">
        <v>87</v>
      </c>
      <c r="B207" t="s">
        <v>103</v>
      </c>
      <c r="C207">
        <f>VLOOKUP($B207,Keys!$F$2:$I$22,2,FALSE)</f>
        <v>0</v>
      </c>
      <c r="D207">
        <f>VLOOKUP($B207,Keys!$F$2:$I$22,3,FALSE)</f>
        <v>0</v>
      </c>
      <c r="E207" t="str">
        <f>VLOOKUP($B207,Keys!$F$2:$I$22,4,FALSE)</f>
        <v>zero</v>
      </c>
      <c r="F207" t="str">
        <f>$A207&amp;Keys!$C$54&amp;$B207</f>
        <v>IA|geothermal (is not a fuel)</v>
      </c>
      <c r="G207" s="10">
        <f>IF($E207=Keys!$C$60,Keys!$C$51,INDEX(Balanced_2025!$D$9:$D$3032,MATCH($A207&amp;Keys!$C$54&amp;Keys!$C$55&amp;Keys!$C$54&amp;$C207,Balanced_2025!$E$9:$E$3032,0)))</f>
        <v>0</v>
      </c>
      <c r="H207" s="10">
        <f>IF($E207=Keys!$C$60,Keys!$C$51,INDEX(Balanced_2025!$D$9:$D$3032,MATCH($A207&amp;Keys!$C$54&amp;Keys!$C$56&amp;Keys!$C$54&amp;$C207,Balanced_2025!$E$9:$E$3032,0)))</f>
        <v>0</v>
      </c>
      <c r="I207" s="10">
        <f>IF($E207=Keys!$C$60,Keys!$C$51,INDEX(Balanced_2025!$D$9:$D$3032,MATCH($A207&amp;Keys!$C$54&amp;Keys!$C$57&amp;Keys!$C$54&amp;$C207,Balanced_2025!$E$9:$E$3032,0)))</f>
        <v>0</v>
      </c>
      <c r="J207" s="10">
        <f t="shared" si="12"/>
        <v>0</v>
      </c>
      <c r="K207" s="10">
        <f>MAX(Keys!$C$51,$I207-$H207)</f>
        <v>0</v>
      </c>
      <c r="L207" s="10">
        <f t="shared" si="13"/>
        <v>0</v>
      </c>
      <c r="M207" s="11">
        <f>IF($L207&gt;Keys!$C$51,MIN(Keys!$C$52,$K207/$L207),Keys!$C$51)</f>
        <v>0</v>
      </c>
      <c r="N207" s="11">
        <f>IF($E207=Keys!$C$60,Keys!$C$51,IF($E207=Keys!$C$59,$D207,$M207))</f>
        <v>0</v>
      </c>
      <c r="O207">
        <f t="shared" si="14"/>
        <v>0</v>
      </c>
      <c r="P207" s="10">
        <f>IF($E207=Keys!$C$60,Keys!$C$51,INDEX(Raw_BFPIaE!$G$9:$G$3032,MATCH($A207&amp;Keys!$C$54&amp;Keys!$C$55&amp;Keys!$C$54&amp;$B207,Raw_BFPIaE!$H$9:$H$3032,0)))</f>
        <v>0</v>
      </c>
      <c r="Q207" s="10">
        <f>IF($E207=Keys!$C$60,Keys!$C$51,INDEX(Raw_BFPIaE!$G$9:$G$3032,MATCH($A207&amp;Keys!$C$54&amp;Keys!$C$56&amp;Keys!$C$54&amp;$B207,Raw_BFPIaE!$H$9:$H$3032,0)))</f>
        <v>0</v>
      </c>
      <c r="R207" s="10">
        <f>IF($E207=Keys!$C$60,Keys!$C$51,INDEX(Raw_BFPIaE!$G$9:$G$3032,MATCH($A207&amp;Keys!$C$54&amp;Keys!$C$57&amp;Keys!$C$54&amp;$B207,Raw_BFPIaE!$H$9:$H$3032,0)))</f>
        <v>0</v>
      </c>
      <c r="S207" s="11">
        <f>IF(($P207+$Q207-$R207+MAX(Keys!$C$51,$R207-$Q207))&gt;Keys!$C$51,MIN(Keys!$C$52,MAX(Keys!$C$51,$R207-$Q207)/($P207+$Q207-$R207+MAX(Keys!$C$51,$R207-$Q207))),Keys!$C$51)</f>
        <v>0</v>
      </c>
      <c r="T207">
        <f>IF(AND($I207&gt;$H207,ABS($L207-$G207)&gt;MAX(Keys!$C$62,ABS($G207)*Keys!$C$63)),1,0)</f>
        <v>0</v>
      </c>
      <c r="U207">
        <f>IF(OR($N207&lt;Keys!$C$51,$N207&gt;Keys!$C$52),1,0)</f>
        <v>0</v>
      </c>
      <c r="V207">
        <f>IF(AND($E207=Keys!$C$60,$N207&lt;&gt;Keys!$C$51),1,0)</f>
        <v>0</v>
      </c>
      <c r="W207">
        <f>IF($L207&gt;Keys!$C$51,IF($K207/$L207&gt;Keys!$C$52,1,0),0)</f>
        <v>0</v>
      </c>
      <c r="X207" s="11">
        <f t="shared" si="15"/>
        <v>0</v>
      </c>
    </row>
    <row r="208" spans="1:24" x14ac:dyDescent="0.25">
      <c r="A208" t="s">
        <v>87</v>
      </c>
      <c r="B208" t="s">
        <v>106</v>
      </c>
      <c r="C208" t="str">
        <f>VLOOKUP($B208,Keys!$F$2:$I$22,2,FALSE)</f>
        <v>lignite</v>
      </c>
      <c r="D208">
        <f>VLOOKUP($B208,Keys!$F$2:$I$22,3,FALSE)</f>
        <v>0</v>
      </c>
      <c r="E208" t="str">
        <f>VLOOKUP($B208,Keys!$F$2:$I$22,4,FALSE)</f>
        <v>rule</v>
      </c>
      <c r="F208" t="str">
        <f>$A208&amp;Keys!$C$54&amp;$B208</f>
        <v>IA|lignite</v>
      </c>
      <c r="G208" s="10">
        <f>IF($E208=Keys!$C$60,Keys!$C$51,INDEX(Balanced_2025!$D$9:$D$3032,MATCH($A208&amp;Keys!$C$54&amp;Keys!$C$55&amp;Keys!$C$54&amp;$C208,Balanced_2025!$E$9:$E$3032,0)))</f>
        <v>0</v>
      </c>
      <c r="H208" s="10">
        <f>IF($E208=Keys!$C$60,Keys!$C$51,INDEX(Balanced_2025!$D$9:$D$3032,MATCH($A208&amp;Keys!$C$54&amp;Keys!$C$56&amp;Keys!$C$54&amp;$C208,Balanced_2025!$E$9:$E$3032,0)))</f>
        <v>0</v>
      </c>
      <c r="I208" s="10">
        <f>IF($E208=Keys!$C$60,Keys!$C$51,INDEX(Balanced_2025!$D$9:$D$3032,MATCH($A208&amp;Keys!$C$54&amp;Keys!$C$57&amp;Keys!$C$54&amp;$C208,Balanced_2025!$E$9:$E$3032,0)))</f>
        <v>0</v>
      </c>
      <c r="J208" s="10">
        <f t="shared" si="12"/>
        <v>0</v>
      </c>
      <c r="K208" s="10">
        <f>MAX(Keys!$C$51,$I208-$H208)</f>
        <v>0</v>
      </c>
      <c r="L208" s="10">
        <f t="shared" si="13"/>
        <v>0</v>
      </c>
      <c r="M208" s="11">
        <f>IF($L208&gt;Keys!$C$51,MIN(Keys!$C$52,$K208/$L208),Keys!$C$51)</f>
        <v>0</v>
      </c>
      <c r="N208" s="11">
        <f>IF($E208=Keys!$C$60,Keys!$C$51,IF($E208=Keys!$C$59,$D208,$M208))</f>
        <v>0</v>
      </c>
      <c r="O208">
        <f t="shared" si="14"/>
        <v>0</v>
      </c>
      <c r="P208" s="10">
        <f>IF($E208=Keys!$C$60,Keys!$C$51,INDEX(Raw_BFPIaE!$G$9:$G$3032,MATCH($A208&amp;Keys!$C$54&amp;Keys!$C$55&amp;Keys!$C$54&amp;$B208,Raw_BFPIaE!$H$9:$H$3032,0)))</f>
        <v>0</v>
      </c>
      <c r="Q208" s="10">
        <f>IF($E208=Keys!$C$60,Keys!$C$51,INDEX(Raw_BFPIaE!$G$9:$G$3032,MATCH($A208&amp;Keys!$C$54&amp;Keys!$C$56&amp;Keys!$C$54&amp;$B208,Raw_BFPIaE!$H$9:$H$3032,0)))</f>
        <v>0</v>
      </c>
      <c r="R208" s="10">
        <f>IF($E208=Keys!$C$60,Keys!$C$51,INDEX(Raw_BFPIaE!$G$9:$G$3032,MATCH($A208&amp;Keys!$C$54&amp;Keys!$C$57&amp;Keys!$C$54&amp;$B208,Raw_BFPIaE!$H$9:$H$3032,0)))</f>
        <v>0</v>
      </c>
      <c r="S208" s="11">
        <f>IF(($P208+$Q208-$R208+MAX(Keys!$C$51,$R208-$Q208))&gt;Keys!$C$51,MIN(Keys!$C$52,MAX(Keys!$C$51,$R208-$Q208)/($P208+$Q208-$R208+MAX(Keys!$C$51,$R208-$Q208))),Keys!$C$51)</f>
        <v>0</v>
      </c>
      <c r="T208">
        <f>IF(AND($I208&gt;$H208,ABS($L208-$G208)&gt;MAX(Keys!$C$62,ABS($G208)*Keys!$C$63)),1,0)</f>
        <v>0</v>
      </c>
      <c r="U208">
        <f>IF(OR($N208&lt;Keys!$C$51,$N208&gt;Keys!$C$52),1,0)</f>
        <v>0</v>
      </c>
      <c r="V208">
        <f>IF(AND($E208=Keys!$C$60,$N208&lt;&gt;Keys!$C$51),1,0)</f>
        <v>0</v>
      </c>
      <c r="W208">
        <f>IF($L208&gt;Keys!$C$51,IF($K208/$L208&gt;Keys!$C$52,1,0),0)</f>
        <v>0</v>
      </c>
      <c r="X208" s="11">
        <f t="shared" si="15"/>
        <v>0</v>
      </c>
    </row>
    <row r="209" spans="1:24" x14ac:dyDescent="0.25">
      <c r="A209" t="s">
        <v>87</v>
      </c>
      <c r="B209" t="s">
        <v>109</v>
      </c>
      <c r="C209" t="str">
        <f>VLOOKUP($B209,Keys!$F$2:$I$22,2,FALSE)</f>
        <v>crude oil</v>
      </c>
      <c r="D209">
        <f>VLOOKUP($B209,Keys!$F$2:$I$22,3,FALSE)</f>
        <v>1</v>
      </c>
      <c r="E209" t="str">
        <f>VLOOKUP($B209,Keys!$F$2:$I$22,4,FALSE)</f>
        <v>hold</v>
      </c>
      <c r="F209" t="str">
        <f>$A209&amp;Keys!$C$54&amp;$B209</f>
        <v>IA|crude oil</v>
      </c>
      <c r="G209" s="10">
        <f>IF($E209=Keys!$C$60,Keys!$C$51,INDEX(Balanced_2025!$D$9:$D$3032,MATCH($A209&amp;Keys!$C$54&amp;Keys!$C$55&amp;Keys!$C$54&amp;$C209,Balanced_2025!$E$9:$E$3032,0)))</f>
        <v>0</v>
      </c>
      <c r="H209" s="10">
        <f>IF($E209=Keys!$C$60,Keys!$C$51,INDEX(Balanced_2025!$D$9:$D$3032,MATCH($A209&amp;Keys!$C$54&amp;Keys!$C$56&amp;Keys!$C$54&amp;$C209,Balanced_2025!$E$9:$E$3032,0)))</f>
        <v>1221000000000</v>
      </c>
      <c r="I209" s="10">
        <f>IF($E209=Keys!$C$60,Keys!$C$51,INDEX(Balanced_2025!$D$9:$D$3032,MATCH($A209&amp;Keys!$C$54&amp;Keys!$C$57&amp;Keys!$C$54&amp;$C209,Balanced_2025!$E$9:$E$3032,0)))</f>
        <v>0</v>
      </c>
      <c r="J209" s="10">
        <f t="shared" si="12"/>
        <v>1221000000000</v>
      </c>
      <c r="K209" s="10">
        <f>MAX(Keys!$C$51,$I209-$H209)</f>
        <v>0</v>
      </c>
      <c r="L209" s="10">
        <f t="shared" si="13"/>
        <v>1221000000000</v>
      </c>
      <c r="M209" s="11">
        <f>IF($L209&gt;Keys!$C$51,MIN(Keys!$C$52,$K209/$L209),Keys!$C$51)</f>
        <v>0</v>
      </c>
      <c r="N209" s="11">
        <f>IF($E209=Keys!$C$60,Keys!$C$51,IF($E209=Keys!$C$59,$D209,$M209))</f>
        <v>1</v>
      </c>
      <c r="O209">
        <f t="shared" si="14"/>
        <v>0</v>
      </c>
      <c r="P209" s="10">
        <f>IF($E209=Keys!$C$60,Keys!$C$51,INDEX(Raw_BFPIaE!$G$9:$G$3032,MATCH($A209&amp;Keys!$C$54&amp;Keys!$C$55&amp;Keys!$C$54&amp;$B209,Raw_BFPIaE!$H$9:$H$3032,0)))</f>
        <v>0</v>
      </c>
      <c r="Q209" s="10">
        <f>IF($E209=Keys!$C$60,Keys!$C$51,INDEX(Raw_BFPIaE!$G$9:$G$3032,MATCH($A209&amp;Keys!$C$54&amp;Keys!$C$56&amp;Keys!$C$54&amp;$B209,Raw_BFPIaE!$H$9:$H$3032,0)))</f>
        <v>407000000000</v>
      </c>
      <c r="R209" s="10">
        <f>IF($E209=Keys!$C$60,Keys!$C$51,INDEX(Raw_BFPIaE!$G$9:$G$3032,MATCH($A209&amp;Keys!$C$54&amp;Keys!$C$57&amp;Keys!$C$54&amp;$B209,Raw_BFPIaE!$H$9:$H$3032,0)))</f>
        <v>0</v>
      </c>
      <c r="S209" s="11">
        <f>IF(($P209+$Q209-$R209+MAX(Keys!$C$51,$R209-$Q209))&gt;Keys!$C$51,MIN(Keys!$C$52,MAX(Keys!$C$51,$R209-$Q209)/($P209+$Q209-$R209+MAX(Keys!$C$51,$R209-$Q209))),Keys!$C$51)</f>
        <v>0</v>
      </c>
      <c r="T209">
        <f>IF(AND($I209&gt;$H209,ABS($L209-$G209)&gt;MAX(Keys!$C$62,ABS($G209)*Keys!$C$63)),1,0)</f>
        <v>0</v>
      </c>
      <c r="U209">
        <f>IF(OR($N209&lt;Keys!$C$51,$N209&gt;Keys!$C$52),1,0)</f>
        <v>0</v>
      </c>
      <c r="V209">
        <f>IF(AND($E209=Keys!$C$60,$N209&lt;&gt;Keys!$C$51),1,0)</f>
        <v>0</v>
      </c>
      <c r="W209">
        <f>IF($L209&gt;Keys!$C$51,IF($K209/$L209&gt;Keys!$C$52,1,0),0)</f>
        <v>0</v>
      </c>
      <c r="X209" s="11">
        <f t="shared" si="15"/>
        <v>0</v>
      </c>
    </row>
    <row r="210" spans="1:24" x14ac:dyDescent="0.25">
      <c r="A210" t="s">
        <v>87</v>
      </c>
      <c r="B210" t="s">
        <v>113</v>
      </c>
      <c r="C210" t="str">
        <f>VLOOKUP($B210,Keys!$F$2:$I$22,2,FALSE)</f>
        <v>heavy or residual fuel oil</v>
      </c>
      <c r="D210">
        <f>VLOOKUP($B210,Keys!$F$2:$I$22,3,FALSE)</f>
        <v>0.49914171099999999</v>
      </c>
      <c r="E210" t="str">
        <f>VLOOKUP($B210,Keys!$F$2:$I$22,4,FALSE)</f>
        <v>rule</v>
      </c>
      <c r="F210" t="str">
        <f>$A210&amp;Keys!$C$54&amp;$B210</f>
        <v>IA|heavy fuel oil</v>
      </c>
      <c r="G210" s="10">
        <f>IF($E210=Keys!$C$60,Keys!$C$51,INDEX(Balanced_2025!$D$9:$D$3032,MATCH($A210&amp;Keys!$C$54&amp;Keys!$C$55&amp;Keys!$C$54&amp;$C210,Balanced_2025!$E$9:$E$3032,0)))</f>
        <v>0</v>
      </c>
      <c r="H210" s="10">
        <f>IF($E210=Keys!$C$60,Keys!$C$51,INDEX(Balanced_2025!$D$9:$D$3032,MATCH($A210&amp;Keys!$C$54&amp;Keys!$C$56&amp;Keys!$C$54&amp;$C210,Balanced_2025!$E$9:$E$3032,0)))</f>
        <v>11397800000000</v>
      </c>
      <c r="I210" s="10">
        <f>IF($E210=Keys!$C$60,Keys!$C$51,INDEX(Balanced_2025!$D$9:$D$3032,MATCH($A210&amp;Keys!$C$54&amp;Keys!$C$57&amp;Keys!$C$54&amp;$C210,Balanced_2025!$E$9:$E$3032,0)))</f>
        <v>0</v>
      </c>
      <c r="J210" s="10">
        <f t="shared" si="12"/>
        <v>11397800000000</v>
      </c>
      <c r="K210" s="10">
        <f>MAX(Keys!$C$51,$I210-$H210)</f>
        <v>0</v>
      </c>
      <c r="L210" s="10">
        <f t="shared" si="13"/>
        <v>11397800000000</v>
      </c>
      <c r="M210" s="11">
        <f>IF($L210&gt;Keys!$C$51,MIN(Keys!$C$52,$K210/$L210),Keys!$C$51)</f>
        <v>0</v>
      </c>
      <c r="N210" s="11">
        <f>IF($E210=Keys!$C$60,Keys!$C$51,IF($E210=Keys!$C$59,$D210,$M210))</f>
        <v>0</v>
      </c>
      <c r="O210">
        <f t="shared" si="14"/>
        <v>1</v>
      </c>
      <c r="P210" s="10">
        <f>IF($E210=Keys!$C$60,Keys!$C$51,INDEX(Raw_BFPIaE!$G$9:$G$3032,MATCH($A210&amp;Keys!$C$54&amp;Keys!$C$55&amp;Keys!$C$54&amp;$B210,Raw_BFPIaE!$H$9:$H$3032,0)))</f>
        <v>0</v>
      </c>
      <c r="Q210" s="10">
        <f>IF($E210=Keys!$C$60,Keys!$C$51,INDEX(Raw_BFPIaE!$G$9:$G$3032,MATCH($A210&amp;Keys!$C$54&amp;Keys!$C$56&amp;Keys!$C$54&amp;$B210,Raw_BFPIaE!$H$9:$H$3032,0)))</f>
        <v>7679033333333.333</v>
      </c>
      <c r="R210" s="10">
        <f>IF($E210=Keys!$C$60,Keys!$C$51,INDEX(Raw_BFPIaE!$G$9:$G$3032,MATCH($A210&amp;Keys!$C$54&amp;Keys!$C$57&amp;Keys!$C$54&amp;$B210,Raw_BFPIaE!$H$9:$H$3032,0)))</f>
        <v>0</v>
      </c>
      <c r="S210" s="11">
        <f>IF(($P210+$Q210-$R210+MAX(Keys!$C$51,$R210-$Q210))&gt;Keys!$C$51,MIN(Keys!$C$52,MAX(Keys!$C$51,$R210-$Q210)/($P210+$Q210-$R210+MAX(Keys!$C$51,$R210-$Q210))),Keys!$C$51)</f>
        <v>0</v>
      </c>
      <c r="T210">
        <f>IF(AND($I210&gt;$H210,ABS($L210-$G210)&gt;MAX(Keys!$C$62,ABS($G210)*Keys!$C$63)),1,0)</f>
        <v>0</v>
      </c>
      <c r="U210">
        <f>IF(OR($N210&lt;Keys!$C$51,$N210&gt;Keys!$C$52),1,0)</f>
        <v>0</v>
      </c>
      <c r="V210">
        <f>IF(AND($E210=Keys!$C$60,$N210&lt;&gt;Keys!$C$51),1,0)</f>
        <v>0</v>
      </c>
      <c r="W210">
        <f>IF($L210&gt;Keys!$C$51,IF($K210/$L210&gt;Keys!$C$52,1,0),0)</f>
        <v>0</v>
      </c>
      <c r="X210" s="11">
        <f t="shared" si="15"/>
        <v>0</v>
      </c>
    </row>
    <row r="211" spans="1:24" x14ac:dyDescent="0.25">
      <c r="A211" t="s">
        <v>87</v>
      </c>
      <c r="B211" t="s">
        <v>117</v>
      </c>
      <c r="C211" t="str">
        <f>VLOOKUP($B211,Keys!$F$2:$I$22,2,FALSE)</f>
        <v>LPG propane or butane</v>
      </c>
      <c r="D211">
        <f>VLOOKUP($B211,Keys!$F$2:$I$22,3,FALSE)</f>
        <v>0.54955999499999997</v>
      </c>
      <c r="E211" t="str">
        <f>VLOOKUP($B211,Keys!$F$2:$I$22,4,FALSE)</f>
        <v>rule</v>
      </c>
      <c r="F211" t="str">
        <f>$A211&amp;Keys!$C$54&amp;$B211</f>
        <v>IA|LPG propane or butane</v>
      </c>
      <c r="G211" s="10">
        <f>IF($E211=Keys!$C$60,Keys!$C$51,INDEX(Balanced_2025!$D$9:$D$3032,MATCH($A211&amp;Keys!$C$54&amp;Keys!$C$55&amp;Keys!$C$54&amp;$C211,Balanced_2025!$E$9:$E$3032,0)))</f>
        <v>0</v>
      </c>
      <c r="H211" s="10">
        <f>IF($E211=Keys!$C$60,Keys!$C$51,INDEX(Balanced_2025!$D$9:$D$3032,MATCH($A211&amp;Keys!$C$54&amp;Keys!$C$56&amp;Keys!$C$54&amp;$C211,Balanced_2025!$E$9:$E$3032,0)))</f>
        <v>63248300000000</v>
      </c>
      <c r="I211" s="10">
        <f>IF($E211=Keys!$C$60,Keys!$C$51,INDEX(Balanced_2025!$D$9:$D$3032,MATCH($A211&amp;Keys!$C$54&amp;Keys!$C$57&amp;Keys!$C$54&amp;$C211,Balanced_2025!$E$9:$E$3032,0)))</f>
        <v>0</v>
      </c>
      <c r="J211" s="10">
        <f t="shared" si="12"/>
        <v>63248300000000</v>
      </c>
      <c r="K211" s="10">
        <f>MAX(Keys!$C$51,$I211-$H211)</f>
        <v>0</v>
      </c>
      <c r="L211" s="10">
        <f t="shared" si="13"/>
        <v>63248300000000</v>
      </c>
      <c r="M211" s="11">
        <f>IF($L211&gt;Keys!$C$51,MIN(Keys!$C$52,$K211/$L211),Keys!$C$51)</f>
        <v>0</v>
      </c>
      <c r="N211" s="11">
        <f>IF($E211=Keys!$C$60,Keys!$C$51,IF($E211=Keys!$C$59,$D211,$M211))</f>
        <v>0</v>
      </c>
      <c r="O211">
        <f t="shared" si="14"/>
        <v>1</v>
      </c>
      <c r="P211" s="10">
        <f>IF($E211=Keys!$C$60,Keys!$C$51,INDEX(Raw_BFPIaE!$G$9:$G$3032,MATCH($A211&amp;Keys!$C$54&amp;Keys!$C$55&amp;Keys!$C$54&amp;$B211,Raw_BFPIaE!$H$9:$H$3032,0)))</f>
        <v>0</v>
      </c>
      <c r="Q211" s="10">
        <f>IF($E211=Keys!$C$60,Keys!$C$51,INDEX(Raw_BFPIaE!$G$9:$G$3032,MATCH($A211&amp;Keys!$C$54&amp;Keys!$C$56&amp;Keys!$C$54&amp;$B211,Raw_BFPIaE!$H$9:$H$3032,0)))</f>
        <v>42093233333333.336</v>
      </c>
      <c r="R211" s="10">
        <f>IF($E211=Keys!$C$60,Keys!$C$51,INDEX(Raw_BFPIaE!$G$9:$G$3032,MATCH($A211&amp;Keys!$C$54&amp;Keys!$C$57&amp;Keys!$C$54&amp;$B211,Raw_BFPIaE!$H$9:$H$3032,0)))</f>
        <v>0</v>
      </c>
      <c r="S211" s="11">
        <f>IF(($P211+$Q211-$R211+MAX(Keys!$C$51,$R211-$Q211))&gt;Keys!$C$51,MIN(Keys!$C$52,MAX(Keys!$C$51,$R211-$Q211)/($P211+$Q211-$R211+MAX(Keys!$C$51,$R211-$Q211))),Keys!$C$51)</f>
        <v>0</v>
      </c>
      <c r="T211">
        <f>IF(AND($I211&gt;$H211,ABS($L211-$G211)&gt;MAX(Keys!$C$62,ABS($G211)*Keys!$C$63)),1,0)</f>
        <v>0</v>
      </c>
      <c r="U211">
        <f>IF(OR($N211&lt;Keys!$C$51,$N211&gt;Keys!$C$52),1,0)</f>
        <v>0</v>
      </c>
      <c r="V211">
        <f>IF(AND($E211=Keys!$C$60,$N211&lt;&gt;Keys!$C$51),1,0)</f>
        <v>0</v>
      </c>
      <c r="W211">
        <f>IF($L211&gt;Keys!$C$51,IF($K211/$L211&gt;Keys!$C$52,1,0),0)</f>
        <v>0</v>
      </c>
      <c r="X211" s="11">
        <f t="shared" si="15"/>
        <v>0</v>
      </c>
    </row>
    <row r="212" spans="1:24" x14ac:dyDescent="0.25">
      <c r="A212" t="s">
        <v>87</v>
      </c>
      <c r="B212" t="s">
        <v>120</v>
      </c>
      <c r="C212">
        <f>VLOOKUP($B212,Keys!$F$2:$I$22,2,FALSE)</f>
        <v>0</v>
      </c>
      <c r="D212">
        <f>VLOOKUP($B212,Keys!$F$2:$I$22,3,FALSE)</f>
        <v>0</v>
      </c>
      <c r="E212" t="str">
        <f>VLOOKUP($B212,Keys!$F$2:$I$22,4,FALSE)</f>
        <v>zero</v>
      </c>
      <c r="F212" t="str">
        <f>$A212&amp;Keys!$C$54&amp;$B212</f>
        <v>IA|municipal solid waste</v>
      </c>
      <c r="G212" s="10">
        <f>IF($E212=Keys!$C$60,Keys!$C$51,INDEX(Balanced_2025!$D$9:$D$3032,MATCH($A212&amp;Keys!$C$54&amp;Keys!$C$55&amp;Keys!$C$54&amp;$C212,Balanced_2025!$E$9:$E$3032,0)))</f>
        <v>0</v>
      </c>
      <c r="H212" s="10">
        <f>IF($E212=Keys!$C$60,Keys!$C$51,INDEX(Balanced_2025!$D$9:$D$3032,MATCH($A212&amp;Keys!$C$54&amp;Keys!$C$56&amp;Keys!$C$54&amp;$C212,Balanced_2025!$E$9:$E$3032,0)))</f>
        <v>0</v>
      </c>
      <c r="I212" s="10">
        <f>IF($E212=Keys!$C$60,Keys!$C$51,INDEX(Balanced_2025!$D$9:$D$3032,MATCH($A212&amp;Keys!$C$54&amp;Keys!$C$57&amp;Keys!$C$54&amp;$C212,Balanced_2025!$E$9:$E$3032,0)))</f>
        <v>0</v>
      </c>
      <c r="J212" s="10">
        <f t="shared" si="12"/>
        <v>0</v>
      </c>
      <c r="K212" s="10">
        <f>MAX(Keys!$C$51,$I212-$H212)</f>
        <v>0</v>
      </c>
      <c r="L212" s="10">
        <f t="shared" si="13"/>
        <v>0</v>
      </c>
      <c r="M212" s="11">
        <f>IF($L212&gt;Keys!$C$51,MIN(Keys!$C$52,$K212/$L212),Keys!$C$51)</f>
        <v>0</v>
      </c>
      <c r="N212" s="11">
        <f>IF($E212=Keys!$C$60,Keys!$C$51,IF($E212=Keys!$C$59,$D212,$M212))</f>
        <v>0</v>
      </c>
      <c r="O212">
        <f t="shared" si="14"/>
        <v>0</v>
      </c>
      <c r="P212" s="10">
        <f>IF($E212=Keys!$C$60,Keys!$C$51,INDEX(Raw_BFPIaE!$G$9:$G$3032,MATCH($A212&amp;Keys!$C$54&amp;Keys!$C$55&amp;Keys!$C$54&amp;$B212,Raw_BFPIaE!$H$9:$H$3032,0)))</f>
        <v>0</v>
      </c>
      <c r="Q212" s="10">
        <f>IF($E212=Keys!$C$60,Keys!$C$51,INDEX(Raw_BFPIaE!$G$9:$G$3032,MATCH($A212&amp;Keys!$C$54&amp;Keys!$C$56&amp;Keys!$C$54&amp;$B212,Raw_BFPIaE!$H$9:$H$3032,0)))</f>
        <v>0</v>
      </c>
      <c r="R212" s="10">
        <f>IF($E212=Keys!$C$60,Keys!$C$51,INDEX(Raw_BFPIaE!$G$9:$G$3032,MATCH($A212&amp;Keys!$C$54&amp;Keys!$C$57&amp;Keys!$C$54&amp;$B212,Raw_BFPIaE!$H$9:$H$3032,0)))</f>
        <v>0</v>
      </c>
      <c r="S212" s="11">
        <f>IF(($P212+$Q212-$R212+MAX(Keys!$C$51,$R212-$Q212))&gt;Keys!$C$51,MIN(Keys!$C$52,MAX(Keys!$C$51,$R212-$Q212)/($P212+$Q212-$R212+MAX(Keys!$C$51,$R212-$Q212))),Keys!$C$51)</f>
        <v>0</v>
      </c>
      <c r="T212">
        <f>IF(AND($I212&gt;$H212,ABS($L212-$G212)&gt;MAX(Keys!$C$62,ABS($G212)*Keys!$C$63)),1,0)</f>
        <v>0</v>
      </c>
      <c r="U212">
        <f>IF(OR($N212&lt;Keys!$C$51,$N212&gt;Keys!$C$52),1,0)</f>
        <v>0</v>
      </c>
      <c r="V212">
        <f>IF(AND($E212=Keys!$C$60,$N212&lt;&gt;Keys!$C$51),1,0)</f>
        <v>0</v>
      </c>
      <c r="W212">
        <f>IF($L212&gt;Keys!$C$51,IF($K212/$L212&gt;Keys!$C$52,1,0),0)</f>
        <v>0</v>
      </c>
      <c r="X212" s="11">
        <f t="shared" si="15"/>
        <v>0</v>
      </c>
    </row>
    <row r="213" spans="1:24" x14ac:dyDescent="0.25">
      <c r="A213" t="s">
        <v>87</v>
      </c>
      <c r="B213" t="s">
        <v>123</v>
      </c>
      <c r="C213">
        <f>VLOOKUP($B213,Keys!$F$2:$I$22,2,FALSE)</f>
        <v>0</v>
      </c>
      <c r="D213">
        <f>VLOOKUP($B213,Keys!$F$2:$I$22,3,FALSE)</f>
        <v>0</v>
      </c>
      <c r="E213" t="str">
        <f>VLOOKUP($B213,Keys!$F$2:$I$22,4,FALSE)</f>
        <v>zero</v>
      </c>
      <c r="F213" t="str">
        <f>$A213&amp;Keys!$C$54&amp;$B213</f>
        <v>IA|hydrogen</v>
      </c>
      <c r="G213" s="10">
        <f>IF($E213=Keys!$C$60,Keys!$C$51,INDEX(Balanced_2025!$D$9:$D$3032,MATCH($A213&amp;Keys!$C$54&amp;Keys!$C$55&amp;Keys!$C$54&amp;$C213,Balanced_2025!$E$9:$E$3032,0)))</f>
        <v>0</v>
      </c>
      <c r="H213" s="10">
        <f>IF($E213=Keys!$C$60,Keys!$C$51,INDEX(Balanced_2025!$D$9:$D$3032,MATCH($A213&amp;Keys!$C$54&amp;Keys!$C$56&amp;Keys!$C$54&amp;$C213,Balanced_2025!$E$9:$E$3032,0)))</f>
        <v>0</v>
      </c>
      <c r="I213" s="10">
        <f>IF($E213=Keys!$C$60,Keys!$C$51,INDEX(Balanced_2025!$D$9:$D$3032,MATCH($A213&amp;Keys!$C$54&amp;Keys!$C$57&amp;Keys!$C$54&amp;$C213,Balanced_2025!$E$9:$E$3032,0)))</f>
        <v>0</v>
      </c>
      <c r="J213" s="10">
        <f t="shared" si="12"/>
        <v>0</v>
      </c>
      <c r="K213" s="10">
        <f>MAX(Keys!$C$51,$I213-$H213)</f>
        <v>0</v>
      </c>
      <c r="L213" s="10">
        <f t="shared" si="13"/>
        <v>0</v>
      </c>
      <c r="M213" s="11">
        <f>IF($L213&gt;Keys!$C$51,MIN(Keys!$C$52,$K213/$L213),Keys!$C$51)</f>
        <v>0</v>
      </c>
      <c r="N213" s="11">
        <f>IF($E213=Keys!$C$60,Keys!$C$51,IF($E213=Keys!$C$59,$D213,$M213))</f>
        <v>0</v>
      </c>
      <c r="O213">
        <f t="shared" si="14"/>
        <v>0</v>
      </c>
      <c r="P213" s="10">
        <f>IF($E213=Keys!$C$60,Keys!$C$51,INDEX(Raw_BFPIaE!$G$9:$G$3032,MATCH($A213&amp;Keys!$C$54&amp;Keys!$C$55&amp;Keys!$C$54&amp;$B213,Raw_BFPIaE!$H$9:$H$3032,0)))</f>
        <v>0</v>
      </c>
      <c r="Q213" s="10">
        <f>IF($E213=Keys!$C$60,Keys!$C$51,INDEX(Raw_BFPIaE!$G$9:$G$3032,MATCH($A213&amp;Keys!$C$54&amp;Keys!$C$56&amp;Keys!$C$54&amp;$B213,Raw_BFPIaE!$H$9:$H$3032,0)))</f>
        <v>0</v>
      </c>
      <c r="R213" s="10">
        <f>IF($E213=Keys!$C$60,Keys!$C$51,INDEX(Raw_BFPIaE!$G$9:$G$3032,MATCH($A213&amp;Keys!$C$54&amp;Keys!$C$57&amp;Keys!$C$54&amp;$B213,Raw_BFPIaE!$H$9:$H$3032,0)))</f>
        <v>0</v>
      </c>
      <c r="S213" s="11">
        <f>IF(($P213+$Q213-$R213+MAX(Keys!$C$51,$R213-$Q213))&gt;Keys!$C$51,MIN(Keys!$C$52,MAX(Keys!$C$51,$R213-$Q213)/($P213+$Q213-$R213+MAX(Keys!$C$51,$R213-$Q213))),Keys!$C$51)</f>
        <v>0</v>
      </c>
      <c r="T213">
        <f>IF(AND($I213&gt;$H213,ABS($L213-$G213)&gt;MAX(Keys!$C$62,ABS($G213)*Keys!$C$63)),1,0)</f>
        <v>0</v>
      </c>
      <c r="U213">
        <f>IF(OR($N213&lt;Keys!$C$51,$N213&gt;Keys!$C$52),1,0)</f>
        <v>0</v>
      </c>
      <c r="V213">
        <f>IF(AND($E213=Keys!$C$60,$N213&lt;&gt;Keys!$C$51),1,0)</f>
        <v>0</v>
      </c>
      <c r="W213">
        <f>IF($L213&gt;Keys!$C$51,IF($K213/$L213&gt;Keys!$C$52,1,0),0)</f>
        <v>0</v>
      </c>
      <c r="X213" s="11">
        <f t="shared" si="15"/>
        <v>0</v>
      </c>
    </row>
    <row r="214" spans="1:24" x14ac:dyDescent="0.25">
      <c r="A214" t="s">
        <v>90</v>
      </c>
      <c r="B214" t="s">
        <v>60</v>
      </c>
      <c r="C214">
        <f>VLOOKUP($B214,Keys!$F$2:$I$22,2,FALSE)</f>
        <v>0</v>
      </c>
      <c r="D214">
        <f>VLOOKUP($B214,Keys!$F$2:$I$22,3,FALSE)</f>
        <v>0</v>
      </c>
      <c r="E214" t="str">
        <f>VLOOKUP($B214,Keys!$F$2:$I$22,4,FALSE)</f>
        <v>zero</v>
      </c>
      <c r="F214" t="str">
        <f>$A214&amp;Keys!$C$54&amp;$B214</f>
        <v>ID|electricity (not used in this variable)</v>
      </c>
      <c r="G214" s="10">
        <f>IF($E214=Keys!$C$60,Keys!$C$51,INDEX(Balanced_2025!$D$9:$D$3032,MATCH($A214&amp;Keys!$C$54&amp;Keys!$C$55&amp;Keys!$C$54&amp;$C214,Balanced_2025!$E$9:$E$3032,0)))</f>
        <v>0</v>
      </c>
      <c r="H214" s="10">
        <f>IF($E214=Keys!$C$60,Keys!$C$51,INDEX(Balanced_2025!$D$9:$D$3032,MATCH($A214&amp;Keys!$C$54&amp;Keys!$C$56&amp;Keys!$C$54&amp;$C214,Balanced_2025!$E$9:$E$3032,0)))</f>
        <v>0</v>
      </c>
      <c r="I214" s="10">
        <f>IF($E214=Keys!$C$60,Keys!$C$51,INDEX(Balanced_2025!$D$9:$D$3032,MATCH($A214&amp;Keys!$C$54&amp;Keys!$C$57&amp;Keys!$C$54&amp;$C214,Balanced_2025!$E$9:$E$3032,0)))</f>
        <v>0</v>
      </c>
      <c r="J214" s="10">
        <f t="shared" si="12"/>
        <v>0</v>
      </c>
      <c r="K214" s="10">
        <f>MAX(Keys!$C$51,$I214-$H214)</f>
        <v>0</v>
      </c>
      <c r="L214" s="10">
        <f t="shared" si="13"/>
        <v>0</v>
      </c>
      <c r="M214" s="11">
        <f>IF($L214&gt;Keys!$C$51,MIN(Keys!$C$52,$K214/$L214),Keys!$C$51)</f>
        <v>0</v>
      </c>
      <c r="N214" s="11">
        <f>IF($E214=Keys!$C$60,Keys!$C$51,IF($E214=Keys!$C$59,$D214,$M214))</f>
        <v>0</v>
      </c>
      <c r="O214">
        <f t="shared" si="14"/>
        <v>0</v>
      </c>
      <c r="P214" s="10">
        <f>IF($E214=Keys!$C$60,Keys!$C$51,INDEX(Raw_BFPIaE!$G$9:$G$3032,MATCH($A214&amp;Keys!$C$54&amp;Keys!$C$55&amp;Keys!$C$54&amp;$B214,Raw_BFPIaE!$H$9:$H$3032,0)))</f>
        <v>0</v>
      </c>
      <c r="Q214" s="10">
        <f>IF($E214=Keys!$C$60,Keys!$C$51,INDEX(Raw_BFPIaE!$G$9:$G$3032,MATCH($A214&amp;Keys!$C$54&amp;Keys!$C$56&amp;Keys!$C$54&amp;$B214,Raw_BFPIaE!$H$9:$H$3032,0)))</f>
        <v>0</v>
      </c>
      <c r="R214" s="10">
        <f>IF($E214=Keys!$C$60,Keys!$C$51,INDEX(Raw_BFPIaE!$G$9:$G$3032,MATCH($A214&amp;Keys!$C$54&amp;Keys!$C$57&amp;Keys!$C$54&amp;$B214,Raw_BFPIaE!$H$9:$H$3032,0)))</f>
        <v>0</v>
      </c>
      <c r="S214" s="11">
        <f>IF(($P214+$Q214-$R214+MAX(Keys!$C$51,$R214-$Q214))&gt;Keys!$C$51,MIN(Keys!$C$52,MAX(Keys!$C$51,$R214-$Q214)/($P214+$Q214-$R214+MAX(Keys!$C$51,$R214-$Q214))),Keys!$C$51)</f>
        <v>0</v>
      </c>
      <c r="T214">
        <f>IF(AND($I214&gt;$H214,ABS($L214-$G214)&gt;MAX(Keys!$C$62,ABS($G214)*Keys!$C$63)),1,0)</f>
        <v>0</v>
      </c>
      <c r="U214">
        <f>IF(OR($N214&lt;Keys!$C$51,$N214&gt;Keys!$C$52),1,0)</f>
        <v>0</v>
      </c>
      <c r="V214">
        <f>IF(AND($E214=Keys!$C$60,$N214&lt;&gt;Keys!$C$51),1,0)</f>
        <v>0</v>
      </c>
      <c r="W214">
        <f>IF($L214&gt;Keys!$C$51,IF($K214/$L214&gt;Keys!$C$52,1,0),0)</f>
        <v>0</v>
      </c>
      <c r="X214" s="11">
        <f t="shared" si="15"/>
        <v>0</v>
      </c>
    </row>
    <row r="215" spans="1:24" x14ac:dyDescent="0.25">
      <c r="A215" t="s">
        <v>90</v>
      </c>
      <c r="B215" t="s">
        <v>64</v>
      </c>
      <c r="C215" t="str">
        <f>VLOOKUP($B215,Keys!$F$2:$I$22,2,FALSE)</f>
        <v>hard coal</v>
      </c>
      <c r="D215">
        <f>VLOOKUP($B215,Keys!$F$2:$I$22,3,FALSE)</f>
        <v>0.137539879</v>
      </c>
      <c r="E215" t="str">
        <f>VLOOKUP($B215,Keys!$F$2:$I$22,4,FALSE)</f>
        <v>rule</v>
      </c>
      <c r="F215" t="str">
        <f>$A215&amp;Keys!$C$54&amp;$B215</f>
        <v>ID|hard coal</v>
      </c>
      <c r="G215" s="10">
        <f>IF($E215=Keys!$C$60,Keys!$C$51,INDEX(Balanced_2025!$D$9:$D$3032,MATCH($A215&amp;Keys!$C$54&amp;Keys!$C$55&amp;Keys!$C$54&amp;$C215,Balanced_2025!$E$9:$E$3032,0)))</f>
        <v>0</v>
      </c>
      <c r="H215" s="10">
        <f>IF($E215=Keys!$C$60,Keys!$C$51,INDEX(Balanced_2025!$D$9:$D$3032,MATCH($A215&amp;Keys!$C$54&amp;Keys!$C$56&amp;Keys!$C$54&amp;$C215,Balanced_2025!$E$9:$E$3032,0)))</f>
        <v>932000000000</v>
      </c>
      <c r="I215" s="10">
        <f>IF($E215=Keys!$C$60,Keys!$C$51,INDEX(Balanced_2025!$D$9:$D$3032,MATCH($A215&amp;Keys!$C$54&amp;Keys!$C$57&amp;Keys!$C$54&amp;$C215,Balanced_2025!$E$9:$E$3032,0)))</f>
        <v>0</v>
      </c>
      <c r="J215" s="10">
        <f t="shared" si="12"/>
        <v>932000000000</v>
      </c>
      <c r="K215" s="10">
        <f>MAX(Keys!$C$51,$I215-$H215)</f>
        <v>0</v>
      </c>
      <c r="L215" s="10">
        <f t="shared" si="13"/>
        <v>932000000000</v>
      </c>
      <c r="M215" s="11">
        <f>IF($L215&gt;Keys!$C$51,MIN(Keys!$C$52,$K215/$L215),Keys!$C$51)</f>
        <v>0</v>
      </c>
      <c r="N215" s="11">
        <f>IF($E215=Keys!$C$60,Keys!$C$51,IF($E215=Keys!$C$59,$D215,$M215))</f>
        <v>0</v>
      </c>
      <c r="O215">
        <f t="shared" si="14"/>
        <v>1</v>
      </c>
      <c r="P215" s="10">
        <f>IF($E215=Keys!$C$60,Keys!$C$51,INDEX(Raw_BFPIaE!$G$9:$G$3032,MATCH($A215&amp;Keys!$C$54&amp;Keys!$C$55&amp;Keys!$C$54&amp;$B215,Raw_BFPIaE!$H$9:$H$3032,0)))</f>
        <v>0</v>
      </c>
      <c r="Q215" s="10">
        <f>IF($E215=Keys!$C$60,Keys!$C$51,INDEX(Raw_BFPIaE!$G$9:$G$3032,MATCH($A215&amp;Keys!$C$54&amp;Keys!$C$56&amp;Keys!$C$54&amp;$B215,Raw_BFPIaE!$H$9:$H$3032,0)))</f>
        <v>837164000000</v>
      </c>
      <c r="R215" s="10">
        <f>IF($E215=Keys!$C$60,Keys!$C$51,INDEX(Raw_BFPIaE!$G$9:$G$3032,MATCH($A215&amp;Keys!$C$54&amp;Keys!$C$57&amp;Keys!$C$54&amp;$B215,Raw_BFPIaE!$H$9:$H$3032,0)))</f>
        <v>0</v>
      </c>
      <c r="S215" s="11">
        <f>IF(($P215+$Q215-$R215+MAX(Keys!$C$51,$R215-$Q215))&gt;Keys!$C$51,MIN(Keys!$C$52,MAX(Keys!$C$51,$R215-$Q215)/($P215+$Q215-$R215+MAX(Keys!$C$51,$R215-$Q215))),Keys!$C$51)</f>
        <v>0</v>
      </c>
      <c r="T215">
        <f>IF(AND($I215&gt;$H215,ABS($L215-$G215)&gt;MAX(Keys!$C$62,ABS($G215)*Keys!$C$63)),1,0)</f>
        <v>0</v>
      </c>
      <c r="U215">
        <f>IF(OR($N215&lt;Keys!$C$51,$N215&gt;Keys!$C$52),1,0)</f>
        <v>0</v>
      </c>
      <c r="V215">
        <f>IF(AND($E215=Keys!$C$60,$N215&lt;&gt;Keys!$C$51),1,0)</f>
        <v>0</v>
      </c>
      <c r="W215">
        <f>IF($L215&gt;Keys!$C$51,IF($K215/$L215&gt;Keys!$C$52,1,0),0)</f>
        <v>0</v>
      </c>
      <c r="X215" s="11">
        <f t="shared" si="15"/>
        <v>0</v>
      </c>
    </row>
    <row r="216" spans="1:24" x14ac:dyDescent="0.25">
      <c r="A216" t="s">
        <v>90</v>
      </c>
      <c r="B216" t="s">
        <v>68</v>
      </c>
      <c r="C216" t="str">
        <f>VLOOKUP($B216,Keys!$F$2:$I$22,2,FALSE)</f>
        <v>natural gas</v>
      </c>
      <c r="D216">
        <f>VLOOKUP($B216,Keys!$F$2:$I$22,3,FALSE)</f>
        <v>0.190839183</v>
      </c>
      <c r="E216" t="str">
        <f>VLOOKUP($B216,Keys!$F$2:$I$22,4,FALSE)</f>
        <v>rule</v>
      </c>
      <c r="F216" t="str">
        <f>$A216&amp;Keys!$C$54&amp;$B216</f>
        <v>ID|natural gas</v>
      </c>
      <c r="G216" s="10">
        <f>IF($E216=Keys!$C$60,Keys!$C$51,INDEX(Balanced_2025!$D$9:$D$3032,MATCH($A216&amp;Keys!$C$54&amp;Keys!$C$55&amp;Keys!$C$54&amp;$C216,Balanced_2025!$E$9:$E$3032,0)))</f>
        <v>1165590000000</v>
      </c>
      <c r="H216" s="10">
        <f>IF($E216=Keys!$C$60,Keys!$C$51,INDEX(Balanced_2025!$D$9:$D$3032,MATCH($A216&amp;Keys!$C$54&amp;Keys!$C$56&amp;Keys!$C$54&amp;$C216,Balanced_2025!$E$9:$E$3032,0)))</f>
        <v>1125690000000000</v>
      </c>
      <c r="I216" s="10">
        <f>IF($E216=Keys!$C$60,Keys!$C$51,INDEX(Balanced_2025!$D$9:$D$3032,MATCH($A216&amp;Keys!$C$54&amp;Keys!$C$57&amp;Keys!$C$54&amp;$C216,Balanced_2025!$E$9:$E$3032,0)))</f>
        <v>969085000000000</v>
      </c>
      <c r="J216" s="10">
        <f t="shared" si="12"/>
        <v>157770590000000</v>
      </c>
      <c r="K216" s="10">
        <f>MAX(Keys!$C$51,$I216-$H216)</f>
        <v>0</v>
      </c>
      <c r="L216" s="10">
        <f t="shared" si="13"/>
        <v>157770590000000</v>
      </c>
      <c r="M216" s="11">
        <f>IF($L216&gt;Keys!$C$51,MIN(Keys!$C$52,$K216/$L216),Keys!$C$51)</f>
        <v>0</v>
      </c>
      <c r="N216" s="11">
        <f>IF($E216=Keys!$C$60,Keys!$C$51,IF($E216=Keys!$C$59,$D216,$M216))</f>
        <v>0</v>
      </c>
      <c r="O216">
        <f t="shared" si="14"/>
        <v>1</v>
      </c>
      <c r="P216" s="10">
        <f>IF($E216=Keys!$C$60,Keys!$C$51,INDEX(Raw_BFPIaE!$G$9:$G$3032,MATCH($A216&amp;Keys!$C$54&amp;Keys!$C$55&amp;Keys!$C$54&amp;$B216,Raw_BFPIaE!$H$9:$H$3032,0)))</f>
        <v>1166650000000</v>
      </c>
      <c r="Q216" s="10">
        <f>IF($E216=Keys!$C$60,Keys!$C$51,INDEX(Raw_BFPIaE!$G$9:$G$3032,MATCH($A216&amp;Keys!$C$54&amp;Keys!$C$56&amp;Keys!$C$54&amp;$B216,Raw_BFPIaE!$H$9:$H$3032,0)))</f>
        <v>1122393333333333.4</v>
      </c>
      <c r="R216" s="10">
        <f>IF($E216=Keys!$C$60,Keys!$C$51,INDEX(Raw_BFPIaE!$G$9:$G$3032,MATCH($A216&amp;Keys!$C$54&amp;Keys!$C$57&amp;Keys!$C$54&amp;$B216,Raw_BFPIaE!$H$9:$H$3032,0)))</f>
        <v>969966000000000</v>
      </c>
      <c r="S216" s="11">
        <f>IF(($P216+$Q216-$R216+MAX(Keys!$C$51,$R216-$Q216))&gt;Keys!$C$51,MIN(Keys!$C$52,MAX(Keys!$C$51,$R216-$Q216)/($P216+$Q216-$R216+MAX(Keys!$C$51,$R216-$Q216))),Keys!$C$51)</f>
        <v>0</v>
      </c>
      <c r="T216">
        <f>IF(AND($I216&gt;$H216,ABS($L216-$G216)&gt;MAX(Keys!$C$62,ABS($G216)*Keys!$C$63)),1,0)</f>
        <v>0</v>
      </c>
      <c r="U216">
        <f>IF(OR($N216&lt;Keys!$C$51,$N216&gt;Keys!$C$52),1,0)</f>
        <v>0</v>
      </c>
      <c r="V216">
        <f>IF(AND($E216=Keys!$C$60,$N216&lt;&gt;Keys!$C$51),1,0)</f>
        <v>0</v>
      </c>
      <c r="W216">
        <f>IF($L216&gt;Keys!$C$51,IF($K216/$L216&gt;Keys!$C$52,1,0),0)</f>
        <v>0</v>
      </c>
      <c r="X216" s="11">
        <f t="shared" si="15"/>
        <v>0</v>
      </c>
    </row>
    <row r="217" spans="1:24" x14ac:dyDescent="0.25">
      <c r="A217" t="s">
        <v>90</v>
      </c>
      <c r="B217" t="s">
        <v>71</v>
      </c>
      <c r="C217">
        <f>VLOOKUP($B217,Keys!$F$2:$I$22,2,FALSE)</f>
        <v>0</v>
      </c>
      <c r="D217">
        <f>VLOOKUP($B217,Keys!$F$2:$I$22,3,FALSE)</f>
        <v>0</v>
      </c>
      <c r="E217" t="str">
        <f>VLOOKUP($B217,Keys!$F$2:$I$22,4,FALSE)</f>
        <v>zero</v>
      </c>
      <c r="F217" t="str">
        <f>$A217&amp;Keys!$C$54&amp;$B217</f>
        <v>ID|nuclear</v>
      </c>
      <c r="G217" s="10">
        <f>IF($E217=Keys!$C$60,Keys!$C$51,INDEX(Balanced_2025!$D$9:$D$3032,MATCH($A217&amp;Keys!$C$54&amp;Keys!$C$55&amp;Keys!$C$54&amp;$C217,Balanced_2025!$E$9:$E$3032,0)))</f>
        <v>0</v>
      </c>
      <c r="H217" s="10">
        <f>IF($E217=Keys!$C$60,Keys!$C$51,INDEX(Balanced_2025!$D$9:$D$3032,MATCH($A217&amp;Keys!$C$54&amp;Keys!$C$56&amp;Keys!$C$54&amp;$C217,Balanced_2025!$E$9:$E$3032,0)))</f>
        <v>0</v>
      </c>
      <c r="I217" s="10">
        <f>IF($E217=Keys!$C$60,Keys!$C$51,INDEX(Balanced_2025!$D$9:$D$3032,MATCH($A217&amp;Keys!$C$54&amp;Keys!$C$57&amp;Keys!$C$54&amp;$C217,Balanced_2025!$E$9:$E$3032,0)))</f>
        <v>0</v>
      </c>
      <c r="J217" s="10">
        <f t="shared" si="12"/>
        <v>0</v>
      </c>
      <c r="K217" s="10">
        <f>MAX(Keys!$C$51,$I217-$H217)</f>
        <v>0</v>
      </c>
      <c r="L217" s="10">
        <f t="shared" si="13"/>
        <v>0</v>
      </c>
      <c r="M217" s="11">
        <f>IF($L217&gt;Keys!$C$51,MIN(Keys!$C$52,$K217/$L217),Keys!$C$51)</f>
        <v>0</v>
      </c>
      <c r="N217" s="11">
        <f>IF($E217=Keys!$C$60,Keys!$C$51,IF($E217=Keys!$C$59,$D217,$M217))</f>
        <v>0</v>
      </c>
      <c r="O217">
        <f t="shared" si="14"/>
        <v>0</v>
      </c>
      <c r="P217" s="10">
        <f>IF($E217=Keys!$C$60,Keys!$C$51,INDEX(Raw_BFPIaE!$G$9:$G$3032,MATCH($A217&amp;Keys!$C$54&amp;Keys!$C$55&amp;Keys!$C$54&amp;$B217,Raw_BFPIaE!$H$9:$H$3032,0)))</f>
        <v>0</v>
      </c>
      <c r="Q217" s="10">
        <f>IF($E217=Keys!$C$60,Keys!$C$51,INDEX(Raw_BFPIaE!$G$9:$G$3032,MATCH($A217&amp;Keys!$C$54&amp;Keys!$C$56&amp;Keys!$C$54&amp;$B217,Raw_BFPIaE!$H$9:$H$3032,0)))</f>
        <v>0</v>
      </c>
      <c r="R217" s="10">
        <f>IF($E217=Keys!$C$60,Keys!$C$51,INDEX(Raw_BFPIaE!$G$9:$G$3032,MATCH($A217&amp;Keys!$C$54&amp;Keys!$C$57&amp;Keys!$C$54&amp;$B217,Raw_BFPIaE!$H$9:$H$3032,0)))</f>
        <v>0</v>
      </c>
      <c r="S217" s="11">
        <f>IF(($P217+$Q217-$R217+MAX(Keys!$C$51,$R217-$Q217))&gt;Keys!$C$51,MIN(Keys!$C$52,MAX(Keys!$C$51,$R217-$Q217)/($P217+$Q217-$R217+MAX(Keys!$C$51,$R217-$Q217))),Keys!$C$51)</f>
        <v>0</v>
      </c>
      <c r="T217">
        <f>IF(AND($I217&gt;$H217,ABS($L217-$G217)&gt;MAX(Keys!$C$62,ABS($G217)*Keys!$C$63)),1,0)</f>
        <v>0</v>
      </c>
      <c r="U217">
        <f>IF(OR($N217&lt;Keys!$C$51,$N217&gt;Keys!$C$52),1,0)</f>
        <v>0</v>
      </c>
      <c r="V217">
        <f>IF(AND($E217=Keys!$C$60,$N217&lt;&gt;Keys!$C$51),1,0)</f>
        <v>0</v>
      </c>
      <c r="W217">
        <f>IF($L217&gt;Keys!$C$51,IF($K217/$L217&gt;Keys!$C$52,1,0),0)</f>
        <v>0</v>
      </c>
      <c r="X217" s="11">
        <f t="shared" si="15"/>
        <v>0</v>
      </c>
    </row>
    <row r="218" spans="1:24" x14ac:dyDescent="0.25">
      <c r="A218" t="s">
        <v>90</v>
      </c>
      <c r="B218" t="s">
        <v>74</v>
      </c>
      <c r="C218">
        <f>VLOOKUP($B218,Keys!$F$2:$I$22,2,FALSE)</f>
        <v>0</v>
      </c>
      <c r="D218">
        <f>VLOOKUP($B218,Keys!$F$2:$I$22,3,FALSE)</f>
        <v>0</v>
      </c>
      <c r="E218" t="str">
        <f>VLOOKUP($B218,Keys!$F$2:$I$22,4,FALSE)</f>
        <v>zero</v>
      </c>
      <c r="F218" t="str">
        <f>$A218&amp;Keys!$C$54&amp;$B218</f>
        <v>ID|hydro (is not a fuel)</v>
      </c>
      <c r="G218" s="10">
        <f>IF($E218=Keys!$C$60,Keys!$C$51,INDEX(Balanced_2025!$D$9:$D$3032,MATCH($A218&amp;Keys!$C$54&amp;Keys!$C$55&amp;Keys!$C$54&amp;$C218,Balanced_2025!$E$9:$E$3032,0)))</f>
        <v>0</v>
      </c>
      <c r="H218" s="10">
        <f>IF($E218=Keys!$C$60,Keys!$C$51,INDEX(Balanced_2025!$D$9:$D$3032,MATCH($A218&amp;Keys!$C$54&amp;Keys!$C$56&amp;Keys!$C$54&amp;$C218,Balanced_2025!$E$9:$E$3032,0)))</f>
        <v>0</v>
      </c>
      <c r="I218" s="10">
        <f>IF($E218=Keys!$C$60,Keys!$C$51,INDEX(Balanced_2025!$D$9:$D$3032,MATCH($A218&amp;Keys!$C$54&amp;Keys!$C$57&amp;Keys!$C$54&amp;$C218,Balanced_2025!$E$9:$E$3032,0)))</f>
        <v>0</v>
      </c>
      <c r="J218" s="10">
        <f t="shared" si="12"/>
        <v>0</v>
      </c>
      <c r="K218" s="10">
        <f>MAX(Keys!$C$51,$I218-$H218)</f>
        <v>0</v>
      </c>
      <c r="L218" s="10">
        <f t="shared" si="13"/>
        <v>0</v>
      </c>
      <c r="M218" s="11">
        <f>IF($L218&gt;Keys!$C$51,MIN(Keys!$C$52,$K218/$L218),Keys!$C$51)</f>
        <v>0</v>
      </c>
      <c r="N218" s="11">
        <f>IF($E218=Keys!$C$60,Keys!$C$51,IF($E218=Keys!$C$59,$D218,$M218))</f>
        <v>0</v>
      </c>
      <c r="O218">
        <f t="shared" si="14"/>
        <v>0</v>
      </c>
      <c r="P218" s="10">
        <f>IF($E218=Keys!$C$60,Keys!$C$51,INDEX(Raw_BFPIaE!$G$9:$G$3032,MATCH($A218&amp;Keys!$C$54&amp;Keys!$C$55&amp;Keys!$C$54&amp;$B218,Raw_BFPIaE!$H$9:$H$3032,0)))</f>
        <v>0</v>
      </c>
      <c r="Q218" s="10">
        <f>IF($E218=Keys!$C$60,Keys!$C$51,INDEX(Raw_BFPIaE!$G$9:$G$3032,MATCH($A218&amp;Keys!$C$54&amp;Keys!$C$56&amp;Keys!$C$54&amp;$B218,Raw_BFPIaE!$H$9:$H$3032,0)))</f>
        <v>0</v>
      </c>
      <c r="R218" s="10">
        <f>IF($E218=Keys!$C$60,Keys!$C$51,INDEX(Raw_BFPIaE!$G$9:$G$3032,MATCH($A218&amp;Keys!$C$54&amp;Keys!$C$57&amp;Keys!$C$54&amp;$B218,Raw_BFPIaE!$H$9:$H$3032,0)))</f>
        <v>0</v>
      </c>
      <c r="S218" s="11">
        <f>IF(($P218+$Q218-$R218+MAX(Keys!$C$51,$R218-$Q218))&gt;Keys!$C$51,MIN(Keys!$C$52,MAX(Keys!$C$51,$R218-$Q218)/($P218+$Q218-$R218+MAX(Keys!$C$51,$R218-$Q218))),Keys!$C$51)</f>
        <v>0</v>
      </c>
      <c r="T218">
        <f>IF(AND($I218&gt;$H218,ABS($L218-$G218)&gt;MAX(Keys!$C$62,ABS($G218)*Keys!$C$63)),1,0)</f>
        <v>0</v>
      </c>
      <c r="U218">
        <f>IF(OR($N218&lt;Keys!$C$51,$N218&gt;Keys!$C$52),1,0)</f>
        <v>0</v>
      </c>
      <c r="V218">
        <f>IF(AND($E218=Keys!$C$60,$N218&lt;&gt;Keys!$C$51),1,0)</f>
        <v>0</v>
      </c>
      <c r="W218">
        <f>IF($L218&gt;Keys!$C$51,IF($K218/$L218&gt;Keys!$C$52,1,0),0)</f>
        <v>0</v>
      </c>
      <c r="X218" s="11">
        <f t="shared" si="15"/>
        <v>0</v>
      </c>
    </row>
    <row r="219" spans="1:24" x14ac:dyDescent="0.25">
      <c r="A219" t="s">
        <v>90</v>
      </c>
      <c r="B219" t="s">
        <v>77</v>
      </c>
      <c r="C219">
        <f>VLOOKUP($B219,Keys!$F$2:$I$22,2,FALSE)</f>
        <v>0</v>
      </c>
      <c r="D219">
        <f>VLOOKUP($B219,Keys!$F$2:$I$22,3,FALSE)</f>
        <v>0</v>
      </c>
      <c r="E219" t="str">
        <f>VLOOKUP($B219,Keys!$F$2:$I$22,4,FALSE)</f>
        <v>zero</v>
      </c>
      <c r="F219" t="str">
        <f>$A219&amp;Keys!$C$54&amp;$B219</f>
        <v>ID|wind (is not a fuel)</v>
      </c>
      <c r="G219" s="10">
        <f>IF($E219=Keys!$C$60,Keys!$C$51,INDEX(Balanced_2025!$D$9:$D$3032,MATCH($A219&amp;Keys!$C$54&amp;Keys!$C$55&amp;Keys!$C$54&amp;$C219,Balanced_2025!$E$9:$E$3032,0)))</f>
        <v>0</v>
      </c>
      <c r="H219" s="10">
        <f>IF($E219=Keys!$C$60,Keys!$C$51,INDEX(Balanced_2025!$D$9:$D$3032,MATCH($A219&amp;Keys!$C$54&amp;Keys!$C$56&amp;Keys!$C$54&amp;$C219,Balanced_2025!$E$9:$E$3032,0)))</f>
        <v>0</v>
      </c>
      <c r="I219" s="10">
        <f>IF($E219=Keys!$C$60,Keys!$C$51,INDEX(Balanced_2025!$D$9:$D$3032,MATCH($A219&amp;Keys!$C$54&amp;Keys!$C$57&amp;Keys!$C$54&amp;$C219,Balanced_2025!$E$9:$E$3032,0)))</f>
        <v>0</v>
      </c>
      <c r="J219" s="10">
        <f t="shared" si="12"/>
        <v>0</v>
      </c>
      <c r="K219" s="10">
        <f>MAX(Keys!$C$51,$I219-$H219)</f>
        <v>0</v>
      </c>
      <c r="L219" s="10">
        <f t="shared" si="13"/>
        <v>0</v>
      </c>
      <c r="M219" s="11">
        <f>IF($L219&gt;Keys!$C$51,MIN(Keys!$C$52,$K219/$L219),Keys!$C$51)</f>
        <v>0</v>
      </c>
      <c r="N219" s="11">
        <f>IF($E219=Keys!$C$60,Keys!$C$51,IF($E219=Keys!$C$59,$D219,$M219))</f>
        <v>0</v>
      </c>
      <c r="O219">
        <f t="shared" si="14"/>
        <v>0</v>
      </c>
      <c r="P219" s="10">
        <f>IF($E219=Keys!$C$60,Keys!$C$51,INDEX(Raw_BFPIaE!$G$9:$G$3032,MATCH($A219&amp;Keys!$C$54&amp;Keys!$C$55&amp;Keys!$C$54&amp;$B219,Raw_BFPIaE!$H$9:$H$3032,0)))</f>
        <v>0</v>
      </c>
      <c r="Q219" s="10">
        <f>IF($E219=Keys!$C$60,Keys!$C$51,INDEX(Raw_BFPIaE!$G$9:$G$3032,MATCH($A219&amp;Keys!$C$54&amp;Keys!$C$56&amp;Keys!$C$54&amp;$B219,Raw_BFPIaE!$H$9:$H$3032,0)))</f>
        <v>0</v>
      </c>
      <c r="R219" s="10">
        <f>IF($E219=Keys!$C$60,Keys!$C$51,INDEX(Raw_BFPIaE!$G$9:$G$3032,MATCH($A219&amp;Keys!$C$54&amp;Keys!$C$57&amp;Keys!$C$54&amp;$B219,Raw_BFPIaE!$H$9:$H$3032,0)))</f>
        <v>0</v>
      </c>
      <c r="S219" s="11">
        <f>IF(($P219+$Q219-$R219+MAX(Keys!$C$51,$R219-$Q219))&gt;Keys!$C$51,MIN(Keys!$C$52,MAX(Keys!$C$51,$R219-$Q219)/($P219+$Q219-$R219+MAX(Keys!$C$51,$R219-$Q219))),Keys!$C$51)</f>
        <v>0</v>
      </c>
      <c r="T219">
        <f>IF(AND($I219&gt;$H219,ABS($L219-$G219)&gt;MAX(Keys!$C$62,ABS($G219)*Keys!$C$63)),1,0)</f>
        <v>0</v>
      </c>
      <c r="U219">
        <f>IF(OR($N219&lt;Keys!$C$51,$N219&gt;Keys!$C$52),1,0)</f>
        <v>0</v>
      </c>
      <c r="V219">
        <f>IF(AND($E219=Keys!$C$60,$N219&lt;&gt;Keys!$C$51),1,0)</f>
        <v>0</v>
      </c>
      <c r="W219">
        <f>IF($L219&gt;Keys!$C$51,IF($K219/$L219&gt;Keys!$C$52,1,0),0)</f>
        <v>0</v>
      </c>
      <c r="X219" s="11">
        <f t="shared" si="15"/>
        <v>0</v>
      </c>
    </row>
    <row r="220" spans="1:24" x14ac:dyDescent="0.25">
      <c r="A220" t="s">
        <v>90</v>
      </c>
      <c r="B220" t="s">
        <v>80</v>
      </c>
      <c r="C220">
        <f>VLOOKUP($B220,Keys!$F$2:$I$22,2,FALSE)</f>
        <v>0</v>
      </c>
      <c r="D220">
        <f>VLOOKUP($B220,Keys!$F$2:$I$22,3,FALSE)</f>
        <v>0</v>
      </c>
      <c r="E220" t="str">
        <f>VLOOKUP($B220,Keys!$F$2:$I$22,4,FALSE)</f>
        <v>zero</v>
      </c>
      <c r="F220" t="str">
        <f>$A220&amp;Keys!$C$54&amp;$B220</f>
        <v>ID|solar (is not a fuel)</v>
      </c>
      <c r="G220" s="10">
        <f>IF($E220=Keys!$C$60,Keys!$C$51,INDEX(Balanced_2025!$D$9:$D$3032,MATCH($A220&amp;Keys!$C$54&amp;Keys!$C$55&amp;Keys!$C$54&amp;$C220,Balanced_2025!$E$9:$E$3032,0)))</f>
        <v>0</v>
      </c>
      <c r="H220" s="10">
        <f>IF($E220=Keys!$C$60,Keys!$C$51,INDEX(Balanced_2025!$D$9:$D$3032,MATCH($A220&amp;Keys!$C$54&amp;Keys!$C$56&amp;Keys!$C$54&amp;$C220,Balanced_2025!$E$9:$E$3032,0)))</f>
        <v>0</v>
      </c>
      <c r="I220" s="10">
        <f>IF($E220=Keys!$C$60,Keys!$C$51,INDEX(Balanced_2025!$D$9:$D$3032,MATCH($A220&amp;Keys!$C$54&amp;Keys!$C$57&amp;Keys!$C$54&amp;$C220,Balanced_2025!$E$9:$E$3032,0)))</f>
        <v>0</v>
      </c>
      <c r="J220" s="10">
        <f t="shared" si="12"/>
        <v>0</v>
      </c>
      <c r="K220" s="10">
        <f>MAX(Keys!$C$51,$I220-$H220)</f>
        <v>0</v>
      </c>
      <c r="L220" s="10">
        <f t="shared" si="13"/>
        <v>0</v>
      </c>
      <c r="M220" s="11">
        <f>IF($L220&gt;Keys!$C$51,MIN(Keys!$C$52,$K220/$L220),Keys!$C$51)</f>
        <v>0</v>
      </c>
      <c r="N220" s="11">
        <f>IF($E220=Keys!$C$60,Keys!$C$51,IF($E220=Keys!$C$59,$D220,$M220))</f>
        <v>0</v>
      </c>
      <c r="O220">
        <f t="shared" si="14"/>
        <v>0</v>
      </c>
      <c r="P220" s="10">
        <f>IF($E220=Keys!$C$60,Keys!$C$51,INDEX(Raw_BFPIaE!$G$9:$G$3032,MATCH($A220&amp;Keys!$C$54&amp;Keys!$C$55&amp;Keys!$C$54&amp;$B220,Raw_BFPIaE!$H$9:$H$3032,0)))</f>
        <v>0</v>
      </c>
      <c r="Q220" s="10">
        <f>IF($E220=Keys!$C$60,Keys!$C$51,INDEX(Raw_BFPIaE!$G$9:$G$3032,MATCH($A220&amp;Keys!$C$54&amp;Keys!$C$56&amp;Keys!$C$54&amp;$B220,Raw_BFPIaE!$H$9:$H$3032,0)))</f>
        <v>0</v>
      </c>
      <c r="R220" s="10">
        <f>IF($E220=Keys!$C$60,Keys!$C$51,INDEX(Raw_BFPIaE!$G$9:$G$3032,MATCH($A220&amp;Keys!$C$54&amp;Keys!$C$57&amp;Keys!$C$54&amp;$B220,Raw_BFPIaE!$H$9:$H$3032,0)))</f>
        <v>0</v>
      </c>
      <c r="S220" s="11">
        <f>IF(($P220+$Q220-$R220+MAX(Keys!$C$51,$R220-$Q220))&gt;Keys!$C$51,MIN(Keys!$C$52,MAX(Keys!$C$51,$R220-$Q220)/($P220+$Q220-$R220+MAX(Keys!$C$51,$R220-$Q220))),Keys!$C$51)</f>
        <v>0</v>
      </c>
      <c r="T220">
        <f>IF(AND($I220&gt;$H220,ABS($L220-$G220)&gt;MAX(Keys!$C$62,ABS($G220)*Keys!$C$63)),1,0)</f>
        <v>0</v>
      </c>
      <c r="U220">
        <f>IF(OR($N220&lt;Keys!$C$51,$N220&gt;Keys!$C$52),1,0)</f>
        <v>0</v>
      </c>
      <c r="V220">
        <f>IF(AND($E220=Keys!$C$60,$N220&lt;&gt;Keys!$C$51),1,0)</f>
        <v>0</v>
      </c>
      <c r="W220">
        <f>IF($L220&gt;Keys!$C$51,IF($K220/$L220&gt;Keys!$C$52,1,0),0)</f>
        <v>0</v>
      </c>
      <c r="X220" s="11">
        <f t="shared" si="15"/>
        <v>0</v>
      </c>
    </row>
    <row r="221" spans="1:24" x14ac:dyDescent="0.25">
      <c r="A221" t="s">
        <v>90</v>
      </c>
      <c r="B221" t="s">
        <v>82</v>
      </c>
      <c r="C221" t="str">
        <f>VLOOKUP($B221,Keys!$F$2:$I$22,2,FALSE)</f>
        <v>biomass</v>
      </c>
      <c r="D221">
        <f>VLOOKUP($B221,Keys!$F$2:$I$22,3,FALSE)</f>
        <v>0.74947425499999998</v>
      </c>
      <c r="E221" t="str">
        <f>VLOOKUP($B221,Keys!$F$2:$I$22,4,FALSE)</f>
        <v>rule</v>
      </c>
      <c r="F221" t="str">
        <f>$A221&amp;Keys!$C$54&amp;$B221</f>
        <v>ID|biomass</v>
      </c>
      <c r="G221" s="10">
        <f>IF($E221=Keys!$C$60,Keys!$C$51,INDEX(Balanced_2025!$D$9:$D$3032,MATCH($A221&amp;Keys!$C$54&amp;Keys!$C$55&amp;Keys!$C$54&amp;$C221,Balanced_2025!$E$9:$E$3032,0)))</f>
        <v>1182400000000</v>
      </c>
      <c r="H221" s="10">
        <f>IF($E221=Keys!$C$60,Keys!$C$51,INDEX(Balanced_2025!$D$9:$D$3032,MATCH($A221&amp;Keys!$C$54&amp;Keys!$C$56&amp;Keys!$C$54&amp;$C221,Balanced_2025!$E$9:$E$3032,0)))</f>
        <v>22077600000000</v>
      </c>
      <c r="I221" s="10">
        <f>IF($E221=Keys!$C$60,Keys!$C$51,INDEX(Balanced_2025!$D$9:$D$3032,MATCH($A221&amp;Keys!$C$54&amp;Keys!$C$57&amp;Keys!$C$54&amp;$C221,Balanced_2025!$E$9:$E$3032,0)))</f>
        <v>0</v>
      </c>
      <c r="J221" s="10">
        <f t="shared" si="12"/>
        <v>23260000000000</v>
      </c>
      <c r="K221" s="10">
        <f>MAX(Keys!$C$51,$I221-$H221)</f>
        <v>0</v>
      </c>
      <c r="L221" s="10">
        <f t="shared" si="13"/>
        <v>23260000000000</v>
      </c>
      <c r="M221" s="11">
        <f>IF($L221&gt;Keys!$C$51,MIN(Keys!$C$52,$K221/$L221),Keys!$C$51)</f>
        <v>0</v>
      </c>
      <c r="N221" s="11">
        <f>IF($E221=Keys!$C$60,Keys!$C$51,IF($E221=Keys!$C$59,$D221,$M221))</f>
        <v>0</v>
      </c>
      <c r="O221">
        <f t="shared" si="14"/>
        <v>1</v>
      </c>
      <c r="P221" s="10">
        <f>IF($E221=Keys!$C$60,Keys!$C$51,INDEX(Raw_BFPIaE!$G$9:$G$3032,MATCH($A221&amp;Keys!$C$54&amp;Keys!$C$55&amp;Keys!$C$54&amp;$B221,Raw_BFPIaE!$H$9:$H$3032,0)))</f>
        <v>1182400000000</v>
      </c>
      <c r="Q221" s="10">
        <f>IF($E221=Keys!$C$60,Keys!$C$51,INDEX(Raw_BFPIaE!$G$9:$G$3032,MATCH($A221&amp;Keys!$C$54&amp;Keys!$C$56&amp;Keys!$C$54&amp;$B221,Raw_BFPIaE!$H$9:$H$3032,0)))</f>
        <v>14170800000000</v>
      </c>
      <c r="R221" s="10">
        <f>IF($E221=Keys!$C$60,Keys!$C$51,INDEX(Raw_BFPIaE!$G$9:$G$3032,MATCH($A221&amp;Keys!$C$54&amp;Keys!$C$57&amp;Keys!$C$54&amp;$B221,Raw_BFPIaE!$H$9:$H$3032,0)))</f>
        <v>0</v>
      </c>
      <c r="S221" s="11">
        <f>IF(($P221+$Q221-$R221+MAX(Keys!$C$51,$R221-$Q221))&gt;Keys!$C$51,MIN(Keys!$C$52,MAX(Keys!$C$51,$R221-$Q221)/($P221+$Q221-$R221+MAX(Keys!$C$51,$R221-$Q221))),Keys!$C$51)</f>
        <v>0</v>
      </c>
      <c r="T221">
        <f>IF(AND($I221&gt;$H221,ABS($L221-$G221)&gt;MAX(Keys!$C$62,ABS($G221)*Keys!$C$63)),1,0)</f>
        <v>0</v>
      </c>
      <c r="U221">
        <f>IF(OR($N221&lt;Keys!$C$51,$N221&gt;Keys!$C$52),1,0)</f>
        <v>0</v>
      </c>
      <c r="V221">
        <f>IF(AND($E221=Keys!$C$60,$N221&lt;&gt;Keys!$C$51),1,0)</f>
        <v>0</v>
      </c>
      <c r="W221">
        <f>IF($L221&gt;Keys!$C$51,IF($K221/$L221&gt;Keys!$C$52,1,0),0)</f>
        <v>0</v>
      </c>
      <c r="X221" s="11">
        <f t="shared" si="15"/>
        <v>0</v>
      </c>
    </row>
    <row r="222" spans="1:24" x14ac:dyDescent="0.25">
      <c r="A222" t="s">
        <v>90</v>
      </c>
      <c r="B222" t="s">
        <v>85</v>
      </c>
      <c r="C222" t="str">
        <f>VLOOKUP($B222,Keys!$F$2:$I$22,2,FALSE)</f>
        <v>petroleum gasoline</v>
      </c>
      <c r="D222">
        <f>VLOOKUP($B222,Keys!$F$2:$I$22,3,FALSE)</f>
        <v>7.5004052000000002E-2</v>
      </c>
      <c r="E222" t="str">
        <f>VLOOKUP($B222,Keys!$F$2:$I$22,4,FALSE)</f>
        <v>rule</v>
      </c>
      <c r="F222" t="str">
        <f>$A222&amp;Keys!$C$54&amp;$B222</f>
        <v>ID|petroleum gasoline</v>
      </c>
      <c r="G222" s="10">
        <f>IF($E222=Keys!$C$60,Keys!$C$51,INDEX(Balanced_2025!$D$9:$D$3032,MATCH($A222&amp;Keys!$C$54&amp;Keys!$C$55&amp;Keys!$C$54&amp;$C222,Balanced_2025!$E$9:$E$3032,0)))</f>
        <v>0</v>
      </c>
      <c r="H222" s="10">
        <f>IF($E222=Keys!$C$60,Keys!$C$51,INDEX(Balanced_2025!$D$9:$D$3032,MATCH($A222&amp;Keys!$C$54&amp;Keys!$C$56&amp;Keys!$C$54&amp;$C222,Balanced_2025!$E$9:$E$3032,0)))</f>
        <v>80741300000000</v>
      </c>
      <c r="I222" s="10">
        <f>IF($E222=Keys!$C$60,Keys!$C$51,INDEX(Balanced_2025!$D$9:$D$3032,MATCH($A222&amp;Keys!$C$54&amp;Keys!$C$57&amp;Keys!$C$54&amp;$C222,Balanced_2025!$E$9:$E$3032,0)))</f>
        <v>0</v>
      </c>
      <c r="J222" s="10">
        <f t="shared" si="12"/>
        <v>80741300000000</v>
      </c>
      <c r="K222" s="10">
        <f>MAX(Keys!$C$51,$I222-$H222)</f>
        <v>0</v>
      </c>
      <c r="L222" s="10">
        <f t="shared" si="13"/>
        <v>80741300000000</v>
      </c>
      <c r="M222" s="11">
        <f>IF($L222&gt;Keys!$C$51,MIN(Keys!$C$52,$K222/$L222),Keys!$C$51)</f>
        <v>0</v>
      </c>
      <c r="N222" s="11">
        <f>IF($E222=Keys!$C$60,Keys!$C$51,IF($E222=Keys!$C$59,$D222,$M222))</f>
        <v>0</v>
      </c>
      <c r="O222">
        <f t="shared" si="14"/>
        <v>1</v>
      </c>
      <c r="P222" s="10">
        <f>IF($E222=Keys!$C$60,Keys!$C$51,INDEX(Raw_BFPIaE!$G$9:$G$3032,MATCH($A222&amp;Keys!$C$54&amp;Keys!$C$55&amp;Keys!$C$54&amp;$B222,Raw_BFPIaE!$H$9:$H$3032,0)))</f>
        <v>0</v>
      </c>
      <c r="Q222" s="10">
        <f>IF($E222=Keys!$C$60,Keys!$C$51,INDEX(Raw_BFPIaE!$G$9:$G$3032,MATCH($A222&amp;Keys!$C$54&amp;Keys!$C$56&amp;Keys!$C$54&amp;$B222,Raw_BFPIaE!$H$9:$H$3032,0)))</f>
        <v>51146200000000</v>
      </c>
      <c r="R222" s="10">
        <f>IF($E222=Keys!$C$60,Keys!$C$51,INDEX(Raw_BFPIaE!$G$9:$G$3032,MATCH($A222&amp;Keys!$C$54&amp;Keys!$C$57&amp;Keys!$C$54&amp;$B222,Raw_BFPIaE!$H$9:$H$3032,0)))</f>
        <v>0</v>
      </c>
      <c r="S222" s="11">
        <f>IF(($P222+$Q222-$R222+MAX(Keys!$C$51,$R222-$Q222))&gt;Keys!$C$51,MIN(Keys!$C$52,MAX(Keys!$C$51,$R222-$Q222)/($P222+$Q222-$R222+MAX(Keys!$C$51,$R222-$Q222))),Keys!$C$51)</f>
        <v>0</v>
      </c>
      <c r="T222">
        <f>IF(AND($I222&gt;$H222,ABS($L222-$G222)&gt;MAX(Keys!$C$62,ABS($G222)*Keys!$C$63)),1,0)</f>
        <v>0</v>
      </c>
      <c r="U222">
        <f>IF(OR($N222&lt;Keys!$C$51,$N222&gt;Keys!$C$52),1,0)</f>
        <v>0</v>
      </c>
      <c r="V222">
        <f>IF(AND($E222=Keys!$C$60,$N222&lt;&gt;Keys!$C$51),1,0)</f>
        <v>0</v>
      </c>
      <c r="W222">
        <f>IF($L222&gt;Keys!$C$51,IF($K222/$L222&gt;Keys!$C$52,1,0),0)</f>
        <v>0</v>
      </c>
      <c r="X222" s="11">
        <f t="shared" si="15"/>
        <v>0</v>
      </c>
    </row>
    <row r="223" spans="1:24" x14ac:dyDescent="0.25">
      <c r="A223" t="s">
        <v>90</v>
      </c>
      <c r="B223" t="s">
        <v>88</v>
      </c>
      <c r="C223" t="str">
        <f>VLOOKUP($B223,Keys!$F$2:$I$22,2,FALSE)</f>
        <v>petroleum diesel</v>
      </c>
      <c r="D223">
        <f>VLOOKUP($B223,Keys!$F$2:$I$22,3,FALSE)</f>
        <v>0.26691051799999999</v>
      </c>
      <c r="E223" t="str">
        <f>VLOOKUP($B223,Keys!$F$2:$I$22,4,FALSE)</f>
        <v>rule</v>
      </c>
      <c r="F223" t="str">
        <f>$A223&amp;Keys!$C$54&amp;$B223</f>
        <v>ID|petroleum diesel</v>
      </c>
      <c r="G223" s="10">
        <f>IF($E223=Keys!$C$60,Keys!$C$51,INDEX(Balanced_2025!$D$9:$D$3032,MATCH($A223&amp;Keys!$C$54&amp;Keys!$C$55&amp;Keys!$C$54&amp;$C223,Balanced_2025!$E$9:$E$3032,0)))</f>
        <v>0</v>
      </c>
      <c r="H223" s="10">
        <f>IF($E223=Keys!$C$60,Keys!$C$51,INDEX(Balanced_2025!$D$9:$D$3032,MATCH($A223&amp;Keys!$C$54&amp;Keys!$C$56&amp;Keys!$C$54&amp;$C223,Balanced_2025!$E$9:$E$3032,0)))</f>
        <v>72752800000000</v>
      </c>
      <c r="I223" s="10">
        <f>IF($E223=Keys!$C$60,Keys!$C$51,INDEX(Balanced_2025!$D$9:$D$3032,MATCH($A223&amp;Keys!$C$54&amp;Keys!$C$57&amp;Keys!$C$54&amp;$C223,Balanced_2025!$E$9:$E$3032,0)))</f>
        <v>0</v>
      </c>
      <c r="J223" s="10">
        <f t="shared" si="12"/>
        <v>72752800000000</v>
      </c>
      <c r="K223" s="10">
        <f>MAX(Keys!$C$51,$I223-$H223)</f>
        <v>0</v>
      </c>
      <c r="L223" s="10">
        <f t="shared" si="13"/>
        <v>72752800000000</v>
      </c>
      <c r="M223" s="11">
        <f>IF($L223&gt;Keys!$C$51,MIN(Keys!$C$52,$K223/$L223),Keys!$C$51)</f>
        <v>0</v>
      </c>
      <c r="N223" s="11">
        <f>IF($E223=Keys!$C$60,Keys!$C$51,IF($E223=Keys!$C$59,$D223,$M223))</f>
        <v>0</v>
      </c>
      <c r="O223">
        <f t="shared" si="14"/>
        <v>1</v>
      </c>
      <c r="P223" s="10">
        <f>IF($E223=Keys!$C$60,Keys!$C$51,INDEX(Raw_BFPIaE!$G$9:$G$3032,MATCH($A223&amp;Keys!$C$54&amp;Keys!$C$55&amp;Keys!$C$54&amp;$B223,Raw_BFPIaE!$H$9:$H$3032,0)))</f>
        <v>0</v>
      </c>
      <c r="Q223" s="10">
        <f>IF($E223=Keys!$C$60,Keys!$C$51,INDEX(Raw_BFPIaE!$G$9:$G$3032,MATCH($A223&amp;Keys!$C$54&amp;Keys!$C$56&amp;Keys!$C$54&amp;$B223,Raw_BFPIaE!$H$9:$H$3032,0)))</f>
        <v>47936466666666.664</v>
      </c>
      <c r="R223" s="10">
        <f>IF($E223=Keys!$C$60,Keys!$C$51,INDEX(Raw_BFPIaE!$G$9:$G$3032,MATCH($A223&amp;Keys!$C$54&amp;Keys!$C$57&amp;Keys!$C$54&amp;$B223,Raw_BFPIaE!$H$9:$H$3032,0)))</f>
        <v>0</v>
      </c>
      <c r="S223" s="11">
        <f>IF(($P223+$Q223-$R223+MAX(Keys!$C$51,$R223-$Q223))&gt;Keys!$C$51,MIN(Keys!$C$52,MAX(Keys!$C$51,$R223-$Q223)/($P223+$Q223-$R223+MAX(Keys!$C$51,$R223-$Q223))),Keys!$C$51)</f>
        <v>0</v>
      </c>
      <c r="T223">
        <f>IF(AND($I223&gt;$H223,ABS($L223-$G223)&gt;MAX(Keys!$C$62,ABS($G223)*Keys!$C$63)),1,0)</f>
        <v>0</v>
      </c>
      <c r="U223">
        <f>IF(OR($N223&lt;Keys!$C$51,$N223&gt;Keys!$C$52),1,0)</f>
        <v>0</v>
      </c>
      <c r="V223">
        <f>IF(AND($E223=Keys!$C$60,$N223&lt;&gt;Keys!$C$51),1,0)</f>
        <v>0</v>
      </c>
      <c r="W223">
        <f>IF($L223&gt;Keys!$C$51,IF($K223/$L223&gt;Keys!$C$52,1,0),0)</f>
        <v>0</v>
      </c>
      <c r="X223" s="11">
        <f t="shared" si="15"/>
        <v>0</v>
      </c>
    </row>
    <row r="224" spans="1:24" x14ac:dyDescent="0.25">
      <c r="A224" t="s">
        <v>90</v>
      </c>
      <c r="B224" t="s">
        <v>91</v>
      </c>
      <c r="C224" t="str">
        <f>VLOOKUP($B224,Keys!$F$2:$I$22,2,FALSE)</f>
        <v>biofuel gasoline</v>
      </c>
      <c r="D224">
        <f>VLOOKUP($B224,Keys!$F$2:$I$22,3,FALSE)</f>
        <v>8.7213884000000005E-2</v>
      </c>
      <c r="E224" t="str">
        <f>VLOOKUP($B224,Keys!$F$2:$I$22,4,FALSE)</f>
        <v>rule</v>
      </c>
      <c r="F224" t="str">
        <f>$A224&amp;Keys!$C$54&amp;$B224</f>
        <v>ID|biofuel gasoline</v>
      </c>
      <c r="G224" s="10">
        <f>IF($E224=Keys!$C$60,Keys!$C$51,INDEX(Balanced_2025!$D$9:$D$3032,MATCH($A224&amp;Keys!$C$54&amp;Keys!$C$55&amp;Keys!$C$54&amp;$C224,Balanced_2025!$E$9:$E$3032,0)))</f>
        <v>3987700000000</v>
      </c>
      <c r="H224" s="10">
        <f>IF($E224=Keys!$C$60,Keys!$C$51,INDEX(Balanced_2025!$D$9:$D$3032,MATCH($A224&amp;Keys!$C$54&amp;Keys!$C$56&amp;Keys!$C$54&amp;$C224,Balanced_2025!$E$9:$E$3032,0)))</f>
        <v>1199970000000</v>
      </c>
      <c r="I224" s="10">
        <f>IF($E224=Keys!$C$60,Keys!$C$51,INDEX(Balanced_2025!$D$9:$D$3032,MATCH($A224&amp;Keys!$C$54&amp;Keys!$C$57&amp;Keys!$C$54&amp;$C224,Balanced_2025!$E$9:$E$3032,0)))</f>
        <v>0</v>
      </c>
      <c r="J224" s="10">
        <f t="shared" si="12"/>
        <v>5187670000000</v>
      </c>
      <c r="K224" s="10">
        <f>MAX(Keys!$C$51,$I224-$H224)</f>
        <v>0</v>
      </c>
      <c r="L224" s="10">
        <f t="shared" si="13"/>
        <v>5187670000000</v>
      </c>
      <c r="M224" s="11">
        <f>IF($L224&gt;Keys!$C$51,MIN(Keys!$C$52,$K224/$L224),Keys!$C$51)</f>
        <v>0</v>
      </c>
      <c r="N224" s="11">
        <f>IF($E224=Keys!$C$60,Keys!$C$51,IF($E224=Keys!$C$59,$D224,$M224))</f>
        <v>0</v>
      </c>
      <c r="O224">
        <f t="shared" si="14"/>
        <v>1</v>
      </c>
      <c r="P224" s="10">
        <f>IF($E224=Keys!$C$60,Keys!$C$51,INDEX(Raw_BFPIaE!$G$9:$G$3032,MATCH($A224&amp;Keys!$C$54&amp;Keys!$C$55&amp;Keys!$C$54&amp;$B224,Raw_BFPIaE!$H$9:$H$3032,0)))</f>
        <v>3991443333333.3335</v>
      </c>
      <c r="Q224" s="10">
        <f>IF($E224=Keys!$C$60,Keys!$C$51,INDEX(Raw_BFPIaE!$G$9:$G$3032,MATCH($A224&amp;Keys!$C$54&amp;Keys!$C$56&amp;Keys!$C$54&amp;$B224,Raw_BFPIaE!$H$9:$H$3032,0)))</f>
        <v>622673000000</v>
      </c>
      <c r="R224" s="10">
        <f>IF($E224=Keys!$C$60,Keys!$C$51,INDEX(Raw_BFPIaE!$G$9:$G$3032,MATCH($A224&amp;Keys!$C$54&amp;Keys!$C$57&amp;Keys!$C$54&amp;$B224,Raw_BFPIaE!$H$9:$H$3032,0)))</f>
        <v>0</v>
      </c>
      <c r="S224" s="11">
        <f>IF(($P224+$Q224-$R224+MAX(Keys!$C$51,$R224-$Q224))&gt;Keys!$C$51,MIN(Keys!$C$52,MAX(Keys!$C$51,$R224-$Q224)/($P224+$Q224-$R224+MAX(Keys!$C$51,$R224-$Q224))),Keys!$C$51)</f>
        <v>0</v>
      </c>
      <c r="T224">
        <f>IF(AND($I224&gt;$H224,ABS($L224-$G224)&gt;MAX(Keys!$C$62,ABS($G224)*Keys!$C$63)),1,0)</f>
        <v>0</v>
      </c>
      <c r="U224">
        <f>IF(OR($N224&lt;Keys!$C$51,$N224&gt;Keys!$C$52),1,0)</f>
        <v>0</v>
      </c>
      <c r="V224">
        <f>IF(AND($E224=Keys!$C$60,$N224&lt;&gt;Keys!$C$51),1,0)</f>
        <v>0</v>
      </c>
      <c r="W224">
        <f>IF($L224&gt;Keys!$C$51,IF($K224/$L224&gt;Keys!$C$52,1,0),0)</f>
        <v>0</v>
      </c>
      <c r="X224" s="11">
        <f t="shared" si="15"/>
        <v>0</v>
      </c>
    </row>
    <row r="225" spans="1:24" x14ac:dyDescent="0.25">
      <c r="A225" t="s">
        <v>90</v>
      </c>
      <c r="B225" t="s">
        <v>94</v>
      </c>
      <c r="C225" t="str">
        <f>VLOOKUP($B225,Keys!$F$2:$I$22,2,FALSE)</f>
        <v>biofuel diesel</v>
      </c>
      <c r="D225">
        <f>VLOOKUP($B225,Keys!$F$2:$I$22,3,FALSE)</f>
        <v>5.8642381E-2</v>
      </c>
      <c r="E225" t="str">
        <f>VLOOKUP($B225,Keys!$F$2:$I$22,4,FALSE)</f>
        <v>rule</v>
      </c>
      <c r="F225" t="str">
        <f>$A225&amp;Keys!$C$54&amp;$B225</f>
        <v>ID|biofuel diesel</v>
      </c>
      <c r="G225" s="10">
        <f>IF($E225=Keys!$C$60,Keys!$C$51,INDEX(Balanced_2025!$D$9:$D$3032,MATCH($A225&amp;Keys!$C$54&amp;Keys!$C$55&amp;Keys!$C$54&amp;$C225,Balanced_2025!$E$9:$E$3032,0)))</f>
        <v>0</v>
      </c>
      <c r="H225" s="10">
        <f>IF($E225=Keys!$C$60,Keys!$C$51,INDEX(Balanced_2025!$D$9:$D$3032,MATCH($A225&amp;Keys!$C$54&amp;Keys!$C$56&amp;Keys!$C$54&amp;$C225,Balanced_2025!$E$9:$E$3032,0)))</f>
        <v>268079000000</v>
      </c>
      <c r="I225" s="10">
        <f>IF($E225=Keys!$C$60,Keys!$C$51,INDEX(Balanced_2025!$D$9:$D$3032,MATCH($A225&amp;Keys!$C$54&amp;Keys!$C$57&amp;Keys!$C$54&amp;$C225,Balanced_2025!$E$9:$E$3032,0)))</f>
        <v>0</v>
      </c>
      <c r="J225" s="10">
        <f t="shared" si="12"/>
        <v>268079000000</v>
      </c>
      <c r="K225" s="10">
        <f>MAX(Keys!$C$51,$I225-$H225)</f>
        <v>0</v>
      </c>
      <c r="L225" s="10">
        <f t="shared" si="13"/>
        <v>268079000000</v>
      </c>
      <c r="M225" s="11">
        <f>IF($L225&gt;Keys!$C$51,MIN(Keys!$C$52,$K225/$L225),Keys!$C$51)</f>
        <v>0</v>
      </c>
      <c r="N225" s="11">
        <f>IF($E225=Keys!$C$60,Keys!$C$51,IF($E225=Keys!$C$59,$D225,$M225))</f>
        <v>0</v>
      </c>
      <c r="O225">
        <f t="shared" si="14"/>
        <v>1</v>
      </c>
      <c r="P225" s="10">
        <f>IF($E225=Keys!$C$60,Keys!$C$51,INDEX(Raw_BFPIaE!$G$9:$G$3032,MATCH($A225&amp;Keys!$C$54&amp;Keys!$C$55&amp;Keys!$C$54&amp;$B225,Raw_BFPIaE!$H$9:$H$3032,0)))</f>
        <v>0</v>
      </c>
      <c r="Q225" s="10">
        <f>IF($E225=Keys!$C$60,Keys!$C$51,INDEX(Raw_BFPIaE!$G$9:$G$3032,MATCH($A225&amp;Keys!$C$54&amp;Keys!$C$56&amp;Keys!$C$54&amp;$B225,Raw_BFPIaE!$H$9:$H$3032,0)))</f>
        <v>175358666666.66666</v>
      </c>
      <c r="R225" s="10">
        <f>IF($E225=Keys!$C$60,Keys!$C$51,INDEX(Raw_BFPIaE!$G$9:$G$3032,MATCH($A225&amp;Keys!$C$54&amp;Keys!$C$57&amp;Keys!$C$54&amp;$B225,Raw_BFPIaE!$H$9:$H$3032,0)))</f>
        <v>0</v>
      </c>
      <c r="S225" s="11">
        <f>IF(($P225+$Q225-$R225+MAX(Keys!$C$51,$R225-$Q225))&gt;Keys!$C$51,MIN(Keys!$C$52,MAX(Keys!$C$51,$R225-$Q225)/($P225+$Q225-$R225+MAX(Keys!$C$51,$R225-$Q225))),Keys!$C$51)</f>
        <v>0</v>
      </c>
      <c r="T225">
        <f>IF(AND($I225&gt;$H225,ABS($L225-$G225)&gt;MAX(Keys!$C$62,ABS($G225)*Keys!$C$63)),1,0)</f>
        <v>0</v>
      </c>
      <c r="U225">
        <f>IF(OR($N225&lt;Keys!$C$51,$N225&gt;Keys!$C$52),1,0)</f>
        <v>0</v>
      </c>
      <c r="V225">
        <f>IF(AND($E225=Keys!$C$60,$N225&lt;&gt;Keys!$C$51),1,0)</f>
        <v>0</v>
      </c>
      <c r="W225">
        <f>IF($L225&gt;Keys!$C$51,IF($K225/$L225&gt;Keys!$C$52,1,0),0)</f>
        <v>0</v>
      </c>
      <c r="X225" s="11">
        <f t="shared" si="15"/>
        <v>0</v>
      </c>
    </row>
    <row r="226" spans="1:24" x14ac:dyDescent="0.25">
      <c r="A226" t="s">
        <v>90</v>
      </c>
      <c r="B226" t="s">
        <v>97</v>
      </c>
      <c r="C226" t="str">
        <f>VLOOKUP($B226,Keys!$F$2:$I$22,2,FALSE)</f>
        <v>jet fuel or kerosene</v>
      </c>
      <c r="D226">
        <f>VLOOKUP($B226,Keys!$F$2:$I$22,3,FALSE)</f>
        <v>0.10155994</v>
      </c>
      <c r="E226" t="str">
        <f>VLOOKUP($B226,Keys!$F$2:$I$22,4,FALSE)</f>
        <v>rule</v>
      </c>
      <c r="F226" t="str">
        <f>$A226&amp;Keys!$C$54&amp;$B226</f>
        <v>ID|jet fuel or kerosene</v>
      </c>
      <c r="G226" s="10">
        <f>IF($E226=Keys!$C$60,Keys!$C$51,INDEX(Balanced_2025!$D$9:$D$3032,MATCH($A226&amp;Keys!$C$54&amp;Keys!$C$55&amp;Keys!$C$54&amp;$C226,Balanced_2025!$E$9:$E$3032,0)))</f>
        <v>0</v>
      </c>
      <c r="H226" s="10">
        <f>IF($E226=Keys!$C$60,Keys!$C$51,INDEX(Balanced_2025!$D$9:$D$3032,MATCH($A226&amp;Keys!$C$54&amp;Keys!$C$56&amp;Keys!$C$54&amp;$C226,Balanced_2025!$E$9:$E$3032,0)))</f>
        <v>9865260000000</v>
      </c>
      <c r="I226" s="10">
        <f>IF($E226=Keys!$C$60,Keys!$C$51,INDEX(Balanced_2025!$D$9:$D$3032,MATCH($A226&amp;Keys!$C$54&amp;Keys!$C$57&amp;Keys!$C$54&amp;$C226,Balanced_2025!$E$9:$E$3032,0)))</f>
        <v>0</v>
      </c>
      <c r="J226" s="10">
        <f t="shared" si="12"/>
        <v>9865260000000</v>
      </c>
      <c r="K226" s="10">
        <f>MAX(Keys!$C$51,$I226-$H226)</f>
        <v>0</v>
      </c>
      <c r="L226" s="10">
        <f t="shared" si="13"/>
        <v>9865260000000</v>
      </c>
      <c r="M226" s="11">
        <f>IF($L226&gt;Keys!$C$51,MIN(Keys!$C$52,$K226/$L226),Keys!$C$51)</f>
        <v>0</v>
      </c>
      <c r="N226" s="11">
        <f>IF($E226=Keys!$C$60,Keys!$C$51,IF($E226=Keys!$C$59,$D226,$M226))</f>
        <v>0</v>
      </c>
      <c r="O226">
        <f t="shared" si="14"/>
        <v>1</v>
      </c>
      <c r="P226" s="10">
        <f>IF($E226=Keys!$C$60,Keys!$C$51,INDEX(Raw_BFPIaE!$G$9:$G$3032,MATCH($A226&amp;Keys!$C$54&amp;Keys!$C$55&amp;Keys!$C$54&amp;$B226,Raw_BFPIaE!$H$9:$H$3032,0)))</f>
        <v>0</v>
      </c>
      <c r="Q226" s="10">
        <f>IF($E226=Keys!$C$60,Keys!$C$51,INDEX(Raw_BFPIaE!$G$9:$G$3032,MATCH($A226&amp;Keys!$C$54&amp;Keys!$C$56&amp;Keys!$C$54&amp;$B226,Raw_BFPIaE!$H$9:$H$3032,0)))</f>
        <v>6728966666666.667</v>
      </c>
      <c r="R226" s="10">
        <f>IF($E226=Keys!$C$60,Keys!$C$51,INDEX(Raw_BFPIaE!$G$9:$G$3032,MATCH($A226&amp;Keys!$C$54&amp;Keys!$C$57&amp;Keys!$C$54&amp;$B226,Raw_BFPIaE!$H$9:$H$3032,0)))</f>
        <v>0</v>
      </c>
      <c r="S226" s="11">
        <f>IF(($P226+$Q226-$R226+MAX(Keys!$C$51,$R226-$Q226))&gt;Keys!$C$51,MIN(Keys!$C$52,MAX(Keys!$C$51,$R226-$Q226)/($P226+$Q226-$R226+MAX(Keys!$C$51,$R226-$Q226))),Keys!$C$51)</f>
        <v>0</v>
      </c>
      <c r="T226">
        <f>IF(AND($I226&gt;$H226,ABS($L226-$G226)&gt;MAX(Keys!$C$62,ABS($G226)*Keys!$C$63)),1,0)</f>
        <v>0</v>
      </c>
      <c r="U226">
        <f>IF(OR($N226&lt;Keys!$C$51,$N226&gt;Keys!$C$52),1,0)</f>
        <v>0</v>
      </c>
      <c r="V226">
        <f>IF(AND($E226=Keys!$C$60,$N226&lt;&gt;Keys!$C$51),1,0)</f>
        <v>0</v>
      </c>
      <c r="W226">
        <f>IF($L226&gt;Keys!$C$51,IF($K226/$L226&gt;Keys!$C$52,1,0),0)</f>
        <v>0</v>
      </c>
      <c r="X226" s="11">
        <f t="shared" si="15"/>
        <v>0</v>
      </c>
    </row>
    <row r="227" spans="1:24" x14ac:dyDescent="0.25">
      <c r="A227" t="s">
        <v>90</v>
      </c>
      <c r="B227" t="s">
        <v>100</v>
      </c>
      <c r="C227">
        <f>VLOOKUP($B227,Keys!$F$2:$I$22,2,FALSE)</f>
        <v>0</v>
      </c>
      <c r="D227">
        <f>VLOOKUP($B227,Keys!$F$2:$I$22,3,FALSE)</f>
        <v>0</v>
      </c>
      <c r="E227" t="str">
        <f>VLOOKUP($B227,Keys!$F$2:$I$22,4,FALSE)</f>
        <v>zero</v>
      </c>
      <c r="F227" t="str">
        <f>$A227&amp;Keys!$C$54&amp;$B227</f>
        <v>ID|heat (not used in this variable)</v>
      </c>
      <c r="G227" s="10">
        <f>IF($E227=Keys!$C$60,Keys!$C$51,INDEX(Balanced_2025!$D$9:$D$3032,MATCH($A227&amp;Keys!$C$54&amp;Keys!$C$55&amp;Keys!$C$54&amp;$C227,Balanced_2025!$E$9:$E$3032,0)))</f>
        <v>0</v>
      </c>
      <c r="H227" s="10">
        <f>IF($E227=Keys!$C$60,Keys!$C$51,INDEX(Balanced_2025!$D$9:$D$3032,MATCH($A227&amp;Keys!$C$54&amp;Keys!$C$56&amp;Keys!$C$54&amp;$C227,Balanced_2025!$E$9:$E$3032,0)))</f>
        <v>0</v>
      </c>
      <c r="I227" s="10">
        <f>IF($E227=Keys!$C$60,Keys!$C$51,INDEX(Balanced_2025!$D$9:$D$3032,MATCH($A227&amp;Keys!$C$54&amp;Keys!$C$57&amp;Keys!$C$54&amp;$C227,Balanced_2025!$E$9:$E$3032,0)))</f>
        <v>0</v>
      </c>
      <c r="J227" s="10">
        <f t="shared" si="12"/>
        <v>0</v>
      </c>
      <c r="K227" s="10">
        <f>MAX(Keys!$C$51,$I227-$H227)</f>
        <v>0</v>
      </c>
      <c r="L227" s="10">
        <f t="shared" si="13"/>
        <v>0</v>
      </c>
      <c r="M227" s="11">
        <f>IF($L227&gt;Keys!$C$51,MIN(Keys!$C$52,$K227/$L227),Keys!$C$51)</f>
        <v>0</v>
      </c>
      <c r="N227" s="11">
        <f>IF($E227=Keys!$C$60,Keys!$C$51,IF($E227=Keys!$C$59,$D227,$M227))</f>
        <v>0</v>
      </c>
      <c r="O227">
        <f t="shared" si="14"/>
        <v>0</v>
      </c>
      <c r="P227" s="10">
        <f>IF($E227=Keys!$C$60,Keys!$C$51,INDEX(Raw_BFPIaE!$G$9:$G$3032,MATCH($A227&amp;Keys!$C$54&amp;Keys!$C$55&amp;Keys!$C$54&amp;$B227,Raw_BFPIaE!$H$9:$H$3032,0)))</f>
        <v>0</v>
      </c>
      <c r="Q227" s="10">
        <f>IF($E227=Keys!$C$60,Keys!$C$51,INDEX(Raw_BFPIaE!$G$9:$G$3032,MATCH($A227&amp;Keys!$C$54&amp;Keys!$C$56&amp;Keys!$C$54&amp;$B227,Raw_BFPIaE!$H$9:$H$3032,0)))</f>
        <v>0</v>
      </c>
      <c r="R227" s="10">
        <f>IF($E227=Keys!$C$60,Keys!$C$51,INDEX(Raw_BFPIaE!$G$9:$G$3032,MATCH($A227&amp;Keys!$C$54&amp;Keys!$C$57&amp;Keys!$C$54&amp;$B227,Raw_BFPIaE!$H$9:$H$3032,0)))</f>
        <v>0</v>
      </c>
      <c r="S227" s="11">
        <f>IF(($P227+$Q227-$R227+MAX(Keys!$C$51,$R227-$Q227))&gt;Keys!$C$51,MIN(Keys!$C$52,MAX(Keys!$C$51,$R227-$Q227)/($P227+$Q227-$R227+MAX(Keys!$C$51,$R227-$Q227))),Keys!$C$51)</f>
        <v>0</v>
      </c>
      <c r="T227">
        <f>IF(AND($I227&gt;$H227,ABS($L227-$G227)&gt;MAX(Keys!$C$62,ABS($G227)*Keys!$C$63)),1,0)</f>
        <v>0</v>
      </c>
      <c r="U227">
        <f>IF(OR($N227&lt;Keys!$C$51,$N227&gt;Keys!$C$52),1,0)</f>
        <v>0</v>
      </c>
      <c r="V227">
        <f>IF(AND($E227=Keys!$C$60,$N227&lt;&gt;Keys!$C$51),1,0)</f>
        <v>0</v>
      </c>
      <c r="W227">
        <f>IF($L227&gt;Keys!$C$51,IF($K227/$L227&gt;Keys!$C$52,1,0),0)</f>
        <v>0</v>
      </c>
      <c r="X227" s="11">
        <f t="shared" si="15"/>
        <v>0</v>
      </c>
    </row>
    <row r="228" spans="1:24" x14ac:dyDescent="0.25">
      <c r="A228" t="s">
        <v>90</v>
      </c>
      <c r="B228" t="s">
        <v>103</v>
      </c>
      <c r="C228">
        <f>VLOOKUP($B228,Keys!$F$2:$I$22,2,FALSE)</f>
        <v>0</v>
      </c>
      <c r="D228">
        <f>VLOOKUP($B228,Keys!$F$2:$I$22,3,FALSE)</f>
        <v>0</v>
      </c>
      <c r="E228" t="str">
        <f>VLOOKUP($B228,Keys!$F$2:$I$22,4,FALSE)</f>
        <v>zero</v>
      </c>
      <c r="F228" t="str">
        <f>$A228&amp;Keys!$C$54&amp;$B228</f>
        <v>ID|geothermal (is not a fuel)</v>
      </c>
      <c r="G228" s="10">
        <f>IF($E228=Keys!$C$60,Keys!$C$51,INDEX(Balanced_2025!$D$9:$D$3032,MATCH($A228&amp;Keys!$C$54&amp;Keys!$C$55&amp;Keys!$C$54&amp;$C228,Balanced_2025!$E$9:$E$3032,0)))</f>
        <v>0</v>
      </c>
      <c r="H228" s="10">
        <f>IF($E228=Keys!$C$60,Keys!$C$51,INDEX(Balanced_2025!$D$9:$D$3032,MATCH($A228&amp;Keys!$C$54&amp;Keys!$C$56&amp;Keys!$C$54&amp;$C228,Balanced_2025!$E$9:$E$3032,0)))</f>
        <v>0</v>
      </c>
      <c r="I228" s="10">
        <f>IF($E228=Keys!$C$60,Keys!$C$51,INDEX(Balanced_2025!$D$9:$D$3032,MATCH($A228&amp;Keys!$C$54&amp;Keys!$C$57&amp;Keys!$C$54&amp;$C228,Balanced_2025!$E$9:$E$3032,0)))</f>
        <v>0</v>
      </c>
      <c r="J228" s="10">
        <f t="shared" si="12"/>
        <v>0</v>
      </c>
      <c r="K228" s="10">
        <f>MAX(Keys!$C$51,$I228-$H228)</f>
        <v>0</v>
      </c>
      <c r="L228" s="10">
        <f t="shared" si="13"/>
        <v>0</v>
      </c>
      <c r="M228" s="11">
        <f>IF($L228&gt;Keys!$C$51,MIN(Keys!$C$52,$K228/$L228),Keys!$C$51)</f>
        <v>0</v>
      </c>
      <c r="N228" s="11">
        <f>IF($E228=Keys!$C$60,Keys!$C$51,IF($E228=Keys!$C$59,$D228,$M228))</f>
        <v>0</v>
      </c>
      <c r="O228">
        <f t="shared" si="14"/>
        <v>0</v>
      </c>
      <c r="P228" s="10">
        <f>IF($E228=Keys!$C$60,Keys!$C$51,INDEX(Raw_BFPIaE!$G$9:$G$3032,MATCH($A228&amp;Keys!$C$54&amp;Keys!$C$55&amp;Keys!$C$54&amp;$B228,Raw_BFPIaE!$H$9:$H$3032,0)))</f>
        <v>0</v>
      </c>
      <c r="Q228" s="10">
        <f>IF($E228=Keys!$C$60,Keys!$C$51,INDEX(Raw_BFPIaE!$G$9:$G$3032,MATCH($A228&amp;Keys!$C$54&amp;Keys!$C$56&amp;Keys!$C$54&amp;$B228,Raw_BFPIaE!$H$9:$H$3032,0)))</f>
        <v>0</v>
      </c>
      <c r="R228" s="10">
        <f>IF($E228=Keys!$C$60,Keys!$C$51,INDEX(Raw_BFPIaE!$G$9:$G$3032,MATCH($A228&amp;Keys!$C$54&amp;Keys!$C$57&amp;Keys!$C$54&amp;$B228,Raw_BFPIaE!$H$9:$H$3032,0)))</f>
        <v>0</v>
      </c>
      <c r="S228" s="11">
        <f>IF(($P228+$Q228-$R228+MAX(Keys!$C$51,$R228-$Q228))&gt;Keys!$C$51,MIN(Keys!$C$52,MAX(Keys!$C$51,$R228-$Q228)/($P228+$Q228-$R228+MAX(Keys!$C$51,$R228-$Q228))),Keys!$C$51)</f>
        <v>0</v>
      </c>
      <c r="T228">
        <f>IF(AND($I228&gt;$H228,ABS($L228-$G228)&gt;MAX(Keys!$C$62,ABS($G228)*Keys!$C$63)),1,0)</f>
        <v>0</v>
      </c>
      <c r="U228">
        <f>IF(OR($N228&lt;Keys!$C$51,$N228&gt;Keys!$C$52),1,0)</f>
        <v>0</v>
      </c>
      <c r="V228">
        <f>IF(AND($E228=Keys!$C$60,$N228&lt;&gt;Keys!$C$51),1,0)</f>
        <v>0</v>
      </c>
      <c r="W228">
        <f>IF($L228&gt;Keys!$C$51,IF($K228/$L228&gt;Keys!$C$52,1,0),0)</f>
        <v>0</v>
      </c>
      <c r="X228" s="11">
        <f t="shared" si="15"/>
        <v>0</v>
      </c>
    </row>
    <row r="229" spans="1:24" x14ac:dyDescent="0.25">
      <c r="A229" t="s">
        <v>90</v>
      </c>
      <c r="B229" t="s">
        <v>106</v>
      </c>
      <c r="C229" t="str">
        <f>VLOOKUP($B229,Keys!$F$2:$I$22,2,FALSE)</f>
        <v>lignite</v>
      </c>
      <c r="D229">
        <f>VLOOKUP($B229,Keys!$F$2:$I$22,3,FALSE)</f>
        <v>0</v>
      </c>
      <c r="E229" t="str">
        <f>VLOOKUP($B229,Keys!$F$2:$I$22,4,FALSE)</f>
        <v>rule</v>
      </c>
      <c r="F229" t="str">
        <f>$A229&amp;Keys!$C$54&amp;$B229</f>
        <v>ID|lignite</v>
      </c>
      <c r="G229" s="10">
        <f>IF($E229=Keys!$C$60,Keys!$C$51,INDEX(Balanced_2025!$D$9:$D$3032,MATCH($A229&amp;Keys!$C$54&amp;Keys!$C$55&amp;Keys!$C$54&amp;$C229,Balanced_2025!$E$9:$E$3032,0)))</f>
        <v>0</v>
      </c>
      <c r="H229" s="10">
        <f>IF($E229=Keys!$C$60,Keys!$C$51,INDEX(Balanced_2025!$D$9:$D$3032,MATCH($A229&amp;Keys!$C$54&amp;Keys!$C$56&amp;Keys!$C$54&amp;$C229,Balanced_2025!$E$9:$E$3032,0)))</f>
        <v>0</v>
      </c>
      <c r="I229" s="10">
        <f>IF($E229=Keys!$C$60,Keys!$C$51,INDEX(Balanced_2025!$D$9:$D$3032,MATCH($A229&amp;Keys!$C$54&amp;Keys!$C$57&amp;Keys!$C$54&amp;$C229,Balanced_2025!$E$9:$E$3032,0)))</f>
        <v>0</v>
      </c>
      <c r="J229" s="10">
        <f t="shared" si="12"/>
        <v>0</v>
      </c>
      <c r="K229" s="10">
        <f>MAX(Keys!$C$51,$I229-$H229)</f>
        <v>0</v>
      </c>
      <c r="L229" s="10">
        <f t="shared" si="13"/>
        <v>0</v>
      </c>
      <c r="M229" s="11">
        <f>IF($L229&gt;Keys!$C$51,MIN(Keys!$C$52,$K229/$L229),Keys!$C$51)</f>
        <v>0</v>
      </c>
      <c r="N229" s="11">
        <f>IF($E229=Keys!$C$60,Keys!$C$51,IF($E229=Keys!$C$59,$D229,$M229))</f>
        <v>0</v>
      </c>
      <c r="O229">
        <f t="shared" si="14"/>
        <v>0</v>
      </c>
      <c r="P229" s="10">
        <f>IF($E229=Keys!$C$60,Keys!$C$51,INDEX(Raw_BFPIaE!$G$9:$G$3032,MATCH($A229&amp;Keys!$C$54&amp;Keys!$C$55&amp;Keys!$C$54&amp;$B229,Raw_BFPIaE!$H$9:$H$3032,0)))</f>
        <v>0</v>
      </c>
      <c r="Q229" s="10">
        <f>IF($E229=Keys!$C$60,Keys!$C$51,INDEX(Raw_BFPIaE!$G$9:$G$3032,MATCH($A229&amp;Keys!$C$54&amp;Keys!$C$56&amp;Keys!$C$54&amp;$B229,Raw_BFPIaE!$H$9:$H$3032,0)))</f>
        <v>0</v>
      </c>
      <c r="R229" s="10">
        <f>IF($E229=Keys!$C$60,Keys!$C$51,INDEX(Raw_BFPIaE!$G$9:$G$3032,MATCH($A229&amp;Keys!$C$54&amp;Keys!$C$57&amp;Keys!$C$54&amp;$B229,Raw_BFPIaE!$H$9:$H$3032,0)))</f>
        <v>0</v>
      </c>
      <c r="S229" s="11">
        <f>IF(($P229+$Q229-$R229+MAX(Keys!$C$51,$R229-$Q229))&gt;Keys!$C$51,MIN(Keys!$C$52,MAX(Keys!$C$51,$R229-$Q229)/($P229+$Q229-$R229+MAX(Keys!$C$51,$R229-$Q229))),Keys!$C$51)</f>
        <v>0</v>
      </c>
      <c r="T229">
        <f>IF(AND($I229&gt;$H229,ABS($L229-$G229)&gt;MAX(Keys!$C$62,ABS($G229)*Keys!$C$63)),1,0)</f>
        <v>0</v>
      </c>
      <c r="U229">
        <f>IF(OR($N229&lt;Keys!$C$51,$N229&gt;Keys!$C$52),1,0)</f>
        <v>0</v>
      </c>
      <c r="V229">
        <f>IF(AND($E229=Keys!$C$60,$N229&lt;&gt;Keys!$C$51),1,0)</f>
        <v>0</v>
      </c>
      <c r="W229">
        <f>IF($L229&gt;Keys!$C$51,IF($K229/$L229&gt;Keys!$C$52,1,0),0)</f>
        <v>0</v>
      </c>
      <c r="X229" s="11">
        <f t="shared" si="15"/>
        <v>0</v>
      </c>
    </row>
    <row r="230" spans="1:24" x14ac:dyDescent="0.25">
      <c r="A230" t="s">
        <v>90</v>
      </c>
      <c r="B230" t="s">
        <v>109</v>
      </c>
      <c r="C230" t="str">
        <f>VLOOKUP($B230,Keys!$F$2:$I$22,2,FALSE)</f>
        <v>crude oil</v>
      </c>
      <c r="D230">
        <f>VLOOKUP($B230,Keys!$F$2:$I$22,3,FALSE)</f>
        <v>1</v>
      </c>
      <c r="E230" t="str">
        <f>VLOOKUP($B230,Keys!$F$2:$I$22,4,FALSE)</f>
        <v>hold</v>
      </c>
      <c r="F230" t="str">
        <f>$A230&amp;Keys!$C$54&amp;$B230</f>
        <v>ID|crude oil</v>
      </c>
      <c r="G230" s="10">
        <f>IF($E230=Keys!$C$60,Keys!$C$51,INDEX(Balanced_2025!$D$9:$D$3032,MATCH($A230&amp;Keys!$C$54&amp;Keys!$C$55&amp;Keys!$C$54&amp;$C230,Balanced_2025!$E$9:$E$3032,0)))</f>
        <v>110200000000</v>
      </c>
      <c r="H230" s="10">
        <f>IF($E230=Keys!$C$60,Keys!$C$51,INDEX(Balanced_2025!$D$9:$D$3032,MATCH($A230&amp;Keys!$C$54&amp;Keys!$C$56&amp;Keys!$C$54&amp;$C230,Balanced_2025!$E$9:$E$3032,0)))</f>
        <v>252800000000</v>
      </c>
      <c r="I230" s="10">
        <f>IF($E230=Keys!$C$60,Keys!$C$51,INDEX(Balanced_2025!$D$9:$D$3032,MATCH($A230&amp;Keys!$C$54&amp;Keys!$C$57&amp;Keys!$C$54&amp;$C230,Balanced_2025!$E$9:$E$3032,0)))</f>
        <v>0</v>
      </c>
      <c r="J230" s="10">
        <f t="shared" si="12"/>
        <v>363000000000</v>
      </c>
      <c r="K230" s="10">
        <f>MAX(Keys!$C$51,$I230-$H230)</f>
        <v>0</v>
      </c>
      <c r="L230" s="10">
        <f t="shared" si="13"/>
        <v>363000000000</v>
      </c>
      <c r="M230" s="11">
        <f>IF($L230&gt;Keys!$C$51,MIN(Keys!$C$52,$K230/$L230),Keys!$C$51)</f>
        <v>0</v>
      </c>
      <c r="N230" s="11">
        <f>IF($E230=Keys!$C$60,Keys!$C$51,IF($E230=Keys!$C$59,$D230,$M230))</f>
        <v>1</v>
      </c>
      <c r="O230">
        <f t="shared" si="14"/>
        <v>0</v>
      </c>
      <c r="P230" s="10">
        <f>IF($E230=Keys!$C$60,Keys!$C$51,INDEX(Raw_BFPIaE!$G$9:$G$3032,MATCH($A230&amp;Keys!$C$54&amp;Keys!$C$55&amp;Keys!$C$54&amp;$B230,Raw_BFPIaE!$H$9:$H$3032,0)))</f>
        <v>109531333333.33333</v>
      </c>
      <c r="Q230" s="10">
        <f>IF($E230=Keys!$C$60,Keys!$C$51,INDEX(Raw_BFPIaE!$G$9:$G$3032,MATCH($A230&amp;Keys!$C$54&amp;Keys!$C$56&amp;Keys!$C$54&amp;$B230,Raw_BFPIaE!$H$9:$H$3032,0)))</f>
        <v>169202000000</v>
      </c>
      <c r="R230" s="10">
        <f>IF($E230=Keys!$C$60,Keys!$C$51,INDEX(Raw_BFPIaE!$G$9:$G$3032,MATCH($A230&amp;Keys!$C$54&amp;Keys!$C$57&amp;Keys!$C$54&amp;$B230,Raw_BFPIaE!$H$9:$H$3032,0)))</f>
        <v>0</v>
      </c>
      <c r="S230" s="11">
        <f>IF(($P230+$Q230-$R230+MAX(Keys!$C$51,$R230-$Q230))&gt;Keys!$C$51,MIN(Keys!$C$52,MAX(Keys!$C$51,$R230-$Q230)/($P230+$Q230-$R230+MAX(Keys!$C$51,$R230-$Q230))),Keys!$C$51)</f>
        <v>0</v>
      </c>
      <c r="T230">
        <f>IF(AND($I230&gt;$H230,ABS($L230-$G230)&gt;MAX(Keys!$C$62,ABS($G230)*Keys!$C$63)),1,0)</f>
        <v>0</v>
      </c>
      <c r="U230">
        <f>IF(OR($N230&lt;Keys!$C$51,$N230&gt;Keys!$C$52),1,0)</f>
        <v>0</v>
      </c>
      <c r="V230">
        <f>IF(AND($E230=Keys!$C$60,$N230&lt;&gt;Keys!$C$51),1,0)</f>
        <v>0</v>
      </c>
      <c r="W230">
        <f>IF($L230&gt;Keys!$C$51,IF($K230/$L230&gt;Keys!$C$52,1,0),0)</f>
        <v>0</v>
      </c>
      <c r="X230" s="11">
        <f t="shared" si="15"/>
        <v>0</v>
      </c>
    </row>
    <row r="231" spans="1:24" x14ac:dyDescent="0.25">
      <c r="A231" t="s">
        <v>90</v>
      </c>
      <c r="B231" t="s">
        <v>113</v>
      </c>
      <c r="C231" t="str">
        <f>VLOOKUP($B231,Keys!$F$2:$I$22,2,FALSE)</f>
        <v>heavy or residual fuel oil</v>
      </c>
      <c r="D231">
        <f>VLOOKUP($B231,Keys!$F$2:$I$22,3,FALSE)</f>
        <v>0.49914171099999999</v>
      </c>
      <c r="E231" t="str">
        <f>VLOOKUP($B231,Keys!$F$2:$I$22,4,FALSE)</f>
        <v>rule</v>
      </c>
      <c r="F231" t="str">
        <f>$A231&amp;Keys!$C$54&amp;$B231</f>
        <v>ID|heavy fuel oil</v>
      </c>
      <c r="G231" s="10">
        <f>IF($E231=Keys!$C$60,Keys!$C$51,INDEX(Balanced_2025!$D$9:$D$3032,MATCH($A231&amp;Keys!$C$54&amp;Keys!$C$55&amp;Keys!$C$54&amp;$C231,Balanced_2025!$E$9:$E$3032,0)))</f>
        <v>0</v>
      </c>
      <c r="H231" s="10">
        <f>IF($E231=Keys!$C$60,Keys!$C$51,INDEX(Balanced_2025!$D$9:$D$3032,MATCH($A231&amp;Keys!$C$54&amp;Keys!$C$56&amp;Keys!$C$54&amp;$C231,Balanced_2025!$E$9:$E$3032,0)))</f>
        <v>5800920000000</v>
      </c>
      <c r="I231" s="10">
        <f>IF($E231=Keys!$C$60,Keys!$C$51,INDEX(Balanced_2025!$D$9:$D$3032,MATCH($A231&amp;Keys!$C$54&amp;Keys!$C$57&amp;Keys!$C$54&amp;$C231,Balanced_2025!$E$9:$E$3032,0)))</f>
        <v>0</v>
      </c>
      <c r="J231" s="10">
        <f t="shared" si="12"/>
        <v>5800920000000</v>
      </c>
      <c r="K231" s="10">
        <f>MAX(Keys!$C$51,$I231-$H231)</f>
        <v>0</v>
      </c>
      <c r="L231" s="10">
        <f t="shared" si="13"/>
        <v>5800920000000</v>
      </c>
      <c r="M231" s="11">
        <f>IF($L231&gt;Keys!$C$51,MIN(Keys!$C$52,$K231/$L231),Keys!$C$51)</f>
        <v>0</v>
      </c>
      <c r="N231" s="11">
        <f>IF($E231=Keys!$C$60,Keys!$C$51,IF($E231=Keys!$C$59,$D231,$M231))</f>
        <v>0</v>
      </c>
      <c r="O231">
        <f t="shared" si="14"/>
        <v>1</v>
      </c>
      <c r="P231" s="10">
        <f>IF($E231=Keys!$C$60,Keys!$C$51,INDEX(Raw_BFPIaE!$G$9:$G$3032,MATCH($A231&amp;Keys!$C$54&amp;Keys!$C$55&amp;Keys!$C$54&amp;$B231,Raw_BFPIaE!$H$9:$H$3032,0)))</f>
        <v>0</v>
      </c>
      <c r="Q231" s="10">
        <f>IF($E231=Keys!$C$60,Keys!$C$51,INDEX(Raw_BFPIaE!$G$9:$G$3032,MATCH($A231&amp;Keys!$C$54&amp;Keys!$C$56&amp;Keys!$C$54&amp;$B231,Raw_BFPIaE!$H$9:$H$3032,0)))</f>
        <v>3907543333333.3335</v>
      </c>
      <c r="R231" s="10">
        <f>IF($E231=Keys!$C$60,Keys!$C$51,INDEX(Raw_BFPIaE!$G$9:$G$3032,MATCH($A231&amp;Keys!$C$54&amp;Keys!$C$57&amp;Keys!$C$54&amp;$B231,Raw_BFPIaE!$H$9:$H$3032,0)))</f>
        <v>0</v>
      </c>
      <c r="S231" s="11">
        <f>IF(($P231+$Q231-$R231+MAX(Keys!$C$51,$R231-$Q231))&gt;Keys!$C$51,MIN(Keys!$C$52,MAX(Keys!$C$51,$R231-$Q231)/($P231+$Q231-$R231+MAX(Keys!$C$51,$R231-$Q231))),Keys!$C$51)</f>
        <v>0</v>
      </c>
      <c r="T231">
        <f>IF(AND($I231&gt;$H231,ABS($L231-$G231)&gt;MAX(Keys!$C$62,ABS($G231)*Keys!$C$63)),1,0)</f>
        <v>0</v>
      </c>
      <c r="U231">
        <f>IF(OR($N231&lt;Keys!$C$51,$N231&gt;Keys!$C$52),1,0)</f>
        <v>0</v>
      </c>
      <c r="V231">
        <f>IF(AND($E231=Keys!$C$60,$N231&lt;&gt;Keys!$C$51),1,0)</f>
        <v>0</v>
      </c>
      <c r="W231">
        <f>IF($L231&gt;Keys!$C$51,IF($K231/$L231&gt;Keys!$C$52,1,0),0)</f>
        <v>0</v>
      </c>
      <c r="X231" s="11">
        <f t="shared" si="15"/>
        <v>0</v>
      </c>
    </row>
    <row r="232" spans="1:24" x14ac:dyDescent="0.25">
      <c r="A232" t="s">
        <v>90</v>
      </c>
      <c r="B232" t="s">
        <v>117</v>
      </c>
      <c r="C232" t="str">
        <f>VLOOKUP($B232,Keys!$F$2:$I$22,2,FALSE)</f>
        <v>LPG propane or butane</v>
      </c>
      <c r="D232">
        <f>VLOOKUP($B232,Keys!$F$2:$I$22,3,FALSE)</f>
        <v>0.54955999499999997</v>
      </c>
      <c r="E232" t="str">
        <f>VLOOKUP($B232,Keys!$F$2:$I$22,4,FALSE)</f>
        <v>rule</v>
      </c>
      <c r="F232" t="str">
        <f>$A232&amp;Keys!$C$54&amp;$B232</f>
        <v>ID|LPG propane or butane</v>
      </c>
      <c r="G232" s="10">
        <f>IF($E232=Keys!$C$60,Keys!$C$51,INDEX(Balanced_2025!$D$9:$D$3032,MATCH($A232&amp;Keys!$C$54&amp;Keys!$C$55&amp;Keys!$C$54&amp;$C232,Balanced_2025!$E$9:$E$3032,0)))</f>
        <v>142492000000</v>
      </c>
      <c r="H232" s="10">
        <f>IF($E232=Keys!$C$60,Keys!$C$51,INDEX(Balanced_2025!$D$9:$D$3032,MATCH($A232&amp;Keys!$C$54&amp;Keys!$C$56&amp;Keys!$C$54&amp;$C232,Balanced_2025!$E$9:$E$3032,0)))</f>
        <v>7969000000000</v>
      </c>
      <c r="I232" s="10">
        <f>IF($E232=Keys!$C$60,Keys!$C$51,INDEX(Balanced_2025!$D$9:$D$3032,MATCH($A232&amp;Keys!$C$54&amp;Keys!$C$57&amp;Keys!$C$54&amp;$C232,Balanced_2025!$E$9:$E$3032,0)))</f>
        <v>0</v>
      </c>
      <c r="J232" s="10">
        <f t="shared" si="12"/>
        <v>8111492000000</v>
      </c>
      <c r="K232" s="10">
        <f>MAX(Keys!$C$51,$I232-$H232)</f>
        <v>0</v>
      </c>
      <c r="L232" s="10">
        <f t="shared" si="13"/>
        <v>8111492000000</v>
      </c>
      <c r="M232" s="11">
        <f>IF($L232&gt;Keys!$C$51,MIN(Keys!$C$52,$K232/$L232),Keys!$C$51)</f>
        <v>0</v>
      </c>
      <c r="N232" s="11">
        <f>IF($E232=Keys!$C$60,Keys!$C$51,IF($E232=Keys!$C$59,$D232,$M232))</f>
        <v>0</v>
      </c>
      <c r="O232">
        <f t="shared" si="14"/>
        <v>1</v>
      </c>
      <c r="P232" s="10">
        <f>IF($E232=Keys!$C$60,Keys!$C$51,INDEX(Raw_BFPIaE!$G$9:$G$3032,MATCH($A232&amp;Keys!$C$54&amp;Keys!$C$55&amp;Keys!$C$54&amp;$B232,Raw_BFPIaE!$H$9:$H$3032,0)))</f>
        <v>143500666666.66666</v>
      </c>
      <c r="Q232" s="10">
        <f>IF($E232=Keys!$C$60,Keys!$C$51,INDEX(Raw_BFPIaE!$G$9:$G$3032,MATCH($A232&amp;Keys!$C$54&amp;Keys!$C$56&amp;Keys!$C$54&amp;$B232,Raw_BFPIaE!$H$9:$H$3032,0)))</f>
        <v>5249943333333.333</v>
      </c>
      <c r="R232" s="10">
        <f>IF($E232=Keys!$C$60,Keys!$C$51,INDEX(Raw_BFPIaE!$G$9:$G$3032,MATCH($A232&amp;Keys!$C$54&amp;Keys!$C$57&amp;Keys!$C$54&amp;$B232,Raw_BFPIaE!$H$9:$H$3032,0)))</f>
        <v>0</v>
      </c>
      <c r="S232" s="11">
        <f>IF(($P232+$Q232-$R232+MAX(Keys!$C$51,$R232-$Q232))&gt;Keys!$C$51,MIN(Keys!$C$52,MAX(Keys!$C$51,$R232-$Q232)/($P232+$Q232-$R232+MAX(Keys!$C$51,$R232-$Q232))),Keys!$C$51)</f>
        <v>0</v>
      </c>
      <c r="T232">
        <f>IF(AND($I232&gt;$H232,ABS($L232-$G232)&gt;MAX(Keys!$C$62,ABS($G232)*Keys!$C$63)),1,0)</f>
        <v>0</v>
      </c>
      <c r="U232">
        <f>IF(OR($N232&lt;Keys!$C$51,$N232&gt;Keys!$C$52),1,0)</f>
        <v>0</v>
      </c>
      <c r="V232">
        <f>IF(AND($E232=Keys!$C$60,$N232&lt;&gt;Keys!$C$51),1,0)</f>
        <v>0</v>
      </c>
      <c r="W232">
        <f>IF($L232&gt;Keys!$C$51,IF($K232/$L232&gt;Keys!$C$52,1,0),0)</f>
        <v>0</v>
      </c>
      <c r="X232" s="11">
        <f t="shared" si="15"/>
        <v>0</v>
      </c>
    </row>
    <row r="233" spans="1:24" x14ac:dyDescent="0.25">
      <c r="A233" t="s">
        <v>90</v>
      </c>
      <c r="B233" t="s">
        <v>120</v>
      </c>
      <c r="C233">
        <f>VLOOKUP($B233,Keys!$F$2:$I$22,2,FALSE)</f>
        <v>0</v>
      </c>
      <c r="D233">
        <f>VLOOKUP($B233,Keys!$F$2:$I$22,3,FALSE)</f>
        <v>0</v>
      </c>
      <c r="E233" t="str">
        <f>VLOOKUP($B233,Keys!$F$2:$I$22,4,FALSE)</f>
        <v>zero</v>
      </c>
      <c r="F233" t="str">
        <f>$A233&amp;Keys!$C$54&amp;$B233</f>
        <v>ID|municipal solid waste</v>
      </c>
      <c r="G233" s="10">
        <f>IF($E233=Keys!$C$60,Keys!$C$51,INDEX(Balanced_2025!$D$9:$D$3032,MATCH($A233&amp;Keys!$C$54&amp;Keys!$C$55&amp;Keys!$C$54&amp;$C233,Balanced_2025!$E$9:$E$3032,0)))</f>
        <v>0</v>
      </c>
      <c r="H233" s="10">
        <f>IF($E233=Keys!$C$60,Keys!$C$51,INDEX(Balanced_2025!$D$9:$D$3032,MATCH($A233&amp;Keys!$C$54&amp;Keys!$C$56&amp;Keys!$C$54&amp;$C233,Balanced_2025!$E$9:$E$3032,0)))</f>
        <v>0</v>
      </c>
      <c r="I233" s="10">
        <f>IF($E233=Keys!$C$60,Keys!$C$51,INDEX(Balanced_2025!$D$9:$D$3032,MATCH($A233&amp;Keys!$C$54&amp;Keys!$C$57&amp;Keys!$C$54&amp;$C233,Balanced_2025!$E$9:$E$3032,0)))</f>
        <v>0</v>
      </c>
      <c r="J233" s="10">
        <f t="shared" si="12"/>
        <v>0</v>
      </c>
      <c r="K233" s="10">
        <f>MAX(Keys!$C$51,$I233-$H233)</f>
        <v>0</v>
      </c>
      <c r="L233" s="10">
        <f t="shared" si="13"/>
        <v>0</v>
      </c>
      <c r="M233" s="11">
        <f>IF($L233&gt;Keys!$C$51,MIN(Keys!$C$52,$K233/$L233),Keys!$C$51)</f>
        <v>0</v>
      </c>
      <c r="N233" s="11">
        <f>IF($E233=Keys!$C$60,Keys!$C$51,IF($E233=Keys!$C$59,$D233,$M233))</f>
        <v>0</v>
      </c>
      <c r="O233">
        <f t="shared" si="14"/>
        <v>0</v>
      </c>
      <c r="P233" s="10">
        <f>IF($E233=Keys!$C$60,Keys!$C$51,INDEX(Raw_BFPIaE!$G$9:$G$3032,MATCH($A233&amp;Keys!$C$54&amp;Keys!$C$55&amp;Keys!$C$54&amp;$B233,Raw_BFPIaE!$H$9:$H$3032,0)))</f>
        <v>0</v>
      </c>
      <c r="Q233" s="10">
        <f>IF($E233=Keys!$C$60,Keys!$C$51,INDEX(Raw_BFPIaE!$G$9:$G$3032,MATCH($A233&amp;Keys!$C$54&amp;Keys!$C$56&amp;Keys!$C$54&amp;$B233,Raw_BFPIaE!$H$9:$H$3032,0)))</f>
        <v>0</v>
      </c>
      <c r="R233" s="10">
        <f>IF($E233=Keys!$C$60,Keys!$C$51,INDEX(Raw_BFPIaE!$G$9:$G$3032,MATCH($A233&amp;Keys!$C$54&amp;Keys!$C$57&amp;Keys!$C$54&amp;$B233,Raw_BFPIaE!$H$9:$H$3032,0)))</f>
        <v>0</v>
      </c>
      <c r="S233" s="11">
        <f>IF(($P233+$Q233-$R233+MAX(Keys!$C$51,$R233-$Q233))&gt;Keys!$C$51,MIN(Keys!$C$52,MAX(Keys!$C$51,$R233-$Q233)/($P233+$Q233-$R233+MAX(Keys!$C$51,$R233-$Q233))),Keys!$C$51)</f>
        <v>0</v>
      </c>
      <c r="T233">
        <f>IF(AND($I233&gt;$H233,ABS($L233-$G233)&gt;MAX(Keys!$C$62,ABS($G233)*Keys!$C$63)),1,0)</f>
        <v>0</v>
      </c>
      <c r="U233">
        <f>IF(OR($N233&lt;Keys!$C$51,$N233&gt;Keys!$C$52),1,0)</f>
        <v>0</v>
      </c>
      <c r="V233">
        <f>IF(AND($E233=Keys!$C$60,$N233&lt;&gt;Keys!$C$51),1,0)</f>
        <v>0</v>
      </c>
      <c r="W233">
        <f>IF($L233&gt;Keys!$C$51,IF($K233/$L233&gt;Keys!$C$52,1,0),0)</f>
        <v>0</v>
      </c>
      <c r="X233" s="11">
        <f t="shared" si="15"/>
        <v>0</v>
      </c>
    </row>
    <row r="234" spans="1:24" x14ac:dyDescent="0.25">
      <c r="A234" t="s">
        <v>90</v>
      </c>
      <c r="B234" t="s">
        <v>123</v>
      </c>
      <c r="C234">
        <f>VLOOKUP($B234,Keys!$F$2:$I$22,2,FALSE)</f>
        <v>0</v>
      </c>
      <c r="D234">
        <f>VLOOKUP($B234,Keys!$F$2:$I$22,3,FALSE)</f>
        <v>0</v>
      </c>
      <c r="E234" t="str">
        <f>VLOOKUP($B234,Keys!$F$2:$I$22,4,FALSE)</f>
        <v>zero</v>
      </c>
      <c r="F234" t="str">
        <f>$A234&amp;Keys!$C$54&amp;$B234</f>
        <v>ID|hydrogen</v>
      </c>
      <c r="G234" s="10">
        <f>IF($E234=Keys!$C$60,Keys!$C$51,INDEX(Balanced_2025!$D$9:$D$3032,MATCH($A234&amp;Keys!$C$54&amp;Keys!$C$55&amp;Keys!$C$54&amp;$C234,Balanced_2025!$E$9:$E$3032,0)))</f>
        <v>0</v>
      </c>
      <c r="H234" s="10">
        <f>IF($E234=Keys!$C$60,Keys!$C$51,INDEX(Balanced_2025!$D$9:$D$3032,MATCH($A234&amp;Keys!$C$54&amp;Keys!$C$56&amp;Keys!$C$54&amp;$C234,Balanced_2025!$E$9:$E$3032,0)))</f>
        <v>0</v>
      </c>
      <c r="I234" s="10">
        <f>IF($E234=Keys!$C$60,Keys!$C$51,INDEX(Balanced_2025!$D$9:$D$3032,MATCH($A234&amp;Keys!$C$54&amp;Keys!$C$57&amp;Keys!$C$54&amp;$C234,Balanced_2025!$E$9:$E$3032,0)))</f>
        <v>0</v>
      </c>
      <c r="J234" s="10">
        <f t="shared" si="12"/>
        <v>0</v>
      </c>
      <c r="K234" s="10">
        <f>MAX(Keys!$C$51,$I234-$H234)</f>
        <v>0</v>
      </c>
      <c r="L234" s="10">
        <f t="shared" si="13"/>
        <v>0</v>
      </c>
      <c r="M234" s="11">
        <f>IF($L234&gt;Keys!$C$51,MIN(Keys!$C$52,$K234/$L234),Keys!$C$51)</f>
        <v>0</v>
      </c>
      <c r="N234" s="11">
        <f>IF($E234=Keys!$C$60,Keys!$C$51,IF($E234=Keys!$C$59,$D234,$M234))</f>
        <v>0</v>
      </c>
      <c r="O234">
        <f t="shared" si="14"/>
        <v>0</v>
      </c>
      <c r="P234" s="10">
        <f>IF($E234=Keys!$C$60,Keys!$C$51,INDEX(Raw_BFPIaE!$G$9:$G$3032,MATCH($A234&amp;Keys!$C$54&amp;Keys!$C$55&amp;Keys!$C$54&amp;$B234,Raw_BFPIaE!$H$9:$H$3032,0)))</f>
        <v>0</v>
      </c>
      <c r="Q234" s="10">
        <f>IF($E234=Keys!$C$60,Keys!$C$51,INDEX(Raw_BFPIaE!$G$9:$G$3032,MATCH($A234&amp;Keys!$C$54&amp;Keys!$C$56&amp;Keys!$C$54&amp;$B234,Raw_BFPIaE!$H$9:$H$3032,0)))</f>
        <v>0</v>
      </c>
      <c r="R234" s="10">
        <f>IF($E234=Keys!$C$60,Keys!$C$51,INDEX(Raw_BFPIaE!$G$9:$G$3032,MATCH($A234&amp;Keys!$C$54&amp;Keys!$C$57&amp;Keys!$C$54&amp;$B234,Raw_BFPIaE!$H$9:$H$3032,0)))</f>
        <v>0</v>
      </c>
      <c r="S234" s="11">
        <f>IF(($P234+$Q234-$R234+MAX(Keys!$C$51,$R234-$Q234))&gt;Keys!$C$51,MIN(Keys!$C$52,MAX(Keys!$C$51,$R234-$Q234)/($P234+$Q234-$R234+MAX(Keys!$C$51,$R234-$Q234))),Keys!$C$51)</f>
        <v>0</v>
      </c>
      <c r="T234">
        <f>IF(AND($I234&gt;$H234,ABS($L234-$G234)&gt;MAX(Keys!$C$62,ABS($G234)*Keys!$C$63)),1,0)</f>
        <v>0</v>
      </c>
      <c r="U234">
        <f>IF(OR($N234&lt;Keys!$C$51,$N234&gt;Keys!$C$52),1,0)</f>
        <v>0</v>
      </c>
      <c r="V234">
        <f>IF(AND($E234=Keys!$C$60,$N234&lt;&gt;Keys!$C$51),1,0)</f>
        <v>0</v>
      </c>
      <c r="W234">
        <f>IF($L234&gt;Keys!$C$51,IF($K234/$L234&gt;Keys!$C$52,1,0),0)</f>
        <v>0</v>
      </c>
      <c r="X234" s="11">
        <f t="shared" si="15"/>
        <v>0</v>
      </c>
    </row>
    <row r="235" spans="1:24" x14ac:dyDescent="0.25">
      <c r="A235" t="s">
        <v>93</v>
      </c>
      <c r="B235" t="s">
        <v>60</v>
      </c>
      <c r="C235">
        <f>VLOOKUP($B235,Keys!$F$2:$I$22,2,FALSE)</f>
        <v>0</v>
      </c>
      <c r="D235">
        <f>VLOOKUP($B235,Keys!$F$2:$I$22,3,FALSE)</f>
        <v>0</v>
      </c>
      <c r="E235" t="str">
        <f>VLOOKUP($B235,Keys!$F$2:$I$22,4,FALSE)</f>
        <v>zero</v>
      </c>
      <c r="F235" t="str">
        <f>$A235&amp;Keys!$C$54&amp;$B235</f>
        <v>IL|electricity (not used in this variable)</v>
      </c>
      <c r="G235" s="10">
        <f>IF($E235=Keys!$C$60,Keys!$C$51,INDEX(Balanced_2025!$D$9:$D$3032,MATCH($A235&amp;Keys!$C$54&amp;Keys!$C$55&amp;Keys!$C$54&amp;$C235,Balanced_2025!$E$9:$E$3032,0)))</f>
        <v>0</v>
      </c>
      <c r="H235" s="10">
        <f>IF($E235=Keys!$C$60,Keys!$C$51,INDEX(Balanced_2025!$D$9:$D$3032,MATCH($A235&amp;Keys!$C$54&amp;Keys!$C$56&amp;Keys!$C$54&amp;$C235,Balanced_2025!$E$9:$E$3032,0)))</f>
        <v>0</v>
      </c>
      <c r="I235" s="10">
        <f>IF($E235=Keys!$C$60,Keys!$C$51,INDEX(Balanced_2025!$D$9:$D$3032,MATCH($A235&amp;Keys!$C$54&amp;Keys!$C$57&amp;Keys!$C$54&amp;$C235,Balanced_2025!$E$9:$E$3032,0)))</f>
        <v>0</v>
      </c>
      <c r="J235" s="10">
        <f t="shared" si="12"/>
        <v>0</v>
      </c>
      <c r="K235" s="10">
        <f>MAX(Keys!$C$51,$I235-$H235)</f>
        <v>0</v>
      </c>
      <c r="L235" s="10">
        <f t="shared" si="13"/>
        <v>0</v>
      </c>
      <c r="M235" s="11">
        <f>IF($L235&gt;Keys!$C$51,MIN(Keys!$C$52,$K235/$L235),Keys!$C$51)</f>
        <v>0</v>
      </c>
      <c r="N235" s="11">
        <f>IF($E235=Keys!$C$60,Keys!$C$51,IF($E235=Keys!$C$59,$D235,$M235))</f>
        <v>0</v>
      </c>
      <c r="O235">
        <f t="shared" si="14"/>
        <v>0</v>
      </c>
      <c r="P235" s="10">
        <f>IF($E235=Keys!$C$60,Keys!$C$51,INDEX(Raw_BFPIaE!$G$9:$G$3032,MATCH($A235&amp;Keys!$C$54&amp;Keys!$C$55&amp;Keys!$C$54&amp;$B235,Raw_BFPIaE!$H$9:$H$3032,0)))</f>
        <v>0</v>
      </c>
      <c r="Q235" s="10">
        <f>IF($E235=Keys!$C$60,Keys!$C$51,INDEX(Raw_BFPIaE!$G$9:$G$3032,MATCH($A235&amp;Keys!$C$54&amp;Keys!$C$56&amp;Keys!$C$54&amp;$B235,Raw_BFPIaE!$H$9:$H$3032,0)))</f>
        <v>0</v>
      </c>
      <c r="R235" s="10">
        <f>IF($E235=Keys!$C$60,Keys!$C$51,INDEX(Raw_BFPIaE!$G$9:$G$3032,MATCH($A235&amp;Keys!$C$54&amp;Keys!$C$57&amp;Keys!$C$54&amp;$B235,Raw_BFPIaE!$H$9:$H$3032,0)))</f>
        <v>0</v>
      </c>
      <c r="S235" s="11">
        <f>IF(($P235+$Q235-$R235+MAX(Keys!$C$51,$R235-$Q235))&gt;Keys!$C$51,MIN(Keys!$C$52,MAX(Keys!$C$51,$R235-$Q235)/($P235+$Q235-$R235+MAX(Keys!$C$51,$R235-$Q235))),Keys!$C$51)</f>
        <v>0</v>
      </c>
      <c r="T235">
        <f>IF(AND($I235&gt;$H235,ABS($L235-$G235)&gt;MAX(Keys!$C$62,ABS($G235)*Keys!$C$63)),1,0)</f>
        <v>0</v>
      </c>
      <c r="U235">
        <f>IF(OR($N235&lt;Keys!$C$51,$N235&gt;Keys!$C$52),1,0)</f>
        <v>0</v>
      </c>
      <c r="V235">
        <f>IF(AND($E235=Keys!$C$60,$N235&lt;&gt;Keys!$C$51),1,0)</f>
        <v>0</v>
      </c>
      <c r="W235">
        <f>IF($L235&gt;Keys!$C$51,IF($K235/$L235&gt;Keys!$C$52,1,0),0)</f>
        <v>0</v>
      </c>
      <c r="X235" s="11">
        <f t="shared" si="15"/>
        <v>0</v>
      </c>
    </row>
    <row r="236" spans="1:24" x14ac:dyDescent="0.25">
      <c r="A236" t="s">
        <v>93</v>
      </c>
      <c r="B236" t="s">
        <v>64</v>
      </c>
      <c r="C236" t="str">
        <f>VLOOKUP($B236,Keys!$F$2:$I$22,2,FALSE)</f>
        <v>hard coal</v>
      </c>
      <c r="D236">
        <f>VLOOKUP($B236,Keys!$F$2:$I$22,3,FALSE)</f>
        <v>0.137539879</v>
      </c>
      <c r="E236" t="str">
        <f>VLOOKUP($B236,Keys!$F$2:$I$22,4,FALSE)</f>
        <v>rule</v>
      </c>
      <c r="F236" t="str">
        <f>$A236&amp;Keys!$C$54&amp;$B236</f>
        <v>IL|hard coal</v>
      </c>
      <c r="G236" s="10">
        <f>IF($E236=Keys!$C$60,Keys!$C$51,INDEX(Balanced_2025!$D$9:$D$3032,MATCH($A236&amp;Keys!$C$54&amp;Keys!$C$55&amp;Keys!$C$54&amp;$C236,Balanced_2025!$E$9:$E$3032,0)))</f>
        <v>701721000000000</v>
      </c>
      <c r="H236" s="10">
        <f>IF($E236=Keys!$C$60,Keys!$C$51,INDEX(Balanced_2025!$D$9:$D$3032,MATCH($A236&amp;Keys!$C$54&amp;Keys!$C$56&amp;Keys!$C$54&amp;$C236,Balanced_2025!$E$9:$E$3032,0)))</f>
        <v>115804000000000</v>
      </c>
      <c r="I236" s="10">
        <f>IF($E236=Keys!$C$60,Keys!$C$51,INDEX(Balanced_2025!$D$9:$D$3032,MATCH($A236&amp;Keys!$C$54&amp;Keys!$C$57&amp;Keys!$C$54&amp;$C236,Balanced_2025!$E$9:$E$3032,0)))</f>
        <v>348545000000000</v>
      </c>
      <c r="J236" s="10">
        <f t="shared" si="12"/>
        <v>468980000000000</v>
      </c>
      <c r="K236" s="10">
        <f>MAX(Keys!$C$51,$I236-$H236)</f>
        <v>232741000000000</v>
      </c>
      <c r="L236" s="10">
        <f t="shared" si="13"/>
        <v>701721000000000</v>
      </c>
      <c r="M236" s="11">
        <f>IF($L236&gt;Keys!$C$51,MIN(Keys!$C$52,$K236/$L236),Keys!$C$51)</f>
        <v>0.33167170428133119</v>
      </c>
      <c r="N236" s="11">
        <f>IF($E236=Keys!$C$60,Keys!$C$51,IF($E236=Keys!$C$59,$D236,$M236))</f>
        <v>0.33167170428133119</v>
      </c>
      <c r="O236">
        <f t="shared" si="14"/>
        <v>1</v>
      </c>
      <c r="P236" s="10">
        <f>IF($E236=Keys!$C$60,Keys!$C$51,INDEX(Raw_BFPIaE!$G$9:$G$3032,MATCH($A236&amp;Keys!$C$54&amp;Keys!$C$55&amp;Keys!$C$54&amp;$B236,Raw_BFPIaE!$H$9:$H$3032,0)))</f>
        <v>700463000000000</v>
      </c>
      <c r="Q236" s="10">
        <f>IF($E236=Keys!$C$60,Keys!$C$51,INDEX(Raw_BFPIaE!$G$9:$G$3032,MATCH($A236&amp;Keys!$C$54&amp;Keys!$C$56&amp;Keys!$C$54&amp;$B236,Raw_BFPIaE!$H$9:$H$3032,0)))</f>
        <v>117794550000000</v>
      </c>
      <c r="R236" s="10">
        <f>IF($E236=Keys!$C$60,Keys!$C$51,INDEX(Raw_BFPIaE!$G$9:$G$3032,MATCH($A236&amp;Keys!$C$54&amp;Keys!$C$57&amp;Keys!$C$54&amp;$B236,Raw_BFPIaE!$H$9:$H$3032,0)))</f>
        <v>347920000000000</v>
      </c>
      <c r="S236" s="11">
        <f>IF(($P236+$Q236-$R236+MAX(Keys!$C$51,$R236-$Q236))&gt;Keys!$C$51,MIN(Keys!$C$52,MAX(Keys!$C$51,$R236-$Q236)/($P236+$Q236-$R236+MAX(Keys!$C$51,$R236-$Q236))),Keys!$C$51)</f>
        <v>0.32853334151839569</v>
      </c>
      <c r="T236">
        <f>IF(AND($I236&gt;$H236,ABS($L236-$G236)&gt;MAX(Keys!$C$62,ABS($G236)*Keys!$C$63)),1,0)</f>
        <v>0</v>
      </c>
      <c r="U236">
        <f>IF(OR($N236&lt;Keys!$C$51,$N236&gt;Keys!$C$52),1,0)</f>
        <v>0</v>
      </c>
      <c r="V236">
        <f>IF(AND($E236=Keys!$C$60,$N236&lt;&gt;Keys!$C$51),1,0)</f>
        <v>0</v>
      </c>
      <c r="W236">
        <f>IF($L236&gt;Keys!$C$51,IF($K236/$L236&gt;Keys!$C$52,1,0),0)</f>
        <v>0</v>
      </c>
      <c r="X236" s="11">
        <f t="shared" si="15"/>
        <v>3.1383627629354982E-3</v>
      </c>
    </row>
    <row r="237" spans="1:24" x14ac:dyDescent="0.25">
      <c r="A237" t="s">
        <v>93</v>
      </c>
      <c r="B237" t="s">
        <v>68</v>
      </c>
      <c r="C237" t="str">
        <f>VLOOKUP($B237,Keys!$F$2:$I$22,2,FALSE)</f>
        <v>natural gas</v>
      </c>
      <c r="D237">
        <f>VLOOKUP($B237,Keys!$F$2:$I$22,3,FALSE)</f>
        <v>0.190839183</v>
      </c>
      <c r="E237" t="str">
        <f>VLOOKUP($B237,Keys!$F$2:$I$22,4,FALSE)</f>
        <v>rule</v>
      </c>
      <c r="F237" t="str">
        <f>$A237&amp;Keys!$C$54&amp;$B237</f>
        <v>IL|natural gas</v>
      </c>
      <c r="G237" s="10">
        <f>IF($E237=Keys!$C$60,Keys!$C$51,INDEX(Balanced_2025!$D$9:$D$3032,MATCH($A237&amp;Keys!$C$54&amp;Keys!$C$55&amp;Keys!$C$54&amp;$C237,Balanced_2025!$E$9:$E$3032,0)))</f>
        <v>3281070000000</v>
      </c>
      <c r="H237" s="10">
        <f>IF($E237=Keys!$C$60,Keys!$C$51,INDEX(Balanced_2025!$D$9:$D$3032,MATCH($A237&amp;Keys!$C$54&amp;Keys!$C$56&amp;Keys!$C$54&amp;$C237,Balanced_2025!$E$9:$E$3032,0)))</f>
        <v>2217500000000000</v>
      </c>
      <c r="I237" s="10">
        <f>IF($E237=Keys!$C$60,Keys!$C$51,INDEX(Balanced_2025!$D$9:$D$3032,MATCH($A237&amp;Keys!$C$54&amp;Keys!$C$57&amp;Keys!$C$54&amp;$C237,Balanced_2025!$E$9:$E$3032,0)))</f>
        <v>1176880000000000</v>
      </c>
      <c r="J237" s="10">
        <f t="shared" si="12"/>
        <v>1043901070000000</v>
      </c>
      <c r="K237" s="10">
        <f>MAX(Keys!$C$51,$I237-$H237)</f>
        <v>0</v>
      </c>
      <c r="L237" s="10">
        <f t="shared" si="13"/>
        <v>1043901070000000</v>
      </c>
      <c r="M237" s="11">
        <f>IF($L237&gt;Keys!$C$51,MIN(Keys!$C$52,$K237/$L237),Keys!$C$51)</f>
        <v>0</v>
      </c>
      <c r="N237" s="11">
        <f>IF($E237=Keys!$C$60,Keys!$C$51,IF($E237=Keys!$C$59,$D237,$M237))</f>
        <v>0</v>
      </c>
      <c r="O237">
        <f t="shared" si="14"/>
        <v>1</v>
      </c>
      <c r="P237" s="10">
        <f>IF($E237=Keys!$C$60,Keys!$C$51,INDEX(Raw_BFPIaE!$G$9:$G$3032,MATCH($A237&amp;Keys!$C$54&amp;Keys!$C$55&amp;Keys!$C$54&amp;$B237,Raw_BFPIaE!$H$9:$H$3032,0)))</f>
        <v>3284466666666.6665</v>
      </c>
      <c r="Q237" s="10">
        <f>IF($E237=Keys!$C$60,Keys!$C$51,INDEX(Raw_BFPIaE!$G$9:$G$3032,MATCH($A237&amp;Keys!$C$54&amp;Keys!$C$56&amp;Keys!$C$54&amp;$B237,Raw_BFPIaE!$H$9:$H$3032,0)))</f>
        <v>2172996666666666.8</v>
      </c>
      <c r="R237" s="10">
        <f>IF($E237=Keys!$C$60,Keys!$C$51,INDEX(Raw_BFPIaE!$G$9:$G$3032,MATCH($A237&amp;Keys!$C$54&amp;Keys!$C$57&amp;Keys!$C$54&amp;$B237,Raw_BFPIaE!$H$9:$H$3032,0)))</f>
        <v>1178100000000000</v>
      </c>
      <c r="S237" s="11">
        <f>IF(($P237+$Q237-$R237+MAX(Keys!$C$51,$R237-$Q237))&gt;Keys!$C$51,MIN(Keys!$C$52,MAX(Keys!$C$51,$R237-$Q237)/($P237+$Q237-$R237+MAX(Keys!$C$51,$R237-$Q237))),Keys!$C$51)</f>
        <v>0</v>
      </c>
      <c r="T237">
        <f>IF(AND($I237&gt;$H237,ABS($L237-$G237)&gt;MAX(Keys!$C$62,ABS($G237)*Keys!$C$63)),1,0)</f>
        <v>0</v>
      </c>
      <c r="U237">
        <f>IF(OR($N237&lt;Keys!$C$51,$N237&gt;Keys!$C$52),1,0)</f>
        <v>0</v>
      </c>
      <c r="V237">
        <f>IF(AND($E237=Keys!$C$60,$N237&lt;&gt;Keys!$C$51),1,0)</f>
        <v>0</v>
      </c>
      <c r="W237">
        <f>IF($L237&gt;Keys!$C$51,IF($K237/$L237&gt;Keys!$C$52,1,0),0)</f>
        <v>0</v>
      </c>
      <c r="X237" s="11">
        <f t="shared" si="15"/>
        <v>0</v>
      </c>
    </row>
    <row r="238" spans="1:24" x14ac:dyDescent="0.25">
      <c r="A238" t="s">
        <v>93</v>
      </c>
      <c r="B238" t="s">
        <v>71</v>
      </c>
      <c r="C238">
        <f>VLOOKUP($B238,Keys!$F$2:$I$22,2,FALSE)</f>
        <v>0</v>
      </c>
      <c r="D238">
        <f>VLOOKUP($B238,Keys!$F$2:$I$22,3,FALSE)</f>
        <v>0</v>
      </c>
      <c r="E238" t="str">
        <f>VLOOKUP($B238,Keys!$F$2:$I$22,4,FALSE)</f>
        <v>zero</v>
      </c>
      <c r="F238" t="str">
        <f>$A238&amp;Keys!$C$54&amp;$B238</f>
        <v>IL|nuclear</v>
      </c>
      <c r="G238" s="10">
        <f>IF($E238=Keys!$C$60,Keys!$C$51,INDEX(Balanced_2025!$D$9:$D$3032,MATCH($A238&amp;Keys!$C$54&amp;Keys!$C$55&amp;Keys!$C$54&amp;$C238,Balanced_2025!$E$9:$E$3032,0)))</f>
        <v>0</v>
      </c>
      <c r="H238" s="10">
        <f>IF($E238=Keys!$C$60,Keys!$C$51,INDEX(Balanced_2025!$D$9:$D$3032,MATCH($A238&amp;Keys!$C$54&amp;Keys!$C$56&amp;Keys!$C$54&amp;$C238,Balanced_2025!$E$9:$E$3032,0)))</f>
        <v>0</v>
      </c>
      <c r="I238" s="10">
        <f>IF($E238=Keys!$C$60,Keys!$C$51,INDEX(Balanced_2025!$D$9:$D$3032,MATCH($A238&amp;Keys!$C$54&amp;Keys!$C$57&amp;Keys!$C$54&amp;$C238,Balanced_2025!$E$9:$E$3032,0)))</f>
        <v>0</v>
      </c>
      <c r="J238" s="10">
        <f t="shared" si="12"/>
        <v>0</v>
      </c>
      <c r="K238" s="10">
        <f>MAX(Keys!$C$51,$I238-$H238)</f>
        <v>0</v>
      </c>
      <c r="L238" s="10">
        <f t="shared" si="13"/>
        <v>0</v>
      </c>
      <c r="M238" s="11">
        <f>IF($L238&gt;Keys!$C$51,MIN(Keys!$C$52,$K238/$L238),Keys!$C$51)</f>
        <v>0</v>
      </c>
      <c r="N238" s="11">
        <f>IF($E238=Keys!$C$60,Keys!$C$51,IF($E238=Keys!$C$59,$D238,$M238))</f>
        <v>0</v>
      </c>
      <c r="O238">
        <f t="shared" si="14"/>
        <v>0</v>
      </c>
      <c r="P238" s="10">
        <f>IF($E238=Keys!$C$60,Keys!$C$51,INDEX(Raw_BFPIaE!$G$9:$G$3032,MATCH($A238&amp;Keys!$C$54&amp;Keys!$C$55&amp;Keys!$C$54&amp;$B238,Raw_BFPIaE!$H$9:$H$3032,0)))</f>
        <v>0</v>
      </c>
      <c r="Q238" s="10">
        <f>IF($E238=Keys!$C$60,Keys!$C$51,INDEX(Raw_BFPIaE!$G$9:$G$3032,MATCH($A238&amp;Keys!$C$54&amp;Keys!$C$56&amp;Keys!$C$54&amp;$B238,Raw_BFPIaE!$H$9:$H$3032,0)))</f>
        <v>0</v>
      </c>
      <c r="R238" s="10">
        <f>IF($E238=Keys!$C$60,Keys!$C$51,INDEX(Raw_BFPIaE!$G$9:$G$3032,MATCH($A238&amp;Keys!$C$54&amp;Keys!$C$57&amp;Keys!$C$54&amp;$B238,Raw_BFPIaE!$H$9:$H$3032,0)))</f>
        <v>0</v>
      </c>
      <c r="S238" s="11">
        <f>IF(($P238+$Q238-$R238+MAX(Keys!$C$51,$R238-$Q238))&gt;Keys!$C$51,MIN(Keys!$C$52,MAX(Keys!$C$51,$R238-$Q238)/($P238+$Q238-$R238+MAX(Keys!$C$51,$R238-$Q238))),Keys!$C$51)</f>
        <v>0</v>
      </c>
      <c r="T238">
        <f>IF(AND($I238&gt;$H238,ABS($L238-$G238)&gt;MAX(Keys!$C$62,ABS($G238)*Keys!$C$63)),1,0)</f>
        <v>0</v>
      </c>
      <c r="U238">
        <f>IF(OR($N238&lt;Keys!$C$51,$N238&gt;Keys!$C$52),1,0)</f>
        <v>0</v>
      </c>
      <c r="V238">
        <f>IF(AND($E238=Keys!$C$60,$N238&lt;&gt;Keys!$C$51),1,0)</f>
        <v>0</v>
      </c>
      <c r="W238">
        <f>IF($L238&gt;Keys!$C$51,IF($K238/$L238&gt;Keys!$C$52,1,0),0)</f>
        <v>0</v>
      </c>
      <c r="X238" s="11">
        <f t="shared" si="15"/>
        <v>0</v>
      </c>
    </row>
    <row r="239" spans="1:24" x14ac:dyDescent="0.25">
      <c r="A239" t="s">
        <v>93</v>
      </c>
      <c r="B239" t="s">
        <v>74</v>
      </c>
      <c r="C239">
        <f>VLOOKUP($B239,Keys!$F$2:$I$22,2,FALSE)</f>
        <v>0</v>
      </c>
      <c r="D239">
        <f>VLOOKUP($B239,Keys!$F$2:$I$22,3,FALSE)</f>
        <v>0</v>
      </c>
      <c r="E239" t="str">
        <f>VLOOKUP($B239,Keys!$F$2:$I$22,4,FALSE)</f>
        <v>zero</v>
      </c>
      <c r="F239" t="str">
        <f>$A239&amp;Keys!$C$54&amp;$B239</f>
        <v>IL|hydro (is not a fuel)</v>
      </c>
      <c r="G239" s="10">
        <f>IF($E239=Keys!$C$60,Keys!$C$51,INDEX(Balanced_2025!$D$9:$D$3032,MATCH($A239&amp;Keys!$C$54&amp;Keys!$C$55&amp;Keys!$C$54&amp;$C239,Balanced_2025!$E$9:$E$3032,0)))</f>
        <v>0</v>
      </c>
      <c r="H239" s="10">
        <f>IF($E239=Keys!$C$60,Keys!$C$51,INDEX(Balanced_2025!$D$9:$D$3032,MATCH($A239&amp;Keys!$C$54&amp;Keys!$C$56&amp;Keys!$C$54&amp;$C239,Balanced_2025!$E$9:$E$3032,0)))</f>
        <v>0</v>
      </c>
      <c r="I239" s="10">
        <f>IF($E239=Keys!$C$60,Keys!$C$51,INDEX(Balanced_2025!$D$9:$D$3032,MATCH($A239&amp;Keys!$C$54&amp;Keys!$C$57&amp;Keys!$C$54&amp;$C239,Balanced_2025!$E$9:$E$3032,0)))</f>
        <v>0</v>
      </c>
      <c r="J239" s="10">
        <f t="shared" si="12"/>
        <v>0</v>
      </c>
      <c r="K239" s="10">
        <f>MAX(Keys!$C$51,$I239-$H239)</f>
        <v>0</v>
      </c>
      <c r="L239" s="10">
        <f t="shared" si="13"/>
        <v>0</v>
      </c>
      <c r="M239" s="11">
        <f>IF($L239&gt;Keys!$C$51,MIN(Keys!$C$52,$K239/$L239),Keys!$C$51)</f>
        <v>0</v>
      </c>
      <c r="N239" s="11">
        <f>IF($E239=Keys!$C$60,Keys!$C$51,IF($E239=Keys!$C$59,$D239,$M239))</f>
        <v>0</v>
      </c>
      <c r="O239">
        <f t="shared" si="14"/>
        <v>0</v>
      </c>
      <c r="P239" s="10">
        <f>IF($E239=Keys!$C$60,Keys!$C$51,INDEX(Raw_BFPIaE!$G$9:$G$3032,MATCH($A239&amp;Keys!$C$54&amp;Keys!$C$55&amp;Keys!$C$54&amp;$B239,Raw_BFPIaE!$H$9:$H$3032,0)))</f>
        <v>0</v>
      </c>
      <c r="Q239" s="10">
        <f>IF($E239=Keys!$C$60,Keys!$C$51,INDEX(Raw_BFPIaE!$G$9:$G$3032,MATCH($A239&amp;Keys!$C$54&amp;Keys!$C$56&amp;Keys!$C$54&amp;$B239,Raw_BFPIaE!$H$9:$H$3032,0)))</f>
        <v>0</v>
      </c>
      <c r="R239" s="10">
        <f>IF($E239=Keys!$C$60,Keys!$C$51,INDEX(Raw_BFPIaE!$G$9:$G$3032,MATCH($A239&amp;Keys!$C$54&amp;Keys!$C$57&amp;Keys!$C$54&amp;$B239,Raw_BFPIaE!$H$9:$H$3032,0)))</f>
        <v>0</v>
      </c>
      <c r="S239" s="11">
        <f>IF(($P239+$Q239-$R239+MAX(Keys!$C$51,$R239-$Q239))&gt;Keys!$C$51,MIN(Keys!$C$52,MAX(Keys!$C$51,$R239-$Q239)/($P239+$Q239-$R239+MAX(Keys!$C$51,$R239-$Q239))),Keys!$C$51)</f>
        <v>0</v>
      </c>
      <c r="T239">
        <f>IF(AND($I239&gt;$H239,ABS($L239-$G239)&gt;MAX(Keys!$C$62,ABS($G239)*Keys!$C$63)),1,0)</f>
        <v>0</v>
      </c>
      <c r="U239">
        <f>IF(OR($N239&lt;Keys!$C$51,$N239&gt;Keys!$C$52),1,0)</f>
        <v>0</v>
      </c>
      <c r="V239">
        <f>IF(AND($E239=Keys!$C$60,$N239&lt;&gt;Keys!$C$51),1,0)</f>
        <v>0</v>
      </c>
      <c r="W239">
        <f>IF($L239&gt;Keys!$C$51,IF($K239/$L239&gt;Keys!$C$52,1,0),0)</f>
        <v>0</v>
      </c>
      <c r="X239" s="11">
        <f t="shared" si="15"/>
        <v>0</v>
      </c>
    </row>
    <row r="240" spans="1:24" x14ac:dyDescent="0.25">
      <c r="A240" t="s">
        <v>93</v>
      </c>
      <c r="B240" t="s">
        <v>77</v>
      </c>
      <c r="C240">
        <f>VLOOKUP($B240,Keys!$F$2:$I$22,2,FALSE)</f>
        <v>0</v>
      </c>
      <c r="D240">
        <f>VLOOKUP($B240,Keys!$F$2:$I$22,3,FALSE)</f>
        <v>0</v>
      </c>
      <c r="E240" t="str">
        <f>VLOOKUP($B240,Keys!$F$2:$I$22,4,FALSE)</f>
        <v>zero</v>
      </c>
      <c r="F240" t="str">
        <f>$A240&amp;Keys!$C$54&amp;$B240</f>
        <v>IL|wind (is not a fuel)</v>
      </c>
      <c r="G240" s="10">
        <f>IF($E240=Keys!$C$60,Keys!$C$51,INDEX(Balanced_2025!$D$9:$D$3032,MATCH($A240&amp;Keys!$C$54&amp;Keys!$C$55&amp;Keys!$C$54&amp;$C240,Balanced_2025!$E$9:$E$3032,0)))</f>
        <v>0</v>
      </c>
      <c r="H240" s="10">
        <f>IF($E240=Keys!$C$60,Keys!$C$51,INDEX(Balanced_2025!$D$9:$D$3032,MATCH($A240&amp;Keys!$C$54&amp;Keys!$C$56&amp;Keys!$C$54&amp;$C240,Balanced_2025!$E$9:$E$3032,0)))</f>
        <v>0</v>
      </c>
      <c r="I240" s="10">
        <f>IF($E240=Keys!$C$60,Keys!$C$51,INDEX(Balanced_2025!$D$9:$D$3032,MATCH($A240&amp;Keys!$C$54&amp;Keys!$C$57&amp;Keys!$C$54&amp;$C240,Balanced_2025!$E$9:$E$3032,0)))</f>
        <v>0</v>
      </c>
      <c r="J240" s="10">
        <f t="shared" si="12"/>
        <v>0</v>
      </c>
      <c r="K240" s="10">
        <f>MAX(Keys!$C$51,$I240-$H240)</f>
        <v>0</v>
      </c>
      <c r="L240" s="10">
        <f t="shared" si="13"/>
        <v>0</v>
      </c>
      <c r="M240" s="11">
        <f>IF($L240&gt;Keys!$C$51,MIN(Keys!$C$52,$K240/$L240),Keys!$C$51)</f>
        <v>0</v>
      </c>
      <c r="N240" s="11">
        <f>IF($E240=Keys!$C$60,Keys!$C$51,IF($E240=Keys!$C$59,$D240,$M240))</f>
        <v>0</v>
      </c>
      <c r="O240">
        <f t="shared" si="14"/>
        <v>0</v>
      </c>
      <c r="P240" s="10">
        <f>IF($E240=Keys!$C$60,Keys!$C$51,INDEX(Raw_BFPIaE!$G$9:$G$3032,MATCH($A240&amp;Keys!$C$54&amp;Keys!$C$55&amp;Keys!$C$54&amp;$B240,Raw_BFPIaE!$H$9:$H$3032,0)))</f>
        <v>0</v>
      </c>
      <c r="Q240" s="10">
        <f>IF($E240=Keys!$C$60,Keys!$C$51,INDEX(Raw_BFPIaE!$G$9:$G$3032,MATCH($A240&amp;Keys!$C$54&amp;Keys!$C$56&amp;Keys!$C$54&amp;$B240,Raw_BFPIaE!$H$9:$H$3032,0)))</f>
        <v>0</v>
      </c>
      <c r="R240" s="10">
        <f>IF($E240=Keys!$C$60,Keys!$C$51,INDEX(Raw_BFPIaE!$G$9:$G$3032,MATCH($A240&amp;Keys!$C$54&amp;Keys!$C$57&amp;Keys!$C$54&amp;$B240,Raw_BFPIaE!$H$9:$H$3032,0)))</f>
        <v>0</v>
      </c>
      <c r="S240" s="11">
        <f>IF(($P240+$Q240-$R240+MAX(Keys!$C$51,$R240-$Q240))&gt;Keys!$C$51,MIN(Keys!$C$52,MAX(Keys!$C$51,$R240-$Q240)/($P240+$Q240-$R240+MAX(Keys!$C$51,$R240-$Q240))),Keys!$C$51)</f>
        <v>0</v>
      </c>
      <c r="T240">
        <f>IF(AND($I240&gt;$H240,ABS($L240-$G240)&gt;MAX(Keys!$C$62,ABS($G240)*Keys!$C$63)),1,0)</f>
        <v>0</v>
      </c>
      <c r="U240">
        <f>IF(OR($N240&lt;Keys!$C$51,$N240&gt;Keys!$C$52),1,0)</f>
        <v>0</v>
      </c>
      <c r="V240">
        <f>IF(AND($E240=Keys!$C$60,$N240&lt;&gt;Keys!$C$51),1,0)</f>
        <v>0</v>
      </c>
      <c r="W240">
        <f>IF($L240&gt;Keys!$C$51,IF($K240/$L240&gt;Keys!$C$52,1,0),0)</f>
        <v>0</v>
      </c>
      <c r="X240" s="11">
        <f t="shared" si="15"/>
        <v>0</v>
      </c>
    </row>
    <row r="241" spans="1:24" x14ac:dyDescent="0.25">
      <c r="A241" t="s">
        <v>93</v>
      </c>
      <c r="B241" t="s">
        <v>80</v>
      </c>
      <c r="C241">
        <f>VLOOKUP($B241,Keys!$F$2:$I$22,2,FALSE)</f>
        <v>0</v>
      </c>
      <c r="D241">
        <f>VLOOKUP($B241,Keys!$F$2:$I$22,3,FALSE)</f>
        <v>0</v>
      </c>
      <c r="E241" t="str">
        <f>VLOOKUP($B241,Keys!$F$2:$I$22,4,FALSE)</f>
        <v>zero</v>
      </c>
      <c r="F241" t="str">
        <f>$A241&amp;Keys!$C$54&amp;$B241</f>
        <v>IL|solar (is not a fuel)</v>
      </c>
      <c r="G241" s="10">
        <f>IF($E241=Keys!$C$60,Keys!$C$51,INDEX(Balanced_2025!$D$9:$D$3032,MATCH($A241&amp;Keys!$C$54&amp;Keys!$C$55&amp;Keys!$C$54&amp;$C241,Balanced_2025!$E$9:$E$3032,0)))</f>
        <v>0</v>
      </c>
      <c r="H241" s="10">
        <f>IF($E241=Keys!$C$60,Keys!$C$51,INDEX(Balanced_2025!$D$9:$D$3032,MATCH($A241&amp;Keys!$C$54&amp;Keys!$C$56&amp;Keys!$C$54&amp;$C241,Balanced_2025!$E$9:$E$3032,0)))</f>
        <v>0</v>
      </c>
      <c r="I241" s="10">
        <f>IF($E241=Keys!$C$60,Keys!$C$51,INDEX(Balanced_2025!$D$9:$D$3032,MATCH($A241&amp;Keys!$C$54&amp;Keys!$C$57&amp;Keys!$C$54&amp;$C241,Balanced_2025!$E$9:$E$3032,0)))</f>
        <v>0</v>
      </c>
      <c r="J241" s="10">
        <f t="shared" si="12"/>
        <v>0</v>
      </c>
      <c r="K241" s="10">
        <f>MAX(Keys!$C$51,$I241-$H241)</f>
        <v>0</v>
      </c>
      <c r="L241" s="10">
        <f t="shared" si="13"/>
        <v>0</v>
      </c>
      <c r="M241" s="11">
        <f>IF($L241&gt;Keys!$C$51,MIN(Keys!$C$52,$K241/$L241),Keys!$C$51)</f>
        <v>0</v>
      </c>
      <c r="N241" s="11">
        <f>IF($E241=Keys!$C$60,Keys!$C$51,IF($E241=Keys!$C$59,$D241,$M241))</f>
        <v>0</v>
      </c>
      <c r="O241">
        <f t="shared" si="14"/>
        <v>0</v>
      </c>
      <c r="P241" s="10">
        <f>IF($E241=Keys!$C$60,Keys!$C$51,INDEX(Raw_BFPIaE!$G$9:$G$3032,MATCH($A241&amp;Keys!$C$54&amp;Keys!$C$55&amp;Keys!$C$54&amp;$B241,Raw_BFPIaE!$H$9:$H$3032,0)))</f>
        <v>0</v>
      </c>
      <c r="Q241" s="10">
        <f>IF($E241=Keys!$C$60,Keys!$C$51,INDEX(Raw_BFPIaE!$G$9:$G$3032,MATCH($A241&amp;Keys!$C$54&amp;Keys!$C$56&amp;Keys!$C$54&amp;$B241,Raw_BFPIaE!$H$9:$H$3032,0)))</f>
        <v>0</v>
      </c>
      <c r="R241" s="10">
        <f>IF($E241=Keys!$C$60,Keys!$C$51,INDEX(Raw_BFPIaE!$G$9:$G$3032,MATCH($A241&amp;Keys!$C$54&amp;Keys!$C$57&amp;Keys!$C$54&amp;$B241,Raw_BFPIaE!$H$9:$H$3032,0)))</f>
        <v>0</v>
      </c>
      <c r="S241" s="11">
        <f>IF(($P241+$Q241-$R241+MAX(Keys!$C$51,$R241-$Q241))&gt;Keys!$C$51,MIN(Keys!$C$52,MAX(Keys!$C$51,$R241-$Q241)/($P241+$Q241-$R241+MAX(Keys!$C$51,$R241-$Q241))),Keys!$C$51)</f>
        <v>0</v>
      </c>
      <c r="T241">
        <f>IF(AND($I241&gt;$H241,ABS($L241-$G241)&gt;MAX(Keys!$C$62,ABS($G241)*Keys!$C$63)),1,0)</f>
        <v>0</v>
      </c>
      <c r="U241">
        <f>IF(OR($N241&lt;Keys!$C$51,$N241&gt;Keys!$C$52),1,0)</f>
        <v>0</v>
      </c>
      <c r="V241">
        <f>IF(AND($E241=Keys!$C$60,$N241&lt;&gt;Keys!$C$51),1,0)</f>
        <v>0</v>
      </c>
      <c r="W241">
        <f>IF($L241&gt;Keys!$C$51,IF($K241/$L241&gt;Keys!$C$52,1,0),0)</f>
        <v>0</v>
      </c>
      <c r="X241" s="11">
        <f t="shared" si="15"/>
        <v>0</v>
      </c>
    </row>
    <row r="242" spans="1:24" x14ac:dyDescent="0.25">
      <c r="A242" t="s">
        <v>93</v>
      </c>
      <c r="B242" t="s">
        <v>82</v>
      </c>
      <c r="C242" t="str">
        <f>VLOOKUP($B242,Keys!$F$2:$I$22,2,FALSE)</f>
        <v>biomass</v>
      </c>
      <c r="D242">
        <f>VLOOKUP($B242,Keys!$F$2:$I$22,3,FALSE)</f>
        <v>0.74947425499999998</v>
      </c>
      <c r="E242" t="str">
        <f>VLOOKUP($B242,Keys!$F$2:$I$22,4,FALSE)</f>
        <v>rule</v>
      </c>
      <c r="F242" t="str">
        <f>$A242&amp;Keys!$C$54&amp;$B242</f>
        <v>IL|biomass</v>
      </c>
      <c r="G242" s="10">
        <f>IF($E242=Keys!$C$60,Keys!$C$51,INDEX(Balanced_2025!$D$9:$D$3032,MATCH($A242&amp;Keys!$C$54&amp;Keys!$C$55&amp;Keys!$C$54&amp;$C242,Balanced_2025!$E$9:$E$3032,0)))</f>
        <v>0</v>
      </c>
      <c r="H242" s="10">
        <f>IF($E242=Keys!$C$60,Keys!$C$51,INDEX(Balanced_2025!$D$9:$D$3032,MATCH($A242&amp;Keys!$C$54&amp;Keys!$C$56&amp;Keys!$C$54&amp;$C242,Balanced_2025!$E$9:$E$3032,0)))</f>
        <v>22082900000000</v>
      </c>
      <c r="I242" s="10">
        <f>IF($E242=Keys!$C$60,Keys!$C$51,INDEX(Balanced_2025!$D$9:$D$3032,MATCH($A242&amp;Keys!$C$54&amp;Keys!$C$57&amp;Keys!$C$54&amp;$C242,Balanced_2025!$E$9:$E$3032,0)))</f>
        <v>0</v>
      </c>
      <c r="J242" s="10">
        <f t="shared" si="12"/>
        <v>22082900000000</v>
      </c>
      <c r="K242" s="10">
        <f>MAX(Keys!$C$51,$I242-$H242)</f>
        <v>0</v>
      </c>
      <c r="L242" s="10">
        <f t="shared" si="13"/>
        <v>22082900000000</v>
      </c>
      <c r="M242" s="11">
        <f>IF($L242&gt;Keys!$C$51,MIN(Keys!$C$52,$K242/$L242),Keys!$C$51)</f>
        <v>0</v>
      </c>
      <c r="N242" s="11">
        <f>IF($E242=Keys!$C$60,Keys!$C$51,IF($E242=Keys!$C$59,$D242,$M242))</f>
        <v>0</v>
      </c>
      <c r="O242">
        <f t="shared" si="14"/>
        <v>1</v>
      </c>
      <c r="P242" s="10">
        <f>IF($E242=Keys!$C$60,Keys!$C$51,INDEX(Raw_BFPIaE!$G$9:$G$3032,MATCH($A242&amp;Keys!$C$54&amp;Keys!$C$55&amp;Keys!$C$54&amp;$B242,Raw_BFPIaE!$H$9:$H$3032,0)))</f>
        <v>0</v>
      </c>
      <c r="Q242" s="10">
        <f>IF($E242=Keys!$C$60,Keys!$C$51,INDEX(Raw_BFPIaE!$G$9:$G$3032,MATCH($A242&amp;Keys!$C$54&amp;Keys!$C$56&amp;Keys!$C$54&amp;$B242,Raw_BFPIaE!$H$9:$H$3032,0)))</f>
        <v>14439900000000</v>
      </c>
      <c r="R242" s="10">
        <f>IF($E242=Keys!$C$60,Keys!$C$51,INDEX(Raw_BFPIaE!$G$9:$G$3032,MATCH($A242&amp;Keys!$C$54&amp;Keys!$C$57&amp;Keys!$C$54&amp;$B242,Raw_BFPIaE!$H$9:$H$3032,0)))</f>
        <v>0</v>
      </c>
      <c r="S242" s="11">
        <f>IF(($P242+$Q242-$R242+MAX(Keys!$C$51,$R242-$Q242))&gt;Keys!$C$51,MIN(Keys!$C$52,MAX(Keys!$C$51,$R242-$Q242)/($P242+$Q242-$R242+MAX(Keys!$C$51,$R242-$Q242))),Keys!$C$51)</f>
        <v>0</v>
      </c>
      <c r="T242">
        <f>IF(AND($I242&gt;$H242,ABS($L242-$G242)&gt;MAX(Keys!$C$62,ABS($G242)*Keys!$C$63)),1,0)</f>
        <v>0</v>
      </c>
      <c r="U242">
        <f>IF(OR($N242&lt;Keys!$C$51,$N242&gt;Keys!$C$52),1,0)</f>
        <v>0</v>
      </c>
      <c r="V242">
        <f>IF(AND($E242=Keys!$C$60,$N242&lt;&gt;Keys!$C$51),1,0)</f>
        <v>0</v>
      </c>
      <c r="W242">
        <f>IF($L242&gt;Keys!$C$51,IF($K242/$L242&gt;Keys!$C$52,1,0),0)</f>
        <v>0</v>
      </c>
      <c r="X242" s="11">
        <f t="shared" si="15"/>
        <v>0</v>
      </c>
    </row>
    <row r="243" spans="1:24" x14ac:dyDescent="0.25">
      <c r="A243" t="s">
        <v>93</v>
      </c>
      <c r="B243" t="s">
        <v>85</v>
      </c>
      <c r="C243" t="str">
        <f>VLOOKUP($B243,Keys!$F$2:$I$22,2,FALSE)</f>
        <v>petroleum gasoline</v>
      </c>
      <c r="D243">
        <f>VLOOKUP($B243,Keys!$F$2:$I$22,3,FALSE)</f>
        <v>7.5004052000000002E-2</v>
      </c>
      <c r="E243" t="str">
        <f>VLOOKUP($B243,Keys!$F$2:$I$22,4,FALSE)</f>
        <v>rule</v>
      </c>
      <c r="F243" t="str">
        <f>$A243&amp;Keys!$C$54&amp;$B243</f>
        <v>IL|petroleum gasoline</v>
      </c>
      <c r="G243" s="10">
        <f>IF($E243=Keys!$C$60,Keys!$C$51,INDEX(Balanced_2025!$D$9:$D$3032,MATCH($A243&amp;Keys!$C$54&amp;Keys!$C$55&amp;Keys!$C$54&amp;$C243,Balanced_2025!$E$9:$E$3032,0)))</f>
        <v>1019050000000000</v>
      </c>
      <c r="H243" s="10">
        <f>IF($E243=Keys!$C$60,Keys!$C$51,INDEX(Balanced_2025!$D$9:$D$3032,MATCH($A243&amp;Keys!$C$54&amp;Keys!$C$56&amp;Keys!$C$54&amp;$C243,Balanced_2025!$E$9:$E$3032,0)))</f>
        <v>25586700000000</v>
      </c>
      <c r="I243" s="10">
        <f>IF($E243=Keys!$C$60,Keys!$C$51,INDEX(Balanced_2025!$D$9:$D$3032,MATCH($A243&amp;Keys!$C$54&amp;Keys!$C$57&amp;Keys!$C$54&amp;$C243,Balanced_2025!$E$9:$E$3032,0)))</f>
        <v>602810000000000</v>
      </c>
      <c r="J243" s="10">
        <f t="shared" si="12"/>
        <v>441826700000000</v>
      </c>
      <c r="K243" s="10">
        <f>MAX(Keys!$C$51,$I243-$H243)</f>
        <v>577223300000000</v>
      </c>
      <c r="L243" s="10">
        <f t="shared" si="13"/>
        <v>1019050000000000</v>
      </c>
      <c r="M243" s="11">
        <f>IF($L243&gt;Keys!$C$51,MIN(Keys!$C$52,$K243/$L243),Keys!$C$51)</f>
        <v>0.56643275599823362</v>
      </c>
      <c r="N243" s="11">
        <f>IF($E243=Keys!$C$60,Keys!$C$51,IF($E243=Keys!$C$59,$D243,$M243))</f>
        <v>0.56643275599823362</v>
      </c>
      <c r="O243">
        <f t="shared" si="14"/>
        <v>1</v>
      </c>
      <c r="P243" s="10">
        <f>IF($E243=Keys!$C$60,Keys!$C$51,INDEX(Raw_BFPIaE!$G$9:$G$3032,MATCH($A243&amp;Keys!$C$54&amp;Keys!$C$55&amp;Keys!$C$54&amp;$B243,Raw_BFPIaE!$H$9:$H$3032,0)))</f>
        <v>1010816000000000</v>
      </c>
      <c r="Q243" s="10">
        <f>IF($E243=Keys!$C$60,Keys!$C$51,INDEX(Raw_BFPIaE!$G$9:$G$3032,MATCH($A243&amp;Keys!$C$54&amp;Keys!$C$56&amp;Keys!$C$54&amp;$B243,Raw_BFPIaE!$H$9:$H$3032,0)))</f>
        <v>0</v>
      </c>
      <c r="R243" s="10">
        <f>IF($E243=Keys!$C$60,Keys!$C$51,INDEX(Raw_BFPIaE!$G$9:$G$3032,MATCH($A243&amp;Keys!$C$54&amp;Keys!$C$57&amp;Keys!$C$54&amp;$B243,Raw_BFPIaE!$H$9:$H$3032,0)))</f>
        <v>409918800000000</v>
      </c>
      <c r="S243" s="11">
        <f>IF(($P243+$Q243-$R243+MAX(Keys!$C$51,$R243-$Q243))&gt;Keys!$C$51,MIN(Keys!$C$52,MAX(Keys!$C$51,$R243-$Q243)/($P243+$Q243-$R243+MAX(Keys!$C$51,$R243-$Q243))),Keys!$C$51)</f>
        <v>0.40553255983284792</v>
      </c>
      <c r="T243">
        <f>IF(AND($I243&gt;$H243,ABS($L243-$G243)&gt;MAX(Keys!$C$62,ABS($G243)*Keys!$C$63)),1,0)</f>
        <v>0</v>
      </c>
      <c r="U243">
        <f>IF(OR($N243&lt;Keys!$C$51,$N243&gt;Keys!$C$52),1,0)</f>
        <v>0</v>
      </c>
      <c r="V243">
        <f>IF(AND($E243=Keys!$C$60,$N243&lt;&gt;Keys!$C$51),1,0)</f>
        <v>0</v>
      </c>
      <c r="W243">
        <f>IF($L243&gt;Keys!$C$51,IF($K243/$L243&gt;Keys!$C$52,1,0),0)</f>
        <v>0</v>
      </c>
      <c r="X243" s="11">
        <f t="shared" si="15"/>
        <v>0.1609001961653857</v>
      </c>
    </row>
    <row r="244" spans="1:24" x14ac:dyDescent="0.25">
      <c r="A244" t="s">
        <v>93</v>
      </c>
      <c r="B244" t="s">
        <v>88</v>
      </c>
      <c r="C244" t="str">
        <f>VLOOKUP($B244,Keys!$F$2:$I$22,2,FALSE)</f>
        <v>petroleum diesel</v>
      </c>
      <c r="D244">
        <f>VLOOKUP($B244,Keys!$F$2:$I$22,3,FALSE)</f>
        <v>0.26691051799999999</v>
      </c>
      <c r="E244" t="str">
        <f>VLOOKUP($B244,Keys!$F$2:$I$22,4,FALSE)</f>
        <v>rule</v>
      </c>
      <c r="F244" t="str">
        <f>$A244&amp;Keys!$C$54&amp;$B244</f>
        <v>IL|petroleum diesel</v>
      </c>
      <c r="G244" s="10">
        <f>IF($E244=Keys!$C$60,Keys!$C$51,INDEX(Balanced_2025!$D$9:$D$3032,MATCH($A244&amp;Keys!$C$54&amp;Keys!$C$55&amp;Keys!$C$54&amp;$C244,Balanced_2025!$E$9:$E$3032,0)))</f>
        <v>602782000000000</v>
      </c>
      <c r="H244" s="10">
        <f>IF($E244=Keys!$C$60,Keys!$C$51,INDEX(Balanced_2025!$D$9:$D$3032,MATCH($A244&amp;Keys!$C$54&amp;Keys!$C$56&amp;Keys!$C$54&amp;$C244,Balanced_2025!$E$9:$E$3032,0)))</f>
        <v>1499870000000</v>
      </c>
      <c r="I244" s="10">
        <f>IF($E244=Keys!$C$60,Keys!$C$51,INDEX(Balanced_2025!$D$9:$D$3032,MATCH($A244&amp;Keys!$C$54&amp;Keys!$C$57&amp;Keys!$C$54&amp;$C244,Balanced_2025!$E$9:$E$3032,0)))</f>
        <v>318202000000000</v>
      </c>
      <c r="J244" s="10">
        <f t="shared" si="12"/>
        <v>286079870000000</v>
      </c>
      <c r="K244" s="10">
        <f>MAX(Keys!$C$51,$I244-$H244)</f>
        <v>316702130000000</v>
      </c>
      <c r="L244" s="10">
        <f t="shared" si="13"/>
        <v>602782000000000</v>
      </c>
      <c r="M244" s="11">
        <f>IF($L244&gt;Keys!$C$51,MIN(Keys!$C$52,$K244/$L244),Keys!$C$51)</f>
        <v>0.52540077507291194</v>
      </c>
      <c r="N244" s="11">
        <f>IF($E244=Keys!$C$60,Keys!$C$51,IF($E244=Keys!$C$59,$D244,$M244))</f>
        <v>0.52540077507291194</v>
      </c>
      <c r="O244">
        <f t="shared" si="14"/>
        <v>1</v>
      </c>
      <c r="P244" s="10">
        <f>IF($E244=Keys!$C$60,Keys!$C$51,INDEX(Raw_BFPIaE!$G$9:$G$3032,MATCH($A244&amp;Keys!$C$54&amp;Keys!$C$55&amp;Keys!$C$54&amp;$B244,Raw_BFPIaE!$H$9:$H$3032,0)))</f>
        <v>597912000000000</v>
      </c>
      <c r="Q244" s="10">
        <f>IF($E244=Keys!$C$60,Keys!$C$51,INDEX(Raw_BFPIaE!$G$9:$G$3032,MATCH($A244&amp;Keys!$C$54&amp;Keys!$C$56&amp;Keys!$C$54&amp;$B244,Raw_BFPIaE!$H$9:$H$3032,0)))</f>
        <v>0</v>
      </c>
      <c r="R244" s="10">
        <f>IF($E244=Keys!$C$60,Keys!$C$51,INDEX(Raw_BFPIaE!$G$9:$G$3032,MATCH($A244&amp;Keys!$C$54&amp;Keys!$C$57&amp;Keys!$C$54&amp;$B244,Raw_BFPIaE!$H$9:$H$3032,0)))</f>
        <v>207724000000000</v>
      </c>
      <c r="S244" s="11">
        <f>IF(($P244+$Q244-$R244+MAX(Keys!$C$51,$R244-$Q244))&gt;Keys!$C$51,MIN(Keys!$C$52,MAX(Keys!$C$51,$R244-$Q244)/($P244+$Q244-$R244+MAX(Keys!$C$51,$R244-$Q244))),Keys!$C$51)</f>
        <v>0.3474156732094355</v>
      </c>
      <c r="T244">
        <f>IF(AND($I244&gt;$H244,ABS($L244-$G244)&gt;MAX(Keys!$C$62,ABS($G244)*Keys!$C$63)),1,0)</f>
        <v>0</v>
      </c>
      <c r="U244">
        <f>IF(OR($N244&lt;Keys!$C$51,$N244&gt;Keys!$C$52),1,0)</f>
        <v>0</v>
      </c>
      <c r="V244">
        <f>IF(AND($E244=Keys!$C$60,$N244&lt;&gt;Keys!$C$51),1,0)</f>
        <v>0</v>
      </c>
      <c r="W244">
        <f>IF($L244&gt;Keys!$C$51,IF($K244/$L244&gt;Keys!$C$52,1,0),0)</f>
        <v>0</v>
      </c>
      <c r="X244" s="11">
        <f t="shared" si="15"/>
        <v>0.17798510186347644</v>
      </c>
    </row>
    <row r="245" spans="1:24" x14ac:dyDescent="0.25">
      <c r="A245" t="s">
        <v>93</v>
      </c>
      <c r="B245" t="s">
        <v>91</v>
      </c>
      <c r="C245" t="str">
        <f>VLOOKUP($B245,Keys!$F$2:$I$22,2,FALSE)</f>
        <v>biofuel gasoline</v>
      </c>
      <c r="D245">
        <f>VLOOKUP($B245,Keys!$F$2:$I$22,3,FALSE)</f>
        <v>8.7213884000000005E-2</v>
      </c>
      <c r="E245" t="str">
        <f>VLOOKUP($B245,Keys!$F$2:$I$22,4,FALSE)</f>
        <v>rule</v>
      </c>
      <c r="F245" t="str">
        <f>$A245&amp;Keys!$C$54&amp;$B245</f>
        <v>IL|biofuel gasoline</v>
      </c>
      <c r="G245" s="10">
        <f>IF($E245=Keys!$C$60,Keys!$C$51,INDEX(Balanced_2025!$D$9:$D$3032,MATCH($A245&amp;Keys!$C$54&amp;Keys!$C$55&amp;Keys!$C$54&amp;$C245,Balanced_2025!$E$9:$E$3032,0)))</f>
        <v>136200000000000</v>
      </c>
      <c r="H245" s="10">
        <f>IF($E245=Keys!$C$60,Keys!$C$51,INDEX(Balanced_2025!$D$9:$D$3032,MATCH($A245&amp;Keys!$C$54&amp;Keys!$C$56&amp;Keys!$C$54&amp;$C245,Balanced_2025!$E$9:$E$3032,0)))</f>
        <v>1834580000000</v>
      </c>
      <c r="I245" s="10">
        <f>IF($E245=Keys!$C$60,Keys!$C$51,INDEX(Balanced_2025!$D$9:$D$3032,MATCH($A245&amp;Keys!$C$54&amp;Keys!$C$57&amp;Keys!$C$54&amp;$C245,Balanced_2025!$E$9:$E$3032,0)))</f>
        <v>106311000000000</v>
      </c>
      <c r="J245" s="10">
        <f t="shared" si="12"/>
        <v>31723580000000</v>
      </c>
      <c r="K245" s="10">
        <f>MAX(Keys!$C$51,$I245-$H245)</f>
        <v>104476420000000</v>
      </c>
      <c r="L245" s="10">
        <f t="shared" si="13"/>
        <v>136200000000000</v>
      </c>
      <c r="M245" s="11">
        <f>IF($L245&gt;Keys!$C$51,MIN(Keys!$C$52,$K245/$L245),Keys!$C$51)</f>
        <v>0.76708091042584436</v>
      </c>
      <c r="N245" s="11">
        <f>IF($E245=Keys!$C$60,Keys!$C$51,IF($E245=Keys!$C$59,$D245,$M245))</f>
        <v>0.76708091042584436</v>
      </c>
      <c r="O245">
        <f t="shared" si="14"/>
        <v>1</v>
      </c>
      <c r="P245" s="10">
        <f>IF($E245=Keys!$C$60,Keys!$C$51,INDEX(Raw_BFPIaE!$G$9:$G$3032,MATCH($A245&amp;Keys!$C$54&amp;Keys!$C$55&amp;Keys!$C$54&amp;$B245,Raw_BFPIaE!$H$9:$H$3032,0)))</f>
        <v>136328000000000</v>
      </c>
      <c r="Q245" s="10">
        <f>IF($E245=Keys!$C$60,Keys!$C$51,INDEX(Raw_BFPIaE!$G$9:$G$3032,MATCH($A245&amp;Keys!$C$54&amp;Keys!$C$56&amp;Keys!$C$54&amp;$B245,Raw_BFPIaE!$H$9:$H$3032,0)))</f>
        <v>0</v>
      </c>
      <c r="R245" s="10">
        <f>IF($E245=Keys!$C$60,Keys!$C$51,INDEX(Raw_BFPIaE!$G$9:$G$3032,MATCH($A245&amp;Keys!$C$54&amp;Keys!$C$57&amp;Keys!$C$54&amp;$B245,Raw_BFPIaE!$H$9:$H$3032,0)))</f>
        <v>71121000000000</v>
      </c>
      <c r="S245" s="11">
        <f>IF(($P245+$Q245-$R245+MAX(Keys!$C$51,$R245-$Q245))&gt;Keys!$C$51,MIN(Keys!$C$52,MAX(Keys!$C$51,$R245-$Q245)/($P245+$Q245-$R245+MAX(Keys!$C$51,$R245-$Q245))),Keys!$C$51)</f>
        <v>0.52169033507423268</v>
      </c>
      <c r="T245">
        <f>IF(AND($I245&gt;$H245,ABS($L245-$G245)&gt;MAX(Keys!$C$62,ABS($G245)*Keys!$C$63)),1,0)</f>
        <v>0</v>
      </c>
      <c r="U245">
        <f>IF(OR($N245&lt;Keys!$C$51,$N245&gt;Keys!$C$52),1,0)</f>
        <v>0</v>
      </c>
      <c r="V245">
        <f>IF(AND($E245=Keys!$C$60,$N245&lt;&gt;Keys!$C$51),1,0)</f>
        <v>0</v>
      </c>
      <c r="W245">
        <f>IF($L245&gt;Keys!$C$51,IF($K245/$L245&gt;Keys!$C$52,1,0),0)</f>
        <v>0</v>
      </c>
      <c r="X245" s="11">
        <f t="shared" si="15"/>
        <v>0.24539057535161168</v>
      </c>
    </row>
    <row r="246" spans="1:24" x14ac:dyDescent="0.25">
      <c r="A246" t="s">
        <v>93</v>
      </c>
      <c r="B246" t="s">
        <v>94</v>
      </c>
      <c r="C246" t="str">
        <f>VLOOKUP($B246,Keys!$F$2:$I$22,2,FALSE)</f>
        <v>biofuel diesel</v>
      </c>
      <c r="D246">
        <f>VLOOKUP($B246,Keys!$F$2:$I$22,3,FALSE)</f>
        <v>5.8642381E-2</v>
      </c>
      <c r="E246" t="str">
        <f>VLOOKUP($B246,Keys!$F$2:$I$22,4,FALSE)</f>
        <v>rule</v>
      </c>
      <c r="F246" t="str">
        <f>$A246&amp;Keys!$C$54&amp;$B246</f>
        <v>IL|biofuel diesel</v>
      </c>
      <c r="G246" s="10">
        <f>IF($E246=Keys!$C$60,Keys!$C$51,INDEX(Balanced_2025!$D$9:$D$3032,MATCH($A246&amp;Keys!$C$54&amp;Keys!$C$55&amp;Keys!$C$54&amp;$C246,Balanced_2025!$E$9:$E$3032,0)))</f>
        <v>62174600000000</v>
      </c>
      <c r="H246" s="10">
        <f>IF($E246=Keys!$C$60,Keys!$C$51,INDEX(Balanced_2025!$D$9:$D$3032,MATCH($A246&amp;Keys!$C$54&amp;Keys!$C$56&amp;Keys!$C$54&amp;$C246,Balanced_2025!$E$9:$E$3032,0)))</f>
        <v>428140000000</v>
      </c>
      <c r="I246" s="10">
        <f>IF($E246=Keys!$C$60,Keys!$C$51,INDEX(Balanced_2025!$D$9:$D$3032,MATCH($A246&amp;Keys!$C$54&amp;Keys!$C$57&amp;Keys!$C$54&amp;$C246,Balanced_2025!$E$9:$E$3032,0)))</f>
        <v>48046700000000</v>
      </c>
      <c r="J246" s="10">
        <f t="shared" si="12"/>
        <v>14556040000000</v>
      </c>
      <c r="K246" s="10">
        <f>MAX(Keys!$C$51,$I246-$H246)</f>
        <v>47618560000000</v>
      </c>
      <c r="L246" s="10">
        <f t="shared" si="13"/>
        <v>62174600000000</v>
      </c>
      <c r="M246" s="11">
        <f>IF($L246&gt;Keys!$C$51,MIN(Keys!$C$52,$K246/$L246),Keys!$C$51)</f>
        <v>0.7658844608570059</v>
      </c>
      <c r="N246" s="11">
        <f>IF($E246=Keys!$C$60,Keys!$C$51,IF($E246=Keys!$C$59,$D246,$M246))</f>
        <v>0.7658844608570059</v>
      </c>
      <c r="O246">
        <f t="shared" si="14"/>
        <v>1</v>
      </c>
      <c r="P246" s="10">
        <f>IF($E246=Keys!$C$60,Keys!$C$51,INDEX(Raw_BFPIaE!$G$9:$G$3032,MATCH($A246&amp;Keys!$C$54&amp;Keys!$C$55&amp;Keys!$C$54&amp;$B246,Raw_BFPIaE!$H$9:$H$3032,0)))</f>
        <v>66068033333333.336</v>
      </c>
      <c r="Q246" s="10">
        <f>IF($E246=Keys!$C$60,Keys!$C$51,INDEX(Raw_BFPIaE!$G$9:$G$3032,MATCH($A246&amp;Keys!$C$54&amp;Keys!$C$56&amp;Keys!$C$54&amp;$B246,Raw_BFPIaE!$H$9:$H$3032,0)))</f>
        <v>0</v>
      </c>
      <c r="R246" s="10">
        <f>IF($E246=Keys!$C$60,Keys!$C$51,INDEX(Raw_BFPIaE!$G$9:$G$3032,MATCH($A246&amp;Keys!$C$54&amp;Keys!$C$57&amp;Keys!$C$54&amp;$B246,Raw_BFPIaE!$H$9:$H$3032,0)))</f>
        <v>35893266666666.664</v>
      </c>
      <c r="S246" s="11">
        <f>IF(($P246+$Q246-$R246+MAX(Keys!$C$51,$R246-$Q246))&gt;Keys!$C$51,MIN(Keys!$C$52,MAX(Keys!$C$51,$R246-$Q246)/($P246+$Q246-$R246+MAX(Keys!$C$51,$R246-$Q246))),Keys!$C$51)</f>
        <v>0.54327735904554941</v>
      </c>
      <c r="T246">
        <f>IF(AND($I246&gt;$H246,ABS($L246-$G246)&gt;MAX(Keys!$C$62,ABS($G246)*Keys!$C$63)),1,0)</f>
        <v>0</v>
      </c>
      <c r="U246">
        <f>IF(OR($N246&lt;Keys!$C$51,$N246&gt;Keys!$C$52),1,0)</f>
        <v>0</v>
      </c>
      <c r="V246">
        <f>IF(AND($E246=Keys!$C$60,$N246&lt;&gt;Keys!$C$51),1,0)</f>
        <v>0</v>
      </c>
      <c r="W246">
        <f>IF($L246&gt;Keys!$C$51,IF($K246/$L246&gt;Keys!$C$52,1,0),0)</f>
        <v>0</v>
      </c>
      <c r="X246" s="11">
        <f t="shared" si="15"/>
        <v>0.22260710181145649</v>
      </c>
    </row>
    <row r="247" spans="1:24" x14ac:dyDescent="0.25">
      <c r="A247" t="s">
        <v>93</v>
      </c>
      <c r="B247" t="s">
        <v>97</v>
      </c>
      <c r="C247" t="str">
        <f>VLOOKUP($B247,Keys!$F$2:$I$22,2,FALSE)</f>
        <v>jet fuel or kerosene</v>
      </c>
      <c r="D247">
        <f>VLOOKUP($B247,Keys!$F$2:$I$22,3,FALSE)</f>
        <v>0.10155994</v>
      </c>
      <c r="E247" t="str">
        <f>VLOOKUP($B247,Keys!$F$2:$I$22,4,FALSE)</f>
        <v>rule</v>
      </c>
      <c r="F247" t="str">
        <f>$A247&amp;Keys!$C$54&amp;$B247</f>
        <v>IL|jet fuel or kerosene</v>
      </c>
      <c r="G247" s="10">
        <f>IF($E247=Keys!$C$60,Keys!$C$51,INDEX(Balanced_2025!$D$9:$D$3032,MATCH($A247&amp;Keys!$C$54&amp;Keys!$C$55&amp;Keys!$C$54&amp;$C247,Balanced_2025!$E$9:$E$3032,0)))</f>
        <v>214578000000000</v>
      </c>
      <c r="H247" s="10">
        <f>IF($E247=Keys!$C$60,Keys!$C$51,INDEX(Balanced_2025!$D$9:$D$3032,MATCH($A247&amp;Keys!$C$54&amp;Keys!$C$56&amp;Keys!$C$54&amp;$C247,Balanced_2025!$E$9:$E$3032,0)))</f>
        <v>0</v>
      </c>
      <c r="I247" s="10">
        <f>IF($E247=Keys!$C$60,Keys!$C$51,INDEX(Balanced_2025!$D$9:$D$3032,MATCH($A247&amp;Keys!$C$54&amp;Keys!$C$57&amp;Keys!$C$54&amp;$C247,Balanced_2025!$E$9:$E$3032,0)))</f>
        <v>60302800000000</v>
      </c>
      <c r="J247" s="10">
        <f t="shared" si="12"/>
        <v>154275200000000</v>
      </c>
      <c r="K247" s="10">
        <f>MAX(Keys!$C$51,$I247-$H247)</f>
        <v>60302800000000</v>
      </c>
      <c r="L247" s="10">
        <f t="shared" si="13"/>
        <v>214578000000000</v>
      </c>
      <c r="M247" s="11">
        <f>IF($L247&gt;Keys!$C$51,MIN(Keys!$C$52,$K247/$L247),Keys!$C$51)</f>
        <v>0.28102974209844439</v>
      </c>
      <c r="N247" s="11">
        <f>IF($E247=Keys!$C$60,Keys!$C$51,IF($E247=Keys!$C$59,$D247,$M247))</f>
        <v>0.28102974209844439</v>
      </c>
      <c r="O247">
        <f t="shared" si="14"/>
        <v>1</v>
      </c>
      <c r="P247" s="10">
        <f>IF($E247=Keys!$C$60,Keys!$C$51,INDEX(Raw_BFPIaE!$G$9:$G$3032,MATCH($A247&amp;Keys!$C$54&amp;Keys!$C$55&amp;Keys!$C$54&amp;$B247,Raw_BFPIaE!$H$9:$H$3032,0)))</f>
        <v>212844333333333.34</v>
      </c>
      <c r="Q247" s="10">
        <f>IF($E247=Keys!$C$60,Keys!$C$51,INDEX(Raw_BFPIaE!$G$9:$G$3032,MATCH($A247&amp;Keys!$C$54&amp;Keys!$C$56&amp;Keys!$C$54&amp;$B247,Raw_BFPIaE!$H$9:$H$3032,0)))</f>
        <v>0</v>
      </c>
      <c r="R247" s="10">
        <f>IF($E247=Keys!$C$60,Keys!$C$51,INDEX(Raw_BFPIaE!$G$9:$G$3032,MATCH($A247&amp;Keys!$C$54&amp;Keys!$C$57&amp;Keys!$C$54&amp;$B247,Raw_BFPIaE!$H$9:$H$3032,0)))</f>
        <v>37111800000000</v>
      </c>
      <c r="S247" s="11">
        <f>IF(($P247+$Q247-$R247+MAX(Keys!$C$51,$R247-$Q247))&gt;Keys!$C$51,MIN(Keys!$C$52,MAX(Keys!$C$51,$R247-$Q247)/($P247+$Q247-$R247+MAX(Keys!$C$51,$R247-$Q247))),Keys!$C$51)</f>
        <v>0.17436123113449109</v>
      </c>
      <c r="T247">
        <f>IF(AND($I247&gt;$H247,ABS($L247-$G247)&gt;MAX(Keys!$C$62,ABS($G247)*Keys!$C$63)),1,0)</f>
        <v>0</v>
      </c>
      <c r="U247">
        <f>IF(OR($N247&lt;Keys!$C$51,$N247&gt;Keys!$C$52),1,0)</f>
        <v>0</v>
      </c>
      <c r="V247">
        <f>IF(AND($E247=Keys!$C$60,$N247&lt;&gt;Keys!$C$51),1,0)</f>
        <v>0</v>
      </c>
      <c r="W247">
        <f>IF($L247&gt;Keys!$C$51,IF($K247/$L247&gt;Keys!$C$52,1,0),0)</f>
        <v>0</v>
      </c>
      <c r="X247" s="11">
        <f t="shared" si="15"/>
        <v>0.1066685109639533</v>
      </c>
    </row>
    <row r="248" spans="1:24" x14ac:dyDescent="0.25">
      <c r="A248" t="s">
        <v>93</v>
      </c>
      <c r="B248" t="s">
        <v>100</v>
      </c>
      <c r="C248">
        <f>VLOOKUP($B248,Keys!$F$2:$I$22,2,FALSE)</f>
        <v>0</v>
      </c>
      <c r="D248">
        <f>VLOOKUP($B248,Keys!$F$2:$I$22,3,FALSE)</f>
        <v>0</v>
      </c>
      <c r="E248" t="str">
        <f>VLOOKUP($B248,Keys!$F$2:$I$22,4,FALSE)</f>
        <v>zero</v>
      </c>
      <c r="F248" t="str">
        <f>$A248&amp;Keys!$C$54&amp;$B248</f>
        <v>IL|heat (not used in this variable)</v>
      </c>
      <c r="G248" s="10">
        <f>IF($E248=Keys!$C$60,Keys!$C$51,INDEX(Balanced_2025!$D$9:$D$3032,MATCH($A248&amp;Keys!$C$54&amp;Keys!$C$55&amp;Keys!$C$54&amp;$C248,Balanced_2025!$E$9:$E$3032,0)))</f>
        <v>0</v>
      </c>
      <c r="H248" s="10">
        <f>IF($E248=Keys!$C$60,Keys!$C$51,INDEX(Balanced_2025!$D$9:$D$3032,MATCH($A248&amp;Keys!$C$54&amp;Keys!$C$56&amp;Keys!$C$54&amp;$C248,Balanced_2025!$E$9:$E$3032,0)))</f>
        <v>0</v>
      </c>
      <c r="I248" s="10">
        <f>IF($E248=Keys!$C$60,Keys!$C$51,INDEX(Balanced_2025!$D$9:$D$3032,MATCH($A248&amp;Keys!$C$54&amp;Keys!$C$57&amp;Keys!$C$54&amp;$C248,Balanced_2025!$E$9:$E$3032,0)))</f>
        <v>0</v>
      </c>
      <c r="J248" s="10">
        <f t="shared" si="12"/>
        <v>0</v>
      </c>
      <c r="K248" s="10">
        <f>MAX(Keys!$C$51,$I248-$H248)</f>
        <v>0</v>
      </c>
      <c r="L248" s="10">
        <f t="shared" si="13"/>
        <v>0</v>
      </c>
      <c r="M248" s="11">
        <f>IF($L248&gt;Keys!$C$51,MIN(Keys!$C$52,$K248/$L248),Keys!$C$51)</f>
        <v>0</v>
      </c>
      <c r="N248" s="11">
        <f>IF($E248=Keys!$C$60,Keys!$C$51,IF($E248=Keys!$C$59,$D248,$M248))</f>
        <v>0</v>
      </c>
      <c r="O248">
        <f t="shared" si="14"/>
        <v>0</v>
      </c>
      <c r="P248" s="10">
        <f>IF($E248=Keys!$C$60,Keys!$C$51,INDEX(Raw_BFPIaE!$G$9:$G$3032,MATCH($A248&amp;Keys!$C$54&amp;Keys!$C$55&amp;Keys!$C$54&amp;$B248,Raw_BFPIaE!$H$9:$H$3032,0)))</f>
        <v>0</v>
      </c>
      <c r="Q248" s="10">
        <f>IF($E248=Keys!$C$60,Keys!$C$51,INDEX(Raw_BFPIaE!$G$9:$G$3032,MATCH($A248&amp;Keys!$C$54&amp;Keys!$C$56&amp;Keys!$C$54&amp;$B248,Raw_BFPIaE!$H$9:$H$3032,0)))</f>
        <v>0</v>
      </c>
      <c r="R248" s="10">
        <f>IF($E248=Keys!$C$60,Keys!$C$51,INDEX(Raw_BFPIaE!$G$9:$G$3032,MATCH($A248&amp;Keys!$C$54&amp;Keys!$C$57&amp;Keys!$C$54&amp;$B248,Raw_BFPIaE!$H$9:$H$3032,0)))</f>
        <v>0</v>
      </c>
      <c r="S248" s="11">
        <f>IF(($P248+$Q248-$R248+MAX(Keys!$C$51,$R248-$Q248))&gt;Keys!$C$51,MIN(Keys!$C$52,MAX(Keys!$C$51,$R248-$Q248)/($P248+$Q248-$R248+MAX(Keys!$C$51,$R248-$Q248))),Keys!$C$51)</f>
        <v>0</v>
      </c>
      <c r="T248">
        <f>IF(AND($I248&gt;$H248,ABS($L248-$G248)&gt;MAX(Keys!$C$62,ABS($G248)*Keys!$C$63)),1,0)</f>
        <v>0</v>
      </c>
      <c r="U248">
        <f>IF(OR($N248&lt;Keys!$C$51,$N248&gt;Keys!$C$52),1,0)</f>
        <v>0</v>
      </c>
      <c r="V248">
        <f>IF(AND($E248=Keys!$C$60,$N248&lt;&gt;Keys!$C$51),1,0)</f>
        <v>0</v>
      </c>
      <c r="W248">
        <f>IF($L248&gt;Keys!$C$51,IF($K248/$L248&gt;Keys!$C$52,1,0),0)</f>
        <v>0</v>
      </c>
      <c r="X248" s="11">
        <f t="shared" si="15"/>
        <v>0</v>
      </c>
    </row>
    <row r="249" spans="1:24" x14ac:dyDescent="0.25">
      <c r="A249" t="s">
        <v>93</v>
      </c>
      <c r="B249" t="s">
        <v>103</v>
      </c>
      <c r="C249">
        <f>VLOOKUP($B249,Keys!$F$2:$I$22,2,FALSE)</f>
        <v>0</v>
      </c>
      <c r="D249">
        <f>VLOOKUP($B249,Keys!$F$2:$I$22,3,FALSE)</f>
        <v>0</v>
      </c>
      <c r="E249" t="str">
        <f>VLOOKUP($B249,Keys!$F$2:$I$22,4,FALSE)</f>
        <v>zero</v>
      </c>
      <c r="F249" t="str">
        <f>$A249&amp;Keys!$C$54&amp;$B249</f>
        <v>IL|geothermal (is not a fuel)</v>
      </c>
      <c r="G249" s="10">
        <f>IF($E249=Keys!$C$60,Keys!$C$51,INDEX(Balanced_2025!$D$9:$D$3032,MATCH($A249&amp;Keys!$C$54&amp;Keys!$C$55&amp;Keys!$C$54&amp;$C249,Balanced_2025!$E$9:$E$3032,0)))</f>
        <v>0</v>
      </c>
      <c r="H249" s="10">
        <f>IF($E249=Keys!$C$60,Keys!$C$51,INDEX(Balanced_2025!$D$9:$D$3032,MATCH($A249&amp;Keys!$C$54&amp;Keys!$C$56&amp;Keys!$C$54&amp;$C249,Balanced_2025!$E$9:$E$3032,0)))</f>
        <v>0</v>
      </c>
      <c r="I249" s="10">
        <f>IF($E249=Keys!$C$60,Keys!$C$51,INDEX(Balanced_2025!$D$9:$D$3032,MATCH($A249&amp;Keys!$C$54&amp;Keys!$C$57&amp;Keys!$C$54&amp;$C249,Balanced_2025!$E$9:$E$3032,0)))</f>
        <v>0</v>
      </c>
      <c r="J249" s="10">
        <f t="shared" si="12"/>
        <v>0</v>
      </c>
      <c r="K249" s="10">
        <f>MAX(Keys!$C$51,$I249-$H249)</f>
        <v>0</v>
      </c>
      <c r="L249" s="10">
        <f t="shared" si="13"/>
        <v>0</v>
      </c>
      <c r="M249" s="11">
        <f>IF($L249&gt;Keys!$C$51,MIN(Keys!$C$52,$K249/$L249),Keys!$C$51)</f>
        <v>0</v>
      </c>
      <c r="N249" s="11">
        <f>IF($E249=Keys!$C$60,Keys!$C$51,IF($E249=Keys!$C$59,$D249,$M249))</f>
        <v>0</v>
      </c>
      <c r="O249">
        <f t="shared" si="14"/>
        <v>0</v>
      </c>
      <c r="P249" s="10">
        <f>IF($E249=Keys!$C$60,Keys!$C$51,INDEX(Raw_BFPIaE!$G$9:$G$3032,MATCH($A249&amp;Keys!$C$54&amp;Keys!$C$55&amp;Keys!$C$54&amp;$B249,Raw_BFPIaE!$H$9:$H$3032,0)))</f>
        <v>0</v>
      </c>
      <c r="Q249" s="10">
        <f>IF($E249=Keys!$C$60,Keys!$C$51,INDEX(Raw_BFPIaE!$G$9:$G$3032,MATCH($A249&amp;Keys!$C$54&amp;Keys!$C$56&amp;Keys!$C$54&amp;$B249,Raw_BFPIaE!$H$9:$H$3032,0)))</f>
        <v>0</v>
      </c>
      <c r="R249" s="10">
        <f>IF($E249=Keys!$C$60,Keys!$C$51,INDEX(Raw_BFPIaE!$G$9:$G$3032,MATCH($A249&amp;Keys!$C$54&amp;Keys!$C$57&amp;Keys!$C$54&amp;$B249,Raw_BFPIaE!$H$9:$H$3032,0)))</f>
        <v>0</v>
      </c>
      <c r="S249" s="11">
        <f>IF(($P249+$Q249-$R249+MAX(Keys!$C$51,$R249-$Q249))&gt;Keys!$C$51,MIN(Keys!$C$52,MAX(Keys!$C$51,$R249-$Q249)/($P249+$Q249-$R249+MAX(Keys!$C$51,$R249-$Q249))),Keys!$C$51)</f>
        <v>0</v>
      </c>
      <c r="T249">
        <f>IF(AND($I249&gt;$H249,ABS($L249-$G249)&gt;MAX(Keys!$C$62,ABS($G249)*Keys!$C$63)),1,0)</f>
        <v>0</v>
      </c>
      <c r="U249">
        <f>IF(OR($N249&lt;Keys!$C$51,$N249&gt;Keys!$C$52),1,0)</f>
        <v>0</v>
      </c>
      <c r="V249">
        <f>IF(AND($E249=Keys!$C$60,$N249&lt;&gt;Keys!$C$51),1,0)</f>
        <v>0</v>
      </c>
      <c r="W249">
        <f>IF($L249&gt;Keys!$C$51,IF($K249/$L249&gt;Keys!$C$52,1,0),0)</f>
        <v>0</v>
      </c>
      <c r="X249" s="11">
        <f t="shared" si="15"/>
        <v>0</v>
      </c>
    </row>
    <row r="250" spans="1:24" x14ac:dyDescent="0.25">
      <c r="A250" t="s">
        <v>93</v>
      </c>
      <c r="B250" t="s">
        <v>106</v>
      </c>
      <c r="C250" t="str">
        <f>VLOOKUP($B250,Keys!$F$2:$I$22,2,FALSE)</f>
        <v>lignite</v>
      </c>
      <c r="D250">
        <f>VLOOKUP($B250,Keys!$F$2:$I$22,3,FALSE)</f>
        <v>0</v>
      </c>
      <c r="E250" t="str">
        <f>VLOOKUP($B250,Keys!$F$2:$I$22,4,FALSE)</f>
        <v>rule</v>
      </c>
      <c r="F250" t="str">
        <f>$A250&amp;Keys!$C$54&amp;$B250</f>
        <v>IL|lignite</v>
      </c>
      <c r="G250" s="10">
        <f>IF($E250=Keys!$C$60,Keys!$C$51,INDEX(Balanced_2025!$D$9:$D$3032,MATCH($A250&amp;Keys!$C$54&amp;Keys!$C$55&amp;Keys!$C$54&amp;$C250,Balanced_2025!$E$9:$E$3032,0)))</f>
        <v>0</v>
      </c>
      <c r="H250" s="10">
        <f>IF($E250=Keys!$C$60,Keys!$C$51,INDEX(Balanced_2025!$D$9:$D$3032,MATCH($A250&amp;Keys!$C$54&amp;Keys!$C$56&amp;Keys!$C$54&amp;$C250,Balanced_2025!$E$9:$E$3032,0)))</f>
        <v>0</v>
      </c>
      <c r="I250" s="10">
        <f>IF($E250=Keys!$C$60,Keys!$C$51,INDEX(Balanced_2025!$D$9:$D$3032,MATCH($A250&amp;Keys!$C$54&amp;Keys!$C$57&amp;Keys!$C$54&amp;$C250,Balanced_2025!$E$9:$E$3032,0)))</f>
        <v>0</v>
      </c>
      <c r="J250" s="10">
        <f t="shared" si="12"/>
        <v>0</v>
      </c>
      <c r="K250" s="10">
        <f>MAX(Keys!$C$51,$I250-$H250)</f>
        <v>0</v>
      </c>
      <c r="L250" s="10">
        <f t="shared" si="13"/>
        <v>0</v>
      </c>
      <c r="M250" s="11">
        <f>IF($L250&gt;Keys!$C$51,MIN(Keys!$C$52,$K250/$L250),Keys!$C$51)</f>
        <v>0</v>
      </c>
      <c r="N250" s="11">
        <f>IF($E250=Keys!$C$60,Keys!$C$51,IF($E250=Keys!$C$59,$D250,$M250))</f>
        <v>0</v>
      </c>
      <c r="O250">
        <f t="shared" si="14"/>
        <v>0</v>
      </c>
      <c r="P250" s="10">
        <f>IF($E250=Keys!$C$60,Keys!$C$51,INDEX(Raw_BFPIaE!$G$9:$G$3032,MATCH($A250&amp;Keys!$C$54&amp;Keys!$C$55&amp;Keys!$C$54&amp;$B250,Raw_BFPIaE!$H$9:$H$3032,0)))</f>
        <v>0</v>
      </c>
      <c r="Q250" s="10">
        <f>IF($E250=Keys!$C$60,Keys!$C$51,INDEX(Raw_BFPIaE!$G$9:$G$3032,MATCH($A250&amp;Keys!$C$54&amp;Keys!$C$56&amp;Keys!$C$54&amp;$B250,Raw_BFPIaE!$H$9:$H$3032,0)))</f>
        <v>0</v>
      </c>
      <c r="R250" s="10">
        <f>IF($E250=Keys!$C$60,Keys!$C$51,INDEX(Raw_BFPIaE!$G$9:$G$3032,MATCH($A250&amp;Keys!$C$54&amp;Keys!$C$57&amp;Keys!$C$54&amp;$B250,Raw_BFPIaE!$H$9:$H$3032,0)))</f>
        <v>0</v>
      </c>
      <c r="S250" s="11">
        <f>IF(($P250+$Q250-$R250+MAX(Keys!$C$51,$R250-$Q250))&gt;Keys!$C$51,MIN(Keys!$C$52,MAX(Keys!$C$51,$R250-$Q250)/($P250+$Q250-$R250+MAX(Keys!$C$51,$R250-$Q250))),Keys!$C$51)</f>
        <v>0</v>
      </c>
      <c r="T250">
        <f>IF(AND($I250&gt;$H250,ABS($L250-$G250)&gt;MAX(Keys!$C$62,ABS($G250)*Keys!$C$63)),1,0)</f>
        <v>0</v>
      </c>
      <c r="U250">
        <f>IF(OR($N250&lt;Keys!$C$51,$N250&gt;Keys!$C$52),1,0)</f>
        <v>0</v>
      </c>
      <c r="V250">
        <f>IF(AND($E250=Keys!$C$60,$N250&lt;&gt;Keys!$C$51),1,0)</f>
        <v>0</v>
      </c>
      <c r="W250">
        <f>IF($L250&gt;Keys!$C$51,IF($K250/$L250&gt;Keys!$C$52,1,0),0)</f>
        <v>0</v>
      </c>
      <c r="X250" s="11">
        <f t="shared" si="15"/>
        <v>0</v>
      </c>
    </row>
    <row r="251" spans="1:24" x14ac:dyDescent="0.25">
      <c r="A251" t="s">
        <v>93</v>
      </c>
      <c r="B251" t="s">
        <v>109</v>
      </c>
      <c r="C251" t="str">
        <f>VLOOKUP($B251,Keys!$F$2:$I$22,2,FALSE)</f>
        <v>crude oil</v>
      </c>
      <c r="D251">
        <f>VLOOKUP($B251,Keys!$F$2:$I$22,3,FALSE)</f>
        <v>1</v>
      </c>
      <c r="E251" t="str">
        <f>VLOOKUP($B251,Keys!$F$2:$I$22,4,FALSE)</f>
        <v>hold</v>
      </c>
      <c r="F251" t="str">
        <f>$A251&amp;Keys!$C$54&amp;$B251</f>
        <v>IL|crude oil</v>
      </c>
      <c r="G251" s="10">
        <f>IF($E251=Keys!$C$60,Keys!$C$51,INDEX(Balanced_2025!$D$9:$D$3032,MATCH($A251&amp;Keys!$C$54&amp;Keys!$C$55&amp;Keys!$C$54&amp;$C251,Balanced_2025!$E$9:$E$3032,0)))</f>
        <v>40431800000000</v>
      </c>
      <c r="H251" s="10">
        <f>IF($E251=Keys!$C$60,Keys!$C$51,INDEX(Balanced_2025!$D$9:$D$3032,MATCH($A251&amp;Keys!$C$54&amp;Keys!$C$56&amp;Keys!$C$54&amp;$C251,Balanced_2025!$E$9:$E$3032,0)))</f>
        <v>2097140000000000</v>
      </c>
      <c r="I251" s="10">
        <f>IF($E251=Keys!$C$60,Keys!$C$51,INDEX(Balanced_2025!$D$9:$D$3032,MATCH($A251&amp;Keys!$C$54&amp;Keys!$C$57&amp;Keys!$C$54&amp;$C251,Balanced_2025!$E$9:$E$3032,0)))</f>
        <v>0</v>
      </c>
      <c r="J251" s="10">
        <f t="shared" si="12"/>
        <v>2137571800000000</v>
      </c>
      <c r="K251" s="10">
        <f>MAX(Keys!$C$51,$I251-$H251)</f>
        <v>0</v>
      </c>
      <c r="L251" s="10">
        <f t="shared" si="13"/>
        <v>2137571800000000</v>
      </c>
      <c r="M251" s="11">
        <f>IF($L251&gt;Keys!$C$51,MIN(Keys!$C$52,$K251/$L251),Keys!$C$51)</f>
        <v>0</v>
      </c>
      <c r="N251" s="11">
        <f>IF($E251=Keys!$C$60,Keys!$C$51,IF($E251=Keys!$C$59,$D251,$M251))</f>
        <v>1</v>
      </c>
      <c r="O251">
        <f t="shared" si="14"/>
        <v>0</v>
      </c>
      <c r="P251" s="10">
        <f>IF($E251=Keys!$C$60,Keys!$C$51,INDEX(Raw_BFPIaE!$G$9:$G$3032,MATCH($A251&amp;Keys!$C$54&amp;Keys!$C$55&amp;Keys!$C$54&amp;$B251,Raw_BFPIaE!$H$9:$H$3032,0)))</f>
        <v>39201433333333.336</v>
      </c>
      <c r="Q251" s="10">
        <f>IF($E251=Keys!$C$60,Keys!$C$51,INDEX(Raw_BFPIaE!$G$9:$G$3032,MATCH($A251&amp;Keys!$C$54&amp;Keys!$C$56&amp;Keys!$C$54&amp;$B251,Raw_BFPIaE!$H$9:$H$3032,0)))</f>
        <v>1399323333333333.3</v>
      </c>
      <c r="R251" s="10">
        <f>IF($E251=Keys!$C$60,Keys!$C$51,INDEX(Raw_BFPIaE!$G$9:$G$3032,MATCH($A251&amp;Keys!$C$54&amp;Keys!$C$57&amp;Keys!$C$54&amp;$B251,Raw_BFPIaE!$H$9:$H$3032,0)))</f>
        <v>0</v>
      </c>
      <c r="S251" s="11">
        <f>IF(($P251+$Q251-$R251+MAX(Keys!$C$51,$R251-$Q251))&gt;Keys!$C$51,MIN(Keys!$C$52,MAX(Keys!$C$51,$R251-$Q251)/($P251+$Q251-$R251+MAX(Keys!$C$51,$R251-$Q251))),Keys!$C$51)</f>
        <v>0</v>
      </c>
      <c r="T251">
        <f>IF(AND($I251&gt;$H251,ABS($L251-$G251)&gt;MAX(Keys!$C$62,ABS($G251)*Keys!$C$63)),1,0)</f>
        <v>0</v>
      </c>
      <c r="U251">
        <f>IF(OR($N251&lt;Keys!$C$51,$N251&gt;Keys!$C$52),1,0)</f>
        <v>0</v>
      </c>
      <c r="V251">
        <f>IF(AND($E251=Keys!$C$60,$N251&lt;&gt;Keys!$C$51),1,0)</f>
        <v>0</v>
      </c>
      <c r="W251">
        <f>IF($L251&gt;Keys!$C$51,IF($K251/$L251&gt;Keys!$C$52,1,0),0)</f>
        <v>0</v>
      </c>
      <c r="X251" s="11">
        <f t="shared" si="15"/>
        <v>0</v>
      </c>
    </row>
    <row r="252" spans="1:24" x14ac:dyDescent="0.25">
      <c r="A252" t="s">
        <v>93</v>
      </c>
      <c r="B252" t="s">
        <v>113</v>
      </c>
      <c r="C252" t="str">
        <f>VLOOKUP($B252,Keys!$F$2:$I$22,2,FALSE)</f>
        <v>heavy or residual fuel oil</v>
      </c>
      <c r="D252">
        <f>VLOOKUP($B252,Keys!$F$2:$I$22,3,FALSE)</f>
        <v>0.49914171099999999</v>
      </c>
      <c r="E252" t="str">
        <f>VLOOKUP($B252,Keys!$F$2:$I$22,4,FALSE)</f>
        <v>rule</v>
      </c>
      <c r="F252" t="str">
        <f>$A252&amp;Keys!$C$54&amp;$B252</f>
        <v>IL|heavy fuel oil</v>
      </c>
      <c r="G252" s="10">
        <f>IF($E252=Keys!$C$60,Keys!$C$51,INDEX(Balanced_2025!$D$9:$D$3032,MATCH($A252&amp;Keys!$C$54&amp;Keys!$C$55&amp;Keys!$C$54&amp;$C252,Balanced_2025!$E$9:$E$3032,0)))</f>
        <v>41682500000000</v>
      </c>
      <c r="H252" s="10">
        <f>IF($E252=Keys!$C$60,Keys!$C$51,INDEX(Balanced_2025!$D$9:$D$3032,MATCH($A252&amp;Keys!$C$54&amp;Keys!$C$56&amp;Keys!$C$54&amp;$C252,Balanced_2025!$E$9:$E$3032,0)))</f>
        <v>0</v>
      </c>
      <c r="I252" s="10">
        <f>IF($E252=Keys!$C$60,Keys!$C$51,INDEX(Balanced_2025!$D$9:$D$3032,MATCH($A252&amp;Keys!$C$54&amp;Keys!$C$57&amp;Keys!$C$54&amp;$C252,Balanced_2025!$E$9:$E$3032,0)))</f>
        <v>14579600000000</v>
      </c>
      <c r="J252" s="10">
        <f t="shared" si="12"/>
        <v>27102900000000</v>
      </c>
      <c r="K252" s="10">
        <f>MAX(Keys!$C$51,$I252-$H252)</f>
        <v>14579600000000</v>
      </c>
      <c r="L252" s="10">
        <f t="shared" si="13"/>
        <v>41682500000000</v>
      </c>
      <c r="M252" s="11">
        <f>IF($L252&gt;Keys!$C$51,MIN(Keys!$C$52,$K252/$L252),Keys!$C$51)</f>
        <v>0.34977748455586877</v>
      </c>
      <c r="N252" s="11">
        <f>IF($E252=Keys!$C$60,Keys!$C$51,IF($E252=Keys!$C$59,$D252,$M252))</f>
        <v>0.34977748455586877</v>
      </c>
      <c r="O252">
        <f t="shared" si="14"/>
        <v>1</v>
      </c>
      <c r="P252" s="10">
        <f>IF($E252=Keys!$C$60,Keys!$C$51,INDEX(Raw_BFPIaE!$G$9:$G$3032,MATCH($A252&amp;Keys!$C$54&amp;Keys!$C$55&amp;Keys!$C$54&amp;$B252,Raw_BFPIaE!$H$9:$H$3032,0)))</f>
        <v>41345733333333.336</v>
      </c>
      <c r="Q252" s="10">
        <f>IF($E252=Keys!$C$60,Keys!$C$51,INDEX(Raw_BFPIaE!$G$9:$G$3032,MATCH($A252&amp;Keys!$C$54&amp;Keys!$C$56&amp;Keys!$C$54&amp;$B252,Raw_BFPIaE!$H$9:$H$3032,0)))</f>
        <v>0</v>
      </c>
      <c r="R252" s="10">
        <f>IF($E252=Keys!$C$60,Keys!$C$51,INDEX(Raw_BFPIaE!$G$9:$G$3032,MATCH($A252&amp;Keys!$C$54&amp;Keys!$C$57&amp;Keys!$C$54&amp;$B252,Raw_BFPIaE!$H$9:$H$3032,0)))</f>
        <v>9196300000000</v>
      </c>
      <c r="S252" s="11">
        <f>IF(($P252+$Q252-$R252+MAX(Keys!$C$51,$R252-$Q252))&gt;Keys!$C$51,MIN(Keys!$C$52,MAX(Keys!$C$51,$R252-$Q252)/($P252+$Q252-$R252+MAX(Keys!$C$51,$R252-$Q252))),Keys!$C$51)</f>
        <v>0.22242440171174452</v>
      </c>
      <c r="T252">
        <f>IF(AND($I252&gt;$H252,ABS($L252-$G252)&gt;MAX(Keys!$C$62,ABS($G252)*Keys!$C$63)),1,0)</f>
        <v>0</v>
      </c>
      <c r="U252">
        <f>IF(OR($N252&lt;Keys!$C$51,$N252&gt;Keys!$C$52),1,0)</f>
        <v>0</v>
      </c>
      <c r="V252">
        <f>IF(AND($E252=Keys!$C$60,$N252&lt;&gt;Keys!$C$51),1,0)</f>
        <v>0</v>
      </c>
      <c r="W252">
        <f>IF($L252&gt;Keys!$C$51,IF($K252/$L252&gt;Keys!$C$52,1,0),0)</f>
        <v>0</v>
      </c>
      <c r="X252" s="11">
        <f t="shared" si="15"/>
        <v>0.12735308284412425</v>
      </c>
    </row>
    <row r="253" spans="1:24" x14ac:dyDescent="0.25">
      <c r="A253" t="s">
        <v>93</v>
      </c>
      <c r="B253" t="s">
        <v>117</v>
      </c>
      <c r="C253" t="str">
        <f>VLOOKUP($B253,Keys!$F$2:$I$22,2,FALSE)</f>
        <v>LPG propane or butane</v>
      </c>
      <c r="D253">
        <f>VLOOKUP($B253,Keys!$F$2:$I$22,3,FALSE)</f>
        <v>0.54955999499999997</v>
      </c>
      <c r="E253" t="str">
        <f>VLOOKUP($B253,Keys!$F$2:$I$22,4,FALSE)</f>
        <v>rule</v>
      </c>
      <c r="F253" t="str">
        <f>$A253&amp;Keys!$C$54&amp;$B253</f>
        <v>IL|LPG propane or butane</v>
      </c>
      <c r="G253" s="10">
        <f>IF($E253=Keys!$C$60,Keys!$C$51,INDEX(Balanced_2025!$D$9:$D$3032,MATCH($A253&amp;Keys!$C$54&amp;Keys!$C$55&amp;Keys!$C$54&amp;$C253,Balanced_2025!$E$9:$E$3032,0)))</f>
        <v>401109000000</v>
      </c>
      <c r="H253" s="10">
        <f>IF($E253=Keys!$C$60,Keys!$C$51,INDEX(Balanced_2025!$D$9:$D$3032,MATCH($A253&amp;Keys!$C$54&amp;Keys!$C$56&amp;Keys!$C$54&amp;$C253,Balanced_2025!$E$9:$E$3032,0)))</f>
        <v>86024100000000</v>
      </c>
      <c r="I253" s="10">
        <f>IF($E253=Keys!$C$60,Keys!$C$51,INDEX(Balanced_2025!$D$9:$D$3032,MATCH($A253&amp;Keys!$C$54&amp;Keys!$C$57&amp;Keys!$C$54&amp;$C253,Balanced_2025!$E$9:$E$3032,0)))</f>
        <v>0</v>
      </c>
      <c r="J253" s="10">
        <f t="shared" si="12"/>
        <v>86425209000000</v>
      </c>
      <c r="K253" s="10">
        <f>MAX(Keys!$C$51,$I253-$H253)</f>
        <v>0</v>
      </c>
      <c r="L253" s="10">
        <f t="shared" si="13"/>
        <v>86425209000000</v>
      </c>
      <c r="M253" s="11">
        <f>IF($L253&gt;Keys!$C$51,MIN(Keys!$C$52,$K253/$L253),Keys!$C$51)</f>
        <v>0</v>
      </c>
      <c r="N253" s="11">
        <f>IF($E253=Keys!$C$60,Keys!$C$51,IF($E253=Keys!$C$59,$D253,$M253))</f>
        <v>0</v>
      </c>
      <c r="O253">
        <f t="shared" si="14"/>
        <v>1</v>
      </c>
      <c r="P253" s="10">
        <f>IF($E253=Keys!$C$60,Keys!$C$51,INDEX(Raw_BFPIaE!$G$9:$G$3032,MATCH($A253&amp;Keys!$C$54&amp;Keys!$C$55&amp;Keys!$C$54&amp;$B253,Raw_BFPIaE!$H$9:$H$3032,0)))</f>
        <v>403948000000</v>
      </c>
      <c r="Q253" s="10">
        <f>IF($E253=Keys!$C$60,Keys!$C$51,INDEX(Raw_BFPIaE!$G$9:$G$3032,MATCH($A253&amp;Keys!$C$54&amp;Keys!$C$56&amp;Keys!$C$54&amp;$B253,Raw_BFPIaE!$H$9:$H$3032,0)))</f>
        <v>57270900000000</v>
      </c>
      <c r="R253" s="10">
        <f>IF($E253=Keys!$C$60,Keys!$C$51,INDEX(Raw_BFPIaE!$G$9:$G$3032,MATCH($A253&amp;Keys!$C$54&amp;Keys!$C$57&amp;Keys!$C$54&amp;$B253,Raw_BFPIaE!$H$9:$H$3032,0)))</f>
        <v>0</v>
      </c>
      <c r="S253" s="11">
        <f>IF(($P253+$Q253-$R253+MAX(Keys!$C$51,$R253-$Q253))&gt;Keys!$C$51,MIN(Keys!$C$52,MAX(Keys!$C$51,$R253-$Q253)/($P253+$Q253-$R253+MAX(Keys!$C$51,$R253-$Q253))),Keys!$C$51)</f>
        <v>0</v>
      </c>
      <c r="T253">
        <f>IF(AND($I253&gt;$H253,ABS($L253-$G253)&gt;MAX(Keys!$C$62,ABS($G253)*Keys!$C$63)),1,0)</f>
        <v>0</v>
      </c>
      <c r="U253">
        <f>IF(OR($N253&lt;Keys!$C$51,$N253&gt;Keys!$C$52),1,0)</f>
        <v>0</v>
      </c>
      <c r="V253">
        <f>IF(AND($E253=Keys!$C$60,$N253&lt;&gt;Keys!$C$51),1,0)</f>
        <v>0</v>
      </c>
      <c r="W253">
        <f>IF($L253&gt;Keys!$C$51,IF($K253/$L253&gt;Keys!$C$52,1,0),0)</f>
        <v>0</v>
      </c>
      <c r="X253" s="11">
        <f t="shared" si="15"/>
        <v>0</v>
      </c>
    </row>
    <row r="254" spans="1:24" x14ac:dyDescent="0.25">
      <c r="A254" t="s">
        <v>93</v>
      </c>
      <c r="B254" t="s">
        <v>120</v>
      </c>
      <c r="C254">
        <f>VLOOKUP($B254,Keys!$F$2:$I$22,2,FALSE)</f>
        <v>0</v>
      </c>
      <c r="D254">
        <f>VLOOKUP($B254,Keys!$F$2:$I$22,3,FALSE)</f>
        <v>0</v>
      </c>
      <c r="E254" t="str">
        <f>VLOOKUP($B254,Keys!$F$2:$I$22,4,FALSE)</f>
        <v>zero</v>
      </c>
      <c r="F254" t="str">
        <f>$A254&amp;Keys!$C$54&amp;$B254</f>
        <v>IL|municipal solid waste</v>
      </c>
      <c r="G254" s="10">
        <f>IF($E254=Keys!$C$60,Keys!$C$51,INDEX(Balanced_2025!$D$9:$D$3032,MATCH($A254&amp;Keys!$C$54&amp;Keys!$C$55&amp;Keys!$C$54&amp;$C254,Balanced_2025!$E$9:$E$3032,0)))</f>
        <v>0</v>
      </c>
      <c r="H254" s="10">
        <f>IF($E254=Keys!$C$60,Keys!$C$51,INDEX(Balanced_2025!$D$9:$D$3032,MATCH($A254&amp;Keys!$C$54&amp;Keys!$C$56&amp;Keys!$C$54&amp;$C254,Balanced_2025!$E$9:$E$3032,0)))</f>
        <v>0</v>
      </c>
      <c r="I254" s="10">
        <f>IF($E254=Keys!$C$60,Keys!$C$51,INDEX(Balanced_2025!$D$9:$D$3032,MATCH($A254&amp;Keys!$C$54&amp;Keys!$C$57&amp;Keys!$C$54&amp;$C254,Balanced_2025!$E$9:$E$3032,0)))</f>
        <v>0</v>
      </c>
      <c r="J254" s="10">
        <f t="shared" si="12"/>
        <v>0</v>
      </c>
      <c r="K254" s="10">
        <f>MAX(Keys!$C$51,$I254-$H254)</f>
        <v>0</v>
      </c>
      <c r="L254" s="10">
        <f t="shared" si="13"/>
        <v>0</v>
      </c>
      <c r="M254" s="11">
        <f>IF($L254&gt;Keys!$C$51,MIN(Keys!$C$52,$K254/$L254),Keys!$C$51)</f>
        <v>0</v>
      </c>
      <c r="N254" s="11">
        <f>IF($E254=Keys!$C$60,Keys!$C$51,IF($E254=Keys!$C$59,$D254,$M254))</f>
        <v>0</v>
      </c>
      <c r="O254">
        <f t="shared" si="14"/>
        <v>0</v>
      </c>
      <c r="P254" s="10">
        <f>IF($E254=Keys!$C$60,Keys!$C$51,INDEX(Raw_BFPIaE!$G$9:$G$3032,MATCH($A254&amp;Keys!$C$54&amp;Keys!$C$55&amp;Keys!$C$54&amp;$B254,Raw_BFPIaE!$H$9:$H$3032,0)))</f>
        <v>0</v>
      </c>
      <c r="Q254" s="10">
        <f>IF($E254=Keys!$C$60,Keys!$C$51,INDEX(Raw_BFPIaE!$G$9:$G$3032,MATCH($A254&amp;Keys!$C$54&amp;Keys!$C$56&amp;Keys!$C$54&amp;$B254,Raw_BFPIaE!$H$9:$H$3032,0)))</f>
        <v>0</v>
      </c>
      <c r="R254" s="10">
        <f>IF($E254=Keys!$C$60,Keys!$C$51,INDEX(Raw_BFPIaE!$G$9:$G$3032,MATCH($A254&amp;Keys!$C$54&amp;Keys!$C$57&amp;Keys!$C$54&amp;$B254,Raw_BFPIaE!$H$9:$H$3032,0)))</f>
        <v>0</v>
      </c>
      <c r="S254" s="11">
        <f>IF(($P254+$Q254-$R254+MAX(Keys!$C$51,$R254-$Q254))&gt;Keys!$C$51,MIN(Keys!$C$52,MAX(Keys!$C$51,$R254-$Q254)/($P254+$Q254-$R254+MAX(Keys!$C$51,$R254-$Q254))),Keys!$C$51)</f>
        <v>0</v>
      </c>
      <c r="T254">
        <f>IF(AND($I254&gt;$H254,ABS($L254-$G254)&gt;MAX(Keys!$C$62,ABS($G254)*Keys!$C$63)),1,0)</f>
        <v>0</v>
      </c>
      <c r="U254">
        <f>IF(OR($N254&lt;Keys!$C$51,$N254&gt;Keys!$C$52),1,0)</f>
        <v>0</v>
      </c>
      <c r="V254">
        <f>IF(AND($E254=Keys!$C$60,$N254&lt;&gt;Keys!$C$51),1,0)</f>
        <v>0</v>
      </c>
      <c r="W254">
        <f>IF($L254&gt;Keys!$C$51,IF($K254/$L254&gt;Keys!$C$52,1,0),0)</f>
        <v>0</v>
      </c>
      <c r="X254" s="11">
        <f t="shared" si="15"/>
        <v>0</v>
      </c>
    </row>
    <row r="255" spans="1:24" x14ac:dyDescent="0.25">
      <c r="A255" t="s">
        <v>93</v>
      </c>
      <c r="B255" t="s">
        <v>123</v>
      </c>
      <c r="C255">
        <f>VLOOKUP($B255,Keys!$F$2:$I$22,2,FALSE)</f>
        <v>0</v>
      </c>
      <c r="D255">
        <f>VLOOKUP($B255,Keys!$F$2:$I$22,3,FALSE)</f>
        <v>0</v>
      </c>
      <c r="E255" t="str">
        <f>VLOOKUP($B255,Keys!$F$2:$I$22,4,FALSE)</f>
        <v>zero</v>
      </c>
      <c r="F255" t="str">
        <f>$A255&amp;Keys!$C$54&amp;$B255</f>
        <v>IL|hydrogen</v>
      </c>
      <c r="G255" s="10">
        <f>IF($E255=Keys!$C$60,Keys!$C$51,INDEX(Balanced_2025!$D$9:$D$3032,MATCH($A255&amp;Keys!$C$54&amp;Keys!$C$55&amp;Keys!$C$54&amp;$C255,Balanced_2025!$E$9:$E$3032,0)))</f>
        <v>0</v>
      </c>
      <c r="H255" s="10">
        <f>IF($E255=Keys!$C$60,Keys!$C$51,INDEX(Balanced_2025!$D$9:$D$3032,MATCH($A255&amp;Keys!$C$54&amp;Keys!$C$56&amp;Keys!$C$54&amp;$C255,Balanced_2025!$E$9:$E$3032,0)))</f>
        <v>0</v>
      </c>
      <c r="I255" s="10">
        <f>IF($E255=Keys!$C$60,Keys!$C$51,INDEX(Balanced_2025!$D$9:$D$3032,MATCH($A255&amp;Keys!$C$54&amp;Keys!$C$57&amp;Keys!$C$54&amp;$C255,Balanced_2025!$E$9:$E$3032,0)))</f>
        <v>0</v>
      </c>
      <c r="J255" s="10">
        <f t="shared" si="12"/>
        <v>0</v>
      </c>
      <c r="K255" s="10">
        <f>MAX(Keys!$C$51,$I255-$H255)</f>
        <v>0</v>
      </c>
      <c r="L255" s="10">
        <f t="shared" si="13"/>
        <v>0</v>
      </c>
      <c r="M255" s="11">
        <f>IF($L255&gt;Keys!$C$51,MIN(Keys!$C$52,$K255/$L255),Keys!$C$51)</f>
        <v>0</v>
      </c>
      <c r="N255" s="11">
        <f>IF($E255=Keys!$C$60,Keys!$C$51,IF($E255=Keys!$C$59,$D255,$M255))</f>
        <v>0</v>
      </c>
      <c r="O255">
        <f t="shared" si="14"/>
        <v>0</v>
      </c>
      <c r="P255" s="10">
        <f>IF($E255=Keys!$C$60,Keys!$C$51,INDEX(Raw_BFPIaE!$G$9:$G$3032,MATCH($A255&amp;Keys!$C$54&amp;Keys!$C$55&amp;Keys!$C$54&amp;$B255,Raw_BFPIaE!$H$9:$H$3032,0)))</f>
        <v>0</v>
      </c>
      <c r="Q255" s="10">
        <f>IF($E255=Keys!$C$60,Keys!$C$51,INDEX(Raw_BFPIaE!$G$9:$G$3032,MATCH($A255&amp;Keys!$C$54&amp;Keys!$C$56&amp;Keys!$C$54&amp;$B255,Raw_BFPIaE!$H$9:$H$3032,0)))</f>
        <v>0</v>
      </c>
      <c r="R255" s="10">
        <f>IF($E255=Keys!$C$60,Keys!$C$51,INDEX(Raw_BFPIaE!$G$9:$G$3032,MATCH($A255&amp;Keys!$C$54&amp;Keys!$C$57&amp;Keys!$C$54&amp;$B255,Raw_BFPIaE!$H$9:$H$3032,0)))</f>
        <v>0</v>
      </c>
      <c r="S255" s="11">
        <f>IF(($P255+$Q255-$R255+MAX(Keys!$C$51,$R255-$Q255))&gt;Keys!$C$51,MIN(Keys!$C$52,MAX(Keys!$C$51,$R255-$Q255)/($P255+$Q255-$R255+MAX(Keys!$C$51,$R255-$Q255))),Keys!$C$51)</f>
        <v>0</v>
      </c>
      <c r="T255">
        <f>IF(AND($I255&gt;$H255,ABS($L255-$G255)&gt;MAX(Keys!$C$62,ABS($G255)*Keys!$C$63)),1,0)</f>
        <v>0</v>
      </c>
      <c r="U255">
        <f>IF(OR($N255&lt;Keys!$C$51,$N255&gt;Keys!$C$52),1,0)</f>
        <v>0</v>
      </c>
      <c r="V255">
        <f>IF(AND($E255=Keys!$C$60,$N255&lt;&gt;Keys!$C$51),1,0)</f>
        <v>0</v>
      </c>
      <c r="W255">
        <f>IF($L255&gt;Keys!$C$51,IF($K255/$L255&gt;Keys!$C$52,1,0),0)</f>
        <v>0</v>
      </c>
      <c r="X255" s="11">
        <f t="shared" si="15"/>
        <v>0</v>
      </c>
    </row>
    <row r="256" spans="1:24" x14ac:dyDescent="0.25">
      <c r="A256" t="s">
        <v>96</v>
      </c>
      <c r="B256" t="s">
        <v>60</v>
      </c>
      <c r="C256">
        <f>VLOOKUP($B256,Keys!$F$2:$I$22,2,FALSE)</f>
        <v>0</v>
      </c>
      <c r="D256">
        <f>VLOOKUP($B256,Keys!$F$2:$I$22,3,FALSE)</f>
        <v>0</v>
      </c>
      <c r="E256" t="str">
        <f>VLOOKUP($B256,Keys!$F$2:$I$22,4,FALSE)</f>
        <v>zero</v>
      </c>
      <c r="F256" t="str">
        <f>$A256&amp;Keys!$C$54&amp;$B256</f>
        <v>IN|electricity (not used in this variable)</v>
      </c>
      <c r="G256" s="10">
        <f>IF($E256=Keys!$C$60,Keys!$C$51,INDEX(Balanced_2025!$D$9:$D$3032,MATCH($A256&amp;Keys!$C$54&amp;Keys!$C$55&amp;Keys!$C$54&amp;$C256,Balanced_2025!$E$9:$E$3032,0)))</f>
        <v>0</v>
      </c>
      <c r="H256" s="10">
        <f>IF($E256=Keys!$C$60,Keys!$C$51,INDEX(Balanced_2025!$D$9:$D$3032,MATCH($A256&amp;Keys!$C$54&amp;Keys!$C$56&amp;Keys!$C$54&amp;$C256,Balanced_2025!$E$9:$E$3032,0)))</f>
        <v>0</v>
      </c>
      <c r="I256" s="10">
        <f>IF($E256=Keys!$C$60,Keys!$C$51,INDEX(Balanced_2025!$D$9:$D$3032,MATCH($A256&amp;Keys!$C$54&amp;Keys!$C$57&amp;Keys!$C$54&amp;$C256,Balanced_2025!$E$9:$E$3032,0)))</f>
        <v>0</v>
      </c>
      <c r="J256" s="10">
        <f t="shared" si="12"/>
        <v>0</v>
      </c>
      <c r="K256" s="10">
        <f>MAX(Keys!$C$51,$I256-$H256)</f>
        <v>0</v>
      </c>
      <c r="L256" s="10">
        <f t="shared" si="13"/>
        <v>0</v>
      </c>
      <c r="M256" s="11">
        <f>IF($L256&gt;Keys!$C$51,MIN(Keys!$C$52,$K256/$L256),Keys!$C$51)</f>
        <v>0</v>
      </c>
      <c r="N256" s="11">
        <f>IF($E256=Keys!$C$60,Keys!$C$51,IF($E256=Keys!$C$59,$D256,$M256))</f>
        <v>0</v>
      </c>
      <c r="O256">
        <f t="shared" si="14"/>
        <v>0</v>
      </c>
      <c r="P256" s="10">
        <f>IF($E256=Keys!$C$60,Keys!$C$51,INDEX(Raw_BFPIaE!$G$9:$G$3032,MATCH($A256&amp;Keys!$C$54&amp;Keys!$C$55&amp;Keys!$C$54&amp;$B256,Raw_BFPIaE!$H$9:$H$3032,0)))</f>
        <v>0</v>
      </c>
      <c r="Q256" s="10">
        <f>IF($E256=Keys!$C$60,Keys!$C$51,INDEX(Raw_BFPIaE!$G$9:$G$3032,MATCH($A256&amp;Keys!$C$54&amp;Keys!$C$56&amp;Keys!$C$54&amp;$B256,Raw_BFPIaE!$H$9:$H$3032,0)))</f>
        <v>0</v>
      </c>
      <c r="R256" s="10">
        <f>IF($E256=Keys!$C$60,Keys!$C$51,INDEX(Raw_BFPIaE!$G$9:$G$3032,MATCH($A256&amp;Keys!$C$54&amp;Keys!$C$57&amp;Keys!$C$54&amp;$B256,Raw_BFPIaE!$H$9:$H$3032,0)))</f>
        <v>0</v>
      </c>
      <c r="S256" s="11">
        <f>IF(($P256+$Q256-$R256+MAX(Keys!$C$51,$R256-$Q256))&gt;Keys!$C$51,MIN(Keys!$C$52,MAX(Keys!$C$51,$R256-$Q256)/($P256+$Q256-$R256+MAX(Keys!$C$51,$R256-$Q256))),Keys!$C$51)</f>
        <v>0</v>
      </c>
      <c r="T256">
        <f>IF(AND($I256&gt;$H256,ABS($L256-$G256)&gt;MAX(Keys!$C$62,ABS($G256)*Keys!$C$63)),1,0)</f>
        <v>0</v>
      </c>
      <c r="U256">
        <f>IF(OR($N256&lt;Keys!$C$51,$N256&gt;Keys!$C$52),1,0)</f>
        <v>0</v>
      </c>
      <c r="V256">
        <f>IF(AND($E256=Keys!$C$60,$N256&lt;&gt;Keys!$C$51),1,0)</f>
        <v>0</v>
      </c>
      <c r="W256">
        <f>IF($L256&gt;Keys!$C$51,IF($K256/$L256&gt;Keys!$C$52,1,0),0)</f>
        <v>0</v>
      </c>
      <c r="X256" s="11">
        <f t="shared" si="15"/>
        <v>0</v>
      </c>
    </row>
    <row r="257" spans="1:24" x14ac:dyDescent="0.25">
      <c r="A257" t="s">
        <v>96</v>
      </c>
      <c r="B257" t="s">
        <v>64</v>
      </c>
      <c r="C257" t="str">
        <f>VLOOKUP($B257,Keys!$F$2:$I$22,2,FALSE)</f>
        <v>hard coal</v>
      </c>
      <c r="D257">
        <f>VLOOKUP($B257,Keys!$F$2:$I$22,3,FALSE)</f>
        <v>0.137539879</v>
      </c>
      <c r="E257" t="str">
        <f>VLOOKUP($B257,Keys!$F$2:$I$22,4,FALSE)</f>
        <v>rule</v>
      </c>
      <c r="F257" t="str">
        <f>$A257&amp;Keys!$C$54&amp;$B257</f>
        <v>IN|hard coal</v>
      </c>
      <c r="G257" s="10">
        <f>IF($E257=Keys!$C$60,Keys!$C$51,INDEX(Balanced_2025!$D$9:$D$3032,MATCH($A257&amp;Keys!$C$54&amp;Keys!$C$55&amp;Keys!$C$54&amp;$C257,Balanced_2025!$E$9:$E$3032,0)))</f>
        <v>413016000000000</v>
      </c>
      <c r="H257" s="10">
        <f>IF($E257=Keys!$C$60,Keys!$C$51,INDEX(Balanced_2025!$D$9:$D$3032,MATCH($A257&amp;Keys!$C$54&amp;Keys!$C$56&amp;Keys!$C$54&amp;$C257,Balanced_2025!$E$9:$E$3032,0)))</f>
        <v>421168000000000</v>
      </c>
      <c r="I257" s="10">
        <f>IF($E257=Keys!$C$60,Keys!$C$51,INDEX(Balanced_2025!$D$9:$D$3032,MATCH($A257&amp;Keys!$C$54&amp;Keys!$C$57&amp;Keys!$C$54&amp;$C257,Balanced_2025!$E$9:$E$3032,0)))</f>
        <v>46266900000000</v>
      </c>
      <c r="J257" s="10">
        <f t="shared" si="12"/>
        <v>787917100000000</v>
      </c>
      <c r="K257" s="10">
        <f>MAX(Keys!$C$51,$I257-$H257)</f>
        <v>0</v>
      </c>
      <c r="L257" s="10">
        <f t="shared" si="13"/>
        <v>787917100000000</v>
      </c>
      <c r="M257" s="11">
        <f>IF($L257&gt;Keys!$C$51,MIN(Keys!$C$52,$K257/$L257),Keys!$C$51)</f>
        <v>0</v>
      </c>
      <c r="N257" s="11">
        <f>IF($E257=Keys!$C$60,Keys!$C$51,IF($E257=Keys!$C$59,$D257,$M257))</f>
        <v>0</v>
      </c>
      <c r="O257">
        <f t="shared" si="14"/>
        <v>1</v>
      </c>
      <c r="P257" s="10">
        <f>IF($E257=Keys!$C$60,Keys!$C$51,INDEX(Raw_BFPIaE!$G$9:$G$3032,MATCH($A257&amp;Keys!$C$54&amp;Keys!$C$55&amp;Keys!$C$54&amp;$B257,Raw_BFPIaE!$H$9:$H$3032,0)))</f>
        <v>412275666666666.69</v>
      </c>
      <c r="Q257" s="10">
        <f>IF($E257=Keys!$C$60,Keys!$C$51,INDEX(Raw_BFPIaE!$G$9:$G$3032,MATCH($A257&amp;Keys!$C$54&amp;Keys!$C$56&amp;Keys!$C$54&amp;$B257,Raw_BFPIaE!$H$9:$H$3032,0)))</f>
        <v>265528333333333.34</v>
      </c>
      <c r="R257" s="10">
        <f>IF($E257=Keys!$C$60,Keys!$C$51,INDEX(Raw_BFPIaE!$G$9:$G$3032,MATCH($A257&amp;Keys!$C$54&amp;Keys!$C$57&amp;Keys!$C$54&amp;$B257,Raw_BFPIaE!$H$9:$H$3032,0)))</f>
        <v>46183933333333.336</v>
      </c>
      <c r="S257" s="11">
        <f>IF(($P257+$Q257-$R257+MAX(Keys!$C$51,$R257-$Q257))&gt;Keys!$C$51,MIN(Keys!$C$52,MAX(Keys!$C$51,$R257-$Q257)/($P257+$Q257-$R257+MAX(Keys!$C$51,$R257-$Q257))),Keys!$C$51)</f>
        <v>0</v>
      </c>
      <c r="T257">
        <f>IF(AND($I257&gt;$H257,ABS($L257-$G257)&gt;MAX(Keys!$C$62,ABS($G257)*Keys!$C$63)),1,0)</f>
        <v>0</v>
      </c>
      <c r="U257">
        <f>IF(OR($N257&lt;Keys!$C$51,$N257&gt;Keys!$C$52),1,0)</f>
        <v>0</v>
      </c>
      <c r="V257">
        <f>IF(AND($E257=Keys!$C$60,$N257&lt;&gt;Keys!$C$51),1,0)</f>
        <v>0</v>
      </c>
      <c r="W257">
        <f>IF($L257&gt;Keys!$C$51,IF($K257/$L257&gt;Keys!$C$52,1,0),0)</f>
        <v>0</v>
      </c>
      <c r="X257" s="11">
        <f t="shared" si="15"/>
        <v>0</v>
      </c>
    </row>
    <row r="258" spans="1:24" x14ac:dyDescent="0.25">
      <c r="A258" t="s">
        <v>96</v>
      </c>
      <c r="B258" t="s">
        <v>68</v>
      </c>
      <c r="C258" t="str">
        <f>VLOOKUP($B258,Keys!$F$2:$I$22,2,FALSE)</f>
        <v>natural gas</v>
      </c>
      <c r="D258">
        <f>VLOOKUP($B258,Keys!$F$2:$I$22,3,FALSE)</f>
        <v>0.190839183</v>
      </c>
      <c r="E258" t="str">
        <f>VLOOKUP($B258,Keys!$F$2:$I$22,4,FALSE)</f>
        <v>rule</v>
      </c>
      <c r="F258" t="str">
        <f>$A258&amp;Keys!$C$54&amp;$B258</f>
        <v>IN|natural gas</v>
      </c>
      <c r="G258" s="10">
        <f>IF($E258=Keys!$C$60,Keys!$C$51,INDEX(Balanced_2025!$D$9:$D$3032,MATCH($A258&amp;Keys!$C$54&amp;Keys!$C$55&amp;Keys!$C$54&amp;$C258,Balanced_2025!$E$9:$E$3032,0)))</f>
        <v>3371290000000</v>
      </c>
      <c r="H258" s="10">
        <f>IF($E258=Keys!$C$60,Keys!$C$51,INDEX(Balanced_2025!$D$9:$D$3032,MATCH($A258&amp;Keys!$C$54&amp;Keys!$C$56&amp;Keys!$C$54&amp;$C258,Balanced_2025!$E$9:$E$3032,0)))</f>
        <v>2264950000000000</v>
      </c>
      <c r="I258" s="10">
        <f>IF($E258=Keys!$C$60,Keys!$C$51,INDEX(Balanced_2025!$D$9:$D$3032,MATCH($A258&amp;Keys!$C$54&amp;Keys!$C$57&amp;Keys!$C$54&amp;$C258,Balanced_2025!$E$9:$E$3032,0)))</f>
        <v>1409520000000000</v>
      </c>
      <c r="J258" s="10">
        <f t="shared" si="12"/>
        <v>858801290000000</v>
      </c>
      <c r="K258" s="10">
        <f>MAX(Keys!$C$51,$I258-$H258)</f>
        <v>0</v>
      </c>
      <c r="L258" s="10">
        <f t="shared" si="13"/>
        <v>858801290000000</v>
      </c>
      <c r="M258" s="11">
        <f>IF($L258&gt;Keys!$C$51,MIN(Keys!$C$52,$K258/$L258),Keys!$C$51)</f>
        <v>0</v>
      </c>
      <c r="N258" s="11">
        <f>IF($E258=Keys!$C$60,Keys!$C$51,IF($E258=Keys!$C$59,$D258,$M258))</f>
        <v>0</v>
      </c>
      <c r="O258">
        <f t="shared" si="14"/>
        <v>1</v>
      </c>
      <c r="P258" s="10">
        <f>IF($E258=Keys!$C$60,Keys!$C$51,INDEX(Raw_BFPIaE!$G$9:$G$3032,MATCH($A258&amp;Keys!$C$54&amp;Keys!$C$55&amp;Keys!$C$54&amp;$B258,Raw_BFPIaE!$H$9:$H$3032,0)))</f>
        <v>3374780000000</v>
      </c>
      <c r="Q258" s="10">
        <f>IF($E258=Keys!$C$60,Keys!$C$51,INDEX(Raw_BFPIaE!$G$9:$G$3032,MATCH($A258&amp;Keys!$C$54&amp;Keys!$C$56&amp;Keys!$C$54&amp;$B258,Raw_BFPIaE!$H$9:$H$3032,0)))</f>
        <v>2227473333333333.3</v>
      </c>
      <c r="R258" s="10">
        <f>IF($E258=Keys!$C$60,Keys!$C$51,INDEX(Raw_BFPIaE!$G$9:$G$3032,MATCH($A258&amp;Keys!$C$54&amp;Keys!$C$57&amp;Keys!$C$54&amp;$B258,Raw_BFPIaE!$H$9:$H$3032,0)))</f>
        <v>1410980000000000</v>
      </c>
      <c r="S258" s="11">
        <f>IF(($P258+$Q258-$R258+MAX(Keys!$C$51,$R258-$Q258))&gt;Keys!$C$51,MIN(Keys!$C$52,MAX(Keys!$C$51,$R258-$Q258)/($P258+$Q258-$R258+MAX(Keys!$C$51,$R258-$Q258))),Keys!$C$51)</f>
        <v>0</v>
      </c>
      <c r="T258">
        <f>IF(AND($I258&gt;$H258,ABS($L258-$G258)&gt;MAX(Keys!$C$62,ABS($G258)*Keys!$C$63)),1,0)</f>
        <v>0</v>
      </c>
      <c r="U258">
        <f>IF(OR($N258&lt;Keys!$C$51,$N258&gt;Keys!$C$52),1,0)</f>
        <v>0</v>
      </c>
      <c r="V258">
        <f>IF(AND($E258=Keys!$C$60,$N258&lt;&gt;Keys!$C$51),1,0)</f>
        <v>0</v>
      </c>
      <c r="W258">
        <f>IF($L258&gt;Keys!$C$51,IF($K258/$L258&gt;Keys!$C$52,1,0),0)</f>
        <v>0</v>
      </c>
      <c r="X258" s="11">
        <f t="shared" si="15"/>
        <v>0</v>
      </c>
    </row>
    <row r="259" spans="1:24" x14ac:dyDescent="0.25">
      <c r="A259" t="s">
        <v>96</v>
      </c>
      <c r="B259" t="s">
        <v>71</v>
      </c>
      <c r="C259">
        <f>VLOOKUP($B259,Keys!$F$2:$I$22,2,FALSE)</f>
        <v>0</v>
      </c>
      <c r="D259">
        <f>VLOOKUP($B259,Keys!$F$2:$I$22,3,FALSE)</f>
        <v>0</v>
      </c>
      <c r="E259" t="str">
        <f>VLOOKUP($B259,Keys!$F$2:$I$22,4,FALSE)</f>
        <v>zero</v>
      </c>
      <c r="F259" t="str">
        <f>$A259&amp;Keys!$C$54&amp;$B259</f>
        <v>IN|nuclear</v>
      </c>
      <c r="G259" s="10">
        <f>IF($E259=Keys!$C$60,Keys!$C$51,INDEX(Balanced_2025!$D$9:$D$3032,MATCH($A259&amp;Keys!$C$54&amp;Keys!$C$55&amp;Keys!$C$54&amp;$C259,Balanced_2025!$E$9:$E$3032,0)))</f>
        <v>0</v>
      </c>
      <c r="H259" s="10">
        <f>IF($E259=Keys!$C$60,Keys!$C$51,INDEX(Balanced_2025!$D$9:$D$3032,MATCH($A259&amp;Keys!$C$54&amp;Keys!$C$56&amp;Keys!$C$54&amp;$C259,Balanced_2025!$E$9:$E$3032,0)))</f>
        <v>0</v>
      </c>
      <c r="I259" s="10">
        <f>IF($E259=Keys!$C$60,Keys!$C$51,INDEX(Balanced_2025!$D$9:$D$3032,MATCH($A259&amp;Keys!$C$54&amp;Keys!$C$57&amp;Keys!$C$54&amp;$C259,Balanced_2025!$E$9:$E$3032,0)))</f>
        <v>0</v>
      </c>
      <c r="J259" s="10">
        <f t="shared" si="12"/>
        <v>0</v>
      </c>
      <c r="K259" s="10">
        <f>MAX(Keys!$C$51,$I259-$H259)</f>
        <v>0</v>
      </c>
      <c r="L259" s="10">
        <f t="shared" si="13"/>
        <v>0</v>
      </c>
      <c r="M259" s="11">
        <f>IF($L259&gt;Keys!$C$51,MIN(Keys!$C$52,$K259/$L259),Keys!$C$51)</f>
        <v>0</v>
      </c>
      <c r="N259" s="11">
        <f>IF($E259=Keys!$C$60,Keys!$C$51,IF($E259=Keys!$C$59,$D259,$M259))</f>
        <v>0</v>
      </c>
      <c r="O259">
        <f t="shared" si="14"/>
        <v>0</v>
      </c>
      <c r="P259" s="10">
        <f>IF($E259=Keys!$C$60,Keys!$C$51,INDEX(Raw_BFPIaE!$G$9:$G$3032,MATCH($A259&amp;Keys!$C$54&amp;Keys!$C$55&amp;Keys!$C$54&amp;$B259,Raw_BFPIaE!$H$9:$H$3032,0)))</f>
        <v>0</v>
      </c>
      <c r="Q259" s="10">
        <f>IF($E259=Keys!$C$60,Keys!$C$51,INDEX(Raw_BFPIaE!$G$9:$G$3032,MATCH($A259&amp;Keys!$C$54&amp;Keys!$C$56&amp;Keys!$C$54&amp;$B259,Raw_BFPIaE!$H$9:$H$3032,0)))</f>
        <v>0</v>
      </c>
      <c r="R259" s="10">
        <f>IF($E259=Keys!$C$60,Keys!$C$51,INDEX(Raw_BFPIaE!$G$9:$G$3032,MATCH($A259&amp;Keys!$C$54&amp;Keys!$C$57&amp;Keys!$C$54&amp;$B259,Raw_BFPIaE!$H$9:$H$3032,0)))</f>
        <v>0</v>
      </c>
      <c r="S259" s="11">
        <f>IF(($P259+$Q259-$R259+MAX(Keys!$C$51,$R259-$Q259))&gt;Keys!$C$51,MIN(Keys!$C$52,MAX(Keys!$C$51,$R259-$Q259)/($P259+$Q259-$R259+MAX(Keys!$C$51,$R259-$Q259))),Keys!$C$51)</f>
        <v>0</v>
      </c>
      <c r="T259">
        <f>IF(AND($I259&gt;$H259,ABS($L259-$G259)&gt;MAX(Keys!$C$62,ABS($G259)*Keys!$C$63)),1,0)</f>
        <v>0</v>
      </c>
      <c r="U259">
        <f>IF(OR($N259&lt;Keys!$C$51,$N259&gt;Keys!$C$52),1,0)</f>
        <v>0</v>
      </c>
      <c r="V259">
        <f>IF(AND($E259=Keys!$C$60,$N259&lt;&gt;Keys!$C$51),1,0)</f>
        <v>0</v>
      </c>
      <c r="W259">
        <f>IF($L259&gt;Keys!$C$51,IF($K259/$L259&gt;Keys!$C$52,1,0),0)</f>
        <v>0</v>
      </c>
      <c r="X259" s="11">
        <f t="shared" si="15"/>
        <v>0</v>
      </c>
    </row>
    <row r="260" spans="1:24" x14ac:dyDescent="0.25">
      <c r="A260" t="s">
        <v>96</v>
      </c>
      <c r="B260" t="s">
        <v>74</v>
      </c>
      <c r="C260">
        <f>VLOOKUP($B260,Keys!$F$2:$I$22,2,FALSE)</f>
        <v>0</v>
      </c>
      <c r="D260">
        <f>VLOOKUP($B260,Keys!$F$2:$I$22,3,FALSE)</f>
        <v>0</v>
      </c>
      <c r="E260" t="str">
        <f>VLOOKUP($B260,Keys!$F$2:$I$22,4,FALSE)</f>
        <v>zero</v>
      </c>
      <c r="F260" t="str">
        <f>$A260&amp;Keys!$C$54&amp;$B260</f>
        <v>IN|hydro (is not a fuel)</v>
      </c>
      <c r="G260" s="10">
        <f>IF($E260=Keys!$C$60,Keys!$C$51,INDEX(Balanced_2025!$D$9:$D$3032,MATCH($A260&amp;Keys!$C$54&amp;Keys!$C$55&amp;Keys!$C$54&amp;$C260,Balanced_2025!$E$9:$E$3032,0)))</f>
        <v>0</v>
      </c>
      <c r="H260" s="10">
        <f>IF($E260=Keys!$C$60,Keys!$C$51,INDEX(Balanced_2025!$D$9:$D$3032,MATCH($A260&amp;Keys!$C$54&amp;Keys!$C$56&amp;Keys!$C$54&amp;$C260,Balanced_2025!$E$9:$E$3032,0)))</f>
        <v>0</v>
      </c>
      <c r="I260" s="10">
        <f>IF($E260=Keys!$C$60,Keys!$C$51,INDEX(Balanced_2025!$D$9:$D$3032,MATCH($A260&amp;Keys!$C$54&amp;Keys!$C$57&amp;Keys!$C$54&amp;$C260,Balanced_2025!$E$9:$E$3032,0)))</f>
        <v>0</v>
      </c>
      <c r="J260" s="10">
        <f t="shared" ref="J260:J323" si="16">$G260+$H260-$I260</f>
        <v>0</v>
      </c>
      <c r="K260" s="10">
        <f>MAX(Keys!$C$51,$I260-$H260)</f>
        <v>0</v>
      </c>
      <c r="L260" s="10">
        <f t="shared" ref="L260:L323" si="17">$K260+$J260</f>
        <v>0</v>
      </c>
      <c r="M260" s="11">
        <f>IF($L260&gt;Keys!$C$51,MIN(Keys!$C$52,$K260/$L260),Keys!$C$51)</f>
        <v>0</v>
      </c>
      <c r="N260" s="11">
        <f>IF($E260=Keys!$C$60,Keys!$C$51,IF($E260=Keys!$C$59,$D260,$M260))</f>
        <v>0</v>
      </c>
      <c r="O260">
        <f t="shared" ref="O260:O323" si="18">IF($N260&lt;&gt;$D260,1,0)</f>
        <v>0</v>
      </c>
      <c r="P260" s="10">
        <f>IF($E260=Keys!$C$60,Keys!$C$51,INDEX(Raw_BFPIaE!$G$9:$G$3032,MATCH($A260&amp;Keys!$C$54&amp;Keys!$C$55&amp;Keys!$C$54&amp;$B260,Raw_BFPIaE!$H$9:$H$3032,0)))</f>
        <v>0</v>
      </c>
      <c r="Q260" s="10">
        <f>IF($E260=Keys!$C$60,Keys!$C$51,INDEX(Raw_BFPIaE!$G$9:$G$3032,MATCH($A260&amp;Keys!$C$54&amp;Keys!$C$56&amp;Keys!$C$54&amp;$B260,Raw_BFPIaE!$H$9:$H$3032,0)))</f>
        <v>0</v>
      </c>
      <c r="R260" s="10">
        <f>IF($E260=Keys!$C$60,Keys!$C$51,INDEX(Raw_BFPIaE!$G$9:$G$3032,MATCH($A260&amp;Keys!$C$54&amp;Keys!$C$57&amp;Keys!$C$54&amp;$B260,Raw_BFPIaE!$H$9:$H$3032,0)))</f>
        <v>0</v>
      </c>
      <c r="S260" s="11">
        <f>IF(($P260+$Q260-$R260+MAX(Keys!$C$51,$R260-$Q260))&gt;Keys!$C$51,MIN(Keys!$C$52,MAX(Keys!$C$51,$R260-$Q260)/($P260+$Q260-$R260+MAX(Keys!$C$51,$R260-$Q260))),Keys!$C$51)</f>
        <v>0</v>
      </c>
      <c r="T260">
        <f>IF(AND($I260&gt;$H260,ABS($L260-$G260)&gt;MAX(Keys!$C$62,ABS($G260)*Keys!$C$63)),1,0)</f>
        <v>0</v>
      </c>
      <c r="U260">
        <f>IF(OR($N260&lt;Keys!$C$51,$N260&gt;Keys!$C$52),1,0)</f>
        <v>0</v>
      </c>
      <c r="V260">
        <f>IF(AND($E260=Keys!$C$60,$N260&lt;&gt;Keys!$C$51),1,0)</f>
        <v>0</v>
      </c>
      <c r="W260">
        <f>IF($L260&gt;Keys!$C$51,IF($K260/$L260&gt;Keys!$C$52,1,0),0)</f>
        <v>0</v>
      </c>
      <c r="X260" s="11">
        <f t="shared" ref="X260:X323" si="19">ABS($M260-$S260)</f>
        <v>0</v>
      </c>
    </row>
    <row r="261" spans="1:24" x14ac:dyDescent="0.25">
      <c r="A261" t="s">
        <v>96</v>
      </c>
      <c r="B261" t="s">
        <v>77</v>
      </c>
      <c r="C261">
        <f>VLOOKUP($B261,Keys!$F$2:$I$22,2,FALSE)</f>
        <v>0</v>
      </c>
      <c r="D261">
        <f>VLOOKUP($B261,Keys!$F$2:$I$22,3,FALSE)</f>
        <v>0</v>
      </c>
      <c r="E261" t="str">
        <f>VLOOKUP($B261,Keys!$F$2:$I$22,4,FALSE)</f>
        <v>zero</v>
      </c>
      <c r="F261" t="str">
        <f>$A261&amp;Keys!$C$54&amp;$B261</f>
        <v>IN|wind (is not a fuel)</v>
      </c>
      <c r="G261" s="10">
        <f>IF($E261=Keys!$C$60,Keys!$C$51,INDEX(Balanced_2025!$D$9:$D$3032,MATCH($A261&amp;Keys!$C$54&amp;Keys!$C$55&amp;Keys!$C$54&amp;$C261,Balanced_2025!$E$9:$E$3032,0)))</f>
        <v>0</v>
      </c>
      <c r="H261" s="10">
        <f>IF($E261=Keys!$C$60,Keys!$C$51,INDEX(Balanced_2025!$D$9:$D$3032,MATCH($A261&amp;Keys!$C$54&amp;Keys!$C$56&amp;Keys!$C$54&amp;$C261,Balanced_2025!$E$9:$E$3032,0)))</f>
        <v>0</v>
      </c>
      <c r="I261" s="10">
        <f>IF($E261=Keys!$C$60,Keys!$C$51,INDEX(Balanced_2025!$D$9:$D$3032,MATCH($A261&amp;Keys!$C$54&amp;Keys!$C$57&amp;Keys!$C$54&amp;$C261,Balanced_2025!$E$9:$E$3032,0)))</f>
        <v>0</v>
      </c>
      <c r="J261" s="10">
        <f t="shared" si="16"/>
        <v>0</v>
      </c>
      <c r="K261" s="10">
        <f>MAX(Keys!$C$51,$I261-$H261)</f>
        <v>0</v>
      </c>
      <c r="L261" s="10">
        <f t="shared" si="17"/>
        <v>0</v>
      </c>
      <c r="M261" s="11">
        <f>IF($L261&gt;Keys!$C$51,MIN(Keys!$C$52,$K261/$L261),Keys!$C$51)</f>
        <v>0</v>
      </c>
      <c r="N261" s="11">
        <f>IF($E261=Keys!$C$60,Keys!$C$51,IF($E261=Keys!$C$59,$D261,$M261))</f>
        <v>0</v>
      </c>
      <c r="O261">
        <f t="shared" si="18"/>
        <v>0</v>
      </c>
      <c r="P261" s="10">
        <f>IF($E261=Keys!$C$60,Keys!$C$51,INDEX(Raw_BFPIaE!$G$9:$G$3032,MATCH($A261&amp;Keys!$C$54&amp;Keys!$C$55&amp;Keys!$C$54&amp;$B261,Raw_BFPIaE!$H$9:$H$3032,0)))</f>
        <v>0</v>
      </c>
      <c r="Q261" s="10">
        <f>IF($E261=Keys!$C$60,Keys!$C$51,INDEX(Raw_BFPIaE!$G$9:$G$3032,MATCH($A261&amp;Keys!$C$54&amp;Keys!$C$56&amp;Keys!$C$54&amp;$B261,Raw_BFPIaE!$H$9:$H$3032,0)))</f>
        <v>0</v>
      </c>
      <c r="R261" s="10">
        <f>IF($E261=Keys!$C$60,Keys!$C$51,INDEX(Raw_BFPIaE!$G$9:$G$3032,MATCH($A261&amp;Keys!$C$54&amp;Keys!$C$57&amp;Keys!$C$54&amp;$B261,Raw_BFPIaE!$H$9:$H$3032,0)))</f>
        <v>0</v>
      </c>
      <c r="S261" s="11">
        <f>IF(($P261+$Q261-$R261+MAX(Keys!$C$51,$R261-$Q261))&gt;Keys!$C$51,MIN(Keys!$C$52,MAX(Keys!$C$51,$R261-$Q261)/($P261+$Q261-$R261+MAX(Keys!$C$51,$R261-$Q261))),Keys!$C$51)</f>
        <v>0</v>
      </c>
      <c r="T261">
        <f>IF(AND($I261&gt;$H261,ABS($L261-$G261)&gt;MAX(Keys!$C$62,ABS($G261)*Keys!$C$63)),1,0)</f>
        <v>0</v>
      </c>
      <c r="U261">
        <f>IF(OR($N261&lt;Keys!$C$51,$N261&gt;Keys!$C$52),1,0)</f>
        <v>0</v>
      </c>
      <c r="V261">
        <f>IF(AND($E261=Keys!$C$60,$N261&lt;&gt;Keys!$C$51),1,0)</f>
        <v>0</v>
      </c>
      <c r="W261">
        <f>IF($L261&gt;Keys!$C$51,IF($K261/$L261&gt;Keys!$C$52,1,0),0)</f>
        <v>0</v>
      </c>
      <c r="X261" s="11">
        <f t="shared" si="19"/>
        <v>0</v>
      </c>
    </row>
    <row r="262" spans="1:24" x14ac:dyDescent="0.25">
      <c r="A262" t="s">
        <v>96</v>
      </c>
      <c r="B262" t="s">
        <v>80</v>
      </c>
      <c r="C262">
        <f>VLOOKUP($B262,Keys!$F$2:$I$22,2,FALSE)</f>
        <v>0</v>
      </c>
      <c r="D262">
        <f>VLOOKUP($B262,Keys!$F$2:$I$22,3,FALSE)</f>
        <v>0</v>
      </c>
      <c r="E262" t="str">
        <f>VLOOKUP($B262,Keys!$F$2:$I$22,4,FALSE)</f>
        <v>zero</v>
      </c>
      <c r="F262" t="str">
        <f>$A262&amp;Keys!$C$54&amp;$B262</f>
        <v>IN|solar (is not a fuel)</v>
      </c>
      <c r="G262" s="10">
        <f>IF($E262=Keys!$C$60,Keys!$C$51,INDEX(Balanced_2025!$D$9:$D$3032,MATCH($A262&amp;Keys!$C$54&amp;Keys!$C$55&amp;Keys!$C$54&amp;$C262,Balanced_2025!$E$9:$E$3032,0)))</f>
        <v>0</v>
      </c>
      <c r="H262" s="10">
        <f>IF($E262=Keys!$C$60,Keys!$C$51,INDEX(Balanced_2025!$D$9:$D$3032,MATCH($A262&amp;Keys!$C$54&amp;Keys!$C$56&amp;Keys!$C$54&amp;$C262,Balanced_2025!$E$9:$E$3032,0)))</f>
        <v>0</v>
      </c>
      <c r="I262" s="10">
        <f>IF($E262=Keys!$C$60,Keys!$C$51,INDEX(Balanced_2025!$D$9:$D$3032,MATCH($A262&amp;Keys!$C$54&amp;Keys!$C$57&amp;Keys!$C$54&amp;$C262,Balanced_2025!$E$9:$E$3032,0)))</f>
        <v>0</v>
      </c>
      <c r="J262" s="10">
        <f t="shared" si="16"/>
        <v>0</v>
      </c>
      <c r="K262" s="10">
        <f>MAX(Keys!$C$51,$I262-$H262)</f>
        <v>0</v>
      </c>
      <c r="L262" s="10">
        <f t="shared" si="17"/>
        <v>0</v>
      </c>
      <c r="M262" s="11">
        <f>IF($L262&gt;Keys!$C$51,MIN(Keys!$C$52,$K262/$L262),Keys!$C$51)</f>
        <v>0</v>
      </c>
      <c r="N262" s="11">
        <f>IF($E262=Keys!$C$60,Keys!$C$51,IF($E262=Keys!$C$59,$D262,$M262))</f>
        <v>0</v>
      </c>
      <c r="O262">
        <f t="shared" si="18"/>
        <v>0</v>
      </c>
      <c r="P262" s="10">
        <f>IF($E262=Keys!$C$60,Keys!$C$51,INDEX(Raw_BFPIaE!$G$9:$G$3032,MATCH($A262&amp;Keys!$C$54&amp;Keys!$C$55&amp;Keys!$C$54&amp;$B262,Raw_BFPIaE!$H$9:$H$3032,0)))</f>
        <v>0</v>
      </c>
      <c r="Q262" s="10">
        <f>IF($E262=Keys!$C$60,Keys!$C$51,INDEX(Raw_BFPIaE!$G$9:$G$3032,MATCH($A262&amp;Keys!$C$54&amp;Keys!$C$56&amp;Keys!$C$54&amp;$B262,Raw_BFPIaE!$H$9:$H$3032,0)))</f>
        <v>0</v>
      </c>
      <c r="R262" s="10">
        <f>IF($E262=Keys!$C$60,Keys!$C$51,INDEX(Raw_BFPIaE!$G$9:$G$3032,MATCH($A262&amp;Keys!$C$54&amp;Keys!$C$57&amp;Keys!$C$54&amp;$B262,Raw_BFPIaE!$H$9:$H$3032,0)))</f>
        <v>0</v>
      </c>
      <c r="S262" s="11">
        <f>IF(($P262+$Q262-$R262+MAX(Keys!$C$51,$R262-$Q262))&gt;Keys!$C$51,MIN(Keys!$C$52,MAX(Keys!$C$51,$R262-$Q262)/($P262+$Q262-$R262+MAX(Keys!$C$51,$R262-$Q262))),Keys!$C$51)</f>
        <v>0</v>
      </c>
      <c r="T262">
        <f>IF(AND($I262&gt;$H262,ABS($L262-$G262)&gt;MAX(Keys!$C$62,ABS($G262)*Keys!$C$63)),1,0)</f>
        <v>0</v>
      </c>
      <c r="U262">
        <f>IF(OR($N262&lt;Keys!$C$51,$N262&gt;Keys!$C$52),1,0)</f>
        <v>0</v>
      </c>
      <c r="V262">
        <f>IF(AND($E262=Keys!$C$60,$N262&lt;&gt;Keys!$C$51),1,0)</f>
        <v>0</v>
      </c>
      <c r="W262">
        <f>IF($L262&gt;Keys!$C$51,IF($K262/$L262&gt;Keys!$C$52,1,0),0)</f>
        <v>0</v>
      </c>
      <c r="X262" s="11">
        <f t="shared" si="19"/>
        <v>0</v>
      </c>
    </row>
    <row r="263" spans="1:24" x14ac:dyDescent="0.25">
      <c r="A263" t="s">
        <v>96</v>
      </c>
      <c r="B263" t="s">
        <v>82</v>
      </c>
      <c r="C263" t="str">
        <f>VLOOKUP($B263,Keys!$F$2:$I$22,2,FALSE)</f>
        <v>biomass</v>
      </c>
      <c r="D263">
        <f>VLOOKUP($B263,Keys!$F$2:$I$22,3,FALSE)</f>
        <v>0.74947425499999998</v>
      </c>
      <c r="E263" t="str">
        <f>VLOOKUP($B263,Keys!$F$2:$I$22,4,FALSE)</f>
        <v>rule</v>
      </c>
      <c r="F263" t="str">
        <f>$A263&amp;Keys!$C$54&amp;$B263</f>
        <v>IN|biomass</v>
      </c>
      <c r="G263" s="10">
        <f>IF($E263=Keys!$C$60,Keys!$C$51,INDEX(Balanced_2025!$D$9:$D$3032,MATCH($A263&amp;Keys!$C$54&amp;Keys!$C$55&amp;Keys!$C$54&amp;$C263,Balanced_2025!$E$9:$E$3032,0)))</f>
        <v>112000000000</v>
      </c>
      <c r="H263" s="10">
        <f>IF($E263=Keys!$C$60,Keys!$C$51,INDEX(Balanced_2025!$D$9:$D$3032,MATCH($A263&amp;Keys!$C$54&amp;Keys!$C$56&amp;Keys!$C$54&amp;$C263,Balanced_2025!$E$9:$E$3032,0)))</f>
        <v>33906000000000</v>
      </c>
      <c r="I263" s="10">
        <f>IF($E263=Keys!$C$60,Keys!$C$51,INDEX(Balanced_2025!$D$9:$D$3032,MATCH($A263&amp;Keys!$C$54&amp;Keys!$C$57&amp;Keys!$C$54&amp;$C263,Balanced_2025!$E$9:$E$3032,0)))</f>
        <v>0</v>
      </c>
      <c r="J263" s="10">
        <f t="shared" si="16"/>
        <v>34018000000000</v>
      </c>
      <c r="K263" s="10">
        <f>MAX(Keys!$C$51,$I263-$H263)</f>
        <v>0</v>
      </c>
      <c r="L263" s="10">
        <f t="shared" si="17"/>
        <v>34018000000000</v>
      </c>
      <c r="M263" s="11">
        <f>IF($L263&gt;Keys!$C$51,MIN(Keys!$C$52,$K263/$L263),Keys!$C$51)</f>
        <v>0</v>
      </c>
      <c r="N263" s="11">
        <f>IF($E263=Keys!$C$60,Keys!$C$51,IF($E263=Keys!$C$59,$D263,$M263))</f>
        <v>0</v>
      </c>
      <c r="O263">
        <f t="shared" si="18"/>
        <v>1</v>
      </c>
      <c r="P263" s="10">
        <f>IF($E263=Keys!$C$60,Keys!$C$51,INDEX(Raw_BFPIaE!$G$9:$G$3032,MATCH($A263&amp;Keys!$C$54&amp;Keys!$C$55&amp;Keys!$C$54&amp;$B263,Raw_BFPIaE!$H$9:$H$3032,0)))</f>
        <v>112000000000</v>
      </c>
      <c r="Q263" s="10">
        <f>IF($E263=Keys!$C$60,Keys!$C$51,INDEX(Raw_BFPIaE!$G$9:$G$3032,MATCH($A263&amp;Keys!$C$54&amp;Keys!$C$56&amp;Keys!$C$54&amp;$B263,Raw_BFPIaE!$H$9:$H$3032,0)))</f>
        <v>22496233333333.332</v>
      </c>
      <c r="R263" s="10">
        <f>IF($E263=Keys!$C$60,Keys!$C$51,INDEX(Raw_BFPIaE!$G$9:$G$3032,MATCH($A263&amp;Keys!$C$54&amp;Keys!$C$57&amp;Keys!$C$54&amp;$B263,Raw_BFPIaE!$H$9:$H$3032,0)))</f>
        <v>0</v>
      </c>
      <c r="S263" s="11">
        <f>IF(($P263+$Q263-$R263+MAX(Keys!$C$51,$R263-$Q263))&gt;Keys!$C$51,MIN(Keys!$C$52,MAX(Keys!$C$51,$R263-$Q263)/($P263+$Q263-$R263+MAX(Keys!$C$51,$R263-$Q263))),Keys!$C$51)</f>
        <v>0</v>
      </c>
      <c r="T263">
        <f>IF(AND($I263&gt;$H263,ABS($L263-$G263)&gt;MAX(Keys!$C$62,ABS($G263)*Keys!$C$63)),1,0)</f>
        <v>0</v>
      </c>
      <c r="U263">
        <f>IF(OR($N263&lt;Keys!$C$51,$N263&gt;Keys!$C$52),1,0)</f>
        <v>0</v>
      </c>
      <c r="V263">
        <f>IF(AND($E263=Keys!$C$60,$N263&lt;&gt;Keys!$C$51),1,0)</f>
        <v>0</v>
      </c>
      <c r="W263">
        <f>IF($L263&gt;Keys!$C$51,IF($K263/$L263&gt;Keys!$C$52,1,0),0)</f>
        <v>0</v>
      </c>
      <c r="X263" s="11">
        <f t="shared" si="19"/>
        <v>0</v>
      </c>
    </row>
    <row r="264" spans="1:24" x14ac:dyDescent="0.25">
      <c r="A264" t="s">
        <v>96</v>
      </c>
      <c r="B264" t="s">
        <v>85</v>
      </c>
      <c r="C264" t="str">
        <f>VLOOKUP($B264,Keys!$F$2:$I$22,2,FALSE)</f>
        <v>petroleum gasoline</v>
      </c>
      <c r="D264">
        <f>VLOOKUP($B264,Keys!$F$2:$I$22,3,FALSE)</f>
        <v>7.5004052000000002E-2</v>
      </c>
      <c r="E264" t="str">
        <f>VLOOKUP($B264,Keys!$F$2:$I$22,4,FALSE)</f>
        <v>rule</v>
      </c>
      <c r="F264" t="str">
        <f>$A264&amp;Keys!$C$54&amp;$B264</f>
        <v>IN|petroleum gasoline</v>
      </c>
      <c r="G264" s="10">
        <f>IF($E264=Keys!$C$60,Keys!$C$51,INDEX(Balanced_2025!$D$9:$D$3032,MATCH($A264&amp;Keys!$C$54&amp;Keys!$C$55&amp;Keys!$C$54&amp;$C264,Balanced_2025!$E$9:$E$3032,0)))</f>
        <v>455650000000000</v>
      </c>
      <c r="H264" s="10">
        <f>IF($E264=Keys!$C$60,Keys!$C$51,INDEX(Balanced_2025!$D$9:$D$3032,MATCH($A264&amp;Keys!$C$54&amp;Keys!$C$56&amp;Keys!$C$54&amp;$C264,Balanced_2025!$E$9:$E$3032,0)))</f>
        <v>16611700000000</v>
      </c>
      <c r="I264" s="10">
        <f>IF($E264=Keys!$C$60,Keys!$C$51,INDEX(Balanced_2025!$D$9:$D$3032,MATCH($A264&amp;Keys!$C$54&amp;Keys!$C$57&amp;Keys!$C$54&amp;$C264,Balanced_2025!$E$9:$E$3032,0)))</f>
        <v>154959000000000</v>
      </c>
      <c r="J264" s="10">
        <f t="shared" si="16"/>
        <v>317302700000000</v>
      </c>
      <c r="K264" s="10">
        <f>MAX(Keys!$C$51,$I264-$H264)</f>
        <v>138347300000000</v>
      </c>
      <c r="L264" s="10">
        <f t="shared" si="17"/>
        <v>455650000000000</v>
      </c>
      <c r="M264" s="11">
        <f>IF($L264&gt;Keys!$C$51,MIN(Keys!$C$52,$K264/$L264),Keys!$C$51)</f>
        <v>0.30362624821683309</v>
      </c>
      <c r="N264" s="11">
        <f>IF($E264=Keys!$C$60,Keys!$C$51,IF($E264=Keys!$C$59,$D264,$M264))</f>
        <v>0.30362624821683309</v>
      </c>
      <c r="O264">
        <f t="shared" si="18"/>
        <v>1</v>
      </c>
      <c r="P264" s="10">
        <f>IF($E264=Keys!$C$60,Keys!$C$51,INDEX(Raw_BFPIaE!$G$9:$G$3032,MATCH($A264&amp;Keys!$C$54&amp;Keys!$C$55&amp;Keys!$C$54&amp;$B264,Raw_BFPIaE!$H$9:$H$3032,0)))</f>
        <v>451968666666666.69</v>
      </c>
      <c r="Q264" s="10">
        <f>IF($E264=Keys!$C$60,Keys!$C$51,INDEX(Raw_BFPIaE!$G$9:$G$3032,MATCH($A264&amp;Keys!$C$54&amp;Keys!$C$56&amp;Keys!$C$54&amp;$B264,Raw_BFPIaE!$H$9:$H$3032,0)))</f>
        <v>0</v>
      </c>
      <c r="R264" s="10">
        <f>IF($E264=Keys!$C$60,Keys!$C$51,INDEX(Raw_BFPIaE!$G$9:$G$3032,MATCH($A264&amp;Keys!$C$54&amp;Keys!$C$57&amp;Keys!$C$54&amp;$B264,Raw_BFPIaE!$H$9:$H$3032,0)))</f>
        <v>101116666666666.67</v>
      </c>
      <c r="S264" s="11">
        <f>IF(($P264+$Q264-$R264+MAX(Keys!$C$51,$R264-$Q264))&gt;Keys!$C$51,MIN(Keys!$C$52,MAX(Keys!$C$51,$R264-$Q264)/($P264+$Q264-$R264+MAX(Keys!$C$51,$R264-$Q264))),Keys!$C$51)</f>
        <v>0.22372494848462945</v>
      </c>
      <c r="T264">
        <f>IF(AND($I264&gt;$H264,ABS($L264-$G264)&gt;MAX(Keys!$C$62,ABS($G264)*Keys!$C$63)),1,0)</f>
        <v>0</v>
      </c>
      <c r="U264">
        <f>IF(OR($N264&lt;Keys!$C$51,$N264&gt;Keys!$C$52),1,0)</f>
        <v>0</v>
      </c>
      <c r="V264">
        <f>IF(AND($E264=Keys!$C$60,$N264&lt;&gt;Keys!$C$51),1,0)</f>
        <v>0</v>
      </c>
      <c r="W264">
        <f>IF($L264&gt;Keys!$C$51,IF($K264/$L264&gt;Keys!$C$52,1,0),0)</f>
        <v>0</v>
      </c>
      <c r="X264" s="11">
        <f t="shared" si="19"/>
        <v>7.990129973220364E-2</v>
      </c>
    </row>
    <row r="265" spans="1:24" x14ac:dyDescent="0.25">
      <c r="A265" t="s">
        <v>96</v>
      </c>
      <c r="B265" t="s">
        <v>88</v>
      </c>
      <c r="C265" t="str">
        <f>VLOOKUP($B265,Keys!$F$2:$I$22,2,FALSE)</f>
        <v>petroleum diesel</v>
      </c>
      <c r="D265">
        <f>VLOOKUP($B265,Keys!$F$2:$I$22,3,FALSE)</f>
        <v>0.26691051799999999</v>
      </c>
      <c r="E265" t="str">
        <f>VLOOKUP($B265,Keys!$F$2:$I$22,4,FALSE)</f>
        <v>rule</v>
      </c>
      <c r="F265" t="str">
        <f>$A265&amp;Keys!$C$54&amp;$B265</f>
        <v>IN|petroleum diesel</v>
      </c>
      <c r="G265" s="10">
        <f>IF($E265=Keys!$C$60,Keys!$C$51,INDEX(Balanced_2025!$D$9:$D$3032,MATCH($A265&amp;Keys!$C$54&amp;Keys!$C$55&amp;Keys!$C$54&amp;$C265,Balanced_2025!$E$9:$E$3032,0)))</f>
        <v>269524000000000</v>
      </c>
      <c r="H265" s="10">
        <f>IF($E265=Keys!$C$60,Keys!$C$51,INDEX(Balanced_2025!$D$9:$D$3032,MATCH($A265&amp;Keys!$C$54&amp;Keys!$C$56&amp;Keys!$C$54&amp;$C265,Balanced_2025!$E$9:$E$3032,0)))</f>
        <v>3942270000000</v>
      </c>
      <c r="I265" s="10">
        <f>IF($E265=Keys!$C$60,Keys!$C$51,INDEX(Balanced_2025!$D$9:$D$3032,MATCH($A265&amp;Keys!$C$54&amp;Keys!$C$57&amp;Keys!$C$54&amp;$C265,Balanced_2025!$E$9:$E$3032,0)))</f>
        <v>42648400000000</v>
      </c>
      <c r="J265" s="10">
        <f t="shared" si="16"/>
        <v>230817870000000</v>
      </c>
      <c r="K265" s="10">
        <f>MAX(Keys!$C$51,$I265-$H265)</f>
        <v>38706130000000</v>
      </c>
      <c r="L265" s="10">
        <f t="shared" si="17"/>
        <v>269524000000000</v>
      </c>
      <c r="M265" s="11">
        <f>IF($L265&gt;Keys!$C$51,MIN(Keys!$C$52,$K265/$L265),Keys!$C$51)</f>
        <v>0.14360921476380581</v>
      </c>
      <c r="N265" s="11">
        <f>IF($E265=Keys!$C$60,Keys!$C$51,IF($E265=Keys!$C$59,$D265,$M265))</f>
        <v>0.14360921476380581</v>
      </c>
      <c r="O265">
        <f t="shared" si="18"/>
        <v>1</v>
      </c>
      <c r="P265" s="10">
        <f>IF($E265=Keys!$C$60,Keys!$C$51,INDEX(Raw_BFPIaE!$G$9:$G$3032,MATCH($A265&amp;Keys!$C$54&amp;Keys!$C$55&amp;Keys!$C$54&amp;$B265,Raw_BFPIaE!$H$9:$H$3032,0)))</f>
        <v>267346333333333.34</v>
      </c>
      <c r="Q265" s="10">
        <f>IF($E265=Keys!$C$60,Keys!$C$51,INDEX(Raw_BFPIaE!$G$9:$G$3032,MATCH($A265&amp;Keys!$C$54&amp;Keys!$C$56&amp;Keys!$C$54&amp;$B265,Raw_BFPIaE!$H$9:$H$3032,0)))</f>
        <v>0</v>
      </c>
      <c r="R265" s="10">
        <f>IF($E265=Keys!$C$60,Keys!$C$51,INDEX(Raw_BFPIaE!$G$9:$G$3032,MATCH($A265&amp;Keys!$C$54&amp;Keys!$C$57&amp;Keys!$C$54&amp;$B265,Raw_BFPIaE!$H$9:$H$3032,0)))</f>
        <v>26142266666666.668</v>
      </c>
      <c r="S265" s="11">
        <f>IF(($P265+$Q265-$R265+MAX(Keys!$C$51,$R265-$Q265))&gt;Keys!$C$51,MIN(Keys!$C$52,MAX(Keys!$C$51,$R265-$Q265)/($P265+$Q265-$R265+MAX(Keys!$C$51,$R265-$Q265))),Keys!$C$51)</f>
        <v>9.7784272335883923E-2</v>
      </c>
      <c r="T265">
        <f>IF(AND($I265&gt;$H265,ABS($L265-$G265)&gt;MAX(Keys!$C$62,ABS($G265)*Keys!$C$63)),1,0)</f>
        <v>0</v>
      </c>
      <c r="U265">
        <f>IF(OR($N265&lt;Keys!$C$51,$N265&gt;Keys!$C$52),1,0)</f>
        <v>0</v>
      </c>
      <c r="V265">
        <f>IF(AND($E265=Keys!$C$60,$N265&lt;&gt;Keys!$C$51),1,0)</f>
        <v>0</v>
      </c>
      <c r="W265">
        <f>IF($L265&gt;Keys!$C$51,IF($K265/$L265&gt;Keys!$C$52,1,0),0)</f>
        <v>0</v>
      </c>
      <c r="X265" s="11">
        <f t="shared" si="19"/>
        <v>4.5824942427921886E-2</v>
      </c>
    </row>
    <row r="266" spans="1:24" x14ac:dyDescent="0.25">
      <c r="A266" t="s">
        <v>96</v>
      </c>
      <c r="B266" t="s">
        <v>91</v>
      </c>
      <c r="C266" t="str">
        <f>VLOOKUP($B266,Keys!$F$2:$I$22,2,FALSE)</f>
        <v>biofuel gasoline</v>
      </c>
      <c r="D266">
        <f>VLOOKUP($B266,Keys!$F$2:$I$22,3,FALSE)</f>
        <v>8.7213884000000005E-2</v>
      </c>
      <c r="E266" t="str">
        <f>VLOOKUP($B266,Keys!$F$2:$I$22,4,FALSE)</f>
        <v>rule</v>
      </c>
      <c r="F266" t="str">
        <f>$A266&amp;Keys!$C$54&amp;$B266</f>
        <v>IN|biofuel gasoline</v>
      </c>
      <c r="G266" s="10">
        <f>IF($E266=Keys!$C$60,Keys!$C$51,INDEX(Balanced_2025!$D$9:$D$3032,MATCH($A266&amp;Keys!$C$54&amp;Keys!$C$55&amp;Keys!$C$54&amp;$C266,Balanced_2025!$E$9:$E$3032,0)))</f>
        <v>110398000000000</v>
      </c>
      <c r="H266" s="10">
        <f>IF($E266=Keys!$C$60,Keys!$C$51,INDEX(Balanced_2025!$D$9:$D$3032,MATCH($A266&amp;Keys!$C$54&amp;Keys!$C$56&amp;Keys!$C$54&amp;$C266,Balanced_2025!$E$9:$E$3032,0)))</f>
        <v>1079050000000</v>
      </c>
      <c r="I266" s="10">
        <f>IF($E266=Keys!$C$60,Keys!$C$51,INDEX(Balanced_2025!$D$9:$D$3032,MATCH($A266&amp;Keys!$C$54&amp;Keys!$C$57&amp;Keys!$C$54&amp;$C266,Balanced_2025!$E$9:$E$3032,0)))</f>
        <v>89377200000000</v>
      </c>
      <c r="J266" s="10">
        <f t="shared" si="16"/>
        <v>22099850000000</v>
      </c>
      <c r="K266" s="10">
        <f>MAX(Keys!$C$51,$I266-$H266)</f>
        <v>88298150000000</v>
      </c>
      <c r="L266" s="10">
        <f t="shared" si="17"/>
        <v>110398000000000</v>
      </c>
      <c r="M266" s="11">
        <f>IF($L266&gt;Keys!$C$51,MIN(Keys!$C$52,$K266/$L266),Keys!$C$51)</f>
        <v>0.79981657276399931</v>
      </c>
      <c r="N266" s="11">
        <f>IF($E266=Keys!$C$60,Keys!$C$51,IF($E266=Keys!$C$59,$D266,$M266))</f>
        <v>0.79981657276399931</v>
      </c>
      <c r="O266">
        <f t="shared" si="18"/>
        <v>1</v>
      </c>
      <c r="P266" s="10">
        <f>IF($E266=Keys!$C$60,Keys!$C$51,INDEX(Raw_BFPIaE!$G$9:$G$3032,MATCH($A266&amp;Keys!$C$54&amp;Keys!$C$55&amp;Keys!$C$54&amp;$B266,Raw_BFPIaE!$H$9:$H$3032,0)))</f>
        <v>110501333333333.33</v>
      </c>
      <c r="Q266" s="10">
        <f>IF($E266=Keys!$C$60,Keys!$C$51,INDEX(Raw_BFPIaE!$G$9:$G$3032,MATCH($A266&amp;Keys!$C$54&amp;Keys!$C$56&amp;Keys!$C$54&amp;$B266,Raw_BFPIaE!$H$9:$H$3032,0)))</f>
        <v>0</v>
      </c>
      <c r="R266" s="10">
        <f>IF($E266=Keys!$C$60,Keys!$C$51,INDEX(Raw_BFPIaE!$G$9:$G$3032,MATCH($A266&amp;Keys!$C$54&amp;Keys!$C$57&amp;Keys!$C$54&amp;$B266,Raw_BFPIaE!$H$9:$H$3032,0)))</f>
        <v>59796933333333.336</v>
      </c>
      <c r="S266" s="11">
        <f>IF(($P266+$Q266-$R266+MAX(Keys!$C$51,$R266-$Q266))&gt;Keys!$C$51,MIN(Keys!$C$52,MAX(Keys!$C$51,$R266-$Q266)/($P266+$Q266-$R266+MAX(Keys!$C$51,$R266-$Q266))),Keys!$C$51)</f>
        <v>0.54114218832955263</v>
      </c>
      <c r="T266">
        <f>IF(AND($I266&gt;$H266,ABS($L266-$G266)&gt;MAX(Keys!$C$62,ABS($G266)*Keys!$C$63)),1,0)</f>
        <v>0</v>
      </c>
      <c r="U266">
        <f>IF(OR($N266&lt;Keys!$C$51,$N266&gt;Keys!$C$52),1,0)</f>
        <v>0</v>
      </c>
      <c r="V266">
        <f>IF(AND($E266=Keys!$C$60,$N266&lt;&gt;Keys!$C$51),1,0)</f>
        <v>0</v>
      </c>
      <c r="W266">
        <f>IF($L266&gt;Keys!$C$51,IF($K266/$L266&gt;Keys!$C$52,1,0),0)</f>
        <v>0</v>
      </c>
      <c r="X266" s="11">
        <f t="shared" si="19"/>
        <v>0.25867438443444668</v>
      </c>
    </row>
    <row r="267" spans="1:24" x14ac:dyDescent="0.25">
      <c r="A267" t="s">
        <v>96</v>
      </c>
      <c r="B267" t="s">
        <v>94</v>
      </c>
      <c r="C267" t="str">
        <f>VLOOKUP($B267,Keys!$F$2:$I$22,2,FALSE)</f>
        <v>biofuel diesel</v>
      </c>
      <c r="D267">
        <f>VLOOKUP($B267,Keys!$F$2:$I$22,3,FALSE)</f>
        <v>5.8642381E-2</v>
      </c>
      <c r="E267" t="str">
        <f>VLOOKUP($B267,Keys!$F$2:$I$22,4,FALSE)</f>
        <v>rule</v>
      </c>
      <c r="F267" t="str">
        <f>$A267&amp;Keys!$C$54&amp;$B267</f>
        <v>IN|biofuel diesel</v>
      </c>
      <c r="G267" s="10">
        <f>IF($E267=Keys!$C$60,Keys!$C$51,INDEX(Balanced_2025!$D$9:$D$3032,MATCH($A267&amp;Keys!$C$54&amp;Keys!$C$55&amp;Keys!$C$54&amp;$C267,Balanced_2025!$E$9:$E$3032,0)))</f>
        <v>32068700000000</v>
      </c>
      <c r="H267" s="10">
        <f>IF($E267=Keys!$C$60,Keys!$C$51,INDEX(Balanced_2025!$D$9:$D$3032,MATCH($A267&amp;Keys!$C$54&amp;Keys!$C$56&amp;Keys!$C$54&amp;$C267,Balanced_2025!$E$9:$E$3032,0)))</f>
        <v>70782200000</v>
      </c>
      <c r="I267" s="10">
        <f>IF($E267=Keys!$C$60,Keys!$C$51,INDEX(Balanced_2025!$D$9:$D$3032,MATCH($A267&amp;Keys!$C$54&amp;Keys!$C$57&amp;Keys!$C$54&amp;$C267,Balanced_2025!$E$9:$E$3032,0)))</f>
        <v>27896500000000</v>
      </c>
      <c r="J267" s="10">
        <f t="shared" si="16"/>
        <v>4242982200000</v>
      </c>
      <c r="K267" s="10">
        <f>MAX(Keys!$C$51,$I267-$H267)</f>
        <v>27825717800000</v>
      </c>
      <c r="L267" s="10">
        <f t="shared" si="17"/>
        <v>32068700000000</v>
      </c>
      <c r="M267" s="11">
        <f>IF($L267&gt;Keys!$C$51,MIN(Keys!$C$52,$K267/$L267),Keys!$C$51)</f>
        <v>0.86769085744043262</v>
      </c>
      <c r="N267" s="11">
        <f>IF($E267=Keys!$C$60,Keys!$C$51,IF($E267=Keys!$C$59,$D267,$M267))</f>
        <v>0.86769085744043262</v>
      </c>
      <c r="O267">
        <f t="shared" si="18"/>
        <v>1</v>
      </c>
      <c r="P267" s="10">
        <f>IF($E267=Keys!$C$60,Keys!$C$51,INDEX(Raw_BFPIaE!$G$9:$G$3032,MATCH($A267&amp;Keys!$C$54&amp;Keys!$C$55&amp;Keys!$C$54&amp;$B267,Raw_BFPIaE!$H$9:$H$3032,0)))</f>
        <v>34076900000000</v>
      </c>
      <c r="Q267" s="10">
        <f>IF($E267=Keys!$C$60,Keys!$C$51,INDEX(Raw_BFPIaE!$G$9:$G$3032,MATCH($A267&amp;Keys!$C$54&amp;Keys!$C$56&amp;Keys!$C$54&amp;$B267,Raw_BFPIaE!$H$9:$H$3032,0)))</f>
        <v>0</v>
      </c>
      <c r="R267" s="10">
        <f>IF($E267=Keys!$C$60,Keys!$C$51,INDEX(Raw_BFPIaE!$G$9:$G$3032,MATCH($A267&amp;Keys!$C$54&amp;Keys!$C$57&amp;Keys!$C$54&amp;$B267,Raw_BFPIaE!$H$9:$H$3032,0)))</f>
        <v>20606766666666.668</v>
      </c>
      <c r="S267" s="11">
        <f>IF(($P267+$Q267-$R267+MAX(Keys!$C$51,$R267-$Q267))&gt;Keys!$C$51,MIN(Keys!$C$52,MAX(Keys!$C$51,$R267-$Q267)/($P267+$Q267-$R267+MAX(Keys!$C$51,$R267-$Q267))),Keys!$C$51)</f>
        <v>0.60471365255251119</v>
      </c>
      <c r="T267">
        <f>IF(AND($I267&gt;$H267,ABS($L267-$G267)&gt;MAX(Keys!$C$62,ABS($G267)*Keys!$C$63)),1,0)</f>
        <v>0</v>
      </c>
      <c r="U267">
        <f>IF(OR($N267&lt;Keys!$C$51,$N267&gt;Keys!$C$52),1,0)</f>
        <v>0</v>
      </c>
      <c r="V267">
        <f>IF(AND($E267=Keys!$C$60,$N267&lt;&gt;Keys!$C$51),1,0)</f>
        <v>0</v>
      </c>
      <c r="W267">
        <f>IF($L267&gt;Keys!$C$51,IF($K267/$L267&gt;Keys!$C$52,1,0),0)</f>
        <v>0</v>
      </c>
      <c r="X267" s="11">
        <f t="shared" si="19"/>
        <v>0.26297720488792142</v>
      </c>
    </row>
    <row r="268" spans="1:24" x14ac:dyDescent="0.25">
      <c r="A268" t="s">
        <v>96</v>
      </c>
      <c r="B268" t="s">
        <v>97</v>
      </c>
      <c r="C268" t="str">
        <f>VLOOKUP($B268,Keys!$F$2:$I$22,2,FALSE)</f>
        <v>jet fuel or kerosene</v>
      </c>
      <c r="D268">
        <f>VLOOKUP($B268,Keys!$F$2:$I$22,3,FALSE)</f>
        <v>0.10155994</v>
      </c>
      <c r="E268" t="str">
        <f>VLOOKUP($B268,Keys!$F$2:$I$22,4,FALSE)</f>
        <v>rule</v>
      </c>
      <c r="F268" t="str">
        <f>$A268&amp;Keys!$C$54&amp;$B268</f>
        <v>IN|jet fuel or kerosene</v>
      </c>
      <c r="G268" s="10">
        <f>IF($E268=Keys!$C$60,Keys!$C$51,INDEX(Balanced_2025!$D$9:$D$3032,MATCH($A268&amp;Keys!$C$54&amp;Keys!$C$55&amp;Keys!$C$54&amp;$C268,Balanced_2025!$E$9:$E$3032,0)))</f>
        <v>95945000000000</v>
      </c>
      <c r="H268" s="10">
        <f>IF($E268=Keys!$C$60,Keys!$C$51,INDEX(Balanced_2025!$D$9:$D$3032,MATCH($A268&amp;Keys!$C$54&amp;Keys!$C$56&amp;Keys!$C$54&amp;$C268,Balanced_2025!$E$9:$E$3032,0)))</f>
        <v>0</v>
      </c>
      <c r="I268" s="10">
        <f>IF($E268=Keys!$C$60,Keys!$C$51,INDEX(Balanced_2025!$D$9:$D$3032,MATCH($A268&amp;Keys!$C$54&amp;Keys!$C$57&amp;Keys!$C$54&amp;$C268,Balanced_2025!$E$9:$E$3032,0)))</f>
        <v>73900000000000</v>
      </c>
      <c r="J268" s="10">
        <f t="shared" si="16"/>
        <v>22045000000000</v>
      </c>
      <c r="K268" s="10">
        <f>MAX(Keys!$C$51,$I268-$H268)</f>
        <v>73900000000000</v>
      </c>
      <c r="L268" s="10">
        <f t="shared" si="17"/>
        <v>95945000000000</v>
      </c>
      <c r="M268" s="11">
        <f>IF($L268&gt;Keys!$C$51,MIN(Keys!$C$52,$K268/$L268),Keys!$C$51)</f>
        <v>0.77023294595862213</v>
      </c>
      <c r="N268" s="11">
        <f>IF($E268=Keys!$C$60,Keys!$C$51,IF($E268=Keys!$C$59,$D268,$M268))</f>
        <v>0.77023294595862213</v>
      </c>
      <c r="O268">
        <f t="shared" si="18"/>
        <v>1</v>
      </c>
      <c r="P268" s="10">
        <f>IF($E268=Keys!$C$60,Keys!$C$51,INDEX(Raw_BFPIaE!$G$9:$G$3032,MATCH($A268&amp;Keys!$C$54&amp;Keys!$C$55&amp;Keys!$C$54&amp;$B268,Raw_BFPIaE!$H$9:$H$3032,0)))</f>
        <v>95169833333333.328</v>
      </c>
      <c r="Q268" s="10">
        <f>IF($E268=Keys!$C$60,Keys!$C$51,INDEX(Raw_BFPIaE!$G$9:$G$3032,MATCH($A268&amp;Keys!$C$54&amp;Keys!$C$56&amp;Keys!$C$54&amp;$B268,Raw_BFPIaE!$H$9:$H$3032,0)))</f>
        <v>0</v>
      </c>
      <c r="R268" s="10">
        <f>IF($E268=Keys!$C$60,Keys!$C$51,INDEX(Raw_BFPIaE!$G$9:$G$3032,MATCH($A268&amp;Keys!$C$54&amp;Keys!$C$57&amp;Keys!$C$54&amp;$B268,Raw_BFPIaE!$H$9:$H$3032,0)))</f>
        <v>48128333333333.336</v>
      </c>
      <c r="S268" s="11">
        <f>IF(($P268+$Q268-$R268+MAX(Keys!$C$51,$R268-$Q268))&gt;Keys!$C$51,MIN(Keys!$C$52,MAX(Keys!$C$51,$R268-$Q268)/($P268+$Q268-$R268+MAX(Keys!$C$51,$R268-$Q268))),Keys!$C$51)</f>
        <v>0.50570996761929121</v>
      </c>
      <c r="T268">
        <f>IF(AND($I268&gt;$H268,ABS($L268-$G268)&gt;MAX(Keys!$C$62,ABS($G268)*Keys!$C$63)),1,0)</f>
        <v>0</v>
      </c>
      <c r="U268">
        <f>IF(OR($N268&lt;Keys!$C$51,$N268&gt;Keys!$C$52),1,0)</f>
        <v>0</v>
      </c>
      <c r="V268">
        <f>IF(AND($E268=Keys!$C$60,$N268&lt;&gt;Keys!$C$51),1,0)</f>
        <v>0</v>
      </c>
      <c r="W268">
        <f>IF($L268&gt;Keys!$C$51,IF($K268/$L268&gt;Keys!$C$52,1,0),0)</f>
        <v>0</v>
      </c>
      <c r="X268" s="11">
        <f t="shared" si="19"/>
        <v>0.26452297833933092</v>
      </c>
    </row>
    <row r="269" spans="1:24" x14ac:dyDescent="0.25">
      <c r="A269" t="s">
        <v>96</v>
      </c>
      <c r="B269" t="s">
        <v>100</v>
      </c>
      <c r="C269">
        <f>VLOOKUP($B269,Keys!$F$2:$I$22,2,FALSE)</f>
        <v>0</v>
      </c>
      <c r="D269">
        <f>VLOOKUP($B269,Keys!$F$2:$I$22,3,FALSE)</f>
        <v>0</v>
      </c>
      <c r="E269" t="str">
        <f>VLOOKUP($B269,Keys!$F$2:$I$22,4,FALSE)</f>
        <v>zero</v>
      </c>
      <c r="F269" t="str">
        <f>$A269&amp;Keys!$C$54&amp;$B269</f>
        <v>IN|heat (not used in this variable)</v>
      </c>
      <c r="G269" s="10">
        <f>IF($E269=Keys!$C$60,Keys!$C$51,INDEX(Balanced_2025!$D$9:$D$3032,MATCH($A269&amp;Keys!$C$54&amp;Keys!$C$55&amp;Keys!$C$54&amp;$C269,Balanced_2025!$E$9:$E$3032,0)))</f>
        <v>0</v>
      </c>
      <c r="H269" s="10">
        <f>IF($E269=Keys!$C$60,Keys!$C$51,INDEX(Balanced_2025!$D$9:$D$3032,MATCH($A269&amp;Keys!$C$54&amp;Keys!$C$56&amp;Keys!$C$54&amp;$C269,Balanced_2025!$E$9:$E$3032,0)))</f>
        <v>0</v>
      </c>
      <c r="I269" s="10">
        <f>IF($E269=Keys!$C$60,Keys!$C$51,INDEX(Balanced_2025!$D$9:$D$3032,MATCH($A269&amp;Keys!$C$54&amp;Keys!$C$57&amp;Keys!$C$54&amp;$C269,Balanced_2025!$E$9:$E$3032,0)))</f>
        <v>0</v>
      </c>
      <c r="J269" s="10">
        <f t="shared" si="16"/>
        <v>0</v>
      </c>
      <c r="K269" s="10">
        <f>MAX(Keys!$C$51,$I269-$H269)</f>
        <v>0</v>
      </c>
      <c r="L269" s="10">
        <f t="shared" si="17"/>
        <v>0</v>
      </c>
      <c r="M269" s="11">
        <f>IF($L269&gt;Keys!$C$51,MIN(Keys!$C$52,$K269/$L269),Keys!$C$51)</f>
        <v>0</v>
      </c>
      <c r="N269" s="11">
        <f>IF($E269=Keys!$C$60,Keys!$C$51,IF($E269=Keys!$C$59,$D269,$M269))</f>
        <v>0</v>
      </c>
      <c r="O269">
        <f t="shared" si="18"/>
        <v>0</v>
      </c>
      <c r="P269" s="10">
        <f>IF($E269=Keys!$C$60,Keys!$C$51,INDEX(Raw_BFPIaE!$G$9:$G$3032,MATCH($A269&amp;Keys!$C$54&amp;Keys!$C$55&amp;Keys!$C$54&amp;$B269,Raw_BFPIaE!$H$9:$H$3032,0)))</f>
        <v>0</v>
      </c>
      <c r="Q269" s="10">
        <f>IF($E269=Keys!$C$60,Keys!$C$51,INDEX(Raw_BFPIaE!$G$9:$G$3032,MATCH($A269&amp;Keys!$C$54&amp;Keys!$C$56&amp;Keys!$C$54&amp;$B269,Raw_BFPIaE!$H$9:$H$3032,0)))</f>
        <v>0</v>
      </c>
      <c r="R269" s="10">
        <f>IF($E269=Keys!$C$60,Keys!$C$51,INDEX(Raw_BFPIaE!$G$9:$G$3032,MATCH($A269&amp;Keys!$C$54&amp;Keys!$C$57&amp;Keys!$C$54&amp;$B269,Raw_BFPIaE!$H$9:$H$3032,0)))</f>
        <v>0</v>
      </c>
      <c r="S269" s="11">
        <f>IF(($P269+$Q269-$R269+MAX(Keys!$C$51,$R269-$Q269))&gt;Keys!$C$51,MIN(Keys!$C$52,MAX(Keys!$C$51,$R269-$Q269)/($P269+$Q269-$R269+MAX(Keys!$C$51,$R269-$Q269))),Keys!$C$51)</f>
        <v>0</v>
      </c>
      <c r="T269">
        <f>IF(AND($I269&gt;$H269,ABS($L269-$G269)&gt;MAX(Keys!$C$62,ABS($G269)*Keys!$C$63)),1,0)</f>
        <v>0</v>
      </c>
      <c r="U269">
        <f>IF(OR($N269&lt;Keys!$C$51,$N269&gt;Keys!$C$52),1,0)</f>
        <v>0</v>
      </c>
      <c r="V269">
        <f>IF(AND($E269=Keys!$C$60,$N269&lt;&gt;Keys!$C$51),1,0)</f>
        <v>0</v>
      </c>
      <c r="W269">
        <f>IF($L269&gt;Keys!$C$51,IF($K269/$L269&gt;Keys!$C$52,1,0),0)</f>
        <v>0</v>
      </c>
      <c r="X269" s="11">
        <f t="shared" si="19"/>
        <v>0</v>
      </c>
    </row>
    <row r="270" spans="1:24" x14ac:dyDescent="0.25">
      <c r="A270" t="s">
        <v>96</v>
      </c>
      <c r="B270" t="s">
        <v>103</v>
      </c>
      <c r="C270">
        <f>VLOOKUP($B270,Keys!$F$2:$I$22,2,FALSE)</f>
        <v>0</v>
      </c>
      <c r="D270">
        <f>VLOOKUP($B270,Keys!$F$2:$I$22,3,FALSE)</f>
        <v>0</v>
      </c>
      <c r="E270" t="str">
        <f>VLOOKUP($B270,Keys!$F$2:$I$22,4,FALSE)</f>
        <v>zero</v>
      </c>
      <c r="F270" t="str">
        <f>$A270&amp;Keys!$C$54&amp;$B270</f>
        <v>IN|geothermal (is not a fuel)</v>
      </c>
      <c r="G270" s="10">
        <f>IF($E270=Keys!$C$60,Keys!$C$51,INDEX(Balanced_2025!$D$9:$D$3032,MATCH($A270&amp;Keys!$C$54&amp;Keys!$C$55&amp;Keys!$C$54&amp;$C270,Balanced_2025!$E$9:$E$3032,0)))</f>
        <v>0</v>
      </c>
      <c r="H270" s="10">
        <f>IF($E270=Keys!$C$60,Keys!$C$51,INDEX(Balanced_2025!$D$9:$D$3032,MATCH($A270&amp;Keys!$C$54&amp;Keys!$C$56&amp;Keys!$C$54&amp;$C270,Balanced_2025!$E$9:$E$3032,0)))</f>
        <v>0</v>
      </c>
      <c r="I270" s="10">
        <f>IF($E270=Keys!$C$60,Keys!$C$51,INDEX(Balanced_2025!$D$9:$D$3032,MATCH($A270&amp;Keys!$C$54&amp;Keys!$C$57&amp;Keys!$C$54&amp;$C270,Balanced_2025!$E$9:$E$3032,0)))</f>
        <v>0</v>
      </c>
      <c r="J270" s="10">
        <f t="shared" si="16"/>
        <v>0</v>
      </c>
      <c r="K270" s="10">
        <f>MAX(Keys!$C$51,$I270-$H270)</f>
        <v>0</v>
      </c>
      <c r="L270" s="10">
        <f t="shared" si="17"/>
        <v>0</v>
      </c>
      <c r="M270" s="11">
        <f>IF($L270&gt;Keys!$C$51,MIN(Keys!$C$52,$K270/$L270),Keys!$C$51)</f>
        <v>0</v>
      </c>
      <c r="N270" s="11">
        <f>IF($E270=Keys!$C$60,Keys!$C$51,IF($E270=Keys!$C$59,$D270,$M270))</f>
        <v>0</v>
      </c>
      <c r="O270">
        <f t="shared" si="18"/>
        <v>0</v>
      </c>
      <c r="P270" s="10">
        <f>IF($E270=Keys!$C$60,Keys!$C$51,INDEX(Raw_BFPIaE!$G$9:$G$3032,MATCH($A270&amp;Keys!$C$54&amp;Keys!$C$55&amp;Keys!$C$54&amp;$B270,Raw_BFPIaE!$H$9:$H$3032,0)))</f>
        <v>0</v>
      </c>
      <c r="Q270" s="10">
        <f>IF($E270=Keys!$C$60,Keys!$C$51,INDEX(Raw_BFPIaE!$G$9:$G$3032,MATCH($A270&amp;Keys!$C$54&amp;Keys!$C$56&amp;Keys!$C$54&amp;$B270,Raw_BFPIaE!$H$9:$H$3032,0)))</f>
        <v>0</v>
      </c>
      <c r="R270" s="10">
        <f>IF($E270=Keys!$C$60,Keys!$C$51,INDEX(Raw_BFPIaE!$G$9:$G$3032,MATCH($A270&amp;Keys!$C$54&amp;Keys!$C$57&amp;Keys!$C$54&amp;$B270,Raw_BFPIaE!$H$9:$H$3032,0)))</f>
        <v>0</v>
      </c>
      <c r="S270" s="11">
        <f>IF(($P270+$Q270-$R270+MAX(Keys!$C$51,$R270-$Q270))&gt;Keys!$C$51,MIN(Keys!$C$52,MAX(Keys!$C$51,$R270-$Q270)/($P270+$Q270-$R270+MAX(Keys!$C$51,$R270-$Q270))),Keys!$C$51)</f>
        <v>0</v>
      </c>
      <c r="T270">
        <f>IF(AND($I270&gt;$H270,ABS($L270-$G270)&gt;MAX(Keys!$C$62,ABS($G270)*Keys!$C$63)),1,0)</f>
        <v>0</v>
      </c>
      <c r="U270">
        <f>IF(OR($N270&lt;Keys!$C$51,$N270&gt;Keys!$C$52),1,0)</f>
        <v>0</v>
      </c>
      <c r="V270">
        <f>IF(AND($E270=Keys!$C$60,$N270&lt;&gt;Keys!$C$51),1,0)</f>
        <v>0</v>
      </c>
      <c r="W270">
        <f>IF($L270&gt;Keys!$C$51,IF($K270/$L270&gt;Keys!$C$52,1,0),0)</f>
        <v>0</v>
      </c>
      <c r="X270" s="11">
        <f t="shared" si="19"/>
        <v>0</v>
      </c>
    </row>
    <row r="271" spans="1:24" x14ac:dyDescent="0.25">
      <c r="A271" t="s">
        <v>96</v>
      </c>
      <c r="B271" t="s">
        <v>106</v>
      </c>
      <c r="C271" t="str">
        <f>VLOOKUP($B271,Keys!$F$2:$I$22,2,FALSE)</f>
        <v>lignite</v>
      </c>
      <c r="D271">
        <f>VLOOKUP($B271,Keys!$F$2:$I$22,3,FALSE)</f>
        <v>0</v>
      </c>
      <c r="E271" t="str">
        <f>VLOOKUP($B271,Keys!$F$2:$I$22,4,FALSE)</f>
        <v>rule</v>
      </c>
      <c r="F271" t="str">
        <f>$A271&amp;Keys!$C$54&amp;$B271</f>
        <v>IN|lignite</v>
      </c>
      <c r="G271" s="10">
        <f>IF($E271=Keys!$C$60,Keys!$C$51,INDEX(Balanced_2025!$D$9:$D$3032,MATCH($A271&amp;Keys!$C$54&amp;Keys!$C$55&amp;Keys!$C$54&amp;$C271,Balanced_2025!$E$9:$E$3032,0)))</f>
        <v>0</v>
      </c>
      <c r="H271" s="10">
        <f>IF($E271=Keys!$C$60,Keys!$C$51,INDEX(Balanced_2025!$D$9:$D$3032,MATCH($A271&amp;Keys!$C$54&amp;Keys!$C$56&amp;Keys!$C$54&amp;$C271,Balanced_2025!$E$9:$E$3032,0)))</f>
        <v>0</v>
      </c>
      <c r="I271" s="10">
        <f>IF($E271=Keys!$C$60,Keys!$C$51,INDEX(Balanced_2025!$D$9:$D$3032,MATCH($A271&amp;Keys!$C$54&amp;Keys!$C$57&amp;Keys!$C$54&amp;$C271,Balanced_2025!$E$9:$E$3032,0)))</f>
        <v>0</v>
      </c>
      <c r="J271" s="10">
        <f t="shared" si="16"/>
        <v>0</v>
      </c>
      <c r="K271" s="10">
        <f>MAX(Keys!$C$51,$I271-$H271)</f>
        <v>0</v>
      </c>
      <c r="L271" s="10">
        <f t="shared" si="17"/>
        <v>0</v>
      </c>
      <c r="M271" s="11">
        <f>IF($L271&gt;Keys!$C$51,MIN(Keys!$C$52,$K271/$L271),Keys!$C$51)</f>
        <v>0</v>
      </c>
      <c r="N271" s="11">
        <f>IF($E271=Keys!$C$60,Keys!$C$51,IF($E271=Keys!$C$59,$D271,$M271))</f>
        <v>0</v>
      </c>
      <c r="O271">
        <f t="shared" si="18"/>
        <v>0</v>
      </c>
      <c r="P271" s="10">
        <f>IF($E271=Keys!$C$60,Keys!$C$51,INDEX(Raw_BFPIaE!$G$9:$G$3032,MATCH($A271&amp;Keys!$C$54&amp;Keys!$C$55&amp;Keys!$C$54&amp;$B271,Raw_BFPIaE!$H$9:$H$3032,0)))</f>
        <v>0</v>
      </c>
      <c r="Q271" s="10">
        <f>IF($E271=Keys!$C$60,Keys!$C$51,INDEX(Raw_BFPIaE!$G$9:$G$3032,MATCH($A271&amp;Keys!$C$54&amp;Keys!$C$56&amp;Keys!$C$54&amp;$B271,Raw_BFPIaE!$H$9:$H$3032,0)))</f>
        <v>0</v>
      </c>
      <c r="R271" s="10">
        <f>IF($E271=Keys!$C$60,Keys!$C$51,INDEX(Raw_BFPIaE!$G$9:$G$3032,MATCH($A271&amp;Keys!$C$54&amp;Keys!$C$57&amp;Keys!$C$54&amp;$B271,Raw_BFPIaE!$H$9:$H$3032,0)))</f>
        <v>0</v>
      </c>
      <c r="S271" s="11">
        <f>IF(($P271+$Q271-$R271+MAX(Keys!$C$51,$R271-$Q271))&gt;Keys!$C$51,MIN(Keys!$C$52,MAX(Keys!$C$51,$R271-$Q271)/($P271+$Q271-$R271+MAX(Keys!$C$51,$R271-$Q271))),Keys!$C$51)</f>
        <v>0</v>
      </c>
      <c r="T271">
        <f>IF(AND($I271&gt;$H271,ABS($L271-$G271)&gt;MAX(Keys!$C$62,ABS($G271)*Keys!$C$63)),1,0)</f>
        <v>0</v>
      </c>
      <c r="U271">
        <f>IF(OR($N271&lt;Keys!$C$51,$N271&gt;Keys!$C$52),1,0)</f>
        <v>0</v>
      </c>
      <c r="V271">
        <f>IF(AND($E271=Keys!$C$60,$N271&lt;&gt;Keys!$C$51),1,0)</f>
        <v>0</v>
      </c>
      <c r="W271">
        <f>IF($L271&gt;Keys!$C$51,IF($K271/$L271&gt;Keys!$C$52,1,0),0)</f>
        <v>0</v>
      </c>
      <c r="X271" s="11">
        <f t="shared" si="19"/>
        <v>0</v>
      </c>
    </row>
    <row r="272" spans="1:24" x14ac:dyDescent="0.25">
      <c r="A272" t="s">
        <v>96</v>
      </c>
      <c r="B272" t="s">
        <v>109</v>
      </c>
      <c r="C272" t="str">
        <f>VLOOKUP($B272,Keys!$F$2:$I$22,2,FALSE)</f>
        <v>crude oil</v>
      </c>
      <c r="D272">
        <f>VLOOKUP($B272,Keys!$F$2:$I$22,3,FALSE)</f>
        <v>1</v>
      </c>
      <c r="E272" t="str">
        <f>VLOOKUP($B272,Keys!$F$2:$I$22,4,FALSE)</f>
        <v>hold</v>
      </c>
      <c r="F272" t="str">
        <f>$A272&amp;Keys!$C$54&amp;$B272</f>
        <v>IN|crude oil</v>
      </c>
      <c r="G272" s="10">
        <f>IF($E272=Keys!$C$60,Keys!$C$51,INDEX(Balanced_2025!$D$9:$D$3032,MATCH($A272&amp;Keys!$C$54&amp;Keys!$C$55&amp;Keys!$C$54&amp;$C272,Balanced_2025!$E$9:$E$3032,0)))</f>
        <v>9442400000000</v>
      </c>
      <c r="H272" s="10">
        <f>IF($E272=Keys!$C$60,Keys!$C$51,INDEX(Balanced_2025!$D$9:$D$3032,MATCH($A272&amp;Keys!$C$54&amp;Keys!$C$56&amp;Keys!$C$54&amp;$C272,Balanced_2025!$E$9:$E$3032,0)))</f>
        <v>944584000000000</v>
      </c>
      <c r="I272" s="10">
        <f>IF($E272=Keys!$C$60,Keys!$C$51,INDEX(Balanced_2025!$D$9:$D$3032,MATCH($A272&amp;Keys!$C$54&amp;Keys!$C$57&amp;Keys!$C$54&amp;$C272,Balanced_2025!$E$9:$E$3032,0)))</f>
        <v>0</v>
      </c>
      <c r="J272" s="10">
        <f t="shared" si="16"/>
        <v>954026400000000</v>
      </c>
      <c r="K272" s="10">
        <f>MAX(Keys!$C$51,$I272-$H272)</f>
        <v>0</v>
      </c>
      <c r="L272" s="10">
        <f t="shared" si="17"/>
        <v>954026400000000</v>
      </c>
      <c r="M272" s="11">
        <f>IF($L272&gt;Keys!$C$51,MIN(Keys!$C$52,$K272/$L272),Keys!$C$51)</f>
        <v>0</v>
      </c>
      <c r="N272" s="11">
        <f>IF($E272=Keys!$C$60,Keys!$C$51,IF($E272=Keys!$C$59,$D272,$M272))</f>
        <v>1</v>
      </c>
      <c r="O272">
        <f t="shared" si="18"/>
        <v>0</v>
      </c>
      <c r="P272" s="10">
        <f>IF($E272=Keys!$C$60,Keys!$C$51,INDEX(Raw_BFPIaE!$G$9:$G$3032,MATCH($A272&amp;Keys!$C$54&amp;Keys!$C$55&amp;Keys!$C$54&amp;$B272,Raw_BFPIaE!$H$9:$H$3032,0)))</f>
        <v>9155056666666.666</v>
      </c>
      <c r="Q272" s="10">
        <f>IF($E272=Keys!$C$60,Keys!$C$51,INDEX(Raw_BFPIaE!$G$9:$G$3032,MATCH($A272&amp;Keys!$C$54&amp;Keys!$C$56&amp;Keys!$C$54&amp;$B272,Raw_BFPIaE!$H$9:$H$3032,0)))</f>
        <v>630010000000000</v>
      </c>
      <c r="R272" s="10">
        <f>IF($E272=Keys!$C$60,Keys!$C$51,INDEX(Raw_BFPIaE!$G$9:$G$3032,MATCH($A272&amp;Keys!$C$54&amp;Keys!$C$57&amp;Keys!$C$54&amp;$B272,Raw_BFPIaE!$H$9:$H$3032,0)))</f>
        <v>0</v>
      </c>
      <c r="S272" s="11">
        <f>IF(($P272+$Q272-$R272+MAX(Keys!$C$51,$R272-$Q272))&gt;Keys!$C$51,MIN(Keys!$C$52,MAX(Keys!$C$51,$R272-$Q272)/($P272+$Q272-$R272+MAX(Keys!$C$51,$R272-$Q272))),Keys!$C$51)</f>
        <v>0</v>
      </c>
      <c r="T272">
        <f>IF(AND($I272&gt;$H272,ABS($L272-$G272)&gt;MAX(Keys!$C$62,ABS($G272)*Keys!$C$63)),1,0)</f>
        <v>0</v>
      </c>
      <c r="U272">
        <f>IF(OR($N272&lt;Keys!$C$51,$N272&gt;Keys!$C$52),1,0)</f>
        <v>0</v>
      </c>
      <c r="V272">
        <f>IF(AND($E272=Keys!$C$60,$N272&lt;&gt;Keys!$C$51),1,0)</f>
        <v>0</v>
      </c>
      <c r="W272">
        <f>IF($L272&gt;Keys!$C$51,IF($K272/$L272&gt;Keys!$C$52,1,0),0)</f>
        <v>0</v>
      </c>
      <c r="X272" s="11">
        <f t="shared" si="19"/>
        <v>0</v>
      </c>
    </row>
    <row r="273" spans="1:24" x14ac:dyDescent="0.25">
      <c r="A273" t="s">
        <v>96</v>
      </c>
      <c r="B273" t="s">
        <v>113</v>
      </c>
      <c r="C273" t="str">
        <f>VLOOKUP($B273,Keys!$F$2:$I$22,2,FALSE)</f>
        <v>heavy or residual fuel oil</v>
      </c>
      <c r="D273">
        <f>VLOOKUP($B273,Keys!$F$2:$I$22,3,FALSE)</f>
        <v>0.49914171099999999</v>
      </c>
      <c r="E273" t="str">
        <f>VLOOKUP($B273,Keys!$F$2:$I$22,4,FALSE)</f>
        <v>rule</v>
      </c>
      <c r="F273" t="str">
        <f>$A273&amp;Keys!$C$54&amp;$B273</f>
        <v>IN|heavy fuel oil</v>
      </c>
      <c r="G273" s="10">
        <f>IF($E273=Keys!$C$60,Keys!$C$51,INDEX(Balanced_2025!$D$9:$D$3032,MATCH($A273&amp;Keys!$C$54&amp;Keys!$C$55&amp;Keys!$C$54&amp;$C273,Balanced_2025!$E$9:$E$3032,0)))</f>
        <v>18637600000000</v>
      </c>
      <c r="H273" s="10">
        <f>IF($E273=Keys!$C$60,Keys!$C$51,INDEX(Balanced_2025!$D$9:$D$3032,MATCH($A273&amp;Keys!$C$54&amp;Keys!$C$56&amp;Keys!$C$54&amp;$C273,Balanced_2025!$E$9:$E$3032,0)))</f>
        <v>8568580000000</v>
      </c>
      <c r="I273" s="10">
        <f>IF($E273=Keys!$C$60,Keys!$C$51,INDEX(Balanced_2025!$D$9:$D$3032,MATCH($A273&amp;Keys!$C$54&amp;Keys!$C$57&amp;Keys!$C$54&amp;$C273,Balanced_2025!$E$9:$E$3032,0)))</f>
        <v>0</v>
      </c>
      <c r="J273" s="10">
        <f t="shared" si="16"/>
        <v>27206180000000</v>
      </c>
      <c r="K273" s="10">
        <f>MAX(Keys!$C$51,$I273-$H273)</f>
        <v>0</v>
      </c>
      <c r="L273" s="10">
        <f t="shared" si="17"/>
        <v>27206180000000</v>
      </c>
      <c r="M273" s="11">
        <f>IF($L273&gt;Keys!$C$51,MIN(Keys!$C$52,$K273/$L273),Keys!$C$51)</f>
        <v>0</v>
      </c>
      <c r="N273" s="11">
        <f>IF($E273=Keys!$C$60,Keys!$C$51,IF($E273=Keys!$C$59,$D273,$M273))</f>
        <v>0</v>
      </c>
      <c r="O273">
        <f t="shared" si="18"/>
        <v>1</v>
      </c>
      <c r="P273" s="10">
        <f>IF($E273=Keys!$C$60,Keys!$C$51,INDEX(Raw_BFPIaE!$G$9:$G$3032,MATCH($A273&amp;Keys!$C$54&amp;Keys!$C$55&amp;Keys!$C$54&amp;$B273,Raw_BFPIaE!$H$9:$H$3032,0)))</f>
        <v>18487033333333.332</v>
      </c>
      <c r="Q273" s="10">
        <f>IF($E273=Keys!$C$60,Keys!$C$51,INDEX(Raw_BFPIaE!$G$9:$G$3032,MATCH($A273&amp;Keys!$C$54&amp;Keys!$C$56&amp;Keys!$C$54&amp;$B273,Raw_BFPIaE!$H$9:$H$3032,0)))</f>
        <v>6050533333333.333</v>
      </c>
      <c r="R273" s="10">
        <f>IF($E273=Keys!$C$60,Keys!$C$51,INDEX(Raw_BFPIaE!$G$9:$G$3032,MATCH($A273&amp;Keys!$C$54&amp;Keys!$C$57&amp;Keys!$C$54&amp;$B273,Raw_BFPIaE!$H$9:$H$3032,0)))</f>
        <v>0</v>
      </c>
      <c r="S273" s="11">
        <f>IF(($P273+$Q273-$R273+MAX(Keys!$C$51,$R273-$Q273))&gt;Keys!$C$51,MIN(Keys!$C$52,MAX(Keys!$C$51,$R273-$Q273)/($P273+$Q273-$R273+MAX(Keys!$C$51,$R273-$Q273))),Keys!$C$51)</f>
        <v>0</v>
      </c>
      <c r="T273">
        <f>IF(AND($I273&gt;$H273,ABS($L273-$G273)&gt;MAX(Keys!$C$62,ABS($G273)*Keys!$C$63)),1,0)</f>
        <v>0</v>
      </c>
      <c r="U273">
        <f>IF(OR($N273&lt;Keys!$C$51,$N273&gt;Keys!$C$52),1,0)</f>
        <v>0</v>
      </c>
      <c r="V273">
        <f>IF(AND($E273=Keys!$C$60,$N273&lt;&gt;Keys!$C$51),1,0)</f>
        <v>0</v>
      </c>
      <c r="W273">
        <f>IF($L273&gt;Keys!$C$51,IF($K273/$L273&gt;Keys!$C$52,1,0),0)</f>
        <v>0</v>
      </c>
      <c r="X273" s="11">
        <f t="shared" si="19"/>
        <v>0</v>
      </c>
    </row>
    <row r="274" spans="1:24" x14ac:dyDescent="0.25">
      <c r="A274" t="s">
        <v>96</v>
      </c>
      <c r="B274" t="s">
        <v>117</v>
      </c>
      <c r="C274" t="str">
        <f>VLOOKUP($B274,Keys!$F$2:$I$22,2,FALSE)</f>
        <v>LPG propane or butane</v>
      </c>
      <c r="D274">
        <f>VLOOKUP($B274,Keys!$F$2:$I$22,3,FALSE)</f>
        <v>0.54955999499999997</v>
      </c>
      <c r="E274" t="str">
        <f>VLOOKUP($B274,Keys!$F$2:$I$22,4,FALSE)</f>
        <v>rule</v>
      </c>
      <c r="F274" t="str">
        <f>$A274&amp;Keys!$C$54&amp;$B274</f>
        <v>IN|LPG propane or butane</v>
      </c>
      <c r="G274" s="10">
        <f>IF($E274=Keys!$C$60,Keys!$C$51,INDEX(Balanced_2025!$D$9:$D$3032,MATCH($A274&amp;Keys!$C$54&amp;Keys!$C$55&amp;Keys!$C$54&amp;$C274,Balanced_2025!$E$9:$E$3032,0)))</f>
        <v>412138000000</v>
      </c>
      <c r="H274" s="10">
        <f>IF($E274=Keys!$C$60,Keys!$C$51,INDEX(Balanced_2025!$D$9:$D$3032,MATCH($A274&amp;Keys!$C$54&amp;Keys!$C$56&amp;Keys!$C$54&amp;$C274,Balanced_2025!$E$9:$E$3032,0)))</f>
        <v>24505300000000</v>
      </c>
      <c r="I274" s="10">
        <f>IF($E274=Keys!$C$60,Keys!$C$51,INDEX(Balanced_2025!$D$9:$D$3032,MATCH($A274&amp;Keys!$C$54&amp;Keys!$C$57&amp;Keys!$C$54&amp;$C274,Balanced_2025!$E$9:$E$3032,0)))</f>
        <v>0</v>
      </c>
      <c r="J274" s="10">
        <f t="shared" si="16"/>
        <v>24917438000000</v>
      </c>
      <c r="K274" s="10">
        <f>MAX(Keys!$C$51,$I274-$H274)</f>
        <v>0</v>
      </c>
      <c r="L274" s="10">
        <f t="shared" si="17"/>
        <v>24917438000000</v>
      </c>
      <c r="M274" s="11">
        <f>IF($L274&gt;Keys!$C$51,MIN(Keys!$C$52,$K274/$L274),Keys!$C$51)</f>
        <v>0</v>
      </c>
      <c r="N274" s="11">
        <f>IF($E274=Keys!$C$60,Keys!$C$51,IF($E274=Keys!$C$59,$D274,$M274))</f>
        <v>0</v>
      </c>
      <c r="O274">
        <f t="shared" si="18"/>
        <v>1</v>
      </c>
      <c r="P274" s="10">
        <f>IF($E274=Keys!$C$60,Keys!$C$51,INDEX(Raw_BFPIaE!$G$9:$G$3032,MATCH($A274&amp;Keys!$C$54&amp;Keys!$C$55&amp;Keys!$C$54&amp;$B274,Raw_BFPIaE!$H$9:$H$3032,0)))</f>
        <v>415055000000</v>
      </c>
      <c r="Q274" s="10">
        <f>IF($E274=Keys!$C$60,Keys!$C$51,INDEX(Raw_BFPIaE!$G$9:$G$3032,MATCH($A274&amp;Keys!$C$54&amp;Keys!$C$56&amp;Keys!$C$54&amp;$B274,Raw_BFPIaE!$H$9:$H$3032,0)))</f>
        <v>16301566666666.666</v>
      </c>
      <c r="R274" s="10">
        <f>IF($E274=Keys!$C$60,Keys!$C$51,INDEX(Raw_BFPIaE!$G$9:$G$3032,MATCH($A274&amp;Keys!$C$54&amp;Keys!$C$57&amp;Keys!$C$54&amp;$B274,Raw_BFPIaE!$H$9:$H$3032,0)))</f>
        <v>0</v>
      </c>
      <c r="S274" s="11">
        <f>IF(($P274+$Q274-$R274+MAX(Keys!$C$51,$R274-$Q274))&gt;Keys!$C$51,MIN(Keys!$C$52,MAX(Keys!$C$51,$R274-$Q274)/($P274+$Q274-$R274+MAX(Keys!$C$51,$R274-$Q274))),Keys!$C$51)</f>
        <v>0</v>
      </c>
      <c r="T274">
        <f>IF(AND($I274&gt;$H274,ABS($L274-$G274)&gt;MAX(Keys!$C$62,ABS($G274)*Keys!$C$63)),1,0)</f>
        <v>0</v>
      </c>
      <c r="U274">
        <f>IF(OR($N274&lt;Keys!$C$51,$N274&gt;Keys!$C$52),1,0)</f>
        <v>0</v>
      </c>
      <c r="V274">
        <f>IF(AND($E274=Keys!$C$60,$N274&lt;&gt;Keys!$C$51),1,0)</f>
        <v>0</v>
      </c>
      <c r="W274">
        <f>IF($L274&gt;Keys!$C$51,IF($K274/$L274&gt;Keys!$C$52,1,0),0)</f>
        <v>0</v>
      </c>
      <c r="X274" s="11">
        <f t="shared" si="19"/>
        <v>0</v>
      </c>
    </row>
    <row r="275" spans="1:24" x14ac:dyDescent="0.25">
      <c r="A275" t="s">
        <v>96</v>
      </c>
      <c r="B275" t="s">
        <v>120</v>
      </c>
      <c r="C275">
        <f>VLOOKUP($B275,Keys!$F$2:$I$22,2,FALSE)</f>
        <v>0</v>
      </c>
      <c r="D275">
        <f>VLOOKUP($B275,Keys!$F$2:$I$22,3,FALSE)</f>
        <v>0</v>
      </c>
      <c r="E275" t="str">
        <f>VLOOKUP($B275,Keys!$F$2:$I$22,4,FALSE)</f>
        <v>zero</v>
      </c>
      <c r="F275" t="str">
        <f>$A275&amp;Keys!$C$54&amp;$B275</f>
        <v>IN|municipal solid waste</v>
      </c>
      <c r="G275" s="10">
        <f>IF($E275=Keys!$C$60,Keys!$C$51,INDEX(Balanced_2025!$D$9:$D$3032,MATCH($A275&amp;Keys!$C$54&amp;Keys!$C$55&amp;Keys!$C$54&amp;$C275,Balanced_2025!$E$9:$E$3032,0)))</f>
        <v>0</v>
      </c>
      <c r="H275" s="10">
        <f>IF($E275=Keys!$C$60,Keys!$C$51,INDEX(Balanced_2025!$D$9:$D$3032,MATCH($A275&amp;Keys!$C$54&amp;Keys!$C$56&amp;Keys!$C$54&amp;$C275,Balanced_2025!$E$9:$E$3032,0)))</f>
        <v>0</v>
      </c>
      <c r="I275" s="10">
        <f>IF($E275=Keys!$C$60,Keys!$C$51,INDEX(Balanced_2025!$D$9:$D$3032,MATCH($A275&amp;Keys!$C$54&amp;Keys!$C$57&amp;Keys!$C$54&amp;$C275,Balanced_2025!$E$9:$E$3032,0)))</f>
        <v>0</v>
      </c>
      <c r="J275" s="10">
        <f t="shared" si="16"/>
        <v>0</v>
      </c>
      <c r="K275" s="10">
        <f>MAX(Keys!$C$51,$I275-$H275)</f>
        <v>0</v>
      </c>
      <c r="L275" s="10">
        <f t="shared" si="17"/>
        <v>0</v>
      </c>
      <c r="M275" s="11">
        <f>IF($L275&gt;Keys!$C$51,MIN(Keys!$C$52,$K275/$L275),Keys!$C$51)</f>
        <v>0</v>
      </c>
      <c r="N275" s="11">
        <f>IF($E275=Keys!$C$60,Keys!$C$51,IF($E275=Keys!$C$59,$D275,$M275))</f>
        <v>0</v>
      </c>
      <c r="O275">
        <f t="shared" si="18"/>
        <v>0</v>
      </c>
      <c r="P275" s="10">
        <f>IF($E275=Keys!$C$60,Keys!$C$51,INDEX(Raw_BFPIaE!$G$9:$G$3032,MATCH($A275&amp;Keys!$C$54&amp;Keys!$C$55&amp;Keys!$C$54&amp;$B275,Raw_BFPIaE!$H$9:$H$3032,0)))</f>
        <v>0</v>
      </c>
      <c r="Q275" s="10">
        <f>IF($E275=Keys!$C$60,Keys!$C$51,INDEX(Raw_BFPIaE!$G$9:$G$3032,MATCH($A275&amp;Keys!$C$54&amp;Keys!$C$56&amp;Keys!$C$54&amp;$B275,Raw_BFPIaE!$H$9:$H$3032,0)))</f>
        <v>0</v>
      </c>
      <c r="R275" s="10">
        <f>IF($E275=Keys!$C$60,Keys!$C$51,INDEX(Raw_BFPIaE!$G$9:$G$3032,MATCH($A275&amp;Keys!$C$54&amp;Keys!$C$57&amp;Keys!$C$54&amp;$B275,Raw_BFPIaE!$H$9:$H$3032,0)))</f>
        <v>0</v>
      </c>
      <c r="S275" s="11">
        <f>IF(($P275+$Q275-$R275+MAX(Keys!$C$51,$R275-$Q275))&gt;Keys!$C$51,MIN(Keys!$C$52,MAX(Keys!$C$51,$R275-$Q275)/($P275+$Q275-$R275+MAX(Keys!$C$51,$R275-$Q275))),Keys!$C$51)</f>
        <v>0</v>
      </c>
      <c r="T275">
        <f>IF(AND($I275&gt;$H275,ABS($L275-$G275)&gt;MAX(Keys!$C$62,ABS($G275)*Keys!$C$63)),1,0)</f>
        <v>0</v>
      </c>
      <c r="U275">
        <f>IF(OR($N275&lt;Keys!$C$51,$N275&gt;Keys!$C$52),1,0)</f>
        <v>0</v>
      </c>
      <c r="V275">
        <f>IF(AND($E275=Keys!$C$60,$N275&lt;&gt;Keys!$C$51),1,0)</f>
        <v>0</v>
      </c>
      <c r="W275">
        <f>IF($L275&gt;Keys!$C$51,IF($K275/$L275&gt;Keys!$C$52,1,0),0)</f>
        <v>0</v>
      </c>
      <c r="X275" s="11">
        <f t="shared" si="19"/>
        <v>0</v>
      </c>
    </row>
    <row r="276" spans="1:24" x14ac:dyDescent="0.25">
      <c r="A276" t="s">
        <v>96</v>
      </c>
      <c r="B276" t="s">
        <v>123</v>
      </c>
      <c r="C276">
        <f>VLOOKUP($B276,Keys!$F$2:$I$22,2,FALSE)</f>
        <v>0</v>
      </c>
      <c r="D276">
        <f>VLOOKUP($B276,Keys!$F$2:$I$22,3,FALSE)</f>
        <v>0</v>
      </c>
      <c r="E276" t="str">
        <f>VLOOKUP($B276,Keys!$F$2:$I$22,4,FALSE)</f>
        <v>zero</v>
      </c>
      <c r="F276" t="str">
        <f>$A276&amp;Keys!$C$54&amp;$B276</f>
        <v>IN|hydrogen</v>
      </c>
      <c r="G276" s="10">
        <f>IF($E276=Keys!$C$60,Keys!$C$51,INDEX(Balanced_2025!$D$9:$D$3032,MATCH($A276&amp;Keys!$C$54&amp;Keys!$C$55&amp;Keys!$C$54&amp;$C276,Balanced_2025!$E$9:$E$3032,0)))</f>
        <v>0</v>
      </c>
      <c r="H276" s="10">
        <f>IF($E276=Keys!$C$60,Keys!$C$51,INDEX(Balanced_2025!$D$9:$D$3032,MATCH($A276&amp;Keys!$C$54&amp;Keys!$C$56&amp;Keys!$C$54&amp;$C276,Balanced_2025!$E$9:$E$3032,0)))</f>
        <v>0</v>
      </c>
      <c r="I276" s="10">
        <f>IF($E276=Keys!$C$60,Keys!$C$51,INDEX(Balanced_2025!$D$9:$D$3032,MATCH($A276&amp;Keys!$C$54&amp;Keys!$C$57&amp;Keys!$C$54&amp;$C276,Balanced_2025!$E$9:$E$3032,0)))</f>
        <v>0</v>
      </c>
      <c r="J276" s="10">
        <f t="shared" si="16"/>
        <v>0</v>
      </c>
      <c r="K276" s="10">
        <f>MAX(Keys!$C$51,$I276-$H276)</f>
        <v>0</v>
      </c>
      <c r="L276" s="10">
        <f t="shared" si="17"/>
        <v>0</v>
      </c>
      <c r="M276" s="11">
        <f>IF($L276&gt;Keys!$C$51,MIN(Keys!$C$52,$K276/$L276),Keys!$C$51)</f>
        <v>0</v>
      </c>
      <c r="N276" s="11">
        <f>IF($E276=Keys!$C$60,Keys!$C$51,IF($E276=Keys!$C$59,$D276,$M276))</f>
        <v>0</v>
      </c>
      <c r="O276">
        <f t="shared" si="18"/>
        <v>0</v>
      </c>
      <c r="P276" s="10">
        <f>IF($E276=Keys!$C$60,Keys!$C$51,INDEX(Raw_BFPIaE!$G$9:$G$3032,MATCH($A276&amp;Keys!$C$54&amp;Keys!$C$55&amp;Keys!$C$54&amp;$B276,Raw_BFPIaE!$H$9:$H$3032,0)))</f>
        <v>0</v>
      </c>
      <c r="Q276" s="10">
        <f>IF($E276=Keys!$C$60,Keys!$C$51,INDEX(Raw_BFPIaE!$G$9:$G$3032,MATCH($A276&amp;Keys!$C$54&amp;Keys!$C$56&amp;Keys!$C$54&amp;$B276,Raw_BFPIaE!$H$9:$H$3032,0)))</f>
        <v>0</v>
      </c>
      <c r="R276" s="10">
        <f>IF($E276=Keys!$C$60,Keys!$C$51,INDEX(Raw_BFPIaE!$G$9:$G$3032,MATCH($A276&amp;Keys!$C$54&amp;Keys!$C$57&amp;Keys!$C$54&amp;$B276,Raw_BFPIaE!$H$9:$H$3032,0)))</f>
        <v>0</v>
      </c>
      <c r="S276" s="11">
        <f>IF(($P276+$Q276-$R276+MAX(Keys!$C$51,$R276-$Q276))&gt;Keys!$C$51,MIN(Keys!$C$52,MAX(Keys!$C$51,$R276-$Q276)/($P276+$Q276-$R276+MAX(Keys!$C$51,$R276-$Q276))),Keys!$C$51)</f>
        <v>0</v>
      </c>
      <c r="T276">
        <f>IF(AND($I276&gt;$H276,ABS($L276-$G276)&gt;MAX(Keys!$C$62,ABS($G276)*Keys!$C$63)),1,0)</f>
        <v>0</v>
      </c>
      <c r="U276">
        <f>IF(OR($N276&lt;Keys!$C$51,$N276&gt;Keys!$C$52),1,0)</f>
        <v>0</v>
      </c>
      <c r="V276">
        <f>IF(AND($E276=Keys!$C$60,$N276&lt;&gt;Keys!$C$51),1,0)</f>
        <v>0</v>
      </c>
      <c r="W276">
        <f>IF($L276&gt;Keys!$C$51,IF($K276/$L276&gt;Keys!$C$52,1,0),0)</f>
        <v>0</v>
      </c>
      <c r="X276" s="11">
        <f t="shared" si="19"/>
        <v>0</v>
      </c>
    </row>
    <row r="277" spans="1:24" x14ac:dyDescent="0.25">
      <c r="A277" t="s">
        <v>99</v>
      </c>
      <c r="B277" t="s">
        <v>60</v>
      </c>
      <c r="C277">
        <f>VLOOKUP($B277,Keys!$F$2:$I$22,2,FALSE)</f>
        <v>0</v>
      </c>
      <c r="D277">
        <f>VLOOKUP($B277,Keys!$F$2:$I$22,3,FALSE)</f>
        <v>0</v>
      </c>
      <c r="E277" t="str">
        <f>VLOOKUP($B277,Keys!$F$2:$I$22,4,FALSE)</f>
        <v>zero</v>
      </c>
      <c r="F277" t="str">
        <f>$A277&amp;Keys!$C$54&amp;$B277</f>
        <v>KS|electricity (not used in this variable)</v>
      </c>
      <c r="G277" s="10">
        <f>IF($E277=Keys!$C$60,Keys!$C$51,INDEX(Balanced_2025!$D$9:$D$3032,MATCH($A277&amp;Keys!$C$54&amp;Keys!$C$55&amp;Keys!$C$54&amp;$C277,Balanced_2025!$E$9:$E$3032,0)))</f>
        <v>0</v>
      </c>
      <c r="H277" s="10">
        <f>IF($E277=Keys!$C$60,Keys!$C$51,INDEX(Balanced_2025!$D$9:$D$3032,MATCH($A277&amp;Keys!$C$54&amp;Keys!$C$56&amp;Keys!$C$54&amp;$C277,Balanced_2025!$E$9:$E$3032,0)))</f>
        <v>0</v>
      </c>
      <c r="I277" s="10">
        <f>IF($E277=Keys!$C$60,Keys!$C$51,INDEX(Balanced_2025!$D$9:$D$3032,MATCH($A277&amp;Keys!$C$54&amp;Keys!$C$57&amp;Keys!$C$54&amp;$C277,Balanced_2025!$E$9:$E$3032,0)))</f>
        <v>0</v>
      </c>
      <c r="J277" s="10">
        <f t="shared" si="16"/>
        <v>0</v>
      </c>
      <c r="K277" s="10">
        <f>MAX(Keys!$C$51,$I277-$H277)</f>
        <v>0</v>
      </c>
      <c r="L277" s="10">
        <f t="shared" si="17"/>
        <v>0</v>
      </c>
      <c r="M277" s="11">
        <f>IF($L277&gt;Keys!$C$51,MIN(Keys!$C$52,$K277/$L277),Keys!$C$51)</f>
        <v>0</v>
      </c>
      <c r="N277" s="11">
        <f>IF($E277=Keys!$C$60,Keys!$C$51,IF($E277=Keys!$C$59,$D277,$M277))</f>
        <v>0</v>
      </c>
      <c r="O277">
        <f t="shared" si="18"/>
        <v>0</v>
      </c>
      <c r="P277" s="10">
        <f>IF($E277=Keys!$C$60,Keys!$C$51,INDEX(Raw_BFPIaE!$G$9:$G$3032,MATCH($A277&amp;Keys!$C$54&amp;Keys!$C$55&amp;Keys!$C$54&amp;$B277,Raw_BFPIaE!$H$9:$H$3032,0)))</f>
        <v>0</v>
      </c>
      <c r="Q277" s="10">
        <f>IF($E277=Keys!$C$60,Keys!$C$51,INDEX(Raw_BFPIaE!$G$9:$G$3032,MATCH($A277&amp;Keys!$C$54&amp;Keys!$C$56&amp;Keys!$C$54&amp;$B277,Raw_BFPIaE!$H$9:$H$3032,0)))</f>
        <v>0</v>
      </c>
      <c r="R277" s="10">
        <f>IF($E277=Keys!$C$60,Keys!$C$51,INDEX(Raw_BFPIaE!$G$9:$G$3032,MATCH($A277&amp;Keys!$C$54&amp;Keys!$C$57&amp;Keys!$C$54&amp;$B277,Raw_BFPIaE!$H$9:$H$3032,0)))</f>
        <v>0</v>
      </c>
      <c r="S277" s="11">
        <f>IF(($P277+$Q277-$R277+MAX(Keys!$C$51,$R277-$Q277))&gt;Keys!$C$51,MIN(Keys!$C$52,MAX(Keys!$C$51,$R277-$Q277)/($P277+$Q277-$R277+MAX(Keys!$C$51,$R277-$Q277))),Keys!$C$51)</f>
        <v>0</v>
      </c>
      <c r="T277">
        <f>IF(AND($I277&gt;$H277,ABS($L277-$G277)&gt;MAX(Keys!$C$62,ABS($G277)*Keys!$C$63)),1,0)</f>
        <v>0</v>
      </c>
      <c r="U277">
        <f>IF(OR($N277&lt;Keys!$C$51,$N277&gt;Keys!$C$52),1,0)</f>
        <v>0</v>
      </c>
      <c r="V277">
        <f>IF(AND($E277=Keys!$C$60,$N277&lt;&gt;Keys!$C$51),1,0)</f>
        <v>0</v>
      </c>
      <c r="W277">
        <f>IF($L277&gt;Keys!$C$51,IF($K277/$L277&gt;Keys!$C$52,1,0),0)</f>
        <v>0</v>
      </c>
      <c r="X277" s="11">
        <f t="shared" si="19"/>
        <v>0</v>
      </c>
    </row>
    <row r="278" spans="1:24" x14ac:dyDescent="0.25">
      <c r="A278" t="s">
        <v>99</v>
      </c>
      <c r="B278" t="s">
        <v>64</v>
      </c>
      <c r="C278" t="str">
        <f>VLOOKUP($B278,Keys!$F$2:$I$22,2,FALSE)</f>
        <v>hard coal</v>
      </c>
      <c r="D278">
        <f>VLOOKUP($B278,Keys!$F$2:$I$22,3,FALSE)</f>
        <v>0.137539879</v>
      </c>
      <c r="E278" t="str">
        <f>VLOOKUP($B278,Keys!$F$2:$I$22,4,FALSE)</f>
        <v>rule</v>
      </c>
      <c r="F278" t="str">
        <f>$A278&amp;Keys!$C$54&amp;$B278</f>
        <v>KS|hard coal</v>
      </c>
      <c r="G278" s="10">
        <f>IF($E278=Keys!$C$60,Keys!$C$51,INDEX(Balanced_2025!$D$9:$D$3032,MATCH($A278&amp;Keys!$C$54&amp;Keys!$C$55&amp;Keys!$C$54&amp;$C278,Balanced_2025!$E$9:$E$3032,0)))</f>
        <v>0</v>
      </c>
      <c r="H278" s="10">
        <f>IF($E278=Keys!$C$60,Keys!$C$51,INDEX(Balanced_2025!$D$9:$D$3032,MATCH($A278&amp;Keys!$C$54&amp;Keys!$C$56&amp;Keys!$C$54&amp;$C278,Balanced_2025!$E$9:$E$3032,0)))</f>
        <v>221295000000000</v>
      </c>
      <c r="I278" s="10">
        <f>IF($E278=Keys!$C$60,Keys!$C$51,INDEX(Balanced_2025!$D$9:$D$3032,MATCH($A278&amp;Keys!$C$54&amp;Keys!$C$57&amp;Keys!$C$54&amp;$C278,Balanced_2025!$E$9:$E$3032,0)))</f>
        <v>0</v>
      </c>
      <c r="J278" s="10">
        <f t="shared" si="16"/>
        <v>221295000000000</v>
      </c>
      <c r="K278" s="10">
        <f>MAX(Keys!$C$51,$I278-$H278)</f>
        <v>0</v>
      </c>
      <c r="L278" s="10">
        <f t="shared" si="17"/>
        <v>221295000000000</v>
      </c>
      <c r="M278" s="11">
        <f>IF($L278&gt;Keys!$C$51,MIN(Keys!$C$52,$K278/$L278),Keys!$C$51)</f>
        <v>0</v>
      </c>
      <c r="N278" s="11">
        <f>IF($E278=Keys!$C$60,Keys!$C$51,IF($E278=Keys!$C$59,$D278,$M278))</f>
        <v>0</v>
      </c>
      <c r="O278">
        <f t="shared" si="18"/>
        <v>1</v>
      </c>
      <c r="P278" s="10">
        <f>IF($E278=Keys!$C$60,Keys!$C$51,INDEX(Raw_BFPIaE!$G$9:$G$3032,MATCH($A278&amp;Keys!$C$54&amp;Keys!$C$55&amp;Keys!$C$54&amp;$B278,Raw_BFPIaE!$H$9:$H$3032,0)))</f>
        <v>0</v>
      </c>
      <c r="Q278" s="10">
        <f>IF($E278=Keys!$C$60,Keys!$C$51,INDEX(Raw_BFPIaE!$G$9:$G$3032,MATCH($A278&amp;Keys!$C$54&amp;Keys!$C$56&amp;Keys!$C$54&amp;$B278,Raw_BFPIaE!$H$9:$H$3032,0)))</f>
        <v>182167000000000</v>
      </c>
      <c r="R278" s="10">
        <f>IF($E278=Keys!$C$60,Keys!$C$51,INDEX(Raw_BFPIaE!$G$9:$G$3032,MATCH($A278&amp;Keys!$C$54&amp;Keys!$C$57&amp;Keys!$C$54&amp;$B278,Raw_BFPIaE!$H$9:$H$3032,0)))</f>
        <v>0</v>
      </c>
      <c r="S278" s="11">
        <f>IF(($P278+$Q278-$R278+MAX(Keys!$C$51,$R278-$Q278))&gt;Keys!$C$51,MIN(Keys!$C$52,MAX(Keys!$C$51,$R278-$Q278)/($P278+$Q278-$R278+MAX(Keys!$C$51,$R278-$Q278))),Keys!$C$51)</f>
        <v>0</v>
      </c>
      <c r="T278">
        <f>IF(AND($I278&gt;$H278,ABS($L278-$G278)&gt;MAX(Keys!$C$62,ABS($G278)*Keys!$C$63)),1,0)</f>
        <v>0</v>
      </c>
      <c r="U278">
        <f>IF(OR($N278&lt;Keys!$C$51,$N278&gt;Keys!$C$52),1,0)</f>
        <v>0</v>
      </c>
      <c r="V278">
        <f>IF(AND($E278=Keys!$C$60,$N278&lt;&gt;Keys!$C$51),1,0)</f>
        <v>0</v>
      </c>
      <c r="W278">
        <f>IF($L278&gt;Keys!$C$51,IF($K278/$L278&gt;Keys!$C$52,1,0),0)</f>
        <v>0</v>
      </c>
      <c r="X278" s="11">
        <f t="shared" si="19"/>
        <v>0</v>
      </c>
    </row>
    <row r="279" spans="1:24" x14ac:dyDescent="0.25">
      <c r="A279" t="s">
        <v>99</v>
      </c>
      <c r="B279" t="s">
        <v>68</v>
      </c>
      <c r="C279" t="str">
        <f>VLOOKUP($B279,Keys!$F$2:$I$22,2,FALSE)</f>
        <v>natural gas</v>
      </c>
      <c r="D279">
        <f>VLOOKUP($B279,Keys!$F$2:$I$22,3,FALSE)</f>
        <v>0.190839183</v>
      </c>
      <c r="E279" t="str">
        <f>VLOOKUP($B279,Keys!$F$2:$I$22,4,FALSE)</f>
        <v>rule</v>
      </c>
      <c r="F279" t="str">
        <f>$A279&amp;Keys!$C$54&amp;$B279</f>
        <v>KS|natural gas</v>
      </c>
      <c r="G279" s="10">
        <f>IF($E279=Keys!$C$60,Keys!$C$51,INDEX(Balanced_2025!$D$9:$D$3032,MATCH($A279&amp;Keys!$C$54&amp;Keys!$C$55&amp;Keys!$C$54&amp;$C279,Balanced_2025!$E$9:$E$3032,0)))</f>
        <v>119878000000000</v>
      </c>
      <c r="H279" s="10">
        <f>IF($E279=Keys!$C$60,Keys!$C$51,INDEX(Balanced_2025!$D$9:$D$3032,MATCH($A279&amp;Keys!$C$54&amp;Keys!$C$56&amp;Keys!$C$54&amp;$C279,Balanced_2025!$E$9:$E$3032,0)))</f>
        <v>1387080000000000</v>
      </c>
      <c r="I279" s="10">
        <f>IF($E279=Keys!$C$60,Keys!$C$51,INDEX(Balanced_2025!$D$9:$D$3032,MATCH($A279&amp;Keys!$C$54&amp;Keys!$C$57&amp;Keys!$C$54&amp;$C279,Balanced_2025!$E$9:$E$3032,0)))</f>
        <v>1219810000000000</v>
      </c>
      <c r="J279" s="10">
        <f t="shared" si="16"/>
        <v>287148000000000</v>
      </c>
      <c r="K279" s="10">
        <f>MAX(Keys!$C$51,$I279-$H279)</f>
        <v>0</v>
      </c>
      <c r="L279" s="10">
        <f t="shared" si="17"/>
        <v>287148000000000</v>
      </c>
      <c r="M279" s="11">
        <f>IF($L279&gt;Keys!$C$51,MIN(Keys!$C$52,$K279/$L279),Keys!$C$51)</f>
        <v>0</v>
      </c>
      <c r="N279" s="11">
        <f>IF($E279=Keys!$C$60,Keys!$C$51,IF($E279=Keys!$C$59,$D279,$M279))</f>
        <v>0</v>
      </c>
      <c r="O279">
        <f t="shared" si="18"/>
        <v>1</v>
      </c>
      <c r="P279" s="10">
        <f>IF($E279=Keys!$C$60,Keys!$C$51,INDEX(Raw_BFPIaE!$G$9:$G$3032,MATCH($A279&amp;Keys!$C$54&amp;Keys!$C$55&amp;Keys!$C$54&amp;$B279,Raw_BFPIaE!$H$9:$H$3032,0)))</f>
        <v>116148666666666.67</v>
      </c>
      <c r="Q279" s="10">
        <f>IF($E279=Keys!$C$60,Keys!$C$51,INDEX(Raw_BFPIaE!$G$9:$G$3032,MATCH($A279&amp;Keys!$C$54&amp;Keys!$C$56&amp;Keys!$C$54&amp;$B279,Raw_BFPIaE!$H$9:$H$3032,0)))</f>
        <v>1353730000000000</v>
      </c>
      <c r="R279" s="10">
        <f>IF($E279=Keys!$C$60,Keys!$C$51,INDEX(Raw_BFPIaE!$G$9:$G$3032,MATCH($A279&amp;Keys!$C$54&amp;Keys!$C$57&amp;Keys!$C$54&amp;$B279,Raw_BFPIaE!$H$9:$H$3032,0)))</f>
        <v>1181863333333333.3</v>
      </c>
      <c r="S279" s="11">
        <f>IF(($P279+$Q279-$R279+MAX(Keys!$C$51,$R279-$Q279))&gt;Keys!$C$51,MIN(Keys!$C$52,MAX(Keys!$C$51,$R279-$Q279)/($P279+$Q279-$R279+MAX(Keys!$C$51,$R279-$Q279))),Keys!$C$51)</f>
        <v>0</v>
      </c>
      <c r="T279">
        <f>IF(AND($I279&gt;$H279,ABS($L279-$G279)&gt;MAX(Keys!$C$62,ABS($G279)*Keys!$C$63)),1,0)</f>
        <v>0</v>
      </c>
      <c r="U279">
        <f>IF(OR($N279&lt;Keys!$C$51,$N279&gt;Keys!$C$52),1,0)</f>
        <v>0</v>
      </c>
      <c r="V279">
        <f>IF(AND($E279=Keys!$C$60,$N279&lt;&gt;Keys!$C$51),1,0)</f>
        <v>0</v>
      </c>
      <c r="W279">
        <f>IF($L279&gt;Keys!$C$51,IF($K279/$L279&gt;Keys!$C$52,1,0),0)</f>
        <v>0</v>
      </c>
      <c r="X279" s="11">
        <f t="shared" si="19"/>
        <v>0</v>
      </c>
    </row>
    <row r="280" spans="1:24" x14ac:dyDescent="0.25">
      <c r="A280" t="s">
        <v>99</v>
      </c>
      <c r="B280" t="s">
        <v>71</v>
      </c>
      <c r="C280">
        <f>VLOOKUP($B280,Keys!$F$2:$I$22,2,FALSE)</f>
        <v>0</v>
      </c>
      <c r="D280">
        <f>VLOOKUP($B280,Keys!$F$2:$I$22,3,FALSE)</f>
        <v>0</v>
      </c>
      <c r="E280" t="str">
        <f>VLOOKUP($B280,Keys!$F$2:$I$22,4,FALSE)</f>
        <v>zero</v>
      </c>
      <c r="F280" t="str">
        <f>$A280&amp;Keys!$C$54&amp;$B280</f>
        <v>KS|nuclear</v>
      </c>
      <c r="G280" s="10">
        <f>IF($E280=Keys!$C$60,Keys!$C$51,INDEX(Balanced_2025!$D$9:$D$3032,MATCH($A280&amp;Keys!$C$54&amp;Keys!$C$55&amp;Keys!$C$54&amp;$C280,Balanced_2025!$E$9:$E$3032,0)))</f>
        <v>0</v>
      </c>
      <c r="H280" s="10">
        <f>IF($E280=Keys!$C$60,Keys!$C$51,INDEX(Balanced_2025!$D$9:$D$3032,MATCH($A280&amp;Keys!$C$54&amp;Keys!$C$56&amp;Keys!$C$54&amp;$C280,Balanced_2025!$E$9:$E$3032,0)))</f>
        <v>0</v>
      </c>
      <c r="I280" s="10">
        <f>IF($E280=Keys!$C$60,Keys!$C$51,INDEX(Balanced_2025!$D$9:$D$3032,MATCH($A280&amp;Keys!$C$54&amp;Keys!$C$57&amp;Keys!$C$54&amp;$C280,Balanced_2025!$E$9:$E$3032,0)))</f>
        <v>0</v>
      </c>
      <c r="J280" s="10">
        <f t="shared" si="16"/>
        <v>0</v>
      </c>
      <c r="K280" s="10">
        <f>MAX(Keys!$C$51,$I280-$H280)</f>
        <v>0</v>
      </c>
      <c r="L280" s="10">
        <f t="shared" si="17"/>
        <v>0</v>
      </c>
      <c r="M280" s="11">
        <f>IF($L280&gt;Keys!$C$51,MIN(Keys!$C$52,$K280/$L280),Keys!$C$51)</f>
        <v>0</v>
      </c>
      <c r="N280" s="11">
        <f>IF($E280=Keys!$C$60,Keys!$C$51,IF($E280=Keys!$C$59,$D280,$M280))</f>
        <v>0</v>
      </c>
      <c r="O280">
        <f t="shared" si="18"/>
        <v>0</v>
      </c>
      <c r="P280" s="10">
        <f>IF($E280=Keys!$C$60,Keys!$C$51,INDEX(Raw_BFPIaE!$G$9:$G$3032,MATCH($A280&amp;Keys!$C$54&amp;Keys!$C$55&amp;Keys!$C$54&amp;$B280,Raw_BFPIaE!$H$9:$H$3032,0)))</f>
        <v>0</v>
      </c>
      <c r="Q280" s="10">
        <f>IF($E280=Keys!$C$60,Keys!$C$51,INDEX(Raw_BFPIaE!$G$9:$G$3032,MATCH($A280&amp;Keys!$C$54&amp;Keys!$C$56&amp;Keys!$C$54&amp;$B280,Raw_BFPIaE!$H$9:$H$3032,0)))</f>
        <v>0</v>
      </c>
      <c r="R280" s="10">
        <f>IF($E280=Keys!$C$60,Keys!$C$51,INDEX(Raw_BFPIaE!$G$9:$G$3032,MATCH($A280&amp;Keys!$C$54&amp;Keys!$C$57&amp;Keys!$C$54&amp;$B280,Raw_BFPIaE!$H$9:$H$3032,0)))</f>
        <v>0</v>
      </c>
      <c r="S280" s="11">
        <f>IF(($P280+$Q280-$R280+MAX(Keys!$C$51,$R280-$Q280))&gt;Keys!$C$51,MIN(Keys!$C$52,MAX(Keys!$C$51,$R280-$Q280)/($P280+$Q280-$R280+MAX(Keys!$C$51,$R280-$Q280))),Keys!$C$51)</f>
        <v>0</v>
      </c>
      <c r="T280">
        <f>IF(AND($I280&gt;$H280,ABS($L280-$G280)&gt;MAX(Keys!$C$62,ABS($G280)*Keys!$C$63)),1,0)</f>
        <v>0</v>
      </c>
      <c r="U280">
        <f>IF(OR($N280&lt;Keys!$C$51,$N280&gt;Keys!$C$52),1,0)</f>
        <v>0</v>
      </c>
      <c r="V280">
        <f>IF(AND($E280=Keys!$C$60,$N280&lt;&gt;Keys!$C$51),1,0)</f>
        <v>0</v>
      </c>
      <c r="W280">
        <f>IF($L280&gt;Keys!$C$51,IF($K280/$L280&gt;Keys!$C$52,1,0),0)</f>
        <v>0</v>
      </c>
      <c r="X280" s="11">
        <f t="shared" si="19"/>
        <v>0</v>
      </c>
    </row>
    <row r="281" spans="1:24" x14ac:dyDescent="0.25">
      <c r="A281" t="s">
        <v>99</v>
      </c>
      <c r="B281" t="s">
        <v>74</v>
      </c>
      <c r="C281">
        <f>VLOOKUP($B281,Keys!$F$2:$I$22,2,FALSE)</f>
        <v>0</v>
      </c>
      <c r="D281">
        <f>VLOOKUP($B281,Keys!$F$2:$I$22,3,FALSE)</f>
        <v>0</v>
      </c>
      <c r="E281" t="str">
        <f>VLOOKUP($B281,Keys!$F$2:$I$22,4,FALSE)</f>
        <v>zero</v>
      </c>
      <c r="F281" t="str">
        <f>$A281&amp;Keys!$C$54&amp;$B281</f>
        <v>KS|hydro (is not a fuel)</v>
      </c>
      <c r="G281" s="10">
        <f>IF($E281=Keys!$C$60,Keys!$C$51,INDEX(Balanced_2025!$D$9:$D$3032,MATCH($A281&amp;Keys!$C$54&amp;Keys!$C$55&amp;Keys!$C$54&amp;$C281,Balanced_2025!$E$9:$E$3032,0)))</f>
        <v>0</v>
      </c>
      <c r="H281" s="10">
        <f>IF($E281=Keys!$C$60,Keys!$C$51,INDEX(Balanced_2025!$D$9:$D$3032,MATCH($A281&amp;Keys!$C$54&amp;Keys!$C$56&amp;Keys!$C$54&amp;$C281,Balanced_2025!$E$9:$E$3032,0)))</f>
        <v>0</v>
      </c>
      <c r="I281" s="10">
        <f>IF($E281=Keys!$C$60,Keys!$C$51,INDEX(Balanced_2025!$D$9:$D$3032,MATCH($A281&amp;Keys!$C$54&amp;Keys!$C$57&amp;Keys!$C$54&amp;$C281,Balanced_2025!$E$9:$E$3032,0)))</f>
        <v>0</v>
      </c>
      <c r="J281" s="10">
        <f t="shared" si="16"/>
        <v>0</v>
      </c>
      <c r="K281" s="10">
        <f>MAX(Keys!$C$51,$I281-$H281)</f>
        <v>0</v>
      </c>
      <c r="L281" s="10">
        <f t="shared" si="17"/>
        <v>0</v>
      </c>
      <c r="M281" s="11">
        <f>IF($L281&gt;Keys!$C$51,MIN(Keys!$C$52,$K281/$L281),Keys!$C$51)</f>
        <v>0</v>
      </c>
      <c r="N281" s="11">
        <f>IF($E281=Keys!$C$60,Keys!$C$51,IF($E281=Keys!$C$59,$D281,$M281))</f>
        <v>0</v>
      </c>
      <c r="O281">
        <f t="shared" si="18"/>
        <v>0</v>
      </c>
      <c r="P281" s="10">
        <f>IF($E281=Keys!$C$60,Keys!$C$51,INDEX(Raw_BFPIaE!$G$9:$G$3032,MATCH($A281&amp;Keys!$C$54&amp;Keys!$C$55&amp;Keys!$C$54&amp;$B281,Raw_BFPIaE!$H$9:$H$3032,0)))</f>
        <v>0</v>
      </c>
      <c r="Q281" s="10">
        <f>IF($E281=Keys!$C$60,Keys!$C$51,INDEX(Raw_BFPIaE!$G$9:$G$3032,MATCH($A281&amp;Keys!$C$54&amp;Keys!$C$56&amp;Keys!$C$54&amp;$B281,Raw_BFPIaE!$H$9:$H$3032,0)))</f>
        <v>0</v>
      </c>
      <c r="R281" s="10">
        <f>IF($E281=Keys!$C$60,Keys!$C$51,INDEX(Raw_BFPIaE!$G$9:$G$3032,MATCH($A281&amp;Keys!$C$54&amp;Keys!$C$57&amp;Keys!$C$54&amp;$B281,Raw_BFPIaE!$H$9:$H$3032,0)))</f>
        <v>0</v>
      </c>
      <c r="S281" s="11">
        <f>IF(($P281+$Q281-$R281+MAX(Keys!$C$51,$R281-$Q281))&gt;Keys!$C$51,MIN(Keys!$C$52,MAX(Keys!$C$51,$R281-$Q281)/($P281+$Q281-$R281+MAX(Keys!$C$51,$R281-$Q281))),Keys!$C$51)</f>
        <v>0</v>
      </c>
      <c r="T281">
        <f>IF(AND($I281&gt;$H281,ABS($L281-$G281)&gt;MAX(Keys!$C$62,ABS($G281)*Keys!$C$63)),1,0)</f>
        <v>0</v>
      </c>
      <c r="U281">
        <f>IF(OR($N281&lt;Keys!$C$51,$N281&gt;Keys!$C$52),1,0)</f>
        <v>0</v>
      </c>
      <c r="V281">
        <f>IF(AND($E281=Keys!$C$60,$N281&lt;&gt;Keys!$C$51),1,0)</f>
        <v>0</v>
      </c>
      <c r="W281">
        <f>IF($L281&gt;Keys!$C$51,IF($K281/$L281&gt;Keys!$C$52,1,0),0)</f>
        <v>0</v>
      </c>
      <c r="X281" s="11">
        <f t="shared" si="19"/>
        <v>0</v>
      </c>
    </row>
    <row r="282" spans="1:24" x14ac:dyDescent="0.25">
      <c r="A282" t="s">
        <v>99</v>
      </c>
      <c r="B282" t="s">
        <v>77</v>
      </c>
      <c r="C282">
        <f>VLOOKUP($B282,Keys!$F$2:$I$22,2,FALSE)</f>
        <v>0</v>
      </c>
      <c r="D282">
        <f>VLOOKUP($B282,Keys!$F$2:$I$22,3,FALSE)</f>
        <v>0</v>
      </c>
      <c r="E282" t="str">
        <f>VLOOKUP($B282,Keys!$F$2:$I$22,4,FALSE)</f>
        <v>zero</v>
      </c>
      <c r="F282" t="str">
        <f>$A282&amp;Keys!$C$54&amp;$B282</f>
        <v>KS|wind (is not a fuel)</v>
      </c>
      <c r="G282" s="10">
        <f>IF($E282=Keys!$C$60,Keys!$C$51,INDEX(Balanced_2025!$D$9:$D$3032,MATCH($A282&amp;Keys!$C$54&amp;Keys!$C$55&amp;Keys!$C$54&amp;$C282,Balanced_2025!$E$9:$E$3032,0)))</f>
        <v>0</v>
      </c>
      <c r="H282" s="10">
        <f>IF($E282=Keys!$C$60,Keys!$C$51,INDEX(Balanced_2025!$D$9:$D$3032,MATCH($A282&amp;Keys!$C$54&amp;Keys!$C$56&amp;Keys!$C$54&amp;$C282,Balanced_2025!$E$9:$E$3032,0)))</f>
        <v>0</v>
      </c>
      <c r="I282" s="10">
        <f>IF($E282=Keys!$C$60,Keys!$C$51,INDEX(Balanced_2025!$D$9:$D$3032,MATCH($A282&amp;Keys!$C$54&amp;Keys!$C$57&amp;Keys!$C$54&amp;$C282,Balanced_2025!$E$9:$E$3032,0)))</f>
        <v>0</v>
      </c>
      <c r="J282" s="10">
        <f t="shared" si="16"/>
        <v>0</v>
      </c>
      <c r="K282" s="10">
        <f>MAX(Keys!$C$51,$I282-$H282)</f>
        <v>0</v>
      </c>
      <c r="L282" s="10">
        <f t="shared" si="17"/>
        <v>0</v>
      </c>
      <c r="M282" s="11">
        <f>IF($L282&gt;Keys!$C$51,MIN(Keys!$C$52,$K282/$L282),Keys!$C$51)</f>
        <v>0</v>
      </c>
      <c r="N282" s="11">
        <f>IF($E282=Keys!$C$60,Keys!$C$51,IF($E282=Keys!$C$59,$D282,$M282))</f>
        <v>0</v>
      </c>
      <c r="O282">
        <f t="shared" si="18"/>
        <v>0</v>
      </c>
      <c r="P282" s="10">
        <f>IF($E282=Keys!$C$60,Keys!$C$51,INDEX(Raw_BFPIaE!$G$9:$G$3032,MATCH($A282&amp;Keys!$C$54&amp;Keys!$C$55&amp;Keys!$C$54&amp;$B282,Raw_BFPIaE!$H$9:$H$3032,0)))</f>
        <v>0</v>
      </c>
      <c r="Q282" s="10">
        <f>IF($E282=Keys!$C$60,Keys!$C$51,INDEX(Raw_BFPIaE!$G$9:$G$3032,MATCH($A282&amp;Keys!$C$54&amp;Keys!$C$56&amp;Keys!$C$54&amp;$B282,Raw_BFPIaE!$H$9:$H$3032,0)))</f>
        <v>0</v>
      </c>
      <c r="R282" s="10">
        <f>IF($E282=Keys!$C$60,Keys!$C$51,INDEX(Raw_BFPIaE!$G$9:$G$3032,MATCH($A282&amp;Keys!$C$54&amp;Keys!$C$57&amp;Keys!$C$54&amp;$B282,Raw_BFPIaE!$H$9:$H$3032,0)))</f>
        <v>0</v>
      </c>
      <c r="S282" s="11">
        <f>IF(($P282+$Q282-$R282+MAX(Keys!$C$51,$R282-$Q282))&gt;Keys!$C$51,MIN(Keys!$C$52,MAX(Keys!$C$51,$R282-$Q282)/($P282+$Q282-$R282+MAX(Keys!$C$51,$R282-$Q282))),Keys!$C$51)</f>
        <v>0</v>
      </c>
      <c r="T282">
        <f>IF(AND($I282&gt;$H282,ABS($L282-$G282)&gt;MAX(Keys!$C$62,ABS($G282)*Keys!$C$63)),1,0)</f>
        <v>0</v>
      </c>
      <c r="U282">
        <f>IF(OR($N282&lt;Keys!$C$51,$N282&gt;Keys!$C$52),1,0)</f>
        <v>0</v>
      </c>
      <c r="V282">
        <f>IF(AND($E282=Keys!$C$60,$N282&lt;&gt;Keys!$C$51),1,0)</f>
        <v>0</v>
      </c>
      <c r="W282">
        <f>IF($L282&gt;Keys!$C$51,IF($K282/$L282&gt;Keys!$C$52,1,0),0)</f>
        <v>0</v>
      </c>
      <c r="X282" s="11">
        <f t="shared" si="19"/>
        <v>0</v>
      </c>
    </row>
    <row r="283" spans="1:24" x14ac:dyDescent="0.25">
      <c r="A283" t="s">
        <v>99</v>
      </c>
      <c r="B283" t="s">
        <v>80</v>
      </c>
      <c r="C283">
        <f>VLOOKUP($B283,Keys!$F$2:$I$22,2,FALSE)</f>
        <v>0</v>
      </c>
      <c r="D283">
        <f>VLOOKUP($B283,Keys!$F$2:$I$22,3,FALSE)</f>
        <v>0</v>
      </c>
      <c r="E283" t="str">
        <f>VLOOKUP($B283,Keys!$F$2:$I$22,4,FALSE)</f>
        <v>zero</v>
      </c>
      <c r="F283" t="str">
        <f>$A283&amp;Keys!$C$54&amp;$B283</f>
        <v>KS|solar (is not a fuel)</v>
      </c>
      <c r="G283" s="10">
        <f>IF($E283=Keys!$C$60,Keys!$C$51,INDEX(Balanced_2025!$D$9:$D$3032,MATCH($A283&amp;Keys!$C$54&amp;Keys!$C$55&amp;Keys!$C$54&amp;$C283,Balanced_2025!$E$9:$E$3032,0)))</f>
        <v>0</v>
      </c>
      <c r="H283" s="10">
        <f>IF($E283=Keys!$C$60,Keys!$C$51,INDEX(Balanced_2025!$D$9:$D$3032,MATCH($A283&amp;Keys!$C$54&amp;Keys!$C$56&amp;Keys!$C$54&amp;$C283,Balanced_2025!$E$9:$E$3032,0)))</f>
        <v>0</v>
      </c>
      <c r="I283" s="10">
        <f>IF($E283=Keys!$C$60,Keys!$C$51,INDEX(Balanced_2025!$D$9:$D$3032,MATCH($A283&amp;Keys!$C$54&amp;Keys!$C$57&amp;Keys!$C$54&amp;$C283,Balanced_2025!$E$9:$E$3032,0)))</f>
        <v>0</v>
      </c>
      <c r="J283" s="10">
        <f t="shared" si="16"/>
        <v>0</v>
      </c>
      <c r="K283" s="10">
        <f>MAX(Keys!$C$51,$I283-$H283)</f>
        <v>0</v>
      </c>
      <c r="L283" s="10">
        <f t="shared" si="17"/>
        <v>0</v>
      </c>
      <c r="M283" s="11">
        <f>IF($L283&gt;Keys!$C$51,MIN(Keys!$C$52,$K283/$L283),Keys!$C$51)</f>
        <v>0</v>
      </c>
      <c r="N283" s="11">
        <f>IF($E283=Keys!$C$60,Keys!$C$51,IF($E283=Keys!$C$59,$D283,$M283))</f>
        <v>0</v>
      </c>
      <c r="O283">
        <f t="shared" si="18"/>
        <v>0</v>
      </c>
      <c r="P283" s="10">
        <f>IF($E283=Keys!$C$60,Keys!$C$51,INDEX(Raw_BFPIaE!$G$9:$G$3032,MATCH($A283&amp;Keys!$C$54&amp;Keys!$C$55&amp;Keys!$C$54&amp;$B283,Raw_BFPIaE!$H$9:$H$3032,0)))</f>
        <v>0</v>
      </c>
      <c r="Q283" s="10">
        <f>IF($E283=Keys!$C$60,Keys!$C$51,INDEX(Raw_BFPIaE!$G$9:$G$3032,MATCH($A283&amp;Keys!$C$54&amp;Keys!$C$56&amp;Keys!$C$54&amp;$B283,Raw_BFPIaE!$H$9:$H$3032,0)))</f>
        <v>0</v>
      </c>
      <c r="R283" s="10">
        <f>IF($E283=Keys!$C$60,Keys!$C$51,INDEX(Raw_BFPIaE!$G$9:$G$3032,MATCH($A283&amp;Keys!$C$54&amp;Keys!$C$57&amp;Keys!$C$54&amp;$B283,Raw_BFPIaE!$H$9:$H$3032,0)))</f>
        <v>0</v>
      </c>
      <c r="S283" s="11">
        <f>IF(($P283+$Q283-$R283+MAX(Keys!$C$51,$R283-$Q283))&gt;Keys!$C$51,MIN(Keys!$C$52,MAX(Keys!$C$51,$R283-$Q283)/($P283+$Q283-$R283+MAX(Keys!$C$51,$R283-$Q283))),Keys!$C$51)</f>
        <v>0</v>
      </c>
      <c r="T283">
        <f>IF(AND($I283&gt;$H283,ABS($L283-$G283)&gt;MAX(Keys!$C$62,ABS($G283)*Keys!$C$63)),1,0)</f>
        <v>0</v>
      </c>
      <c r="U283">
        <f>IF(OR($N283&lt;Keys!$C$51,$N283&gt;Keys!$C$52),1,0)</f>
        <v>0</v>
      </c>
      <c r="V283">
        <f>IF(AND($E283=Keys!$C$60,$N283&lt;&gt;Keys!$C$51),1,0)</f>
        <v>0</v>
      </c>
      <c r="W283">
        <f>IF($L283&gt;Keys!$C$51,IF($K283/$L283&gt;Keys!$C$52,1,0),0)</f>
        <v>0</v>
      </c>
      <c r="X283" s="11">
        <f t="shared" si="19"/>
        <v>0</v>
      </c>
    </row>
    <row r="284" spans="1:24" x14ac:dyDescent="0.25">
      <c r="A284" t="s">
        <v>99</v>
      </c>
      <c r="B284" t="s">
        <v>82</v>
      </c>
      <c r="C284" t="str">
        <f>VLOOKUP($B284,Keys!$F$2:$I$22,2,FALSE)</f>
        <v>biomass</v>
      </c>
      <c r="D284">
        <f>VLOOKUP($B284,Keys!$F$2:$I$22,3,FALSE)</f>
        <v>0.74947425499999998</v>
      </c>
      <c r="E284" t="str">
        <f>VLOOKUP($B284,Keys!$F$2:$I$22,4,FALSE)</f>
        <v>rule</v>
      </c>
      <c r="F284" t="str">
        <f>$A284&amp;Keys!$C$54&amp;$B284</f>
        <v>KS|biomass</v>
      </c>
      <c r="G284" s="10">
        <f>IF($E284=Keys!$C$60,Keys!$C$51,INDEX(Balanced_2025!$D$9:$D$3032,MATCH($A284&amp;Keys!$C$54&amp;Keys!$C$55&amp;Keys!$C$54&amp;$C284,Balanced_2025!$E$9:$E$3032,0)))</f>
        <v>0</v>
      </c>
      <c r="H284" s="10">
        <f>IF($E284=Keys!$C$60,Keys!$C$51,INDEX(Balanced_2025!$D$9:$D$3032,MATCH($A284&amp;Keys!$C$54&amp;Keys!$C$56&amp;Keys!$C$54&amp;$C284,Balanced_2025!$E$9:$E$3032,0)))</f>
        <v>5538810000000</v>
      </c>
      <c r="I284" s="10">
        <f>IF($E284=Keys!$C$60,Keys!$C$51,INDEX(Balanced_2025!$D$9:$D$3032,MATCH($A284&amp;Keys!$C$54&amp;Keys!$C$57&amp;Keys!$C$54&amp;$C284,Balanced_2025!$E$9:$E$3032,0)))</f>
        <v>0</v>
      </c>
      <c r="J284" s="10">
        <f t="shared" si="16"/>
        <v>5538810000000</v>
      </c>
      <c r="K284" s="10">
        <f>MAX(Keys!$C$51,$I284-$H284)</f>
        <v>0</v>
      </c>
      <c r="L284" s="10">
        <f t="shared" si="17"/>
        <v>5538810000000</v>
      </c>
      <c r="M284" s="11">
        <f>IF($L284&gt;Keys!$C$51,MIN(Keys!$C$52,$K284/$L284),Keys!$C$51)</f>
        <v>0</v>
      </c>
      <c r="N284" s="11">
        <f>IF($E284=Keys!$C$60,Keys!$C$51,IF($E284=Keys!$C$59,$D284,$M284))</f>
        <v>0</v>
      </c>
      <c r="O284">
        <f t="shared" si="18"/>
        <v>1</v>
      </c>
      <c r="P284" s="10">
        <f>IF($E284=Keys!$C$60,Keys!$C$51,INDEX(Raw_BFPIaE!$G$9:$G$3032,MATCH($A284&amp;Keys!$C$54&amp;Keys!$C$55&amp;Keys!$C$54&amp;$B284,Raw_BFPIaE!$H$9:$H$3032,0)))</f>
        <v>0</v>
      </c>
      <c r="Q284" s="10">
        <f>IF($E284=Keys!$C$60,Keys!$C$51,INDEX(Raw_BFPIaE!$G$9:$G$3032,MATCH($A284&amp;Keys!$C$54&amp;Keys!$C$56&amp;Keys!$C$54&amp;$B284,Raw_BFPIaE!$H$9:$H$3032,0)))</f>
        <v>3537943333333.3335</v>
      </c>
      <c r="R284" s="10">
        <f>IF($E284=Keys!$C$60,Keys!$C$51,INDEX(Raw_BFPIaE!$G$9:$G$3032,MATCH($A284&amp;Keys!$C$54&amp;Keys!$C$57&amp;Keys!$C$54&amp;$B284,Raw_BFPIaE!$H$9:$H$3032,0)))</f>
        <v>0</v>
      </c>
      <c r="S284" s="11">
        <f>IF(($P284+$Q284-$R284+MAX(Keys!$C$51,$R284-$Q284))&gt;Keys!$C$51,MIN(Keys!$C$52,MAX(Keys!$C$51,$R284-$Q284)/($P284+$Q284-$R284+MAX(Keys!$C$51,$R284-$Q284))),Keys!$C$51)</f>
        <v>0</v>
      </c>
      <c r="T284">
        <f>IF(AND($I284&gt;$H284,ABS($L284-$G284)&gt;MAX(Keys!$C$62,ABS($G284)*Keys!$C$63)),1,0)</f>
        <v>0</v>
      </c>
      <c r="U284">
        <f>IF(OR($N284&lt;Keys!$C$51,$N284&gt;Keys!$C$52),1,0)</f>
        <v>0</v>
      </c>
      <c r="V284">
        <f>IF(AND($E284=Keys!$C$60,$N284&lt;&gt;Keys!$C$51),1,0)</f>
        <v>0</v>
      </c>
      <c r="W284">
        <f>IF($L284&gt;Keys!$C$51,IF($K284/$L284&gt;Keys!$C$52,1,0),0)</f>
        <v>0</v>
      </c>
      <c r="X284" s="11">
        <f t="shared" si="19"/>
        <v>0</v>
      </c>
    </row>
    <row r="285" spans="1:24" x14ac:dyDescent="0.25">
      <c r="A285" t="s">
        <v>99</v>
      </c>
      <c r="B285" t="s">
        <v>85</v>
      </c>
      <c r="C285" t="str">
        <f>VLOOKUP($B285,Keys!$F$2:$I$22,2,FALSE)</f>
        <v>petroleum gasoline</v>
      </c>
      <c r="D285">
        <f>VLOOKUP($B285,Keys!$F$2:$I$22,3,FALSE)</f>
        <v>7.5004052000000002E-2</v>
      </c>
      <c r="E285" t="str">
        <f>VLOOKUP($B285,Keys!$F$2:$I$22,4,FALSE)</f>
        <v>rule</v>
      </c>
      <c r="F285" t="str">
        <f>$A285&amp;Keys!$C$54&amp;$B285</f>
        <v>KS|petroleum gasoline</v>
      </c>
      <c r="G285" s="10">
        <f>IF($E285=Keys!$C$60,Keys!$C$51,INDEX(Balanced_2025!$D$9:$D$3032,MATCH($A285&amp;Keys!$C$54&amp;Keys!$C$55&amp;Keys!$C$54&amp;$C285,Balanced_2025!$E$9:$E$3032,0)))</f>
        <v>396158000000000</v>
      </c>
      <c r="H285" s="10">
        <f>IF($E285=Keys!$C$60,Keys!$C$51,INDEX(Balanced_2025!$D$9:$D$3032,MATCH($A285&amp;Keys!$C$54&amp;Keys!$C$56&amp;Keys!$C$54&amp;$C285,Balanced_2025!$E$9:$E$3032,0)))</f>
        <v>7980340000000</v>
      </c>
      <c r="I285" s="10">
        <f>IF($E285=Keys!$C$60,Keys!$C$51,INDEX(Balanced_2025!$D$9:$D$3032,MATCH($A285&amp;Keys!$C$54&amp;Keys!$C$57&amp;Keys!$C$54&amp;$C285,Balanced_2025!$E$9:$E$3032,0)))</f>
        <v>257761000000000</v>
      </c>
      <c r="J285" s="10">
        <f t="shared" si="16"/>
        <v>146377340000000</v>
      </c>
      <c r="K285" s="10">
        <f>MAX(Keys!$C$51,$I285-$H285)</f>
        <v>249780660000000</v>
      </c>
      <c r="L285" s="10">
        <f t="shared" si="17"/>
        <v>396158000000000</v>
      </c>
      <c r="M285" s="11">
        <f>IF($L285&gt;Keys!$C$51,MIN(Keys!$C$52,$K285/$L285),Keys!$C$51)</f>
        <v>0.63050767623019099</v>
      </c>
      <c r="N285" s="11">
        <f>IF($E285=Keys!$C$60,Keys!$C$51,IF($E285=Keys!$C$59,$D285,$M285))</f>
        <v>0.63050767623019099</v>
      </c>
      <c r="O285">
        <f t="shared" si="18"/>
        <v>1</v>
      </c>
      <c r="P285" s="10">
        <f>IF($E285=Keys!$C$60,Keys!$C$51,INDEX(Raw_BFPIaE!$G$9:$G$3032,MATCH($A285&amp;Keys!$C$54&amp;Keys!$C$55&amp;Keys!$C$54&amp;$B285,Raw_BFPIaE!$H$9:$H$3032,0)))</f>
        <v>392957333333333.31</v>
      </c>
      <c r="Q285" s="10">
        <f>IF($E285=Keys!$C$60,Keys!$C$51,INDEX(Raw_BFPIaE!$G$9:$G$3032,MATCH($A285&amp;Keys!$C$54&amp;Keys!$C$56&amp;Keys!$C$54&amp;$B285,Raw_BFPIaE!$H$9:$H$3032,0)))</f>
        <v>0</v>
      </c>
      <c r="R285" s="10">
        <f>IF($E285=Keys!$C$60,Keys!$C$51,INDEX(Raw_BFPIaE!$G$9:$G$3032,MATCH($A285&amp;Keys!$C$54&amp;Keys!$C$57&amp;Keys!$C$54&amp;$B285,Raw_BFPIaE!$H$9:$H$3032,0)))</f>
        <v>169303666666666.66</v>
      </c>
      <c r="S285" s="11">
        <f>IF(($P285+$Q285-$R285+MAX(Keys!$C$51,$R285-$Q285))&gt;Keys!$C$51,MIN(Keys!$C$52,MAX(Keys!$C$51,$R285-$Q285)/($P285+$Q285-$R285+MAX(Keys!$C$51,$R285-$Q285))),Keys!$C$51)</f>
        <v>0.4308449093709919</v>
      </c>
      <c r="T285">
        <f>IF(AND($I285&gt;$H285,ABS($L285-$G285)&gt;MAX(Keys!$C$62,ABS($G285)*Keys!$C$63)),1,0)</f>
        <v>0</v>
      </c>
      <c r="U285">
        <f>IF(OR($N285&lt;Keys!$C$51,$N285&gt;Keys!$C$52),1,0)</f>
        <v>0</v>
      </c>
      <c r="V285">
        <f>IF(AND($E285=Keys!$C$60,$N285&lt;&gt;Keys!$C$51),1,0)</f>
        <v>0</v>
      </c>
      <c r="W285">
        <f>IF($L285&gt;Keys!$C$51,IF($K285/$L285&gt;Keys!$C$52,1,0),0)</f>
        <v>0</v>
      </c>
      <c r="X285" s="11">
        <f t="shared" si="19"/>
        <v>0.19966276685919909</v>
      </c>
    </row>
    <row r="286" spans="1:24" x14ac:dyDescent="0.25">
      <c r="A286" t="s">
        <v>99</v>
      </c>
      <c r="B286" t="s">
        <v>88</v>
      </c>
      <c r="C286" t="str">
        <f>VLOOKUP($B286,Keys!$F$2:$I$22,2,FALSE)</f>
        <v>petroleum diesel</v>
      </c>
      <c r="D286">
        <f>VLOOKUP($B286,Keys!$F$2:$I$22,3,FALSE)</f>
        <v>0.26691051799999999</v>
      </c>
      <c r="E286" t="str">
        <f>VLOOKUP($B286,Keys!$F$2:$I$22,4,FALSE)</f>
        <v>rule</v>
      </c>
      <c r="F286" t="str">
        <f>$A286&amp;Keys!$C$54&amp;$B286</f>
        <v>KS|petroleum diesel</v>
      </c>
      <c r="G286" s="10">
        <f>IF($E286=Keys!$C$60,Keys!$C$51,INDEX(Balanced_2025!$D$9:$D$3032,MATCH($A286&amp;Keys!$C$54&amp;Keys!$C$55&amp;Keys!$C$54&amp;$C286,Balanced_2025!$E$9:$E$3032,0)))</f>
        <v>234334000000000</v>
      </c>
      <c r="H286" s="10">
        <f>IF($E286=Keys!$C$60,Keys!$C$51,INDEX(Balanced_2025!$D$9:$D$3032,MATCH($A286&amp;Keys!$C$54&amp;Keys!$C$56&amp;Keys!$C$54&amp;$C286,Balanced_2025!$E$9:$E$3032,0)))</f>
        <v>1341890000000</v>
      </c>
      <c r="I286" s="10">
        <f>IF($E286=Keys!$C$60,Keys!$C$51,INDEX(Balanced_2025!$D$9:$D$3032,MATCH($A286&amp;Keys!$C$54&amp;Keys!$C$57&amp;Keys!$C$54&amp;$C286,Balanced_2025!$E$9:$E$3032,0)))</f>
        <v>108214000000000</v>
      </c>
      <c r="J286" s="10">
        <f t="shared" si="16"/>
        <v>127461890000000</v>
      </c>
      <c r="K286" s="10">
        <f>MAX(Keys!$C$51,$I286-$H286)</f>
        <v>106872110000000</v>
      </c>
      <c r="L286" s="10">
        <f t="shared" si="17"/>
        <v>234334000000000</v>
      </c>
      <c r="M286" s="11">
        <f>IF($L286&gt;Keys!$C$51,MIN(Keys!$C$52,$K286/$L286),Keys!$C$51)</f>
        <v>0.45606745073271482</v>
      </c>
      <c r="N286" s="11">
        <f>IF($E286=Keys!$C$60,Keys!$C$51,IF($E286=Keys!$C$59,$D286,$M286))</f>
        <v>0.45606745073271482</v>
      </c>
      <c r="O286">
        <f t="shared" si="18"/>
        <v>1</v>
      </c>
      <c r="P286" s="10">
        <f>IF($E286=Keys!$C$60,Keys!$C$51,INDEX(Raw_BFPIaE!$G$9:$G$3032,MATCH($A286&amp;Keys!$C$54&amp;Keys!$C$55&amp;Keys!$C$54&amp;$B286,Raw_BFPIaE!$H$9:$H$3032,0)))</f>
        <v>232440666666666.66</v>
      </c>
      <c r="Q286" s="10">
        <f>IF($E286=Keys!$C$60,Keys!$C$51,INDEX(Raw_BFPIaE!$G$9:$G$3032,MATCH($A286&amp;Keys!$C$54&amp;Keys!$C$56&amp;Keys!$C$54&amp;$B286,Raw_BFPIaE!$H$9:$H$3032,0)))</f>
        <v>0</v>
      </c>
      <c r="R286" s="10">
        <f>IF($E286=Keys!$C$60,Keys!$C$51,INDEX(Raw_BFPIaE!$G$9:$G$3032,MATCH($A286&amp;Keys!$C$54&amp;Keys!$C$57&amp;Keys!$C$54&amp;$B286,Raw_BFPIaE!$H$9:$H$3032,0)))</f>
        <v>70152000000000</v>
      </c>
      <c r="S286" s="11">
        <f>IF(($P286+$Q286-$R286+MAX(Keys!$C$51,$R286-$Q286))&gt;Keys!$C$51,MIN(Keys!$C$52,MAX(Keys!$C$51,$R286-$Q286)/($P286+$Q286-$R286+MAX(Keys!$C$51,$R286-$Q286))),Keys!$C$51)</f>
        <v>0.30180605229721708</v>
      </c>
      <c r="T286">
        <f>IF(AND($I286&gt;$H286,ABS($L286-$G286)&gt;MAX(Keys!$C$62,ABS($G286)*Keys!$C$63)),1,0)</f>
        <v>0</v>
      </c>
      <c r="U286">
        <f>IF(OR($N286&lt;Keys!$C$51,$N286&gt;Keys!$C$52),1,0)</f>
        <v>0</v>
      </c>
      <c r="V286">
        <f>IF(AND($E286=Keys!$C$60,$N286&lt;&gt;Keys!$C$51),1,0)</f>
        <v>0</v>
      </c>
      <c r="W286">
        <f>IF($L286&gt;Keys!$C$51,IF($K286/$L286&gt;Keys!$C$52,1,0),0)</f>
        <v>0</v>
      </c>
      <c r="X286" s="11">
        <f t="shared" si="19"/>
        <v>0.15426139843549774</v>
      </c>
    </row>
    <row r="287" spans="1:24" x14ac:dyDescent="0.25">
      <c r="A287" t="s">
        <v>99</v>
      </c>
      <c r="B287" t="s">
        <v>91</v>
      </c>
      <c r="C287" t="str">
        <f>VLOOKUP($B287,Keys!$F$2:$I$22,2,FALSE)</f>
        <v>biofuel gasoline</v>
      </c>
      <c r="D287">
        <f>VLOOKUP($B287,Keys!$F$2:$I$22,3,FALSE)</f>
        <v>8.7213884000000005E-2</v>
      </c>
      <c r="E287" t="str">
        <f>VLOOKUP($B287,Keys!$F$2:$I$22,4,FALSE)</f>
        <v>rule</v>
      </c>
      <c r="F287" t="str">
        <f>$A287&amp;Keys!$C$54&amp;$B287</f>
        <v>KS|biofuel gasoline</v>
      </c>
      <c r="G287" s="10">
        <f>IF($E287=Keys!$C$60,Keys!$C$51,INDEX(Balanced_2025!$D$9:$D$3032,MATCH($A287&amp;Keys!$C$54&amp;Keys!$C$55&amp;Keys!$C$54&amp;$C287,Balanced_2025!$E$9:$E$3032,0)))</f>
        <v>45080000000000</v>
      </c>
      <c r="H287" s="10">
        <f>IF($E287=Keys!$C$60,Keys!$C$51,INDEX(Balanced_2025!$D$9:$D$3032,MATCH($A287&amp;Keys!$C$54&amp;Keys!$C$56&amp;Keys!$C$54&amp;$C287,Balanced_2025!$E$9:$E$3032,0)))</f>
        <v>4164290000000</v>
      </c>
      <c r="I287" s="10">
        <f>IF($E287=Keys!$C$60,Keys!$C$51,INDEX(Balanced_2025!$D$9:$D$3032,MATCH($A287&amp;Keys!$C$54&amp;Keys!$C$57&amp;Keys!$C$54&amp;$C287,Balanced_2025!$E$9:$E$3032,0)))</f>
        <v>39480900000000</v>
      </c>
      <c r="J287" s="10">
        <f t="shared" si="16"/>
        <v>9763390000000</v>
      </c>
      <c r="K287" s="10">
        <f>MAX(Keys!$C$51,$I287-$H287)</f>
        <v>35316610000000</v>
      </c>
      <c r="L287" s="10">
        <f t="shared" si="17"/>
        <v>45080000000000</v>
      </c>
      <c r="M287" s="11">
        <f>IF($L287&gt;Keys!$C$51,MIN(Keys!$C$52,$K287/$L287),Keys!$C$51)</f>
        <v>0.78342080745341613</v>
      </c>
      <c r="N287" s="11">
        <f>IF($E287=Keys!$C$60,Keys!$C$51,IF($E287=Keys!$C$59,$D287,$M287))</f>
        <v>0.78342080745341613</v>
      </c>
      <c r="O287">
        <f t="shared" si="18"/>
        <v>1</v>
      </c>
      <c r="P287" s="10">
        <f>IF($E287=Keys!$C$60,Keys!$C$51,INDEX(Raw_BFPIaE!$G$9:$G$3032,MATCH($A287&amp;Keys!$C$54&amp;Keys!$C$55&amp;Keys!$C$54&amp;$B287,Raw_BFPIaE!$H$9:$H$3032,0)))</f>
        <v>45122300000000</v>
      </c>
      <c r="Q287" s="10">
        <f>IF($E287=Keys!$C$60,Keys!$C$51,INDEX(Raw_BFPIaE!$G$9:$G$3032,MATCH($A287&amp;Keys!$C$54&amp;Keys!$C$56&amp;Keys!$C$54&amp;$B287,Raw_BFPIaE!$H$9:$H$3032,0)))</f>
        <v>2369620000000</v>
      </c>
      <c r="R287" s="10">
        <f>IF($E287=Keys!$C$60,Keys!$C$51,INDEX(Raw_BFPIaE!$G$9:$G$3032,MATCH($A287&amp;Keys!$C$54&amp;Keys!$C$57&amp;Keys!$C$54&amp;$B287,Raw_BFPIaE!$H$9:$H$3032,0)))</f>
        <v>39517933333333.336</v>
      </c>
      <c r="S287" s="11">
        <f>IF(($P287+$Q287-$R287+MAX(Keys!$C$51,$R287-$Q287))&gt;Keys!$C$51,MIN(Keys!$C$52,MAX(Keys!$C$51,$R287-$Q287)/($P287+$Q287-$R287+MAX(Keys!$C$51,$R287-$Q287))),Keys!$C$51)</f>
        <v>0.82328058040776586</v>
      </c>
      <c r="T287">
        <f>IF(AND($I287&gt;$H287,ABS($L287-$G287)&gt;MAX(Keys!$C$62,ABS($G287)*Keys!$C$63)),1,0)</f>
        <v>0</v>
      </c>
      <c r="U287">
        <f>IF(OR($N287&lt;Keys!$C$51,$N287&gt;Keys!$C$52),1,0)</f>
        <v>0</v>
      </c>
      <c r="V287">
        <f>IF(AND($E287=Keys!$C$60,$N287&lt;&gt;Keys!$C$51),1,0)</f>
        <v>0</v>
      </c>
      <c r="W287">
        <f>IF($L287&gt;Keys!$C$51,IF($K287/$L287&gt;Keys!$C$52,1,0),0)</f>
        <v>0</v>
      </c>
      <c r="X287" s="11">
        <f t="shared" si="19"/>
        <v>3.9859772954349726E-2</v>
      </c>
    </row>
    <row r="288" spans="1:24" x14ac:dyDescent="0.25">
      <c r="A288" t="s">
        <v>99</v>
      </c>
      <c r="B288" t="s">
        <v>94</v>
      </c>
      <c r="C288" t="str">
        <f>VLOOKUP($B288,Keys!$F$2:$I$22,2,FALSE)</f>
        <v>biofuel diesel</v>
      </c>
      <c r="D288">
        <f>VLOOKUP($B288,Keys!$F$2:$I$22,3,FALSE)</f>
        <v>5.8642381E-2</v>
      </c>
      <c r="E288" t="str">
        <f>VLOOKUP($B288,Keys!$F$2:$I$22,4,FALSE)</f>
        <v>rule</v>
      </c>
      <c r="F288" t="str">
        <f>$A288&amp;Keys!$C$54&amp;$B288</f>
        <v>KS|biofuel diesel</v>
      </c>
      <c r="G288" s="10">
        <f>IF($E288=Keys!$C$60,Keys!$C$51,INDEX(Balanced_2025!$D$9:$D$3032,MATCH($A288&amp;Keys!$C$54&amp;Keys!$C$55&amp;Keys!$C$54&amp;$C288,Balanced_2025!$E$9:$E$3032,0)))</f>
        <v>30233100000000</v>
      </c>
      <c r="H288" s="10">
        <f>IF($E288=Keys!$C$60,Keys!$C$51,INDEX(Balanced_2025!$D$9:$D$3032,MATCH($A288&amp;Keys!$C$54&amp;Keys!$C$56&amp;Keys!$C$54&amp;$C288,Balanced_2025!$E$9:$E$3032,0)))</f>
        <v>0</v>
      </c>
      <c r="I288" s="10">
        <f>IF($E288=Keys!$C$60,Keys!$C$51,INDEX(Balanced_2025!$D$9:$D$3032,MATCH($A288&amp;Keys!$C$54&amp;Keys!$C$57&amp;Keys!$C$54&amp;$C288,Balanced_2025!$E$9:$E$3032,0)))</f>
        <v>27946400000000</v>
      </c>
      <c r="J288" s="10">
        <f t="shared" si="16"/>
        <v>2286700000000</v>
      </c>
      <c r="K288" s="10">
        <f>MAX(Keys!$C$51,$I288-$H288)</f>
        <v>27946400000000</v>
      </c>
      <c r="L288" s="10">
        <f t="shared" si="17"/>
        <v>30233100000000</v>
      </c>
      <c r="M288" s="11">
        <f>IF($L288&gt;Keys!$C$51,MIN(Keys!$C$52,$K288/$L288),Keys!$C$51)</f>
        <v>0.9243643556234723</v>
      </c>
      <c r="N288" s="11">
        <f>IF($E288=Keys!$C$60,Keys!$C$51,IF($E288=Keys!$C$59,$D288,$M288))</f>
        <v>0.9243643556234723</v>
      </c>
      <c r="O288">
        <f t="shared" si="18"/>
        <v>1</v>
      </c>
      <c r="P288" s="10">
        <f>IF($E288=Keys!$C$60,Keys!$C$51,INDEX(Raw_BFPIaE!$G$9:$G$3032,MATCH($A288&amp;Keys!$C$54&amp;Keys!$C$55&amp;Keys!$C$54&amp;$B288,Raw_BFPIaE!$H$9:$H$3032,0)))</f>
        <v>32126333333333.332</v>
      </c>
      <c r="Q288" s="10">
        <f>IF($E288=Keys!$C$60,Keys!$C$51,INDEX(Raw_BFPIaE!$G$9:$G$3032,MATCH($A288&amp;Keys!$C$54&amp;Keys!$C$56&amp;Keys!$C$54&amp;$B288,Raw_BFPIaE!$H$9:$H$3032,0)))</f>
        <v>0</v>
      </c>
      <c r="R288" s="10">
        <f>IF($E288=Keys!$C$60,Keys!$C$51,INDEX(Raw_BFPIaE!$G$9:$G$3032,MATCH($A288&amp;Keys!$C$54&amp;Keys!$C$57&amp;Keys!$C$54&amp;$B288,Raw_BFPIaE!$H$9:$H$3032,0)))</f>
        <v>20524933333333.332</v>
      </c>
      <c r="S288" s="11">
        <f>IF(($P288+$Q288-$R288+MAX(Keys!$C$51,$R288-$Q288))&gt;Keys!$C$51,MIN(Keys!$C$52,MAX(Keys!$C$51,$R288-$Q288)/($P288+$Q288-$R288+MAX(Keys!$C$51,$R288-$Q288))),Keys!$C$51)</f>
        <v>0.63888191410992023</v>
      </c>
      <c r="T288">
        <f>IF(AND($I288&gt;$H288,ABS($L288-$G288)&gt;MAX(Keys!$C$62,ABS($G288)*Keys!$C$63)),1,0)</f>
        <v>0</v>
      </c>
      <c r="U288">
        <f>IF(OR($N288&lt;Keys!$C$51,$N288&gt;Keys!$C$52),1,0)</f>
        <v>0</v>
      </c>
      <c r="V288">
        <f>IF(AND($E288=Keys!$C$60,$N288&lt;&gt;Keys!$C$51),1,0)</f>
        <v>0</v>
      </c>
      <c r="W288">
        <f>IF($L288&gt;Keys!$C$51,IF($K288/$L288&gt;Keys!$C$52,1,0),0)</f>
        <v>0</v>
      </c>
      <c r="X288" s="11">
        <f t="shared" si="19"/>
        <v>0.28548244151355207</v>
      </c>
    </row>
    <row r="289" spans="1:24" x14ac:dyDescent="0.25">
      <c r="A289" t="s">
        <v>99</v>
      </c>
      <c r="B289" t="s">
        <v>97</v>
      </c>
      <c r="C289" t="str">
        <f>VLOOKUP($B289,Keys!$F$2:$I$22,2,FALSE)</f>
        <v>jet fuel or kerosene</v>
      </c>
      <c r="D289">
        <f>VLOOKUP($B289,Keys!$F$2:$I$22,3,FALSE)</f>
        <v>0.10155994</v>
      </c>
      <c r="E289" t="str">
        <f>VLOOKUP($B289,Keys!$F$2:$I$22,4,FALSE)</f>
        <v>rule</v>
      </c>
      <c r="F289" t="str">
        <f>$A289&amp;Keys!$C$54&amp;$B289</f>
        <v>KS|jet fuel or kerosene</v>
      </c>
      <c r="G289" s="10">
        <f>IF($E289=Keys!$C$60,Keys!$C$51,INDEX(Balanced_2025!$D$9:$D$3032,MATCH($A289&amp;Keys!$C$54&amp;Keys!$C$55&amp;Keys!$C$54&amp;$C289,Balanced_2025!$E$9:$E$3032,0)))</f>
        <v>83418000000000</v>
      </c>
      <c r="H289" s="10">
        <f>IF($E289=Keys!$C$60,Keys!$C$51,INDEX(Balanced_2025!$D$9:$D$3032,MATCH($A289&amp;Keys!$C$54&amp;Keys!$C$56&amp;Keys!$C$54&amp;$C289,Balanced_2025!$E$9:$E$3032,0)))</f>
        <v>0</v>
      </c>
      <c r="I289" s="10">
        <f>IF($E289=Keys!$C$60,Keys!$C$51,INDEX(Balanced_2025!$D$9:$D$3032,MATCH($A289&amp;Keys!$C$54&amp;Keys!$C$57&amp;Keys!$C$54&amp;$C289,Balanced_2025!$E$9:$E$3032,0)))</f>
        <v>72607300000000</v>
      </c>
      <c r="J289" s="10">
        <f t="shared" si="16"/>
        <v>10810700000000</v>
      </c>
      <c r="K289" s="10">
        <f>MAX(Keys!$C$51,$I289-$H289)</f>
        <v>72607300000000</v>
      </c>
      <c r="L289" s="10">
        <f t="shared" si="17"/>
        <v>83418000000000</v>
      </c>
      <c r="M289" s="11">
        <f>IF($L289&gt;Keys!$C$51,MIN(Keys!$C$52,$K289/$L289),Keys!$C$51)</f>
        <v>0.87040327027739817</v>
      </c>
      <c r="N289" s="11">
        <f>IF($E289=Keys!$C$60,Keys!$C$51,IF($E289=Keys!$C$59,$D289,$M289))</f>
        <v>0.87040327027739817</v>
      </c>
      <c r="O289">
        <f t="shared" si="18"/>
        <v>1</v>
      </c>
      <c r="P289" s="10">
        <f>IF($E289=Keys!$C$60,Keys!$C$51,INDEX(Raw_BFPIaE!$G$9:$G$3032,MATCH($A289&amp;Keys!$C$54&amp;Keys!$C$55&amp;Keys!$C$54&amp;$B289,Raw_BFPIaE!$H$9:$H$3032,0)))</f>
        <v>82744033333333.328</v>
      </c>
      <c r="Q289" s="10">
        <f>IF($E289=Keys!$C$60,Keys!$C$51,INDEX(Raw_BFPIaE!$G$9:$G$3032,MATCH($A289&amp;Keys!$C$54&amp;Keys!$C$56&amp;Keys!$C$54&amp;$B289,Raw_BFPIaE!$H$9:$H$3032,0)))</f>
        <v>0</v>
      </c>
      <c r="R289" s="10">
        <f>IF($E289=Keys!$C$60,Keys!$C$51,INDEX(Raw_BFPIaE!$G$9:$G$3032,MATCH($A289&amp;Keys!$C$54&amp;Keys!$C$57&amp;Keys!$C$54&amp;$B289,Raw_BFPIaE!$H$9:$H$3032,0)))</f>
        <v>47667066666666.664</v>
      </c>
      <c r="S289" s="11">
        <f>IF(($P289+$Q289-$R289+MAX(Keys!$C$51,$R289-$Q289))&gt;Keys!$C$51,MIN(Keys!$C$52,MAX(Keys!$C$51,$R289-$Q289)/($P289+$Q289-$R289+MAX(Keys!$C$51,$R289-$Q289))),Keys!$C$51)</f>
        <v>0.57607859740944056</v>
      </c>
      <c r="T289">
        <f>IF(AND($I289&gt;$H289,ABS($L289-$G289)&gt;MAX(Keys!$C$62,ABS($G289)*Keys!$C$63)),1,0)</f>
        <v>0</v>
      </c>
      <c r="U289">
        <f>IF(OR($N289&lt;Keys!$C$51,$N289&gt;Keys!$C$52),1,0)</f>
        <v>0</v>
      </c>
      <c r="V289">
        <f>IF(AND($E289=Keys!$C$60,$N289&lt;&gt;Keys!$C$51),1,0)</f>
        <v>0</v>
      </c>
      <c r="W289">
        <f>IF($L289&gt;Keys!$C$51,IF($K289/$L289&gt;Keys!$C$52,1,0),0)</f>
        <v>0</v>
      </c>
      <c r="X289" s="11">
        <f t="shared" si="19"/>
        <v>0.2943246728679576</v>
      </c>
    </row>
    <row r="290" spans="1:24" x14ac:dyDescent="0.25">
      <c r="A290" t="s">
        <v>99</v>
      </c>
      <c r="B290" t="s">
        <v>100</v>
      </c>
      <c r="C290">
        <f>VLOOKUP($B290,Keys!$F$2:$I$22,2,FALSE)</f>
        <v>0</v>
      </c>
      <c r="D290">
        <f>VLOOKUP($B290,Keys!$F$2:$I$22,3,FALSE)</f>
        <v>0</v>
      </c>
      <c r="E290" t="str">
        <f>VLOOKUP($B290,Keys!$F$2:$I$22,4,FALSE)</f>
        <v>zero</v>
      </c>
      <c r="F290" t="str">
        <f>$A290&amp;Keys!$C$54&amp;$B290</f>
        <v>KS|heat (not used in this variable)</v>
      </c>
      <c r="G290" s="10">
        <f>IF($E290=Keys!$C$60,Keys!$C$51,INDEX(Balanced_2025!$D$9:$D$3032,MATCH($A290&amp;Keys!$C$54&amp;Keys!$C$55&amp;Keys!$C$54&amp;$C290,Balanced_2025!$E$9:$E$3032,0)))</f>
        <v>0</v>
      </c>
      <c r="H290" s="10">
        <f>IF($E290=Keys!$C$60,Keys!$C$51,INDEX(Balanced_2025!$D$9:$D$3032,MATCH($A290&amp;Keys!$C$54&amp;Keys!$C$56&amp;Keys!$C$54&amp;$C290,Balanced_2025!$E$9:$E$3032,0)))</f>
        <v>0</v>
      </c>
      <c r="I290" s="10">
        <f>IF($E290=Keys!$C$60,Keys!$C$51,INDEX(Balanced_2025!$D$9:$D$3032,MATCH($A290&amp;Keys!$C$54&amp;Keys!$C$57&amp;Keys!$C$54&amp;$C290,Balanced_2025!$E$9:$E$3032,0)))</f>
        <v>0</v>
      </c>
      <c r="J290" s="10">
        <f t="shared" si="16"/>
        <v>0</v>
      </c>
      <c r="K290" s="10">
        <f>MAX(Keys!$C$51,$I290-$H290)</f>
        <v>0</v>
      </c>
      <c r="L290" s="10">
        <f t="shared" si="17"/>
        <v>0</v>
      </c>
      <c r="M290" s="11">
        <f>IF($L290&gt;Keys!$C$51,MIN(Keys!$C$52,$K290/$L290),Keys!$C$51)</f>
        <v>0</v>
      </c>
      <c r="N290" s="11">
        <f>IF($E290=Keys!$C$60,Keys!$C$51,IF($E290=Keys!$C$59,$D290,$M290))</f>
        <v>0</v>
      </c>
      <c r="O290">
        <f t="shared" si="18"/>
        <v>0</v>
      </c>
      <c r="P290" s="10">
        <f>IF($E290=Keys!$C$60,Keys!$C$51,INDEX(Raw_BFPIaE!$G$9:$G$3032,MATCH($A290&amp;Keys!$C$54&amp;Keys!$C$55&amp;Keys!$C$54&amp;$B290,Raw_BFPIaE!$H$9:$H$3032,0)))</f>
        <v>0</v>
      </c>
      <c r="Q290" s="10">
        <f>IF($E290=Keys!$C$60,Keys!$C$51,INDEX(Raw_BFPIaE!$G$9:$G$3032,MATCH($A290&amp;Keys!$C$54&amp;Keys!$C$56&amp;Keys!$C$54&amp;$B290,Raw_BFPIaE!$H$9:$H$3032,0)))</f>
        <v>0</v>
      </c>
      <c r="R290" s="10">
        <f>IF($E290=Keys!$C$60,Keys!$C$51,INDEX(Raw_BFPIaE!$G$9:$G$3032,MATCH($A290&amp;Keys!$C$54&amp;Keys!$C$57&amp;Keys!$C$54&amp;$B290,Raw_BFPIaE!$H$9:$H$3032,0)))</f>
        <v>0</v>
      </c>
      <c r="S290" s="11">
        <f>IF(($P290+$Q290-$R290+MAX(Keys!$C$51,$R290-$Q290))&gt;Keys!$C$51,MIN(Keys!$C$52,MAX(Keys!$C$51,$R290-$Q290)/($P290+$Q290-$R290+MAX(Keys!$C$51,$R290-$Q290))),Keys!$C$51)</f>
        <v>0</v>
      </c>
      <c r="T290">
        <f>IF(AND($I290&gt;$H290,ABS($L290-$G290)&gt;MAX(Keys!$C$62,ABS($G290)*Keys!$C$63)),1,0)</f>
        <v>0</v>
      </c>
      <c r="U290">
        <f>IF(OR($N290&lt;Keys!$C$51,$N290&gt;Keys!$C$52),1,0)</f>
        <v>0</v>
      </c>
      <c r="V290">
        <f>IF(AND($E290=Keys!$C$60,$N290&lt;&gt;Keys!$C$51),1,0)</f>
        <v>0</v>
      </c>
      <c r="W290">
        <f>IF($L290&gt;Keys!$C$51,IF($K290/$L290&gt;Keys!$C$52,1,0),0)</f>
        <v>0</v>
      </c>
      <c r="X290" s="11">
        <f t="shared" si="19"/>
        <v>0</v>
      </c>
    </row>
    <row r="291" spans="1:24" x14ac:dyDescent="0.25">
      <c r="A291" t="s">
        <v>99</v>
      </c>
      <c r="B291" t="s">
        <v>103</v>
      </c>
      <c r="C291">
        <f>VLOOKUP($B291,Keys!$F$2:$I$22,2,FALSE)</f>
        <v>0</v>
      </c>
      <c r="D291">
        <f>VLOOKUP($B291,Keys!$F$2:$I$22,3,FALSE)</f>
        <v>0</v>
      </c>
      <c r="E291" t="str">
        <f>VLOOKUP($B291,Keys!$F$2:$I$22,4,FALSE)</f>
        <v>zero</v>
      </c>
      <c r="F291" t="str">
        <f>$A291&amp;Keys!$C$54&amp;$B291</f>
        <v>KS|geothermal (is not a fuel)</v>
      </c>
      <c r="G291" s="10">
        <f>IF($E291=Keys!$C$60,Keys!$C$51,INDEX(Balanced_2025!$D$9:$D$3032,MATCH($A291&amp;Keys!$C$54&amp;Keys!$C$55&amp;Keys!$C$54&amp;$C291,Balanced_2025!$E$9:$E$3032,0)))</f>
        <v>0</v>
      </c>
      <c r="H291" s="10">
        <f>IF($E291=Keys!$C$60,Keys!$C$51,INDEX(Balanced_2025!$D$9:$D$3032,MATCH($A291&amp;Keys!$C$54&amp;Keys!$C$56&amp;Keys!$C$54&amp;$C291,Balanced_2025!$E$9:$E$3032,0)))</f>
        <v>0</v>
      </c>
      <c r="I291" s="10">
        <f>IF($E291=Keys!$C$60,Keys!$C$51,INDEX(Balanced_2025!$D$9:$D$3032,MATCH($A291&amp;Keys!$C$54&amp;Keys!$C$57&amp;Keys!$C$54&amp;$C291,Balanced_2025!$E$9:$E$3032,0)))</f>
        <v>0</v>
      </c>
      <c r="J291" s="10">
        <f t="shared" si="16"/>
        <v>0</v>
      </c>
      <c r="K291" s="10">
        <f>MAX(Keys!$C$51,$I291-$H291)</f>
        <v>0</v>
      </c>
      <c r="L291" s="10">
        <f t="shared" si="17"/>
        <v>0</v>
      </c>
      <c r="M291" s="11">
        <f>IF($L291&gt;Keys!$C$51,MIN(Keys!$C$52,$K291/$L291),Keys!$C$51)</f>
        <v>0</v>
      </c>
      <c r="N291" s="11">
        <f>IF($E291=Keys!$C$60,Keys!$C$51,IF($E291=Keys!$C$59,$D291,$M291))</f>
        <v>0</v>
      </c>
      <c r="O291">
        <f t="shared" si="18"/>
        <v>0</v>
      </c>
      <c r="P291" s="10">
        <f>IF($E291=Keys!$C$60,Keys!$C$51,INDEX(Raw_BFPIaE!$G$9:$G$3032,MATCH($A291&amp;Keys!$C$54&amp;Keys!$C$55&amp;Keys!$C$54&amp;$B291,Raw_BFPIaE!$H$9:$H$3032,0)))</f>
        <v>0</v>
      </c>
      <c r="Q291" s="10">
        <f>IF($E291=Keys!$C$60,Keys!$C$51,INDEX(Raw_BFPIaE!$G$9:$G$3032,MATCH($A291&amp;Keys!$C$54&amp;Keys!$C$56&amp;Keys!$C$54&amp;$B291,Raw_BFPIaE!$H$9:$H$3032,0)))</f>
        <v>0</v>
      </c>
      <c r="R291" s="10">
        <f>IF($E291=Keys!$C$60,Keys!$C$51,INDEX(Raw_BFPIaE!$G$9:$G$3032,MATCH($A291&amp;Keys!$C$54&amp;Keys!$C$57&amp;Keys!$C$54&amp;$B291,Raw_BFPIaE!$H$9:$H$3032,0)))</f>
        <v>0</v>
      </c>
      <c r="S291" s="11">
        <f>IF(($P291+$Q291-$R291+MAX(Keys!$C$51,$R291-$Q291))&gt;Keys!$C$51,MIN(Keys!$C$52,MAX(Keys!$C$51,$R291-$Q291)/($P291+$Q291-$R291+MAX(Keys!$C$51,$R291-$Q291))),Keys!$C$51)</f>
        <v>0</v>
      </c>
      <c r="T291">
        <f>IF(AND($I291&gt;$H291,ABS($L291-$G291)&gt;MAX(Keys!$C$62,ABS($G291)*Keys!$C$63)),1,0)</f>
        <v>0</v>
      </c>
      <c r="U291">
        <f>IF(OR($N291&lt;Keys!$C$51,$N291&gt;Keys!$C$52),1,0)</f>
        <v>0</v>
      </c>
      <c r="V291">
        <f>IF(AND($E291=Keys!$C$60,$N291&lt;&gt;Keys!$C$51),1,0)</f>
        <v>0</v>
      </c>
      <c r="W291">
        <f>IF($L291&gt;Keys!$C$51,IF($K291/$L291&gt;Keys!$C$52,1,0),0)</f>
        <v>0</v>
      </c>
      <c r="X291" s="11">
        <f t="shared" si="19"/>
        <v>0</v>
      </c>
    </row>
    <row r="292" spans="1:24" x14ac:dyDescent="0.25">
      <c r="A292" t="s">
        <v>99</v>
      </c>
      <c r="B292" t="s">
        <v>106</v>
      </c>
      <c r="C292" t="str">
        <f>VLOOKUP($B292,Keys!$F$2:$I$22,2,FALSE)</f>
        <v>lignite</v>
      </c>
      <c r="D292">
        <f>VLOOKUP($B292,Keys!$F$2:$I$22,3,FALSE)</f>
        <v>0</v>
      </c>
      <c r="E292" t="str">
        <f>VLOOKUP($B292,Keys!$F$2:$I$22,4,FALSE)</f>
        <v>rule</v>
      </c>
      <c r="F292" t="str">
        <f>$A292&amp;Keys!$C$54&amp;$B292</f>
        <v>KS|lignite</v>
      </c>
      <c r="G292" s="10">
        <f>IF($E292=Keys!$C$60,Keys!$C$51,INDEX(Balanced_2025!$D$9:$D$3032,MATCH($A292&amp;Keys!$C$54&amp;Keys!$C$55&amp;Keys!$C$54&amp;$C292,Balanced_2025!$E$9:$E$3032,0)))</f>
        <v>0</v>
      </c>
      <c r="H292" s="10">
        <f>IF($E292=Keys!$C$60,Keys!$C$51,INDEX(Balanced_2025!$D$9:$D$3032,MATCH($A292&amp;Keys!$C$54&amp;Keys!$C$56&amp;Keys!$C$54&amp;$C292,Balanced_2025!$E$9:$E$3032,0)))</f>
        <v>0</v>
      </c>
      <c r="I292" s="10">
        <f>IF($E292=Keys!$C$60,Keys!$C$51,INDEX(Balanced_2025!$D$9:$D$3032,MATCH($A292&amp;Keys!$C$54&amp;Keys!$C$57&amp;Keys!$C$54&amp;$C292,Balanced_2025!$E$9:$E$3032,0)))</f>
        <v>0</v>
      </c>
      <c r="J292" s="10">
        <f t="shared" si="16"/>
        <v>0</v>
      </c>
      <c r="K292" s="10">
        <f>MAX(Keys!$C$51,$I292-$H292)</f>
        <v>0</v>
      </c>
      <c r="L292" s="10">
        <f t="shared" si="17"/>
        <v>0</v>
      </c>
      <c r="M292" s="11">
        <f>IF($L292&gt;Keys!$C$51,MIN(Keys!$C$52,$K292/$L292),Keys!$C$51)</f>
        <v>0</v>
      </c>
      <c r="N292" s="11">
        <f>IF($E292=Keys!$C$60,Keys!$C$51,IF($E292=Keys!$C$59,$D292,$M292))</f>
        <v>0</v>
      </c>
      <c r="O292">
        <f t="shared" si="18"/>
        <v>0</v>
      </c>
      <c r="P292" s="10">
        <f>IF($E292=Keys!$C$60,Keys!$C$51,INDEX(Raw_BFPIaE!$G$9:$G$3032,MATCH($A292&amp;Keys!$C$54&amp;Keys!$C$55&amp;Keys!$C$54&amp;$B292,Raw_BFPIaE!$H$9:$H$3032,0)))</f>
        <v>0</v>
      </c>
      <c r="Q292" s="10">
        <f>IF($E292=Keys!$C$60,Keys!$C$51,INDEX(Raw_BFPIaE!$G$9:$G$3032,MATCH($A292&amp;Keys!$C$54&amp;Keys!$C$56&amp;Keys!$C$54&amp;$B292,Raw_BFPIaE!$H$9:$H$3032,0)))</f>
        <v>0</v>
      </c>
      <c r="R292" s="10">
        <f>IF($E292=Keys!$C$60,Keys!$C$51,INDEX(Raw_BFPIaE!$G$9:$G$3032,MATCH($A292&amp;Keys!$C$54&amp;Keys!$C$57&amp;Keys!$C$54&amp;$B292,Raw_BFPIaE!$H$9:$H$3032,0)))</f>
        <v>0</v>
      </c>
      <c r="S292" s="11">
        <f>IF(($P292+$Q292-$R292+MAX(Keys!$C$51,$R292-$Q292))&gt;Keys!$C$51,MIN(Keys!$C$52,MAX(Keys!$C$51,$R292-$Q292)/($P292+$Q292-$R292+MAX(Keys!$C$51,$R292-$Q292))),Keys!$C$51)</f>
        <v>0</v>
      </c>
      <c r="T292">
        <f>IF(AND($I292&gt;$H292,ABS($L292-$G292)&gt;MAX(Keys!$C$62,ABS($G292)*Keys!$C$63)),1,0)</f>
        <v>0</v>
      </c>
      <c r="U292">
        <f>IF(OR($N292&lt;Keys!$C$51,$N292&gt;Keys!$C$52),1,0)</f>
        <v>0</v>
      </c>
      <c r="V292">
        <f>IF(AND($E292=Keys!$C$60,$N292&lt;&gt;Keys!$C$51),1,0)</f>
        <v>0</v>
      </c>
      <c r="W292">
        <f>IF($L292&gt;Keys!$C$51,IF($K292/$L292&gt;Keys!$C$52,1,0),0)</f>
        <v>0</v>
      </c>
      <c r="X292" s="11">
        <f t="shared" si="19"/>
        <v>0</v>
      </c>
    </row>
    <row r="293" spans="1:24" x14ac:dyDescent="0.25">
      <c r="A293" t="s">
        <v>99</v>
      </c>
      <c r="B293" t="s">
        <v>109</v>
      </c>
      <c r="C293" t="str">
        <f>VLOOKUP($B293,Keys!$F$2:$I$22,2,FALSE)</f>
        <v>crude oil</v>
      </c>
      <c r="D293">
        <f>VLOOKUP($B293,Keys!$F$2:$I$22,3,FALSE)</f>
        <v>1</v>
      </c>
      <c r="E293" t="str">
        <f>VLOOKUP($B293,Keys!$F$2:$I$22,4,FALSE)</f>
        <v>hold</v>
      </c>
      <c r="F293" t="str">
        <f>$A293&amp;Keys!$C$54&amp;$B293</f>
        <v>KS|crude oil</v>
      </c>
      <c r="G293" s="10">
        <f>IF($E293=Keys!$C$60,Keys!$C$51,INDEX(Balanced_2025!$D$9:$D$3032,MATCH($A293&amp;Keys!$C$54&amp;Keys!$C$55&amp;Keys!$C$54&amp;$C293,Balanced_2025!$E$9:$E$3032,0)))</f>
        <v>155608000000000</v>
      </c>
      <c r="H293" s="10">
        <f>IF($E293=Keys!$C$60,Keys!$C$51,INDEX(Balanced_2025!$D$9:$D$3032,MATCH($A293&amp;Keys!$C$54&amp;Keys!$C$56&amp;Keys!$C$54&amp;$C293,Balanced_2025!$E$9:$E$3032,0)))</f>
        <v>671384000000000</v>
      </c>
      <c r="I293" s="10">
        <f>IF($E293=Keys!$C$60,Keys!$C$51,INDEX(Balanced_2025!$D$9:$D$3032,MATCH($A293&amp;Keys!$C$54&amp;Keys!$C$57&amp;Keys!$C$54&amp;$C293,Balanced_2025!$E$9:$E$3032,0)))</f>
        <v>0</v>
      </c>
      <c r="J293" s="10">
        <f t="shared" si="16"/>
        <v>826992000000000</v>
      </c>
      <c r="K293" s="10">
        <f>MAX(Keys!$C$51,$I293-$H293)</f>
        <v>0</v>
      </c>
      <c r="L293" s="10">
        <f t="shared" si="17"/>
        <v>826992000000000</v>
      </c>
      <c r="M293" s="11">
        <f>IF($L293&gt;Keys!$C$51,MIN(Keys!$C$52,$K293/$L293),Keys!$C$51)</f>
        <v>0</v>
      </c>
      <c r="N293" s="11">
        <f>IF($E293=Keys!$C$60,Keys!$C$51,IF($E293=Keys!$C$59,$D293,$M293))</f>
        <v>1</v>
      </c>
      <c r="O293">
        <f t="shared" si="18"/>
        <v>0</v>
      </c>
      <c r="P293" s="10">
        <f>IF($E293=Keys!$C$60,Keys!$C$51,INDEX(Raw_BFPIaE!$G$9:$G$3032,MATCH($A293&amp;Keys!$C$54&amp;Keys!$C$55&amp;Keys!$C$54&amp;$B293,Raw_BFPIaE!$H$9:$H$3032,0)))</f>
        <v>154018000000000</v>
      </c>
      <c r="Q293" s="10">
        <f>IF($E293=Keys!$C$60,Keys!$C$51,INDEX(Raw_BFPIaE!$G$9:$G$3032,MATCH($A293&amp;Keys!$C$54&amp;Keys!$C$56&amp;Keys!$C$54&amp;$B293,Raw_BFPIaE!$H$9:$H$3032,0)))</f>
        <v>449179333333333.31</v>
      </c>
      <c r="R293" s="10">
        <f>IF($E293=Keys!$C$60,Keys!$C$51,INDEX(Raw_BFPIaE!$G$9:$G$3032,MATCH($A293&amp;Keys!$C$54&amp;Keys!$C$57&amp;Keys!$C$54&amp;$B293,Raw_BFPIaE!$H$9:$H$3032,0)))</f>
        <v>0</v>
      </c>
      <c r="S293" s="11">
        <f>IF(($P293+$Q293-$R293+MAX(Keys!$C$51,$R293-$Q293))&gt;Keys!$C$51,MIN(Keys!$C$52,MAX(Keys!$C$51,$R293-$Q293)/($P293+$Q293-$R293+MAX(Keys!$C$51,$R293-$Q293))),Keys!$C$51)</f>
        <v>0</v>
      </c>
      <c r="T293">
        <f>IF(AND($I293&gt;$H293,ABS($L293-$G293)&gt;MAX(Keys!$C$62,ABS($G293)*Keys!$C$63)),1,0)</f>
        <v>0</v>
      </c>
      <c r="U293">
        <f>IF(OR($N293&lt;Keys!$C$51,$N293&gt;Keys!$C$52),1,0)</f>
        <v>0</v>
      </c>
      <c r="V293">
        <f>IF(AND($E293=Keys!$C$60,$N293&lt;&gt;Keys!$C$51),1,0)</f>
        <v>0</v>
      </c>
      <c r="W293">
        <f>IF($L293&gt;Keys!$C$51,IF($K293/$L293&gt;Keys!$C$52,1,0),0)</f>
        <v>0</v>
      </c>
      <c r="X293" s="11">
        <f t="shared" si="19"/>
        <v>0</v>
      </c>
    </row>
    <row r="294" spans="1:24" x14ac:dyDescent="0.25">
      <c r="A294" t="s">
        <v>99</v>
      </c>
      <c r="B294" t="s">
        <v>113</v>
      </c>
      <c r="C294" t="str">
        <f>VLOOKUP($B294,Keys!$F$2:$I$22,2,FALSE)</f>
        <v>heavy or residual fuel oil</v>
      </c>
      <c r="D294">
        <f>VLOOKUP($B294,Keys!$F$2:$I$22,3,FALSE)</f>
        <v>0.49914171099999999</v>
      </c>
      <c r="E294" t="str">
        <f>VLOOKUP($B294,Keys!$F$2:$I$22,4,FALSE)</f>
        <v>rule</v>
      </c>
      <c r="F294" t="str">
        <f>$A294&amp;Keys!$C$54&amp;$B294</f>
        <v>KS|heavy fuel oil</v>
      </c>
      <c r="G294" s="10">
        <f>IF($E294=Keys!$C$60,Keys!$C$51,INDEX(Balanced_2025!$D$9:$D$3032,MATCH($A294&amp;Keys!$C$54&amp;Keys!$C$55&amp;Keys!$C$54&amp;$C294,Balanced_2025!$E$9:$E$3032,0)))</f>
        <v>16204200000000</v>
      </c>
      <c r="H294" s="10">
        <f>IF($E294=Keys!$C$60,Keys!$C$51,INDEX(Balanced_2025!$D$9:$D$3032,MATCH($A294&amp;Keys!$C$54&amp;Keys!$C$56&amp;Keys!$C$54&amp;$C294,Balanced_2025!$E$9:$E$3032,0)))</f>
        <v>0</v>
      </c>
      <c r="I294" s="10">
        <f>IF($E294=Keys!$C$60,Keys!$C$51,INDEX(Balanced_2025!$D$9:$D$3032,MATCH($A294&amp;Keys!$C$54&amp;Keys!$C$57&amp;Keys!$C$54&amp;$C294,Balanced_2025!$E$9:$E$3032,0)))</f>
        <v>6524060000000</v>
      </c>
      <c r="J294" s="10">
        <f t="shared" si="16"/>
        <v>9680140000000</v>
      </c>
      <c r="K294" s="10">
        <f>MAX(Keys!$C$51,$I294-$H294)</f>
        <v>6524060000000</v>
      </c>
      <c r="L294" s="10">
        <f t="shared" si="17"/>
        <v>16204200000000</v>
      </c>
      <c r="M294" s="11">
        <f>IF($L294&gt;Keys!$C$51,MIN(Keys!$C$52,$K294/$L294),Keys!$C$51)</f>
        <v>0.40261537132348402</v>
      </c>
      <c r="N294" s="11">
        <f>IF($E294=Keys!$C$60,Keys!$C$51,IF($E294=Keys!$C$59,$D294,$M294))</f>
        <v>0.40261537132348402</v>
      </c>
      <c r="O294">
        <f t="shared" si="18"/>
        <v>1</v>
      </c>
      <c r="P294" s="10">
        <f>IF($E294=Keys!$C$60,Keys!$C$51,INDEX(Raw_BFPIaE!$G$9:$G$3032,MATCH($A294&amp;Keys!$C$54&amp;Keys!$C$55&amp;Keys!$C$54&amp;$B294,Raw_BFPIaE!$H$9:$H$3032,0)))</f>
        <v>16073300000000</v>
      </c>
      <c r="Q294" s="10">
        <f>IF($E294=Keys!$C$60,Keys!$C$51,INDEX(Raw_BFPIaE!$G$9:$G$3032,MATCH($A294&amp;Keys!$C$54&amp;Keys!$C$56&amp;Keys!$C$54&amp;$B294,Raw_BFPIaE!$H$9:$H$3032,0)))</f>
        <v>0</v>
      </c>
      <c r="R294" s="10">
        <f>IF($E294=Keys!$C$60,Keys!$C$51,INDEX(Raw_BFPIaE!$G$9:$G$3032,MATCH($A294&amp;Keys!$C$54&amp;Keys!$C$57&amp;Keys!$C$54&amp;$B294,Raw_BFPIaE!$H$9:$H$3032,0)))</f>
        <v>4152300000000</v>
      </c>
      <c r="S294" s="11">
        <f>IF(($P294+$Q294-$R294+MAX(Keys!$C$51,$R294-$Q294))&gt;Keys!$C$51,MIN(Keys!$C$52,MAX(Keys!$C$51,$R294-$Q294)/($P294+$Q294-$R294+MAX(Keys!$C$51,$R294-$Q294))),Keys!$C$51)</f>
        <v>0.25833525162847704</v>
      </c>
      <c r="T294">
        <f>IF(AND($I294&gt;$H294,ABS($L294-$G294)&gt;MAX(Keys!$C$62,ABS($G294)*Keys!$C$63)),1,0)</f>
        <v>0</v>
      </c>
      <c r="U294">
        <f>IF(OR($N294&lt;Keys!$C$51,$N294&gt;Keys!$C$52),1,0)</f>
        <v>0</v>
      </c>
      <c r="V294">
        <f>IF(AND($E294=Keys!$C$60,$N294&lt;&gt;Keys!$C$51),1,0)</f>
        <v>0</v>
      </c>
      <c r="W294">
        <f>IF($L294&gt;Keys!$C$51,IF($K294/$L294&gt;Keys!$C$52,1,0),0)</f>
        <v>0</v>
      </c>
      <c r="X294" s="11">
        <f t="shared" si="19"/>
        <v>0.14428011969500698</v>
      </c>
    </row>
    <row r="295" spans="1:24" x14ac:dyDescent="0.25">
      <c r="A295" t="s">
        <v>99</v>
      </c>
      <c r="B295" t="s">
        <v>117</v>
      </c>
      <c r="C295" t="str">
        <f>VLOOKUP($B295,Keys!$F$2:$I$22,2,FALSE)</f>
        <v>LPG propane or butane</v>
      </c>
      <c r="D295">
        <f>VLOOKUP($B295,Keys!$F$2:$I$22,3,FALSE)</f>
        <v>0.54955999499999997</v>
      </c>
      <c r="E295" t="str">
        <f>VLOOKUP($B295,Keys!$F$2:$I$22,4,FALSE)</f>
        <v>rule</v>
      </c>
      <c r="F295" t="str">
        <f>$A295&amp;Keys!$C$54&amp;$B295</f>
        <v>KS|LPG propane or butane</v>
      </c>
      <c r="G295" s="10">
        <f>IF($E295=Keys!$C$60,Keys!$C$51,INDEX(Balanced_2025!$D$9:$D$3032,MATCH($A295&amp;Keys!$C$54&amp;Keys!$C$55&amp;Keys!$C$54&amp;$C295,Balanced_2025!$E$9:$E$3032,0)))</f>
        <v>14655000000000</v>
      </c>
      <c r="H295" s="10">
        <f>IF($E295=Keys!$C$60,Keys!$C$51,INDEX(Balanced_2025!$D$9:$D$3032,MATCH($A295&amp;Keys!$C$54&amp;Keys!$C$56&amp;Keys!$C$54&amp;$C295,Balanced_2025!$E$9:$E$3032,0)))</f>
        <v>0</v>
      </c>
      <c r="I295" s="10">
        <f>IF($E295=Keys!$C$60,Keys!$C$51,INDEX(Balanced_2025!$D$9:$D$3032,MATCH($A295&amp;Keys!$C$54&amp;Keys!$C$57&amp;Keys!$C$54&amp;$C295,Balanced_2025!$E$9:$E$3032,0)))</f>
        <v>4851920000000</v>
      </c>
      <c r="J295" s="10">
        <f t="shared" si="16"/>
        <v>9803080000000</v>
      </c>
      <c r="K295" s="10">
        <f>MAX(Keys!$C$51,$I295-$H295)</f>
        <v>4851920000000</v>
      </c>
      <c r="L295" s="10">
        <f t="shared" si="17"/>
        <v>14655000000000</v>
      </c>
      <c r="M295" s="11">
        <f>IF($L295&gt;Keys!$C$51,MIN(Keys!$C$52,$K295/$L295),Keys!$C$51)</f>
        <v>0.33107608324803822</v>
      </c>
      <c r="N295" s="11">
        <f>IF($E295=Keys!$C$60,Keys!$C$51,IF($E295=Keys!$C$59,$D295,$M295))</f>
        <v>0.33107608324803822</v>
      </c>
      <c r="O295">
        <f t="shared" si="18"/>
        <v>1</v>
      </c>
      <c r="P295" s="10">
        <f>IF($E295=Keys!$C$60,Keys!$C$51,INDEX(Raw_BFPIaE!$G$9:$G$3032,MATCH($A295&amp;Keys!$C$54&amp;Keys!$C$55&amp;Keys!$C$54&amp;$B295,Raw_BFPIaE!$H$9:$H$3032,0)))</f>
        <v>14758733333333.334</v>
      </c>
      <c r="Q295" s="10">
        <f>IF($E295=Keys!$C$60,Keys!$C$51,INDEX(Raw_BFPIaE!$G$9:$G$3032,MATCH($A295&amp;Keys!$C$54&amp;Keys!$C$56&amp;Keys!$C$54&amp;$B295,Raw_BFPIaE!$H$9:$H$3032,0)))</f>
        <v>0</v>
      </c>
      <c r="R295" s="10">
        <f>IF($E295=Keys!$C$60,Keys!$C$51,INDEX(Raw_BFPIaE!$G$9:$G$3032,MATCH($A295&amp;Keys!$C$54&amp;Keys!$C$57&amp;Keys!$C$54&amp;$B295,Raw_BFPIaE!$H$9:$H$3032,0)))</f>
        <v>3377046666666.6665</v>
      </c>
      <c r="S295" s="11">
        <f>IF(($P295+$Q295-$R295+MAX(Keys!$C$51,$R295-$Q295))&gt;Keys!$C$51,MIN(Keys!$C$52,MAX(Keys!$C$51,$R295-$Q295)/($P295+$Q295-$R295+MAX(Keys!$C$51,$R295-$Q295))),Keys!$C$51)</f>
        <v>0.22881683613318213</v>
      </c>
      <c r="T295">
        <f>IF(AND($I295&gt;$H295,ABS($L295-$G295)&gt;MAX(Keys!$C$62,ABS($G295)*Keys!$C$63)),1,0)</f>
        <v>0</v>
      </c>
      <c r="U295">
        <f>IF(OR($N295&lt;Keys!$C$51,$N295&gt;Keys!$C$52),1,0)</f>
        <v>0</v>
      </c>
      <c r="V295">
        <f>IF(AND($E295=Keys!$C$60,$N295&lt;&gt;Keys!$C$51),1,0)</f>
        <v>0</v>
      </c>
      <c r="W295">
        <f>IF($L295&gt;Keys!$C$51,IF($K295/$L295&gt;Keys!$C$52,1,0),0)</f>
        <v>0</v>
      </c>
      <c r="X295" s="11">
        <f t="shared" si="19"/>
        <v>0.10225924711485609</v>
      </c>
    </row>
    <row r="296" spans="1:24" x14ac:dyDescent="0.25">
      <c r="A296" t="s">
        <v>99</v>
      </c>
      <c r="B296" t="s">
        <v>120</v>
      </c>
      <c r="C296">
        <f>VLOOKUP($B296,Keys!$F$2:$I$22,2,FALSE)</f>
        <v>0</v>
      </c>
      <c r="D296">
        <f>VLOOKUP($B296,Keys!$F$2:$I$22,3,FALSE)</f>
        <v>0</v>
      </c>
      <c r="E296" t="str">
        <f>VLOOKUP($B296,Keys!$F$2:$I$22,4,FALSE)</f>
        <v>zero</v>
      </c>
      <c r="F296" t="str">
        <f>$A296&amp;Keys!$C$54&amp;$B296</f>
        <v>KS|municipal solid waste</v>
      </c>
      <c r="G296" s="10">
        <f>IF($E296=Keys!$C$60,Keys!$C$51,INDEX(Balanced_2025!$D$9:$D$3032,MATCH($A296&amp;Keys!$C$54&amp;Keys!$C$55&amp;Keys!$C$54&amp;$C296,Balanced_2025!$E$9:$E$3032,0)))</f>
        <v>0</v>
      </c>
      <c r="H296" s="10">
        <f>IF($E296=Keys!$C$60,Keys!$C$51,INDEX(Balanced_2025!$D$9:$D$3032,MATCH($A296&amp;Keys!$C$54&amp;Keys!$C$56&amp;Keys!$C$54&amp;$C296,Balanced_2025!$E$9:$E$3032,0)))</f>
        <v>0</v>
      </c>
      <c r="I296" s="10">
        <f>IF($E296=Keys!$C$60,Keys!$C$51,INDEX(Balanced_2025!$D$9:$D$3032,MATCH($A296&amp;Keys!$C$54&amp;Keys!$C$57&amp;Keys!$C$54&amp;$C296,Balanced_2025!$E$9:$E$3032,0)))</f>
        <v>0</v>
      </c>
      <c r="J296" s="10">
        <f t="shared" si="16"/>
        <v>0</v>
      </c>
      <c r="K296" s="10">
        <f>MAX(Keys!$C$51,$I296-$H296)</f>
        <v>0</v>
      </c>
      <c r="L296" s="10">
        <f t="shared" si="17"/>
        <v>0</v>
      </c>
      <c r="M296" s="11">
        <f>IF($L296&gt;Keys!$C$51,MIN(Keys!$C$52,$K296/$L296),Keys!$C$51)</f>
        <v>0</v>
      </c>
      <c r="N296" s="11">
        <f>IF($E296=Keys!$C$60,Keys!$C$51,IF($E296=Keys!$C$59,$D296,$M296))</f>
        <v>0</v>
      </c>
      <c r="O296">
        <f t="shared" si="18"/>
        <v>0</v>
      </c>
      <c r="P296" s="10">
        <f>IF($E296=Keys!$C$60,Keys!$C$51,INDEX(Raw_BFPIaE!$G$9:$G$3032,MATCH($A296&amp;Keys!$C$54&amp;Keys!$C$55&amp;Keys!$C$54&amp;$B296,Raw_BFPIaE!$H$9:$H$3032,0)))</f>
        <v>0</v>
      </c>
      <c r="Q296" s="10">
        <f>IF($E296=Keys!$C$60,Keys!$C$51,INDEX(Raw_BFPIaE!$G$9:$G$3032,MATCH($A296&amp;Keys!$C$54&amp;Keys!$C$56&amp;Keys!$C$54&amp;$B296,Raw_BFPIaE!$H$9:$H$3032,0)))</f>
        <v>0</v>
      </c>
      <c r="R296" s="10">
        <f>IF($E296=Keys!$C$60,Keys!$C$51,INDEX(Raw_BFPIaE!$G$9:$G$3032,MATCH($A296&amp;Keys!$C$54&amp;Keys!$C$57&amp;Keys!$C$54&amp;$B296,Raw_BFPIaE!$H$9:$H$3032,0)))</f>
        <v>0</v>
      </c>
      <c r="S296" s="11">
        <f>IF(($P296+$Q296-$R296+MAX(Keys!$C$51,$R296-$Q296))&gt;Keys!$C$51,MIN(Keys!$C$52,MAX(Keys!$C$51,$R296-$Q296)/($P296+$Q296-$R296+MAX(Keys!$C$51,$R296-$Q296))),Keys!$C$51)</f>
        <v>0</v>
      </c>
      <c r="T296">
        <f>IF(AND($I296&gt;$H296,ABS($L296-$G296)&gt;MAX(Keys!$C$62,ABS($G296)*Keys!$C$63)),1,0)</f>
        <v>0</v>
      </c>
      <c r="U296">
        <f>IF(OR($N296&lt;Keys!$C$51,$N296&gt;Keys!$C$52),1,0)</f>
        <v>0</v>
      </c>
      <c r="V296">
        <f>IF(AND($E296=Keys!$C$60,$N296&lt;&gt;Keys!$C$51),1,0)</f>
        <v>0</v>
      </c>
      <c r="W296">
        <f>IF($L296&gt;Keys!$C$51,IF($K296/$L296&gt;Keys!$C$52,1,0),0)</f>
        <v>0</v>
      </c>
      <c r="X296" s="11">
        <f t="shared" si="19"/>
        <v>0</v>
      </c>
    </row>
    <row r="297" spans="1:24" x14ac:dyDescent="0.25">
      <c r="A297" t="s">
        <v>99</v>
      </c>
      <c r="B297" t="s">
        <v>123</v>
      </c>
      <c r="C297">
        <f>VLOOKUP($B297,Keys!$F$2:$I$22,2,FALSE)</f>
        <v>0</v>
      </c>
      <c r="D297">
        <f>VLOOKUP($B297,Keys!$F$2:$I$22,3,FALSE)</f>
        <v>0</v>
      </c>
      <c r="E297" t="str">
        <f>VLOOKUP($B297,Keys!$F$2:$I$22,4,FALSE)</f>
        <v>zero</v>
      </c>
      <c r="F297" t="str">
        <f>$A297&amp;Keys!$C$54&amp;$B297</f>
        <v>KS|hydrogen</v>
      </c>
      <c r="G297" s="10">
        <f>IF($E297=Keys!$C$60,Keys!$C$51,INDEX(Balanced_2025!$D$9:$D$3032,MATCH($A297&amp;Keys!$C$54&amp;Keys!$C$55&amp;Keys!$C$54&amp;$C297,Balanced_2025!$E$9:$E$3032,0)))</f>
        <v>0</v>
      </c>
      <c r="H297" s="10">
        <f>IF($E297=Keys!$C$60,Keys!$C$51,INDEX(Balanced_2025!$D$9:$D$3032,MATCH($A297&amp;Keys!$C$54&amp;Keys!$C$56&amp;Keys!$C$54&amp;$C297,Balanced_2025!$E$9:$E$3032,0)))</f>
        <v>0</v>
      </c>
      <c r="I297" s="10">
        <f>IF($E297=Keys!$C$60,Keys!$C$51,INDEX(Balanced_2025!$D$9:$D$3032,MATCH($A297&amp;Keys!$C$54&amp;Keys!$C$57&amp;Keys!$C$54&amp;$C297,Balanced_2025!$E$9:$E$3032,0)))</f>
        <v>0</v>
      </c>
      <c r="J297" s="10">
        <f t="shared" si="16"/>
        <v>0</v>
      </c>
      <c r="K297" s="10">
        <f>MAX(Keys!$C$51,$I297-$H297)</f>
        <v>0</v>
      </c>
      <c r="L297" s="10">
        <f t="shared" si="17"/>
        <v>0</v>
      </c>
      <c r="M297" s="11">
        <f>IF($L297&gt;Keys!$C$51,MIN(Keys!$C$52,$K297/$L297),Keys!$C$51)</f>
        <v>0</v>
      </c>
      <c r="N297" s="11">
        <f>IF($E297=Keys!$C$60,Keys!$C$51,IF($E297=Keys!$C$59,$D297,$M297))</f>
        <v>0</v>
      </c>
      <c r="O297">
        <f t="shared" si="18"/>
        <v>0</v>
      </c>
      <c r="P297" s="10">
        <f>IF($E297=Keys!$C$60,Keys!$C$51,INDEX(Raw_BFPIaE!$G$9:$G$3032,MATCH($A297&amp;Keys!$C$54&amp;Keys!$C$55&amp;Keys!$C$54&amp;$B297,Raw_BFPIaE!$H$9:$H$3032,0)))</f>
        <v>0</v>
      </c>
      <c r="Q297" s="10">
        <f>IF($E297=Keys!$C$60,Keys!$C$51,INDEX(Raw_BFPIaE!$G$9:$G$3032,MATCH($A297&amp;Keys!$C$54&amp;Keys!$C$56&amp;Keys!$C$54&amp;$B297,Raw_BFPIaE!$H$9:$H$3032,0)))</f>
        <v>0</v>
      </c>
      <c r="R297" s="10">
        <f>IF($E297=Keys!$C$60,Keys!$C$51,INDEX(Raw_BFPIaE!$G$9:$G$3032,MATCH($A297&amp;Keys!$C$54&amp;Keys!$C$57&amp;Keys!$C$54&amp;$B297,Raw_BFPIaE!$H$9:$H$3032,0)))</f>
        <v>0</v>
      </c>
      <c r="S297" s="11">
        <f>IF(($P297+$Q297-$R297+MAX(Keys!$C$51,$R297-$Q297))&gt;Keys!$C$51,MIN(Keys!$C$52,MAX(Keys!$C$51,$R297-$Q297)/($P297+$Q297-$R297+MAX(Keys!$C$51,$R297-$Q297))),Keys!$C$51)</f>
        <v>0</v>
      </c>
      <c r="T297">
        <f>IF(AND($I297&gt;$H297,ABS($L297-$G297)&gt;MAX(Keys!$C$62,ABS($G297)*Keys!$C$63)),1,0)</f>
        <v>0</v>
      </c>
      <c r="U297">
        <f>IF(OR($N297&lt;Keys!$C$51,$N297&gt;Keys!$C$52),1,0)</f>
        <v>0</v>
      </c>
      <c r="V297">
        <f>IF(AND($E297=Keys!$C$60,$N297&lt;&gt;Keys!$C$51),1,0)</f>
        <v>0</v>
      </c>
      <c r="W297">
        <f>IF($L297&gt;Keys!$C$51,IF($K297/$L297&gt;Keys!$C$52,1,0),0)</f>
        <v>0</v>
      </c>
      <c r="X297" s="11">
        <f t="shared" si="19"/>
        <v>0</v>
      </c>
    </row>
    <row r="298" spans="1:24" x14ac:dyDescent="0.25">
      <c r="A298" t="s">
        <v>102</v>
      </c>
      <c r="B298" t="s">
        <v>60</v>
      </c>
      <c r="C298">
        <f>VLOOKUP($B298,Keys!$F$2:$I$22,2,FALSE)</f>
        <v>0</v>
      </c>
      <c r="D298">
        <f>VLOOKUP($B298,Keys!$F$2:$I$22,3,FALSE)</f>
        <v>0</v>
      </c>
      <c r="E298" t="str">
        <f>VLOOKUP($B298,Keys!$F$2:$I$22,4,FALSE)</f>
        <v>zero</v>
      </c>
      <c r="F298" t="str">
        <f>$A298&amp;Keys!$C$54&amp;$B298</f>
        <v>KY|electricity (not used in this variable)</v>
      </c>
      <c r="G298" s="10">
        <f>IF($E298=Keys!$C$60,Keys!$C$51,INDEX(Balanced_2025!$D$9:$D$3032,MATCH($A298&amp;Keys!$C$54&amp;Keys!$C$55&amp;Keys!$C$54&amp;$C298,Balanced_2025!$E$9:$E$3032,0)))</f>
        <v>0</v>
      </c>
      <c r="H298" s="10">
        <f>IF($E298=Keys!$C$60,Keys!$C$51,INDEX(Balanced_2025!$D$9:$D$3032,MATCH($A298&amp;Keys!$C$54&amp;Keys!$C$56&amp;Keys!$C$54&amp;$C298,Balanced_2025!$E$9:$E$3032,0)))</f>
        <v>0</v>
      </c>
      <c r="I298" s="10">
        <f>IF($E298=Keys!$C$60,Keys!$C$51,INDEX(Balanced_2025!$D$9:$D$3032,MATCH($A298&amp;Keys!$C$54&amp;Keys!$C$57&amp;Keys!$C$54&amp;$C298,Balanced_2025!$E$9:$E$3032,0)))</f>
        <v>0</v>
      </c>
      <c r="J298" s="10">
        <f t="shared" si="16"/>
        <v>0</v>
      </c>
      <c r="K298" s="10">
        <f>MAX(Keys!$C$51,$I298-$H298)</f>
        <v>0</v>
      </c>
      <c r="L298" s="10">
        <f t="shared" si="17"/>
        <v>0</v>
      </c>
      <c r="M298" s="11">
        <f>IF($L298&gt;Keys!$C$51,MIN(Keys!$C$52,$K298/$L298),Keys!$C$51)</f>
        <v>0</v>
      </c>
      <c r="N298" s="11">
        <f>IF($E298=Keys!$C$60,Keys!$C$51,IF($E298=Keys!$C$59,$D298,$M298))</f>
        <v>0</v>
      </c>
      <c r="O298">
        <f t="shared" si="18"/>
        <v>0</v>
      </c>
      <c r="P298" s="10">
        <f>IF($E298=Keys!$C$60,Keys!$C$51,INDEX(Raw_BFPIaE!$G$9:$G$3032,MATCH($A298&amp;Keys!$C$54&amp;Keys!$C$55&amp;Keys!$C$54&amp;$B298,Raw_BFPIaE!$H$9:$H$3032,0)))</f>
        <v>0</v>
      </c>
      <c r="Q298" s="10">
        <f>IF($E298=Keys!$C$60,Keys!$C$51,INDEX(Raw_BFPIaE!$G$9:$G$3032,MATCH($A298&amp;Keys!$C$54&amp;Keys!$C$56&amp;Keys!$C$54&amp;$B298,Raw_BFPIaE!$H$9:$H$3032,0)))</f>
        <v>0</v>
      </c>
      <c r="R298" s="10">
        <f>IF($E298=Keys!$C$60,Keys!$C$51,INDEX(Raw_BFPIaE!$G$9:$G$3032,MATCH($A298&amp;Keys!$C$54&amp;Keys!$C$57&amp;Keys!$C$54&amp;$B298,Raw_BFPIaE!$H$9:$H$3032,0)))</f>
        <v>0</v>
      </c>
      <c r="S298" s="11">
        <f>IF(($P298+$Q298-$R298+MAX(Keys!$C$51,$R298-$Q298))&gt;Keys!$C$51,MIN(Keys!$C$52,MAX(Keys!$C$51,$R298-$Q298)/($P298+$Q298-$R298+MAX(Keys!$C$51,$R298-$Q298))),Keys!$C$51)</f>
        <v>0</v>
      </c>
      <c r="T298">
        <f>IF(AND($I298&gt;$H298,ABS($L298-$G298)&gt;MAX(Keys!$C$62,ABS($G298)*Keys!$C$63)),1,0)</f>
        <v>0</v>
      </c>
      <c r="U298">
        <f>IF(OR($N298&lt;Keys!$C$51,$N298&gt;Keys!$C$52),1,0)</f>
        <v>0</v>
      </c>
      <c r="V298">
        <f>IF(AND($E298=Keys!$C$60,$N298&lt;&gt;Keys!$C$51),1,0)</f>
        <v>0</v>
      </c>
      <c r="W298">
        <f>IF($L298&gt;Keys!$C$51,IF($K298/$L298&gt;Keys!$C$52,1,0),0)</f>
        <v>0</v>
      </c>
      <c r="X298" s="11">
        <f t="shared" si="19"/>
        <v>0</v>
      </c>
    </row>
    <row r="299" spans="1:24" x14ac:dyDescent="0.25">
      <c r="A299" t="s">
        <v>102</v>
      </c>
      <c r="B299" t="s">
        <v>64</v>
      </c>
      <c r="C299" t="str">
        <f>VLOOKUP($B299,Keys!$F$2:$I$22,2,FALSE)</f>
        <v>hard coal</v>
      </c>
      <c r="D299">
        <f>VLOOKUP($B299,Keys!$F$2:$I$22,3,FALSE)</f>
        <v>0.137539879</v>
      </c>
      <c r="E299" t="str">
        <f>VLOOKUP($B299,Keys!$F$2:$I$22,4,FALSE)</f>
        <v>rule</v>
      </c>
      <c r="F299" t="str">
        <f>$A299&amp;Keys!$C$54&amp;$B299</f>
        <v>KY|hard coal</v>
      </c>
      <c r="G299" s="10">
        <f>IF($E299=Keys!$C$60,Keys!$C$51,INDEX(Balanced_2025!$D$9:$D$3032,MATCH($A299&amp;Keys!$C$54&amp;Keys!$C$55&amp;Keys!$C$54&amp;$C299,Balanced_2025!$E$9:$E$3032,0)))</f>
        <v>498326000000000</v>
      </c>
      <c r="H299" s="10">
        <f>IF($E299=Keys!$C$60,Keys!$C$51,INDEX(Balanced_2025!$D$9:$D$3032,MATCH($A299&amp;Keys!$C$54&amp;Keys!$C$56&amp;Keys!$C$54&amp;$C299,Balanced_2025!$E$9:$E$3032,0)))</f>
        <v>94329500000000</v>
      </c>
      <c r="I299" s="10">
        <f>IF($E299=Keys!$C$60,Keys!$C$51,INDEX(Balanced_2025!$D$9:$D$3032,MATCH($A299&amp;Keys!$C$54&amp;Keys!$C$57&amp;Keys!$C$54&amp;$C299,Balanced_2025!$E$9:$E$3032,0)))</f>
        <v>12140800000000</v>
      </c>
      <c r="J299" s="10">
        <f t="shared" si="16"/>
        <v>580514700000000</v>
      </c>
      <c r="K299" s="10">
        <f>MAX(Keys!$C$51,$I299-$H299)</f>
        <v>0</v>
      </c>
      <c r="L299" s="10">
        <f t="shared" si="17"/>
        <v>580514700000000</v>
      </c>
      <c r="M299" s="11">
        <f>IF($L299&gt;Keys!$C$51,MIN(Keys!$C$52,$K299/$L299),Keys!$C$51)</f>
        <v>0</v>
      </c>
      <c r="N299" s="11">
        <f>IF($E299=Keys!$C$60,Keys!$C$51,IF($E299=Keys!$C$59,$D299,$M299))</f>
        <v>0</v>
      </c>
      <c r="O299">
        <f t="shared" si="18"/>
        <v>1</v>
      </c>
      <c r="P299" s="10">
        <f>IF($E299=Keys!$C$60,Keys!$C$51,INDEX(Raw_BFPIaE!$G$9:$G$3032,MATCH($A299&amp;Keys!$C$54&amp;Keys!$C$55&amp;Keys!$C$54&amp;$B299,Raw_BFPIaE!$H$9:$H$3032,0)))</f>
        <v>497963333333333.31</v>
      </c>
      <c r="Q299" s="10">
        <f>IF($E299=Keys!$C$60,Keys!$C$51,INDEX(Raw_BFPIaE!$G$9:$G$3032,MATCH($A299&amp;Keys!$C$54&amp;Keys!$C$56&amp;Keys!$C$54&amp;$B299,Raw_BFPIaE!$H$9:$H$3032,0)))</f>
        <v>195177200000000</v>
      </c>
      <c r="R299" s="10">
        <f>IF($E299=Keys!$C$60,Keys!$C$51,INDEX(Raw_BFPIaE!$G$9:$G$3032,MATCH($A299&amp;Keys!$C$54&amp;Keys!$C$57&amp;Keys!$C$54&amp;$B299,Raw_BFPIaE!$H$9:$H$3032,0)))</f>
        <v>4046933333333.3335</v>
      </c>
      <c r="S299" s="11">
        <f>IF(($P299+$Q299-$R299+MAX(Keys!$C$51,$R299-$Q299))&gt;Keys!$C$51,MIN(Keys!$C$52,MAX(Keys!$C$51,$R299-$Q299)/($P299+$Q299-$R299+MAX(Keys!$C$51,$R299-$Q299))),Keys!$C$51)</f>
        <v>0</v>
      </c>
      <c r="T299">
        <f>IF(AND($I299&gt;$H299,ABS($L299-$G299)&gt;MAX(Keys!$C$62,ABS($G299)*Keys!$C$63)),1,0)</f>
        <v>0</v>
      </c>
      <c r="U299">
        <f>IF(OR($N299&lt;Keys!$C$51,$N299&gt;Keys!$C$52),1,0)</f>
        <v>0</v>
      </c>
      <c r="V299">
        <f>IF(AND($E299=Keys!$C$60,$N299&lt;&gt;Keys!$C$51),1,0)</f>
        <v>0</v>
      </c>
      <c r="W299">
        <f>IF($L299&gt;Keys!$C$51,IF($K299/$L299&gt;Keys!$C$52,1,0),0)</f>
        <v>0</v>
      </c>
      <c r="X299" s="11">
        <f t="shared" si="19"/>
        <v>0</v>
      </c>
    </row>
    <row r="300" spans="1:24" x14ac:dyDescent="0.25">
      <c r="A300" t="s">
        <v>102</v>
      </c>
      <c r="B300" t="s">
        <v>68</v>
      </c>
      <c r="C300" t="str">
        <f>VLOOKUP($B300,Keys!$F$2:$I$22,2,FALSE)</f>
        <v>natural gas</v>
      </c>
      <c r="D300">
        <f>VLOOKUP($B300,Keys!$F$2:$I$22,3,FALSE)</f>
        <v>0.190839183</v>
      </c>
      <c r="E300" t="str">
        <f>VLOOKUP($B300,Keys!$F$2:$I$22,4,FALSE)</f>
        <v>rule</v>
      </c>
      <c r="F300" t="str">
        <f>$A300&amp;Keys!$C$54&amp;$B300</f>
        <v>KY|natural gas</v>
      </c>
      <c r="G300" s="10">
        <f>IF($E300=Keys!$C$60,Keys!$C$51,INDEX(Balanced_2025!$D$9:$D$3032,MATCH($A300&amp;Keys!$C$54&amp;Keys!$C$55&amp;Keys!$C$54&amp;$C300,Balanced_2025!$E$9:$E$3032,0)))</f>
        <v>55543800000000</v>
      </c>
      <c r="H300" s="10">
        <f>IF($E300=Keys!$C$60,Keys!$C$51,INDEX(Balanced_2025!$D$9:$D$3032,MATCH($A300&amp;Keys!$C$54&amp;Keys!$C$56&amp;Keys!$C$54&amp;$C300,Balanced_2025!$E$9:$E$3032,0)))</f>
        <v>2790560000000000</v>
      </c>
      <c r="I300" s="10">
        <f>IF($E300=Keys!$C$60,Keys!$C$51,INDEX(Balanced_2025!$D$9:$D$3032,MATCH($A300&amp;Keys!$C$54&amp;Keys!$C$57&amp;Keys!$C$54&amp;$C300,Balanced_2025!$E$9:$E$3032,0)))</f>
        <v>2472450000000000</v>
      </c>
      <c r="J300" s="10">
        <f t="shared" si="16"/>
        <v>373653800000000</v>
      </c>
      <c r="K300" s="10">
        <f>MAX(Keys!$C$51,$I300-$H300)</f>
        <v>0</v>
      </c>
      <c r="L300" s="10">
        <f t="shared" si="17"/>
        <v>373653800000000</v>
      </c>
      <c r="M300" s="11">
        <f>IF($L300&gt;Keys!$C$51,MIN(Keys!$C$52,$K300/$L300),Keys!$C$51)</f>
        <v>0</v>
      </c>
      <c r="N300" s="11">
        <f>IF($E300=Keys!$C$60,Keys!$C$51,IF($E300=Keys!$C$59,$D300,$M300))</f>
        <v>0</v>
      </c>
      <c r="O300">
        <f t="shared" si="18"/>
        <v>1</v>
      </c>
      <c r="P300" s="10">
        <f>IF($E300=Keys!$C$60,Keys!$C$51,INDEX(Raw_BFPIaE!$G$9:$G$3032,MATCH($A300&amp;Keys!$C$54&amp;Keys!$C$55&amp;Keys!$C$54&amp;$B300,Raw_BFPIaE!$H$9:$H$3032,0)))</f>
        <v>55601300000000</v>
      </c>
      <c r="Q300" s="10">
        <f>IF($E300=Keys!$C$60,Keys!$C$51,INDEX(Raw_BFPIaE!$G$9:$G$3032,MATCH($A300&amp;Keys!$C$54&amp;Keys!$C$56&amp;Keys!$C$54&amp;$B300,Raw_BFPIaE!$H$9:$H$3032,0)))</f>
        <v>2799470000000000</v>
      </c>
      <c r="R300" s="10">
        <f>IF($E300=Keys!$C$60,Keys!$C$51,INDEX(Raw_BFPIaE!$G$9:$G$3032,MATCH($A300&amp;Keys!$C$54&amp;Keys!$C$57&amp;Keys!$C$54&amp;$B300,Raw_BFPIaE!$H$9:$H$3032,0)))</f>
        <v>2475006666666666.5</v>
      </c>
      <c r="S300" s="11">
        <f>IF(($P300+$Q300-$R300+MAX(Keys!$C$51,$R300-$Q300))&gt;Keys!$C$51,MIN(Keys!$C$52,MAX(Keys!$C$51,$R300-$Q300)/($P300+$Q300-$R300+MAX(Keys!$C$51,$R300-$Q300))),Keys!$C$51)</f>
        <v>0</v>
      </c>
      <c r="T300">
        <f>IF(AND($I300&gt;$H300,ABS($L300-$G300)&gt;MAX(Keys!$C$62,ABS($G300)*Keys!$C$63)),1,0)</f>
        <v>0</v>
      </c>
      <c r="U300">
        <f>IF(OR($N300&lt;Keys!$C$51,$N300&gt;Keys!$C$52),1,0)</f>
        <v>0</v>
      </c>
      <c r="V300">
        <f>IF(AND($E300=Keys!$C$60,$N300&lt;&gt;Keys!$C$51),1,0)</f>
        <v>0</v>
      </c>
      <c r="W300">
        <f>IF($L300&gt;Keys!$C$51,IF($K300/$L300&gt;Keys!$C$52,1,0),0)</f>
        <v>0</v>
      </c>
      <c r="X300" s="11">
        <f t="shared" si="19"/>
        <v>0</v>
      </c>
    </row>
    <row r="301" spans="1:24" x14ac:dyDescent="0.25">
      <c r="A301" t="s">
        <v>102</v>
      </c>
      <c r="B301" t="s">
        <v>71</v>
      </c>
      <c r="C301">
        <f>VLOOKUP($B301,Keys!$F$2:$I$22,2,FALSE)</f>
        <v>0</v>
      </c>
      <c r="D301">
        <f>VLOOKUP($B301,Keys!$F$2:$I$22,3,FALSE)</f>
        <v>0</v>
      </c>
      <c r="E301" t="str">
        <f>VLOOKUP($B301,Keys!$F$2:$I$22,4,FALSE)</f>
        <v>zero</v>
      </c>
      <c r="F301" t="str">
        <f>$A301&amp;Keys!$C$54&amp;$B301</f>
        <v>KY|nuclear</v>
      </c>
      <c r="G301" s="10">
        <f>IF($E301=Keys!$C$60,Keys!$C$51,INDEX(Balanced_2025!$D$9:$D$3032,MATCH($A301&amp;Keys!$C$54&amp;Keys!$C$55&amp;Keys!$C$54&amp;$C301,Balanced_2025!$E$9:$E$3032,0)))</f>
        <v>0</v>
      </c>
      <c r="H301" s="10">
        <f>IF($E301=Keys!$C$60,Keys!$C$51,INDEX(Balanced_2025!$D$9:$D$3032,MATCH($A301&amp;Keys!$C$54&amp;Keys!$C$56&amp;Keys!$C$54&amp;$C301,Balanced_2025!$E$9:$E$3032,0)))</f>
        <v>0</v>
      </c>
      <c r="I301" s="10">
        <f>IF($E301=Keys!$C$60,Keys!$C$51,INDEX(Balanced_2025!$D$9:$D$3032,MATCH($A301&amp;Keys!$C$54&amp;Keys!$C$57&amp;Keys!$C$54&amp;$C301,Balanced_2025!$E$9:$E$3032,0)))</f>
        <v>0</v>
      </c>
      <c r="J301" s="10">
        <f t="shared" si="16"/>
        <v>0</v>
      </c>
      <c r="K301" s="10">
        <f>MAX(Keys!$C$51,$I301-$H301)</f>
        <v>0</v>
      </c>
      <c r="L301" s="10">
        <f t="shared" si="17"/>
        <v>0</v>
      </c>
      <c r="M301" s="11">
        <f>IF($L301&gt;Keys!$C$51,MIN(Keys!$C$52,$K301/$L301),Keys!$C$51)</f>
        <v>0</v>
      </c>
      <c r="N301" s="11">
        <f>IF($E301=Keys!$C$60,Keys!$C$51,IF($E301=Keys!$C$59,$D301,$M301))</f>
        <v>0</v>
      </c>
      <c r="O301">
        <f t="shared" si="18"/>
        <v>0</v>
      </c>
      <c r="P301" s="10">
        <f>IF($E301=Keys!$C$60,Keys!$C$51,INDEX(Raw_BFPIaE!$G$9:$G$3032,MATCH($A301&amp;Keys!$C$54&amp;Keys!$C$55&amp;Keys!$C$54&amp;$B301,Raw_BFPIaE!$H$9:$H$3032,0)))</f>
        <v>0</v>
      </c>
      <c r="Q301" s="10">
        <f>IF($E301=Keys!$C$60,Keys!$C$51,INDEX(Raw_BFPIaE!$G$9:$G$3032,MATCH($A301&amp;Keys!$C$54&amp;Keys!$C$56&amp;Keys!$C$54&amp;$B301,Raw_BFPIaE!$H$9:$H$3032,0)))</f>
        <v>0</v>
      </c>
      <c r="R301" s="10">
        <f>IF($E301=Keys!$C$60,Keys!$C$51,INDEX(Raw_BFPIaE!$G$9:$G$3032,MATCH($A301&amp;Keys!$C$54&amp;Keys!$C$57&amp;Keys!$C$54&amp;$B301,Raw_BFPIaE!$H$9:$H$3032,0)))</f>
        <v>0</v>
      </c>
      <c r="S301" s="11">
        <f>IF(($P301+$Q301-$R301+MAX(Keys!$C$51,$R301-$Q301))&gt;Keys!$C$51,MIN(Keys!$C$52,MAX(Keys!$C$51,$R301-$Q301)/($P301+$Q301-$R301+MAX(Keys!$C$51,$R301-$Q301))),Keys!$C$51)</f>
        <v>0</v>
      </c>
      <c r="T301">
        <f>IF(AND($I301&gt;$H301,ABS($L301-$G301)&gt;MAX(Keys!$C$62,ABS($G301)*Keys!$C$63)),1,0)</f>
        <v>0</v>
      </c>
      <c r="U301">
        <f>IF(OR($N301&lt;Keys!$C$51,$N301&gt;Keys!$C$52),1,0)</f>
        <v>0</v>
      </c>
      <c r="V301">
        <f>IF(AND($E301=Keys!$C$60,$N301&lt;&gt;Keys!$C$51),1,0)</f>
        <v>0</v>
      </c>
      <c r="W301">
        <f>IF($L301&gt;Keys!$C$51,IF($K301/$L301&gt;Keys!$C$52,1,0),0)</f>
        <v>0</v>
      </c>
      <c r="X301" s="11">
        <f t="shared" si="19"/>
        <v>0</v>
      </c>
    </row>
    <row r="302" spans="1:24" x14ac:dyDescent="0.25">
      <c r="A302" t="s">
        <v>102</v>
      </c>
      <c r="B302" t="s">
        <v>74</v>
      </c>
      <c r="C302">
        <f>VLOOKUP($B302,Keys!$F$2:$I$22,2,FALSE)</f>
        <v>0</v>
      </c>
      <c r="D302">
        <f>VLOOKUP($B302,Keys!$F$2:$I$22,3,FALSE)</f>
        <v>0</v>
      </c>
      <c r="E302" t="str">
        <f>VLOOKUP($B302,Keys!$F$2:$I$22,4,FALSE)</f>
        <v>zero</v>
      </c>
      <c r="F302" t="str">
        <f>$A302&amp;Keys!$C$54&amp;$B302</f>
        <v>KY|hydro (is not a fuel)</v>
      </c>
      <c r="G302" s="10">
        <f>IF($E302=Keys!$C$60,Keys!$C$51,INDEX(Balanced_2025!$D$9:$D$3032,MATCH($A302&amp;Keys!$C$54&amp;Keys!$C$55&amp;Keys!$C$54&amp;$C302,Balanced_2025!$E$9:$E$3032,0)))</f>
        <v>0</v>
      </c>
      <c r="H302" s="10">
        <f>IF($E302=Keys!$C$60,Keys!$C$51,INDEX(Balanced_2025!$D$9:$D$3032,MATCH($A302&amp;Keys!$C$54&amp;Keys!$C$56&amp;Keys!$C$54&amp;$C302,Balanced_2025!$E$9:$E$3032,0)))</f>
        <v>0</v>
      </c>
      <c r="I302" s="10">
        <f>IF($E302=Keys!$C$60,Keys!$C$51,INDEX(Balanced_2025!$D$9:$D$3032,MATCH($A302&amp;Keys!$C$54&amp;Keys!$C$57&amp;Keys!$C$54&amp;$C302,Balanced_2025!$E$9:$E$3032,0)))</f>
        <v>0</v>
      </c>
      <c r="J302" s="10">
        <f t="shared" si="16"/>
        <v>0</v>
      </c>
      <c r="K302" s="10">
        <f>MAX(Keys!$C$51,$I302-$H302)</f>
        <v>0</v>
      </c>
      <c r="L302" s="10">
        <f t="shared" si="17"/>
        <v>0</v>
      </c>
      <c r="M302" s="11">
        <f>IF($L302&gt;Keys!$C$51,MIN(Keys!$C$52,$K302/$L302),Keys!$C$51)</f>
        <v>0</v>
      </c>
      <c r="N302" s="11">
        <f>IF($E302=Keys!$C$60,Keys!$C$51,IF($E302=Keys!$C$59,$D302,$M302))</f>
        <v>0</v>
      </c>
      <c r="O302">
        <f t="shared" si="18"/>
        <v>0</v>
      </c>
      <c r="P302" s="10">
        <f>IF($E302=Keys!$C$60,Keys!$C$51,INDEX(Raw_BFPIaE!$G$9:$G$3032,MATCH($A302&amp;Keys!$C$54&amp;Keys!$C$55&amp;Keys!$C$54&amp;$B302,Raw_BFPIaE!$H$9:$H$3032,0)))</f>
        <v>0</v>
      </c>
      <c r="Q302" s="10">
        <f>IF($E302=Keys!$C$60,Keys!$C$51,INDEX(Raw_BFPIaE!$G$9:$G$3032,MATCH($A302&amp;Keys!$C$54&amp;Keys!$C$56&amp;Keys!$C$54&amp;$B302,Raw_BFPIaE!$H$9:$H$3032,0)))</f>
        <v>0</v>
      </c>
      <c r="R302" s="10">
        <f>IF($E302=Keys!$C$60,Keys!$C$51,INDEX(Raw_BFPIaE!$G$9:$G$3032,MATCH($A302&amp;Keys!$C$54&amp;Keys!$C$57&amp;Keys!$C$54&amp;$B302,Raw_BFPIaE!$H$9:$H$3032,0)))</f>
        <v>0</v>
      </c>
      <c r="S302" s="11">
        <f>IF(($P302+$Q302-$R302+MAX(Keys!$C$51,$R302-$Q302))&gt;Keys!$C$51,MIN(Keys!$C$52,MAX(Keys!$C$51,$R302-$Q302)/($P302+$Q302-$R302+MAX(Keys!$C$51,$R302-$Q302))),Keys!$C$51)</f>
        <v>0</v>
      </c>
      <c r="T302">
        <f>IF(AND($I302&gt;$H302,ABS($L302-$G302)&gt;MAX(Keys!$C$62,ABS($G302)*Keys!$C$63)),1,0)</f>
        <v>0</v>
      </c>
      <c r="U302">
        <f>IF(OR($N302&lt;Keys!$C$51,$N302&gt;Keys!$C$52),1,0)</f>
        <v>0</v>
      </c>
      <c r="V302">
        <f>IF(AND($E302=Keys!$C$60,$N302&lt;&gt;Keys!$C$51),1,0)</f>
        <v>0</v>
      </c>
      <c r="W302">
        <f>IF($L302&gt;Keys!$C$51,IF($K302/$L302&gt;Keys!$C$52,1,0),0)</f>
        <v>0</v>
      </c>
      <c r="X302" s="11">
        <f t="shared" si="19"/>
        <v>0</v>
      </c>
    </row>
    <row r="303" spans="1:24" x14ac:dyDescent="0.25">
      <c r="A303" t="s">
        <v>102</v>
      </c>
      <c r="B303" t="s">
        <v>77</v>
      </c>
      <c r="C303">
        <f>VLOOKUP($B303,Keys!$F$2:$I$22,2,FALSE)</f>
        <v>0</v>
      </c>
      <c r="D303">
        <f>VLOOKUP($B303,Keys!$F$2:$I$22,3,FALSE)</f>
        <v>0</v>
      </c>
      <c r="E303" t="str">
        <f>VLOOKUP($B303,Keys!$F$2:$I$22,4,FALSE)</f>
        <v>zero</v>
      </c>
      <c r="F303" t="str">
        <f>$A303&amp;Keys!$C$54&amp;$B303</f>
        <v>KY|wind (is not a fuel)</v>
      </c>
      <c r="G303" s="10">
        <f>IF($E303=Keys!$C$60,Keys!$C$51,INDEX(Balanced_2025!$D$9:$D$3032,MATCH($A303&amp;Keys!$C$54&amp;Keys!$C$55&amp;Keys!$C$54&amp;$C303,Balanced_2025!$E$9:$E$3032,0)))</f>
        <v>0</v>
      </c>
      <c r="H303" s="10">
        <f>IF($E303=Keys!$C$60,Keys!$C$51,INDEX(Balanced_2025!$D$9:$D$3032,MATCH($A303&amp;Keys!$C$54&amp;Keys!$C$56&amp;Keys!$C$54&amp;$C303,Balanced_2025!$E$9:$E$3032,0)))</f>
        <v>0</v>
      </c>
      <c r="I303" s="10">
        <f>IF($E303=Keys!$C$60,Keys!$C$51,INDEX(Balanced_2025!$D$9:$D$3032,MATCH($A303&amp;Keys!$C$54&amp;Keys!$C$57&amp;Keys!$C$54&amp;$C303,Balanced_2025!$E$9:$E$3032,0)))</f>
        <v>0</v>
      </c>
      <c r="J303" s="10">
        <f t="shared" si="16"/>
        <v>0</v>
      </c>
      <c r="K303" s="10">
        <f>MAX(Keys!$C$51,$I303-$H303)</f>
        <v>0</v>
      </c>
      <c r="L303" s="10">
        <f t="shared" si="17"/>
        <v>0</v>
      </c>
      <c r="M303" s="11">
        <f>IF($L303&gt;Keys!$C$51,MIN(Keys!$C$52,$K303/$L303),Keys!$C$51)</f>
        <v>0</v>
      </c>
      <c r="N303" s="11">
        <f>IF($E303=Keys!$C$60,Keys!$C$51,IF($E303=Keys!$C$59,$D303,$M303))</f>
        <v>0</v>
      </c>
      <c r="O303">
        <f t="shared" si="18"/>
        <v>0</v>
      </c>
      <c r="P303" s="10">
        <f>IF($E303=Keys!$C$60,Keys!$C$51,INDEX(Raw_BFPIaE!$G$9:$G$3032,MATCH($A303&amp;Keys!$C$54&amp;Keys!$C$55&amp;Keys!$C$54&amp;$B303,Raw_BFPIaE!$H$9:$H$3032,0)))</f>
        <v>0</v>
      </c>
      <c r="Q303" s="10">
        <f>IF($E303=Keys!$C$60,Keys!$C$51,INDEX(Raw_BFPIaE!$G$9:$G$3032,MATCH($A303&amp;Keys!$C$54&amp;Keys!$C$56&amp;Keys!$C$54&amp;$B303,Raw_BFPIaE!$H$9:$H$3032,0)))</f>
        <v>0</v>
      </c>
      <c r="R303" s="10">
        <f>IF($E303=Keys!$C$60,Keys!$C$51,INDEX(Raw_BFPIaE!$G$9:$G$3032,MATCH($A303&amp;Keys!$C$54&amp;Keys!$C$57&amp;Keys!$C$54&amp;$B303,Raw_BFPIaE!$H$9:$H$3032,0)))</f>
        <v>0</v>
      </c>
      <c r="S303" s="11">
        <f>IF(($P303+$Q303-$R303+MAX(Keys!$C$51,$R303-$Q303))&gt;Keys!$C$51,MIN(Keys!$C$52,MAX(Keys!$C$51,$R303-$Q303)/($P303+$Q303-$R303+MAX(Keys!$C$51,$R303-$Q303))),Keys!$C$51)</f>
        <v>0</v>
      </c>
      <c r="T303">
        <f>IF(AND($I303&gt;$H303,ABS($L303-$G303)&gt;MAX(Keys!$C$62,ABS($G303)*Keys!$C$63)),1,0)</f>
        <v>0</v>
      </c>
      <c r="U303">
        <f>IF(OR($N303&lt;Keys!$C$51,$N303&gt;Keys!$C$52),1,0)</f>
        <v>0</v>
      </c>
      <c r="V303">
        <f>IF(AND($E303=Keys!$C$60,$N303&lt;&gt;Keys!$C$51),1,0)</f>
        <v>0</v>
      </c>
      <c r="W303">
        <f>IF($L303&gt;Keys!$C$51,IF($K303/$L303&gt;Keys!$C$52,1,0),0)</f>
        <v>0</v>
      </c>
      <c r="X303" s="11">
        <f t="shared" si="19"/>
        <v>0</v>
      </c>
    </row>
    <row r="304" spans="1:24" x14ac:dyDescent="0.25">
      <c r="A304" t="s">
        <v>102</v>
      </c>
      <c r="B304" t="s">
        <v>80</v>
      </c>
      <c r="C304">
        <f>VLOOKUP($B304,Keys!$F$2:$I$22,2,FALSE)</f>
        <v>0</v>
      </c>
      <c r="D304">
        <f>VLOOKUP($B304,Keys!$F$2:$I$22,3,FALSE)</f>
        <v>0</v>
      </c>
      <c r="E304" t="str">
        <f>VLOOKUP($B304,Keys!$F$2:$I$22,4,FALSE)</f>
        <v>zero</v>
      </c>
      <c r="F304" t="str">
        <f>$A304&amp;Keys!$C$54&amp;$B304</f>
        <v>KY|solar (is not a fuel)</v>
      </c>
      <c r="G304" s="10">
        <f>IF($E304=Keys!$C$60,Keys!$C$51,INDEX(Balanced_2025!$D$9:$D$3032,MATCH($A304&amp;Keys!$C$54&amp;Keys!$C$55&amp;Keys!$C$54&amp;$C304,Balanced_2025!$E$9:$E$3032,0)))</f>
        <v>0</v>
      </c>
      <c r="H304" s="10">
        <f>IF($E304=Keys!$C$60,Keys!$C$51,INDEX(Balanced_2025!$D$9:$D$3032,MATCH($A304&amp;Keys!$C$54&amp;Keys!$C$56&amp;Keys!$C$54&amp;$C304,Balanced_2025!$E$9:$E$3032,0)))</f>
        <v>0</v>
      </c>
      <c r="I304" s="10">
        <f>IF($E304=Keys!$C$60,Keys!$C$51,INDEX(Balanced_2025!$D$9:$D$3032,MATCH($A304&amp;Keys!$C$54&amp;Keys!$C$57&amp;Keys!$C$54&amp;$C304,Balanced_2025!$E$9:$E$3032,0)))</f>
        <v>0</v>
      </c>
      <c r="J304" s="10">
        <f t="shared" si="16"/>
        <v>0</v>
      </c>
      <c r="K304" s="10">
        <f>MAX(Keys!$C$51,$I304-$H304)</f>
        <v>0</v>
      </c>
      <c r="L304" s="10">
        <f t="shared" si="17"/>
        <v>0</v>
      </c>
      <c r="M304" s="11">
        <f>IF($L304&gt;Keys!$C$51,MIN(Keys!$C$52,$K304/$L304),Keys!$C$51)</f>
        <v>0</v>
      </c>
      <c r="N304" s="11">
        <f>IF($E304=Keys!$C$60,Keys!$C$51,IF($E304=Keys!$C$59,$D304,$M304))</f>
        <v>0</v>
      </c>
      <c r="O304">
        <f t="shared" si="18"/>
        <v>0</v>
      </c>
      <c r="P304" s="10">
        <f>IF($E304=Keys!$C$60,Keys!$C$51,INDEX(Raw_BFPIaE!$G$9:$G$3032,MATCH($A304&amp;Keys!$C$54&amp;Keys!$C$55&amp;Keys!$C$54&amp;$B304,Raw_BFPIaE!$H$9:$H$3032,0)))</f>
        <v>0</v>
      </c>
      <c r="Q304" s="10">
        <f>IF($E304=Keys!$C$60,Keys!$C$51,INDEX(Raw_BFPIaE!$G$9:$G$3032,MATCH($A304&amp;Keys!$C$54&amp;Keys!$C$56&amp;Keys!$C$54&amp;$B304,Raw_BFPIaE!$H$9:$H$3032,0)))</f>
        <v>0</v>
      </c>
      <c r="R304" s="10">
        <f>IF($E304=Keys!$C$60,Keys!$C$51,INDEX(Raw_BFPIaE!$G$9:$G$3032,MATCH($A304&amp;Keys!$C$54&amp;Keys!$C$57&amp;Keys!$C$54&amp;$B304,Raw_BFPIaE!$H$9:$H$3032,0)))</f>
        <v>0</v>
      </c>
      <c r="S304" s="11">
        <f>IF(($P304+$Q304-$R304+MAX(Keys!$C$51,$R304-$Q304))&gt;Keys!$C$51,MIN(Keys!$C$52,MAX(Keys!$C$51,$R304-$Q304)/($P304+$Q304-$R304+MAX(Keys!$C$51,$R304-$Q304))),Keys!$C$51)</f>
        <v>0</v>
      </c>
      <c r="T304">
        <f>IF(AND($I304&gt;$H304,ABS($L304-$G304)&gt;MAX(Keys!$C$62,ABS($G304)*Keys!$C$63)),1,0)</f>
        <v>0</v>
      </c>
      <c r="U304">
        <f>IF(OR($N304&lt;Keys!$C$51,$N304&gt;Keys!$C$52),1,0)</f>
        <v>0</v>
      </c>
      <c r="V304">
        <f>IF(AND($E304=Keys!$C$60,$N304&lt;&gt;Keys!$C$51),1,0)</f>
        <v>0</v>
      </c>
      <c r="W304">
        <f>IF($L304&gt;Keys!$C$51,IF($K304/$L304&gt;Keys!$C$52,1,0),0)</f>
        <v>0</v>
      </c>
      <c r="X304" s="11">
        <f t="shared" si="19"/>
        <v>0</v>
      </c>
    </row>
    <row r="305" spans="1:24" x14ac:dyDescent="0.25">
      <c r="A305" t="s">
        <v>102</v>
      </c>
      <c r="B305" t="s">
        <v>82</v>
      </c>
      <c r="C305" t="str">
        <f>VLOOKUP($B305,Keys!$F$2:$I$22,2,FALSE)</f>
        <v>biomass</v>
      </c>
      <c r="D305">
        <f>VLOOKUP($B305,Keys!$F$2:$I$22,3,FALSE)</f>
        <v>0.74947425499999998</v>
      </c>
      <c r="E305" t="str">
        <f>VLOOKUP($B305,Keys!$F$2:$I$22,4,FALSE)</f>
        <v>rule</v>
      </c>
      <c r="F305" t="str">
        <f>$A305&amp;Keys!$C$54&amp;$B305</f>
        <v>KY|biomass</v>
      </c>
      <c r="G305" s="10">
        <f>IF($E305=Keys!$C$60,Keys!$C$51,INDEX(Balanced_2025!$D$9:$D$3032,MATCH($A305&amp;Keys!$C$54&amp;Keys!$C$55&amp;Keys!$C$54&amp;$C305,Balanced_2025!$E$9:$E$3032,0)))</f>
        <v>1280000000000</v>
      </c>
      <c r="H305" s="10">
        <f>IF($E305=Keys!$C$60,Keys!$C$51,INDEX(Balanced_2025!$D$9:$D$3032,MATCH($A305&amp;Keys!$C$54&amp;Keys!$C$56&amp;Keys!$C$54&amp;$C305,Balanced_2025!$E$9:$E$3032,0)))</f>
        <v>31571200000000</v>
      </c>
      <c r="I305" s="10">
        <f>IF($E305=Keys!$C$60,Keys!$C$51,INDEX(Balanced_2025!$D$9:$D$3032,MATCH($A305&amp;Keys!$C$54&amp;Keys!$C$57&amp;Keys!$C$54&amp;$C305,Balanced_2025!$E$9:$E$3032,0)))</f>
        <v>0</v>
      </c>
      <c r="J305" s="10">
        <f t="shared" si="16"/>
        <v>32851200000000</v>
      </c>
      <c r="K305" s="10">
        <f>MAX(Keys!$C$51,$I305-$H305)</f>
        <v>0</v>
      </c>
      <c r="L305" s="10">
        <f t="shared" si="17"/>
        <v>32851200000000</v>
      </c>
      <c r="M305" s="11">
        <f>IF($L305&gt;Keys!$C$51,MIN(Keys!$C$52,$K305/$L305),Keys!$C$51)</f>
        <v>0</v>
      </c>
      <c r="N305" s="11">
        <f>IF($E305=Keys!$C$60,Keys!$C$51,IF($E305=Keys!$C$59,$D305,$M305))</f>
        <v>0</v>
      </c>
      <c r="O305">
        <f t="shared" si="18"/>
        <v>1</v>
      </c>
      <c r="P305" s="10">
        <f>IF($E305=Keys!$C$60,Keys!$C$51,INDEX(Raw_BFPIaE!$G$9:$G$3032,MATCH($A305&amp;Keys!$C$54&amp;Keys!$C$55&amp;Keys!$C$54&amp;$B305,Raw_BFPIaE!$H$9:$H$3032,0)))</f>
        <v>1280000000000</v>
      </c>
      <c r="Q305" s="10">
        <f>IF($E305=Keys!$C$60,Keys!$C$51,INDEX(Raw_BFPIaE!$G$9:$G$3032,MATCH($A305&amp;Keys!$C$54&amp;Keys!$C$56&amp;Keys!$C$54&amp;$B305,Raw_BFPIaE!$H$9:$H$3032,0)))</f>
        <v>21384600000000</v>
      </c>
      <c r="R305" s="10">
        <f>IF($E305=Keys!$C$60,Keys!$C$51,INDEX(Raw_BFPIaE!$G$9:$G$3032,MATCH($A305&amp;Keys!$C$54&amp;Keys!$C$57&amp;Keys!$C$54&amp;$B305,Raw_BFPIaE!$H$9:$H$3032,0)))</f>
        <v>0</v>
      </c>
      <c r="S305" s="11">
        <f>IF(($P305+$Q305-$R305+MAX(Keys!$C$51,$R305-$Q305))&gt;Keys!$C$51,MIN(Keys!$C$52,MAX(Keys!$C$51,$R305-$Q305)/($P305+$Q305-$R305+MAX(Keys!$C$51,$R305-$Q305))),Keys!$C$51)</f>
        <v>0</v>
      </c>
      <c r="T305">
        <f>IF(AND($I305&gt;$H305,ABS($L305-$G305)&gt;MAX(Keys!$C$62,ABS($G305)*Keys!$C$63)),1,0)</f>
        <v>0</v>
      </c>
      <c r="U305">
        <f>IF(OR($N305&lt;Keys!$C$51,$N305&gt;Keys!$C$52),1,0)</f>
        <v>0</v>
      </c>
      <c r="V305">
        <f>IF(AND($E305=Keys!$C$60,$N305&lt;&gt;Keys!$C$51),1,0)</f>
        <v>0</v>
      </c>
      <c r="W305">
        <f>IF($L305&gt;Keys!$C$51,IF($K305/$L305&gt;Keys!$C$52,1,0),0)</f>
        <v>0</v>
      </c>
      <c r="X305" s="11">
        <f t="shared" si="19"/>
        <v>0</v>
      </c>
    </row>
    <row r="306" spans="1:24" x14ac:dyDescent="0.25">
      <c r="A306" t="s">
        <v>102</v>
      </c>
      <c r="B306" t="s">
        <v>85</v>
      </c>
      <c r="C306" t="str">
        <f>VLOOKUP($B306,Keys!$F$2:$I$22,2,FALSE)</f>
        <v>petroleum gasoline</v>
      </c>
      <c r="D306">
        <f>VLOOKUP($B306,Keys!$F$2:$I$22,3,FALSE)</f>
        <v>7.5004052000000002E-2</v>
      </c>
      <c r="E306" t="str">
        <f>VLOOKUP($B306,Keys!$F$2:$I$22,4,FALSE)</f>
        <v>rule</v>
      </c>
      <c r="F306" t="str">
        <f>$A306&amp;Keys!$C$54&amp;$B306</f>
        <v>KY|petroleum gasoline</v>
      </c>
      <c r="G306" s="10">
        <f>IF($E306=Keys!$C$60,Keys!$C$51,INDEX(Balanced_2025!$D$9:$D$3032,MATCH($A306&amp;Keys!$C$54&amp;Keys!$C$55&amp;Keys!$C$54&amp;$C306,Balanced_2025!$E$9:$E$3032,0)))</f>
        <v>291150000000000</v>
      </c>
      <c r="H306" s="10">
        <f>IF($E306=Keys!$C$60,Keys!$C$51,INDEX(Balanced_2025!$D$9:$D$3032,MATCH($A306&amp;Keys!$C$54&amp;Keys!$C$56&amp;Keys!$C$54&amp;$C306,Balanced_2025!$E$9:$E$3032,0)))</f>
        <v>12883800000000</v>
      </c>
      <c r="I306" s="10">
        <f>IF($E306=Keys!$C$60,Keys!$C$51,INDEX(Balanced_2025!$D$9:$D$3032,MATCH($A306&amp;Keys!$C$54&amp;Keys!$C$57&amp;Keys!$C$54&amp;$C306,Balanced_2025!$E$9:$E$3032,0)))</f>
        <v>66284700000000</v>
      </c>
      <c r="J306" s="10">
        <f t="shared" si="16"/>
        <v>237749100000000</v>
      </c>
      <c r="K306" s="10">
        <f>MAX(Keys!$C$51,$I306-$H306)</f>
        <v>53400900000000</v>
      </c>
      <c r="L306" s="10">
        <f t="shared" si="17"/>
        <v>291150000000000</v>
      </c>
      <c r="M306" s="11">
        <f>IF($L306&gt;Keys!$C$51,MIN(Keys!$C$52,$K306/$L306),Keys!$C$51)</f>
        <v>0.18341370427614631</v>
      </c>
      <c r="N306" s="11">
        <f>IF($E306=Keys!$C$60,Keys!$C$51,IF($E306=Keys!$C$59,$D306,$M306))</f>
        <v>0.18341370427614631</v>
      </c>
      <c r="O306">
        <f t="shared" si="18"/>
        <v>1</v>
      </c>
      <c r="P306" s="10">
        <f>IF($E306=Keys!$C$60,Keys!$C$51,INDEX(Raw_BFPIaE!$G$9:$G$3032,MATCH($A306&amp;Keys!$C$54&amp;Keys!$C$55&amp;Keys!$C$54&amp;$B306,Raw_BFPIaE!$H$9:$H$3032,0)))</f>
        <v>288797666666666.69</v>
      </c>
      <c r="Q306" s="10">
        <f>IF($E306=Keys!$C$60,Keys!$C$51,INDEX(Raw_BFPIaE!$G$9:$G$3032,MATCH($A306&amp;Keys!$C$54&amp;Keys!$C$56&amp;Keys!$C$54&amp;$B306,Raw_BFPIaE!$H$9:$H$3032,0)))</f>
        <v>0</v>
      </c>
      <c r="R306" s="10">
        <f>IF($E306=Keys!$C$60,Keys!$C$51,INDEX(Raw_BFPIaE!$G$9:$G$3032,MATCH($A306&amp;Keys!$C$54&amp;Keys!$C$57&amp;Keys!$C$54&amp;$B306,Raw_BFPIaE!$H$9:$H$3032,0)))</f>
        <v>42927266666666.664</v>
      </c>
      <c r="S306" s="11">
        <f>IF(($P306+$Q306-$R306+MAX(Keys!$C$51,$R306-$Q306))&gt;Keys!$C$51,MIN(Keys!$C$52,MAX(Keys!$C$51,$R306-$Q306)/($P306+$Q306-$R306+MAX(Keys!$C$51,$R306-$Q306))),Keys!$C$51)</f>
        <v>0.14864132097096813</v>
      </c>
      <c r="T306">
        <f>IF(AND($I306&gt;$H306,ABS($L306-$G306)&gt;MAX(Keys!$C$62,ABS($G306)*Keys!$C$63)),1,0)</f>
        <v>0</v>
      </c>
      <c r="U306">
        <f>IF(OR($N306&lt;Keys!$C$51,$N306&gt;Keys!$C$52),1,0)</f>
        <v>0</v>
      </c>
      <c r="V306">
        <f>IF(AND($E306=Keys!$C$60,$N306&lt;&gt;Keys!$C$51),1,0)</f>
        <v>0</v>
      </c>
      <c r="W306">
        <f>IF($L306&gt;Keys!$C$51,IF($K306/$L306&gt;Keys!$C$52,1,0),0)</f>
        <v>0</v>
      </c>
      <c r="X306" s="11">
        <f t="shared" si="19"/>
        <v>3.4772383305178178E-2</v>
      </c>
    </row>
    <row r="307" spans="1:24" x14ac:dyDescent="0.25">
      <c r="A307" t="s">
        <v>102</v>
      </c>
      <c r="B307" t="s">
        <v>88</v>
      </c>
      <c r="C307" t="str">
        <f>VLOOKUP($B307,Keys!$F$2:$I$22,2,FALSE)</f>
        <v>petroleum diesel</v>
      </c>
      <c r="D307">
        <f>VLOOKUP($B307,Keys!$F$2:$I$22,3,FALSE)</f>
        <v>0.26691051799999999</v>
      </c>
      <c r="E307" t="str">
        <f>VLOOKUP($B307,Keys!$F$2:$I$22,4,FALSE)</f>
        <v>rule</v>
      </c>
      <c r="F307" t="str">
        <f>$A307&amp;Keys!$C$54&amp;$B307</f>
        <v>KY|petroleum diesel</v>
      </c>
      <c r="G307" s="10">
        <f>IF($E307=Keys!$C$60,Keys!$C$51,INDEX(Balanced_2025!$D$9:$D$3032,MATCH($A307&amp;Keys!$C$54&amp;Keys!$C$55&amp;Keys!$C$54&amp;$C307,Balanced_2025!$E$9:$E$3032,0)))</f>
        <v>172220000000000</v>
      </c>
      <c r="H307" s="10">
        <f>IF($E307=Keys!$C$60,Keys!$C$51,INDEX(Balanced_2025!$D$9:$D$3032,MATCH($A307&amp;Keys!$C$54&amp;Keys!$C$56&amp;Keys!$C$54&amp;$C307,Balanced_2025!$E$9:$E$3032,0)))</f>
        <v>2959860000000</v>
      </c>
      <c r="I307" s="10">
        <f>IF($E307=Keys!$C$60,Keys!$C$51,INDEX(Balanced_2025!$D$9:$D$3032,MATCH($A307&amp;Keys!$C$54&amp;Keys!$C$57&amp;Keys!$C$54&amp;$C307,Balanced_2025!$E$9:$E$3032,0)))</f>
        <v>9898320000000</v>
      </c>
      <c r="J307" s="10">
        <f t="shared" si="16"/>
        <v>165281540000000</v>
      </c>
      <c r="K307" s="10">
        <f>MAX(Keys!$C$51,$I307-$H307)</f>
        <v>6938460000000</v>
      </c>
      <c r="L307" s="10">
        <f t="shared" si="17"/>
        <v>172220000000000</v>
      </c>
      <c r="M307" s="11">
        <f>IF($L307&gt;Keys!$C$51,MIN(Keys!$C$52,$K307/$L307),Keys!$C$51)</f>
        <v>4.0288352107769133E-2</v>
      </c>
      <c r="N307" s="11">
        <f>IF($E307=Keys!$C$60,Keys!$C$51,IF($E307=Keys!$C$59,$D307,$M307))</f>
        <v>4.0288352107769133E-2</v>
      </c>
      <c r="O307">
        <f t="shared" si="18"/>
        <v>1</v>
      </c>
      <c r="P307" s="10">
        <f>IF($E307=Keys!$C$60,Keys!$C$51,INDEX(Raw_BFPIaE!$G$9:$G$3032,MATCH($A307&amp;Keys!$C$54&amp;Keys!$C$55&amp;Keys!$C$54&amp;$B307,Raw_BFPIaE!$H$9:$H$3032,0)))</f>
        <v>170828333333333.34</v>
      </c>
      <c r="Q307" s="10">
        <f>IF($E307=Keys!$C$60,Keys!$C$51,INDEX(Raw_BFPIaE!$G$9:$G$3032,MATCH($A307&amp;Keys!$C$54&amp;Keys!$C$56&amp;Keys!$C$54&amp;$B307,Raw_BFPIaE!$H$9:$H$3032,0)))</f>
        <v>0</v>
      </c>
      <c r="R307" s="10">
        <f>IF($E307=Keys!$C$60,Keys!$C$51,INDEX(Raw_BFPIaE!$G$9:$G$3032,MATCH($A307&amp;Keys!$C$54&amp;Keys!$C$57&amp;Keys!$C$54&amp;$B307,Raw_BFPIaE!$H$9:$H$3032,0)))</f>
        <v>4419690000000</v>
      </c>
      <c r="S307" s="11">
        <f>IF(($P307+$Q307-$R307+MAX(Keys!$C$51,$R307-$Q307))&gt;Keys!$C$51,MIN(Keys!$C$52,MAX(Keys!$C$51,$R307-$Q307)/($P307+$Q307-$R307+MAX(Keys!$C$51,$R307-$Q307))),Keys!$C$51)</f>
        <v>2.5872113330146246E-2</v>
      </c>
      <c r="T307">
        <f>IF(AND($I307&gt;$H307,ABS($L307-$G307)&gt;MAX(Keys!$C$62,ABS($G307)*Keys!$C$63)),1,0)</f>
        <v>0</v>
      </c>
      <c r="U307">
        <f>IF(OR($N307&lt;Keys!$C$51,$N307&gt;Keys!$C$52),1,0)</f>
        <v>0</v>
      </c>
      <c r="V307">
        <f>IF(AND($E307=Keys!$C$60,$N307&lt;&gt;Keys!$C$51),1,0)</f>
        <v>0</v>
      </c>
      <c r="W307">
        <f>IF($L307&gt;Keys!$C$51,IF($K307/$L307&gt;Keys!$C$52,1,0),0)</f>
        <v>0</v>
      </c>
      <c r="X307" s="11">
        <f t="shared" si="19"/>
        <v>1.4416238777622888E-2</v>
      </c>
    </row>
    <row r="308" spans="1:24" x14ac:dyDescent="0.25">
      <c r="A308" t="s">
        <v>102</v>
      </c>
      <c r="B308" t="s">
        <v>91</v>
      </c>
      <c r="C308" t="str">
        <f>VLOOKUP($B308,Keys!$F$2:$I$22,2,FALSE)</f>
        <v>biofuel gasoline</v>
      </c>
      <c r="D308">
        <f>VLOOKUP($B308,Keys!$F$2:$I$22,3,FALSE)</f>
        <v>8.7213884000000005E-2</v>
      </c>
      <c r="E308" t="str">
        <f>VLOOKUP($B308,Keys!$F$2:$I$22,4,FALSE)</f>
        <v>rule</v>
      </c>
      <c r="F308" t="str">
        <f>$A308&amp;Keys!$C$54&amp;$B308</f>
        <v>KY|biofuel gasoline</v>
      </c>
      <c r="G308" s="10">
        <f>IF($E308=Keys!$C$60,Keys!$C$51,INDEX(Balanced_2025!$D$9:$D$3032,MATCH($A308&amp;Keys!$C$54&amp;Keys!$C$55&amp;Keys!$C$54&amp;$C308,Balanced_2025!$E$9:$E$3032,0)))</f>
        <v>3033920000000</v>
      </c>
      <c r="H308" s="10">
        <f>IF($E308=Keys!$C$60,Keys!$C$51,INDEX(Balanced_2025!$D$9:$D$3032,MATCH($A308&amp;Keys!$C$54&amp;Keys!$C$56&amp;Keys!$C$54&amp;$C308,Balanced_2025!$E$9:$E$3032,0)))</f>
        <v>13534500000000</v>
      </c>
      <c r="I308" s="10">
        <f>IF($E308=Keys!$C$60,Keys!$C$51,INDEX(Balanced_2025!$D$9:$D$3032,MATCH($A308&amp;Keys!$C$54&amp;Keys!$C$57&amp;Keys!$C$54&amp;$C308,Balanced_2025!$E$9:$E$3032,0)))</f>
        <v>0</v>
      </c>
      <c r="J308" s="10">
        <f t="shared" si="16"/>
        <v>16568420000000</v>
      </c>
      <c r="K308" s="10">
        <f>MAX(Keys!$C$51,$I308-$H308)</f>
        <v>0</v>
      </c>
      <c r="L308" s="10">
        <f t="shared" si="17"/>
        <v>16568420000000</v>
      </c>
      <c r="M308" s="11">
        <f>IF($L308&gt;Keys!$C$51,MIN(Keys!$C$52,$K308/$L308),Keys!$C$51)</f>
        <v>0</v>
      </c>
      <c r="N308" s="11">
        <f>IF($E308=Keys!$C$60,Keys!$C$51,IF($E308=Keys!$C$59,$D308,$M308))</f>
        <v>0</v>
      </c>
      <c r="O308">
        <f t="shared" si="18"/>
        <v>1</v>
      </c>
      <c r="P308" s="10">
        <f>IF($E308=Keys!$C$60,Keys!$C$51,INDEX(Raw_BFPIaE!$G$9:$G$3032,MATCH($A308&amp;Keys!$C$54&amp;Keys!$C$55&amp;Keys!$C$54&amp;$B308,Raw_BFPIaE!$H$9:$H$3032,0)))</f>
        <v>3036766666666.6665</v>
      </c>
      <c r="Q308" s="10">
        <f>IF($E308=Keys!$C$60,Keys!$C$51,INDEX(Raw_BFPIaE!$G$9:$G$3032,MATCH($A308&amp;Keys!$C$54&amp;Keys!$C$56&amp;Keys!$C$54&amp;$B308,Raw_BFPIaE!$H$9:$H$3032,0)))</f>
        <v>8341533333333.333</v>
      </c>
      <c r="R308" s="10">
        <f>IF($E308=Keys!$C$60,Keys!$C$51,INDEX(Raw_BFPIaE!$G$9:$G$3032,MATCH($A308&amp;Keys!$C$54&amp;Keys!$C$57&amp;Keys!$C$54&amp;$B308,Raw_BFPIaE!$H$9:$H$3032,0)))</f>
        <v>0</v>
      </c>
      <c r="S308" s="11">
        <f>IF(($P308+$Q308-$R308+MAX(Keys!$C$51,$R308-$Q308))&gt;Keys!$C$51,MIN(Keys!$C$52,MAX(Keys!$C$51,$R308-$Q308)/($P308+$Q308-$R308+MAX(Keys!$C$51,$R308-$Q308))),Keys!$C$51)</f>
        <v>0</v>
      </c>
      <c r="T308">
        <f>IF(AND($I308&gt;$H308,ABS($L308-$G308)&gt;MAX(Keys!$C$62,ABS($G308)*Keys!$C$63)),1,0)</f>
        <v>0</v>
      </c>
      <c r="U308">
        <f>IF(OR($N308&lt;Keys!$C$51,$N308&gt;Keys!$C$52),1,0)</f>
        <v>0</v>
      </c>
      <c r="V308">
        <f>IF(AND($E308=Keys!$C$60,$N308&lt;&gt;Keys!$C$51),1,0)</f>
        <v>0</v>
      </c>
      <c r="W308">
        <f>IF($L308&gt;Keys!$C$51,IF($K308/$L308&gt;Keys!$C$52,1,0),0)</f>
        <v>0</v>
      </c>
      <c r="X308" s="11">
        <f t="shared" si="19"/>
        <v>0</v>
      </c>
    </row>
    <row r="309" spans="1:24" x14ac:dyDescent="0.25">
      <c r="A309" t="s">
        <v>102</v>
      </c>
      <c r="B309" t="s">
        <v>94</v>
      </c>
      <c r="C309" t="str">
        <f>VLOOKUP($B309,Keys!$F$2:$I$22,2,FALSE)</f>
        <v>biofuel diesel</v>
      </c>
      <c r="D309">
        <f>VLOOKUP($B309,Keys!$F$2:$I$22,3,FALSE)</f>
        <v>5.8642381E-2</v>
      </c>
      <c r="E309" t="str">
        <f>VLOOKUP($B309,Keys!$F$2:$I$22,4,FALSE)</f>
        <v>rule</v>
      </c>
      <c r="F309" t="str">
        <f>$A309&amp;Keys!$C$54&amp;$B309</f>
        <v>KY|biofuel diesel</v>
      </c>
      <c r="G309" s="10">
        <f>IF($E309=Keys!$C$60,Keys!$C$51,INDEX(Balanced_2025!$D$9:$D$3032,MATCH($A309&amp;Keys!$C$54&amp;Keys!$C$55&amp;Keys!$C$54&amp;$C309,Balanced_2025!$E$9:$E$3032,0)))</f>
        <v>19219200000000</v>
      </c>
      <c r="H309" s="10">
        <f>IF($E309=Keys!$C$60,Keys!$C$51,INDEX(Balanced_2025!$D$9:$D$3032,MATCH($A309&amp;Keys!$C$54&amp;Keys!$C$56&amp;Keys!$C$54&amp;$C309,Balanced_2025!$E$9:$E$3032,0)))</f>
        <v>58493200000</v>
      </c>
      <c r="I309" s="10">
        <f>IF($E309=Keys!$C$60,Keys!$C$51,INDEX(Balanced_2025!$D$9:$D$3032,MATCH($A309&amp;Keys!$C$54&amp;Keys!$C$57&amp;Keys!$C$54&amp;$C309,Balanced_2025!$E$9:$E$3032,0)))</f>
        <v>16338900000000</v>
      </c>
      <c r="J309" s="10">
        <f t="shared" si="16"/>
        <v>2938793200000</v>
      </c>
      <c r="K309" s="10">
        <f>MAX(Keys!$C$51,$I309-$H309)</f>
        <v>16280406800000</v>
      </c>
      <c r="L309" s="10">
        <f t="shared" si="17"/>
        <v>19219200000000</v>
      </c>
      <c r="M309" s="11">
        <f>IF($L309&gt;Keys!$C$51,MIN(Keys!$C$52,$K309/$L309),Keys!$C$51)</f>
        <v>0.84709076340326339</v>
      </c>
      <c r="N309" s="11">
        <f>IF($E309=Keys!$C$60,Keys!$C$51,IF($E309=Keys!$C$59,$D309,$M309))</f>
        <v>0.84709076340326339</v>
      </c>
      <c r="O309">
        <f t="shared" si="18"/>
        <v>1</v>
      </c>
      <c r="P309" s="10">
        <f>IF($E309=Keys!$C$60,Keys!$C$51,INDEX(Raw_BFPIaE!$G$9:$G$3032,MATCH($A309&amp;Keys!$C$54&amp;Keys!$C$55&amp;Keys!$C$54&amp;$B309,Raw_BFPIaE!$H$9:$H$3032,0)))</f>
        <v>20422733333333.332</v>
      </c>
      <c r="Q309" s="10">
        <f>IF($E309=Keys!$C$60,Keys!$C$51,INDEX(Raw_BFPIaE!$G$9:$G$3032,MATCH($A309&amp;Keys!$C$54&amp;Keys!$C$56&amp;Keys!$C$54&amp;$B309,Raw_BFPIaE!$H$9:$H$3032,0)))</f>
        <v>0</v>
      </c>
      <c r="R309" s="10">
        <f>IF($E309=Keys!$C$60,Keys!$C$51,INDEX(Raw_BFPIaE!$G$9:$G$3032,MATCH($A309&amp;Keys!$C$54&amp;Keys!$C$57&amp;Keys!$C$54&amp;$B309,Raw_BFPIaE!$H$9:$H$3032,0)))</f>
        <v>12096700000000</v>
      </c>
      <c r="S309" s="11">
        <f>IF(($P309+$Q309-$R309+MAX(Keys!$C$51,$R309-$Q309))&gt;Keys!$C$51,MIN(Keys!$C$52,MAX(Keys!$C$51,$R309-$Q309)/($P309+$Q309-$R309+MAX(Keys!$C$51,$R309-$Q309))),Keys!$C$51)</f>
        <v>0.592315426273336</v>
      </c>
      <c r="T309">
        <f>IF(AND($I309&gt;$H309,ABS($L309-$G309)&gt;MAX(Keys!$C$62,ABS($G309)*Keys!$C$63)),1,0)</f>
        <v>0</v>
      </c>
      <c r="U309">
        <f>IF(OR($N309&lt;Keys!$C$51,$N309&gt;Keys!$C$52),1,0)</f>
        <v>0</v>
      </c>
      <c r="V309">
        <f>IF(AND($E309=Keys!$C$60,$N309&lt;&gt;Keys!$C$51),1,0)</f>
        <v>0</v>
      </c>
      <c r="W309">
        <f>IF($L309&gt;Keys!$C$51,IF($K309/$L309&gt;Keys!$C$52,1,0),0)</f>
        <v>0</v>
      </c>
      <c r="X309" s="11">
        <f t="shared" si="19"/>
        <v>0.25477533712992739</v>
      </c>
    </row>
    <row r="310" spans="1:24" x14ac:dyDescent="0.25">
      <c r="A310" t="s">
        <v>102</v>
      </c>
      <c r="B310" t="s">
        <v>97</v>
      </c>
      <c r="C310" t="str">
        <f>VLOOKUP($B310,Keys!$F$2:$I$22,2,FALSE)</f>
        <v>jet fuel or kerosene</v>
      </c>
      <c r="D310">
        <f>VLOOKUP($B310,Keys!$F$2:$I$22,3,FALSE)</f>
        <v>0.10155994</v>
      </c>
      <c r="E310" t="str">
        <f>VLOOKUP($B310,Keys!$F$2:$I$22,4,FALSE)</f>
        <v>rule</v>
      </c>
      <c r="F310" t="str">
        <f>$A310&amp;Keys!$C$54&amp;$B310</f>
        <v>KY|jet fuel or kerosene</v>
      </c>
      <c r="G310" s="10">
        <f>IF($E310=Keys!$C$60,Keys!$C$51,INDEX(Balanced_2025!$D$9:$D$3032,MATCH($A310&amp;Keys!$C$54&amp;Keys!$C$55&amp;Keys!$C$54&amp;$C310,Balanced_2025!$E$9:$E$3032,0)))</f>
        <v>61306700000000</v>
      </c>
      <c r="H310" s="10">
        <f>IF($E310=Keys!$C$60,Keys!$C$51,INDEX(Balanced_2025!$D$9:$D$3032,MATCH($A310&amp;Keys!$C$54&amp;Keys!$C$56&amp;Keys!$C$54&amp;$C310,Balanced_2025!$E$9:$E$3032,0)))</f>
        <v>22428500000000</v>
      </c>
      <c r="I310" s="10">
        <f>IF($E310=Keys!$C$60,Keys!$C$51,INDEX(Balanced_2025!$D$9:$D$3032,MATCH($A310&amp;Keys!$C$54&amp;Keys!$C$57&amp;Keys!$C$54&amp;$C310,Balanced_2025!$E$9:$E$3032,0)))</f>
        <v>0</v>
      </c>
      <c r="J310" s="10">
        <f t="shared" si="16"/>
        <v>83735200000000</v>
      </c>
      <c r="K310" s="10">
        <f>MAX(Keys!$C$51,$I310-$H310)</f>
        <v>0</v>
      </c>
      <c r="L310" s="10">
        <f t="shared" si="17"/>
        <v>83735200000000</v>
      </c>
      <c r="M310" s="11">
        <f>IF($L310&gt;Keys!$C$51,MIN(Keys!$C$52,$K310/$L310),Keys!$C$51)</f>
        <v>0</v>
      </c>
      <c r="N310" s="11">
        <f>IF($E310=Keys!$C$60,Keys!$C$51,IF($E310=Keys!$C$59,$D310,$M310))</f>
        <v>0</v>
      </c>
      <c r="O310">
        <f t="shared" si="18"/>
        <v>1</v>
      </c>
      <c r="P310" s="10">
        <f>IF($E310=Keys!$C$60,Keys!$C$51,INDEX(Raw_BFPIaE!$G$9:$G$3032,MATCH($A310&amp;Keys!$C$54&amp;Keys!$C$55&amp;Keys!$C$54&amp;$B310,Raw_BFPIaE!$H$9:$H$3032,0)))</f>
        <v>60811400000000</v>
      </c>
      <c r="Q310" s="10">
        <f>IF($E310=Keys!$C$60,Keys!$C$51,INDEX(Raw_BFPIaE!$G$9:$G$3032,MATCH($A310&amp;Keys!$C$54&amp;Keys!$C$56&amp;Keys!$C$54&amp;$B310,Raw_BFPIaE!$H$9:$H$3032,0)))</f>
        <v>16913233333333.334</v>
      </c>
      <c r="R310" s="10">
        <f>IF($E310=Keys!$C$60,Keys!$C$51,INDEX(Raw_BFPIaE!$G$9:$G$3032,MATCH($A310&amp;Keys!$C$54&amp;Keys!$C$57&amp;Keys!$C$54&amp;$B310,Raw_BFPIaE!$H$9:$H$3032,0)))</f>
        <v>0</v>
      </c>
      <c r="S310" s="11">
        <f>IF(($P310+$Q310-$R310+MAX(Keys!$C$51,$R310-$Q310))&gt;Keys!$C$51,MIN(Keys!$C$52,MAX(Keys!$C$51,$R310-$Q310)/($P310+$Q310-$R310+MAX(Keys!$C$51,$R310-$Q310))),Keys!$C$51)</f>
        <v>0</v>
      </c>
      <c r="T310">
        <f>IF(AND($I310&gt;$H310,ABS($L310-$G310)&gt;MAX(Keys!$C$62,ABS($G310)*Keys!$C$63)),1,0)</f>
        <v>0</v>
      </c>
      <c r="U310">
        <f>IF(OR($N310&lt;Keys!$C$51,$N310&gt;Keys!$C$52),1,0)</f>
        <v>0</v>
      </c>
      <c r="V310">
        <f>IF(AND($E310=Keys!$C$60,$N310&lt;&gt;Keys!$C$51),1,0)</f>
        <v>0</v>
      </c>
      <c r="W310">
        <f>IF($L310&gt;Keys!$C$51,IF($K310/$L310&gt;Keys!$C$52,1,0),0)</f>
        <v>0</v>
      </c>
      <c r="X310" s="11">
        <f t="shared" si="19"/>
        <v>0</v>
      </c>
    </row>
    <row r="311" spans="1:24" x14ac:dyDescent="0.25">
      <c r="A311" t="s">
        <v>102</v>
      </c>
      <c r="B311" t="s">
        <v>100</v>
      </c>
      <c r="C311">
        <f>VLOOKUP($B311,Keys!$F$2:$I$22,2,FALSE)</f>
        <v>0</v>
      </c>
      <c r="D311">
        <f>VLOOKUP($B311,Keys!$F$2:$I$22,3,FALSE)</f>
        <v>0</v>
      </c>
      <c r="E311" t="str">
        <f>VLOOKUP($B311,Keys!$F$2:$I$22,4,FALSE)</f>
        <v>zero</v>
      </c>
      <c r="F311" t="str">
        <f>$A311&amp;Keys!$C$54&amp;$B311</f>
        <v>KY|heat (not used in this variable)</v>
      </c>
      <c r="G311" s="10">
        <f>IF($E311=Keys!$C$60,Keys!$C$51,INDEX(Balanced_2025!$D$9:$D$3032,MATCH($A311&amp;Keys!$C$54&amp;Keys!$C$55&amp;Keys!$C$54&amp;$C311,Balanced_2025!$E$9:$E$3032,0)))</f>
        <v>0</v>
      </c>
      <c r="H311" s="10">
        <f>IF($E311=Keys!$C$60,Keys!$C$51,INDEX(Balanced_2025!$D$9:$D$3032,MATCH($A311&amp;Keys!$C$54&amp;Keys!$C$56&amp;Keys!$C$54&amp;$C311,Balanced_2025!$E$9:$E$3032,0)))</f>
        <v>0</v>
      </c>
      <c r="I311" s="10">
        <f>IF($E311=Keys!$C$60,Keys!$C$51,INDEX(Balanced_2025!$D$9:$D$3032,MATCH($A311&amp;Keys!$C$54&amp;Keys!$C$57&amp;Keys!$C$54&amp;$C311,Balanced_2025!$E$9:$E$3032,0)))</f>
        <v>0</v>
      </c>
      <c r="J311" s="10">
        <f t="shared" si="16"/>
        <v>0</v>
      </c>
      <c r="K311" s="10">
        <f>MAX(Keys!$C$51,$I311-$H311)</f>
        <v>0</v>
      </c>
      <c r="L311" s="10">
        <f t="shared" si="17"/>
        <v>0</v>
      </c>
      <c r="M311" s="11">
        <f>IF($L311&gt;Keys!$C$51,MIN(Keys!$C$52,$K311/$L311),Keys!$C$51)</f>
        <v>0</v>
      </c>
      <c r="N311" s="11">
        <f>IF($E311=Keys!$C$60,Keys!$C$51,IF($E311=Keys!$C$59,$D311,$M311))</f>
        <v>0</v>
      </c>
      <c r="O311">
        <f t="shared" si="18"/>
        <v>0</v>
      </c>
      <c r="P311" s="10">
        <f>IF($E311=Keys!$C$60,Keys!$C$51,INDEX(Raw_BFPIaE!$G$9:$G$3032,MATCH($A311&amp;Keys!$C$54&amp;Keys!$C$55&amp;Keys!$C$54&amp;$B311,Raw_BFPIaE!$H$9:$H$3032,0)))</f>
        <v>0</v>
      </c>
      <c r="Q311" s="10">
        <f>IF($E311=Keys!$C$60,Keys!$C$51,INDEX(Raw_BFPIaE!$G$9:$G$3032,MATCH($A311&amp;Keys!$C$54&amp;Keys!$C$56&amp;Keys!$C$54&amp;$B311,Raw_BFPIaE!$H$9:$H$3032,0)))</f>
        <v>0</v>
      </c>
      <c r="R311" s="10">
        <f>IF($E311=Keys!$C$60,Keys!$C$51,INDEX(Raw_BFPIaE!$G$9:$G$3032,MATCH($A311&amp;Keys!$C$54&amp;Keys!$C$57&amp;Keys!$C$54&amp;$B311,Raw_BFPIaE!$H$9:$H$3032,0)))</f>
        <v>0</v>
      </c>
      <c r="S311" s="11">
        <f>IF(($P311+$Q311-$R311+MAX(Keys!$C$51,$R311-$Q311))&gt;Keys!$C$51,MIN(Keys!$C$52,MAX(Keys!$C$51,$R311-$Q311)/($P311+$Q311-$R311+MAX(Keys!$C$51,$R311-$Q311))),Keys!$C$51)</f>
        <v>0</v>
      </c>
      <c r="T311">
        <f>IF(AND($I311&gt;$H311,ABS($L311-$G311)&gt;MAX(Keys!$C$62,ABS($G311)*Keys!$C$63)),1,0)</f>
        <v>0</v>
      </c>
      <c r="U311">
        <f>IF(OR($N311&lt;Keys!$C$51,$N311&gt;Keys!$C$52),1,0)</f>
        <v>0</v>
      </c>
      <c r="V311">
        <f>IF(AND($E311=Keys!$C$60,$N311&lt;&gt;Keys!$C$51),1,0)</f>
        <v>0</v>
      </c>
      <c r="W311">
        <f>IF($L311&gt;Keys!$C$51,IF($K311/$L311&gt;Keys!$C$52,1,0),0)</f>
        <v>0</v>
      </c>
      <c r="X311" s="11">
        <f t="shared" si="19"/>
        <v>0</v>
      </c>
    </row>
    <row r="312" spans="1:24" x14ac:dyDescent="0.25">
      <c r="A312" t="s">
        <v>102</v>
      </c>
      <c r="B312" t="s">
        <v>103</v>
      </c>
      <c r="C312">
        <f>VLOOKUP($B312,Keys!$F$2:$I$22,2,FALSE)</f>
        <v>0</v>
      </c>
      <c r="D312">
        <f>VLOOKUP($B312,Keys!$F$2:$I$22,3,FALSE)</f>
        <v>0</v>
      </c>
      <c r="E312" t="str">
        <f>VLOOKUP($B312,Keys!$F$2:$I$22,4,FALSE)</f>
        <v>zero</v>
      </c>
      <c r="F312" t="str">
        <f>$A312&amp;Keys!$C$54&amp;$B312</f>
        <v>KY|geothermal (is not a fuel)</v>
      </c>
      <c r="G312" s="10">
        <f>IF($E312=Keys!$C$60,Keys!$C$51,INDEX(Balanced_2025!$D$9:$D$3032,MATCH($A312&amp;Keys!$C$54&amp;Keys!$C$55&amp;Keys!$C$54&amp;$C312,Balanced_2025!$E$9:$E$3032,0)))</f>
        <v>0</v>
      </c>
      <c r="H312" s="10">
        <f>IF($E312=Keys!$C$60,Keys!$C$51,INDEX(Balanced_2025!$D$9:$D$3032,MATCH($A312&amp;Keys!$C$54&amp;Keys!$C$56&amp;Keys!$C$54&amp;$C312,Balanced_2025!$E$9:$E$3032,0)))</f>
        <v>0</v>
      </c>
      <c r="I312" s="10">
        <f>IF($E312=Keys!$C$60,Keys!$C$51,INDEX(Balanced_2025!$D$9:$D$3032,MATCH($A312&amp;Keys!$C$54&amp;Keys!$C$57&amp;Keys!$C$54&amp;$C312,Balanced_2025!$E$9:$E$3032,0)))</f>
        <v>0</v>
      </c>
      <c r="J312" s="10">
        <f t="shared" si="16"/>
        <v>0</v>
      </c>
      <c r="K312" s="10">
        <f>MAX(Keys!$C$51,$I312-$H312)</f>
        <v>0</v>
      </c>
      <c r="L312" s="10">
        <f t="shared" si="17"/>
        <v>0</v>
      </c>
      <c r="M312" s="11">
        <f>IF($L312&gt;Keys!$C$51,MIN(Keys!$C$52,$K312/$L312),Keys!$C$51)</f>
        <v>0</v>
      </c>
      <c r="N312" s="11">
        <f>IF($E312=Keys!$C$60,Keys!$C$51,IF($E312=Keys!$C$59,$D312,$M312))</f>
        <v>0</v>
      </c>
      <c r="O312">
        <f t="shared" si="18"/>
        <v>0</v>
      </c>
      <c r="P312" s="10">
        <f>IF($E312=Keys!$C$60,Keys!$C$51,INDEX(Raw_BFPIaE!$G$9:$G$3032,MATCH($A312&amp;Keys!$C$54&amp;Keys!$C$55&amp;Keys!$C$54&amp;$B312,Raw_BFPIaE!$H$9:$H$3032,0)))</f>
        <v>0</v>
      </c>
      <c r="Q312" s="10">
        <f>IF($E312=Keys!$C$60,Keys!$C$51,INDEX(Raw_BFPIaE!$G$9:$G$3032,MATCH($A312&amp;Keys!$C$54&amp;Keys!$C$56&amp;Keys!$C$54&amp;$B312,Raw_BFPIaE!$H$9:$H$3032,0)))</f>
        <v>0</v>
      </c>
      <c r="R312" s="10">
        <f>IF($E312=Keys!$C$60,Keys!$C$51,INDEX(Raw_BFPIaE!$G$9:$G$3032,MATCH($A312&amp;Keys!$C$54&amp;Keys!$C$57&amp;Keys!$C$54&amp;$B312,Raw_BFPIaE!$H$9:$H$3032,0)))</f>
        <v>0</v>
      </c>
      <c r="S312" s="11">
        <f>IF(($P312+$Q312-$R312+MAX(Keys!$C$51,$R312-$Q312))&gt;Keys!$C$51,MIN(Keys!$C$52,MAX(Keys!$C$51,$R312-$Q312)/($P312+$Q312-$R312+MAX(Keys!$C$51,$R312-$Q312))),Keys!$C$51)</f>
        <v>0</v>
      </c>
      <c r="T312">
        <f>IF(AND($I312&gt;$H312,ABS($L312-$G312)&gt;MAX(Keys!$C$62,ABS($G312)*Keys!$C$63)),1,0)</f>
        <v>0</v>
      </c>
      <c r="U312">
        <f>IF(OR($N312&lt;Keys!$C$51,$N312&gt;Keys!$C$52),1,0)</f>
        <v>0</v>
      </c>
      <c r="V312">
        <f>IF(AND($E312=Keys!$C$60,$N312&lt;&gt;Keys!$C$51),1,0)</f>
        <v>0</v>
      </c>
      <c r="W312">
        <f>IF($L312&gt;Keys!$C$51,IF($K312/$L312&gt;Keys!$C$52,1,0),0)</f>
        <v>0</v>
      </c>
      <c r="X312" s="11">
        <f t="shared" si="19"/>
        <v>0</v>
      </c>
    </row>
    <row r="313" spans="1:24" x14ac:dyDescent="0.25">
      <c r="A313" t="s">
        <v>102</v>
      </c>
      <c r="B313" t="s">
        <v>106</v>
      </c>
      <c r="C313" t="str">
        <f>VLOOKUP($B313,Keys!$F$2:$I$22,2,FALSE)</f>
        <v>lignite</v>
      </c>
      <c r="D313">
        <f>VLOOKUP($B313,Keys!$F$2:$I$22,3,FALSE)</f>
        <v>0</v>
      </c>
      <c r="E313" t="str">
        <f>VLOOKUP($B313,Keys!$F$2:$I$22,4,FALSE)</f>
        <v>rule</v>
      </c>
      <c r="F313" t="str">
        <f>$A313&amp;Keys!$C$54&amp;$B313</f>
        <v>KY|lignite</v>
      </c>
      <c r="G313" s="10">
        <f>IF($E313=Keys!$C$60,Keys!$C$51,INDEX(Balanced_2025!$D$9:$D$3032,MATCH($A313&amp;Keys!$C$54&amp;Keys!$C$55&amp;Keys!$C$54&amp;$C313,Balanced_2025!$E$9:$E$3032,0)))</f>
        <v>0</v>
      </c>
      <c r="H313" s="10">
        <f>IF($E313=Keys!$C$60,Keys!$C$51,INDEX(Balanced_2025!$D$9:$D$3032,MATCH($A313&amp;Keys!$C$54&amp;Keys!$C$56&amp;Keys!$C$54&amp;$C313,Balanced_2025!$E$9:$E$3032,0)))</f>
        <v>0</v>
      </c>
      <c r="I313" s="10">
        <f>IF($E313=Keys!$C$60,Keys!$C$51,INDEX(Balanced_2025!$D$9:$D$3032,MATCH($A313&amp;Keys!$C$54&amp;Keys!$C$57&amp;Keys!$C$54&amp;$C313,Balanced_2025!$E$9:$E$3032,0)))</f>
        <v>0</v>
      </c>
      <c r="J313" s="10">
        <f t="shared" si="16"/>
        <v>0</v>
      </c>
      <c r="K313" s="10">
        <f>MAX(Keys!$C$51,$I313-$H313)</f>
        <v>0</v>
      </c>
      <c r="L313" s="10">
        <f t="shared" si="17"/>
        <v>0</v>
      </c>
      <c r="M313" s="11">
        <f>IF($L313&gt;Keys!$C$51,MIN(Keys!$C$52,$K313/$L313),Keys!$C$51)</f>
        <v>0</v>
      </c>
      <c r="N313" s="11">
        <f>IF($E313=Keys!$C$60,Keys!$C$51,IF($E313=Keys!$C$59,$D313,$M313))</f>
        <v>0</v>
      </c>
      <c r="O313">
        <f t="shared" si="18"/>
        <v>0</v>
      </c>
      <c r="P313" s="10">
        <f>IF($E313=Keys!$C$60,Keys!$C$51,INDEX(Raw_BFPIaE!$G$9:$G$3032,MATCH($A313&amp;Keys!$C$54&amp;Keys!$C$55&amp;Keys!$C$54&amp;$B313,Raw_BFPIaE!$H$9:$H$3032,0)))</f>
        <v>0</v>
      </c>
      <c r="Q313" s="10">
        <f>IF($E313=Keys!$C$60,Keys!$C$51,INDEX(Raw_BFPIaE!$G$9:$G$3032,MATCH($A313&amp;Keys!$C$54&amp;Keys!$C$56&amp;Keys!$C$54&amp;$B313,Raw_BFPIaE!$H$9:$H$3032,0)))</f>
        <v>0</v>
      </c>
      <c r="R313" s="10">
        <f>IF($E313=Keys!$C$60,Keys!$C$51,INDEX(Raw_BFPIaE!$G$9:$G$3032,MATCH($A313&amp;Keys!$C$54&amp;Keys!$C$57&amp;Keys!$C$54&amp;$B313,Raw_BFPIaE!$H$9:$H$3032,0)))</f>
        <v>0</v>
      </c>
      <c r="S313" s="11">
        <f>IF(($P313+$Q313-$R313+MAX(Keys!$C$51,$R313-$Q313))&gt;Keys!$C$51,MIN(Keys!$C$52,MAX(Keys!$C$51,$R313-$Q313)/($P313+$Q313-$R313+MAX(Keys!$C$51,$R313-$Q313))),Keys!$C$51)</f>
        <v>0</v>
      </c>
      <c r="T313">
        <f>IF(AND($I313&gt;$H313,ABS($L313-$G313)&gt;MAX(Keys!$C$62,ABS($G313)*Keys!$C$63)),1,0)</f>
        <v>0</v>
      </c>
      <c r="U313">
        <f>IF(OR($N313&lt;Keys!$C$51,$N313&gt;Keys!$C$52),1,0)</f>
        <v>0</v>
      </c>
      <c r="V313">
        <f>IF(AND($E313=Keys!$C$60,$N313&lt;&gt;Keys!$C$51),1,0)</f>
        <v>0</v>
      </c>
      <c r="W313">
        <f>IF($L313&gt;Keys!$C$51,IF($K313/$L313&gt;Keys!$C$52,1,0),0)</f>
        <v>0</v>
      </c>
      <c r="X313" s="11">
        <f t="shared" si="19"/>
        <v>0</v>
      </c>
    </row>
    <row r="314" spans="1:24" x14ac:dyDescent="0.25">
      <c r="A314" t="s">
        <v>102</v>
      </c>
      <c r="B314" t="s">
        <v>109</v>
      </c>
      <c r="C314" t="str">
        <f>VLOOKUP($B314,Keys!$F$2:$I$22,2,FALSE)</f>
        <v>crude oil</v>
      </c>
      <c r="D314">
        <f>VLOOKUP($B314,Keys!$F$2:$I$22,3,FALSE)</f>
        <v>1</v>
      </c>
      <c r="E314" t="str">
        <f>VLOOKUP($B314,Keys!$F$2:$I$22,4,FALSE)</f>
        <v>hold</v>
      </c>
      <c r="F314" t="str">
        <f>$A314&amp;Keys!$C$54&amp;$B314</f>
        <v>KY|crude oil</v>
      </c>
      <c r="G314" s="10">
        <f>IF($E314=Keys!$C$60,Keys!$C$51,INDEX(Balanced_2025!$D$9:$D$3032,MATCH($A314&amp;Keys!$C$54&amp;Keys!$C$55&amp;Keys!$C$54&amp;$C314,Balanced_2025!$E$9:$E$3032,0)))</f>
        <v>11832000000000</v>
      </c>
      <c r="H314" s="10">
        <f>IF($E314=Keys!$C$60,Keys!$C$51,INDEX(Balanced_2025!$D$9:$D$3032,MATCH($A314&amp;Keys!$C$54&amp;Keys!$C$56&amp;Keys!$C$54&amp;$C314,Balanced_2025!$E$9:$E$3032,0)))</f>
        <v>609184000000000</v>
      </c>
      <c r="I314" s="10">
        <f>IF($E314=Keys!$C$60,Keys!$C$51,INDEX(Balanced_2025!$D$9:$D$3032,MATCH($A314&amp;Keys!$C$54&amp;Keys!$C$57&amp;Keys!$C$54&amp;$C314,Balanced_2025!$E$9:$E$3032,0)))</f>
        <v>0</v>
      </c>
      <c r="J314" s="10">
        <f t="shared" si="16"/>
        <v>621016000000000</v>
      </c>
      <c r="K314" s="10">
        <f>MAX(Keys!$C$51,$I314-$H314)</f>
        <v>0</v>
      </c>
      <c r="L314" s="10">
        <f t="shared" si="17"/>
        <v>621016000000000</v>
      </c>
      <c r="M314" s="11">
        <f>IF($L314&gt;Keys!$C$51,MIN(Keys!$C$52,$K314/$L314),Keys!$C$51)</f>
        <v>0</v>
      </c>
      <c r="N314" s="11">
        <f>IF($E314=Keys!$C$60,Keys!$C$51,IF($E314=Keys!$C$59,$D314,$M314))</f>
        <v>1</v>
      </c>
      <c r="O314">
        <f t="shared" si="18"/>
        <v>0</v>
      </c>
      <c r="P314" s="10">
        <f>IF($E314=Keys!$C$60,Keys!$C$51,INDEX(Raw_BFPIaE!$G$9:$G$3032,MATCH($A314&amp;Keys!$C$54&amp;Keys!$C$55&amp;Keys!$C$54&amp;$B314,Raw_BFPIaE!$H$9:$H$3032,0)))</f>
        <v>11471933333333.334</v>
      </c>
      <c r="Q314" s="10">
        <f>IF($E314=Keys!$C$60,Keys!$C$51,INDEX(Raw_BFPIaE!$G$9:$G$3032,MATCH($A314&amp;Keys!$C$54&amp;Keys!$C$56&amp;Keys!$C$54&amp;$B314,Raw_BFPIaE!$H$9:$H$3032,0)))</f>
        <v>406482666666666.69</v>
      </c>
      <c r="R314" s="10">
        <f>IF($E314=Keys!$C$60,Keys!$C$51,INDEX(Raw_BFPIaE!$G$9:$G$3032,MATCH($A314&amp;Keys!$C$54&amp;Keys!$C$57&amp;Keys!$C$54&amp;$B314,Raw_BFPIaE!$H$9:$H$3032,0)))</f>
        <v>0</v>
      </c>
      <c r="S314" s="11">
        <f>IF(($P314+$Q314-$R314+MAX(Keys!$C$51,$R314-$Q314))&gt;Keys!$C$51,MIN(Keys!$C$52,MAX(Keys!$C$51,$R314-$Q314)/($P314+$Q314-$R314+MAX(Keys!$C$51,$R314-$Q314))),Keys!$C$51)</f>
        <v>0</v>
      </c>
      <c r="T314">
        <f>IF(AND($I314&gt;$H314,ABS($L314-$G314)&gt;MAX(Keys!$C$62,ABS($G314)*Keys!$C$63)),1,0)</f>
        <v>0</v>
      </c>
      <c r="U314">
        <f>IF(OR($N314&lt;Keys!$C$51,$N314&gt;Keys!$C$52),1,0)</f>
        <v>0</v>
      </c>
      <c r="V314">
        <f>IF(AND($E314=Keys!$C$60,$N314&lt;&gt;Keys!$C$51),1,0)</f>
        <v>0</v>
      </c>
      <c r="W314">
        <f>IF($L314&gt;Keys!$C$51,IF($K314/$L314&gt;Keys!$C$52,1,0),0)</f>
        <v>0</v>
      </c>
      <c r="X314" s="11">
        <f t="shared" si="19"/>
        <v>0</v>
      </c>
    </row>
    <row r="315" spans="1:24" x14ac:dyDescent="0.25">
      <c r="A315" t="s">
        <v>102</v>
      </c>
      <c r="B315" t="s">
        <v>113</v>
      </c>
      <c r="C315" t="str">
        <f>VLOOKUP($B315,Keys!$F$2:$I$22,2,FALSE)</f>
        <v>heavy or residual fuel oil</v>
      </c>
      <c r="D315">
        <f>VLOOKUP($B315,Keys!$F$2:$I$22,3,FALSE)</f>
        <v>0.49914171099999999</v>
      </c>
      <c r="E315" t="str">
        <f>VLOOKUP($B315,Keys!$F$2:$I$22,4,FALSE)</f>
        <v>rule</v>
      </c>
      <c r="F315" t="str">
        <f>$A315&amp;Keys!$C$54&amp;$B315</f>
        <v>KY|heavy fuel oil</v>
      </c>
      <c r="G315" s="10">
        <f>IF($E315=Keys!$C$60,Keys!$C$51,INDEX(Balanced_2025!$D$9:$D$3032,MATCH($A315&amp;Keys!$C$54&amp;Keys!$C$55&amp;Keys!$C$54&amp;$C315,Balanced_2025!$E$9:$E$3032,0)))</f>
        <v>11909000000000</v>
      </c>
      <c r="H315" s="10">
        <f>IF($E315=Keys!$C$60,Keys!$C$51,INDEX(Balanced_2025!$D$9:$D$3032,MATCH($A315&amp;Keys!$C$54&amp;Keys!$C$56&amp;Keys!$C$54&amp;$C315,Balanced_2025!$E$9:$E$3032,0)))</f>
        <v>1834440000000</v>
      </c>
      <c r="I315" s="10">
        <f>IF($E315=Keys!$C$60,Keys!$C$51,INDEX(Balanced_2025!$D$9:$D$3032,MATCH($A315&amp;Keys!$C$54&amp;Keys!$C$57&amp;Keys!$C$54&amp;$C315,Balanced_2025!$E$9:$E$3032,0)))</f>
        <v>0</v>
      </c>
      <c r="J315" s="10">
        <f t="shared" si="16"/>
        <v>13743440000000</v>
      </c>
      <c r="K315" s="10">
        <f>MAX(Keys!$C$51,$I315-$H315)</f>
        <v>0</v>
      </c>
      <c r="L315" s="10">
        <f t="shared" si="17"/>
        <v>13743440000000</v>
      </c>
      <c r="M315" s="11">
        <f>IF($L315&gt;Keys!$C$51,MIN(Keys!$C$52,$K315/$L315),Keys!$C$51)</f>
        <v>0</v>
      </c>
      <c r="N315" s="11">
        <f>IF($E315=Keys!$C$60,Keys!$C$51,IF($E315=Keys!$C$59,$D315,$M315))</f>
        <v>0</v>
      </c>
      <c r="O315">
        <f t="shared" si="18"/>
        <v>1</v>
      </c>
      <c r="P315" s="10">
        <f>IF($E315=Keys!$C$60,Keys!$C$51,INDEX(Raw_BFPIaE!$G$9:$G$3032,MATCH($A315&amp;Keys!$C$54&amp;Keys!$C$55&amp;Keys!$C$54&amp;$B315,Raw_BFPIaE!$H$9:$H$3032,0)))</f>
        <v>11812800000000</v>
      </c>
      <c r="Q315" s="10">
        <f>IF($E315=Keys!$C$60,Keys!$C$51,INDEX(Raw_BFPIaE!$G$9:$G$3032,MATCH($A315&amp;Keys!$C$54&amp;Keys!$C$56&amp;Keys!$C$54&amp;$B315,Raw_BFPIaE!$H$9:$H$3032,0)))</f>
        <v>1415076666666.6667</v>
      </c>
      <c r="R315" s="10">
        <f>IF($E315=Keys!$C$60,Keys!$C$51,INDEX(Raw_BFPIaE!$G$9:$G$3032,MATCH($A315&amp;Keys!$C$54&amp;Keys!$C$57&amp;Keys!$C$54&amp;$B315,Raw_BFPIaE!$H$9:$H$3032,0)))</f>
        <v>0</v>
      </c>
      <c r="S315" s="11">
        <f>IF(($P315+$Q315-$R315+MAX(Keys!$C$51,$R315-$Q315))&gt;Keys!$C$51,MIN(Keys!$C$52,MAX(Keys!$C$51,$R315-$Q315)/($P315+$Q315-$R315+MAX(Keys!$C$51,$R315-$Q315))),Keys!$C$51)</f>
        <v>0</v>
      </c>
      <c r="T315">
        <f>IF(AND($I315&gt;$H315,ABS($L315-$G315)&gt;MAX(Keys!$C$62,ABS($G315)*Keys!$C$63)),1,0)</f>
        <v>0</v>
      </c>
      <c r="U315">
        <f>IF(OR($N315&lt;Keys!$C$51,$N315&gt;Keys!$C$52),1,0)</f>
        <v>0</v>
      </c>
      <c r="V315">
        <f>IF(AND($E315=Keys!$C$60,$N315&lt;&gt;Keys!$C$51),1,0)</f>
        <v>0</v>
      </c>
      <c r="W315">
        <f>IF($L315&gt;Keys!$C$51,IF($K315/$L315&gt;Keys!$C$52,1,0),0)</f>
        <v>0</v>
      </c>
      <c r="X315" s="11">
        <f t="shared" si="19"/>
        <v>0</v>
      </c>
    </row>
    <row r="316" spans="1:24" x14ac:dyDescent="0.25">
      <c r="A316" t="s">
        <v>102</v>
      </c>
      <c r="B316" t="s">
        <v>117</v>
      </c>
      <c r="C316" t="str">
        <f>VLOOKUP($B316,Keys!$F$2:$I$22,2,FALSE)</f>
        <v>LPG propane or butane</v>
      </c>
      <c r="D316">
        <f>VLOOKUP($B316,Keys!$F$2:$I$22,3,FALSE)</f>
        <v>0.54955999499999997</v>
      </c>
      <c r="E316" t="str">
        <f>VLOOKUP($B316,Keys!$F$2:$I$22,4,FALSE)</f>
        <v>rule</v>
      </c>
      <c r="F316" t="str">
        <f>$A316&amp;Keys!$C$54&amp;$B316</f>
        <v>KY|LPG propane or butane</v>
      </c>
      <c r="G316" s="10">
        <f>IF($E316=Keys!$C$60,Keys!$C$51,INDEX(Balanced_2025!$D$9:$D$3032,MATCH($A316&amp;Keys!$C$54&amp;Keys!$C$55&amp;Keys!$C$54&amp;$C316,Balanced_2025!$E$9:$E$3032,0)))</f>
        <v>6790200000000</v>
      </c>
      <c r="H316" s="10">
        <f>IF($E316=Keys!$C$60,Keys!$C$51,INDEX(Balanced_2025!$D$9:$D$3032,MATCH($A316&amp;Keys!$C$54&amp;Keys!$C$56&amp;Keys!$C$54&amp;$C316,Balanced_2025!$E$9:$E$3032,0)))</f>
        <v>31889900000000</v>
      </c>
      <c r="I316" s="10">
        <f>IF($E316=Keys!$C$60,Keys!$C$51,INDEX(Balanced_2025!$D$9:$D$3032,MATCH($A316&amp;Keys!$C$54&amp;Keys!$C$57&amp;Keys!$C$54&amp;$C316,Balanced_2025!$E$9:$E$3032,0)))</f>
        <v>0</v>
      </c>
      <c r="J316" s="10">
        <f t="shared" si="16"/>
        <v>38680100000000</v>
      </c>
      <c r="K316" s="10">
        <f>MAX(Keys!$C$51,$I316-$H316)</f>
        <v>0</v>
      </c>
      <c r="L316" s="10">
        <f t="shared" si="17"/>
        <v>38680100000000</v>
      </c>
      <c r="M316" s="11">
        <f>IF($L316&gt;Keys!$C$51,MIN(Keys!$C$52,$K316/$L316),Keys!$C$51)</f>
        <v>0</v>
      </c>
      <c r="N316" s="11">
        <f>IF($E316=Keys!$C$60,Keys!$C$51,IF($E316=Keys!$C$59,$D316,$M316))</f>
        <v>0</v>
      </c>
      <c r="O316">
        <f t="shared" si="18"/>
        <v>1</v>
      </c>
      <c r="P316" s="10">
        <f>IF($E316=Keys!$C$60,Keys!$C$51,INDEX(Raw_BFPIaE!$G$9:$G$3032,MATCH($A316&amp;Keys!$C$54&amp;Keys!$C$55&amp;Keys!$C$54&amp;$B316,Raw_BFPIaE!$H$9:$H$3032,0)))</f>
        <v>6838260000000</v>
      </c>
      <c r="Q316" s="10">
        <f>IF($E316=Keys!$C$60,Keys!$C$51,INDEX(Raw_BFPIaE!$G$9:$G$3032,MATCH($A316&amp;Keys!$C$54&amp;Keys!$C$56&amp;Keys!$C$54&amp;$B316,Raw_BFPIaE!$H$9:$H$3032,0)))</f>
        <v>21161033333333.332</v>
      </c>
      <c r="R316" s="10">
        <f>IF($E316=Keys!$C$60,Keys!$C$51,INDEX(Raw_BFPIaE!$G$9:$G$3032,MATCH($A316&amp;Keys!$C$54&amp;Keys!$C$57&amp;Keys!$C$54&amp;$B316,Raw_BFPIaE!$H$9:$H$3032,0)))</f>
        <v>0</v>
      </c>
      <c r="S316" s="11">
        <f>IF(($P316+$Q316-$R316+MAX(Keys!$C$51,$R316-$Q316))&gt;Keys!$C$51,MIN(Keys!$C$52,MAX(Keys!$C$51,$R316-$Q316)/($P316+$Q316-$R316+MAX(Keys!$C$51,$R316-$Q316))),Keys!$C$51)</f>
        <v>0</v>
      </c>
      <c r="T316">
        <f>IF(AND($I316&gt;$H316,ABS($L316-$G316)&gt;MAX(Keys!$C$62,ABS($G316)*Keys!$C$63)),1,0)</f>
        <v>0</v>
      </c>
      <c r="U316">
        <f>IF(OR($N316&lt;Keys!$C$51,$N316&gt;Keys!$C$52),1,0)</f>
        <v>0</v>
      </c>
      <c r="V316">
        <f>IF(AND($E316=Keys!$C$60,$N316&lt;&gt;Keys!$C$51),1,0)</f>
        <v>0</v>
      </c>
      <c r="W316">
        <f>IF($L316&gt;Keys!$C$51,IF($K316/$L316&gt;Keys!$C$52,1,0),0)</f>
        <v>0</v>
      </c>
      <c r="X316" s="11">
        <f t="shared" si="19"/>
        <v>0</v>
      </c>
    </row>
    <row r="317" spans="1:24" x14ac:dyDescent="0.25">
      <c r="A317" t="s">
        <v>102</v>
      </c>
      <c r="B317" t="s">
        <v>120</v>
      </c>
      <c r="C317">
        <f>VLOOKUP($B317,Keys!$F$2:$I$22,2,FALSE)</f>
        <v>0</v>
      </c>
      <c r="D317">
        <f>VLOOKUP($B317,Keys!$F$2:$I$22,3,FALSE)</f>
        <v>0</v>
      </c>
      <c r="E317" t="str">
        <f>VLOOKUP($B317,Keys!$F$2:$I$22,4,FALSE)</f>
        <v>zero</v>
      </c>
      <c r="F317" t="str">
        <f>$A317&amp;Keys!$C$54&amp;$B317</f>
        <v>KY|municipal solid waste</v>
      </c>
      <c r="G317" s="10">
        <f>IF($E317=Keys!$C$60,Keys!$C$51,INDEX(Balanced_2025!$D$9:$D$3032,MATCH($A317&amp;Keys!$C$54&amp;Keys!$C$55&amp;Keys!$C$54&amp;$C317,Balanced_2025!$E$9:$E$3032,0)))</f>
        <v>0</v>
      </c>
      <c r="H317" s="10">
        <f>IF($E317=Keys!$C$60,Keys!$C$51,INDEX(Balanced_2025!$D$9:$D$3032,MATCH($A317&amp;Keys!$C$54&amp;Keys!$C$56&amp;Keys!$C$54&amp;$C317,Balanced_2025!$E$9:$E$3032,0)))</f>
        <v>0</v>
      </c>
      <c r="I317" s="10">
        <f>IF($E317=Keys!$C$60,Keys!$C$51,INDEX(Balanced_2025!$D$9:$D$3032,MATCH($A317&amp;Keys!$C$54&amp;Keys!$C$57&amp;Keys!$C$54&amp;$C317,Balanced_2025!$E$9:$E$3032,0)))</f>
        <v>0</v>
      </c>
      <c r="J317" s="10">
        <f t="shared" si="16"/>
        <v>0</v>
      </c>
      <c r="K317" s="10">
        <f>MAX(Keys!$C$51,$I317-$H317)</f>
        <v>0</v>
      </c>
      <c r="L317" s="10">
        <f t="shared" si="17"/>
        <v>0</v>
      </c>
      <c r="M317" s="11">
        <f>IF($L317&gt;Keys!$C$51,MIN(Keys!$C$52,$K317/$L317),Keys!$C$51)</f>
        <v>0</v>
      </c>
      <c r="N317" s="11">
        <f>IF($E317=Keys!$C$60,Keys!$C$51,IF($E317=Keys!$C$59,$D317,$M317))</f>
        <v>0</v>
      </c>
      <c r="O317">
        <f t="shared" si="18"/>
        <v>0</v>
      </c>
      <c r="P317" s="10">
        <f>IF($E317=Keys!$C$60,Keys!$C$51,INDEX(Raw_BFPIaE!$G$9:$G$3032,MATCH($A317&amp;Keys!$C$54&amp;Keys!$C$55&amp;Keys!$C$54&amp;$B317,Raw_BFPIaE!$H$9:$H$3032,0)))</f>
        <v>0</v>
      </c>
      <c r="Q317" s="10">
        <f>IF($E317=Keys!$C$60,Keys!$C$51,INDEX(Raw_BFPIaE!$G$9:$G$3032,MATCH($A317&amp;Keys!$C$54&amp;Keys!$C$56&amp;Keys!$C$54&amp;$B317,Raw_BFPIaE!$H$9:$H$3032,0)))</f>
        <v>0</v>
      </c>
      <c r="R317" s="10">
        <f>IF($E317=Keys!$C$60,Keys!$C$51,INDEX(Raw_BFPIaE!$G$9:$G$3032,MATCH($A317&amp;Keys!$C$54&amp;Keys!$C$57&amp;Keys!$C$54&amp;$B317,Raw_BFPIaE!$H$9:$H$3032,0)))</f>
        <v>0</v>
      </c>
      <c r="S317" s="11">
        <f>IF(($P317+$Q317-$R317+MAX(Keys!$C$51,$R317-$Q317))&gt;Keys!$C$51,MIN(Keys!$C$52,MAX(Keys!$C$51,$R317-$Q317)/($P317+$Q317-$R317+MAX(Keys!$C$51,$R317-$Q317))),Keys!$C$51)</f>
        <v>0</v>
      </c>
      <c r="T317">
        <f>IF(AND($I317&gt;$H317,ABS($L317-$G317)&gt;MAX(Keys!$C$62,ABS($G317)*Keys!$C$63)),1,0)</f>
        <v>0</v>
      </c>
      <c r="U317">
        <f>IF(OR($N317&lt;Keys!$C$51,$N317&gt;Keys!$C$52),1,0)</f>
        <v>0</v>
      </c>
      <c r="V317">
        <f>IF(AND($E317=Keys!$C$60,$N317&lt;&gt;Keys!$C$51),1,0)</f>
        <v>0</v>
      </c>
      <c r="W317">
        <f>IF($L317&gt;Keys!$C$51,IF($K317/$L317&gt;Keys!$C$52,1,0),0)</f>
        <v>0</v>
      </c>
      <c r="X317" s="11">
        <f t="shared" si="19"/>
        <v>0</v>
      </c>
    </row>
    <row r="318" spans="1:24" x14ac:dyDescent="0.25">
      <c r="A318" t="s">
        <v>102</v>
      </c>
      <c r="B318" t="s">
        <v>123</v>
      </c>
      <c r="C318">
        <f>VLOOKUP($B318,Keys!$F$2:$I$22,2,FALSE)</f>
        <v>0</v>
      </c>
      <c r="D318">
        <f>VLOOKUP($B318,Keys!$F$2:$I$22,3,FALSE)</f>
        <v>0</v>
      </c>
      <c r="E318" t="str">
        <f>VLOOKUP($B318,Keys!$F$2:$I$22,4,FALSE)</f>
        <v>zero</v>
      </c>
      <c r="F318" t="str">
        <f>$A318&amp;Keys!$C$54&amp;$B318</f>
        <v>KY|hydrogen</v>
      </c>
      <c r="G318" s="10">
        <f>IF($E318=Keys!$C$60,Keys!$C$51,INDEX(Balanced_2025!$D$9:$D$3032,MATCH($A318&amp;Keys!$C$54&amp;Keys!$C$55&amp;Keys!$C$54&amp;$C318,Balanced_2025!$E$9:$E$3032,0)))</f>
        <v>0</v>
      </c>
      <c r="H318" s="10">
        <f>IF($E318=Keys!$C$60,Keys!$C$51,INDEX(Balanced_2025!$D$9:$D$3032,MATCH($A318&amp;Keys!$C$54&amp;Keys!$C$56&amp;Keys!$C$54&amp;$C318,Balanced_2025!$E$9:$E$3032,0)))</f>
        <v>0</v>
      </c>
      <c r="I318" s="10">
        <f>IF($E318=Keys!$C$60,Keys!$C$51,INDEX(Balanced_2025!$D$9:$D$3032,MATCH($A318&amp;Keys!$C$54&amp;Keys!$C$57&amp;Keys!$C$54&amp;$C318,Balanced_2025!$E$9:$E$3032,0)))</f>
        <v>0</v>
      </c>
      <c r="J318" s="10">
        <f t="shared" si="16"/>
        <v>0</v>
      </c>
      <c r="K318" s="10">
        <f>MAX(Keys!$C$51,$I318-$H318)</f>
        <v>0</v>
      </c>
      <c r="L318" s="10">
        <f t="shared" si="17"/>
        <v>0</v>
      </c>
      <c r="M318" s="11">
        <f>IF($L318&gt;Keys!$C$51,MIN(Keys!$C$52,$K318/$L318),Keys!$C$51)</f>
        <v>0</v>
      </c>
      <c r="N318" s="11">
        <f>IF($E318=Keys!$C$60,Keys!$C$51,IF($E318=Keys!$C$59,$D318,$M318))</f>
        <v>0</v>
      </c>
      <c r="O318">
        <f t="shared" si="18"/>
        <v>0</v>
      </c>
      <c r="P318" s="10">
        <f>IF($E318=Keys!$C$60,Keys!$C$51,INDEX(Raw_BFPIaE!$G$9:$G$3032,MATCH($A318&amp;Keys!$C$54&amp;Keys!$C$55&amp;Keys!$C$54&amp;$B318,Raw_BFPIaE!$H$9:$H$3032,0)))</f>
        <v>0</v>
      </c>
      <c r="Q318" s="10">
        <f>IF($E318=Keys!$C$60,Keys!$C$51,INDEX(Raw_BFPIaE!$G$9:$G$3032,MATCH($A318&amp;Keys!$C$54&amp;Keys!$C$56&amp;Keys!$C$54&amp;$B318,Raw_BFPIaE!$H$9:$H$3032,0)))</f>
        <v>0</v>
      </c>
      <c r="R318" s="10">
        <f>IF($E318=Keys!$C$60,Keys!$C$51,INDEX(Raw_BFPIaE!$G$9:$G$3032,MATCH($A318&amp;Keys!$C$54&amp;Keys!$C$57&amp;Keys!$C$54&amp;$B318,Raw_BFPIaE!$H$9:$H$3032,0)))</f>
        <v>0</v>
      </c>
      <c r="S318" s="11">
        <f>IF(($P318+$Q318-$R318+MAX(Keys!$C$51,$R318-$Q318))&gt;Keys!$C$51,MIN(Keys!$C$52,MAX(Keys!$C$51,$R318-$Q318)/($P318+$Q318-$R318+MAX(Keys!$C$51,$R318-$Q318))),Keys!$C$51)</f>
        <v>0</v>
      </c>
      <c r="T318">
        <f>IF(AND($I318&gt;$H318,ABS($L318-$G318)&gt;MAX(Keys!$C$62,ABS($G318)*Keys!$C$63)),1,0)</f>
        <v>0</v>
      </c>
      <c r="U318">
        <f>IF(OR($N318&lt;Keys!$C$51,$N318&gt;Keys!$C$52),1,0)</f>
        <v>0</v>
      </c>
      <c r="V318">
        <f>IF(AND($E318=Keys!$C$60,$N318&lt;&gt;Keys!$C$51),1,0)</f>
        <v>0</v>
      </c>
      <c r="W318">
        <f>IF($L318&gt;Keys!$C$51,IF($K318/$L318&gt;Keys!$C$52,1,0),0)</f>
        <v>0</v>
      </c>
      <c r="X318" s="11">
        <f t="shared" si="19"/>
        <v>0</v>
      </c>
    </row>
    <row r="319" spans="1:24" x14ac:dyDescent="0.25">
      <c r="A319" t="s">
        <v>105</v>
      </c>
      <c r="B319" t="s">
        <v>60</v>
      </c>
      <c r="C319">
        <f>VLOOKUP($B319,Keys!$F$2:$I$22,2,FALSE)</f>
        <v>0</v>
      </c>
      <c r="D319">
        <f>VLOOKUP($B319,Keys!$F$2:$I$22,3,FALSE)</f>
        <v>0</v>
      </c>
      <c r="E319" t="str">
        <f>VLOOKUP($B319,Keys!$F$2:$I$22,4,FALSE)</f>
        <v>zero</v>
      </c>
      <c r="F319" t="str">
        <f>$A319&amp;Keys!$C$54&amp;$B319</f>
        <v>LA|electricity (not used in this variable)</v>
      </c>
      <c r="G319" s="10">
        <f>IF($E319=Keys!$C$60,Keys!$C$51,INDEX(Balanced_2025!$D$9:$D$3032,MATCH($A319&amp;Keys!$C$54&amp;Keys!$C$55&amp;Keys!$C$54&amp;$C319,Balanced_2025!$E$9:$E$3032,0)))</f>
        <v>0</v>
      </c>
      <c r="H319" s="10">
        <f>IF($E319=Keys!$C$60,Keys!$C$51,INDEX(Balanced_2025!$D$9:$D$3032,MATCH($A319&amp;Keys!$C$54&amp;Keys!$C$56&amp;Keys!$C$54&amp;$C319,Balanced_2025!$E$9:$E$3032,0)))</f>
        <v>0</v>
      </c>
      <c r="I319" s="10">
        <f>IF($E319=Keys!$C$60,Keys!$C$51,INDEX(Balanced_2025!$D$9:$D$3032,MATCH($A319&amp;Keys!$C$54&amp;Keys!$C$57&amp;Keys!$C$54&amp;$C319,Balanced_2025!$E$9:$E$3032,0)))</f>
        <v>0</v>
      </c>
      <c r="J319" s="10">
        <f t="shared" si="16"/>
        <v>0</v>
      </c>
      <c r="K319" s="10">
        <f>MAX(Keys!$C$51,$I319-$H319)</f>
        <v>0</v>
      </c>
      <c r="L319" s="10">
        <f t="shared" si="17"/>
        <v>0</v>
      </c>
      <c r="M319" s="11">
        <f>IF($L319&gt;Keys!$C$51,MIN(Keys!$C$52,$K319/$L319),Keys!$C$51)</f>
        <v>0</v>
      </c>
      <c r="N319" s="11">
        <f>IF($E319=Keys!$C$60,Keys!$C$51,IF($E319=Keys!$C$59,$D319,$M319))</f>
        <v>0</v>
      </c>
      <c r="O319">
        <f t="shared" si="18"/>
        <v>0</v>
      </c>
      <c r="P319" s="10">
        <f>IF($E319=Keys!$C$60,Keys!$C$51,INDEX(Raw_BFPIaE!$G$9:$G$3032,MATCH($A319&amp;Keys!$C$54&amp;Keys!$C$55&amp;Keys!$C$54&amp;$B319,Raw_BFPIaE!$H$9:$H$3032,0)))</f>
        <v>0</v>
      </c>
      <c r="Q319" s="10">
        <f>IF($E319=Keys!$C$60,Keys!$C$51,INDEX(Raw_BFPIaE!$G$9:$G$3032,MATCH($A319&amp;Keys!$C$54&amp;Keys!$C$56&amp;Keys!$C$54&amp;$B319,Raw_BFPIaE!$H$9:$H$3032,0)))</f>
        <v>0</v>
      </c>
      <c r="R319" s="10">
        <f>IF($E319=Keys!$C$60,Keys!$C$51,INDEX(Raw_BFPIaE!$G$9:$G$3032,MATCH($A319&amp;Keys!$C$54&amp;Keys!$C$57&amp;Keys!$C$54&amp;$B319,Raw_BFPIaE!$H$9:$H$3032,0)))</f>
        <v>0</v>
      </c>
      <c r="S319" s="11">
        <f>IF(($P319+$Q319-$R319+MAX(Keys!$C$51,$R319-$Q319))&gt;Keys!$C$51,MIN(Keys!$C$52,MAX(Keys!$C$51,$R319-$Q319)/($P319+$Q319-$R319+MAX(Keys!$C$51,$R319-$Q319))),Keys!$C$51)</f>
        <v>0</v>
      </c>
      <c r="T319">
        <f>IF(AND($I319&gt;$H319,ABS($L319-$G319)&gt;MAX(Keys!$C$62,ABS($G319)*Keys!$C$63)),1,0)</f>
        <v>0</v>
      </c>
      <c r="U319">
        <f>IF(OR($N319&lt;Keys!$C$51,$N319&gt;Keys!$C$52),1,0)</f>
        <v>0</v>
      </c>
      <c r="V319">
        <f>IF(AND($E319=Keys!$C$60,$N319&lt;&gt;Keys!$C$51),1,0)</f>
        <v>0</v>
      </c>
      <c r="W319">
        <f>IF($L319&gt;Keys!$C$51,IF($K319/$L319&gt;Keys!$C$52,1,0),0)</f>
        <v>0</v>
      </c>
      <c r="X319" s="11">
        <f t="shared" si="19"/>
        <v>0</v>
      </c>
    </row>
    <row r="320" spans="1:24" x14ac:dyDescent="0.25">
      <c r="A320" t="s">
        <v>105</v>
      </c>
      <c r="B320" t="s">
        <v>64</v>
      </c>
      <c r="C320" t="str">
        <f>VLOOKUP($B320,Keys!$F$2:$I$22,2,FALSE)</f>
        <v>hard coal</v>
      </c>
      <c r="D320">
        <f>VLOOKUP($B320,Keys!$F$2:$I$22,3,FALSE)</f>
        <v>0.137539879</v>
      </c>
      <c r="E320" t="str">
        <f>VLOOKUP($B320,Keys!$F$2:$I$22,4,FALSE)</f>
        <v>rule</v>
      </c>
      <c r="F320" t="str">
        <f>$A320&amp;Keys!$C$54&amp;$B320</f>
        <v>LA|hard coal</v>
      </c>
      <c r="G320" s="10">
        <f>IF($E320=Keys!$C$60,Keys!$C$51,INDEX(Balanced_2025!$D$9:$D$3032,MATCH($A320&amp;Keys!$C$54&amp;Keys!$C$55&amp;Keys!$C$54&amp;$C320,Balanced_2025!$E$9:$E$3032,0)))</f>
        <v>0</v>
      </c>
      <c r="H320" s="10">
        <f>IF($E320=Keys!$C$60,Keys!$C$51,INDEX(Balanced_2025!$D$9:$D$3032,MATCH($A320&amp;Keys!$C$54&amp;Keys!$C$56&amp;Keys!$C$54&amp;$C320,Balanced_2025!$E$9:$E$3032,0)))</f>
        <v>125164000000000</v>
      </c>
      <c r="I320" s="10">
        <f>IF($E320=Keys!$C$60,Keys!$C$51,INDEX(Balanced_2025!$D$9:$D$3032,MATCH($A320&amp;Keys!$C$54&amp;Keys!$C$57&amp;Keys!$C$54&amp;$C320,Balanced_2025!$E$9:$E$3032,0)))</f>
        <v>0</v>
      </c>
      <c r="J320" s="10">
        <f t="shared" si="16"/>
        <v>125164000000000</v>
      </c>
      <c r="K320" s="10">
        <f>MAX(Keys!$C$51,$I320-$H320)</f>
        <v>0</v>
      </c>
      <c r="L320" s="10">
        <f t="shared" si="17"/>
        <v>125164000000000</v>
      </c>
      <c r="M320" s="11">
        <f>IF($L320&gt;Keys!$C$51,MIN(Keys!$C$52,$K320/$L320),Keys!$C$51)</f>
        <v>0</v>
      </c>
      <c r="N320" s="11">
        <f>IF($E320=Keys!$C$60,Keys!$C$51,IF($E320=Keys!$C$59,$D320,$M320))</f>
        <v>0</v>
      </c>
      <c r="O320">
        <f t="shared" si="18"/>
        <v>1</v>
      </c>
      <c r="P320" s="10">
        <f>IF($E320=Keys!$C$60,Keys!$C$51,INDEX(Raw_BFPIaE!$G$9:$G$3032,MATCH($A320&amp;Keys!$C$54&amp;Keys!$C$55&amp;Keys!$C$54&amp;$B320,Raw_BFPIaE!$H$9:$H$3032,0)))</f>
        <v>0</v>
      </c>
      <c r="Q320" s="10">
        <f>IF($E320=Keys!$C$60,Keys!$C$51,INDEX(Raw_BFPIaE!$G$9:$G$3032,MATCH($A320&amp;Keys!$C$54&amp;Keys!$C$56&amp;Keys!$C$54&amp;$B320,Raw_BFPIaE!$H$9:$H$3032,0)))</f>
        <v>88278966666666.672</v>
      </c>
      <c r="R320" s="10">
        <f>IF($E320=Keys!$C$60,Keys!$C$51,INDEX(Raw_BFPIaE!$G$9:$G$3032,MATCH($A320&amp;Keys!$C$54&amp;Keys!$C$57&amp;Keys!$C$54&amp;$B320,Raw_BFPIaE!$H$9:$H$3032,0)))</f>
        <v>0</v>
      </c>
      <c r="S320" s="11">
        <f>IF(($P320+$Q320-$R320+MAX(Keys!$C$51,$R320-$Q320))&gt;Keys!$C$51,MIN(Keys!$C$52,MAX(Keys!$C$51,$R320-$Q320)/($P320+$Q320-$R320+MAX(Keys!$C$51,$R320-$Q320))),Keys!$C$51)</f>
        <v>0</v>
      </c>
      <c r="T320">
        <f>IF(AND($I320&gt;$H320,ABS($L320-$G320)&gt;MAX(Keys!$C$62,ABS($G320)*Keys!$C$63)),1,0)</f>
        <v>0</v>
      </c>
      <c r="U320">
        <f>IF(OR($N320&lt;Keys!$C$51,$N320&gt;Keys!$C$52),1,0)</f>
        <v>0</v>
      </c>
      <c r="V320">
        <f>IF(AND($E320=Keys!$C$60,$N320&lt;&gt;Keys!$C$51),1,0)</f>
        <v>0</v>
      </c>
      <c r="W320">
        <f>IF($L320&gt;Keys!$C$51,IF($K320/$L320&gt;Keys!$C$52,1,0),0)</f>
        <v>0</v>
      </c>
      <c r="X320" s="11">
        <f t="shared" si="19"/>
        <v>0</v>
      </c>
    </row>
    <row r="321" spans="1:24" x14ac:dyDescent="0.25">
      <c r="A321" t="s">
        <v>105</v>
      </c>
      <c r="B321" t="s">
        <v>68</v>
      </c>
      <c r="C321" t="str">
        <f>VLOOKUP($B321,Keys!$F$2:$I$22,2,FALSE)</f>
        <v>natural gas</v>
      </c>
      <c r="D321">
        <f>VLOOKUP($B321,Keys!$F$2:$I$22,3,FALSE)</f>
        <v>0.190839183</v>
      </c>
      <c r="E321" t="str">
        <f>VLOOKUP($B321,Keys!$F$2:$I$22,4,FALSE)</f>
        <v>rule</v>
      </c>
      <c r="F321" t="str">
        <f>$A321&amp;Keys!$C$54&amp;$B321</f>
        <v>LA|natural gas</v>
      </c>
      <c r="G321" s="10">
        <f>IF($E321=Keys!$C$60,Keys!$C$51,INDEX(Balanced_2025!$D$9:$D$3032,MATCH($A321&amp;Keys!$C$54&amp;Keys!$C$55&amp;Keys!$C$54&amp;$C321,Balanced_2025!$E$9:$E$3032,0)))</f>
        <v>3731200000000000</v>
      </c>
      <c r="H321" s="10">
        <f>IF($E321=Keys!$C$60,Keys!$C$51,INDEX(Balanced_2025!$D$9:$D$3032,MATCH($A321&amp;Keys!$C$54&amp;Keys!$C$56&amp;Keys!$C$54&amp;$C321,Balanced_2025!$E$9:$E$3032,0)))</f>
        <v>4985350000000000</v>
      </c>
      <c r="I321" s="10">
        <f>IF($E321=Keys!$C$60,Keys!$C$51,INDEX(Balanced_2025!$D$9:$D$3032,MATCH($A321&amp;Keys!$C$54&amp;Keys!$C$57&amp;Keys!$C$54&amp;$C321,Balanced_2025!$E$9:$E$3032,0)))</f>
        <v>6632050000000000</v>
      </c>
      <c r="J321" s="10">
        <f t="shared" si="16"/>
        <v>2084500000000000</v>
      </c>
      <c r="K321" s="10">
        <f>MAX(Keys!$C$51,$I321-$H321)</f>
        <v>1646700000000000</v>
      </c>
      <c r="L321" s="10">
        <f t="shared" si="17"/>
        <v>3731200000000000</v>
      </c>
      <c r="M321" s="11">
        <f>IF($L321&gt;Keys!$C$51,MIN(Keys!$C$52,$K321/$L321),Keys!$C$51)</f>
        <v>0.4413325471698113</v>
      </c>
      <c r="N321" s="11">
        <f>IF($E321=Keys!$C$60,Keys!$C$51,IF($E321=Keys!$C$59,$D321,$M321))</f>
        <v>0.4413325471698113</v>
      </c>
      <c r="O321">
        <f t="shared" si="18"/>
        <v>1</v>
      </c>
      <c r="P321" s="10">
        <f>IF($E321=Keys!$C$60,Keys!$C$51,INDEX(Raw_BFPIaE!$G$9:$G$3032,MATCH($A321&amp;Keys!$C$54&amp;Keys!$C$55&amp;Keys!$C$54&amp;$B321,Raw_BFPIaE!$H$9:$H$3032,0)))</f>
        <v>3716920000000000</v>
      </c>
      <c r="Q321" s="10">
        <f>IF($E321=Keys!$C$60,Keys!$C$51,INDEX(Raw_BFPIaE!$G$9:$G$3032,MATCH($A321&amp;Keys!$C$54&amp;Keys!$C$56&amp;Keys!$C$54&amp;$B321,Raw_BFPIaE!$H$9:$H$3032,0)))</f>
        <v>4980250000000000</v>
      </c>
      <c r="R321" s="10">
        <f>IF($E321=Keys!$C$60,Keys!$C$51,INDEX(Raw_BFPIaE!$G$9:$G$3032,MATCH($A321&amp;Keys!$C$54&amp;Keys!$C$57&amp;Keys!$C$54&amp;$B321,Raw_BFPIaE!$H$9:$H$3032,0)))</f>
        <v>6606666666666667</v>
      </c>
      <c r="S321" s="11">
        <f>IF(($P321+$Q321-$R321+MAX(Keys!$C$51,$R321-$Q321))&gt;Keys!$C$51,MIN(Keys!$C$52,MAX(Keys!$C$51,$R321-$Q321)/($P321+$Q321-$R321+MAX(Keys!$C$51,$R321-$Q321))),Keys!$C$51)</f>
        <v>0.43757107138885609</v>
      </c>
      <c r="T321">
        <f>IF(AND($I321&gt;$H321,ABS($L321-$G321)&gt;MAX(Keys!$C$62,ABS($G321)*Keys!$C$63)),1,0)</f>
        <v>0</v>
      </c>
      <c r="U321">
        <f>IF(OR($N321&lt;Keys!$C$51,$N321&gt;Keys!$C$52),1,0)</f>
        <v>0</v>
      </c>
      <c r="V321">
        <f>IF(AND($E321=Keys!$C$60,$N321&lt;&gt;Keys!$C$51),1,0)</f>
        <v>0</v>
      </c>
      <c r="W321">
        <f>IF($L321&gt;Keys!$C$51,IF($K321/$L321&gt;Keys!$C$52,1,0),0)</f>
        <v>0</v>
      </c>
      <c r="X321" s="11">
        <f t="shared" si="19"/>
        <v>3.7614757809552035E-3</v>
      </c>
    </row>
    <row r="322" spans="1:24" x14ac:dyDescent="0.25">
      <c r="A322" t="s">
        <v>105</v>
      </c>
      <c r="B322" t="s">
        <v>71</v>
      </c>
      <c r="C322">
        <f>VLOOKUP($B322,Keys!$F$2:$I$22,2,FALSE)</f>
        <v>0</v>
      </c>
      <c r="D322">
        <f>VLOOKUP($B322,Keys!$F$2:$I$22,3,FALSE)</f>
        <v>0</v>
      </c>
      <c r="E322" t="str">
        <f>VLOOKUP($B322,Keys!$F$2:$I$22,4,FALSE)</f>
        <v>zero</v>
      </c>
      <c r="F322" t="str">
        <f>$A322&amp;Keys!$C$54&amp;$B322</f>
        <v>LA|nuclear</v>
      </c>
      <c r="G322" s="10">
        <f>IF($E322=Keys!$C$60,Keys!$C$51,INDEX(Balanced_2025!$D$9:$D$3032,MATCH($A322&amp;Keys!$C$54&amp;Keys!$C$55&amp;Keys!$C$54&amp;$C322,Balanced_2025!$E$9:$E$3032,0)))</f>
        <v>0</v>
      </c>
      <c r="H322" s="10">
        <f>IF($E322=Keys!$C$60,Keys!$C$51,INDEX(Balanced_2025!$D$9:$D$3032,MATCH($A322&amp;Keys!$C$54&amp;Keys!$C$56&amp;Keys!$C$54&amp;$C322,Balanced_2025!$E$9:$E$3032,0)))</f>
        <v>0</v>
      </c>
      <c r="I322" s="10">
        <f>IF($E322=Keys!$C$60,Keys!$C$51,INDEX(Balanced_2025!$D$9:$D$3032,MATCH($A322&amp;Keys!$C$54&amp;Keys!$C$57&amp;Keys!$C$54&amp;$C322,Balanced_2025!$E$9:$E$3032,0)))</f>
        <v>0</v>
      </c>
      <c r="J322" s="10">
        <f t="shared" si="16"/>
        <v>0</v>
      </c>
      <c r="K322" s="10">
        <f>MAX(Keys!$C$51,$I322-$H322)</f>
        <v>0</v>
      </c>
      <c r="L322" s="10">
        <f t="shared" si="17"/>
        <v>0</v>
      </c>
      <c r="M322" s="11">
        <f>IF($L322&gt;Keys!$C$51,MIN(Keys!$C$52,$K322/$L322),Keys!$C$51)</f>
        <v>0</v>
      </c>
      <c r="N322" s="11">
        <f>IF($E322=Keys!$C$60,Keys!$C$51,IF($E322=Keys!$C$59,$D322,$M322))</f>
        <v>0</v>
      </c>
      <c r="O322">
        <f t="shared" si="18"/>
        <v>0</v>
      </c>
      <c r="P322" s="10">
        <f>IF($E322=Keys!$C$60,Keys!$C$51,INDEX(Raw_BFPIaE!$G$9:$G$3032,MATCH($A322&amp;Keys!$C$54&amp;Keys!$C$55&amp;Keys!$C$54&amp;$B322,Raw_BFPIaE!$H$9:$H$3032,0)))</f>
        <v>0</v>
      </c>
      <c r="Q322" s="10">
        <f>IF($E322=Keys!$C$60,Keys!$C$51,INDEX(Raw_BFPIaE!$G$9:$G$3032,MATCH($A322&amp;Keys!$C$54&amp;Keys!$C$56&amp;Keys!$C$54&amp;$B322,Raw_BFPIaE!$H$9:$H$3032,0)))</f>
        <v>0</v>
      </c>
      <c r="R322" s="10">
        <f>IF($E322=Keys!$C$60,Keys!$C$51,INDEX(Raw_BFPIaE!$G$9:$G$3032,MATCH($A322&amp;Keys!$C$54&amp;Keys!$C$57&amp;Keys!$C$54&amp;$B322,Raw_BFPIaE!$H$9:$H$3032,0)))</f>
        <v>0</v>
      </c>
      <c r="S322" s="11">
        <f>IF(($P322+$Q322-$R322+MAX(Keys!$C$51,$R322-$Q322))&gt;Keys!$C$51,MIN(Keys!$C$52,MAX(Keys!$C$51,$R322-$Q322)/($P322+$Q322-$R322+MAX(Keys!$C$51,$R322-$Q322))),Keys!$C$51)</f>
        <v>0</v>
      </c>
      <c r="T322">
        <f>IF(AND($I322&gt;$H322,ABS($L322-$G322)&gt;MAX(Keys!$C$62,ABS($G322)*Keys!$C$63)),1,0)</f>
        <v>0</v>
      </c>
      <c r="U322">
        <f>IF(OR($N322&lt;Keys!$C$51,$N322&gt;Keys!$C$52),1,0)</f>
        <v>0</v>
      </c>
      <c r="V322">
        <f>IF(AND($E322=Keys!$C$60,$N322&lt;&gt;Keys!$C$51),1,0)</f>
        <v>0</v>
      </c>
      <c r="W322">
        <f>IF($L322&gt;Keys!$C$51,IF($K322/$L322&gt;Keys!$C$52,1,0),0)</f>
        <v>0</v>
      </c>
      <c r="X322" s="11">
        <f t="shared" si="19"/>
        <v>0</v>
      </c>
    </row>
    <row r="323" spans="1:24" x14ac:dyDescent="0.25">
      <c r="A323" t="s">
        <v>105</v>
      </c>
      <c r="B323" t="s">
        <v>74</v>
      </c>
      <c r="C323">
        <f>VLOOKUP($B323,Keys!$F$2:$I$22,2,FALSE)</f>
        <v>0</v>
      </c>
      <c r="D323">
        <f>VLOOKUP($B323,Keys!$F$2:$I$22,3,FALSE)</f>
        <v>0</v>
      </c>
      <c r="E323" t="str">
        <f>VLOOKUP($B323,Keys!$F$2:$I$22,4,FALSE)</f>
        <v>zero</v>
      </c>
      <c r="F323" t="str">
        <f>$A323&amp;Keys!$C$54&amp;$B323</f>
        <v>LA|hydro (is not a fuel)</v>
      </c>
      <c r="G323" s="10">
        <f>IF($E323=Keys!$C$60,Keys!$C$51,INDEX(Balanced_2025!$D$9:$D$3032,MATCH($A323&amp;Keys!$C$54&amp;Keys!$C$55&amp;Keys!$C$54&amp;$C323,Balanced_2025!$E$9:$E$3032,0)))</f>
        <v>0</v>
      </c>
      <c r="H323" s="10">
        <f>IF($E323=Keys!$C$60,Keys!$C$51,INDEX(Balanced_2025!$D$9:$D$3032,MATCH($A323&amp;Keys!$C$54&amp;Keys!$C$56&amp;Keys!$C$54&amp;$C323,Balanced_2025!$E$9:$E$3032,0)))</f>
        <v>0</v>
      </c>
      <c r="I323" s="10">
        <f>IF($E323=Keys!$C$60,Keys!$C$51,INDEX(Balanced_2025!$D$9:$D$3032,MATCH($A323&amp;Keys!$C$54&amp;Keys!$C$57&amp;Keys!$C$54&amp;$C323,Balanced_2025!$E$9:$E$3032,0)))</f>
        <v>0</v>
      </c>
      <c r="J323" s="10">
        <f t="shared" si="16"/>
        <v>0</v>
      </c>
      <c r="K323" s="10">
        <f>MAX(Keys!$C$51,$I323-$H323)</f>
        <v>0</v>
      </c>
      <c r="L323" s="10">
        <f t="shared" si="17"/>
        <v>0</v>
      </c>
      <c r="M323" s="11">
        <f>IF($L323&gt;Keys!$C$51,MIN(Keys!$C$52,$K323/$L323),Keys!$C$51)</f>
        <v>0</v>
      </c>
      <c r="N323" s="11">
        <f>IF($E323=Keys!$C$60,Keys!$C$51,IF($E323=Keys!$C$59,$D323,$M323))</f>
        <v>0</v>
      </c>
      <c r="O323">
        <f t="shared" si="18"/>
        <v>0</v>
      </c>
      <c r="P323" s="10">
        <f>IF($E323=Keys!$C$60,Keys!$C$51,INDEX(Raw_BFPIaE!$G$9:$G$3032,MATCH($A323&amp;Keys!$C$54&amp;Keys!$C$55&amp;Keys!$C$54&amp;$B323,Raw_BFPIaE!$H$9:$H$3032,0)))</f>
        <v>0</v>
      </c>
      <c r="Q323" s="10">
        <f>IF($E323=Keys!$C$60,Keys!$C$51,INDEX(Raw_BFPIaE!$G$9:$G$3032,MATCH($A323&amp;Keys!$C$54&amp;Keys!$C$56&amp;Keys!$C$54&amp;$B323,Raw_BFPIaE!$H$9:$H$3032,0)))</f>
        <v>0</v>
      </c>
      <c r="R323" s="10">
        <f>IF($E323=Keys!$C$60,Keys!$C$51,INDEX(Raw_BFPIaE!$G$9:$G$3032,MATCH($A323&amp;Keys!$C$54&amp;Keys!$C$57&amp;Keys!$C$54&amp;$B323,Raw_BFPIaE!$H$9:$H$3032,0)))</f>
        <v>0</v>
      </c>
      <c r="S323" s="11">
        <f>IF(($P323+$Q323-$R323+MAX(Keys!$C$51,$R323-$Q323))&gt;Keys!$C$51,MIN(Keys!$C$52,MAX(Keys!$C$51,$R323-$Q323)/($P323+$Q323-$R323+MAX(Keys!$C$51,$R323-$Q323))),Keys!$C$51)</f>
        <v>0</v>
      </c>
      <c r="T323">
        <f>IF(AND($I323&gt;$H323,ABS($L323-$G323)&gt;MAX(Keys!$C$62,ABS($G323)*Keys!$C$63)),1,0)</f>
        <v>0</v>
      </c>
      <c r="U323">
        <f>IF(OR($N323&lt;Keys!$C$51,$N323&gt;Keys!$C$52),1,0)</f>
        <v>0</v>
      </c>
      <c r="V323">
        <f>IF(AND($E323=Keys!$C$60,$N323&lt;&gt;Keys!$C$51),1,0)</f>
        <v>0</v>
      </c>
      <c r="W323">
        <f>IF($L323&gt;Keys!$C$51,IF($K323/$L323&gt;Keys!$C$52,1,0),0)</f>
        <v>0</v>
      </c>
      <c r="X323" s="11">
        <f t="shared" si="19"/>
        <v>0</v>
      </c>
    </row>
    <row r="324" spans="1:24" x14ac:dyDescent="0.25">
      <c r="A324" t="s">
        <v>105</v>
      </c>
      <c r="B324" t="s">
        <v>77</v>
      </c>
      <c r="C324">
        <f>VLOOKUP($B324,Keys!$F$2:$I$22,2,FALSE)</f>
        <v>0</v>
      </c>
      <c r="D324">
        <f>VLOOKUP($B324,Keys!$F$2:$I$22,3,FALSE)</f>
        <v>0</v>
      </c>
      <c r="E324" t="str">
        <f>VLOOKUP($B324,Keys!$F$2:$I$22,4,FALSE)</f>
        <v>zero</v>
      </c>
      <c r="F324" t="str">
        <f>$A324&amp;Keys!$C$54&amp;$B324</f>
        <v>LA|wind (is not a fuel)</v>
      </c>
      <c r="G324" s="10">
        <f>IF($E324=Keys!$C$60,Keys!$C$51,INDEX(Balanced_2025!$D$9:$D$3032,MATCH($A324&amp;Keys!$C$54&amp;Keys!$C$55&amp;Keys!$C$54&amp;$C324,Balanced_2025!$E$9:$E$3032,0)))</f>
        <v>0</v>
      </c>
      <c r="H324" s="10">
        <f>IF($E324=Keys!$C$60,Keys!$C$51,INDEX(Balanced_2025!$D$9:$D$3032,MATCH($A324&amp;Keys!$C$54&amp;Keys!$C$56&amp;Keys!$C$54&amp;$C324,Balanced_2025!$E$9:$E$3032,0)))</f>
        <v>0</v>
      </c>
      <c r="I324" s="10">
        <f>IF($E324=Keys!$C$60,Keys!$C$51,INDEX(Balanced_2025!$D$9:$D$3032,MATCH($A324&amp;Keys!$C$54&amp;Keys!$C$57&amp;Keys!$C$54&amp;$C324,Balanced_2025!$E$9:$E$3032,0)))</f>
        <v>0</v>
      </c>
      <c r="J324" s="10">
        <f t="shared" ref="J324:J387" si="20">$G324+$H324-$I324</f>
        <v>0</v>
      </c>
      <c r="K324" s="10">
        <f>MAX(Keys!$C$51,$I324-$H324)</f>
        <v>0</v>
      </c>
      <c r="L324" s="10">
        <f t="shared" ref="L324:L387" si="21">$K324+$J324</f>
        <v>0</v>
      </c>
      <c r="M324" s="11">
        <f>IF($L324&gt;Keys!$C$51,MIN(Keys!$C$52,$K324/$L324),Keys!$C$51)</f>
        <v>0</v>
      </c>
      <c r="N324" s="11">
        <f>IF($E324=Keys!$C$60,Keys!$C$51,IF($E324=Keys!$C$59,$D324,$M324))</f>
        <v>0</v>
      </c>
      <c r="O324">
        <f t="shared" ref="O324:O387" si="22">IF($N324&lt;&gt;$D324,1,0)</f>
        <v>0</v>
      </c>
      <c r="P324" s="10">
        <f>IF($E324=Keys!$C$60,Keys!$C$51,INDEX(Raw_BFPIaE!$G$9:$G$3032,MATCH($A324&amp;Keys!$C$54&amp;Keys!$C$55&amp;Keys!$C$54&amp;$B324,Raw_BFPIaE!$H$9:$H$3032,0)))</f>
        <v>0</v>
      </c>
      <c r="Q324" s="10">
        <f>IF($E324=Keys!$C$60,Keys!$C$51,INDEX(Raw_BFPIaE!$G$9:$G$3032,MATCH($A324&amp;Keys!$C$54&amp;Keys!$C$56&amp;Keys!$C$54&amp;$B324,Raw_BFPIaE!$H$9:$H$3032,0)))</f>
        <v>0</v>
      </c>
      <c r="R324" s="10">
        <f>IF($E324=Keys!$C$60,Keys!$C$51,INDEX(Raw_BFPIaE!$G$9:$G$3032,MATCH($A324&amp;Keys!$C$54&amp;Keys!$C$57&amp;Keys!$C$54&amp;$B324,Raw_BFPIaE!$H$9:$H$3032,0)))</f>
        <v>0</v>
      </c>
      <c r="S324" s="11">
        <f>IF(($P324+$Q324-$R324+MAX(Keys!$C$51,$R324-$Q324))&gt;Keys!$C$51,MIN(Keys!$C$52,MAX(Keys!$C$51,$R324-$Q324)/($P324+$Q324-$R324+MAX(Keys!$C$51,$R324-$Q324))),Keys!$C$51)</f>
        <v>0</v>
      </c>
      <c r="T324">
        <f>IF(AND($I324&gt;$H324,ABS($L324-$G324)&gt;MAX(Keys!$C$62,ABS($G324)*Keys!$C$63)),1,0)</f>
        <v>0</v>
      </c>
      <c r="U324">
        <f>IF(OR($N324&lt;Keys!$C$51,$N324&gt;Keys!$C$52),1,0)</f>
        <v>0</v>
      </c>
      <c r="V324">
        <f>IF(AND($E324=Keys!$C$60,$N324&lt;&gt;Keys!$C$51),1,0)</f>
        <v>0</v>
      </c>
      <c r="W324">
        <f>IF($L324&gt;Keys!$C$51,IF($K324/$L324&gt;Keys!$C$52,1,0),0)</f>
        <v>0</v>
      </c>
      <c r="X324" s="11">
        <f t="shared" ref="X324:X387" si="23">ABS($M324-$S324)</f>
        <v>0</v>
      </c>
    </row>
    <row r="325" spans="1:24" x14ac:dyDescent="0.25">
      <c r="A325" t="s">
        <v>105</v>
      </c>
      <c r="B325" t="s">
        <v>80</v>
      </c>
      <c r="C325">
        <f>VLOOKUP($B325,Keys!$F$2:$I$22,2,FALSE)</f>
        <v>0</v>
      </c>
      <c r="D325">
        <f>VLOOKUP($B325,Keys!$F$2:$I$22,3,FALSE)</f>
        <v>0</v>
      </c>
      <c r="E325" t="str">
        <f>VLOOKUP($B325,Keys!$F$2:$I$22,4,FALSE)</f>
        <v>zero</v>
      </c>
      <c r="F325" t="str">
        <f>$A325&amp;Keys!$C$54&amp;$B325</f>
        <v>LA|solar (is not a fuel)</v>
      </c>
      <c r="G325" s="10">
        <f>IF($E325=Keys!$C$60,Keys!$C$51,INDEX(Balanced_2025!$D$9:$D$3032,MATCH($A325&amp;Keys!$C$54&amp;Keys!$C$55&amp;Keys!$C$54&amp;$C325,Balanced_2025!$E$9:$E$3032,0)))</f>
        <v>0</v>
      </c>
      <c r="H325" s="10">
        <f>IF($E325=Keys!$C$60,Keys!$C$51,INDEX(Balanced_2025!$D$9:$D$3032,MATCH($A325&amp;Keys!$C$54&amp;Keys!$C$56&amp;Keys!$C$54&amp;$C325,Balanced_2025!$E$9:$E$3032,0)))</f>
        <v>0</v>
      </c>
      <c r="I325" s="10">
        <f>IF($E325=Keys!$C$60,Keys!$C$51,INDEX(Balanced_2025!$D$9:$D$3032,MATCH($A325&amp;Keys!$C$54&amp;Keys!$C$57&amp;Keys!$C$54&amp;$C325,Balanced_2025!$E$9:$E$3032,0)))</f>
        <v>0</v>
      </c>
      <c r="J325" s="10">
        <f t="shared" si="20"/>
        <v>0</v>
      </c>
      <c r="K325" s="10">
        <f>MAX(Keys!$C$51,$I325-$H325)</f>
        <v>0</v>
      </c>
      <c r="L325" s="10">
        <f t="shared" si="21"/>
        <v>0</v>
      </c>
      <c r="M325" s="11">
        <f>IF($L325&gt;Keys!$C$51,MIN(Keys!$C$52,$K325/$L325),Keys!$C$51)</f>
        <v>0</v>
      </c>
      <c r="N325" s="11">
        <f>IF($E325=Keys!$C$60,Keys!$C$51,IF($E325=Keys!$C$59,$D325,$M325))</f>
        <v>0</v>
      </c>
      <c r="O325">
        <f t="shared" si="22"/>
        <v>0</v>
      </c>
      <c r="P325" s="10">
        <f>IF($E325=Keys!$C$60,Keys!$C$51,INDEX(Raw_BFPIaE!$G$9:$G$3032,MATCH($A325&amp;Keys!$C$54&amp;Keys!$C$55&amp;Keys!$C$54&amp;$B325,Raw_BFPIaE!$H$9:$H$3032,0)))</f>
        <v>0</v>
      </c>
      <c r="Q325" s="10">
        <f>IF($E325=Keys!$C$60,Keys!$C$51,INDEX(Raw_BFPIaE!$G$9:$G$3032,MATCH($A325&amp;Keys!$C$54&amp;Keys!$C$56&amp;Keys!$C$54&amp;$B325,Raw_BFPIaE!$H$9:$H$3032,0)))</f>
        <v>0</v>
      </c>
      <c r="R325" s="10">
        <f>IF($E325=Keys!$C$60,Keys!$C$51,INDEX(Raw_BFPIaE!$G$9:$G$3032,MATCH($A325&amp;Keys!$C$54&amp;Keys!$C$57&amp;Keys!$C$54&amp;$B325,Raw_BFPIaE!$H$9:$H$3032,0)))</f>
        <v>0</v>
      </c>
      <c r="S325" s="11">
        <f>IF(($P325+$Q325-$R325+MAX(Keys!$C$51,$R325-$Q325))&gt;Keys!$C$51,MIN(Keys!$C$52,MAX(Keys!$C$51,$R325-$Q325)/($P325+$Q325-$R325+MAX(Keys!$C$51,$R325-$Q325))),Keys!$C$51)</f>
        <v>0</v>
      </c>
      <c r="T325">
        <f>IF(AND($I325&gt;$H325,ABS($L325-$G325)&gt;MAX(Keys!$C$62,ABS($G325)*Keys!$C$63)),1,0)</f>
        <v>0</v>
      </c>
      <c r="U325">
        <f>IF(OR($N325&lt;Keys!$C$51,$N325&gt;Keys!$C$52),1,0)</f>
        <v>0</v>
      </c>
      <c r="V325">
        <f>IF(AND($E325=Keys!$C$60,$N325&lt;&gt;Keys!$C$51),1,0)</f>
        <v>0</v>
      </c>
      <c r="W325">
        <f>IF($L325&gt;Keys!$C$51,IF($K325/$L325&gt;Keys!$C$52,1,0),0)</f>
        <v>0</v>
      </c>
      <c r="X325" s="11">
        <f t="shared" si="23"/>
        <v>0</v>
      </c>
    </row>
    <row r="326" spans="1:24" x14ac:dyDescent="0.25">
      <c r="A326" t="s">
        <v>105</v>
      </c>
      <c r="B326" t="s">
        <v>82</v>
      </c>
      <c r="C326" t="str">
        <f>VLOOKUP($B326,Keys!$F$2:$I$22,2,FALSE)</f>
        <v>biomass</v>
      </c>
      <c r="D326">
        <f>VLOOKUP($B326,Keys!$F$2:$I$22,3,FALSE)</f>
        <v>0.74947425499999998</v>
      </c>
      <c r="E326" t="str">
        <f>VLOOKUP($B326,Keys!$F$2:$I$22,4,FALSE)</f>
        <v>rule</v>
      </c>
      <c r="F326" t="str">
        <f>$A326&amp;Keys!$C$54&amp;$B326</f>
        <v>LA|biomass</v>
      </c>
      <c r="G326" s="10">
        <f>IF($E326=Keys!$C$60,Keys!$C$51,INDEX(Balanced_2025!$D$9:$D$3032,MATCH($A326&amp;Keys!$C$54&amp;Keys!$C$55&amp;Keys!$C$54&amp;$C326,Balanced_2025!$E$9:$E$3032,0)))</f>
        <v>20518800000000</v>
      </c>
      <c r="H326" s="10">
        <f>IF($E326=Keys!$C$60,Keys!$C$51,INDEX(Balanced_2025!$D$9:$D$3032,MATCH($A326&amp;Keys!$C$54&amp;Keys!$C$56&amp;Keys!$C$54&amp;$C326,Balanced_2025!$E$9:$E$3032,0)))</f>
        <v>107183000000000</v>
      </c>
      <c r="I326" s="10">
        <f>IF($E326=Keys!$C$60,Keys!$C$51,INDEX(Balanced_2025!$D$9:$D$3032,MATCH($A326&amp;Keys!$C$54&amp;Keys!$C$57&amp;Keys!$C$54&amp;$C326,Balanced_2025!$E$9:$E$3032,0)))</f>
        <v>0</v>
      </c>
      <c r="J326" s="10">
        <f t="shared" si="20"/>
        <v>127701800000000</v>
      </c>
      <c r="K326" s="10">
        <f>MAX(Keys!$C$51,$I326-$H326)</f>
        <v>0</v>
      </c>
      <c r="L326" s="10">
        <f t="shared" si="21"/>
        <v>127701800000000</v>
      </c>
      <c r="M326" s="11">
        <f>IF($L326&gt;Keys!$C$51,MIN(Keys!$C$52,$K326/$L326),Keys!$C$51)</f>
        <v>0</v>
      </c>
      <c r="N326" s="11">
        <f>IF($E326=Keys!$C$60,Keys!$C$51,IF($E326=Keys!$C$59,$D326,$M326))</f>
        <v>0</v>
      </c>
      <c r="O326">
        <f t="shared" si="22"/>
        <v>1</v>
      </c>
      <c r="P326" s="10">
        <f>IF($E326=Keys!$C$60,Keys!$C$51,INDEX(Raw_BFPIaE!$G$9:$G$3032,MATCH($A326&amp;Keys!$C$54&amp;Keys!$C$55&amp;Keys!$C$54&amp;$B326,Raw_BFPIaE!$H$9:$H$3032,0)))</f>
        <v>20518800000000</v>
      </c>
      <c r="Q326" s="10">
        <f>IF($E326=Keys!$C$60,Keys!$C$51,INDEX(Raw_BFPIaE!$G$9:$G$3032,MATCH($A326&amp;Keys!$C$54&amp;Keys!$C$56&amp;Keys!$C$54&amp;$B326,Raw_BFPIaE!$H$9:$H$3032,0)))</f>
        <v>74017666666666.672</v>
      </c>
      <c r="R326" s="10">
        <f>IF($E326=Keys!$C$60,Keys!$C$51,INDEX(Raw_BFPIaE!$G$9:$G$3032,MATCH($A326&amp;Keys!$C$54&amp;Keys!$C$57&amp;Keys!$C$54&amp;$B326,Raw_BFPIaE!$H$9:$H$3032,0)))</f>
        <v>0</v>
      </c>
      <c r="S326" s="11">
        <f>IF(($P326+$Q326-$R326+MAX(Keys!$C$51,$R326-$Q326))&gt;Keys!$C$51,MIN(Keys!$C$52,MAX(Keys!$C$51,$R326-$Q326)/($P326+$Q326-$R326+MAX(Keys!$C$51,$R326-$Q326))),Keys!$C$51)</f>
        <v>0</v>
      </c>
      <c r="T326">
        <f>IF(AND($I326&gt;$H326,ABS($L326-$G326)&gt;MAX(Keys!$C$62,ABS($G326)*Keys!$C$63)),1,0)</f>
        <v>0</v>
      </c>
      <c r="U326">
        <f>IF(OR($N326&lt;Keys!$C$51,$N326&gt;Keys!$C$52),1,0)</f>
        <v>0</v>
      </c>
      <c r="V326">
        <f>IF(AND($E326=Keys!$C$60,$N326&lt;&gt;Keys!$C$51),1,0)</f>
        <v>0</v>
      </c>
      <c r="W326">
        <f>IF($L326&gt;Keys!$C$51,IF($K326/$L326&gt;Keys!$C$52,1,0),0)</f>
        <v>0</v>
      </c>
      <c r="X326" s="11">
        <f t="shared" si="23"/>
        <v>0</v>
      </c>
    </row>
    <row r="327" spans="1:24" x14ac:dyDescent="0.25">
      <c r="A327" t="s">
        <v>105</v>
      </c>
      <c r="B327" t="s">
        <v>85</v>
      </c>
      <c r="C327" t="str">
        <f>VLOOKUP($B327,Keys!$F$2:$I$22,2,FALSE)</f>
        <v>petroleum gasoline</v>
      </c>
      <c r="D327">
        <f>VLOOKUP($B327,Keys!$F$2:$I$22,3,FALSE)</f>
        <v>7.5004052000000002E-2</v>
      </c>
      <c r="E327" t="str">
        <f>VLOOKUP($B327,Keys!$F$2:$I$22,4,FALSE)</f>
        <v>rule</v>
      </c>
      <c r="F327" t="str">
        <f>$A327&amp;Keys!$C$54&amp;$B327</f>
        <v>LA|petroleum gasoline</v>
      </c>
      <c r="G327" s="10">
        <f>IF($E327=Keys!$C$60,Keys!$C$51,INDEX(Balanced_2025!$D$9:$D$3032,MATCH($A327&amp;Keys!$C$54&amp;Keys!$C$55&amp;Keys!$C$54&amp;$C327,Balanced_2025!$E$9:$E$3032,0)))</f>
        <v>2894660000000000</v>
      </c>
      <c r="H327" s="10">
        <f>IF($E327=Keys!$C$60,Keys!$C$51,INDEX(Balanced_2025!$D$9:$D$3032,MATCH($A327&amp;Keys!$C$54&amp;Keys!$C$56&amp;Keys!$C$54&amp;$C327,Balanced_2025!$E$9:$E$3032,0)))</f>
        <v>13516900000000</v>
      </c>
      <c r="I327" s="10">
        <f>IF($E327=Keys!$C$60,Keys!$C$51,INDEX(Balanced_2025!$D$9:$D$3032,MATCH($A327&amp;Keys!$C$54&amp;Keys!$C$57&amp;Keys!$C$54&amp;$C327,Balanced_2025!$E$9:$E$3032,0)))</f>
        <v>2673790000000000</v>
      </c>
      <c r="J327" s="10">
        <f t="shared" si="20"/>
        <v>234386900000000</v>
      </c>
      <c r="K327" s="10">
        <f>MAX(Keys!$C$51,$I327-$H327)</f>
        <v>2660273100000000</v>
      </c>
      <c r="L327" s="10">
        <f t="shared" si="21"/>
        <v>2894660000000000</v>
      </c>
      <c r="M327" s="11">
        <f>IF($L327&gt;Keys!$C$51,MIN(Keys!$C$52,$K327/$L327),Keys!$C$51)</f>
        <v>0.91902783055695658</v>
      </c>
      <c r="N327" s="11">
        <f>IF($E327=Keys!$C$60,Keys!$C$51,IF($E327=Keys!$C$59,$D327,$M327))</f>
        <v>0.91902783055695658</v>
      </c>
      <c r="O327">
        <f t="shared" si="22"/>
        <v>1</v>
      </c>
      <c r="P327" s="10">
        <f>IF($E327=Keys!$C$60,Keys!$C$51,INDEX(Raw_BFPIaE!$G$9:$G$3032,MATCH($A327&amp;Keys!$C$54&amp;Keys!$C$55&amp;Keys!$C$54&amp;$B327,Raw_BFPIaE!$H$9:$H$3032,0)))</f>
        <v>2871273333333333.5</v>
      </c>
      <c r="Q327" s="10">
        <f>IF($E327=Keys!$C$60,Keys!$C$51,INDEX(Raw_BFPIaE!$G$9:$G$3032,MATCH($A327&amp;Keys!$C$54&amp;Keys!$C$56&amp;Keys!$C$54&amp;$B327,Raw_BFPIaE!$H$9:$H$3032,0)))</f>
        <v>0</v>
      </c>
      <c r="R327" s="10">
        <f>IF($E327=Keys!$C$60,Keys!$C$51,INDEX(Raw_BFPIaE!$G$9:$G$3032,MATCH($A327&amp;Keys!$C$54&amp;Keys!$C$57&amp;Keys!$C$54&amp;$B327,Raw_BFPIaE!$H$9:$H$3032,0)))</f>
        <v>1817347000000000</v>
      </c>
      <c r="S327" s="11">
        <f>IF(($P327+$Q327-$R327+MAX(Keys!$C$51,$R327-$Q327))&gt;Keys!$C$51,MIN(Keys!$C$52,MAX(Keys!$C$51,$R327-$Q327)/($P327+$Q327-$R327+MAX(Keys!$C$51,$R327-$Q327))),Keys!$C$51)</f>
        <v>0.6329411341309662</v>
      </c>
      <c r="T327">
        <f>IF(AND($I327&gt;$H327,ABS($L327-$G327)&gt;MAX(Keys!$C$62,ABS($G327)*Keys!$C$63)),1,0)</f>
        <v>0</v>
      </c>
      <c r="U327">
        <f>IF(OR($N327&lt;Keys!$C$51,$N327&gt;Keys!$C$52),1,0)</f>
        <v>0</v>
      </c>
      <c r="V327">
        <f>IF(AND($E327=Keys!$C$60,$N327&lt;&gt;Keys!$C$51),1,0)</f>
        <v>0</v>
      </c>
      <c r="W327">
        <f>IF($L327&gt;Keys!$C$51,IF($K327/$L327&gt;Keys!$C$52,1,0),0)</f>
        <v>0</v>
      </c>
      <c r="X327" s="11">
        <f t="shared" si="23"/>
        <v>0.28608669642599038</v>
      </c>
    </row>
    <row r="328" spans="1:24" x14ac:dyDescent="0.25">
      <c r="A328" t="s">
        <v>105</v>
      </c>
      <c r="B328" t="s">
        <v>88</v>
      </c>
      <c r="C328" t="str">
        <f>VLOOKUP($B328,Keys!$F$2:$I$22,2,FALSE)</f>
        <v>petroleum diesel</v>
      </c>
      <c r="D328">
        <f>VLOOKUP($B328,Keys!$F$2:$I$22,3,FALSE)</f>
        <v>0.26691051799999999</v>
      </c>
      <c r="E328" t="str">
        <f>VLOOKUP($B328,Keys!$F$2:$I$22,4,FALSE)</f>
        <v>rule</v>
      </c>
      <c r="F328" t="str">
        <f>$A328&amp;Keys!$C$54&amp;$B328</f>
        <v>LA|petroleum diesel</v>
      </c>
      <c r="G328" s="10">
        <f>IF($E328=Keys!$C$60,Keys!$C$51,INDEX(Balanced_2025!$D$9:$D$3032,MATCH($A328&amp;Keys!$C$54&amp;Keys!$C$55&amp;Keys!$C$54&amp;$C328,Balanced_2025!$E$9:$E$3032,0)))</f>
        <v>1712240000000000</v>
      </c>
      <c r="H328" s="10">
        <f>IF($E328=Keys!$C$60,Keys!$C$51,INDEX(Balanced_2025!$D$9:$D$3032,MATCH($A328&amp;Keys!$C$54&amp;Keys!$C$56&amp;Keys!$C$54&amp;$C328,Balanced_2025!$E$9:$E$3032,0)))</f>
        <v>4095400000000</v>
      </c>
      <c r="I328" s="10">
        <f>IF($E328=Keys!$C$60,Keys!$C$51,INDEX(Balanced_2025!$D$9:$D$3032,MATCH($A328&amp;Keys!$C$54&amp;Keys!$C$57&amp;Keys!$C$54&amp;$C328,Balanced_2025!$E$9:$E$3032,0)))</f>
        <v>1504930000000000</v>
      </c>
      <c r="J328" s="10">
        <f t="shared" si="20"/>
        <v>211405400000000</v>
      </c>
      <c r="K328" s="10">
        <f>MAX(Keys!$C$51,$I328-$H328)</f>
        <v>1500834600000000</v>
      </c>
      <c r="L328" s="10">
        <f t="shared" si="21"/>
        <v>1712240000000000</v>
      </c>
      <c r="M328" s="11">
        <f>IF($L328&gt;Keys!$C$51,MIN(Keys!$C$52,$K328/$L328),Keys!$C$51)</f>
        <v>0.8765328458627295</v>
      </c>
      <c r="N328" s="11">
        <f>IF($E328=Keys!$C$60,Keys!$C$51,IF($E328=Keys!$C$59,$D328,$M328))</f>
        <v>0.8765328458627295</v>
      </c>
      <c r="O328">
        <f t="shared" si="22"/>
        <v>1</v>
      </c>
      <c r="P328" s="10">
        <f>IF($E328=Keys!$C$60,Keys!$C$51,INDEX(Raw_BFPIaE!$G$9:$G$3032,MATCH($A328&amp;Keys!$C$54&amp;Keys!$C$55&amp;Keys!$C$54&amp;$B328,Raw_BFPIaE!$H$9:$H$3032,0)))</f>
        <v>1698403333333333.3</v>
      </c>
      <c r="Q328" s="10">
        <f>IF($E328=Keys!$C$60,Keys!$C$51,INDEX(Raw_BFPIaE!$G$9:$G$3032,MATCH($A328&amp;Keys!$C$54&amp;Keys!$C$56&amp;Keys!$C$54&amp;$B328,Raw_BFPIaE!$H$9:$H$3032,0)))</f>
        <v>0</v>
      </c>
      <c r="R328" s="10">
        <f>IF($E328=Keys!$C$60,Keys!$C$51,INDEX(Raw_BFPIaE!$G$9:$G$3032,MATCH($A328&amp;Keys!$C$54&amp;Keys!$C$57&amp;Keys!$C$54&amp;$B328,Raw_BFPIaE!$H$9:$H$3032,0)))</f>
        <v>1237189666666666.8</v>
      </c>
      <c r="S328" s="11">
        <f>IF(($P328+$Q328-$R328+MAX(Keys!$C$51,$R328-$Q328))&gt;Keys!$C$51,MIN(Keys!$C$52,MAX(Keys!$C$51,$R328-$Q328)/($P328+$Q328-$R328+MAX(Keys!$C$51,$R328-$Q328))),Keys!$C$51)</f>
        <v>0.72844279234810738</v>
      </c>
      <c r="T328">
        <f>IF(AND($I328&gt;$H328,ABS($L328-$G328)&gt;MAX(Keys!$C$62,ABS($G328)*Keys!$C$63)),1,0)</f>
        <v>0</v>
      </c>
      <c r="U328">
        <f>IF(OR($N328&lt;Keys!$C$51,$N328&gt;Keys!$C$52),1,0)</f>
        <v>0</v>
      </c>
      <c r="V328">
        <f>IF(AND($E328=Keys!$C$60,$N328&lt;&gt;Keys!$C$51),1,0)</f>
        <v>0</v>
      </c>
      <c r="W328">
        <f>IF($L328&gt;Keys!$C$51,IF($K328/$L328&gt;Keys!$C$52,1,0),0)</f>
        <v>0</v>
      </c>
      <c r="X328" s="11">
        <f t="shared" si="23"/>
        <v>0.14809005351462212</v>
      </c>
    </row>
    <row r="329" spans="1:24" x14ac:dyDescent="0.25">
      <c r="A329" t="s">
        <v>105</v>
      </c>
      <c r="B329" t="s">
        <v>91</v>
      </c>
      <c r="C329" t="str">
        <f>VLOOKUP($B329,Keys!$F$2:$I$22,2,FALSE)</f>
        <v>biofuel gasoline</v>
      </c>
      <c r="D329">
        <f>VLOOKUP($B329,Keys!$F$2:$I$22,3,FALSE)</f>
        <v>8.7213884000000005E-2</v>
      </c>
      <c r="E329" t="str">
        <f>VLOOKUP($B329,Keys!$F$2:$I$22,4,FALSE)</f>
        <v>rule</v>
      </c>
      <c r="F329" t="str">
        <f>$A329&amp;Keys!$C$54&amp;$B329</f>
        <v>LA|biofuel gasoline</v>
      </c>
      <c r="G329" s="10">
        <f>IF($E329=Keys!$C$60,Keys!$C$51,INDEX(Balanced_2025!$D$9:$D$3032,MATCH($A329&amp;Keys!$C$54&amp;Keys!$C$55&amp;Keys!$C$54&amp;$C329,Balanced_2025!$E$9:$E$3032,0)))</f>
        <v>0</v>
      </c>
      <c r="H329" s="10">
        <f>IF($E329=Keys!$C$60,Keys!$C$51,INDEX(Balanced_2025!$D$9:$D$3032,MATCH($A329&amp;Keys!$C$54&amp;Keys!$C$56&amp;Keys!$C$54&amp;$C329,Balanced_2025!$E$9:$E$3032,0)))</f>
        <v>16553700000000</v>
      </c>
      <c r="I329" s="10">
        <f>IF($E329=Keys!$C$60,Keys!$C$51,INDEX(Balanced_2025!$D$9:$D$3032,MATCH($A329&amp;Keys!$C$54&amp;Keys!$C$57&amp;Keys!$C$54&amp;$C329,Balanced_2025!$E$9:$E$3032,0)))</f>
        <v>0</v>
      </c>
      <c r="J329" s="10">
        <f t="shared" si="20"/>
        <v>16553700000000</v>
      </c>
      <c r="K329" s="10">
        <f>MAX(Keys!$C$51,$I329-$H329)</f>
        <v>0</v>
      </c>
      <c r="L329" s="10">
        <f t="shared" si="21"/>
        <v>16553700000000</v>
      </c>
      <c r="M329" s="11">
        <f>IF($L329&gt;Keys!$C$51,MIN(Keys!$C$52,$K329/$L329),Keys!$C$51)</f>
        <v>0</v>
      </c>
      <c r="N329" s="11">
        <f>IF($E329=Keys!$C$60,Keys!$C$51,IF($E329=Keys!$C$59,$D329,$M329))</f>
        <v>0</v>
      </c>
      <c r="O329">
        <f t="shared" si="22"/>
        <v>1</v>
      </c>
      <c r="P329" s="10">
        <f>IF($E329=Keys!$C$60,Keys!$C$51,INDEX(Raw_BFPIaE!$G$9:$G$3032,MATCH($A329&amp;Keys!$C$54&amp;Keys!$C$55&amp;Keys!$C$54&amp;$B329,Raw_BFPIaE!$H$9:$H$3032,0)))</f>
        <v>0</v>
      </c>
      <c r="Q329" s="10">
        <f>IF($E329=Keys!$C$60,Keys!$C$51,INDEX(Raw_BFPIaE!$G$9:$G$3032,MATCH($A329&amp;Keys!$C$54&amp;Keys!$C$56&amp;Keys!$C$54&amp;$B329,Raw_BFPIaE!$H$9:$H$3032,0)))</f>
        <v>10337166666666.666</v>
      </c>
      <c r="R329" s="10">
        <f>IF($E329=Keys!$C$60,Keys!$C$51,INDEX(Raw_BFPIaE!$G$9:$G$3032,MATCH($A329&amp;Keys!$C$54&amp;Keys!$C$57&amp;Keys!$C$54&amp;$B329,Raw_BFPIaE!$H$9:$H$3032,0)))</f>
        <v>0</v>
      </c>
      <c r="S329" s="11">
        <f>IF(($P329+$Q329-$R329+MAX(Keys!$C$51,$R329-$Q329))&gt;Keys!$C$51,MIN(Keys!$C$52,MAX(Keys!$C$51,$R329-$Q329)/($P329+$Q329-$R329+MAX(Keys!$C$51,$R329-$Q329))),Keys!$C$51)</f>
        <v>0</v>
      </c>
      <c r="T329">
        <f>IF(AND($I329&gt;$H329,ABS($L329-$G329)&gt;MAX(Keys!$C$62,ABS($G329)*Keys!$C$63)),1,0)</f>
        <v>0</v>
      </c>
      <c r="U329">
        <f>IF(OR($N329&lt;Keys!$C$51,$N329&gt;Keys!$C$52),1,0)</f>
        <v>0</v>
      </c>
      <c r="V329">
        <f>IF(AND($E329=Keys!$C$60,$N329&lt;&gt;Keys!$C$51),1,0)</f>
        <v>0</v>
      </c>
      <c r="W329">
        <f>IF($L329&gt;Keys!$C$51,IF($K329/$L329&gt;Keys!$C$52,1,0),0)</f>
        <v>0</v>
      </c>
      <c r="X329" s="11">
        <f t="shared" si="23"/>
        <v>0</v>
      </c>
    </row>
    <row r="330" spans="1:24" x14ac:dyDescent="0.25">
      <c r="A330" t="s">
        <v>105</v>
      </c>
      <c r="B330" t="s">
        <v>94</v>
      </c>
      <c r="C330" t="str">
        <f>VLOOKUP($B330,Keys!$F$2:$I$22,2,FALSE)</f>
        <v>biofuel diesel</v>
      </c>
      <c r="D330">
        <f>VLOOKUP($B330,Keys!$F$2:$I$22,3,FALSE)</f>
        <v>5.8642381E-2</v>
      </c>
      <c r="E330" t="str">
        <f>VLOOKUP($B330,Keys!$F$2:$I$22,4,FALSE)</f>
        <v>rule</v>
      </c>
      <c r="F330" t="str">
        <f>$A330&amp;Keys!$C$54&amp;$B330</f>
        <v>LA|biofuel diesel</v>
      </c>
      <c r="G330" s="10">
        <f>IF($E330=Keys!$C$60,Keys!$C$51,INDEX(Balanced_2025!$D$9:$D$3032,MATCH($A330&amp;Keys!$C$54&amp;Keys!$C$55&amp;Keys!$C$54&amp;$C330,Balanced_2025!$E$9:$E$3032,0)))</f>
        <v>0</v>
      </c>
      <c r="H330" s="10">
        <f>IF($E330=Keys!$C$60,Keys!$C$51,INDEX(Balanced_2025!$D$9:$D$3032,MATCH($A330&amp;Keys!$C$54&amp;Keys!$C$56&amp;Keys!$C$54&amp;$C330,Balanced_2025!$E$9:$E$3032,0)))</f>
        <v>3298320000000</v>
      </c>
      <c r="I330" s="10">
        <f>IF($E330=Keys!$C$60,Keys!$C$51,INDEX(Balanced_2025!$D$9:$D$3032,MATCH($A330&amp;Keys!$C$54&amp;Keys!$C$57&amp;Keys!$C$54&amp;$C330,Balanced_2025!$E$9:$E$3032,0)))</f>
        <v>0</v>
      </c>
      <c r="J330" s="10">
        <f t="shared" si="20"/>
        <v>3298320000000</v>
      </c>
      <c r="K330" s="10">
        <f>MAX(Keys!$C$51,$I330-$H330)</f>
        <v>0</v>
      </c>
      <c r="L330" s="10">
        <f t="shared" si="21"/>
        <v>3298320000000</v>
      </c>
      <c r="M330" s="11">
        <f>IF($L330&gt;Keys!$C$51,MIN(Keys!$C$52,$K330/$L330),Keys!$C$51)</f>
        <v>0</v>
      </c>
      <c r="N330" s="11">
        <f>IF($E330=Keys!$C$60,Keys!$C$51,IF($E330=Keys!$C$59,$D330,$M330))</f>
        <v>0</v>
      </c>
      <c r="O330">
        <f t="shared" si="22"/>
        <v>1</v>
      </c>
      <c r="P330" s="10">
        <f>IF($E330=Keys!$C$60,Keys!$C$51,INDEX(Raw_BFPIaE!$G$9:$G$3032,MATCH($A330&amp;Keys!$C$54&amp;Keys!$C$55&amp;Keys!$C$54&amp;$B330,Raw_BFPIaE!$H$9:$H$3032,0)))</f>
        <v>0</v>
      </c>
      <c r="Q330" s="10">
        <f>IF($E330=Keys!$C$60,Keys!$C$51,INDEX(Raw_BFPIaE!$G$9:$G$3032,MATCH($A330&amp;Keys!$C$54&amp;Keys!$C$56&amp;Keys!$C$54&amp;$B330,Raw_BFPIaE!$H$9:$H$3032,0)))</f>
        <v>2127453333333.3333</v>
      </c>
      <c r="R330" s="10">
        <f>IF($E330=Keys!$C$60,Keys!$C$51,INDEX(Raw_BFPIaE!$G$9:$G$3032,MATCH($A330&amp;Keys!$C$54&amp;Keys!$C$57&amp;Keys!$C$54&amp;$B330,Raw_BFPIaE!$H$9:$H$3032,0)))</f>
        <v>0</v>
      </c>
      <c r="S330" s="11">
        <f>IF(($P330+$Q330-$R330+MAX(Keys!$C$51,$R330-$Q330))&gt;Keys!$C$51,MIN(Keys!$C$52,MAX(Keys!$C$51,$R330-$Q330)/($P330+$Q330-$R330+MAX(Keys!$C$51,$R330-$Q330))),Keys!$C$51)</f>
        <v>0</v>
      </c>
      <c r="T330">
        <f>IF(AND($I330&gt;$H330,ABS($L330-$G330)&gt;MAX(Keys!$C$62,ABS($G330)*Keys!$C$63)),1,0)</f>
        <v>0</v>
      </c>
      <c r="U330">
        <f>IF(OR($N330&lt;Keys!$C$51,$N330&gt;Keys!$C$52),1,0)</f>
        <v>0</v>
      </c>
      <c r="V330">
        <f>IF(AND($E330=Keys!$C$60,$N330&lt;&gt;Keys!$C$51),1,0)</f>
        <v>0</v>
      </c>
      <c r="W330">
        <f>IF($L330&gt;Keys!$C$51,IF($K330/$L330&gt;Keys!$C$52,1,0),0)</f>
        <v>0</v>
      </c>
      <c r="X330" s="11">
        <f t="shared" si="23"/>
        <v>0</v>
      </c>
    </row>
    <row r="331" spans="1:24" x14ac:dyDescent="0.25">
      <c r="A331" t="s">
        <v>105</v>
      </c>
      <c r="B331" t="s">
        <v>97</v>
      </c>
      <c r="C331" t="str">
        <f>VLOOKUP($B331,Keys!$F$2:$I$22,2,FALSE)</f>
        <v>jet fuel or kerosene</v>
      </c>
      <c r="D331">
        <f>VLOOKUP($B331,Keys!$F$2:$I$22,3,FALSE)</f>
        <v>0.10155994</v>
      </c>
      <c r="E331" t="str">
        <f>VLOOKUP($B331,Keys!$F$2:$I$22,4,FALSE)</f>
        <v>rule</v>
      </c>
      <c r="F331" t="str">
        <f>$A331&amp;Keys!$C$54&amp;$B331</f>
        <v>LA|jet fuel or kerosene</v>
      </c>
      <c r="G331" s="10">
        <f>IF($E331=Keys!$C$60,Keys!$C$51,INDEX(Balanced_2025!$D$9:$D$3032,MATCH($A331&amp;Keys!$C$54&amp;Keys!$C$55&amp;Keys!$C$54&amp;$C331,Balanced_2025!$E$9:$E$3032,0)))</f>
        <v>609521000000000</v>
      </c>
      <c r="H331" s="10">
        <f>IF($E331=Keys!$C$60,Keys!$C$51,INDEX(Balanced_2025!$D$9:$D$3032,MATCH($A331&amp;Keys!$C$54&amp;Keys!$C$56&amp;Keys!$C$54&amp;$C331,Balanced_2025!$E$9:$E$3032,0)))</f>
        <v>0</v>
      </c>
      <c r="I331" s="10">
        <f>IF($E331=Keys!$C$60,Keys!$C$51,INDEX(Balanced_2025!$D$9:$D$3032,MATCH($A331&amp;Keys!$C$54&amp;Keys!$C$57&amp;Keys!$C$54&amp;$C331,Balanced_2025!$E$9:$E$3032,0)))</f>
        <v>588316000000000</v>
      </c>
      <c r="J331" s="10">
        <f t="shared" si="20"/>
        <v>21205000000000</v>
      </c>
      <c r="K331" s="10">
        <f>MAX(Keys!$C$51,$I331-$H331)</f>
        <v>588316000000000</v>
      </c>
      <c r="L331" s="10">
        <f t="shared" si="21"/>
        <v>609521000000000</v>
      </c>
      <c r="M331" s="11">
        <f>IF($L331&gt;Keys!$C$51,MIN(Keys!$C$52,$K331/$L331),Keys!$C$51)</f>
        <v>0.96521038651662538</v>
      </c>
      <c r="N331" s="11">
        <f>IF($E331=Keys!$C$60,Keys!$C$51,IF($E331=Keys!$C$59,$D331,$M331))</f>
        <v>0.96521038651662538</v>
      </c>
      <c r="O331">
        <f t="shared" si="22"/>
        <v>1</v>
      </c>
      <c r="P331" s="10">
        <f>IF($E331=Keys!$C$60,Keys!$C$51,INDEX(Raw_BFPIaE!$G$9:$G$3032,MATCH($A331&amp;Keys!$C$54&amp;Keys!$C$55&amp;Keys!$C$54&amp;$B331,Raw_BFPIaE!$H$9:$H$3032,0)))</f>
        <v>604596333333333.38</v>
      </c>
      <c r="Q331" s="10">
        <f>IF($E331=Keys!$C$60,Keys!$C$51,INDEX(Raw_BFPIaE!$G$9:$G$3032,MATCH($A331&amp;Keys!$C$54&amp;Keys!$C$56&amp;Keys!$C$54&amp;$B331,Raw_BFPIaE!$H$9:$H$3032,0)))</f>
        <v>0</v>
      </c>
      <c r="R331" s="10">
        <f>IF($E331=Keys!$C$60,Keys!$C$51,INDEX(Raw_BFPIaE!$G$9:$G$3032,MATCH($A331&amp;Keys!$C$54&amp;Keys!$C$57&amp;Keys!$C$54&amp;$B331,Raw_BFPIaE!$H$9:$H$3032,0)))</f>
        <v>426503666666666.69</v>
      </c>
      <c r="S331" s="11">
        <f>IF(($P331+$Q331-$R331+MAX(Keys!$C$51,$R331-$Q331))&gt;Keys!$C$51,MIN(Keys!$C$52,MAX(Keys!$C$51,$R331-$Q331)/($P331+$Q331-$R331+MAX(Keys!$C$51,$R331-$Q331))),Keys!$C$51)</f>
        <v>0.70543541723982228</v>
      </c>
      <c r="T331">
        <f>IF(AND($I331&gt;$H331,ABS($L331-$G331)&gt;MAX(Keys!$C$62,ABS($G331)*Keys!$C$63)),1,0)</f>
        <v>0</v>
      </c>
      <c r="U331">
        <f>IF(OR($N331&lt;Keys!$C$51,$N331&gt;Keys!$C$52),1,0)</f>
        <v>0</v>
      </c>
      <c r="V331">
        <f>IF(AND($E331=Keys!$C$60,$N331&lt;&gt;Keys!$C$51),1,0)</f>
        <v>0</v>
      </c>
      <c r="W331">
        <f>IF($L331&gt;Keys!$C$51,IF($K331/$L331&gt;Keys!$C$52,1,0),0)</f>
        <v>0</v>
      </c>
      <c r="X331" s="11">
        <f t="shared" si="23"/>
        <v>0.2597749692768031</v>
      </c>
    </row>
    <row r="332" spans="1:24" x14ac:dyDescent="0.25">
      <c r="A332" t="s">
        <v>105</v>
      </c>
      <c r="B332" t="s">
        <v>100</v>
      </c>
      <c r="C332">
        <f>VLOOKUP($B332,Keys!$F$2:$I$22,2,FALSE)</f>
        <v>0</v>
      </c>
      <c r="D332">
        <f>VLOOKUP($B332,Keys!$F$2:$I$22,3,FALSE)</f>
        <v>0</v>
      </c>
      <c r="E332" t="str">
        <f>VLOOKUP($B332,Keys!$F$2:$I$22,4,FALSE)</f>
        <v>zero</v>
      </c>
      <c r="F332" t="str">
        <f>$A332&amp;Keys!$C$54&amp;$B332</f>
        <v>LA|heat (not used in this variable)</v>
      </c>
      <c r="G332" s="10">
        <f>IF($E332=Keys!$C$60,Keys!$C$51,INDEX(Balanced_2025!$D$9:$D$3032,MATCH($A332&amp;Keys!$C$54&amp;Keys!$C$55&amp;Keys!$C$54&amp;$C332,Balanced_2025!$E$9:$E$3032,0)))</f>
        <v>0</v>
      </c>
      <c r="H332" s="10">
        <f>IF($E332=Keys!$C$60,Keys!$C$51,INDEX(Balanced_2025!$D$9:$D$3032,MATCH($A332&amp;Keys!$C$54&amp;Keys!$C$56&amp;Keys!$C$54&amp;$C332,Balanced_2025!$E$9:$E$3032,0)))</f>
        <v>0</v>
      </c>
      <c r="I332" s="10">
        <f>IF($E332=Keys!$C$60,Keys!$C$51,INDEX(Balanced_2025!$D$9:$D$3032,MATCH($A332&amp;Keys!$C$54&amp;Keys!$C$57&amp;Keys!$C$54&amp;$C332,Balanced_2025!$E$9:$E$3032,0)))</f>
        <v>0</v>
      </c>
      <c r="J332" s="10">
        <f t="shared" si="20"/>
        <v>0</v>
      </c>
      <c r="K332" s="10">
        <f>MAX(Keys!$C$51,$I332-$H332)</f>
        <v>0</v>
      </c>
      <c r="L332" s="10">
        <f t="shared" si="21"/>
        <v>0</v>
      </c>
      <c r="M332" s="11">
        <f>IF($L332&gt;Keys!$C$51,MIN(Keys!$C$52,$K332/$L332),Keys!$C$51)</f>
        <v>0</v>
      </c>
      <c r="N332" s="11">
        <f>IF($E332=Keys!$C$60,Keys!$C$51,IF($E332=Keys!$C$59,$D332,$M332))</f>
        <v>0</v>
      </c>
      <c r="O332">
        <f t="shared" si="22"/>
        <v>0</v>
      </c>
      <c r="P332" s="10">
        <f>IF($E332=Keys!$C$60,Keys!$C$51,INDEX(Raw_BFPIaE!$G$9:$G$3032,MATCH($A332&amp;Keys!$C$54&amp;Keys!$C$55&amp;Keys!$C$54&amp;$B332,Raw_BFPIaE!$H$9:$H$3032,0)))</f>
        <v>0</v>
      </c>
      <c r="Q332" s="10">
        <f>IF($E332=Keys!$C$60,Keys!$C$51,INDEX(Raw_BFPIaE!$G$9:$G$3032,MATCH($A332&amp;Keys!$C$54&amp;Keys!$C$56&amp;Keys!$C$54&amp;$B332,Raw_BFPIaE!$H$9:$H$3032,0)))</f>
        <v>0</v>
      </c>
      <c r="R332" s="10">
        <f>IF($E332=Keys!$C$60,Keys!$C$51,INDEX(Raw_BFPIaE!$G$9:$G$3032,MATCH($A332&amp;Keys!$C$54&amp;Keys!$C$57&amp;Keys!$C$54&amp;$B332,Raw_BFPIaE!$H$9:$H$3032,0)))</f>
        <v>0</v>
      </c>
      <c r="S332" s="11">
        <f>IF(($P332+$Q332-$R332+MAX(Keys!$C$51,$R332-$Q332))&gt;Keys!$C$51,MIN(Keys!$C$52,MAX(Keys!$C$51,$R332-$Q332)/($P332+$Q332-$R332+MAX(Keys!$C$51,$R332-$Q332))),Keys!$C$51)</f>
        <v>0</v>
      </c>
      <c r="T332">
        <f>IF(AND($I332&gt;$H332,ABS($L332-$G332)&gt;MAX(Keys!$C$62,ABS($G332)*Keys!$C$63)),1,0)</f>
        <v>0</v>
      </c>
      <c r="U332">
        <f>IF(OR($N332&lt;Keys!$C$51,$N332&gt;Keys!$C$52),1,0)</f>
        <v>0</v>
      </c>
      <c r="V332">
        <f>IF(AND($E332=Keys!$C$60,$N332&lt;&gt;Keys!$C$51),1,0)</f>
        <v>0</v>
      </c>
      <c r="W332">
        <f>IF($L332&gt;Keys!$C$51,IF($K332/$L332&gt;Keys!$C$52,1,0),0)</f>
        <v>0</v>
      </c>
      <c r="X332" s="11">
        <f t="shared" si="23"/>
        <v>0</v>
      </c>
    </row>
    <row r="333" spans="1:24" x14ac:dyDescent="0.25">
      <c r="A333" t="s">
        <v>105</v>
      </c>
      <c r="B333" t="s">
        <v>103</v>
      </c>
      <c r="C333">
        <f>VLOOKUP($B333,Keys!$F$2:$I$22,2,FALSE)</f>
        <v>0</v>
      </c>
      <c r="D333">
        <f>VLOOKUP($B333,Keys!$F$2:$I$22,3,FALSE)</f>
        <v>0</v>
      </c>
      <c r="E333" t="str">
        <f>VLOOKUP($B333,Keys!$F$2:$I$22,4,FALSE)</f>
        <v>zero</v>
      </c>
      <c r="F333" t="str">
        <f>$A333&amp;Keys!$C$54&amp;$B333</f>
        <v>LA|geothermal (is not a fuel)</v>
      </c>
      <c r="G333" s="10">
        <f>IF($E333=Keys!$C$60,Keys!$C$51,INDEX(Balanced_2025!$D$9:$D$3032,MATCH($A333&amp;Keys!$C$54&amp;Keys!$C$55&amp;Keys!$C$54&amp;$C333,Balanced_2025!$E$9:$E$3032,0)))</f>
        <v>0</v>
      </c>
      <c r="H333" s="10">
        <f>IF($E333=Keys!$C$60,Keys!$C$51,INDEX(Balanced_2025!$D$9:$D$3032,MATCH($A333&amp;Keys!$C$54&amp;Keys!$C$56&amp;Keys!$C$54&amp;$C333,Balanced_2025!$E$9:$E$3032,0)))</f>
        <v>0</v>
      </c>
      <c r="I333" s="10">
        <f>IF($E333=Keys!$C$60,Keys!$C$51,INDEX(Balanced_2025!$D$9:$D$3032,MATCH($A333&amp;Keys!$C$54&amp;Keys!$C$57&amp;Keys!$C$54&amp;$C333,Balanced_2025!$E$9:$E$3032,0)))</f>
        <v>0</v>
      </c>
      <c r="J333" s="10">
        <f t="shared" si="20"/>
        <v>0</v>
      </c>
      <c r="K333" s="10">
        <f>MAX(Keys!$C$51,$I333-$H333)</f>
        <v>0</v>
      </c>
      <c r="L333" s="10">
        <f t="shared" si="21"/>
        <v>0</v>
      </c>
      <c r="M333" s="11">
        <f>IF($L333&gt;Keys!$C$51,MIN(Keys!$C$52,$K333/$L333),Keys!$C$51)</f>
        <v>0</v>
      </c>
      <c r="N333" s="11">
        <f>IF($E333=Keys!$C$60,Keys!$C$51,IF($E333=Keys!$C$59,$D333,$M333))</f>
        <v>0</v>
      </c>
      <c r="O333">
        <f t="shared" si="22"/>
        <v>0</v>
      </c>
      <c r="P333" s="10">
        <f>IF($E333=Keys!$C$60,Keys!$C$51,INDEX(Raw_BFPIaE!$G$9:$G$3032,MATCH($A333&amp;Keys!$C$54&amp;Keys!$C$55&amp;Keys!$C$54&amp;$B333,Raw_BFPIaE!$H$9:$H$3032,0)))</f>
        <v>0</v>
      </c>
      <c r="Q333" s="10">
        <f>IF($E333=Keys!$C$60,Keys!$C$51,INDEX(Raw_BFPIaE!$G$9:$G$3032,MATCH($A333&amp;Keys!$C$54&amp;Keys!$C$56&amp;Keys!$C$54&amp;$B333,Raw_BFPIaE!$H$9:$H$3032,0)))</f>
        <v>0</v>
      </c>
      <c r="R333" s="10">
        <f>IF($E333=Keys!$C$60,Keys!$C$51,INDEX(Raw_BFPIaE!$G$9:$G$3032,MATCH($A333&amp;Keys!$C$54&amp;Keys!$C$57&amp;Keys!$C$54&amp;$B333,Raw_BFPIaE!$H$9:$H$3032,0)))</f>
        <v>0</v>
      </c>
      <c r="S333" s="11">
        <f>IF(($P333+$Q333-$R333+MAX(Keys!$C$51,$R333-$Q333))&gt;Keys!$C$51,MIN(Keys!$C$52,MAX(Keys!$C$51,$R333-$Q333)/($P333+$Q333-$R333+MAX(Keys!$C$51,$R333-$Q333))),Keys!$C$51)</f>
        <v>0</v>
      </c>
      <c r="T333">
        <f>IF(AND($I333&gt;$H333,ABS($L333-$G333)&gt;MAX(Keys!$C$62,ABS($G333)*Keys!$C$63)),1,0)</f>
        <v>0</v>
      </c>
      <c r="U333">
        <f>IF(OR($N333&lt;Keys!$C$51,$N333&gt;Keys!$C$52),1,0)</f>
        <v>0</v>
      </c>
      <c r="V333">
        <f>IF(AND($E333=Keys!$C$60,$N333&lt;&gt;Keys!$C$51),1,0)</f>
        <v>0</v>
      </c>
      <c r="W333">
        <f>IF($L333&gt;Keys!$C$51,IF($K333/$L333&gt;Keys!$C$52,1,0),0)</f>
        <v>0</v>
      </c>
      <c r="X333" s="11">
        <f t="shared" si="23"/>
        <v>0</v>
      </c>
    </row>
    <row r="334" spans="1:24" x14ac:dyDescent="0.25">
      <c r="A334" t="s">
        <v>105</v>
      </c>
      <c r="B334" t="s">
        <v>106</v>
      </c>
      <c r="C334" t="str">
        <f>VLOOKUP($B334,Keys!$F$2:$I$22,2,FALSE)</f>
        <v>lignite</v>
      </c>
      <c r="D334">
        <f>VLOOKUP($B334,Keys!$F$2:$I$22,3,FALSE)</f>
        <v>0</v>
      </c>
      <c r="E334" t="str">
        <f>VLOOKUP($B334,Keys!$F$2:$I$22,4,FALSE)</f>
        <v>rule</v>
      </c>
      <c r="F334" t="str">
        <f>$A334&amp;Keys!$C$54&amp;$B334</f>
        <v>LA|lignite</v>
      </c>
      <c r="G334" s="10">
        <f>IF($E334=Keys!$C$60,Keys!$C$51,INDEX(Balanced_2025!$D$9:$D$3032,MATCH($A334&amp;Keys!$C$54&amp;Keys!$C$55&amp;Keys!$C$54&amp;$C334,Balanced_2025!$E$9:$E$3032,0)))</f>
        <v>3701240000000</v>
      </c>
      <c r="H334" s="10">
        <f>IF($E334=Keys!$C$60,Keys!$C$51,INDEX(Balanced_2025!$D$9:$D$3032,MATCH($A334&amp;Keys!$C$54&amp;Keys!$C$56&amp;Keys!$C$54&amp;$C334,Balanced_2025!$E$9:$E$3032,0)))</f>
        <v>0</v>
      </c>
      <c r="I334" s="10">
        <f>IF($E334=Keys!$C$60,Keys!$C$51,INDEX(Balanced_2025!$D$9:$D$3032,MATCH($A334&amp;Keys!$C$54&amp;Keys!$C$57&amp;Keys!$C$54&amp;$C334,Balanced_2025!$E$9:$E$3032,0)))</f>
        <v>3701240000000</v>
      </c>
      <c r="J334" s="10">
        <f t="shared" si="20"/>
        <v>0</v>
      </c>
      <c r="K334" s="10">
        <f>MAX(Keys!$C$51,$I334-$H334)</f>
        <v>3701240000000</v>
      </c>
      <c r="L334" s="10">
        <f t="shared" si="21"/>
        <v>3701240000000</v>
      </c>
      <c r="M334" s="11">
        <f>IF($L334&gt;Keys!$C$51,MIN(Keys!$C$52,$K334/$L334),Keys!$C$51)</f>
        <v>1</v>
      </c>
      <c r="N334" s="11">
        <f>IF($E334=Keys!$C$60,Keys!$C$51,IF($E334=Keys!$C$59,$D334,$M334))</f>
        <v>1</v>
      </c>
      <c r="O334">
        <f t="shared" si="22"/>
        <v>1</v>
      </c>
      <c r="P334" s="10">
        <f>IF($E334=Keys!$C$60,Keys!$C$51,INDEX(Raw_BFPIaE!$G$9:$G$3032,MATCH($A334&amp;Keys!$C$54&amp;Keys!$C$55&amp;Keys!$C$54&amp;$B334,Raw_BFPIaE!$H$9:$H$3032,0)))</f>
        <v>3694603333333.3335</v>
      </c>
      <c r="Q334" s="10">
        <f>IF($E334=Keys!$C$60,Keys!$C$51,INDEX(Raw_BFPIaE!$G$9:$G$3032,MATCH($A334&amp;Keys!$C$54&amp;Keys!$C$56&amp;Keys!$C$54&amp;$B334,Raw_BFPIaE!$H$9:$H$3032,0)))</f>
        <v>0</v>
      </c>
      <c r="R334" s="10">
        <f>IF($E334=Keys!$C$60,Keys!$C$51,INDEX(Raw_BFPIaE!$G$9:$G$3032,MATCH($A334&amp;Keys!$C$54&amp;Keys!$C$57&amp;Keys!$C$54&amp;$B334,Raw_BFPIaE!$H$9:$H$3032,0)))</f>
        <v>2460856666666.6665</v>
      </c>
      <c r="S334" s="11">
        <f>IF(($P334+$Q334-$R334+MAX(Keys!$C$51,$R334-$Q334))&gt;Keys!$C$51,MIN(Keys!$C$52,MAX(Keys!$C$51,$R334-$Q334)/($P334+$Q334-$R334+MAX(Keys!$C$51,$R334-$Q334))),Keys!$C$51)</f>
        <v>0.66606789542585076</v>
      </c>
      <c r="T334">
        <f>IF(AND($I334&gt;$H334,ABS($L334-$G334)&gt;MAX(Keys!$C$62,ABS($G334)*Keys!$C$63)),1,0)</f>
        <v>0</v>
      </c>
      <c r="U334">
        <f>IF(OR($N334&lt;Keys!$C$51,$N334&gt;Keys!$C$52),1,0)</f>
        <v>0</v>
      </c>
      <c r="V334">
        <f>IF(AND($E334=Keys!$C$60,$N334&lt;&gt;Keys!$C$51),1,0)</f>
        <v>0</v>
      </c>
      <c r="W334">
        <f>IF($L334&gt;Keys!$C$51,IF($K334/$L334&gt;Keys!$C$52,1,0),0)</f>
        <v>0</v>
      </c>
      <c r="X334" s="11">
        <f t="shared" si="23"/>
        <v>0.33393210457414924</v>
      </c>
    </row>
    <row r="335" spans="1:24" x14ac:dyDescent="0.25">
      <c r="A335" t="s">
        <v>105</v>
      </c>
      <c r="B335" t="s">
        <v>109</v>
      </c>
      <c r="C335" t="str">
        <f>VLOOKUP($B335,Keys!$F$2:$I$22,2,FALSE)</f>
        <v>crude oil</v>
      </c>
      <c r="D335">
        <f>VLOOKUP($B335,Keys!$F$2:$I$22,3,FALSE)</f>
        <v>1</v>
      </c>
      <c r="E335" t="str">
        <f>VLOOKUP($B335,Keys!$F$2:$I$22,4,FALSE)</f>
        <v>hold</v>
      </c>
      <c r="F335" t="str">
        <f>$A335&amp;Keys!$C$54&amp;$B335</f>
        <v>LA|crude oil</v>
      </c>
      <c r="G335" s="10">
        <f>IF($E335=Keys!$C$60,Keys!$C$51,INDEX(Balanced_2025!$D$9:$D$3032,MATCH($A335&amp;Keys!$C$54&amp;Keys!$C$55&amp;Keys!$C$54&amp;$C335,Balanced_2025!$E$9:$E$3032,0)))</f>
        <v>176082000000000</v>
      </c>
      <c r="H335" s="10">
        <f>IF($E335=Keys!$C$60,Keys!$C$51,INDEX(Balanced_2025!$D$9:$D$3032,MATCH($A335&amp;Keys!$C$54&amp;Keys!$C$56&amp;Keys!$C$54&amp;$C335,Balanced_2025!$E$9:$E$3032,0)))</f>
        <v>6496270000000000</v>
      </c>
      <c r="I335" s="10">
        <f>IF($E335=Keys!$C$60,Keys!$C$51,INDEX(Balanced_2025!$D$9:$D$3032,MATCH($A335&amp;Keys!$C$54&amp;Keys!$C$57&amp;Keys!$C$54&amp;$C335,Balanced_2025!$E$9:$E$3032,0)))</f>
        <v>785728000000000</v>
      </c>
      <c r="J335" s="10">
        <f t="shared" si="20"/>
        <v>5886624000000000</v>
      </c>
      <c r="K335" s="10">
        <f>MAX(Keys!$C$51,$I335-$H335)</f>
        <v>0</v>
      </c>
      <c r="L335" s="10">
        <f t="shared" si="21"/>
        <v>5886624000000000</v>
      </c>
      <c r="M335" s="11">
        <f>IF($L335&gt;Keys!$C$51,MIN(Keys!$C$52,$K335/$L335),Keys!$C$51)</f>
        <v>0</v>
      </c>
      <c r="N335" s="11">
        <f>IF($E335=Keys!$C$60,Keys!$C$51,IF($E335=Keys!$C$59,$D335,$M335))</f>
        <v>1</v>
      </c>
      <c r="O335">
        <f t="shared" si="22"/>
        <v>0</v>
      </c>
      <c r="P335" s="10">
        <f>IF($E335=Keys!$C$60,Keys!$C$51,INDEX(Raw_BFPIaE!$G$9:$G$3032,MATCH($A335&amp;Keys!$C$54&amp;Keys!$C$55&amp;Keys!$C$54&amp;$B335,Raw_BFPIaE!$H$9:$H$3032,0)))</f>
        <v>172654000000000</v>
      </c>
      <c r="Q335" s="10">
        <f>IF($E335=Keys!$C$60,Keys!$C$51,INDEX(Raw_BFPIaE!$G$9:$G$3032,MATCH($A335&amp;Keys!$C$54&amp;Keys!$C$56&amp;Keys!$C$54&amp;$B335,Raw_BFPIaE!$H$9:$H$3032,0)))</f>
        <v>4318976666666666.5</v>
      </c>
      <c r="R335" s="10">
        <f>IF($E335=Keys!$C$60,Keys!$C$51,INDEX(Raw_BFPIaE!$G$9:$G$3032,MATCH($A335&amp;Keys!$C$54&amp;Keys!$C$57&amp;Keys!$C$54&amp;$B335,Raw_BFPIaE!$H$9:$H$3032,0)))</f>
        <v>770430333333333.38</v>
      </c>
      <c r="S335" s="11">
        <f>IF(($P335+$Q335-$R335+MAX(Keys!$C$51,$R335-$Q335))&gt;Keys!$C$51,MIN(Keys!$C$52,MAX(Keys!$C$51,$R335-$Q335)/($P335+$Q335-$R335+MAX(Keys!$C$51,$R335-$Q335))),Keys!$C$51)</f>
        <v>0</v>
      </c>
      <c r="T335">
        <f>IF(AND($I335&gt;$H335,ABS($L335-$G335)&gt;MAX(Keys!$C$62,ABS($G335)*Keys!$C$63)),1,0)</f>
        <v>0</v>
      </c>
      <c r="U335">
        <f>IF(OR($N335&lt;Keys!$C$51,$N335&gt;Keys!$C$52),1,0)</f>
        <v>0</v>
      </c>
      <c r="V335">
        <f>IF(AND($E335=Keys!$C$60,$N335&lt;&gt;Keys!$C$51),1,0)</f>
        <v>0</v>
      </c>
      <c r="W335">
        <f>IF($L335&gt;Keys!$C$51,IF($K335/$L335&gt;Keys!$C$52,1,0),0)</f>
        <v>0</v>
      </c>
      <c r="X335" s="11">
        <f t="shared" si="23"/>
        <v>0</v>
      </c>
    </row>
    <row r="336" spans="1:24" x14ac:dyDescent="0.25">
      <c r="A336" t="s">
        <v>105</v>
      </c>
      <c r="B336" t="s">
        <v>113</v>
      </c>
      <c r="C336" t="str">
        <f>VLOOKUP($B336,Keys!$F$2:$I$22,2,FALSE)</f>
        <v>heavy or residual fuel oil</v>
      </c>
      <c r="D336">
        <f>VLOOKUP($B336,Keys!$F$2:$I$22,3,FALSE)</f>
        <v>0.49914171099999999</v>
      </c>
      <c r="E336" t="str">
        <f>VLOOKUP($B336,Keys!$F$2:$I$22,4,FALSE)</f>
        <v>rule</v>
      </c>
      <c r="F336" t="str">
        <f>$A336&amp;Keys!$C$54&amp;$B336</f>
        <v>LA|heavy fuel oil</v>
      </c>
      <c r="G336" s="10">
        <f>IF($E336=Keys!$C$60,Keys!$C$51,INDEX(Balanced_2025!$D$9:$D$3032,MATCH($A336&amp;Keys!$C$54&amp;Keys!$C$55&amp;Keys!$C$54&amp;$C336,Balanced_2025!$E$9:$E$3032,0)))</f>
        <v>118402000000000</v>
      </c>
      <c r="H336" s="10">
        <f>IF($E336=Keys!$C$60,Keys!$C$51,INDEX(Balanced_2025!$D$9:$D$3032,MATCH($A336&amp;Keys!$C$54&amp;Keys!$C$56&amp;Keys!$C$54&amp;$C336,Balanced_2025!$E$9:$E$3032,0)))</f>
        <v>22248000000000</v>
      </c>
      <c r="I336" s="10">
        <f>IF($E336=Keys!$C$60,Keys!$C$51,INDEX(Balanced_2025!$D$9:$D$3032,MATCH($A336&amp;Keys!$C$54&amp;Keys!$C$57&amp;Keys!$C$54&amp;$C336,Balanced_2025!$E$9:$E$3032,0)))</f>
        <v>85101000000000</v>
      </c>
      <c r="J336" s="10">
        <f t="shared" si="20"/>
        <v>55549000000000</v>
      </c>
      <c r="K336" s="10">
        <f>MAX(Keys!$C$51,$I336-$H336)</f>
        <v>62853000000000</v>
      </c>
      <c r="L336" s="10">
        <f t="shared" si="21"/>
        <v>118402000000000</v>
      </c>
      <c r="M336" s="11">
        <f>IF($L336&gt;Keys!$C$51,MIN(Keys!$C$52,$K336/$L336),Keys!$C$51)</f>
        <v>0.5308440735798382</v>
      </c>
      <c r="N336" s="11">
        <f>IF($E336=Keys!$C$60,Keys!$C$51,IF($E336=Keys!$C$59,$D336,$M336))</f>
        <v>0.5308440735798382</v>
      </c>
      <c r="O336">
        <f t="shared" si="22"/>
        <v>1</v>
      </c>
      <c r="P336" s="10">
        <f>IF($E336=Keys!$C$60,Keys!$C$51,INDEX(Raw_BFPIaE!$G$9:$G$3032,MATCH($A336&amp;Keys!$C$54&amp;Keys!$C$55&amp;Keys!$C$54&amp;$B336,Raw_BFPIaE!$H$9:$H$3032,0)))</f>
        <v>117445333333333.33</v>
      </c>
      <c r="Q336" s="10">
        <f>IF($E336=Keys!$C$60,Keys!$C$51,INDEX(Raw_BFPIaE!$G$9:$G$3032,MATCH($A336&amp;Keys!$C$54&amp;Keys!$C$56&amp;Keys!$C$54&amp;$B336,Raw_BFPIaE!$H$9:$H$3032,0)))</f>
        <v>16013566666666.666</v>
      </c>
      <c r="R336" s="10">
        <f>IF($E336=Keys!$C$60,Keys!$C$51,INDEX(Raw_BFPIaE!$G$9:$G$3032,MATCH($A336&amp;Keys!$C$54&amp;Keys!$C$57&amp;Keys!$C$54&amp;$B336,Raw_BFPIaE!$H$9:$H$3032,0)))</f>
        <v>84413433333333.328</v>
      </c>
      <c r="S336" s="11">
        <f>IF(($P336+$Q336-$R336+MAX(Keys!$C$51,$R336-$Q336))&gt;Keys!$C$51,MIN(Keys!$C$52,MAX(Keys!$C$51,$R336-$Q336)/($P336+$Q336-$R336+MAX(Keys!$C$51,$R336-$Q336))),Keys!$C$51)</f>
        <v>0.58239748421960846</v>
      </c>
      <c r="T336">
        <f>IF(AND($I336&gt;$H336,ABS($L336-$G336)&gt;MAX(Keys!$C$62,ABS($G336)*Keys!$C$63)),1,0)</f>
        <v>0</v>
      </c>
      <c r="U336">
        <f>IF(OR($N336&lt;Keys!$C$51,$N336&gt;Keys!$C$52),1,0)</f>
        <v>0</v>
      </c>
      <c r="V336">
        <f>IF(AND($E336=Keys!$C$60,$N336&lt;&gt;Keys!$C$51),1,0)</f>
        <v>0</v>
      </c>
      <c r="W336">
        <f>IF($L336&gt;Keys!$C$51,IF($K336/$L336&gt;Keys!$C$52,1,0),0)</f>
        <v>0</v>
      </c>
      <c r="X336" s="11">
        <f t="shared" si="23"/>
        <v>5.1553410639770259E-2</v>
      </c>
    </row>
    <row r="337" spans="1:24" x14ac:dyDescent="0.25">
      <c r="A337" t="s">
        <v>105</v>
      </c>
      <c r="B337" t="s">
        <v>117</v>
      </c>
      <c r="C337" t="str">
        <f>VLOOKUP($B337,Keys!$F$2:$I$22,2,FALSE)</f>
        <v>LPG propane or butane</v>
      </c>
      <c r="D337">
        <f>VLOOKUP($B337,Keys!$F$2:$I$22,3,FALSE)</f>
        <v>0.54955999499999997</v>
      </c>
      <c r="E337" t="str">
        <f>VLOOKUP($B337,Keys!$F$2:$I$22,4,FALSE)</f>
        <v>rule</v>
      </c>
      <c r="F337" t="str">
        <f>$A337&amp;Keys!$C$54&amp;$B337</f>
        <v>LA|LPG propane or butane</v>
      </c>
      <c r="G337" s="10">
        <f>IF($E337=Keys!$C$60,Keys!$C$51,INDEX(Balanced_2025!$D$9:$D$3032,MATCH($A337&amp;Keys!$C$54&amp;Keys!$C$55&amp;Keys!$C$54&amp;$C337,Balanced_2025!$E$9:$E$3032,0)))</f>
        <v>456137000000000</v>
      </c>
      <c r="H337" s="10">
        <f>IF($E337=Keys!$C$60,Keys!$C$51,INDEX(Balanced_2025!$D$9:$D$3032,MATCH($A337&amp;Keys!$C$54&amp;Keys!$C$56&amp;Keys!$C$54&amp;$C337,Balanced_2025!$E$9:$E$3032,0)))</f>
        <v>335865000000000</v>
      </c>
      <c r="I337" s="10">
        <f>IF($E337=Keys!$C$60,Keys!$C$51,INDEX(Balanced_2025!$D$9:$D$3032,MATCH($A337&amp;Keys!$C$54&amp;Keys!$C$57&amp;Keys!$C$54&amp;$C337,Balanced_2025!$E$9:$E$3032,0)))</f>
        <v>0</v>
      </c>
      <c r="J337" s="10">
        <f t="shared" si="20"/>
        <v>792002000000000</v>
      </c>
      <c r="K337" s="10">
        <f>MAX(Keys!$C$51,$I337-$H337)</f>
        <v>0</v>
      </c>
      <c r="L337" s="10">
        <f t="shared" si="21"/>
        <v>792002000000000</v>
      </c>
      <c r="M337" s="11">
        <f>IF($L337&gt;Keys!$C$51,MIN(Keys!$C$52,$K337/$L337),Keys!$C$51)</f>
        <v>0</v>
      </c>
      <c r="N337" s="11">
        <f>IF($E337=Keys!$C$60,Keys!$C$51,IF($E337=Keys!$C$59,$D337,$M337))</f>
        <v>0</v>
      </c>
      <c r="O337">
        <f t="shared" si="22"/>
        <v>1</v>
      </c>
      <c r="P337" s="10">
        <f>IF($E337=Keys!$C$60,Keys!$C$51,INDEX(Raw_BFPIaE!$G$9:$G$3032,MATCH($A337&amp;Keys!$C$54&amp;Keys!$C$55&amp;Keys!$C$54&amp;$B337,Raw_BFPIaE!$H$9:$H$3032,0)))</f>
        <v>459365666666666.69</v>
      </c>
      <c r="Q337" s="10">
        <f>IF($E337=Keys!$C$60,Keys!$C$51,INDEX(Raw_BFPIaE!$G$9:$G$3032,MATCH($A337&amp;Keys!$C$54&amp;Keys!$C$56&amp;Keys!$C$54&amp;$B337,Raw_BFPIaE!$H$9:$H$3032,0)))</f>
        <v>220649666666666.66</v>
      </c>
      <c r="R337" s="10">
        <f>IF($E337=Keys!$C$60,Keys!$C$51,INDEX(Raw_BFPIaE!$G$9:$G$3032,MATCH($A337&amp;Keys!$C$54&amp;Keys!$C$57&amp;Keys!$C$54&amp;$B337,Raw_BFPIaE!$H$9:$H$3032,0)))</f>
        <v>0</v>
      </c>
      <c r="S337" s="11">
        <f>IF(($P337+$Q337-$R337+MAX(Keys!$C$51,$R337-$Q337))&gt;Keys!$C$51,MIN(Keys!$C$52,MAX(Keys!$C$51,$R337-$Q337)/($P337+$Q337-$R337+MAX(Keys!$C$51,$R337-$Q337))),Keys!$C$51)</f>
        <v>0</v>
      </c>
      <c r="T337">
        <f>IF(AND($I337&gt;$H337,ABS($L337-$G337)&gt;MAX(Keys!$C$62,ABS($G337)*Keys!$C$63)),1,0)</f>
        <v>0</v>
      </c>
      <c r="U337">
        <f>IF(OR($N337&lt;Keys!$C$51,$N337&gt;Keys!$C$52),1,0)</f>
        <v>0</v>
      </c>
      <c r="V337">
        <f>IF(AND($E337=Keys!$C$60,$N337&lt;&gt;Keys!$C$51),1,0)</f>
        <v>0</v>
      </c>
      <c r="W337">
        <f>IF($L337&gt;Keys!$C$51,IF($K337/$L337&gt;Keys!$C$52,1,0),0)</f>
        <v>0</v>
      </c>
      <c r="X337" s="11">
        <f t="shared" si="23"/>
        <v>0</v>
      </c>
    </row>
    <row r="338" spans="1:24" x14ac:dyDescent="0.25">
      <c r="A338" t="s">
        <v>105</v>
      </c>
      <c r="B338" t="s">
        <v>120</v>
      </c>
      <c r="C338">
        <f>VLOOKUP($B338,Keys!$F$2:$I$22,2,FALSE)</f>
        <v>0</v>
      </c>
      <c r="D338">
        <f>VLOOKUP($B338,Keys!$F$2:$I$22,3,FALSE)</f>
        <v>0</v>
      </c>
      <c r="E338" t="str">
        <f>VLOOKUP($B338,Keys!$F$2:$I$22,4,FALSE)</f>
        <v>zero</v>
      </c>
      <c r="F338" t="str">
        <f>$A338&amp;Keys!$C$54&amp;$B338</f>
        <v>LA|municipal solid waste</v>
      </c>
      <c r="G338" s="10">
        <f>IF($E338=Keys!$C$60,Keys!$C$51,INDEX(Balanced_2025!$D$9:$D$3032,MATCH($A338&amp;Keys!$C$54&amp;Keys!$C$55&amp;Keys!$C$54&amp;$C338,Balanced_2025!$E$9:$E$3032,0)))</f>
        <v>0</v>
      </c>
      <c r="H338" s="10">
        <f>IF($E338=Keys!$C$60,Keys!$C$51,INDEX(Balanced_2025!$D$9:$D$3032,MATCH($A338&amp;Keys!$C$54&amp;Keys!$C$56&amp;Keys!$C$54&amp;$C338,Balanced_2025!$E$9:$E$3032,0)))</f>
        <v>0</v>
      </c>
      <c r="I338" s="10">
        <f>IF($E338=Keys!$C$60,Keys!$C$51,INDEX(Balanced_2025!$D$9:$D$3032,MATCH($A338&amp;Keys!$C$54&amp;Keys!$C$57&amp;Keys!$C$54&amp;$C338,Balanced_2025!$E$9:$E$3032,0)))</f>
        <v>0</v>
      </c>
      <c r="J338" s="10">
        <f t="shared" si="20"/>
        <v>0</v>
      </c>
      <c r="K338" s="10">
        <f>MAX(Keys!$C$51,$I338-$H338)</f>
        <v>0</v>
      </c>
      <c r="L338" s="10">
        <f t="shared" si="21"/>
        <v>0</v>
      </c>
      <c r="M338" s="11">
        <f>IF($L338&gt;Keys!$C$51,MIN(Keys!$C$52,$K338/$L338),Keys!$C$51)</f>
        <v>0</v>
      </c>
      <c r="N338" s="11">
        <f>IF($E338=Keys!$C$60,Keys!$C$51,IF($E338=Keys!$C$59,$D338,$M338))</f>
        <v>0</v>
      </c>
      <c r="O338">
        <f t="shared" si="22"/>
        <v>0</v>
      </c>
      <c r="P338" s="10">
        <f>IF($E338=Keys!$C$60,Keys!$C$51,INDEX(Raw_BFPIaE!$G$9:$G$3032,MATCH($A338&amp;Keys!$C$54&amp;Keys!$C$55&amp;Keys!$C$54&amp;$B338,Raw_BFPIaE!$H$9:$H$3032,0)))</f>
        <v>0</v>
      </c>
      <c r="Q338" s="10">
        <f>IF($E338=Keys!$C$60,Keys!$C$51,INDEX(Raw_BFPIaE!$G$9:$G$3032,MATCH($A338&amp;Keys!$C$54&amp;Keys!$C$56&amp;Keys!$C$54&amp;$B338,Raw_BFPIaE!$H$9:$H$3032,0)))</f>
        <v>0</v>
      </c>
      <c r="R338" s="10">
        <f>IF($E338=Keys!$C$60,Keys!$C$51,INDEX(Raw_BFPIaE!$G$9:$G$3032,MATCH($A338&amp;Keys!$C$54&amp;Keys!$C$57&amp;Keys!$C$54&amp;$B338,Raw_BFPIaE!$H$9:$H$3032,0)))</f>
        <v>0</v>
      </c>
      <c r="S338" s="11">
        <f>IF(($P338+$Q338-$R338+MAX(Keys!$C$51,$R338-$Q338))&gt;Keys!$C$51,MIN(Keys!$C$52,MAX(Keys!$C$51,$R338-$Q338)/($P338+$Q338-$R338+MAX(Keys!$C$51,$R338-$Q338))),Keys!$C$51)</f>
        <v>0</v>
      </c>
      <c r="T338">
        <f>IF(AND($I338&gt;$H338,ABS($L338-$G338)&gt;MAX(Keys!$C$62,ABS($G338)*Keys!$C$63)),1,0)</f>
        <v>0</v>
      </c>
      <c r="U338">
        <f>IF(OR($N338&lt;Keys!$C$51,$N338&gt;Keys!$C$52),1,0)</f>
        <v>0</v>
      </c>
      <c r="V338">
        <f>IF(AND($E338=Keys!$C$60,$N338&lt;&gt;Keys!$C$51),1,0)</f>
        <v>0</v>
      </c>
      <c r="W338">
        <f>IF($L338&gt;Keys!$C$51,IF($K338/$L338&gt;Keys!$C$52,1,0),0)</f>
        <v>0</v>
      </c>
      <c r="X338" s="11">
        <f t="shared" si="23"/>
        <v>0</v>
      </c>
    </row>
    <row r="339" spans="1:24" x14ac:dyDescent="0.25">
      <c r="A339" t="s">
        <v>105</v>
      </c>
      <c r="B339" t="s">
        <v>123</v>
      </c>
      <c r="C339">
        <f>VLOOKUP($B339,Keys!$F$2:$I$22,2,FALSE)</f>
        <v>0</v>
      </c>
      <c r="D339">
        <f>VLOOKUP($B339,Keys!$F$2:$I$22,3,FALSE)</f>
        <v>0</v>
      </c>
      <c r="E339" t="str">
        <f>VLOOKUP($B339,Keys!$F$2:$I$22,4,FALSE)</f>
        <v>zero</v>
      </c>
      <c r="F339" t="str">
        <f>$A339&amp;Keys!$C$54&amp;$B339</f>
        <v>LA|hydrogen</v>
      </c>
      <c r="G339" s="10">
        <f>IF($E339=Keys!$C$60,Keys!$C$51,INDEX(Balanced_2025!$D$9:$D$3032,MATCH($A339&amp;Keys!$C$54&amp;Keys!$C$55&amp;Keys!$C$54&amp;$C339,Balanced_2025!$E$9:$E$3032,0)))</f>
        <v>0</v>
      </c>
      <c r="H339" s="10">
        <f>IF($E339=Keys!$C$60,Keys!$C$51,INDEX(Balanced_2025!$D$9:$D$3032,MATCH($A339&amp;Keys!$C$54&amp;Keys!$C$56&amp;Keys!$C$54&amp;$C339,Balanced_2025!$E$9:$E$3032,0)))</f>
        <v>0</v>
      </c>
      <c r="I339" s="10">
        <f>IF($E339=Keys!$C$60,Keys!$C$51,INDEX(Balanced_2025!$D$9:$D$3032,MATCH($A339&amp;Keys!$C$54&amp;Keys!$C$57&amp;Keys!$C$54&amp;$C339,Balanced_2025!$E$9:$E$3032,0)))</f>
        <v>0</v>
      </c>
      <c r="J339" s="10">
        <f t="shared" si="20"/>
        <v>0</v>
      </c>
      <c r="K339" s="10">
        <f>MAX(Keys!$C$51,$I339-$H339)</f>
        <v>0</v>
      </c>
      <c r="L339" s="10">
        <f t="shared" si="21"/>
        <v>0</v>
      </c>
      <c r="M339" s="11">
        <f>IF($L339&gt;Keys!$C$51,MIN(Keys!$C$52,$K339/$L339),Keys!$C$51)</f>
        <v>0</v>
      </c>
      <c r="N339" s="11">
        <f>IF($E339=Keys!$C$60,Keys!$C$51,IF($E339=Keys!$C$59,$D339,$M339))</f>
        <v>0</v>
      </c>
      <c r="O339">
        <f t="shared" si="22"/>
        <v>0</v>
      </c>
      <c r="P339" s="10">
        <f>IF($E339=Keys!$C$60,Keys!$C$51,INDEX(Raw_BFPIaE!$G$9:$G$3032,MATCH($A339&amp;Keys!$C$54&amp;Keys!$C$55&amp;Keys!$C$54&amp;$B339,Raw_BFPIaE!$H$9:$H$3032,0)))</f>
        <v>0</v>
      </c>
      <c r="Q339" s="10">
        <f>IF($E339=Keys!$C$60,Keys!$C$51,INDEX(Raw_BFPIaE!$G$9:$G$3032,MATCH($A339&amp;Keys!$C$54&amp;Keys!$C$56&amp;Keys!$C$54&amp;$B339,Raw_BFPIaE!$H$9:$H$3032,0)))</f>
        <v>0</v>
      </c>
      <c r="R339" s="10">
        <f>IF($E339=Keys!$C$60,Keys!$C$51,INDEX(Raw_BFPIaE!$G$9:$G$3032,MATCH($A339&amp;Keys!$C$54&amp;Keys!$C$57&amp;Keys!$C$54&amp;$B339,Raw_BFPIaE!$H$9:$H$3032,0)))</f>
        <v>0</v>
      </c>
      <c r="S339" s="11">
        <f>IF(($P339+$Q339-$R339+MAX(Keys!$C$51,$R339-$Q339))&gt;Keys!$C$51,MIN(Keys!$C$52,MAX(Keys!$C$51,$R339-$Q339)/($P339+$Q339-$R339+MAX(Keys!$C$51,$R339-$Q339))),Keys!$C$51)</f>
        <v>0</v>
      </c>
      <c r="T339">
        <f>IF(AND($I339&gt;$H339,ABS($L339-$G339)&gt;MAX(Keys!$C$62,ABS($G339)*Keys!$C$63)),1,0)</f>
        <v>0</v>
      </c>
      <c r="U339">
        <f>IF(OR($N339&lt;Keys!$C$51,$N339&gt;Keys!$C$52),1,0)</f>
        <v>0</v>
      </c>
      <c r="V339">
        <f>IF(AND($E339=Keys!$C$60,$N339&lt;&gt;Keys!$C$51),1,0)</f>
        <v>0</v>
      </c>
      <c r="W339">
        <f>IF($L339&gt;Keys!$C$51,IF($K339/$L339&gt;Keys!$C$52,1,0),0)</f>
        <v>0</v>
      </c>
      <c r="X339" s="11">
        <f t="shared" si="23"/>
        <v>0</v>
      </c>
    </row>
    <row r="340" spans="1:24" x14ac:dyDescent="0.25">
      <c r="A340" t="s">
        <v>108</v>
      </c>
      <c r="B340" t="s">
        <v>60</v>
      </c>
      <c r="C340">
        <f>VLOOKUP($B340,Keys!$F$2:$I$22,2,FALSE)</f>
        <v>0</v>
      </c>
      <c r="D340">
        <f>VLOOKUP($B340,Keys!$F$2:$I$22,3,FALSE)</f>
        <v>0</v>
      </c>
      <c r="E340" t="str">
        <f>VLOOKUP($B340,Keys!$F$2:$I$22,4,FALSE)</f>
        <v>zero</v>
      </c>
      <c r="F340" t="str">
        <f>$A340&amp;Keys!$C$54&amp;$B340</f>
        <v>MA|electricity (not used in this variable)</v>
      </c>
      <c r="G340" s="10">
        <f>IF($E340=Keys!$C$60,Keys!$C$51,INDEX(Balanced_2025!$D$9:$D$3032,MATCH($A340&amp;Keys!$C$54&amp;Keys!$C$55&amp;Keys!$C$54&amp;$C340,Balanced_2025!$E$9:$E$3032,0)))</f>
        <v>0</v>
      </c>
      <c r="H340" s="10">
        <f>IF($E340=Keys!$C$60,Keys!$C$51,INDEX(Balanced_2025!$D$9:$D$3032,MATCH($A340&amp;Keys!$C$54&amp;Keys!$C$56&amp;Keys!$C$54&amp;$C340,Balanced_2025!$E$9:$E$3032,0)))</f>
        <v>0</v>
      </c>
      <c r="I340" s="10">
        <f>IF($E340=Keys!$C$60,Keys!$C$51,INDEX(Balanced_2025!$D$9:$D$3032,MATCH($A340&amp;Keys!$C$54&amp;Keys!$C$57&amp;Keys!$C$54&amp;$C340,Balanced_2025!$E$9:$E$3032,0)))</f>
        <v>0</v>
      </c>
      <c r="J340" s="10">
        <f t="shared" si="20"/>
        <v>0</v>
      </c>
      <c r="K340" s="10">
        <f>MAX(Keys!$C$51,$I340-$H340)</f>
        <v>0</v>
      </c>
      <c r="L340" s="10">
        <f t="shared" si="21"/>
        <v>0</v>
      </c>
      <c r="M340" s="11">
        <f>IF($L340&gt;Keys!$C$51,MIN(Keys!$C$52,$K340/$L340),Keys!$C$51)</f>
        <v>0</v>
      </c>
      <c r="N340" s="11">
        <f>IF($E340=Keys!$C$60,Keys!$C$51,IF($E340=Keys!$C$59,$D340,$M340))</f>
        <v>0</v>
      </c>
      <c r="O340">
        <f t="shared" si="22"/>
        <v>0</v>
      </c>
      <c r="P340" s="10">
        <f>IF($E340=Keys!$C$60,Keys!$C$51,INDEX(Raw_BFPIaE!$G$9:$G$3032,MATCH($A340&amp;Keys!$C$54&amp;Keys!$C$55&amp;Keys!$C$54&amp;$B340,Raw_BFPIaE!$H$9:$H$3032,0)))</f>
        <v>0</v>
      </c>
      <c r="Q340" s="10">
        <f>IF($E340=Keys!$C$60,Keys!$C$51,INDEX(Raw_BFPIaE!$G$9:$G$3032,MATCH($A340&amp;Keys!$C$54&amp;Keys!$C$56&amp;Keys!$C$54&amp;$B340,Raw_BFPIaE!$H$9:$H$3032,0)))</f>
        <v>0</v>
      </c>
      <c r="R340" s="10">
        <f>IF($E340=Keys!$C$60,Keys!$C$51,INDEX(Raw_BFPIaE!$G$9:$G$3032,MATCH($A340&amp;Keys!$C$54&amp;Keys!$C$57&amp;Keys!$C$54&amp;$B340,Raw_BFPIaE!$H$9:$H$3032,0)))</f>
        <v>0</v>
      </c>
      <c r="S340" s="11">
        <f>IF(($P340+$Q340-$R340+MAX(Keys!$C$51,$R340-$Q340))&gt;Keys!$C$51,MIN(Keys!$C$52,MAX(Keys!$C$51,$R340-$Q340)/($P340+$Q340-$R340+MAX(Keys!$C$51,$R340-$Q340))),Keys!$C$51)</f>
        <v>0</v>
      </c>
      <c r="T340">
        <f>IF(AND($I340&gt;$H340,ABS($L340-$G340)&gt;MAX(Keys!$C$62,ABS($G340)*Keys!$C$63)),1,0)</f>
        <v>0</v>
      </c>
      <c r="U340">
        <f>IF(OR($N340&lt;Keys!$C$51,$N340&gt;Keys!$C$52),1,0)</f>
        <v>0</v>
      </c>
      <c r="V340">
        <f>IF(AND($E340=Keys!$C$60,$N340&lt;&gt;Keys!$C$51),1,0)</f>
        <v>0</v>
      </c>
      <c r="W340">
        <f>IF($L340&gt;Keys!$C$51,IF($K340/$L340&gt;Keys!$C$52,1,0),0)</f>
        <v>0</v>
      </c>
      <c r="X340" s="11">
        <f t="shared" si="23"/>
        <v>0</v>
      </c>
    </row>
    <row r="341" spans="1:24" x14ac:dyDescent="0.25">
      <c r="A341" t="s">
        <v>108</v>
      </c>
      <c r="B341" t="s">
        <v>64</v>
      </c>
      <c r="C341" t="str">
        <f>VLOOKUP($B341,Keys!$F$2:$I$22,2,FALSE)</f>
        <v>hard coal</v>
      </c>
      <c r="D341">
        <f>VLOOKUP($B341,Keys!$F$2:$I$22,3,FALSE)</f>
        <v>0.137539879</v>
      </c>
      <c r="E341" t="str">
        <f>VLOOKUP($B341,Keys!$F$2:$I$22,4,FALSE)</f>
        <v>rule</v>
      </c>
      <c r="F341" t="str">
        <f>$A341&amp;Keys!$C$54&amp;$B341</f>
        <v>MA|hard coal</v>
      </c>
      <c r="G341" s="10">
        <f>IF($E341=Keys!$C$60,Keys!$C$51,INDEX(Balanced_2025!$D$9:$D$3032,MATCH($A341&amp;Keys!$C$54&amp;Keys!$C$55&amp;Keys!$C$54&amp;$C341,Balanced_2025!$E$9:$E$3032,0)))</f>
        <v>0</v>
      </c>
      <c r="H341" s="10">
        <f>IF($E341=Keys!$C$60,Keys!$C$51,INDEX(Balanced_2025!$D$9:$D$3032,MATCH($A341&amp;Keys!$C$54&amp;Keys!$C$56&amp;Keys!$C$54&amp;$C341,Balanced_2025!$E$9:$E$3032,0)))</f>
        <v>0</v>
      </c>
      <c r="I341" s="10">
        <f>IF($E341=Keys!$C$60,Keys!$C$51,INDEX(Balanced_2025!$D$9:$D$3032,MATCH($A341&amp;Keys!$C$54&amp;Keys!$C$57&amp;Keys!$C$54&amp;$C341,Balanced_2025!$E$9:$E$3032,0)))</f>
        <v>0</v>
      </c>
      <c r="J341" s="10">
        <f t="shared" si="20"/>
        <v>0</v>
      </c>
      <c r="K341" s="10">
        <f>MAX(Keys!$C$51,$I341-$H341)</f>
        <v>0</v>
      </c>
      <c r="L341" s="10">
        <f t="shared" si="21"/>
        <v>0</v>
      </c>
      <c r="M341" s="11">
        <f>IF($L341&gt;Keys!$C$51,MIN(Keys!$C$52,$K341/$L341),Keys!$C$51)</f>
        <v>0</v>
      </c>
      <c r="N341" s="11">
        <f>IF($E341=Keys!$C$60,Keys!$C$51,IF($E341=Keys!$C$59,$D341,$M341))</f>
        <v>0</v>
      </c>
      <c r="O341">
        <f t="shared" si="22"/>
        <v>1</v>
      </c>
      <c r="P341" s="10">
        <f>IF($E341=Keys!$C$60,Keys!$C$51,INDEX(Raw_BFPIaE!$G$9:$G$3032,MATCH($A341&amp;Keys!$C$54&amp;Keys!$C$55&amp;Keys!$C$54&amp;$B341,Raw_BFPIaE!$H$9:$H$3032,0)))</f>
        <v>0</v>
      </c>
      <c r="Q341" s="10">
        <f>IF($E341=Keys!$C$60,Keys!$C$51,INDEX(Raw_BFPIaE!$G$9:$G$3032,MATCH($A341&amp;Keys!$C$54&amp;Keys!$C$56&amp;Keys!$C$54&amp;$B341,Raw_BFPIaE!$H$9:$H$3032,0)))</f>
        <v>0</v>
      </c>
      <c r="R341" s="10">
        <f>IF($E341=Keys!$C$60,Keys!$C$51,INDEX(Raw_BFPIaE!$G$9:$G$3032,MATCH($A341&amp;Keys!$C$54&amp;Keys!$C$57&amp;Keys!$C$54&amp;$B341,Raw_BFPIaE!$H$9:$H$3032,0)))</f>
        <v>0</v>
      </c>
      <c r="S341" s="11">
        <f>IF(($P341+$Q341-$R341+MAX(Keys!$C$51,$R341-$Q341))&gt;Keys!$C$51,MIN(Keys!$C$52,MAX(Keys!$C$51,$R341-$Q341)/($P341+$Q341-$R341+MAX(Keys!$C$51,$R341-$Q341))),Keys!$C$51)</f>
        <v>0</v>
      </c>
      <c r="T341">
        <f>IF(AND($I341&gt;$H341,ABS($L341-$G341)&gt;MAX(Keys!$C$62,ABS($G341)*Keys!$C$63)),1,0)</f>
        <v>0</v>
      </c>
      <c r="U341">
        <f>IF(OR($N341&lt;Keys!$C$51,$N341&gt;Keys!$C$52),1,0)</f>
        <v>0</v>
      </c>
      <c r="V341">
        <f>IF(AND($E341=Keys!$C$60,$N341&lt;&gt;Keys!$C$51),1,0)</f>
        <v>0</v>
      </c>
      <c r="W341">
        <f>IF($L341&gt;Keys!$C$51,IF($K341/$L341&gt;Keys!$C$52,1,0),0)</f>
        <v>0</v>
      </c>
      <c r="X341" s="11">
        <f t="shared" si="23"/>
        <v>0</v>
      </c>
    </row>
    <row r="342" spans="1:24" x14ac:dyDescent="0.25">
      <c r="A342" t="s">
        <v>108</v>
      </c>
      <c r="B342" t="s">
        <v>68</v>
      </c>
      <c r="C342" t="str">
        <f>VLOOKUP($B342,Keys!$F$2:$I$22,2,FALSE)</f>
        <v>natural gas</v>
      </c>
      <c r="D342">
        <f>VLOOKUP($B342,Keys!$F$2:$I$22,3,FALSE)</f>
        <v>0.190839183</v>
      </c>
      <c r="E342" t="str">
        <f>VLOOKUP($B342,Keys!$F$2:$I$22,4,FALSE)</f>
        <v>rule</v>
      </c>
      <c r="F342" t="str">
        <f>$A342&amp;Keys!$C$54&amp;$B342</f>
        <v>MA|natural gas</v>
      </c>
      <c r="G342" s="10">
        <f>IF($E342=Keys!$C$60,Keys!$C$51,INDEX(Balanced_2025!$D$9:$D$3032,MATCH($A342&amp;Keys!$C$54&amp;Keys!$C$55&amp;Keys!$C$54&amp;$C342,Balanced_2025!$E$9:$E$3032,0)))</f>
        <v>0</v>
      </c>
      <c r="H342" s="10">
        <f>IF($E342=Keys!$C$60,Keys!$C$51,INDEX(Balanced_2025!$D$9:$D$3032,MATCH($A342&amp;Keys!$C$54&amp;Keys!$C$56&amp;Keys!$C$54&amp;$C342,Balanced_2025!$E$9:$E$3032,0)))</f>
        <v>472835000000000</v>
      </c>
      <c r="I342" s="10">
        <f>IF($E342=Keys!$C$60,Keys!$C$51,INDEX(Balanced_2025!$D$9:$D$3032,MATCH($A342&amp;Keys!$C$54&amp;Keys!$C$57&amp;Keys!$C$54&amp;$C342,Balanced_2025!$E$9:$E$3032,0)))</f>
        <v>86455700000000</v>
      </c>
      <c r="J342" s="10">
        <f t="shared" si="20"/>
        <v>386379300000000</v>
      </c>
      <c r="K342" s="10">
        <f>MAX(Keys!$C$51,$I342-$H342)</f>
        <v>0</v>
      </c>
      <c r="L342" s="10">
        <f t="shared" si="21"/>
        <v>386379300000000</v>
      </c>
      <c r="M342" s="11">
        <f>IF($L342&gt;Keys!$C$51,MIN(Keys!$C$52,$K342/$L342),Keys!$C$51)</f>
        <v>0</v>
      </c>
      <c r="N342" s="11">
        <f>IF($E342=Keys!$C$60,Keys!$C$51,IF($E342=Keys!$C$59,$D342,$M342))</f>
        <v>0</v>
      </c>
      <c r="O342">
        <f t="shared" si="22"/>
        <v>1</v>
      </c>
      <c r="P342" s="10">
        <f>IF($E342=Keys!$C$60,Keys!$C$51,INDEX(Raw_BFPIaE!$G$9:$G$3032,MATCH($A342&amp;Keys!$C$54&amp;Keys!$C$55&amp;Keys!$C$54&amp;$B342,Raw_BFPIaE!$H$9:$H$3032,0)))</f>
        <v>0</v>
      </c>
      <c r="Q342" s="10">
        <f>IF($E342=Keys!$C$60,Keys!$C$51,INDEX(Raw_BFPIaE!$G$9:$G$3032,MATCH($A342&amp;Keys!$C$54&amp;Keys!$C$56&amp;Keys!$C$54&amp;$B342,Raw_BFPIaE!$H$9:$H$3032,0)))</f>
        <v>479571666666666.69</v>
      </c>
      <c r="R342" s="10">
        <f>IF($E342=Keys!$C$60,Keys!$C$51,INDEX(Raw_BFPIaE!$G$9:$G$3032,MATCH($A342&amp;Keys!$C$54&amp;Keys!$C$57&amp;Keys!$C$54&amp;$B342,Raw_BFPIaE!$H$9:$H$3032,0)))</f>
        <v>86545233333333.328</v>
      </c>
      <c r="S342" s="11">
        <f>IF(($P342+$Q342-$R342+MAX(Keys!$C$51,$R342-$Q342))&gt;Keys!$C$51,MIN(Keys!$C$52,MAX(Keys!$C$51,$R342-$Q342)/($P342+$Q342-$R342+MAX(Keys!$C$51,$R342-$Q342))),Keys!$C$51)</f>
        <v>0</v>
      </c>
      <c r="T342">
        <f>IF(AND($I342&gt;$H342,ABS($L342-$G342)&gt;MAX(Keys!$C$62,ABS($G342)*Keys!$C$63)),1,0)</f>
        <v>0</v>
      </c>
      <c r="U342">
        <f>IF(OR($N342&lt;Keys!$C$51,$N342&gt;Keys!$C$52),1,0)</f>
        <v>0</v>
      </c>
      <c r="V342">
        <f>IF(AND($E342=Keys!$C$60,$N342&lt;&gt;Keys!$C$51),1,0)</f>
        <v>0</v>
      </c>
      <c r="W342">
        <f>IF($L342&gt;Keys!$C$51,IF($K342/$L342&gt;Keys!$C$52,1,0),0)</f>
        <v>0</v>
      </c>
      <c r="X342" s="11">
        <f t="shared" si="23"/>
        <v>0</v>
      </c>
    </row>
    <row r="343" spans="1:24" x14ac:dyDescent="0.25">
      <c r="A343" t="s">
        <v>108</v>
      </c>
      <c r="B343" t="s">
        <v>71</v>
      </c>
      <c r="C343">
        <f>VLOOKUP($B343,Keys!$F$2:$I$22,2,FALSE)</f>
        <v>0</v>
      </c>
      <c r="D343">
        <f>VLOOKUP($B343,Keys!$F$2:$I$22,3,FALSE)</f>
        <v>0</v>
      </c>
      <c r="E343" t="str">
        <f>VLOOKUP($B343,Keys!$F$2:$I$22,4,FALSE)</f>
        <v>zero</v>
      </c>
      <c r="F343" t="str">
        <f>$A343&amp;Keys!$C$54&amp;$B343</f>
        <v>MA|nuclear</v>
      </c>
      <c r="G343" s="10">
        <f>IF($E343=Keys!$C$60,Keys!$C$51,INDEX(Balanced_2025!$D$9:$D$3032,MATCH($A343&amp;Keys!$C$54&amp;Keys!$C$55&amp;Keys!$C$54&amp;$C343,Balanced_2025!$E$9:$E$3032,0)))</f>
        <v>0</v>
      </c>
      <c r="H343" s="10">
        <f>IF($E343=Keys!$C$60,Keys!$C$51,INDEX(Balanced_2025!$D$9:$D$3032,MATCH($A343&amp;Keys!$C$54&amp;Keys!$C$56&amp;Keys!$C$54&amp;$C343,Balanced_2025!$E$9:$E$3032,0)))</f>
        <v>0</v>
      </c>
      <c r="I343" s="10">
        <f>IF($E343=Keys!$C$60,Keys!$C$51,INDEX(Balanced_2025!$D$9:$D$3032,MATCH($A343&amp;Keys!$C$54&amp;Keys!$C$57&amp;Keys!$C$54&amp;$C343,Balanced_2025!$E$9:$E$3032,0)))</f>
        <v>0</v>
      </c>
      <c r="J343" s="10">
        <f t="shared" si="20"/>
        <v>0</v>
      </c>
      <c r="K343" s="10">
        <f>MAX(Keys!$C$51,$I343-$H343)</f>
        <v>0</v>
      </c>
      <c r="L343" s="10">
        <f t="shared" si="21"/>
        <v>0</v>
      </c>
      <c r="M343" s="11">
        <f>IF($L343&gt;Keys!$C$51,MIN(Keys!$C$52,$K343/$L343),Keys!$C$51)</f>
        <v>0</v>
      </c>
      <c r="N343" s="11">
        <f>IF($E343=Keys!$C$60,Keys!$C$51,IF($E343=Keys!$C$59,$D343,$M343))</f>
        <v>0</v>
      </c>
      <c r="O343">
        <f t="shared" si="22"/>
        <v>0</v>
      </c>
      <c r="P343" s="10">
        <f>IF($E343=Keys!$C$60,Keys!$C$51,INDEX(Raw_BFPIaE!$G$9:$G$3032,MATCH($A343&amp;Keys!$C$54&amp;Keys!$C$55&amp;Keys!$C$54&amp;$B343,Raw_BFPIaE!$H$9:$H$3032,0)))</f>
        <v>0</v>
      </c>
      <c r="Q343" s="10">
        <f>IF($E343=Keys!$C$60,Keys!$C$51,INDEX(Raw_BFPIaE!$G$9:$G$3032,MATCH($A343&amp;Keys!$C$54&amp;Keys!$C$56&amp;Keys!$C$54&amp;$B343,Raw_BFPIaE!$H$9:$H$3032,0)))</f>
        <v>0</v>
      </c>
      <c r="R343" s="10">
        <f>IF($E343=Keys!$C$60,Keys!$C$51,INDEX(Raw_BFPIaE!$G$9:$G$3032,MATCH($A343&amp;Keys!$C$54&amp;Keys!$C$57&amp;Keys!$C$54&amp;$B343,Raw_BFPIaE!$H$9:$H$3032,0)))</f>
        <v>0</v>
      </c>
      <c r="S343" s="11">
        <f>IF(($P343+$Q343-$R343+MAX(Keys!$C$51,$R343-$Q343))&gt;Keys!$C$51,MIN(Keys!$C$52,MAX(Keys!$C$51,$R343-$Q343)/($P343+$Q343-$R343+MAX(Keys!$C$51,$R343-$Q343))),Keys!$C$51)</f>
        <v>0</v>
      </c>
      <c r="T343">
        <f>IF(AND($I343&gt;$H343,ABS($L343-$G343)&gt;MAX(Keys!$C$62,ABS($G343)*Keys!$C$63)),1,0)</f>
        <v>0</v>
      </c>
      <c r="U343">
        <f>IF(OR($N343&lt;Keys!$C$51,$N343&gt;Keys!$C$52),1,0)</f>
        <v>0</v>
      </c>
      <c r="V343">
        <f>IF(AND($E343=Keys!$C$60,$N343&lt;&gt;Keys!$C$51),1,0)</f>
        <v>0</v>
      </c>
      <c r="W343">
        <f>IF($L343&gt;Keys!$C$51,IF($K343/$L343&gt;Keys!$C$52,1,0),0)</f>
        <v>0</v>
      </c>
      <c r="X343" s="11">
        <f t="shared" si="23"/>
        <v>0</v>
      </c>
    </row>
    <row r="344" spans="1:24" x14ac:dyDescent="0.25">
      <c r="A344" t="s">
        <v>108</v>
      </c>
      <c r="B344" t="s">
        <v>74</v>
      </c>
      <c r="C344">
        <f>VLOOKUP($B344,Keys!$F$2:$I$22,2,FALSE)</f>
        <v>0</v>
      </c>
      <c r="D344">
        <f>VLOOKUP($B344,Keys!$F$2:$I$22,3,FALSE)</f>
        <v>0</v>
      </c>
      <c r="E344" t="str">
        <f>VLOOKUP($B344,Keys!$F$2:$I$22,4,FALSE)</f>
        <v>zero</v>
      </c>
      <c r="F344" t="str">
        <f>$A344&amp;Keys!$C$54&amp;$B344</f>
        <v>MA|hydro (is not a fuel)</v>
      </c>
      <c r="G344" s="10">
        <f>IF($E344=Keys!$C$60,Keys!$C$51,INDEX(Balanced_2025!$D$9:$D$3032,MATCH($A344&amp;Keys!$C$54&amp;Keys!$C$55&amp;Keys!$C$54&amp;$C344,Balanced_2025!$E$9:$E$3032,0)))</f>
        <v>0</v>
      </c>
      <c r="H344" s="10">
        <f>IF($E344=Keys!$C$60,Keys!$C$51,INDEX(Balanced_2025!$D$9:$D$3032,MATCH($A344&amp;Keys!$C$54&amp;Keys!$C$56&amp;Keys!$C$54&amp;$C344,Balanced_2025!$E$9:$E$3032,0)))</f>
        <v>0</v>
      </c>
      <c r="I344" s="10">
        <f>IF($E344=Keys!$C$60,Keys!$C$51,INDEX(Balanced_2025!$D$9:$D$3032,MATCH($A344&amp;Keys!$C$54&amp;Keys!$C$57&amp;Keys!$C$54&amp;$C344,Balanced_2025!$E$9:$E$3032,0)))</f>
        <v>0</v>
      </c>
      <c r="J344" s="10">
        <f t="shared" si="20"/>
        <v>0</v>
      </c>
      <c r="K344" s="10">
        <f>MAX(Keys!$C$51,$I344-$H344)</f>
        <v>0</v>
      </c>
      <c r="L344" s="10">
        <f t="shared" si="21"/>
        <v>0</v>
      </c>
      <c r="M344" s="11">
        <f>IF($L344&gt;Keys!$C$51,MIN(Keys!$C$52,$K344/$L344),Keys!$C$51)</f>
        <v>0</v>
      </c>
      <c r="N344" s="11">
        <f>IF($E344=Keys!$C$60,Keys!$C$51,IF($E344=Keys!$C$59,$D344,$M344))</f>
        <v>0</v>
      </c>
      <c r="O344">
        <f t="shared" si="22"/>
        <v>0</v>
      </c>
      <c r="P344" s="10">
        <f>IF($E344=Keys!$C$60,Keys!$C$51,INDEX(Raw_BFPIaE!$G$9:$G$3032,MATCH($A344&amp;Keys!$C$54&amp;Keys!$C$55&amp;Keys!$C$54&amp;$B344,Raw_BFPIaE!$H$9:$H$3032,0)))</f>
        <v>0</v>
      </c>
      <c r="Q344" s="10">
        <f>IF($E344=Keys!$C$60,Keys!$C$51,INDEX(Raw_BFPIaE!$G$9:$G$3032,MATCH($A344&amp;Keys!$C$54&amp;Keys!$C$56&amp;Keys!$C$54&amp;$B344,Raw_BFPIaE!$H$9:$H$3032,0)))</f>
        <v>0</v>
      </c>
      <c r="R344" s="10">
        <f>IF($E344=Keys!$C$60,Keys!$C$51,INDEX(Raw_BFPIaE!$G$9:$G$3032,MATCH($A344&amp;Keys!$C$54&amp;Keys!$C$57&amp;Keys!$C$54&amp;$B344,Raw_BFPIaE!$H$9:$H$3032,0)))</f>
        <v>0</v>
      </c>
      <c r="S344" s="11">
        <f>IF(($P344+$Q344-$R344+MAX(Keys!$C$51,$R344-$Q344))&gt;Keys!$C$51,MIN(Keys!$C$52,MAX(Keys!$C$51,$R344-$Q344)/($P344+$Q344-$R344+MAX(Keys!$C$51,$R344-$Q344))),Keys!$C$51)</f>
        <v>0</v>
      </c>
      <c r="T344">
        <f>IF(AND($I344&gt;$H344,ABS($L344-$G344)&gt;MAX(Keys!$C$62,ABS($G344)*Keys!$C$63)),1,0)</f>
        <v>0</v>
      </c>
      <c r="U344">
        <f>IF(OR($N344&lt;Keys!$C$51,$N344&gt;Keys!$C$52),1,0)</f>
        <v>0</v>
      </c>
      <c r="V344">
        <f>IF(AND($E344=Keys!$C$60,$N344&lt;&gt;Keys!$C$51),1,0)</f>
        <v>0</v>
      </c>
      <c r="W344">
        <f>IF($L344&gt;Keys!$C$51,IF($K344/$L344&gt;Keys!$C$52,1,0),0)</f>
        <v>0</v>
      </c>
      <c r="X344" s="11">
        <f t="shared" si="23"/>
        <v>0</v>
      </c>
    </row>
    <row r="345" spans="1:24" x14ac:dyDescent="0.25">
      <c r="A345" t="s">
        <v>108</v>
      </c>
      <c r="B345" t="s">
        <v>77</v>
      </c>
      <c r="C345">
        <f>VLOOKUP($B345,Keys!$F$2:$I$22,2,FALSE)</f>
        <v>0</v>
      </c>
      <c r="D345">
        <f>VLOOKUP($B345,Keys!$F$2:$I$22,3,FALSE)</f>
        <v>0</v>
      </c>
      <c r="E345" t="str">
        <f>VLOOKUP($B345,Keys!$F$2:$I$22,4,FALSE)</f>
        <v>zero</v>
      </c>
      <c r="F345" t="str">
        <f>$A345&amp;Keys!$C$54&amp;$B345</f>
        <v>MA|wind (is not a fuel)</v>
      </c>
      <c r="G345" s="10">
        <f>IF($E345=Keys!$C$60,Keys!$C$51,INDEX(Balanced_2025!$D$9:$D$3032,MATCH($A345&amp;Keys!$C$54&amp;Keys!$C$55&amp;Keys!$C$54&amp;$C345,Balanced_2025!$E$9:$E$3032,0)))</f>
        <v>0</v>
      </c>
      <c r="H345" s="10">
        <f>IF($E345=Keys!$C$60,Keys!$C$51,INDEX(Balanced_2025!$D$9:$D$3032,MATCH($A345&amp;Keys!$C$54&amp;Keys!$C$56&amp;Keys!$C$54&amp;$C345,Balanced_2025!$E$9:$E$3032,0)))</f>
        <v>0</v>
      </c>
      <c r="I345" s="10">
        <f>IF($E345=Keys!$C$60,Keys!$C$51,INDEX(Balanced_2025!$D$9:$D$3032,MATCH($A345&amp;Keys!$C$54&amp;Keys!$C$57&amp;Keys!$C$54&amp;$C345,Balanced_2025!$E$9:$E$3032,0)))</f>
        <v>0</v>
      </c>
      <c r="J345" s="10">
        <f t="shared" si="20"/>
        <v>0</v>
      </c>
      <c r="K345" s="10">
        <f>MAX(Keys!$C$51,$I345-$H345)</f>
        <v>0</v>
      </c>
      <c r="L345" s="10">
        <f t="shared" si="21"/>
        <v>0</v>
      </c>
      <c r="M345" s="11">
        <f>IF($L345&gt;Keys!$C$51,MIN(Keys!$C$52,$K345/$L345),Keys!$C$51)</f>
        <v>0</v>
      </c>
      <c r="N345" s="11">
        <f>IF($E345=Keys!$C$60,Keys!$C$51,IF($E345=Keys!$C$59,$D345,$M345))</f>
        <v>0</v>
      </c>
      <c r="O345">
        <f t="shared" si="22"/>
        <v>0</v>
      </c>
      <c r="P345" s="10">
        <f>IF($E345=Keys!$C$60,Keys!$C$51,INDEX(Raw_BFPIaE!$G$9:$G$3032,MATCH($A345&amp;Keys!$C$54&amp;Keys!$C$55&amp;Keys!$C$54&amp;$B345,Raw_BFPIaE!$H$9:$H$3032,0)))</f>
        <v>0</v>
      </c>
      <c r="Q345" s="10">
        <f>IF($E345=Keys!$C$60,Keys!$C$51,INDEX(Raw_BFPIaE!$G$9:$G$3032,MATCH($A345&amp;Keys!$C$54&amp;Keys!$C$56&amp;Keys!$C$54&amp;$B345,Raw_BFPIaE!$H$9:$H$3032,0)))</f>
        <v>0</v>
      </c>
      <c r="R345" s="10">
        <f>IF($E345=Keys!$C$60,Keys!$C$51,INDEX(Raw_BFPIaE!$G$9:$G$3032,MATCH($A345&amp;Keys!$C$54&amp;Keys!$C$57&amp;Keys!$C$54&amp;$B345,Raw_BFPIaE!$H$9:$H$3032,0)))</f>
        <v>0</v>
      </c>
      <c r="S345" s="11">
        <f>IF(($P345+$Q345-$R345+MAX(Keys!$C$51,$R345-$Q345))&gt;Keys!$C$51,MIN(Keys!$C$52,MAX(Keys!$C$51,$R345-$Q345)/($P345+$Q345-$R345+MAX(Keys!$C$51,$R345-$Q345))),Keys!$C$51)</f>
        <v>0</v>
      </c>
      <c r="T345">
        <f>IF(AND($I345&gt;$H345,ABS($L345-$G345)&gt;MAX(Keys!$C$62,ABS($G345)*Keys!$C$63)),1,0)</f>
        <v>0</v>
      </c>
      <c r="U345">
        <f>IF(OR($N345&lt;Keys!$C$51,$N345&gt;Keys!$C$52),1,0)</f>
        <v>0</v>
      </c>
      <c r="V345">
        <f>IF(AND($E345=Keys!$C$60,$N345&lt;&gt;Keys!$C$51),1,0)</f>
        <v>0</v>
      </c>
      <c r="W345">
        <f>IF($L345&gt;Keys!$C$51,IF($K345/$L345&gt;Keys!$C$52,1,0),0)</f>
        <v>0</v>
      </c>
      <c r="X345" s="11">
        <f t="shared" si="23"/>
        <v>0</v>
      </c>
    </row>
    <row r="346" spans="1:24" x14ac:dyDescent="0.25">
      <c r="A346" t="s">
        <v>108</v>
      </c>
      <c r="B346" t="s">
        <v>80</v>
      </c>
      <c r="C346">
        <f>VLOOKUP($B346,Keys!$F$2:$I$22,2,FALSE)</f>
        <v>0</v>
      </c>
      <c r="D346">
        <f>VLOOKUP($B346,Keys!$F$2:$I$22,3,FALSE)</f>
        <v>0</v>
      </c>
      <c r="E346" t="str">
        <f>VLOOKUP($B346,Keys!$F$2:$I$22,4,FALSE)</f>
        <v>zero</v>
      </c>
      <c r="F346" t="str">
        <f>$A346&amp;Keys!$C$54&amp;$B346</f>
        <v>MA|solar (is not a fuel)</v>
      </c>
      <c r="G346" s="10">
        <f>IF($E346=Keys!$C$60,Keys!$C$51,INDEX(Balanced_2025!$D$9:$D$3032,MATCH($A346&amp;Keys!$C$54&amp;Keys!$C$55&amp;Keys!$C$54&amp;$C346,Balanced_2025!$E$9:$E$3032,0)))</f>
        <v>0</v>
      </c>
      <c r="H346" s="10">
        <f>IF($E346=Keys!$C$60,Keys!$C$51,INDEX(Balanced_2025!$D$9:$D$3032,MATCH($A346&amp;Keys!$C$54&amp;Keys!$C$56&amp;Keys!$C$54&amp;$C346,Balanced_2025!$E$9:$E$3032,0)))</f>
        <v>0</v>
      </c>
      <c r="I346" s="10">
        <f>IF($E346=Keys!$C$60,Keys!$C$51,INDEX(Balanced_2025!$D$9:$D$3032,MATCH($A346&amp;Keys!$C$54&amp;Keys!$C$57&amp;Keys!$C$54&amp;$C346,Balanced_2025!$E$9:$E$3032,0)))</f>
        <v>0</v>
      </c>
      <c r="J346" s="10">
        <f t="shared" si="20"/>
        <v>0</v>
      </c>
      <c r="K346" s="10">
        <f>MAX(Keys!$C$51,$I346-$H346)</f>
        <v>0</v>
      </c>
      <c r="L346" s="10">
        <f t="shared" si="21"/>
        <v>0</v>
      </c>
      <c r="M346" s="11">
        <f>IF($L346&gt;Keys!$C$51,MIN(Keys!$C$52,$K346/$L346),Keys!$C$51)</f>
        <v>0</v>
      </c>
      <c r="N346" s="11">
        <f>IF($E346=Keys!$C$60,Keys!$C$51,IF($E346=Keys!$C$59,$D346,$M346))</f>
        <v>0</v>
      </c>
      <c r="O346">
        <f t="shared" si="22"/>
        <v>0</v>
      </c>
      <c r="P346" s="10">
        <f>IF($E346=Keys!$C$60,Keys!$C$51,INDEX(Raw_BFPIaE!$G$9:$G$3032,MATCH($A346&amp;Keys!$C$54&amp;Keys!$C$55&amp;Keys!$C$54&amp;$B346,Raw_BFPIaE!$H$9:$H$3032,0)))</f>
        <v>0</v>
      </c>
      <c r="Q346" s="10">
        <f>IF($E346=Keys!$C$60,Keys!$C$51,INDEX(Raw_BFPIaE!$G$9:$G$3032,MATCH($A346&amp;Keys!$C$54&amp;Keys!$C$56&amp;Keys!$C$54&amp;$B346,Raw_BFPIaE!$H$9:$H$3032,0)))</f>
        <v>0</v>
      </c>
      <c r="R346" s="10">
        <f>IF($E346=Keys!$C$60,Keys!$C$51,INDEX(Raw_BFPIaE!$G$9:$G$3032,MATCH($A346&amp;Keys!$C$54&amp;Keys!$C$57&amp;Keys!$C$54&amp;$B346,Raw_BFPIaE!$H$9:$H$3032,0)))</f>
        <v>0</v>
      </c>
      <c r="S346" s="11">
        <f>IF(($P346+$Q346-$R346+MAX(Keys!$C$51,$R346-$Q346))&gt;Keys!$C$51,MIN(Keys!$C$52,MAX(Keys!$C$51,$R346-$Q346)/($P346+$Q346-$R346+MAX(Keys!$C$51,$R346-$Q346))),Keys!$C$51)</f>
        <v>0</v>
      </c>
      <c r="T346">
        <f>IF(AND($I346&gt;$H346,ABS($L346-$G346)&gt;MAX(Keys!$C$62,ABS($G346)*Keys!$C$63)),1,0)</f>
        <v>0</v>
      </c>
      <c r="U346">
        <f>IF(OR($N346&lt;Keys!$C$51,$N346&gt;Keys!$C$52),1,0)</f>
        <v>0</v>
      </c>
      <c r="V346">
        <f>IF(AND($E346=Keys!$C$60,$N346&lt;&gt;Keys!$C$51),1,0)</f>
        <v>0</v>
      </c>
      <c r="W346">
        <f>IF($L346&gt;Keys!$C$51,IF($K346/$L346&gt;Keys!$C$52,1,0),0)</f>
        <v>0</v>
      </c>
      <c r="X346" s="11">
        <f t="shared" si="23"/>
        <v>0</v>
      </c>
    </row>
    <row r="347" spans="1:24" x14ac:dyDescent="0.25">
      <c r="A347" t="s">
        <v>108</v>
      </c>
      <c r="B347" t="s">
        <v>82</v>
      </c>
      <c r="C347" t="str">
        <f>VLOOKUP($B347,Keys!$F$2:$I$22,2,FALSE)</f>
        <v>biomass</v>
      </c>
      <c r="D347">
        <f>VLOOKUP($B347,Keys!$F$2:$I$22,3,FALSE)</f>
        <v>0.74947425499999998</v>
      </c>
      <c r="E347" t="str">
        <f>VLOOKUP($B347,Keys!$F$2:$I$22,4,FALSE)</f>
        <v>rule</v>
      </c>
      <c r="F347" t="str">
        <f>$A347&amp;Keys!$C$54&amp;$B347</f>
        <v>MA|biomass</v>
      </c>
      <c r="G347" s="10">
        <f>IF($E347=Keys!$C$60,Keys!$C$51,INDEX(Balanced_2025!$D$9:$D$3032,MATCH($A347&amp;Keys!$C$54&amp;Keys!$C$55&amp;Keys!$C$54&amp;$C347,Balanced_2025!$E$9:$E$3032,0)))</f>
        <v>0</v>
      </c>
      <c r="H347" s="10">
        <f>IF($E347=Keys!$C$60,Keys!$C$51,INDEX(Balanced_2025!$D$9:$D$3032,MATCH($A347&amp;Keys!$C$54&amp;Keys!$C$56&amp;Keys!$C$54&amp;$C347,Balanced_2025!$E$9:$E$3032,0)))</f>
        <v>26942500000000</v>
      </c>
      <c r="I347" s="10">
        <f>IF($E347=Keys!$C$60,Keys!$C$51,INDEX(Balanced_2025!$D$9:$D$3032,MATCH($A347&amp;Keys!$C$54&amp;Keys!$C$57&amp;Keys!$C$54&amp;$C347,Balanced_2025!$E$9:$E$3032,0)))</f>
        <v>0</v>
      </c>
      <c r="J347" s="10">
        <f t="shared" si="20"/>
        <v>26942500000000</v>
      </c>
      <c r="K347" s="10">
        <f>MAX(Keys!$C$51,$I347-$H347)</f>
        <v>0</v>
      </c>
      <c r="L347" s="10">
        <f t="shared" si="21"/>
        <v>26942500000000</v>
      </c>
      <c r="M347" s="11">
        <f>IF($L347&gt;Keys!$C$51,MIN(Keys!$C$52,$K347/$L347),Keys!$C$51)</f>
        <v>0</v>
      </c>
      <c r="N347" s="11">
        <f>IF($E347=Keys!$C$60,Keys!$C$51,IF($E347=Keys!$C$59,$D347,$M347))</f>
        <v>0</v>
      </c>
      <c r="O347">
        <f t="shared" si="22"/>
        <v>1</v>
      </c>
      <c r="P347" s="10">
        <f>IF($E347=Keys!$C$60,Keys!$C$51,INDEX(Raw_BFPIaE!$G$9:$G$3032,MATCH($A347&amp;Keys!$C$54&amp;Keys!$C$55&amp;Keys!$C$54&amp;$B347,Raw_BFPIaE!$H$9:$H$3032,0)))</f>
        <v>0</v>
      </c>
      <c r="Q347" s="10">
        <f>IF($E347=Keys!$C$60,Keys!$C$51,INDEX(Raw_BFPIaE!$G$9:$G$3032,MATCH($A347&amp;Keys!$C$54&amp;Keys!$C$56&amp;Keys!$C$54&amp;$B347,Raw_BFPIaE!$H$9:$H$3032,0)))</f>
        <v>17148733333333.334</v>
      </c>
      <c r="R347" s="10">
        <f>IF($E347=Keys!$C$60,Keys!$C$51,INDEX(Raw_BFPIaE!$G$9:$G$3032,MATCH($A347&amp;Keys!$C$54&amp;Keys!$C$57&amp;Keys!$C$54&amp;$B347,Raw_BFPIaE!$H$9:$H$3032,0)))</f>
        <v>0</v>
      </c>
      <c r="S347" s="11">
        <f>IF(($P347+$Q347-$R347+MAX(Keys!$C$51,$R347-$Q347))&gt;Keys!$C$51,MIN(Keys!$C$52,MAX(Keys!$C$51,$R347-$Q347)/($P347+$Q347-$R347+MAX(Keys!$C$51,$R347-$Q347))),Keys!$C$51)</f>
        <v>0</v>
      </c>
      <c r="T347">
        <f>IF(AND($I347&gt;$H347,ABS($L347-$G347)&gt;MAX(Keys!$C$62,ABS($G347)*Keys!$C$63)),1,0)</f>
        <v>0</v>
      </c>
      <c r="U347">
        <f>IF(OR($N347&lt;Keys!$C$51,$N347&gt;Keys!$C$52),1,0)</f>
        <v>0</v>
      </c>
      <c r="V347">
        <f>IF(AND($E347=Keys!$C$60,$N347&lt;&gt;Keys!$C$51),1,0)</f>
        <v>0</v>
      </c>
      <c r="W347">
        <f>IF($L347&gt;Keys!$C$51,IF($K347/$L347&gt;Keys!$C$52,1,0),0)</f>
        <v>0</v>
      </c>
      <c r="X347" s="11">
        <f t="shared" si="23"/>
        <v>0</v>
      </c>
    </row>
    <row r="348" spans="1:24" x14ac:dyDescent="0.25">
      <c r="A348" t="s">
        <v>108</v>
      </c>
      <c r="B348" t="s">
        <v>85</v>
      </c>
      <c r="C348" t="str">
        <f>VLOOKUP($B348,Keys!$F$2:$I$22,2,FALSE)</f>
        <v>petroleum gasoline</v>
      </c>
      <c r="D348">
        <f>VLOOKUP($B348,Keys!$F$2:$I$22,3,FALSE)</f>
        <v>7.5004052000000002E-2</v>
      </c>
      <c r="E348" t="str">
        <f>VLOOKUP($B348,Keys!$F$2:$I$22,4,FALSE)</f>
        <v>rule</v>
      </c>
      <c r="F348" t="str">
        <f>$A348&amp;Keys!$C$54&amp;$B348</f>
        <v>MA|petroleum gasoline</v>
      </c>
      <c r="G348" s="10">
        <f>IF($E348=Keys!$C$60,Keys!$C$51,INDEX(Balanced_2025!$D$9:$D$3032,MATCH($A348&amp;Keys!$C$54&amp;Keys!$C$55&amp;Keys!$C$54&amp;$C348,Balanced_2025!$E$9:$E$3032,0)))</f>
        <v>0</v>
      </c>
      <c r="H348" s="10">
        <f>IF($E348=Keys!$C$60,Keys!$C$51,INDEX(Balanced_2025!$D$9:$D$3032,MATCH($A348&amp;Keys!$C$54&amp;Keys!$C$56&amp;Keys!$C$54&amp;$C348,Balanced_2025!$E$9:$E$3032,0)))</f>
        <v>267972000000000</v>
      </c>
      <c r="I348" s="10">
        <f>IF($E348=Keys!$C$60,Keys!$C$51,INDEX(Balanced_2025!$D$9:$D$3032,MATCH($A348&amp;Keys!$C$54&amp;Keys!$C$57&amp;Keys!$C$54&amp;$C348,Balanced_2025!$E$9:$E$3032,0)))</f>
        <v>0</v>
      </c>
      <c r="J348" s="10">
        <f t="shared" si="20"/>
        <v>267972000000000</v>
      </c>
      <c r="K348" s="10">
        <f>MAX(Keys!$C$51,$I348-$H348)</f>
        <v>0</v>
      </c>
      <c r="L348" s="10">
        <f t="shared" si="21"/>
        <v>267972000000000</v>
      </c>
      <c r="M348" s="11">
        <f>IF($L348&gt;Keys!$C$51,MIN(Keys!$C$52,$K348/$L348),Keys!$C$51)</f>
        <v>0</v>
      </c>
      <c r="N348" s="11">
        <f>IF($E348=Keys!$C$60,Keys!$C$51,IF($E348=Keys!$C$59,$D348,$M348))</f>
        <v>0</v>
      </c>
      <c r="O348">
        <f t="shared" si="22"/>
        <v>1</v>
      </c>
      <c r="P348" s="10">
        <f>IF($E348=Keys!$C$60,Keys!$C$51,INDEX(Raw_BFPIaE!$G$9:$G$3032,MATCH($A348&amp;Keys!$C$54&amp;Keys!$C$55&amp;Keys!$C$54&amp;$B348,Raw_BFPIaE!$H$9:$H$3032,0)))</f>
        <v>0</v>
      </c>
      <c r="Q348" s="10">
        <f>IF($E348=Keys!$C$60,Keys!$C$51,INDEX(Raw_BFPIaE!$G$9:$G$3032,MATCH($A348&amp;Keys!$C$54&amp;Keys!$C$56&amp;Keys!$C$54&amp;$B348,Raw_BFPIaE!$H$9:$H$3032,0)))</f>
        <v>167700666666666.66</v>
      </c>
      <c r="R348" s="10">
        <f>IF($E348=Keys!$C$60,Keys!$C$51,INDEX(Raw_BFPIaE!$G$9:$G$3032,MATCH($A348&amp;Keys!$C$54&amp;Keys!$C$57&amp;Keys!$C$54&amp;$B348,Raw_BFPIaE!$H$9:$H$3032,0)))</f>
        <v>0</v>
      </c>
      <c r="S348" s="11">
        <f>IF(($P348+$Q348-$R348+MAX(Keys!$C$51,$R348-$Q348))&gt;Keys!$C$51,MIN(Keys!$C$52,MAX(Keys!$C$51,$R348-$Q348)/($P348+$Q348-$R348+MAX(Keys!$C$51,$R348-$Q348))),Keys!$C$51)</f>
        <v>0</v>
      </c>
      <c r="T348">
        <f>IF(AND($I348&gt;$H348,ABS($L348-$G348)&gt;MAX(Keys!$C$62,ABS($G348)*Keys!$C$63)),1,0)</f>
        <v>0</v>
      </c>
      <c r="U348">
        <f>IF(OR($N348&lt;Keys!$C$51,$N348&gt;Keys!$C$52),1,0)</f>
        <v>0</v>
      </c>
      <c r="V348">
        <f>IF(AND($E348=Keys!$C$60,$N348&lt;&gt;Keys!$C$51),1,0)</f>
        <v>0</v>
      </c>
      <c r="W348">
        <f>IF($L348&gt;Keys!$C$51,IF($K348/$L348&gt;Keys!$C$52,1,0),0)</f>
        <v>0</v>
      </c>
      <c r="X348" s="11">
        <f t="shared" si="23"/>
        <v>0</v>
      </c>
    </row>
    <row r="349" spans="1:24" x14ac:dyDescent="0.25">
      <c r="A349" t="s">
        <v>108</v>
      </c>
      <c r="B349" t="s">
        <v>88</v>
      </c>
      <c r="C349" t="str">
        <f>VLOOKUP($B349,Keys!$F$2:$I$22,2,FALSE)</f>
        <v>petroleum diesel</v>
      </c>
      <c r="D349">
        <f>VLOOKUP($B349,Keys!$F$2:$I$22,3,FALSE)</f>
        <v>0.26691051799999999</v>
      </c>
      <c r="E349" t="str">
        <f>VLOOKUP($B349,Keys!$F$2:$I$22,4,FALSE)</f>
        <v>rule</v>
      </c>
      <c r="F349" t="str">
        <f>$A349&amp;Keys!$C$54&amp;$B349</f>
        <v>MA|petroleum diesel</v>
      </c>
      <c r="G349" s="10">
        <f>IF($E349=Keys!$C$60,Keys!$C$51,INDEX(Balanced_2025!$D$9:$D$3032,MATCH($A349&amp;Keys!$C$54&amp;Keys!$C$55&amp;Keys!$C$54&amp;$C349,Balanced_2025!$E$9:$E$3032,0)))</f>
        <v>0</v>
      </c>
      <c r="H349" s="10">
        <f>IF($E349=Keys!$C$60,Keys!$C$51,INDEX(Balanced_2025!$D$9:$D$3032,MATCH($A349&amp;Keys!$C$54&amp;Keys!$C$56&amp;Keys!$C$54&amp;$C349,Balanced_2025!$E$9:$E$3032,0)))</f>
        <v>164395000000000</v>
      </c>
      <c r="I349" s="10">
        <f>IF($E349=Keys!$C$60,Keys!$C$51,INDEX(Balanced_2025!$D$9:$D$3032,MATCH($A349&amp;Keys!$C$54&amp;Keys!$C$57&amp;Keys!$C$54&amp;$C349,Balanced_2025!$E$9:$E$3032,0)))</f>
        <v>0</v>
      </c>
      <c r="J349" s="10">
        <f t="shared" si="20"/>
        <v>164395000000000</v>
      </c>
      <c r="K349" s="10">
        <f>MAX(Keys!$C$51,$I349-$H349)</f>
        <v>0</v>
      </c>
      <c r="L349" s="10">
        <f t="shared" si="21"/>
        <v>164395000000000</v>
      </c>
      <c r="M349" s="11">
        <f>IF($L349&gt;Keys!$C$51,MIN(Keys!$C$52,$K349/$L349),Keys!$C$51)</f>
        <v>0</v>
      </c>
      <c r="N349" s="11">
        <f>IF($E349=Keys!$C$60,Keys!$C$51,IF($E349=Keys!$C$59,$D349,$M349))</f>
        <v>0</v>
      </c>
      <c r="O349">
        <f t="shared" si="22"/>
        <v>1</v>
      </c>
      <c r="P349" s="10">
        <f>IF($E349=Keys!$C$60,Keys!$C$51,INDEX(Raw_BFPIaE!$G$9:$G$3032,MATCH($A349&amp;Keys!$C$54&amp;Keys!$C$55&amp;Keys!$C$54&amp;$B349,Raw_BFPIaE!$H$9:$H$3032,0)))</f>
        <v>0</v>
      </c>
      <c r="Q349" s="10">
        <f>IF($E349=Keys!$C$60,Keys!$C$51,INDEX(Raw_BFPIaE!$G$9:$G$3032,MATCH($A349&amp;Keys!$C$54&amp;Keys!$C$56&amp;Keys!$C$54&amp;$B349,Raw_BFPIaE!$H$9:$H$3032,0)))</f>
        <v>107934666666666.67</v>
      </c>
      <c r="R349" s="10">
        <f>IF($E349=Keys!$C$60,Keys!$C$51,INDEX(Raw_BFPIaE!$G$9:$G$3032,MATCH($A349&amp;Keys!$C$54&amp;Keys!$C$57&amp;Keys!$C$54&amp;$B349,Raw_BFPIaE!$H$9:$H$3032,0)))</f>
        <v>0</v>
      </c>
      <c r="S349" s="11">
        <f>IF(($P349+$Q349-$R349+MAX(Keys!$C$51,$R349-$Q349))&gt;Keys!$C$51,MIN(Keys!$C$52,MAX(Keys!$C$51,$R349-$Q349)/($P349+$Q349-$R349+MAX(Keys!$C$51,$R349-$Q349))),Keys!$C$51)</f>
        <v>0</v>
      </c>
      <c r="T349">
        <f>IF(AND($I349&gt;$H349,ABS($L349-$G349)&gt;MAX(Keys!$C$62,ABS($G349)*Keys!$C$63)),1,0)</f>
        <v>0</v>
      </c>
      <c r="U349">
        <f>IF(OR($N349&lt;Keys!$C$51,$N349&gt;Keys!$C$52),1,0)</f>
        <v>0</v>
      </c>
      <c r="V349">
        <f>IF(AND($E349=Keys!$C$60,$N349&lt;&gt;Keys!$C$51),1,0)</f>
        <v>0</v>
      </c>
      <c r="W349">
        <f>IF($L349&gt;Keys!$C$51,IF($K349/$L349&gt;Keys!$C$52,1,0),0)</f>
        <v>0</v>
      </c>
      <c r="X349" s="11">
        <f t="shared" si="23"/>
        <v>0</v>
      </c>
    </row>
    <row r="350" spans="1:24" x14ac:dyDescent="0.25">
      <c r="A350" t="s">
        <v>108</v>
      </c>
      <c r="B350" t="s">
        <v>91</v>
      </c>
      <c r="C350" t="str">
        <f>VLOOKUP($B350,Keys!$F$2:$I$22,2,FALSE)</f>
        <v>biofuel gasoline</v>
      </c>
      <c r="D350">
        <f>VLOOKUP($B350,Keys!$F$2:$I$22,3,FALSE)</f>
        <v>8.7213884000000005E-2</v>
      </c>
      <c r="E350" t="str">
        <f>VLOOKUP($B350,Keys!$F$2:$I$22,4,FALSE)</f>
        <v>rule</v>
      </c>
      <c r="F350" t="str">
        <f>$A350&amp;Keys!$C$54&amp;$B350</f>
        <v>MA|biofuel gasoline</v>
      </c>
      <c r="G350" s="10">
        <f>IF($E350=Keys!$C$60,Keys!$C$51,INDEX(Balanced_2025!$D$9:$D$3032,MATCH($A350&amp;Keys!$C$54&amp;Keys!$C$55&amp;Keys!$C$54&amp;$C350,Balanced_2025!$E$9:$E$3032,0)))</f>
        <v>0</v>
      </c>
      <c r="H350" s="10">
        <f>IF($E350=Keys!$C$60,Keys!$C$51,INDEX(Balanced_2025!$D$9:$D$3032,MATCH($A350&amp;Keys!$C$54&amp;Keys!$C$56&amp;Keys!$C$54&amp;$C350,Balanced_2025!$E$9:$E$3032,0)))</f>
        <v>19669800000000</v>
      </c>
      <c r="I350" s="10">
        <f>IF($E350=Keys!$C$60,Keys!$C$51,INDEX(Balanced_2025!$D$9:$D$3032,MATCH($A350&amp;Keys!$C$54&amp;Keys!$C$57&amp;Keys!$C$54&amp;$C350,Balanced_2025!$E$9:$E$3032,0)))</f>
        <v>0</v>
      </c>
      <c r="J350" s="10">
        <f t="shared" si="20"/>
        <v>19669800000000</v>
      </c>
      <c r="K350" s="10">
        <f>MAX(Keys!$C$51,$I350-$H350)</f>
        <v>0</v>
      </c>
      <c r="L350" s="10">
        <f t="shared" si="21"/>
        <v>19669800000000</v>
      </c>
      <c r="M350" s="11">
        <f>IF($L350&gt;Keys!$C$51,MIN(Keys!$C$52,$K350/$L350),Keys!$C$51)</f>
        <v>0</v>
      </c>
      <c r="N350" s="11">
        <f>IF($E350=Keys!$C$60,Keys!$C$51,IF($E350=Keys!$C$59,$D350,$M350))</f>
        <v>0</v>
      </c>
      <c r="O350">
        <f t="shared" si="22"/>
        <v>1</v>
      </c>
      <c r="P350" s="10">
        <f>IF($E350=Keys!$C$60,Keys!$C$51,INDEX(Raw_BFPIaE!$G$9:$G$3032,MATCH($A350&amp;Keys!$C$54&amp;Keys!$C$55&amp;Keys!$C$54&amp;$B350,Raw_BFPIaE!$H$9:$H$3032,0)))</f>
        <v>0</v>
      </c>
      <c r="Q350" s="10">
        <f>IF($E350=Keys!$C$60,Keys!$C$51,INDEX(Raw_BFPIaE!$G$9:$G$3032,MATCH($A350&amp;Keys!$C$54&amp;Keys!$C$56&amp;Keys!$C$54&amp;$B350,Raw_BFPIaE!$H$9:$H$3032,0)))</f>
        <v>12306400000000</v>
      </c>
      <c r="R350" s="10">
        <f>IF($E350=Keys!$C$60,Keys!$C$51,INDEX(Raw_BFPIaE!$G$9:$G$3032,MATCH($A350&amp;Keys!$C$54&amp;Keys!$C$57&amp;Keys!$C$54&amp;$B350,Raw_BFPIaE!$H$9:$H$3032,0)))</f>
        <v>0</v>
      </c>
      <c r="S350" s="11">
        <f>IF(($P350+$Q350-$R350+MAX(Keys!$C$51,$R350-$Q350))&gt;Keys!$C$51,MIN(Keys!$C$52,MAX(Keys!$C$51,$R350-$Q350)/($P350+$Q350-$R350+MAX(Keys!$C$51,$R350-$Q350))),Keys!$C$51)</f>
        <v>0</v>
      </c>
      <c r="T350">
        <f>IF(AND($I350&gt;$H350,ABS($L350-$G350)&gt;MAX(Keys!$C$62,ABS($G350)*Keys!$C$63)),1,0)</f>
        <v>0</v>
      </c>
      <c r="U350">
        <f>IF(OR($N350&lt;Keys!$C$51,$N350&gt;Keys!$C$52),1,0)</f>
        <v>0</v>
      </c>
      <c r="V350">
        <f>IF(AND($E350=Keys!$C$60,$N350&lt;&gt;Keys!$C$51),1,0)</f>
        <v>0</v>
      </c>
      <c r="W350">
        <f>IF($L350&gt;Keys!$C$51,IF($K350/$L350&gt;Keys!$C$52,1,0),0)</f>
        <v>0</v>
      </c>
      <c r="X350" s="11">
        <f t="shared" si="23"/>
        <v>0</v>
      </c>
    </row>
    <row r="351" spans="1:24" x14ac:dyDescent="0.25">
      <c r="A351" t="s">
        <v>108</v>
      </c>
      <c r="B351" t="s">
        <v>94</v>
      </c>
      <c r="C351" t="str">
        <f>VLOOKUP($B351,Keys!$F$2:$I$22,2,FALSE)</f>
        <v>biofuel diesel</v>
      </c>
      <c r="D351">
        <f>VLOOKUP($B351,Keys!$F$2:$I$22,3,FALSE)</f>
        <v>5.8642381E-2</v>
      </c>
      <c r="E351" t="str">
        <f>VLOOKUP($B351,Keys!$F$2:$I$22,4,FALSE)</f>
        <v>rule</v>
      </c>
      <c r="F351" t="str">
        <f>$A351&amp;Keys!$C$54&amp;$B351</f>
        <v>MA|biofuel diesel</v>
      </c>
      <c r="G351" s="10">
        <f>IF($E351=Keys!$C$60,Keys!$C$51,INDEX(Balanced_2025!$D$9:$D$3032,MATCH($A351&amp;Keys!$C$54&amp;Keys!$C$55&amp;Keys!$C$54&amp;$C351,Balanced_2025!$E$9:$E$3032,0)))</f>
        <v>364868000000</v>
      </c>
      <c r="H351" s="10">
        <f>IF($E351=Keys!$C$60,Keys!$C$51,INDEX(Balanced_2025!$D$9:$D$3032,MATCH($A351&amp;Keys!$C$54&amp;Keys!$C$56&amp;Keys!$C$54&amp;$C351,Balanced_2025!$E$9:$E$3032,0)))</f>
        <v>661062000000</v>
      </c>
      <c r="I351" s="10">
        <f>IF($E351=Keys!$C$60,Keys!$C$51,INDEX(Balanced_2025!$D$9:$D$3032,MATCH($A351&amp;Keys!$C$54&amp;Keys!$C$57&amp;Keys!$C$54&amp;$C351,Balanced_2025!$E$9:$E$3032,0)))</f>
        <v>0</v>
      </c>
      <c r="J351" s="10">
        <f t="shared" si="20"/>
        <v>1025930000000</v>
      </c>
      <c r="K351" s="10">
        <f>MAX(Keys!$C$51,$I351-$H351)</f>
        <v>0</v>
      </c>
      <c r="L351" s="10">
        <f t="shared" si="21"/>
        <v>1025930000000</v>
      </c>
      <c r="M351" s="11">
        <f>IF($L351&gt;Keys!$C$51,MIN(Keys!$C$52,$K351/$L351),Keys!$C$51)</f>
        <v>0</v>
      </c>
      <c r="N351" s="11">
        <f>IF($E351=Keys!$C$60,Keys!$C$51,IF($E351=Keys!$C$59,$D351,$M351))</f>
        <v>0</v>
      </c>
      <c r="O351">
        <f t="shared" si="22"/>
        <v>1</v>
      </c>
      <c r="P351" s="10">
        <f>IF($E351=Keys!$C$60,Keys!$C$51,INDEX(Raw_BFPIaE!$G$9:$G$3032,MATCH($A351&amp;Keys!$C$54&amp;Keys!$C$55&amp;Keys!$C$54&amp;$B351,Raw_BFPIaE!$H$9:$H$3032,0)))</f>
        <v>387716333333.33331</v>
      </c>
      <c r="Q351" s="10">
        <f>IF($E351=Keys!$C$60,Keys!$C$51,INDEX(Raw_BFPIaE!$G$9:$G$3032,MATCH($A351&amp;Keys!$C$54&amp;Keys!$C$56&amp;Keys!$C$54&amp;$B351,Raw_BFPIaE!$H$9:$H$3032,0)))</f>
        <v>401986666666.66669</v>
      </c>
      <c r="R351" s="10">
        <f>IF($E351=Keys!$C$60,Keys!$C$51,INDEX(Raw_BFPIaE!$G$9:$G$3032,MATCH($A351&amp;Keys!$C$54&amp;Keys!$C$57&amp;Keys!$C$54&amp;$B351,Raw_BFPIaE!$H$9:$H$3032,0)))</f>
        <v>0</v>
      </c>
      <c r="S351" s="11">
        <f>IF(($P351+$Q351-$R351+MAX(Keys!$C$51,$R351-$Q351))&gt;Keys!$C$51,MIN(Keys!$C$52,MAX(Keys!$C$51,$R351-$Q351)/($P351+$Q351-$R351+MAX(Keys!$C$51,$R351-$Q351))),Keys!$C$51)</f>
        <v>0</v>
      </c>
      <c r="T351">
        <f>IF(AND($I351&gt;$H351,ABS($L351-$G351)&gt;MAX(Keys!$C$62,ABS($G351)*Keys!$C$63)),1,0)</f>
        <v>0</v>
      </c>
      <c r="U351">
        <f>IF(OR($N351&lt;Keys!$C$51,$N351&gt;Keys!$C$52),1,0)</f>
        <v>0</v>
      </c>
      <c r="V351">
        <f>IF(AND($E351=Keys!$C$60,$N351&lt;&gt;Keys!$C$51),1,0)</f>
        <v>0</v>
      </c>
      <c r="W351">
        <f>IF($L351&gt;Keys!$C$51,IF($K351/$L351&gt;Keys!$C$52,1,0),0)</f>
        <v>0</v>
      </c>
      <c r="X351" s="11">
        <f t="shared" si="23"/>
        <v>0</v>
      </c>
    </row>
    <row r="352" spans="1:24" x14ac:dyDescent="0.25">
      <c r="A352" t="s">
        <v>108</v>
      </c>
      <c r="B352" t="s">
        <v>97</v>
      </c>
      <c r="C352" t="str">
        <f>VLOOKUP($B352,Keys!$F$2:$I$22,2,FALSE)</f>
        <v>jet fuel or kerosene</v>
      </c>
      <c r="D352">
        <f>VLOOKUP($B352,Keys!$F$2:$I$22,3,FALSE)</f>
        <v>0.10155994</v>
      </c>
      <c r="E352" t="str">
        <f>VLOOKUP($B352,Keys!$F$2:$I$22,4,FALSE)</f>
        <v>rule</v>
      </c>
      <c r="F352" t="str">
        <f>$A352&amp;Keys!$C$54&amp;$B352</f>
        <v>MA|jet fuel or kerosene</v>
      </c>
      <c r="G352" s="10">
        <f>IF($E352=Keys!$C$60,Keys!$C$51,INDEX(Balanced_2025!$D$9:$D$3032,MATCH($A352&amp;Keys!$C$54&amp;Keys!$C$55&amp;Keys!$C$54&amp;$C352,Balanced_2025!$E$9:$E$3032,0)))</f>
        <v>0</v>
      </c>
      <c r="H352" s="10">
        <f>IF($E352=Keys!$C$60,Keys!$C$51,INDEX(Balanced_2025!$D$9:$D$3032,MATCH($A352&amp;Keys!$C$54&amp;Keys!$C$56&amp;Keys!$C$54&amp;$C352,Balanced_2025!$E$9:$E$3032,0)))</f>
        <v>73569500000000</v>
      </c>
      <c r="I352" s="10">
        <f>IF($E352=Keys!$C$60,Keys!$C$51,INDEX(Balanced_2025!$D$9:$D$3032,MATCH($A352&amp;Keys!$C$54&amp;Keys!$C$57&amp;Keys!$C$54&amp;$C352,Balanced_2025!$E$9:$E$3032,0)))</f>
        <v>0</v>
      </c>
      <c r="J352" s="10">
        <f t="shared" si="20"/>
        <v>73569500000000</v>
      </c>
      <c r="K352" s="10">
        <f>MAX(Keys!$C$51,$I352-$H352)</f>
        <v>0</v>
      </c>
      <c r="L352" s="10">
        <f t="shared" si="21"/>
        <v>73569500000000</v>
      </c>
      <c r="M352" s="11">
        <f>IF($L352&gt;Keys!$C$51,MIN(Keys!$C$52,$K352/$L352),Keys!$C$51)</f>
        <v>0</v>
      </c>
      <c r="N352" s="11">
        <f>IF($E352=Keys!$C$60,Keys!$C$51,IF($E352=Keys!$C$59,$D352,$M352))</f>
        <v>0</v>
      </c>
      <c r="O352">
        <f t="shared" si="22"/>
        <v>1</v>
      </c>
      <c r="P352" s="10">
        <f>IF($E352=Keys!$C$60,Keys!$C$51,INDEX(Raw_BFPIaE!$G$9:$G$3032,MATCH($A352&amp;Keys!$C$54&amp;Keys!$C$55&amp;Keys!$C$54&amp;$B352,Raw_BFPIaE!$H$9:$H$3032,0)))</f>
        <v>0</v>
      </c>
      <c r="Q352" s="10">
        <f>IF($E352=Keys!$C$60,Keys!$C$51,INDEX(Raw_BFPIaE!$G$9:$G$3032,MATCH($A352&amp;Keys!$C$54&amp;Keys!$C$56&amp;Keys!$C$54&amp;$B352,Raw_BFPIaE!$H$9:$H$3032,0)))</f>
        <v>49777633333333.336</v>
      </c>
      <c r="R352" s="10">
        <f>IF($E352=Keys!$C$60,Keys!$C$51,INDEX(Raw_BFPIaE!$G$9:$G$3032,MATCH($A352&amp;Keys!$C$54&amp;Keys!$C$57&amp;Keys!$C$54&amp;$B352,Raw_BFPIaE!$H$9:$H$3032,0)))</f>
        <v>0</v>
      </c>
      <c r="S352" s="11">
        <f>IF(($P352+$Q352-$R352+MAX(Keys!$C$51,$R352-$Q352))&gt;Keys!$C$51,MIN(Keys!$C$52,MAX(Keys!$C$51,$R352-$Q352)/($P352+$Q352-$R352+MAX(Keys!$C$51,$R352-$Q352))),Keys!$C$51)</f>
        <v>0</v>
      </c>
      <c r="T352">
        <f>IF(AND($I352&gt;$H352,ABS($L352-$G352)&gt;MAX(Keys!$C$62,ABS($G352)*Keys!$C$63)),1,0)</f>
        <v>0</v>
      </c>
      <c r="U352">
        <f>IF(OR($N352&lt;Keys!$C$51,$N352&gt;Keys!$C$52),1,0)</f>
        <v>0</v>
      </c>
      <c r="V352">
        <f>IF(AND($E352=Keys!$C$60,$N352&lt;&gt;Keys!$C$51),1,0)</f>
        <v>0</v>
      </c>
      <c r="W352">
        <f>IF($L352&gt;Keys!$C$51,IF($K352/$L352&gt;Keys!$C$52,1,0),0)</f>
        <v>0</v>
      </c>
      <c r="X352" s="11">
        <f t="shared" si="23"/>
        <v>0</v>
      </c>
    </row>
    <row r="353" spans="1:24" x14ac:dyDescent="0.25">
      <c r="A353" t="s">
        <v>108</v>
      </c>
      <c r="B353" t="s">
        <v>100</v>
      </c>
      <c r="C353">
        <f>VLOOKUP($B353,Keys!$F$2:$I$22,2,FALSE)</f>
        <v>0</v>
      </c>
      <c r="D353">
        <f>VLOOKUP($B353,Keys!$F$2:$I$22,3,FALSE)</f>
        <v>0</v>
      </c>
      <c r="E353" t="str">
        <f>VLOOKUP($B353,Keys!$F$2:$I$22,4,FALSE)</f>
        <v>zero</v>
      </c>
      <c r="F353" t="str">
        <f>$A353&amp;Keys!$C$54&amp;$B353</f>
        <v>MA|heat (not used in this variable)</v>
      </c>
      <c r="G353" s="10">
        <f>IF($E353=Keys!$C$60,Keys!$C$51,INDEX(Balanced_2025!$D$9:$D$3032,MATCH($A353&amp;Keys!$C$54&amp;Keys!$C$55&amp;Keys!$C$54&amp;$C353,Balanced_2025!$E$9:$E$3032,0)))</f>
        <v>0</v>
      </c>
      <c r="H353" s="10">
        <f>IF($E353=Keys!$C$60,Keys!$C$51,INDEX(Balanced_2025!$D$9:$D$3032,MATCH($A353&amp;Keys!$C$54&amp;Keys!$C$56&amp;Keys!$C$54&amp;$C353,Balanced_2025!$E$9:$E$3032,0)))</f>
        <v>0</v>
      </c>
      <c r="I353" s="10">
        <f>IF($E353=Keys!$C$60,Keys!$C$51,INDEX(Balanced_2025!$D$9:$D$3032,MATCH($A353&amp;Keys!$C$54&amp;Keys!$C$57&amp;Keys!$C$54&amp;$C353,Balanced_2025!$E$9:$E$3032,0)))</f>
        <v>0</v>
      </c>
      <c r="J353" s="10">
        <f t="shared" si="20"/>
        <v>0</v>
      </c>
      <c r="K353" s="10">
        <f>MAX(Keys!$C$51,$I353-$H353)</f>
        <v>0</v>
      </c>
      <c r="L353" s="10">
        <f t="shared" si="21"/>
        <v>0</v>
      </c>
      <c r="M353" s="11">
        <f>IF($L353&gt;Keys!$C$51,MIN(Keys!$C$52,$K353/$L353),Keys!$C$51)</f>
        <v>0</v>
      </c>
      <c r="N353" s="11">
        <f>IF($E353=Keys!$C$60,Keys!$C$51,IF($E353=Keys!$C$59,$D353,$M353))</f>
        <v>0</v>
      </c>
      <c r="O353">
        <f t="shared" si="22"/>
        <v>0</v>
      </c>
      <c r="P353" s="10">
        <f>IF($E353=Keys!$C$60,Keys!$C$51,INDEX(Raw_BFPIaE!$G$9:$G$3032,MATCH($A353&amp;Keys!$C$54&amp;Keys!$C$55&amp;Keys!$C$54&amp;$B353,Raw_BFPIaE!$H$9:$H$3032,0)))</f>
        <v>0</v>
      </c>
      <c r="Q353" s="10">
        <f>IF($E353=Keys!$C$60,Keys!$C$51,INDEX(Raw_BFPIaE!$G$9:$G$3032,MATCH($A353&amp;Keys!$C$54&amp;Keys!$C$56&amp;Keys!$C$54&amp;$B353,Raw_BFPIaE!$H$9:$H$3032,0)))</f>
        <v>0</v>
      </c>
      <c r="R353" s="10">
        <f>IF($E353=Keys!$C$60,Keys!$C$51,INDEX(Raw_BFPIaE!$G$9:$G$3032,MATCH($A353&amp;Keys!$C$54&amp;Keys!$C$57&amp;Keys!$C$54&amp;$B353,Raw_BFPIaE!$H$9:$H$3032,0)))</f>
        <v>0</v>
      </c>
      <c r="S353" s="11">
        <f>IF(($P353+$Q353-$R353+MAX(Keys!$C$51,$R353-$Q353))&gt;Keys!$C$51,MIN(Keys!$C$52,MAX(Keys!$C$51,$R353-$Q353)/($P353+$Q353-$R353+MAX(Keys!$C$51,$R353-$Q353))),Keys!$C$51)</f>
        <v>0</v>
      </c>
      <c r="T353">
        <f>IF(AND($I353&gt;$H353,ABS($L353-$G353)&gt;MAX(Keys!$C$62,ABS($G353)*Keys!$C$63)),1,0)</f>
        <v>0</v>
      </c>
      <c r="U353">
        <f>IF(OR($N353&lt;Keys!$C$51,$N353&gt;Keys!$C$52),1,0)</f>
        <v>0</v>
      </c>
      <c r="V353">
        <f>IF(AND($E353=Keys!$C$60,$N353&lt;&gt;Keys!$C$51),1,0)</f>
        <v>0</v>
      </c>
      <c r="W353">
        <f>IF($L353&gt;Keys!$C$51,IF($K353/$L353&gt;Keys!$C$52,1,0),0)</f>
        <v>0</v>
      </c>
      <c r="X353" s="11">
        <f t="shared" si="23"/>
        <v>0</v>
      </c>
    </row>
    <row r="354" spans="1:24" x14ac:dyDescent="0.25">
      <c r="A354" t="s">
        <v>108</v>
      </c>
      <c r="B354" t="s">
        <v>103</v>
      </c>
      <c r="C354">
        <f>VLOOKUP($B354,Keys!$F$2:$I$22,2,FALSE)</f>
        <v>0</v>
      </c>
      <c r="D354">
        <f>VLOOKUP($B354,Keys!$F$2:$I$22,3,FALSE)</f>
        <v>0</v>
      </c>
      <c r="E354" t="str">
        <f>VLOOKUP($B354,Keys!$F$2:$I$22,4,FALSE)</f>
        <v>zero</v>
      </c>
      <c r="F354" t="str">
        <f>$A354&amp;Keys!$C$54&amp;$B354</f>
        <v>MA|geothermal (is not a fuel)</v>
      </c>
      <c r="G354" s="10">
        <f>IF($E354=Keys!$C$60,Keys!$C$51,INDEX(Balanced_2025!$D$9:$D$3032,MATCH($A354&amp;Keys!$C$54&amp;Keys!$C$55&amp;Keys!$C$54&amp;$C354,Balanced_2025!$E$9:$E$3032,0)))</f>
        <v>0</v>
      </c>
      <c r="H354" s="10">
        <f>IF($E354=Keys!$C$60,Keys!$C$51,INDEX(Balanced_2025!$D$9:$D$3032,MATCH($A354&amp;Keys!$C$54&amp;Keys!$C$56&amp;Keys!$C$54&amp;$C354,Balanced_2025!$E$9:$E$3032,0)))</f>
        <v>0</v>
      </c>
      <c r="I354" s="10">
        <f>IF($E354=Keys!$C$60,Keys!$C$51,INDEX(Balanced_2025!$D$9:$D$3032,MATCH($A354&amp;Keys!$C$54&amp;Keys!$C$57&amp;Keys!$C$54&amp;$C354,Balanced_2025!$E$9:$E$3032,0)))</f>
        <v>0</v>
      </c>
      <c r="J354" s="10">
        <f t="shared" si="20"/>
        <v>0</v>
      </c>
      <c r="K354" s="10">
        <f>MAX(Keys!$C$51,$I354-$H354)</f>
        <v>0</v>
      </c>
      <c r="L354" s="10">
        <f t="shared" si="21"/>
        <v>0</v>
      </c>
      <c r="M354" s="11">
        <f>IF($L354&gt;Keys!$C$51,MIN(Keys!$C$52,$K354/$L354),Keys!$C$51)</f>
        <v>0</v>
      </c>
      <c r="N354" s="11">
        <f>IF($E354=Keys!$C$60,Keys!$C$51,IF($E354=Keys!$C$59,$D354,$M354))</f>
        <v>0</v>
      </c>
      <c r="O354">
        <f t="shared" si="22"/>
        <v>0</v>
      </c>
      <c r="P354" s="10">
        <f>IF($E354=Keys!$C$60,Keys!$C$51,INDEX(Raw_BFPIaE!$G$9:$G$3032,MATCH($A354&amp;Keys!$C$54&amp;Keys!$C$55&amp;Keys!$C$54&amp;$B354,Raw_BFPIaE!$H$9:$H$3032,0)))</f>
        <v>0</v>
      </c>
      <c r="Q354" s="10">
        <f>IF($E354=Keys!$C$60,Keys!$C$51,INDEX(Raw_BFPIaE!$G$9:$G$3032,MATCH($A354&amp;Keys!$C$54&amp;Keys!$C$56&amp;Keys!$C$54&amp;$B354,Raw_BFPIaE!$H$9:$H$3032,0)))</f>
        <v>0</v>
      </c>
      <c r="R354" s="10">
        <f>IF($E354=Keys!$C$60,Keys!$C$51,INDEX(Raw_BFPIaE!$G$9:$G$3032,MATCH($A354&amp;Keys!$C$54&amp;Keys!$C$57&amp;Keys!$C$54&amp;$B354,Raw_BFPIaE!$H$9:$H$3032,0)))</f>
        <v>0</v>
      </c>
      <c r="S354" s="11">
        <f>IF(($P354+$Q354-$R354+MAX(Keys!$C$51,$R354-$Q354))&gt;Keys!$C$51,MIN(Keys!$C$52,MAX(Keys!$C$51,$R354-$Q354)/($P354+$Q354-$R354+MAX(Keys!$C$51,$R354-$Q354))),Keys!$C$51)</f>
        <v>0</v>
      </c>
      <c r="T354">
        <f>IF(AND($I354&gt;$H354,ABS($L354-$G354)&gt;MAX(Keys!$C$62,ABS($G354)*Keys!$C$63)),1,0)</f>
        <v>0</v>
      </c>
      <c r="U354">
        <f>IF(OR($N354&lt;Keys!$C$51,$N354&gt;Keys!$C$52),1,0)</f>
        <v>0</v>
      </c>
      <c r="V354">
        <f>IF(AND($E354=Keys!$C$60,$N354&lt;&gt;Keys!$C$51),1,0)</f>
        <v>0</v>
      </c>
      <c r="W354">
        <f>IF($L354&gt;Keys!$C$51,IF($K354/$L354&gt;Keys!$C$52,1,0),0)</f>
        <v>0</v>
      </c>
      <c r="X354" s="11">
        <f t="shared" si="23"/>
        <v>0</v>
      </c>
    </row>
    <row r="355" spans="1:24" x14ac:dyDescent="0.25">
      <c r="A355" t="s">
        <v>108</v>
      </c>
      <c r="B355" t="s">
        <v>106</v>
      </c>
      <c r="C355" t="str">
        <f>VLOOKUP($B355,Keys!$F$2:$I$22,2,FALSE)</f>
        <v>lignite</v>
      </c>
      <c r="D355">
        <f>VLOOKUP($B355,Keys!$F$2:$I$22,3,FALSE)</f>
        <v>0</v>
      </c>
      <c r="E355" t="str">
        <f>VLOOKUP($B355,Keys!$F$2:$I$22,4,FALSE)</f>
        <v>rule</v>
      </c>
      <c r="F355" t="str">
        <f>$A355&amp;Keys!$C$54&amp;$B355</f>
        <v>MA|lignite</v>
      </c>
      <c r="G355" s="10">
        <f>IF($E355=Keys!$C$60,Keys!$C$51,INDEX(Balanced_2025!$D$9:$D$3032,MATCH($A355&amp;Keys!$C$54&amp;Keys!$C$55&amp;Keys!$C$54&amp;$C355,Balanced_2025!$E$9:$E$3032,0)))</f>
        <v>0</v>
      </c>
      <c r="H355" s="10">
        <f>IF($E355=Keys!$C$60,Keys!$C$51,INDEX(Balanced_2025!$D$9:$D$3032,MATCH($A355&amp;Keys!$C$54&amp;Keys!$C$56&amp;Keys!$C$54&amp;$C355,Balanced_2025!$E$9:$E$3032,0)))</f>
        <v>0</v>
      </c>
      <c r="I355" s="10">
        <f>IF($E355=Keys!$C$60,Keys!$C$51,INDEX(Balanced_2025!$D$9:$D$3032,MATCH($A355&amp;Keys!$C$54&amp;Keys!$C$57&amp;Keys!$C$54&amp;$C355,Balanced_2025!$E$9:$E$3032,0)))</f>
        <v>0</v>
      </c>
      <c r="J355" s="10">
        <f t="shared" si="20"/>
        <v>0</v>
      </c>
      <c r="K355" s="10">
        <f>MAX(Keys!$C$51,$I355-$H355)</f>
        <v>0</v>
      </c>
      <c r="L355" s="10">
        <f t="shared" si="21"/>
        <v>0</v>
      </c>
      <c r="M355" s="11">
        <f>IF($L355&gt;Keys!$C$51,MIN(Keys!$C$52,$K355/$L355),Keys!$C$51)</f>
        <v>0</v>
      </c>
      <c r="N355" s="11">
        <f>IF($E355=Keys!$C$60,Keys!$C$51,IF($E355=Keys!$C$59,$D355,$M355))</f>
        <v>0</v>
      </c>
      <c r="O355">
        <f t="shared" si="22"/>
        <v>0</v>
      </c>
      <c r="P355" s="10">
        <f>IF($E355=Keys!$C$60,Keys!$C$51,INDEX(Raw_BFPIaE!$G$9:$G$3032,MATCH($A355&amp;Keys!$C$54&amp;Keys!$C$55&amp;Keys!$C$54&amp;$B355,Raw_BFPIaE!$H$9:$H$3032,0)))</f>
        <v>0</v>
      </c>
      <c r="Q355" s="10">
        <f>IF($E355=Keys!$C$60,Keys!$C$51,INDEX(Raw_BFPIaE!$G$9:$G$3032,MATCH($A355&amp;Keys!$C$54&amp;Keys!$C$56&amp;Keys!$C$54&amp;$B355,Raw_BFPIaE!$H$9:$H$3032,0)))</f>
        <v>0</v>
      </c>
      <c r="R355" s="10">
        <f>IF($E355=Keys!$C$60,Keys!$C$51,INDEX(Raw_BFPIaE!$G$9:$G$3032,MATCH($A355&amp;Keys!$C$54&amp;Keys!$C$57&amp;Keys!$C$54&amp;$B355,Raw_BFPIaE!$H$9:$H$3032,0)))</f>
        <v>0</v>
      </c>
      <c r="S355" s="11">
        <f>IF(($P355+$Q355-$R355+MAX(Keys!$C$51,$R355-$Q355))&gt;Keys!$C$51,MIN(Keys!$C$52,MAX(Keys!$C$51,$R355-$Q355)/($P355+$Q355-$R355+MAX(Keys!$C$51,$R355-$Q355))),Keys!$C$51)</f>
        <v>0</v>
      </c>
      <c r="T355">
        <f>IF(AND($I355&gt;$H355,ABS($L355-$G355)&gt;MAX(Keys!$C$62,ABS($G355)*Keys!$C$63)),1,0)</f>
        <v>0</v>
      </c>
      <c r="U355">
        <f>IF(OR($N355&lt;Keys!$C$51,$N355&gt;Keys!$C$52),1,0)</f>
        <v>0</v>
      </c>
      <c r="V355">
        <f>IF(AND($E355=Keys!$C$60,$N355&lt;&gt;Keys!$C$51),1,0)</f>
        <v>0</v>
      </c>
      <c r="W355">
        <f>IF($L355&gt;Keys!$C$51,IF($K355/$L355&gt;Keys!$C$52,1,0),0)</f>
        <v>0</v>
      </c>
      <c r="X355" s="11">
        <f t="shared" si="23"/>
        <v>0</v>
      </c>
    </row>
    <row r="356" spans="1:24" x14ac:dyDescent="0.25">
      <c r="A356" t="s">
        <v>108</v>
      </c>
      <c r="B356" t="s">
        <v>109</v>
      </c>
      <c r="C356" t="str">
        <f>VLOOKUP($B356,Keys!$F$2:$I$22,2,FALSE)</f>
        <v>crude oil</v>
      </c>
      <c r="D356">
        <f>VLOOKUP($B356,Keys!$F$2:$I$22,3,FALSE)</f>
        <v>1</v>
      </c>
      <c r="E356" t="str">
        <f>VLOOKUP($B356,Keys!$F$2:$I$22,4,FALSE)</f>
        <v>hold</v>
      </c>
      <c r="F356" t="str">
        <f>$A356&amp;Keys!$C$54&amp;$B356</f>
        <v>MA|crude oil</v>
      </c>
      <c r="G356" s="10">
        <f>IF($E356=Keys!$C$60,Keys!$C$51,INDEX(Balanced_2025!$D$9:$D$3032,MATCH($A356&amp;Keys!$C$54&amp;Keys!$C$55&amp;Keys!$C$54&amp;$C356,Balanced_2025!$E$9:$E$3032,0)))</f>
        <v>0</v>
      </c>
      <c r="H356" s="10">
        <f>IF($E356=Keys!$C$60,Keys!$C$51,INDEX(Balanced_2025!$D$9:$D$3032,MATCH($A356&amp;Keys!$C$54&amp;Keys!$C$56&amp;Keys!$C$54&amp;$C356,Balanced_2025!$E$9:$E$3032,0)))</f>
        <v>1395000000000</v>
      </c>
      <c r="I356" s="10">
        <f>IF($E356=Keys!$C$60,Keys!$C$51,INDEX(Balanced_2025!$D$9:$D$3032,MATCH($A356&amp;Keys!$C$54&amp;Keys!$C$57&amp;Keys!$C$54&amp;$C356,Balanced_2025!$E$9:$E$3032,0)))</f>
        <v>0</v>
      </c>
      <c r="J356" s="10">
        <f t="shared" si="20"/>
        <v>1395000000000</v>
      </c>
      <c r="K356" s="10">
        <f>MAX(Keys!$C$51,$I356-$H356)</f>
        <v>0</v>
      </c>
      <c r="L356" s="10">
        <f t="shared" si="21"/>
        <v>1395000000000</v>
      </c>
      <c r="M356" s="11">
        <f>IF($L356&gt;Keys!$C$51,MIN(Keys!$C$52,$K356/$L356),Keys!$C$51)</f>
        <v>0</v>
      </c>
      <c r="N356" s="11">
        <f>IF($E356=Keys!$C$60,Keys!$C$51,IF($E356=Keys!$C$59,$D356,$M356))</f>
        <v>1</v>
      </c>
      <c r="O356">
        <f t="shared" si="22"/>
        <v>0</v>
      </c>
      <c r="P356" s="10">
        <f>IF($E356=Keys!$C$60,Keys!$C$51,INDEX(Raw_BFPIaE!$G$9:$G$3032,MATCH($A356&amp;Keys!$C$54&amp;Keys!$C$55&amp;Keys!$C$54&amp;$B356,Raw_BFPIaE!$H$9:$H$3032,0)))</f>
        <v>0</v>
      </c>
      <c r="Q356" s="10">
        <f>IF($E356=Keys!$C$60,Keys!$C$51,INDEX(Raw_BFPIaE!$G$9:$G$3032,MATCH($A356&amp;Keys!$C$54&amp;Keys!$C$56&amp;Keys!$C$54&amp;$B356,Raw_BFPIaE!$H$9:$H$3032,0)))</f>
        <v>465000000000</v>
      </c>
      <c r="R356" s="10">
        <f>IF($E356=Keys!$C$60,Keys!$C$51,INDEX(Raw_BFPIaE!$G$9:$G$3032,MATCH($A356&amp;Keys!$C$54&amp;Keys!$C$57&amp;Keys!$C$54&amp;$B356,Raw_BFPIaE!$H$9:$H$3032,0)))</f>
        <v>0</v>
      </c>
      <c r="S356" s="11">
        <f>IF(($P356+$Q356-$R356+MAX(Keys!$C$51,$R356-$Q356))&gt;Keys!$C$51,MIN(Keys!$C$52,MAX(Keys!$C$51,$R356-$Q356)/($P356+$Q356-$R356+MAX(Keys!$C$51,$R356-$Q356))),Keys!$C$51)</f>
        <v>0</v>
      </c>
      <c r="T356">
        <f>IF(AND($I356&gt;$H356,ABS($L356-$G356)&gt;MAX(Keys!$C$62,ABS($G356)*Keys!$C$63)),1,0)</f>
        <v>0</v>
      </c>
      <c r="U356">
        <f>IF(OR($N356&lt;Keys!$C$51,$N356&gt;Keys!$C$52),1,0)</f>
        <v>0</v>
      </c>
      <c r="V356">
        <f>IF(AND($E356=Keys!$C$60,$N356&lt;&gt;Keys!$C$51),1,0)</f>
        <v>0</v>
      </c>
      <c r="W356">
        <f>IF($L356&gt;Keys!$C$51,IF($K356/$L356&gt;Keys!$C$52,1,0),0)</f>
        <v>0</v>
      </c>
      <c r="X356" s="11">
        <f t="shared" si="23"/>
        <v>0</v>
      </c>
    </row>
    <row r="357" spans="1:24" x14ac:dyDescent="0.25">
      <c r="A357" t="s">
        <v>108</v>
      </c>
      <c r="B357" t="s">
        <v>113</v>
      </c>
      <c r="C357" t="str">
        <f>VLOOKUP($B357,Keys!$F$2:$I$22,2,FALSE)</f>
        <v>heavy or residual fuel oil</v>
      </c>
      <c r="D357">
        <f>VLOOKUP($B357,Keys!$F$2:$I$22,3,FALSE)</f>
        <v>0.49914171099999999</v>
      </c>
      <c r="E357" t="str">
        <f>VLOOKUP($B357,Keys!$F$2:$I$22,4,FALSE)</f>
        <v>rule</v>
      </c>
      <c r="F357" t="str">
        <f>$A357&amp;Keys!$C$54&amp;$B357</f>
        <v>MA|heavy fuel oil</v>
      </c>
      <c r="G357" s="10">
        <f>IF($E357=Keys!$C$60,Keys!$C$51,INDEX(Balanced_2025!$D$9:$D$3032,MATCH($A357&amp;Keys!$C$54&amp;Keys!$C$55&amp;Keys!$C$54&amp;$C357,Balanced_2025!$E$9:$E$3032,0)))</f>
        <v>0</v>
      </c>
      <c r="H357" s="10">
        <f>IF($E357=Keys!$C$60,Keys!$C$51,INDEX(Balanced_2025!$D$9:$D$3032,MATCH($A357&amp;Keys!$C$54&amp;Keys!$C$56&amp;Keys!$C$54&amp;$C357,Balanced_2025!$E$9:$E$3032,0)))</f>
        <v>14926900000000</v>
      </c>
      <c r="I357" s="10">
        <f>IF($E357=Keys!$C$60,Keys!$C$51,INDEX(Balanced_2025!$D$9:$D$3032,MATCH($A357&amp;Keys!$C$54&amp;Keys!$C$57&amp;Keys!$C$54&amp;$C357,Balanced_2025!$E$9:$E$3032,0)))</f>
        <v>0</v>
      </c>
      <c r="J357" s="10">
        <f t="shared" si="20"/>
        <v>14926900000000</v>
      </c>
      <c r="K357" s="10">
        <f>MAX(Keys!$C$51,$I357-$H357)</f>
        <v>0</v>
      </c>
      <c r="L357" s="10">
        <f t="shared" si="21"/>
        <v>14926900000000</v>
      </c>
      <c r="M357" s="11">
        <f>IF($L357&gt;Keys!$C$51,MIN(Keys!$C$52,$K357/$L357),Keys!$C$51)</f>
        <v>0</v>
      </c>
      <c r="N357" s="11">
        <f>IF($E357=Keys!$C$60,Keys!$C$51,IF($E357=Keys!$C$59,$D357,$M357))</f>
        <v>0</v>
      </c>
      <c r="O357">
        <f t="shared" si="22"/>
        <v>1</v>
      </c>
      <c r="P357" s="10">
        <f>IF($E357=Keys!$C$60,Keys!$C$51,INDEX(Raw_BFPIaE!$G$9:$G$3032,MATCH($A357&amp;Keys!$C$54&amp;Keys!$C$55&amp;Keys!$C$54&amp;$B357,Raw_BFPIaE!$H$9:$H$3032,0)))</f>
        <v>0</v>
      </c>
      <c r="Q357" s="10">
        <f>IF($E357=Keys!$C$60,Keys!$C$51,INDEX(Raw_BFPIaE!$G$9:$G$3032,MATCH($A357&amp;Keys!$C$54&amp;Keys!$C$56&amp;Keys!$C$54&amp;$B357,Raw_BFPIaE!$H$9:$H$3032,0)))</f>
        <v>10099000000000</v>
      </c>
      <c r="R357" s="10">
        <f>IF($E357=Keys!$C$60,Keys!$C$51,INDEX(Raw_BFPIaE!$G$9:$G$3032,MATCH($A357&amp;Keys!$C$54&amp;Keys!$C$57&amp;Keys!$C$54&amp;$B357,Raw_BFPIaE!$H$9:$H$3032,0)))</f>
        <v>0</v>
      </c>
      <c r="S357" s="11">
        <f>IF(($P357+$Q357-$R357+MAX(Keys!$C$51,$R357-$Q357))&gt;Keys!$C$51,MIN(Keys!$C$52,MAX(Keys!$C$51,$R357-$Q357)/($P357+$Q357-$R357+MAX(Keys!$C$51,$R357-$Q357))),Keys!$C$51)</f>
        <v>0</v>
      </c>
      <c r="T357">
        <f>IF(AND($I357&gt;$H357,ABS($L357-$G357)&gt;MAX(Keys!$C$62,ABS($G357)*Keys!$C$63)),1,0)</f>
        <v>0</v>
      </c>
      <c r="U357">
        <f>IF(OR($N357&lt;Keys!$C$51,$N357&gt;Keys!$C$52),1,0)</f>
        <v>0</v>
      </c>
      <c r="V357">
        <f>IF(AND($E357=Keys!$C$60,$N357&lt;&gt;Keys!$C$51),1,0)</f>
        <v>0</v>
      </c>
      <c r="W357">
        <f>IF($L357&gt;Keys!$C$51,IF($K357/$L357&gt;Keys!$C$52,1,0),0)</f>
        <v>0</v>
      </c>
      <c r="X357" s="11">
        <f t="shared" si="23"/>
        <v>0</v>
      </c>
    </row>
    <row r="358" spans="1:24" x14ac:dyDescent="0.25">
      <c r="A358" t="s">
        <v>108</v>
      </c>
      <c r="B358" t="s">
        <v>117</v>
      </c>
      <c r="C358" t="str">
        <f>VLOOKUP($B358,Keys!$F$2:$I$22,2,FALSE)</f>
        <v>LPG propane or butane</v>
      </c>
      <c r="D358">
        <f>VLOOKUP($B358,Keys!$F$2:$I$22,3,FALSE)</f>
        <v>0.54955999499999997</v>
      </c>
      <c r="E358" t="str">
        <f>VLOOKUP($B358,Keys!$F$2:$I$22,4,FALSE)</f>
        <v>rule</v>
      </c>
      <c r="F358" t="str">
        <f>$A358&amp;Keys!$C$54&amp;$B358</f>
        <v>MA|LPG propane or butane</v>
      </c>
      <c r="G358" s="10">
        <f>IF($E358=Keys!$C$60,Keys!$C$51,INDEX(Balanced_2025!$D$9:$D$3032,MATCH($A358&amp;Keys!$C$54&amp;Keys!$C$55&amp;Keys!$C$54&amp;$C358,Balanced_2025!$E$9:$E$3032,0)))</f>
        <v>0</v>
      </c>
      <c r="H358" s="10">
        <f>IF($E358=Keys!$C$60,Keys!$C$51,INDEX(Balanced_2025!$D$9:$D$3032,MATCH($A358&amp;Keys!$C$54&amp;Keys!$C$56&amp;Keys!$C$54&amp;$C358,Balanced_2025!$E$9:$E$3032,0)))</f>
        <v>14622600000000</v>
      </c>
      <c r="I358" s="10">
        <f>IF($E358=Keys!$C$60,Keys!$C$51,INDEX(Balanced_2025!$D$9:$D$3032,MATCH($A358&amp;Keys!$C$54&amp;Keys!$C$57&amp;Keys!$C$54&amp;$C358,Balanced_2025!$E$9:$E$3032,0)))</f>
        <v>0</v>
      </c>
      <c r="J358" s="10">
        <f t="shared" si="20"/>
        <v>14622600000000</v>
      </c>
      <c r="K358" s="10">
        <f>MAX(Keys!$C$51,$I358-$H358)</f>
        <v>0</v>
      </c>
      <c r="L358" s="10">
        <f t="shared" si="21"/>
        <v>14622600000000</v>
      </c>
      <c r="M358" s="11">
        <f>IF($L358&gt;Keys!$C$51,MIN(Keys!$C$52,$K358/$L358),Keys!$C$51)</f>
        <v>0</v>
      </c>
      <c r="N358" s="11">
        <f>IF($E358=Keys!$C$60,Keys!$C$51,IF($E358=Keys!$C$59,$D358,$M358))</f>
        <v>0</v>
      </c>
      <c r="O358">
        <f t="shared" si="22"/>
        <v>1</v>
      </c>
      <c r="P358" s="10">
        <f>IF($E358=Keys!$C$60,Keys!$C$51,INDEX(Raw_BFPIaE!$G$9:$G$3032,MATCH($A358&amp;Keys!$C$54&amp;Keys!$C$55&amp;Keys!$C$54&amp;$B358,Raw_BFPIaE!$H$9:$H$3032,0)))</f>
        <v>0</v>
      </c>
      <c r="Q358" s="10">
        <f>IF($E358=Keys!$C$60,Keys!$C$51,INDEX(Raw_BFPIaE!$G$9:$G$3032,MATCH($A358&amp;Keys!$C$54&amp;Keys!$C$56&amp;Keys!$C$54&amp;$B358,Raw_BFPIaE!$H$9:$H$3032,0)))</f>
        <v>9726766666666.666</v>
      </c>
      <c r="R358" s="10">
        <f>IF($E358=Keys!$C$60,Keys!$C$51,INDEX(Raw_BFPIaE!$G$9:$G$3032,MATCH($A358&amp;Keys!$C$54&amp;Keys!$C$57&amp;Keys!$C$54&amp;$B358,Raw_BFPIaE!$H$9:$H$3032,0)))</f>
        <v>0</v>
      </c>
      <c r="S358" s="11">
        <f>IF(($P358+$Q358-$R358+MAX(Keys!$C$51,$R358-$Q358))&gt;Keys!$C$51,MIN(Keys!$C$52,MAX(Keys!$C$51,$R358-$Q358)/($P358+$Q358-$R358+MAX(Keys!$C$51,$R358-$Q358))),Keys!$C$51)</f>
        <v>0</v>
      </c>
      <c r="T358">
        <f>IF(AND($I358&gt;$H358,ABS($L358-$G358)&gt;MAX(Keys!$C$62,ABS($G358)*Keys!$C$63)),1,0)</f>
        <v>0</v>
      </c>
      <c r="U358">
        <f>IF(OR($N358&lt;Keys!$C$51,$N358&gt;Keys!$C$52),1,0)</f>
        <v>0</v>
      </c>
      <c r="V358">
        <f>IF(AND($E358=Keys!$C$60,$N358&lt;&gt;Keys!$C$51),1,0)</f>
        <v>0</v>
      </c>
      <c r="W358">
        <f>IF($L358&gt;Keys!$C$51,IF($K358/$L358&gt;Keys!$C$52,1,0),0)</f>
        <v>0</v>
      </c>
      <c r="X358" s="11">
        <f t="shared" si="23"/>
        <v>0</v>
      </c>
    </row>
    <row r="359" spans="1:24" x14ac:dyDescent="0.25">
      <c r="A359" t="s">
        <v>108</v>
      </c>
      <c r="B359" t="s">
        <v>120</v>
      </c>
      <c r="C359">
        <f>VLOOKUP($B359,Keys!$F$2:$I$22,2,FALSE)</f>
        <v>0</v>
      </c>
      <c r="D359">
        <f>VLOOKUP($B359,Keys!$F$2:$I$22,3,FALSE)</f>
        <v>0</v>
      </c>
      <c r="E359" t="str">
        <f>VLOOKUP($B359,Keys!$F$2:$I$22,4,FALSE)</f>
        <v>zero</v>
      </c>
      <c r="F359" t="str">
        <f>$A359&amp;Keys!$C$54&amp;$B359</f>
        <v>MA|municipal solid waste</v>
      </c>
      <c r="G359" s="10">
        <f>IF($E359=Keys!$C$60,Keys!$C$51,INDEX(Balanced_2025!$D$9:$D$3032,MATCH($A359&amp;Keys!$C$54&amp;Keys!$C$55&amp;Keys!$C$54&amp;$C359,Balanced_2025!$E$9:$E$3032,0)))</f>
        <v>0</v>
      </c>
      <c r="H359" s="10">
        <f>IF($E359=Keys!$C$60,Keys!$C$51,INDEX(Balanced_2025!$D$9:$D$3032,MATCH($A359&amp;Keys!$C$54&amp;Keys!$C$56&amp;Keys!$C$54&amp;$C359,Balanced_2025!$E$9:$E$3032,0)))</f>
        <v>0</v>
      </c>
      <c r="I359" s="10">
        <f>IF($E359=Keys!$C$60,Keys!$C$51,INDEX(Balanced_2025!$D$9:$D$3032,MATCH($A359&amp;Keys!$C$54&amp;Keys!$C$57&amp;Keys!$C$54&amp;$C359,Balanced_2025!$E$9:$E$3032,0)))</f>
        <v>0</v>
      </c>
      <c r="J359" s="10">
        <f t="shared" si="20"/>
        <v>0</v>
      </c>
      <c r="K359" s="10">
        <f>MAX(Keys!$C$51,$I359-$H359)</f>
        <v>0</v>
      </c>
      <c r="L359" s="10">
        <f t="shared" si="21"/>
        <v>0</v>
      </c>
      <c r="M359" s="11">
        <f>IF($L359&gt;Keys!$C$51,MIN(Keys!$C$52,$K359/$L359),Keys!$C$51)</f>
        <v>0</v>
      </c>
      <c r="N359" s="11">
        <f>IF($E359=Keys!$C$60,Keys!$C$51,IF($E359=Keys!$C$59,$D359,$M359))</f>
        <v>0</v>
      </c>
      <c r="O359">
        <f t="shared" si="22"/>
        <v>0</v>
      </c>
      <c r="P359" s="10">
        <f>IF($E359=Keys!$C$60,Keys!$C$51,INDEX(Raw_BFPIaE!$G$9:$G$3032,MATCH($A359&amp;Keys!$C$54&amp;Keys!$C$55&amp;Keys!$C$54&amp;$B359,Raw_BFPIaE!$H$9:$H$3032,0)))</f>
        <v>0</v>
      </c>
      <c r="Q359" s="10">
        <f>IF($E359=Keys!$C$60,Keys!$C$51,INDEX(Raw_BFPIaE!$G$9:$G$3032,MATCH($A359&amp;Keys!$C$54&amp;Keys!$C$56&amp;Keys!$C$54&amp;$B359,Raw_BFPIaE!$H$9:$H$3032,0)))</f>
        <v>0</v>
      </c>
      <c r="R359" s="10">
        <f>IF($E359=Keys!$C$60,Keys!$C$51,INDEX(Raw_BFPIaE!$G$9:$G$3032,MATCH($A359&amp;Keys!$C$54&amp;Keys!$C$57&amp;Keys!$C$54&amp;$B359,Raw_BFPIaE!$H$9:$H$3032,0)))</f>
        <v>0</v>
      </c>
      <c r="S359" s="11">
        <f>IF(($P359+$Q359-$R359+MAX(Keys!$C$51,$R359-$Q359))&gt;Keys!$C$51,MIN(Keys!$C$52,MAX(Keys!$C$51,$R359-$Q359)/($P359+$Q359-$R359+MAX(Keys!$C$51,$R359-$Q359))),Keys!$C$51)</f>
        <v>0</v>
      </c>
      <c r="T359">
        <f>IF(AND($I359&gt;$H359,ABS($L359-$G359)&gt;MAX(Keys!$C$62,ABS($G359)*Keys!$C$63)),1,0)</f>
        <v>0</v>
      </c>
      <c r="U359">
        <f>IF(OR($N359&lt;Keys!$C$51,$N359&gt;Keys!$C$52),1,0)</f>
        <v>0</v>
      </c>
      <c r="V359">
        <f>IF(AND($E359=Keys!$C$60,$N359&lt;&gt;Keys!$C$51),1,0)</f>
        <v>0</v>
      </c>
      <c r="W359">
        <f>IF($L359&gt;Keys!$C$51,IF($K359/$L359&gt;Keys!$C$52,1,0),0)</f>
        <v>0</v>
      </c>
      <c r="X359" s="11">
        <f t="shared" si="23"/>
        <v>0</v>
      </c>
    </row>
    <row r="360" spans="1:24" x14ac:dyDescent="0.25">
      <c r="A360" t="s">
        <v>108</v>
      </c>
      <c r="B360" t="s">
        <v>123</v>
      </c>
      <c r="C360">
        <f>VLOOKUP($B360,Keys!$F$2:$I$22,2,FALSE)</f>
        <v>0</v>
      </c>
      <c r="D360">
        <f>VLOOKUP($B360,Keys!$F$2:$I$22,3,FALSE)</f>
        <v>0</v>
      </c>
      <c r="E360" t="str">
        <f>VLOOKUP($B360,Keys!$F$2:$I$22,4,FALSE)</f>
        <v>zero</v>
      </c>
      <c r="F360" t="str">
        <f>$A360&amp;Keys!$C$54&amp;$B360</f>
        <v>MA|hydrogen</v>
      </c>
      <c r="G360" s="10">
        <f>IF($E360=Keys!$C$60,Keys!$C$51,INDEX(Balanced_2025!$D$9:$D$3032,MATCH($A360&amp;Keys!$C$54&amp;Keys!$C$55&amp;Keys!$C$54&amp;$C360,Balanced_2025!$E$9:$E$3032,0)))</f>
        <v>0</v>
      </c>
      <c r="H360" s="10">
        <f>IF($E360=Keys!$C$60,Keys!$C$51,INDEX(Balanced_2025!$D$9:$D$3032,MATCH($A360&amp;Keys!$C$54&amp;Keys!$C$56&amp;Keys!$C$54&amp;$C360,Balanced_2025!$E$9:$E$3032,0)))</f>
        <v>0</v>
      </c>
      <c r="I360" s="10">
        <f>IF($E360=Keys!$C$60,Keys!$C$51,INDEX(Balanced_2025!$D$9:$D$3032,MATCH($A360&amp;Keys!$C$54&amp;Keys!$C$57&amp;Keys!$C$54&amp;$C360,Balanced_2025!$E$9:$E$3032,0)))</f>
        <v>0</v>
      </c>
      <c r="J360" s="10">
        <f t="shared" si="20"/>
        <v>0</v>
      </c>
      <c r="K360" s="10">
        <f>MAX(Keys!$C$51,$I360-$H360)</f>
        <v>0</v>
      </c>
      <c r="L360" s="10">
        <f t="shared" si="21"/>
        <v>0</v>
      </c>
      <c r="M360" s="11">
        <f>IF($L360&gt;Keys!$C$51,MIN(Keys!$C$52,$K360/$L360),Keys!$C$51)</f>
        <v>0</v>
      </c>
      <c r="N360" s="11">
        <f>IF($E360=Keys!$C$60,Keys!$C$51,IF($E360=Keys!$C$59,$D360,$M360))</f>
        <v>0</v>
      </c>
      <c r="O360">
        <f t="shared" si="22"/>
        <v>0</v>
      </c>
      <c r="P360" s="10">
        <f>IF($E360=Keys!$C$60,Keys!$C$51,INDEX(Raw_BFPIaE!$G$9:$G$3032,MATCH($A360&amp;Keys!$C$54&amp;Keys!$C$55&amp;Keys!$C$54&amp;$B360,Raw_BFPIaE!$H$9:$H$3032,0)))</f>
        <v>0</v>
      </c>
      <c r="Q360" s="10">
        <f>IF($E360=Keys!$C$60,Keys!$C$51,INDEX(Raw_BFPIaE!$G$9:$G$3032,MATCH($A360&amp;Keys!$C$54&amp;Keys!$C$56&amp;Keys!$C$54&amp;$B360,Raw_BFPIaE!$H$9:$H$3032,0)))</f>
        <v>0</v>
      </c>
      <c r="R360" s="10">
        <f>IF($E360=Keys!$C$60,Keys!$C$51,INDEX(Raw_BFPIaE!$G$9:$G$3032,MATCH($A360&amp;Keys!$C$54&amp;Keys!$C$57&amp;Keys!$C$54&amp;$B360,Raw_BFPIaE!$H$9:$H$3032,0)))</f>
        <v>0</v>
      </c>
      <c r="S360" s="11">
        <f>IF(($P360+$Q360-$R360+MAX(Keys!$C$51,$R360-$Q360))&gt;Keys!$C$51,MIN(Keys!$C$52,MAX(Keys!$C$51,$R360-$Q360)/($P360+$Q360-$R360+MAX(Keys!$C$51,$R360-$Q360))),Keys!$C$51)</f>
        <v>0</v>
      </c>
      <c r="T360">
        <f>IF(AND($I360&gt;$H360,ABS($L360-$G360)&gt;MAX(Keys!$C$62,ABS($G360)*Keys!$C$63)),1,0)</f>
        <v>0</v>
      </c>
      <c r="U360">
        <f>IF(OR($N360&lt;Keys!$C$51,$N360&gt;Keys!$C$52),1,0)</f>
        <v>0</v>
      </c>
      <c r="V360">
        <f>IF(AND($E360=Keys!$C$60,$N360&lt;&gt;Keys!$C$51),1,0)</f>
        <v>0</v>
      </c>
      <c r="W360">
        <f>IF($L360&gt;Keys!$C$51,IF($K360/$L360&gt;Keys!$C$52,1,0),0)</f>
        <v>0</v>
      </c>
      <c r="X360" s="11">
        <f t="shared" si="23"/>
        <v>0</v>
      </c>
    </row>
    <row r="361" spans="1:24" x14ac:dyDescent="0.25">
      <c r="A361" t="s">
        <v>112</v>
      </c>
      <c r="B361" t="s">
        <v>60</v>
      </c>
      <c r="C361">
        <f>VLOOKUP($B361,Keys!$F$2:$I$22,2,FALSE)</f>
        <v>0</v>
      </c>
      <c r="D361">
        <f>VLOOKUP($B361,Keys!$F$2:$I$22,3,FALSE)</f>
        <v>0</v>
      </c>
      <c r="E361" t="str">
        <f>VLOOKUP($B361,Keys!$F$2:$I$22,4,FALSE)</f>
        <v>zero</v>
      </c>
      <c r="F361" t="str">
        <f>$A361&amp;Keys!$C$54&amp;$B361</f>
        <v>MD|electricity (not used in this variable)</v>
      </c>
      <c r="G361" s="10">
        <f>IF($E361=Keys!$C$60,Keys!$C$51,INDEX(Balanced_2025!$D$9:$D$3032,MATCH($A361&amp;Keys!$C$54&amp;Keys!$C$55&amp;Keys!$C$54&amp;$C361,Balanced_2025!$E$9:$E$3032,0)))</f>
        <v>0</v>
      </c>
      <c r="H361" s="10">
        <f>IF($E361=Keys!$C$60,Keys!$C$51,INDEX(Balanced_2025!$D$9:$D$3032,MATCH($A361&amp;Keys!$C$54&amp;Keys!$C$56&amp;Keys!$C$54&amp;$C361,Balanced_2025!$E$9:$E$3032,0)))</f>
        <v>0</v>
      </c>
      <c r="I361" s="10">
        <f>IF($E361=Keys!$C$60,Keys!$C$51,INDEX(Balanced_2025!$D$9:$D$3032,MATCH($A361&amp;Keys!$C$54&amp;Keys!$C$57&amp;Keys!$C$54&amp;$C361,Balanced_2025!$E$9:$E$3032,0)))</f>
        <v>0</v>
      </c>
      <c r="J361" s="10">
        <f t="shared" si="20"/>
        <v>0</v>
      </c>
      <c r="K361" s="10">
        <f>MAX(Keys!$C$51,$I361-$H361)</f>
        <v>0</v>
      </c>
      <c r="L361" s="10">
        <f t="shared" si="21"/>
        <v>0</v>
      </c>
      <c r="M361" s="11">
        <f>IF($L361&gt;Keys!$C$51,MIN(Keys!$C$52,$K361/$L361),Keys!$C$51)</f>
        <v>0</v>
      </c>
      <c r="N361" s="11">
        <f>IF($E361=Keys!$C$60,Keys!$C$51,IF($E361=Keys!$C$59,$D361,$M361))</f>
        <v>0</v>
      </c>
      <c r="O361">
        <f t="shared" si="22"/>
        <v>0</v>
      </c>
      <c r="P361" s="10">
        <f>IF($E361=Keys!$C$60,Keys!$C$51,INDEX(Raw_BFPIaE!$G$9:$G$3032,MATCH($A361&amp;Keys!$C$54&amp;Keys!$C$55&amp;Keys!$C$54&amp;$B361,Raw_BFPIaE!$H$9:$H$3032,0)))</f>
        <v>0</v>
      </c>
      <c r="Q361" s="10">
        <f>IF($E361=Keys!$C$60,Keys!$C$51,INDEX(Raw_BFPIaE!$G$9:$G$3032,MATCH($A361&amp;Keys!$C$54&amp;Keys!$C$56&amp;Keys!$C$54&amp;$B361,Raw_BFPIaE!$H$9:$H$3032,0)))</f>
        <v>0</v>
      </c>
      <c r="R361" s="10">
        <f>IF($E361=Keys!$C$60,Keys!$C$51,INDEX(Raw_BFPIaE!$G$9:$G$3032,MATCH($A361&amp;Keys!$C$54&amp;Keys!$C$57&amp;Keys!$C$54&amp;$B361,Raw_BFPIaE!$H$9:$H$3032,0)))</f>
        <v>0</v>
      </c>
      <c r="S361" s="11">
        <f>IF(($P361+$Q361-$R361+MAX(Keys!$C$51,$R361-$Q361))&gt;Keys!$C$51,MIN(Keys!$C$52,MAX(Keys!$C$51,$R361-$Q361)/($P361+$Q361-$R361+MAX(Keys!$C$51,$R361-$Q361))),Keys!$C$51)</f>
        <v>0</v>
      </c>
      <c r="T361">
        <f>IF(AND($I361&gt;$H361,ABS($L361-$G361)&gt;MAX(Keys!$C$62,ABS($G361)*Keys!$C$63)),1,0)</f>
        <v>0</v>
      </c>
      <c r="U361">
        <f>IF(OR($N361&lt;Keys!$C$51,$N361&gt;Keys!$C$52),1,0)</f>
        <v>0</v>
      </c>
      <c r="V361">
        <f>IF(AND($E361=Keys!$C$60,$N361&lt;&gt;Keys!$C$51),1,0)</f>
        <v>0</v>
      </c>
      <c r="W361">
        <f>IF($L361&gt;Keys!$C$51,IF($K361/$L361&gt;Keys!$C$52,1,0),0)</f>
        <v>0</v>
      </c>
      <c r="X361" s="11">
        <f t="shared" si="23"/>
        <v>0</v>
      </c>
    </row>
    <row r="362" spans="1:24" x14ac:dyDescent="0.25">
      <c r="A362" t="s">
        <v>112</v>
      </c>
      <c r="B362" t="s">
        <v>64</v>
      </c>
      <c r="C362" t="str">
        <f>VLOOKUP($B362,Keys!$F$2:$I$22,2,FALSE)</f>
        <v>hard coal</v>
      </c>
      <c r="D362">
        <f>VLOOKUP($B362,Keys!$F$2:$I$22,3,FALSE)</f>
        <v>0.137539879</v>
      </c>
      <c r="E362" t="str">
        <f>VLOOKUP($B362,Keys!$F$2:$I$22,4,FALSE)</f>
        <v>rule</v>
      </c>
      <c r="F362" t="str">
        <f>$A362&amp;Keys!$C$54&amp;$B362</f>
        <v>MD|hard coal</v>
      </c>
      <c r="G362" s="10">
        <f>IF($E362=Keys!$C$60,Keys!$C$51,INDEX(Balanced_2025!$D$9:$D$3032,MATCH($A362&amp;Keys!$C$54&amp;Keys!$C$55&amp;Keys!$C$54&amp;$C362,Balanced_2025!$E$9:$E$3032,0)))</f>
        <v>27079000000000</v>
      </c>
      <c r="H362" s="10">
        <f>IF($E362=Keys!$C$60,Keys!$C$51,INDEX(Balanced_2025!$D$9:$D$3032,MATCH($A362&amp;Keys!$C$54&amp;Keys!$C$56&amp;Keys!$C$54&amp;$C362,Balanced_2025!$E$9:$E$3032,0)))</f>
        <v>23347800000000</v>
      </c>
      <c r="I362" s="10">
        <f>IF($E362=Keys!$C$60,Keys!$C$51,INDEX(Balanced_2025!$D$9:$D$3032,MATCH($A362&amp;Keys!$C$54&amp;Keys!$C$57&amp;Keys!$C$54&amp;$C362,Balanced_2025!$E$9:$E$3032,0)))</f>
        <v>7523380000000</v>
      </c>
      <c r="J362" s="10">
        <f t="shared" si="20"/>
        <v>42903420000000</v>
      </c>
      <c r="K362" s="10">
        <f>MAX(Keys!$C$51,$I362-$H362)</f>
        <v>0</v>
      </c>
      <c r="L362" s="10">
        <f t="shared" si="21"/>
        <v>42903420000000</v>
      </c>
      <c r="M362" s="11">
        <f>IF($L362&gt;Keys!$C$51,MIN(Keys!$C$52,$K362/$L362),Keys!$C$51)</f>
        <v>0</v>
      </c>
      <c r="N362" s="11">
        <f>IF($E362=Keys!$C$60,Keys!$C$51,IF($E362=Keys!$C$59,$D362,$M362))</f>
        <v>0</v>
      </c>
      <c r="O362">
        <f t="shared" si="22"/>
        <v>1</v>
      </c>
      <c r="P362" s="10">
        <f>IF($E362=Keys!$C$60,Keys!$C$51,INDEX(Raw_BFPIaE!$G$9:$G$3032,MATCH($A362&amp;Keys!$C$54&amp;Keys!$C$55&amp;Keys!$C$54&amp;$B362,Raw_BFPIaE!$H$9:$H$3032,0)))</f>
        <v>27079233333333.332</v>
      </c>
      <c r="Q362" s="10">
        <f>IF($E362=Keys!$C$60,Keys!$C$51,INDEX(Raw_BFPIaE!$G$9:$G$3032,MATCH($A362&amp;Keys!$C$54&amp;Keys!$C$56&amp;Keys!$C$54&amp;$B362,Raw_BFPIaE!$H$9:$H$3032,0)))</f>
        <v>16452100000000</v>
      </c>
      <c r="R362" s="10">
        <f>IF($E362=Keys!$C$60,Keys!$C$51,INDEX(Raw_BFPIaE!$G$9:$G$3032,MATCH($A362&amp;Keys!$C$54&amp;Keys!$C$57&amp;Keys!$C$54&amp;$B362,Raw_BFPIaE!$H$9:$H$3032,0)))</f>
        <v>7523440000000</v>
      </c>
      <c r="S362" s="11">
        <f>IF(($P362+$Q362-$R362+MAX(Keys!$C$51,$R362-$Q362))&gt;Keys!$C$51,MIN(Keys!$C$52,MAX(Keys!$C$51,$R362-$Q362)/($P362+$Q362-$R362+MAX(Keys!$C$51,$R362-$Q362))),Keys!$C$51)</f>
        <v>0</v>
      </c>
      <c r="T362">
        <f>IF(AND($I362&gt;$H362,ABS($L362-$G362)&gt;MAX(Keys!$C$62,ABS($G362)*Keys!$C$63)),1,0)</f>
        <v>0</v>
      </c>
      <c r="U362">
        <f>IF(OR($N362&lt;Keys!$C$51,$N362&gt;Keys!$C$52),1,0)</f>
        <v>0</v>
      </c>
      <c r="V362">
        <f>IF(AND($E362=Keys!$C$60,$N362&lt;&gt;Keys!$C$51),1,0)</f>
        <v>0</v>
      </c>
      <c r="W362">
        <f>IF($L362&gt;Keys!$C$51,IF($K362/$L362&gt;Keys!$C$52,1,0),0)</f>
        <v>0</v>
      </c>
      <c r="X362" s="11">
        <f t="shared" si="23"/>
        <v>0</v>
      </c>
    </row>
    <row r="363" spans="1:24" x14ac:dyDescent="0.25">
      <c r="A363" t="s">
        <v>112</v>
      </c>
      <c r="B363" t="s">
        <v>68</v>
      </c>
      <c r="C363" t="str">
        <f>VLOOKUP($B363,Keys!$F$2:$I$22,2,FALSE)</f>
        <v>natural gas</v>
      </c>
      <c r="D363">
        <f>VLOOKUP($B363,Keys!$F$2:$I$22,3,FALSE)</f>
        <v>0.190839183</v>
      </c>
      <c r="E363" t="str">
        <f>VLOOKUP($B363,Keys!$F$2:$I$22,4,FALSE)</f>
        <v>rule</v>
      </c>
      <c r="F363" t="str">
        <f>$A363&amp;Keys!$C$54&amp;$B363</f>
        <v>MD|natural gas</v>
      </c>
      <c r="G363" s="10">
        <f>IF($E363=Keys!$C$60,Keys!$C$51,INDEX(Balanced_2025!$D$9:$D$3032,MATCH($A363&amp;Keys!$C$54&amp;Keys!$C$55&amp;Keys!$C$54&amp;$C363,Balanced_2025!$E$9:$E$3032,0)))</f>
        <v>5185000000</v>
      </c>
      <c r="H363" s="10">
        <f>IF($E363=Keys!$C$60,Keys!$C$51,INDEX(Balanced_2025!$D$9:$D$3032,MATCH($A363&amp;Keys!$C$54&amp;Keys!$C$56&amp;Keys!$C$54&amp;$C363,Balanced_2025!$E$9:$E$3032,0)))</f>
        <v>1580020000000000</v>
      </c>
      <c r="I363" s="10">
        <f>IF($E363=Keys!$C$60,Keys!$C$51,INDEX(Balanced_2025!$D$9:$D$3032,MATCH($A363&amp;Keys!$C$54&amp;Keys!$C$57&amp;Keys!$C$54&amp;$C363,Balanced_2025!$E$9:$E$3032,0)))</f>
        <v>1275920000000000</v>
      </c>
      <c r="J363" s="10">
        <f t="shared" si="20"/>
        <v>304105185000000</v>
      </c>
      <c r="K363" s="10">
        <f>MAX(Keys!$C$51,$I363-$H363)</f>
        <v>0</v>
      </c>
      <c r="L363" s="10">
        <f t="shared" si="21"/>
        <v>304105185000000</v>
      </c>
      <c r="M363" s="11">
        <f>IF($L363&gt;Keys!$C$51,MIN(Keys!$C$52,$K363/$L363),Keys!$C$51)</f>
        <v>0</v>
      </c>
      <c r="N363" s="11">
        <f>IF($E363=Keys!$C$60,Keys!$C$51,IF($E363=Keys!$C$59,$D363,$M363))</f>
        <v>0</v>
      </c>
      <c r="O363">
        <f t="shared" si="22"/>
        <v>1</v>
      </c>
      <c r="P363" s="10">
        <f>IF($E363=Keys!$C$60,Keys!$C$51,INDEX(Raw_BFPIaE!$G$9:$G$3032,MATCH($A363&amp;Keys!$C$54&amp;Keys!$C$55&amp;Keys!$C$54&amp;$B363,Raw_BFPIaE!$H$9:$H$3032,0)))</f>
        <v>5190366666.666667</v>
      </c>
      <c r="Q363" s="10">
        <f>IF($E363=Keys!$C$60,Keys!$C$51,INDEX(Raw_BFPIaE!$G$9:$G$3032,MATCH($A363&amp;Keys!$C$54&amp;Keys!$C$56&amp;Keys!$C$54&amp;$B363,Raw_BFPIaE!$H$9:$H$3032,0)))</f>
        <v>1568536666666666.8</v>
      </c>
      <c r="R363" s="10">
        <f>IF($E363=Keys!$C$60,Keys!$C$51,INDEX(Raw_BFPIaE!$G$9:$G$3032,MATCH($A363&amp;Keys!$C$54&amp;Keys!$C$57&amp;Keys!$C$54&amp;$B363,Raw_BFPIaE!$H$9:$H$3032,0)))</f>
        <v>1277240000000000</v>
      </c>
      <c r="S363" s="11">
        <f>IF(($P363+$Q363-$R363+MAX(Keys!$C$51,$R363-$Q363))&gt;Keys!$C$51,MIN(Keys!$C$52,MAX(Keys!$C$51,$R363-$Q363)/($P363+$Q363-$R363+MAX(Keys!$C$51,$R363-$Q363))),Keys!$C$51)</f>
        <v>0</v>
      </c>
      <c r="T363">
        <f>IF(AND($I363&gt;$H363,ABS($L363-$G363)&gt;MAX(Keys!$C$62,ABS($G363)*Keys!$C$63)),1,0)</f>
        <v>0</v>
      </c>
      <c r="U363">
        <f>IF(OR($N363&lt;Keys!$C$51,$N363&gt;Keys!$C$52),1,0)</f>
        <v>0</v>
      </c>
      <c r="V363">
        <f>IF(AND($E363=Keys!$C$60,$N363&lt;&gt;Keys!$C$51),1,0)</f>
        <v>0</v>
      </c>
      <c r="W363">
        <f>IF($L363&gt;Keys!$C$51,IF($K363/$L363&gt;Keys!$C$52,1,0),0)</f>
        <v>0</v>
      </c>
      <c r="X363" s="11">
        <f t="shared" si="23"/>
        <v>0</v>
      </c>
    </row>
    <row r="364" spans="1:24" x14ac:dyDescent="0.25">
      <c r="A364" t="s">
        <v>112</v>
      </c>
      <c r="B364" t="s">
        <v>71</v>
      </c>
      <c r="C364">
        <f>VLOOKUP($B364,Keys!$F$2:$I$22,2,FALSE)</f>
        <v>0</v>
      </c>
      <c r="D364">
        <f>VLOOKUP($B364,Keys!$F$2:$I$22,3,FALSE)</f>
        <v>0</v>
      </c>
      <c r="E364" t="str">
        <f>VLOOKUP($B364,Keys!$F$2:$I$22,4,FALSE)</f>
        <v>zero</v>
      </c>
      <c r="F364" t="str">
        <f>$A364&amp;Keys!$C$54&amp;$B364</f>
        <v>MD|nuclear</v>
      </c>
      <c r="G364" s="10">
        <f>IF($E364=Keys!$C$60,Keys!$C$51,INDEX(Balanced_2025!$D$9:$D$3032,MATCH($A364&amp;Keys!$C$54&amp;Keys!$C$55&amp;Keys!$C$54&amp;$C364,Balanced_2025!$E$9:$E$3032,0)))</f>
        <v>0</v>
      </c>
      <c r="H364" s="10">
        <f>IF($E364=Keys!$C$60,Keys!$C$51,INDEX(Balanced_2025!$D$9:$D$3032,MATCH($A364&amp;Keys!$C$54&amp;Keys!$C$56&amp;Keys!$C$54&amp;$C364,Balanced_2025!$E$9:$E$3032,0)))</f>
        <v>0</v>
      </c>
      <c r="I364" s="10">
        <f>IF($E364=Keys!$C$60,Keys!$C$51,INDEX(Balanced_2025!$D$9:$D$3032,MATCH($A364&amp;Keys!$C$54&amp;Keys!$C$57&amp;Keys!$C$54&amp;$C364,Balanced_2025!$E$9:$E$3032,0)))</f>
        <v>0</v>
      </c>
      <c r="J364" s="10">
        <f t="shared" si="20"/>
        <v>0</v>
      </c>
      <c r="K364" s="10">
        <f>MAX(Keys!$C$51,$I364-$H364)</f>
        <v>0</v>
      </c>
      <c r="L364" s="10">
        <f t="shared" si="21"/>
        <v>0</v>
      </c>
      <c r="M364" s="11">
        <f>IF($L364&gt;Keys!$C$51,MIN(Keys!$C$52,$K364/$L364),Keys!$C$51)</f>
        <v>0</v>
      </c>
      <c r="N364" s="11">
        <f>IF($E364=Keys!$C$60,Keys!$C$51,IF($E364=Keys!$C$59,$D364,$M364))</f>
        <v>0</v>
      </c>
      <c r="O364">
        <f t="shared" si="22"/>
        <v>0</v>
      </c>
      <c r="P364" s="10">
        <f>IF($E364=Keys!$C$60,Keys!$C$51,INDEX(Raw_BFPIaE!$G$9:$G$3032,MATCH($A364&amp;Keys!$C$54&amp;Keys!$C$55&amp;Keys!$C$54&amp;$B364,Raw_BFPIaE!$H$9:$H$3032,0)))</f>
        <v>0</v>
      </c>
      <c r="Q364" s="10">
        <f>IF($E364=Keys!$C$60,Keys!$C$51,INDEX(Raw_BFPIaE!$G$9:$G$3032,MATCH($A364&amp;Keys!$C$54&amp;Keys!$C$56&amp;Keys!$C$54&amp;$B364,Raw_BFPIaE!$H$9:$H$3032,0)))</f>
        <v>0</v>
      </c>
      <c r="R364" s="10">
        <f>IF($E364=Keys!$C$60,Keys!$C$51,INDEX(Raw_BFPIaE!$G$9:$G$3032,MATCH($A364&amp;Keys!$C$54&amp;Keys!$C$57&amp;Keys!$C$54&amp;$B364,Raw_BFPIaE!$H$9:$H$3032,0)))</f>
        <v>0</v>
      </c>
      <c r="S364" s="11">
        <f>IF(($P364+$Q364-$R364+MAX(Keys!$C$51,$R364-$Q364))&gt;Keys!$C$51,MIN(Keys!$C$52,MAX(Keys!$C$51,$R364-$Q364)/($P364+$Q364-$R364+MAX(Keys!$C$51,$R364-$Q364))),Keys!$C$51)</f>
        <v>0</v>
      </c>
      <c r="T364">
        <f>IF(AND($I364&gt;$H364,ABS($L364-$G364)&gt;MAX(Keys!$C$62,ABS($G364)*Keys!$C$63)),1,0)</f>
        <v>0</v>
      </c>
      <c r="U364">
        <f>IF(OR($N364&lt;Keys!$C$51,$N364&gt;Keys!$C$52),1,0)</f>
        <v>0</v>
      </c>
      <c r="V364">
        <f>IF(AND($E364=Keys!$C$60,$N364&lt;&gt;Keys!$C$51),1,0)</f>
        <v>0</v>
      </c>
      <c r="W364">
        <f>IF($L364&gt;Keys!$C$51,IF($K364/$L364&gt;Keys!$C$52,1,0),0)</f>
        <v>0</v>
      </c>
      <c r="X364" s="11">
        <f t="shared" si="23"/>
        <v>0</v>
      </c>
    </row>
    <row r="365" spans="1:24" x14ac:dyDescent="0.25">
      <c r="A365" t="s">
        <v>112</v>
      </c>
      <c r="B365" t="s">
        <v>74</v>
      </c>
      <c r="C365">
        <f>VLOOKUP($B365,Keys!$F$2:$I$22,2,FALSE)</f>
        <v>0</v>
      </c>
      <c r="D365">
        <f>VLOOKUP($B365,Keys!$F$2:$I$22,3,FALSE)</f>
        <v>0</v>
      </c>
      <c r="E365" t="str">
        <f>VLOOKUP($B365,Keys!$F$2:$I$22,4,FALSE)</f>
        <v>zero</v>
      </c>
      <c r="F365" t="str">
        <f>$A365&amp;Keys!$C$54&amp;$B365</f>
        <v>MD|hydro (is not a fuel)</v>
      </c>
      <c r="G365" s="10">
        <f>IF($E365=Keys!$C$60,Keys!$C$51,INDEX(Balanced_2025!$D$9:$D$3032,MATCH($A365&amp;Keys!$C$54&amp;Keys!$C$55&amp;Keys!$C$54&amp;$C365,Balanced_2025!$E$9:$E$3032,0)))</f>
        <v>0</v>
      </c>
      <c r="H365" s="10">
        <f>IF($E365=Keys!$C$60,Keys!$C$51,INDEX(Balanced_2025!$D$9:$D$3032,MATCH($A365&amp;Keys!$C$54&amp;Keys!$C$56&amp;Keys!$C$54&amp;$C365,Balanced_2025!$E$9:$E$3032,0)))</f>
        <v>0</v>
      </c>
      <c r="I365" s="10">
        <f>IF($E365=Keys!$C$60,Keys!$C$51,INDEX(Balanced_2025!$D$9:$D$3032,MATCH($A365&amp;Keys!$C$54&amp;Keys!$C$57&amp;Keys!$C$54&amp;$C365,Balanced_2025!$E$9:$E$3032,0)))</f>
        <v>0</v>
      </c>
      <c r="J365" s="10">
        <f t="shared" si="20"/>
        <v>0</v>
      </c>
      <c r="K365" s="10">
        <f>MAX(Keys!$C$51,$I365-$H365)</f>
        <v>0</v>
      </c>
      <c r="L365" s="10">
        <f t="shared" si="21"/>
        <v>0</v>
      </c>
      <c r="M365" s="11">
        <f>IF($L365&gt;Keys!$C$51,MIN(Keys!$C$52,$K365/$L365),Keys!$C$51)</f>
        <v>0</v>
      </c>
      <c r="N365" s="11">
        <f>IF($E365=Keys!$C$60,Keys!$C$51,IF($E365=Keys!$C$59,$D365,$M365))</f>
        <v>0</v>
      </c>
      <c r="O365">
        <f t="shared" si="22"/>
        <v>0</v>
      </c>
      <c r="P365" s="10">
        <f>IF($E365=Keys!$C$60,Keys!$C$51,INDEX(Raw_BFPIaE!$G$9:$G$3032,MATCH($A365&amp;Keys!$C$54&amp;Keys!$C$55&amp;Keys!$C$54&amp;$B365,Raw_BFPIaE!$H$9:$H$3032,0)))</f>
        <v>0</v>
      </c>
      <c r="Q365" s="10">
        <f>IF($E365=Keys!$C$60,Keys!$C$51,INDEX(Raw_BFPIaE!$G$9:$G$3032,MATCH($A365&amp;Keys!$C$54&amp;Keys!$C$56&amp;Keys!$C$54&amp;$B365,Raw_BFPIaE!$H$9:$H$3032,0)))</f>
        <v>0</v>
      </c>
      <c r="R365" s="10">
        <f>IF($E365=Keys!$C$60,Keys!$C$51,INDEX(Raw_BFPIaE!$G$9:$G$3032,MATCH($A365&amp;Keys!$C$54&amp;Keys!$C$57&amp;Keys!$C$54&amp;$B365,Raw_BFPIaE!$H$9:$H$3032,0)))</f>
        <v>0</v>
      </c>
      <c r="S365" s="11">
        <f>IF(($P365+$Q365-$R365+MAX(Keys!$C$51,$R365-$Q365))&gt;Keys!$C$51,MIN(Keys!$C$52,MAX(Keys!$C$51,$R365-$Q365)/($P365+$Q365-$R365+MAX(Keys!$C$51,$R365-$Q365))),Keys!$C$51)</f>
        <v>0</v>
      </c>
      <c r="T365">
        <f>IF(AND($I365&gt;$H365,ABS($L365-$G365)&gt;MAX(Keys!$C$62,ABS($G365)*Keys!$C$63)),1,0)</f>
        <v>0</v>
      </c>
      <c r="U365">
        <f>IF(OR($N365&lt;Keys!$C$51,$N365&gt;Keys!$C$52),1,0)</f>
        <v>0</v>
      </c>
      <c r="V365">
        <f>IF(AND($E365=Keys!$C$60,$N365&lt;&gt;Keys!$C$51),1,0)</f>
        <v>0</v>
      </c>
      <c r="W365">
        <f>IF($L365&gt;Keys!$C$51,IF($K365/$L365&gt;Keys!$C$52,1,0),0)</f>
        <v>0</v>
      </c>
      <c r="X365" s="11">
        <f t="shared" si="23"/>
        <v>0</v>
      </c>
    </row>
    <row r="366" spans="1:24" x14ac:dyDescent="0.25">
      <c r="A366" t="s">
        <v>112</v>
      </c>
      <c r="B366" t="s">
        <v>77</v>
      </c>
      <c r="C366">
        <f>VLOOKUP($B366,Keys!$F$2:$I$22,2,FALSE)</f>
        <v>0</v>
      </c>
      <c r="D366">
        <f>VLOOKUP($B366,Keys!$F$2:$I$22,3,FALSE)</f>
        <v>0</v>
      </c>
      <c r="E366" t="str">
        <f>VLOOKUP($B366,Keys!$F$2:$I$22,4,FALSE)</f>
        <v>zero</v>
      </c>
      <c r="F366" t="str">
        <f>$A366&amp;Keys!$C$54&amp;$B366</f>
        <v>MD|wind (is not a fuel)</v>
      </c>
      <c r="G366" s="10">
        <f>IF($E366=Keys!$C$60,Keys!$C$51,INDEX(Balanced_2025!$D$9:$D$3032,MATCH($A366&amp;Keys!$C$54&amp;Keys!$C$55&amp;Keys!$C$54&amp;$C366,Balanced_2025!$E$9:$E$3032,0)))</f>
        <v>0</v>
      </c>
      <c r="H366" s="10">
        <f>IF($E366=Keys!$C$60,Keys!$C$51,INDEX(Balanced_2025!$D$9:$D$3032,MATCH($A366&amp;Keys!$C$54&amp;Keys!$C$56&amp;Keys!$C$54&amp;$C366,Balanced_2025!$E$9:$E$3032,0)))</f>
        <v>0</v>
      </c>
      <c r="I366" s="10">
        <f>IF($E366=Keys!$C$60,Keys!$C$51,INDEX(Balanced_2025!$D$9:$D$3032,MATCH($A366&amp;Keys!$C$54&amp;Keys!$C$57&amp;Keys!$C$54&amp;$C366,Balanced_2025!$E$9:$E$3032,0)))</f>
        <v>0</v>
      </c>
      <c r="J366" s="10">
        <f t="shared" si="20"/>
        <v>0</v>
      </c>
      <c r="K366" s="10">
        <f>MAX(Keys!$C$51,$I366-$H366)</f>
        <v>0</v>
      </c>
      <c r="L366" s="10">
        <f t="shared" si="21"/>
        <v>0</v>
      </c>
      <c r="M366" s="11">
        <f>IF($L366&gt;Keys!$C$51,MIN(Keys!$C$52,$K366/$L366),Keys!$C$51)</f>
        <v>0</v>
      </c>
      <c r="N366" s="11">
        <f>IF($E366=Keys!$C$60,Keys!$C$51,IF($E366=Keys!$C$59,$D366,$M366))</f>
        <v>0</v>
      </c>
      <c r="O366">
        <f t="shared" si="22"/>
        <v>0</v>
      </c>
      <c r="P366" s="10">
        <f>IF($E366=Keys!$C$60,Keys!$C$51,INDEX(Raw_BFPIaE!$G$9:$G$3032,MATCH($A366&amp;Keys!$C$54&amp;Keys!$C$55&amp;Keys!$C$54&amp;$B366,Raw_BFPIaE!$H$9:$H$3032,0)))</f>
        <v>0</v>
      </c>
      <c r="Q366" s="10">
        <f>IF($E366=Keys!$C$60,Keys!$C$51,INDEX(Raw_BFPIaE!$G$9:$G$3032,MATCH($A366&amp;Keys!$C$54&amp;Keys!$C$56&amp;Keys!$C$54&amp;$B366,Raw_BFPIaE!$H$9:$H$3032,0)))</f>
        <v>0</v>
      </c>
      <c r="R366" s="10">
        <f>IF($E366=Keys!$C$60,Keys!$C$51,INDEX(Raw_BFPIaE!$G$9:$G$3032,MATCH($A366&amp;Keys!$C$54&amp;Keys!$C$57&amp;Keys!$C$54&amp;$B366,Raw_BFPIaE!$H$9:$H$3032,0)))</f>
        <v>0</v>
      </c>
      <c r="S366" s="11">
        <f>IF(($P366+$Q366-$R366+MAX(Keys!$C$51,$R366-$Q366))&gt;Keys!$C$51,MIN(Keys!$C$52,MAX(Keys!$C$51,$R366-$Q366)/($P366+$Q366-$R366+MAX(Keys!$C$51,$R366-$Q366))),Keys!$C$51)</f>
        <v>0</v>
      </c>
      <c r="T366">
        <f>IF(AND($I366&gt;$H366,ABS($L366-$G366)&gt;MAX(Keys!$C$62,ABS($G366)*Keys!$C$63)),1,0)</f>
        <v>0</v>
      </c>
      <c r="U366">
        <f>IF(OR($N366&lt;Keys!$C$51,$N366&gt;Keys!$C$52),1,0)</f>
        <v>0</v>
      </c>
      <c r="V366">
        <f>IF(AND($E366=Keys!$C$60,$N366&lt;&gt;Keys!$C$51),1,0)</f>
        <v>0</v>
      </c>
      <c r="W366">
        <f>IF($L366&gt;Keys!$C$51,IF($K366/$L366&gt;Keys!$C$52,1,0),0)</f>
        <v>0</v>
      </c>
      <c r="X366" s="11">
        <f t="shared" si="23"/>
        <v>0</v>
      </c>
    </row>
    <row r="367" spans="1:24" x14ac:dyDescent="0.25">
      <c r="A367" t="s">
        <v>112</v>
      </c>
      <c r="B367" t="s">
        <v>80</v>
      </c>
      <c r="C367">
        <f>VLOOKUP($B367,Keys!$F$2:$I$22,2,FALSE)</f>
        <v>0</v>
      </c>
      <c r="D367">
        <f>VLOOKUP($B367,Keys!$F$2:$I$22,3,FALSE)</f>
        <v>0</v>
      </c>
      <c r="E367" t="str">
        <f>VLOOKUP($B367,Keys!$F$2:$I$22,4,FALSE)</f>
        <v>zero</v>
      </c>
      <c r="F367" t="str">
        <f>$A367&amp;Keys!$C$54&amp;$B367</f>
        <v>MD|solar (is not a fuel)</v>
      </c>
      <c r="G367" s="10">
        <f>IF($E367=Keys!$C$60,Keys!$C$51,INDEX(Balanced_2025!$D$9:$D$3032,MATCH($A367&amp;Keys!$C$54&amp;Keys!$C$55&amp;Keys!$C$54&amp;$C367,Balanced_2025!$E$9:$E$3032,0)))</f>
        <v>0</v>
      </c>
      <c r="H367" s="10">
        <f>IF($E367=Keys!$C$60,Keys!$C$51,INDEX(Balanced_2025!$D$9:$D$3032,MATCH($A367&amp;Keys!$C$54&amp;Keys!$C$56&amp;Keys!$C$54&amp;$C367,Balanced_2025!$E$9:$E$3032,0)))</f>
        <v>0</v>
      </c>
      <c r="I367" s="10">
        <f>IF($E367=Keys!$C$60,Keys!$C$51,INDEX(Balanced_2025!$D$9:$D$3032,MATCH($A367&amp;Keys!$C$54&amp;Keys!$C$57&amp;Keys!$C$54&amp;$C367,Balanced_2025!$E$9:$E$3032,0)))</f>
        <v>0</v>
      </c>
      <c r="J367" s="10">
        <f t="shared" si="20"/>
        <v>0</v>
      </c>
      <c r="K367" s="10">
        <f>MAX(Keys!$C$51,$I367-$H367)</f>
        <v>0</v>
      </c>
      <c r="L367" s="10">
        <f t="shared" si="21"/>
        <v>0</v>
      </c>
      <c r="M367" s="11">
        <f>IF($L367&gt;Keys!$C$51,MIN(Keys!$C$52,$K367/$L367),Keys!$C$51)</f>
        <v>0</v>
      </c>
      <c r="N367" s="11">
        <f>IF($E367=Keys!$C$60,Keys!$C$51,IF($E367=Keys!$C$59,$D367,$M367))</f>
        <v>0</v>
      </c>
      <c r="O367">
        <f t="shared" si="22"/>
        <v>0</v>
      </c>
      <c r="P367" s="10">
        <f>IF($E367=Keys!$C$60,Keys!$C$51,INDEX(Raw_BFPIaE!$G$9:$G$3032,MATCH($A367&amp;Keys!$C$54&amp;Keys!$C$55&amp;Keys!$C$54&amp;$B367,Raw_BFPIaE!$H$9:$H$3032,0)))</f>
        <v>0</v>
      </c>
      <c r="Q367" s="10">
        <f>IF($E367=Keys!$C$60,Keys!$C$51,INDEX(Raw_BFPIaE!$G$9:$G$3032,MATCH($A367&amp;Keys!$C$54&amp;Keys!$C$56&amp;Keys!$C$54&amp;$B367,Raw_BFPIaE!$H$9:$H$3032,0)))</f>
        <v>0</v>
      </c>
      <c r="R367" s="10">
        <f>IF($E367=Keys!$C$60,Keys!$C$51,INDEX(Raw_BFPIaE!$G$9:$G$3032,MATCH($A367&amp;Keys!$C$54&amp;Keys!$C$57&amp;Keys!$C$54&amp;$B367,Raw_BFPIaE!$H$9:$H$3032,0)))</f>
        <v>0</v>
      </c>
      <c r="S367" s="11">
        <f>IF(($P367+$Q367-$R367+MAX(Keys!$C$51,$R367-$Q367))&gt;Keys!$C$51,MIN(Keys!$C$52,MAX(Keys!$C$51,$R367-$Q367)/($P367+$Q367-$R367+MAX(Keys!$C$51,$R367-$Q367))),Keys!$C$51)</f>
        <v>0</v>
      </c>
      <c r="T367">
        <f>IF(AND($I367&gt;$H367,ABS($L367-$G367)&gt;MAX(Keys!$C$62,ABS($G367)*Keys!$C$63)),1,0)</f>
        <v>0</v>
      </c>
      <c r="U367">
        <f>IF(OR($N367&lt;Keys!$C$51,$N367&gt;Keys!$C$52),1,0)</f>
        <v>0</v>
      </c>
      <c r="V367">
        <f>IF(AND($E367=Keys!$C$60,$N367&lt;&gt;Keys!$C$51),1,0)</f>
        <v>0</v>
      </c>
      <c r="W367">
        <f>IF($L367&gt;Keys!$C$51,IF($K367/$L367&gt;Keys!$C$52,1,0),0)</f>
        <v>0</v>
      </c>
      <c r="X367" s="11">
        <f t="shared" si="23"/>
        <v>0</v>
      </c>
    </row>
    <row r="368" spans="1:24" x14ac:dyDescent="0.25">
      <c r="A368" t="s">
        <v>112</v>
      </c>
      <c r="B368" t="s">
        <v>82</v>
      </c>
      <c r="C368" t="str">
        <f>VLOOKUP($B368,Keys!$F$2:$I$22,2,FALSE)</f>
        <v>biomass</v>
      </c>
      <c r="D368">
        <f>VLOOKUP($B368,Keys!$F$2:$I$22,3,FALSE)</f>
        <v>0.74947425499999998</v>
      </c>
      <c r="E368" t="str">
        <f>VLOOKUP($B368,Keys!$F$2:$I$22,4,FALSE)</f>
        <v>rule</v>
      </c>
      <c r="F368" t="str">
        <f>$A368&amp;Keys!$C$54&amp;$B368</f>
        <v>MD|biomass</v>
      </c>
      <c r="G368" s="10">
        <f>IF($E368=Keys!$C$60,Keys!$C$51,INDEX(Balanced_2025!$D$9:$D$3032,MATCH($A368&amp;Keys!$C$54&amp;Keys!$C$55&amp;Keys!$C$54&amp;$C368,Balanced_2025!$E$9:$E$3032,0)))</f>
        <v>0</v>
      </c>
      <c r="H368" s="10">
        <f>IF($E368=Keys!$C$60,Keys!$C$51,INDEX(Balanced_2025!$D$9:$D$3032,MATCH($A368&amp;Keys!$C$54&amp;Keys!$C$56&amp;Keys!$C$54&amp;$C368,Balanced_2025!$E$9:$E$3032,0)))</f>
        <v>8008320000000</v>
      </c>
      <c r="I368" s="10">
        <f>IF($E368=Keys!$C$60,Keys!$C$51,INDEX(Balanced_2025!$D$9:$D$3032,MATCH($A368&amp;Keys!$C$54&amp;Keys!$C$57&amp;Keys!$C$54&amp;$C368,Balanced_2025!$E$9:$E$3032,0)))</f>
        <v>0</v>
      </c>
      <c r="J368" s="10">
        <f t="shared" si="20"/>
        <v>8008320000000</v>
      </c>
      <c r="K368" s="10">
        <f>MAX(Keys!$C$51,$I368-$H368)</f>
        <v>0</v>
      </c>
      <c r="L368" s="10">
        <f t="shared" si="21"/>
        <v>8008320000000</v>
      </c>
      <c r="M368" s="11">
        <f>IF($L368&gt;Keys!$C$51,MIN(Keys!$C$52,$K368/$L368),Keys!$C$51)</f>
        <v>0</v>
      </c>
      <c r="N368" s="11">
        <f>IF($E368=Keys!$C$60,Keys!$C$51,IF($E368=Keys!$C$59,$D368,$M368))</f>
        <v>0</v>
      </c>
      <c r="O368">
        <f t="shared" si="22"/>
        <v>1</v>
      </c>
      <c r="P368" s="10">
        <f>IF($E368=Keys!$C$60,Keys!$C$51,INDEX(Raw_BFPIaE!$G$9:$G$3032,MATCH($A368&amp;Keys!$C$54&amp;Keys!$C$55&amp;Keys!$C$54&amp;$B368,Raw_BFPIaE!$H$9:$H$3032,0)))</f>
        <v>0</v>
      </c>
      <c r="Q368" s="10">
        <f>IF($E368=Keys!$C$60,Keys!$C$51,INDEX(Raw_BFPIaE!$G$9:$G$3032,MATCH($A368&amp;Keys!$C$54&amp;Keys!$C$56&amp;Keys!$C$54&amp;$B368,Raw_BFPIaE!$H$9:$H$3032,0)))</f>
        <v>5168660000000</v>
      </c>
      <c r="R368" s="10">
        <f>IF($E368=Keys!$C$60,Keys!$C$51,INDEX(Raw_BFPIaE!$G$9:$G$3032,MATCH($A368&amp;Keys!$C$54&amp;Keys!$C$57&amp;Keys!$C$54&amp;$B368,Raw_BFPIaE!$H$9:$H$3032,0)))</f>
        <v>0</v>
      </c>
      <c r="S368" s="11">
        <f>IF(($P368+$Q368-$R368+MAX(Keys!$C$51,$R368-$Q368))&gt;Keys!$C$51,MIN(Keys!$C$52,MAX(Keys!$C$51,$R368-$Q368)/($P368+$Q368-$R368+MAX(Keys!$C$51,$R368-$Q368))),Keys!$C$51)</f>
        <v>0</v>
      </c>
      <c r="T368">
        <f>IF(AND($I368&gt;$H368,ABS($L368-$G368)&gt;MAX(Keys!$C$62,ABS($G368)*Keys!$C$63)),1,0)</f>
        <v>0</v>
      </c>
      <c r="U368">
        <f>IF(OR($N368&lt;Keys!$C$51,$N368&gt;Keys!$C$52),1,0)</f>
        <v>0</v>
      </c>
      <c r="V368">
        <f>IF(AND($E368=Keys!$C$60,$N368&lt;&gt;Keys!$C$51),1,0)</f>
        <v>0</v>
      </c>
      <c r="W368">
        <f>IF($L368&gt;Keys!$C$51,IF($K368/$L368&gt;Keys!$C$52,1,0),0)</f>
        <v>0</v>
      </c>
      <c r="X368" s="11">
        <f t="shared" si="23"/>
        <v>0</v>
      </c>
    </row>
    <row r="369" spans="1:24" x14ac:dyDescent="0.25">
      <c r="A369" t="s">
        <v>112</v>
      </c>
      <c r="B369" t="s">
        <v>85</v>
      </c>
      <c r="C369" t="str">
        <f>VLOOKUP($B369,Keys!$F$2:$I$22,2,FALSE)</f>
        <v>petroleum gasoline</v>
      </c>
      <c r="D369">
        <f>VLOOKUP($B369,Keys!$F$2:$I$22,3,FALSE)</f>
        <v>7.5004052000000002E-2</v>
      </c>
      <c r="E369" t="str">
        <f>VLOOKUP($B369,Keys!$F$2:$I$22,4,FALSE)</f>
        <v>rule</v>
      </c>
      <c r="F369" t="str">
        <f>$A369&amp;Keys!$C$54&amp;$B369</f>
        <v>MD|petroleum gasoline</v>
      </c>
      <c r="G369" s="10">
        <f>IF($E369=Keys!$C$60,Keys!$C$51,INDEX(Balanced_2025!$D$9:$D$3032,MATCH($A369&amp;Keys!$C$54&amp;Keys!$C$55&amp;Keys!$C$54&amp;$C369,Balanced_2025!$E$9:$E$3032,0)))</f>
        <v>0</v>
      </c>
      <c r="H369" s="10">
        <f>IF($E369=Keys!$C$60,Keys!$C$51,INDEX(Balanced_2025!$D$9:$D$3032,MATCH($A369&amp;Keys!$C$54&amp;Keys!$C$56&amp;Keys!$C$54&amp;$C369,Balanced_2025!$E$9:$E$3032,0)))</f>
        <v>251218000000000</v>
      </c>
      <c r="I369" s="10">
        <f>IF($E369=Keys!$C$60,Keys!$C$51,INDEX(Balanced_2025!$D$9:$D$3032,MATCH($A369&amp;Keys!$C$54&amp;Keys!$C$57&amp;Keys!$C$54&amp;$C369,Balanced_2025!$E$9:$E$3032,0)))</f>
        <v>0</v>
      </c>
      <c r="J369" s="10">
        <f t="shared" si="20"/>
        <v>251218000000000</v>
      </c>
      <c r="K369" s="10">
        <f>MAX(Keys!$C$51,$I369-$H369)</f>
        <v>0</v>
      </c>
      <c r="L369" s="10">
        <f t="shared" si="21"/>
        <v>251218000000000</v>
      </c>
      <c r="M369" s="11">
        <f>IF($L369&gt;Keys!$C$51,MIN(Keys!$C$52,$K369/$L369),Keys!$C$51)</f>
        <v>0</v>
      </c>
      <c r="N369" s="11">
        <f>IF($E369=Keys!$C$60,Keys!$C$51,IF($E369=Keys!$C$59,$D369,$M369))</f>
        <v>0</v>
      </c>
      <c r="O369">
        <f t="shared" si="22"/>
        <v>1</v>
      </c>
      <c r="P369" s="10">
        <f>IF($E369=Keys!$C$60,Keys!$C$51,INDEX(Raw_BFPIaE!$G$9:$G$3032,MATCH($A369&amp;Keys!$C$54&amp;Keys!$C$55&amp;Keys!$C$54&amp;$B369,Raw_BFPIaE!$H$9:$H$3032,0)))</f>
        <v>0</v>
      </c>
      <c r="Q369" s="10">
        <f>IF($E369=Keys!$C$60,Keys!$C$51,INDEX(Raw_BFPIaE!$G$9:$G$3032,MATCH($A369&amp;Keys!$C$54&amp;Keys!$C$56&amp;Keys!$C$54&amp;$B369,Raw_BFPIaE!$H$9:$H$3032,0)))</f>
        <v>157345333333333.34</v>
      </c>
      <c r="R369" s="10">
        <f>IF($E369=Keys!$C$60,Keys!$C$51,INDEX(Raw_BFPIaE!$G$9:$G$3032,MATCH($A369&amp;Keys!$C$54&amp;Keys!$C$57&amp;Keys!$C$54&amp;$B369,Raw_BFPIaE!$H$9:$H$3032,0)))</f>
        <v>0</v>
      </c>
      <c r="S369" s="11">
        <f>IF(($P369+$Q369-$R369+MAX(Keys!$C$51,$R369-$Q369))&gt;Keys!$C$51,MIN(Keys!$C$52,MAX(Keys!$C$51,$R369-$Q369)/($P369+$Q369-$R369+MAX(Keys!$C$51,$R369-$Q369))),Keys!$C$51)</f>
        <v>0</v>
      </c>
      <c r="T369">
        <f>IF(AND($I369&gt;$H369,ABS($L369-$G369)&gt;MAX(Keys!$C$62,ABS($G369)*Keys!$C$63)),1,0)</f>
        <v>0</v>
      </c>
      <c r="U369">
        <f>IF(OR($N369&lt;Keys!$C$51,$N369&gt;Keys!$C$52),1,0)</f>
        <v>0</v>
      </c>
      <c r="V369">
        <f>IF(AND($E369=Keys!$C$60,$N369&lt;&gt;Keys!$C$51),1,0)</f>
        <v>0</v>
      </c>
      <c r="W369">
        <f>IF($L369&gt;Keys!$C$51,IF($K369/$L369&gt;Keys!$C$52,1,0),0)</f>
        <v>0</v>
      </c>
      <c r="X369" s="11">
        <f t="shared" si="23"/>
        <v>0</v>
      </c>
    </row>
    <row r="370" spans="1:24" x14ac:dyDescent="0.25">
      <c r="A370" t="s">
        <v>112</v>
      </c>
      <c r="B370" t="s">
        <v>88</v>
      </c>
      <c r="C370" t="str">
        <f>VLOOKUP($B370,Keys!$F$2:$I$22,2,FALSE)</f>
        <v>petroleum diesel</v>
      </c>
      <c r="D370">
        <f>VLOOKUP($B370,Keys!$F$2:$I$22,3,FALSE)</f>
        <v>0.26691051799999999</v>
      </c>
      <c r="E370" t="str">
        <f>VLOOKUP($B370,Keys!$F$2:$I$22,4,FALSE)</f>
        <v>rule</v>
      </c>
      <c r="F370" t="str">
        <f>$A370&amp;Keys!$C$54&amp;$B370</f>
        <v>MD|petroleum diesel</v>
      </c>
      <c r="G370" s="10">
        <f>IF($E370=Keys!$C$60,Keys!$C$51,INDEX(Balanced_2025!$D$9:$D$3032,MATCH($A370&amp;Keys!$C$54&amp;Keys!$C$55&amp;Keys!$C$54&amp;$C370,Balanced_2025!$E$9:$E$3032,0)))</f>
        <v>0</v>
      </c>
      <c r="H370" s="10">
        <f>IF($E370=Keys!$C$60,Keys!$C$51,INDEX(Balanced_2025!$D$9:$D$3032,MATCH($A370&amp;Keys!$C$54&amp;Keys!$C$56&amp;Keys!$C$54&amp;$C370,Balanced_2025!$E$9:$E$3032,0)))</f>
        <v>110940000000000</v>
      </c>
      <c r="I370" s="10">
        <f>IF($E370=Keys!$C$60,Keys!$C$51,INDEX(Balanced_2025!$D$9:$D$3032,MATCH($A370&amp;Keys!$C$54&amp;Keys!$C$57&amp;Keys!$C$54&amp;$C370,Balanced_2025!$E$9:$E$3032,0)))</f>
        <v>0</v>
      </c>
      <c r="J370" s="10">
        <f t="shared" si="20"/>
        <v>110940000000000</v>
      </c>
      <c r="K370" s="10">
        <f>MAX(Keys!$C$51,$I370-$H370)</f>
        <v>0</v>
      </c>
      <c r="L370" s="10">
        <f t="shared" si="21"/>
        <v>110940000000000</v>
      </c>
      <c r="M370" s="11">
        <f>IF($L370&gt;Keys!$C$51,MIN(Keys!$C$52,$K370/$L370),Keys!$C$51)</f>
        <v>0</v>
      </c>
      <c r="N370" s="11">
        <f>IF($E370=Keys!$C$60,Keys!$C$51,IF($E370=Keys!$C$59,$D370,$M370))</f>
        <v>0</v>
      </c>
      <c r="O370">
        <f t="shared" si="22"/>
        <v>1</v>
      </c>
      <c r="P370" s="10">
        <f>IF($E370=Keys!$C$60,Keys!$C$51,INDEX(Raw_BFPIaE!$G$9:$G$3032,MATCH($A370&amp;Keys!$C$54&amp;Keys!$C$55&amp;Keys!$C$54&amp;$B370,Raw_BFPIaE!$H$9:$H$3032,0)))</f>
        <v>0</v>
      </c>
      <c r="Q370" s="10">
        <f>IF($E370=Keys!$C$60,Keys!$C$51,INDEX(Raw_BFPIaE!$G$9:$G$3032,MATCH($A370&amp;Keys!$C$54&amp;Keys!$C$56&amp;Keys!$C$54&amp;$B370,Raw_BFPIaE!$H$9:$H$3032,0)))</f>
        <v>72397000000000</v>
      </c>
      <c r="R370" s="10">
        <f>IF($E370=Keys!$C$60,Keys!$C$51,INDEX(Raw_BFPIaE!$G$9:$G$3032,MATCH($A370&amp;Keys!$C$54&amp;Keys!$C$57&amp;Keys!$C$54&amp;$B370,Raw_BFPIaE!$H$9:$H$3032,0)))</f>
        <v>0</v>
      </c>
      <c r="S370" s="11">
        <f>IF(($P370+$Q370-$R370+MAX(Keys!$C$51,$R370-$Q370))&gt;Keys!$C$51,MIN(Keys!$C$52,MAX(Keys!$C$51,$R370-$Q370)/($P370+$Q370-$R370+MAX(Keys!$C$51,$R370-$Q370))),Keys!$C$51)</f>
        <v>0</v>
      </c>
      <c r="T370">
        <f>IF(AND($I370&gt;$H370,ABS($L370-$G370)&gt;MAX(Keys!$C$62,ABS($G370)*Keys!$C$63)),1,0)</f>
        <v>0</v>
      </c>
      <c r="U370">
        <f>IF(OR($N370&lt;Keys!$C$51,$N370&gt;Keys!$C$52),1,0)</f>
        <v>0</v>
      </c>
      <c r="V370">
        <f>IF(AND($E370=Keys!$C$60,$N370&lt;&gt;Keys!$C$51),1,0)</f>
        <v>0</v>
      </c>
      <c r="W370">
        <f>IF($L370&gt;Keys!$C$51,IF($K370/$L370&gt;Keys!$C$52,1,0),0)</f>
        <v>0</v>
      </c>
      <c r="X370" s="11">
        <f t="shared" si="23"/>
        <v>0</v>
      </c>
    </row>
    <row r="371" spans="1:24" x14ac:dyDescent="0.25">
      <c r="A371" t="s">
        <v>112</v>
      </c>
      <c r="B371" t="s">
        <v>91</v>
      </c>
      <c r="C371" t="str">
        <f>VLOOKUP($B371,Keys!$F$2:$I$22,2,FALSE)</f>
        <v>biofuel gasoline</v>
      </c>
      <c r="D371">
        <f>VLOOKUP($B371,Keys!$F$2:$I$22,3,FALSE)</f>
        <v>8.7213884000000005E-2</v>
      </c>
      <c r="E371" t="str">
        <f>VLOOKUP($B371,Keys!$F$2:$I$22,4,FALSE)</f>
        <v>rule</v>
      </c>
      <c r="F371" t="str">
        <f>$A371&amp;Keys!$C$54&amp;$B371</f>
        <v>MD|biofuel gasoline</v>
      </c>
      <c r="G371" s="10">
        <f>IF($E371=Keys!$C$60,Keys!$C$51,INDEX(Balanced_2025!$D$9:$D$3032,MATCH($A371&amp;Keys!$C$54&amp;Keys!$C$55&amp;Keys!$C$54&amp;$C371,Balanced_2025!$E$9:$E$3032,0)))</f>
        <v>0</v>
      </c>
      <c r="H371" s="10">
        <f>IF($E371=Keys!$C$60,Keys!$C$51,INDEX(Balanced_2025!$D$9:$D$3032,MATCH($A371&amp;Keys!$C$54&amp;Keys!$C$56&amp;Keys!$C$54&amp;$C371,Balanced_2025!$E$9:$E$3032,0)))</f>
        <v>18303500000000</v>
      </c>
      <c r="I371" s="10">
        <f>IF($E371=Keys!$C$60,Keys!$C$51,INDEX(Balanced_2025!$D$9:$D$3032,MATCH($A371&amp;Keys!$C$54&amp;Keys!$C$57&amp;Keys!$C$54&amp;$C371,Balanced_2025!$E$9:$E$3032,0)))</f>
        <v>0</v>
      </c>
      <c r="J371" s="10">
        <f t="shared" si="20"/>
        <v>18303500000000</v>
      </c>
      <c r="K371" s="10">
        <f>MAX(Keys!$C$51,$I371-$H371)</f>
        <v>0</v>
      </c>
      <c r="L371" s="10">
        <f t="shared" si="21"/>
        <v>18303500000000</v>
      </c>
      <c r="M371" s="11">
        <f>IF($L371&gt;Keys!$C$51,MIN(Keys!$C$52,$K371/$L371),Keys!$C$51)</f>
        <v>0</v>
      </c>
      <c r="N371" s="11">
        <f>IF($E371=Keys!$C$60,Keys!$C$51,IF($E371=Keys!$C$59,$D371,$M371))</f>
        <v>0</v>
      </c>
      <c r="O371">
        <f t="shared" si="22"/>
        <v>1</v>
      </c>
      <c r="P371" s="10">
        <f>IF($E371=Keys!$C$60,Keys!$C$51,INDEX(Raw_BFPIaE!$G$9:$G$3032,MATCH($A371&amp;Keys!$C$54&amp;Keys!$C$55&amp;Keys!$C$54&amp;$B371,Raw_BFPIaE!$H$9:$H$3032,0)))</f>
        <v>0</v>
      </c>
      <c r="Q371" s="10">
        <f>IF($E371=Keys!$C$60,Keys!$C$51,INDEX(Raw_BFPIaE!$G$9:$G$3032,MATCH($A371&amp;Keys!$C$54&amp;Keys!$C$56&amp;Keys!$C$54&amp;$B371,Raw_BFPIaE!$H$9:$H$3032,0)))</f>
        <v>11458933333333.334</v>
      </c>
      <c r="R371" s="10">
        <f>IF($E371=Keys!$C$60,Keys!$C$51,INDEX(Raw_BFPIaE!$G$9:$G$3032,MATCH($A371&amp;Keys!$C$54&amp;Keys!$C$57&amp;Keys!$C$54&amp;$B371,Raw_BFPIaE!$H$9:$H$3032,0)))</f>
        <v>0</v>
      </c>
      <c r="S371" s="11">
        <f>IF(($P371+$Q371-$R371+MAX(Keys!$C$51,$R371-$Q371))&gt;Keys!$C$51,MIN(Keys!$C$52,MAX(Keys!$C$51,$R371-$Q371)/($P371+$Q371-$R371+MAX(Keys!$C$51,$R371-$Q371))),Keys!$C$51)</f>
        <v>0</v>
      </c>
      <c r="T371">
        <f>IF(AND($I371&gt;$H371,ABS($L371-$G371)&gt;MAX(Keys!$C$62,ABS($G371)*Keys!$C$63)),1,0)</f>
        <v>0</v>
      </c>
      <c r="U371">
        <f>IF(OR($N371&lt;Keys!$C$51,$N371&gt;Keys!$C$52),1,0)</f>
        <v>0</v>
      </c>
      <c r="V371">
        <f>IF(AND($E371=Keys!$C$60,$N371&lt;&gt;Keys!$C$51),1,0)</f>
        <v>0</v>
      </c>
      <c r="W371">
        <f>IF($L371&gt;Keys!$C$51,IF($K371/$L371&gt;Keys!$C$52,1,0),0)</f>
        <v>0</v>
      </c>
      <c r="X371" s="11">
        <f t="shared" si="23"/>
        <v>0</v>
      </c>
    </row>
    <row r="372" spans="1:24" x14ac:dyDescent="0.25">
      <c r="A372" t="s">
        <v>112</v>
      </c>
      <c r="B372" t="s">
        <v>94</v>
      </c>
      <c r="C372" t="str">
        <f>VLOOKUP($B372,Keys!$F$2:$I$22,2,FALSE)</f>
        <v>biofuel diesel</v>
      </c>
      <c r="D372">
        <f>VLOOKUP($B372,Keys!$F$2:$I$22,3,FALSE)</f>
        <v>5.8642381E-2</v>
      </c>
      <c r="E372" t="str">
        <f>VLOOKUP($B372,Keys!$F$2:$I$22,4,FALSE)</f>
        <v>rule</v>
      </c>
      <c r="F372" t="str">
        <f>$A372&amp;Keys!$C$54&amp;$B372</f>
        <v>MD|biofuel diesel</v>
      </c>
      <c r="G372" s="10">
        <f>IF($E372=Keys!$C$60,Keys!$C$51,INDEX(Balanced_2025!$D$9:$D$3032,MATCH($A372&amp;Keys!$C$54&amp;Keys!$C$55&amp;Keys!$C$54&amp;$C372,Balanced_2025!$E$9:$E$3032,0)))</f>
        <v>0</v>
      </c>
      <c r="H372" s="10">
        <f>IF($E372=Keys!$C$60,Keys!$C$51,INDEX(Balanced_2025!$D$9:$D$3032,MATCH($A372&amp;Keys!$C$54&amp;Keys!$C$56&amp;Keys!$C$54&amp;$C372,Balanced_2025!$E$9:$E$3032,0)))</f>
        <v>715842000000</v>
      </c>
      <c r="I372" s="10">
        <f>IF($E372=Keys!$C$60,Keys!$C$51,INDEX(Balanced_2025!$D$9:$D$3032,MATCH($A372&amp;Keys!$C$54&amp;Keys!$C$57&amp;Keys!$C$54&amp;$C372,Balanced_2025!$E$9:$E$3032,0)))</f>
        <v>0</v>
      </c>
      <c r="J372" s="10">
        <f t="shared" si="20"/>
        <v>715842000000</v>
      </c>
      <c r="K372" s="10">
        <f>MAX(Keys!$C$51,$I372-$H372)</f>
        <v>0</v>
      </c>
      <c r="L372" s="10">
        <f t="shared" si="21"/>
        <v>715842000000</v>
      </c>
      <c r="M372" s="11">
        <f>IF($L372&gt;Keys!$C$51,MIN(Keys!$C$52,$K372/$L372),Keys!$C$51)</f>
        <v>0</v>
      </c>
      <c r="N372" s="11">
        <f>IF($E372=Keys!$C$60,Keys!$C$51,IF($E372=Keys!$C$59,$D372,$M372))</f>
        <v>0</v>
      </c>
      <c r="O372">
        <f t="shared" si="22"/>
        <v>1</v>
      </c>
      <c r="P372" s="10">
        <f>IF($E372=Keys!$C$60,Keys!$C$51,INDEX(Raw_BFPIaE!$G$9:$G$3032,MATCH($A372&amp;Keys!$C$54&amp;Keys!$C$55&amp;Keys!$C$54&amp;$B372,Raw_BFPIaE!$H$9:$H$3032,0)))</f>
        <v>0</v>
      </c>
      <c r="Q372" s="10">
        <f>IF($E372=Keys!$C$60,Keys!$C$51,INDEX(Raw_BFPIaE!$G$9:$G$3032,MATCH($A372&amp;Keys!$C$54&amp;Keys!$C$56&amp;Keys!$C$54&amp;$B372,Raw_BFPIaE!$H$9:$H$3032,0)))</f>
        <v>465444333333.33331</v>
      </c>
      <c r="R372" s="10">
        <f>IF($E372=Keys!$C$60,Keys!$C$51,INDEX(Raw_BFPIaE!$G$9:$G$3032,MATCH($A372&amp;Keys!$C$54&amp;Keys!$C$57&amp;Keys!$C$54&amp;$B372,Raw_BFPIaE!$H$9:$H$3032,0)))</f>
        <v>0</v>
      </c>
      <c r="S372" s="11">
        <f>IF(($P372+$Q372-$R372+MAX(Keys!$C$51,$R372-$Q372))&gt;Keys!$C$51,MIN(Keys!$C$52,MAX(Keys!$C$51,$R372-$Q372)/($P372+$Q372-$R372+MAX(Keys!$C$51,$R372-$Q372))),Keys!$C$51)</f>
        <v>0</v>
      </c>
      <c r="T372">
        <f>IF(AND($I372&gt;$H372,ABS($L372-$G372)&gt;MAX(Keys!$C$62,ABS($G372)*Keys!$C$63)),1,0)</f>
        <v>0</v>
      </c>
      <c r="U372">
        <f>IF(OR($N372&lt;Keys!$C$51,$N372&gt;Keys!$C$52),1,0)</f>
        <v>0</v>
      </c>
      <c r="V372">
        <f>IF(AND($E372=Keys!$C$60,$N372&lt;&gt;Keys!$C$51),1,0)</f>
        <v>0</v>
      </c>
      <c r="W372">
        <f>IF($L372&gt;Keys!$C$51,IF($K372/$L372&gt;Keys!$C$52,1,0),0)</f>
        <v>0</v>
      </c>
      <c r="X372" s="11">
        <f t="shared" si="23"/>
        <v>0</v>
      </c>
    </row>
    <row r="373" spans="1:24" x14ac:dyDescent="0.25">
      <c r="A373" t="s">
        <v>112</v>
      </c>
      <c r="B373" t="s">
        <v>97</v>
      </c>
      <c r="C373" t="str">
        <f>VLOOKUP($B373,Keys!$F$2:$I$22,2,FALSE)</f>
        <v>jet fuel or kerosene</v>
      </c>
      <c r="D373">
        <f>VLOOKUP($B373,Keys!$F$2:$I$22,3,FALSE)</f>
        <v>0.10155994</v>
      </c>
      <c r="E373" t="str">
        <f>VLOOKUP($B373,Keys!$F$2:$I$22,4,FALSE)</f>
        <v>rule</v>
      </c>
      <c r="F373" t="str">
        <f>$A373&amp;Keys!$C$54&amp;$B373</f>
        <v>MD|jet fuel or kerosene</v>
      </c>
      <c r="G373" s="10">
        <f>IF($E373=Keys!$C$60,Keys!$C$51,INDEX(Balanced_2025!$D$9:$D$3032,MATCH($A373&amp;Keys!$C$54&amp;Keys!$C$55&amp;Keys!$C$54&amp;$C373,Balanced_2025!$E$9:$E$3032,0)))</f>
        <v>0</v>
      </c>
      <c r="H373" s="10">
        <f>IF($E373=Keys!$C$60,Keys!$C$51,INDEX(Balanced_2025!$D$9:$D$3032,MATCH($A373&amp;Keys!$C$54&amp;Keys!$C$56&amp;Keys!$C$54&amp;$C373,Balanced_2025!$E$9:$E$3032,0)))</f>
        <v>36013700000000</v>
      </c>
      <c r="I373" s="10">
        <f>IF($E373=Keys!$C$60,Keys!$C$51,INDEX(Balanced_2025!$D$9:$D$3032,MATCH($A373&amp;Keys!$C$54&amp;Keys!$C$57&amp;Keys!$C$54&amp;$C373,Balanced_2025!$E$9:$E$3032,0)))</f>
        <v>0</v>
      </c>
      <c r="J373" s="10">
        <f t="shared" si="20"/>
        <v>36013700000000</v>
      </c>
      <c r="K373" s="10">
        <f>MAX(Keys!$C$51,$I373-$H373)</f>
        <v>0</v>
      </c>
      <c r="L373" s="10">
        <f t="shared" si="21"/>
        <v>36013700000000</v>
      </c>
      <c r="M373" s="11">
        <f>IF($L373&gt;Keys!$C$51,MIN(Keys!$C$52,$K373/$L373),Keys!$C$51)</f>
        <v>0</v>
      </c>
      <c r="N373" s="11">
        <f>IF($E373=Keys!$C$60,Keys!$C$51,IF($E373=Keys!$C$59,$D373,$M373))</f>
        <v>0</v>
      </c>
      <c r="O373">
        <f t="shared" si="22"/>
        <v>1</v>
      </c>
      <c r="P373" s="10">
        <f>IF($E373=Keys!$C$60,Keys!$C$51,INDEX(Raw_BFPIaE!$G$9:$G$3032,MATCH($A373&amp;Keys!$C$54&amp;Keys!$C$55&amp;Keys!$C$54&amp;$B373,Raw_BFPIaE!$H$9:$H$3032,0)))</f>
        <v>0</v>
      </c>
      <c r="Q373" s="10">
        <f>IF($E373=Keys!$C$60,Keys!$C$51,INDEX(Raw_BFPIaE!$G$9:$G$3032,MATCH($A373&amp;Keys!$C$54&amp;Keys!$C$56&amp;Keys!$C$54&amp;$B373,Raw_BFPIaE!$H$9:$H$3032,0)))</f>
        <v>24397100000000</v>
      </c>
      <c r="R373" s="10">
        <f>IF($E373=Keys!$C$60,Keys!$C$51,INDEX(Raw_BFPIaE!$G$9:$G$3032,MATCH($A373&amp;Keys!$C$54&amp;Keys!$C$57&amp;Keys!$C$54&amp;$B373,Raw_BFPIaE!$H$9:$H$3032,0)))</f>
        <v>0</v>
      </c>
      <c r="S373" s="11">
        <f>IF(($P373+$Q373-$R373+MAX(Keys!$C$51,$R373-$Q373))&gt;Keys!$C$51,MIN(Keys!$C$52,MAX(Keys!$C$51,$R373-$Q373)/($P373+$Q373-$R373+MAX(Keys!$C$51,$R373-$Q373))),Keys!$C$51)</f>
        <v>0</v>
      </c>
      <c r="T373">
        <f>IF(AND($I373&gt;$H373,ABS($L373-$G373)&gt;MAX(Keys!$C$62,ABS($G373)*Keys!$C$63)),1,0)</f>
        <v>0</v>
      </c>
      <c r="U373">
        <f>IF(OR($N373&lt;Keys!$C$51,$N373&gt;Keys!$C$52),1,0)</f>
        <v>0</v>
      </c>
      <c r="V373">
        <f>IF(AND($E373=Keys!$C$60,$N373&lt;&gt;Keys!$C$51),1,0)</f>
        <v>0</v>
      </c>
      <c r="W373">
        <f>IF($L373&gt;Keys!$C$51,IF($K373/$L373&gt;Keys!$C$52,1,0),0)</f>
        <v>0</v>
      </c>
      <c r="X373" s="11">
        <f t="shared" si="23"/>
        <v>0</v>
      </c>
    </row>
    <row r="374" spans="1:24" x14ac:dyDescent="0.25">
      <c r="A374" t="s">
        <v>112</v>
      </c>
      <c r="B374" t="s">
        <v>100</v>
      </c>
      <c r="C374">
        <f>VLOOKUP($B374,Keys!$F$2:$I$22,2,FALSE)</f>
        <v>0</v>
      </c>
      <c r="D374">
        <f>VLOOKUP($B374,Keys!$F$2:$I$22,3,FALSE)</f>
        <v>0</v>
      </c>
      <c r="E374" t="str">
        <f>VLOOKUP($B374,Keys!$F$2:$I$22,4,FALSE)</f>
        <v>zero</v>
      </c>
      <c r="F374" t="str">
        <f>$A374&amp;Keys!$C$54&amp;$B374</f>
        <v>MD|heat (not used in this variable)</v>
      </c>
      <c r="G374" s="10">
        <f>IF($E374=Keys!$C$60,Keys!$C$51,INDEX(Balanced_2025!$D$9:$D$3032,MATCH($A374&amp;Keys!$C$54&amp;Keys!$C$55&amp;Keys!$C$54&amp;$C374,Balanced_2025!$E$9:$E$3032,0)))</f>
        <v>0</v>
      </c>
      <c r="H374" s="10">
        <f>IF($E374=Keys!$C$60,Keys!$C$51,INDEX(Balanced_2025!$D$9:$D$3032,MATCH($A374&amp;Keys!$C$54&amp;Keys!$C$56&amp;Keys!$C$54&amp;$C374,Balanced_2025!$E$9:$E$3032,0)))</f>
        <v>0</v>
      </c>
      <c r="I374" s="10">
        <f>IF($E374=Keys!$C$60,Keys!$C$51,INDEX(Balanced_2025!$D$9:$D$3032,MATCH($A374&amp;Keys!$C$54&amp;Keys!$C$57&amp;Keys!$C$54&amp;$C374,Balanced_2025!$E$9:$E$3032,0)))</f>
        <v>0</v>
      </c>
      <c r="J374" s="10">
        <f t="shared" si="20"/>
        <v>0</v>
      </c>
      <c r="K374" s="10">
        <f>MAX(Keys!$C$51,$I374-$H374)</f>
        <v>0</v>
      </c>
      <c r="L374" s="10">
        <f t="shared" si="21"/>
        <v>0</v>
      </c>
      <c r="M374" s="11">
        <f>IF($L374&gt;Keys!$C$51,MIN(Keys!$C$52,$K374/$L374),Keys!$C$51)</f>
        <v>0</v>
      </c>
      <c r="N374" s="11">
        <f>IF($E374=Keys!$C$60,Keys!$C$51,IF($E374=Keys!$C$59,$D374,$M374))</f>
        <v>0</v>
      </c>
      <c r="O374">
        <f t="shared" si="22"/>
        <v>0</v>
      </c>
      <c r="P374" s="10">
        <f>IF($E374=Keys!$C$60,Keys!$C$51,INDEX(Raw_BFPIaE!$G$9:$G$3032,MATCH($A374&amp;Keys!$C$54&amp;Keys!$C$55&amp;Keys!$C$54&amp;$B374,Raw_BFPIaE!$H$9:$H$3032,0)))</f>
        <v>0</v>
      </c>
      <c r="Q374" s="10">
        <f>IF($E374=Keys!$C$60,Keys!$C$51,INDEX(Raw_BFPIaE!$G$9:$G$3032,MATCH($A374&amp;Keys!$C$54&amp;Keys!$C$56&amp;Keys!$C$54&amp;$B374,Raw_BFPIaE!$H$9:$H$3032,0)))</f>
        <v>0</v>
      </c>
      <c r="R374" s="10">
        <f>IF($E374=Keys!$C$60,Keys!$C$51,INDEX(Raw_BFPIaE!$G$9:$G$3032,MATCH($A374&amp;Keys!$C$54&amp;Keys!$C$57&amp;Keys!$C$54&amp;$B374,Raw_BFPIaE!$H$9:$H$3032,0)))</f>
        <v>0</v>
      </c>
      <c r="S374" s="11">
        <f>IF(($P374+$Q374-$R374+MAX(Keys!$C$51,$R374-$Q374))&gt;Keys!$C$51,MIN(Keys!$C$52,MAX(Keys!$C$51,$R374-$Q374)/($P374+$Q374-$R374+MAX(Keys!$C$51,$R374-$Q374))),Keys!$C$51)</f>
        <v>0</v>
      </c>
      <c r="T374">
        <f>IF(AND($I374&gt;$H374,ABS($L374-$G374)&gt;MAX(Keys!$C$62,ABS($G374)*Keys!$C$63)),1,0)</f>
        <v>0</v>
      </c>
      <c r="U374">
        <f>IF(OR($N374&lt;Keys!$C$51,$N374&gt;Keys!$C$52),1,0)</f>
        <v>0</v>
      </c>
      <c r="V374">
        <f>IF(AND($E374=Keys!$C$60,$N374&lt;&gt;Keys!$C$51),1,0)</f>
        <v>0</v>
      </c>
      <c r="W374">
        <f>IF($L374&gt;Keys!$C$51,IF($K374/$L374&gt;Keys!$C$52,1,0),0)</f>
        <v>0</v>
      </c>
      <c r="X374" s="11">
        <f t="shared" si="23"/>
        <v>0</v>
      </c>
    </row>
    <row r="375" spans="1:24" x14ac:dyDescent="0.25">
      <c r="A375" t="s">
        <v>112</v>
      </c>
      <c r="B375" t="s">
        <v>103</v>
      </c>
      <c r="C375">
        <f>VLOOKUP($B375,Keys!$F$2:$I$22,2,FALSE)</f>
        <v>0</v>
      </c>
      <c r="D375">
        <f>VLOOKUP($B375,Keys!$F$2:$I$22,3,FALSE)</f>
        <v>0</v>
      </c>
      <c r="E375" t="str">
        <f>VLOOKUP($B375,Keys!$F$2:$I$22,4,FALSE)</f>
        <v>zero</v>
      </c>
      <c r="F375" t="str">
        <f>$A375&amp;Keys!$C$54&amp;$B375</f>
        <v>MD|geothermal (is not a fuel)</v>
      </c>
      <c r="G375" s="10">
        <f>IF($E375=Keys!$C$60,Keys!$C$51,INDEX(Balanced_2025!$D$9:$D$3032,MATCH($A375&amp;Keys!$C$54&amp;Keys!$C$55&amp;Keys!$C$54&amp;$C375,Balanced_2025!$E$9:$E$3032,0)))</f>
        <v>0</v>
      </c>
      <c r="H375" s="10">
        <f>IF($E375=Keys!$C$60,Keys!$C$51,INDEX(Balanced_2025!$D$9:$D$3032,MATCH($A375&amp;Keys!$C$54&amp;Keys!$C$56&amp;Keys!$C$54&amp;$C375,Balanced_2025!$E$9:$E$3032,0)))</f>
        <v>0</v>
      </c>
      <c r="I375" s="10">
        <f>IF($E375=Keys!$C$60,Keys!$C$51,INDEX(Balanced_2025!$D$9:$D$3032,MATCH($A375&amp;Keys!$C$54&amp;Keys!$C$57&amp;Keys!$C$54&amp;$C375,Balanced_2025!$E$9:$E$3032,0)))</f>
        <v>0</v>
      </c>
      <c r="J375" s="10">
        <f t="shared" si="20"/>
        <v>0</v>
      </c>
      <c r="K375" s="10">
        <f>MAX(Keys!$C$51,$I375-$H375)</f>
        <v>0</v>
      </c>
      <c r="L375" s="10">
        <f t="shared" si="21"/>
        <v>0</v>
      </c>
      <c r="M375" s="11">
        <f>IF($L375&gt;Keys!$C$51,MIN(Keys!$C$52,$K375/$L375),Keys!$C$51)</f>
        <v>0</v>
      </c>
      <c r="N375" s="11">
        <f>IF($E375=Keys!$C$60,Keys!$C$51,IF($E375=Keys!$C$59,$D375,$M375))</f>
        <v>0</v>
      </c>
      <c r="O375">
        <f t="shared" si="22"/>
        <v>0</v>
      </c>
      <c r="P375" s="10">
        <f>IF($E375=Keys!$C$60,Keys!$C$51,INDEX(Raw_BFPIaE!$G$9:$G$3032,MATCH($A375&amp;Keys!$C$54&amp;Keys!$C$55&amp;Keys!$C$54&amp;$B375,Raw_BFPIaE!$H$9:$H$3032,0)))</f>
        <v>0</v>
      </c>
      <c r="Q375" s="10">
        <f>IF($E375=Keys!$C$60,Keys!$C$51,INDEX(Raw_BFPIaE!$G$9:$G$3032,MATCH($A375&amp;Keys!$C$54&amp;Keys!$C$56&amp;Keys!$C$54&amp;$B375,Raw_BFPIaE!$H$9:$H$3032,0)))</f>
        <v>0</v>
      </c>
      <c r="R375" s="10">
        <f>IF($E375=Keys!$C$60,Keys!$C$51,INDEX(Raw_BFPIaE!$G$9:$G$3032,MATCH($A375&amp;Keys!$C$54&amp;Keys!$C$57&amp;Keys!$C$54&amp;$B375,Raw_BFPIaE!$H$9:$H$3032,0)))</f>
        <v>0</v>
      </c>
      <c r="S375" s="11">
        <f>IF(($P375+$Q375-$R375+MAX(Keys!$C$51,$R375-$Q375))&gt;Keys!$C$51,MIN(Keys!$C$52,MAX(Keys!$C$51,$R375-$Q375)/($P375+$Q375-$R375+MAX(Keys!$C$51,$R375-$Q375))),Keys!$C$51)</f>
        <v>0</v>
      </c>
      <c r="T375">
        <f>IF(AND($I375&gt;$H375,ABS($L375-$G375)&gt;MAX(Keys!$C$62,ABS($G375)*Keys!$C$63)),1,0)</f>
        <v>0</v>
      </c>
      <c r="U375">
        <f>IF(OR($N375&lt;Keys!$C$51,$N375&gt;Keys!$C$52),1,0)</f>
        <v>0</v>
      </c>
      <c r="V375">
        <f>IF(AND($E375=Keys!$C$60,$N375&lt;&gt;Keys!$C$51),1,0)</f>
        <v>0</v>
      </c>
      <c r="W375">
        <f>IF($L375&gt;Keys!$C$51,IF($K375/$L375&gt;Keys!$C$52,1,0),0)</f>
        <v>0</v>
      </c>
      <c r="X375" s="11">
        <f t="shared" si="23"/>
        <v>0</v>
      </c>
    </row>
    <row r="376" spans="1:24" x14ac:dyDescent="0.25">
      <c r="A376" t="s">
        <v>112</v>
      </c>
      <c r="B376" t="s">
        <v>106</v>
      </c>
      <c r="C376" t="str">
        <f>VLOOKUP($B376,Keys!$F$2:$I$22,2,FALSE)</f>
        <v>lignite</v>
      </c>
      <c r="D376">
        <f>VLOOKUP($B376,Keys!$F$2:$I$22,3,FALSE)</f>
        <v>0</v>
      </c>
      <c r="E376" t="str">
        <f>VLOOKUP($B376,Keys!$F$2:$I$22,4,FALSE)</f>
        <v>rule</v>
      </c>
      <c r="F376" t="str">
        <f>$A376&amp;Keys!$C$54&amp;$B376</f>
        <v>MD|lignite</v>
      </c>
      <c r="G376" s="10">
        <f>IF($E376=Keys!$C$60,Keys!$C$51,INDEX(Balanced_2025!$D$9:$D$3032,MATCH($A376&amp;Keys!$C$54&amp;Keys!$C$55&amp;Keys!$C$54&amp;$C376,Balanced_2025!$E$9:$E$3032,0)))</f>
        <v>0</v>
      </c>
      <c r="H376" s="10">
        <f>IF($E376=Keys!$C$60,Keys!$C$51,INDEX(Balanced_2025!$D$9:$D$3032,MATCH($A376&amp;Keys!$C$54&amp;Keys!$C$56&amp;Keys!$C$54&amp;$C376,Balanced_2025!$E$9:$E$3032,0)))</f>
        <v>0</v>
      </c>
      <c r="I376" s="10">
        <f>IF($E376=Keys!$C$60,Keys!$C$51,INDEX(Balanced_2025!$D$9:$D$3032,MATCH($A376&amp;Keys!$C$54&amp;Keys!$C$57&amp;Keys!$C$54&amp;$C376,Balanced_2025!$E$9:$E$3032,0)))</f>
        <v>0</v>
      </c>
      <c r="J376" s="10">
        <f t="shared" si="20"/>
        <v>0</v>
      </c>
      <c r="K376" s="10">
        <f>MAX(Keys!$C$51,$I376-$H376)</f>
        <v>0</v>
      </c>
      <c r="L376" s="10">
        <f t="shared" si="21"/>
        <v>0</v>
      </c>
      <c r="M376" s="11">
        <f>IF($L376&gt;Keys!$C$51,MIN(Keys!$C$52,$K376/$L376),Keys!$C$51)</f>
        <v>0</v>
      </c>
      <c r="N376" s="11">
        <f>IF($E376=Keys!$C$60,Keys!$C$51,IF($E376=Keys!$C$59,$D376,$M376))</f>
        <v>0</v>
      </c>
      <c r="O376">
        <f t="shared" si="22"/>
        <v>0</v>
      </c>
      <c r="P376" s="10">
        <f>IF($E376=Keys!$C$60,Keys!$C$51,INDEX(Raw_BFPIaE!$G$9:$G$3032,MATCH($A376&amp;Keys!$C$54&amp;Keys!$C$55&amp;Keys!$C$54&amp;$B376,Raw_BFPIaE!$H$9:$H$3032,0)))</f>
        <v>0</v>
      </c>
      <c r="Q376" s="10">
        <f>IF($E376=Keys!$C$60,Keys!$C$51,INDEX(Raw_BFPIaE!$G$9:$G$3032,MATCH($A376&amp;Keys!$C$54&amp;Keys!$C$56&amp;Keys!$C$54&amp;$B376,Raw_BFPIaE!$H$9:$H$3032,0)))</f>
        <v>0</v>
      </c>
      <c r="R376" s="10">
        <f>IF($E376=Keys!$C$60,Keys!$C$51,INDEX(Raw_BFPIaE!$G$9:$G$3032,MATCH($A376&amp;Keys!$C$54&amp;Keys!$C$57&amp;Keys!$C$54&amp;$B376,Raw_BFPIaE!$H$9:$H$3032,0)))</f>
        <v>0</v>
      </c>
      <c r="S376" s="11">
        <f>IF(($P376+$Q376-$R376+MAX(Keys!$C$51,$R376-$Q376))&gt;Keys!$C$51,MIN(Keys!$C$52,MAX(Keys!$C$51,$R376-$Q376)/($P376+$Q376-$R376+MAX(Keys!$C$51,$R376-$Q376))),Keys!$C$51)</f>
        <v>0</v>
      </c>
      <c r="T376">
        <f>IF(AND($I376&gt;$H376,ABS($L376-$G376)&gt;MAX(Keys!$C$62,ABS($G376)*Keys!$C$63)),1,0)</f>
        <v>0</v>
      </c>
      <c r="U376">
        <f>IF(OR($N376&lt;Keys!$C$51,$N376&gt;Keys!$C$52),1,0)</f>
        <v>0</v>
      </c>
      <c r="V376">
        <f>IF(AND($E376=Keys!$C$60,$N376&lt;&gt;Keys!$C$51),1,0)</f>
        <v>0</v>
      </c>
      <c r="W376">
        <f>IF($L376&gt;Keys!$C$51,IF($K376/$L376&gt;Keys!$C$52,1,0),0)</f>
        <v>0</v>
      </c>
      <c r="X376" s="11">
        <f t="shared" si="23"/>
        <v>0</v>
      </c>
    </row>
    <row r="377" spans="1:24" x14ac:dyDescent="0.25">
      <c r="A377" t="s">
        <v>112</v>
      </c>
      <c r="B377" t="s">
        <v>109</v>
      </c>
      <c r="C377" t="str">
        <f>VLOOKUP($B377,Keys!$F$2:$I$22,2,FALSE)</f>
        <v>crude oil</v>
      </c>
      <c r="D377">
        <f>VLOOKUP($B377,Keys!$F$2:$I$22,3,FALSE)</f>
        <v>1</v>
      </c>
      <c r="E377" t="str">
        <f>VLOOKUP($B377,Keys!$F$2:$I$22,4,FALSE)</f>
        <v>hold</v>
      </c>
      <c r="F377" t="str">
        <f>$A377&amp;Keys!$C$54&amp;$B377</f>
        <v>MD|crude oil</v>
      </c>
      <c r="G377" s="10">
        <f>IF($E377=Keys!$C$60,Keys!$C$51,INDEX(Balanced_2025!$D$9:$D$3032,MATCH($A377&amp;Keys!$C$54&amp;Keys!$C$55&amp;Keys!$C$54&amp;$C377,Balanced_2025!$E$9:$E$3032,0)))</f>
        <v>0</v>
      </c>
      <c r="H377" s="10">
        <f>IF($E377=Keys!$C$60,Keys!$C$51,INDEX(Balanced_2025!$D$9:$D$3032,MATCH($A377&amp;Keys!$C$54&amp;Keys!$C$56&amp;Keys!$C$54&amp;$C377,Balanced_2025!$E$9:$E$3032,0)))</f>
        <v>868000000000</v>
      </c>
      <c r="I377" s="10">
        <f>IF($E377=Keys!$C$60,Keys!$C$51,INDEX(Balanced_2025!$D$9:$D$3032,MATCH($A377&amp;Keys!$C$54&amp;Keys!$C$57&amp;Keys!$C$54&amp;$C377,Balanced_2025!$E$9:$E$3032,0)))</f>
        <v>0</v>
      </c>
      <c r="J377" s="10">
        <f t="shared" si="20"/>
        <v>868000000000</v>
      </c>
      <c r="K377" s="10">
        <f>MAX(Keys!$C$51,$I377-$H377)</f>
        <v>0</v>
      </c>
      <c r="L377" s="10">
        <f t="shared" si="21"/>
        <v>868000000000</v>
      </c>
      <c r="M377" s="11">
        <f>IF($L377&gt;Keys!$C$51,MIN(Keys!$C$52,$K377/$L377),Keys!$C$51)</f>
        <v>0</v>
      </c>
      <c r="N377" s="11">
        <f>IF($E377=Keys!$C$60,Keys!$C$51,IF($E377=Keys!$C$59,$D377,$M377))</f>
        <v>1</v>
      </c>
      <c r="O377">
        <f t="shared" si="22"/>
        <v>0</v>
      </c>
      <c r="P377" s="10">
        <f>IF($E377=Keys!$C$60,Keys!$C$51,INDEX(Raw_BFPIaE!$G$9:$G$3032,MATCH($A377&amp;Keys!$C$54&amp;Keys!$C$55&amp;Keys!$C$54&amp;$B377,Raw_BFPIaE!$H$9:$H$3032,0)))</f>
        <v>0</v>
      </c>
      <c r="Q377" s="10">
        <f>IF($E377=Keys!$C$60,Keys!$C$51,INDEX(Raw_BFPIaE!$G$9:$G$3032,MATCH($A377&amp;Keys!$C$54&amp;Keys!$C$56&amp;Keys!$C$54&amp;$B377,Raw_BFPIaE!$H$9:$H$3032,0)))</f>
        <v>578666666666.66663</v>
      </c>
      <c r="R377" s="10">
        <f>IF($E377=Keys!$C$60,Keys!$C$51,INDEX(Raw_BFPIaE!$G$9:$G$3032,MATCH($A377&amp;Keys!$C$54&amp;Keys!$C$57&amp;Keys!$C$54&amp;$B377,Raw_BFPIaE!$H$9:$H$3032,0)))</f>
        <v>0</v>
      </c>
      <c r="S377" s="11">
        <f>IF(($P377+$Q377-$R377+MAX(Keys!$C$51,$R377-$Q377))&gt;Keys!$C$51,MIN(Keys!$C$52,MAX(Keys!$C$51,$R377-$Q377)/($P377+$Q377-$R377+MAX(Keys!$C$51,$R377-$Q377))),Keys!$C$51)</f>
        <v>0</v>
      </c>
      <c r="T377">
        <f>IF(AND($I377&gt;$H377,ABS($L377-$G377)&gt;MAX(Keys!$C$62,ABS($G377)*Keys!$C$63)),1,0)</f>
        <v>0</v>
      </c>
      <c r="U377">
        <f>IF(OR($N377&lt;Keys!$C$51,$N377&gt;Keys!$C$52),1,0)</f>
        <v>0</v>
      </c>
      <c r="V377">
        <f>IF(AND($E377=Keys!$C$60,$N377&lt;&gt;Keys!$C$51),1,0)</f>
        <v>0</v>
      </c>
      <c r="W377">
        <f>IF($L377&gt;Keys!$C$51,IF($K377/$L377&gt;Keys!$C$52,1,0),0)</f>
        <v>0</v>
      </c>
      <c r="X377" s="11">
        <f t="shared" si="23"/>
        <v>0</v>
      </c>
    </row>
    <row r="378" spans="1:24" x14ac:dyDescent="0.25">
      <c r="A378" t="s">
        <v>112</v>
      </c>
      <c r="B378" t="s">
        <v>113</v>
      </c>
      <c r="C378" t="str">
        <f>VLOOKUP($B378,Keys!$F$2:$I$22,2,FALSE)</f>
        <v>heavy or residual fuel oil</v>
      </c>
      <c r="D378">
        <f>VLOOKUP($B378,Keys!$F$2:$I$22,3,FALSE)</f>
        <v>0.49914171099999999</v>
      </c>
      <c r="E378" t="str">
        <f>VLOOKUP($B378,Keys!$F$2:$I$22,4,FALSE)</f>
        <v>rule</v>
      </c>
      <c r="F378" t="str">
        <f>$A378&amp;Keys!$C$54&amp;$B378</f>
        <v>MD|heavy fuel oil</v>
      </c>
      <c r="G378" s="10">
        <f>IF($E378=Keys!$C$60,Keys!$C$51,INDEX(Balanced_2025!$D$9:$D$3032,MATCH($A378&amp;Keys!$C$54&amp;Keys!$C$55&amp;Keys!$C$54&amp;$C378,Balanced_2025!$E$9:$E$3032,0)))</f>
        <v>0</v>
      </c>
      <c r="H378" s="10">
        <f>IF($E378=Keys!$C$60,Keys!$C$51,INDEX(Balanced_2025!$D$9:$D$3032,MATCH($A378&amp;Keys!$C$54&amp;Keys!$C$56&amp;Keys!$C$54&amp;$C378,Balanced_2025!$E$9:$E$3032,0)))</f>
        <v>12203300000000</v>
      </c>
      <c r="I378" s="10">
        <f>IF($E378=Keys!$C$60,Keys!$C$51,INDEX(Balanced_2025!$D$9:$D$3032,MATCH($A378&amp;Keys!$C$54&amp;Keys!$C$57&amp;Keys!$C$54&amp;$C378,Balanced_2025!$E$9:$E$3032,0)))</f>
        <v>0</v>
      </c>
      <c r="J378" s="10">
        <f t="shared" si="20"/>
        <v>12203300000000</v>
      </c>
      <c r="K378" s="10">
        <f>MAX(Keys!$C$51,$I378-$H378)</f>
        <v>0</v>
      </c>
      <c r="L378" s="10">
        <f t="shared" si="21"/>
        <v>12203300000000</v>
      </c>
      <c r="M378" s="11">
        <f>IF($L378&gt;Keys!$C$51,MIN(Keys!$C$52,$K378/$L378),Keys!$C$51)</f>
        <v>0</v>
      </c>
      <c r="N378" s="11">
        <f>IF($E378=Keys!$C$60,Keys!$C$51,IF($E378=Keys!$C$59,$D378,$M378))</f>
        <v>0</v>
      </c>
      <c r="O378">
        <f t="shared" si="22"/>
        <v>1</v>
      </c>
      <c r="P378" s="10">
        <f>IF($E378=Keys!$C$60,Keys!$C$51,INDEX(Raw_BFPIaE!$G$9:$G$3032,MATCH($A378&amp;Keys!$C$54&amp;Keys!$C$55&amp;Keys!$C$54&amp;$B378,Raw_BFPIaE!$H$9:$H$3032,0)))</f>
        <v>0</v>
      </c>
      <c r="Q378" s="10">
        <f>IF($E378=Keys!$C$60,Keys!$C$51,INDEX(Raw_BFPIaE!$G$9:$G$3032,MATCH($A378&amp;Keys!$C$54&amp;Keys!$C$56&amp;Keys!$C$54&amp;$B378,Raw_BFPIaE!$H$9:$H$3032,0)))</f>
        <v>8223533333333.333</v>
      </c>
      <c r="R378" s="10">
        <f>IF($E378=Keys!$C$60,Keys!$C$51,INDEX(Raw_BFPIaE!$G$9:$G$3032,MATCH($A378&amp;Keys!$C$54&amp;Keys!$C$57&amp;Keys!$C$54&amp;$B378,Raw_BFPIaE!$H$9:$H$3032,0)))</f>
        <v>0</v>
      </c>
      <c r="S378" s="11">
        <f>IF(($P378+$Q378-$R378+MAX(Keys!$C$51,$R378-$Q378))&gt;Keys!$C$51,MIN(Keys!$C$52,MAX(Keys!$C$51,$R378-$Q378)/($P378+$Q378-$R378+MAX(Keys!$C$51,$R378-$Q378))),Keys!$C$51)</f>
        <v>0</v>
      </c>
      <c r="T378">
        <f>IF(AND($I378&gt;$H378,ABS($L378-$G378)&gt;MAX(Keys!$C$62,ABS($G378)*Keys!$C$63)),1,0)</f>
        <v>0</v>
      </c>
      <c r="U378">
        <f>IF(OR($N378&lt;Keys!$C$51,$N378&gt;Keys!$C$52),1,0)</f>
        <v>0</v>
      </c>
      <c r="V378">
        <f>IF(AND($E378=Keys!$C$60,$N378&lt;&gt;Keys!$C$51),1,0)</f>
        <v>0</v>
      </c>
      <c r="W378">
        <f>IF($L378&gt;Keys!$C$51,IF($K378/$L378&gt;Keys!$C$52,1,0),0)</f>
        <v>0</v>
      </c>
      <c r="X378" s="11">
        <f t="shared" si="23"/>
        <v>0</v>
      </c>
    </row>
    <row r="379" spans="1:24" x14ac:dyDescent="0.25">
      <c r="A379" t="s">
        <v>112</v>
      </c>
      <c r="B379" t="s">
        <v>117</v>
      </c>
      <c r="C379" t="str">
        <f>VLOOKUP($B379,Keys!$F$2:$I$22,2,FALSE)</f>
        <v>LPG propane or butane</v>
      </c>
      <c r="D379">
        <f>VLOOKUP($B379,Keys!$F$2:$I$22,3,FALSE)</f>
        <v>0.54955999499999997</v>
      </c>
      <c r="E379" t="str">
        <f>VLOOKUP($B379,Keys!$F$2:$I$22,4,FALSE)</f>
        <v>rule</v>
      </c>
      <c r="F379" t="str">
        <f>$A379&amp;Keys!$C$54&amp;$B379</f>
        <v>MD|LPG propane or butane</v>
      </c>
      <c r="G379" s="10">
        <f>IF($E379=Keys!$C$60,Keys!$C$51,INDEX(Balanced_2025!$D$9:$D$3032,MATCH($A379&amp;Keys!$C$54&amp;Keys!$C$55&amp;Keys!$C$54&amp;$C379,Balanced_2025!$E$9:$E$3032,0)))</f>
        <v>633863000</v>
      </c>
      <c r="H379" s="10">
        <f>IF($E379=Keys!$C$60,Keys!$C$51,INDEX(Balanced_2025!$D$9:$D$3032,MATCH($A379&amp;Keys!$C$54&amp;Keys!$C$56&amp;Keys!$C$54&amp;$C379,Balanced_2025!$E$9:$E$3032,0)))</f>
        <v>12503000000000</v>
      </c>
      <c r="I379" s="10">
        <f>IF($E379=Keys!$C$60,Keys!$C$51,INDEX(Balanced_2025!$D$9:$D$3032,MATCH($A379&amp;Keys!$C$54&amp;Keys!$C$57&amp;Keys!$C$54&amp;$C379,Balanced_2025!$E$9:$E$3032,0)))</f>
        <v>0</v>
      </c>
      <c r="J379" s="10">
        <f t="shared" si="20"/>
        <v>12503633863000</v>
      </c>
      <c r="K379" s="10">
        <f>MAX(Keys!$C$51,$I379-$H379)</f>
        <v>0</v>
      </c>
      <c r="L379" s="10">
        <f t="shared" si="21"/>
        <v>12503633863000</v>
      </c>
      <c r="M379" s="11">
        <f>IF($L379&gt;Keys!$C$51,MIN(Keys!$C$52,$K379/$L379),Keys!$C$51)</f>
        <v>0</v>
      </c>
      <c r="N379" s="11">
        <f>IF($E379=Keys!$C$60,Keys!$C$51,IF($E379=Keys!$C$59,$D379,$M379))</f>
        <v>0</v>
      </c>
      <c r="O379">
        <f t="shared" si="22"/>
        <v>1</v>
      </c>
      <c r="P379" s="10">
        <f>IF($E379=Keys!$C$60,Keys!$C$51,INDEX(Raw_BFPIaE!$G$9:$G$3032,MATCH($A379&amp;Keys!$C$54&amp;Keys!$C$55&amp;Keys!$C$54&amp;$B379,Raw_BFPIaE!$H$9:$H$3032,0)))</f>
        <v>638349666.66666663</v>
      </c>
      <c r="Q379" s="10">
        <f>IF($E379=Keys!$C$60,Keys!$C$51,INDEX(Raw_BFPIaE!$G$9:$G$3032,MATCH($A379&amp;Keys!$C$54&amp;Keys!$C$56&amp;Keys!$C$54&amp;$B379,Raw_BFPIaE!$H$9:$H$3032,0)))</f>
        <v>8287366666666.667</v>
      </c>
      <c r="R379" s="10">
        <f>IF($E379=Keys!$C$60,Keys!$C$51,INDEX(Raw_BFPIaE!$G$9:$G$3032,MATCH($A379&amp;Keys!$C$54&amp;Keys!$C$57&amp;Keys!$C$54&amp;$B379,Raw_BFPIaE!$H$9:$H$3032,0)))</f>
        <v>0</v>
      </c>
      <c r="S379" s="11">
        <f>IF(($P379+$Q379-$R379+MAX(Keys!$C$51,$R379-$Q379))&gt;Keys!$C$51,MIN(Keys!$C$52,MAX(Keys!$C$51,$R379-$Q379)/($P379+$Q379-$R379+MAX(Keys!$C$51,$R379-$Q379))),Keys!$C$51)</f>
        <v>0</v>
      </c>
      <c r="T379">
        <f>IF(AND($I379&gt;$H379,ABS($L379-$G379)&gt;MAX(Keys!$C$62,ABS($G379)*Keys!$C$63)),1,0)</f>
        <v>0</v>
      </c>
      <c r="U379">
        <f>IF(OR($N379&lt;Keys!$C$51,$N379&gt;Keys!$C$52),1,0)</f>
        <v>0</v>
      </c>
      <c r="V379">
        <f>IF(AND($E379=Keys!$C$60,$N379&lt;&gt;Keys!$C$51),1,0)</f>
        <v>0</v>
      </c>
      <c r="W379">
        <f>IF($L379&gt;Keys!$C$51,IF($K379/$L379&gt;Keys!$C$52,1,0),0)</f>
        <v>0</v>
      </c>
      <c r="X379" s="11">
        <f t="shared" si="23"/>
        <v>0</v>
      </c>
    </row>
    <row r="380" spans="1:24" x14ac:dyDescent="0.25">
      <c r="A380" t="s">
        <v>112</v>
      </c>
      <c r="B380" t="s">
        <v>120</v>
      </c>
      <c r="C380">
        <f>VLOOKUP($B380,Keys!$F$2:$I$22,2,FALSE)</f>
        <v>0</v>
      </c>
      <c r="D380">
        <f>VLOOKUP($B380,Keys!$F$2:$I$22,3,FALSE)</f>
        <v>0</v>
      </c>
      <c r="E380" t="str">
        <f>VLOOKUP($B380,Keys!$F$2:$I$22,4,FALSE)</f>
        <v>zero</v>
      </c>
      <c r="F380" t="str">
        <f>$A380&amp;Keys!$C$54&amp;$B380</f>
        <v>MD|municipal solid waste</v>
      </c>
      <c r="G380" s="10">
        <f>IF($E380=Keys!$C$60,Keys!$C$51,INDEX(Balanced_2025!$D$9:$D$3032,MATCH($A380&amp;Keys!$C$54&amp;Keys!$C$55&amp;Keys!$C$54&amp;$C380,Balanced_2025!$E$9:$E$3032,0)))</f>
        <v>0</v>
      </c>
      <c r="H380" s="10">
        <f>IF($E380=Keys!$C$60,Keys!$C$51,INDEX(Balanced_2025!$D$9:$D$3032,MATCH($A380&amp;Keys!$C$54&amp;Keys!$C$56&amp;Keys!$C$54&amp;$C380,Balanced_2025!$E$9:$E$3032,0)))</f>
        <v>0</v>
      </c>
      <c r="I380" s="10">
        <f>IF($E380=Keys!$C$60,Keys!$C$51,INDEX(Balanced_2025!$D$9:$D$3032,MATCH($A380&amp;Keys!$C$54&amp;Keys!$C$57&amp;Keys!$C$54&amp;$C380,Balanced_2025!$E$9:$E$3032,0)))</f>
        <v>0</v>
      </c>
      <c r="J380" s="10">
        <f t="shared" si="20"/>
        <v>0</v>
      </c>
      <c r="K380" s="10">
        <f>MAX(Keys!$C$51,$I380-$H380)</f>
        <v>0</v>
      </c>
      <c r="L380" s="10">
        <f t="shared" si="21"/>
        <v>0</v>
      </c>
      <c r="M380" s="11">
        <f>IF($L380&gt;Keys!$C$51,MIN(Keys!$C$52,$K380/$L380),Keys!$C$51)</f>
        <v>0</v>
      </c>
      <c r="N380" s="11">
        <f>IF($E380=Keys!$C$60,Keys!$C$51,IF($E380=Keys!$C$59,$D380,$M380))</f>
        <v>0</v>
      </c>
      <c r="O380">
        <f t="shared" si="22"/>
        <v>0</v>
      </c>
      <c r="P380" s="10">
        <f>IF($E380=Keys!$C$60,Keys!$C$51,INDEX(Raw_BFPIaE!$G$9:$G$3032,MATCH($A380&amp;Keys!$C$54&amp;Keys!$C$55&amp;Keys!$C$54&amp;$B380,Raw_BFPIaE!$H$9:$H$3032,0)))</f>
        <v>0</v>
      </c>
      <c r="Q380" s="10">
        <f>IF($E380=Keys!$C$60,Keys!$C$51,INDEX(Raw_BFPIaE!$G$9:$G$3032,MATCH($A380&amp;Keys!$C$54&amp;Keys!$C$56&amp;Keys!$C$54&amp;$B380,Raw_BFPIaE!$H$9:$H$3032,0)))</f>
        <v>0</v>
      </c>
      <c r="R380" s="10">
        <f>IF($E380=Keys!$C$60,Keys!$C$51,INDEX(Raw_BFPIaE!$G$9:$G$3032,MATCH($A380&amp;Keys!$C$54&amp;Keys!$C$57&amp;Keys!$C$54&amp;$B380,Raw_BFPIaE!$H$9:$H$3032,0)))</f>
        <v>0</v>
      </c>
      <c r="S380" s="11">
        <f>IF(($P380+$Q380-$R380+MAX(Keys!$C$51,$R380-$Q380))&gt;Keys!$C$51,MIN(Keys!$C$52,MAX(Keys!$C$51,$R380-$Q380)/($P380+$Q380-$R380+MAX(Keys!$C$51,$R380-$Q380))),Keys!$C$51)</f>
        <v>0</v>
      </c>
      <c r="T380">
        <f>IF(AND($I380&gt;$H380,ABS($L380-$G380)&gt;MAX(Keys!$C$62,ABS($G380)*Keys!$C$63)),1,0)</f>
        <v>0</v>
      </c>
      <c r="U380">
        <f>IF(OR($N380&lt;Keys!$C$51,$N380&gt;Keys!$C$52),1,0)</f>
        <v>0</v>
      </c>
      <c r="V380">
        <f>IF(AND($E380=Keys!$C$60,$N380&lt;&gt;Keys!$C$51),1,0)</f>
        <v>0</v>
      </c>
      <c r="W380">
        <f>IF($L380&gt;Keys!$C$51,IF($K380/$L380&gt;Keys!$C$52,1,0),0)</f>
        <v>0</v>
      </c>
      <c r="X380" s="11">
        <f t="shared" si="23"/>
        <v>0</v>
      </c>
    </row>
    <row r="381" spans="1:24" x14ac:dyDescent="0.25">
      <c r="A381" t="s">
        <v>112</v>
      </c>
      <c r="B381" t="s">
        <v>123</v>
      </c>
      <c r="C381">
        <f>VLOOKUP($B381,Keys!$F$2:$I$22,2,FALSE)</f>
        <v>0</v>
      </c>
      <c r="D381">
        <f>VLOOKUP($B381,Keys!$F$2:$I$22,3,FALSE)</f>
        <v>0</v>
      </c>
      <c r="E381" t="str">
        <f>VLOOKUP($B381,Keys!$F$2:$I$22,4,FALSE)</f>
        <v>zero</v>
      </c>
      <c r="F381" t="str">
        <f>$A381&amp;Keys!$C$54&amp;$B381</f>
        <v>MD|hydrogen</v>
      </c>
      <c r="G381" s="10">
        <f>IF($E381=Keys!$C$60,Keys!$C$51,INDEX(Balanced_2025!$D$9:$D$3032,MATCH($A381&amp;Keys!$C$54&amp;Keys!$C$55&amp;Keys!$C$54&amp;$C381,Balanced_2025!$E$9:$E$3032,0)))</f>
        <v>0</v>
      </c>
      <c r="H381" s="10">
        <f>IF($E381=Keys!$C$60,Keys!$C$51,INDEX(Balanced_2025!$D$9:$D$3032,MATCH($A381&amp;Keys!$C$54&amp;Keys!$C$56&amp;Keys!$C$54&amp;$C381,Balanced_2025!$E$9:$E$3032,0)))</f>
        <v>0</v>
      </c>
      <c r="I381" s="10">
        <f>IF($E381=Keys!$C$60,Keys!$C$51,INDEX(Balanced_2025!$D$9:$D$3032,MATCH($A381&amp;Keys!$C$54&amp;Keys!$C$57&amp;Keys!$C$54&amp;$C381,Balanced_2025!$E$9:$E$3032,0)))</f>
        <v>0</v>
      </c>
      <c r="J381" s="10">
        <f t="shared" si="20"/>
        <v>0</v>
      </c>
      <c r="K381" s="10">
        <f>MAX(Keys!$C$51,$I381-$H381)</f>
        <v>0</v>
      </c>
      <c r="L381" s="10">
        <f t="shared" si="21"/>
        <v>0</v>
      </c>
      <c r="M381" s="11">
        <f>IF($L381&gt;Keys!$C$51,MIN(Keys!$C$52,$K381/$L381),Keys!$C$51)</f>
        <v>0</v>
      </c>
      <c r="N381" s="11">
        <f>IF($E381=Keys!$C$60,Keys!$C$51,IF($E381=Keys!$C$59,$D381,$M381))</f>
        <v>0</v>
      </c>
      <c r="O381">
        <f t="shared" si="22"/>
        <v>0</v>
      </c>
      <c r="P381" s="10">
        <f>IF($E381=Keys!$C$60,Keys!$C$51,INDEX(Raw_BFPIaE!$G$9:$G$3032,MATCH($A381&amp;Keys!$C$54&amp;Keys!$C$55&amp;Keys!$C$54&amp;$B381,Raw_BFPIaE!$H$9:$H$3032,0)))</f>
        <v>0</v>
      </c>
      <c r="Q381" s="10">
        <f>IF($E381=Keys!$C$60,Keys!$C$51,INDEX(Raw_BFPIaE!$G$9:$G$3032,MATCH($A381&amp;Keys!$C$54&amp;Keys!$C$56&amp;Keys!$C$54&amp;$B381,Raw_BFPIaE!$H$9:$H$3032,0)))</f>
        <v>0</v>
      </c>
      <c r="R381" s="10">
        <f>IF($E381=Keys!$C$60,Keys!$C$51,INDEX(Raw_BFPIaE!$G$9:$G$3032,MATCH($A381&amp;Keys!$C$54&amp;Keys!$C$57&amp;Keys!$C$54&amp;$B381,Raw_BFPIaE!$H$9:$H$3032,0)))</f>
        <v>0</v>
      </c>
      <c r="S381" s="11">
        <f>IF(($P381+$Q381-$R381+MAX(Keys!$C$51,$R381-$Q381))&gt;Keys!$C$51,MIN(Keys!$C$52,MAX(Keys!$C$51,$R381-$Q381)/($P381+$Q381-$R381+MAX(Keys!$C$51,$R381-$Q381))),Keys!$C$51)</f>
        <v>0</v>
      </c>
      <c r="T381">
        <f>IF(AND($I381&gt;$H381,ABS($L381-$G381)&gt;MAX(Keys!$C$62,ABS($G381)*Keys!$C$63)),1,0)</f>
        <v>0</v>
      </c>
      <c r="U381">
        <f>IF(OR($N381&lt;Keys!$C$51,$N381&gt;Keys!$C$52),1,0)</f>
        <v>0</v>
      </c>
      <c r="V381">
        <f>IF(AND($E381=Keys!$C$60,$N381&lt;&gt;Keys!$C$51),1,0)</f>
        <v>0</v>
      </c>
      <c r="W381">
        <f>IF($L381&gt;Keys!$C$51,IF($K381/$L381&gt;Keys!$C$52,1,0),0)</f>
        <v>0</v>
      </c>
      <c r="X381" s="11">
        <f t="shared" si="23"/>
        <v>0</v>
      </c>
    </row>
    <row r="382" spans="1:24" x14ac:dyDescent="0.25">
      <c r="A382" t="s">
        <v>116</v>
      </c>
      <c r="B382" t="s">
        <v>60</v>
      </c>
      <c r="C382">
        <f>VLOOKUP($B382,Keys!$F$2:$I$22,2,FALSE)</f>
        <v>0</v>
      </c>
      <c r="D382">
        <f>VLOOKUP($B382,Keys!$F$2:$I$22,3,FALSE)</f>
        <v>0</v>
      </c>
      <c r="E382" t="str">
        <f>VLOOKUP($B382,Keys!$F$2:$I$22,4,FALSE)</f>
        <v>zero</v>
      </c>
      <c r="F382" t="str">
        <f>$A382&amp;Keys!$C$54&amp;$B382</f>
        <v>ME|electricity (not used in this variable)</v>
      </c>
      <c r="G382" s="10">
        <f>IF($E382=Keys!$C$60,Keys!$C$51,INDEX(Balanced_2025!$D$9:$D$3032,MATCH($A382&amp;Keys!$C$54&amp;Keys!$C$55&amp;Keys!$C$54&amp;$C382,Balanced_2025!$E$9:$E$3032,0)))</f>
        <v>0</v>
      </c>
      <c r="H382" s="10">
        <f>IF($E382=Keys!$C$60,Keys!$C$51,INDEX(Balanced_2025!$D$9:$D$3032,MATCH($A382&amp;Keys!$C$54&amp;Keys!$C$56&amp;Keys!$C$54&amp;$C382,Balanced_2025!$E$9:$E$3032,0)))</f>
        <v>0</v>
      </c>
      <c r="I382" s="10">
        <f>IF($E382=Keys!$C$60,Keys!$C$51,INDEX(Balanced_2025!$D$9:$D$3032,MATCH($A382&amp;Keys!$C$54&amp;Keys!$C$57&amp;Keys!$C$54&amp;$C382,Balanced_2025!$E$9:$E$3032,0)))</f>
        <v>0</v>
      </c>
      <c r="J382" s="10">
        <f t="shared" si="20"/>
        <v>0</v>
      </c>
      <c r="K382" s="10">
        <f>MAX(Keys!$C$51,$I382-$H382)</f>
        <v>0</v>
      </c>
      <c r="L382" s="10">
        <f t="shared" si="21"/>
        <v>0</v>
      </c>
      <c r="M382" s="11">
        <f>IF($L382&gt;Keys!$C$51,MIN(Keys!$C$52,$K382/$L382),Keys!$C$51)</f>
        <v>0</v>
      </c>
      <c r="N382" s="11">
        <f>IF($E382=Keys!$C$60,Keys!$C$51,IF($E382=Keys!$C$59,$D382,$M382))</f>
        <v>0</v>
      </c>
      <c r="O382">
        <f t="shared" si="22"/>
        <v>0</v>
      </c>
      <c r="P382" s="10">
        <f>IF($E382=Keys!$C$60,Keys!$C$51,INDEX(Raw_BFPIaE!$G$9:$G$3032,MATCH($A382&amp;Keys!$C$54&amp;Keys!$C$55&amp;Keys!$C$54&amp;$B382,Raw_BFPIaE!$H$9:$H$3032,0)))</f>
        <v>0</v>
      </c>
      <c r="Q382" s="10">
        <f>IF($E382=Keys!$C$60,Keys!$C$51,INDEX(Raw_BFPIaE!$G$9:$G$3032,MATCH($A382&amp;Keys!$C$54&amp;Keys!$C$56&amp;Keys!$C$54&amp;$B382,Raw_BFPIaE!$H$9:$H$3032,0)))</f>
        <v>0</v>
      </c>
      <c r="R382" s="10">
        <f>IF($E382=Keys!$C$60,Keys!$C$51,INDEX(Raw_BFPIaE!$G$9:$G$3032,MATCH($A382&amp;Keys!$C$54&amp;Keys!$C$57&amp;Keys!$C$54&amp;$B382,Raw_BFPIaE!$H$9:$H$3032,0)))</f>
        <v>0</v>
      </c>
      <c r="S382" s="11">
        <f>IF(($P382+$Q382-$R382+MAX(Keys!$C$51,$R382-$Q382))&gt;Keys!$C$51,MIN(Keys!$C$52,MAX(Keys!$C$51,$R382-$Q382)/($P382+$Q382-$R382+MAX(Keys!$C$51,$R382-$Q382))),Keys!$C$51)</f>
        <v>0</v>
      </c>
      <c r="T382">
        <f>IF(AND($I382&gt;$H382,ABS($L382-$G382)&gt;MAX(Keys!$C$62,ABS($G382)*Keys!$C$63)),1,0)</f>
        <v>0</v>
      </c>
      <c r="U382">
        <f>IF(OR($N382&lt;Keys!$C$51,$N382&gt;Keys!$C$52),1,0)</f>
        <v>0</v>
      </c>
      <c r="V382">
        <f>IF(AND($E382=Keys!$C$60,$N382&lt;&gt;Keys!$C$51),1,0)</f>
        <v>0</v>
      </c>
      <c r="W382">
        <f>IF($L382&gt;Keys!$C$51,IF($K382/$L382&gt;Keys!$C$52,1,0),0)</f>
        <v>0</v>
      </c>
      <c r="X382" s="11">
        <f t="shared" si="23"/>
        <v>0</v>
      </c>
    </row>
    <row r="383" spans="1:24" x14ac:dyDescent="0.25">
      <c r="A383" t="s">
        <v>116</v>
      </c>
      <c r="B383" t="s">
        <v>64</v>
      </c>
      <c r="C383" t="str">
        <f>VLOOKUP($B383,Keys!$F$2:$I$22,2,FALSE)</f>
        <v>hard coal</v>
      </c>
      <c r="D383">
        <f>VLOOKUP($B383,Keys!$F$2:$I$22,3,FALSE)</f>
        <v>0.137539879</v>
      </c>
      <c r="E383" t="str">
        <f>VLOOKUP($B383,Keys!$F$2:$I$22,4,FALSE)</f>
        <v>rule</v>
      </c>
      <c r="F383" t="str">
        <f>$A383&amp;Keys!$C$54&amp;$B383</f>
        <v>ME|hard coal</v>
      </c>
      <c r="G383" s="10">
        <f>IF($E383=Keys!$C$60,Keys!$C$51,INDEX(Balanced_2025!$D$9:$D$3032,MATCH($A383&amp;Keys!$C$54&amp;Keys!$C$55&amp;Keys!$C$54&amp;$C383,Balanced_2025!$E$9:$E$3032,0)))</f>
        <v>0</v>
      </c>
      <c r="H383" s="10">
        <f>IF($E383=Keys!$C$60,Keys!$C$51,INDEX(Balanced_2025!$D$9:$D$3032,MATCH($A383&amp;Keys!$C$54&amp;Keys!$C$56&amp;Keys!$C$54&amp;$C383,Balanced_2025!$E$9:$E$3032,0)))</f>
        <v>0</v>
      </c>
      <c r="I383" s="10">
        <f>IF($E383=Keys!$C$60,Keys!$C$51,INDEX(Balanced_2025!$D$9:$D$3032,MATCH($A383&amp;Keys!$C$54&amp;Keys!$C$57&amp;Keys!$C$54&amp;$C383,Balanced_2025!$E$9:$E$3032,0)))</f>
        <v>0</v>
      </c>
      <c r="J383" s="10">
        <f t="shared" si="20"/>
        <v>0</v>
      </c>
      <c r="K383" s="10">
        <f>MAX(Keys!$C$51,$I383-$H383)</f>
        <v>0</v>
      </c>
      <c r="L383" s="10">
        <f t="shared" si="21"/>
        <v>0</v>
      </c>
      <c r="M383" s="11">
        <f>IF($L383&gt;Keys!$C$51,MIN(Keys!$C$52,$K383/$L383),Keys!$C$51)</f>
        <v>0</v>
      </c>
      <c r="N383" s="11">
        <f>IF($E383=Keys!$C$60,Keys!$C$51,IF($E383=Keys!$C$59,$D383,$M383))</f>
        <v>0</v>
      </c>
      <c r="O383">
        <f t="shared" si="22"/>
        <v>1</v>
      </c>
      <c r="P383" s="10">
        <f>IF($E383=Keys!$C$60,Keys!$C$51,INDEX(Raw_BFPIaE!$G$9:$G$3032,MATCH($A383&amp;Keys!$C$54&amp;Keys!$C$55&amp;Keys!$C$54&amp;$B383,Raw_BFPIaE!$H$9:$H$3032,0)))</f>
        <v>0</v>
      </c>
      <c r="Q383" s="10">
        <f>IF($E383=Keys!$C$60,Keys!$C$51,INDEX(Raw_BFPIaE!$G$9:$G$3032,MATCH($A383&amp;Keys!$C$54&amp;Keys!$C$56&amp;Keys!$C$54&amp;$B383,Raw_BFPIaE!$H$9:$H$3032,0)))</f>
        <v>0</v>
      </c>
      <c r="R383" s="10">
        <f>IF($E383=Keys!$C$60,Keys!$C$51,INDEX(Raw_BFPIaE!$G$9:$G$3032,MATCH($A383&amp;Keys!$C$54&amp;Keys!$C$57&amp;Keys!$C$54&amp;$B383,Raw_BFPIaE!$H$9:$H$3032,0)))</f>
        <v>0</v>
      </c>
      <c r="S383" s="11">
        <f>IF(($P383+$Q383-$R383+MAX(Keys!$C$51,$R383-$Q383))&gt;Keys!$C$51,MIN(Keys!$C$52,MAX(Keys!$C$51,$R383-$Q383)/($P383+$Q383-$R383+MAX(Keys!$C$51,$R383-$Q383))),Keys!$C$51)</f>
        <v>0</v>
      </c>
      <c r="T383">
        <f>IF(AND($I383&gt;$H383,ABS($L383-$G383)&gt;MAX(Keys!$C$62,ABS($G383)*Keys!$C$63)),1,0)</f>
        <v>0</v>
      </c>
      <c r="U383">
        <f>IF(OR($N383&lt;Keys!$C$51,$N383&gt;Keys!$C$52),1,0)</f>
        <v>0</v>
      </c>
      <c r="V383">
        <f>IF(AND($E383=Keys!$C$60,$N383&lt;&gt;Keys!$C$51),1,0)</f>
        <v>0</v>
      </c>
      <c r="W383">
        <f>IF($L383&gt;Keys!$C$51,IF($K383/$L383&gt;Keys!$C$52,1,0),0)</f>
        <v>0</v>
      </c>
      <c r="X383" s="11">
        <f t="shared" si="23"/>
        <v>0</v>
      </c>
    </row>
    <row r="384" spans="1:24" x14ac:dyDescent="0.25">
      <c r="A384" t="s">
        <v>116</v>
      </c>
      <c r="B384" t="s">
        <v>68</v>
      </c>
      <c r="C384" t="str">
        <f>VLOOKUP($B384,Keys!$F$2:$I$22,2,FALSE)</f>
        <v>natural gas</v>
      </c>
      <c r="D384">
        <f>VLOOKUP($B384,Keys!$F$2:$I$22,3,FALSE)</f>
        <v>0.190839183</v>
      </c>
      <c r="E384" t="str">
        <f>VLOOKUP($B384,Keys!$F$2:$I$22,4,FALSE)</f>
        <v>rule</v>
      </c>
      <c r="F384" t="str">
        <f>$A384&amp;Keys!$C$54&amp;$B384</f>
        <v>ME|natural gas</v>
      </c>
      <c r="G384" s="10">
        <f>IF($E384=Keys!$C$60,Keys!$C$51,INDEX(Balanced_2025!$D$9:$D$3032,MATCH($A384&amp;Keys!$C$54&amp;Keys!$C$55&amp;Keys!$C$54&amp;$C384,Balanced_2025!$E$9:$E$3032,0)))</f>
        <v>0</v>
      </c>
      <c r="H384" s="10">
        <f>IF($E384=Keys!$C$60,Keys!$C$51,INDEX(Balanced_2025!$D$9:$D$3032,MATCH($A384&amp;Keys!$C$54&amp;Keys!$C$56&amp;Keys!$C$54&amp;$C384,Balanced_2025!$E$9:$E$3032,0)))</f>
        <v>248884000000000</v>
      </c>
      <c r="I384" s="10">
        <f>IF($E384=Keys!$C$60,Keys!$C$51,INDEX(Balanced_2025!$D$9:$D$3032,MATCH($A384&amp;Keys!$C$54&amp;Keys!$C$57&amp;Keys!$C$54&amp;$C384,Balanced_2025!$E$9:$E$3032,0)))</f>
        <v>169282000000000</v>
      </c>
      <c r="J384" s="10">
        <f t="shared" si="20"/>
        <v>79602000000000</v>
      </c>
      <c r="K384" s="10">
        <f>MAX(Keys!$C$51,$I384-$H384)</f>
        <v>0</v>
      </c>
      <c r="L384" s="10">
        <f t="shared" si="21"/>
        <v>79602000000000</v>
      </c>
      <c r="M384" s="11">
        <f>IF($L384&gt;Keys!$C$51,MIN(Keys!$C$52,$K384/$L384),Keys!$C$51)</f>
        <v>0</v>
      </c>
      <c r="N384" s="11">
        <f>IF($E384=Keys!$C$60,Keys!$C$51,IF($E384=Keys!$C$59,$D384,$M384))</f>
        <v>0</v>
      </c>
      <c r="O384">
        <f t="shared" si="22"/>
        <v>1</v>
      </c>
      <c r="P384" s="10">
        <f>IF($E384=Keys!$C$60,Keys!$C$51,INDEX(Raw_BFPIaE!$G$9:$G$3032,MATCH($A384&amp;Keys!$C$54&amp;Keys!$C$55&amp;Keys!$C$54&amp;$B384,Raw_BFPIaE!$H$9:$H$3032,0)))</f>
        <v>0</v>
      </c>
      <c r="Q384" s="10">
        <f>IF($E384=Keys!$C$60,Keys!$C$51,INDEX(Raw_BFPIaE!$G$9:$G$3032,MATCH($A384&amp;Keys!$C$54&amp;Keys!$C$56&amp;Keys!$C$54&amp;$B384,Raw_BFPIaE!$H$9:$H$3032,0)))</f>
        <v>226824000000000</v>
      </c>
      <c r="R384" s="10">
        <f>IF($E384=Keys!$C$60,Keys!$C$51,INDEX(Raw_BFPIaE!$G$9:$G$3032,MATCH($A384&amp;Keys!$C$54&amp;Keys!$C$57&amp;Keys!$C$54&amp;$B384,Raw_BFPIaE!$H$9:$H$3032,0)))</f>
        <v>169457333333333.34</v>
      </c>
      <c r="S384" s="11">
        <f>IF(($P384+$Q384-$R384+MAX(Keys!$C$51,$R384-$Q384))&gt;Keys!$C$51,MIN(Keys!$C$52,MAX(Keys!$C$51,$R384-$Q384)/($P384+$Q384-$R384+MAX(Keys!$C$51,$R384-$Q384))),Keys!$C$51)</f>
        <v>0</v>
      </c>
      <c r="T384">
        <f>IF(AND($I384&gt;$H384,ABS($L384-$G384)&gt;MAX(Keys!$C$62,ABS($G384)*Keys!$C$63)),1,0)</f>
        <v>0</v>
      </c>
      <c r="U384">
        <f>IF(OR($N384&lt;Keys!$C$51,$N384&gt;Keys!$C$52),1,0)</f>
        <v>0</v>
      </c>
      <c r="V384">
        <f>IF(AND($E384=Keys!$C$60,$N384&lt;&gt;Keys!$C$51),1,0)</f>
        <v>0</v>
      </c>
      <c r="W384">
        <f>IF($L384&gt;Keys!$C$51,IF($K384/$L384&gt;Keys!$C$52,1,0),0)</f>
        <v>0</v>
      </c>
      <c r="X384" s="11">
        <f t="shared" si="23"/>
        <v>0</v>
      </c>
    </row>
    <row r="385" spans="1:24" x14ac:dyDescent="0.25">
      <c r="A385" t="s">
        <v>116</v>
      </c>
      <c r="B385" t="s">
        <v>71</v>
      </c>
      <c r="C385">
        <f>VLOOKUP($B385,Keys!$F$2:$I$22,2,FALSE)</f>
        <v>0</v>
      </c>
      <c r="D385">
        <f>VLOOKUP($B385,Keys!$F$2:$I$22,3,FALSE)</f>
        <v>0</v>
      </c>
      <c r="E385" t="str">
        <f>VLOOKUP($B385,Keys!$F$2:$I$22,4,FALSE)</f>
        <v>zero</v>
      </c>
      <c r="F385" t="str">
        <f>$A385&amp;Keys!$C$54&amp;$B385</f>
        <v>ME|nuclear</v>
      </c>
      <c r="G385" s="10">
        <f>IF($E385=Keys!$C$60,Keys!$C$51,INDEX(Balanced_2025!$D$9:$D$3032,MATCH($A385&amp;Keys!$C$54&amp;Keys!$C$55&amp;Keys!$C$54&amp;$C385,Balanced_2025!$E$9:$E$3032,0)))</f>
        <v>0</v>
      </c>
      <c r="H385" s="10">
        <f>IF($E385=Keys!$C$60,Keys!$C$51,INDEX(Balanced_2025!$D$9:$D$3032,MATCH($A385&amp;Keys!$C$54&amp;Keys!$C$56&amp;Keys!$C$54&amp;$C385,Balanced_2025!$E$9:$E$3032,0)))</f>
        <v>0</v>
      </c>
      <c r="I385" s="10">
        <f>IF($E385=Keys!$C$60,Keys!$C$51,INDEX(Balanced_2025!$D$9:$D$3032,MATCH($A385&amp;Keys!$C$54&amp;Keys!$C$57&amp;Keys!$C$54&amp;$C385,Balanced_2025!$E$9:$E$3032,0)))</f>
        <v>0</v>
      </c>
      <c r="J385" s="10">
        <f t="shared" si="20"/>
        <v>0</v>
      </c>
      <c r="K385" s="10">
        <f>MAX(Keys!$C$51,$I385-$H385)</f>
        <v>0</v>
      </c>
      <c r="L385" s="10">
        <f t="shared" si="21"/>
        <v>0</v>
      </c>
      <c r="M385" s="11">
        <f>IF($L385&gt;Keys!$C$51,MIN(Keys!$C$52,$K385/$L385),Keys!$C$51)</f>
        <v>0</v>
      </c>
      <c r="N385" s="11">
        <f>IF($E385=Keys!$C$60,Keys!$C$51,IF($E385=Keys!$C$59,$D385,$M385))</f>
        <v>0</v>
      </c>
      <c r="O385">
        <f t="shared" si="22"/>
        <v>0</v>
      </c>
      <c r="P385" s="10">
        <f>IF($E385=Keys!$C$60,Keys!$C$51,INDEX(Raw_BFPIaE!$G$9:$G$3032,MATCH($A385&amp;Keys!$C$54&amp;Keys!$C$55&amp;Keys!$C$54&amp;$B385,Raw_BFPIaE!$H$9:$H$3032,0)))</f>
        <v>0</v>
      </c>
      <c r="Q385" s="10">
        <f>IF($E385=Keys!$C$60,Keys!$C$51,INDEX(Raw_BFPIaE!$G$9:$G$3032,MATCH($A385&amp;Keys!$C$54&amp;Keys!$C$56&amp;Keys!$C$54&amp;$B385,Raw_BFPIaE!$H$9:$H$3032,0)))</f>
        <v>0</v>
      </c>
      <c r="R385" s="10">
        <f>IF($E385=Keys!$C$60,Keys!$C$51,INDEX(Raw_BFPIaE!$G$9:$G$3032,MATCH($A385&amp;Keys!$C$54&amp;Keys!$C$57&amp;Keys!$C$54&amp;$B385,Raw_BFPIaE!$H$9:$H$3032,0)))</f>
        <v>0</v>
      </c>
      <c r="S385" s="11">
        <f>IF(($P385+$Q385-$R385+MAX(Keys!$C$51,$R385-$Q385))&gt;Keys!$C$51,MIN(Keys!$C$52,MAX(Keys!$C$51,$R385-$Q385)/($P385+$Q385-$R385+MAX(Keys!$C$51,$R385-$Q385))),Keys!$C$51)</f>
        <v>0</v>
      </c>
      <c r="T385">
        <f>IF(AND($I385&gt;$H385,ABS($L385-$G385)&gt;MAX(Keys!$C$62,ABS($G385)*Keys!$C$63)),1,0)</f>
        <v>0</v>
      </c>
      <c r="U385">
        <f>IF(OR($N385&lt;Keys!$C$51,$N385&gt;Keys!$C$52),1,0)</f>
        <v>0</v>
      </c>
      <c r="V385">
        <f>IF(AND($E385=Keys!$C$60,$N385&lt;&gt;Keys!$C$51),1,0)</f>
        <v>0</v>
      </c>
      <c r="W385">
        <f>IF($L385&gt;Keys!$C$51,IF($K385/$L385&gt;Keys!$C$52,1,0),0)</f>
        <v>0</v>
      </c>
      <c r="X385" s="11">
        <f t="shared" si="23"/>
        <v>0</v>
      </c>
    </row>
    <row r="386" spans="1:24" x14ac:dyDescent="0.25">
      <c r="A386" t="s">
        <v>116</v>
      </c>
      <c r="B386" t="s">
        <v>74</v>
      </c>
      <c r="C386">
        <f>VLOOKUP($B386,Keys!$F$2:$I$22,2,FALSE)</f>
        <v>0</v>
      </c>
      <c r="D386">
        <f>VLOOKUP($B386,Keys!$F$2:$I$22,3,FALSE)</f>
        <v>0</v>
      </c>
      <c r="E386" t="str">
        <f>VLOOKUP($B386,Keys!$F$2:$I$22,4,FALSE)</f>
        <v>zero</v>
      </c>
      <c r="F386" t="str">
        <f>$A386&amp;Keys!$C$54&amp;$B386</f>
        <v>ME|hydro (is not a fuel)</v>
      </c>
      <c r="G386" s="10">
        <f>IF($E386=Keys!$C$60,Keys!$C$51,INDEX(Balanced_2025!$D$9:$D$3032,MATCH($A386&amp;Keys!$C$54&amp;Keys!$C$55&amp;Keys!$C$54&amp;$C386,Balanced_2025!$E$9:$E$3032,0)))</f>
        <v>0</v>
      </c>
      <c r="H386" s="10">
        <f>IF($E386=Keys!$C$60,Keys!$C$51,INDEX(Balanced_2025!$D$9:$D$3032,MATCH($A386&amp;Keys!$C$54&amp;Keys!$C$56&amp;Keys!$C$54&amp;$C386,Balanced_2025!$E$9:$E$3032,0)))</f>
        <v>0</v>
      </c>
      <c r="I386" s="10">
        <f>IF($E386=Keys!$C$60,Keys!$C$51,INDEX(Balanced_2025!$D$9:$D$3032,MATCH($A386&amp;Keys!$C$54&amp;Keys!$C$57&amp;Keys!$C$54&amp;$C386,Balanced_2025!$E$9:$E$3032,0)))</f>
        <v>0</v>
      </c>
      <c r="J386" s="10">
        <f t="shared" si="20"/>
        <v>0</v>
      </c>
      <c r="K386" s="10">
        <f>MAX(Keys!$C$51,$I386-$H386)</f>
        <v>0</v>
      </c>
      <c r="L386" s="10">
        <f t="shared" si="21"/>
        <v>0</v>
      </c>
      <c r="M386" s="11">
        <f>IF($L386&gt;Keys!$C$51,MIN(Keys!$C$52,$K386/$L386),Keys!$C$51)</f>
        <v>0</v>
      </c>
      <c r="N386" s="11">
        <f>IF($E386=Keys!$C$60,Keys!$C$51,IF($E386=Keys!$C$59,$D386,$M386))</f>
        <v>0</v>
      </c>
      <c r="O386">
        <f t="shared" si="22"/>
        <v>0</v>
      </c>
      <c r="P386" s="10">
        <f>IF($E386=Keys!$C$60,Keys!$C$51,INDEX(Raw_BFPIaE!$G$9:$G$3032,MATCH($A386&amp;Keys!$C$54&amp;Keys!$C$55&amp;Keys!$C$54&amp;$B386,Raw_BFPIaE!$H$9:$H$3032,0)))</f>
        <v>0</v>
      </c>
      <c r="Q386" s="10">
        <f>IF($E386=Keys!$C$60,Keys!$C$51,INDEX(Raw_BFPIaE!$G$9:$G$3032,MATCH($A386&amp;Keys!$C$54&amp;Keys!$C$56&amp;Keys!$C$54&amp;$B386,Raw_BFPIaE!$H$9:$H$3032,0)))</f>
        <v>0</v>
      </c>
      <c r="R386" s="10">
        <f>IF($E386=Keys!$C$60,Keys!$C$51,INDEX(Raw_BFPIaE!$G$9:$G$3032,MATCH($A386&amp;Keys!$C$54&amp;Keys!$C$57&amp;Keys!$C$54&amp;$B386,Raw_BFPIaE!$H$9:$H$3032,0)))</f>
        <v>0</v>
      </c>
      <c r="S386" s="11">
        <f>IF(($P386+$Q386-$R386+MAX(Keys!$C$51,$R386-$Q386))&gt;Keys!$C$51,MIN(Keys!$C$52,MAX(Keys!$C$51,$R386-$Q386)/($P386+$Q386-$R386+MAX(Keys!$C$51,$R386-$Q386))),Keys!$C$51)</f>
        <v>0</v>
      </c>
      <c r="T386">
        <f>IF(AND($I386&gt;$H386,ABS($L386-$G386)&gt;MAX(Keys!$C$62,ABS($G386)*Keys!$C$63)),1,0)</f>
        <v>0</v>
      </c>
      <c r="U386">
        <f>IF(OR($N386&lt;Keys!$C$51,$N386&gt;Keys!$C$52),1,0)</f>
        <v>0</v>
      </c>
      <c r="V386">
        <f>IF(AND($E386=Keys!$C$60,$N386&lt;&gt;Keys!$C$51),1,0)</f>
        <v>0</v>
      </c>
      <c r="W386">
        <f>IF($L386&gt;Keys!$C$51,IF($K386/$L386&gt;Keys!$C$52,1,0),0)</f>
        <v>0</v>
      </c>
      <c r="X386" s="11">
        <f t="shared" si="23"/>
        <v>0</v>
      </c>
    </row>
    <row r="387" spans="1:24" x14ac:dyDescent="0.25">
      <c r="A387" t="s">
        <v>116</v>
      </c>
      <c r="B387" t="s">
        <v>77</v>
      </c>
      <c r="C387">
        <f>VLOOKUP($B387,Keys!$F$2:$I$22,2,FALSE)</f>
        <v>0</v>
      </c>
      <c r="D387">
        <f>VLOOKUP($B387,Keys!$F$2:$I$22,3,FALSE)</f>
        <v>0</v>
      </c>
      <c r="E387" t="str">
        <f>VLOOKUP($B387,Keys!$F$2:$I$22,4,FALSE)</f>
        <v>zero</v>
      </c>
      <c r="F387" t="str">
        <f>$A387&amp;Keys!$C$54&amp;$B387</f>
        <v>ME|wind (is not a fuel)</v>
      </c>
      <c r="G387" s="10">
        <f>IF($E387=Keys!$C$60,Keys!$C$51,INDEX(Balanced_2025!$D$9:$D$3032,MATCH($A387&amp;Keys!$C$54&amp;Keys!$C$55&amp;Keys!$C$54&amp;$C387,Balanced_2025!$E$9:$E$3032,0)))</f>
        <v>0</v>
      </c>
      <c r="H387" s="10">
        <f>IF($E387=Keys!$C$60,Keys!$C$51,INDEX(Balanced_2025!$D$9:$D$3032,MATCH($A387&amp;Keys!$C$54&amp;Keys!$C$56&amp;Keys!$C$54&amp;$C387,Balanced_2025!$E$9:$E$3032,0)))</f>
        <v>0</v>
      </c>
      <c r="I387" s="10">
        <f>IF($E387=Keys!$C$60,Keys!$C$51,INDEX(Balanced_2025!$D$9:$D$3032,MATCH($A387&amp;Keys!$C$54&amp;Keys!$C$57&amp;Keys!$C$54&amp;$C387,Balanced_2025!$E$9:$E$3032,0)))</f>
        <v>0</v>
      </c>
      <c r="J387" s="10">
        <f t="shared" si="20"/>
        <v>0</v>
      </c>
      <c r="K387" s="10">
        <f>MAX(Keys!$C$51,$I387-$H387)</f>
        <v>0</v>
      </c>
      <c r="L387" s="10">
        <f t="shared" si="21"/>
        <v>0</v>
      </c>
      <c r="M387" s="11">
        <f>IF($L387&gt;Keys!$C$51,MIN(Keys!$C$52,$K387/$L387),Keys!$C$51)</f>
        <v>0</v>
      </c>
      <c r="N387" s="11">
        <f>IF($E387=Keys!$C$60,Keys!$C$51,IF($E387=Keys!$C$59,$D387,$M387))</f>
        <v>0</v>
      </c>
      <c r="O387">
        <f t="shared" si="22"/>
        <v>0</v>
      </c>
      <c r="P387" s="10">
        <f>IF($E387=Keys!$C$60,Keys!$C$51,INDEX(Raw_BFPIaE!$G$9:$G$3032,MATCH($A387&amp;Keys!$C$54&amp;Keys!$C$55&amp;Keys!$C$54&amp;$B387,Raw_BFPIaE!$H$9:$H$3032,0)))</f>
        <v>0</v>
      </c>
      <c r="Q387" s="10">
        <f>IF($E387=Keys!$C$60,Keys!$C$51,INDEX(Raw_BFPIaE!$G$9:$G$3032,MATCH($A387&amp;Keys!$C$54&amp;Keys!$C$56&amp;Keys!$C$54&amp;$B387,Raw_BFPIaE!$H$9:$H$3032,0)))</f>
        <v>0</v>
      </c>
      <c r="R387" s="10">
        <f>IF($E387=Keys!$C$60,Keys!$C$51,INDEX(Raw_BFPIaE!$G$9:$G$3032,MATCH($A387&amp;Keys!$C$54&amp;Keys!$C$57&amp;Keys!$C$54&amp;$B387,Raw_BFPIaE!$H$9:$H$3032,0)))</f>
        <v>0</v>
      </c>
      <c r="S387" s="11">
        <f>IF(($P387+$Q387-$R387+MAX(Keys!$C$51,$R387-$Q387))&gt;Keys!$C$51,MIN(Keys!$C$52,MAX(Keys!$C$51,$R387-$Q387)/($P387+$Q387-$R387+MAX(Keys!$C$51,$R387-$Q387))),Keys!$C$51)</f>
        <v>0</v>
      </c>
      <c r="T387">
        <f>IF(AND($I387&gt;$H387,ABS($L387-$G387)&gt;MAX(Keys!$C$62,ABS($G387)*Keys!$C$63)),1,0)</f>
        <v>0</v>
      </c>
      <c r="U387">
        <f>IF(OR($N387&lt;Keys!$C$51,$N387&gt;Keys!$C$52),1,0)</f>
        <v>0</v>
      </c>
      <c r="V387">
        <f>IF(AND($E387=Keys!$C$60,$N387&lt;&gt;Keys!$C$51),1,0)</f>
        <v>0</v>
      </c>
      <c r="W387">
        <f>IF($L387&gt;Keys!$C$51,IF($K387/$L387&gt;Keys!$C$52,1,0),0)</f>
        <v>0</v>
      </c>
      <c r="X387" s="11">
        <f t="shared" si="23"/>
        <v>0</v>
      </c>
    </row>
    <row r="388" spans="1:24" x14ac:dyDescent="0.25">
      <c r="A388" t="s">
        <v>116</v>
      </c>
      <c r="B388" t="s">
        <v>80</v>
      </c>
      <c r="C388">
        <f>VLOOKUP($B388,Keys!$F$2:$I$22,2,FALSE)</f>
        <v>0</v>
      </c>
      <c r="D388">
        <f>VLOOKUP($B388,Keys!$F$2:$I$22,3,FALSE)</f>
        <v>0</v>
      </c>
      <c r="E388" t="str">
        <f>VLOOKUP($B388,Keys!$F$2:$I$22,4,FALSE)</f>
        <v>zero</v>
      </c>
      <c r="F388" t="str">
        <f>$A388&amp;Keys!$C$54&amp;$B388</f>
        <v>ME|solar (is not a fuel)</v>
      </c>
      <c r="G388" s="10">
        <f>IF($E388=Keys!$C$60,Keys!$C$51,INDEX(Balanced_2025!$D$9:$D$3032,MATCH($A388&amp;Keys!$C$54&amp;Keys!$C$55&amp;Keys!$C$54&amp;$C388,Balanced_2025!$E$9:$E$3032,0)))</f>
        <v>0</v>
      </c>
      <c r="H388" s="10">
        <f>IF($E388=Keys!$C$60,Keys!$C$51,INDEX(Balanced_2025!$D$9:$D$3032,MATCH($A388&amp;Keys!$C$54&amp;Keys!$C$56&amp;Keys!$C$54&amp;$C388,Balanced_2025!$E$9:$E$3032,0)))</f>
        <v>0</v>
      </c>
      <c r="I388" s="10">
        <f>IF($E388=Keys!$C$60,Keys!$C$51,INDEX(Balanced_2025!$D$9:$D$3032,MATCH($A388&amp;Keys!$C$54&amp;Keys!$C$57&amp;Keys!$C$54&amp;$C388,Balanced_2025!$E$9:$E$3032,0)))</f>
        <v>0</v>
      </c>
      <c r="J388" s="10">
        <f t="shared" ref="J388:J451" si="24">$G388+$H388-$I388</f>
        <v>0</v>
      </c>
      <c r="K388" s="10">
        <f>MAX(Keys!$C$51,$I388-$H388)</f>
        <v>0</v>
      </c>
      <c r="L388" s="10">
        <f t="shared" ref="L388:L451" si="25">$K388+$J388</f>
        <v>0</v>
      </c>
      <c r="M388" s="11">
        <f>IF($L388&gt;Keys!$C$51,MIN(Keys!$C$52,$K388/$L388),Keys!$C$51)</f>
        <v>0</v>
      </c>
      <c r="N388" s="11">
        <f>IF($E388=Keys!$C$60,Keys!$C$51,IF($E388=Keys!$C$59,$D388,$M388))</f>
        <v>0</v>
      </c>
      <c r="O388">
        <f t="shared" ref="O388:O451" si="26">IF($N388&lt;&gt;$D388,1,0)</f>
        <v>0</v>
      </c>
      <c r="P388" s="10">
        <f>IF($E388=Keys!$C$60,Keys!$C$51,INDEX(Raw_BFPIaE!$G$9:$G$3032,MATCH($A388&amp;Keys!$C$54&amp;Keys!$C$55&amp;Keys!$C$54&amp;$B388,Raw_BFPIaE!$H$9:$H$3032,0)))</f>
        <v>0</v>
      </c>
      <c r="Q388" s="10">
        <f>IF($E388=Keys!$C$60,Keys!$C$51,INDEX(Raw_BFPIaE!$G$9:$G$3032,MATCH($A388&amp;Keys!$C$54&amp;Keys!$C$56&amp;Keys!$C$54&amp;$B388,Raw_BFPIaE!$H$9:$H$3032,0)))</f>
        <v>0</v>
      </c>
      <c r="R388" s="10">
        <f>IF($E388=Keys!$C$60,Keys!$C$51,INDEX(Raw_BFPIaE!$G$9:$G$3032,MATCH($A388&amp;Keys!$C$54&amp;Keys!$C$57&amp;Keys!$C$54&amp;$B388,Raw_BFPIaE!$H$9:$H$3032,0)))</f>
        <v>0</v>
      </c>
      <c r="S388" s="11">
        <f>IF(($P388+$Q388-$R388+MAX(Keys!$C$51,$R388-$Q388))&gt;Keys!$C$51,MIN(Keys!$C$52,MAX(Keys!$C$51,$R388-$Q388)/($P388+$Q388-$R388+MAX(Keys!$C$51,$R388-$Q388))),Keys!$C$51)</f>
        <v>0</v>
      </c>
      <c r="T388">
        <f>IF(AND($I388&gt;$H388,ABS($L388-$G388)&gt;MAX(Keys!$C$62,ABS($G388)*Keys!$C$63)),1,0)</f>
        <v>0</v>
      </c>
      <c r="U388">
        <f>IF(OR($N388&lt;Keys!$C$51,$N388&gt;Keys!$C$52),1,0)</f>
        <v>0</v>
      </c>
      <c r="V388">
        <f>IF(AND($E388=Keys!$C$60,$N388&lt;&gt;Keys!$C$51),1,0)</f>
        <v>0</v>
      </c>
      <c r="W388">
        <f>IF($L388&gt;Keys!$C$51,IF($K388/$L388&gt;Keys!$C$52,1,0),0)</f>
        <v>0</v>
      </c>
      <c r="X388" s="11">
        <f t="shared" ref="X388:X451" si="27">ABS($M388-$S388)</f>
        <v>0</v>
      </c>
    </row>
    <row r="389" spans="1:24" x14ac:dyDescent="0.25">
      <c r="A389" t="s">
        <v>116</v>
      </c>
      <c r="B389" t="s">
        <v>82</v>
      </c>
      <c r="C389" t="str">
        <f>VLOOKUP($B389,Keys!$F$2:$I$22,2,FALSE)</f>
        <v>biomass</v>
      </c>
      <c r="D389">
        <f>VLOOKUP($B389,Keys!$F$2:$I$22,3,FALSE)</f>
        <v>0.74947425499999998</v>
      </c>
      <c r="E389" t="str">
        <f>VLOOKUP($B389,Keys!$F$2:$I$22,4,FALSE)</f>
        <v>rule</v>
      </c>
      <c r="F389" t="str">
        <f>$A389&amp;Keys!$C$54&amp;$B389</f>
        <v>ME|biomass</v>
      </c>
      <c r="G389" s="10">
        <f>IF($E389=Keys!$C$60,Keys!$C$51,INDEX(Balanced_2025!$D$9:$D$3032,MATCH($A389&amp;Keys!$C$54&amp;Keys!$C$55&amp;Keys!$C$54&amp;$C389,Balanced_2025!$E$9:$E$3032,0)))</f>
        <v>3584000000000</v>
      </c>
      <c r="H389" s="10">
        <f>IF($E389=Keys!$C$60,Keys!$C$51,INDEX(Balanced_2025!$D$9:$D$3032,MATCH($A389&amp;Keys!$C$54&amp;Keys!$C$56&amp;Keys!$C$54&amp;$C389,Balanced_2025!$E$9:$E$3032,0)))</f>
        <v>52486900000000</v>
      </c>
      <c r="I389" s="10">
        <f>IF($E389=Keys!$C$60,Keys!$C$51,INDEX(Balanced_2025!$D$9:$D$3032,MATCH($A389&amp;Keys!$C$54&amp;Keys!$C$57&amp;Keys!$C$54&amp;$C389,Balanced_2025!$E$9:$E$3032,0)))</f>
        <v>0</v>
      </c>
      <c r="J389" s="10">
        <f t="shared" si="24"/>
        <v>56070900000000</v>
      </c>
      <c r="K389" s="10">
        <f>MAX(Keys!$C$51,$I389-$H389)</f>
        <v>0</v>
      </c>
      <c r="L389" s="10">
        <f t="shared" si="25"/>
        <v>56070900000000</v>
      </c>
      <c r="M389" s="11">
        <f>IF($L389&gt;Keys!$C$51,MIN(Keys!$C$52,$K389/$L389),Keys!$C$51)</f>
        <v>0</v>
      </c>
      <c r="N389" s="11">
        <f>IF($E389=Keys!$C$60,Keys!$C$51,IF($E389=Keys!$C$59,$D389,$M389))</f>
        <v>0</v>
      </c>
      <c r="O389">
        <f t="shared" si="26"/>
        <v>1</v>
      </c>
      <c r="P389" s="10">
        <f>IF($E389=Keys!$C$60,Keys!$C$51,INDEX(Raw_BFPIaE!$G$9:$G$3032,MATCH($A389&amp;Keys!$C$54&amp;Keys!$C$55&amp;Keys!$C$54&amp;$B389,Raw_BFPIaE!$H$9:$H$3032,0)))</f>
        <v>3584000000000</v>
      </c>
      <c r="Q389" s="10">
        <f>IF($E389=Keys!$C$60,Keys!$C$51,INDEX(Raw_BFPIaE!$G$9:$G$3032,MATCH($A389&amp;Keys!$C$54&amp;Keys!$C$56&amp;Keys!$C$54&amp;$B389,Raw_BFPIaE!$H$9:$H$3032,0)))</f>
        <v>30903133333333.332</v>
      </c>
      <c r="R389" s="10">
        <f>IF($E389=Keys!$C$60,Keys!$C$51,INDEX(Raw_BFPIaE!$G$9:$G$3032,MATCH($A389&amp;Keys!$C$54&amp;Keys!$C$57&amp;Keys!$C$54&amp;$B389,Raw_BFPIaE!$H$9:$H$3032,0)))</f>
        <v>0</v>
      </c>
      <c r="S389" s="11">
        <f>IF(($P389+$Q389-$R389+MAX(Keys!$C$51,$R389-$Q389))&gt;Keys!$C$51,MIN(Keys!$C$52,MAX(Keys!$C$51,$R389-$Q389)/($P389+$Q389-$R389+MAX(Keys!$C$51,$R389-$Q389))),Keys!$C$51)</f>
        <v>0</v>
      </c>
      <c r="T389">
        <f>IF(AND($I389&gt;$H389,ABS($L389-$G389)&gt;MAX(Keys!$C$62,ABS($G389)*Keys!$C$63)),1,0)</f>
        <v>0</v>
      </c>
      <c r="U389">
        <f>IF(OR($N389&lt;Keys!$C$51,$N389&gt;Keys!$C$52),1,0)</f>
        <v>0</v>
      </c>
      <c r="V389">
        <f>IF(AND($E389=Keys!$C$60,$N389&lt;&gt;Keys!$C$51),1,0)</f>
        <v>0</v>
      </c>
      <c r="W389">
        <f>IF($L389&gt;Keys!$C$51,IF($K389/$L389&gt;Keys!$C$52,1,0),0)</f>
        <v>0</v>
      </c>
      <c r="X389" s="11">
        <f t="shared" si="27"/>
        <v>0</v>
      </c>
    </row>
    <row r="390" spans="1:24" x14ac:dyDescent="0.25">
      <c r="A390" t="s">
        <v>116</v>
      </c>
      <c r="B390" t="s">
        <v>85</v>
      </c>
      <c r="C390" t="str">
        <f>VLOOKUP($B390,Keys!$F$2:$I$22,2,FALSE)</f>
        <v>petroleum gasoline</v>
      </c>
      <c r="D390">
        <f>VLOOKUP($B390,Keys!$F$2:$I$22,3,FALSE)</f>
        <v>7.5004052000000002E-2</v>
      </c>
      <c r="E390" t="str">
        <f>VLOOKUP($B390,Keys!$F$2:$I$22,4,FALSE)</f>
        <v>rule</v>
      </c>
      <c r="F390" t="str">
        <f>$A390&amp;Keys!$C$54&amp;$B390</f>
        <v>ME|petroleum gasoline</v>
      </c>
      <c r="G390" s="10">
        <f>IF($E390=Keys!$C$60,Keys!$C$51,INDEX(Balanced_2025!$D$9:$D$3032,MATCH($A390&amp;Keys!$C$54&amp;Keys!$C$55&amp;Keys!$C$54&amp;$C390,Balanced_2025!$E$9:$E$3032,0)))</f>
        <v>0</v>
      </c>
      <c r="H390" s="10">
        <f>IF($E390=Keys!$C$60,Keys!$C$51,INDEX(Balanced_2025!$D$9:$D$3032,MATCH($A390&amp;Keys!$C$54&amp;Keys!$C$56&amp;Keys!$C$54&amp;$C390,Balanced_2025!$E$9:$E$3032,0)))</f>
        <v>70829400000000</v>
      </c>
      <c r="I390" s="10">
        <f>IF($E390=Keys!$C$60,Keys!$C$51,INDEX(Balanced_2025!$D$9:$D$3032,MATCH($A390&amp;Keys!$C$54&amp;Keys!$C$57&amp;Keys!$C$54&amp;$C390,Balanced_2025!$E$9:$E$3032,0)))</f>
        <v>0</v>
      </c>
      <c r="J390" s="10">
        <f t="shared" si="24"/>
        <v>70829400000000</v>
      </c>
      <c r="K390" s="10">
        <f>MAX(Keys!$C$51,$I390-$H390)</f>
        <v>0</v>
      </c>
      <c r="L390" s="10">
        <f t="shared" si="25"/>
        <v>70829400000000</v>
      </c>
      <c r="M390" s="11">
        <f>IF($L390&gt;Keys!$C$51,MIN(Keys!$C$52,$K390/$L390),Keys!$C$51)</f>
        <v>0</v>
      </c>
      <c r="N390" s="11">
        <f>IF($E390=Keys!$C$60,Keys!$C$51,IF($E390=Keys!$C$59,$D390,$M390))</f>
        <v>0</v>
      </c>
      <c r="O390">
        <f t="shared" si="26"/>
        <v>1</v>
      </c>
      <c r="P390" s="10">
        <f>IF($E390=Keys!$C$60,Keys!$C$51,INDEX(Raw_BFPIaE!$G$9:$G$3032,MATCH($A390&amp;Keys!$C$54&amp;Keys!$C$55&amp;Keys!$C$54&amp;$B390,Raw_BFPIaE!$H$9:$H$3032,0)))</f>
        <v>0</v>
      </c>
      <c r="Q390" s="10">
        <f>IF($E390=Keys!$C$60,Keys!$C$51,INDEX(Raw_BFPIaE!$G$9:$G$3032,MATCH($A390&amp;Keys!$C$54&amp;Keys!$C$56&amp;Keys!$C$54&amp;$B390,Raw_BFPIaE!$H$9:$H$3032,0)))</f>
        <v>44268066666666.664</v>
      </c>
      <c r="R390" s="10">
        <f>IF($E390=Keys!$C$60,Keys!$C$51,INDEX(Raw_BFPIaE!$G$9:$G$3032,MATCH($A390&amp;Keys!$C$54&amp;Keys!$C$57&amp;Keys!$C$54&amp;$B390,Raw_BFPIaE!$H$9:$H$3032,0)))</f>
        <v>0</v>
      </c>
      <c r="S390" s="11">
        <f>IF(($P390+$Q390-$R390+MAX(Keys!$C$51,$R390-$Q390))&gt;Keys!$C$51,MIN(Keys!$C$52,MAX(Keys!$C$51,$R390-$Q390)/($P390+$Q390-$R390+MAX(Keys!$C$51,$R390-$Q390))),Keys!$C$51)</f>
        <v>0</v>
      </c>
      <c r="T390">
        <f>IF(AND($I390&gt;$H390,ABS($L390-$G390)&gt;MAX(Keys!$C$62,ABS($G390)*Keys!$C$63)),1,0)</f>
        <v>0</v>
      </c>
      <c r="U390">
        <f>IF(OR($N390&lt;Keys!$C$51,$N390&gt;Keys!$C$52),1,0)</f>
        <v>0</v>
      </c>
      <c r="V390">
        <f>IF(AND($E390=Keys!$C$60,$N390&lt;&gt;Keys!$C$51),1,0)</f>
        <v>0</v>
      </c>
      <c r="W390">
        <f>IF($L390&gt;Keys!$C$51,IF($K390/$L390&gt;Keys!$C$52,1,0),0)</f>
        <v>0</v>
      </c>
      <c r="X390" s="11">
        <f t="shared" si="27"/>
        <v>0</v>
      </c>
    </row>
    <row r="391" spans="1:24" x14ac:dyDescent="0.25">
      <c r="A391" t="s">
        <v>116</v>
      </c>
      <c r="B391" t="s">
        <v>88</v>
      </c>
      <c r="C391" t="str">
        <f>VLOOKUP($B391,Keys!$F$2:$I$22,2,FALSE)</f>
        <v>petroleum diesel</v>
      </c>
      <c r="D391">
        <f>VLOOKUP($B391,Keys!$F$2:$I$22,3,FALSE)</f>
        <v>0.26691051799999999</v>
      </c>
      <c r="E391" t="str">
        <f>VLOOKUP($B391,Keys!$F$2:$I$22,4,FALSE)</f>
        <v>rule</v>
      </c>
      <c r="F391" t="str">
        <f>$A391&amp;Keys!$C$54&amp;$B391</f>
        <v>ME|petroleum diesel</v>
      </c>
      <c r="G391" s="10">
        <f>IF($E391=Keys!$C$60,Keys!$C$51,INDEX(Balanced_2025!$D$9:$D$3032,MATCH($A391&amp;Keys!$C$54&amp;Keys!$C$55&amp;Keys!$C$54&amp;$C391,Balanced_2025!$E$9:$E$3032,0)))</f>
        <v>0</v>
      </c>
      <c r="H391" s="10">
        <f>IF($E391=Keys!$C$60,Keys!$C$51,INDEX(Balanced_2025!$D$9:$D$3032,MATCH($A391&amp;Keys!$C$54&amp;Keys!$C$56&amp;Keys!$C$54&amp;$C391,Balanced_2025!$E$9:$E$3032,0)))</f>
        <v>69277400000000</v>
      </c>
      <c r="I391" s="10">
        <f>IF($E391=Keys!$C$60,Keys!$C$51,INDEX(Balanced_2025!$D$9:$D$3032,MATCH($A391&amp;Keys!$C$54&amp;Keys!$C$57&amp;Keys!$C$54&amp;$C391,Balanced_2025!$E$9:$E$3032,0)))</f>
        <v>0</v>
      </c>
      <c r="J391" s="10">
        <f t="shared" si="24"/>
        <v>69277400000000</v>
      </c>
      <c r="K391" s="10">
        <f>MAX(Keys!$C$51,$I391-$H391)</f>
        <v>0</v>
      </c>
      <c r="L391" s="10">
        <f t="shared" si="25"/>
        <v>69277400000000</v>
      </c>
      <c r="M391" s="11">
        <f>IF($L391&gt;Keys!$C$51,MIN(Keys!$C$52,$K391/$L391),Keys!$C$51)</f>
        <v>0</v>
      </c>
      <c r="N391" s="11">
        <f>IF($E391=Keys!$C$60,Keys!$C$51,IF($E391=Keys!$C$59,$D391,$M391))</f>
        <v>0</v>
      </c>
      <c r="O391">
        <f t="shared" si="26"/>
        <v>1</v>
      </c>
      <c r="P391" s="10">
        <f>IF($E391=Keys!$C$60,Keys!$C$51,INDEX(Raw_BFPIaE!$G$9:$G$3032,MATCH($A391&amp;Keys!$C$54&amp;Keys!$C$55&amp;Keys!$C$54&amp;$B391,Raw_BFPIaE!$H$9:$H$3032,0)))</f>
        <v>0</v>
      </c>
      <c r="Q391" s="10">
        <f>IF($E391=Keys!$C$60,Keys!$C$51,INDEX(Raw_BFPIaE!$G$9:$G$3032,MATCH($A391&amp;Keys!$C$54&amp;Keys!$C$56&amp;Keys!$C$54&amp;$B391,Raw_BFPIaE!$H$9:$H$3032,0)))</f>
        <v>45250466666666.664</v>
      </c>
      <c r="R391" s="10">
        <f>IF($E391=Keys!$C$60,Keys!$C$51,INDEX(Raw_BFPIaE!$G$9:$G$3032,MATCH($A391&amp;Keys!$C$54&amp;Keys!$C$57&amp;Keys!$C$54&amp;$B391,Raw_BFPIaE!$H$9:$H$3032,0)))</f>
        <v>0</v>
      </c>
      <c r="S391" s="11">
        <f>IF(($P391+$Q391-$R391+MAX(Keys!$C$51,$R391-$Q391))&gt;Keys!$C$51,MIN(Keys!$C$52,MAX(Keys!$C$51,$R391-$Q391)/($P391+$Q391-$R391+MAX(Keys!$C$51,$R391-$Q391))),Keys!$C$51)</f>
        <v>0</v>
      </c>
      <c r="T391">
        <f>IF(AND($I391&gt;$H391,ABS($L391-$G391)&gt;MAX(Keys!$C$62,ABS($G391)*Keys!$C$63)),1,0)</f>
        <v>0</v>
      </c>
      <c r="U391">
        <f>IF(OR($N391&lt;Keys!$C$51,$N391&gt;Keys!$C$52),1,0)</f>
        <v>0</v>
      </c>
      <c r="V391">
        <f>IF(AND($E391=Keys!$C$60,$N391&lt;&gt;Keys!$C$51),1,0)</f>
        <v>0</v>
      </c>
      <c r="W391">
        <f>IF($L391&gt;Keys!$C$51,IF($K391/$L391&gt;Keys!$C$52,1,0),0)</f>
        <v>0</v>
      </c>
      <c r="X391" s="11">
        <f t="shared" si="27"/>
        <v>0</v>
      </c>
    </row>
    <row r="392" spans="1:24" x14ac:dyDescent="0.25">
      <c r="A392" t="s">
        <v>116</v>
      </c>
      <c r="B392" t="s">
        <v>91</v>
      </c>
      <c r="C392" t="str">
        <f>VLOOKUP($B392,Keys!$F$2:$I$22,2,FALSE)</f>
        <v>biofuel gasoline</v>
      </c>
      <c r="D392">
        <f>VLOOKUP($B392,Keys!$F$2:$I$22,3,FALSE)</f>
        <v>8.7213884000000005E-2</v>
      </c>
      <c r="E392" t="str">
        <f>VLOOKUP($B392,Keys!$F$2:$I$22,4,FALSE)</f>
        <v>rule</v>
      </c>
      <c r="F392" t="str">
        <f>$A392&amp;Keys!$C$54&amp;$B392</f>
        <v>ME|biofuel gasoline</v>
      </c>
      <c r="G392" s="10">
        <f>IF($E392=Keys!$C$60,Keys!$C$51,INDEX(Balanced_2025!$D$9:$D$3032,MATCH($A392&amp;Keys!$C$54&amp;Keys!$C$55&amp;Keys!$C$54&amp;$C392,Balanced_2025!$E$9:$E$3032,0)))</f>
        <v>0</v>
      </c>
      <c r="H392" s="10">
        <f>IF($E392=Keys!$C$60,Keys!$C$51,INDEX(Balanced_2025!$D$9:$D$3032,MATCH($A392&amp;Keys!$C$54&amp;Keys!$C$56&amp;Keys!$C$54&amp;$C392,Balanced_2025!$E$9:$E$3032,0)))</f>
        <v>4848520000000</v>
      </c>
      <c r="I392" s="10">
        <f>IF($E392=Keys!$C$60,Keys!$C$51,INDEX(Balanced_2025!$D$9:$D$3032,MATCH($A392&amp;Keys!$C$54&amp;Keys!$C$57&amp;Keys!$C$54&amp;$C392,Balanced_2025!$E$9:$E$3032,0)))</f>
        <v>0</v>
      </c>
      <c r="J392" s="10">
        <f t="shared" si="24"/>
        <v>4848520000000</v>
      </c>
      <c r="K392" s="10">
        <f>MAX(Keys!$C$51,$I392-$H392)</f>
        <v>0</v>
      </c>
      <c r="L392" s="10">
        <f t="shared" si="25"/>
        <v>4848520000000</v>
      </c>
      <c r="M392" s="11">
        <f>IF($L392&gt;Keys!$C$51,MIN(Keys!$C$52,$K392/$L392),Keys!$C$51)</f>
        <v>0</v>
      </c>
      <c r="N392" s="11">
        <f>IF($E392=Keys!$C$60,Keys!$C$51,IF($E392=Keys!$C$59,$D392,$M392))</f>
        <v>0</v>
      </c>
      <c r="O392">
        <f t="shared" si="26"/>
        <v>1</v>
      </c>
      <c r="P392" s="10">
        <f>IF($E392=Keys!$C$60,Keys!$C$51,INDEX(Raw_BFPIaE!$G$9:$G$3032,MATCH($A392&amp;Keys!$C$54&amp;Keys!$C$55&amp;Keys!$C$54&amp;$B392,Raw_BFPIaE!$H$9:$H$3032,0)))</f>
        <v>0</v>
      </c>
      <c r="Q392" s="10">
        <f>IF($E392=Keys!$C$60,Keys!$C$51,INDEX(Raw_BFPIaE!$G$9:$G$3032,MATCH($A392&amp;Keys!$C$54&amp;Keys!$C$56&amp;Keys!$C$54&amp;$B392,Raw_BFPIaE!$H$9:$H$3032,0)))</f>
        <v>3027013333333.3335</v>
      </c>
      <c r="R392" s="10">
        <f>IF($E392=Keys!$C$60,Keys!$C$51,INDEX(Raw_BFPIaE!$G$9:$G$3032,MATCH($A392&amp;Keys!$C$54&amp;Keys!$C$57&amp;Keys!$C$54&amp;$B392,Raw_BFPIaE!$H$9:$H$3032,0)))</f>
        <v>0</v>
      </c>
      <c r="S392" s="11">
        <f>IF(($P392+$Q392-$R392+MAX(Keys!$C$51,$R392-$Q392))&gt;Keys!$C$51,MIN(Keys!$C$52,MAX(Keys!$C$51,$R392-$Q392)/($P392+$Q392-$R392+MAX(Keys!$C$51,$R392-$Q392))),Keys!$C$51)</f>
        <v>0</v>
      </c>
      <c r="T392">
        <f>IF(AND($I392&gt;$H392,ABS($L392-$G392)&gt;MAX(Keys!$C$62,ABS($G392)*Keys!$C$63)),1,0)</f>
        <v>0</v>
      </c>
      <c r="U392">
        <f>IF(OR($N392&lt;Keys!$C$51,$N392&gt;Keys!$C$52),1,0)</f>
        <v>0</v>
      </c>
      <c r="V392">
        <f>IF(AND($E392=Keys!$C$60,$N392&lt;&gt;Keys!$C$51),1,0)</f>
        <v>0</v>
      </c>
      <c r="W392">
        <f>IF($L392&gt;Keys!$C$51,IF($K392/$L392&gt;Keys!$C$52,1,0),0)</f>
        <v>0</v>
      </c>
      <c r="X392" s="11">
        <f t="shared" si="27"/>
        <v>0</v>
      </c>
    </row>
    <row r="393" spans="1:24" x14ac:dyDescent="0.25">
      <c r="A393" t="s">
        <v>116</v>
      </c>
      <c r="B393" t="s">
        <v>94</v>
      </c>
      <c r="C393" t="str">
        <f>VLOOKUP($B393,Keys!$F$2:$I$22,2,FALSE)</f>
        <v>biofuel diesel</v>
      </c>
      <c r="D393">
        <f>VLOOKUP($B393,Keys!$F$2:$I$22,3,FALSE)</f>
        <v>5.8642381E-2</v>
      </c>
      <c r="E393" t="str">
        <f>VLOOKUP($B393,Keys!$F$2:$I$22,4,FALSE)</f>
        <v>rule</v>
      </c>
      <c r="F393" t="str">
        <f>$A393&amp;Keys!$C$54&amp;$B393</f>
        <v>ME|biofuel diesel</v>
      </c>
      <c r="G393" s="10">
        <f>IF($E393=Keys!$C$60,Keys!$C$51,INDEX(Balanced_2025!$D$9:$D$3032,MATCH($A393&amp;Keys!$C$54&amp;Keys!$C$55&amp;Keys!$C$54&amp;$C393,Balanced_2025!$E$9:$E$3032,0)))</f>
        <v>183848000000</v>
      </c>
      <c r="H393" s="10">
        <f>IF($E393=Keys!$C$60,Keys!$C$51,INDEX(Balanced_2025!$D$9:$D$3032,MATCH($A393&amp;Keys!$C$54&amp;Keys!$C$56&amp;Keys!$C$54&amp;$C393,Balanced_2025!$E$9:$E$3032,0)))</f>
        <v>261546000000</v>
      </c>
      <c r="I393" s="10">
        <f>IF($E393=Keys!$C$60,Keys!$C$51,INDEX(Balanced_2025!$D$9:$D$3032,MATCH($A393&amp;Keys!$C$54&amp;Keys!$C$57&amp;Keys!$C$54&amp;$C393,Balanced_2025!$E$9:$E$3032,0)))</f>
        <v>0</v>
      </c>
      <c r="J393" s="10">
        <f t="shared" si="24"/>
        <v>445394000000</v>
      </c>
      <c r="K393" s="10">
        <f>MAX(Keys!$C$51,$I393-$H393)</f>
        <v>0</v>
      </c>
      <c r="L393" s="10">
        <f t="shared" si="25"/>
        <v>445394000000</v>
      </c>
      <c r="M393" s="11">
        <f>IF($L393&gt;Keys!$C$51,MIN(Keys!$C$52,$K393/$L393),Keys!$C$51)</f>
        <v>0</v>
      </c>
      <c r="N393" s="11">
        <f>IF($E393=Keys!$C$60,Keys!$C$51,IF($E393=Keys!$C$59,$D393,$M393))</f>
        <v>0</v>
      </c>
      <c r="O393">
        <f t="shared" si="26"/>
        <v>1</v>
      </c>
      <c r="P393" s="10">
        <f>IF($E393=Keys!$C$60,Keys!$C$51,INDEX(Raw_BFPIaE!$G$9:$G$3032,MATCH($A393&amp;Keys!$C$54&amp;Keys!$C$55&amp;Keys!$C$54&amp;$B393,Raw_BFPIaE!$H$9:$H$3032,0)))</f>
        <v>195360666666.66666</v>
      </c>
      <c r="Q393" s="10">
        <f>IF($E393=Keys!$C$60,Keys!$C$51,INDEX(Raw_BFPIaE!$G$9:$G$3032,MATCH($A393&amp;Keys!$C$54&amp;Keys!$C$56&amp;Keys!$C$54&amp;$B393,Raw_BFPIaE!$H$9:$H$3032,0)))</f>
        <v>154616000000</v>
      </c>
      <c r="R393" s="10">
        <f>IF($E393=Keys!$C$60,Keys!$C$51,INDEX(Raw_BFPIaE!$G$9:$G$3032,MATCH($A393&amp;Keys!$C$54&amp;Keys!$C$57&amp;Keys!$C$54&amp;$B393,Raw_BFPIaE!$H$9:$H$3032,0)))</f>
        <v>0</v>
      </c>
      <c r="S393" s="11">
        <f>IF(($P393+$Q393-$R393+MAX(Keys!$C$51,$R393-$Q393))&gt;Keys!$C$51,MIN(Keys!$C$52,MAX(Keys!$C$51,$R393-$Q393)/($P393+$Q393-$R393+MAX(Keys!$C$51,$R393-$Q393))),Keys!$C$51)</f>
        <v>0</v>
      </c>
      <c r="T393">
        <f>IF(AND($I393&gt;$H393,ABS($L393-$G393)&gt;MAX(Keys!$C$62,ABS($G393)*Keys!$C$63)),1,0)</f>
        <v>0</v>
      </c>
      <c r="U393">
        <f>IF(OR($N393&lt;Keys!$C$51,$N393&gt;Keys!$C$52),1,0)</f>
        <v>0</v>
      </c>
      <c r="V393">
        <f>IF(AND($E393=Keys!$C$60,$N393&lt;&gt;Keys!$C$51),1,0)</f>
        <v>0</v>
      </c>
      <c r="W393">
        <f>IF($L393&gt;Keys!$C$51,IF($K393/$L393&gt;Keys!$C$52,1,0),0)</f>
        <v>0</v>
      </c>
      <c r="X393" s="11">
        <f t="shared" si="27"/>
        <v>0</v>
      </c>
    </row>
    <row r="394" spans="1:24" x14ac:dyDescent="0.25">
      <c r="A394" t="s">
        <v>116</v>
      </c>
      <c r="B394" t="s">
        <v>97</v>
      </c>
      <c r="C394" t="str">
        <f>VLOOKUP($B394,Keys!$F$2:$I$22,2,FALSE)</f>
        <v>jet fuel or kerosene</v>
      </c>
      <c r="D394">
        <f>VLOOKUP($B394,Keys!$F$2:$I$22,3,FALSE)</f>
        <v>0.10155994</v>
      </c>
      <c r="E394" t="str">
        <f>VLOOKUP($B394,Keys!$F$2:$I$22,4,FALSE)</f>
        <v>rule</v>
      </c>
      <c r="F394" t="str">
        <f>$A394&amp;Keys!$C$54&amp;$B394</f>
        <v>ME|jet fuel or kerosene</v>
      </c>
      <c r="G394" s="10">
        <f>IF($E394=Keys!$C$60,Keys!$C$51,INDEX(Balanced_2025!$D$9:$D$3032,MATCH($A394&amp;Keys!$C$54&amp;Keys!$C$55&amp;Keys!$C$54&amp;$C394,Balanced_2025!$E$9:$E$3032,0)))</f>
        <v>0</v>
      </c>
      <c r="H394" s="10">
        <f>IF($E394=Keys!$C$60,Keys!$C$51,INDEX(Balanced_2025!$D$9:$D$3032,MATCH($A394&amp;Keys!$C$54&amp;Keys!$C$56&amp;Keys!$C$54&amp;$C394,Balanced_2025!$E$9:$E$3032,0)))</f>
        <v>4350610000000</v>
      </c>
      <c r="I394" s="10">
        <f>IF($E394=Keys!$C$60,Keys!$C$51,INDEX(Balanced_2025!$D$9:$D$3032,MATCH($A394&amp;Keys!$C$54&amp;Keys!$C$57&amp;Keys!$C$54&amp;$C394,Balanced_2025!$E$9:$E$3032,0)))</f>
        <v>0</v>
      </c>
      <c r="J394" s="10">
        <f t="shared" si="24"/>
        <v>4350610000000</v>
      </c>
      <c r="K394" s="10">
        <f>MAX(Keys!$C$51,$I394-$H394)</f>
        <v>0</v>
      </c>
      <c r="L394" s="10">
        <f t="shared" si="25"/>
        <v>4350610000000</v>
      </c>
      <c r="M394" s="11">
        <f>IF($L394&gt;Keys!$C$51,MIN(Keys!$C$52,$K394/$L394),Keys!$C$51)</f>
        <v>0</v>
      </c>
      <c r="N394" s="11">
        <f>IF($E394=Keys!$C$60,Keys!$C$51,IF($E394=Keys!$C$59,$D394,$M394))</f>
        <v>0</v>
      </c>
      <c r="O394">
        <f t="shared" si="26"/>
        <v>1</v>
      </c>
      <c r="P394" s="10">
        <f>IF($E394=Keys!$C$60,Keys!$C$51,INDEX(Raw_BFPIaE!$G$9:$G$3032,MATCH($A394&amp;Keys!$C$54&amp;Keys!$C$55&amp;Keys!$C$54&amp;$B394,Raw_BFPIaE!$H$9:$H$3032,0)))</f>
        <v>0</v>
      </c>
      <c r="Q394" s="10">
        <f>IF($E394=Keys!$C$60,Keys!$C$51,INDEX(Raw_BFPIaE!$G$9:$G$3032,MATCH($A394&amp;Keys!$C$54&amp;Keys!$C$56&amp;Keys!$C$54&amp;$B394,Raw_BFPIaE!$H$9:$H$3032,0)))</f>
        <v>2952633333333.3335</v>
      </c>
      <c r="R394" s="10">
        <f>IF($E394=Keys!$C$60,Keys!$C$51,INDEX(Raw_BFPIaE!$G$9:$G$3032,MATCH($A394&amp;Keys!$C$54&amp;Keys!$C$57&amp;Keys!$C$54&amp;$B394,Raw_BFPIaE!$H$9:$H$3032,0)))</f>
        <v>0</v>
      </c>
      <c r="S394" s="11">
        <f>IF(($P394+$Q394-$R394+MAX(Keys!$C$51,$R394-$Q394))&gt;Keys!$C$51,MIN(Keys!$C$52,MAX(Keys!$C$51,$R394-$Q394)/($P394+$Q394-$R394+MAX(Keys!$C$51,$R394-$Q394))),Keys!$C$51)</f>
        <v>0</v>
      </c>
      <c r="T394">
        <f>IF(AND($I394&gt;$H394,ABS($L394-$G394)&gt;MAX(Keys!$C$62,ABS($G394)*Keys!$C$63)),1,0)</f>
        <v>0</v>
      </c>
      <c r="U394">
        <f>IF(OR($N394&lt;Keys!$C$51,$N394&gt;Keys!$C$52),1,0)</f>
        <v>0</v>
      </c>
      <c r="V394">
        <f>IF(AND($E394=Keys!$C$60,$N394&lt;&gt;Keys!$C$51),1,0)</f>
        <v>0</v>
      </c>
      <c r="W394">
        <f>IF($L394&gt;Keys!$C$51,IF($K394/$L394&gt;Keys!$C$52,1,0),0)</f>
        <v>0</v>
      </c>
      <c r="X394" s="11">
        <f t="shared" si="27"/>
        <v>0</v>
      </c>
    </row>
    <row r="395" spans="1:24" x14ac:dyDescent="0.25">
      <c r="A395" t="s">
        <v>116</v>
      </c>
      <c r="B395" t="s">
        <v>100</v>
      </c>
      <c r="C395">
        <f>VLOOKUP($B395,Keys!$F$2:$I$22,2,FALSE)</f>
        <v>0</v>
      </c>
      <c r="D395">
        <f>VLOOKUP($B395,Keys!$F$2:$I$22,3,FALSE)</f>
        <v>0</v>
      </c>
      <c r="E395" t="str">
        <f>VLOOKUP($B395,Keys!$F$2:$I$22,4,FALSE)</f>
        <v>zero</v>
      </c>
      <c r="F395" t="str">
        <f>$A395&amp;Keys!$C$54&amp;$B395</f>
        <v>ME|heat (not used in this variable)</v>
      </c>
      <c r="G395" s="10">
        <f>IF($E395=Keys!$C$60,Keys!$C$51,INDEX(Balanced_2025!$D$9:$D$3032,MATCH($A395&amp;Keys!$C$54&amp;Keys!$C$55&amp;Keys!$C$54&amp;$C395,Balanced_2025!$E$9:$E$3032,0)))</f>
        <v>0</v>
      </c>
      <c r="H395" s="10">
        <f>IF($E395=Keys!$C$60,Keys!$C$51,INDEX(Balanced_2025!$D$9:$D$3032,MATCH($A395&amp;Keys!$C$54&amp;Keys!$C$56&amp;Keys!$C$54&amp;$C395,Balanced_2025!$E$9:$E$3032,0)))</f>
        <v>0</v>
      </c>
      <c r="I395" s="10">
        <f>IF($E395=Keys!$C$60,Keys!$C$51,INDEX(Balanced_2025!$D$9:$D$3032,MATCH($A395&amp;Keys!$C$54&amp;Keys!$C$57&amp;Keys!$C$54&amp;$C395,Balanced_2025!$E$9:$E$3032,0)))</f>
        <v>0</v>
      </c>
      <c r="J395" s="10">
        <f t="shared" si="24"/>
        <v>0</v>
      </c>
      <c r="K395" s="10">
        <f>MAX(Keys!$C$51,$I395-$H395)</f>
        <v>0</v>
      </c>
      <c r="L395" s="10">
        <f t="shared" si="25"/>
        <v>0</v>
      </c>
      <c r="M395" s="11">
        <f>IF($L395&gt;Keys!$C$51,MIN(Keys!$C$52,$K395/$L395),Keys!$C$51)</f>
        <v>0</v>
      </c>
      <c r="N395" s="11">
        <f>IF($E395=Keys!$C$60,Keys!$C$51,IF($E395=Keys!$C$59,$D395,$M395))</f>
        <v>0</v>
      </c>
      <c r="O395">
        <f t="shared" si="26"/>
        <v>0</v>
      </c>
      <c r="P395" s="10">
        <f>IF($E395=Keys!$C$60,Keys!$C$51,INDEX(Raw_BFPIaE!$G$9:$G$3032,MATCH($A395&amp;Keys!$C$54&amp;Keys!$C$55&amp;Keys!$C$54&amp;$B395,Raw_BFPIaE!$H$9:$H$3032,0)))</f>
        <v>0</v>
      </c>
      <c r="Q395" s="10">
        <f>IF($E395=Keys!$C$60,Keys!$C$51,INDEX(Raw_BFPIaE!$G$9:$G$3032,MATCH($A395&amp;Keys!$C$54&amp;Keys!$C$56&amp;Keys!$C$54&amp;$B395,Raw_BFPIaE!$H$9:$H$3032,0)))</f>
        <v>0</v>
      </c>
      <c r="R395" s="10">
        <f>IF($E395=Keys!$C$60,Keys!$C$51,INDEX(Raw_BFPIaE!$G$9:$G$3032,MATCH($A395&amp;Keys!$C$54&amp;Keys!$C$57&amp;Keys!$C$54&amp;$B395,Raw_BFPIaE!$H$9:$H$3032,0)))</f>
        <v>0</v>
      </c>
      <c r="S395" s="11">
        <f>IF(($P395+$Q395-$R395+MAX(Keys!$C$51,$R395-$Q395))&gt;Keys!$C$51,MIN(Keys!$C$52,MAX(Keys!$C$51,$R395-$Q395)/($P395+$Q395-$R395+MAX(Keys!$C$51,$R395-$Q395))),Keys!$C$51)</f>
        <v>0</v>
      </c>
      <c r="T395">
        <f>IF(AND($I395&gt;$H395,ABS($L395-$G395)&gt;MAX(Keys!$C$62,ABS($G395)*Keys!$C$63)),1,0)</f>
        <v>0</v>
      </c>
      <c r="U395">
        <f>IF(OR($N395&lt;Keys!$C$51,$N395&gt;Keys!$C$52),1,0)</f>
        <v>0</v>
      </c>
      <c r="V395">
        <f>IF(AND($E395=Keys!$C$60,$N395&lt;&gt;Keys!$C$51),1,0)</f>
        <v>0</v>
      </c>
      <c r="W395">
        <f>IF($L395&gt;Keys!$C$51,IF($K395/$L395&gt;Keys!$C$52,1,0),0)</f>
        <v>0</v>
      </c>
      <c r="X395" s="11">
        <f t="shared" si="27"/>
        <v>0</v>
      </c>
    </row>
    <row r="396" spans="1:24" x14ac:dyDescent="0.25">
      <c r="A396" t="s">
        <v>116</v>
      </c>
      <c r="B396" t="s">
        <v>103</v>
      </c>
      <c r="C396">
        <f>VLOOKUP($B396,Keys!$F$2:$I$22,2,FALSE)</f>
        <v>0</v>
      </c>
      <c r="D396">
        <f>VLOOKUP($B396,Keys!$F$2:$I$22,3,FALSE)</f>
        <v>0</v>
      </c>
      <c r="E396" t="str">
        <f>VLOOKUP($B396,Keys!$F$2:$I$22,4,FALSE)</f>
        <v>zero</v>
      </c>
      <c r="F396" t="str">
        <f>$A396&amp;Keys!$C$54&amp;$B396</f>
        <v>ME|geothermal (is not a fuel)</v>
      </c>
      <c r="G396" s="10">
        <f>IF($E396=Keys!$C$60,Keys!$C$51,INDEX(Balanced_2025!$D$9:$D$3032,MATCH($A396&amp;Keys!$C$54&amp;Keys!$C$55&amp;Keys!$C$54&amp;$C396,Balanced_2025!$E$9:$E$3032,0)))</f>
        <v>0</v>
      </c>
      <c r="H396" s="10">
        <f>IF($E396=Keys!$C$60,Keys!$C$51,INDEX(Balanced_2025!$D$9:$D$3032,MATCH($A396&amp;Keys!$C$54&amp;Keys!$C$56&amp;Keys!$C$54&amp;$C396,Balanced_2025!$E$9:$E$3032,0)))</f>
        <v>0</v>
      </c>
      <c r="I396" s="10">
        <f>IF($E396=Keys!$C$60,Keys!$C$51,INDEX(Balanced_2025!$D$9:$D$3032,MATCH($A396&amp;Keys!$C$54&amp;Keys!$C$57&amp;Keys!$C$54&amp;$C396,Balanced_2025!$E$9:$E$3032,0)))</f>
        <v>0</v>
      </c>
      <c r="J396" s="10">
        <f t="shared" si="24"/>
        <v>0</v>
      </c>
      <c r="K396" s="10">
        <f>MAX(Keys!$C$51,$I396-$H396)</f>
        <v>0</v>
      </c>
      <c r="L396" s="10">
        <f t="shared" si="25"/>
        <v>0</v>
      </c>
      <c r="M396" s="11">
        <f>IF($L396&gt;Keys!$C$51,MIN(Keys!$C$52,$K396/$L396),Keys!$C$51)</f>
        <v>0</v>
      </c>
      <c r="N396" s="11">
        <f>IF($E396=Keys!$C$60,Keys!$C$51,IF($E396=Keys!$C$59,$D396,$M396))</f>
        <v>0</v>
      </c>
      <c r="O396">
        <f t="shared" si="26"/>
        <v>0</v>
      </c>
      <c r="P396" s="10">
        <f>IF($E396=Keys!$C$60,Keys!$C$51,INDEX(Raw_BFPIaE!$G$9:$G$3032,MATCH($A396&amp;Keys!$C$54&amp;Keys!$C$55&amp;Keys!$C$54&amp;$B396,Raw_BFPIaE!$H$9:$H$3032,0)))</f>
        <v>0</v>
      </c>
      <c r="Q396" s="10">
        <f>IF($E396=Keys!$C$60,Keys!$C$51,INDEX(Raw_BFPIaE!$G$9:$G$3032,MATCH($A396&amp;Keys!$C$54&amp;Keys!$C$56&amp;Keys!$C$54&amp;$B396,Raw_BFPIaE!$H$9:$H$3032,0)))</f>
        <v>0</v>
      </c>
      <c r="R396" s="10">
        <f>IF($E396=Keys!$C$60,Keys!$C$51,INDEX(Raw_BFPIaE!$G$9:$G$3032,MATCH($A396&amp;Keys!$C$54&amp;Keys!$C$57&amp;Keys!$C$54&amp;$B396,Raw_BFPIaE!$H$9:$H$3032,0)))</f>
        <v>0</v>
      </c>
      <c r="S396" s="11">
        <f>IF(($P396+$Q396-$R396+MAX(Keys!$C$51,$R396-$Q396))&gt;Keys!$C$51,MIN(Keys!$C$52,MAX(Keys!$C$51,$R396-$Q396)/($P396+$Q396-$R396+MAX(Keys!$C$51,$R396-$Q396))),Keys!$C$51)</f>
        <v>0</v>
      </c>
      <c r="T396">
        <f>IF(AND($I396&gt;$H396,ABS($L396-$G396)&gt;MAX(Keys!$C$62,ABS($G396)*Keys!$C$63)),1,0)</f>
        <v>0</v>
      </c>
      <c r="U396">
        <f>IF(OR($N396&lt;Keys!$C$51,$N396&gt;Keys!$C$52),1,0)</f>
        <v>0</v>
      </c>
      <c r="V396">
        <f>IF(AND($E396=Keys!$C$60,$N396&lt;&gt;Keys!$C$51),1,0)</f>
        <v>0</v>
      </c>
      <c r="W396">
        <f>IF($L396&gt;Keys!$C$51,IF($K396/$L396&gt;Keys!$C$52,1,0),0)</f>
        <v>0</v>
      </c>
      <c r="X396" s="11">
        <f t="shared" si="27"/>
        <v>0</v>
      </c>
    </row>
    <row r="397" spans="1:24" x14ac:dyDescent="0.25">
      <c r="A397" t="s">
        <v>116</v>
      </c>
      <c r="B397" t="s">
        <v>106</v>
      </c>
      <c r="C397" t="str">
        <f>VLOOKUP($B397,Keys!$F$2:$I$22,2,FALSE)</f>
        <v>lignite</v>
      </c>
      <c r="D397">
        <f>VLOOKUP($B397,Keys!$F$2:$I$22,3,FALSE)</f>
        <v>0</v>
      </c>
      <c r="E397" t="str">
        <f>VLOOKUP($B397,Keys!$F$2:$I$22,4,FALSE)</f>
        <v>rule</v>
      </c>
      <c r="F397" t="str">
        <f>$A397&amp;Keys!$C$54&amp;$B397</f>
        <v>ME|lignite</v>
      </c>
      <c r="G397" s="10">
        <f>IF($E397=Keys!$C$60,Keys!$C$51,INDEX(Balanced_2025!$D$9:$D$3032,MATCH($A397&amp;Keys!$C$54&amp;Keys!$C$55&amp;Keys!$C$54&amp;$C397,Balanced_2025!$E$9:$E$3032,0)))</f>
        <v>0</v>
      </c>
      <c r="H397" s="10">
        <f>IF($E397=Keys!$C$60,Keys!$C$51,INDEX(Balanced_2025!$D$9:$D$3032,MATCH($A397&amp;Keys!$C$54&amp;Keys!$C$56&amp;Keys!$C$54&amp;$C397,Balanced_2025!$E$9:$E$3032,0)))</f>
        <v>0</v>
      </c>
      <c r="I397" s="10">
        <f>IF($E397=Keys!$C$60,Keys!$C$51,INDEX(Balanced_2025!$D$9:$D$3032,MATCH($A397&amp;Keys!$C$54&amp;Keys!$C$57&amp;Keys!$C$54&amp;$C397,Balanced_2025!$E$9:$E$3032,0)))</f>
        <v>0</v>
      </c>
      <c r="J397" s="10">
        <f t="shared" si="24"/>
        <v>0</v>
      </c>
      <c r="K397" s="10">
        <f>MAX(Keys!$C$51,$I397-$H397)</f>
        <v>0</v>
      </c>
      <c r="L397" s="10">
        <f t="shared" si="25"/>
        <v>0</v>
      </c>
      <c r="M397" s="11">
        <f>IF($L397&gt;Keys!$C$51,MIN(Keys!$C$52,$K397/$L397),Keys!$C$51)</f>
        <v>0</v>
      </c>
      <c r="N397" s="11">
        <f>IF($E397=Keys!$C$60,Keys!$C$51,IF($E397=Keys!$C$59,$D397,$M397))</f>
        <v>0</v>
      </c>
      <c r="O397">
        <f t="shared" si="26"/>
        <v>0</v>
      </c>
      <c r="P397" s="10">
        <f>IF($E397=Keys!$C$60,Keys!$C$51,INDEX(Raw_BFPIaE!$G$9:$G$3032,MATCH($A397&amp;Keys!$C$54&amp;Keys!$C$55&amp;Keys!$C$54&amp;$B397,Raw_BFPIaE!$H$9:$H$3032,0)))</f>
        <v>0</v>
      </c>
      <c r="Q397" s="10">
        <f>IF($E397=Keys!$C$60,Keys!$C$51,INDEX(Raw_BFPIaE!$G$9:$G$3032,MATCH($A397&amp;Keys!$C$54&amp;Keys!$C$56&amp;Keys!$C$54&amp;$B397,Raw_BFPIaE!$H$9:$H$3032,0)))</f>
        <v>0</v>
      </c>
      <c r="R397" s="10">
        <f>IF($E397=Keys!$C$60,Keys!$C$51,INDEX(Raw_BFPIaE!$G$9:$G$3032,MATCH($A397&amp;Keys!$C$54&amp;Keys!$C$57&amp;Keys!$C$54&amp;$B397,Raw_BFPIaE!$H$9:$H$3032,0)))</f>
        <v>0</v>
      </c>
      <c r="S397" s="11">
        <f>IF(($P397+$Q397-$R397+MAX(Keys!$C$51,$R397-$Q397))&gt;Keys!$C$51,MIN(Keys!$C$52,MAX(Keys!$C$51,$R397-$Q397)/($P397+$Q397-$R397+MAX(Keys!$C$51,$R397-$Q397))),Keys!$C$51)</f>
        <v>0</v>
      </c>
      <c r="T397">
        <f>IF(AND($I397&gt;$H397,ABS($L397-$G397)&gt;MAX(Keys!$C$62,ABS($G397)*Keys!$C$63)),1,0)</f>
        <v>0</v>
      </c>
      <c r="U397">
        <f>IF(OR($N397&lt;Keys!$C$51,$N397&gt;Keys!$C$52),1,0)</f>
        <v>0</v>
      </c>
      <c r="V397">
        <f>IF(AND($E397=Keys!$C$60,$N397&lt;&gt;Keys!$C$51),1,0)</f>
        <v>0</v>
      </c>
      <c r="W397">
        <f>IF($L397&gt;Keys!$C$51,IF($K397/$L397&gt;Keys!$C$52,1,0),0)</f>
        <v>0</v>
      </c>
      <c r="X397" s="11">
        <f t="shared" si="27"/>
        <v>0</v>
      </c>
    </row>
    <row r="398" spans="1:24" x14ac:dyDescent="0.25">
      <c r="A398" t="s">
        <v>116</v>
      </c>
      <c r="B398" t="s">
        <v>109</v>
      </c>
      <c r="C398" t="str">
        <f>VLOOKUP($B398,Keys!$F$2:$I$22,2,FALSE)</f>
        <v>crude oil</v>
      </c>
      <c r="D398">
        <f>VLOOKUP($B398,Keys!$F$2:$I$22,3,FALSE)</f>
        <v>1</v>
      </c>
      <c r="E398" t="str">
        <f>VLOOKUP($B398,Keys!$F$2:$I$22,4,FALSE)</f>
        <v>hold</v>
      </c>
      <c r="F398" t="str">
        <f>$A398&amp;Keys!$C$54&amp;$B398</f>
        <v>ME|crude oil</v>
      </c>
      <c r="G398" s="10">
        <f>IF($E398=Keys!$C$60,Keys!$C$51,INDEX(Balanced_2025!$D$9:$D$3032,MATCH($A398&amp;Keys!$C$54&amp;Keys!$C$55&amp;Keys!$C$54&amp;$C398,Balanced_2025!$E$9:$E$3032,0)))</f>
        <v>0</v>
      </c>
      <c r="H398" s="10">
        <f>IF($E398=Keys!$C$60,Keys!$C$51,INDEX(Balanced_2025!$D$9:$D$3032,MATCH($A398&amp;Keys!$C$54&amp;Keys!$C$56&amp;Keys!$C$54&amp;$C398,Balanced_2025!$E$9:$E$3032,0)))</f>
        <v>161000000000</v>
      </c>
      <c r="I398" s="10">
        <f>IF($E398=Keys!$C$60,Keys!$C$51,INDEX(Balanced_2025!$D$9:$D$3032,MATCH($A398&amp;Keys!$C$54&amp;Keys!$C$57&amp;Keys!$C$54&amp;$C398,Balanced_2025!$E$9:$E$3032,0)))</f>
        <v>0</v>
      </c>
      <c r="J398" s="10">
        <f t="shared" si="24"/>
        <v>161000000000</v>
      </c>
      <c r="K398" s="10">
        <f>MAX(Keys!$C$51,$I398-$H398)</f>
        <v>0</v>
      </c>
      <c r="L398" s="10">
        <f t="shared" si="25"/>
        <v>161000000000</v>
      </c>
      <c r="M398" s="11">
        <f>IF($L398&gt;Keys!$C$51,MIN(Keys!$C$52,$K398/$L398),Keys!$C$51)</f>
        <v>0</v>
      </c>
      <c r="N398" s="11">
        <f>IF($E398=Keys!$C$60,Keys!$C$51,IF($E398=Keys!$C$59,$D398,$M398))</f>
        <v>1</v>
      </c>
      <c r="O398">
        <f t="shared" si="26"/>
        <v>0</v>
      </c>
      <c r="P398" s="10">
        <f>IF($E398=Keys!$C$60,Keys!$C$51,INDEX(Raw_BFPIaE!$G$9:$G$3032,MATCH($A398&amp;Keys!$C$54&amp;Keys!$C$55&amp;Keys!$C$54&amp;$B398,Raw_BFPIaE!$H$9:$H$3032,0)))</f>
        <v>0</v>
      </c>
      <c r="Q398" s="10">
        <f>IF($E398=Keys!$C$60,Keys!$C$51,INDEX(Raw_BFPIaE!$G$9:$G$3032,MATCH($A398&amp;Keys!$C$54&amp;Keys!$C$56&amp;Keys!$C$54&amp;$B398,Raw_BFPIaE!$H$9:$H$3032,0)))</f>
        <v>53666666666.666664</v>
      </c>
      <c r="R398" s="10">
        <f>IF($E398=Keys!$C$60,Keys!$C$51,INDEX(Raw_BFPIaE!$G$9:$G$3032,MATCH($A398&amp;Keys!$C$54&amp;Keys!$C$57&amp;Keys!$C$54&amp;$B398,Raw_BFPIaE!$H$9:$H$3032,0)))</f>
        <v>0</v>
      </c>
      <c r="S398" s="11">
        <f>IF(($P398+$Q398-$R398+MAX(Keys!$C$51,$R398-$Q398))&gt;Keys!$C$51,MIN(Keys!$C$52,MAX(Keys!$C$51,$R398-$Q398)/($P398+$Q398-$R398+MAX(Keys!$C$51,$R398-$Q398))),Keys!$C$51)</f>
        <v>0</v>
      </c>
      <c r="T398">
        <f>IF(AND($I398&gt;$H398,ABS($L398-$G398)&gt;MAX(Keys!$C$62,ABS($G398)*Keys!$C$63)),1,0)</f>
        <v>0</v>
      </c>
      <c r="U398">
        <f>IF(OR($N398&lt;Keys!$C$51,$N398&gt;Keys!$C$52),1,0)</f>
        <v>0</v>
      </c>
      <c r="V398">
        <f>IF(AND($E398=Keys!$C$60,$N398&lt;&gt;Keys!$C$51),1,0)</f>
        <v>0</v>
      </c>
      <c r="W398">
        <f>IF($L398&gt;Keys!$C$51,IF($K398/$L398&gt;Keys!$C$52,1,0),0)</f>
        <v>0</v>
      </c>
      <c r="X398" s="11">
        <f t="shared" si="27"/>
        <v>0</v>
      </c>
    </row>
    <row r="399" spans="1:24" x14ac:dyDescent="0.25">
      <c r="A399" t="s">
        <v>116</v>
      </c>
      <c r="B399" t="s">
        <v>113</v>
      </c>
      <c r="C399" t="str">
        <f>VLOOKUP($B399,Keys!$F$2:$I$22,2,FALSE)</f>
        <v>heavy or residual fuel oil</v>
      </c>
      <c r="D399">
        <f>VLOOKUP($B399,Keys!$F$2:$I$22,3,FALSE)</f>
        <v>0.49914171099999999</v>
      </c>
      <c r="E399" t="str">
        <f>VLOOKUP($B399,Keys!$F$2:$I$22,4,FALSE)</f>
        <v>rule</v>
      </c>
      <c r="F399" t="str">
        <f>$A399&amp;Keys!$C$54&amp;$B399</f>
        <v>ME|heavy fuel oil</v>
      </c>
      <c r="G399" s="10">
        <f>IF($E399=Keys!$C$60,Keys!$C$51,INDEX(Balanced_2025!$D$9:$D$3032,MATCH($A399&amp;Keys!$C$54&amp;Keys!$C$55&amp;Keys!$C$54&amp;$C399,Balanced_2025!$E$9:$E$3032,0)))</f>
        <v>0</v>
      </c>
      <c r="H399" s="10">
        <f>IF($E399=Keys!$C$60,Keys!$C$51,INDEX(Balanced_2025!$D$9:$D$3032,MATCH($A399&amp;Keys!$C$54&amp;Keys!$C$56&amp;Keys!$C$54&amp;$C399,Balanced_2025!$E$9:$E$3032,0)))</f>
        <v>4940960000000</v>
      </c>
      <c r="I399" s="10">
        <f>IF($E399=Keys!$C$60,Keys!$C$51,INDEX(Balanced_2025!$D$9:$D$3032,MATCH($A399&amp;Keys!$C$54&amp;Keys!$C$57&amp;Keys!$C$54&amp;$C399,Balanced_2025!$E$9:$E$3032,0)))</f>
        <v>0</v>
      </c>
      <c r="J399" s="10">
        <f t="shared" si="24"/>
        <v>4940960000000</v>
      </c>
      <c r="K399" s="10">
        <f>MAX(Keys!$C$51,$I399-$H399)</f>
        <v>0</v>
      </c>
      <c r="L399" s="10">
        <f t="shared" si="25"/>
        <v>4940960000000</v>
      </c>
      <c r="M399" s="11">
        <f>IF($L399&gt;Keys!$C$51,MIN(Keys!$C$52,$K399/$L399),Keys!$C$51)</f>
        <v>0</v>
      </c>
      <c r="N399" s="11">
        <f>IF($E399=Keys!$C$60,Keys!$C$51,IF($E399=Keys!$C$59,$D399,$M399))</f>
        <v>0</v>
      </c>
      <c r="O399">
        <f t="shared" si="26"/>
        <v>1</v>
      </c>
      <c r="P399" s="10">
        <f>IF($E399=Keys!$C$60,Keys!$C$51,INDEX(Raw_BFPIaE!$G$9:$G$3032,MATCH($A399&amp;Keys!$C$54&amp;Keys!$C$55&amp;Keys!$C$54&amp;$B399,Raw_BFPIaE!$H$9:$H$3032,0)))</f>
        <v>0</v>
      </c>
      <c r="Q399" s="10">
        <f>IF($E399=Keys!$C$60,Keys!$C$51,INDEX(Raw_BFPIaE!$G$9:$G$3032,MATCH($A399&amp;Keys!$C$54&amp;Keys!$C$56&amp;Keys!$C$54&amp;$B399,Raw_BFPIaE!$H$9:$H$3032,0)))</f>
        <v>3061800000000</v>
      </c>
      <c r="R399" s="10">
        <f>IF($E399=Keys!$C$60,Keys!$C$51,INDEX(Raw_BFPIaE!$G$9:$G$3032,MATCH($A399&amp;Keys!$C$54&amp;Keys!$C$57&amp;Keys!$C$54&amp;$B399,Raw_BFPIaE!$H$9:$H$3032,0)))</f>
        <v>0</v>
      </c>
      <c r="S399" s="11">
        <f>IF(($P399+$Q399-$R399+MAX(Keys!$C$51,$R399-$Q399))&gt;Keys!$C$51,MIN(Keys!$C$52,MAX(Keys!$C$51,$R399-$Q399)/($P399+$Q399-$R399+MAX(Keys!$C$51,$R399-$Q399))),Keys!$C$51)</f>
        <v>0</v>
      </c>
      <c r="T399">
        <f>IF(AND($I399&gt;$H399,ABS($L399-$G399)&gt;MAX(Keys!$C$62,ABS($G399)*Keys!$C$63)),1,0)</f>
        <v>0</v>
      </c>
      <c r="U399">
        <f>IF(OR($N399&lt;Keys!$C$51,$N399&gt;Keys!$C$52),1,0)</f>
        <v>0</v>
      </c>
      <c r="V399">
        <f>IF(AND($E399=Keys!$C$60,$N399&lt;&gt;Keys!$C$51),1,0)</f>
        <v>0</v>
      </c>
      <c r="W399">
        <f>IF($L399&gt;Keys!$C$51,IF($K399/$L399&gt;Keys!$C$52,1,0),0)</f>
        <v>0</v>
      </c>
      <c r="X399" s="11">
        <f t="shared" si="27"/>
        <v>0</v>
      </c>
    </row>
    <row r="400" spans="1:24" x14ac:dyDescent="0.25">
      <c r="A400" t="s">
        <v>116</v>
      </c>
      <c r="B400" t="s">
        <v>117</v>
      </c>
      <c r="C400" t="str">
        <f>VLOOKUP($B400,Keys!$F$2:$I$22,2,FALSE)</f>
        <v>LPG propane or butane</v>
      </c>
      <c r="D400">
        <f>VLOOKUP($B400,Keys!$F$2:$I$22,3,FALSE)</f>
        <v>0.54955999499999997</v>
      </c>
      <c r="E400" t="str">
        <f>VLOOKUP($B400,Keys!$F$2:$I$22,4,FALSE)</f>
        <v>rule</v>
      </c>
      <c r="F400" t="str">
        <f>$A400&amp;Keys!$C$54&amp;$B400</f>
        <v>ME|LPG propane or butane</v>
      </c>
      <c r="G400" s="10">
        <f>IF($E400=Keys!$C$60,Keys!$C$51,INDEX(Balanced_2025!$D$9:$D$3032,MATCH($A400&amp;Keys!$C$54&amp;Keys!$C$55&amp;Keys!$C$54&amp;$C400,Balanced_2025!$E$9:$E$3032,0)))</f>
        <v>0</v>
      </c>
      <c r="H400" s="10">
        <f>IF($E400=Keys!$C$60,Keys!$C$51,INDEX(Balanced_2025!$D$9:$D$3032,MATCH($A400&amp;Keys!$C$54&amp;Keys!$C$56&amp;Keys!$C$54&amp;$C400,Balanced_2025!$E$9:$E$3032,0)))</f>
        <v>16746400000000</v>
      </c>
      <c r="I400" s="10">
        <f>IF($E400=Keys!$C$60,Keys!$C$51,INDEX(Balanced_2025!$D$9:$D$3032,MATCH($A400&amp;Keys!$C$54&amp;Keys!$C$57&amp;Keys!$C$54&amp;$C400,Balanced_2025!$E$9:$E$3032,0)))</f>
        <v>0</v>
      </c>
      <c r="J400" s="10">
        <f t="shared" si="24"/>
        <v>16746400000000</v>
      </c>
      <c r="K400" s="10">
        <f>MAX(Keys!$C$51,$I400-$H400)</f>
        <v>0</v>
      </c>
      <c r="L400" s="10">
        <f t="shared" si="25"/>
        <v>16746400000000</v>
      </c>
      <c r="M400" s="11">
        <f>IF($L400&gt;Keys!$C$51,MIN(Keys!$C$52,$K400/$L400),Keys!$C$51)</f>
        <v>0</v>
      </c>
      <c r="N400" s="11">
        <f>IF($E400=Keys!$C$60,Keys!$C$51,IF($E400=Keys!$C$59,$D400,$M400))</f>
        <v>0</v>
      </c>
      <c r="O400">
        <f t="shared" si="26"/>
        <v>1</v>
      </c>
      <c r="P400" s="10">
        <f>IF($E400=Keys!$C$60,Keys!$C$51,INDEX(Raw_BFPIaE!$G$9:$G$3032,MATCH($A400&amp;Keys!$C$54&amp;Keys!$C$55&amp;Keys!$C$54&amp;$B400,Raw_BFPIaE!$H$9:$H$3032,0)))</f>
        <v>0</v>
      </c>
      <c r="Q400" s="10">
        <f>IF($E400=Keys!$C$60,Keys!$C$51,INDEX(Raw_BFPIaE!$G$9:$G$3032,MATCH($A400&amp;Keys!$C$54&amp;Keys!$C$56&amp;Keys!$C$54&amp;$B400,Raw_BFPIaE!$H$9:$H$3032,0)))</f>
        <v>11117400000000</v>
      </c>
      <c r="R400" s="10">
        <f>IF($E400=Keys!$C$60,Keys!$C$51,INDEX(Raw_BFPIaE!$G$9:$G$3032,MATCH($A400&amp;Keys!$C$54&amp;Keys!$C$57&amp;Keys!$C$54&amp;$B400,Raw_BFPIaE!$H$9:$H$3032,0)))</f>
        <v>0</v>
      </c>
      <c r="S400" s="11">
        <f>IF(($P400+$Q400-$R400+MAX(Keys!$C$51,$R400-$Q400))&gt;Keys!$C$51,MIN(Keys!$C$52,MAX(Keys!$C$51,$R400-$Q400)/($P400+$Q400-$R400+MAX(Keys!$C$51,$R400-$Q400))),Keys!$C$51)</f>
        <v>0</v>
      </c>
      <c r="T400">
        <f>IF(AND($I400&gt;$H400,ABS($L400-$G400)&gt;MAX(Keys!$C$62,ABS($G400)*Keys!$C$63)),1,0)</f>
        <v>0</v>
      </c>
      <c r="U400">
        <f>IF(OR($N400&lt;Keys!$C$51,$N400&gt;Keys!$C$52),1,0)</f>
        <v>0</v>
      </c>
      <c r="V400">
        <f>IF(AND($E400=Keys!$C$60,$N400&lt;&gt;Keys!$C$51),1,0)</f>
        <v>0</v>
      </c>
      <c r="W400">
        <f>IF($L400&gt;Keys!$C$51,IF($K400/$L400&gt;Keys!$C$52,1,0),0)</f>
        <v>0</v>
      </c>
      <c r="X400" s="11">
        <f t="shared" si="27"/>
        <v>0</v>
      </c>
    </row>
    <row r="401" spans="1:24" x14ac:dyDescent="0.25">
      <c r="A401" t="s">
        <v>116</v>
      </c>
      <c r="B401" t="s">
        <v>120</v>
      </c>
      <c r="C401">
        <f>VLOOKUP($B401,Keys!$F$2:$I$22,2,FALSE)</f>
        <v>0</v>
      </c>
      <c r="D401">
        <f>VLOOKUP($B401,Keys!$F$2:$I$22,3,FALSE)</f>
        <v>0</v>
      </c>
      <c r="E401" t="str">
        <f>VLOOKUP($B401,Keys!$F$2:$I$22,4,FALSE)</f>
        <v>zero</v>
      </c>
      <c r="F401" t="str">
        <f>$A401&amp;Keys!$C$54&amp;$B401</f>
        <v>ME|municipal solid waste</v>
      </c>
      <c r="G401" s="10">
        <f>IF($E401=Keys!$C$60,Keys!$C$51,INDEX(Balanced_2025!$D$9:$D$3032,MATCH($A401&amp;Keys!$C$54&amp;Keys!$C$55&amp;Keys!$C$54&amp;$C401,Balanced_2025!$E$9:$E$3032,0)))</f>
        <v>0</v>
      </c>
      <c r="H401" s="10">
        <f>IF($E401=Keys!$C$60,Keys!$C$51,INDEX(Balanced_2025!$D$9:$D$3032,MATCH($A401&amp;Keys!$C$54&amp;Keys!$C$56&amp;Keys!$C$54&amp;$C401,Balanced_2025!$E$9:$E$3032,0)))</f>
        <v>0</v>
      </c>
      <c r="I401" s="10">
        <f>IF($E401=Keys!$C$60,Keys!$C$51,INDEX(Balanced_2025!$D$9:$D$3032,MATCH($A401&amp;Keys!$C$54&amp;Keys!$C$57&amp;Keys!$C$54&amp;$C401,Balanced_2025!$E$9:$E$3032,0)))</f>
        <v>0</v>
      </c>
      <c r="J401" s="10">
        <f t="shared" si="24"/>
        <v>0</v>
      </c>
      <c r="K401" s="10">
        <f>MAX(Keys!$C$51,$I401-$H401)</f>
        <v>0</v>
      </c>
      <c r="L401" s="10">
        <f t="shared" si="25"/>
        <v>0</v>
      </c>
      <c r="M401" s="11">
        <f>IF($L401&gt;Keys!$C$51,MIN(Keys!$C$52,$K401/$L401),Keys!$C$51)</f>
        <v>0</v>
      </c>
      <c r="N401" s="11">
        <f>IF($E401=Keys!$C$60,Keys!$C$51,IF($E401=Keys!$C$59,$D401,$M401))</f>
        <v>0</v>
      </c>
      <c r="O401">
        <f t="shared" si="26"/>
        <v>0</v>
      </c>
      <c r="P401" s="10">
        <f>IF($E401=Keys!$C$60,Keys!$C$51,INDEX(Raw_BFPIaE!$G$9:$G$3032,MATCH($A401&amp;Keys!$C$54&amp;Keys!$C$55&amp;Keys!$C$54&amp;$B401,Raw_BFPIaE!$H$9:$H$3032,0)))</f>
        <v>0</v>
      </c>
      <c r="Q401" s="10">
        <f>IF($E401=Keys!$C$60,Keys!$C$51,INDEX(Raw_BFPIaE!$G$9:$G$3032,MATCH($A401&amp;Keys!$C$54&amp;Keys!$C$56&amp;Keys!$C$54&amp;$B401,Raw_BFPIaE!$H$9:$H$3032,0)))</f>
        <v>0</v>
      </c>
      <c r="R401" s="10">
        <f>IF($E401=Keys!$C$60,Keys!$C$51,INDEX(Raw_BFPIaE!$G$9:$G$3032,MATCH($A401&amp;Keys!$C$54&amp;Keys!$C$57&amp;Keys!$C$54&amp;$B401,Raw_BFPIaE!$H$9:$H$3032,0)))</f>
        <v>0</v>
      </c>
      <c r="S401" s="11">
        <f>IF(($P401+$Q401-$R401+MAX(Keys!$C$51,$R401-$Q401))&gt;Keys!$C$51,MIN(Keys!$C$52,MAX(Keys!$C$51,$R401-$Q401)/($P401+$Q401-$R401+MAX(Keys!$C$51,$R401-$Q401))),Keys!$C$51)</f>
        <v>0</v>
      </c>
      <c r="T401">
        <f>IF(AND($I401&gt;$H401,ABS($L401-$G401)&gt;MAX(Keys!$C$62,ABS($G401)*Keys!$C$63)),1,0)</f>
        <v>0</v>
      </c>
      <c r="U401">
        <f>IF(OR($N401&lt;Keys!$C$51,$N401&gt;Keys!$C$52),1,0)</f>
        <v>0</v>
      </c>
      <c r="V401">
        <f>IF(AND($E401=Keys!$C$60,$N401&lt;&gt;Keys!$C$51),1,0)</f>
        <v>0</v>
      </c>
      <c r="W401">
        <f>IF($L401&gt;Keys!$C$51,IF($K401/$L401&gt;Keys!$C$52,1,0),0)</f>
        <v>0</v>
      </c>
      <c r="X401" s="11">
        <f t="shared" si="27"/>
        <v>0</v>
      </c>
    </row>
    <row r="402" spans="1:24" x14ac:dyDescent="0.25">
      <c r="A402" t="s">
        <v>116</v>
      </c>
      <c r="B402" t="s">
        <v>123</v>
      </c>
      <c r="C402">
        <f>VLOOKUP($B402,Keys!$F$2:$I$22,2,FALSE)</f>
        <v>0</v>
      </c>
      <c r="D402">
        <f>VLOOKUP($B402,Keys!$F$2:$I$22,3,FALSE)</f>
        <v>0</v>
      </c>
      <c r="E402" t="str">
        <f>VLOOKUP($B402,Keys!$F$2:$I$22,4,FALSE)</f>
        <v>zero</v>
      </c>
      <c r="F402" t="str">
        <f>$A402&amp;Keys!$C$54&amp;$B402</f>
        <v>ME|hydrogen</v>
      </c>
      <c r="G402" s="10">
        <f>IF($E402=Keys!$C$60,Keys!$C$51,INDEX(Balanced_2025!$D$9:$D$3032,MATCH($A402&amp;Keys!$C$54&amp;Keys!$C$55&amp;Keys!$C$54&amp;$C402,Balanced_2025!$E$9:$E$3032,0)))</f>
        <v>0</v>
      </c>
      <c r="H402" s="10">
        <f>IF($E402=Keys!$C$60,Keys!$C$51,INDEX(Balanced_2025!$D$9:$D$3032,MATCH($A402&amp;Keys!$C$54&amp;Keys!$C$56&amp;Keys!$C$54&amp;$C402,Balanced_2025!$E$9:$E$3032,0)))</f>
        <v>0</v>
      </c>
      <c r="I402" s="10">
        <f>IF($E402=Keys!$C$60,Keys!$C$51,INDEX(Balanced_2025!$D$9:$D$3032,MATCH($A402&amp;Keys!$C$54&amp;Keys!$C$57&amp;Keys!$C$54&amp;$C402,Balanced_2025!$E$9:$E$3032,0)))</f>
        <v>0</v>
      </c>
      <c r="J402" s="10">
        <f t="shared" si="24"/>
        <v>0</v>
      </c>
      <c r="K402" s="10">
        <f>MAX(Keys!$C$51,$I402-$H402)</f>
        <v>0</v>
      </c>
      <c r="L402" s="10">
        <f t="shared" si="25"/>
        <v>0</v>
      </c>
      <c r="M402" s="11">
        <f>IF($L402&gt;Keys!$C$51,MIN(Keys!$C$52,$K402/$L402),Keys!$C$51)</f>
        <v>0</v>
      </c>
      <c r="N402" s="11">
        <f>IF($E402=Keys!$C$60,Keys!$C$51,IF($E402=Keys!$C$59,$D402,$M402))</f>
        <v>0</v>
      </c>
      <c r="O402">
        <f t="shared" si="26"/>
        <v>0</v>
      </c>
      <c r="P402" s="10">
        <f>IF($E402=Keys!$C$60,Keys!$C$51,INDEX(Raw_BFPIaE!$G$9:$G$3032,MATCH($A402&amp;Keys!$C$54&amp;Keys!$C$55&amp;Keys!$C$54&amp;$B402,Raw_BFPIaE!$H$9:$H$3032,0)))</f>
        <v>0</v>
      </c>
      <c r="Q402" s="10">
        <f>IF($E402=Keys!$C$60,Keys!$C$51,INDEX(Raw_BFPIaE!$G$9:$G$3032,MATCH($A402&amp;Keys!$C$54&amp;Keys!$C$56&amp;Keys!$C$54&amp;$B402,Raw_BFPIaE!$H$9:$H$3032,0)))</f>
        <v>0</v>
      </c>
      <c r="R402" s="10">
        <f>IF($E402=Keys!$C$60,Keys!$C$51,INDEX(Raw_BFPIaE!$G$9:$G$3032,MATCH($A402&amp;Keys!$C$54&amp;Keys!$C$57&amp;Keys!$C$54&amp;$B402,Raw_BFPIaE!$H$9:$H$3032,0)))</f>
        <v>0</v>
      </c>
      <c r="S402" s="11">
        <f>IF(($P402+$Q402-$R402+MAX(Keys!$C$51,$R402-$Q402))&gt;Keys!$C$51,MIN(Keys!$C$52,MAX(Keys!$C$51,$R402-$Q402)/($P402+$Q402-$R402+MAX(Keys!$C$51,$R402-$Q402))),Keys!$C$51)</f>
        <v>0</v>
      </c>
      <c r="T402">
        <f>IF(AND($I402&gt;$H402,ABS($L402-$G402)&gt;MAX(Keys!$C$62,ABS($G402)*Keys!$C$63)),1,0)</f>
        <v>0</v>
      </c>
      <c r="U402">
        <f>IF(OR($N402&lt;Keys!$C$51,$N402&gt;Keys!$C$52),1,0)</f>
        <v>0</v>
      </c>
      <c r="V402">
        <f>IF(AND($E402=Keys!$C$60,$N402&lt;&gt;Keys!$C$51),1,0)</f>
        <v>0</v>
      </c>
      <c r="W402">
        <f>IF($L402&gt;Keys!$C$51,IF($K402/$L402&gt;Keys!$C$52,1,0),0)</f>
        <v>0</v>
      </c>
      <c r="X402" s="11">
        <f t="shared" si="27"/>
        <v>0</v>
      </c>
    </row>
    <row r="403" spans="1:24" x14ac:dyDescent="0.25">
      <c r="A403" t="s">
        <v>119</v>
      </c>
      <c r="B403" t="s">
        <v>60</v>
      </c>
      <c r="C403">
        <f>VLOOKUP($B403,Keys!$F$2:$I$22,2,FALSE)</f>
        <v>0</v>
      </c>
      <c r="D403">
        <f>VLOOKUP($B403,Keys!$F$2:$I$22,3,FALSE)</f>
        <v>0</v>
      </c>
      <c r="E403" t="str">
        <f>VLOOKUP($B403,Keys!$F$2:$I$22,4,FALSE)</f>
        <v>zero</v>
      </c>
      <c r="F403" t="str">
        <f>$A403&amp;Keys!$C$54&amp;$B403</f>
        <v>MI|electricity (not used in this variable)</v>
      </c>
      <c r="G403" s="10">
        <f>IF($E403=Keys!$C$60,Keys!$C$51,INDEX(Balanced_2025!$D$9:$D$3032,MATCH($A403&amp;Keys!$C$54&amp;Keys!$C$55&amp;Keys!$C$54&amp;$C403,Balanced_2025!$E$9:$E$3032,0)))</f>
        <v>0</v>
      </c>
      <c r="H403" s="10">
        <f>IF($E403=Keys!$C$60,Keys!$C$51,INDEX(Balanced_2025!$D$9:$D$3032,MATCH($A403&amp;Keys!$C$54&amp;Keys!$C$56&amp;Keys!$C$54&amp;$C403,Balanced_2025!$E$9:$E$3032,0)))</f>
        <v>0</v>
      </c>
      <c r="I403" s="10">
        <f>IF($E403=Keys!$C$60,Keys!$C$51,INDEX(Balanced_2025!$D$9:$D$3032,MATCH($A403&amp;Keys!$C$54&amp;Keys!$C$57&amp;Keys!$C$54&amp;$C403,Balanced_2025!$E$9:$E$3032,0)))</f>
        <v>0</v>
      </c>
      <c r="J403" s="10">
        <f t="shared" si="24"/>
        <v>0</v>
      </c>
      <c r="K403" s="10">
        <f>MAX(Keys!$C$51,$I403-$H403)</f>
        <v>0</v>
      </c>
      <c r="L403" s="10">
        <f t="shared" si="25"/>
        <v>0</v>
      </c>
      <c r="M403" s="11">
        <f>IF($L403&gt;Keys!$C$51,MIN(Keys!$C$52,$K403/$L403),Keys!$C$51)</f>
        <v>0</v>
      </c>
      <c r="N403" s="11">
        <f>IF($E403=Keys!$C$60,Keys!$C$51,IF($E403=Keys!$C$59,$D403,$M403))</f>
        <v>0</v>
      </c>
      <c r="O403">
        <f t="shared" si="26"/>
        <v>0</v>
      </c>
      <c r="P403" s="10">
        <f>IF($E403=Keys!$C$60,Keys!$C$51,INDEX(Raw_BFPIaE!$G$9:$G$3032,MATCH($A403&amp;Keys!$C$54&amp;Keys!$C$55&amp;Keys!$C$54&amp;$B403,Raw_BFPIaE!$H$9:$H$3032,0)))</f>
        <v>0</v>
      </c>
      <c r="Q403" s="10">
        <f>IF($E403=Keys!$C$60,Keys!$C$51,INDEX(Raw_BFPIaE!$G$9:$G$3032,MATCH($A403&amp;Keys!$C$54&amp;Keys!$C$56&amp;Keys!$C$54&amp;$B403,Raw_BFPIaE!$H$9:$H$3032,0)))</f>
        <v>0</v>
      </c>
      <c r="R403" s="10">
        <f>IF($E403=Keys!$C$60,Keys!$C$51,INDEX(Raw_BFPIaE!$G$9:$G$3032,MATCH($A403&amp;Keys!$C$54&amp;Keys!$C$57&amp;Keys!$C$54&amp;$B403,Raw_BFPIaE!$H$9:$H$3032,0)))</f>
        <v>0</v>
      </c>
      <c r="S403" s="11">
        <f>IF(($P403+$Q403-$R403+MAX(Keys!$C$51,$R403-$Q403))&gt;Keys!$C$51,MIN(Keys!$C$52,MAX(Keys!$C$51,$R403-$Q403)/($P403+$Q403-$R403+MAX(Keys!$C$51,$R403-$Q403))),Keys!$C$51)</f>
        <v>0</v>
      </c>
      <c r="T403">
        <f>IF(AND($I403&gt;$H403,ABS($L403-$G403)&gt;MAX(Keys!$C$62,ABS($G403)*Keys!$C$63)),1,0)</f>
        <v>0</v>
      </c>
      <c r="U403">
        <f>IF(OR($N403&lt;Keys!$C$51,$N403&gt;Keys!$C$52),1,0)</f>
        <v>0</v>
      </c>
      <c r="V403">
        <f>IF(AND($E403=Keys!$C$60,$N403&lt;&gt;Keys!$C$51),1,0)</f>
        <v>0</v>
      </c>
      <c r="W403">
        <f>IF($L403&gt;Keys!$C$51,IF($K403/$L403&gt;Keys!$C$52,1,0),0)</f>
        <v>0</v>
      </c>
      <c r="X403" s="11">
        <f t="shared" si="27"/>
        <v>0</v>
      </c>
    </row>
    <row r="404" spans="1:24" x14ac:dyDescent="0.25">
      <c r="A404" t="s">
        <v>119</v>
      </c>
      <c r="B404" t="s">
        <v>64</v>
      </c>
      <c r="C404" t="str">
        <f>VLOOKUP($B404,Keys!$F$2:$I$22,2,FALSE)</f>
        <v>hard coal</v>
      </c>
      <c r="D404">
        <f>VLOOKUP($B404,Keys!$F$2:$I$22,3,FALSE)</f>
        <v>0.137539879</v>
      </c>
      <c r="E404" t="str">
        <f>VLOOKUP($B404,Keys!$F$2:$I$22,4,FALSE)</f>
        <v>rule</v>
      </c>
      <c r="F404" t="str">
        <f>$A404&amp;Keys!$C$54&amp;$B404</f>
        <v>MI|hard coal</v>
      </c>
      <c r="G404" s="10">
        <f>IF($E404=Keys!$C$60,Keys!$C$51,INDEX(Balanced_2025!$D$9:$D$3032,MATCH($A404&amp;Keys!$C$54&amp;Keys!$C$55&amp;Keys!$C$54&amp;$C404,Balanced_2025!$E$9:$E$3032,0)))</f>
        <v>0</v>
      </c>
      <c r="H404" s="10">
        <f>IF($E404=Keys!$C$60,Keys!$C$51,INDEX(Balanced_2025!$D$9:$D$3032,MATCH($A404&amp;Keys!$C$54&amp;Keys!$C$56&amp;Keys!$C$54&amp;$C404,Balanced_2025!$E$9:$E$3032,0)))</f>
        <v>410342000000000</v>
      </c>
      <c r="I404" s="10">
        <f>IF($E404=Keys!$C$60,Keys!$C$51,INDEX(Balanced_2025!$D$9:$D$3032,MATCH($A404&amp;Keys!$C$54&amp;Keys!$C$57&amp;Keys!$C$54&amp;$C404,Balanced_2025!$E$9:$E$3032,0)))</f>
        <v>0</v>
      </c>
      <c r="J404" s="10">
        <f t="shared" si="24"/>
        <v>410342000000000</v>
      </c>
      <c r="K404" s="10">
        <f>MAX(Keys!$C$51,$I404-$H404)</f>
        <v>0</v>
      </c>
      <c r="L404" s="10">
        <f t="shared" si="25"/>
        <v>410342000000000</v>
      </c>
      <c r="M404" s="11">
        <f>IF($L404&gt;Keys!$C$51,MIN(Keys!$C$52,$K404/$L404),Keys!$C$51)</f>
        <v>0</v>
      </c>
      <c r="N404" s="11">
        <f>IF($E404=Keys!$C$60,Keys!$C$51,IF($E404=Keys!$C$59,$D404,$M404))</f>
        <v>0</v>
      </c>
      <c r="O404">
        <f t="shared" si="26"/>
        <v>1</v>
      </c>
      <c r="P404" s="10">
        <f>IF($E404=Keys!$C$60,Keys!$C$51,INDEX(Raw_BFPIaE!$G$9:$G$3032,MATCH($A404&amp;Keys!$C$54&amp;Keys!$C$55&amp;Keys!$C$54&amp;$B404,Raw_BFPIaE!$H$9:$H$3032,0)))</f>
        <v>0</v>
      </c>
      <c r="Q404" s="10">
        <f>IF($E404=Keys!$C$60,Keys!$C$51,INDEX(Raw_BFPIaE!$G$9:$G$3032,MATCH($A404&amp;Keys!$C$54&amp;Keys!$C$56&amp;Keys!$C$54&amp;$B404,Raw_BFPIaE!$H$9:$H$3032,0)))</f>
        <v>346576333333333.31</v>
      </c>
      <c r="R404" s="10">
        <f>IF($E404=Keys!$C$60,Keys!$C$51,INDEX(Raw_BFPIaE!$G$9:$G$3032,MATCH($A404&amp;Keys!$C$54&amp;Keys!$C$57&amp;Keys!$C$54&amp;$B404,Raw_BFPIaE!$H$9:$H$3032,0)))</f>
        <v>0</v>
      </c>
      <c r="S404" s="11">
        <f>IF(($P404+$Q404-$R404+MAX(Keys!$C$51,$R404-$Q404))&gt;Keys!$C$51,MIN(Keys!$C$52,MAX(Keys!$C$51,$R404-$Q404)/($P404+$Q404-$R404+MAX(Keys!$C$51,$R404-$Q404))),Keys!$C$51)</f>
        <v>0</v>
      </c>
      <c r="T404">
        <f>IF(AND($I404&gt;$H404,ABS($L404-$G404)&gt;MAX(Keys!$C$62,ABS($G404)*Keys!$C$63)),1,0)</f>
        <v>0</v>
      </c>
      <c r="U404">
        <f>IF(OR($N404&lt;Keys!$C$51,$N404&gt;Keys!$C$52),1,0)</f>
        <v>0</v>
      </c>
      <c r="V404">
        <f>IF(AND($E404=Keys!$C$60,$N404&lt;&gt;Keys!$C$51),1,0)</f>
        <v>0</v>
      </c>
      <c r="W404">
        <f>IF($L404&gt;Keys!$C$51,IF($K404/$L404&gt;Keys!$C$52,1,0),0)</f>
        <v>0</v>
      </c>
      <c r="X404" s="11">
        <f t="shared" si="27"/>
        <v>0</v>
      </c>
    </row>
    <row r="405" spans="1:24" x14ac:dyDescent="0.25">
      <c r="A405" t="s">
        <v>119</v>
      </c>
      <c r="B405" t="s">
        <v>68</v>
      </c>
      <c r="C405" t="str">
        <f>VLOOKUP($B405,Keys!$F$2:$I$22,2,FALSE)</f>
        <v>natural gas</v>
      </c>
      <c r="D405">
        <f>VLOOKUP($B405,Keys!$F$2:$I$22,3,FALSE)</f>
        <v>0.190839183</v>
      </c>
      <c r="E405" t="str">
        <f>VLOOKUP($B405,Keys!$F$2:$I$22,4,FALSE)</f>
        <v>rule</v>
      </c>
      <c r="F405" t="str">
        <f>$A405&amp;Keys!$C$54&amp;$B405</f>
        <v>MI|natural gas</v>
      </c>
      <c r="G405" s="10">
        <f>IF($E405=Keys!$C$60,Keys!$C$51,INDEX(Balanced_2025!$D$9:$D$3032,MATCH($A405&amp;Keys!$C$54&amp;Keys!$C$55&amp;Keys!$C$54&amp;$C405,Balanced_2025!$E$9:$E$3032,0)))</f>
        <v>65821500000000</v>
      </c>
      <c r="H405" s="10">
        <f>IF($E405=Keys!$C$60,Keys!$C$51,INDEX(Balanced_2025!$D$9:$D$3032,MATCH($A405&amp;Keys!$C$54&amp;Keys!$C$56&amp;Keys!$C$54&amp;$C405,Balanced_2025!$E$9:$E$3032,0)))</f>
        <v>1697960000000000</v>
      </c>
      <c r="I405" s="10">
        <f>IF($E405=Keys!$C$60,Keys!$C$51,INDEX(Balanced_2025!$D$9:$D$3032,MATCH($A405&amp;Keys!$C$54&amp;Keys!$C$57&amp;Keys!$C$54&amp;$C405,Balanced_2025!$E$9:$E$3032,0)))</f>
        <v>774254000000000</v>
      </c>
      <c r="J405" s="10">
        <f t="shared" si="24"/>
        <v>989527500000000</v>
      </c>
      <c r="K405" s="10">
        <f>MAX(Keys!$C$51,$I405-$H405)</f>
        <v>0</v>
      </c>
      <c r="L405" s="10">
        <f t="shared" si="25"/>
        <v>989527500000000</v>
      </c>
      <c r="M405" s="11">
        <f>IF($L405&gt;Keys!$C$51,MIN(Keys!$C$52,$K405/$L405),Keys!$C$51)</f>
        <v>0</v>
      </c>
      <c r="N405" s="11">
        <f>IF($E405=Keys!$C$60,Keys!$C$51,IF($E405=Keys!$C$59,$D405,$M405))</f>
        <v>0</v>
      </c>
      <c r="O405">
        <f t="shared" si="26"/>
        <v>1</v>
      </c>
      <c r="P405" s="10">
        <f>IF($E405=Keys!$C$60,Keys!$C$51,INDEX(Raw_BFPIaE!$G$9:$G$3032,MATCH($A405&amp;Keys!$C$54&amp;Keys!$C$55&amp;Keys!$C$54&amp;$B405,Raw_BFPIaE!$H$9:$H$3032,0)))</f>
        <v>65889633333333.336</v>
      </c>
      <c r="Q405" s="10">
        <f>IF($E405=Keys!$C$60,Keys!$C$51,INDEX(Raw_BFPIaE!$G$9:$G$3032,MATCH($A405&amp;Keys!$C$54&amp;Keys!$C$56&amp;Keys!$C$54&amp;$B405,Raw_BFPIaE!$H$9:$H$3032,0)))</f>
        <v>1864536666666666.8</v>
      </c>
      <c r="R405" s="10">
        <f>IF($E405=Keys!$C$60,Keys!$C$51,INDEX(Raw_BFPIaE!$G$9:$G$3032,MATCH($A405&amp;Keys!$C$54&amp;Keys!$C$57&amp;Keys!$C$54&amp;$B405,Raw_BFPIaE!$H$9:$H$3032,0)))</f>
        <v>775055666666666.63</v>
      </c>
      <c r="S405" s="11">
        <f>IF(($P405+$Q405-$R405+MAX(Keys!$C$51,$R405-$Q405))&gt;Keys!$C$51,MIN(Keys!$C$52,MAX(Keys!$C$51,$R405-$Q405)/($P405+$Q405-$R405+MAX(Keys!$C$51,$R405-$Q405))),Keys!$C$51)</f>
        <v>0</v>
      </c>
      <c r="T405">
        <f>IF(AND($I405&gt;$H405,ABS($L405-$G405)&gt;MAX(Keys!$C$62,ABS($G405)*Keys!$C$63)),1,0)</f>
        <v>0</v>
      </c>
      <c r="U405">
        <f>IF(OR($N405&lt;Keys!$C$51,$N405&gt;Keys!$C$52),1,0)</f>
        <v>0</v>
      </c>
      <c r="V405">
        <f>IF(AND($E405=Keys!$C$60,$N405&lt;&gt;Keys!$C$51),1,0)</f>
        <v>0</v>
      </c>
      <c r="W405">
        <f>IF($L405&gt;Keys!$C$51,IF($K405/$L405&gt;Keys!$C$52,1,0),0)</f>
        <v>0</v>
      </c>
      <c r="X405" s="11">
        <f t="shared" si="27"/>
        <v>0</v>
      </c>
    </row>
    <row r="406" spans="1:24" x14ac:dyDescent="0.25">
      <c r="A406" t="s">
        <v>119</v>
      </c>
      <c r="B406" t="s">
        <v>71</v>
      </c>
      <c r="C406">
        <f>VLOOKUP($B406,Keys!$F$2:$I$22,2,FALSE)</f>
        <v>0</v>
      </c>
      <c r="D406">
        <f>VLOOKUP($B406,Keys!$F$2:$I$22,3,FALSE)</f>
        <v>0</v>
      </c>
      <c r="E406" t="str">
        <f>VLOOKUP($B406,Keys!$F$2:$I$22,4,FALSE)</f>
        <v>zero</v>
      </c>
      <c r="F406" t="str">
        <f>$A406&amp;Keys!$C$54&amp;$B406</f>
        <v>MI|nuclear</v>
      </c>
      <c r="G406" s="10">
        <f>IF($E406=Keys!$C$60,Keys!$C$51,INDEX(Balanced_2025!$D$9:$D$3032,MATCH($A406&amp;Keys!$C$54&amp;Keys!$C$55&amp;Keys!$C$54&amp;$C406,Balanced_2025!$E$9:$E$3032,0)))</f>
        <v>0</v>
      </c>
      <c r="H406" s="10">
        <f>IF($E406=Keys!$C$60,Keys!$C$51,INDEX(Balanced_2025!$D$9:$D$3032,MATCH($A406&amp;Keys!$C$54&amp;Keys!$C$56&amp;Keys!$C$54&amp;$C406,Balanced_2025!$E$9:$E$3032,0)))</f>
        <v>0</v>
      </c>
      <c r="I406" s="10">
        <f>IF($E406=Keys!$C$60,Keys!$C$51,INDEX(Balanced_2025!$D$9:$D$3032,MATCH($A406&amp;Keys!$C$54&amp;Keys!$C$57&amp;Keys!$C$54&amp;$C406,Balanced_2025!$E$9:$E$3032,0)))</f>
        <v>0</v>
      </c>
      <c r="J406" s="10">
        <f t="shared" si="24"/>
        <v>0</v>
      </c>
      <c r="K406" s="10">
        <f>MAX(Keys!$C$51,$I406-$H406)</f>
        <v>0</v>
      </c>
      <c r="L406" s="10">
        <f t="shared" si="25"/>
        <v>0</v>
      </c>
      <c r="M406" s="11">
        <f>IF($L406&gt;Keys!$C$51,MIN(Keys!$C$52,$K406/$L406),Keys!$C$51)</f>
        <v>0</v>
      </c>
      <c r="N406" s="11">
        <f>IF($E406=Keys!$C$60,Keys!$C$51,IF($E406=Keys!$C$59,$D406,$M406))</f>
        <v>0</v>
      </c>
      <c r="O406">
        <f t="shared" si="26"/>
        <v>0</v>
      </c>
      <c r="P406" s="10">
        <f>IF($E406=Keys!$C$60,Keys!$C$51,INDEX(Raw_BFPIaE!$G$9:$G$3032,MATCH($A406&amp;Keys!$C$54&amp;Keys!$C$55&amp;Keys!$C$54&amp;$B406,Raw_BFPIaE!$H$9:$H$3032,0)))</f>
        <v>0</v>
      </c>
      <c r="Q406" s="10">
        <f>IF($E406=Keys!$C$60,Keys!$C$51,INDEX(Raw_BFPIaE!$G$9:$G$3032,MATCH($A406&amp;Keys!$C$54&amp;Keys!$C$56&amp;Keys!$C$54&amp;$B406,Raw_BFPIaE!$H$9:$H$3032,0)))</f>
        <v>0</v>
      </c>
      <c r="R406" s="10">
        <f>IF($E406=Keys!$C$60,Keys!$C$51,INDEX(Raw_BFPIaE!$G$9:$G$3032,MATCH($A406&amp;Keys!$C$54&amp;Keys!$C$57&amp;Keys!$C$54&amp;$B406,Raw_BFPIaE!$H$9:$H$3032,0)))</f>
        <v>0</v>
      </c>
      <c r="S406" s="11">
        <f>IF(($P406+$Q406-$R406+MAX(Keys!$C$51,$R406-$Q406))&gt;Keys!$C$51,MIN(Keys!$C$52,MAX(Keys!$C$51,$R406-$Q406)/($P406+$Q406-$R406+MAX(Keys!$C$51,$R406-$Q406))),Keys!$C$51)</f>
        <v>0</v>
      </c>
      <c r="T406">
        <f>IF(AND($I406&gt;$H406,ABS($L406-$G406)&gt;MAX(Keys!$C$62,ABS($G406)*Keys!$C$63)),1,0)</f>
        <v>0</v>
      </c>
      <c r="U406">
        <f>IF(OR($N406&lt;Keys!$C$51,$N406&gt;Keys!$C$52),1,0)</f>
        <v>0</v>
      </c>
      <c r="V406">
        <f>IF(AND($E406=Keys!$C$60,$N406&lt;&gt;Keys!$C$51),1,0)</f>
        <v>0</v>
      </c>
      <c r="W406">
        <f>IF($L406&gt;Keys!$C$51,IF($K406/$L406&gt;Keys!$C$52,1,0),0)</f>
        <v>0</v>
      </c>
      <c r="X406" s="11">
        <f t="shared" si="27"/>
        <v>0</v>
      </c>
    </row>
    <row r="407" spans="1:24" x14ac:dyDescent="0.25">
      <c r="A407" t="s">
        <v>119</v>
      </c>
      <c r="B407" t="s">
        <v>74</v>
      </c>
      <c r="C407">
        <f>VLOOKUP($B407,Keys!$F$2:$I$22,2,FALSE)</f>
        <v>0</v>
      </c>
      <c r="D407">
        <f>VLOOKUP($B407,Keys!$F$2:$I$22,3,FALSE)</f>
        <v>0</v>
      </c>
      <c r="E407" t="str">
        <f>VLOOKUP($B407,Keys!$F$2:$I$22,4,FALSE)</f>
        <v>zero</v>
      </c>
      <c r="F407" t="str">
        <f>$A407&amp;Keys!$C$54&amp;$B407</f>
        <v>MI|hydro (is not a fuel)</v>
      </c>
      <c r="G407" s="10">
        <f>IF($E407=Keys!$C$60,Keys!$C$51,INDEX(Balanced_2025!$D$9:$D$3032,MATCH($A407&amp;Keys!$C$54&amp;Keys!$C$55&amp;Keys!$C$54&amp;$C407,Balanced_2025!$E$9:$E$3032,0)))</f>
        <v>0</v>
      </c>
      <c r="H407" s="10">
        <f>IF($E407=Keys!$C$60,Keys!$C$51,INDEX(Balanced_2025!$D$9:$D$3032,MATCH($A407&amp;Keys!$C$54&amp;Keys!$C$56&amp;Keys!$C$54&amp;$C407,Balanced_2025!$E$9:$E$3032,0)))</f>
        <v>0</v>
      </c>
      <c r="I407" s="10">
        <f>IF($E407=Keys!$C$60,Keys!$C$51,INDEX(Balanced_2025!$D$9:$D$3032,MATCH($A407&amp;Keys!$C$54&amp;Keys!$C$57&amp;Keys!$C$54&amp;$C407,Balanced_2025!$E$9:$E$3032,0)))</f>
        <v>0</v>
      </c>
      <c r="J407" s="10">
        <f t="shared" si="24"/>
        <v>0</v>
      </c>
      <c r="K407" s="10">
        <f>MAX(Keys!$C$51,$I407-$H407)</f>
        <v>0</v>
      </c>
      <c r="L407" s="10">
        <f t="shared" si="25"/>
        <v>0</v>
      </c>
      <c r="M407" s="11">
        <f>IF($L407&gt;Keys!$C$51,MIN(Keys!$C$52,$K407/$L407),Keys!$C$51)</f>
        <v>0</v>
      </c>
      <c r="N407" s="11">
        <f>IF($E407=Keys!$C$60,Keys!$C$51,IF($E407=Keys!$C$59,$D407,$M407))</f>
        <v>0</v>
      </c>
      <c r="O407">
        <f t="shared" si="26"/>
        <v>0</v>
      </c>
      <c r="P407" s="10">
        <f>IF($E407=Keys!$C$60,Keys!$C$51,INDEX(Raw_BFPIaE!$G$9:$G$3032,MATCH($A407&amp;Keys!$C$54&amp;Keys!$C$55&amp;Keys!$C$54&amp;$B407,Raw_BFPIaE!$H$9:$H$3032,0)))</f>
        <v>0</v>
      </c>
      <c r="Q407" s="10">
        <f>IF($E407=Keys!$C$60,Keys!$C$51,INDEX(Raw_BFPIaE!$G$9:$G$3032,MATCH($A407&amp;Keys!$C$54&amp;Keys!$C$56&amp;Keys!$C$54&amp;$B407,Raw_BFPIaE!$H$9:$H$3032,0)))</f>
        <v>0</v>
      </c>
      <c r="R407" s="10">
        <f>IF($E407=Keys!$C$60,Keys!$C$51,INDEX(Raw_BFPIaE!$G$9:$G$3032,MATCH($A407&amp;Keys!$C$54&amp;Keys!$C$57&amp;Keys!$C$54&amp;$B407,Raw_BFPIaE!$H$9:$H$3032,0)))</f>
        <v>0</v>
      </c>
      <c r="S407" s="11">
        <f>IF(($P407+$Q407-$R407+MAX(Keys!$C$51,$R407-$Q407))&gt;Keys!$C$51,MIN(Keys!$C$52,MAX(Keys!$C$51,$R407-$Q407)/($P407+$Q407-$R407+MAX(Keys!$C$51,$R407-$Q407))),Keys!$C$51)</f>
        <v>0</v>
      </c>
      <c r="T407">
        <f>IF(AND($I407&gt;$H407,ABS($L407-$G407)&gt;MAX(Keys!$C$62,ABS($G407)*Keys!$C$63)),1,0)</f>
        <v>0</v>
      </c>
      <c r="U407">
        <f>IF(OR($N407&lt;Keys!$C$51,$N407&gt;Keys!$C$52),1,0)</f>
        <v>0</v>
      </c>
      <c r="V407">
        <f>IF(AND($E407=Keys!$C$60,$N407&lt;&gt;Keys!$C$51),1,0)</f>
        <v>0</v>
      </c>
      <c r="W407">
        <f>IF($L407&gt;Keys!$C$51,IF($K407/$L407&gt;Keys!$C$52,1,0),0)</f>
        <v>0</v>
      </c>
      <c r="X407" s="11">
        <f t="shared" si="27"/>
        <v>0</v>
      </c>
    </row>
    <row r="408" spans="1:24" x14ac:dyDescent="0.25">
      <c r="A408" t="s">
        <v>119</v>
      </c>
      <c r="B408" t="s">
        <v>77</v>
      </c>
      <c r="C408">
        <f>VLOOKUP($B408,Keys!$F$2:$I$22,2,FALSE)</f>
        <v>0</v>
      </c>
      <c r="D408">
        <f>VLOOKUP($B408,Keys!$F$2:$I$22,3,FALSE)</f>
        <v>0</v>
      </c>
      <c r="E408" t="str">
        <f>VLOOKUP($B408,Keys!$F$2:$I$22,4,FALSE)</f>
        <v>zero</v>
      </c>
      <c r="F408" t="str">
        <f>$A408&amp;Keys!$C$54&amp;$B408</f>
        <v>MI|wind (is not a fuel)</v>
      </c>
      <c r="G408" s="10">
        <f>IF($E408=Keys!$C$60,Keys!$C$51,INDEX(Balanced_2025!$D$9:$D$3032,MATCH($A408&amp;Keys!$C$54&amp;Keys!$C$55&amp;Keys!$C$54&amp;$C408,Balanced_2025!$E$9:$E$3032,0)))</f>
        <v>0</v>
      </c>
      <c r="H408" s="10">
        <f>IF($E408=Keys!$C$60,Keys!$C$51,INDEX(Balanced_2025!$D$9:$D$3032,MATCH($A408&amp;Keys!$C$54&amp;Keys!$C$56&amp;Keys!$C$54&amp;$C408,Balanced_2025!$E$9:$E$3032,0)))</f>
        <v>0</v>
      </c>
      <c r="I408" s="10">
        <f>IF($E408=Keys!$C$60,Keys!$C$51,INDEX(Balanced_2025!$D$9:$D$3032,MATCH($A408&amp;Keys!$C$54&amp;Keys!$C$57&amp;Keys!$C$54&amp;$C408,Balanced_2025!$E$9:$E$3032,0)))</f>
        <v>0</v>
      </c>
      <c r="J408" s="10">
        <f t="shared" si="24"/>
        <v>0</v>
      </c>
      <c r="K408" s="10">
        <f>MAX(Keys!$C$51,$I408-$H408)</f>
        <v>0</v>
      </c>
      <c r="L408" s="10">
        <f t="shared" si="25"/>
        <v>0</v>
      </c>
      <c r="M408" s="11">
        <f>IF($L408&gt;Keys!$C$51,MIN(Keys!$C$52,$K408/$L408),Keys!$C$51)</f>
        <v>0</v>
      </c>
      <c r="N408" s="11">
        <f>IF($E408=Keys!$C$60,Keys!$C$51,IF($E408=Keys!$C$59,$D408,$M408))</f>
        <v>0</v>
      </c>
      <c r="O408">
        <f t="shared" si="26"/>
        <v>0</v>
      </c>
      <c r="P408" s="10">
        <f>IF($E408=Keys!$C$60,Keys!$C$51,INDEX(Raw_BFPIaE!$G$9:$G$3032,MATCH($A408&amp;Keys!$C$54&amp;Keys!$C$55&amp;Keys!$C$54&amp;$B408,Raw_BFPIaE!$H$9:$H$3032,0)))</f>
        <v>0</v>
      </c>
      <c r="Q408" s="10">
        <f>IF($E408=Keys!$C$60,Keys!$C$51,INDEX(Raw_BFPIaE!$G$9:$G$3032,MATCH($A408&amp;Keys!$C$54&amp;Keys!$C$56&amp;Keys!$C$54&amp;$B408,Raw_BFPIaE!$H$9:$H$3032,0)))</f>
        <v>0</v>
      </c>
      <c r="R408" s="10">
        <f>IF($E408=Keys!$C$60,Keys!$C$51,INDEX(Raw_BFPIaE!$G$9:$G$3032,MATCH($A408&amp;Keys!$C$54&amp;Keys!$C$57&amp;Keys!$C$54&amp;$B408,Raw_BFPIaE!$H$9:$H$3032,0)))</f>
        <v>0</v>
      </c>
      <c r="S408" s="11">
        <f>IF(($P408+$Q408-$R408+MAX(Keys!$C$51,$R408-$Q408))&gt;Keys!$C$51,MIN(Keys!$C$52,MAX(Keys!$C$51,$R408-$Q408)/($P408+$Q408-$R408+MAX(Keys!$C$51,$R408-$Q408))),Keys!$C$51)</f>
        <v>0</v>
      </c>
      <c r="T408">
        <f>IF(AND($I408&gt;$H408,ABS($L408-$G408)&gt;MAX(Keys!$C$62,ABS($G408)*Keys!$C$63)),1,0)</f>
        <v>0</v>
      </c>
      <c r="U408">
        <f>IF(OR($N408&lt;Keys!$C$51,$N408&gt;Keys!$C$52),1,0)</f>
        <v>0</v>
      </c>
      <c r="V408">
        <f>IF(AND($E408=Keys!$C$60,$N408&lt;&gt;Keys!$C$51),1,0)</f>
        <v>0</v>
      </c>
      <c r="W408">
        <f>IF($L408&gt;Keys!$C$51,IF($K408/$L408&gt;Keys!$C$52,1,0),0)</f>
        <v>0</v>
      </c>
      <c r="X408" s="11">
        <f t="shared" si="27"/>
        <v>0</v>
      </c>
    </row>
    <row r="409" spans="1:24" x14ac:dyDescent="0.25">
      <c r="A409" t="s">
        <v>119</v>
      </c>
      <c r="B409" t="s">
        <v>80</v>
      </c>
      <c r="C409">
        <f>VLOOKUP($B409,Keys!$F$2:$I$22,2,FALSE)</f>
        <v>0</v>
      </c>
      <c r="D409">
        <f>VLOOKUP($B409,Keys!$F$2:$I$22,3,FALSE)</f>
        <v>0</v>
      </c>
      <c r="E409" t="str">
        <f>VLOOKUP($B409,Keys!$F$2:$I$22,4,FALSE)</f>
        <v>zero</v>
      </c>
      <c r="F409" t="str">
        <f>$A409&amp;Keys!$C$54&amp;$B409</f>
        <v>MI|solar (is not a fuel)</v>
      </c>
      <c r="G409" s="10">
        <f>IF($E409=Keys!$C$60,Keys!$C$51,INDEX(Balanced_2025!$D$9:$D$3032,MATCH($A409&amp;Keys!$C$54&amp;Keys!$C$55&amp;Keys!$C$54&amp;$C409,Balanced_2025!$E$9:$E$3032,0)))</f>
        <v>0</v>
      </c>
      <c r="H409" s="10">
        <f>IF($E409=Keys!$C$60,Keys!$C$51,INDEX(Balanced_2025!$D$9:$D$3032,MATCH($A409&amp;Keys!$C$54&amp;Keys!$C$56&amp;Keys!$C$54&amp;$C409,Balanced_2025!$E$9:$E$3032,0)))</f>
        <v>0</v>
      </c>
      <c r="I409" s="10">
        <f>IF($E409=Keys!$C$60,Keys!$C$51,INDEX(Balanced_2025!$D$9:$D$3032,MATCH($A409&amp;Keys!$C$54&amp;Keys!$C$57&amp;Keys!$C$54&amp;$C409,Balanced_2025!$E$9:$E$3032,0)))</f>
        <v>0</v>
      </c>
      <c r="J409" s="10">
        <f t="shared" si="24"/>
        <v>0</v>
      </c>
      <c r="K409" s="10">
        <f>MAX(Keys!$C$51,$I409-$H409)</f>
        <v>0</v>
      </c>
      <c r="L409" s="10">
        <f t="shared" si="25"/>
        <v>0</v>
      </c>
      <c r="M409" s="11">
        <f>IF($L409&gt;Keys!$C$51,MIN(Keys!$C$52,$K409/$L409),Keys!$C$51)</f>
        <v>0</v>
      </c>
      <c r="N409" s="11">
        <f>IF($E409=Keys!$C$60,Keys!$C$51,IF($E409=Keys!$C$59,$D409,$M409))</f>
        <v>0</v>
      </c>
      <c r="O409">
        <f t="shared" si="26"/>
        <v>0</v>
      </c>
      <c r="P409" s="10">
        <f>IF($E409=Keys!$C$60,Keys!$C$51,INDEX(Raw_BFPIaE!$G$9:$G$3032,MATCH($A409&amp;Keys!$C$54&amp;Keys!$C$55&amp;Keys!$C$54&amp;$B409,Raw_BFPIaE!$H$9:$H$3032,0)))</f>
        <v>0</v>
      </c>
      <c r="Q409" s="10">
        <f>IF($E409=Keys!$C$60,Keys!$C$51,INDEX(Raw_BFPIaE!$G$9:$G$3032,MATCH($A409&amp;Keys!$C$54&amp;Keys!$C$56&amp;Keys!$C$54&amp;$B409,Raw_BFPIaE!$H$9:$H$3032,0)))</f>
        <v>0</v>
      </c>
      <c r="R409" s="10">
        <f>IF($E409=Keys!$C$60,Keys!$C$51,INDEX(Raw_BFPIaE!$G$9:$G$3032,MATCH($A409&amp;Keys!$C$54&amp;Keys!$C$57&amp;Keys!$C$54&amp;$B409,Raw_BFPIaE!$H$9:$H$3032,0)))</f>
        <v>0</v>
      </c>
      <c r="S409" s="11">
        <f>IF(($P409+$Q409-$R409+MAX(Keys!$C$51,$R409-$Q409))&gt;Keys!$C$51,MIN(Keys!$C$52,MAX(Keys!$C$51,$R409-$Q409)/($P409+$Q409-$R409+MAX(Keys!$C$51,$R409-$Q409))),Keys!$C$51)</f>
        <v>0</v>
      </c>
      <c r="T409">
        <f>IF(AND($I409&gt;$H409,ABS($L409-$G409)&gt;MAX(Keys!$C$62,ABS($G409)*Keys!$C$63)),1,0)</f>
        <v>0</v>
      </c>
      <c r="U409">
        <f>IF(OR($N409&lt;Keys!$C$51,$N409&gt;Keys!$C$52),1,0)</f>
        <v>0</v>
      </c>
      <c r="V409">
        <f>IF(AND($E409=Keys!$C$60,$N409&lt;&gt;Keys!$C$51),1,0)</f>
        <v>0</v>
      </c>
      <c r="W409">
        <f>IF($L409&gt;Keys!$C$51,IF($K409/$L409&gt;Keys!$C$52,1,0),0)</f>
        <v>0</v>
      </c>
      <c r="X409" s="11">
        <f t="shared" si="27"/>
        <v>0</v>
      </c>
    </row>
    <row r="410" spans="1:24" x14ac:dyDescent="0.25">
      <c r="A410" t="s">
        <v>119</v>
      </c>
      <c r="B410" t="s">
        <v>82</v>
      </c>
      <c r="C410" t="str">
        <f>VLOOKUP($B410,Keys!$F$2:$I$22,2,FALSE)</f>
        <v>biomass</v>
      </c>
      <c r="D410">
        <f>VLOOKUP($B410,Keys!$F$2:$I$22,3,FALSE)</f>
        <v>0.74947425499999998</v>
      </c>
      <c r="E410" t="str">
        <f>VLOOKUP($B410,Keys!$F$2:$I$22,4,FALSE)</f>
        <v>rule</v>
      </c>
      <c r="F410" t="str">
        <f>$A410&amp;Keys!$C$54&amp;$B410</f>
        <v>MI|biomass</v>
      </c>
      <c r="G410" s="10">
        <f>IF($E410=Keys!$C$60,Keys!$C$51,INDEX(Balanced_2025!$D$9:$D$3032,MATCH($A410&amp;Keys!$C$54&amp;Keys!$C$55&amp;Keys!$C$54&amp;$C410,Balanced_2025!$E$9:$E$3032,0)))</f>
        <v>2768000000000</v>
      </c>
      <c r="H410" s="10">
        <f>IF($E410=Keys!$C$60,Keys!$C$51,INDEX(Balanced_2025!$D$9:$D$3032,MATCH($A410&amp;Keys!$C$54&amp;Keys!$C$56&amp;Keys!$C$54&amp;$C410,Balanced_2025!$E$9:$E$3032,0)))</f>
        <v>99526800000000</v>
      </c>
      <c r="I410" s="10">
        <f>IF($E410=Keys!$C$60,Keys!$C$51,INDEX(Balanced_2025!$D$9:$D$3032,MATCH($A410&amp;Keys!$C$54&amp;Keys!$C$57&amp;Keys!$C$54&amp;$C410,Balanced_2025!$E$9:$E$3032,0)))</f>
        <v>0</v>
      </c>
      <c r="J410" s="10">
        <f t="shared" si="24"/>
        <v>102294800000000</v>
      </c>
      <c r="K410" s="10">
        <f>MAX(Keys!$C$51,$I410-$H410)</f>
        <v>0</v>
      </c>
      <c r="L410" s="10">
        <f t="shared" si="25"/>
        <v>102294800000000</v>
      </c>
      <c r="M410" s="11">
        <f>IF($L410&gt;Keys!$C$51,MIN(Keys!$C$52,$K410/$L410),Keys!$C$51)</f>
        <v>0</v>
      </c>
      <c r="N410" s="11">
        <f>IF($E410=Keys!$C$60,Keys!$C$51,IF($E410=Keys!$C$59,$D410,$M410))</f>
        <v>0</v>
      </c>
      <c r="O410">
        <f t="shared" si="26"/>
        <v>1</v>
      </c>
      <c r="P410" s="10">
        <f>IF($E410=Keys!$C$60,Keys!$C$51,INDEX(Raw_BFPIaE!$G$9:$G$3032,MATCH($A410&amp;Keys!$C$54&amp;Keys!$C$55&amp;Keys!$C$54&amp;$B410,Raw_BFPIaE!$H$9:$H$3032,0)))</f>
        <v>2768000000000</v>
      </c>
      <c r="Q410" s="10">
        <f>IF($E410=Keys!$C$60,Keys!$C$51,INDEX(Raw_BFPIaE!$G$9:$G$3032,MATCH($A410&amp;Keys!$C$54&amp;Keys!$C$56&amp;Keys!$C$54&amp;$B410,Raw_BFPIaE!$H$9:$H$3032,0)))</f>
        <v>78145000000000</v>
      </c>
      <c r="R410" s="10">
        <f>IF($E410=Keys!$C$60,Keys!$C$51,INDEX(Raw_BFPIaE!$G$9:$G$3032,MATCH($A410&amp;Keys!$C$54&amp;Keys!$C$57&amp;Keys!$C$54&amp;$B410,Raw_BFPIaE!$H$9:$H$3032,0)))</f>
        <v>0</v>
      </c>
      <c r="S410" s="11">
        <f>IF(($P410+$Q410-$R410+MAX(Keys!$C$51,$R410-$Q410))&gt;Keys!$C$51,MIN(Keys!$C$52,MAX(Keys!$C$51,$R410-$Q410)/($P410+$Q410-$R410+MAX(Keys!$C$51,$R410-$Q410))),Keys!$C$51)</f>
        <v>0</v>
      </c>
      <c r="T410">
        <f>IF(AND($I410&gt;$H410,ABS($L410-$G410)&gt;MAX(Keys!$C$62,ABS($G410)*Keys!$C$63)),1,0)</f>
        <v>0</v>
      </c>
      <c r="U410">
        <f>IF(OR($N410&lt;Keys!$C$51,$N410&gt;Keys!$C$52),1,0)</f>
        <v>0</v>
      </c>
      <c r="V410">
        <f>IF(AND($E410=Keys!$C$60,$N410&lt;&gt;Keys!$C$51),1,0)</f>
        <v>0</v>
      </c>
      <c r="W410">
        <f>IF($L410&gt;Keys!$C$51,IF($K410/$L410&gt;Keys!$C$52,1,0),0)</f>
        <v>0</v>
      </c>
      <c r="X410" s="11">
        <f t="shared" si="27"/>
        <v>0</v>
      </c>
    </row>
    <row r="411" spans="1:24" x14ac:dyDescent="0.25">
      <c r="A411" t="s">
        <v>119</v>
      </c>
      <c r="B411" t="s">
        <v>85</v>
      </c>
      <c r="C411" t="str">
        <f>VLOOKUP($B411,Keys!$F$2:$I$22,2,FALSE)</f>
        <v>petroleum gasoline</v>
      </c>
      <c r="D411">
        <f>VLOOKUP($B411,Keys!$F$2:$I$22,3,FALSE)</f>
        <v>7.5004052000000002E-2</v>
      </c>
      <c r="E411" t="str">
        <f>VLOOKUP($B411,Keys!$F$2:$I$22,4,FALSE)</f>
        <v>rule</v>
      </c>
      <c r="F411" t="str">
        <f>$A411&amp;Keys!$C$54&amp;$B411</f>
        <v>MI|petroleum gasoline</v>
      </c>
      <c r="G411" s="10">
        <f>IF($E411=Keys!$C$60,Keys!$C$51,INDEX(Balanced_2025!$D$9:$D$3032,MATCH($A411&amp;Keys!$C$54&amp;Keys!$C$55&amp;Keys!$C$54&amp;$C411,Balanced_2025!$E$9:$E$3032,0)))</f>
        <v>139752000000000</v>
      </c>
      <c r="H411" s="10">
        <f>IF($E411=Keys!$C$60,Keys!$C$51,INDEX(Balanced_2025!$D$9:$D$3032,MATCH($A411&amp;Keys!$C$54&amp;Keys!$C$56&amp;Keys!$C$54&amp;$C411,Balanced_2025!$E$9:$E$3032,0)))</f>
        <v>331525000000000</v>
      </c>
      <c r="I411" s="10">
        <f>IF($E411=Keys!$C$60,Keys!$C$51,INDEX(Balanced_2025!$D$9:$D$3032,MATCH($A411&amp;Keys!$C$54&amp;Keys!$C$57&amp;Keys!$C$54&amp;$C411,Balanced_2025!$E$9:$E$3032,0)))</f>
        <v>0</v>
      </c>
      <c r="J411" s="10">
        <f t="shared" si="24"/>
        <v>471277000000000</v>
      </c>
      <c r="K411" s="10">
        <f>MAX(Keys!$C$51,$I411-$H411)</f>
        <v>0</v>
      </c>
      <c r="L411" s="10">
        <f t="shared" si="25"/>
        <v>471277000000000</v>
      </c>
      <c r="M411" s="11">
        <f>IF($L411&gt;Keys!$C$51,MIN(Keys!$C$52,$K411/$L411),Keys!$C$51)</f>
        <v>0</v>
      </c>
      <c r="N411" s="11">
        <f>IF($E411=Keys!$C$60,Keys!$C$51,IF($E411=Keys!$C$59,$D411,$M411))</f>
        <v>0</v>
      </c>
      <c r="O411">
        <f t="shared" si="26"/>
        <v>1</v>
      </c>
      <c r="P411" s="10">
        <f>IF($E411=Keys!$C$60,Keys!$C$51,INDEX(Raw_BFPIaE!$G$9:$G$3032,MATCH($A411&amp;Keys!$C$54&amp;Keys!$C$55&amp;Keys!$C$54&amp;$B411,Raw_BFPIaE!$H$9:$H$3032,0)))</f>
        <v>138623000000000</v>
      </c>
      <c r="Q411" s="10">
        <f>IF($E411=Keys!$C$60,Keys!$C$51,INDEX(Raw_BFPIaE!$G$9:$G$3032,MATCH($A411&amp;Keys!$C$54&amp;Keys!$C$56&amp;Keys!$C$54&amp;$B411,Raw_BFPIaE!$H$9:$H$3032,0)))</f>
        <v>202484333333333.34</v>
      </c>
      <c r="R411" s="10">
        <f>IF($E411=Keys!$C$60,Keys!$C$51,INDEX(Raw_BFPIaE!$G$9:$G$3032,MATCH($A411&amp;Keys!$C$54&amp;Keys!$C$57&amp;Keys!$C$54&amp;$B411,Raw_BFPIaE!$H$9:$H$3032,0)))</f>
        <v>0</v>
      </c>
      <c r="S411" s="11">
        <f>IF(($P411+$Q411-$R411+MAX(Keys!$C$51,$R411-$Q411))&gt;Keys!$C$51,MIN(Keys!$C$52,MAX(Keys!$C$51,$R411-$Q411)/($P411+$Q411-$R411+MAX(Keys!$C$51,$R411-$Q411))),Keys!$C$51)</f>
        <v>0</v>
      </c>
      <c r="T411">
        <f>IF(AND($I411&gt;$H411,ABS($L411-$G411)&gt;MAX(Keys!$C$62,ABS($G411)*Keys!$C$63)),1,0)</f>
        <v>0</v>
      </c>
      <c r="U411">
        <f>IF(OR($N411&lt;Keys!$C$51,$N411&gt;Keys!$C$52),1,0)</f>
        <v>0</v>
      </c>
      <c r="V411">
        <f>IF(AND($E411=Keys!$C$60,$N411&lt;&gt;Keys!$C$51),1,0)</f>
        <v>0</v>
      </c>
      <c r="W411">
        <f>IF($L411&gt;Keys!$C$51,IF($K411/$L411&gt;Keys!$C$52,1,0),0)</f>
        <v>0</v>
      </c>
      <c r="X411" s="11">
        <f t="shared" si="27"/>
        <v>0</v>
      </c>
    </row>
    <row r="412" spans="1:24" x14ac:dyDescent="0.25">
      <c r="A412" t="s">
        <v>119</v>
      </c>
      <c r="B412" t="s">
        <v>88</v>
      </c>
      <c r="C412" t="str">
        <f>VLOOKUP($B412,Keys!$F$2:$I$22,2,FALSE)</f>
        <v>petroleum diesel</v>
      </c>
      <c r="D412">
        <f>VLOOKUP($B412,Keys!$F$2:$I$22,3,FALSE)</f>
        <v>0.26691051799999999</v>
      </c>
      <c r="E412" t="str">
        <f>VLOOKUP($B412,Keys!$F$2:$I$22,4,FALSE)</f>
        <v>rule</v>
      </c>
      <c r="F412" t="str">
        <f>$A412&amp;Keys!$C$54&amp;$B412</f>
        <v>MI|petroleum diesel</v>
      </c>
      <c r="G412" s="10">
        <f>IF($E412=Keys!$C$60,Keys!$C$51,INDEX(Balanced_2025!$D$9:$D$3032,MATCH($A412&amp;Keys!$C$54&amp;Keys!$C$55&amp;Keys!$C$54&amp;$C412,Balanced_2025!$E$9:$E$3032,0)))</f>
        <v>82665400000000</v>
      </c>
      <c r="H412" s="10">
        <f>IF($E412=Keys!$C$60,Keys!$C$51,INDEX(Balanced_2025!$D$9:$D$3032,MATCH($A412&amp;Keys!$C$54&amp;Keys!$C$56&amp;Keys!$C$54&amp;$C412,Balanced_2025!$E$9:$E$3032,0)))</f>
        <v>111810000000000</v>
      </c>
      <c r="I412" s="10">
        <f>IF($E412=Keys!$C$60,Keys!$C$51,INDEX(Balanced_2025!$D$9:$D$3032,MATCH($A412&amp;Keys!$C$54&amp;Keys!$C$57&amp;Keys!$C$54&amp;$C412,Balanced_2025!$E$9:$E$3032,0)))</f>
        <v>0</v>
      </c>
      <c r="J412" s="10">
        <f t="shared" si="24"/>
        <v>194475400000000</v>
      </c>
      <c r="K412" s="10">
        <f>MAX(Keys!$C$51,$I412-$H412)</f>
        <v>0</v>
      </c>
      <c r="L412" s="10">
        <f t="shared" si="25"/>
        <v>194475400000000</v>
      </c>
      <c r="M412" s="11">
        <f>IF($L412&gt;Keys!$C$51,MIN(Keys!$C$52,$K412/$L412),Keys!$C$51)</f>
        <v>0</v>
      </c>
      <c r="N412" s="11">
        <f>IF($E412=Keys!$C$60,Keys!$C$51,IF($E412=Keys!$C$59,$D412,$M412))</f>
        <v>0</v>
      </c>
      <c r="O412">
        <f t="shared" si="26"/>
        <v>1</v>
      </c>
      <c r="P412" s="10">
        <f>IF($E412=Keys!$C$60,Keys!$C$51,INDEX(Raw_BFPIaE!$G$9:$G$3032,MATCH($A412&amp;Keys!$C$54&amp;Keys!$C$55&amp;Keys!$C$54&amp;$B412,Raw_BFPIaE!$H$9:$H$3032,0)))</f>
        <v>81997533333333.328</v>
      </c>
      <c r="Q412" s="10">
        <f>IF($E412=Keys!$C$60,Keys!$C$51,INDEX(Raw_BFPIaE!$G$9:$G$3032,MATCH($A412&amp;Keys!$C$54&amp;Keys!$C$56&amp;Keys!$C$54&amp;$B412,Raw_BFPIaE!$H$9:$H$3032,0)))</f>
        <v>72861666666666.672</v>
      </c>
      <c r="R412" s="10">
        <f>IF($E412=Keys!$C$60,Keys!$C$51,INDEX(Raw_BFPIaE!$G$9:$G$3032,MATCH($A412&amp;Keys!$C$54&amp;Keys!$C$57&amp;Keys!$C$54&amp;$B412,Raw_BFPIaE!$H$9:$H$3032,0)))</f>
        <v>0</v>
      </c>
      <c r="S412" s="11">
        <f>IF(($P412+$Q412-$R412+MAX(Keys!$C$51,$R412-$Q412))&gt;Keys!$C$51,MIN(Keys!$C$52,MAX(Keys!$C$51,$R412-$Q412)/($P412+$Q412-$R412+MAX(Keys!$C$51,$R412-$Q412))),Keys!$C$51)</f>
        <v>0</v>
      </c>
      <c r="T412">
        <f>IF(AND($I412&gt;$H412,ABS($L412-$G412)&gt;MAX(Keys!$C$62,ABS($G412)*Keys!$C$63)),1,0)</f>
        <v>0</v>
      </c>
      <c r="U412">
        <f>IF(OR($N412&lt;Keys!$C$51,$N412&gt;Keys!$C$52),1,0)</f>
        <v>0</v>
      </c>
      <c r="V412">
        <f>IF(AND($E412=Keys!$C$60,$N412&lt;&gt;Keys!$C$51),1,0)</f>
        <v>0</v>
      </c>
      <c r="W412">
        <f>IF($L412&gt;Keys!$C$51,IF($K412/$L412&gt;Keys!$C$52,1,0),0)</f>
        <v>0</v>
      </c>
      <c r="X412" s="11">
        <f t="shared" si="27"/>
        <v>0</v>
      </c>
    </row>
    <row r="413" spans="1:24" x14ac:dyDescent="0.25">
      <c r="A413" t="s">
        <v>119</v>
      </c>
      <c r="B413" t="s">
        <v>91</v>
      </c>
      <c r="C413" t="str">
        <f>VLOOKUP($B413,Keys!$F$2:$I$22,2,FALSE)</f>
        <v>biofuel gasoline</v>
      </c>
      <c r="D413">
        <f>VLOOKUP($B413,Keys!$F$2:$I$22,3,FALSE)</f>
        <v>8.7213884000000005E-2</v>
      </c>
      <c r="E413" t="str">
        <f>VLOOKUP($B413,Keys!$F$2:$I$22,4,FALSE)</f>
        <v>rule</v>
      </c>
      <c r="F413" t="str">
        <f>$A413&amp;Keys!$C$54&amp;$B413</f>
        <v>MI|biofuel gasoline</v>
      </c>
      <c r="G413" s="10">
        <f>IF($E413=Keys!$C$60,Keys!$C$51,INDEX(Balanced_2025!$D$9:$D$3032,MATCH($A413&amp;Keys!$C$54&amp;Keys!$C$55&amp;Keys!$C$54&amp;$C413,Balanced_2025!$E$9:$E$3032,0)))</f>
        <v>29089600000000</v>
      </c>
      <c r="H413" s="10">
        <f>IF($E413=Keys!$C$60,Keys!$C$51,INDEX(Balanced_2025!$D$9:$D$3032,MATCH($A413&amp;Keys!$C$54&amp;Keys!$C$56&amp;Keys!$C$54&amp;$C413,Balanced_2025!$E$9:$E$3032,0)))</f>
        <v>3035730000000</v>
      </c>
      <c r="I413" s="10">
        <f>IF($E413=Keys!$C$60,Keys!$C$51,INDEX(Balanced_2025!$D$9:$D$3032,MATCH($A413&amp;Keys!$C$54&amp;Keys!$C$57&amp;Keys!$C$54&amp;$C413,Balanced_2025!$E$9:$E$3032,0)))</f>
        <v>0</v>
      </c>
      <c r="J413" s="10">
        <f t="shared" si="24"/>
        <v>32125330000000</v>
      </c>
      <c r="K413" s="10">
        <f>MAX(Keys!$C$51,$I413-$H413)</f>
        <v>0</v>
      </c>
      <c r="L413" s="10">
        <f t="shared" si="25"/>
        <v>32125330000000</v>
      </c>
      <c r="M413" s="11">
        <f>IF($L413&gt;Keys!$C$51,MIN(Keys!$C$52,$K413/$L413),Keys!$C$51)</f>
        <v>0</v>
      </c>
      <c r="N413" s="11">
        <f>IF($E413=Keys!$C$60,Keys!$C$51,IF($E413=Keys!$C$59,$D413,$M413))</f>
        <v>0</v>
      </c>
      <c r="O413">
        <f t="shared" si="26"/>
        <v>1</v>
      </c>
      <c r="P413" s="10">
        <f>IF($E413=Keys!$C$60,Keys!$C$51,INDEX(Raw_BFPIaE!$G$9:$G$3032,MATCH($A413&amp;Keys!$C$54&amp;Keys!$C$55&amp;Keys!$C$54&amp;$B413,Raw_BFPIaE!$H$9:$H$3032,0)))</f>
        <v>29116900000000</v>
      </c>
      <c r="Q413" s="10">
        <f>IF($E413=Keys!$C$60,Keys!$C$51,INDEX(Raw_BFPIaE!$G$9:$G$3032,MATCH($A413&amp;Keys!$C$54&amp;Keys!$C$56&amp;Keys!$C$54&amp;$B413,Raw_BFPIaE!$H$9:$H$3032,0)))</f>
        <v>636194000000</v>
      </c>
      <c r="R413" s="10">
        <f>IF($E413=Keys!$C$60,Keys!$C$51,INDEX(Raw_BFPIaE!$G$9:$G$3032,MATCH($A413&amp;Keys!$C$54&amp;Keys!$C$57&amp;Keys!$C$54&amp;$B413,Raw_BFPIaE!$H$9:$H$3032,0)))</f>
        <v>0</v>
      </c>
      <c r="S413" s="11">
        <f>IF(($P413+$Q413-$R413+MAX(Keys!$C$51,$R413-$Q413))&gt;Keys!$C$51,MIN(Keys!$C$52,MAX(Keys!$C$51,$R413-$Q413)/($P413+$Q413-$R413+MAX(Keys!$C$51,$R413-$Q413))),Keys!$C$51)</f>
        <v>0</v>
      </c>
      <c r="T413">
        <f>IF(AND($I413&gt;$H413,ABS($L413-$G413)&gt;MAX(Keys!$C$62,ABS($G413)*Keys!$C$63)),1,0)</f>
        <v>0</v>
      </c>
      <c r="U413">
        <f>IF(OR($N413&lt;Keys!$C$51,$N413&gt;Keys!$C$52),1,0)</f>
        <v>0</v>
      </c>
      <c r="V413">
        <f>IF(AND($E413=Keys!$C$60,$N413&lt;&gt;Keys!$C$51),1,0)</f>
        <v>0</v>
      </c>
      <c r="W413">
        <f>IF($L413&gt;Keys!$C$51,IF($K413/$L413&gt;Keys!$C$52,1,0),0)</f>
        <v>0</v>
      </c>
      <c r="X413" s="11">
        <f t="shared" si="27"/>
        <v>0</v>
      </c>
    </row>
    <row r="414" spans="1:24" x14ac:dyDescent="0.25">
      <c r="A414" t="s">
        <v>119</v>
      </c>
      <c r="B414" t="s">
        <v>94</v>
      </c>
      <c r="C414" t="str">
        <f>VLOOKUP($B414,Keys!$F$2:$I$22,2,FALSE)</f>
        <v>biofuel diesel</v>
      </c>
      <c r="D414">
        <f>VLOOKUP($B414,Keys!$F$2:$I$22,3,FALSE)</f>
        <v>5.8642381E-2</v>
      </c>
      <c r="E414" t="str">
        <f>VLOOKUP($B414,Keys!$F$2:$I$22,4,FALSE)</f>
        <v>rule</v>
      </c>
      <c r="F414" t="str">
        <f>$A414&amp;Keys!$C$54&amp;$B414</f>
        <v>MI|biofuel diesel</v>
      </c>
      <c r="G414" s="10">
        <f>IF($E414=Keys!$C$60,Keys!$C$51,INDEX(Balanced_2025!$D$9:$D$3032,MATCH($A414&amp;Keys!$C$54&amp;Keys!$C$55&amp;Keys!$C$54&amp;$C414,Balanced_2025!$E$9:$E$3032,0)))</f>
        <v>5221280000000</v>
      </c>
      <c r="H414" s="10">
        <f>IF($E414=Keys!$C$60,Keys!$C$51,INDEX(Balanced_2025!$D$9:$D$3032,MATCH($A414&amp;Keys!$C$54&amp;Keys!$C$56&amp;Keys!$C$54&amp;$C414,Balanced_2025!$E$9:$E$3032,0)))</f>
        <v>92702800000</v>
      </c>
      <c r="I414" s="10">
        <f>IF($E414=Keys!$C$60,Keys!$C$51,INDEX(Balanced_2025!$D$9:$D$3032,MATCH($A414&amp;Keys!$C$54&amp;Keys!$C$57&amp;Keys!$C$54&amp;$C414,Balanced_2025!$E$9:$E$3032,0)))</f>
        <v>2011830000000</v>
      </c>
      <c r="J414" s="10">
        <f t="shared" si="24"/>
        <v>3302152800000</v>
      </c>
      <c r="K414" s="10">
        <f>MAX(Keys!$C$51,$I414-$H414)</f>
        <v>1919127200000</v>
      </c>
      <c r="L414" s="10">
        <f t="shared" si="25"/>
        <v>5221280000000</v>
      </c>
      <c r="M414" s="11">
        <f>IF($L414&gt;Keys!$C$51,MIN(Keys!$C$52,$K414/$L414),Keys!$C$51)</f>
        <v>0.36755875953789108</v>
      </c>
      <c r="N414" s="11">
        <f>IF($E414=Keys!$C$60,Keys!$C$51,IF($E414=Keys!$C$59,$D414,$M414))</f>
        <v>0.36755875953789108</v>
      </c>
      <c r="O414">
        <f t="shared" si="26"/>
        <v>1</v>
      </c>
      <c r="P414" s="10">
        <f>IF($E414=Keys!$C$60,Keys!$C$51,INDEX(Raw_BFPIaE!$G$9:$G$3032,MATCH($A414&amp;Keys!$C$54&amp;Keys!$C$55&amp;Keys!$C$54&amp;$B414,Raw_BFPIaE!$H$9:$H$3032,0)))</f>
        <v>5548243333333.333</v>
      </c>
      <c r="Q414" s="10">
        <f>IF($E414=Keys!$C$60,Keys!$C$51,INDEX(Raw_BFPIaE!$G$9:$G$3032,MATCH($A414&amp;Keys!$C$54&amp;Keys!$C$56&amp;Keys!$C$54&amp;$B414,Raw_BFPIaE!$H$9:$H$3032,0)))</f>
        <v>0</v>
      </c>
      <c r="R414" s="10">
        <f>IF($E414=Keys!$C$60,Keys!$C$51,INDEX(Raw_BFPIaE!$G$9:$G$3032,MATCH($A414&amp;Keys!$C$54&amp;Keys!$C$57&amp;Keys!$C$54&amp;$B414,Raw_BFPIaE!$H$9:$H$3032,0)))</f>
        <v>1651030000000</v>
      </c>
      <c r="S414" s="11">
        <f>IF(($P414+$Q414-$R414+MAX(Keys!$C$51,$R414-$Q414))&gt;Keys!$C$51,MIN(Keys!$C$52,MAX(Keys!$C$51,$R414-$Q414)/($P414+$Q414-$R414+MAX(Keys!$C$51,$R414-$Q414))),Keys!$C$51)</f>
        <v>0.29757707094077224</v>
      </c>
      <c r="T414">
        <f>IF(AND($I414&gt;$H414,ABS($L414-$G414)&gt;MAX(Keys!$C$62,ABS($G414)*Keys!$C$63)),1,0)</f>
        <v>0</v>
      </c>
      <c r="U414">
        <f>IF(OR($N414&lt;Keys!$C$51,$N414&gt;Keys!$C$52),1,0)</f>
        <v>0</v>
      </c>
      <c r="V414">
        <f>IF(AND($E414=Keys!$C$60,$N414&lt;&gt;Keys!$C$51),1,0)</f>
        <v>0</v>
      </c>
      <c r="W414">
        <f>IF($L414&gt;Keys!$C$51,IF($K414/$L414&gt;Keys!$C$52,1,0),0)</f>
        <v>0</v>
      </c>
      <c r="X414" s="11">
        <f t="shared" si="27"/>
        <v>6.9981688597118841E-2</v>
      </c>
    </row>
    <row r="415" spans="1:24" x14ac:dyDescent="0.25">
      <c r="A415" t="s">
        <v>119</v>
      </c>
      <c r="B415" t="s">
        <v>97</v>
      </c>
      <c r="C415" t="str">
        <f>VLOOKUP($B415,Keys!$F$2:$I$22,2,FALSE)</f>
        <v>jet fuel or kerosene</v>
      </c>
      <c r="D415">
        <f>VLOOKUP($B415,Keys!$F$2:$I$22,3,FALSE)</f>
        <v>0.10155994</v>
      </c>
      <c r="E415" t="str">
        <f>VLOOKUP($B415,Keys!$F$2:$I$22,4,FALSE)</f>
        <v>rule</v>
      </c>
      <c r="F415" t="str">
        <f>$A415&amp;Keys!$C$54&amp;$B415</f>
        <v>MI|jet fuel or kerosene</v>
      </c>
      <c r="G415" s="10">
        <f>IF($E415=Keys!$C$60,Keys!$C$51,INDEX(Balanced_2025!$D$9:$D$3032,MATCH($A415&amp;Keys!$C$54&amp;Keys!$C$55&amp;Keys!$C$54&amp;$C415,Balanced_2025!$E$9:$E$3032,0)))</f>
        <v>29427200000000</v>
      </c>
      <c r="H415" s="10">
        <f>IF($E415=Keys!$C$60,Keys!$C$51,INDEX(Balanced_2025!$D$9:$D$3032,MATCH($A415&amp;Keys!$C$54&amp;Keys!$C$56&amp;Keys!$C$54&amp;$C415,Balanced_2025!$E$9:$E$3032,0)))</f>
        <v>20979300000000</v>
      </c>
      <c r="I415" s="10">
        <f>IF($E415=Keys!$C$60,Keys!$C$51,INDEX(Balanced_2025!$D$9:$D$3032,MATCH($A415&amp;Keys!$C$54&amp;Keys!$C$57&amp;Keys!$C$54&amp;$C415,Balanced_2025!$E$9:$E$3032,0)))</f>
        <v>0</v>
      </c>
      <c r="J415" s="10">
        <f t="shared" si="24"/>
        <v>50406500000000</v>
      </c>
      <c r="K415" s="10">
        <f>MAX(Keys!$C$51,$I415-$H415)</f>
        <v>0</v>
      </c>
      <c r="L415" s="10">
        <f t="shared" si="25"/>
        <v>50406500000000</v>
      </c>
      <c r="M415" s="11">
        <f>IF($L415&gt;Keys!$C$51,MIN(Keys!$C$52,$K415/$L415),Keys!$C$51)</f>
        <v>0</v>
      </c>
      <c r="N415" s="11">
        <f>IF($E415=Keys!$C$60,Keys!$C$51,IF($E415=Keys!$C$59,$D415,$M415))</f>
        <v>0</v>
      </c>
      <c r="O415">
        <f t="shared" si="26"/>
        <v>1</v>
      </c>
      <c r="P415" s="10">
        <f>IF($E415=Keys!$C$60,Keys!$C$51,INDEX(Raw_BFPIaE!$G$9:$G$3032,MATCH($A415&amp;Keys!$C$54&amp;Keys!$C$55&amp;Keys!$C$54&amp;$B415,Raw_BFPIaE!$H$9:$H$3032,0)))</f>
        <v>29189466666666.668</v>
      </c>
      <c r="Q415" s="10">
        <f>IF($E415=Keys!$C$60,Keys!$C$51,INDEX(Raw_BFPIaE!$G$9:$G$3032,MATCH($A415&amp;Keys!$C$54&amp;Keys!$C$56&amp;Keys!$C$54&amp;$B415,Raw_BFPIaE!$H$9:$H$3032,0)))</f>
        <v>14677400000000</v>
      </c>
      <c r="R415" s="10">
        <f>IF($E415=Keys!$C$60,Keys!$C$51,INDEX(Raw_BFPIaE!$G$9:$G$3032,MATCH($A415&amp;Keys!$C$54&amp;Keys!$C$57&amp;Keys!$C$54&amp;$B415,Raw_BFPIaE!$H$9:$H$3032,0)))</f>
        <v>0</v>
      </c>
      <c r="S415" s="11">
        <f>IF(($P415+$Q415-$R415+MAX(Keys!$C$51,$R415-$Q415))&gt;Keys!$C$51,MIN(Keys!$C$52,MAX(Keys!$C$51,$R415-$Q415)/($P415+$Q415-$R415+MAX(Keys!$C$51,$R415-$Q415))),Keys!$C$51)</f>
        <v>0</v>
      </c>
      <c r="T415">
        <f>IF(AND($I415&gt;$H415,ABS($L415-$G415)&gt;MAX(Keys!$C$62,ABS($G415)*Keys!$C$63)),1,0)</f>
        <v>0</v>
      </c>
      <c r="U415">
        <f>IF(OR($N415&lt;Keys!$C$51,$N415&gt;Keys!$C$52),1,0)</f>
        <v>0</v>
      </c>
      <c r="V415">
        <f>IF(AND($E415=Keys!$C$60,$N415&lt;&gt;Keys!$C$51),1,0)</f>
        <v>0</v>
      </c>
      <c r="W415">
        <f>IF($L415&gt;Keys!$C$51,IF($K415/$L415&gt;Keys!$C$52,1,0),0)</f>
        <v>0</v>
      </c>
      <c r="X415" s="11">
        <f t="shared" si="27"/>
        <v>0</v>
      </c>
    </row>
    <row r="416" spans="1:24" x14ac:dyDescent="0.25">
      <c r="A416" t="s">
        <v>119</v>
      </c>
      <c r="B416" t="s">
        <v>100</v>
      </c>
      <c r="C416">
        <f>VLOOKUP($B416,Keys!$F$2:$I$22,2,FALSE)</f>
        <v>0</v>
      </c>
      <c r="D416">
        <f>VLOOKUP($B416,Keys!$F$2:$I$22,3,FALSE)</f>
        <v>0</v>
      </c>
      <c r="E416" t="str">
        <f>VLOOKUP($B416,Keys!$F$2:$I$22,4,FALSE)</f>
        <v>zero</v>
      </c>
      <c r="F416" t="str">
        <f>$A416&amp;Keys!$C$54&amp;$B416</f>
        <v>MI|heat (not used in this variable)</v>
      </c>
      <c r="G416" s="10">
        <f>IF($E416=Keys!$C$60,Keys!$C$51,INDEX(Balanced_2025!$D$9:$D$3032,MATCH($A416&amp;Keys!$C$54&amp;Keys!$C$55&amp;Keys!$C$54&amp;$C416,Balanced_2025!$E$9:$E$3032,0)))</f>
        <v>0</v>
      </c>
      <c r="H416" s="10">
        <f>IF($E416=Keys!$C$60,Keys!$C$51,INDEX(Balanced_2025!$D$9:$D$3032,MATCH($A416&amp;Keys!$C$54&amp;Keys!$C$56&amp;Keys!$C$54&amp;$C416,Balanced_2025!$E$9:$E$3032,0)))</f>
        <v>0</v>
      </c>
      <c r="I416" s="10">
        <f>IF($E416=Keys!$C$60,Keys!$C$51,INDEX(Balanced_2025!$D$9:$D$3032,MATCH($A416&amp;Keys!$C$54&amp;Keys!$C$57&amp;Keys!$C$54&amp;$C416,Balanced_2025!$E$9:$E$3032,0)))</f>
        <v>0</v>
      </c>
      <c r="J416" s="10">
        <f t="shared" si="24"/>
        <v>0</v>
      </c>
      <c r="K416" s="10">
        <f>MAX(Keys!$C$51,$I416-$H416)</f>
        <v>0</v>
      </c>
      <c r="L416" s="10">
        <f t="shared" si="25"/>
        <v>0</v>
      </c>
      <c r="M416" s="11">
        <f>IF($L416&gt;Keys!$C$51,MIN(Keys!$C$52,$K416/$L416),Keys!$C$51)</f>
        <v>0</v>
      </c>
      <c r="N416" s="11">
        <f>IF($E416=Keys!$C$60,Keys!$C$51,IF($E416=Keys!$C$59,$D416,$M416))</f>
        <v>0</v>
      </c>
      <c r="O416">
        <f t="shared" si="26"/>
        <v>0</v>
      </c>
      <c r="P416" s="10">
        <f>IF($E416=Keys!$C$60,Keys!$C$51,INDEX(Raw_BFPIaE!$G$9:$G$3032,MATCH($A416&amp;Keys!$C$54&amp;Keys!$C$55&amp;Keys!$C$54&amp;$B416,Raw_BFPIaE!$H$9:$H$3032,0)))</f>
        <v>0</v>
      </c>
      <c r="Q416" s="10">
        <f>IF($E416=Keys!$C$60,Keys!$C$51,INDEX(Raw_BFPIaE!$G$9:$G$3032,MATCH($A416&amp;Keys!$C$54&amp;Keys!$C$56&amp;Keys!$C$54&amp;$B416,Raw_BFPIaE!$H$9:$H$3032,0)))</f>
        <v>0</v>
      </c>
      <c r="R416" s="10">
        <f>IF($E416=Keys!$C$60,Keys!$C$51,INDEX(Raw_BFPIaE!$G$9:$G$3032,MATCH($A416&amp;Keys!$C$54&amp;Keys!$C$57&amp;Keys!$C$54&amp;$B416,Raw_BFPIaE!$H$9:$H$3032,0)))</f>
        <v>0</v>
      </c>
      <c r="S416" s="11">
        <f>IF(($P416+$Q416-$R416+MAX(Keys!$C$51,$R416-$Q416))&gt;Keys!$C$51,MIN(Keys!$C$52,MAX(Keys!$C$51,$R416-$Q416)/($P416+$Q416-$R416+MAX(Keys!$C$51,$R416-$Q416))),Keys!$C$51)</f>
        <v>0</v>
      </c>
      <c r="T416">
        <f>IF(AND($I416&gt;$H416,ABS($L416-$G416)&gt;MAX(Keys!$C$62,ABS($G416)*Keys!$C$63)),1,0)</f>
        <v>0</v>
      </c>
      <c r="U416">
        <f>IF(OR($N416&lt;Keys!$C$51,$N416&gt;Keys!$C$52),1,0)</f>
        <v>0</v>
      </c>
      <c r="V416">
        <f>IF(AND($E416=Keys!$C$60,$N416&lt;&gt;Keys!$C$51),1,0)</f>
        <v>0</v>
      </c>
      <c r="W416">
        <f>IF($L416&gt;Keys!$C$51,IF($K416/$L416&gt;Keys!$C$52,1,0),0)</f>
        <v>0</v>
      </c>
      <c r="X416" s="11">
        <f t="shared" si="27"/>
        <v>0</v>
      </c>
    </row>
    <row r="417" spans="1:24" x14ac:dyDescent="0.25">
      <c r="A417" t="s">
        <v>119</v>
      </c>
      <c r="B417" t="s">
        <v>103</v>
      </c>
      <c r="C417">
        <f>VLOOKUP($B417,Keys!$F$2:$I$22,2,FALSE)</f>
        <v>0</v>
      </c>
      <c r="D417">
        <f>VLOOKUP($B417,Keys!$F$2:$I$22,3,FALSE)</f>
        <v>0</v>
      </c>
      <c r="E417" t="str">
        <f>VLOOKUP($B417,Keys!$F$2:$I$22,4,FALSE)</f>
        <v>zero</v>
      </c>
      <c r="F417" t="str">
        <f>$A417&amp;Keys!$C$54&amp;$B417</f>
        <v>MI|geothermal (is not a fuel)</v>
      </c>
      <c r="G417" s="10">
        <f>IF($E417=Keys!$C$60,Keys!$C$51,INDEX(Balanced_2025!$D$9:$D$3032,MATCH($A417&amp;Keys!$C$54&amp;Keys!$C$55&amp;Keys!$C$54&amp;$C417,Balanced_2025!$E$9:$E$3032,0)))</f>
        <v>0</v>
      </c>
      <c r="H417" s="10">
        <f>IF($E417=Keys!$C$60,Keys!$C$51,INDEX(Balanced_2025!$D$9:$D$3032,MATCH($A417&amp;Keys!$C$54&amp;Keys!$C$56&amp;Keys!$C$54&amp;$C417,Balanced_2025!$E$9:$E$3032,0)))</f>
        <v>0</v>
      </c>
      <c r="I417" s="10">
        <f>IF($E417=Keys!$C$60,Keys!$C$51,INDEX(Balanced_2025!$D$9:$D$3032,MATCH($A417&amp;Keys!$C$54&amp;Keys!$C$57&amp;Keys!$C$54&amp;$C417,Balanced_2025!$E$9:$E$3032,0)))</f>
        <v>0</v>
      </c>
      <c r="J417" s="10">
        <f t="shared" si="24"/>
        <v>0</v>
      </c>
      <c r="K417" s="10">
        <f>MAX(Keys!$C$51,$I417-$H417)</f>
        <v>0</v>
      </c>
      <c r="L417" s="10">
        <f t="shared" si="25"/>
        <v>0</v>
      </c>
      <c r="M417" s="11">
        <f>IF($L417&gt;Keys!$C$51,MIN(Keys!$C$52,$K417/$L417),Keys!$C$51)</f>
        <v>0</v>
      </c>
      <c r="N417" s="11">
        <f>IF($E417=Keys!$C$60,Keys!$C$51,IF($E417=Keys!$C$59,$D417,$M417))</f>
        <v>0</v>
      </c>
      <c r="O417">
        <f t="shared" si="26"/>
        <v>0</v>
      </c>
      <c r="P417" s="10">
        <f>IF($E417=Keys!$C$60,Keys!$C$51,INDEX(Raw_BFPIaE!$G$9:$G$3032,MATCH($A417&amp;Keys!$C$54&amp;Keys!$C$55&amp;Keys!$C$54&amp;$B417,Raw_BFPIaE!$H$9:$H$3032,0)))</f>
        <v>0</v>
      </c>
      <c r="Q417" s="10">
        <f>IF($E417=Keys!$C$60,Keys!$C$51,INDEX(Raw_BFPIaE!$G$9:$G$3032,MATCH($A417&amp;Keys!$C$54&amp;Keys!$C$56&amp;Keys!$C$54&amp;$B417,Raw_BFPIaE!$H$9:$H$3032,0)))</f>
        <v>0</v>
      </c>
      <c r="R417" s="10">
        <f>IF($E417=Keys!$C$60,Keys!$C$51,INDEX(Raw_BFPIaE!$G$9:$G$3032,MATCH($A417&amp;Keys!$C$54&amp;Keys!$C$57&amp;Keys!$C$54&amp;$B417,Raw_BFPIaE!$H$9:$H$3032,0)))</f>
        <v>0</v>
      </c>
      <c r="S417" s="11">
        <f>IF(($P417+$Q417-$R417+MAX(Keys!$C$51,$R417-$Q417))&gt;Keys!$C$51,MIN(Keys!$C$52,MAX(Keys!$C$51,$R417-$Q417)/($P417+$Q417-$R417+MAX(Keys!$C$51,$R417-$Q417))),Keys!$C$51)</f>
        <v>0</v>
      </c>
      <c r="T417">
        <f>IF(AND($I417&gt;$H417,ABS($L417-$G417)&gt;MAX(Keys!$C$62,ABS($G417)*Keys!$C$63)),1,0)</f>
        <v>0</v>
      </c>
      <c r="U417">
        <f>IF(OR($N417&lt;Keys!$C$51,$N417&gt;Keys!$C$52),1,0)</f>
        <v>0</v>
      </c>
      <c r="V417">
        <f>IF(AND($E417=Keys!$C$60,$N417&lt;&gt;Keys!$C$51),1,0)</f>
        <v>0</v>
      </c>
      <c r="W417">
        <f>IF($L417&gt;Keys!$C$51,IF($K417/$L417&gt;Keys!$C$52,1,0),0)</f>
        <v>0</v>
      </c>
      <c r="X417" s="11">
        <f t="shared" si="27"/>
        <v>0</v>
      </c>
    </row>
    <row r="418" spans="1:24" x14ac:dyDescent="0.25">
      <c r="A418" t="s">
        <v>119</v>
      </c>
      <c r="B418" t="s">
        <v>106</v>
      </c>
      <c r="C418" t="str">
        <f>VLOOKUP($B418,Keys!$F$2:$I$22,2,FALSE)</f>
        <v>lignite</v>
      </c>
      <c r="D418">
        <f>VLOOKUP($B418,Keys!$F$2:$I$22,3,FALSE)</f>
        <v>0</v>
      </c>
      <c r="E418" t="str">
        <f>VLOOKUP($B418,Keys!$F$2:$I$22,4,FALSE)</f>
        <v>rule</v>
      </c>
      <c r="F418" t="str">
        <f>$A418&amp;Keys!$C$54&amp;$B418</f>
        <v>MI|lignite</v>
      </c>
      <c r="G418" s="10">
        <f>IF($E418=Keys!$C$60,Keys!$C$51,INDEX(Balanced_2025!$D$9:$D$3032,MATCH($A418&amp;Keys!$C$54&amp;Keys!$C$55&amp;Keys!$C$54&amp;$C418,Balanced_2025!$E$9:$E$3032,0)))</f>
        <v>0</v>
      </c>
      <c r="H418" s="10">
        <f>IF($E418=Keys!$C$60,Keys!$C$51,INDEX(Balanced_2025!$D$9:$D$3032,MATCH($A418&amp;Keys!$C$54&amp;Keys!$C$56&amp;Keys!$C$54&amp;$C418,Balanced_2025!$E$9:$E$3032,0)))</f>
        <v>0</v>
      </c>
      <c r="I418" s="10">
        <f>IF($E418=Keys!$C$60,Keys!$C$51,INDEX(Balanced_2025!$D$9:$D$3032,MATCH($A418&amp;Keys!$C$54&amp;Keys!$C$57&amp;Keys!$C$54&amp;$C418,Balanced_2025!$E$9:$E$3032,0)))</f>
        <v>0</v>
      </c>
      <c r="J418" s="10">
        <f t="shared" si="24"/>
        <v>0</v>
      </c>
      <c r="K418" s="10">
        <f>MAX(Keys!$C$51,$I418-$H418)</f>
        <v>0</v>
      </c>
      <c r="L418" s="10">
        <f t="shared" si="25"/>
        <v>0</v>
      </c>
      <c r="M418" s="11">
        <f>IF($L418&gt;Keys!$C$51,MIN(Keys!$C$52,$K418/$L418),Keys!$C$51)</f>
        <v>0</v>
      </c>
      <c r="N418" s="11">
        <f>IF($E418=Keys!$C$60,Keys!$C$51,IF($E418=Keys!$C$59,$D418,$M418))</f>
        <v>0</v>
      </c>
      <c r="O418">
        <f t="shared" si="26"/>
        <v>0</v>
      </c>
      <c r="P418" s="10">
        <f>IF($E418=Keys!$C$60,Keys!$C$51,INDEX(Raw_BFPIaE!$G$9:$G$3032,MATCH($A418&amp;Keys!$C$54&amp;Keys!$C$55&amp;Keys!$C$54&amp;$B418,Raw_BFPIaE!$H$9:$H$3032,0)))</f>
        <v>0</v>
      </c>
      <c r="Q418" s="10">
        <f>IF($E418=Keys!$C$60,Keys!$C$51,INDEX(Raw_BFPIaE!$G$9:$G$3032,MATCH($A418&amp;Keys!$C$54&amp;Keys!$C$56&amp;Keys!$C$54&amp;$B418,Raw_BFPIaE!$H$9:$H$3032,0)))</f>
        <v>0</v>
      </c>
      <c r="R418" s="10">
        <f>IF($E418=Keys!$C$60,Keys!$C$51,INDEX(Raw_BFPIaE!$G$9:$G$3032,MATCH($A418&amp;Keys!$C$54&amp;Keys!$C$57&amp;Keys!$C$54&amp;$B418,Raw_BFPIaE!$H$9:$H$3032,0)))</f>
        <v>0</v>
      </c>
      <c r="S418" s="11">
        <f>IF(($P418+$Q418-$R418+MAX(Keys!$C$51,$R418-$Q418))&gt;Keys!$C$51,MIN(Keys!$C$52,MAX(Keys!$C$51,$R418-$Q418)/($P418+$Q418-$R418+MAX(Keys!$C$51,$R418-$Q418))),Keys!$C$51)</f>
        <v>0</v>
      </c>
      <c r="T418">
        <f>IF(AND($I418&gt;$H418,ABS($L418-$G418)&gt;MAX(Keys!$C$62,ABS($G418)*Keys!$C$63)),1,0)</f>
        <v>0</v>
      </c>
      <c r="U418">
        <f>IF(OR($N418&lt;Keys!$C$51,$N418&gt;Keys!$C$52),1,0)</f>
        <v>0</v>
      </c>
      <c r="V418">
        <f>IF(AND($E418=Keys!$C$60,$N418&lt;&gt;Keys!$C$51),1,0)</f>
        <v>0</v>
      </c>
      <c r="W418">
        <f>IF($L418&gt;Keys!$C$51,IF($K418/$L418&gt;Keys!$C$52,1,0),0)</f>
        <v>0</v>
      </c>
      <c r="X418" s="11">
        <f t="shared" si="27"/>
        <v>0</v>
      </c>
    </row>
    <row r="419" spans="1:24" x14ac:dyDescent="0.25">
      <c r="A419" t="s">
        <v>119</v>
      </c>
      <c r="B419" t="s">
        <v>109</v>
      </c>
      <c r="C419" t="str">
        <f>VLOOKUP($B419,Keys!$F$2:$I$22,2,FALSE)</f>
        <v>crude oil</v>
      </c>
      <c r="D419">
        <f>VLOOKUP($B419,Keys!$F$2:$I$22,3,FALSE)</f>
        <v>1</v>
      </c>
      <c r="E419" t="str">
        <f>VLOOKUP($B419,Keys!$F$2:$I$22,4,FALSE)</f>
        <v>hold</v>
      </c>
      <c r="F419" t="str">
        <f>$A419&amp;Keys!$C$54&amp;$B419</f>
        <v>MI|crude oil</v>
      </c>
      <c r="G419" s="10">
        <f>IF($E419=Keys!$C$60,Keys!$C$51,INDEX(Balanced_2025!$D$9:$D$3032,MATCH($A419&amp;Keys!$C$54&amp;Keys!$C$55&amp;Keys!$C$54&amp;$C419,Balanced_2025!$E$9:$E$3032,0)))</f>
        <v>26366800000000</v>
      </c>
      <c r="H419" s="10">
        <f>IF($E419=Keys!$C$60,Keys!$C$51,INDEX(Balanced_2025!$D$9:$D$3032,MATCH($A419&amp;Keys!$C$54&amp;Keys!$C$56&amp;Keys!$C$54&amp;$C419,Balanced_2025!$E$9:$E$3032,0)))</f>
        <v>271518000000000</v>
      </c>
      <c r="I419" s="10">
        <f>IF($E419=Keys!$C$60,Keys!$C$51,INDEX(Balanced_2025!$D$9:$D$3032,MATCH($A419&amp;Keys!$C$54&amp;Keys!$C$57&amp;Keys!$C$54&amp;$C419,Balanced_2025!$E$9:$E$3032,0)))</f>
        <v>0</v>
      </c>
      <c r="J419" s="10">
        <f t="shared" si="24"/>
        <v>297884800000000</v>
      </c>
      <c r="K419" s="10">
        <f>MAX(Keys!$C$51,$I419-$H419)</f>
        <v>0</v>
      </c>
      <c r="L419" s="10">
        <f t="shared" si="25"/>
        <v>297884800000000</v>
      </c>
      <c r="M419" s="11">
        <f>IF($L419&gt;Keys!$C$51,MIN(Keys!$C$52,$K419/$L419),Keys!$C$51)</f>
        <v>0</v>
      </c>
      <c r="N419" s="11">
        <f>IF($E419=Keys!$C$60,Keys!$C$51,IF($E419=Keys!$C$59,$D419,$M419))</f>
        <v>1</v>
      </c>
      <c r="O419">
        <f t="shared" si="26"/>
        <v>0</v>
      </c>
      <c r="P419" s="10">
        <f>IF($E419=Keys!$C$60,Keys!$C$51,INDEX(Raw_BFPIaE!$G$9:$G$3032,MATCH($A419&amp;Keys!$C$54&amp;Keys!$C$55&amp;Keys!$C$54&amp;$B419,Raw_BFPIaE!$H$9:$H$3032,0)))</f>
        <v>25564433333333.332</v>
      </c>
      <c r="Q419" s="10">
        <f>IF($E419=Keys!$C$60,Keys!$C$51,INDEX(Raw_BFPIaE!$G$9:$G$3032,MATCH($A419&amp;Keys!$C$54&amp;Keys!$C$56&amp;Keys!$C$54&amp;$B419,Raw_BFPIaE!$H$9:$H$3032,0)))</f>
        <v>181814333333333.34</v>
      </c>
      <c r="R419" s="10">
        <f>IF($E419=Keys!$C$60,Keys!$C$51,INDEX(Raw_BFPIaE!$G$9:$G$3032,MATCH($A419&amp;Keys!$C$54&amp;Keys!$C$57&amp;Keys!$C$54&amp;$B419,Raw_BFPIaE!$H$9:$H$3032,0)))</f>
        <v>0</v>
      </c>
      <c r="S419" s="11">
        <f>IF(($P419+$Q419-$R419+MAX(Keys!$C$51,$R419-$Q419))&gt;Keys!$C$51,MIN(Keys!$C$52,MAX(Keys!$C$51,$R419-$Q419)/($P419+$Q419-$R419+MAX(Keys!$C$51,$R419-$Q419))),Keys!$C$51)</f>
        <v>0</v>
      </c>
      <c r="T419">
        <f>IF(AND($I419&gt;$H419,ABS($L419-$G419)&gt;MAX(Keys!$C$62,ABS($G419)*Keys!$C$63)),1,0)</f>
        <v>0</v>
      </c>
      <c r="U419">
        <f>IF(OR($N419&lt;Keys!$C$51,$N419&gt;Keys!$C$52),1,0)</f>
        <v>0</v>
      </c>
      <c r="V419">
        <f>IF(AND($E419=Keys!$C$60,$N419&lt;&gt;Keys!$C$51),1,0)</f>
        <v>0</v>
      </c>
      <c r="W419">
        <f>IF($L419&gt;Keys!$C$51,IF($K419/$L419&gt;Keys!$C$52,1,0),0)</f>
        <v>0</v>
      </c>
      <c r="X419" s="11">
        <f t="shared" si="27"/>
        <v>0</v>
      </c>
    </row>
    <row r="420" spans="1:24" x14ac:dyDescent="0.25">
      <c r="A420" t="s">
        <v>119</v>
      </c>
      <c r="B420" t="s">
        <v>113</v>
      </c>
      <c r="C420" t="str">
        <f>VLOOKUP($B420,Keys!$F$2:$I$22,2,FALSE)</f>
        <v>heavy or residual fuel oil</v>
      </c>
      <c r="D420">
        <f>VLOOKUP($B420,Keys!$F$2:$I$22,3,FALSE)</f>
        <v>0.49914171099999999</v>
      </c>
      <c r="E420" t="str">
        <f>VLOOKUP($B420,Keys!$F$2:$I$22,4,FALSE)</f>
        <v>rule</v>
      </c>
      <c r="F420" t="str">
        <f>$A420&amp;Keys!$C$54&amp;$B420</f>
        <v>MI|heavy fuel oil</v>
      </c>
      <c r="G420" s="10">
        <f>IF($E420=Keys!$C$60,Keys!$C$51,INDEX(Balanced_2025!$D$9:$D$3032,MATCH($A420&amp;Keys!$C$54&amp;Keys!$C$55&amp;Keys!$C$54&amp;$C420,Balanced_2025!$E$9:$E$3032,0)))</f>
        <v>5716340000000</v>
      </c>
      <c r="H420" s="10">
        <f>IF($E420=Keys!$C$60,Keys!$C$51,INDEX(Balanced_2025!$D$9:$D$3032,MATCH($A420&amp;Keys!$C$54&amp;Keys!$C$56&amp;Keys!$C$54&amp;$C420,Balanced_2025!$E$9:$E$3032,0)))</f>
        <v>24481100000000</v>
      </c>
      <c r="I420" s="10">
        <f>IF($E420=Keys!$C$60,Keys!$C$51,INDEX(Balanced_2025!$D$9:$D$3032,MATCH($A420&amp;Keys!$C$54&amp;Keys!$C$57&amp;Keys!$C$54&amp;$C420,Balanced_2025!$E$9:$E$3032,0)))</f>
        <v>0</v>
      </c>
      <c r="J420" s="10">
        <f t="shared" si="24"/>
        <v>30197440000000</v>
      </c>
      <c r="K420" s="10">
        <f>MAX(Keys!$C$51,$I420-$H420)</f>
        <v>0</v>
      </c>
      <c r="L420" s="10">
        <f t="shared" si="25"/>
        <v>30197440000000</v>
      </c>
      <c r="M420" s="11">
        <f>IF($L420&gt;Keys!$C$51,MIN(Keys!$C$52,$K420/$L420),Keys!$C$51)</f>
        <v>0</v>
      </c>
      <c r="N420" s="11">
        <f>IF($E420=Keys!$C$60,Keys!$C$51,IF($E420=Keys!$C$59,$D420,$M420))</f>
        <v>0</v>
      </c>
      <c r="O420">
        <f t="shared" si="26"/>
        <v>1</v>
      </c>
      <c r="P420" s="10">
        <f>IF($E420=Keys!$C$60,Keys!$C$51,INDEX(Raw_BFPIaE!$G$9:$G$3032,MATCH($A420&amp;Keys!$C$54&amp;Keys!$C$55&amp;Keys!$C$54&amp;$B420,Raw_BFPIaE!$H$9:$H$3032,0)))</f>
        <v>5670153333333.333</v>
      </c>
      <c r="Q420" s="10">
        <f>IF($E420=Keys!$C$60,Keys!$C$51,INDEX(Raw_BFPIaE!$G$9:$G$3032,MATCH($A420&amp;Keys!$C$54&amp;Keys!$C$56&amp;Keys!$C$54&amp;$B420,Raw_BFPIaE!$H$9:$H$3032,0)))</f>
        <v>13800966666666.666</v>
      </c>
      <c r="R420" s="10">
        <f>IF($E420=Keys!$C$60,Keys!$C$51,INDEX(Raw_BFPIaE!$G$9:$G$3032,MATCH($A420&amp;Keys!$C$54&amp;Keys!$C$57&amp;Keys!$C$54&amp;$B420,Raw_BFPIaE!$H$9:$H$3032,0)))</f>
        <v>0</v>
      </c>
      <c r="S420" s="11">
        <f>IF(($P420+$Q420-$R420+MAX(Keys!$C$51,$R420-$Q420))&gt;Keys!$C$51,MIN(Keys!$C$52,MAX(Keys!$C$51,$R420-$Q420)/($P420+$Q420-$R420+MAX(Keys!$C$51,$R420-$Q420))),Keys!$C$51)</f>
        <v>0</v>
      </c>
      <c r="T420">
        <f>IF(AND($I420&gt;$H420,ABS($L420-$G420)&gt;MAX(Keys!$C$62,ABS($G420)*Keys!$C$63)),1,0)</f>
        <v>0</v>
      </c>
      <c r="U420">
        <f>IF(OR($N420&lt;Keys!$C$51,$N420&gt;Keys!$C$52),1,0)</f>
        <v>0</v>
      </c>
      <c r="V420">
        <f>IF(AND($E420=Keys!$C$60,$N420&lt;&gt;Keys!$C$51),1,0)</f>
        <v>0</v>
      </c>
      <c r="W420">
        <f>IF($L420&gt;Keys!$C$51,IF($K420/$L420&gt;Keys!$C$52,1,0),0)</f>
        <v>0</v>
      </c>
      <c r="X420" s="11">
        <f t="shared" si="27"/>
        <v>0</v>
      </c>
    </row>
    <row r="421" spans="1:24" x14ac:dyDescent="0.25">
      <c r="A421" t="s">
        <v>119</v>
      </c>
      <c r="B421" t="s">
        <v>117</v>
      </c>
      <c r="C421" t="str">
        <f>VLOOKUP($B421,Keys!$F$2:$I$22,2,FALSE)</f>
        <v>LPG propane or butane</v>
      </c>
      <c r="D421">
        <f>VLOOKUP($B421,Keys!$F$2:$I$22,3,FALSE)</f>
        <v>0.54955999499999997</v>
      </c>
      <c r="E421" t="str">
        <f>VLOOKUP($B421,Keys!$F$2:$I$22,4,FALSE)</f>
        <v>rule</v>
      </c>
      <c r="F421" t="str">
        <f>$A421&amp;Keys!$C$54&amp;$B421</f>
        <v>MI|LPG propane or butane</v>
      </c>
      <c r="G421" s="10">
        <f>IF($E421=Keys!$C$60,Keys!$C$51,INDEX(Balanced_2025!$D$9:$D$3032,MATCH($A421&amp;Keys!$C$54&amp;Keys!$C$55&amp;Keys!$C$54&amp;$C421,Balanced_2025!$E$9:$E$3032,0)))</f>
        <v>8046640000000</v>
      </c>
      <c r="H421" s="10">
        <f>IF($E421=Keys!$C$60,Keys!$C$51,INDEX(Balanced_2025!$D$9:$D$3032,MATCH($A421&amp;Keys!$C$54&amp;Keys!$C$56&amp;Keys!$C$54&amp;$C421,Balanced_2025!$E$9:$E$3032,0)))</f>
        <v>35630500000000</v>
      </c>
      <c r="I421" s="10">
        <f>IF($E421=Keys!$C$60,Keys!$C$51,INDEX(Balanced_2025!$D$9:$D$3032,MATCH($A421&amp;Keys!$C$54&amp;Keys!$C$57&amp;Keys!$C$54&amp;$C421,Balanced_2025!$E$9:$E$3032,0)))</f>
        <v>0</v>
      </c>
      <c r="J421" s="10">
        <f t="shared" si="24"/>
        <v>43677140000000</v>
      </c>
      <c r="K421" s="10">
        <f>MAX(Keys!$C$51,$I421-$H421)</f>
        <v>0</v>
      </c>
      <c r="L421" s="10">
        <f t="shared" si="25"/>
        <v>43677140000000</v>
      </c>
      <c r="M421" s="11">
        <f>IF($L421&gt;Keys!$C$51,MIN(Keys!$C$52,$K421/$L421),Keys!$C$51)</f>
        <v>0</v>
      </c>
      <c r="N421" s="11">
        <f>IF($E421=Keys!$C$60,Keys!$C$51,IF($E421=Keys!$C$59,$D421,$M421))</f>
        <v>0</v>
      </c>
      <c r="O421">
        <f t="shared" si="26"/>
        <v>1</v>
      </c>
      <c r="P421" s="10">
        <f>IF($E421=Keys!$C$60,Keys!$C$51,INDEX(Raw_BFPIaE!$G$9:$G$3032,MATCH($A421&amp;Keys!$C$54&amp;Keys!$C$55&amp;Keys!$C$54&amp;$B421,Raw_BFPIaE!$H$9:$H$3032,0)))</f>
        <v>8103593333333.333</v>
      </c>
      <c r="Q421" s="10">
        <f>IF($E421=Keys!$C$60,Keys!$C$51,INDEX(Raw_BFPIaE!$G$9:$G$3032,MATCH($A421&amp;Keys!$C$54&amp;Keys!$C$56&amp;Keys!$C$54&amp;$B421,Raw_BFPIaE!$H$9:$H$3032,0)))</f>
        <v>23663000000000</v>
      </c>
      <c r="R421" s="10">
        <f>IF($E421=Keys!$C$60,Keys!$C$51,INDEX(Raw_BFPIaE!$G$9:$G$3032,MATCH($A421&amp;Keys!$C$54&amp;Keys!$C$57&amp;Keys!$C$54&amp;$B421,Raw_BFPIaE!$H$9:$H$3032,0)))</f>
        <v>0</v>
      </c>
      <c r="S421" s="11">
        <f>IF(($P421+$Q421-$R421+MAX(Keys!$C$51,$R421-$Q421))&gt;Keys!$C$51,MIN(Keys!$C$52,MAX(Keys!$C$51,$R421-$Q421)/($P421+$Q421-$R421+MAX(Keys!$C$51,$R421-$Q421))),Keys!$C$51)</f>
        <v>0</v>
      </c>
      <c r="T421">
        <f>IF(AND($I421&gt;$H421,ABS($L421-$G421)&gt;MAX(Keys!$C$62,ABS($G421)*Keys!$C$63)),1,0)</f>
        <v>0</v>
      </c>
      <c r="U421">
        <f>IF(OR($N421&lt;Keys!$C$51,$N421&gt;Keys!$C$52),1,0)</f>
        <v>0</v>
      </c>
      <c r="V421">
        <f>IF(AND($E421=Keys!$C$60,$N421&lt;&gt;Keys!$C$51),1,0)</f>
        <v>0</v>
      </c>
      <c r="W421">
        <f>IF($L421&gt;Keys!$C$51,IF($K421/$L421&gt;Keys!$C$52,1,0),0)</f>
        <v>0</v>
      </c>
      <c r="X421" s="11">
        <f t="shared" si="27"/>
        <v>0</v>
      </c>
    </row>
    <row r="422" spans="1:24" x14ac:dyDescent="0.25">
      <c r="A422" t="s">
        <v>119</v>
      </c>
      <c r="B422" t="s">
        <v>120</v>
      </c>
      <c r="C422">
        <f>VLOOKUP($B422,Keys!$F$2:$I$22,2,FALSE)</f>
        <v>0</v>
      </c>
      <c r="D422">
        <f>VLOOKUP($B422,Keys!$F$2:$I$22,3,FALSE)</f>
        <v>0</v>
      </c>
      <c r="E422" t="str">
        <f>VLOOKUP($B422,Keys!$F$2:$I$22,4,FALSE)</f>
        <v>zero</v>
      </c>
      <c r="F422" t="str">
        <f>$A422&amp;Keys!$C$54&amp;$B422</f>
        <v>MI|municipal solid waste</v>
      </c>
      <c r="G422" s="10">
        <f>IF($E422=Keys!$C$60,Keys!$C$51,INDEX(Balanced_2025!$D$9:$D$3032,MATCH($A422&amp;Keys!$C$54&amp;Keys!$C$55&amp;Keys!$C$54&amp;$C422,Balanced_2025!$E$9:$E$3032,0)))</f>
        <v>0</v>
      </c>
      <c r="H422" s="10">
        <f>IF($E422=Keys!$C$60,Keys!$C$51,INDEX(Balanced_2025!$D$9:$D$3032,MATCH($A422&amp;Keys!$C$54&amp;Keys!$C$56&amp;Keys!$C$54&amp;$C422,Balanced_2025!$E$9:$E$3032,0)))</f>
        <v>0</v>
      </c>
      <c r="I422" s="10">
        <f>IF($E422=Keys!$C$60,Keys!$C$51,INDEX(Balanced_2025!$D$9:$D$3032,MATCH($A422&amp;Keys!$C$54&amp;Keys!$C$57&amp;Keys!$C$54&amp;$C422,Balanced_2025!$E$9:$E$3032,0)))</f>
        <v>0</v>
      </c>
      <c r="J422" s="10">
        <f t="shared" si="24"/>
        <v>0</v>
      </c>
      <c r="K422" s="10">
        <f>MAX(Keys!$C$51,$I422-$H422)</f>
        <v>0</v>
      </c>
      <c r="L422" s="10">
        <f t="shared" si="25"/>
        <v>0</v>
      </c>
      <c r="M422" s="11">
        <f>IF($L422&gt;Keys!$C$51,MIN(Keys!$C$52,$K422/$L422),Keys!$C$51)</f>
        <v>0</v>
      </c>
      <c r="N422" s="11">
        <f>IF($E422=Keys!$C$60,Keys!$C$51,IF($E422=Keys!$C$59,$D422,$M422))</f>
        <v>0</v>
      </c>
      <c r="O422">
        <f t="shared" si="26"/>
        <v>0</v>
      </c>
      <c r="P422" s="10">
        <f>IF($E422=Keys!$C$60,Keys!$C$51,INDEX(Raw_BFPIaE!$G$9:$G$3032,MATCH($A422&amp;Keys!$C$54&amp;Keys!$C$55&amp;Keys!$C$54&amp;$B422,Raw_BFPIaE!$H$9:$H$3032,0)))</f>
        <v>0</v>
      </c>
      <c r="Q422" s="10">
        <f>IF($E422=Keys!$C$60,Keys!$C$51,INDEX(Raw_BFPIaE!$G$9:$G$3032,MATCH($A422&amp;Keys!$C$54&amp;Keys!$C$56&amp;Keys!$C$54&amp;$B422,Raw_BFPIaE!$H$9:$H$3032,0)))</f>
        <v>0</v>
      </c>
      <c r="R422" s="10">
        <f>IF($E422=Keys!$C$60,Keys!$C$51,INDEX(Raw_BFPIaE!$G$9:$G$3032,MATCH($A422&amp;Keys!$C$54&amp;Keys!$C$57&amp;Keys!$C$54&amp;$B422,Raw_BFPIaE!$H$9:$H$3032,0)))</f>
        <v>0</v>
      </c>
      <c r="S422" s="11">
        <f>IF(($P422+$Q422-$R422+MAX(Keys!$C$51,$R422-$Q422))&gt;Keys!$C$51,MIN(Keys!$C$52,MAX(Keys!$C$51,$R422-$Q422)/($P422+$Q422-$R422+MAX(Keys!$C$51,$R422-$Q422))),Keys!$C$51)</f>
        <v>0</v>
      </c>
      <c r="T422">
        <f>IF(AND($I422&gt;$H422,ABS($L422-$G422)&gt;MAX(Keys!$C$62,ABS($G422)*Keys!$C$63)),1,0)</f>
        <v>0</v>
      </c>
      <c r="U422">
        <f>IF(OR($N422&lt;Keys!$C$51,$N422&gt;Keys!$C$52),1,0)</f>
        <v>0</v>
      </c>
      <c r="V422">
        <f>IF(AND($E422=Keys!$C$60,$N422&lt;&gt;Keys!$C$51),1,0)</f>
        <v>0</v>
      </c>
      <c r="W422">
        <f>IF($L422&gt;Keys!$C$51,IF($K422/$L422&gt;Keys!$C$52,1,0),0)</f>
        <v>0</v>
      </c>
      <c r="X422" s="11">
        <f t="shared" si="27"/>
        <v>0</v>
      </c>
    </row>
    <row r="423" spans="1:24" x14ac:dyDescent="0.25">
      <c r="A423" t="s">
        <v>119</v>
      </c>
      <c r="B423" t="s">
        <v>123</v>
      </c>
      <c r="C423">
        <f>VLOOKUP($B423,Keys!$F$2:$I$22,2,FALSE)</f>
        <v>0</v>
      </c>
      <c r="D423">
        <f>VLOOKUP($B423,Keys!$F$2:$I$22,3,FALSE)</f>
        <v>0</v>
      </c>
      <c r="E423" t="str">
        <f>VLOOKUP($B423,Keys!$F$2:$I$22,4,FALSE)</f>
        <v>zero</v>
      </c>
      <c r="F423" t="str">
        <f>$A423&amp;Keys!$C$54&amp;$B423</f>
        <v>MI|hydrogen</v>
      </c>
      <c r="G423" s="10">
        <f>IF($E423=Keys!$C$60,Keys!$C$51,INDEX(Balanced_2025!$D$9:$D$3032,MATCH($A423&amp;Keys!$C$54&amp;Keys!$C$55&amp;Keys!$C$54&amp;$C423,Balanced_2025!$E$9:$E$3032,0)))</f>
        <v>0</v>
      </c>
      <c r="H423" s="10">
        <f>IF($E423=Keys!$C$60,Keys!$C$51,INDEX(Balanced_2025!$D$9:$D$3032,MATCH($A423&amp;Keys!$C$54&amp;Keys!$C$56&amp;Keys!$C$54&amp;$C423,Balanced_2025!$E$9:$E$3032,0)))</f>
        <v>0</v>
      </c>
      <c r="I423" s="10">
        <f>IF($E423=Keys!$C$60,Keys!$C$51,INDEX(Balanced_2025!$D$9:$D$3032,MATCH($A423&amp;Keys!$C$54&amp;Keys!$C$57&amp;Keys!$C$54&amp;$C423,Balanced_2025!$E$9:$E$3032,0)))</f>
        <v>0</v>
      </c>
      <c r="J423" s="10">
        <f t="shared" si="24"/>
        <v>0</v>
      </c>
      <c r="K423" s="10">
        <f>MAX(Keys!$C$51,$I423-$H423)</f>
        <v>0</v>
      </c>
      <c r="L423" s="10">
        <f t="shared" si="25"/>
        <v>0</v>
      </c>
      <c r="M423" s="11">
        <f>IF($L423&gt;Keys!$C$51,MIN(Keys!$C$52,$K423/$L423),Keys!$C$51)</f>
        <v>0</v>
      </c>
      <c r="N423" s="11">
        <f>IF($E423=Keys!$C$60,Keys!$C$51,IF($E423=Keys!$C$59,$D423,$M423))</f>
        <v>0</v>
      </c>
      <c r="O423">
        <f t="shared" si="26"/>
        <v>0</v>
      </c>
      <c r="P423" s="10">
        <f>IF($E423=Keys!$C$60,Keys!$C$51,INDEX(Raw_BFPIaE!$G$9:$G$3032,MATCH($A423&amp;Keys!$C$54&amp;Keys!$C$55&amp;Keys!$C$54&amp;$B423,Raw_BFPIaE!$H$9:$H$3032,0)))</f>
        <v>0</v>
      </c>
      <c r="Q423" s="10">
        <f>IF($E423=Keys!$C$60,Keys!$C$51,INDEX(Raw_BFPIaE!$G$9:$G$3032,MATCH($A423&amp;Keys!$C$54&amp;Keys!$C$56&amp;Keys!$C$54&amp;$B423,Raw_BFPIaE!$H$9:$H$3032,0)))</f>
        <v>0</v>
      </c>
      <c r="R423" s="10">
        <f>IF($E423=Keys!$C$60,Keys!$C$51,INDEX(Raw_BFPIaE!$G$9:$G$3032,MATCH($A423&amp;Keys!$C$54&amp;Keys!$C$57&amp;Keys!$C$54&amp;$B423,Raw_BFPIaE!$H$9:$H$3032,0)))</f>
        <v>0</v>
      </c>
      <c r="S423" s="11">
        <f>IF(($P423+$Q423-$R423+MAX(Keys!$C$51,$R423-$Q423))&gt;Keys!$C$51,MIN(Keys!$C$52,MAX(Keys!$C$51,$R423-$Q423)/($P423+$Q423-$R423+MAX(Keys!$C$51,$R423-$Q423))),Keys!$C$51)</f>
        <v>0</v>
      </c>
      <c r="T423">
        <f>IF(AND($I423&gt;$H423,ABS($L423-$G423)&gt;MAX(Keys!$C$62,ABS($G423)*Keys!$C$63)),1,0)</f>
        <v>0</v>
      </c>
      <c r="U423">
        <f>IF(OR($N423&lt;Keys!$C$51,$N423&gt;Keys!$C$52),1,0)</f>
        <v>0</v>
      </c>
      <c r="V423">
        <f>IF(AND($E423=Keys!$C$60,$N423&lt;&gt;Keys!$C$51),1,0)</f>
        <v>0</v>
      </c>
      <c r="W423">
        <f>IF($L423&gt;Keys!$C$51,IF($K423/$L423&gt;Keys!$C$52,1,0),0)</f>
        <v>0</v>
      </c>
      <c r="X423" s="11">
        <f t="shared" si="27"/>
        <v>0</v>
      </c>
    </row>
    <row r="424" spans="1:24" x14ac:dyDescent="0.25">
      <c r="A424" t="s">
        <v>122</v>
      </c>
      <c r="B424" t="s">
        <v>60</v>
      </c>
      <c r="C424">
        <f>VLOOKUP($B424,Keys!$F$2:$I$22,2,FALSE)</f>
        <v>0</v>
      </c>
      <c r="D424">
        <f>VLOOKUP($B424,Keys!$F$2:$I$22,3,FALSE)</f>
        <v>0</v>
      </c>
      <c r="E424" t="str">
        <f>VLOOKUP($B424,Keys!$F$2:$I$22,4,FALSE)</f>
        <v>zero</v>
      </c>
      <c r="F424" t="str">
        <f>$A424&amp;Keys!$C$54&amp;$B424</f>
        <v>MN|electricity (not used in this variable)</v>
      </c>
      <c r="G424" s="10">
        <f>IF($E424=Keys!$C$60,Keys!$C$51,INDEX(Balanced_2025!$D$9:$D$3032,MATCH($A424&amp;Keys!$C$54&amp;Keys!$C$55&amp;Keys!$C$54&amp;$C424,Balanced_2025!$E$9:$E$3032,0)))</f>
        <v>0</v>
      </c>
      <c r="H424" s="10">
        <f>IF($E424=Keys!$C$60,Keys!$C$51,INDEX(Balanced_2025!$D$9:$D$3032,MATCH($A424&amp;Keys!$C$54&amp;Keys!$C$56&amp;Keys!$C$54&amp;$C424,Balanced_2025!$E$9:$E$3032,0)))</f>
        <v>0</v>
      </c>
      <c r="I424" s="10">
        <f>IF($E424=Keys!$C$60,Keys!$C$51,INDEX(Balanced_2025!$D$9:$D$3032,MATCH($A424&amp;Keys!$C$54&amp;Keys!$C$57&amp;Keys!$C$54&amp;$C424,Balanced_2025!$E$9:$E$3032,0)))</f>
        <v>0</v>
      </c>
      <c r="J424" s="10">
        <f t="shared" si="24"/>
        <v>0</v>
      </c>
      <c r="K424" s="10">
        <f>MAX(Keys!$C$51,$I424-$H424)</f>
        <v>0</v>
      </c>
      <c r="L424" s="10">
        <f t="shared" si="25"/>
        <v>0</v>
      </c>
      <c r="M424" s="11">
        <f>IF($L424&gt;Keys!$C$51,MIN(Keys!$C$52,$K424/$L424),Keys!$C$51)</f>
        <v>0</v>
      </c>
      <c r="N424" s="11">
        <f>IF($E424=Keys!$C$60,Keys!$C$51,IF($E424=Keys!$C$59,$D424,$M424))</f>
        <v>0</v>
      </c>
      <c r="O424">
        <f t="shared" si="26"/>
        <v>0</v>
      </c>
      <c r="P424" s="10">
        <f>IF($E424=Keys!$C$60,Keys!$C$51,INDEX(Raw_BFPIaE!$G$9:$G$3032,MATCH($A424&amp;Keys!$C$54&amp;Keys!$C$55&amp;Keys!$C$54&amp;$B424,Raw_BFPIaE!$H$9:$H$3032,0)))</f>
        <v>0</v>
      </c>
      <c r="Q424" s="10">
        <f>IF($E424=Keys!$C$60,Keys!$C$51,INDEX(Raw_BFPIaE!$G$9:$G$3032,MATCH($A424&amp;Keys!$C$54&amp;Keys!$C$56&amp;Keys!$C$54&amp;$B424,Raw_BFPIaE!$H$9:$H$3032,0)))</f>
        <v>0</v>
      </c>
      <c r="R424" s="10">
        <f>IF($E424=Keys!$C$60,Keys!$C$51,INDEX(Raw_BFPIaE!$G$9:$G$3032,MATCH($A424&amp;Keys!$C$54&amp;Keys!$C$57&amp;Keys!$C$54&amp;$B424,Raw_BFPIaE!$H$9:$H$3032,0)))</f>
        <v>0</v>
      </c>
      <c r="S424" s="11">
        <f>IF(($P424+$Q424-$R424+MAX(Keys!$C$51,$R424-$Q424))&gt;Keys!$C$51,MIN(Keys!$C$52,MAX(Keys!$C$51,$R424-$Q424)/($P424+$Q424-$R424+MAX(Keys!$C$51,$R424-$Q424))),Keys!$C$51)</f>
        <v>0</v>
      </c>
      <c r="T424">
        <f>IF(AND($I424&gt;$H424,ABS($L424-$G424)&gt;MAX(Keys!$C$62,ABS($G424)*Keys!$C$63)),1,0)</f>
        <v>0</v>
      </c>
      <c r="U424">
        <f>IF(OR($N424&lt;Keys!$C$51,$N424&gt;Keys!$C$52),1,0)</f>
        <v>0</v>
      </c>
      <c r="V424">
        <f>IF(AND($E424=Keys!$C$60,$N424&lt;&gt;Keys!$C$51),1,0)</f>
        <v>0</v>
      </c>
      <c r="W424">
        <f>IF($L424&gt;Keys!$C$51,IF($K424/$L424&gt;Keys!$C$52,1,0),0)</f>
        <v>0</v>
      </c>
      <c r="X424" s="11">
        <f t="shared" si="27"/>
        <v>0</v>
      </c>
    </row>
    <row r="425" spans="1:24" x14ac:dyDescent="0.25">
      <c r="A425" t="s">
        <v>122</v>
      </c>
      <c r="B425" t="s">
        <v>64</v>
      </c>
      <c r="C425" t="str">
        <f>VLOOKUP($B425,Keys!$F$2:$I$22,2,FALSE)</f>
        <v>hard coal</v>
      </c>
      <c r="D425">
        <f>VLOOKUP($B425,Keys!$F$2:$I$22,3,FALSE)</f>
        <v>0.137539879</v>
      </c>
      <c r="E425" t="str">
        <f>VLOOKUP($B425,Keys!$F$2:$I$22,4,FALSE)</f>
        <v>rule</v>
      </c>
      <c r="F425" t="str">
        <f>$A425&amp;Keys!$C$54&amp;$B425</f>
        <v>MN|hard coal</v>
      </c>
      <c r="G425" s="10">
        <f>IF($E425=Keys!$C$60,Keys!$C$51,INDEX(Balanced_2025!$D$9:$D$3032,MATCH($A425&amp;Keys!$C$54&amp;Keys!$C$55&amp;Keys!$C$54&amp;$C425,Balanced_2025!$E$9:$E$3032,0)))</f>
        <v>0</v>
      </c>
      <c r="H425" s="10">
        <f>IF($E425=Keys!$C$60,Keys!$C$51,INDEX(Balanced_2025!$D$9:$D$3032,MATCH($A425&amp;Keys!$C$54&amp;Keys!$C$56&amp;Keys!$C$54&amp;$C425,Balanced_2025!$E$9:$E$3032,0)))</f>
        <v>181908000000000</v>
      </c>
      <c r="I425" s="10">
        <f>IF($E425=Keys!$C$60,Keys!$C$51,INDEX(Balanced_2025!$D$9:$D$3032,MATCH($A425&amp;Keys!$C$54&amp;Keys!$C$57&amp;Keys!$C$54&amp;$C425,Balanced_2025!$E$9:$E$3032,0)))</f>
        <v>0</v>
      </c>
      <c r="J425" s="10">
        <f t="shared" si="24"/>
        <v>181908000000000</v>
      </c>
      <c r="K425" s="10">
        <f>MAX(Keys!$C$51,$I425-$H425)</f>
        <v>0</v>
      </c>
      <c r="L425" s="10">
        <f t="shared" si="25"/>
        <v>181908000000000</v>
      </c>
      <c r="M425" s="11">
        <f>IF($L425&gt;Keys!$C$51,MIN(Keys!$C$52,$K425/$L425),Keys!$C$51)</f>
        <v>0</v>
      </c>
      <c r="N425" s="11">
        <f>IF($E425=Keys!$C$60,Keys!$C$51,IF($E425=Keys!$C$59,$D425,$M425))</f>
        <v>0</v>
      </c>
      <c r="O425">
        <f t="shared" si="26"/>
        <v>1</v>
      </c>
      <c r="P425" s="10">
        <f>IF($E425=Keys!$C$60,Keys!$C$51,INDEX(Raw_BFPIaE!$G$9:$G$3032,MATCH($A425&amp;Keys!$C$54&amp;Keys!$C$55&amp;Keys!$C$54&amp;$B425,Raw_BFPIaE!$H$9:$H$3032,0)))</f>
        <v>0</v>
      </c>
      <c r="Q425" s="10">
        <f>IF($E425=Keys!$C$60,Keys!$C$51,INDEX(Raw_BFPIaE!$G$9:$G$3032,MATCH($A425&amp;Keys!$C$54&amp;Keys!$C$56&amp;Keys!$C$54&amp;$B425,Raw_BFPIaE!$H$9:$H$3032,0)))</f>
        <v>159662333333333.34</v>
      </c>
      <c r="R425" s="10">
        <f>IF($E425=Keys!$C$60,Keys!$C$51,INDEX(Raw_BFPIaE!$G$9:$G$3032,MATCH($A425&amp;Keys!$C$54&amp;Keys!$C$57&amp;Keys!$C$54&amp;$B425,Raw_BFPIaE!$H$9:$H$3032,0)))</f>
        <v>0</v>
      </c>
      <c r="S425" s="11">
        <f>IF(($P425+$Q425-$R425+MAX(Keys!$C$51,$R425-$Q425))&gt;Keys!$C$51,MIN(Keys!$C$52,MAX(Keys!$C$51,$R425-$Q425)/($P425+$Q425-$R425+MAX(Keys!$C$51,$R425-$Q425))),Keys!$C$51)</f>
        <v>0</v>
      </c>
      <c r="T425">
        <f>IF(AND($I425&gt;$H425,ABS($L425-$G425)&gt;MAX(Keys!$C$62,ABS($G425)*Keys!$C$63)),1,0)</f>
        <v>0</v>
      </c>
      <c r="U425">
        <f>IF(OR($N425&lt;Keys!$C$51,$N425&gt;Keys!$C$52),1,0)</f>
        <v>0</v>
      </c>
      <c r="V425">
        <f>IF(AND($E425=Keys!$C$60,$N425&lt;&gt;Keys!$C$51),1,0)</f>
        <v>0</v>
      </c>
      <c r="W425">
        <f>IF($L425&gt;Keys!$C$51,IF($K425/$L425&gt;Keys!$C$52,1,0),0)</f>
        <v>0</v>
      </c>
      <c r="X425" s="11">
        <f t="shared" si="27"/>
        <v>0</v>
      </c>
    </row>
    <row r="426" spans="1:24" x14ac:dyDescent="0.25">
      <c r="A426" t="s">
        <v>122</v>
      </c>
      <c r="B426" t="s">
        <v>68</v>
      </c>
      <c r="C426" t="str">
        <f>VLOOKUP($B426,Keys!$F$2:$I$22,2,FALSE)</f>
        <v>natural gas</v>
      </c>
      <c r="D426">
        <f>VLOOKUP($B426,Keys!$F$2:$I$22,3,FALSE)</f>
        <v>0.190839183</v>
      </c>
      <c r="E426" t="str">
        <f>VLOOKUP($B426,Keys!$F$2:$I$22,4,FALSE)</f>
        <v>rule</v>
      </c>
      <c r="F426" t="str">
        <f>$A426&amp;Keys!$C$54&amp;$B426</f>
        <v>MN|natural gas</v>
      </c>
      <c r="G426" s="10">
        <f>IF($E426=Keys!$C$60,Keys!$C$51,INDEX(Balanced_2025!$D$9:$D$3032,MATCH($A426&amp;Keys!$C$54&amp;Keys!$C$55&amp;Keys!$C$54&amp;$C426,Balanced_2025!$E$9:$E$3032,0)))</f>
        <v>0</v>
      </c>
      <c r="H426" s="10">
        <f>IF($E426=Keys!$C$60,Keys!$C$51,INDEX(Balanced_2025!$D$9:$D$3032,MATCH($A426&amp;Keys!$C$54&amp;Keys!$C$56&amp;Keys!$C$54&amp;$C426,Balanced_2025!$E$9:$E$3032,0)))</f>
        <v>2327050000000000</v>
      </c>
      <c r="I426" s="10">
        <f>IF($E426=Keys!$C$60,Keys!$C$51,INDEX(Balanced_2025!$D$9:$D$3032,MATCH($A426&amp;Keys!$C$54&amp;Keys!$C$57&amp;Keys!$C$54&amp;$C426,Balanced_2025!$E$9:$E$3032,0)))</f>
        <v>1852590000000000</v>
      </c>
      <c r="J426" s="10">
        <f t="shared" si="24"/>
        <v>474460000000000</v>
      </c>
      <c r="K426" s="10">
        <f>MAX(Keys!$C$51,$I426-$H426)</f>
        <v>0</v>
      </c>
      <c r="L426" s="10">
        <f t="shared" si="25"/>
        <v>474460000000000</v>
      </c>
      <c r="M426" s="11">
        <f>IF($L426&gt;Keys!$C$51,MIN(Keys!$C$52,$K426/$L426),Keys!$C$51)</f>
        <v>0</v>
      </c>
      <c r="N426" s="11">
        <f>IF($E426=Keys!$C$60,Keys!$C$51,IF($E426=Keys!$C$59,$D426,$M426))</f>
        <v>0</v>
      </c>
      <c r="O426">
        <f t="shared" si="26"/>
        <v>1</v>
      </c>
      <c r="P426" s="10">
        <f>IF($E426=Keys!$C$60,Keys!$C$51,INDEX(Raw_BFPIaE!$G$9:$G$3032,MATCH($A426&amp;Keys!$C$54&amp;Keys!$C$55&amp;Keys!$C$54&amp;$B426,Raw_BFPIaE!$H$9:$H$3032,0)))</f>
        <v>0</v>
      </c>
      <c r="Q426" s="10">
        <f>IF($E426=Keys!$C$60,Keys!$C$51,INDEX(Raw_BFPIaE!$G$9:$G$3032,MATCH($A426&amp;Keys!$C$54&amp;Keys!$C$56&amp;Keys!$C$54&amp;$B426,Raw_BFPIaE!$H$9:$H$3032,0)))</f>
        <v>2312160000000000</v>
      </c>
      <c r="R426" s="10">
        <f>IF($E426=Keys!$C$60,Keys!$C$51,INDEX(Raw_BFPIaE!$G$9:$G$3032,MATCH($A426&amp;Keys!$C$54&amp;Keys!$C$57&amp;Keys!$C$54&amp;$B426,Raw_BFPIaE!$H$9:$H$3032,0)))</f>
        <v>1794956666666666.8</v>
      </c>
      <c r="S426" s="11">
        <f>IF(($P426+$Q426-$R426+MAX(Keys!$C$51,$R426-$Q426))&gt;Keys!$C$51,MIN(Keys!$C$52,MAX(Keys!$C$51,$R426-$Q426)/($P426+$Q426-$R426+MAX(Keys!$C$51,$R426-$Q426))),Keys!$C$51)</f>
        <v>0</v>
      </c>
      <c r="T426">
        <f>IF(AND($I426&gt;$H426,ABS($L426-$G426)&gt;MAX(Keys!$C$62,ABS($G426)*Keys!$C$63)),1,0)</f>
        <v>0</v>
      </c>
      <c r="U426">
        <f>IF(OR($N426&lt;Keys!$C$51,$N426&gt;Keys!$C$52),1,0)</f>
        <v>0</v>
      </c>
      <c r="V426">
        <f>IF(AND($E426=Keys!$C$60,$N426&lt;&gt;Keys!$C$51),1,0)</f>
        <v>0</v>
      </c>
      <c r="W426">
        <f>IF($L426&gt;Keys!$C$51,IF($K426/$L426&gt;Keys!$C$52,1,0),0)</f>
        <v>0</v>
      </c>
      <c r="X426" s="11">
        <f t="shared" si="27"/>
        <v>0</v>
      </c>
    </row>
    <row r="427" spans="1:24" x14ac:dyDescent="0.25">
      <c r="A427" t="s">
        <v>122</v>
      </c>
      <c r="B427" t="s">
        <v>71</v>
      </c>
      <c r="C427">
        <f>VLOOKUP($B427,Keys!$F$2:$I$22,2,FALSE)</f>
        <v>0</v>
      </c>
      <c r="D427">
        <f>VLOOKUP($B427,Keys!$F$2:$I$22,3,FALSE)</f>
        <v>0</v>
      </c>
      <c r="E427" t="str">
        <f>VLOOKUP($B427,Keys!$F$2:$I$22,4,FALSE)</f>
        <v>zero</v>
      </c>
      <c r="F427" t="str">
        <f>$A427&amp;Keys!$C$54&amp;$B427</f>
        <v>MN|nuclear</v>
      </c>
      <c r="G427" s="10">
        <f>IF($E427=Keys!$C$60,Keys!$C$51,INDEX(Balanced_2025!$D$9:$D$3032,MATCH($A427&amp;Keys!$C$54&amp;Keys!$C$55&amp;Keys!$C$54&amp;$C427,Balanced_2025!$E$9:$E$3032,0)))</f>
        <v>0</v>
      </c>
      <c r="H427" s="10">
        <f>IF($E427=Keys!$C$60,Keys!$C$51,INDEX(Balanced_2025!$D$9:$D$3032,MATCH($A427&amp;Keys!$C$54&amp;Keys!$C$56&amp;Keys!$C$54&amp;$C427,Balanced_2025!$E$9:$E$3032,0)))</f>
        <v>0</v>
      </c>
      <c r="I427" s="10">
        <f>IF($E427=Keys!$C$60,Keys!$C$51,INDEX(Balanced_2025!$D$9:$D$3032,MATCH($A427&amp;Keys!$C$54&amp;Keys!$C$57&amp;Keys!$C$54&amp;$C427,Balanced_2025!$E$9:$E$3032,0)))</f>
        <v>0</v>
      </c>
      <c r="J427" s="10">
        <f t="shared" si="24"/>
        <v>0</v>
      </c>
      <c r="K427" s="10">
        <f>MAX(Keys!$C$51,$I427-$H427)</f>
        <v>0</v>
      </c>
      <c r="L427" s="10">
        <f t="shared" si="25"/>
        <v>0</v>
      </c>
      <c r="M427" s="11">
        <f>IF($L427&gt;Keys!$C$51,MIN(Keys!$C$52,$K427/$L427),Keys!$C$51)</f>
        <v>0</v>
      </c>
      <c r="N427" s="11">
        <f>IF($E427=Keys!$C$60,Keys!$C$51,IF($E427=Keys!$C$59,$D427,$M427))</f>
        <v>0</v>
      </c>
      <c r="O427">
        <f t="shared" si="26"/>
        <v>0</v>
      </c>
      <c r="P427" s="10">
        <f>IF($E427=Keys!$C$60,Keys!$C$51,INDEX(Raw_BFPIaE!$G$9:$G$3032,MATCH($A427&amp;Keys!$C$54&amp;Keys!$C$55&amp;Keys!$C$54&amp;$B427,Raw_BFPIaE!$H$9:$H$3032,0)))</f>
        <v>0</v>
      </c>
      <c r="Q427" s="10">
        <f>IF($E427=Keys!$C$60,Keys!$C$51,INDEX(Raw_BFPIaE!$G$9:$G$3032,MATCH($A427&amp;Keys!$C$54&amp;Keys!$C$56&amp;Keys!$C$54&amp;$B427,Raw_BFPIaE!$H$9:$H$3032,0)))</f>
        <v>0</v>
      </c>
      <c r="R427" s="10">
        <f>IF($E427=Keys!$C$60,Keys!$C$51,INDEX(Raw_BFPIaE!$G$9:$G$3032,MATCH($A427&amp;Keys!$C$54&amp;Keys!$C$57&amp;Keys!$C$54&amp;$B427,Raw_BFPIaE!$H$9:$H$3032,0)))</f>
        <v>0</v>
      </c>
      <c r="S427" s="11">
        <f>IF(($P427+$Q427-$R427+MAX(Keys!$C$51,$R427-$Q427))&gt;Keys!$C$51,MIN(Keys!$C$52,MAX(Keys!$C$51,$R427-$Q427)/($P427+$Q427-$R427+MAX(Keys!$C$51,$R427-$Q427))),Keys!$C$51)</f>
        <v>0</v>
      </c>
      <c r="T427">
        <f>IF(AND($I427&gt;$H427,ABS($L427-$G427)&gt;MAX(Keys!$C$62,ABS($G427)*Keys!$C$63)),1,0)</f>
        <v>0</v>
      </c>
      <c r="U427">
        <f>IF(OR($N427&lt;Keys!$C$51,$N427&gt;Keys!$C$52),1,0)</f>
        <v>0</v>
      </c>
      <c r="V427">
        <f>IF(AND($E427=Keys!$C$60,$N427&lt;&gt;Keys!$C$51),1,0)</f>
        <v>0</v>
      </c>
      <c r="W427">
        <f>IF($L427&gt;Keys!$C$51,IF($K427/$L427&gt;Keys!$C$52,1,0),0)</f>
        <v>0</v>
      </c>
      <c r="X427" s="11">
        <f t="shared" si="27"/>
        <v>0</v>
      </c>
    </row>
    <row r="428" spans="1:24" x14ac:dyDescent="0.25">
      <c r="A428" t="s">
        <v>122</v>
      </c>
      <c r="B428" t="s">
        <v>74</v>
      </c>
      <c r="C428">
        <f>VLOOKUP($B428,Keys!$F$2:$I$22,2,FALSE)</f>
        <v>0</v>
      </c>
      <c r="D428">
        <f>VLOOKUP($B428,Keys!$F$2:$I$22,3,FALSE)</f>
        <v>0</v>
      </c>
      <c r="E428" t="str">
        <f>VLOOKUP($B428,Keys!$F$2:$I$22,4,FALSE)</f>
        <v>zero</v>
      </c>
      <c r="F428" t="str">
        <f>$A428&amp;Keys!$C$54&amp;$B428</f>
        <v>MN|hydro (is not a fuel)</v>
      </c>
      <c r="G428" s="10">
        <f>IF($E428=Keys!$C$60,Keys!$C$51,INDEX(Balanced_2025!$D$9:$D$3032,MATCH($A428&amp;Keys!$C$54&amp;Keys!$C$55&amp;Keys!$C$54&amp;$C428,Balanced_2025!$E$9:$E$3032,0)))</f>
        <v>0</v>
      </c>
      <c r="H428" s="10">
        <f>IF($E428=Keys!$C$60,Keys!$C$51,INDEX(Balanced_2025!$D$9:$D$3032,MATCH($A428&amp;Keys!$C$54&amp;Keys!$C$56&amp;Keys!$C$54&amp;$C428,Balanced_2025!$E$9:$E$3032,0)))</f>
        <v>0</v>
      </c>
      <c r="I428" s="10">
        <f>IF($E428=Keys!$C$60,Keys!$C$51,INDEX(Balanced_2025!$D$9:$D$3032,MATCH($A428&amp;Keys!$C$54&amp;Keys!$C$57&amp;Keys!$C$54&amp;$C428,Balanced_2025!$E$9:$E$3032,0)))</f>
        <v>0</v>
      </c>
      <c r="J428" s="10">
        <f t="shared" si="24"/>
        <v>0</v>
      </c>
      <c r="K428" s="10">
        <f>MAX(Keys!$C$51,$I428-$H428)</f>
        <v>0</v>
      </c>
      <c r="L428" s="10">
        <f t="shared" si="25"/>
        <v>0</v>
      </c>
      <c r="M428" s="11">
        <f>IF($L428&gt;Keys!$C$51,MIN(Keys!$C$52,$K428/$L428),Keys!$C$51)</f>
        <v>0</v>
      </c>
      <c r="N428" s="11">
        <f>IF($E428=Keys!$C$60,Keys!$C$51,IF($E428=Keys!$C$59,$D428,$M428))</f>
        <v>0</v>
      </c>
      <c r="O428">
        <f t="shared" si="26"/>
        <v>0</v>
      </c>
      <c r="P428" s="10">
        <f>IF($E428=Keys!$C$60,Keys!$C$51,INDEX(Raw_BFPIaE!$G$9:$G$3032,MATCH($A428&amp;Keys!$C$54&amp;Keys!$C$55&amp;Keys!$C$54&amp;$B428,Raw_BFPIaE!$H$9:$H$3032,0)))</f>
        <v>0</v>
      </c>
      <c r="Q428" s="10">
        <f>IF($E428=Keys!$C$60,Keys!$C$51,INDEX(Raw_BFPIaE!$G$9:$G$3032,MATCH($A428&amp;Keys!$C$54&amp;Keys!$C$56&amp;Keys!$C$54&amp;$B428,Raw_BFPIaE!$H$9:$H$3032,0)))</f>
        <v>0</v>
      </c>
      <c r="R428" s="10">
        <f>IF($E428=Keys!$C$60,Keys!$C$51,INDEX(Raw_BFPIaE!$G$9:$G$3032,MATCH($A428&amp;Keys!$C$54&amp;Keys!$C$57&amp;Keys!$C$54&amp;$B428,Raw_BFPIaE!$H$9:$H$3032,0)))</f>
        <v>0</v>
      </c>
      <c r="S428" s="11">
        <f>IF(($P428+$Q428-$R428+MAX(Keys!$C$51,$R428-$Q428))&gt;Keys!$C$51,MIN(Keys!$C$52,MAX(Keys!$C$51,$R428-$Q428)/($P428+$Q428-$R428+MAX(Keys!$C$51,$R428-$Q428))),Keys!$C$51)</f>
        <v>0</v>
      </c>
      <c r="T428">
        <f>IF(AND($I428&gt;$H428,ABS($L428-$G428)&gt;MAX(Keys!$C$62,ABS($G428)*Keys!$C$63)),1,0)</f>
        <v>0</v>
      </c>
      <c r="U428">
        <f>IF(OR($N428&lt;Keys!$C$51,$N428&gt;Keys!$C$52),1,0)</f>
        <v>0</v>
      </c>
      <c r="V428">
        <f>IF(AND($E428=Keys!$C$60,$N428&lt;&gt;Keys!$C$51),1,0)</f>
        <v>0</v>
      </c>
      <c r="W428">
        <f>IF($L428&gt;Keys!$C$51,IF($K428/$L428&gt;Keys!$C$52,1,0),0)</f>
        <v>0</v>
      </c>
      <c r="X428" s="11">
        <f t="shared" si="27"/>
        <v>0</v>
      </c>
    </row>
    <row r="429" spans="1:24" x14ac:dyDescent="0.25">
      <c r="A429" t="s">
        <v>122</v>
      </c>
      <c r="B429" t="s">
        <v>77</v>
      </c>
      <c r="C429">
        <f>VLOOKUP($B429,Keys!$F$2:$I$22,2,FALSE)</f>
        <v>0</v>
      </c>
      <c r="D429">
        <f>VLOOKUP($B429,Keys!$F$2:$I$22,3,FALSE)</f>
        <v>0</v>
      </c>
      <c r="E429" t="str">
        <f>VLOOKUP($B429,Keys!$F$2:$I$22,4,FALSE)</f>
        <v>zero</v>
      </c>
      <c r="F429" t="str">
        <f>$A429&amp;Keys!$C$54&amp;$B429</f>
        <v>MN|wind (is not a fuel)</v>
      </c>
      <c r="G429" s="10">
        <f>IF($E429=Keys!$C$60,Keys!$C$51,INDEX(Balanced_2025!$D$9:$D$3032,MATCH($A429&amp;Keys!$C$54&amp;Keys!$C$55&amp;Keys!$C$54&amp;$C429,Balanced_2025!$E$9:$E$3032,0)))</f>
        <v>0</v>
      </c>
      <c r="H429" s="10">
        <f>IF($E429=Keys!$C$60,Keys!$C$51,INDEX(Balanced_2025!$D$9:$D$3032,MATCH($A429&amp;Keys!$C$54&amp;Keys!$C$56&amp;Keys!$C$54&amp;$C429,Balanced_2025!$E$9:$E$3032,0)))</f>
        <v>0</v>
      </c>
      <c r="I429" s="10">
        <f>IF($E429=Keys!$C$60,Keys!$C$51,INDEX(Balanced_2025!$D$9:$D$3032,MATCH($A429&amp;Keys!$C$54&amp;Keys!$C$57&amp;Keys!$C$54&amp;$C429,Balanced_2025!$E$9:$E$3032,0)))</f>
        <v>0</v>
      </c>
      <c r="J429" s="10">
        <f t="shared" si="24"/>
        <v>0</v>
      </c>
      <c r="K429" s="10">
        <f>MAX(Keys!$C$51,$I429-$H429)</f>
        <v>0</v>
      </c>
      <c r="L429" s="10">
        <f t="shared" si="25"/>
        <v>0</v>
      </c>
      <c r="M429" s="11">
        <f>IF($L429&gt;Keys!$C$51,MIN(Keys!$C$52,$K429/$L429),Keys!$C$51)</f>
        <v>0</v>
      </c>
      <c r="N429" s="11">
        <f>IF($E429=Keys!$C$60,Keys!$C$51,IF($E429=Keys!$C$59,$D429,$M429))</f>
        <v>0</v>
      </c>
      <c r="O429">
        <f t="shared" si="26"/>
        <v>0</v>
      </c>
      <c r="P429" s="10">
        <f>IF($E429=Keys!$C$60,Keys!$C$51,INDEX(Raw_BFPIaE!$G$9:$G$3032,MATCH($A429&amp;Keys!$C$54&amp;Keys!$C$55&amp;Keys!$C$54&amp;$B429,Raw_BFPIaE!$H$9:$H$3032,0)))</f>
        <v>0</v>
      </c>
      <c r="Q429" s="10">
        <f>IF($E429=Keys!$C$60,Keys!$C$51,INDEX(Raw_BFPIaE!$G$9:$G$3032,MATCH($A429&amp;Keys!$C$54&amp;Keys!$C$56&amp;Keys!$C$54&amp;$B429,Raw_BFPIaE!$H$9:$H$3032,0)))</f>
        <v>0</v>
      </c>
      <c r="R429" s="10">
        <f>IF($E429=Keys!$C$60,Keys!$C$51,INDEX(Raw_BFPIaE!$G$9:$G$3032,MATCH($A429&amp;Keys!$C$54&amp;Keys!$C$57&amp;Keys!$C$54&amp;$B429,Raw_BFPIaE!$H$9:$H$3032,0)))</f>
        <v>0</v>
      </c>
      <c r="S429" s="11">
        <f>IF(($P429+$Q429-$R429+MAX(Keys!$C$51,$R429-$Q429))&gt;Keys!$C$51,MIN(Keys!$C$52,MAX(Keys!$C$51,$R429-$Q429)/($P429+$Q429-$R429+MAX(Keys!$C$51,$R429-$Q429))),Keys!$C$51)</f>
        <v>0</v>
      </c>
      <c r="T429">
        <f>IF(AND($I429&gt;$H429,ABS($L429-$G429)&gt;MAX(Keys!$C$62,ABS($G429)*Keys!$C$63)),1,0)</f>
        <v>0</v>
      </c>
      <c r="U429">
        <f>IF(OR($N429&lt;Keys!$C$51,$N429&gt;Keys!$C$52),1,0)</f>
        <v>0</v>
      </c>
      <c r="V429">
        <f>IF(AND($E429=Keys!$C$60,$N429&lt;&gt;Keys!$C$51),1,0)</f>
        <v>0</v>
      </c>
      <c r="W429">
        <f>IF($L429&gt;Keys!$C$51,IF($K429/$L429&gt;Keys!$C$52,1,0),0)</f>
        <v>0</v>
      </c>
      <c r="X429" s="11">
        <f t="shared" si="27"/>
        <v>0</v>
      </c>
    </row>
    <row r="430" spans="1:24" x14ac:dyDescent="0.25">
      <c r="A430" t="s">
        <v>122</v>
      </c>
      <c r="B430" t="s">
        <v>80</v>
      </c>
      <c r="C430">
        <f>VLOOKUP($B430,Keys!$F$2:$I$22,2,FALSE)</f>
        <v>0</v>
      </c>
      <c r="D430">
        <f>VLOOKUP($B430,Keys!$F$2:$I$22,3,FALSE)</f>
        <v>0</v>
      </c>
      <c r="E430" t="str">
        <f>VLOOKUP($B430,Keys!$F$2:$I$22,4,FALSE)</f>
        <v>zero</v>
      </c>
      <c r="F430" t="str">
        <f>$A430&amp;Keys!$C$54&amp;$B430</f>
        <v>MN|solar (is not a fuel)</v>
      </c>
      <c r="G430" s="10">
        <f>IF($E430=Keys!$C$60,Keys!$C$51,INDEX(Balanced_2025!$D$9:$D$3032,MATCH($A430&amp;Keys!$C$54&amp;Keys!$C$55&amp;Keys!$C$54&amp;$C430,Balanced_2025!$E$9:$E$3032,0)))</f>
        <v>0</v>
      </c>
      <c r="H430" s="10">
        <f>IF($E430=Keys!$C$60,Keys!$C$51,INDEX(Balanced_2025!$D$9:$D$3032,MATCH($A430&amp;Keys!$C$54&amp;Keys!$C$56&amp;Keys!$C$54&amp;$C430,Balanced_2025!$E$9:$E$3032,0)))</f>
        <v>0</v>
      </c>
      <c r="I430" s="10">
        <f>IF($E430=Keys!$C$60,Keys!$C$51,INDEX(Balanced_2025!$D$9:$D$3032,MATCH($A430&amp;Keys!$C$54&amp;Keys!$C$57&amp;Keys!$C$54&amp;$C430,Balanced_2025!$E$9:$E$3032,0)))</f>
        <v>0</v>
      </c>
      <c r="J430" s="10">
        <f t="shared" si="24"/>
        <v>0</v>
      </c>
      <c r="K430" s="10">
        <f>MAX(Keys!$C$51,$I430-$H430)</f>
        <v>0</v>
      </c>
      <c r="L430" s="10">
        <f t="shared" si="25"/>
        <v>0</v>
      </c>
      <c r="M430" s="11">
        <f>IF($L430&gt;Keys!$C$51,MIN(Keys!$C$52,$K430/$L430),Keys!$C$51)</f>
        <v>0</v>
      </c>
      <c r="N430" s="11">
        <f>IF($E430=Keys!$C$60,Keys!$C$51,IF($E430=Keys!$C$59,$D430,$M430))</f>
        <v>0</v>
      </c>
      <c r="O430">
        <f t="shared" si="26"/>
        <v>0</v>
      </c>
      <c r="P430" s="10">
        <f>IF($E430=Keys!$C$60,Keys!$C$51,INDEX(Raw_BFPIaE!$G$9:$G$3032,MATCH($A430&amp;Keys!$C$54&amp;Keys!$C$55&amp;Keys!$C$54&amp;$B430,Raw_BFPIaE!$H$9:$H$3032,0)))</f>
        <v>0</v>
      </c>
      <c r="Q430" s="10">
        <f>IF($E430=Keys!$C$60,Keys!$C$51,INDEX(Raw_BFPIaE!$G$9:$G$3032,MATCH($A430&amp;Keys!$C$54&amp;Keys!$C$56&amp;Keys!$C$54&amp;$B430,Raw_BFPIaE!$H$9:$H$3032,0)))</f>
        <v>0</v>
      </c>
      <c r="R430" s="10">
        <f>IF($E430=Keys!$C$60,Keys!$C$51,INDEX(Raw_BFPIaE!$G$9:$G$3032,MATCH($A430&amp;Keys!$C$54&amp;Keys!$C$57&amp;Keys!$C$54&amp;$B430,Raw_BFPIaE!$H$9:$H$3032,0)))</f>
        <v>0</v>
      </c>
      <c r="S430" s="11">
        <f>IF(($P430+$Q430-$R430+MAX(Keys!$C$51,$R430-$Q430))&gt;Keys!$C$51,MIN(Keys!$C$52,MAX(Keys!$C$51,$R430-$Q430)/($P430+$Q430-$R430+MAX(Keys!$C$51,$R430-$Q430))),Keys!$C$51)</f>
        <v>0</v>
      </c>
      <c r="T430">
        <f>IF(AND($I430&gt;$H430,ABS($L430-$G430)&gt;MAX(Keys!$C$62,ABS($G430)*Keys!$C$63)),1,0)</f>
        <v>0</v>
      </c>
      <c r="U430">
        <f>IF(OR($N430&lt;Keys!$C$51,$N430&gt;Keys!$C$52),1,0)</f>
        <v>0</v>
      </c>
      <c r="V430">
        <f>IF(AND($E430=Keys!$C$60,$N430&lt;&gt;Keys!$C$51),1,0)</f>
        <v>0</v>
      </c>
      <c r="W430">
        <f>IF($L430&gt;Keys!$C$51,IF($K430/$L430&gt;Keys!$C$52,1,0),0)</f>
        <v>0</v>
      </c>
      <c r="X430" s="11">
        <f t="shared" si="27"/>
        <v>0</v>
      </c>
    </row>
    <row r="431" spans="1:24" x14ac:dyDescent="0.25">
      <c r="A431" t="s">
        <v>122</v>
      </c>
      <c r="B431" t="s">
        <v>82</v>
      </c>
      <c r="C431" t="str">
        <f>VLOOKUP($B431,Keys!$F$2:$I$22,2,FALSE)</f>
        <v>biomass</v>
      </c>
      <c r="D431">
        <f>VLOOKUP($B431,Keys!$F$2:$I$22,3,FALSE)</f>
        <v>0.74947425499999998</v>
      </c>
      <c r="E431" t="str">
        <f>VLOOKUP($B431,Keys!$F$2:$I$22,4,FALSE)</f>
        <v>rule</v>
      </c>
      <c r="F431" t="str">
        <f>$A431&amp;Keys!$C$54&amp;$B431</f>
        <v>MN|biomass</v>
      </c>
      <c r="G431" s="10">
        <f>IF($E431=Keys!$C$60,Keys!$C$51,INDEX(Balanced_2025!$D$9:$D$3032,MATCH($A431&amp;Keys!$C$54&amp;Keys!$C$55&amp;Keys!$C$54&amp;$C431,Balanced_2025!$E$9:$E$3032,0)))</f>
        <v>0</v>
      </c>
      <c r="H431" s="10">
        <f>IF($E431=Keys!$C$60,Keys!$C$51,INDEX(Balanced_2025!$D$9:$D$3032,MATCH($A431&amp;Keys!$C$54&amp;Keys!$C$56&amp;Keys!$C$54&amp;$C431,Balanced_2025!$E$9:$E$3032,0)))</f>
        <v>44888400000000</v>
      </c>
      <c r="I431" s="10">
        <f>IF($E431=Keys!$C$60,Keys!$C$51,INDEX(Balanced_2025!$D$9:$D$3032,MATCH($A431&amp;Keys!$C$54&amp;Keys!$C$57&amp;Keys!$C$54&amp;$C431,Balanced_2025!$E$9:$E$3032,0)))</f>
        <v>0</v>
      </c>
      <c r="J431" s="10">
        <f t="shared" si="24"/>
        <v>44888400000000</v>
      </c>
      <c r="K431" s="10">
        <f>MAX(Keys!$C$51,$I431-$H431)</f>
        <v>0</v>
      </c>
      <c r="L431" s="10">
        <f t="shared" si="25"/>
        <v>44888400000000</v>
      </c>
      <c r="M431" s="11">
        <f>IF($L431&gt;Keys!$C$51,MIN(Keys!$C$52,$K431/$L431),Keys!$C$51)</f>
        <v>0</v>
      </c>
      <c r="N431" s="11">
        <f>IF($E431=Keys!$C$60,Keys!$C$51,IF($E431=Keys!$C$59,$D431,$M431))</f>
        <v>0</v>
      </c>
      <c r="O431">
        <f t="shared" si="26"/>
        <v>1</v>
      </c>
      <c r="P431" s="10">
        <f>IF($E431=Keys!$C$60,Keys!$C$51,INDEX(Raw_BFPIaE!$G$9:$G$3032,MATCH($A431&amp;Keys!$C$54&amp;Keys!$C$55&amp;Keys!$C$54&amp;$B431,Raw_BFPIaE!$H$9:$H$3032,0)))</f>
        <v>0</v>
      </c>
      <c r="Q431" s="10">
        <f>IF($E431=Keys!$C$60,Keys!$C$51,INDEX(Raw_BFPIaE!$G$9:$G$3032,MATCH($A431&amp;Keys!$C$54&amp;Keys!$C$56&amp;Keys!$C$54&amp;$B431,Raw_BFPIaE!$H$9:$H$3032,0)))</f>
        <v>29888833333333.332</v>
      </c>
      <c r="R431" s="10">
        <f>IF($E431=Keys!$C$60,Keys!$C$51,INDEX(Raw_BFPIaE!$G$9:$G$3032,MATCH($A431&amp;Keys!$C$54&amp;Keys!$C$57&amp;Keys!$C$54&amp;$B431,Raw_BFPIaE!$H$9:$H$3032,0)))</f>
        <v>0</v>
      </c>
      <c r="S431" s="11">
        <f>IF(($P431+$Q431-$R431+MAX(Keys!$C$51,$R431-$Q431))&gt;Keys!$C$51,MIN(Keys!$C$52,MAX(Keys!$C$51,$R431-$Q431)/($P431+$Q431-$R431+MAX(Keys!$C$51,$R431-$Q431))),Keys!$C$51)</f>
        <v>0</v>
      </c>
      <c r="T431">
        <f>IF(AND($I431&gt;$H431,ABS($L431-$G431)&gt;MAX(Keys!$C$62,ABS($G431)*Keys!$C$63)),1,0)</f>
        <v>0</v>
      </c>
      <c r="U431">
        <f>IF(OR($N431&lt;Keys!$C$51,$N431&gt;Keys!$C$52),1,0)</f>
        <v>0</v>
      </c>
      <c r="V431">
        <f>IF(AND($E431=Keys!$C$60,$N431&lt;&gt;Keys!$C$51),1,0)</f>
        <v>0</v>
      </c>
      <c r="W431">
        <f>IF($L431&gt;Keys!$C$51,IF($K431/$L431&gt;Keys!$C$52,1,0),0)</f>
        <v>0</v>
      </c>
      <c r="X431" s="11">
        <f t="shared" si="27"/>
        <v>0</v>
      </c>
    </row>
    <row r="432" spans="1:24" x14ac:dyDescent="0.25">
      <c r="A432" t="s">
        <v>122</v>
      </c>
      <c r="B432" t="s">
        <v>85</v>
      </c>
      <c r="C432" t="str">
        <f>VLOOKUP($B432,Keys!$F$2:$I$22,2,FALSE)</f>
        <v>petroleum gasoline</v>
      </c>
      <c r="D432">
        <f>VLOOKUP($B432,Keys!$F$2:$I$22,3,FALSE)</f>
        <v>7.5004052000000002E-2</v>
      </c>
      <c r="E432" t="str">
        <f>VLOOKUP($B432,Keys!$F$2:$I$22,4,FALSE)</f>
        <v>rule</v>
      </c>
      <c r="F432" t="str">
        <f>$A432&amp;Keys!$C$54&amp;$B432</f>
        <v>MN|petroleum gasoline</v>
      </c>
      <c r="G432" s="10">
        <f>IF($E432=Keys!$C$60,Keys!$C$51,INDEX(Balanced_2025!$D$9:$D$3032,MATCH($A432&amp;Keys!$C$54&amp;Keys!$C$55&amp;Keys!$C$54&amp;$C432,Balanced_2025!$E$9:$E$3032,0)))</f>
        <v>427020000000000</v>
      </c>
      <c r="H432" s="10">
        <f>IF($E432=Keys!$C$60,Keys!$C$51,INDEX(Balanced_2025!$D$9:$D$3032,MATCH($A432&amp;Keys!$C$54&amp;Keys!$C$56&amp;Keys!$C$54&amp;$C432,Balanced_2025!$E$9:$E$3032,0)))</f>
        <v>13318200000000</v>
      </c>
      <c r="I432" s="10">
        <f>IF($E432=Keys!$C$60,Keys!$C$51,INDEX(Balanced_2025!$D$9:$D$3032,MATCH($A432&amp;Keys!$C$54&amp;Keys!$C$57&amp;Keys!$C$54&amp;$C432,Balanced_2025!$E$9:$E$3032,0)))</f>
        <v>184383000000000</v>
      </c>
      <c r="J432" s="10">
        <f t="shared" si="24"/>
        <v>255955200000000</v>
      </c>
      <c r="K432" s="10">
        <f>MAX(Keys!$C$51,$I432-$H432)</f>
        <v>171064800000000</v>
      </c>
      <c r="L432" s="10">
        <f t="shared" si="25"/>
        <v>427020000000000</v>
      </c>
      <c r="M432" s="11">
        <f>IF($L432&gt;Keys!$C$51,MIN(Keys!$C$52,$K432/$L432),Keys!$C$51)</f>
        <v>0.40060137698468457</v>
      </c>
      <c r="N432" s="11">
        <f>IF($E432=Keys!$C$60,Keys!$C$51,IF($E432=Keys!$C$59,$D432,$M432))</f>
        <v>0.40060137698468457</v>
      </c>
      <c r="O432">
        <f t="shared" si="26"/>
        <v>1</v>
      </c>
      <c r="P432" s="10">
        <f>IF($E432=Keys!$C$60,Keys!$C$51,INDEX(Raw_BFPIaE!$G$9:$G$3032,MATCH($A432&amp;Keys!$C$54&amp;Keys!$C$55&amp;Keys!$C$54&amp;$B432,Raw_BFPIaE!$H$9:$H$3032,0)))</f>
        <v>423570000000000</v>
      </c>
      <c r="Q432" s="10">
        <f>IF($E432=Keys!$C$60,Keys!$C$51,INDEX(Raw_BFPIaE!$G$9:$G$3032,MATCH($A432&amp;Keys!$C$54&amp;Keys!$C$56&amp;Keys!$C$54&amp;$B432,Raw_BFPIaE!$H$9:$H$3032,0)))</f>
        <v>0</v>
      </c>
      <c r="R432" s="10">
        <f>IF($E432=Keys!$C$60,Keys!$C$51,INDEX(Raw_BFPIaE!$G$9:$G$3032,MATCH($A432&amp;Keys!$C$54&amp;Keys!$C$57&amp;Keys!$C$54&amp;$B432,Raw_BFPIaE!$H$9:$H$3032,0)))</f>
        <v>139875233333333.33</v>
      </c>
      <c r="S432" s="11">
        <f>IF(($P432+$Q432-$R432+MAX(Keys!$C$51,$R432-$Q432))&gt;Keys!$C$51,MIN(Keys!$C$52,MAX(Keys!$C$51,$R432-$Q432)/($P432+$Q432-$R432+MAX(Keys!$C$51,$R432-$Q432))),Keys!$C$51)</f>
        <v>0.33022932061603355</v>
      </c>
      <c r="T432">
        <f>IF(AND($I432&gt;$H432,ABS($L432-$G432)&gt;MAX(Keys!$C$62,ABS($G432)*Keys!$C$63)),1,0)</f>
        <v>0</v>
      </c>
      <c r="U432">
        <f>IF(OR($N432&lt;Keys!$C$51,$N432&gt;Keys!$C$52),1,0)</f>
        <v>0</v>
      </c>
      <c r="V432">
        <f>IF(AND($E432=Keys!$C$60,$N432&lt;&gt;Keys!$C$51),1,0)</f>
        <v>0</v>
      </c>
      <c r="W432">
        <f>IF($L432&gt;Keys!$C$51,IF($K432/$L432&gt;Keys!$C$52,1,0),0)</f>
        <v>0</v>
      </c>
      <c r="X432" s="11">
        <f t="shared" si="27"/>
        <v>7.0372056368651015E-2</v>
      </c>
    </row>
    <row r="433" spans="1:24" x14ac:dyDescent="0.25">
      <c r="A433" t="s">
        <v>122</v>
      </c>
      <c r="B433" t="s">
        <v>88</v>
      </c>
      <c r="C433" t="str">
        <f>VLOOKUP($B433,Keys!$F$2:$I$22,2,FALSE)</f>
        <v>petroleum diesel</v>
      </c>
      <c r="D433">
        <f>VLOOKUP($B433,Keys!$F$2:$I$22,3,FALSE)</f>
        <v>0.26691051799999999</v>
      </c>
      <c r="E433" t="str">
        <f>VLOOKUP($B433,Keys!$F$2:$I$22,4,FALSE)</f>
        <v>rule</v>
      </c>
      <c r="F433" t="str">
        <f>$A433&amp;Keys!$C$54&amp;$B433</f>
        <v>MN|petroleum diesel</v>
      </c>
      <c r="G433" s="10">
        <f>IF($E433=Keys!$C$60,Keys!$C$51,INDEX(Balanced_2025!$D$9:$D$3032,MATCH($A433&amp;Keys!$C$54&amp;Keys!$C$55&amp;Keys!$C$54&amp;$C433,Balanced_2025!$E$9:$E$3032,0)))</f>
        <v>252589000000000</v>
      </c>
      <c r="H433" s="10">
        <f>IF($E433=Keys!$C$60,Keys!$C$51,INDEX(Balanced_2025!$D$9:$D$3032,MATCH($A433&amp;Keys!$C$54&amp;Keys!$C$56&amp;Keys!$C$54&amp;$C433,Balanced_2025!$E$9:$E$3032,0)))</f>
        <v>1439730000000</v>
      </c>
      <c r="I433" s="10">
        <f>IF($E433=Keys!$C$60,Keys!$C$51,INDEX(Balanced_2025!$D$9:$D$3032,MATCH($A433&amp;Keys!$C$54&amp;Keys!$C$57&amp;Keys!$C$54&amp;$C433,Balanced_2025!$E$9:$E$3032,0)))</f>
        <v>100472000000000</v>
      </c>
      <c r="J433" s="10">
        <f t="shared" si="24"/>
        <v>153556730000000</v>
      </c>
      <c r="K433" s="10">
        <f>MAX(Keys!$C$51,$I433-$H433)</f>
        <v>99032270000000</v>
      </c>
      <c r="L433" s="10">
        <f t="shared" si="25"/>
        <v>252589000000000</v>
      </c>
      <c r="M433" s="11">
        <f>IF($L433&gt;Keys!$C$51,MIN(Keys!$C$52,$K433/$L433),Keys!$C$51)</f>
        <v>0.3920688153482535</v>
      </c>
      <c r="N433" s="11">
        <f>IF($E433=Keys!$C$60,Keys!$C$51,IF($E433=Keys!$C$59,$D433,$M433))</f>
        <v>0.3920688153482535</v>
      </c>
      <c r="O433">
        <f t="shared" si="26"/>
        <v>1</v>
      </c>
      <c r="P433" s="10">
        <f>IF($E433=Keys!$C$60,Keys!$C$51,INDEX(Raw_BFPIaE!$G$9:$G$3032,MATCH($A433&amp;Keys!$C$54&amp;Keys!$C$55&amp;Keys!$C$54&amp;$B433,Raw_BFPIaE!$H$9:$H$3032,0)))</f>
        <v>250548333333333.34</v>
      </c>
      <c r="Q433" s="10">
        <f>IF($E433=Keys!$C$60,Keys!$C$51,INDEX(Raw_BFPIaE!$G$9:$G$3032,MATCH($A433&amp;Keys!$C$54&amp;Keys!$C$56&amp;Keys!$C$54&amp;$B433,Raw_BFPIaE!$H$9:$H$3032,0)))</f>
        <v>0</v>
      </c>
      <c r="R433" s="10">
        <f>IF($E433=Keys!$C$60,Keys!$C$51,INDEX(Raw_BFPIaE!$G$9:$G$3032,MATCH($A433&amp;Keys!$C$54&amp;Keys!$C$57&amp;Keys!$C$54&amp;$B433,Raw_BFPIaE!$H$9:$H$3032,0)))</f>
        <v>64957933333333.336</v>
      </c>
      <c r="S433" s="11">
        <f>IF(($P433+$Q433-$R433+MAX(Keys!$C$51,$R433-$Q433))&gt;Keys!$C$51,MIN(Keys!$C$52,MAX(Keys!$C$51,$R433-$Q433)/($P433+$Q433-$R433+MAX(Keys!$C$51,$R433-$Q433))),Keys!$C$51)</f>
        <v>0.25926308297134948</v>
      </c>
      <c r="T433">
        <f>IF(AND($I433&gt;$H433,ABS($L433-$G433)&gt;MAX(Keys!$C$62,ABS($G433)*Keys!$C$63)),1,0)</f>
        <v>0</v>
      </c>
      <c r="U433">
        <f>IF(OR($N433&lt;Keys!$C$51,$N433&gt;Keys!$C$52),1,0)</f>
        <v>0</v>
      </c>
      <c r="V433">
        <f>IF(AND($E433=Keys!$C$60,$N433&lt;&gt;Keys!$C$51),1,0)</f>
        <v>0</v>
      </c>
      <c r="W433">
        <f>IF($L433&gt;Keys!$C$51,IF($K433/$L433&gt;Keys!$C$52,1,0),0)</f>
        <v>0</v>
      </c>
      <c r="X433" s="11">
        <f t="shared" si="27"/>
        <v>0.13280573237690402</v>
      </c>
    </row>
    <row r="434" spans="1:24" x14ac:dyDescent="0.25">
      <c r="A434" t="s">
        <v>122</v>
      </c>
      <c r="B434" t="s">
        <v>91</v>
      </c>
      <c r="C434" t="str">
        <f>VLOOKUP($B434,Keys!$F$2:$I$22,2,FALSE)</f>
        <v>biofuel gasoline</v>
      </c>
      <c r="D434">
        <f>VLOOKUP($B434,Keys!$F$2:$I$22,3,FALSE)</f>
        <v>8.7213884000000005E-2</v>
      </c>
      <c r="E434" t="str">
        <f>VLOOKUP($B434,Keys!$F$2:$I$22,4,FALSE)</f>
        <v>rule</v>
      </c>
      <c r="F434" t="str">
        <f>$A434&amp;Keys!$C$54&amp;$B434</f>
        <v>MN|biofuel gasoline</v>
      </c>
      <c r="G434" s="10">
        <f>IF($E434=Keys!$C$60,Keys!$C$51,INDEX(Balanced_2025!$D$9:$D$3032,MATCH($A434&amp;Keys!$C$54&amp;Keys!$C$55&amp;Keys!$C$54&amp;$C434,Balanced_2025!$E$9:$E$3032,0)))</f>
        <v>118377000000000</v>
      </c>
      <c r="H434" s="10">
        <f>IF($E434=Keys!$C$60,Keys!$C$51,INDEX(Balanced_2025!$D$9:$D$3032,MATCH($A434&amp;Keys!$C$54&amp;Keys!$C$56&amp;Keys!$C$54&amp;$C434,Balanced_2025!$E$9:$E$3032,0)))</f>
        <v>1149540000000</v>
      </c>
      <c r="I434" s="10">
        <f>IF($E434=Keys!$C$60,Keys!$C$51,INDEX(Balanced_2025!$D$9:$D$3032,MATCH($A434&amp;Keys!$C$54&amp;Keys!$C$57&amp;Keys!$C$54&amp;$C434,Balanced_2025!$E$9:$E$3032,0)))</f>
        <v>97668800000000</v>
      </c>
      <c r="J434" s="10">
        <f t="shared" si="24"/>
        <v>21857740000000</v>
      </c>
      <c r="K434" s="10">
        <f>MAX(Keys!$C$51,$I434-$H434)</f>
        <v>96519260000000</v>
      </c>
      <c r="L434" s="10">
        <f t="shared" si="25"/>
        <v>118377000000000</v>
      </c>
      <c r="M434" s="11">
        <f>IF($L434&gt;Keys!$C$51,MIN(Keys!$C$52,$K434/$L434),Keys!$C$51)</f>
        <v>0.81535484088969989</v>
      </c>
      <c r="N434" s="11">
        <f>IF($E434=Keys!$C$60,Keys!$C$51,IF($E434=Keys!$C$59,$D434,$M434))</f>
        <v>0.81535484088969989</v>
      </c>
      <c r="O434">
        <f t="shared" si="26"/>
        <v>1</v>
      </c>
      <c r="P434" s="10">
        <f>IF($E434=Keys!$C$60,Keys!$C$51,INDEX(Raw_BFPIaE!$G$9:$G$3032,MATCH($A434&amp;Keys!$C$54&amp;Keys!$C$55&amp;Keys!$C$54&amp;$B434,Raw_BFPIaE!$H$9:$H$3032,0)))</f>
        <v>118488000000000</v>
      </c>
      <c r="Q434" s="10">
        <f>IF($E434=Keys!$C$60,Keys!$C$51,INDEX(Raw_BFPIaE!$G$9:$G$3032,MATCH($A434&amp;Keys!$C$54&amp;Keys!$C$56&amp;Keys!$C$54&amp;$B434,Raw_BFPIaE!$H$9:$H$3032,0)))</f>
        <v>0</v>
      </c>
      <c r="R434" s="10">
        <f>IF($E434=Keys!$C$60,Keys!$C$51,INDEX(Raw_BFPIaE!$G$9:$G$3032,MATCH($A434&amp;Keys!$C$54&amp;Keys!$C$57&amp;Keys!$C$54&amp;$B434,Raw_BFPIaE!$H$9:$H$3032,0)))</f>
        <v>65293466666666.664</v>
      </c>
      <c r="S434" s="11">
        <f>IF(($P434+$Q434-$R434+MAX(Keys!$C$51,$R434-$Q434))&gt;Keys!$C$51,MIN(Keys!$C$52,MAX(Keys!$C$51,$R434-$Q434)/($P434+$Q434-$R434+MAX(Keys!$C$51,$R434-$Q434))),Keys!$C$51)</f>
        <v>0.55105552179686268</v>
      </c>
      <c r="T434">
        <f>IF(AND($I434&gt;$H434,ABS($L434-$G434)&gt;MAX(Keys!$C$62,ABS($G434)*Keys!$C$63)),1,0)</f>
        <v>0</v>
      </c>
      <c r="U434">
        <f>IF(OR($N434&lt;Keys!$C$51,$N434&gt;Keys!$C$52),1,0)</f>
        <v>0</v>
      </c>
      <c r="V434">
        <f>IF(AND($E434=Keys!$C$60,$N434&lt;&gt;Keys!$C$51),1,0)</f>
        <v>0</v>
      </c>
      <c r="W434">
        <f>IF($L434&gt;Keys!$C$51,IF($K434/$L434&gt;Keys!$C$52,1,0),0)</f>
        <v>0</v>
      </c>
      <c r="X434" s="11">
        <f t="shared" si="27"/>
        <v>0.26429931909283721</v>
      </c>
    </row>
    <row r="435" spans="1:24" x14ac:dyDescent="0.25">
      <c r="A435" t="s">
        <v>122</v>
      </c>
      <c r="B435" t="s">
        <v>94</v>
      </c>
      <c r="C435" t="str">
        <f>VLOOKUP($B435,Keys!$F$2:$I$22,2,FALSE)</f>
        <v>biofuel diesel</v>
      </c>
      <c r="D435">
        <f>VLOOKUP($B435,Keys!$F$2:$I$22,3,FALSE)</f>
        <v>5.8642381E-2</v>
      </c>
      <c r="E435" t="str">
        <f>VLOOKUP($B435,Keys!$F$2:$I$22,4,FALSE)</f>
        <v>rule</v>
      </c>
      <c r="F435" t="str">
        <f>$A435&amp;Keys!$C$54&amp;$B435</f>
        <v>MN|biofuel diesel</v>
      </c>
      <c r="G435" s="10">
        <f>IF($E435=Keys!$C$60,Keys!$C$51,INDEX(Balanced_2025!$D$9:$D$3032,MATCH($A435&amp;Keys!$C$54&amp;Keys!$C$55&amp;Keys!$C$54&amp;$C435,Balanced_2025!$E$9:$E$3032,0)))</f>
        <v>27597000000000</v>
      </c>
      <c r="H435" s="10">
        <f>IF($E435=Keys!$C$60,Keys!$C$51,INDEX(Balanced_2025!$D$9:$D$3032,MATCH($A435&amp;Keys!$C$54&amp;Keys!$C$56&amp;Keys!$C$54&amp;$C435,Balanced_2025!$E$9:$E$3032,0)))</f>
        <v>361117000000</v>
      </c>
      <c r="I435" s="10">
        <f>IF($E435=Keys!$C$60,Keys!$C$51,INDEX(Balanced_2025!$D$9:$D$3032,MATCH($A435&amp;Keys!$C$54&amp;Keys!$C$57&amp;Keys!$C$54&amp;$C435,Balanced_2025!$E$9:$E$3032,0)))</f>
        <v>15239200000000</v>
      </c>
      <c r="J435" s="10">
        <f t="shared" si="24"/>
        <v>12718917000000</v>
      </c>
      <c r="K435" s="10">
        <f>MAX(Keys!$C$51,$I435-$H435)</f>
        <v>14878083000000</v>
      </c>
      <c r="L435" s="10">
        <f t="shared" si="25"/>
        <v>27597000000000</v>
      </c>
      <c r="M435" s="11">
        <f>IF($L435&gt;Keys!$C$51,MIN(Keys!$C$52,$K435/$L435),Keys!$C$51)</f>
        <v>0.53911957821502332</v>
      </c>
      <c r="N435" s="11">
        <f>IF($E435=Keys!$C$60,Keys!$C$51,IF($E435=Keys!$C$59,$D435,$M435))</f>
        <v>0.53911957821502332</v>
      </c>
      <c r="O435">
        <f t="shared" si="26"/>
        <v>1</v>
      </c>
      <c r="P435" s="10">
        <f>IF($E435=Keys!$C$60,Keys!$C$51,INDEX(Raw_BFPIaE!$G$9:$G$3032,MATCH($A435&amp;Keys!$C$54&amp;Keys!$C$55&amp;Keys!$C$54&amp;$B435,Raw_BFPIaE!$H$9:$H$3032,0)))</f>
        <v>29325166666666.668</v>
      </c>
      <c r="Q435" s="10">
        <f>IF($E435=Keys!$C$60,Keys!$C$51,INDEX(Raw_BFPIaE!$G$9:$G$3032,MATCH($A435&amp;Keys!$C$54&amp;Keys!$C$56&amp;Keys!$C$54&amp;$B435,Raw_BFPIaE!$H$9:$H$3032,0)))</f>
        <v>0</v>
      </c>
      <c r="R435" s="10">
        <f>IF($E435=Keys!$C$60,Keys!$C$51,INDEX(Raw_BFPIaE!$G$9:$G$3032,MATCH($A435&amp;Keys!$C$54&amp;Keys!$C$57&amp;Keys!$C$54&amp;$B435,Raw_BFPIaE!$H$9:$H$3032,0)))</f>
        <v>11847800000000</v>
      </c>
      <c r="S435" s="11">
        <f>IF(($P435+$Q435-$R435+MAX(Keys!$C$51,$R435-$Q435))&gt;Keys!$C$51,MIN(Keys!$C$52,MAX(Keys!$C$51,$R435-$Q435)/($P435+$Q435-$R435+MAX(Keys!$C$51,$R435-$Q435))),Keys!$C$51)</f>
        <v>0.40401475410767768</v>
      </c>
      <c r="T435">
        <f>IF(AND($I435&gt;$H435,ABS($L435-$G435)&gt;MAX(Keys!$C$62,ABS($G435)*Keys!$C$63)),1,0)</f>
        <v>0</v>
      </c>
      <c r="U435">
        <f>IF(OR($N435&lt;Keys!$C$51,$N435&gt;Keys!$C$52),1,0)</f>
        <v>0</v>
      </c>
      <c r="V435">
        <f>IF(AND($E435=Keys!$C$60,$N435&lt;&gt;Keys!$C$51),1,0)</f>
        <v>0</v>
      </c>
      <c r="W435">
        <f>IF($L435&gt;Keys!$C$51,IF($K435/$L435&gt;Keys!$C$52,1,0),0)</f>
        <v>0</v>
      </c>
      <c r="X435" s="11">
        <f t="shared" si="27"/>
        <v>0.13510482410734564</v>
      </c>
    </row>
    <row r="436" spans="1:24" x14ac:dyDescent="0.25">
      <c r="A436" t="s">
        <v>122</v>
      </c>
      <c r="B436" t="s">
        <v>97</v>
      </c>
      <c r="C436" t="str">
        <f>VLOOKUP($B436,Keys!$F$2:$I$22,2,FALSE)</f>
        <v>jet fuel or kerosene</v>
      </c>
      <c r="D436">
        <f>VLOOKUP($B436,Keys!$F$2:$I$22,3,FALSE)</f>
        <v>0.10155994</v>
      </c>
      <c r="E436" t="str">
        <f>VLOOKUP($B436,Keys!$F$2:$I$22,4,FALSE)</f>
        <v>rule</v>
      </c>
      <c r="F436" t="str">
        <f>$A436&amp;Keys!$C$54&amp;$B436</f>
        <v>MN|jet fuel or kerosene</v>
      </c>
      <c r="G436" s="10">
        <f>IF($E436=Keys!$C$60,Keys!$C$51,INDEX(Balanced_2025!$D$9:$D$3032,MATCH($A436&amp;Keys!$C$54&amp;Keys!$C$55&amp;Keys!$C$54&amp;$C436,Balanced_2025!$E$9:$E$3032,0)))</f>
        <v>89916500000000</v>
      </c>
      <c r="H436" s="10">
        <f>IF($E436=Keys!$C$60,Keys!$C$51,INDEX(Balanced_2025!$D$9:$D$3032,MATCH($A436&amp;Keys!$C$54&amp;Keys!$C$56&amp;Keys!$C$54&amp;$C436,Balanced_2025!$E$9:$E$3032,0)))</f>
        <v>0</v>
      </c>
      <c r="I436" s="10">
        <f>IF($E436=Keys!$C$60,Keys!$C$51,INDEX(Balanced_2025!$D$9:$D$3032,MATCH($A436&amp;Keys!$C$54&amp;Keys!$C$57&amp;Keys!$C$54&amp;$C436,Balanced_2025!$E$9:$E$3032,0)))</f>
        <v>42244500000000</v>
      </c>
      <c r="J436" s="10">
        <f t="shared" si="24"/>
        <v>47672000000000</v>
      </c>
      <c r="K436" s="10">
        <f>MAX(Keys!$C$51,$I436-$H436)</f>
        <v>42244500000000</v>
      </c>
      <c r="L436" s="10">
        <f t="shared" si="25"/>
        <v>89916500000000</v>
      </c>
      <c r="M436" s="11">
        <f>IF($L436&gt;Keys!$C$51,MIN(Keys!$C$52,$K436/$L436),Keys!$C$51)</f>
        <v>0.46981922116630431</v>
      </c>
      <c r="N436" s="11">
        <f>IF($E436=Keys!$C$60,Keys!$C$51,IF($E436=Keys!$C$59,$D436,$M436))</f>
        <v>0.46981922116630431</v>
      </c>
      <c r="O436">
        <f t="shared" si="26"/>
        <v>1</v>
      </c>
      <c r="P436" s="10">
        <f>IF($E436=Keys!$C$60,Keys!$C$51,INDEX(Raw_BFPIaE!$G$9:$G$3032,MATCH($A436&amp;Keys!$C$54&amp;Keys!$C$55&amp;Keys!$C$54&amp;$B436,Raw_BFPIaE!$H$9:$H$3032,0)))</f>
        <v>89190033333333.328</v>
      </c>
      <c r="Q436" s="10">
        <f>IF($E436=Keys!$C$60,Keys!$C$51,INDEX(Raw_BFPIaE!$G$9:$G$3032,MATCH($A436&amp;Keys!$C$54&amp;Keys!$C$56&amp;Keys!$C$54&amp;$B436,Raw_BFPIaE!$H$9:$H$3032,0)))</f>
        <v>0</v>
      </c>
      <c r="R436" s="10">
        <f>IF($E436=Keys!$C$60,Keys!$C$51,INDEX(Raw_BFPIaE!$G$9:$G$3032,MATCH($A436&amp;Keys!$C$54&amp;Keys!$C$57&amp;Keys!$C$54&amp;$B436,Raw_BFPIaE!$H$9:$H$3032,0)))</f>
        <v>26910066666666.668</v>
      </c>
      <c r="S436" s="11">
        <f>IF(($P436+$Q436-$R436+MAX(Keys!$C$51,$R436-$Q436))&gt;Keys!$C$51,MIN(Keys!$C$52,MAX(Keys!$C$51,$R436-$Q436)/($P436+$Q436-$R436+MAX(Keys!$C$51,$R436-$Q436))),Keys!$C$51)</f>
        <v>0.30171607365695946</v>
      </c>
      <c r="T436">
        <f>IF(AND($I436&gt;$H436,ABS($L436-$G436)&gt;MAX(Keys!$C$62,ABS($G436)*Keys!$C$63)),1,0)</f>
        <v>0</v>
      </c>
      <c r="U436">
        <f>IF(OR($N436&lt;Keys!$C$51,$N436&gt;Keys!$C$52),1,0)</f>
        <v>0</v>
      </c>
      <c r="V436">
        <f>IF(AND($E436=Keys!$C$60,$N436&lt;&gt;Keys!$C$51),1,0)</f>
        <v>0</v>
      </c>
      <c r="W436">
        <f>IF($L436&gt;Keys!$C$51,IF($K436/$L436&gt;Keys!$C$52,1,0),0)</f>
        <v>0</v>
      </c>
      <c r="X436" s="11">
        <f t="shared" si="27"/>
        <v>0.16810314750934485</v>
      </c>
    </row>
    <row r="437" spans="1:24" x14ac:dyDescent="0.25">
      <c r="A437" t="s">
        <v>122</v>
      </c>
      <c r="B437" t="s">
        <v>100</v>
      </c>
      <c r="C437">
        <f>VLOOKUP($B437,Keys!$F$2:$I$22,2,FALSE)</f>
        <v>0</v>
      </c>
      <c r="D437">
        <f>VLOOKUP($B437,Keys!$F$2:$I$22,3,FALSE)</f>
        <v>0</v>
      </c>
      <c r="E437" t="str">
        <f>VLOOKUP($B437,Keys!$F$2:$I$22,4,FALSE)</f>
        <v>zero</v>
      </c>
      <c r="F437" t="str">
        <f>$A437&amp;Keys!$C$54&amp;$B437</f>
        <v>MN|heat (not used in this variable)</v>
      </c>
      <c r="G437" s="10">
        <f>IF($E437=Keys!$C$60,Keys!$C$51,INDEX(Balanced_2025!$D$9:$D$3032,MATCH($A437&amp;Keys!$C$54&amp;Keys!$C$55&amp;Keys!$C$54&amp;$C437,Balanced_2025!$E$9:$E$3032,0)))</f>
        <v>0</v>
      </c>
      <c r="H437" s="10">
        <f>IF($E437=Keys!$C$60,Keys!$C$51,INDEX(Balanced_2025!$D$9:$D$3032,MATCH($A437&amp;Keys!$C$54&amp;Keys!$C$56&amp;Keys!$C$54&amp;$C437,Balanced_2025!$E$9:$E$3032,0)))</f>
        <v>0</v>
      </c>
      <c r="I437" s="10">
        <f>IF($E437=Keys!$C$60,Keys!$C$51,INDEX(Balanced_2025!$D$9:$D$3032,MATCH($A437&amp;Keys!$C$54&amp;Keys!$C$57&amp;Keys!$C$54&amp;$C437,Balanced_2025!$E$9:$E$3032,0)))</f>
        <v>0</v>
      </c>
      <c r="J437" s="10">
        <f t="shared" si="24"/>
        <v>0</v>
      </c>
      <c r="K437" s="10">
        <f>MAX(Keys!$C$51,$I437-$H437)</f>
        <v>0</v>
      </c>
      <c r="L437" s="10">
        <f t="shared" si="25"/>
        <v>0</v>
      </c>
      <c r="M437" s="11">
        <f>IF($L437&gt;Keys!$C$51,MIN(Keys!$C$52,$K437/$L437),Keys!$C$51)</f>
        <v>0</v>
      </c>
      <c r="N437" s="11">
        <f>IF($E437=Keys!$C$60,Keys!$C$51,IF($E437=Keys!$C$59,$D437,$M437))</f>
        <v>0</v>
      </c>
      <c r="O437">
        <f t="shared" si="26"/>
        <v>0</v>
      </c>
      <c r="P437" s="10">
        <f>IF($E437=Keys!$C$60,Keys!$C$51,INDEX(Raw_BFPIaE!$G$9:$G$3032,MATCH($A437&amp;Keys!$C$54&amp;Keys!$C$55&amp;Keys!$C$54&amp;$B437,Raw_BFPIaE!$H$9:$H$3032,0)))</f>
        <v>0</v>
      </c>
      <c r="Q437" s="10">
        <f>IF($E437=Keys!$C$60,Keys!$C$51,INDEX(Raw_BFPIaE!$G$9:$G$3032,MATCH($A437&amp;Keys!$C$54&amp;Keys!$C$56&amp;Keys!$C$54&amp;$B437,Raw_BFPIaE!$H$9:$H$3032,0)))</f>
        <v>0</v>
      </c>
      <c r="R437" s="10">
        <f>IF($E437=Keys!$C$60,Keys!$C$51,INDEX(Raw_BFPIaE!$G$9:$G$3032,MATCH($A437&amp;Keys!$C$54&amp;Keys!$C$57&amp;Keys!$C$54&amp;$B437,Raw_BFPIaE!$H$9:$H$3032,0)))</f>
        <v>0</v>
      </c>
      <c r="S437" s="11">
        <f>IF(($P437+$Q437-$R437+MAX(Keys!$C$51,$R437-$Q437))&gt;Keys!$C$51,MIN(Keys!$C$52,MAX(Keys!$C$51,$R437-$Q437)/($P437+$Q437-$R437+MAX(Keys!$C$51,$R437-$Q437))),Keys!$C$51)</f>
        <v>0</v>
      </c>
      <c r="T437">
        <f>IF(AND($I437&gt;$H437,ABS($L437-$G437)&gt;MAX(Keys!$C$62,ABS($G437)*Keys!$C$63)),1,0)</f>
        <v>0</v>
      </c>
      <c r="U437">
        <f>IF(OR($N437&lt;Keys!$C$51,$N437&gt;Keys!$C$52),1,0)</f>
        <v>0</v>
      </c>
      <c r="V437">
        <f>IF(AND($E437=Keys!$C$60,$N437&lt;&gt;Keys!$C$51),1,0)</f>
        <v>0</v>
      </c>
      <c r="W437">
        <f>IF($L437&gt;Keys!$C$51,IF($K437/$L437&gt;Keys!$C$52,1,0),0)</f>
        <v>0</v>
      </c>
      <c r="X437" s="11">
        <f t="shared" si="27"/>
        <v>0</v>
      </c>
    </row>
    <row r="438" spans="1:24" x14ac:dyDescent="0.25">
      <c r="A438" t="s">
        <v>122</v>
      </c>
      <c r="B438" t="s">
        <v>103</v>
      </c>
      <c r="C438">
        <f>VLOOKUP($B438,Keys!$F$2:$I$22,2,FALSE)</f>
        <v>0</v>
      </c>
      <c r="D438">
        <f>VLOOKUP($B438,Keys!$F$2:$I$22,3,FALSE)</f>
        <v>0</v>
      </c>
      <c r="E438" t="str">
        <f>VLOOKUP($B438,Keys!$F$2:$I$22,4,FALSE)</f>
        <v>zero</v>
      </c>
      <c r="F438" t="str">
        <f>$A438&amp;Keys!$C$54&amp;$B438</f>
        <v>MN|geothermal (is not a fuel)</v>
      </c>
      <c r="G438" s="10">
        <f>IF($E438=Keys!$C$60,Keys!$C$51,INDEX(Balanced_2025!$D$9:$D$3032,MATCH($A438&amp;Keys!$C$54&amp;Keys!$C$55&amp;Keys!$C$54&amp;$C438,Balanced_2025!$E$9:$E$3032,0)))</f>
        <v>0</v>
      </c>
      <c r="H438" s="10">
        <f>IF($E438=Keys!$C$60,Keys!$C$51,INDEX(Balanced_2025!$D$9:$D$3032,MATCH($A438&amp;Keys!$C$54&amp;Keys!$C$56&amp;Keys!$C$54&amp;$C438,Balanced_2025!$E$9:$E$3032,0)))</f>
        <v>0</v>
      </c>
      <c r="I438" s="10">
        <f>IF($E438=Keys!$C$60,Keys!$C$51,INDEX(Balanced_2025!$D$9:$D$3032,MATCH($A438&amp;Keys!$C$54&amp;Keys!$C$57&amp;Keys!$C$54&amp;$C438,Balanced_2025!$E$9:$E$3032,0)))</f>
        <v>0</v>
      </c>
      <c r="J438" s="10">
        <f t="shared" si="24"/>
        <v>0</v>
      </c>
      <c r="K438" s="10">
        <f>MAX(Keys!$C$51,$I438-$H438)</f>
        <v>0</v>
      </c>
      <c r="L438" s="10">
        <f t="shared" si="25"/>
        <v>0</v>
      </c>
      <c r="M438" s="11">
        <f>IF($L438&gt;Keys!$C$51,MIN(Keys!$C$52,$K438/$L438),Keys!$C$51)</f>
        <v>0</v>
      </c>
      <c r="N438" s="11">
        <f>IF($E438=Keys!$C$60,Keys!$C$51,IF($E438=Keys!$C$59,$D438,$M438))</f>
        <v>0</v>
      </c>
      <c r="O438">
        <f t="shared" si="26"/>
        <v>0</v>
      </c>
      <c r="P438" s="10">
        <f>IF($E438=Keys!$C$60,Keys!$C$51,INDEX(Raw_BFPIaE!$G$9:$G$3032,MATCH($A438&amp;Keys!$C$54&amp;Keys!$C$55&amp;Keys!$C$54&amp;$B438,Raw_BFPIaE!$H$9:$H$3032,0)))</f>
        <v>0</v>
      </c>
      <c r="Q438" s="10">
        <f>IF($E438=Keys!$C$60,Keys!$C$51,INDEX(Raw_BFPIaE!$G$9:$G$3032,MATCH($A438&amp;Keys!$C$54&amp;Keys!$C$56&amp;Keys!$C$54&amp;$B438,Raw_BFPIaE!$H$9:$H$3032,0)))</f>
        <v>0</v>
      </c>
      <c r="R438" s="10">
        <f>IF($E438=Keys!$C$60,Keys!$C$51,INDEX(Raw_BFPIaE!$G$9:$G$3032,MATCH($A438&amp;Keys!$C$54&amp;Keys!$C$57&amp;Keys!$C$54&amp;$B438,Raw_BFPIaE!$H$9:$H$3032,0)))</f>
        <v>0</v>
      </c>
      <c r="S438" s="11">
        <f>IF(($P438+$Q438-$R438+MAX(Keys!$C$51,$R438-$Q438))&gt;Keys!$C$51,MIN(Keys!$C$52,MAX(Keys!$C$51,$R438-$Q438)/($P438+$Q438-$R438+MAX(Keys!$C$51,$R438-$Q438))),Keys!$C$51)</f>
        <v>0</v>
      </c>
      <c r="T438">
        <f>IF(AND($I438&gt;$H438,ABS($L438-$G438)&gt;MAX(Keys!$C$62,ABS($G438)*Keys!$C$63)),1,0)</f>
        <v>0</v>
      </c>
      <c r="U438">
        <f>IF(OR($N438&lt;Keys!$C$51,$N438&gt;Keys!$C$52),1,0)</f>
        <v>0</v>
      </c>
      <c r="V438">
        <f>IF(AND($E438=Keys!$C$60,$N438&lt;&gt;Keys!$C$51),1,0)</f>
        <v>0</v>
      </c>
      <c r="W438">
        <f>IF($L438&gt;Keys!$C$51,IF($K438/$L438&gt;Keys!$C$52,1,0),0)</f>
        <v>0</v>
      </c>
      <c r="X438" s="11">
        <f t="shared" si="27"/>
        <v>0</v>
      </c>
    </row>
    <row r="439" spans="1:24" x14ac:dyDescent="0.25">
      <c r="A439" t="s">
        <v>122</v>
      </c>
      <c r="B439" t="s">
        <v>106</v>
      </c>
      <c r="C439" t="str">
        <f>VLOOKUP($B439,Keys!$F$2:$I$22,2,FALSE)</f>
        <v>lignite</v>
      </c>
      <c r="D439">
        <f>VLOOKUP($B439,Keys!$F$2:$I$22,3,FALSE)</f>
        <v>0</v>
      </c>
      <c r="E439" t="str">
        <f>VLOOKUP($B439,Keys!$F$2:$I$22,4,FALSE)</f>
        <v>rule</v>
      </c>
      <c r="F439" t="str">
        <f>$A439&amp;Keys!$C$54&amp;$B439</f>
        <v>MN|lignite</v>
      </c>
      <c r="G439" s="10">
        <f>IF($E439=Keys!$C$60,Keys!$C$51,INDEX(Balanced_2025!$D$9:$D$3032,MATCH($A439&amp;Keys!$C$54&amp;Keys!$C$55&amp;Keys!$C$54&amp;$C439,Balanced_2025!$E$9:$E$3032,0)))</f>
        <v>0</v>
      </c>
      <c r="H439" s="10">
        <f>IF($E439=Keys!$C$60,Keys!$C$51,INDEX(Balanced_2025!$D$9:$D$3032,MATCH($A439&amp;Keys!$C$54&amp;Keys!$C$56&amp;Keys!$C$54&amp;$C439,Balanced_2025!$E$9:$E$3032,0)))</f>
        <v>0</v>
      </c>
      <c r="I439" s="10">
        <f>IF($E439=Keys!$C$60,Keys!$C$51,INDEX(Balanced_2025!$D$9:$D$3032,MATCH($A439&amp;Keys!$C$54&amp;Keys!$C$57&amp;Keys!$C$54&amp;$C439,Balanced_2025!$E$9:$E$3032,0)))</f>
        <v>0</v>
      </c>
      <c r="J439" s="10">
        <f t="shared" si="24"/>
        <v>0</v>
      </c>
      <c r="K439" s="10">
        <f>MAX(Keys!$C$51,$I439-$H439)</f>
        <v>0</v>
      </c>
      <c r="L439" s="10">
        <f t="shared" si="25"/>
        <v>0</v>
      </c>
      <c r="M439" s="11">
        <f>IF($L439&gt;Keys!$C$51,MIN(Keys!$C$52,$K439/$L439),Keys!$C$51)</f>
        <v>0</v>
      </c>
      <c r="N439" s="11">
        <f>IF($E439=Keys!$C$60,Keys!$C$51,IF($E439=Keys!$C$59,$D439,$M439))</f>
        <v>0</v>
      </c>
      <c r="O439">
        <f t="shared" si="26"/>
        <v>0</v>
      </c>
      <c r="P439" s="10">
        <f>IF($E439=Keys!$C$60,Keys!$C$51,INDEX(Raw_BFPIaE!$G$9:$G$3032,MATCH($A439&amp;Keys!$C$54&amp;Keys!$C$55&amp;Keys!$C$54&amp;$B439,Raw_BFPIaE!$H$9:$H$3032,0)))</f>
        <v>0</v>
      </c>
      <c r="Q439" s="10">
        <f>IF($E439=Keys!$C$60,Keys!$C$51,INDEX(Raw_BFPIaE!$G$9:$G$3032,MATCH($A439&amp;Keys!$C$54&amp;Keys!$C$56&amp;Keys!$C$54&amp;$B439,Raw_BFPIaE!$H$9:$H$3032,0)))</f>
        <v>0</v>
      </c>
      <c r="R439" s="10">
        <f>IF($E439=Keys!$C$60,Keys!$C$51,INDEX(Raw_BFPIaE!$G$9:$G$3032,MATCH($A439&amp;Keys!$C$54&amp;Keys!$C$57&amp;Keys!$C$54&amp;$B439,Raw_BFPIaE!$H$9:$H$3032,0)))</f>
        <v>0</v>
      </c>
      <c r="S439" s="11">
        <f>IF(($P439+$Q439-$R439+MAX(Keys!$C$51,$R439-$Q439))&gt;Keys!$C$51,MIN(Keys!$C$52,MAX(Keys!$C$51,$R439-$Q439)/($P439+$Q439-$R439+MAX(Keys!$C$51,$R439-$Q439))),Keys!$C$51)</f>
        <v>0</v>
      </c>
      <c r="T439">
        <f>IF(AND($I439&gt;$H439,ABS($L439-$G439)&gt;MAX(Keys!$C$62,ABS($G439)*Keys!$C$63)),1,0)</f>
        <v>0</v>
      </c>
      <c r="U439">
        <f>IF(OR($N439&lt;Keys!$C$51,$N439&gt;Keys!$C$52),1,0)</f>
        <v>0</v>
      </c>
      <c r="V439">
        <f>IF(AND($E439=Keys!$C$60,$N439&lt;&gt;Keys!$C$51),1,0)</f>
        <v>0</v>
      </c>
      <c r="W439">
        <f>IF($L439&gt;Keys!$C$51,IF($K439/$L439&gt;Keys!$C$52,1,0),0)</f>
        <v>0</v>
      </c>
      <c r="X439" s="11">
        <f t="shared" si="27"/>
        <v>0</v>
      </c>
    </row>
    <row r="440" spans="1:24" x14ac:dyDescent="0.25">
      <c r="A440" t="s">
        <v>122</v>
      </c>
      <c r="B440" t="s">
        <v>109</v>
      </c>
      <c r="C440" t="str">
        <f>VLOOKUP($B440,Keys!$F$2:$I$22,2,FALSE)</f>
        <v>crude oil</v>
      </c>
      <c r="D440">
        <f>VLOOKUP($B440,Keys!$F$2:$I$22,3,FALSE)</f>
        <v>1</v>
      </c>
      <c r="E440" t="str">
        <f>VLOOKUP($B440,Keys!$F$2:$I$22,4,FALSE)</f>
        <v>hold</v>
      </c>
      <c r="F440" t="str">
        <f>$A440&amp;Keys!$C$54&amp;$B440</f>
        <v>MN|crude oil</v>
      </c>
      <c r="G440" s="10">
        <f>IF($E440=Keys!$C$60,Keys!$C$51,INDEX(Balanced_2025!$D$9:$D$3032,MATCH($A440&amp;Keys!$C$54&amp;Keys!$C$55&amp;Keys!$C$54&amp;$C440,Balanced_2025!$E$9:$E$3032,0)))</f>
        <v>0</v>
      </c>
      <c r="H440" s="10">
        <f>IF($E440=Keys!$C$60,Keys!$C$51,INDEX(Balanced_2025!$D$9:$D$3032,MATCH($A440&amp;Keys!$C$54&amp;Keys!$C$56&amp;Keys!$C$54&amp;$C440,Balanced_2025!$E$9:$E$3032,0)))</f>
        <v>888164000000000</v>
      </c>
      <c r="I440" s="10">
        <f>IF($E440=Keys!$C$60,Keys!$C$51,INDEX(Balanced_2025!$D$9:$D$3032,MATCH($A440&amp;Keys!$C$54&amp;Keys!$C$57&amp;Keys!$C$54&amp;$C440,Balanced_2025!$E$9:$E$3032,0)))</f>
        <v>0</v>
      </c>
      <c r="J440" s="10">
        <f t="shared" si="24"/>
        <v>888164000000000</v>
      </c>
      <c r="K440" s="10">
        <f>MAX(Keys!$C$51,$I440-$H440)</f>
        <v>0</v>
      </c>
      <c r="L440" s="10">
        <f t="shared" si="25"/>
        <v>888164000000000</v>
      </c>
      <c r="M440" s="11">
        <f>IF($L440&gt;Keys!$C$51,MIN(Keys!$C$52,$K440/$L440),Keys!$C$51)</f>
        <v>0</v>
      </c>
      <c r="N440" s="11">
        <f>IF($E440=Keys!$C$60,Keys!$C$51,IF($E440=Keys!$C$59,$D440,$M440))</f>
        <v>1</v>
      </c>
      <c r="O440">
        <f t="shared" si="26"/>
        <v>0</v>
      </c>
      <c r="P440" s="10">
        <f>IF($E440=Keys!$C$60,Keys!$C$51,INDEX(Raw_BFPIaE!$G$9:$G$3032,MATCH($A440&amp;Keys!$C$54&amp;Keys!$C$55&amp;Keys!$C$54&amp;$B440,Raw_BFPIaE!$H$9:$H$3032,0)))</f>
        <v>0</v>
      </c>
      <c r="Q440" s="10">
        <f>IF($E440=Keys!$C$60,Keys!$C$51,INDEX(Raw_BFPIaE!$G$9:$G$3032,MATCH($A440&amp;Keys!$C$54&amp;Keys!$C$56&amp;Keys!$C$54&amp;$B440,Raw_BFPIaE!$H$9:$H$3032,0)))</f>
        <v>592109333333333.38</v>
      </c>
      <c r="R440" s="10">
        <f>IF($E440=Keys!$C$60,Keys!$C$51,INDEX(Raw_BFPIaE!$G$9:$G$3032,MATCH($A440&amp;Keys!$C$54&amp;Keys!$C$57&amp;Keys!$C$54&amp;$B440,Raw_BFPIaE!$H$9:$H$3032,0)))</f>
        <v>0</v>
      </c>
      <c r="S440" s="11">
        <f>IF(($P440+$Q440-$R440+MAX(Keys!$C$51,$R440-$Q440))&gt;Keys!$C$51,MIN(Keys!$C$52,MAX(Keys!$C$51,$R440-$Q440)/($P440+$Q440-$R440+MAX(Keys!$C$51,$R440-$Q440))),Keys!$C$51)</f>
        <v>0</v>
      </c>
      <c r="T440">
        <f>IF(AND($I440&gt;$H440,ABS($L440-$G440)&gt;MAX(Keys!$C$62,ABS($G440)*Keys!$C$63)),1,0)</f>
        <v>0</v>
      </c>
      <c r="U440">
        <f>IF(OR($N440&lt;Keys!$C$51,$N440&gt;Keys!$C$52),1,0)</f>
        <v>0</v>
      </c>
      <c r="V440">
        <f>IF(AND($E440=Keys!$C$60,$N440&lt;&gt;Keys!$C$51),1,0)</f>
        <v>0</v>
      </c>
      <c r="W440">
        <f>IF($L440&gt;Keys!$C$51,IF($K440/$L440&gt;Keys!$C$52,1,0),0)</f>
        <v>0</v>
      </c>
      <c r="X440" s="11">
        <f t="shared" si="27"/>
        <v>0</v>
      </c>
    </row>
    <row r="441" spans="1:24" x14ac:dyDescent="0.25">
      <c r="A441" t="s">
        <v>122</v>
      </c>
      <c r="B441" t="s">
        <v>113</v>
      </c>
      <c r="C441" t="str">
        <f>VLOOKUP($B441,Keys!$F$2:$I$22,2,FALSE)</f>
        <v>heavy or residual fuel oil</v>
      </c>
      <c r="D441">
        <f>VLOOKUP($B441,Keys!$F$2:$I$22,3,FALSE)</f>
        <v>0.49914171099999999</v>
      </c>
      <c r="E441" t="str">
        <f>VLOOKUP($B441,Keys!$F$2:$I$22,4,FALSE)</f>
        <v>rule</v>
      </c>
      <c r="F441" t="str">
        <f>$A441&amp;Keys!$C$54&amp;$B441</f>
        <v>MN|heavy fuel oil</v>
      </c>
      <c r="G441" s="10">
        <f>IF($E441=Keys!$C$60,Keys!$C$51,INDEX(Balanced_2025!$D$9:$D$3032,MATCH($A441&amp;Keys!$C$54&amp;Keys!$C$55&amp;Keys!$C$54&amp;$C441,Balanced_2025!$E$9:$E$3032,0)))</f>
        <v>17466600000000</v>
      </c>
      <c r="H441" s="10">
        <f>IF($E441=Keys!$C$60,Keys!$C$51,INDEX(Balanced_2025!$D$9:$D$3032,MATCH($A441&amp;Keys!$C$54&amp;Keys!$C$56&amp;Keys!$C$54&amp;$C441,Balanced_2025!$E$9:$E$3032,0)))</f>
        <v>6873050000000</v>
      </c>
      <c r="I441" s="10">
        <f>IF($E441=Keys!$C$60,Keys!$C$51,INDEX(Balanced_2025!$D$9:$D$3032,MATCH($A441&amp;Keys!$C$54&amp;Keys!$C$57&amp;Keys!$C$54&amp;$C441,Balanced_2025!$E$9:$E$3032,0)))</f>
        <v>0</v>
      </c>
      <c r="J441" s="10">
        <f t="shared" si="24"/>
        <v>24339650000000</v>
      </c>
      <c r="K441" s="10">
        <f>MAX(Keys!$C$51,$I441-$H441)</f>
        <v>0</v>
      </c>
      <c r="L441" s="10">
        <f t="shared" si="25"/>
        <v>24339650000000</v>
      </c>
      <c r="M441" s="11">
        <f>IF($L441&gt;Keys!$C$51,MIN(Keys!$C$52,$K441/$L441),Keys!$C$51)</f>
        <v>0</v>
      </c>
      <c r="N441" s="11">
        <f>IF($E441=Keys!$C$60,Keys!$C$51,IF($E441=Keys!$C$59,$D441,$M441))</f>
        <v>0</v>
      </c>
      <c r="O441">
        <f t="shared" si="26"/>
        <v>1</v>
      </c>
      <c r="P441" s="10">
        <f>IF($E441=Keys!$C$60,Keys!$C$51,INDEX(Raw_BFPIaE!$G$9:$G$3032,MATCH($A441&amp;Keys!$C$54&amp;Keys!$C$55&amp;Keys!$C$54&amp;$B441,Raw_BFPIaE!$H$9:$H$3032,0)))</f>
        <v>17325466666666.666</v>
      </c>
      <c r="Q441" s="10">
        <f>IF($E441=Keys!$C$60,Keys!$C$51,INDEX(Raw_BFPIaE!$G$9:$G$3032,MATCH($A441&amp;Keys!$C$54&amp;Keys!$C$56&amp;Keys!$C$54&amp;$B441,Raw_BFPIaE!$H$9:$H$3032,0)))</f>
        <v>4893210000000</v>
      </c>
      <c r="R441" s="10">
        <f>IF($E441=Keys!$C$60,Keys!$C$51,INDEX(Raw_BFPIaE!$G$9:$G$3032,MATCH($A441&amp;Keys!$C$54&amp;Keys!$C$57&amp;Keys!$C$54&amp;$B441,Raw_BFPIaE!$H$9:$H$3032,0)))</f>
        <v>0</v>
      </c>
      <c r="S441" s="11">
        <f>IF(($P441+$Q441-$R441+MAX(Keys!$C$51,$R441-$Q441))&gt;Keys!$C$51,MIN(Keys!$C$52,MAX(Keys!$C$51,$R441-$Q441)/($P441+$Q441-$R441+MAX(Keys!$C$51,$R441-$Q441))),Keys!$C$51)</f>
        <v>0</v>
      </c>
      <c r="T441">
        <f>IF(AND($I441&gt;$H441,ABS($L441-$G441)&gt;MAX(Keys!$C$62,ABS($G441)*Keys!$C$63)),1,0)</f>
        <v>0</v>
      </c>
      <c r="U441">
        <f>IF(OR($N441&lt;Keys!$C$51,$N441&gt;Keys!$C$52),1,0)</f>
        <v>0</v>
      </c>
      <c r="V441">
        <f>IF(AND($E441=Keys!$C$60,$N441&lt;&gt;Keys!$C$51),1,0)</f>
        <v>0</v>
      </c>
      <c r="W441">
        <f>IF($L441&gt;Keys!$C$51,IF($K441/$L441&gt;Keys!$C$52,1,0),0)</f>
        <v>0</v>
      </c>
      <c r="X441" s="11">
        <f t="shared" si="27"/>
        <v>0</v>
      </c>
    </row>
    <row r="442" spans="1:24" x14ac:dyDescent="0.25">
      <c r="A442" t="s">
        <v>122</v>
      </c>
      <c r="B442" t="s">
        <v>117</v>
      </c>
      <c r="C442" t="str">
        <f>VLOOKUP($B442,Keys!$F$2:$I$22,2,FALSE)</f>
        <v>LPG propane or butane</v>
      </c>
      <c r="D442">
        <f>VLOOKUP($B442,Keys!$F$2:$I$22,3,FALSE)</f>
        <v>0.54955999499999997</v>
      </c>
      <c r="E442" t="str">
        <f>VLOOKUP($B442,Keys!$F$2:$I$22,4,FALSE)</f>
        <v>rule</v>
      </c>
      <c r="F442" t="str">
        <f>$A442&amp;Keys!$C$54&amp;$B442</f>
        <v>MN|LPG propane or butane</v>
      </c>
      <c r="G442" s="10">
        <f>IF($E442=Keys!$C$60,Keys!$C$51,INDEX(Balanced_2025!$D$9:$D$3032,MATCH($A442&amp;Keys!$C$54&amp;Keys!$C$55&amp;Keys!$C$54&amp;$C442,Balanced_2025!$E$9:$E$3032,0)))</f>
        <v>0</v>
      </c>
      <c r="H442" s="10">
        <f>IF($E442=Keys!$C$60,Keys!$C$51,INDEX(Balanced_2025!$D$9:$D$3032,MATCH($A442&amp;Keys!$C$54&amp;Keys!$C$56&amp;Keys!$C$54&amp;$C442,Balanced_2025!$E$9:$E$3032,0)))</f>
        <v>38846400000000</v>
      </c>
      <c r="I442" s="10">
        <f>IF($E442=Keys!$C$60,Keys!$C$51,INDEX(Balanced_2025!$D$9:$D$3032,MATCH($A442&amp;Keys!$C$54&amp;Keys!$C$57&amp;Keys!$C$54&amp;$C442,Balanced_2025!$E$9:$E$3032,0)))</f>
        <v>0</v>
      </c>
      <c r="J442" s="10">
        <f t="shared" si="24"/>
        <v>38846400000000</v>
      </c>
      <c r="K442" s="10">
        <f>MAX(Keys!$C$51,$I442-$H442)</f>
        <v>0</v>
      </c>
      <c r="L442" s="10">
        <f t="shared" si="25"/>
        <v>38846400000000</v>
      </c>
      <c r="M442" s="11">
        <f>IF($L442&gt;Keys!$C$51,MIN(Keys!$C$52,$K442/$L442),Keys!$C$51)</f>
        <v>0</v>
      </c>
      <c r="N442" s="11">
        <f>IF($E442=Keys!$C$60,Keys!$C$51,IF($E442=Keys!$C$59,$D442,$M442))</f>
        <v>0</v>
      </c>
      <c r="O442">
        <f t="shared" si="26"/>
        <v>1</v>
      </c>
      <c r="P442" s="10">
        <f>IF($E442=Keys!$C$60,Keys!$C$51,INDEX(Raw_BFPIaE!$G$9:$G$3032,MATCH($A442&amp;Keys!$C$54&amp;Keys!$C$55&amp;Keys!$C$54&amp;$B442,Raw_BFPIaE!$H$9:$H$3032,0)))</f>
        <v>0</v>
      </c>
      <c r="Q442" s="10">
        <f>IF($E442=Keys!$C$60,Keys!$C$51,INDEX(Raw_BFPIaE!$G$9:$G$3032,MATCH($A442&amp;Keys!$C$54&amp;Keys!$C$56&amp;Keys!$C$54&amp;$B442,Raw_BFPIaE!$H$9:$H$3032,0)))</f>
        <v>25870066666666.668</v>
      </c>
      <c r="R442" s="10">
        <f>IF($E442=Keys!$C$60,Keys!$C$51,INDEX(Raw_BFPIaE!$G$9:$G$3032,MATCH($A442&amp;Keys!$C$54&amp;Keys!$C$57&amp;Keys!$C$54&amp;$B442,Raw_BFPIaE!$H$9:$H$3032,0)))</f>
        <v>0</v>
      </c>
      <c r="S442" s="11">
        <f>IF(($P442+$Q442-$R442+MAX(Keys!$C$51,$R442-$Q442))&gt;Keys!$C$51,MIN(Keys!$C$52,MAX(Keys!$C$51,$R442-$Q442)/($P442+$Q442-$R442+MAX(Keys!$C$51,$R442-$Q442))),Keys!$C$51)</f>
        <v>0</v>
      </c>
      <c r="T442">
        <f>IF(AND($I442&gt;$H442,ABS($L442-$G442)&gt;MAX(Keys!$C$62,ABS($G442)*Keys!$C$63)),1,0)</f>
        <v>0</v>
      </c>
      <c r="U442">
        <f>IF(OR($N442&lt;Keys!$C$51,$N442&gt;Keys!$C$52),1,0)</f>
        <v>0</v>
      </c>
      <c r="V442">
        <f>IF(AND($E442=Keys!$C$60,$N442&lt;&gt;Keys!$C$51),1,0)</f>
        <v>0</v>
      </c>
      <c r="W442">
        <f>IF($L442&gt;Keys!$C$51,IF($K442/$L442&gt;Keys!$C$52,1,0),0)</f>
        <v>0</v>
      </c>
      <c r="X442" s="11">
        <f t="shared" si="27"/>
        <v>0</v>
      </c>
    </row>
    <row r="443" spans="1:24" x14ac:dyDescent="0.25">
      <c r="A443" t="s">
        <v>122</v>
      </c>
      <c r="B443" t="s">
        <v>120</v>
      </c>
      <c r="C443">
        <f>VLOOKUP($B443,Keys!$F$2:$I$22,2,FALSE)</f>
        <v>0</v>
      </c>
      <c r="D443">
        <f>VLOOKUP($B443,Keys!$F$2:$I$22,3,FALSE)</f>
        <v>0</v>
      </c>
      <c r="E443" t="str">
        <f>VLOOKUP($B443,Keys!$F$2:$I$22,4,FALSE)</f>
        <v>zero</v>
      </c>
      <c r="F443" t="str">
        <f>$A443&amp;Keys!$C$54&amp;$B443</f>
        <v>MN|municipal solid waste</v>
      </c>
      <c r="G443" s="10">
        <f>IF($E443=Keys!$C$60,Keys!$C$51,INDEX(Balanced_2025!$D$9:$D$3032,MATCH($A443&amp;Keys!$C$54&amp;Keys!$C$55&amp;Keys!$C$54&amp;$C443,Balanced_2025!$E$9:$E$3032,0)))</f>
        <v>0</v>
      </c>
      <c r="H443" s="10">
        <f>IF($E443=Keys!$C$60,Keys!$C$51,INDEX(Balanced_2025!$D$9:$D$3032,MATCH($A443&amp;Keys!$C$54&amp;Keys!$C$56&amp;Keys!$C$54&amp;$C443,Balanced_2025!$E$9:$E$3032,0)))</f>
        <v>0</v>
      </c>
      <c r="I443" s="10">
        <f>IF($E443=Keys!$C$60,Keys!$C$51,INDEX(Balanced_2025!$D$9:$D$3032,MATCH($A443&amp;Keys!$C$54&amp;Keys!$C$57&amp;Keys!$C$54&amp;$C443,Balanced_2025!$E$9:$E$3032,0)))</f>
        <v>0</v>
      </c>
      <c r="J443" s="10">
        <f t="shared" si="24"/>
        <v>0</v>
      </c>
      <c r="K443" s="10">
        <f>MAX(Keys!$C$51,$I443-$H443)</f>
        <v>0</v>
      </c>
      <c r="L443" s="10">
        <f t="shared" si="25"/>
        <v>0</v>
      </c>
      <c r="M443" s="11">
        <f>IF($L443&gt;Keys!$C$51,MIN(Keys!$C$52,$K443/$L443),Keys!$C$51)</f>
        <v>0</v>
      </c>
      <c r="N443" s="11">
        <f>IF($E443=Keys!$C$60,Keys!$C$51,IF($E443=Keys!$C$59,$D443,$M443))</f>
        <v>0</v>
      </c>
      <c r="O443">
        <f t="shared" si="26"/>
        <v>0</v>
      </c>
      <c r="P443" s="10">
        <f>IF($E443=Keys!$C$60,Keys!$C$51,INDEX(Raw_BFPIaE!$G$9:$G$3032,MATCH($A443&amp;Keys!$C$54&amp;Keys!$C$55&amp;Keys!$C$54&amp;$B443,Raw_BFPIaE!$H$9:$H$3032,0)))</f>
        <v>0</v>
      </c>
      <c r="Q443" s="10">
        <f>IF($E443=Keys!$C$60,Keys!$C$51,INDEX(Raw_BFPIaE!$G$9:$G$3032,MATCH($A443&amp;Keys!$C$54&amp;Keys!$C$56&amp;Keys!$C$54&amp;$B443,Raw_BFPIaE!$H$9:$H$3032,0)))</f>
        <v>0</v>
      </c>
      <c r="R443" s="10">
        <f>IF($E443=Keys!$C$60,Keys!$C$51,INDEX(Raw_BFPIaE!$G$9:$G$3032,MATCH($A443&amp;Keys!$C$54&amp;Keys!$C$57&amp;Keys!$C$54&amp;$B443,Raw_BFPIaE!$H$9:$H$3032,0)))</f>
        <v>0</v>
      </c>
      <c r="S443" s="11">
        <f>IF(($P443+$Q443-$R443+MAX(Keys!$C$51,$R443-$Q443))&gt;Keys!$C$51,MIN(Keys!$C$52,MAX(Keys!$C$51,$R443-$Q443)/($P443+$Q443-$R443+MAX(Keys!$C$51,$R443-$Q443))),Keys!$C$51)</f>
        <v>0</v>
      </c>
      <c r="T443">
        <f>IF(AND($I443&gt;$H443,ABS($L443-$G443)&gt;MAX(Keys!$C$62,ABS($G443)*Keys!$C$63)),1,0)</f>
        <v>0</v>
      </c>
      <c r="U443">
        <f>IF(OR($N443&lt;Keys!$C$51,$N443&gt;Keys!$C$52),1,0)</f>
        <v>0</v>
      </c>
      <c r="V443">
        <f>IF(AND($E443=Keys!$C$60,$N443&lt;&gt;Keys!$C$51),1,0)</f>
        <v>0</v>
      </c>
      <c r="W443">
        <f>IF($L443&gt;Keys!$C$51,IF($K443/$L443&gt;Keys!$C$52,1,0),0)</f>
        <v>0</v>
      </c>
      <c r="X443" s="11">
        <f t="shared" si="27"/>
        <v>0</v>
      </c>
    </row>
    <row r="444" spans="1:24" x14ac:dyDescent="0.25">
      <c r="A444" t="s">
        <v>122</v>
      </c>
      <c r="B444" t="s">
        <v>123</v>
      </c>
      <c r="C444">
        <f>VLOOKUP($B444,Keys!$F$2:$I$22,2,FALSE)</f>
        <v>0</v>
      </c>
      <c r="D444">
        <f>VLOOKUP($B444,Keys!$F$2:$I$22,3,FALSE)</f>
        <v>0</v>
      </c>
      <c r="E444" t="str">
        <f>VLOOKUP($B444,Keys!$F$2:$I$22,4,FALSE)</f>
        <v>zero</v>
      </c>
      <c r="F444" t="str">
        <f>$A444&amp;Keys!$C$54&amp;$B444</f>
        <v>MN|hydrogen</v>
      </c>
      <c r="G444" s="10">
        <f>IF($E444=Keys!$C$60,Keys!$C$51,INDEX(Balanced_2025!$D$9:$D$3032,MATCH($A444&amp;Keys!$C$54&amp;Keys!$C$55&amp;Keys!$C$54&amp;$C444,Balanced_2025!$E$9:$E$3032,0)))</f>
        <v>0</v>
      </c>
      <c r="H444" s="10">
        <f>IF($E444=Keys!$C$60,Keys!$C$51,INDEX(Balanced_2025!$D$9:$D$3032,MATCH($A444&amp;Keys!$C$54&amp;Keys!$C$56&amp;Keys!$C$54&amp;$C444,Balanced_2025!$E$9:$E$3032,0)))</f>
        <v>0</v>
      </c>
      <c r="I444" s="10">
        <f>IF($E444=Keys!$C$60,Keys!$C$51,INDEX(Balanced_2025!$D$9:$D$3032,MATCH($A444&amp;Keys!$C$54&amp;Keys!$C$57&amp;Keys!$C$54&amp;$C444,Balanced_2025!$E$9:$E$3032,0)))</f>
        <v>0</v>
      </c>
      <c r="J444" s="10">
        <f t="shared" si="24"/>
        <v>0</v>
      </c>
      <c r="K444" s="10">
        <f>MAX(Keys!$C$51,$I444-$H444)</f>
        <v>0</v>
      </c>
      <c r="L444" s="10">
        <f t="shared" si="25"/>
        <v>0</v>
      </c>
      <c r="M444" s="11">
        <f>IF($L444&gt;Keys!$C$51,MIN(Keys!$C$52,$K444/$L444),Keys!$C$51)</f>
        <v>0</v>
      </c>
      <c r="N444" s="11">
        <f>IF($E444=Keys!$C$60,Keys!$C$51,IF($E444=Keys!$C$59,$D444,$M444))</f>
        <v>0</v>
      </c>
      <c r="O444">
        <f t="shared" si="26"/>
        <v>0</v>
      </c>
      <c r="P444" s="10">
        <f>IF($E444=Keys!$C$60,Keys!$C$51,INDEX(Raw_BFPIaE!$G$9:$G$3032,MATCH($A444&amp;Keys!$C$54&amp;Keys!$C$55&amp;Keys!$C$54&amp;$B444,Raw_BFPIaE!$H$9:$H$3032,0)))</f>
        <v>0</v>
      </c>
      <c r="Q444" s="10">
        <f>IF($E444=Keys!$C$60,Keys!$C$51,INDEX(Raw_BFPIaE!$G$9:$G$3032,MATCH($A444&amp;Keys!$C$54&amp;Keys!$C$56&amp;Keys!$C$54&amp;$B444,Raw_BFPIaE!$H$9:$H$3032,0)))</f>
        <v>0</v>
      </c>
      <c r="R444" s="10">
        <f>IF($E444=Keys!$C$60,Keys!$C$51,INDEX(Raw_BFPIaE!$G$9:$G$3032,MATCH($A444&amp;Keys!$C$54&amp;Keys!$C$57&amp;Keys!$C$54&amp;$B444,Raw_BFPIaE!$H$9:$H$3032,0)))</f>
        <v>0</v>
      </c>
      <c r="S444" s="11">
        <f>IF(($P444+$Q444-$R444+MAX(Keys!$C$51,$R444-$Q444))&gt;Keys!$C$51,MIN(Keys!$C$52,MAX(Keys!$C$51,$R444-$Q444)/($P444+$Q444-$R444+MAX(Keys!$C$51,$R444-$Q444))),Keys!$C$51)</f>
        <v>0</v>
      </c>
      <c r="T444">
        <f>IF(AND($I444&gt;$H444,ABS($L444-$G444)&gt;MAX(Keys!$C$62,ABS($G444)*Keys!$C$63)),1,0)</f>
        <v>0</v>
      </c>
      <c r="U444">
        <f>IF(OR($N444&lt;Keys!$C$51,$N444&gt;Keys!$C$52),1,0)</f>
        <v>0</v>
      </c>
      <c r="V444">
        <f>IF(AND($E444=Keys!$C$60,$N444&lt;&gt;Keys!$C$51),1,0)</f>
        <v>0</v>
      </c>
      <c r="W444">
        <f>IF($L444&gt;Keys!$C$51,IF($K444/$L444&gt;Keys!$C$52,1,0),0)</f>
        <v>0</v>
      </c>
      <c r="X444" s="11">
        <f t="shared" si="27"/>
        <v>0</v>
      </c>
    </row>
    <row r="445" spans="1:24" x14ac:dyDescent="0.25">
      <c r="A445" t="s">
        <v>125</v>
      </c>
      <c r="B445" t="s">
        <v>60</v>
      </c>
      <c r="C445">
        <f>VLOOKUP($B445,Keys!$F$2:$I$22,2,FALSE)</f>
        <v>0</v>
      </c>
      <c r="D445">
        <f>VLOOKUP($B445,Keys!$F$2:$I$22,3,FALSE)</f>
        <v>0</v>
      </c>
      <c r="E445" t="str">
        <f>VLOOKUP($B445,Keys!$F$2:$I$22,4,FALSE)</f>
        <v>zero</v>
      </c>
      <c r="F445" t="str">
        <f>$A445&amp;Keys!$C$54&amp;$B445</f>
        <v>MO|electricity (not used in this variable)</v>
      </c>
      <c r="G445" s="10">
        <f>IF($E445=Keys!$C$60,Keys!$C$51,INDEX(Balanced_2025!$D$9:$D$3032,MATCH($A445&amp;Keys!$C$54&amp;Keys!$C$55&amp;Keys!$C$54&amp;$C445,Balanced_2025!$E$9:$E$3032,0)))</f>
        <v>0</v>
      </c>
      <c r="H445" s="10">
        <f>IF($E445=Keys!$C$60,Keys!$C$51,INDEX(Balanced_2025!$D$9:$D$3032,MATCH($A445&amp;Keys!$C$54&amp;Keys!$C$56&amp;Keys!$C$54&amp;$C445,Balanced_2025!$E$9:$E$3032,0)))</f>
        <v>0</v>
      </c>
      <c r="I445" s="10">
        <f>IF($E445=Keys!$C$60,Keys!$C$51,INDEX(Balanced_2025!$D$9:$D$3032,MATCH($A445&amp;Keys!$C$54&amp;Keys!$C$57&amp;Keys!$C$54&amp;$C445,Balanced_2025!$E$9:$E$3032,0)))</f>
        <v>0</v>
      </c>
      <c r="J445" s="10">
        <f t="shared" si="24"/>
        <v>0</v>
      </c>
      <c r="K445" s="10">
        <f>MAX(Keys!$C$51,$I445-$H445)</f>
        <v>0</v>
      </c>
      <c r="L445" s="10">
        <f t="shared" si="25"/>
        <v>0</v>
      </c>
      <c r="M445" s="11">
        <f>IF($L445&gt;Keys!$C$51,MIN(Keys!$C$52,$K445/$L445),Keys!$C$51)</f>
        <v>0</v>
      </c>
      <c r="N445" s="11">
        <f>IF($E445=Keys!$C$60,Keys!$C$51,IF($E445=Keys!$C$59,$D445,$M445))</f>
        <v>0</v>
      </c>
      <c r="O445">
        <f t="shared" si="26"/>
        <v>0</v>
      </c>
      <c r="P445" s="10">
        <f>IF($E445=Keys!$C$60,Keys!$C$51,INDEX(Raw_BFPIaE!$G$9:$G$3032,MATCH($A445&amp;Keys!$C$54&amp;Keys!$C$55&amp;Keys!$C$54&amp;$B445,Raw_BFPIaE!$H$9:$H$3032,0)))</f>
        <v>0</v>
      </c>
      <c r="Q445" s="10">
        <f>IF($E445=Keys!$C$60,Keys!$C$51,INDEX(Raw_BFPIaE!$G$9:$G$3032,MATCH($A445&amp;Keys!$C$54&amp;Keys!$C$56&amp;Keys!$C$54&amp;$B445,Raw_BFPIaE!$H$9:$H$3032,0)))</f>
        <v>0</v>
      </c>
      <c r="R445" s="10">
        <f>IF($E445=Keys!$C$60,Keys!$C$51,INDEX(Raw_BFPIaE!$G$9:$G$3032,MATCH($A445&amp;Keys!$C$54&amp;Keys!$C$57&amp;Keys!$C$54&amp;$B445,Raw_BFPIaE!$H$9:$H$3032,0)))</f>
        <v>0</v>
      </c>
      <c r="S445" s="11">
        <f>IF(($P445+$Q445-$R445+MAX(Keys!$C$51,$R445-$Q445))&gt;Keys!$C$51,MIN(Keys!$C$52,MAX(Keys!$C$51,$R445-$Q445)/($P445+$Q445-$R445+MAX(Keys!$C$51,$R445-$Q445))),Keys!$C$51)</f>
        <v>0</v>
      </c>
      <c r="T445">
        <f>IF(AND($I445&gt;$H445,ABS($L445-$G445)&gt;MAX(Keys!$C$62,ABS($G445)*Keys!$C$63)),1,0)</f>
        <v>0</v>
      </c>
      <c r="U445">
        <f>IF(OR($N445&lt;Keys!$C$51,$N445&gt;Keys!$C$52),1,0)</f>
        <v>0</v>
      </c>
      <c r="V445">
        <f>IF(AND($E445=Keys!$C$60,$N445&lt;&gt;Keys!$C$51),1,0)</f>
        <v>0</v>
      </c>
      <c r="W445">
        <f>IF($L445&gt;Keys!$C$51,IF($K445/$L445&gt;Keys!$C$52,1,0),0)</f>
        <v>0</v>
      </c>
      <c r="X445" s="11">
        <f t="shared" si="27"/>
        <v>0</v>
      </c>
    </row>
    <row r="446" spans="1:24" x14ac:dyDescent="0.25">
      <c r="A446" t="s">
        <v>125</v>
      </c>
      <c r="B446" t="s">
        <v>64</v>
      </c>
      <c r="C446" t="str">
        <f>VLOOKUP($B446,Keys!$F$2:$I$22,2,FALSE)</f>
        <v>hard coal</v>
      </c>
      <c r="D446">
        <f>VLOOKUP($B446,Keys!$F$2:$I$22,3,FALSE)</f>
        <v>0.137539879</v>
      </c>
      <c r="E446" t="str">
        <f>VLOOKUP($B446,Keys!$F$2:$I$22,4,FALSE)</f>
        <v>rule</v>
      </c>
      <c r="F446" t="str">
        <f>$A446&amp;Keys!$C$54&amp;$B446</f>
        <v>MO|hard coal</v>
      </c>
      <c r="G446" s="10">
        <f>IF($E446=Keys!$C$60,Keys!$C$51,INDEX(Balanced_2025!$D$9:$D$3032,MATCH($A446&amp;Keys!$C$54&amp;Keys!$C$55&amp;Keys!$C$54&amp;$C446,Balanced_2025!$E$9:$E$3032,0)))</f>
        <v>3019940000000</v>
      </c>
      <c r="H446" s="10">
        <f>IF($E446=Keys!$C$60,Keys!$C$51,INDEX(Balanced_2025!$D$9:$D$3032,MATCH($A446&amp;Keys!$C$54&amp;Keys!$C$56&amp;Keys!$C$54&amp;$C446,Balanced_2025!$E$9:$E$3032,0)))</f>
        <v>529018000000000</v>
      </c>
      <c r="I446" s="10">
        <f>IF($E446=Keys!$C$60,Keys!$C$51,INDEX(Balanced_2025!$D$9:$D$3032,MATCH($A446&amp;Keys!$C$54&amp;Keys!$C$57&amp;Keys!$C$54&amp;$C446,Balanced_2025!$E$9:$E$3032,0)))</f>
        <v>2151330000000</v>
      </c>
      <c r="J446" s="10">
        <f t="shared" si="24"/>
        <v>529886610000000</v>
      </c>
      <c r="K446" s="10">
        <f>MAX(Keys!$C$51,$I446-$H446)</f>
        <v>0</v>
      </c>
      <c r="L446" s="10">
        <f t="shared" si="25"/>
        <v>529886610000000</v>
      </c>
      <c r="M446" s="11">
        <f>IF($L446&gt;Keys!$C$51,MIN(Keys!$C$52,$K446/$L446),Keys!$C$51)</f>
        <v>0</v>
      </c>
      <c r="N446" s="11">
        <f>IF($E446=Keys!$C$60,Keys!$C$51,IF($E446=Keys!$C$59,$D446,$M446))</f>
        <v>0</v>
      </c>
      <c r="O446">
        <f t="shared" si="26"/>
        <v>1</v>
      </c>
      <c r="P446" s="10">
        <f>IF($E446=Keys!$C$60,Keys!$C$51,INDEX(Raw_BFPIaE!$G$9:$G$3032,MATCH($A446&amp;Keys!$C$54&amp;Keys!$C$55&amp;Keys!$C$54&amp;$B446,Raw_BFPIaE!$H$9:$H$3032,0)))</f>
        <v>3014523333333.3335</v>
      </c>
      <c r="Q446" s="10">
        <f>IF($E446=Keys!$C$60,Keys!$C$51,INDEX(Raw_BFPIaE!$G$9:$G$3032,MATCH($A446&amp;Keys!$C$54&amp;Keys!$C$56&amp;Keys!$C$54&amp;$B446,Raw_BFPIaE!$H$9:$H$3032,0)))</f>
        <v>470183666666666.69</v>
      </c>
      <c r="R446" s="10">
        <f>IF($E446=Keys!$C$60,Keys!$C$51,INDEX(Raw_BFPIaE!$G$9:$G$3032,MATCH($A446&amp;Keys!$C$54&amp;Keys!$C$57&amp;Keys!$C$54&amp;$B446,Raw_BFPIaE!$H$9:$H$3032,0)))</f>
        <v>2147473333333.3333</v>
      </c>
      <c r="S446" s="11">
        <f>IF(($P446+$Q446-$R446+MAX(Keys!$C$51,$R446-$Q446))&gt;Keys!$C$51,MIN(Keys!$C$52,MAX(Keys!$C$51,$R446-$Q446)/($P446+$Q446-$R446+MAX(Keys!$C$51,$R446-$Q446))),Keys!$C$51)</f>
        <v>0</v>
      </c>
      <c r="T446">
        <f>IF(AND($I446&gt;$H446,ABS($L446-$G446)&gt;MAX(Keys!$C$62,ABS($G446)*Keys!$C$63)),1,0)</f>
        <v>0</v>
      </c>
      <c r="U446">
        <f>IF(OR($N446&lt;Keys!$C$51,$N446&gt;Keys!$C$52),1,0)</f>
        <v>0</v>
      </c>
      <c r="V446">
        <f>IF(AND($E446=Keys!$C$60,$N446&lt;&gt;Keys!$C$51),1,0)</f>
        <v>0</v>
      </c>
      <c r="W446">
        <f>IF($L446&gt;Keys!$C$51,IF($K446/$L446&gt;Keys!$C$52,1,0),0)</f>
        <v>0</v>
      </c>
      <c r="X446" s="11">
        <f t="shared" si="27"/>
        <v>0</v>
      </c>
    </row>
    <row r="447" spans="1:24" x14ac:dyDescent="0.25">
      <c r="A447" t="s">
        <v>125</v>
      </c>
      <c r="B447" t="s">
        <v>68</v>
      </c>
      <c r="C447" t="str">
        <f>VLOOKUP($B447,Keys!$F$2:$I$22,2,FALSE)</f>
        <v>natural gas</v>
      </c>
      <c r="D447">
        <f>VLOOKUP($B447,Keys!$F$2:$I$22,3,FALSE)</f>
        <v>0.190839183</v>
      </c>
      <c r="E447" t="str">
        <f>VLOOKUP($B447,Keys!$F$2:$I$22,4,FALSE)</f>
        <v>rule</v>
      </c>
      <c r="F447" t="str">
        <f>$A447&amp;Keys!$C$54&amp;$B447</f>
        <v>MO|natural gas</v>
      </c>
      <c r="G447" s="10">
        <f>IF($E447=Keys!$C$60,Keys!$C$51,INDEX(Balanced_2025!$D$9:$D$3032,MATCH($A447&amp;Keys!$C$54&amp;Keys!$C$55&amp;Keys!$C$54&amp;$C447,Balanced_2025!$E$9:$E$3032,0)))</f>
        <v>1037000000</v>
      </c>
      <c r="H447" s="10">
        <f>IF($E447=Keys!$C$60,Keys!$C$51,INDEX(Balanced_2025!$D$9:$D$3032,MATCH($A447&amp;Keys!$C$54&amp;Keys!$C$56&amp;Keys!$C$54&amp;$C447,Balanced_2025!$E$9:$E$3032,0)))</f>
        <v>898378000000000</v>
      </c>
      <c r="I447" s="10">
        <f>IF($E447=Keys!$C$60,Keys!$C$51,INDEX(Balanced_2025!$D$9:$D$3032,MATCH($A447&amp;Keys!$C$54&amp;Keys!$C$57&amp;Keys!$C$54&amp;$C447,Balanced_2025!$E$9:$E$3032,0)))</f>
        <v>640112000000000</v>
      </c>
      <c r="J447" s="10">
        <f t="shared" si="24"/>
        <v>258267037000000</v>
      </c>
      <c r="K447" s="10">
        <f>MAX(Keys!$C$51,$I447-$H447)</f>
        <v>0</v>
      </c>
      <c r="L447" s="10">
        <f t="shared" si="25"/>
        <v>258267037000000</v>
      </c>
      <c r="M447" s="11">
        <f>IF($L447&gt;Keys!$C$51,MIN(Keys!$C$52,$K447/$L447),Keys!$C$51)</f>
        <v>0</v>
      </c>
      <c r="N447" s="11">
        <f>IF($E447=Keys!$C$60,Keys!$C$51,IF($E447=Keys!$C$59,$D447,$M447))</f>
        <v>0</v>
      </c>
      <c r="O447">
        <f t="shared" si="26"/>
        <v>1</v>
      </c>
      <c r="P447" s="10">
        <f>IF($E447=Keys!$C$60,Keys!$C$51,INDEX(Raw_BFPIaE!$G$9:$G$3032,MATCH($A447&amp;Keys!$C$54&amp;Keys!$C$55&amp;Keys!$C$54&amp;$B447,Raw_BFPIaE!$H$9:$H$3032,0)))</f>
        <v>1004739666.6666666</v>
      </c>
      <c r="Q447" s="10">
        <f>IF($E447=Keys!$C$60,Keys!$C$51,INDEX(Raw_BFPIaE!$G$9:$G$3032,MATCH($A447&amp;Keys!$C$54&amp;Keys!$C$56&amp;Keys!$C$54&amp;$B447,Raw_BFPIaE!$H$9:$H$3032,0)))</f>
        <v>897706666666666.63</v>
      </c>
      <c r="R447" s="10">
        <f>IF($E447=Keys!$C$60,Keys!$C$51,INDEX(Raw_BFPIaE!$G$9:$G$3032,MATCH($A447&amp;Keys!$C$54&amp;Keys!$C$57&amp;Keys!$C$54&amp;$B447,Raw_BFPIaE!$H$9:$H$3032,0)))</f>
        <v>620198666666666.63</v>
      </c>
      <c r="S447" s="11">
        <f>IF(($P447+$Q447-$R447+MAX(Keys!$C$51,$R447-$Q447))&gt;Keys!$C$51,MIN(Keys!$C$52,MAX(Keys!$C$51,$R447-$Q447)/($P447+$Q447-$R447+MAX(Keys!$C$51,$R447-$Q447))),Keys!$C$51)</f>
        <v>0</v>
      </c>
      <c r="T447">
        <f>IF(AND($I447&gt;$H447,ABS($L447-$G447)&gt;MAX(Keys!$C$62,ABS($G447)*Keys!$C$63)),1,0)</f>
        <v>0</v>
      </c>
      <c r="U447">
        <f>IF(OR($N447&lt;Keys!$C$51,$N447&gt;Keys!$C$52),1,0)</f>
        <v>0</v>
      </c>
      <c r="V447">
        <f>IF(AND($E447=Keys!$C$60,$N447&lt;&gt;Keys!$C$51),1,0)</f>
        <v>0</v>
      </c>
      <c r="W447">
        <f>IF($L447&gt;Keys!$C$51,IF($K447/$L447&gt;Keys!$C$52,1,0),0)</f>
        <v>0</v>
      </c>
      <c r="X447" s="11">
        <f t="shared" si="27"/>
        <v>0</v>
      </c>
    </row>
    <row r="448" spans="1:24" x14ac:dyDescent="0.25">
      <c r="A448" t="s">
        <v>125</v>
      </c>
      <c r="B448" t="s">
        <v>71</v>
      </c>
      <c r="C448">
        <f>VLOOKUP($B448,Keys!$F$2:$I$22,2,FALSE)</f>
        <v>0</v>
      </c>
      <c r="D448">
        <f>VLOOKUP($B448,Keys!$F$2:$I$22,3,FALSE)</f>
        <v>0</v>
      </c>
      <c r="E448" t="str">
        <f>VLOOKUP($B448,Keys!$F$2:$I$22,4,FALSE)</f>
        <v>zero</v>
      </c>
      <c r="F448" t="str">
        <f>$A448&amp;Keys!$C$54&amp;$B448</f>
        <v>MO|nuclear</v>
      </c>
      <c r="G448" s="10">
        <f>IF($E448=Keys!$C$60,Keys!$C$51,INDEX(Balanced_2025!$D$9:$D$3032,MATCH($A448&amp;Keys!$C$54&amp;Keys!$C$55&amp;Keys!$C$54&amp;$C448,Balanced_2025!$E$9:$E$3032,0)))</f>
        <v>0</v>
      </c>
      <c r="H448" s="10">
        <f>IF($E448=Keys!$C$60,Keys!$C$51,INDEX(Balanced_2025!$D$9:$D$3032,MATCH($A448&amp;Keys!$C$54&amp;Keys!$C$56&amp;Keys!$C$54&amp;$C448,Balanced_2025!$E$9:$E$3032,0)))</f>
        <v>0</v>
      </c>
      <c r="I448" s="10">
        <f>IF($E448=Keys!$C$60,Keys!$C$51,INDEX(Balanced_2025!$D$9:$D$3032,MATCH($A448&amp;Keys!$C$54&amp;Keys!$C$57&amp;Keys!$C$54&amp;$C448,Balanced_2025!$E$9:$E$3032,0)))</f>
        <v>0</v>
      </c>
      <c r="J448" s="10">
        <f t="shared" si="24"/>
        <v>0</v>
      </c>
      <c r="K448" s="10">
        <f>MAX(Keys!$C$51,$I448-$H448)</f>
        <v>0</v>
      </c>
      <c r="L448" s="10">
        <f t="shared" si="25"/>
        <v>0</v>
      </c>
      <c r="M448" s="11">
        <f>IF($L448&gt;Keys!$C$51,MIN(Keys!$C$52,$K448/$L448),Keys!$C$51)</f>
        <v>0</v>
      </c>
      <c r="N448" s="11">
        <f>IF($E448=Keys!$C$60,Keys!$C$51,IF($E448=Keys!$C$59,$D448,$M448))</f>
        <v>0</v>
      </c>
      <c r="O448">
        <f t="shared" si="26"/>
        <v>0</v>
      </c>
      <c r="P448" s="10">
        <f>IF($E448=Keys!$C$60,Keys!$C$51,INDEX(Raw_BFPIaE!$G$9:$G$3032,MATCH($A448&amp;Keys!$C$54&amp;Keys!$C$55&amp;Keys!$C$54&amp;$B448,Raw_BFPIaE!$H$9:$H$3032,0)))</f>
        <v>0</v>
      </c>
      <c r="Q448" s="10">
        <f>IF($E448=Keys!$C$60,Keys!$C$51,INDEX(Raw_BFPIaE!$G$9:$G$3032,MATCH($A448&amp;Keys!$C$54&amp;Keys!$C$56&amp;Keys!$C$54&amp;$B448,Raw_BFPIaE!$H$9:$H$3032,0)))</f>
        <v>0</v>
      </c>
      <c r="R448" s="10">
        <f>IF($E448=Keys!$C$60,Keys!$C$51,INDEX(Raw_BFPIaE!$G$9:$G$3032,MATCH($A448&amp;Keys!$C$54&amp;Keys!$C$57&amp;Keys!$C$54&amp;$B448,Raw_BFPIaE!$H$9:$H$3032,0)))</f>
        <v>0</v>
      </c>
      <c r="S448" s="11">
        <f>IF(($P448+$Q448-$R448+MAX(Keys!$C$51,$R448-$Q448))&gt;Keys!$C$51,MIN(Keys!$C$52,MAX(Keys!$C$51,$R448-$Q448)/($P448+$Q448-$R448+MAX(Keys!$C$51,$R448-$Q448))),Keys!$C$51)</f>
        <v>0</v>
      </c>
      <c r="T448">
        <f>IF(AND($I448&gt;$H448,ABS($L448-$G448)&gt;MAX(Keys!$C$62,ABS($G448)*Keys!$C$63)),1,0)</f>
        <v>0</v>
      </c>
      <c r="U448">
        <f>IF(OR($N448&lt;Keys!$C$51,$N448&gt;Keys!$C$52),1,0)</f>
        <v>0</v>
      </c>
      <c r="V448">
        <f>IF(AND($E448=Keys!$C$60,$N448&lt;&gt;Keys!$C$51),1,0)</f>
        <v>0</v>
      </c>
      <c r="W448">
        <f>IF($L448&gt;Keys!$C$51,IF($K448/$L448&gt;Keys!$C$52,1,0),0)</f>
        <v>0</v>
      </c>
      <c r="X448" s="11">
        <f t="shared" si="27"/>
        <v>0</v>
      </c>
    </row>
    <row r="449" spans="1:24" x14ac:dyDescent="0.25">
      <c r="A449" t="s">
        <v>125</v>
      </c>
      <c r="B449" t="s">
        <v>74</v>
      </c>
      <c r="C449">
        <f>VLOOKUP($B449,Keys!$F$2:$I$22,2,FALSE)</f>
        <v>0</v>
      </c>
      <c r="D449">
        <f>VLOOKUP($B449,Keys!$F$2:$I$22,3,FALSE)</f>
        <v>0</v>
      </c>
      <c r="E449" t="str">
        <f>VLOOKUP($B449,Keys!$F$2:$I$22,4,FALSE)</f>
        <v>zero</v>
      </c>
      <c r="F449" t="str">
        <f>$A449&amp;Keys!$C$54&amp;$B449</f>
        <v>MO|hydro (is not a fuel)</v>
      </c>
      <c r="G449" s="10">
        <f>IF($E449=Keys!$C$60,Keys!$C$51,INDEX(Balanced_2025!$D$9:$D$3032,MATCH($A449&amp;Keys!$C$54&amp;Keys!$C$55&amp;Keys!$C$54&amp;$C449,Balanced_2025!$E$9:$E$3032,0)))</f>
        <v>0</v>
      </c>
      <c r="H449" s="10">
        <f>IF($E449=Keys!$C$60,Keys!$C$51,INDEX(Balanced_2025!$D$9:$D$3032,MATCH($A449&amp;Keys!$C$54&amp;Keys!$C$56&amp;Keys!$C$54&amp;$C449,Balanced_2025!$E$9:$E$3032,0)))</f>
        <v>0</v>
      </c>
      <c r="I449" s="10">
        <f>IF($E449=Keys!$C$60,Keys!$C$51,INDEX(Balanced_2025!$D$9:$D$3032,MATCH($A449&amp;Keys!$C$54&amp;Keys!$C$57&amp;Keys!$C$54&amp;$C449,Balanced_2025!$E$9:$E$3032,0)))</f>
        <v>0</v>
      </c>
      <c r="J449" s="10">
        <f t="shared" si="24"/>
        <v>0</v>
      </c>
      <c r="K449" s="10">
        <f>MAX(Keys!$C$51,$I449-$H449)</f>
        <v>0</v>
      </c>
      <c r="L449" s="10">
        <f t="shared" si="25"/>
        <v>0</v>
      </c>
      <c r="M449" s="11">
        <f>IF($L449&gt;Keys!$C$51,MIN(Keys!$C$52,$K449/$L449),Keys!$C$51)</f>
        <v>0</v>
      </c>
      <c r="N449" s="11">
        <f>IF($E449=Keys!$C$60,Keys!$C$51,IF($E449=Keys!$C$59,$D449,$M449))</f>
        <v>0</v>
      </c>
      <c r="O449">
        <f t="shared" si="26"/>
        <v>0</v>
      </c>
      <c r="P449" s="10">
        <f>IF($E449=Keys!$C$60,Keys!$C$51,INDEX(Raw_BFPIaE!$G$9:$G$3032,MATCH($A449&amp;Keys!$C$54&amp;Keys!$C$55&amp;Keys!$C$54&amp;$B449,Raw_BFPIaE!$H$9:$H$3032,0)))</f>
        <v>0</v>
      </c>
      <c r="Q449" s="10">
        <f>IF($E449=Keys!$C$60,Keys!$C$51,INDEX(Raw_BFPIaE!$G$9:$G$3032,MATCH($A449&amp;Keys!$C$54&amp;Keys!$C$56&amp;Keys!$C$54&amp;$B449,Raw_BFPIaE!$H$9:$H$3032,0)))</f>
        <v>0</v>
      </c>
      <c r="R449" s="10">
        <f>IF($E449=Keys!$C$60,Keys!$C$51,INDEX(Raw_BFPIaE!$G$9:$G$3032,MATCH($A449&amp;Keys!$C$54&amp;Keys!$C$57&amp;Keys!$C$54&amp;$B449,Raw_BFPIaE!$H$9:$H$3032,0)))</f>
        <v>0</v>
      </c>
      <c r="S449" s="11">
        <f>IF(($P449+$Q449-$R449+MAX(Keys!$C$51,$R449-$Q449))&gt;Keys!$C$51,MIN(Keys!$C$52,MAX(Keys!$C$51,$R449-$Q449)/($P449+$Q449-$R449+MAX(Keys!$C$51,$R449-$Q449))),Keys!$C$51)</f>
        <v>0</v>
      </c>
      <c r="T449">
        <f>IF(AND($I449&gt;$H449,ABS($L449-$G449)&gt;MAX(Keys!$C$62,ABS($G449)*Keys!$C$63)),1,0)</f>
        <v>0</v>
      </c>
      <c r="U449">
        <f>IF(OR($N449&lt;Keys!$C$51,$N449&gt;Keys!$C$52),1,0)</f>
        <v>0</v>
      </c>
      <c r="V449">
        <f>IF(AND($E449=Keys!$C$60,$N449&lt;&gt;Keys!$C$51),1,0)</f>
        <v>0</v>
      </c>
      <c r="W449">
        <f>IF($L449&gt;Keys!$C$51,IF($K449/$L449&gt;Keys!$C$52,1,0),0)</f>
        <v>0</v>
      </c>
      <c r="X449" s="11">
        <f t="shared" si="27"/>
        <v>0</v>
      </c>
    </row>
    <row r="450" spans="1:24" x14ac:dyDescent="0.25">
      <c r="A450" t="s">
        <v>125</v>
      </c>
      <c r="B450" t="s">
        <v>77</v>
      </c>
      <c r="C450">
        <f>VLOOKUP($B450,Keys!$F$2:$I$22,2,FALSE)</f>
        <v>0</v>
      </c>
      <c r="D450">
        <f>VLOOKUP($B450,Keys!$F$2:$I$22,3,FALSE)</f>
        <v>0</v>
      </c>
      <c r="E450" t="str">
        <f>VLOOKUP($B450,Keys!$F$2:$I$22,4,FALSE)</f>
        <v>zero</v>
      </c>
      <c r="F450" t="str">
        <f>$A450&amp;Keys!$C$54&amp;$B450</f>
        <v>MO|wind (is not a fuel)</v>
      </c>
      <c r="G450" s="10">
        <f>IF($E450=Keys!$C$60,Keys!$C$51,INDEX(Balanced_2025!$D$9:$D$3032,MATCH($A450&amp;Keys!$C$54&amp;Keys!$C$55&amp;Keys!$C$54&amp;$C450,Balanced_2025!$E$9:$E$3032,0)))</f>
        <v>0</v>
      </c>
      <c r="H450" s="10">
        <f>IF($E450=Keys!$C$60,Keys!$C$51,INDEX(Balanced_2025!$D$9:$D$3032,MATCH($A450&amp;Keys!$C$54&amp;Keys!$C$56&amp;Keys!$C$54&amp;$C450,Balanced_2025!$E$9:$E$3032,0)))</f>
        <v>0</v>
      </c>
      <c r="I450" s="10">
        <f>IF($E450=Keys!$C$60,Keys!$C$51,INDEX(Balanced_2025!$D$9:$D$3032,MATCH($A450&amp;Keys!$C$54&amp;Keys!$C$57&amp;Keys!$C$54&amp;$C450,Balanced_2025!$E$9:$E$3032,0)))</f>
        <v>0</v>
      </c>
      <c r="J450" s="10">
        <f t="shared" si="24"/>
        <v>0</v>
      </c>
      <c r="K450" s="10">
        <f>MAX(Keys!$C$51,$I450-$H450)</f>
        <v>0</v>
      </c>
      <c r="L450" s="10">
        <f t="shared" si="25"/>
        <v>0</v>
      </c>
      <c r="M450" s="11">
        <f>IF($L450&gt;Keys!$C$51,MIN(Keys!$C$52,$K450/$L450),Keys!$C$51)</f>
        <v>0</v>
      </c>
      <c r="N450" s="11">
        <f>IF($E450=Keys!$C$60,Keys!$C$51,IF($E450=Keys!$C$59,$D450,$M450))</f>
        <v>0</v>
      </c>
      <c r="O450">
        <f t="shared" si="26"/>
        <v>0</v>
      </c>
      <c r="P450" s="10">
        <f>IF($E450=Keys!$C$60,Keys!$C$51,INDEX(Raw_BFPIaE!$G$9:$G$3032,MATCH($A450&amp;Keys!$C$54&amp;Keys!$C$55&amp;Keys!$C$54&amp;$B450,Raw_BFPIaE!$H$9:$H$3032,0)))</f>
        <v>0</v>
      </c>
      <c r="Q450" s="10">
        <f>IF($E450=Keys!$C$60,Keys!$C$51,INDEX(Raw_BFPIaE!$G$9:$G$3032,MATCH($A450&amp;Keys!$C$54&amp;Keys!$C$56&amp;Keys!$C$54&amp;$B450,Raw_BFPIaE!$H$9:$H$3032,0)))</f>
        <v>0</v>
      </c>
      <c r="R450" s="10">
        <f>IF($E450=Keys!$C$60,Keys!$C$51,INDEX(Raw_BFPIaE!$G$9:$G$3032,MATCH($A450&amp;Keys!$C$54&amp;Keys!$C$57&amp;Keys!$C$54&amp;$B450,Raw_BFPIaE!$H$9:$H$3032,0)))</f>
        <v>0</v>
      </c>
      <c r="S450" s="11">
        <f>IF(($P450+$Q450-$R450+MAX(Keys!$C$51,$R450-$Q450))&gt;Keys!$C$51,MIN(Keys!$C$52,MAX(Keys!$C$51,$R450-$Q450)/($P450+$Q450-$R450+MAX(Keys!$C$51,$R450-$Q450))),Keys!$C$51)</f>
        <v>0</v>
      </c>
      <c r="T450">
        <f>IF(AND($I450&gt;$H450,ABS($L450-$G450)&gt;MAX(Keys!$C$62,ABS($G450)*Keys!$C$63)),1,0)</f>
        <v>0</v>
      </c>
      <c r="U450">
        <f>IF(OR($N450&lt;Keys!$C$51,$N450&gt;Keys!$C$52),1,0)</f>
        <v>0</v>
      </c>
      <c r="V450">
        <f>IF(AND($E450=Keys!$C$60,$N450&lt;&gt;Keys!$C$51),1,0)</f>
        <v>0</v>
      </c>
      <c r="W450">
        <f>IF($L450&gt;Keys!$C$51,IF($K450/$L450&gt;Keys!$C$52,1,0),0)</f>
        <v>0</v>
      </c>
      <c r="X450" s="11">
        <f t="shared" si="27"/>
        <v>0</v>
      </c>
    </row>
    <row r="451" spans="1:24" x14ac:dyDescent="0.25">
      <c r="A451" t="s">
        <v>125</v>
      </c>
      <c r="B451" t="s">
        <v>80</v>
      </c>
      <c r="C451">
        <f>VLOOKUP($B451,Keys!$F$2:$I$22,2,FALSE)</f>
        <v>0</v>
      </c>
      <c r="D451">
        <f>VLOOKUP($B451,Keys!$F$2:$I$22,3,FALSE)</f>
        <v>0</v>
      </c>
      <c r="E451" t="str">
        <f>VLOOKUP($B451,Keys!$F$2:$I$22,4,FALSE)</f>
        <v>zero</v>
      </c>
      <c r="F451" t="str">
        <f>$A451&amp;Keys!$C$54&amp;$B451</f>
        <v>MO|solar (is not a fuel)</v>
      </c>
      <c r="G451" s="10">
        <f>IF($E451=Keys!$C$60,Keys!$C$51,INDEX(Balanced_2025!$D$9:$D$3032,MATCH($A451&amp;Keys!$C$54&amp;Keys!$C$55&amp;Keys!$C$54&amp;$C451,Balanced_2025!$E$9:$E$3032,0)))</f>
        <v>0</v>
      </c>
      <c r="H451" s="10">
        <f>IF($E451=Keys!$C$60,Keys!$C$51,INDEX(Balanced_2025!$D$9:$D$3032,MATCH($A451&amp;Keys!$C$54&amp;Keys!$C$56&amp;Keys!$C$54&amp;$C451,Balanced_2025!$E$9:$E$3032,0)))</f>
        <v>0</v>
      </c>
      <c r="I451" s="10">
        <f>IF($E451=Keys!$C$60,Keys!$C$51,INDEX(Balanced_2025!$D$9:$D$3032,MATCH($A451&amp;Keys!$C$54&amp;Keys!$C$57&amp;Keys!$C$54&amp;$C451,Balanced_2025!$E$9:$E$3032,0)))</f>
        <v>0</v>
      </c>
      <c r="J451" s="10">
        <f t="shared" si="24"/>
        <v>0</v>
      </c>
      <c r="K451" s="10">
        <f>MAX(Keys!$C$51,$I451-$H451)</f>
        <v>0</v>
      </c>
      <c r="L451" s="10">
        <f t="shared" si="25"/>
        <v>0</v>
      </c>
      <c r="M451" s="11">
        <f>IF($L451&gt;Keys!$C$51,MIN(Keys!$C$52,$K451/$L451),Keys!$C$51)</f>
        <v>0</v>
      </c>
      <c r="N451" s="11">
        <f>IF($E451=Keys!$C$60,Keys!$C$51,IF($E451=Keys!$C$59,$D451,$M451))</f>
        <v>0</v>
      </c>
      <c r="O451">
        <f t="shared" si="26"/>
        <v>0</v>
      </c>
      <c r="P451" s="10">
        <f>IF($E451=Keys!$C$60,Keys!$C$51,INDEX(Raw_BFPIaE!$G$9:$G$3032,MATCH($A451&amp;Keys!$C$54&amp;Keys!$C$55&amp;Keys!$C$54&amp;$B451,Raw_BFPIaE!$H$9:$H$3032,0)))</f>
        <v>0</v>
      </c>
      <c r="Q451" s="10">
        <f>IF($E451=Keys!$C$60,Keys!$C$51,INDEX(Raw_BFPIaE!$G$9:$G$3032,MATCH($A451&amp;Keys!$C$54&amp;Keys!$C$56&amp;Keys!$C$54&amp;$B451,Raw_BFPIaE!$H$9:$H$3032,0)))</f>
        <v>0</v>
      </c>
      <c r="R451" s="10">
        <f>IF($E451=Keys!$C$60,Keys!$C$51,INDEX(Raw_BFPIaE!$G$9:$G$3032,MATCH($A451&amp;Keys!$C$54&amp;Keys!$C$57&amp;Keys!$C$54&amp;$B451,Raw_BFPIaE!$H$9:$H$3032,0)))</f>
        <v>0</v>
      </c>
      <c r="S451" s="11">
        <f>IF(($P451+$Q451-$R451+MAX(Keys!$C$51,$R451-$Q451))&gt;Keys!$C$51,MIN(Keys!$C$52,MAX(Keys!$C$51,$R451-$Q451)/($P451+$Q451-$R451+MAX(Keys!$C$51,$R451-$Q451))),Keys!$C$51)</f>
        <v>0</v>
      </c>
      <c r="T451">
        <f>IF(AND($I451&gt;$H451,ABS($L451-$G451)&gt;MAX(Keys!$C$62,ABS($G451)*Keys!$C$63)),1,0)</f>
        <v>0</v>
      </c>
      <c r="U451">
        <f>IF(OR($N451&lt;Keys!$C$51,$N451&gt;Keys!$C$52),1,0)</f>
        <v>0</v>
      </c>
      <c r="V451">
        <f>IF(AND($E451=Keys!$C$60,$N451&lt;&gt;Keys!$C$51),1,0)</f>
        <v>0</v>
      </c>
      <c r="W451">
        <f>IF($L451&gt;Keys!$C$51,IF($K451/$L451&gt;Keys!$C$52,1,0),0)</f>
        <v>0</v>
      </c>
      <c r="X451" s="11">
        <f t="shared" si="27"/>
        <v>0</v>
      </c>
    </row>
    <row r="452" spans="1:24" x14ac:dyDescent="0.25">
      <c r="A452" t="s">
        <v>125</v>
      </c>
      <c r="B452" t="s">
        <v>82</v>
      </c>
      <c r="C452" t="str">
        <f>VLOOKUP($B452,Keys!$F$2:$I$22,2,FALSE)</f>
        <v>biomass</v>
      </c>
      <c r="D452">
        <f>VLOOKUP($B452,Keys!$F$2:$I$22,3,FALSE)</f>
        <v>0.74947425499999998</v>
      </c>
      <c r="E452" t="str">
        <f>VLOOKUP($B452,Keys!$F$2:$I$22,4,FALSE)</f>
        <v>rule</v>
      </c>
      <c r="F452" t="str">
        <f>$A452&amp;Keys!$C$54&amp;$B452</f>
        <v>MO|biomass</v>
      </c>
      <c r="G452" s="10">
        <f>IF($E452=Keys!$C$60,Keys!$C$51,INDEX(Balanced_2025!$D$9:$D$3032,MATCH($A452&amp;Keys!$C$54&amp;Keys!$C$55&amp;Keys!$C$54&amp;$C452,Balanced_2025!$E$9:$E$3032,0)))</f>
        <v>272000000000</v>
      </c>
      <c r="H452" s="10">
        <f>IF($E452=Keys!$C$60,Keys!$C$51,INDEX(Balanced_2025!$D$9:$D$3032,MATCH($A452&amp;Keys!$C$54&amp;Keys!$C$56&amp;Keys!$C$54&amp;$C452,Balanced_2025!$E$9:$E$3032,0)))</f>
        <v>14796600000000</v>
      </c>
      <c r="I452" s="10">
        <f>IF($E452=Keys!$C$60,Keys!$C$51,INDEX(Balanced_2025!$D$9:$D$3032,MATCH($A452&amp;Keys!$C$54&amp;Keys!$C$57&amp;Keys!$C$54&amp;$C452,Balanced_2025!$E$9:$E$3032,0)))</f>
        <v>0</v>
      </c>
      <c r="J452" s="10">
        <f t="shared" ref="J452:J515" si="28">$G452+$H452-$I452</f>
        <v>15068600000000</v>
      </c>
      <c r="K452" s="10">
        <f>MAX(Keys!$C$51,$I452-$H452)</f>
        <v>0</v>
      </c>
      <c r="L452" s="10">
        <f t="shared" ref="L452:L515" si="29">$K452+$J452</f>
        <v>15068600000000</v>
      </c>
      <c r="M452" s="11">
        <f>IF($L452&gt;Keys!$C$51,MIN(Keys!$C$52,$K452/$L452),Keys!$C$51)</f>
        <v>0</v>
      </c>
      <c r="N452" s="11">
        <f>IF($E452=Keys!$C$60,Keys!$C$51,IF($E452=Keys!$C$59,$D452,$M452))</f>
        <v>0</v>
      </c>
      <c r="O452">
        <f t="shared" ref="O452:O515" si="30">IF($N452&lt;&gt;$D452,1,0)</f>
        <v>1</v>
      </c>
      <c r="P452" s="10">
        <f>IF($E452=Keys!$C$60,Keys!$C$51,INDEX(Raw_BFPIaE!$G$9:$G$3032,MATCH($A452&amp;Keys!$C$54&amp;Keys!$C$55&amp;Keys!$C$54&amp;$B452,Raw_BFPIaE!$H$9:$H$3032,0)))</f>
        <v>272000000000</v>
      </c>
      <c r="Q452" s="10">
        <f>IF($E452=Keys!$C$60,Keys!$C$51,INDEX(Raw_BFPIaE!$G$9:$G$3032,MATCH($A452&amp;Keys!$C$54&amp;Keys!$C$56&amp;Keys!$C$54&amp;$B452,Raw_BFPIaE!$H$9:$H$3032,0)))</f>
        <v>9746000000000</v>
      </c>
      <c r="R452" s="10">
        <f>IF($E452=Keys!$C$60,Keys!$C$51,INDEX(Raw_BFPIaE!$G$9:$G$3032,MATCH($A452&amp;Keys!$C$54&amp;Keys!$C$57&amp;Keys!$C$54&amp;$B452,Raw_BFPIaE!$H$9:$H$3032,0)))</f>
        <v>0</v>
      </c>
      <c r="S452" s="11">
        <f>IF(($P452+$Q452-$R452+MAX(Keys!$C$51,$R452-$Q452))&gt;Keys!$C$51,MIN(Keys!$C$52,MAX(Keys!$C$51,$R452-$Q452)/($P452+$Q452-$R452+MAX(Keys!$C$51,$R452-$Q452))),Keys!$C$51)</f>
        <v>0</v>
      </c>
      <c r="T452">
        <f>IF(AND($I452&gt;$H452,ABS($L452-$G452)&gt;MAX(Keys!$C$62,ABS($G452)*Keys!$C$63)),1,0)</f>
        <v>0</v>
      </c>
      <c r="U452">
        <f>IF(OR($N452&lt;Keys!$C$51,$N452&gt;Keys!$C$52),1,0)</f>
        <v>0</v>
      </c>
      <c r="V452">
        <f>IF(AND($E452=Keys!$C$60,$N452&lt;&gt;Keys!$C$51),1,0)</f>
        <v>0</v>
      </c>
      <c r="W452">
        <f>IF($L452&gt;Keys!$C$51,IF($K452/$L452&gt;Keys!$C$52,1,0),0)</f>
        <v>0</v>
      </c>
      <c r="X452" s="11">
        <f t="shared" ref="X452:X515" si="31">ABS($M452-$S452)</f>
        <v>0</v>
      </c>
    </row>
    <row r="453" spans="1:24" x14ac:dyDescent="0.25">
      <c r="A453" t="s">
        <v>125</v>
      </c>
      <c r="B453" t="s">
        <v>85</v>
      </c>
      <c r="C453" t="str">
        <f>VLOOKUP($B453,Keys!$F$2:$I$22,2,FALSE)</f>
        <v>petroleum gasoline</v>
      </c>
      <c r="D453">
        <f>VLOOKUP($B453,Keys!$F$2:$I$22,3,FALSE)</f>
        <v>7.5004052000000002E-2</v>
      </c>
      <c r="E453" t="str">
        <f>VLOOKUP($B453,Keys!$F$2:$I$22,4,FALSE)</f>
        <v>rule</v>
      </c>
      <c r="F453" t="str">
        <f>$A453&amp;Keys!$C$54&amp;$B453</f>
        <v>MO|petroleum gasoline</v>
      </c>
      <c r="G453" s="10">
        <f>IF($E453=Keys!$C$60,Keys!$C$51,INDEX(Balanced_2025!$D$9:$D$3032,MATCH($A453&amp;Keys!$C$54&amp;Keys!$C$55&amp;Keys!$C$54&amp;$C453,Balanced_2025!$E$9:$E$3032,0)))</f>
        <v>0</v>
      </c>
      <c r="H453" s="10">
        <f>IF($E453=Keys!$C$60,Keys!$C$51,INDEX(Balanced_2025!$D$9:$D$3032,MATCH($A453&amp;Keys!$C$54&amp;Keys!$C$56&amp;Keys!$C$54&amp;$C453,Balanced_2025!$E$9:$E$3032,0)))</f>
        <v>346721000000000</v>
      </c>
      <c r="I453" s="10">
        <f>IF($E453=Keys!$C$60,Keys!$C$51,INDEX(Balanced_2025!$D$9:$D$3032,MATCH($A453&amp;Keys!$C$54&amp;Keys!$C$57&amp;Keys!$C$54&amp;$C453,Balanced_2025!$E$9:$E$3032,0)))</f>
        <v>0</v>
      </c>
      <c r="J453" s="10">
        <f t="shared" si="28"/>
        <v>346721000000000</v>
      </c>
      <c r="K453" s="10">
        <f>MAX(Keys!$C$51,$I453-$H453)</f>
        <v>0</v>
      </c>
      <c r="L453" s="10">
        <f t="shared" si="29"/>
        <v>346721000000000</v>
      </c>
      <c r="M453" s="11">
        <f>IF($L453&gt;Keys!$C$51,MIN(Keys!$C$52,$K453/$L453),Keys!$C$51)</f>
        <v>0</v>
      </c>
      <c r="N453" s="11">
        <f>IF($E453=Keys!$C$60,Keys!$C$51,IF($E453=Keys!$C$59,$D453,$M453))</f>
        <v>0</v>
      </c>
      <c r="O453">
        <f t="shared" si="30"/>
        <v>1</v>
      </c>
      <c r="P453" s="10">
        <f>IF($E453=Keys!$C$60,Keys!$C$51,INDEX(Raw_BFPIaE!$G$9:$G$3032,MATCH($A453&amp;Keys!$C$54&amp;Keys!$C$55&amp;Keys!$C$54&amp;$B453,Raw_BFPIaE!$H$9:$H$3032,0)))</f>
        <v>0</v>
      </c>
      <c r="Q453" s="10">
        <f>IF($E453=Keys!$C$60,Keys!$C$51,INDEX(Raw_BFPIaE!$G$9:$G$3032,MATCH($A453&amp;Keys!$C$54&amp;Keys!$C$56&amp;Keys!$C$54&amp;$B453,Raw_BFPIaE!$H$9:$H$3032,0)))</f>
        <v>216938666666666.66</v>
      </c>
      <c r="R453" s="10">
        <f>IF($E453=Keys!$C$60,Keys!$C$51,INDEX(Raw_BFPIaE!$G$9:$G$3032,MATCH($A453&amp;Keys!$C$54&amp;Keys!$C$57&amp;Keys!$C$54&amp;$B453,Raw_BFPIaE!$H$9:$H$3032,0)))</f>
        <v>0</v>
      </c>
      <c r="S453" s="11">
        <f>IF(($P453+$Q453-$R453+MAX(Keys!$C$51,$R453-$Q453))&gt;Keys!$C$51,MIN(Keys!$C$52,MAX(Keys!$C$51,$R453-$Q453)/($P453+$Q453-$R453+MAX(Keys!$C$51,$R453-$Q453))),Keys!$C$51)</f>
        <v>0</v>
      </c>
      <c r="T453">
        <f>IF(AND($I453&gt;$H453,ABS($L453-$G453)&gt;MAX(Keys!$C$62,ABS($G453)*Keys!$C$63)),1,0)</f>
        <v>0</v>
      </c>
      <c r="U453">
        <f>IF(OR($N453&lt;Keys!$C$51,$N453&gt;Keys!$C$52),1,0)</f>
        <v>0</v>
      </c>
      <c r="V453">
        <f>IF(AND($E453=Keys!$C$60,$N453&lt;&gt;Keys!$C$51),1,0)</f>
        <v>0</v>
      </c>
      <c r="W453">
        <f>IF($L453&gt;Keys!$C$51,IF($K453/$L453&gt;Keys!$C$52,1,0),0)</f>
        <v>0</v>
      </c>
      <c r="X453" s="11">
        <f t="shared" si="31"/>
        <v>0</v>
      </c>
    </row>
    <row r="454" spans="1:24" x14ac:dyDescent="0.25">
      <c r="A454" t="s">
        <v>125</v>
      </c>
      <c r="B454" t="s">
        <v>88</v>
      </c>
      <c r="C454" t="str">
        <f>VLOOKUP($B454,Keys!$F$2:$I$22,2,FALSE)</f>
        <v>petroleum diesel</v>
      </c>
      <c r="D454">
        <f>VLOOKUP($B454,Keys!$F$2:$I$22,3,FALSE)</f>
        <v>0.26691051799999999</v>
      </c>
      <c r="E454" t="str">
        <f>VLOOKUP($B454,Keys!$F$2:$I$22,4,FALSE)</f>
        <v>rule</v>
      </c>
      <c r="F454" t="str">
        <f>$A454&amp;Keys!$C$54&amp;$B454</f>
        <v>MO|petroleum diesel</v>
      </c>
      <c r="G454" s="10">
        <f>IF($E454=Keys!$C$60,Keys!$C$51,INDEX(Balanced_2025!$D$9:$D$3032,MATCH($A454&amp;Keys!$C$54&amp;Keys!$C$55&amp;Keys!$C$54&amp;$C454,Balanced_2025!$E$9:$E$3032,0)))</f>
        <v>0</v>
      </c>
      <c r="H454" s="10">
        <f>IF($E454=Keys!$C$60,Keys!$C$51,INDEX(Balanced_2025!$D$9:$D$3032,MATCH($A454&amp;Keys!$C$54&amp;Keys!$C$56&amp;Keys!$C$54&amp;$C454,Balanced_2025!$E$9:$E$3032,0)))</f>
        <v>175806000000000</v>
      </c>
      <c r="I454" s="10">
        <f>IF($E454=Keys!$C$60,Keys!$C$51,INDEX(Balanced_2025!$D$9:$D$3032,MATCH($A454&amp;Keys!$C$54&amp;Keys!$C$57&amp;Keys!$C$54&amp;$C454,Balanced_2025!$E$9:$E$3032,0)))</f>
        <v>0</v>
      </c>
      <c r="J454" s="10">
        <f t="shared" si="28"/>
        <v>175806000000000</v>
      </c>
      <c r="K454" s="10">
        <f>MAX(Keys!$C$51,$I454-$H454)</f>
        <v>0</v>
      </c>
      <c r="L454" s="10">
        <f t="shared" si="29"/>
        <v>175806000000000</v>
      </c>
      <c r="M454" s="11">
        <f>IF($L454&gt;Keys!$C$51,MIN(Keys!$C$52,$K454/$L454),Keys!$C$51)</f>
        <v>0</v>
      </c>
      <c r="N454" s="11">
        <f>IF($E454=Keys!$C$60,Keys!$C$51,IF($E454=Keys!$C$59,$D454,$M454))</f>
        <v>0</v>
      </c>
      <c r="O454">
        <f t="shared" si="30"/>
        <v>1</v>
      </c>
      <c r="P454" s="10">
        <f>IF($E454=Keys!$C$60,Keys!$C$51,INDEX(Raw_BFPIaE!$G$9:$G$3032,MATCH($A454&amp;Keys!$C$54&amp;Keys!$C$55&amp;Keys!$C$54&amp;$B454,Raw_BFPIaE!$H$9:$H$3032,0)))</f>
        <v>0</v>
      </c>
      <c r="Q454" s="10">
        <f>IF($E454=Keys!$C$60,Keys!$C$51,INDEX(Raw_BFPIaE!$G$9:$G$3032,MATCH($A454&amp;Keys!$C$54&amp;Keys!$C$56&amp;Keys!$C$54&amp;$B454,Raw_BFPIaE!$H$9:$H$3032,0)))</f>
        <v>115633333333333.33</v>
      </c>
      <c r="R454" s="10">
        <f>IF($E454=Keys!$C$60,Keys!$C$51,INDEX(Raw_BFPIaE!$G$9:$G$3032,MATCH($A454&amp;Keys!$C$54&amp;Keys!$C$57&amp;Keys!$C$54&amp;$B454,Raw_BFPIaE!$H$9:$H$3032,0)))</f>
        <v>0</v>
      </c>
      <c r="S454" s="11">
        <f>IF(($P454+$Q454-$R454+MAX(Keys!$C$51,$R454-$Q454))&gt;Keys!$C$51,MIN(Keys!$C$52,MAX(Keys!$C$51,$R454-$Q454)/($P454+$Q454-$R454+MAX(Keys!$C$51,$R454-$Q454))),Keys!$C$51)</f>
        <v>0</v>
      </c>
      <c r="T454">
        <f>IF(AND($I454&gt;$H454,ABS($L454-$G454)&gt;MAX(Keys!$C$62,ABS($G454)*Keys!$C$63)),1,0)</f>
        <v>0</v>
      </c>
      <c r="U454">
        <f>IF(OR($N454&lt;Keys!$C$51,$N454&gt;Keys!$C$52),1,0)</f>
        <v>0</v>
      </c>
      <c r="V454">
        <f>IF(AND($E454=Keys!$C$60,$N454&lt;&gt;Keys!$C$51),1,0)</f>
        <v>0</v>
      </c>
      <c r="W454">
        <f>IF($L454&gt;Keys!$C$51,IF($K454/$L454&gt;Keys!$C$52,1,0),0)</f>
        <v>0</v>
      </c>
      <c r="X454" s="11">
        <f t="shared" si="31"/>
        <v>0</v>
      </c>
    </row>
    <row r="455" spans="1:24" x14ac:dyDescent="0.25">
      <c r="A455" t="s">
        <v>125</v>
      </c>
      <c r="B455" t="s">
        <v>91</v>
      </c>
      <c r="C455" t="str">
        <f>VLOOKUP($B455,Keys!$F$2:$I$22,2,FALSE)</f>
        <v>biofuel gasoline</v>
      </c>
      <c r="D455">
        <f>VLOOKUP($B455,Keys!$F$2:$I$22,3,FALSE)</f>
        <v>8.7213884000000005E-2</v>
      </c>
      <c r="E455" t="str">
        <f>VLOOKUP($B455,Keys!$F$2:$I$22,4,FALSE)</f>
        <v>rule</v>
      </c>
      <c r="F455" t="str">
        <f>$A455&amp;Keys!$C$54&amp;$B455</f>
        <v>MO|biofuel gasoline</v>
      </c>
      <c r="G455" s="10">
        <f>IF($E455=Keys!$C$60,Keys!$C$51,INDEX(Balanced_2025!$D$9:$D$3032,MATCH($A455&amp;Keys!$C$54&amp;Keys!$C$55&amp;Keys!$C$54&amp;$C455,Balanced_2025!$E$9:$E$3032,0)))</f>
        <v>24800200000000</v>
      </c>
      <c r="H455" s="10">
        <f>IF($E455=Keys!$C$60,Keys!$C$51,INDEX(Balanced_2025!$D$9:$D$3032,MATCH($A455&amp;Keys!$C$54&amp;Keys!$C$56&amp;Keys!$C$54&amp;$C455,Balanced_2025!$E$9:$E$3032,0)))</f>
        <v>1297330000000</v>
      </c>
      <c r="I455" s="10">
        <f>IF($E455=Keys!$C$60,Keys!$C$51,INDEX(Balanced_2025!$D$9:$D$3032,MATCH($A455&amp;Keys!$C$54&amp;Keys!$C$57&amp;Keys!$C$54&amp;$C455,Balanced_2025!$E$9:$E$3032,0)))</f>
        <v>2477280000000</v>
      </c>
      <c r="J455" s="10">
        <f t="shared" si="28"/>
        <v>23620250000000</v>
      </c>
      <c r="K455" s="10">
        <f>MAX(Keys!$C$51,$I455-$H455)</f>
        <v>1179950000000</v>
      </c>
      <c r="L455" s="10">
        <f t="shared" si="29"/>
        <v>24800200000000</v>
      </c>
      <c r="M455" s="11">
        <f>IF($L455&gt;Keys!$C$51,MIN(Keys!$C$52,$K455/$L455),Keys!$C$51)</f>
        <v>4.7578245336731155E-2</v>
      </c>
      <c r="N455" s="11">
        <f>IF($E455=Keys!$C$60,Keys!$C$51,IF($E455=Keys!$C$59,$D455,$M455))</f>
        <v>4.7578245336731155E-2</v>
      </c>
      <c r="O455">
        <f t="shared" si="30"/>
        <v>1</v>
      </c>
      <c r="P455" s="10">
        <f>IF($E455=Keys!$C$60,Keys!$C$51,INDEX(Raw_BFPIaE!$G$9:$G$3032,MATCH($A455&amp;Keys!$C$54&amp;Keys!$C$55&amp;Keys!$C$54&amp;$B455,Raw_BFPIaE!$H$9:$H$3032,0)))</f>
        <v>24823466666666.668</v>
      </c>
      <c r="Q455" s="10">
        <f>IF($E455=Keys!$C$60,Keys!$C$51,INDEX(Raw_BFPIaE!$G$9:$G$3032,MATCH($A455&amp;Keys!$C$54&amp;Keys!$C$56&amp;Keys!$C$54&amp;$B455,Raw_BFPIaE!$H$9:$H$3032,0)))</f>
        <v>0</v>
      </c>
      <c r="R455" s="10">
        <f>IF($E455=Keys!$C$60,Keys!$C$51,INDEX(Raw_BFPIaE!$G$9:$G$3032,MATCH($A455&amp;Keys!$C$54&amp;Keys!$C$57&amp;Keys!$C$54&amp;$B455,Raw_BFPIaE!$H$9:$H$3032,0)))</f>
        <v>1787636666666.6667</v>
      </c>
      <c r="S455" s="11">
        <f>IF(($P455+$Q455-$R455+MAX(Keys!$C$51,$R455-$Q455))&gt;Keys!$C$51,MIN(Keys!$C$52,MAX(Keys!$C$51,$R455-$Q455)/($P455+$Q455-$R455+MAX(Keys!$C$51,$R455-$Q455))),Keys!$C$51)</f>
        <v>7.2013981393949808E-2</v>
      </c>
      <c r="T455">
        <f>IF(AND($I455&gt;$H455,ABS($L455-$G455)&gt;MAX(Keys!$C$62,ABS($G455)*Keys!$C$63)),1,0)</f>
        <v>0</v>
      </c>
      <c r="U455">
        <f>IF(OR($N455&lt;Keys!$C$51,$N455&gt;Keys!$C$52),1,0)</f>
        <v>0</v>
      </c>
      <c r="V455">
        <f>IF(AND($E455=Keys!$C$60,$N455&lt;&gt;Keys!$C$51),1,0)</f>
        <v>0</v>
      </c>
      <c r="W455">
        <f>IF($L455&gt;Keys!$C$51,IF($K455/$L455&gt;Keys!$C$52,1,0),0)</f>
        <v>0</v>
      </c>
      <c r="X455" s="11">
        <f t="shared" si="31"/>
        <v>2.4435736057218653E-2</v>
      </c>
    </row>
    <row r="456" spans="1:24" x14ac:dyDescent="0.25">
      <c r="A456" t="s">
        <v>125</v>
      </c>
      <c r="B456" t="s">
        <v>94</v>
      </c>
      <c r="C456" t="str">
        <f>VLOOKUP($B456,Keys!$F$2:$I$22,2,FALSE)</f>
        <v>biofuel diesel</v>
      </c>
      <c r="D456">
        <f>VLOOKUP($B456,Keys!$F$2:$I$22,3,FALSE)</f>
        <v>5.8642381E-2</v>
      </c>
      <c r="E456" t="str">
        <f>VLOOKUP($B456,Keys!$F$2:$I$22,4,FALSE)</f>
        <v>rule</v>
      </c>
      <c r="F456" t="str">
        <f>$A456&amp;Keys!$C$54&amp;$B456</f>
        <v>MO|biofuel diesel</v>
      </c>
      <c r="G456" s="10">
        <f>IF($E456=Keys!$C$60,Keys!$C$51,INDEX(Balanced_2025!$D$9:$D$3032,MATCH($A456&amp;Keys!$C$54&amp;Keys!$C$55&amp;Keys!$C$54&amp;$C456,Balanced_2025!$E$9:$E$3032,0)))</f>
        <v>79883400000000</v>
      </c>
      <c r="H456" s="10">
        <f>IF($E456=Keys!$C$60,Keys!$C$51,INDEX(Balanced_2025!$D$9:$D$3032,MATCH($A456&amp;Keys!$C$54&amp;Keys!$C$56&amp;Keys!$C$54&amp;$C456,Balanced_2025!$E$9:$E$3032,0)))</f>
        <v>103439000000</v>
      </c>
      <c r="I456" s="10">
        <f>IF($E456=Keys!$C$60,Keys!$C$51,INDEX(Balanced_2025!$D$9:$D$3032,MATCH($A456&amp;Keys!$C$54&amp;Keys!$C$57&amp;Keys!$C$54&amp;$C456,Balanced_2025!$E$9:$E$3032,0)))</f>
        <v>76648800000000</v>
      </c>
      <c r="J456" s="10">
        <f t="shared" si="28"/>
        <v>3338039000000</v>
      </c>
      <c r="K456" s="10">
        <f>MAX(Keys!$C$51,$I456-$H456)</f>
        <v>76545361000000</v>
      </c>
      <c r="L456" s="10">
        <f t="shared" si="29"/>
        <v>79883400000000</v>
      </c>
      <c r="M456" s="11">
        <f>IF($L456&gt;Keys!$C$51,MIN(Keys!$C$52,$K456/$L456),Keys!$C$51)</f>
        <v>0.95821360883487683</v>
      </c>
      <c r="N456" s="11">
        <f>IF($E456=Keys!$C$60,Keys!$C$51,IF($E456=Keys!$C$59,$D456,$M456))</f>
        <v>0.95821360883487683</v>
      </c>
      <c r="O456">
        <f t="shared" si="30"/>
        <v>1</v>
      </c>
      <c r="P456" s="10">
        <f>IF($E456=Keys!$C$60,Keys!$C$51,INDEX(Raw_BFPIaE!$G$9:$G$3032,MATCH($A456&amp;Keys!$C$54&amp;Keys!$C$55&amp;Keys!$C$54&amp;$B456,Raw_BFPIaE!$H$9:$H$3032,0)))</f>
        <v>84885766666666.672</v>
      </c>
      <c r="Q456" s="10">
        <f>IF($E456=Keys!$C$60,Keys!$C$51,INDEX(Raw_BFPIaE!$G$9:$G$3032,MATCH($A456&amp;Keys!$C$54&amp;Keys!$C$56&amp;Keys!$C$54&amp;$B456,Raw_BFPIaE!$H$9:$H$3032,0)))</f>
        <v>0</v>
      </c>
      <c r="R456" s="10">
        <f>IF($E456=Keys!$C$60,Keys!$C$51,INDEX(Raw_BFPIaE!$G$9:$G$3032,MATCH($A456&amp;Keys!$C$54&amp;Keys!$C$57&amp;Keys!$C$54&amp;$B456,Raw_BFPIaE!$H$9:$H$3032,0)))</f>
        <v>56095833333333.336</v>
      </c>
      <c r="S456" s="11">
        <f>IF(($P456+$Q456-$R456+MAX(Keys!$C$51,$R456-$Q456))&gt;Keys!$C$51,MIN(Keys!$C$52,MAX(Keys!$C$51,$R456-$Q456)/($P456+$Q456-$R456+MAX(Keys!$C$51,$R456-$Q456))),Keys!$C$51)</f>
        <v>0.66083909630707616</v>
      </c>
      <c r="T456">
        <f>IF(AND($I456&gt;$H456,ABS($L456-$G456)&gt;MAX(Keys!$C$62,ABS($G456)*Keys!$C$63)),1,0)</f>
        <v>0</v>
      </c>
      <c r="U456">
        <f>IF(OR($N456&lt;Keys!$C$51,$N456&gt;Keys!$C$52),1,0)</f>
        <v>0</v>
      </c>
      <c r="V456">
        <f>IF(AND($E456=Keys!$C$60,$N456&lt;&gt;Keys!$C$51),1,0)</f>
        <v>0</v>
      </c>
      <c r="W456">
        <f>IF($L456&gt;Keys!$C$51,IF($K456/$L456&gt;Keys!$C$52,1,0),0)</f>
        <v>0</v>
      </c>
      <c r="X456" s="11">
        <f t="shared" si="31"/>
        <v>0.29737451252780067</v>
      </c>
    </row>
    <row r="457" spans="1:24" x14ac:dyDescent="0.25">
      <c r="A457" t="s">
        <v>125</v>
      </c>
      <c r="B457" t="s">
        <v>97</v>
      </c>
      <c r="C457" t="str">
        <f>VLOOKUP($B457,Keys!$F$2:$I$22,2,FALSE)</f>
        <v>jet fuel or kerosene</v>
      </c>
      <c r="D457">
        <f>VLOOKUP($B457,Keys!$F$2:$I$22,3,FALSE)</f>
        <v>0.10155994</v>
      </c>
      <c r="E457" t="str">
        <f>VLOOKUP($B457,Keys!$F$2:$I$22,4,FALSE)</f>
        <v>rule</v>
      </c>
      <c r="F457" t="str">
        <f>$A457&amp;Keys!$C$54&amp;$B457</f>
        <v>MO|jet fuel or kerosene</v>
      </c>
      <c r="G457" s="10">
        <f>IF($E457=Keys!$C$60,Keys!$C$51,INDEX(Balanced_2025!$D$9:$D$3032,MATCH($A457&amp;Keys!$C$54&amp;Keys!$C$55&amp;Keys!$C$54&amp;$C457,Balanced_2025!$E$9:$E$3032,0)))</f>
        <v>0</v>
      </c>
      <c r="H457" s="10">
        <f>IF($E457=Keys!$C$60,Keys!$C$51,INDEX(Balanced_2025!$D$9:$D$3032,MATCH($A457&amp;Keys!$C$54&amp;Keys!$C$56&amp;Keys!$C$54&amp;$C457,Balanced_2025!$E$9:$E$3032,0)))</f>
        <v>32081000000000</v>
      </c>
      <c r="I457" s="10">
        <f>IF($E457=Keys!$C$60,Keys!$C$51,INDEX(Balanced_2025!$D$9:$D$3032,MATCH($A457&amp;Keys!$C$54&amp;Keys!$C$57&amp;Keys!$C$54&amp;$C457,Balanced_2025!$E$9:$E$3032,0)))</f>
        <v>0</v>
      </c>
      <c r="J457" s="10">
        <f t="shared" si="28"/>
        <v>32081000000000</v>
      </c>
      <c r="K457" s="10">
        <f>MAX(Keys!$C$51,$I457-$H457)</f>
        <v>0</v>
      </c>
      <c r="L457" s="10">
        <f t="shared" si="29"/>
        <v>32081000000000</v>
      </c>
      <c r="M457" s="11">
        <f>IF($L457&gt;Keys!$C$51,MIN(Keys!$C$52,$K457/$L457),Keys!$C$51)</f>
        <v>0</v>
      </c>
      <c r="N457" s="11">
        <f>IF($E457=Keys!$C$60,Keys!$C$51,IF($E457=Keys!$C$59,$D457,$M457))</f>
        <v>0</v>
      </c>
      <c r="O457">
        <f t="shared" si="30"/>
        <v>1</v>
      </c>
      <c r="P457" s="10">
        <f>IF($E457=Keys!$C$60,Keys!$C$51,INDEX(Raw_BFPIaE!$G$9:$G$3032,MATCH($A457&amp;Keys!$C$54&amp;Keys!$C$55&amp;Keys!$C$54&amp;$B457,Raw_BFPIaE!$H$9:$H$3032,0)))</f>
        <v>0</v>
      </c>
      <c r="Q457" s="10">
        <f>IF($E457=Keys!$C$60,Keys!$C$51,INDEX(Raw_BFPIaE!$G$9:$G$3032,MATCH($A457&amp;Keys!$C$54&amp;Keys!$C$56&amp;Keys!$C$54&amp;$B457,Raw_BFPIaE!$H$9:$H$3032,0)))</f>
        <v>21678733333333.332</v>
      </c>
      <c r="R457" s="10">
        <f>IF($E457=Keys!$C$60,Keys!$C$51,INDEX(Raw_BFPIaE!$G$9:$G$3032,MATCH($A457&amp;Keys!$C$54&amp;Keys!$C$57&amp;Keys!$C$54&amp;$B457,Raw_BFPIaE!$H$9:$H$3032,0)))</f>
        <v>0</v>
      </c>
      <c r="S457" s="11">
        <f>IF(($P457+$Q457-$R457+MAX(Keys!$C$51,$R457-$Q457))&gt;Keys!$C$51,MIN(Keys!$C$52,MAX(Keys!$C$51,$R457-$Q457)/($P457+$Q457-$R457+MAX(Keys!$C$51,$R457-$Q457))),Keys!$C$51)</f>
        <v>0</v>
      </c>
      <c r="T457">
        <f>IF(AND($I457&gt;$H457,ABS($L457-$G457)&gt;MAX(Keys!$C$62,ABS($G457)*Keys!$C$63)),1,0)</f>
        <v>0</v>
      </c>
      <c r="U457">
        <f>IF(OR($N457&lt;Keys!$C$51,$N457&gt;Keys!$C$52),1,0)</f>
        <v>0</v>
      </c>
      <c r="V457">
        <f>IF(AND($E457=Keys!$C$60,$N457&lt;&gt;Keys!$C$51),1,0)</f>
        <v>0</v>
      </c>
      <c r="W457">
        <f>IF($L457&gt;Keys!$C$51,IF($K457/$L457&gt;Keys!$C$52,1,0),0)</f>
        <v>0</v>
      </c>
      <c r="X457" s="11">
        <f t="shared" si="31"/>
        <v>0</v>
      </c>
    </row>
    <row r="458" spans="1:24" x14ac:dyDescent="0.25">
      <c r="A458" t="s">
        <v>125</v>
      </c>
      <c r="B458" t="s">
        <v>100</v>
      </c>
      <c r="C458">
        <f>VLOOKUP($B458,Keys!$F$2:$I$22,2,FALSE)</f>
        <v>0</v>
      </c>
      <c r="D458">
        <f>VLOOKUP($B458,Keys!$F$2:$I$22,3,FALSE)</f>
        <v>0</v>
      </c>
      <c r="E458" t="str">
        <f>VLOOKUP($B458,Keys!$F$2:$I$22,4,FALSE)</f>
        <v>zero</v>
      </c>
      <c r="F458" t="str">
        <f>$A458&amp;Keys!$C$54&amp;$B458</f>
        <v>MO|heat (not used in this variable)</v>
      </c>
      <c r="G458" s="10">
        <f>IF($E458=Keys!$C$60,Keys!$C$51,INDEX(Balanced_2025!$D$9:$D$3032,MATCH($A458&amp;Keys!$C$54&amp;Keys!$C$55&amp;Keys!$C$54&amp;$C458,Balanced_2025!$E$9:$E$3032,0)))</f>
        <v>0</v>
      </c>
      <c r="H458" s="10">
        <f>IF($E458=Keys!$C$60,Keys!$C$51,INDEX(Balanced_2025!$D$9:$D$3032,MATCH($A458&amp;Keys!$C$54&amp;Keys!$C$56&amp;Keys!$C$54&amp;$C458,Balanced_2025!$E$9:$E$3032,0)))</f>
        <v>0</v>
      </c>
      <c r="I458" s="10">
        <f>IF($E458=Keys!$C$60,Keys!$C$51,INDEX(Balanced_2025!$D$9:$D$3032,MATCH($A458&amp;Keys!$C$54&amp;Keys!$C$57&amp;Keys!$C$54&amp;$C458,Balanced_2025!$E$9:$E$3032,0)))</f>
        <v>0</v>
      </c>
      <c r="J458" s="10">
        <f t="shared" si="28"/>
        <v>0</v>
      </c>
      <c r="K458" s="10">
        <f>MAX(Keys!$C$51,$I458-$H458)</f>
        <v>0</v>
      </c>
      <c r="L458" s="10">
        <f t="shared" si="29"/>
        <v>0</v>
      </c>
      <c r="M458" s="11">
        <f>IF($L458&gt;Keys!$C$51,MIN(Keys!$C$52,$K458/$L458),Keys!$C$51)</f>
        <v>0</v>
      </c>
      <c r="N458" s="11">
        <f>IF($E458=Keys!$C$60,Keys!$C$51,IF($E458=Keys!$C$59,$D458,$M458))</f>
        <v>0</v>
      </c>
      <c r="O458">
        <f t="shared" si="30"/>
        <v>0</v>
      </c>
      <c r="P458" s="10">
        <f>IF($E458=Keys!$C$60,Keys!$C$51,INDEX(Raw_BFPIaE!$G$9:$G$3032,MATCH($A458&amp;Keys!$C$54&amp;Keys!$C$55&amp;Keys!$C$54&amp;$B458,Raw_BFPIaE!$H$9:$H$3032,0)))</f>
        <v>0</v>
      </c>
      <c r="Q458" s="10">
        <f>IF($E458=Keys!$C$60,Keys!$C$51,INDEX(Raw_BFPIaE!$G$9:$G$3032,MATCH($A458&amp;Keys!$C$54&amp;Keys!$C$56&amp;Keys!$C$54&amp;$B458,Raw_BFPIaE!$H$9:$H$3032,0)))</f>
        <v>0</v>
      </c>
      <c r="R458" s="10">
        <f>IF($E458=Keys!$C$60,Keys!$C$51,INDEX(Raw_BFPIaE!$G$9:$G$3032,MATCH($A458&amp;Keys!$C$54&amp;Keys!$C$57&amp;Keys!$C$54&amp;$B458,Raw_BFPIaE!$H$9:$H$3032,0)))</f>
        <v>0</v>
      </c>
      <c r="S458" s="11">
        <f>IF(($P458+$Q458-$R458+MAX(Keys!$C$51,$R458-$Q458))&gt;Keys!$C$51,MIN(Keys!$C$52,MAX(Keys!$C$51,$R458-$Q458)/($P458+$Q458-$R458+MAX(Keys!$C$51,$R458-$Q458))),Keys!$C$51)</f>
        <v>0</v>
      </c>
      <c r="T458">
        <f>IF(AND($I458&gt;$H458,ABS($L458-$G458)&gt;MAX(Keys!$C$62,ABS($G458)*Keys!$C$63)),1,0)</f>
        <v>0</v>
      </c>
      <c r="U458">
        <f>IF(OR($N458&lt;Keys!$C$51,$N458&gt;Keys!$C$52),1,0)</f>
        <v>0</v>
      </c>
      <c r="V458">
        <f>IF(AND($E458=Keys!$C$60,$N458&lt;&gt;Keys!$C$51),1,0)</f>
        <v>0</v>
      </c>
      <c r="W458">
        <f>IF($L458&gt;Keys!$C$51,IF($K458/$L458&gt;Keys!$C$52,1,0),0)</f>
        <v>0</v>
      </c>
      <c r="X458" s="11">
        <f t="shared" si="31"/>
        <v>0</v>
      </c>
    </row>
    <row r="459" spans="1:24" x14ac:dyDescent="0.25">
      <c r="A459" t="s">
        <v>125</v>
      </c>
      <c r="B459" t="s">
        <v>103</v>
      </c>
      <c r="C459">
        <f>VLOOKUP($B459,Keys!$F$2:$I$22,2,FALSE)</f>
        <v>0</v>
      </c>
      <c r="D459">
        <f>VLOOKUP($B459,Keys!$F$2:$I$22,3,FALSE)</f>
        <v>0</v>
      </c>
      <c r="E459" t="str">
        <f>VLOOKUP($B459,Keys!$F$2:$I$22,4,FALSE)</f>
        <v>zero</v>
      </c>
      <c r="F459" t="str">
        <f>$A459&amp;Keys!$C$54&amp;$B459</f>
        <v>MO|geothermal (is not a fuel)</v>
      </c>
      <c r="G459" s="10">
        <f>IF($E459=Keys!$C$60,Keys!$C$51,INDEX(Balanced_2025!$D$9:$D$3032,MATCH($A459&amp;Keys!$C$54&amp;Keys!$C$55&amp;Keys!$C$54&amp;$C459,Balanced_2025!$E$9:$E$3032,0)))</f>
        <v>0</v>
      </c>
      <c r="H459" s="10">
        <f>IF($E459=Keys!$C$60,Keys!$C$51,INDEX(Balanced_2025!$D$9:$D$3032,MATCH($A459&amp;Keys!$C$54&amp;Keys!$C$56&amp;Keys!$C$54&amp;$C459,Balanced_2025!$E$9:$E$3032,0)))</f>
        <v>0</v>
      </c>
      <c r="I459" s="10">
        <f>IF($E459=Keys!$C$60,Keys!$C$51,INDEX(Balanced_2025!$D$9:$D$3032,MATCH($A459&amp;Keys!$C$54&amp;Keys!$C$57&amp;Keys!$C$54&amp;$C459,Balanced_2025!$E$9:$E$3032,0)))</f>
        <v>0</v>
      </c>
      <c r="J459" s="10">
        <f t="shared" si="28"/>
        <v>0</v>
      </c>
      <c r="K459" s="10">
        <f>MAX(Keys!$C$51,$I459-$H459)</f>
        <v>0</v>
      </c>
      <c r="L459" s="10">
        <f t="shared" si="29"/>
        <v>0</v>
      </c>
      <c r="M459" s="11">
        <f>IF($L459&gt;Keys!$C$51,MIN(Keys!$C$52,$K459/$L459),Keys!$C$51)</f>
        <v>0</v>
      </c>
      <c r="N459" s="11">
        <f>IF($E459=Keys!$C$60,Keys!$C$51,IF($E459=Keys!$C$59,$D459,$M459))</f>
        <v>0</v>
      </c>
      <c r="O459">
        <f t="shared" si="30"/>
        <v>0</v>
      </c>
      <c r="P459" s="10">
        <f>IF($E459=Keys!$C$60,Keys!$C$51,INDEX(Raw_BFPIaE!$G$9:$G$3032,MATCH($A459&amp;Keys!$C$54&amp;Keys!$C$55&amp;Keys!$C$54&amp;$B459,Raw_BFPIaE!$H$9:$H$3032,0)))</f>
        <v>0</v>
      </c>
      <c r="Q459" s="10">
        <f>IF($E459=Keys!$C$60,Keys!$C$51,INDEX(Raw_BFPIaE!$G$9:$G$3032,MATCH($A459&amp;Keys!$C$54&amp;Keys!$C$56&amp;Keys!$C$54&amp;$B459,Raw_BFPIaE!$H$9:$H$3032,0)))</f>
        <v>0</v>
      </c>
      <c r="R459" s="10">
        <f>IF($E459=Keys!$C$60,Keys!$C$51,INDEX(Raw_BFPIaE!$G$9:$G$3032,MATCH($A459&amp;Keys!$C$54&amp;Keys!$C$57&amp;Keys!$C$54&amp;$B459,Raw_BFPIaE!$H$9:$H$3032,0)))</f>
        <v>0</v>
      </c>
      <c r="S459" s="11">
        <f>IF(($P459+$Q459-$R459+MAX(Keys!$C$51,$R459-$Q459))&gt;Keys!$C$51,MIN(Keys!$C$52,MAX(Keys!$C$51,$R459-$Q459)/($P459+$Q459-$R459+MAX(Keys!$C$51,$R459-$Q459))),Keys!$C$51)</f>
        <v>0</v>
      </c>
      <c r="T459">
        <f>IF(AND($I459&gt;$H459,ABS($L459-$G459)&gt;MAX(Keys!$C$62,ABS($G459)*Keys!$C$63)),1,0)</f>
        <v>0</v>
      </c>
      <c r="U459">
        <f>IF(OR($N459&lt;Keys!$C$51,$N459&gt;Keys!$C$52),1,0)</f>
        <v>0</v>
      </c>
      <c r="V459">
        <f>IF(AND($E459=Keys!$C$60,$N459&lt;&gt;Keys!$C$51),1,0)</f>
        <v>0</v>
      </c>
      <c r="W459">
        <f>IF($L459&gt;Keys!$C$51,IF($K459/$L459&gt;Keys!$C$52,1,0),0)</f>
        <v>0</v>
      </c>
      <c r="X459" s="11">
        <f t="shared" si="31"/>
        <v>0</v>
      </c>
    </row>
    <row r="460" spans="1:24" x14ac:dyDescent="0.25">
      <c r="A460" t="s">
        <v>125</v>
      </c>
      <c r="B460" t="s">
        <v>106</v>
      </c>
      <c r="C460" t="str">
        <f>VLOOKUP($B460,Keys!$F$2:$I$22,2,FALSE)</f>
        <v>lignite</v>
      </c>
      <c r="D460">
        <f>VLOOKUP($B460,Keys!$F$2:$I$22,3,FALSE)</f>
        <v>0</v>
      </c>
      <c r="E460" t="str">
        <f>VLOOKUP($B460,Keys!$F$2:$I$22,4,FALSE)</f>
        <v>rule</v>
      </c>
      <c r="F460" t="str">
        <f>$A460&amp;Keys!$C$54&amp;$B460</f>
        <v>MO|lignite</v>
      </c>
      <c r="G460" s="10">
        <f>IF($E460=Keys!$C$60,Keys!$C$51,INDEX(Balanced_2025!$D$9:$D$3032,MATCH($A460&amp;Keys!$C$54&amp;Keys!$C$55&amp;Keys!$C$54&amp;$C460,Balanced_2025!$E$9:$E$3032,0)))</f>
        <v>0</v>
      </c>
      <c r="H460" s="10">
        <f>IF($E460=Keys!$C$60,Keys!$C$51,INDEX(Balanced_2025!$D$9:$D$3032,MATCH($A460&amp;Keys!$C$54&amp;Keys!$C$56&amp;Keys!$C$54&amp;$C460,Balanced_2025!$E$9:$E$3032,0)))</f>
        <v>0</v>
      </c>
      <c r="I460" s="10">
        <f>IF($E460=Keys!$C$60,Keys!$C$51,INDEX(Balanced_2025!$D$9:$D$3032,MATCH($A460&amp;Keys!$C$54&amp;Keys!$C$57&amp;Keys!$C$54&amp;$C460,Balanced_2025!$E$9:$E$3032,0)))</f>
        <v>0</v>
      </c>
      <c r="J460" s="10">
        <f t="shared" si="28"/>
        <v>0</v>
      </c>
      <c r="K460" s="10">
        <f>MAX(Keys!$C$51,$I460-$H460)</f>
        <v>0</v>
      </c>
      <c r="L460" s="10">
        <f t="shared" si="29"/>
        <v>0</v>
      </c>
      <c r="M460" s="11">
        <f>IF($L460&gt;Keys!$C$51,MIN(Keys!$C$52,$K460/$L460),Keys!$C$51)</f>
        <v>0</v>
      </c>
      <c r="N460" s="11">
        <f>IF($E460=Keys!$C$60,Keys!$C$51,IF($E460=Keys!$C$59,$D460,$M460))</f>
        <v>0</v>
      </c>
      <c r="O460">
        <f t="shared" si="30"/>
        <v>0</v>
      </c>
      <c r="P460" s="10">
        <f>IF($E460=Keys!$C$60,Keys!$C$51,INDEX(Raw_BFPIaE!$G$9:$G$3032,MATCH($A460&amp;Keys!$C$54&amp;Keys!$C$55&amp;Keys!$C$54&amp;$B460,Raw_BFPIaE!$H$9:$H$3032,0)))</f>
        <v>0</v>
      </c>
      <c r="Q460" s="10">
        <f>IF($E460=Keys!$C$60,Keys!$C$51,INDEX(Raw_BFPIaE!$G$9:$G$3032,MATCH($A460&amp;Keys!$C$54&amp;Keys!$C$56&amp;Keys!$C$54&amp;$B460,Raw_BFPIaE!$H$9:$H$3032,0)))</f>
        <v>0</v>
      </c>
      <c r="R460" s="10">
        <f>IF($E460=Keys!$C$60,Keys!$C$51,INDEX(Raw_BFPIaE!$G$9:$G$3032,MATCH($A460&amp;Keys!$C$54&amp;Keys!$C$57&amp;Keys!$C$54&amp;$B460,Raw_BFPIaE!$H$9:$H$3032,0)))</f>
        <v>0</v>
      </c>
      <c r="S460" s="11">
        <f>IF(($P460+$Q460-$R460+MAX(Keys!$C$51,$R460-$Q460))&gt;Keys!$C$51,MIN(Keys!$C$52,MAX(Keys!$C$51,$R460-$Q460)/($P460+$Q460-$R460+MAX(Keys!$C$51,$R460-$Q460))),Keys!$C$51)</f>
        <v>0</v>
      </c>
      <c r="T460">
        <f>IF(AND($I460&gt;$H460,ABS($L460-$G460)&gt;MAX(Keys!$C$62,ABS($G460)*Keys!$C$63)),1,0)</f>
        <v>0</v>
      </c>
      <c r="U460">
        <f>IF(OR($N460&lt;Keys!$C$51,$N460&gt;Keys!$C$52),1,0)</f>
        <v>0</v>
      </c>
      <c r="V460">
        <f>IF(AND($E460=Keys!$C$60,$N460&lt;&gt;Keys!$C$51),1,0)</f>
        <v>0</v>
      </c>
      <c r="W460">
        <f>IF($L460&gt;Keys!$C$51,IF($K460/$L460&gt;Keys!$C$52,1,0),0)</f>
        <v>0</v>
      </c>
      <c r="X460" s="11">
        <f t="shared" si="31"/>
        <v>0</v>
      </c>
    </row>
    <row r="461" spans="1:24" x14ac:dyDescent="0.25">
      <c r="A461" t="s">
        <v>125</v>
      </c>
      <c r="B461" t="s">
        <v>109</v>
      </c>
      <c r="C461" t="str">
        <f>VLOOKUP($B461,Keys!$F$2:$I$22,2,FALSE)</f>
        <v>crude oil</v>
      </c>
      <c r="D461">
        <f>VLOOKUP($B461,Keys!$F$2:$I$22,3,FALSE)</f>
        <v>1</v>
      </c>
      <c r="E461" t="str">
        <f>VLOOKUP($B461,Keys!$F$2:$I$22,4,FALSE)</f>
        <v>hold</v>
      </c>
      <c r="F461" t="str">
        <f>$A461&amp;Keys!$C$54&amp;$B461</f>
        <v>MO|crude oil</v>
      </c>
      <c r="G461" s="10">
        <f>IF($E461=Keys!$C$60,Keys!$C$51,INDEX(Balanced_2025!$D$9:$D$3032,MATCH($A461&amp;Keys!$C$54&amp;Keys!$C$55&amp;Keys!$C$54&amp;$C461,Balanced_2025!$E$9:$E$3032,0)))</f>
        <v>330600000000</v>
      </c>
      <c r="H461" s="10">
        <f>IF($E461=Keys!$C$60,Keys!$C$51,INDEX(Balanced_2025!$D$9:$D$3032,MATCH($A461&amp;Keys!$C$54&amp;Keys!$C$56&amp;Keys!$C$54&amp;$C461,Balanced_2025!$E$9:$E$3032,0)))</f>
        <v>1353400000000</v>
      </c>
      <c r="I461" s="10">
        <f>IF($E461=Keys!$C$60,Keys!$C$51,INDEX(Balanced_2025!$D$9:$D$3032,MATCH($A461&amp;Keys!$C$54&amp;Keys!$C$57&amp;Keys!$C$54&amp;$C461,Balanced_2025!$E$9:$E$3032,0)))</f>
        <v>0</v>
      </c>
      <c r="J461" s="10">
        <f t="shared" si="28"/>
        <v>1684000000000</v>
      </c>
      <c r="K461" s="10">
        <f>MAX(Keys!$C$51,$I461-$H461)</f>
        <v>0</v>
      </c>
      <c r="L461" s="10">
        <f t="shared" si="29"/>
        <v>1684000000000</v>
      </c>
      <c r="M461" s="11">
        <f>IF($L461&gt;Keys!$C$51,MIN(Keys!$C$52,$K461/$L461),Keys!$C$51)</f>
        <v>0</v>
      </c>
      <c r="N461" s="11">
        <f>IF($E461=Keys!$C$60,Keys!$C$51,IF($E461=Keys!$C$59,$D461,$M461))</f>
        <v>1</v>
      </c>
      <c r="O461">
        <f t="shared" si="30"/>
        <v>0</v>
      </c>
      <c r="P461" s="10">
        <f>IF($E461=Keys!$C$60,Keys!$C$51,INDEX(Raw_BFPIaE!$G$9:$G$3032,MATCH($A461&amp;Keys!$C$54&amp;Keys!$C$55&amp;Keys!$C$54&amp;$B461,Raw_BFPIaE!$H$9:$H$3032,0)))</f>
        <v>327222000000</v>
      </c>
      <c r="Q461" s="10">
        <f>IF($E461=Keys!$C$60,Keys!$C$51,INDEX(Raw_BFPIaE!$G$9:$G$3032,MATCH($A461&amp;Keys!$C$54&amp;Keys!$C$56&amp;Keys!$C$54&amp;$B461,Raw_BFPIaE!$H$9:$H$3032,0)))</f>
        <v>905643333333.33337</v>
      </c>
      <c r="R461" s="10">
        <f>IF($E461=Keys!$C$60,Keys!$C$51,INDEX(Raw_BFPIaE!$G$9:$G$3032,MATCH($A461&amp;Keys!$C$54&amp;Keys!$C$57&amp;Keys!$C$54&amp;$B461,Raw_BFPIaE!$H$9:$H$3032,0)))</f>
        <v>0</v>
      </c>
      <c r="S461" s="11">
        <f>IF(($P461+$Q461-$R461+MAX(Keys!$C$51,$R461-$Q461))&gt;Keys!$C$51,MIN(Keys!$C$52,MAX(Keys!$C$51,$R461-$Q461)/($P461+$Q461-$R461+MAX(Keys!$C$51,$R461-$Q461))),Keys!$C$51)</f>
        <v>0</v>
      </c>
      <c r="T461">
        <f>IF(AND($I461&gt;$H461,ABS($L461-$G461)&gt;MAX(Keys!$C$62,ABS($G461)*Keys!$C$63)),1,0)</f>
        <v>0</v>
      </c>
      <c r="U461">
        <f>IF(OR($N461&lt;Keys!$C$51,$N461&gt;Keys!$C$52),1,0)</f>
        <v>0</v>
      </c>
      <c r="V461">
        <f>IF(AND($E461=Keys!$C$60,$N461&lt;&gt;Keys!$C$51),1,0)</f>
        <v>0</v>
      </c>
      <c r="W461">
        <f>IF($L461&gt;Keys!$C$51,IF($K461/$L461&gt;Keys!$C$52,1,0),0)</f>
        <v>0</v>
      </c>
      <c r="X461" s="11">
        <f t="shared" si="31"/>
        <v>0</v>
      </c>
    </row>
    <row r="462" spans="1:24" x14ac:dyDescent="0.25">
      <c r="A462" t="s">
        <v>125</v>
      </c>
      <c r="B462" t="s">
        <v>113</v>
      </c>
      <c r="C462" t="str">
        <f>VLOOKUP($B462,Keys!$F$2:$I$22,2,FALSE)</f>
        <v>heavy or residual fuel oil</v>
      </c>
      <c r="D462">
        <f>VLOOKUP($B462,Keys!$F$2:$I$22,3,FALSE)</f>
        <v>0.49914171099999999</v>
      </c>
      <c r="E462" t="str">
        <f>VLOOKUP($B462,Keys!$F$2:$I$22,4,FALSE)</f>
        <v>rule</v>
      </c>
      <c r="F462" t="str">
        <f>$A462&amp;Keys!$C$54&amp;$B462</f>
        <v>MO|heavy fuel oil</v>
      </c>
      <c r="G462" s="10">
        <f>IF($E462=Keys!$C$60,Keys!$C$51,INDEX(Balanced_2025!$D$9:$D$3032,MATCH($A462&amp;Keys!$C$54&amp;Keys!$C$55&amp;Keys!$C$54&amp;$C462,Balanced_2025!$E$9:$E$3032,0)))</f>
        <v>0</v>
      </c>
      <c r="H462" s="10">
        <f>IF($E462=Keys!$C$60,Keys!$C$51,INDEX(Balanced_2025!$D$9:$D$3032,MATCH($A462&amp;Keys!$C$54&amp;Keys!$C$56&amp;Keys!$C$54&amp;$C462,Balanced_2025!$E$9:$E$3032,0)))</f>
        <v>20687100000000</v>
      </c>
      <c r="I462" s="10">
        <f>IF($E462=Keys!$C$60,Keys!$C$51,INDEX(Balanced_2025!$D$9:$D$3032,MATCH($A462&amp;Keys!$C$54&amp;Keys!$C$57&amp;Keys!$C$54&amp;$C462,Balanced_2025!$E$9:$E$3032,0)))</f>
        <v>0</v>
      </c>
      <c r="J462" s="10">
        <f t="shared" si="28"/>
        <v>20687100000000</v>
      </c>
      <c r="K462" s="10">
        <f>MAX(Keys!$C$51,$I462-$H462)</f>
        <v>0</v>
      </c>
      <c r="L462" s="10">
        <f t="shared" si="29"/>
        <v>20687100000000</v>
      </c>
      <c r="M462" s="11">
        <f>IF($L462&gt;Keys!$C$51,MIN(Keys!$C$52,$K462/$L462),Keys!$C$51)</f>
        <v>0</v>
      </c>
      <c r="N462" s="11">
        <f>IF($E462=Keys!$C$60,Keys!$C$51,IF($E462=Keys!$C$59,$D462,$M462))</f>
        <v>0</v>
      </c>
      <c r="O462">
        <f t="shared" si="30"/>
        <v>1</v>
      </c>
      <c r="P462" s="10">
        <f>IF($E462=Keys!$C$60,Keys!$C$51,INDEX(Raw_BFPIaE!$G$9:$G$3032,MATCH($A462&amp;Keys!$C$54&amp;Keys!$C$55&amp;Keys!$C$54&amp;$B462,Raw_BFPIaE!$H$9:$H$3032,0)))</f>
        <v>0</v>
      </c>
      <c r="Q462" s="10">
        <f>IF($E462=Keys!$C$60,Keys!$C$51,INDEX(Raw_BFPIaE!$G$9:$G$3032,MATCH($A462&amp;Keys!$C$54&amp;Keys!$C$56&amp;Keys!$C$54&amp;$B462,Raw_BFPIaE!$H$9:$H$3032,0)))</f>
        <v>13935433333333.334</v>
      </c>
      <c r="R462" s="10">
        <f>IF($E462=Keys!$C$60,Keys!$C$51,INDEX(Raw_BFPIaE!$G$9:$G$3032,MATCH($A462&amp;Keys!$C$54&amp;Keys!$C$57&amp;Keys!$C$54&amp;$B462,Raw_BFPIaE!$H$9:$H$3032,0)))</f>
        <v>0</v>
      </c>
      <c r="S462" s="11">
        <f>IF(($P462+$Q462-$R462+MAX(Keys!$C$51,$R462-$Q462))&gt;Keys!$C$51,MIN(Keys!$C$52,MAX(Keys!$C$51,$R462-$Q462)/($P462+$Q462-$R462+MAX(Keys!$C$51,$R462-$Q462))),Keys!$C$51)</f>
        <v>0</v>
      </c>
      <c r="T462">
        <f>IF(AND($I462&gt;$H462,ABS($L462-$G462)&gt;MAX(Keys!$C$62,ABS($G462)*Keys!$C$63)),1,0)</f>
        <v>0</v>
      </c>
      <c r="U462">
        <f>IF(OR($N462&lt;Keys!$C$51,$N462&gt;Keys!$C$52),1,0)</f>
        <v>0</v>
      </c>
      <c r="V462">
        <f>IF(AND($E462=Keys!$C$60,$N462&lt;&gt;Keys!$C$51),1,0)</f>
        <v>0</v>
      </c>
      <c r="W462">
        <f>IF($L462&gt;Keys!$C$51,IF($K462/$L462&gt;Keys!$C$52,1,0),0)</f>
        <v>0</v>
      </c>
      <c r="X462" s="11">
        <f t="shared" si="31"/>
        <v>0</v>
      </c>
    </row>
    <row r="463" spans="1:24" x14ac:dyDescent="0.25">
      <c r="A463" t="s">
        <v>125</v>
      </c>
      <c r="B463" t="s">
        <v>117</v>
      </c>
      <c r="C463" t="str">
        <f>VLOOKUP($B463,Keys!$F$2:$I$22,2,FALSE)</f>
        <v>LPG propane or butane</v>
      </c>
      <c r="D463">
        <f>VLOOKUP($B463,Keys!$F$2:$I$22,3,FALSE)</f>
        <v>0.54955999499999997</v>
      </c>
      <c r="E463" t="str">
        <f>VLOOKUP($B463,Keys!$F$2:$I$22,4,FALSE)</f>
        <v>rule</v>
      </c>
      <c r="F463" t="str">
        <f>$A463&amp;Keys!$C$54&amp;$B463</f>
        <v>MO|LPG propane or butane</v>
      </c>
      <c r="G463" s="10">
        <f>IF($E463=Keys!$C$60,Keys!$C$51,INDEX(Balanced_2025!$D$9:$D$3032,MATCH($A463&amp;Keys!$C$54&amp;Keys!$C$55&amp;Keys!$C$54&amp;$C463,Balanced_2025!$E$9:$E$3032,0)))</f>
        <v>126773000</v>
      </c>
      <c r="H463" s="10">
        <f>IF($E463=Keys!$C$60,Keys!$C$51,INDEX(Balanced_2025!$D$9:$D$3032,MATCH($A463&amp;Keys!$C$54&amp;Keys!$C$56&amp;Keys!$C$54&amp;$C463,Balanced_2025!$E$9:$E$3032,0)))</f>
        <v>23797400000000</v>
      </c>
      <c r="I463" s="10">
        <f>IF($E463=Keys!$C$60,Keys!$C$51,INDEX(Balanced_2025!$D$9:$D$3032,MATCH($A463&amp;Keys!$C$54&amp;Keys!$C$57&amp;Keys!$C$54&amp;$C463,Balanced_2025!$E$9:$E$3032,0)))</f>
        <v>0</v>
      </c>
      <c r="J463" s="10">
        <f t="shared" si="28"/>
        <v>23797526773000</v>
      </c>
      <c r="K463" s="10">
        <f>MAX(Keys!$C$51,$I463-$H463)</f>
        <v>0</v>
      </c>
      <c r="L463" s="10">
        <f t="shared" si="29"/>
        <v>23797526773000</v>
      </c>
      <c r="M463" s="11">
        <f>IF($L463&gt;Keys!$C$51,MIN(Keys!$C$52,$K463/$L463),Keys!$C$51)</f>
        <v>0</v>
      </c>
      <c r="N463" s="11">
        <f>IF($E463=Keys!$C$60,Keys!$C$51,IF($E463=Keys!$C$59,$D463,$M463))</f>
        <v>0</v>
      </c>
      <c r="O463">
        <f t="shared" si="30"/>
        <v>1</v>
      </c>
      <c r="P463" s="10">
        <f>IF($E463=Keys!$C$60,Keys!$C$51,INDEX(Raw_BFPIaE!$G$9:$G$3032,MATCH($A463&amp;Keys!$C$54&amp;Keys!$C$55&amp;Keys!$C$54&amp;$B463,Raw_BFPIaE!$H$9:$H$3032,0)))</f>
        <v>127670333.33333333</v>
      </c>
      <c r="Q463" s="10">
        <f>IF($E463=Keys!$C$60,Keys!$C$51,INDEX(Raw_BFPIaE!$G$9:$G$3032,MATCH($A463&amp;Keys!$C$54&amp;Keys!$C$56&amp;Keys!$C$54&amp;$B463,Raw_BFPIaE!$H$9:$H$3032,0)))</f>
        <v>15791800000000</v>
      </c>
      <c r="R463" s="10">
        <f>IF($E463=Keys!$C$60,Keys!$C$51,INDEX(Raw_BFPIaE!$G$9:$G$3032,MATCH($A463&amp;Keys!$C$54&amp;Keys!$C$57&amp;Keys!$C$54&amp;$B463,Raw_BFPIaE!$H$9:$H$3032,0)))</f>
        <v>0</v>
      </c>
      <c r="S463" s="11">
        <f>IF(($P463+$Q463-$R463+MAX(Keys!$C$51,$R463-$Q463))&gt;Keys!$C$51,MIN(Keys!$C$52,MAX(Keys!$C$51,$R463-$Q463)/($P463+$Q463-$R463+MAX(Keys!$C$51,$R463-$Q463))),Keys!$C$51)</f>
        <v>0</v>
      </c>
      <c r="T463">
        <f>IF(AND($I463&gt;$H463,ABS($L463-$G463)&gt;MAX(Keys!$C$62,ABS($G463)*Keys!$C$63)),1,0)</f>
        <v>0</v>
      </c>
      <c r="U463">
        <f>IF(OR($N463&lt;Keys!$C$51,$N463&gt;Keys!$C$52),1,0)</f>
        <v>0</v>
      </c>
      <c r="V463">
        <f>IF(AND($E463=Keys!$C$60,$N463&lt;&gt;Keys!$C$51),1,0)</f>
        <v>0</v>
      </c>
      <c r="W463">
        <f>IF($L463&gt;Keys!$C$51,IF($K463/$L463&gt;Keys!$C$52,1,0),0)</f>
        <v>0</v>
      </c>
      <c r="X463" s="11">
        <f t="shared" si="31"/>
        <v>0</v>
      </c>
    </row>
    <row r="464" spans="1:24" x14ac:dyDescent="0.25">
      <c r="A464" t="s">
        <v>125</v>
      </c>
      <c r="B464" t="s">
        <v>120</v>
      </c>
      <c r="C464">
        <f>VLOOKUP($B464,Keys!$F$2:$I$22,2,FALSE)</f>
        <v>0</v>
      </c>
      <c r="D464">
        <f>VLOOKUP($B464,Keys!$F$2:$I$22,3,FALSE)</f>
        <v>0</v>
      </c>
      <c r="E464" t="str">
        <f>VLOOKUP($B464,Keys!$F$2:$I$22,4,FALSE)</f>
        <v>zero</v>
      </c>
      <c r="F464" t="str">
        <f>$A464&amp;Keys!$C$54&amp;$B464</f>
        <v>MO|municipal solid waste</v>
      </c>
      <c r="G464" s="10">
        <f>IF($E464=Keys!$C$60,Keys!$C$51,INDEX(Balanced_2025!$D$9:$D$3032,MATCH($A464&amp;Keys!$C$54&amp;Keys!$C$55&amp;Keys!$C$54&amp;$C464,Balanced_2025!$E$9:$E$3032,0)))</f>
        <v>0</v>
      </c>
      <c r="H464" s="10">
        <f>IF($E464=Keys!$C$60,Keys!$C$51,INDEX(Balanced_2025!$D$9:$D$3032,MATCH($A464&amp;Keys!$C$54&amp;Keys!$C$56&amp;Keys!$C$54&amp;$C464,Balanced_2025!$E$9:$E$3032,0)))</f>
        <v>0</v>
      </c>
      <c r="I464" s="10">
        <f>IF($E464=Keys!$C$60,Keys!$C$51,INDEX(Balanced_2025!$D$9:$D$3032,MATCH($A464&amp;Keys!$C$54&amp;Keys!$C$57&amp;Keys!$C$54&amp;$C464,Balanced_2025!$E$9:$E$3032,0)))</f>
        <v>0</v>
      </c>
      <c r="J464" s="10">
        <f t="shared" si="28"/>
        <v>0</v>
      </c>
      <c r="K464" s="10">
        <f>MAX(Keys!$C$51,$I464-$H464)</f>
        <v>0</v>
      </c>
      <c r="L464" s="10">
        <f t="shared" si="29"/>
        <v>0</v>
      </c>
      <c r="M464" s="11">
        <f>IF($L464&gt;Keys!$C$51,MIN(Keys!$C$52,$K464/$L464),Keys!$C$51)</f>
        <v>0</v>
      </c>
      <c r="N464" s="11">
        <f>IF($E464=Keys!$C$60,Keys!$C$51,IF($E464=Keys!$C$59,$D464,$M464))</f>
        <v>0</v>
      </c>
      <c r="O464">
        <f t="shared" si="30"/>
        <v>0</v>
      </c>
      <c r="P464" s="10">
        <f>IF($E464=Keys!$C$60,Keys!$C$51,INDEX(Raw_BFPIaE!$G$9:$G$3032,MATCH($A464&amp;Keys!$C$54&amp;Keys!$C$55&amp;Keys!$C$54&amp;$B464,Raw_BFPIaE!$H$9:$H$3032,0)))</f>
        <v>0</v>
      </c>
      <c r="Q464" s="10">
        <f>IF($E464=Keys!$C$60,Keys!$C$51,INDEX(Raw_BFPIaE!$G$9:$G$3032,MATCH($A464&amp;Keys!$C$54&amp;Keys!$C$56&amp;Keys!$C$54&amp;$B464,Raw_BFPIaE!$H$9:$H$3032,0)))</f>
        <v>0</v>
      </c>
      <c r="R464" s="10">
        <f>IF($E464=Keys!$C$60,Keys!$C$51,INDEX(Raw_BFPIaE!$G$9:$G$3032,MATCH($A464&amp;Keys!$C$54&amp;Keys!$C$57&amp;Keys!$C$54&amp;$B464,Raw_BFPIaE!$H$9:$H$3032,0)))</f>
        <v>0</v>
      </c>
      <c r="S464" s="11">
        <f>IF(($P464+$Q464-$R464+MAX(Keys!$C$51,$R464-$Q464))&gt;Keys!$C$51,MIN(Keys!$C$52,MAX(Keys!$C$51,$R464-$Q464)/($P464+$Q464-$R464+MAX(Keys!$C$51,$R464-$Q464))),Keys!$C$51)</f>
        <v>0</v>
      </c>
      <c r="T464">
        <f>IF(AND($I464&gt;$H464,ABS($L464-$G464)&gt;MAX(Keys!$C$62,ABS($G464)*Keys!$C$63)),1,0)</f>
        <v>0</v>
      </c>
      <c r="U464">
        <f>IF(OR($N464&lt;Keys!$C$51,$N464&gt;Keys!$C$52),1,0)</f>
        <v>0</v>
      </c>
      <c r="V464">
        <f>IF(AND($E464=Keys!$C$60,$N464&lt;&gt;Keys!$C$51),1,0)</f>
        <v>0</v>
      </c>
      <c r="W464">
        <f>IF($L464&gt;Keys!$C$51,IF($K464/$L464&gt;Keys!$C$52,1,0),0)</f>
        <v>0</v>
      </c>
      <c r="X464" s="11">
        <f t="shared" si="31"/>
        <v>0</v>
      </c>
    </row>
    <row r="465" spans="1:24" x14ac:dyDescent="0.25">
      <c r="A465" t="s">
        <v>125</v>
      </c>
      <c r="B465" t="s">
        <v>123</v>
      </c>
      <c r="C465">
        <f>VLOOKUP($B465,Keys!$F$2:$I$22,2,FALSE)</f>
        <v>0</v>
      </c>
      <c r="D465">
        <f>VLOOKUP($B465,Keys!$F$2:$I$22,3,FALSE)</f>
        <v>0</v>
      </c>
      <c r="E465" t="str">
        <f>VLOOKUP($B465,Keys!$F$2:$I$22,4,FALSE)</f>
        <v>zero</v>
      </c>
      <c r="F465" t="str">
        <f>$A465&amp;Keys!$C$54&amp;$B465</f>
        <v>MO|hydrogen</v>
      </c>
      <c r="G465" s="10">
        <f>IF($E465=Keys!$C$60,Keys!$C$51,INDEX(Balanced_2025!$D$9:$D$3032,MATCH($A465&amp;Keys!$C$54&amp;Keys!$C$55&amp;Keys!$C$54&amp;$C465,Balanced_2025!$E$9:$E$3032,0)))</f>
        <v>0</v>
      </c>
      <c r="H465" s="10">
        <f>IF($E465=Keys!$C$60,Keys!$C$51,INDEX(Balanced_2025!$D$9:$D$3032,MATCH($A465&amp;Keys!$C$54&amp;Keys!$C$56&amp;Keys!$C$54&amp;$C465,Balanced_2025!$E$9:$E$3032,0)))</f>
        <v>0</v>
      </c>
      <c r="I465" s="10">
        <f>IF($E465=Keys!$C$60,Keys!$C$51,INDEX(Balanced_2025!$D$9:$D$3032,MATCH($A465&amp;Keys!$C$54&amp;Keys!$C$57&amp;Keys!$C$54&amp;$C465,Balanced_2025!$E$9:$E$3032,0)))</f>
        <v>0</v>
      </c>
      <c r="J465" s="10">
        <f t="shared" si="28"/>
        <v>0</v>
      </c>
      <c r="K465" s="10">
        <f>MAX(Keys!$C$51,$I465-$H465)</f>
        <v>0</v>
      </c>
      <c r="L465" s="10">
        <f t="shared" si="29"/>
        <v>0</v>
      </c>
      <c r="M465" s="11">
        <f>IF($L465&gt;Keys!$C$51,MIN(Keys!$C$52,$K465/$L465),Keys!$C$51)</f>
        <v>0</v>
      </c>
      <c r="N465" s="11">
        <f>IF($E465=Keys!$C$60,Keys!$C$51,IF($E465=Keys!$C$59,$D465,$M465))</f>
        <v>0</v>
      </c>
      <c r="O465">
        <f t="shared" si="30"/>
        <v>0</v>
      </c>
      <c r="P465" s="10">
        <f>IF($E465=Keys!$C$60,Keys!$C$51,INDEX(Raw_BFPIaE!$G$9:$G$3032,MATCH($A465&amp;Keys!$C$54&amp;Keys!$C$55&amp;Keys!$C$54&amp;$B465,Raw_BFPIaE!$H$9:$H$3032,0)))</f>
        <v>0</v>
      </c>
      <c r="Q465" s="10">
        <f>IF($E465=Keys!$C$60,Keys!$C$51,INDEX(Raw_BFPIaE!$G$9:$G$3032,MATCH($A465&amp;Keys!$C$54&amp;Keys!$C$56&amp;Keys!$C$54&amp;$B465,Raw_BFPIaE!$H$9:$H$3032,0)))</f>
        <v>0</v>
      </c>
      <c r="R465" s="10">
        <f>IF($E465=Keys!$C$60,Keys!$C$51,INDEX(Raw_BFPIaE!$G$9:$G$3032,MATCH($A465&amp;Keys!$C$54&amp;Keys!$C$57&amp;Keys!$C$54&amp;$B465,Raw_BFPIaE!$H$9:$H$3032,0)))</f>
        <v>0</v>
      </c>
      <c r="S465" s="11">
        <f>IF(($P465+$Q465-$R465+MAX(Keys!$C$51,$R465-$Q465))&gt;Keys!$C$51,MIN(Keys!$C$52,MAX(Keys!$C$51,$R465-$Q465)/($P465+$Q465-$R465+MAX(Keys!$C$51,$R465-$Q465))),Keys!$C$51)</f>
        <v>0</v>
      </c>
      <c r="T465">
        <f>IF(AND($I465&gt;$H465,ABS($L465-$G465)&gt;MAX(Keys!$C$62,ABS($G465)*Keys!$C$63)),1,0)</f>
        <v>0</v>
      </c>
      <c r="U465">
        <f>IF(OR($N465&lt;Keys!$C$51,$N465&gt;Keys!$C$52),1,0)</f>
        <v>0</v>
      </c>
      <c r="V465">
        <f>IF(AND($E465=Keys!$C$60,$N465&lt;&gt;Keys!$C$51),1,0)</f>
        <v>0</v>
      </c>
      <c r="W465">
        <f>IF($L465&gt;Keys!$C$51,IF($K465/$L465&gt;Keys!$C$52,1,0),0)</f>
        <v>0</v>
      </c>
      <c r="X465" s="11">
        <f t="shared" si="31"/>
        <v>0</v>
      </c>
    </row>
    <row r="466" spans="1:24" x14ac:dyDescent="0.25">
      <c r="A466" t="s">
        <v>127</v>
      </c>
      <c r="B466" t="s">
        <v>60</v>
      </c>
      <c r="C466">
        <f>VLOOKUP($B466,Keys!$F$2:$I$22,2,FALSE)</f>
        <v>0</v>
      </c>
      <c r="D466">
        <f>VLOOKUP($B466,Keys!$F$2:$I$22,3,FALSE)</f>
        <v>0</v>
      </c>
      <c r="E466" t="str">
        <f>VLOOKUP($B466,Keys!$F$2:$I$22,4,FALSE)</f>
        <v>zero</v>
      </c>
      <c r="F466" t="str">
        <f>$A466&amp;Keys!$C$54&amp;$B466</f>
        <v>MS|electricity (not used in this variable)</v>
      </c>
      <c r="G466" s="10">
        <f>IF($E466=Keys!$C$60,Keys!$C$51,INDEX(Balanced_2025!$D$9:$D$3032,MATCH($A466&amp;Keys!$C$54&amp;Keys!$C$55&amp;Keys!$C$54&amp;$C466,Balanced_2025!$E$9:$E$3032,0)))</f>
        <v>0</v>
      </c>
      <c r="H466" s="10">
        <f>IF($E466=Keys!$C$60,Keys!$C$51,INDEX(Balanced_2025!$D$9:$D$3032,MATCH($A466&amp;Keys!$C$54&amp;Keys!$C$56&amp;Keys!$C$54&amp;$C466,Balanced_2025!$E$9:$E$3032,0)))</f>
        <v>0</v>
      </c>
      <c r="I466" s="10">
        <f>IF($E466=Keys!$C$60,Keys!$C$51,INDEX(Balanced_2025!$D$9:$D$3032,MATCH($A466&amp;Keys!$C$54&amp;Keys!$C$57&amp;Keys!$C$54&amp;$C466,Balanced_2025!$E$9:$E$3032,0)))</f>
        <v>0</v>
      </c>
      <c r="J466" s="10">
        <f t="shared" si="28"/>
        <v>0</v>
      </c>
      <c r="K466" s="10">
        <f>MAX(Keys!$C$51,$I466-$H466)</f>
        <v>0</v>
      </c>
      <c r="L466" s="10">
        <f t="shared" si="29"/>
        <v>0</v>
      </c>
      <c r="M466" s="11">
        <f>IF($L466&gt;Keys!$C$51,MIN(Keys!$C$52,$K466/$L466),Keys!$C$51)</f>
        <v>0</v>
      </c>
      <c r="N466" s="11">
        <f>IF($E466=Keys!$C$60,Keys!$C$51,IF($E466=Keys!$C$59,$D466,$M466))</f>
        <v>0</v>
      </c>
      <c r="O466">
        <f t="shared" si="30"/>
        <v>0</v>
      </c>
      <c r="P466" s="10">
        <f>IF($E466=Keys!$C$60,Keys!$C$51,INDEX(Raw_BFPIaE!$G$9:$G$3032,MATCH($A466&amp;Keys!$C$54&amp;Keys!$C$55&amp;Keys!$C$54&amp;$B466,Raw_BFPIaE!$H$9:$H$3032,0)))</f>
        <v>0</v>
      </c>
      <c r="Q466" s="10">
        <f>IF($E466=Keys!$C$60,Keys!$C$51,INDEX(Raw_BFPIaE!$G$9:$G$3032,MATCH($A466&amp;Keys!$C$54&amp;Keys!$C$56&amp;Keys!$C$54&amp;$B466,Raw_BFPIaE!$H$9:$H$3032,0)))</f>
        <v>0</v>
      </c>
      <c r="R466" s="10">
        <f>IF($E466=Keys!$C$60,Keys!$C$51,INDEX(Raw_BFPIaE!$G$9:$G$3032,MATCH($A466&amp;Keys!$C$54&amp;Keys!$C$57&amp;Keys!$C$54&amp;$B466,Raw_BFPIaE!$H$9:$H$3032,0)))</f>
        <v>0</v>
      </c>
      <c r="S466" s="11">
        <f>IF(($P466+$Q466-$R466+MAX(Keys!$C$51,$R466-$Q466))&gt;Keys!$C$51,MIN(Keys!$C$52,MAX(Keys!$C$51,$R466-$Q466)/($P466+$Q466-$R466+MAX(Keys!$C$51,$R466-$Q466))),Keys!$C$51)</f>
        <v>0</v>
      </c>
      <c r="T466">
        <f>IF(AND($I466&gt;$H466,ABS($L466-$G466)&gt;MAX(Keys!$C$62,ABS($G466)*Keys!$C$63)),1,0)</f>
        <v>0</v>
      </c>
      <c r="U466">
        <f>IF(OR($N466&lt;Keys!$C$51,$N466&gt;Keys!$C$52),1,0)</f>
        <v>0</v>
      </c>
      <c r="V466">
        <f>IF(AND($E466=Keys!$C$60,$N466&lt;&gt;Keys!$C$51),1,0)</f>
        <v>0</v>
      </c>
      <c r="W466">
        <f>IF($L466&gt;Keys!$C$51,IF($K466/$L466&gt;Keys!$C$52,1,0),0)</f>
        <v>0</v>
      </c>
      <c r="X466" s="11">
        <f t="shared" si="31"/>
        <v>0</v>
      </c>
    </row>
    <row r="467" spans="1:24" x14ac:dyDescent="0.25">
      <c r="A467" t="s">
        <v>127</v>
      </c>
      <c r="B467" t="s">
        <v>64</v>
      </c>
      <c r="C467" t="str">
        <f>VLOOKUP($B467,Keys!$F$2:$I$22,2,FALSE)</f>
        <v>hard coal</v>
      </c>
      <c r="D467">
        <f>VLOOKUP($B467,Keys!$F$2:$I$22,3,FALSE)</f>
        <v>0.137539879</v>
      </c>
      <c r="E467" t="str">
        <f>VLOOKUP($B467,Keys!$F$2:$I$22,4,FALSE)</f>
        <v>rule</v>
      </c>
      <c r="F467" t="str">
        <f>$A467&amp;Keys!$C$54&amp;$B467</f>
        <v>MS|hard coal</v>
      </c>
      <c r="G467" s="10">
        <f>IF($E467=Keys!$C$60,Keys!$C$51,INDEX(Balanced_2025!$D$9:$D$3032,MATCH($A467&amp;Keys!$C$54&amp;Keys!$C$55&amp;Keys!$C$54&amp;$C467,Balanced_2025!$E$9:$E$3032,0)))</f>
        <v>0</v>
      </c>
      <c r="H467" s="10">
        <f>IF($E467=Keys!$C$60,Keys!$C$51,INDEX(Balanced_2025!$D$9:$D$3032,MATCH($A467&amp;Keys!$C$54&amp;Keys!$C$56&amp;Keys!$C$54&amp;$C467,Balanced_2025!$E$9:$E$3032,0)))</f>
        <v>66494200000000</v>
      </c>
      <c r="I467" s="10">
        <f>IF($E467=Keys!$C$60,Keys!$C$51,INDEX(Balanced_2025!$D$9:$D$3032,MATCH($A467&amp;Keys!$C$54&amp;Keys!$C$57&amp;Keys!$C$54&amp;$C467,Balanced_2025!$E$9:$E$3032,0)))</f>
        <v>0</v>
      </c>
      <c r="J467" s="10">
        <f t="shared" si="28"/>
        <v>66494200000000</v>
      </c>
      <c r="K467" s="10">
        <f>MAX(Keys!$C$51,$I467-$H467)</f>
        <v>0</v>
      </c>
      <c r="L467" s="10">
        <f t="shared" si="29"/>
        <v>66494200000000</v>
      </c>
      <c r="M467" s="11">
        <f>IF($L467&gt;Keys!$C$51,MIN(Keys!$C$52,$K467/$L467),Keys!$C$51)</f>
        <v>0</v>
      </c>
      <c r="N467" s="11">
        <f>IF($E467=Keys!$C$60,Keys!$C$51,IF($E467=Keys!$C$59,$D467,$M467))</f>
        <v>0</v>
      </c>
      <c r="O467">
        <f t="shared" si="30"/>
        <v>1</v>
      </c>
      <c r="P467" s="10">
        <f>IF($E467=Keys!$C$60,Keys!$C$51,INDEX(Raw_BFPIaE!$G$9:$G$3032,MATCH($A467&amp;Keys!$C$54&amp;Keys!$C$55&amp;Keys!$C$54&amp;$B467,Raw_BFPIaE!$H$9:$H$3032,0)))</f>
        <v>0</v>
      </c>
      <c r="Q467" s="10">
        <f>IF($E467=Keys!$C$60,Keys!$C$51,INDEX(Raw_BFPIaE!$G$9:$G$3032,MATCH($A467&amp;Keys!$C$54&amp;Keys!$C$56&amp;Keys!$C$54&amp;$B467,Raw_BFPIaE!$H$9:$H$3032,0)))</f>
        <v>42741766666666.664</v>
      </c>
      <c r="R467" s="10">
        <f>IF($E467=Keys!$C$60,Keys!$C$51,INDEX(Raw_BFPIaE!$G$9:$G$3032,MATCH($A467&amp;Keys!$C$54&amp;Keys!$C$57&amp;Keys!$C$54&amp;$B467,Raw_BFPIaE!$H$9:$H$3032,0)))</f>
        <v>0</v>
      </c>
      <c r="S467" s="11">
        <f>IF(($P467+$Q467-$R467+MAX(Keys!$C$51,$R467-$Q467))&gt;Keys!$C$51,MIN(Keys!$C$52,MAX(Keys!$C$51,$R467-$Q467)/($P467+$Q467-$R467+MAX(Keys!$C$51,$R467-$Q467))),Keys!$C$51)</f>
        <v>0</v>
      </c>
      <c r="T467">
        <f>IF(AND($I467&gt;$H467,ABS($L467-$G467)&gt;MAX(Keys!$C$62,ABS($G467)*Keys!$C$63)),1,0)</f>
        <v>0</v>
      </c>
      <c r="U467">
        <f>IF(OR($N467&lt;Keys!$C$51,$N467&gt;Keys!$C$52),1,0)</f>
        <v>0</v>
      </c>
      <c r="V467">
        <f>IF(AND($E467=Keys!$C$60,$N467&lt;&gt;Keys!$C$51),1,0)</f>
        <v>0</v>
      </c>
      <c r="W467">
        <f>IF($L467&gt;Keys!$C$51,IF($K467/$L467&gt;Keys!$C$52,1,0),0)</f>
        <v>0</v>
      </c>
      <c r="X467" s="11">
        <f t="shared" si="31"/>
        <v>0</v>
      </c>
    </row>
    <row r="468" spans="1:24" x14ac:dyDescent="0.25">
      <c r="A468" t="s">
        <v>127</v>
      </c>
      <c r="B468" t="s">
        <v>68</v>
      </c>
      <c r="C468" t="str">
        <f>VLOOKUP($B468,Keys!$F$2:$I$22,2,FALSE)</f>
        <v>natural gas</v>
      </c>
      <c r="D468">
        <f>VLOOKUP($B468,Keys!$F$2:$I$22,3,FALSE)</f>
        <v>0.190839183</v>
      </c>
      <c r="E468" t="str">
        <f>VLOOKUP($B468,Keys!$F$2:$I$22,4,FALSE)</f>
        <v>rule</v>
      </c>
      <c r="F468" t="str">
        <f>$A468&amp;Keys!$C$54&amp;$B468</f>
        <v>MS|natural gas</v>
      </c>
      <c r="G468" s="10">
        <f>IF($E468=Keys!$C$60,Keys!$C$51,INDEX(Balanced_2025!$D$9:$D$3032,MATCH($A468&amp;Keys!$C$54&amp;Keys!$C$55&amp;Keys!$C$54&amp;$C468,Balanced_2025!$E$9:$E$3032,0)))</f>
        <v>26702800000000</v>
      </c>
      <c r="H468" s="10">
        <f>IF($E468=Keys!$C$60,Keys!$C$51,INDEX(Balanced_2025!$D$9:$D$3032,MATCH($A468&amp;Keys!$C$54&amp;Keys!$C$56&amp;Keys!$C$54&amp;$C468,Balanced_2025!$E$9:$E$3032,0)))</f>
        <v>5975850000000000</v>
      </c>
      <c r="I468" s="10">
        <f>IF($E468=Keys!$C$60,Keys!$C$51,INDEX(Balanced_2025!$D$9:$D$3032,MATCH($A468&amp;Keys!$C$54&amp;Keys!$C$57&amp;Keys!$C$54&amp;$C468,Balanced_2025!$E$9:$E$3032,0)))</f>
        <v>5382070000000000</v>
      </c>
      <c r="J468" s="10">
        <f t="shared" si="28"/>
        <v>620482800000000</v>
      </c>
      <c r="K468" s="10">
        <f>MAX(Keys!$C$51,$I468-$H468)</f>
        <v>0</v>
      </c>
      <c r="L468" s="10">
        <f t="shared" si="29"/>
        <v>620482800000000</v>
      </c>
      <c r="M468" s="11">
        <f>IF($L468&gt;Keys!$C$51,MIN(Keys!$C$52,$K468/$L468),Keys!$C$51)</f>
        <v>0</v>
      </c>
      <c r="N468" s="11">
        <f>IF($E468=Keys!$C$60,Keys!$C$51,IF($E468=Keys!$C$59,$D468,$M468))</f>
        <v>0</v>
      </c>
      <c r="O468">
        <f t="shared" si="30"/>
        <v>1</v>
      </c>
      <c r="P468" s="10">
        <f>IF($E468=Keys!$C$60,Keys!$C$51,INDEX(Raw_BFPIaE!$G$9:$G$3032,MATCH($A468&amp;Keys!$C$54&amp;Keys!$C$55&amp;Keys!$C$54&amp;$B468,Raw_BFPIaE!$H$9:$H$3032,0)))</f>
        <v>26600600000000</v>
      </c>
      <c r="Q468" s="10">
        <f>IF($E468=Keys!$C$60,Keys!$C$51,INDEX(Raw_BFPIaE!$G$9:$G$3032,MATCH($A468&amp;Keys!$C$54&amp;Keys!$C$56&amp;Keys!$C$54&amp;$B468,Raw_BFPIaE!$H$9:$H$3032,0)))</f>
        <v>5998386666666667</v>
      </c>
      <c r="R468" s="10">
        <f>IF($E468=Keys!$C$60,Keys!$C$51,INDEX(Raw_BFPIaE!$G$9:$G$3032,MATCH($A468&amp;Keys!$C$54&amp;Keys!$C$57&amp;Keys!$C$54&amp;$B468,Raw_BFPIaE!$H$9:$H$3032,0)))</f>
        <v>5361473333333333</v>
      </c>
      <c r="S468" s="11">
        <f>IF(($P468+$Q468-$R468+MAX(Keys!$C$51,$R468-$Q468))&gt;Keys!$C$51,MIN(Keys!$C$52,MAX(Keys!$C$51,$R468-$Q468)/($P468+$Q468-$R468+MAX(Keys!$C$51,$R468-$Q468))),Keys!$C$51)</f>
        <v>0</v>
      </c>
      <c r="T468">
        <f>IF(AND($I468&gt;$H468,ABS($L468-$G468)&gt;MAX(Keys!$C$62,ABS($G468)*Keys!$C$63)),1,0)</f>
        <v>0</v>
      </c>
      <c r="U468">
        <f>IF(OR($N468&lt;Keys!$C$51,$N468&gt;Keys!$C$52),1,0)</f>
        <v>0</v>
      </c>
      <c r="V468">
        <f>IF(AND($E468=Keys!$C$60,$N468&lt;&gt;Keys!$C$51),1,0)</f>
        <v>0</v>
      </c>
      <c r="W468">
        <f>IF($L468&gt;Keys!$C$51,IF($K468/$L468&gt;Keys!$C$52,1,0),0)</f>
        <v>0</v>
      </c>
      <c r="X468" s="11">
        <f t="shared" si="31"/>
        <v>0</v>
      </c>
    </row>
    <row r="469" spans="1:24" x14ac:dyDescent="0.25">
      <c r="A469" t="s">
        <v>127</v>
      </c>
      <c r="B469" t="s">
        <v>71</v>
      </c>
      <c r="C469">
        <f>VLOOKUP($B469,Keys!$F$2:$I$22,2,FALSE)</f>
        <v>0</v>
      </c>
      <c r="D469">
        <f>VLOOKUP($B469,Keys!$F$2:$I$22,3,FALSE)</f>
        <v>0</v>
      </c>
      <c r="E469" t="str">
        <f>VLOOKUP($B469,Keys!$F$2:$I$22,4,FALSE)</f>
        <v>zero</v>
      </c>
      <c r="F469" t="str">
        <f>$A469&amp;Keys!$C$54&amp;$B469</f>
        <v>MS|nuclear</v>
      </c>
      <c r="G469" s="10">
        <f>IF($E469=Keys!$C$60,Keys!$C$51,INDEX(Balanced_2025!$D$9:$D$3032,MATCH($A469&amp;Keys!$C$54&amp;Keys!$C$55&amp;Keys!$C$54&amp;$C469,Balanced_2025!$E$9:$E$3032,0)))</f>
        <v>0</v>
      </c>
      <c r="H469" s="10">
        <f>IF($E469=Keys!$C$60,Keys!$C$51,INDEX(Balanced_2025!$D$9:$D$3032,MATCH($A469&amp;Keys!$C$54&amp;Keys!$C$56&amp;Keys!$C$54&amp;$C469,Balanced_2025!$E$9:$E$3032,0)))</f>
        <v>0</v>
      </c>
      <c r="I469" s="10">
        <f>IF($E469=Keys!$C$60,Keys!$C$51,INDEX(Balanced_2025!$D$9:$D$3032,MATCH($A469&amp;Keys!$C$54&amp;Keys!$C$57&amp;Keys!$C$54&amp;$C469,Balanced_2025!$E$9:$E$3032,0)))</f>
        <v>0</v>
      </c>
      <c r="J469" s="10">
        <f t="shared" si="28"/>
        <v>0</v>
      </c>
      <c r="K469" s="10">
        <f>MAX(Keys!$C$51,$I469-$H469)</f>
        <v>0</v>
      </c>
      <c r="L469" s="10">
        <f t="shared" si="29"/>
        <v>0</v>
      </c>
      <c r="M469" s="11">
        <f>IF($L469&gt;Keys!$C$51,MIN(Keys!$C$52,$K469/$L469),Keys!$C$51)</f>
        <v>0</v>
      </c>
      <c r="N469" s="11">
        <f>IF($E469=Keys!$C$60,Keys!$C$51,IF($E469=Keys!$C$59,$D469,$M469))</f>
        <v>0</v>
      </c>
      <c r="O469">
        <f t="shared" si="30"/>
        <v>0</v>
      </c>
      <c r="P469" s="10">
        <f>IF($E469=Keys!$C$60,Keys!$C$51,INDEX(Raw_BFPIaE!$G$9:$G$3032,MATCH($A469&amp;Keys!$C$54&amp;Keys!$C$55&amp;Keys!$C$54&amp;$B469,Raw_BFPIaE!$H$9:$H$3032,0)))</f>
        <v>0</v>
      </c>
      <c r="Q469" s="10">
        <f>IF($E469=Keys!$C$60,Keys!$C$51,INDEX(Raw_BFPIaE!$G$9:$G$3032,MATCH($A469&amp;Keys!$C$54&amp;Keys!$C$56&amp;Keys!$C$54&amp;$B469,Raw_BFPIaE!$H$9:$H$3032,0)))</f>
        <v>0</v>
      </c>
      <c r="R469" s="10">
        <f>IF($E469=Keys!$C$60,Keys!$C$51,INDEX(Raw_BFPIaE!$G$9:$G$3032,MATCH($A469&amp;Keys!$C$54&amp;Keys!$C$57&amp;Keys!$C$54&amp;$B469,Raw_BFPIaE!$H$9:$H$3032,0)))</f>
        <v>0</v>
      </c>
      <c r="S469" s="11">
        <f>IF(($P469+$Q469-$R469+MAX(Keys!$C$51,$R469-$Q469))&gt;Keys!$C$51,MIN(Keys!$C$52,MAX(Keys!$C$51,$R469-$Q469)/($P469+$Q469-$R469+MAX(Keys!$C$51,$R469-$Q469))),Keys!$C$51)</f>
        <v>0</v>
      </c>
      <c r="T469">
        <f>IF(AND($I469&gt;$H469,ABS($L469-$G469)&gt;MAX(Keys!$C$62,ABS($G469)*Keys!$C$63)),1,0)</f>
        <v>0</v>
      </c>
      <c r="U469">
        <f>IF(OR($N469&lt;Keys!$C$51,$N469&gt;Keys!$C$52),1,0)</f>
        <v>0</v>
      </c>
      <c r="V469">
        <f>IF(AND($E469=Keys!$C$60,$N469&lt;&gt;Keys!$C$51),1,0)</f>
        <v>0</v>
      </c>
      <c r="W469">
        <f>IF($L469&gt;Keys!$C$51,IF($K469/$L469&gt;Keys!$C$52,1,0),0)</f>
        <v>0</v>
      </c>
      <c r="X469" s="11">
        <f t="shared" si="31"/>
        <v>0</v>
      </c>
    </row>
    <row r="470" spans="1:24" x14ac:dyDescent="0.25">
      <c r="A470" t="s">
        <v>127</v>
      </c>
      <c r="B470" t="s">
        <v>74</v>
      </c>
      <c r="C470">
        <f>VLOOKUP($B470,Keys!$F$2:$I$22,2,FALSE)</f>
        <v>0</v>
      </c>
      <c r="D470">
        <f>VLOOKUP($B470,Keys!$F$2:$I$22,3,FALSE)</f>
        <v>0</v>
      </c>
      <c r="E470" t="str">
        <f>VLOOKUP($B470,Keys!$F$2:$I$22,4,FALSE)</f>
        <v>zero</v>
      </c>
      <c r="F470" t="str">
        <f>$A470&amp;Keys!$C$54&amp;$B470</f>
        <v>MS|hydro (is not a fuel)</v>
      </c>
      <c r="G470" s="10">
        <f>IF($E470=Keys!$C$60,Keys!$C$51,INDEX(Balanced_2025!$D$9:$D$3032,MATCH($A470&amp;Keys!$C$54&amp;Keys!$C$55&amp;Keys!$C$54&amp;$C470,Balanced_2025!$E$9:$E$3032,0)))</f>
        <v>0</v>
      </c>
      <c r="H470" s="10">
        <f>IF($E470=Keys!$C$60,Keys!$C$51,INDEX(Balanced_2025!$D$9:$D$3032,MATCH($A470&amp;Keys!$C$54&amp;Keys!$C$56&amp;Keys!$C$54&amp;$C470,Balanced_2025!$E$9:$E$3032,0)))</f>
        <v>0</v>
      </c>
      <c r="I470" s="10">
        <f>IF($E470=Keys!$C$60,Keys!$C$51,INDEX(Balanced_2025!$D$9:$D$3032,MATCH($A470&amp;Keys!$C$54&amp;Keys!$C$57&amp;Keys!$C$54&amp;$C470,Balanced_2025!$E$9:$E$3032,0)))</f>
        <v>0</v>
      </c>
      <c r="J470" s="10">
        <f t="shared" si="28"/>
        <v>0</v>
      </c>
      <c r="K470" s="10">
        <f>MAX(Keys!$C$51,$I470-$H470)</f>
        <v>0</v>
      </c>
      <c r="L470" s="10">
        <f t="shared" si="29"/>
        <v>0</v>
      </c>
      <c r="M470" s="11">
        <f>IF($L470&gt;Keys!$C$51,MIN(Keys!$C$52,$K470/$L470),Keys!$C$51)</f>
        <v>0</v>
      </c>
      <c r="N470" s="11">
        <f>IF($E470=Keys!$C$60,Keys!$C$51,IF($E470=Keys!$C$59,$D470,$M470))</f>
        <v>0</v>
      </c>
      <c r="O470">
        <f t="shared" si="30"/>
        <v>0</v>
      </c>
      <c r="P470" s="10">
        <f>IF($E470=Keys!$C$60,Keys!$C$51,INDEX(Raw_BFPIaE!$G$9:$G$3032,MATCH($A470&amp;Keys!$C$54&amp;Keys!$C$55&amp;Keys!$C$54&amp;$B470,Raw_BFPIaE!$H$9:$H$3032,0)))</f>
        <v>0</v>
      </c>
      <c r="Q470" s="10">
        <f>IF($E470=Keys!$C$60,Keys!$C$51,INDEX(Raw_BFPIaE!$G$9:$G$3032,MATCH($A470&amp;Keys!$C$54&amp;Keys!$C$56&amp;Keys!$C$54&amp;$B470,Raw_BFPIaE!$H$9:$H$3032,0)))</f>
        <v>0</v>
      </c>
      <c r="R470" s="10">
        <f>IF($E470=Keys!$C$60,Keys!$C$51,INDEX(Raw_BFPIaE!$G$9:$G$3032,MATCH($A470&amp;Keys!$C$54&amp;Keys!$C$57&amp;Keys!$C$54&amp;$B470,Raw_BFPIaE!$H$9:$H$3032,0)))</f>
        <v>0</v>
      </c>
      <c r="S470" s="11">
        <f>IF(($P470+$Q470-$R470+MAX(Keys!$C$51,$R470-$Q470))&gt;Keys!$C$51,MIN(Keys!$C$52,MAX(Keys!$C$51,$R470-$Q470)/($P470+$Q470-$R470+MAX(Keys!$C$51,$R470-$Q470))),Keys!$C$51)</f>
        <v>0</v>
      </c>
      <c r="T470">
        <f>IF(AND($I470&gt;$H470,ABS($L470-$G470)&gt;MAX(Keys!$C$62,ABS($G470)*Keys!$C$63)),1,0)</f>
        <v>0</v>
      </c>
      <c r="U470">
        <f>IF(OR($N470&lt;Keys!$C$51,$N470&gt;Keys!$C$52),1,0)</f>
        <v>0</v>
      </c>
      <c r="V470">
        <f>IF(AND($E470=Keys!$C$60,$N470&lt;&gt;Keys!$C$51),1,0)</f>
        <v>0</v>
      </c>
      <c r="W470">
        <f>IF($L470&gt;Keys!$C$51,IF($K470/$L470&gt;Keys!$C$52,1,0),0)</f>
        <v>0</v>
      </c>
      <c r="X470" s="11">
        <f t="shared" si="31"/>
        <v>0</v>
      </c>
    </row>
    <row r="471" spans="1:24" x14ac:dyDescent="0.25">
      <c r="A471" t="s">
        <v>127</v>
      </c>
      <c r="B471" t="s">
        <v>77</v>
      </c>
      <c r="C471">
        <f>VLOOKUP($B471,Keys!$F$2:$I$22,2,FALSE)</f>
        <v>0</v>
      </c>
      <c r="D471">
        <f>VLOOKUP($B471,Keys!$F$2:$I$22,3,FALSE)</f>
        <v>0</v>
      </c>
      <c r="E471" t="str">
        <f>VLOOKUP($B471,Keys!$F$2:$I$22,4,FALSE)</f>
        <v>zero</v>
      </c>
      <c r="F471" t="str">
        <f>$A471&amp;Keys!$C$54&amp;$B471</f>
        <v>MS|wind (is not a fuel)</v>
      </c>
      <c r="G471" s="10">
        <f>IF($E471=Keys!$C$60,Keys!$C$51,INDEX(Balanced_2025!$D$9:$D$3032,MATCH($A471&amp;Keys!$C$54&amp;Keys!$C$55&amp;Keys!$C$54&amp;$C471,Balanced_2025!$E$9:$E$3032,0)))</f>
        <v>0</v>
      </c>
      <c r="H471" s="10">
        <f>IF($E471=Keys!$C$60,Keys!$C$51,INDEX(Balanced_2025!$D$9:$D$3032,MATCH($A471&amp;Keys!$C$54&amp;Keys!$C$56&amp;Keys!$C$54&amp;$C471,Balanced_2025!$E$9:$E$3032,0)))</f>
        <v>0</v>
      </c>
      <c r="I471" s="10">
        <f>IF($E471=Keys!$C$60,Keys!$C$51,INDEX(Balanced_2025!$D$9:$D$3032,MATCH($A471&amp;Keys!$C$54&amp;Keys!$C$57&amp;Keys!$C$54&amp;$C471,Balanced_2025!$E$9:$E$3032,0)))</f>
        <v>0</v>
      </c>
      <c r="J471" s="10">
        <f t="shared" si="28"/>
        <v>0</v>
      </c>
      <c r="K471" s="10">
        <f>MAX(Keys!$C$51,$I471-$H471)</f>
        <v>0</v>
      </c>
      <c r="L471" s="10">
        <f t="shared" si="29"/>
        <v>0</v>
      </c>
      <c r="M471" s="11">
        <f>IF($L471&gt;Keys!$C$51,MIN(Keys!$C$52,$K471/$L471),Keys!$C$51)</f>
        <v>0</v>
      </c>
      <c r="N471" s="11">
        <f>IF($E471=Keys!$C$60,Keys!$C$51,IF($E471=Keys!$C$59,$D471,$M471))</f>
        <v>0</v>
      </c>
      <c r="O471">
        <f t="shared" si="30"/>
        <v>0</v>
      </c>
      <c r="P471" s="10">
        <f>IF($E471=Keys!$C$60,Keys!$C$51,INDEX(Raw_BFPIaE!$G$9:$G$3032,MATCH($A471&amp;Keys!$C$54&amp;Keys!$C$55&amp;Keys!$C$54&amp;$B471,Raw_BFPIaE!$H$9:$H$3032,0)))</f>
        <v>0</v>
      </c>
      <c r="Q471" s="10">
        <f>IF($E471=Keys!$C$60,Keys!$C$51,INDEX(Raw_BFPIaE!$G$9:$G$3032,MATCH($A471&amp;Keys!$C$54&amp;Keys!$C$56&amp;Keys!$C$54&amp;$B471,Raw_BFPIaE!$H$9:$H$3032,0)))</f>
        <v>0</v>
      </c>
      <c r="R471" s="10">
        <f>IF($E471=Keys!$C$60,Keys!$C$51,INDEX(Raw_BFPIaE!$G$9:$G$3032,MATCH($A471&amp;Keys!$C$54&amp;Keys!$C$57&amp;Keys!$C$54&amp;$B471,Raw_BFPIaE!$H$9:$H$3032,0)))</f>
        <v>0</v>
      </c>
      <c r="S471" s="11">
        <f>IF(($P471+$Q471-$R471+MAX(Keys!$C$51,$R471-$Q471))&gt;Keys!$C$51,MIN(Keys!$C$52,MAX(Keys!$C$51,$R471-$Q471)/($P471+$Q471-$R471+MAX(Keys!$C$51,$R471-$Q471))),Keys!$C$51)</f>
        <v>0</v>
      </c>
      <c r="T471">
        <f>IF(AND($I471&gt;$H471,ABS($L471-$G471)&gt;MAX(Keys!$C$62,ABS($G471)*Keys!$C$63)),1,0)</f>
        <v>0</v>
      </c>
      <c r="U471">
        <f>IF(OR($N471&lt;Keys!$C$51,$N471&gt;Keys!$C$52),1,0)</f>
        <v>0</v>
      </c>
      <c r="V471">
        <f>IF(AND($E471=Keys!$C$60,$N471&lt;&gt;Keys!$C$51),1,0)</f>
        <v>0</v>
      </c>
      <c r="W471">
        <f>IF($L471&gt;Keys!$C$51,IF($K471/$L471&gt;Keys!$C$52,1,0),0)</f>
        <v>0</v>
      </c>
      <c r="X471" s="11">
        <f t="shared" si="31"/>
        <v>0</v>
      </c>
    </row>
    <row r="472" spans="1:24" x14ac:dyDescent="0.25">
      <c r="A472" t="s">
        <v>127</v>
      </c>
      <c r="B472" t="s">
        <v>80</v>
      </c>
      <c r="C472">
        <f>VLOOKUP($B472,Keys!$F$2:$I$22,2,FALSE)</f>
        <v>0</v>
      </c>
      <c r="D472">
        <f>VLOOKUP($B472,Keys!$F$2:$I$22,3,FALSE)</f>
        <v>0</v>
      </c>
      <c r="E472" t="str">
        <f>VLOOKUP($B472,Keys!$F$2:$I$22,4,FALSE)</f>
        <v>zero</v>
      </c>
      <c r="F472" t="str">
        <f>$A472&amp;Keys!$C$54&amp;$B472</f>
        <v>MS|solar (is not a fuel)</v>
      </c>
      <c r="G472" s="10">
        <f>IF($E472=Keys!$C$60,Keys!$C$51,INDEX(Balanced_2025!$D$9:$D$3032,MATCH($A472&amp;Keys!$C$54&amp;Keys!$C$55&amp;Keys!$C$54&amp;$C472,Balanced_2025!$E$9:$E$3032,0)))</f>
        <v>0</v>
      </c>
      <c r="H472" s="10">
        <f>IF($E472=Keys!$C$60,Keys!$C$51,INDEX(Balanced_2025!$D$9:$D$3032,MATCH($A472&amp;Keys!$C$54&amp;Keys!$C$56&amp;Keys!$C$54&amp;$C472,Balanced_2025!$E$9:$E$3032,0)))</f>
        <v>0</v>
      </c>
      <c r="I472" s="10">
        <f>IF($E472=Keys!$C$60,Keys!$C$51,INDEX(Balanced_2025!$D$9:$D$3032,MATCH($A472&amp;Keys!$C$54&amp;Keys!$C$57&amp;Keys!$C$54&amp;$C472,Balanced_2025!$E$9:$E$3032,0)))</f>
        <v>0</v>
      </c>
      <c r="J472" s="10">
        <f t="shared" si="28"/>
        <v>0</v>
      </c>
      <c r="K472" s="10">
        <f>MAX(Keys!$C$51,$I472-$H472)</f>
        <v>0</v>
      </c>
      <c r="L472" s="10">
        <f t="shared" si="29"/>
        <v>0</v>
      </c>
      <c r="M472" s="11">
        <f>IF($L472&gt;Keys!$C$51,MIN(Keys!$C$52,$K472/$L472),Keys!$C$51)</f>
        <v>0</v>
      </c>
      <c r="N472" s="11">
        <f>IF($E472=Keys!$C$60,Keys!$C$51,IF($E472=Keys!$C$59,$D472,$M472))</f>
        <v>0</v>
      </c>
      <c r="O472">
        <f t="shared" si="30"/>
        <v>0</v>
      </c>
      <c r="P472" s="10">
        <f>IF($E472=Keys!$C$60,Keys!$C$51,INDEX(Raw_BFPIaE!$G$9:$G$3032,MATCH($A472&amp;Keys!$C$54&amp;Keys!$C$55&amp;Keys!$C$54&amp;$B472,Raw_BFPIaE!$H$9:$H$3032,0)))</f>
        <v>0</v>
      </c>
      <c r="Q472" s="10">
        <f>IF($E472=Keys!$C$60,Keys!$C$51,INDEX(Raw_BFPIaE!$G$9:$G$3032,MATCH($A472&amp;Keys!$C$54&amp;Keys!$C$56&amp;Keys!$C$54&amp;$B472,Raw_BFPIaE!$H$9:$H$3032,0)))</f>
        <v>0</v>
      </c>
      <c r="R472" s="10">
        <f>IF($E472=Keys!$C$60,Keys!$C$51,INDEX(Raw_BFPIaE!$G$9:$G$3032,MATCH($A472&amp;Keys!$C$54&amp;Keys!$C$57&amp;Keys!$C$54&amp;$B472,Raw_BFPIaE!$H$9:$H$3032,0)))</f>
        <v>0</v>
      </c>
      <c r="S472" s="11">
        <f>IF(($P472+$Q472-$R472+MAX(Keys!$C$51,$R472-$Q472))&gt;Keys!$C$51,MIN(Keys!$C$52,MAX(Keys!$C$51,$R472-$Q472)/($P472+$Q472-$R472+MAX(Keys!$C$51,$R472-$Q472))),Keys!$C$51)</f>
        <v>0</v>
      </c>
      <c r="T472">
        <f>IF(AND($I472&gt;$H472,ABS($L472-$G472)&gt;MAX(Keys!$C$62,ABS($G472)*Keys!$C$63)),1,0)</f>
        <v>0</v>
      </c>
      <c r="U472">
        <f>IF(OR($N472&lt;Keys!$C$51,$N472&gt;Keys!$C$52),1,0)</f>
        <v>0</v>
      </c>
      <c r="V472">
        <f>IF(AND($E472=Keys!$C$60,$N472&lt;&gt;Keys!$C$51),1,0)</f>
        <v>0</v>
      </c>
      <c r="W472">
        <f>IF($L472&gt;Keys!$C$51,IF($K472/$L472&gt;Keys!$C$52,1,0),0)</f>
        <v>0</v>
      </c>
      <c r="X472" s="11">
        <f t="shared" si="31"/>
        <v>0</v>
      </c>
    </row>
    <row r="473" spans="1:24" x14ac:dyDescent="0.25">
      <c r="A473" t="s">
        <v>127</v>
      </c>
      <c r="B473" t="s">
        <v>82</v>
      </c>
      <c r="C473" t="str">
        <f>VLOOKUP($B473,Keys!$F$2:$I$22,2,FALSE)</f>
        <v>biomass</v>
      </c>
      <c r="D473">
        <f>VLOOKUP($B473,Keys!$F$2:$I$22,3,FALSE)</f>
        <v>0.74947425499999998</v>
      </c>
      <c r="E473" t="str">
        <f>VLOOKUP($B473,Keys!$F$2:$I$22,4,FALSE)</f>
        <v>rule</v>
      </c>
      <c r="F473" t="str">
        <f>$A473&amp;Keys!$C$54&amp;$B473</f>
        <v>MS|biomass</v>
      </c>
      <c r="G473" s="10">
        <f>IF($E473=Keys!$C$60,Keys!$C$51,INDEX(Balanced_2025!$D$9:$D$3032,MATCH($A473&amp;Keys!$C$54&amp;Keys!$C$55&amp;Keys!$C$54&amp;$C473,Balanced_2025!$E$9:$E$3032,0)))</f>
        <v>8379090000000</v>
      </c>
      <c r="H473" s="10">
        <f>IF($E473=Keys!$C$60,Keys!$C$51,INDEX(Balanced_2025!$D$9:$D$3032,MATCH($A473&amp;Keys!$C$54&amp;Keys!$C$56&amp;Keys!$C$54&amp;$C473,Balanced_2025!$E$9:$E$3032,0)))</f>
        <v>37380400000000</v>
      </c>
      <c r="I473" s="10">
        <f>IF($E473=Keys!$C$60,Keys!$C$51,INDEX(Balanced_2025!$D$9:$D$3032,MATCH($A473&amp;Keys!$C$54&amp;Keys!$C$57&amp;Keys!$C$54&amp;$C473,Balanced_2025!$E$9:$E$3032,0)))</f>
        <v>0</v>
      </c>
      <c r="J473" s="10">
        <f t="shared" si="28"/>
        <v>45759490000000</v>
      </c>
      <c r="K473" s="10">
        <f>MAX(Keys!$C$51,$I473-$H473)</f>
        <v>0</v>
      </c>
      <c r="L473" s="10">
        <f t="shared" si="29"/>
        <v>45759490000000</v>
      </c>
      <c r="M473" s="11">
        <f>IF($L473&gt;Keys!$C$51,MIN(Keys!$C$52,$K473/$L473),Keys!$C$51)</f>
        <v>0</v>
      </c>
      <c r="N473" s="11">
        <f>IF($E473=Keys!$C$60,Keys!$C$51,IF($E473=Keys!$C$59,$D473,$M473))</f>
        <v>0</v>
      </c>
      <c r="O473">
        <f t="shared" si="30"/>
        <v>1</v>
      </c>
      <c r="P473" s="10">
        <f>IF($E473=Keys!$C$60,Keys!$C$51,INDEX(Raw_BFPIaE!$G$9:$G$3032,MATCH($A473&amp;Keys!$C$54&amp;Keys!$C$55&amp;Keys!$C$54&amp;$B473,Raw_BFPIaE!$H$9:$H$3032,0)))</f>
        <v>8379090000000</v>
      </c>
      <c r="Q473" s="10">
        <f>IF($E473=Keys!$C$60,Keys!$C$51,INDEX(Raw_BFPIaE!$G$9:$G$3032,MATCH($A473&amp;Keys!$C$54&amp;Keys!$C$56&amp;Keys!$C$54&amp;$B473,Raw_BFPIaE!$H$9:$H$3032,0)))</f>
        <v>25147400000000</v>
      </c>
      <c r="R473" s="10">
        <f>IF($E473=Keys!$C$60,Keys!$C$51,INDEX(Raw_BFPIaE!$G$9:$G$3032,MATCH($A473&amp;Keys!$C$54&amp;Keys!$C$57&amp;Keys!$C$54&amp;$B473,Raw_BFPIaE!$H$9:$H$3032,0)))</f>
        <v>0</v>
      </c>
      <c r="S473" s="11">
        <f>IF(($P473+$Q473-$R473+MAX(Keys!$C$51,$R473-$Q473))&gt;Keys!$C$51,MIN(Keys!$C$52,MAX(Keys!$C$51,$R473-$Q473)/($P473+$Q473-$R473+MAX(Keys!$C$51,$R473-$Q473))),Keys!$C$51)</f>
        <v>0</v>
      </c>
      <c r="T473">
        <f>IF(AND($I473&gt;$H473,ABS($L473-$G473)&gt;MAX(Keys!$C$62,ABS($G473)*Keys!$C$63)),1,0)</f>
        <v>0</v>
      </c>
      <c r="U473">
        <f>IF(OR($N473&lt;Keys!$C$51,$N473&gt;Keys!$C$52),1,0)</f>
        <v>0</v>
      </c>
      <c r="V473">
        <f>IF(AND($E473=Keys!$C$60,$N473&lt;&gt;Keys!$C$51),1,0)</f>
        <v>0</v>
      </c>
      <c r="W473">
        <f>IF($L473&gt;Keys!$C$51,IF($K473/$L473&gt;Keys!$C$52,1,0),0)</f>
        <v>0</v>
      </c>
      <c r="X473" s="11">
        <f t="shared" si="31"/>
        <v>0</v>
      </c>
    </row>
    <row r="474" spans="1:24" x14ac:dyDescent="0.25">
      <c r="A474" t="s">
        <v>127</v>
      </c>
      <c r="B474" t="s">
        <v>85</v>
      </c>
      <c r="C474" t="str">
        <f>VLOOKUP($B474,Keys!$F$2:$I$22,2,FALSE)</f>
        <v>petroleum gasoline</v>
      </c>
      <c r="D474">
        <f>VLOOKUP($B474,Keys!$F$2:$I$22,3,FALSE)</f>
        <v>7.5004052000000002E-2</v>
      </c>
      <c r="E474" t="str">
        <f>VLOOKUP($B474,Keys!$F$2:$I$22,4,FALSE)</f>
        <v>rule</v>
      </c>
      <c r="F474" t="str">
        <f>$A474&amp;Keys!$C$54&amp;$B474</f>
        <v>MS|petroleum gasoline</v>
      </c>
      <c r="G474" s="10">
        <f>IF($E474=Keys!$C$60,Keys!$C$51,INDEX(Balanced_2025!$D$9:$D$3032,MATCH($A474&amp;Keys!$C$54&amp;Keys!$C$55&amp;Keys!$C$54&amp;$C474,Balanced_2025!$E$9:$E$3032,0)))</f>
        <v>382319000000000</v>
      </c>
      <c r="H474" s="10">
        <f>IF($E474=Keys!$C$60,Keys!$C$51,INDEX(Balanced_2025!$D$9:$D$3032,MATCH($A474&amp;Keys!$C$54&amp;Keys!$C$56&amp;Keys!$C$54&amp;$C474,Balanced_2025!$E$9:$E$3032,0)))</f>
        <v>10191200000000</v>
      </c>
      <c r="I474" s="10">
        <f>IF($E474=Keys!$C$60,Keys!$C$51,INDEX(Balanced_2025!$D$9:$D$3032,MATCH($A474&amp;Keys!$C$54&amp;Keys!$C$57&amp;Keys!$C$54&amp;$C474,Balanced_2025!$E$9:$E$3032,0)))</f>
        <v>211539000000000</v>
      </c>
      <c r="J474" s="10">
        <f t="shared" si="28"/>
        <v>180971200000000</v>
      </c>
      <c r="K474" s="10">
        <f>MAX(Keys!$C$51,$I474-$H474)</f>
        <v>201347800000000</v>
      </c>
      <c r="L474" s="10">
        <f t="shared" si="29"/>
        <v>382319000000000</v>
      </c>
      <c r="M474" s="11">
        <f>IF($L474&gt;Keys!$C$51,MIN(Keys!$C$52,$K474/$L474),Keys!$C$51)</f>
        <v>0.52664868866051651</v>
      </c>
      <c r="N474" s="11">
        <f>IF($E474=Keys!$C$60,Keys!$C$51,IF($E474=Keys!$C$59,$D474,$M474))</f>
        <v>0.52664868866051651</v>
      </c>
      <c r="O474">
        <f t="shared" si="30"/>
        <v>1</v>
      </c>
      <c r="P474" s="10">
        <f>IF($E474=Keys!$C$60,Keys!$C$51,INDEX(Raw_BFPIaE!$G$9:$G$3032,MATCH($A474&amp;Keys!$C$54&amp;Keys!$C$55&amp;Keys!$C$54&amp;$B474,Raw_BFPIaE!$H$9:$H$3032,0)))</f>
        <v>379230000000000</v>
      </c>
      <c r="Q474" s="10">
        <f>IF($E474=Keys!$C$60,Keys!$C$51,INDEX(Raw_BFPIaE!$G$9:$G$3032,MATCH($A474&amp;Keys!$C$54&amp;Keys!$C$56&amp;Keys!$C$54&amp;$B474,Raw_BFPIaE!$H$9:$H$3032,0)))</f>
        <v>0</v>
      </c>
      <c r="R474" s="10">
        <f>IF($E474=Keys!$C$60,Keys!$C$51,INDEX(Raw_BFPIaE!$G$9:$G$3032,MATCH($A474&amp;Keys!$C$54&amp;Keys!$C$57&amp;Keys!$C$54&amp;$B474,Raw_BFPIaE!$H$9:$H$3032,0)))</f>
        <v>149036400000000</v>
      </c>
      <c r="S474" s="11">
        <f>IF(($P474+$Q474-$R474+MAX(Keys!$C$51,$R474-$Q474))&gt;Keys!$C$51,MIN(Keys!$C$52,MAX(Keys!$C$51,$R474-$Q474)/($P474+$Q474-$R474+MAX(Keys!$C$51,$R474-$Q474))),Keys!$C$51)</f>
        <v>0.39299738944703744</v>
      </c>
      <c r="T474">
        <f>IF(AND($I474&gt;$H474,ABS($L474-$G474)&gt;MAX(Keys!$C$62,ABS($G474)*Keys!$C$63)),1,0)</f>
        <v>0</v>
      </c>
      <c r="U474">
        <f>IF(OR($N474&lt;Keys!$C$51,$N474&gt;Keys!$C$52),1,0)</f>
        <v>0</v>
      </c>
      <c r="V474">
        <f>IF(AND($E474=Keys!$C$60,$N474&lt;&gt;Keys!$C$51),1,0)</f>
        <v>0</v>
      </c>
      <c r="W474">
        <f>IF($L474&gt;Keys!$C$51,IF($K474/$L474&gt;Keys!$C$52,1,0),0)</f>
        <v>0</v>
      </c>
      <c r="X474" s="11">
        <f t="shared" si="31"/>
        <v>0.13365129921347907</v>
      </c>
    </row>
    <row r="475" spans="1:24" x14ac:dyDescent="0.25">
      <c r="A475" t="s">
        <v>127</v>
      </c>
      <c r="B475" t="s">
        <v>88</v>
      </c>
      <c r="C475" t="str">
        <f>VLOOKUP($B475,Keys!$F$2:$I$22,2,FALSE)</f>
        <v>petroleum diesel</v>
      </c>
      <c r="D475">
        <f>VLOOKUP($B475,Keys!$F$2:$I$22,3,FALSE)</f>
        <v>0.26691051799999999</v>
      </c>
      <c r="E475" t="str">
        <f>VLOOKUP($B475,Keys!$F$2:$I$22,4,FALSE)</f>
        <v>rule</v>
      </c>
      <c r="F475" t="str">
        <f>$A475&amp;Keys!$C$54&amp;$B475</f>
        <v>MS|petroleum diesel</v>
      </c>
      <c r="G475" s="10">
        <f>IF($E475=Keys!$C$60,Keys!$C$51,INDEX(Balanced_2025!$D$9:$D$3032,MATCH($A475&amp;Keys!$C$54&amp;Keys!$C$55&amp;Keys!$C$54&amp;$C475,Balanced_2025!$E$9:$E$3032,0)))</f>
        <v>226147000000000</v>
      </c>
      <c r="H475" s="10">
        <f>IF($E475=Keys!$C$60,Keys!$C$51,INDEX(Balanced_2025!$D$9:$D$3032,MATCH($A475&amp;Keys!$C$54&amp;Keys!$C$56&amp;Keys!$C$54&amp;$C475,Balanced_2025!$E$9:$E$3032,0)))</f>
        <v>31584200000000</v>
      </c>
      <c r="I475" s="10">
        <f>IF($E475=Keys!$C$60,Keys!$C$51,INDEX(Balanced_2025!$D$9:$D$3032,MATCH($A475&amp;Keys!$C$54&amp;Keys!$C$57&amp;Keys!$C$54&amp;$C475,Balanced_2025!$E$9:$E$3032,0)))</f>
        <v>141067000000000</v>
      </c>
      <c r="J475" s="10">
        <f t="shared" si="28"/>
        <v>116664200000000</v>
      </c>
      <c r="K475" s="10">
        <f>MAX(Keys!$C$51,$I475-$H475)</f>
        <v>109482800000000</v>
      </c>
      <c r="L475" s="10">
        <f t="shared" si="29"/>
        <v>226147000000000</v>
      </c>
      <c r="M475" s="11">
        <f>IF($L475&gt;Keys!$C$51,MIN(Keys!$C$52,$K475/$L475),Keys!$C$51)</f>
        <v>0.48412227444980477</v>
      </c>
      <c r="N475" s="11">
        <f>IF($E475=Keys!$C$60,Keys!$C$51,IF($E475=Keys!$C$59,$D475,$M475))</f>
        <v>0.48412227444980477</v>
      </c>
      <c r="O475">
        <f t="shared" si="30"/>
        <v>1</v>
      </c>
      <c r="P475" s="10">
        <f>IF($E475=Keys!$C$60,Keys!$C$51,INDEX(Raw_BFPIaE!$G$9:$G$3032,MATCH($A475&amp;Keys!$C$54&amp;Keys!$C$55&amp;Keys!$C$54&amp;$B475,Raw_BFPIaE!$H$9:$H$3032,0)))</f>
        <v>224320000000000</v>
      </c>
      <c r="Q475" s="10">
        <f>IF($E475=Keys!$C$60,Keys!$C$51,INDEX(Raw_BFPIaE!$G$9:$G$3032,MATCH($A475&amp;Keys!$C$54&amp;Keys!$C$56&amp;Keys!$C$54&amp;$B475,Raw_BFPIaE!$H$9:$H$3032,0)))</f>
        <v>19979366666666.668</v>
      </c>
      <c r="R475" s="10">
        <f>IF($E475=Keys!$C$60,Keys!$C$51,INDEX(Raw_BFPIaE!$G$9:$G$3032,MATCH($A475&amp;Keys!$C$54&amp;Keys!$C$57&amp;Keys!$C$54&amp;$B475,Raw_BFPIaE!$H$9:$H$3032,0)))</f>
        <v>139927000000000</v>
      </c>
      <c r="S475" s="11">
        <f>IF(($P475+$Q475-$R475+MAX(Keys!$C$51,$R475-$Q475))&gt;Keys!$C$51,MIN(Keys!$C$52,MAX(Keys!$C$51,$R475-$Q475)/($P475+$Q475-$R475+MAX(Keys!$C$51,$R475-$Q475))),Keys!$C$51)</f>
        <v>0.53471662505943884</v>
      </c>
      <c r="T475">
        <f>IF(AND($I475&gt;$H475,ABS($L475-$G475)&gt;MAX(Keys!$C$62,ABS($G475)*Keys!$C$63)),1,0)</f>
        <v>0</v>
      </c>
      <c r="U475">
        <f>IF(OR($N475&lt;Keys!$C$51,$N475&gt;Keys!$C$52),1,0)</f>
        <v>0</v>
      </c>
      <c r="V475">
        <f>IF(AND($E475=Keys!$C$60,$N475&lt;&gt;Keys!$C$51),1,0)</f>
        <v>0</v>
      </c>
      <c r="W475">
        <f>IF($L475&gt;Keys!$C$51,IF($K475/$L475&gt;Keys!$C$52,1,0),0)</f>
        <v>0</v>
      </c>
      <c r="X475" s="11">
        <f t="shared" si="31"/>
        <v>5.0594350609634076E-2</v>
      </c>
    </row>
    <row r="476" spans="1:24" x14ac:dyDescent="0.25">
      <c r="A476" t="s">
        <v>127</v>
      </c>
      <c r="B476" t="s">
        <v>91</v>
      </c>
      <c r="C476" t="str">
        <f>VLOOKUP($B476,Keys!$F$2:$I$22,2,FALSE)</f>
        <v>biofuel gasoline</v>
      </c>
      <c r="D476">
        <f>VLOOKUP($B476,Keys!$F$2:$I$22,3,FALSE)</f>
        <v>8.7213884000000005E-2</v>
      </c>
      <c r="E476" t="str">
        <f>VLOOKUP($B476,Keys!$F$2:$I$22,4,FALSE)</f>
        <v>rule</v>
      </c>
      <c r="F476" t="str">
        <f>$A476&amp;Keys!$C$54&amp;$B476</f>
        <v>MS|biofuel gasoline</v>
      </c>
      <c r="G476" s="10">
        <f>IF($E476=Keys!$C$60,Keys!$C$51,INDEX(Balanced_2025!$D$9:$D$3032,MATCH($A476&amp;Keys!$C$54&amp;Keys!$C$55&amp;Keys!$C$54&amp;$C476,Balanced_2025!$E$9:$E$3032,0)))</f>
        <v>0</v>
      </c>
      <c r="H476" s="10">
        <f>IF($E476=Keys!$C$60,Keys!$C$51,INDEX(Balanced_2025!$D$9:$D$3032,MATCH($A476&amp;Keys!$C$54&amp;Keys!$C$56&amp;Keys!$C$54&amp;$C476,Balanced_2025!$E$9:$E$3032,0)))</f>
        <v>12805000000000</v>
      </c>
      <c r="I476" s="10">
        <f>IF($E476=Keys!$C$60,Keys!$C$51,INDEX(Balanced_2025!$D$9:$D$3032,MATCH($A476&amp;Keys!$C$54&amp;Keys!$C$57&amp;Keys!$C$54&amp;$C476,Balanced_2025!$E$9:$E$3032,0)))</f>
        <v>0</v>
      </c>
      <c r="J476" s="10">
        <f t="shared" si="28"/>
        <v>12805000000000</v>
      </c>
      <c r="K476" s="10">
        <f>MAX(Keys!$C$51,$I476-$H476)</f>
        <v>0</v>
      </c>
      <c r="L476" s="10">
        <f t="shared" si="29"/>
        <v>12805000000000</v>
      </c>
      <c r="M476" s="11">
        <f>IF($L476&gt;Keys!$C$51,MIN(Keys!$C$52,$K476/$L476),Keys!$C$51)</f>
        <v>0</v>
      </c>
      <c r="N476" s="11">
        <f>IF($E476=Keys!$C$60,Keys!$C$51,IF($E476=Keys!$C$59,$D476,$M476))</f>
        <v>0</v>
      </c>
      <c r="O476">
        <f t="shared" si="30"/>
        <v>1</v>
      </c>
      <c r="P476" s="10">
        <f>IF($E476=Keys!$C$60,Keys!$C$51,INDEX(Raw_BFPIaE!$G$9:$G$3032,MATCH($A476&amp;Keys!$C$54&amp;Keys!$C$55&amp;Keys!$C$54&amp;$B476,Raw_BFPIaE!$H$9:$H$3032,0)))</f>
        <v>0</v>
      </c>
      <c r="Q476" s="10">
        <f>IF($E476=Keys!$C$60,Keys!$C$51,INDEX(Raw_BFPIaE!$G$9:$G$3032,MATCH($A476&amp;Keys!$C$54&amp;Keys!$C$56&amp;Keys!$C$54&amp;$B476,Raw_BFPIaE!$H$9:$H$3032,0)))</f>
        <v>7986166666666.667</v>
      </c>
      <c r="R476" s="10">
        <f>IF($E476=Keys!$C$60,Keys!$C$51,INDEX(Raw_BFPIaE!$G$9:$G$3032,MATCH($A476&amp;Keys!$C$54&amp;Keys!$C$57&amp;Keys!$C$54&amp;$B476,Raw_BFPIaE!$H$9:$H$3032,0)))</f>
        <v>0</v>
      </c>
      <c r="S476" s="11">
        <f>IF(($P476+$Q476-$R476+MAX(Keys!$C$51,$R476-$Q476))&gt;Keys!$C$51,MIN(Keys!$C$52,MAX(Keys!$C$51,$R476-$Q476)/($P476+$Q476-$R476+MAX(Keys!$C$51,$R476-$Q476))),Keys!$C$51)</f>
        <v>0</v>
      </c>
      <c r="T476">
        <f>IF(AND($I476&gt;$H476,ABS($L476-$G476)&gt;MAX(Keys!$C$62,ABS($G476)*Keys!$C$63)),1,0)</f>
        <v>0</v>
      </c>
      <c r="U476">
        <f>IF(OR($N476&lt;Keys!$C$51,$N476&gt;Keys!$C$52),1,0)</f>
        <v>0</v>
      </c>
      <c r="V476">
        <f>IF(AND($E476=Keys!$C$60,$N476&lt;&gt;Keys!$C$51),1,0)</f>
        <v>0</v>
      </c>
      <c r="W476">
        <f>IF($L476&gt;Keys!$C$51,IF($K476/$L476&gt;Keys!$C$52,1,0),0)</f>
        <v>0</v>
      </c>
      <c r="X476" s="11">
        <f t="shared" si="31"/>
        <v>0</v>
      </c>
    </row>
    <row r="477" spans="1:24" x14ac:dyDescent="0.25">
      <c r="A477" t="s">
        <v>127</v>
      </c>
      <c r="B477" t="s">
        <v>94</v>
      </c>
      <c r="C477" t="str">
        <f>VLOOKUP($B477,Keys!$F$2:$I$22,2,FALSE)</f>
        <v>biofuel diesel</v>
      </c>
      <c r="D477">
        <f>VLOOKUP($B477,Keys!$F$2:$I$22,3,FALSE)</f>
        <v>5.8642381E-2</v>
      </c>
      <c r="E477" t="str">
        <f>VLOOKUP($B477,Keys!$F$2:$I$22,4,FALSE)</f>
        <v>rule</v>
      </c>
      <c r="F477" t="str">
        <f>$A477&amp;Keys!$C$54&amp;$B477</f>
        <v>MS|biofuel diesel</v>
      </c>
      <c r="G477" s="10">
        <f>IF($E477=Keys!$C$60,Keys!$C$51,INDEX(Balanced_2025!$D$9:$D$3032,MATCH($A477&amp;Keys!$C$54&amp;Keys!$C$55&amp;Keys!$C$54&amp;$C477,Balanced_2025!$E$9:$E$3032,0)))</f>
        <v>8649340000000</v>
      </c>
      <c r="H477" s="10">
        <f>IF($E477=Keys!$C$60,Keys!$C$51,INDEX(Balanced_2025!$D$9:$D$3032,MATCH($A477&amp;Keys!$C$54&amp;Keys!$C$56&amp;Keys!$C$54&amp;$C477,Balanced_2025!$E$9:$E$3032,0)))</f>
        <v>79864800000</v>
      </c>
      <c r="I477" s="10">
        <f>IF($E477=Keys!$C$60,Keys!$C$51,INDEX(Balanced_2025!$D$9:$D$3032,MATCH($A477&amp;Keys!$C$54&amp;Keys!$C$57&amp;Keys!$C$54&amp;$C477,Balanced_2025!$E$9:$E$3032,0)))</f>
        <v>6434250000000</v>
      </c>
      <c r="J477" s="10">
        <f t="shared" si="28"/>
        <v>2294954800000</v>
      </c>
      <c r="K477" s="10">
        <f>MAX(Keys!$C$51,$I477-$H477)</f>
        <v>6354385200000</v>
      </c>
      <c r="L477" s="10">
        <f t="shared" si="29"/>
        <v>8649340000000</v>
      </c>
      <c r="M477" s="11">
        <f>IF($L477&gt;Keys!$C$51,MIN(Keys!$C$52,$K477/$L477),Keys!$C$51)</f>
        <v>0.73466706130178716</v>
      </c>
      <c r="N477" s="11">
        <f>IF($E477=Keys!$C$60,Keys!$C$51,IF($E477=Keys!$C$59,$D477,$M477))</f>
        <v>0.73466706130178716</v>
      </c>
      <c r="O477">
        <f t="shared" si="30"/>
        <v>1</v>
      </c>
      <c r="P477" s="10">
        <f>IF($E477=Keys!$C$60,Keys!$C$51,INDEX(Raw_BFPIaE!$G$9:$G$3032,MATCH($A477&amp;Keys!$C$54&amp;Keys!$C$55&amp;Keys!$C$54&amp;$B477,Raw_BFPIaE!$H$9:$H$3032,0)))</f>
        <v>9190960000000</v>
      </c>
      <c r="Q477" s="10">
        <f>IF($E477=Keys!$C$60,Keys!$C$51,INDEX(Raw_BFPIaE!$G$9:$G$3032,MATCH($A477&amp;Keys!$C$54&amp;Keys!$C$56&amp;Keys!$C$54&amp;$B477,Raw_BFPIaE!$H$9:$H$3032,0)))</f>
        <v>0</v>
      </c>
      <c r="R477" s="10">
        <f>IF($E477=Keys!$C$60,Keys!$C$51,INDEX(Raw_BFPIaE!$G$9:$G$3032,MATCH($A477&amp;Keys!$C$54&amp;Keys!$C$57&amp;Keys!$C$54&amp;$B477,Raw_BFPIaE!$H$9:$H$3032,0)))</f>
        <v>4827313333333.333</v>
      </c>
      <c r="S477" s="11">
        <f>IF(($P477+$Q477-$R477+MAX(Keys!$C$51,$R477-$Q477))&gt;Keys!$C$51,MIN(Keys!$C$52,MAX(Keys!$C$51,$R477-$Q477)/($P477+$Q477-$R477+MAX(Keys!$C$51,$R477-$Q477))),Keys!$C$51)</f>
        <v>0.52522406074374528</v>
      </c>
      <c r="T477">
        <f>IF(AND($I477&gt;$H477,ABS($L477-$G477)&gt;MAX(Keys!$C$62,ABS($G477)*Keys!$C$63)),1,0)</f>
        <v>0</v>
      </c>
      <c r="U477">
        <f>IF(OR($N477&lt;Keys!$C$51,$N477&gt;Keys!$C$52),1,0)</f>
        <v>0</v>
      </c>
      <c r="V477">
        <f>IF(AND($E477=Keys!$C$60,$N477&lt;&gt;Keys!$C$51),1,0)</f>
        <v>0</v>
      </c>
      <c r="W477">
        <f>IF($L477&gt;Keys!$C$51,IF($K477/$L477&gt;Keys!$C$52,1,0),0)</f>
        <v>0</v>
      </c>
      <c r="X477" s="11">
        <f t="shared" si="31"/>
        <v>0.20944300055804188</v>
      </c>
    </row>
    <row r="478" spans="1:24" x14ac:dyDescent="0.25">
      <c r="A478" t="s">
        <v>127</v>
      </c>
      <c r="B478" t="s">
        <v>97</v>
      </c>
      <c r="C478" t="str">
        <f>VLOOKUP($B478,Keys!$F$2:$I$22,2,FALSE)</f>
        <v>jet fuel or kerosene</v>
      </c>
      <c r="D478">
        <f>VLOOKUP($B478,Keys!$F$2:$I$22,3,FALSE)</f>
        <v>0.10155994</v>
      </c>
      <c r="E478" t="str">
        <f>VLOOKUP($B478,Keys!$F$2:$I$22,4,FALSE)</f>
        <v>rule</v>
      </c>
      <c r="F478" t="str">
        <f>$A478&amp;Keys!$C$54&amp;$B478</f>
        <v>MS|jet fuel or kerosene</v>
      </c>
      <c r="G478" s="10">
        <f>IF($E478=Keys!$C$60,Keys!$C$51,INDEX(Balanced_2025!$D$9:$D$3032,MATCH($A478&amp;Keys!$C$54&amp;Keys!$C$55&amp;Keys!$C$54&amp;$C478,Balanced_2025!$E$9:$E$3032,0)))</f>
        <v>80503900000000</v>
      </c>
      <c r="H478" s="10">
        <f>IF($E478=Keys!$C$60,Keys!$C$51,INDEX(Balanced_2025!$D$9:$D$3032,MATCH($A478&amp;Keys!$C$54&amp;Keys!$C$56&amp;Keys!$C$54&amp;$C478,Balanced_2025!$E$9:$E$3032,0)))</f>
        <v>0</v>
      </c>
      <c r="I478" s="10">
        <f>IF($E478=Keys!$C$60,Keys!$C$51,INDEX(Balanced_2025!$D$9:$D$3032,MATCH($A478&amp;Keys!$C$54&amp;Keys!$C$57&amp;Keys!$C$54&amp;$C478,Balanced_2025!$E$9:$E$3032,0)))</f>
        <v>73664400000000</v>
      </c>
      <c r="J478" s="10">
        <f t="shared" si="28"/>
        <v>6839500000000</v>
      </c>
      <c r="K478" s="10">
        <f>MAX(Keys!$C$51,$I478-$H478)</f>
        <v>73664400000000</v>
      </c>
      <c r="L478" s="10">
        <f t="shared" si="29"/>
        <v>80503900000000</v>
      </c>
      <c r="M478" s="11">
        <f>IF($L478&gt;Keys!$C$51,MIN(Keys!$C$52,$K478/$L478),Keys!$C$51)</f>
        <v>0.91504138308827276</v>
      </c>
      <c r="N478" s="11">
        <f>IF($E478=Keys!$C$60,Keys!$C$51,IF($E478=Keys!$C$59,$D478,$M478))</f>
        <v>0.91504138308827276</v>
      </c>
      <c r="O478">
        <f t="shared" si="30"/>
        <v>1</v>
      </c>
      <c r="P478" s="10">
        <f>IF($E478=Keys!$C$60,Keys!$C$51,INDEX(Raw_BFPIaE!$G$9:$G$3032,MATCH($A478&amp;Keys!$C$54&amp;Keys!$C$55&amp;Keys!$C$54&amp;$B478,Raw_BFPIaE!$H$9:$H$3032,0)))</f>
        <v>79853466666666.672</v>
      </c>
      <c r="Q478" s="10">
        <f>IF($E478=Keys!$C$60,Keys!$C$51,INDEX(Raw_BFPIaE!$G$9:$G$3032,MATCH($A478&amp;Keys!$C$54&amp;Keys!$C$56&amp;Keys!$C$54&amp;$B478,Raw_BFPIaE!$H$9:$H$3032,0)))</f>
        <v>0</v>
      </c>
      <c r="R478" s="10">
        <f>IF($E478=Keys!$C$60,Keys!$C$51,INDEX(Raw_BFPIaE!$G$9:$G$3032,MATCH($A478&amp;Keys!$C$54&amp;Keys!$C$57&amp;Keys!$C$54&amp;$B478,Raw_BFPIaE!$H$9:$H$3032,0)))</f>
        <v>55877900000000</v>
      </c>
      <c r="S478" s="11">
        <f>IF(($P478+$Q478-$R478+MAX(Keys!$C$51,$R478-$Q478))&gt;Keys!$C$51,MIN(Keys!$C$52,MAX(Keys!$C$51,$R478-$Q478)/($P478+$Q478-$R478+MAX(Keys!$C$51,$R478-$Q478))),Keys!$C$51)</f>
        <v>0.69975546876695804</v>
      </c>
      <c r="T478">
        <f>IF(AND($I478&gt;$H478,ABS($L478-$G478)&gt;MAX(Keys!$C$62,ABS($G478)*Keys!$C$63)),1,0)</f>
        <v>0</v>
      </c>
      <c r="U478">
        <f>IF(OR($N478&lt;Keys!$C$51,$N478&gt;Keys!$C$52),1,0)</f>
        <v>0</v>
      </c>
      <c r="V478">
        <f>IF(AND($E478=Keys!$C$60,$N478&lt;&gt;Keys!$C$51),1,0)</f>
        <v>0</v>
      </c>
      <c r="W478">
        <f>IF($L478&gt;Keys!$C$51,IF($K478/$L478&gt;Keys!$C$52,1,0),0)</f>
        <v>0</v>
      </c>
      <c r="X478" s="11">
        <f t="shared" si="31"/>
        <v>0.21528591432131472</v>
      </c>
    </row>
    <row r="479" spans="1:24" x14ac:dyDescent="0.25">
      <c r="A479" t="s">
        <v>127</v>
      </c>
      <c r="B479" t="s">
        <v>100</v>
      </c>
      <c r="C479">
        <f>VLOOKUP($B479,Keys!$F$2:$I$22,2,FALSE)</f>
        <v>0</v>
      </c>
      <c r="D479">
        <f>VLOOKUP($B479,Keys!$F$2:$I$22,3,FALSE)</f>
        <v>0</v>
      </c>
      <c r="E479" t="str">
        <f>VLOOKUP($B479,Keys!$F$2:$I$22,4,FALSE)</f>
        <v>zero</v>
      </c>
      <c r="F479" t="str">
        <f>$A479&amp;Keys!$C$54&amp;$B479</f>
        <v>MS|heat (not used in this variable)</v>
      </c>
      <c r="G479" s="10">
        <f>IF($E479=Keys!$C$60,Keys!$C$51,INDEX(Balanced_2025!$D$9:$D$3032,MATCH($A479&amp;Keys!$C$54&amp;Keys!$C$55&amp;Keys!$C$54&amp;$C479,Balanced_2025!$E$9:$E$3032,0)))</f>
        <v>0</v>
      </c>
      <c r="H479" s="10">
        <f>IF($E479=Keys!$C$60,Keys!$C$51,INDEX(Balanced_2025!$D$9:$D$3032,MATCH($A479&amp;Keys!$C$54&amp;Keys!$C$56&amp;Keys!$C$54&amp;$C479,Balanced_2025!$E$9:$E$3032,0)))</f>
        <v>0</v>
      </c>
      <c r="I479" s="10">
        <f>IF($E479=Keys!$C$60,Keys!$C$51,INDEX(Balanced_2025!$D$9:$D$3032,MATCH($A479&amp;Keys!$C$54&amp;Keys!$C$57&amp;Keys!$C$54&amp;$C479,Balanced_2025!$E$9:$E$3032,0)))</f>
        <v>0</v>
      </c>
      <c r="J479" s="10">
        <f t="shared" si="28"/>
        <v>0</v>
      </c>
      <c r="K479" s="10">
        <f>MAX(Keys!$C$51,$I479-$H479)</f>
        <v>0</v>
      </c>
      <c r="L479" s="10">
        <f t="shared" si="29"/>
        <v>0</v>
      </c>
      <c r="M479" s="11">
        <f>IF($L479&gt;Keys!$C$51,MIN(Keys!$C$52,$K479/$L479),Keys!$C$51)</f>
        <v>0</v>
      </c>
      <c r="N479" s="11">
        <f>IF($E479=Keys!$C$60,Keys!$C$51,IF($E479=Keys!$C$59,$D479,$M479))</f>
        <v>0</v>
      </c>
      <c r="O479">
        <f t="shared" si="30"/>
        <v>0</v>
      </c>
      <c r="P479" s="10">
        <f>IF($E479=Keys!$C$60,Keys!$C$51,INDEX(Raw_BFPIaE!$G$9:$G$3032,MATCH($A479&amp;Keys!$C$54&amp;Keys!$C$55&amp;Keys!$C$54&amp;$B479,Raw_BFPIaE!$H$9:$H$3032,0)))</f>
        <v>0</v>
      </c>
      <c r="Q479" s="10">
        <f>IF($E479=Keys!$C$60,Keys!$C$51,INDEX(Raw_BFPIaE!$G$9:$G$3032,MATCH($A479&amp;Keys!$C$54&amp;Keys!$C$56&amp;Keys!$C$54&amp;$B479,Raw_BFPIaE!$H$9:$H$3032,0)))</f>
        <v>0</v>
      </c>
      <c r="R479" s="10">
        <f>IF($E479=Keys!$C$60,Keys!$C$51,INDEX(Raw_BFPIaE!$G$9:$G$3032,MATCH($A479&amp;Keys!$C$54&amp;Keys!$C$57&amp;Keys!$C$54&amp;$B479,Raw_BFPIaE!$H$9:$H$3032,0)))</f>
        <v>0</v>
      </c>
      <c r="S479" s="11">
        <f>IF(($P479+$Q479-$R479+MAX(Keys!$C$51,$R479-$Q479))&gt;Keys!$C$51,MIN(Keys!$C$52,MAX(Keys!$C$51,$R479-$Q479)/($P479+$Q479-$R479+MAX(Keys!$C$51,$R479-$Q479))),Keys!$C$51)</f>
        <v>0</v>
      </c>
      <c r="T479">
        <f>IF(AND($I479&gt;$H479,ABS($L479-$G479)&gt;MAX(Keys!$C$62,ABS($G479)*Keys!$C$63)),1,0)</f>
        <v>0</v>
      </c>
      <c r="U479">
        <f>IF(OR($N479&lt;Keys!$C$51,$N479&gt;Keys!$C$52),1,0)</f>
        <v>0</v>
      </c>
      <c r="V479">
        <f>IF(AND($E479=Keys!$C$60,$N479&lt;&gt;Keys!$C$51),1,0)</f>
        <v>0</v>
      </c>
      <c r="W479">
        <f>IF($L479&gt;Keys!$C$51,IF($K479/$L479&gt;Keys!$C$52,1,0),0)</f>
        <v>0</v>
      </c>
      <c r="X479" s="11">
        <f t="shared" si="31"/>
        <v>0</v>
      </c>
    </row>
    <row r="480" spans="1:24" x14ac:dyDescent="0.25">
      <c r="A480" t="s">
        <v>127</v>
      </c>
      <c r="B480" t="s">
        <v>103</v>
      </c>
      <c r="C480">
        <f>VLOOKUP($B480,Keys!$F$2:$I$22,2,FALSE)</f>
        <v>0</v>
      </c>
      <c r="D480">
        <f>VLOOKUP($B480,Keys!$F$2:$I$22,3,FALSE)</f>
        <v>0</v>
      </c>
      <c r="E480" t="str">
        <f>VLOOKUP($B480,Keys!$F$2:$I$22,4,FALSE)</f>
        <v>zero</v>
      </c>
      <c r="F480" t="str">
        <f>$A480&amp;Keys!$C$54&amp;$B480</f>
        <v>MS|geothermal (is not a fuel)</v>
      </c>
      <c r="G480" s="10">
        <f>IF($E480=Keys!$C$60,Keys!$C$51,INDEX(Balanced_2025!$D$9:$D$3032,MATCH($A480&amp;Keys!$C$54&amp;Keys!$C$55&amp;Keys!$C$54&amp;$C480,Balanced_2025!$E$9:$E$3032,0)))</f>
        <v>0</v>
      </c>
      <c r="H480" s="10">
        <f>IF($E480=Keys!$C$60,Keys!$C$51,INDEX(Balanced_2025!$D$9:$D$3032,MATCH($A480&amp;Keys!$C$54&amp;Keys!$C$56&amp;Keys!$C$54&amp;$C480,Balanced_2025!$E$9:$E$3032,0)))</f>
        <v>0</v>
      </c>
      <c r="I480" s="10">
        <f>IF($E480=Keys!$C$60,Keys!$C$51,INDEX(Balanced_2025!$D$9:$D$3032,MATCH($A480&amp;Keys!$C$54&amp;Keys!$C$57&amp;Keys!$C$54&amp;$C480,Balanced_2025!$E$9:$E$3032,0)))</f>
        <v>0</v>
      </c>
      <c r="J480" s="10">
        <f t="shared" si="28"/>
        <v>0</v>
      </c>
      <c r="K480" s="10">
        <f>MAX(Keys!$C$51,$I480-$H480)</f>
        <v>0</v>
      </c>
      <c r="L480" s="10">
        <f t="shared" si="29"/>
        <v>0</v>
      </c>
      <c r="M480" s="11">
        <f>IF($L480&gt;Keys!$C$51,MIN(Keys!$C$52,$K480/$L480),Keys!$C$51)</f>
        <v>0</v>
      </c>
      <c r="N480" s="11">
        <f>IF($E480=Keys!$C$60,Keys!$C$51,IF($E480=Keys!$C$59,$D480,$M480))</f>
        <v>0</v>
      </c>
      <c r="O480">
        <f t="shared" si="30"/>
        <v>0</v>
      </c>
      <c r="P480" s="10">
        <f>IF($E480=Keys!$C$60,Keys!$C$51,INDEX(Raw_BFPIaE!$G$9:$G$3032,MATCH($A480&amp;Keys!$C$54&amp;Keys!$C$55&amp;Keys!$C$54&amp;$B480,Raw_BFPIaE!$H$9:$H$3032,0)))</f>
        <v>0</v>
      </c>
      <c r="Q480" s="10">
        <f>IF($E480=Keys!$C$60,Keys!$C$51,INDEX(Raw_BFPIaE!$G$9:$G$3032,MATCH($A480&amp;Keys!$C$54&amp;Keys!$C$56&amp;Keys!$C$54&amp;$B480,Raw_BFPIaE!$H$9:$H$3032,0)))</f>
        <v>0</v>
      </c>
      <c r="R480" s="10">
        <f>IF($E480=Keys!$C$60,Keys!$C$51,INDEX(Raw_BFPIaE!$G$9:$G$3032,MATCH($A480&amp;Keys!$C$54&amp;Keys!$C$57&amp;Keys!$C$54&amp;$B480,Raw_BFPIaE!$H$9:$H$3032,0)))</f>
        <v>0</v>
      </c>
      <c r="S480" s="11">
        <f>IF(($P480+$Q480-$R480+MAX(Keys!$C$51,$R480-$Q480))&gt;Keys!$C$51,MIN(Keys!$C$52,MAX(Keys!$C$51,$R480-$Q480)/($P480+$Q480-$R480+MAX(Keys!$C$51,$R480-$Q480))),Keys!$C$51)</f>
        <v>0</v>
      </c>
      <c r="T480">
        <f>IF(AND($I480&gt;$H480,ABS($L480-$G480)&gt;MAX(Keys!$C$62,ABS($G480)*Keys!$C$63)),1,0)</f>
        <v>0</v>
      </c>
      <c r="U480">
        <f>IF(OR($N480&lt;Keys!$C$51,$N480&gt;Keys!$C$52),1,0)</f>
        <v>0</v>
      </c>
      <c r="V480">
        <f>IF(AND($E480=Keys!$C$60,$N480&lt;&gt;Keys!$C$51),1,0)</f>
        <v>0</v>
      </c>
      <c r="W480">
        <f>IF($L480&gt;Keys!$C$51,IF($K480/$L480&gt;Keys!$C$52,1,0),0)</f>
        <v>0</v>
      </c>
      <c r="X480" s="11">
        <f t="shared" si="31"/>
        <v>0</v>
      </c>
    </row>
    <row r="481" spans="1:24" x14ac:dyDescent="0.25">
      <c r="A481" t="s">
        <v>127</v>
      </c>
      <c r="B481" t="s">
        <v>106</v>
      </c>
      <c r="C481" t="str">
        <f>VLOOKUP($B481,Keys!$F$2:$I$22,2,FALSE)</f>
        <v>lignite</v>
      </c>
      <c r="D481">
        <f>VLOOKUP($B481,Keys!$F$2:$I$22,3,FALSE)</f>
        <v>0</v>
      </c>
      <c r="E481" t="str">
        <f>VLOOKUP($B481,Keys!$F$2:$I$22,4,FALSE)</f>
        <v>rule</v>
      </c>
      <c r="F481" t="str">
        <f>$A481&amp;Keys!$C$54&amp;$B481</f>
        <v>MS|lignite</v>
      </c>
      <c r="G481" s="10">
        <f>IF($E481=Keys!$C$60,Keys!$C$51,INDEX(Balanced_2025!$D$9:$D$3032,MATCH($A481&amp;Keys!$C$54&amp;Keys!$C$55&amp;Keys!$C$54&amp;$C481,Balanced_2025!$E$9:$E$3032,0)))</f>
        <v>28579600000000</v>
      </c>
      <c r="H481" s="10">
        <f>IF($E481=Keys!$C$60,Keys!$C$51,INDEX(Balanced_2025!$D$9:$D$3032,MATCH($A481&amp;Keys!$C$54&amp;Keys!$C$56&amp;Keys!$C$54&amp;$C481,Balanced_2025!$E$9:$E$3032,0)))</f>
        <v>12157900000000</v>
      </c>
      <c r="I481" s="10">
        <f>IF($E481=Keys!$C$60,Keys!$C$51,INDEX(Balanced_2025!$D$9:$D$3032,MATCH($A481&amp;Keys!$C$54&amp;Keys!$C$57&amp;Keys!$C$54&amp;$C481,Balanced_2025!$E$9:$E$3032,0)))</f>
        <v>16459200000000</v>
      </c>
      <c r="J481" s="10">
        <f t="shared" si="28"/>
        <v>24278300000000</v>
      </c>
      <c r="K481" s="10">
        <f>MAX(Keys!$C$51,$I481-$H481)</f>
        <v>4301300000000</v>
      </c>
      <c r="L481" s="10">
        <f t="shared" si="29"/>
        <v>28579600000000</v>
      </c>
      <c r="M481" s="11">
        <f>IF($L481&gt;Keys!$C$51,MIN(Keys!$C$52,$K481/$L481),Keys!$C$51)</f>
        <v>0.15050245629749892</v>
      </c>
      <c r="N481" s="11">
        <f>IF($E481=Keys!$C$60,Keys!$C$51,IF($E481=Keys!$C$59,$D481,$M481))</f>
        <v>0.15050245629749892</v>
      </c>
      <c r="O481">
        <f t="shared" si="30"/>
        <v>1</v>
      </c>
      <c r="P481" s="10">
        <f>IF($E481=Keys!$C$60,Keys!$C$51,INDEX(Raw_BFPIaE!$G$9:$G$3032,MATCH($A481&amp;Keys!$C$54&amp;Keys!$C$55&amp;Keys!$C$54&amp;$B481,Raw_BFPIaE!$H$9:$H$3032,0)))</f>
        <v>28528366666666.668</v>
      </c>
      <c r="Q481" s="10">
        <f>IF($E481=Keys!$C$60,Keys!$C$51,INDEX(Raw_BFPIaE!$G$9:$G$3032,MATCH($A481&amp;Keys!$C$54&amp;Keys!$C$56&amp;Keys!$C$54&amp;$B481,Raw_BFPIaE!$H$9:$H$3032,0)))</f>
        <v>0</v>
      </c>
      <c r="R481" s="10">
        <f>IF($E481=Keys!$C$60,Keys!$C$51,INDEX(Raw_BFPIaE!$G$9:$G$3032,MATCH($A481&amp;Keys!$C$54&amp;Keys!$C$57&amp;Keys!$C$54&amp;$B481,Raw_BFPIaE!$H$9:$H$3032,0)))</f>
        <v>7083443333333.333</v>
      </c>
      <c r="S481" s="11">
        <f>IF(($P481+$Q481-$R481+MAX(Keys!$C$51,$R481-$Q481))&gt;Keys!$C$51,MIN(Keys!$C$52,MAX(Keys!$C$51,$R481-$Q481)/($P481+$Q481-$R481+MAX(Keys!$C$51,$R481-$Q481))),Keys!$C$51)</f>
        <v>0.24829473821961998</v>
      </c>
      <c r="T481">
        <f>IF(AND($I481&gt;$H481,ABS($L481-$G481)&gt;MAX(Keys!$C$62,ABS($G481)*Keys!$C$63)),1,0)</f>
        <v>0</v>
      </c>
      <c r="U481">
        <f>IF(OR($N481&lt;Keys!$C$51,$N481&gt;Keys!$C$52),1,0)</f>
        <v>0</v>
      </c>
      <c r="V481">
        <f>IF(AND($E481=Keys!$C$60,$N481&lt;&gt;Keys!$C$51),1,0)</f>
        <v>0</v>
      </c>
      <c r="W481">
        <f>IF($L481&gt;Keys!$C$51,IF($K481/$L481&gt;Keys!$C$52,1,0),0)</f>
        <v>0</v>
      </c>
      <c r="X481" s="11">
        <f t="shared" si="31"/>
        <v>9.7792281922121055E-2</v>
      </c>
    </row>
    <row r="482" spans="1:24" x14ac:dyDescent="0.25">
      <c r="A482" t="s">
        <v>127</v>
      </c>
      <c r="B482" t="s">
        <v>109</v>
      </c>
      <c r="C482" t="str">
        <f>VLOOKUP($B482,Keys!$F$2:$I$22,2,FALSE)</f>
        <v>crude oil</v>
      </c>
      <c r="D482">
        <f>VLOOKUP($B482,Keys!$F$2:$I$22,3,FALSE)</f>
        <v>1</v>
      </c>
      <c r="E482" t="str">
        <f>VLOOKUP($B482,Keys!$F$2:$I$22,4,FALSE)</f>
        <v>hold</v>
      </c>
      <c r="F482" t="str">
        <f>$A482&amp;Keys!$C$54&amp;$B482</f>
        <v>MS|crude oil</v>
      </c>
      <c r="G482" s="10">
        <f>IF($E482=Keys!$C$60,Keys!$C$51,INDEX(Balanced_2025!$D$9:$D$3032,MATCH($A482&amp;Keys!$C$54&amp;Keys!$C$55&amp;Keys!$C$54&amp;$C482,Balanced_2025!$E$9:$E$3032,0)))</f>
        <v>70383000000000</v>
      </c>
      <c r="H482" s="10">
        <f>IF($E482=Keys!$C$60,Keys!$C$51,INDEX(Balanced_2025!$D$9:$D$3032,MATCH($A482&amp;Keys!$C$54&amp;Keys!$C$56&amp;Keys!$C$54&amp;$C482,Balanced_2025!$E$9:$E$3032,0)))</f>
        <v>701024000000000</v>
      </c>
      <c r="I482" s="10">
        <f>IF($E482=Keys!$C$60,Keys!$C$51,INDEX(Balanced_2025!$D$9:$D$3032,MATCH($A482&amp;Keys!$C$54&amp;Keys!$C$57&amp;Keys!$C$54&amp;$C482,Balanced_2025!$E$9:$E$3032,0)))</f>
        <v>0</v>
      </c>
      <c r="J482" s="10">
        <f t="shared" si="28"/>
        <v>771407000000000</v>
      </c>
      <c r="K482" s="10">
        <f>MAX(Keys!$C$51,$I482-$H482)</f>
        <v>0</v>
      </c>
      <c r="L482" s="10">
        <f t="shared" si="29"/>
        <v>771407000000000</v>
      </c>
      <c r="M482" s="11">
        <f>IF($L482&gt;Keys!$C$51,MIN(Keys!$C$52,$K482/$L482),Keys!$C$51)</f>
        <v>0</v>
      </c>
      <c r="N482" s="11">
        <f>IF($E482=Keys!$C$60,Keys!$C$51,IF($E482=Keys!$C$59,$D482,$M482))</f>
        <v>1</v>
      </c>
      <c r="O482">
        <f t="shared" si="30"/>
        <v>0</v>
      </c>
      <c r="P482" s="10">
        <f>IF($E482=Keys!$C$60,Keys!$C$51,INDEX(Raw_BFPIaE!$G$9:$G$3032,MATCH($A482&amp;Keys!$C$54&amp;Keys!$C$55&amp;Keys!$C$54&amp;$B482,Raw_BFPIaE!$H$9:$H$3032,0)))</f>
        <v>69012700000000</v>
      </c>
      <c r="Q482" s="10">
        <f>IF($E482=Keys!$C$60,Keys!$C$51,INDEX(Raw_BFPIaE!$G$9:$G$3032,MATCH($A482&amp;Keys!$C$54&amp;Keys!$C$56&amp;Keys!$C$54&amp;$B482,Raw_BFPIaE!$H$9:$H$3032,0)))</f>
        <v>468719666666666.69</v>
      </c>
      <c r="R482" s="10">
        <f>IF($E482=Keys!$C$60,Keys!$C$51,INDEX(Raw_BFPIaE!$G$9:$G$3032,MATCH($A482&amp;Keys!$C$54&amp;Keys!$C$57&amp;Keys!$C$54&amp;$B482,Raw_BFPIaE!$H$9:$H$3032,0)))</f>
        <v>0</v>
      </c>
      <c r="S482" s="11">
        <f>IF(($P482+$Q482-$R482+MAX(Keys!$C$51,$R482-$Q482))&gt;Keys!$C$51,MIN(Keys!$C$52,MAX(Keys!$C$51,$R482-$Q482)/($P482+$Q482-$R482+MAX(Keys!$C$51,$R482-$Q482))),Keys!$C$51)</f>
        <v>0</v>
      </c>
      <c r="T482">
        <f>IF(AND($I482&gt;$H482,ABS($L482-$G482)&gt;MAX(Keys!$C$62,ABS($G482)*Keys!$C$63)),1,0)</f>
        <v>0</v>
      </c>
      <c r="U482">
        <f>IF(OR($N482&lt;Keys!$C$51,$N482&gt;Keys!$C$52),1,0)</f>
        <v>0</v>
      </c>
      <c r="V482">
        <f>IF(AND($E482=Keys!$C$60,$N482&lt;&gt;Keys!$C$51),1,0)</f>
        <v>0</v>
      </c>
      <c r="W482">
        <f>IF($L482&gt;Keys!$C$51,IF($K482/$L482&gt;Keys!$C$52,1,0),0)</f>
        <v>0</v>
      </c>
      <c r="X482" s="11">
        <f t="shared" si="31"/>
        <v>0</v>
      </c>
    </row>
    <row r="483" spans="1:24" x14ac:dyDescent="0.25">
      <c r="A483" t="s">
        <v>127</v>
      </c>
      <c r="B483" t="s">
        <v>113</v>
      </c>
      <c r="C483" t="str">
        <f>VLOOKUP($B483,Keys!$F$2:$I$22,2,FALSE)</f>
        <v>heavy or residual fuel oil</v>
      </c>
      <c r="D483">
        <f>VLOOKUP($B483,Keys!$F$2:$I$22,3,FALSE)</f>
        <v>0.49914171099999999</v>
      </c>
      <c r="E483" t="str">
        <f>VLOOKUP($B483,Keys!$F$2:$I$22,4,FALSE)</f>
        <v>rule</v>
      </c>
      <c r="F483" t="str">
        <f>$A483&amp;Keys!$C$54&amp;$B483</f>
        <v>MS|heavy fuel oil</v>
      </c>
      <c r="G483" s="10">
        <f>IF($E483=Keys!$C$60,Keys!$C$51,INDEX(Balanced_2025!$D$9:$D$3032,MATCH($A483&amp;Keys!$C$54&amp;Keys!$C$55&amp;Keys!$C$54&amp;$C483,Balanced_2025!$E$9:$E$3032,0)))</f>
        <v>15638200000000</v>
      </c>
      <c r="H483" s="10">
        <f>IF($E483=Keys!$C$60,Keys!$C$51,INDEX(Balanced_2025!$D$9:$D$3032,MATCH($A483&amp;Keys!$C$54&amp;Keys!$C$56&amp;Keys!$C$54&amp;$C483,Balanced_2025!$E$9:$E$3032,0)))</f>
        <v>13598800000000</v>
      </c>
      <c r="I483" s="10">
        <f>IF($E483=Keys!$C$60,Keys!$C$51,INDEX(Balanced_2025!$D$9:$D$3032,MATCH($A483&amp;Keys!$C$54&amp;Keys!$C$57&amp;Keys!$C$54&amp;$C483,Balanced_2025!$E$9:$E$3032,0)))</f>
        <v>16108100000000</v>
      </c>
      <c r="J483" s="10">
        <f t="shared" si="28"/>
        <v>13128900000000</v>
      </c>
      <c r="K483" s="10">
        <f>MAX(Keys!$C$51,$I483-$H483)</f>
        <v>2509300000000</v>
      </c>
      <c r="L483" s="10">
        <f t="shared" si="29"/>
        <v>15638200000000</v>
      </c>
      <c r="M483" s="11">
        <f>IF($L483&gt;Keys!$C$51,MIN(Keys!$C$52,$K483/$L483),Keys!$C$51)</f>
        <v>0.16045964369300814</v>
      </c>
      <c r="N483" s="11">
        <f>IF($E483=Keys!$C$60,Keys!$C$51,IF($E483=Keys!$C$59,$D483,$M483))</f>
        <v>0.16045964369300814</v>
      </c>
      <c r="O483">
        <f t="shared" si="30"/>
        <v>1</v>
      </c>
      <c r="P483" s="10">
        <f>IF($E483=Keys!$C$60,Keys!$C$51,INDEX(Raw_BFPIaE!$G$9:$G$3032,MATCH($A483&amp;Keys!$C$54&amp;Keys!$C$55&amp;Keys!$C$54&amp;$B483,Raw_BFPIaE!$H$9:$H$3032,0)))</f>
        <v>15511833333333.334</v>
      </c>
      <c r="Q483" s="10">
        <f>IF($E483=Keys!$C$60,Keys!$C$51,INDEX(Raw_BFPIaE!$G$9:$G$3032,MATCH($A483&amp;Keys!$C$54&amp;Keys!$C$56&amp;Keys!$C$54&amp;$B483,Raw_BFPIaE!$H$9:$H$3032,0)))</f>
        <v>9144333333333.334</v>
      </c>
      <c r="R483" s="10">
        <f>IF($E483=Keys!$C$60,Keys!$C$51,INDEX(Raw_BFPIaE!$G$9:$G$3032,MATCH($A483&amp;Keys!$C$54&amp;Keys!$C$57&amp;Keys!$C$54&amp;$B483,Raw_BFPIaE!$H$9:$H$3032,0)))</f>
        <v>15977966666666.666</v>
      </c>
      <c r="S483" s="11">
        <f>IF(($P483+$Q483-$R483+MAX(Keys!$C$51,$R483-$Q483))&gt;Keys!$C$51,MIN(Keys!$C$52,MAX(Keys!$C$51,$R483-$Q483)/($P483+$Q483-$R483+MAX(Keys!$C$51,$R483-$Q483))),Keys!$C$51)</f>
        <v>0.44054324118146349</v>
      </c>
      <c r="T483">
        <f>IF(AND($I483&gt;$H483,ABS($L483-$G483)&gt;MAX(Keys!$C$62,ABS($G483)*Keys!$C$63)),1,0)</f>
        <v>0</v>
      </c>
      <c r="U483">
        <f>IF(OR($N483&lt;Keys!$C$51,$N483&gt;Keys!$C$52),1,0)</f>
        <v>0</v>
      </c>
      <c r="V483">
        <f>IF(AND($E483=Keys!$C$60,$N483&lt;&gt;Keys!$C$51),1,0)</f>
        <v>0</v>
      </c>
      <c r="W483">
        <f>IF($L483&gt;Keys!$C$51,IF($K483/$L483&gt;Keys!$C$52,1,0),0)</f>
        <v>0</v>
      </c>
      <c r="X483" s="11">
        <f t="shared" si="31"/>
        <v>0.28008359748845535</v>
      </c>
    </row>
    <row r="484" spans="1:24" x14ac:dyDescent="0.25">
      <c r="A484" t="s">
        <v>127</v>
      </c>
      <c r="B484" t="s">
        <v>117</v>
      </c>
      <c r="C484" t="str">
        <f>VLOOKUP($B484,Keys!$F$2:$I$22,2,FALSE)</f>
        <v>LPG propane or butane</v>
      </c>
      <c r="D484">
        <f>VLOOKUP($B484,Keys!$F$2:$I$22,3,FALSE)</f>
        <v>0.54955999499999997</v>
      </c>
      <c r="E484" t="str">
        <f>VLOOKUP($B484,Keys!$F$2:$I$22,4,FALSE)</f>
        <v>rule</v>
      </c>
      <c r="F484" t="str">
        <f>$A484&amp;Keys!$C$54&amp;$B484</f>
        <v>MS|LPG propane or butane</v>
      </c>
      <c r="G484" s="10">
        <f>IF($E484=Keys!$C$60,Keys!$C$51,INDEX(Balanced_2025!$D$9:$D$3032,MATCH($A484&amp;Keys!$C$54&amp;Keys!$C$55&amp;Keys!$C$54&amp;$C484,Balanced_2025!$E$9:$E$3032,0)))</f>
        <v>3264400000000</v>
      </c>
      <c r="H484" s="10">
        <f>IF($E484=Keys!$C$60,Keys!$C$51,INDEX(Balanced_2025!$D$9:$D$3032,MATCH($A484&amp;Keys!$C$54&amp;Keys!$C$56&amp;Keys!$C$54&amp;$C484,Balanced_2025!$E$9:$E$3032,0)))</f>
        <v>6489050000000</v>
      </c>
      <c r="I484" s="10">
        <f>IF($E484=Keys!$C$60,Keys!$C$51,INDEX(Balanced_2025!$D$9:$D$3032,MATCH($A484&amp;Keys!$C$54&amp;Keys!$C$57&amp;Keys!$C$54&amp;$C484,Balanced_2025!$E$9:$E$3032,0)))</f>
        <v>0</v>
      </c>
      <c r="J484" s="10">
        <f t="shared" si="28"/>
        <v>9753450000000</v>
      </c>
      <c r="K484" s="10">
        <f>MAX(Keys!$C$51,$I484-$H484)</f>
        <v>0</v>
      </c>
      <c r="L484" s="10">
        <f t="shared" si="29"/>
        <v>9753450000000</v>
      </c>
      <c r="M484" s="11">
        <f>IF($L484&gt;Keys!$C$51,MIN(Keys!$C$52,$K484/$L484),Keys!$C$51)</f>
        <v>0</v>
      </c>
      <c r="N484" s="11">
        <f>IF($E484=Keys!$C$60,Keys!$C$51,IF($E484=Keys!$C$59,$D484,$M484))</f>
        <v>0</v>
      </c>
      <c r="O484">
        <f t="shared" si="30"/>
        <v>1</v>
      </c>
      <c r="P484" s="10">
        <f>IF($E484=Keys!$C$60,Keys!$C$51,INDEX(Raw_BFPIaE!$G$9:$G$3032,MATCH($A484&amp;Keys!$C$54&amp;Keys!$C$55&amp;Keys!$C$54&amp;$B484,Raw_BFPIaE!$H$9:$H$3032,0)))</f>
        <v>3287503333333.3335</v>
      </c>
      <c r="Q484" s="10">
        <f>IF($E484=Keys!$C$60,Keys!$C$51,INDEX(Raw_BFPIaE!$G$9:$G$3032,MATCH($A484&amp;Keys!$C$54&amp;Keys!$C$56&amp;Keys!$C$54&amp;$B484,Raw_BFPIaE!$H$9:$H$3032,0)))</f>
        <v>4261456666666.6665</v>
      </c>
      <c r="R484" s="10">
        <f>IF($E484=Keys!$C$60,Keys!$C$51,INDEX(Raw_BFPIaE!$G$9:$G$3032,MATCH($A484&amp;Keys!$C$54&amp;Keys!$C$57&amp;Keys!$C$54&amp;$B484,Raw_BFPIaE!$H$9:$H$3032,0)))</f>
        <v>0</v>
      </c>
      <c r="S484" s="11">
        <f>IF(($P484+$Q484-$R484+MAX(Keys!$C$51,$R484-$Q484))&gt;Keys!$C$51,MIN(Keys!$C$52,MAX(Keys!$C$51,$R484-$Q484)/($P484+$Q484-$R484+MAX(Keys!$C$51,$R484-$Q484))),Keys!$C$51)</f>
        <v>0</v>
      </c>
      <c r="T484">
        <f>IF(AND($I484&gt;$H484,ABS($L484-$G484)&gt;MAX(Keys!$C$62,ABS($G484)*Keys!$C$63)),1,0)</f>
        <v>0</v>
      </c>
      <c r="U484">
        <f>IF(OR($N484&lt;Keys!$C$51,$N484&gt;Keys!$C$52),1,0)</f>
        <v>0</v>
      </c>
      <c r="V484">
        <f>IF(AND($E484=Keys!$C$60,$N484&lt;&gt;Keys!$C$51),1,0)</f>
        <v>0</v>
      </c>
      <c r="W484">
        <f>IF($L484&gt;Keys!$C$51,IF($K484/$L484&gt;Keys!$C$52,1,0),0)</f>
        <v>0</v>
      </c>
      <c r="X484" s="11">
        <f t="shared" si="31"/>
        <v>0</v>
      </c>
    </row>
    <row r="485" spans="1:24" x14ac:dyDescent="0.25">
      <c r="A485" t="s">
        <v>127</v>
      </c>
      <c r="B485" t="s">
        <v>120</v>
      </c>
      <c r="C485">
        <f>VLOOKUP($B485,Keys!$F$2:$I$22,2,FALSE)</f>
        <v>0</v>
      </c>
      <c r="D485">
        <f>VLOOKUP($B485,Keys!$F$2:$I$22,3,FALSE)</f>
        <v>0</v>
      </c>
      <c r="E485" t="str">
        <f>VLOOKUP($B485,Keys!$F$2:$I$22,4,FALSE)</f>
        <v>zero</v>
      </c>
      <c r="F485" t="str">
        <f>$A485&amp;Keys!$C$54&amp;$B485</f>
        <v>MS|municipal solid waste</v>
      </c>
      <c r="G485" s="10">
        <f>IF($E485=Keys!$C$60,Keys!$C$51,INDEX(Balanced_2025!$D$9:$D$3032,MATCH($A485&amp;Keys!$C$54&amp;Keys!$C$55&amp;Keys!$C$54&amp;$C485,Balanced_2025!$E$9:$E$3032,0)))</f>
        <v>0</v>
      </c>
      <c r="H485" s="10">
        <f>IF($E485=Keys!$C$60,Keys!$C$51,INDEX(Balanced_2025!$D$9:$D$3032,MATCH($A485&amp;Keys!$C$54&amp;Keys!$C$56&amp;Keys!$C$54&amp;$C485,Balanced_2025!$E$9:$E$3032,0)))</f>
        <v>0</v>
      </c>
      <c r="I485" s="10">
        <f>IF($E485=Keys!$C$60,Keys!$C$51,INDEX(Balanced_2025!$D$9:$D$3032,MATCH($A485&amp;Keys!$C$54&amp;Keys!$C$57&amp;Keys!$C$54&amp;$C485,Balanced_2025!$E$9:$E$3032,0)))</f>
        <v>0</v>
      </c>
      <c r="J485" s="10">
        <f t="shared" si="28"/>
        <v>0</v>
      </c>
      <c r="K485" s="10">
        <f>MAX(Keys!$C$51,$I485-$H485)</f>
        <v>0</v>
      </c>
      <c r="L485" s="10">
        <f t="shared" si="29"/>
        <v>0</v>
      </c>
      <c r="M485" s="11">
        <f>IF($L485&gt;Keys!$C$51,MIN(Keys!$C$52,$K485/$L485),Keys!$C$51)</f>
        <v>0</v>
      </c>
      <c r="N485" s="11">
        <f>IF($E485=Keys!$C$60,Keys!$C$51,IF($E485=Keys!$C$59,$D485,$M485))</f>
        <v>0</v>
      </c>
      <c r="O485">
        <f t="shared" si="30"/>
        <v>0</v>
      </c>
      <c r="P485" s="10">
        <f>IF($E485=Keys!$C$60,Keys!$C$51,INDEX(Raw_BFPIaE!$G$9:$G$3032,MATCH($A485&amp;Keys!$C$54&amp;Keys!$C$55&amp;Keys!$C$54&amp;$B485,Raw_BFPIaE!$H$9:$H$3032,0)))</f>
        <v>0</v>
      </c>
      <c r="Q485" s="10">
        <f>IF($E485=Keys!$C$60,Keys!$C$51,INDEX(Raw_BFPIaE!$G$9:$G$3032,MATCH($A485&amp;Keys!$C$54&amp;Keys!$C$56&amp;Keys!$C$54&amp;$B485,Raw_BFPIaE!$H$9:$H$3032,0)))</f>
        <v>0</v>
      </c>
      <c r="R485" s="10">
        <f>IF($E485=Keys!$C$60,Keys!$C$51,INDEX(Raw_BFPIaE!$G$9:$G$3032,MATCH($A485&amp;Keys!$C$54&amp;Keys!$C$57&amp;Keys!$C$54&amp;$B485,Raw_BFPIaE!$H$9:$H$3032,0)))</f>
        <v>0</v>
      </c>
      <c r="S485" s="11">
        <f>IF(($P485+$Q485-$R485+MAX(Keys!$C$51,$R485-$Q485))&gt;Keys!$C$51,MIN(Keys!$C$52,MAX(Keys!$C$51,$R485-$Q485)/($P485+$Q485-$R485+MAX(Keys!$C$51,$R485-$Q485))),Keys!$C$51)</f>
        <v>0</v>
      </c>
      <c r="T485">
        <f>IF(AND($I485&gt;$H485,ABS($L485-$G485)&gt;MAX(Keys!$C$62,ABS($G485)*Keys!$C$63)),1,0)</f>
        <v>0</v>
      </c>
      <c r="U485">
        <f>IF(OR($N485&lt;Keys!$C$51,$N485&gt;Keys!$C$52),1,0)</f>
        <v>0</v>
      </c>
      <c r="V485">
        <f>IF(AND($E485=Keys!$C$60,$N485&lt;&gt;Keys!$C$51),1,0)</f>
        <v>0</v>
      </c>
      <c r="W485">
        <f>IF($L485&gt;Keys!$C$51,IF($K485/$L485&gt;Keys!$C$52,1,0),0)</f>
        <v>0</v>
      </c>
      <c r="X485" s="11">
        <f t="shared" si="31"/>
        <v>0</v>
      </c>
    </row>
    <row r="486" spans="1:24" x14ac:dyDescent="0.25">
      <c r="A486" t="s">
        <v>127</v>
      </c>
      <c r="B486" t="s">
        <v>123</v>
      </c>
      <c r="C486">
        <f>VLOOKUP($B486,Keys!$F$2:$I$22,2,FALSE)</f>
        <v>0</v>
      </c>
      <c r="D486">
        <f>VLOOKUP($B486,Keys!$F$2:$I$22,3,FALSE)</f>
        <v>0</v>
      </c>
      <c r="E486" t="str">
        <f>VLOOKUP($B486,Keys!$F$2:$I$22,4,FALSE)</f>
        <v>zero</v>
      </c>
      <c r="F486" t="str">
        <f>$A486&amp;Keys!$C$54&amp;$B486</f>
        <v>MS|hydrogen</v>
      </c>
      <c r="G486" s="10">
        <f>IF($E486=Keys!$C$60,Keys!$C$51,INDEX(Balanced_2025!$D$9:$D$3032,MATCH($A486&amp;Keys!$C$54&amp;Keys!$C$55&amp;Keys!$C$54&amp;$C486,Balanced_2025!$E$9:$E$3032,0)))</f>
        <v>0</v>
      </c>
      <c r="H486" s="10">
        <f>IF($E486=Keys!$C$60,Keys!$C$51,INDEX(Balanced_2025!$D$9:$D$3032,MATCH($A486&amp;Keys!$C$54&amp;Keys!$C$56&amp;Keys!$C$54&amp;$C486,Balanced_2025!$E$9:$E$3032,0)))</f>
        <v>0</v>
      </c>
      <c r="I486" s="10">
        <f>IF($E486=Keys!$C$60,Keys!$C$51,INDEX(Balanced_2025!$D$9:$D$3032,MATCH($A486&amp;Keys!$C$54&amp;Keys!$C$57&amp;Keys!$C$54&amp;$C486,Balanced_2025!$E$9:$E$3032,0)))</f>
        <v>0</v>
      </c>
      <c r="J486" s="10">
        <f t="shared" si="28"/>
        <v>0</v>
      </c>
      <c r="K486" s="10">
        <f>MAX(Keys!$C$51,$I486-$H486)</f>
        <v>0</v>
      </c>
      <c r="L486" s="10">
        <f t="shared" si="29"/>
        <v>0</v>
      </c>
      <c r="M486" s="11">
        <f>IF($L486&gt;Keys!$C$51,MIN(Keys!$C$52,$K486/$L486),Keys!$C$51)</f>
        <v>0</v>
      </c>
      <c r="N486" s="11">
        <f>IF($E486=Keys!$C$60,Keys!$C$51,IF($E486=Keys!$C$59,$D486,$M486))</f>
        <v>0</v>
      </c>
      <c r="O486">
        <f t="shared" si="30"/>
        <v>0</v>
      </c>
      <c r="P486" s="10">
        <f>IF($E486=Keys!$C$60,Keys!$C$51,INDEX(Raw_BFPIaE!$G$9:$G$3032,MATCH($A486&amp;Keys!$C$54&amp;Keys!$C$55&amp;Keys!$C$54&amp;$B486,Raw_BFPIaE!$H$9:$H$3032,0)))</f>
        <v>0</v>
      </c>
      <c r="Q486" s="10">
        <f>IF($E486=Keys!$C$60,Keys!$C$51,INDEX(Raw_BFPIaE!$G$9:$G$3032,MATCH($A486&amp;Keys!$C$54&amp;Keys!$C$56&amp;Keys!$C$54&amp;$B486,Raw_BFPIaE!$H$9:$H$3032,0)))</f>
        <v>0</v>
      </c>
      <c r="R486" s="10">
        <f>IF($E486=Keys!$C$60,Keys!$C$51,INDEX(Raw_BFPIaE!$G$9:$G$3032,MATCH($A486&amp;Keys!$C$54&amp;Keys!$C$57&amp;Keys!$C$54&amp;$B486,Raw_BFPIaE!$H$9:$H$3032,0)))</f>
        <v>0</v>
      </c>
      <c r="S486" s="11">
        <f>IF(($P486+$Q486-$R486+MAX(Keys!$C$51,$R486-$Q486))&gt;Keys!$C$51,MIN(Keys!$C$52,MAX(Keys!$C$51,$R486-$Q486)/($P486+$Q486-$R486+MAX(Keys!$C$51,$R486-$Q486))),Keys!$C$51)</f>
        <v>0</v>
      </c>
      <c r="T486">
        <f>IF(AND($I486&gt;$H486,ABS($L486-$G486)&gt;MAX(Keys!$C$62,ABS($G486)*Keys!$C$63)),1,0)</f>
        <v>0</v>
      </c>
      <c r="U486">
        <f>IF(OR($N486&lt;Keys!$C$51,$N486&gt;Keys!$C$52),1,0)</f>
        <v>0</v>
      </c>
      <c r="V486">
        <f>IF(AND($E486=Keys!$C$60,$N486&lt;&gt;Keys!$C$51),1,0)</f>
        <v>0</v>
      </c>
      <c r="W486">
        <f>IF($L486&gt;Keys!$C$51,IF($K486/$L486&gt;Keys!$C$52,1,0),0)</f>
        <v>0</v>
      </c>
      <c r="X486" s="11">
        <f t="shared" si="31"/>
        <v>0</v>
      </c>
    </row>
    <row r="487" spans="1:24" x14ac:dyDescent="0.25">
      <c r="A487" t="s">
        <v>129</v>
      </c>
      <c r="B487" t="s">
        <v>60</v>
      </c>
      <c r="C487">
        <f>VLOOKUP($B487,Keys!$F$2:$I$22,2,FALSE)</f>
        <v>0</v>
      </c>
      <c r="D487">
        <f>VLOOKUP($B487,Keys!$F$2:$I$22,3,FALSE)</f>
        <v>0</v>
      </c>
      <c r="E487" t="str">
        <f>VLOOKUP($B487,Keys!$F$2:$I$22,4,FALSE)</f>
        <v>zero</v>
      </c>
      <c r="F487" t="str">
        <f>$A487&amp;Keys!$C$54&amp;$B487</f>
        <v>MT|electricity (not used in this variable)</v>
      </c>
      <c r="G487" s="10">
        <f>IF($E487=Keys!$C$60,Keys!$C$51,INDEX(Balanced_2025!$D$9:$D$3032,MATCH($A487&amp;Keys!$C$54&amp;Keys!$C$55&amp;Keys!$C$54&amp;$C487,Balanced_2025!$E$9:$E$3032,0)))</f>
        <v>0</v>
      </c>
      <c r="H487" s="10">
        <f>IF($E487=Keys!$C$60,Keys!$C$51,INDEX(Balanced_2025!$D$9:$D$3032,MATCH($A487&amp;Keys!$C$54&amp;Keys!$C$56&amp;Keys!$C$54&amp;$C487,Balanced_2025!$E$9:$E$3032,0)))</f>
        <v>0</v>
      </c>
      <c r="I487" s="10">
        <f>IF($E487=Keys!$C$60,Keys!$C$51,INDEX(Balanced_2025!$D$9:$D$3032,MATCH($A487&amp;Keys!$C$54&amp;Keys!$C$57&amp;Keys!$C$54&amp;$C487,Balanced_2025!$E$9:$E$3032,0)))</f>
        <v>0</v>
      </c>
      <c r="J487" s="10">
        <f t="shared" si="28"/>
        <v>0</v>
      </c>
      <c r="K487" s="10">
        <f>MAX(Keys!$C$51,$I487-$H487)</f>
        <v>0</v>
      </c>
      <c r="L487" s="10">
        <f t="shared" si="29"/>
        <v>0</v>
      </c>
      <c r="M487" s="11">
        <f>IF($L487&gt;Keys!$C$51,MIN(Keys!$C$52,$K487/$L487),Keys!$C$51)</f>
        <v>0</v>
      </c>
      <c r="N487" s="11">
        <f>IF($E487=Keys!$C$60,Keys!$C$51,IF($E487=Keys!$C$59,$D487,$M487))</f>
        <v>0</v>
      </c>
      <c r="O487">
        <f t="shared" si="30"/>
        <v>0</v>
      </c>
      <c r="P487" s="10">
        <f>IF($E487=Keys!$C$60,Keys!$C$51,INDEX(Raw_BFPIaE!$G$9:$G$3032,MATCH($A487&amp;Keys!$C$54&amp;Keys!$C$55&amp;Keys!$C$54&amp;$B487,Raw_BFPIaE!$H$9:$H$3032,0)))</f>
        <v>0</v>
      </c>
      <c r="Q487" s="10">
        <f>IF($E487=Keys!$C$60,Keys!$C$51,INDEX(Raw_BFPIaE!$G$9:$G$3032,MATCH($A487&amp;Keys!$C$54&amp;Keys!$C$56&amp;Keys!$C$54&amp;$B487,Raw_BFPIaE!$H$9:$H$3032,0)))</f>
        <v>0</v>
      </c>
      <c r="R487" s="10">
        <f>IF($E487=Keys!$C$60,Keys!$C$51,INDEX(Raw_BFPIaE!$G$9:$G$3032,MATCH($A487&amp;Keys!$C$54&amp;Keys!$C$57&amp;Keys!$C$54&amp;$B487,Raw_BFPIaE!$H$9:$H$3032,0)))</f>
        <v>0</v>
      </c>
      <c r="S487" s="11">
        <f>IF(($P487+$Q487-$R487+MAX(Keys!$C$51,$R487-$Q487))&gt;Keys!$C$51,MIN(Keys!$C$52,MAX(Keys!$C$51,$R487-$Q487)/($P487+$Q487-$R487+MAX(Keys!$C$51,$R487-$Q487))),Keys!$C$51)</f>
        <v>0</v>
      </c>
      <c r="T487">
        <f>IF(AND($I487&gt;$H487,ABS($L487-$G487)&gt;MAX(Keys!$C$62,ABS($G487)*Keys!$C$63)),1,0)</f>
        <v>0</v>
      </c>
      <c r="U487">
        <f>IF(OR($N487&lt;Keys!$C$51,$N487&gt;Keys!$C$52),1,0)</f>
        <v>0</v>
      </c>
      <c r="V487">
        <f>IF(AND($E487=Keys!$C$60,$N487&lt;&gt;Keys!$C$51),1,0)</f>
        <v>0</v>
      </c>
      <c r="W487">
        <f>IF($L487&gt;Keys!$C$51,IF($K487/$L487&gt;Keys!$C$52,1,0),0)</f>
        <v>0</v>
      </c>
      <c r="X487" s="11">
        <f t="shared" si="31"/>
        <v>0</v>
      </c>
    </row>
    <row r="488" spans="1:24" x14ac:dyDescent="0.25">
      <c r="A488" t="s">
        <v>129</v>
      </c>
      <c r="B488" t="s">
        <v>64</v>
      </c>
      <c r="C488" t="str">
        <f>VLOOKUP($B488,Keys!$F$2:$I$22,2,FALSE)</f>
        <v>hard coal</v>
      </c>
      <c r="D488">
        <f>VLOOKUP($B488,Keys!$F$2:$I$22,3,FALSE)</f>
        <v>0.137539879</v>
      </c>
      <c r="E488" t="str">
        <f>VLOOKUP($B488,Keys!$F$2:$I$22,4,FALSE)</f>
        <v>rule</v>
      </c>
      <c r="F488" t="str">
        <f>$A488&amp;Keys!$C$54&amp;$B488</f>
        <v>MT|hard coal</v>
      </c>
      <c r="G488" s="10">
        <f>IF($E488=Keys!$C$60,Keys!$C$51,INDEX(Balanced_2025!$D$9:$D$3032,MATCH($A488&amp;Keys!$C$54&amp;Keys!$C$55&amp;Keys!$C$54&amp;$C488,Balanced_2025!$E$9:$E$3032,0)))</f>
        <v>553161000000000</v>
      </c>
      <c r="H488" s="10">
        <f>IF($E488=Keys!$C$60,Keys!$C$51,INDEX(Balanced_2025!$D$9:$D$3032,MATCH($A488&amp;Keys!$C$54&amp;Keys!$C$56&amp;Keys!$C$54&amp;$C488,Balanced_2025!$E$9:$E$3032,0)))</f>
        <v>9105320000000</v>
      </c>
      <c r="I488" s="10">
        <f>IF($E488=Keys!$C$60,Keys!$C$51,INDEX(Balanced_2025!$D$9:$D$3032,MATCH($A488&amp;Keys!$C$54&amp;Keys!$C$57&amp;Keys!$C$54&amp;$C488,Balanced_2025!$E$9:$E$3032,0)))</f>
        <v>439294000000000</v>
      </c>
      <c r="J488" s="10">
        <f t="shared" si="28"/>
        <v>122972320000000</v>
      </c>
      <c r="K488" s="10">
        <f>MAX(Keys!$C$51,$I488-$H488)</f>
        <v>430188680000000</v>
      </c>
      <c r="L488" s="10">
        <f t="shared" si="29"/>
        <v>553161000000000</v>
      </c>
      <c r="M488" s="11">
        <f>IF($L488&gt;Keys!$C$51,MIN(Keys!$C$52,$K488/$L488),Keys!$C$51)</f>
        <v>0.77769163046563294</v>
      </c>
      <c r="N488" s="11">
        <f>IF($E488=Keys!$C$60,Keys!$C$51,IF($E488=Keys!$C$59,$D488,$M488))</f>
        <v>0.77769163046563294</v>
      </c>
      <c r="O488">
        <f t="shared" si="30"/>
        <v>1</v>
      </c>
      <c r="P488" s="10">
        <f>IF($E488=Keys!$C$60,Keys!$C$51,INDEX(Raw_BFPIaE!$G$9:$G$3032,MATCH($A488&amp;Keys!$C$54&amp;Keys!$C$55&amp;Keys!$C$54&amp;$B488,Raw_BFPIaE!$H$9:$H$3032,0)))</f>
        <v>540955000000000</v>
      </c>
      <c r="Q488" s="10">
        <f>IF($E488=Keys!$C$60,Keys!$C$51,INDEX(Raw_BFPIaE!$G$9:$G$3032,MATCH($A488&amp;Keys!$C$54&amp;Keys!$C$56&amp;Keys!$C$54&amp;$B488,Raw_BFPIaE!$H$9:$H$3032,0)))</f>
        <v>338073333333.33331</v>
      </c>
      <c r="R488" s="10">
        <f>IF($E488=Keys!$C$60,Keys!$C$51,INDEX(Raw_BFPIaE!$G$9:$G$3032,MATCH($A488&amp;Keys!$C$54&amp;Keys!$C$57&amp;Keys!$C$54&amp;$B488,Raw_BFPIaE!$H$9:$H$3032,0)))</f>
        <v>334641666666666.69</v>
      </c>
      <c r="S488" s="11">
        <f>IF(($P488+$Q488-$R488+MAX(Keys!$C$51,$R488-$Q488))&gt;Keys!$C$51,MIN(Keys!$C$52,MAX(Keys!$C$51,$R488-$Q488)/($P488+$Q488-$R488+MAX(Keys!$C$51,$R488-$Q488))),Keys!$C$51)</f>
        <v>0.61798780551678678</v>
      </c>
      <c r="T488">
        <f>IF(AND($I488&gt;$H488,ABS($L488-$G488)&gt;MAX(Keys!$C$62,ABS($G488)*Keys!$C$63)),1,0)</f>
        <v>0</v>
      </c>
      <c r="U488">
        <f>IF(OR($N488&lt;Keys!$C$51,$N488&gt;Keys!$C$52),1,0)</f>
        <v>0</v>
      </c>
      <c r="V488">
        <f>IF(AND($E488=Keys!$C$60,$N488&lt;&gt;Keys!$C$51),1,0)</f>
        <v>0</v>
      </c>
      <c r="W488">
        <f>IF($L488&gt;Keys!$C$51,IF($K488/$L488&gt;Keys!$C$52,1,0),0)</f>
        <v>0</v>
      </c>
      <c r="X488" s="11">
        <f t="shared" si="31"/>
        <v>0.15970382494884616</v>
      </c>
    </row>
    <row r="489" spans="1:24" x14ac:dyDescent="0.25">
      <c r="A489" t="s">
        <v>129</v>
      </c>
      <c r="B489" t="s">
        <v>68</v>
      </c>
      <c r="C489" t="str">
        <f>VLOOKUP($B489,Keys!$F$2:$I$22,2,FALSE)</f>
        <v>natural gas</v>
      </c>
      <c r="D489">
        <f>VLOOKUP($B489,Keys!$F$2:$I$22,3,FALSE)</f>
        <v>0.190839183</v>
      </c>
      <c r="E489" t="str">
        <f>VLOOKUP($B489,Keys!$F$2:$I$22,4,FALSE)</f>
        <v>rule</v>
      </c>
      <c r="F489" t="str">
        <f>$A489&amp;Keys!$C$54&amp;$B489</f>
        <v>MT|natural gas</v>
      </c>
      <c r="G489" s="10">
        <f>IF($E489=Keys!$C$60,Keys!$C$51,INDEX(Balanced_2025!$D$9:$D$3032,MATCH($A489&amp;Keys!$C$54&amp;Keys!$C$55&amp;Keys!$C$54&amp;$C489,Balanced_2025!$E$9:$E$3032,0)))</f>
        <v>41508000000000</v>
      </c>
      <c r="H489" s="10">
        <f>IF($E489=Keys!$C$60,Keys!$C$51,INDEX(Balanced_2025!$D$9:$D$3032,MATCH($A489&amp;Keys!$C$54&amp;Keys!$C$56&amp;Keys!$C$54&amp;$C489,Balanced_2025!$E$9:$E$3032,0)))</f>
        <v>270831000000000</v>
      </c>
      <c r="I489" s="10">
        <f>IF($E489=Keys!$C$60,Keys!$C$51,INDEX(Balanced_2025!$D$9:$D$3032,MATCH($A489&amp;Keys!$C$54&amp;Keys!$C$57&amp;Keys!$C$54&amp;$C489,Balanced_2025!$E$9:$E$3032,0)))</f>
        <v>221433000000000</v>
      </c>
      <c r="J489" s="10">
        <f t="shared" si="28"/>
        <v>90906000000000</v>
      </c>
      <c r="K489" s="10">
        <f>MAX(Keys!$C$51,$I489-$H489)</f>
        <v>0</v>
      </c>
      <c r="L489" s="10">
        <f t="shared" si="29"/>
        <v>90906000000000</v>
      </c>
      <c r="M489" s="11">
        <f>IF($L489&gt;Keys!$C$51,MIN(Keys!$C$52,$K489/$L489),Keys!$C$51)</f>
        <v>0</v>
      </c>
      <c r="N489" s="11">
        <f>IF($E489=Keys!$C$60,Keys!$C$51,IF($E489=Keys!$C$59,$D489,$M489))</f>
        <v>0</v>
      </c>
      <c r="O489">
        <f t="shared" si="30"/>
        <v>1</v>
      </c>
      <c r="P489" s="10">
        <f>IF($E489=Keys!$C$60,Keys!$C$51,INDEX(Raw_BFPIaE!$G$9:$G$3032,MATCH($A489&amp;Keys!$C$54&amp;Keys!$C$55&amp;Keys!$C$54&amp;$B489,Raw_BFPIaE!$H$9:$H$3032,0)))</f>
        <v>40489566666666.664</v>
      </c>
      <c r="Q489" s="10">
        <f>IF($E489=Keys!$C$60,Keys!$C$51,INDEX(Raw_BFPIaE!$G$9:$G$3032,MATCH($A489&amp;Keys!$C$54&amp;Keys!$C$56&amp;Keys!$C$54&amp;$B489,Raw_BFPIaE!$H$9:$H$3032,0)))</f>
        <v>272013333333333.34</v>
      </c>
      <c r="R489" s="10">
        <f>IF($E489=Keys!$C$60,Keys!$C$51,INDEX(Raw_BFPIaE!$G$9:$G$3032,MATCH($A489&amp;Keys!$C$54&amp;Keys!$C$57&amp;Keys!$C$54&amp;$B489,Raw_BFPIaE!$H$9:$H$3032,0)))</f>
        <v>215999666666666.66</v>
      </c>
      <c r="S489" s="11">
        <f>IF(($P489+$Q489-$R489+MAX(Keys!$C$51,$R489-$Q489))&gt;Keys!$C$51,MIN(Keys!$C$52,MAX(Keys!$C$51,$R489-$Q489)/($P489+$Q489-$R489+MAX(Keys!$C$51,$R489-$Q489))),Keys!$C$51)</f>
        <v>0</v>
      </c>
      <c r="T489">
        <f>IF(AND($I489&gt;$H489,ABS($L489-$G489)&gt;MAX(Keys!$C$62,ABS($G489)*Keys!$C$63)),1,0)</f>
        <v>0</v>
      </c>
      <c r="U489">
        <f>IF(OR($N489&lt;Keys!$C$51,$N489&gt;Keys!$C$52),1,0)</f>
        <v>0</v>
      </c>
      <c r="V489">
        <f>IF(AND($E489=Keys!$C$60,$N489&lt;&gt;Keys!$C$51),1,0)</f>
        <v>0</v>
      </c>
      <c r="W489">
        <f>IF($L489&gt;Keys!$C$51,IF($K489/$L489&gt;Keys!$C$52,1,0),0)</f>
        <v>0</v>
      </c>
      <c r="X489" s="11">
        <f t="shared" si="31"/>
        <v>0</v>
      </c>
    </row>
    <row r="490" spans="1:24" x14ac:dyDescent="0.25">
      <c r="A490" t="s">
        <v>129</v>
      </c>
      <c r="B490" t="s">
        <v>71</v>
      </c>
      <c r="C490">
        <f>VLOOKUP($B490,Keys!$F$2:$I$22,2,FALSE)</f>
        <v>0</v>
      </c>
      <c r="D490">
        <f>VLOOKUP($B490,Keys!$F$2:$I$22,3,FALSE)</f>
        <v>0</v>
      </c>
      <c r="E490" t="str">
        <f>VLOOKUP($B490,Keys!$F$2:$I$22,4,FALSE)</f>
        <v>zero</v>
      </c>
      <c r="F490" t="str">
        <f>$A490&amp;Keys!$C$54&amp;$B490</f>
        <v>MT|nuclear</v>
      </c>
      <c r="G490" s="10">
        <f>IF($E490=Keys!$C$60,Keys!$C$51,INDEX(Balanced_2025!$D$9:$D$3032,MATCH($A490&amp;Keys!$C$54&amp;Keys!$C$55&amp;Keys!$C$54&amp;$C490,Balanced_2025!$E$9:$E$3032,0)))</f>
        <v>0</v>
      </c>
      <c r="H490" s="10">
        <f>IF($E490=Keys!$C$60,Keys!$C$51,INDEX(Balanced_2025!$D$9:$D$3032,MATCH($A490&amp;Keys!$C$54&amp;Keys!$C$56&amp;Keys!$C$54&amp;$C490,Balanced_2025!$E$9:$E$3032,0)))</f>
        <v>0</v>
      </c>
      <c r="I490" s="10">
        <f>IF($E490=Keys!$C$60,Keys!$C$51,INDEX(Balanced_2025!$D$9:$D$3032,MATCH($A490&amp;Keys!$C$54&amp;Keys!$C$57&amp;Keys!$C$54&amp;$C490,Balanced_2025!$E$9:$E$3032,0)))</f>
        <v>0</v>
      </c>
      <c r="J490" s="10">
        <f t="shared" si="28"/>
        <v>0</v>
      </c>
      <c r="K490" s="10">
        <f>MAX(Keys!$C$51,$I490-$H490)</f>
        <v>0</v>
      </c>
      <c r="L490" s="10">
        <f t="shared" si="29"/>
        <v>0</v>
      </c>
      <c r="M490" s="11">
        <f>IF($L490&gt;Keys!$C$51,MIN(Keys!$C$52,$K490/$L490),Keys!$C$51)</f>
        <v>0</v>
      </c>
      <c r="N490" s="11">
        <f>IF($E490=Keys!$C$60,Keys!$C$51,IF($E490=Keys!$C$59,$D490,$M490))</f>
        <v>0</v>
      </c>
      <c r="O490">
        <f t="shared" si="30"/>
        <v>0</v>
      </c>
      <c r="P490" s="10">
        <f>IF($E490=Keys!$C$60,Keys!$C$51,INDEX(Raw_BFPIaE!$G$9:$G$3032,MATCH($A490&amp;Keys!$C$54&amp;Keys!$C$55&amp;Keys!$C$54&amp;$B490,Raw_BFPIaE!$H$9:$H$3032,0)))</f>
        <v>0</v>
      </c>
      <c r="Q490" s="10">
        <f>IF($E490=Keys!$C$60,Keys!$C$51,INDEX(Raw_BFPIaE!$G$9:$G$3032,MATCH($A490&amp;Keys!$C$54&amp;Keys!$C$56&amp;Keys!$C$54&amp;$B490,Raw_BFPIaE!$H$9:$H$3032,0)))</f>
        <v>0</v>
      </c>
      <c r="R490" s="10">
        <f>IF($E490=Keys!$C$60,Keys!$C$51,INDEX(Raw_BFPIaE!$G$9:$G$3032,MATCH($A490&amp;Keys!$C$54&amp;Keys!$C$57&amp;Keys!$C$54&amp;$B490,Raw_BFPIaE!$H$9:$H$3032,0)))</f>
        <v>0</v>
      </c>
      <c r="S490" s="11">
        <f>IF(($P490+$Q490-$R490+MAX(Keys!$C$51,$R490-$Q490))&gt;Keys!$C$51,MIN(Keys!$C$52,MAX(Keys!$C$51,$R490-$Q490)/($P490+$Q490-$R490+MAX(Keys!$C$51,$R490-$Q490))),Keys!$C$51)</f>
        <v>0</v>
      </c>
      <c r="T490">
        <f>IF(AND($I490&gt;$H490,ABS($L490-$G490)&gt;MAX(Keys!$C$62,ABS($G490)*Keys!$C$63)),1,0)</f>
        <v>0</v>
      </c>
      <c r="U490">
        <f>IF(OR($N490&lt;Keys!$C$51,$N490&gt;Keys!$C$52),1,0)</f>
        <v>0</v>
      </c>
      <c r="V490">
        <f>IF(AND($E490=Keys!$C$60,$N490&lt;&gt;Keys!$C$51),1,0)</f>
        <v>0</v>
      </c>
      <c r="W490">
        <f>IF($L490&gt;Keys!$C$51,IF($K490/$L490&gt;Keys!$C$52,1,0),0)</f>
        <v>0</v>
      </c>
      <c r="X490" s="11">
        <f t="shared" si="31"/>
        <v>0</v>
      </c>
    </row>
    <row r="491" spans="1:24" x14ac:dyDescent="0.25">
      <c r="A491" t="s">
        <v>129</v>
      </c>
      <c r="B491" t="s">
        <v>74</v>
      </c>
      <c r="C491">
        <f>VLOOKUP($B491,Keys!$F$2:$I$22,2,FALSE)</f>
        <v>0</v>
      </c>
      <c r="D491">
        <f>VLOOKUP($B491,Keys!$F$2:$I$22,3,FALSE)</f>
        <v>0</v>
      </c>
      <c r="E491" t="str">
        <f>VLOOKUP($B491,Keys!$F$2:$I$22,4,FALSE)</f>
        <v>zero</v>
      </c>
      <c r="F491" t="str">
        <f>$A491&amp;Keys!$C$54&amp;$B491</f>
        <v>MT|hydro (is not a fuel)</v>
      </c>
      <c r="G491" s="10">
        <f>IF($E491=Keys!$C$60,Keys!$C$51,INDEX(Balanced_2025!$D$9:$D$3032,MATCH($A491&amp;Keys!$C$54&amp;Keys!$C$55&amp;Keys!$C$54&amp;$C491,Balanced_2025!$E$9:$E$3032,0)))</f>
        <v>0</v>
      </c>
      <c r="H491" s="10">
        <f>IF($E491=Keys!$C$60,Keys!$C$51,INDEX(Balanced_2025!$D$9:$D$3032,MATCH($A491&amp;Keys!$C$54&amp;Keys!$C$56&amp;Keys!$C$54&amp;$C491,Balanced_2025!$E$9:$E$3032,0)))</f>
        <v>0</v>
      </c>
      <c r="I491" s="10">
        <f>IF($E491=Keys!$C$60,Keys!$C$51,INDEX(Balanced_2025!$D$9:$D$3032,MATCH($A491&amp;Keys!$C$54&amp;Keys!$C$57&amp;Keys!$C$54&amp;$C491,Balanced_2025!$E$9:$E$3032,0)))</f>
        <v>0</v>
      </c>
      <c r="J491" s="10">
        <f t="shared" si="28"/>
        <v>0</v>
      </c>
      <c r="K491" s="10">
        <f>MAX(Keys!$C$51,$I491-$H491)</f>
        <v>0</v>
      </c>
      <c r="L491" s="10">
        <f t="shared" si="29"/>
        <v>0</v>
      </c>
      <c r="M491" s="11">
        <f>IF($L491&gt;Keys!$C$51,MIN(Keys!$C$52,$K491/$L491),Keys!$C$51)</f>
        <v>0</v>
      </c>
      <c r="N491" s="11">
        <f>IF($E491=Keys!$C$60,Keys!$C$51,IF($E491=Keys!$C$59,$D491,$M491))</f>
        <v>0</v>
      </c>
      <c r="O491">
        <f t="shared" si="30"/>
        <v>0</v>
      </c>
      <c r="P491" s="10">
        <f>IF($E491=Keys!$C$60,Keys!$C$51,INDEX(Raw_BFPIaE!$G$9:$G$3032,MATCH($A491&amp;Keys!$C$54&amp;Keys!$C$55&amp;Keys!$C$54&amp;$B491,Raw_BFPIaE!$H$9:$H$3032,0)))</f>
        <v>0</v>
      </c>
      <c r="Q491" s="10">
        <f>IF($E491=Keys!$C$60,Keys!$C$51,INDEX(Raw_BFPIaE!$G$9:$G$3032,MATCH($A491&amp;Keys!$C$54&amp;Keys!$C$56&amp;Keys!$C$54&amp;$B491,Raw_BFPIaE!$H$9:$H$3032,0)))</f>
        <v>0</v>
      </c>
      <c r="R491" s="10">
        <f>IF($E491=Keys!$C$60,Keys!$C$51,INDEX(Raw_BFPIaE!$G$9:$G$3032,MATCH($A491&amp;Keys!$C$54&amp;Keys!$C$57&amp;Keys!$C$54&amp;$B491,Raw_BFPIaE!$H$9:$H$3032,0)))</f>
        <v>0</v>
      </c>
      <c r="S491" s="11">
        <f>IF(($P491+$Q491-$R491+MAX(Keys!$C$51,$R491-$Q491))&gt;Keys!$C$51,MIN(Keys!$C$52,MAX(Keys!$C$51,$R491-$Q491)/($P491+$Q491-$R491+MAX(Keys!$C$51,$R491-$Q491))),Keys!$C$51)</f>
        <v>0</v>
      </c>
      <c r="T491">
        <f>IF(AND($I491&gt;$H491,ABS($L491-$G491)&gt;MAX(Keys!$C$62,ABS($G491)*Keys!$C$63)),1,0)</f>
        <v>0</v>
      </c>
      <c r="U491">
        <f>IF(OR($N491&lt;Keys!$C$51,$N491&gt;Keys!$C$52),1,0)</f>
        <v>0</v>
      </c>
      <c r="V491">
        <f>IF(AND($E491=Keys!$C$60,$N491&lt;&gt;Keys!$C$51),1,0)</f>
        <v>0</v>
      </c>
      <c r="W491">
        <f>IF($L491&gt;Keys!$C$51,IF($K491/$L491&gt;Keys!$C$52,1,0),0)</f>
        <v>0</v>
      </c>
      <c r="X491" s="11">
        <f t="shared" si="31"/>
        <v>0</v>
      </c>
    </row>
    <row r="492" spans="1:24" x14ac:dyDescent="0.25">
      <c r="A492" t="s">
        <v>129</v>
      </c>
      <c r="B492" t="s">
        <v>77</v>
      </c>
      <c r="C492">
        <f>VLOOKUP($B492,Keys!$F$2:$I$22,2,FALSE)</f>
        <v>0</v>
      </c>
      <c r="D492">
        <f>VLOOKUP($B492,Keys!$F$2:$I$22,3,FALSE)</f>
        <v>0</v>
      </c>
      <c r="E492" t="str">
        <f>VLOOKUP($B492,Keys!$F$2:$I$22,4,FALSE)</f>
        <v>zero</v>
      </c>
      <c r="F492" t="str">
        <f>$A492&amp;Keys!$C$54&amp;$B492</f>
        <v>MT|wind (is not a fuel)</v>
      </c>
      <c r="G492" s="10">
        <f>IF($E492=Keys!$C$60,Keys!$C$51,INDEX(Balanced_2025!$D$9:$D$3032,MATCH($A492&amp;Keys!$C$54&amp;Keys!$C$55&amp;Keys!$C$54&amp;$C492,Balanced_2025!$E$9:$E$3032,0)))</f>
        <v>0</v>
      </c>
      <c r="H492" s="10">
        <f>IF($E492=Keys!$C$60,Keys!$C$51,INDEX(Balanced_2025!$D$9:$D$3032,MATCH($A492&amp;Keys!$C$54&amp;Keys!$C$56&amp;Keys!$C$54&amp;$C492,Balanced_2025!$E$9:$E$3032,0)))</f>
        <v>0</v>
      </c>
      <c r="I492" s="10">
        <f>IF($E492=Keys!$C$60,Keys!$C$51,INDEX(Balanced_2025!$D$9:$D$3032,MATCH($A492&amp;Keys!$C$54&amp;Keys!$C$57&amp;Keys!$C$54&amp;$C492,Balanced_2025!$E$9:$E$3032,0)))</f>
        <v>0</v>
      </c>
      <c r="J492" s="10">
        <f t="shared" si="28"/>
        <v>0</v>
      </c>
      <c r="K492" s="10">
        <f>MAX(Keys!$C$51,$I492-$H492)</f>
        <v>0</v>
      </c>
      <c r="L492" s="10">
        <f t="shared" si="29"/>
        <v>0</v>
      </c>
      <c r="M492" s="11">
        <f>IF($L492&gt;Keys!$C$51,MIN(Keys!$C$52,$K492/$L492),Keys!$C$51)</f>
        <v>0</v>
      </c>
      <c r="N492" s="11">
        <f>IF($E492=Keys!$C$60,Keys!$C$51,IF($E492=Keys!$C$59,$D492,$M492))</f>
        <v>0</v>
      </c>
      <c r="O492">
        <f t="shared" si="30"/>
        <v>0</v>
      </c>
      <c r="P492" s="10">
        <f>IF($E492=Keys!$C$60,Keys!$C$51,INDEX(Raw_BFPIaE!$G$9:$G$3032,MATCH($A492&amp;Keys!$C$54&amp;Keys!$C$55&amp;Keys!$C$54&amp;$B492,Raw_BFPIaE!$H$9:$H$3032,0)))</f>
        <v>0</v>
      </c>
      <c r="Q492" s="10">
        <f>IF($E492=Keys!$C$60,Keys!$C$51,INDEX(Raw_BFPIaE!$G$9:$G$3032,MATCH($A492&amp;Keys!$C$54&amp;Keys!$C$56&amp;Keys!$C$54&amp;$B492,Raw_BFPIaE!$H$9:$H$3032,0)))</f>
        <v>0</v>
      </c>
      <c r="R492" s="10">
        <f>IF($E492=Keys!$C$60,Keys!$C$51,INDEX(Raw_BFPIaE!$G$9:$G$3032,MATCH($A492&amp;Keys!$C$54&amp;Keys!$C$57&amp;Keys!$C$54&amp;$B492,Raw_BFPIaE!$H$9:$H$3032,0)))</f>
        <v>0</v>
      </c>
      <c r="S492" s="11">
        <f>IF(($P492+$Q492-$R492+MAX(Keys!$C$51,$R492-$Q492))&gt;Keys!$C$51,MIN(Keys!$C$52,MAX(Keys!$C$51,$R492-$Q492)/($P492+$Q492-$R492+MAX(Keys!$C$51,$R492-$Q492))),Keys!$C$51)</f>
        <v>0</v>
      </c>
      <c r="T492">
        <f>IF(AND($I492&gt;$H492,ABS($L492-$G492)&gt;MAX(Keys!$C$62,ABS($G492)*Keys!$C$63)),1,0)</f>
        <v>0</v>
      </c>
      <c r="U492">
        <f>IF(OR($N492&lt;Keys!$C$51,$N492&gt;Keys!$C$52),1,0)</f>
        <v>0</v>
      </c>
      <c r="V492">
        <f>IF(AND($E492=Keys!$C$60,$N492&lt;&gt;Keys!$C$51),1,0)</f>
        <v>0</v>
      </c>
      <c r="W492">
        <f>IF($L492&gt;Keys!$C$51,IF($K492/$L492&gt;Keys!$C$52,1,0),0)</f>
        <v>0</v>
      </c>
      <c r="X492" s="11">
        <f t="shared" si="31"/>
        <v>0</v>
      </c>
    </row>
    <row r="493" spans="1:24" x14ac:dyDescent="0.25">
      <c r="A493" t="s">
        <v>129</v>
      </c>
      <c r="B493" t="s">
        <v>80</v>
      </c>
      <c r="C493">
        <f>VLOOKUP($B493,Keys!$F$2:$I$22,2,FALSE)</f>
        <v>0</v>
      </c>
      <c r="D493">
        <f>VLOOKUP($B493,Keys!$F$2:$I$22,3,FALSE)</f>
        <v>0</v>
      </c>
      <c r="E493" t="str">
        <f>VLOOKUP($B493,Keys!$F$2:$I$22,4,FALSE)</f>
        <v>zero</v>
      </c>
      <c r="F493" t="str">
        <f>$A493&amp;Keys!$C$54&amp;$B493</f>
        <v>MT|solar (is not a fuel)</v>
      </c>
      <c r="G493" s="10">
        <f>IF($E493=Keys!$C$60,Keys!$C$51,INDEX(Balanced_2025!$D$9:$D$3032,MATCH($A493&amp;Keys!$C$54&amp;Keys!$C$55&amp;Keys!$C$54&amp;$C493,Balanced_2025!$E$9:$E$3032,0)))</f>
        <v>0</v>
      </c>
      <c r="H493" s="10">
        <f>IF($E493=Keys!$C$60,Keys!$C$51,INDEX(Balanced_2025!$D$9:$D$3032,MATCH($A493&amp;Keys!$C$54&amp;Keys!$C$56&amp;Keys!$C$54&amp;$C493,Balanced_2025!$E$9:$E$3032,0)))</f>
        <v>0</v>
      </c>
      <c r="I493" s="10">
        <f>IF($E493=Keys!$C$60,Keys!$C$51,INDEX(Balanced_2025!$D$9:$D$3032,MATCH($A493&amp;Keys!$C$54&amp;Keys!$C$57&amp;Keys!$C$54&amp;$C493,Balanced_2025!$E$9:$E$3032,0)))</f>
        <v>0</v>
      </c>
      <c r="J493" s="10">
        <f t="shared" si="28"/>
        <v>0</v>
      </c>
      <c r="K493" s="10">
        <f>MAX(Keys!$C$51,$I493-$H493)</f>
        <v>0</v>
      </c>
      <c r="L493" s="10">
        <f t="shared" si="29"/>
        <v>0</v>
      </c>
      <c r="M493" s="11">
        <f>IF($L493&gt;Keys!$C$51,MIN(Keys!$C$52,$K493/$L493),Keys!$C$51)</f>
        <v>0</v>
      </c>
      <c r="N493" s="11">
        <f>IF($E493=Keys!$C$60,Keys!$C$51,IF($E493=Keys!$C$59,$D493,$M493))</f>
        <v>0</v>
      </c>
      <c r="O493">
        <f t="shared" si="30"/>
        <v>0</v>
      </c>
      <c r="P493" s="10">
        <f>IF($E493=Keys!$C$60,Keys!$C$51,INDEX(Raw_BFPIaE!$G$9:$G$3032,MATCH($A493&amp;Keys!$C$54&amp;Keys!$C$55&amp;Keys!$C$54&amp;$B493,Raw_BFPIaE!$H$9:$H$3032,0)))</f>
        <v>0</v>
      </c>
      <c r="Q493" s="10">
        <f>IF($E493=Keys!$C$60,Keys!$C$51,INDEX(Raw_BFPIaE!$G$9:$G$3032,MATCH($A493&amp;Keys!$C$54&amp;Keys!$C$56&amp;Keys!$C$54&amp;$B493,Raw_BFPIaE!$H$9:$H$3032,0)))</f>
        <v>0</v>
      </c>
      <c r="R493" s="10">
        <f>IF($E493=Keys!$C$60,Keys!$C$51,INDEX(Raw_BFPIaE!$G$9:$G$3032,MATCH($A493&amp;Keys!$C$54&amp;Keys!$C$57&amp;Keys!$C$54&amp;$B493,Raw_BFPIaE!$H$9:$H$3032,0)))</f>
        <v>0</v>
      </c>
      <c r="S493" s="11">
        <f>IF(($P493+$Q493-$R493+MAX(Keys!$C$51,$R493-$Q493))&gt;Keys!$C$51,MIN(Keys!$C$52,MAX(Keys!$C$51,$R493-$Q493)/($P493+$Q493-$R493+MAX(Keys!$C$51,$R493-$Q493))),Keys!$C$51)</f>
        <v>0</v>
      </c>
      <c r="T493">
        <f>IF(AND($I493&gt;$H493,ABS($L493-$G493)&gt;MAX(Keys!$C$62,ABS($G493)*Keys!$C$63)),1,0)</f>
        <v>0</v>
      </c>
      <c r="U493">
        <f>IF(OR($N493&lt;Keys!$C$51,$N493&gt;Keys!$C$52),1,0)</f>
        <v>0</v>
      </c>
      <c r="V493">
        <f>IF(AND($E493=Keys!$C$60,$N493&lt;&gt;Keys!$C$51),1,0)</f>
        <v>0</v>
      </c>
      <c r="W493">
        <f>IF($L493&gt;Keys!$C$51,IF($K493/$L493&gt;Keys!$C$52,1,0),0)</f>
        <v>0</v>
      </c>
      <c r="X493" s="11">
        <f t="shared" si="31"/>
        <v>0</v>
      </c>
    </row>
    <row r="494" spans="1:24" x14ac:dyDescent="0.25">
      <c r="A494" t="s">
        <v>129</v>
      </c>
      <c r="B494" t="s">
        <v>82</v>
      </c>
      <c r="C494" t="str">
        <f>VLOOKUP($B494,Keys!$F$2:$I$22,2,FALSE)</f>
        <v>biomass</v>
      </c>
      <c r="D494">
        <f>VLOOKUP($B494,Keys!$F$2:$I$22,3,FALSE)</f>
        <v>0.74947425499999998</v>
      </c>
      <c r="E494" t="str">
        <f>VLOOKUP($B494,Keys!$F$2:$I$22,4,FALSE)</f>
        <v>rule</v>
      </c>
      <c r="F494" t="str">
        <f>$A494&amp;Keys!$C$54&amp;$B494</f>
        <v>MT|biomass</v>
      </c>
      <c r="G494" s="10">
        <f>IF($E494=Keys!$C$60,Keys!$C$51,INDEX(Balanced_2025!$D$9:$D$3032,MATCH($A494&amp;Keys!$C$54&amp;Keys!$C$55&amp;Keys!$C$54&amp;$C494,Balanced_2025!$E$9:$E$3032,0)))</f>
        <v>0</v>
      </c>
      <c r="H494" s="10">
        <f>IF($E494=Keys!$C$60,Keys!$C$51,INDEX(Balanced_2025!$D$9:$D$3032,MATCH($A494&amp;Keys!$C$54&amp;Keys!$C$56&amp;Keys!$C$54&amp;$C494,Balanced_2025!$E$9:$E$3032,0)))</f>
        <v>7446200000000</v>
      </c>
      <c r="I494" s="10">
        <f>IF($E494=Keys!$C$60,Keys!$C$51,INDEX(Balanced_2025!$D$9:$D$3032,MATCH($A494&amp;Keys!$C$54&amp;Keys!$C$57&amp;Keys!$C$54&amp;$C494,Balanced_2025!$E$9:$E$3032,0)))</f>
        <v>0</v>
      </c>
      <c r="J494" s="10">
        <f t="shared" si="28"/>
        <v>7446200000000</v>
      </c>
      <c r="K494" s="10">
        <f>MAX(Keys!$C$51,$I494-$H494)</f>
        <v>0</v>
      </c>
      <c r="L494" s="10">
        <f t="shared" si="29"/>
        <v>7446200000000</v>
      </c>
      <c r="M494" s="11">
        <f>IF($L494&gt;Keys!$C$51,MIN(Keys!$C$52,$K494/$L494),Keys!$C$51)</f>
        <v>0</v>
      </c>
      <c r="N494" s="11">
        <f>IF($E494=Keys!$C$60,Keys!$C$51,IF($E494=Keys!$C$59,$D494,$M494))</f>
        <v>0</v>
      </c>
      <c r="O494">
        <f t="shared" si="30"/>
        <v>1</v>
      </c>
      <c r="P494" s="10">
        <f>IF($E494=Keys!$C$60,Keys!$C$51,INDEX(Raw_BFPIaE!$G$9:$G$3032,MATCH($A494&amp;Keys!$C$54&amp;Keys!$C$55&amp;Keys!$C$54&amp;$B494,Raw_BFPIaE!$H$9:$H$3032,0)))</f>
        <v>0</v>
      </c>
      <c r="Q494" s="10">
        <f>IF($E494=Keys!$C$60,Keys!$C$51,INDEX(Raw_BFPIaE!$G$9:$G$3032,MATCH($A494&amp;Keys!$C$54&amp;Keys!$C$56&amp;Keys!$C$54&amp;$B494,Raw_BFPIaE!$H$9:$H$3032,0)))</f>
        <v>4878146666666.667</v>
      </c>
      <c r="R494" s="10">
        <f>IF($E494=Keys!$C$60,Keys!$C$51,INDEX(Raw_BFPIaE!$G$9:$G$3032,MATCH($A494&amp;Keys!$C$54&amp;Keys!$C$57&amp;Keys!$C$54&amp;$B494,Raw_BFPIaE!$H$9:$H$3032,0)))</f>
        <v>0</v>
      </c>
      <c r="S494" s="11">
        <f>IF(($P494+$Q494-$R494+MAX(Keys!$C$51,$R494-$Q494))&gt;Keys!$C$51,MIN(Keys!$C$52,MAX(Keys!$C$51,$R494-$Q494)/($P494+$Q494-$R494+MAX(Keys!$C$51,$R494-$Q494))),Keys!$C$51)</f>
        <v>0</v>
      </c>
      <c r="T494">
        <f>IF(AND($I494&gt;$H494,ABS($L494-$G494)&gt;MAX(Keys!$C$62,ABS($G494)*Keys!$C$63)),1,0)</f>
        <v>0</v>
      </c>
      <c r="U494">
        <f>IF(OR($N494&lt;Keys!$C$51,$N494&gt;Keys!$C$52),1,0)</f>
        <v>0</v>
      </c>
      <c r="V494">
        <f>IF(AND($E494=Keys!$C$60,$N494&lt;&gt;Keys!$C$51),1,0)</f>
        <v>0</v>
      </c>
      <c r="W494">
        <f>IF($L494&gt;Keys!$C$51,IF($K494/$L494&gt;Keys!$C$52,1,0),0)</f>
        <v>0</v>
      </c>
      <c r="X494" s="11">
        <f t="shared" si="31"/>
        <v>0</v>
      </c>
    </row>
    <row r="495" spans="1:24" x14ac:dyDescent="0.25">
      <c r="A495" t="s">
        <v>129</v>
      </c>
      <c r="B495" t="s">
        <v>85</v>
      </c>
      <c r="C495" t="str">
        <f>VLOOKUP($B495,Keys!$F$2:$I$22,2,FALSE)</f>
        <v>petroleum gasoline</v>
      </c>
      <c r="D495">
        <f>VLOOKUP($B495,Keys!$F$2:$I$22,3,FALSE)</f>
        <v>7.5004052000000002E-2</v>
      </c>
      <c r="E495" t="str">
        <f>VLOOKUP($B495,Keys!$F$2:$I$22,4,FALSE)</f>
        <v>rule</v>
      </c>
      <c r="F495" t="str">
        <f>$A495&amp;Keys!$C$54&amp;$B495</f>
        <v>MT|petroleum gasoline</v>
      </c>
      <c r="G495" s="10">
        <f>IF($E495=Keys!$C$60,Keys!$C$51,INDEX(Balanced_2025!$D$9:$D$3032,MATCH($A495&amp;Keys!$C$54&amp;Keys!$C$55&amp;Keys!$C$54&amp;$C495,Balanced_2025!$E$9:$E$3032,0)))</f>
        <v>198953000000000</v>
      </c>
      <c r="H495" s="10">
        <f>IF($E495=Keys!$C$60,Keys!$C$51,INDEX(Balanced_2025!$D$9:$D$3032,MATCH($A495&amp;Keys!$C$54&amp;Keys!$C$56&amp;Keys!$C$54&amp;$C495,Balanced_2025!$E$9:$E$3032,0)))</f>
        <v>3029800000000</v>
      </c>
      <c r="I495" s="10">
        <f>IF($E495=Keys!$C$60,Keys!$C$51,INDEX(Balanced_2025!$D$9:$D$3032,MATCH($A495&amp;Keys!$C$54&amp;Keys!$C$57&amp;Keys!$C$54&amp;$C495,Balanced_2025!$E$9:$E$3032,0)))</f>
        <v>142621000000000</v>
      </c>
      <c r="J495" s="10">
        <f t="shared" si="28"/>
        <v>59361800000000</v>
      </c>
      <c r="K495" s="10">
        <f>MAX(Keys!$C$51,$I495-$H495)</f>
        <v>139591200000000</v>
      </c>
      <c r="L495" s="10">
        <f t="shared" si="29"/>
        <v>198953000000000</v>
      </c>
      <c r="M495" s="11">
        <f>IF($L495&gt;Keys!$C$51,MIN(Keys!$C$52,$K495/$L495),Keys!$C$51)</f>
        <v>0.70162902796137783</v>
      </c>
      <c r="N495" s="11">
        <f>IF($E495=Keys!$C$60,Keys!$C$51,IF($E495=Keys!$C$59,$D495,$M495))</f>
        <v>0.70162902796137783</v>
      </c>
      <c r="O495">
        <f t="shared" si="30"/>
        <v>1</v>
      </c>
      <c r="P495" s="10">
        <f>IF($E495=Keys!$C$60,Keys!$C$51,INDEX(Raw_BFPIaE!$G$9:$G$3032,MATCH($A495&amp;Keys!$C$54&amp;Keys!$C$55&amp;Keys!$C$54&amp;$B495,Raw_BFPIaE!$H$9:$H$3032,0)))</f>
        <v>197345333333333.34</v>
      </c>
      <c r="Q495" s="10">
        <f>IF($E495=Keys!$C$60,Keys!$C$51,INDEX(Raw_BFPIaE!$G$9:$G$3032,MATCH($A495&amp;Keys!$C$54&amp;Keys!$C$56&amp;Keys!$C$54&amp;$B495,Raw_BFPIaE!$H$9:$H$3032,0)))</f>
        <v>0</v>
      </c>
      <c r="R495" s="10">
        <f>IF($E495=Keys!$C$60,Keys!$C$51,INDEX(Raw_BFPIaE!$G$9:$G$3032,MATCH($A495&amp;Keys!$C$54&amp;Keys!$C$57&amp;Keys!$C$54&amp;$B495,Raw_BFPIaE!$H$9:$H$3032,0)))</f>
        <v>94254560000000</v>
      </c>
      <c r="S495" s="11">
        <f>IF(($P495+$Q495-$R495+MAX(Keys!$C$51,$R495-$Q495))&gt;Keys!$C$51,MIN(Keys!$C$52,MAX(Keys!$C$51,$R495-$Q495)/($P495+$Q495-$R495+MAX(Keys!$C$51,$R495-$Q495))),Keys!$C$51)</f>
        <v>0.47761230735968757</v>
      </c>
      <c r="T495">
        <f>IF(AND($I495&gt;$H495,ABS($L495-$G495)&gt;MAX(Keys!$C$62,ABS($G495)*Keys!$C$63)),1,0)</f>
        <v>0</v>
      </c>
      <c r="U495">
        <f>IF(OR($N495&lt;Keys!$C$51,$N495&gt;Keys!$C$52),1,0)</f>
        <v>0</v>
      </c>
      <c r="V495">
        <f>IF(AND($E495=Keys!$C$60,$N495&lt;&gt;Keys!$C$51),1,0)</f>
        <v>0</v>
      </c>
      <c r="W495">
        <f>IF($L495&gt;Keys!$C$51,IF($K495/$L495&gt;Keys!$C$52,1,0),0)</f>
        <v>0</v>
      </c>
      <c r="X495" s="11">
        <f t="shared" si="31"/>
        <v>0.22401672060169026</v>
      </c>
    </row>
    <row r="496" spans="1:24" x14ac:dyDescent="0.25">
      <c r="A496" t="s">
        <v>129</v>
      </c>
      <c r="B496" t="s">
        <v>88</v>
      </c>
      <c r="C496" t="str">
        <f>VLOOKUP($B496,Keys!$F$2:$I$22,2,FALSE)</f>
        <v>petroleum diesel</v>
      </c>
      <c r="D496">
        <f>VLOOKUP($B496,Keys!$F$2:$I$22,3,FALSE)</f>
        <v>0.26691051799999999</v>
      </c>
      <c r="E496" t="str">
        <f>VLOOKUP($B496,Keys!$F$2:$I$22,4,FALSE)</f>
        <v>rule</v>
      </c>
      <c r="F496" t="str">
        <f>$A496&amp;Keys!$C$54&amp;$B496</f>
        <v>MT|petroleum diesel</v>
      </c>
      <c r="G496" s="10">
        <f>IF($E496=Keys!$C$60,Keys!$C$51,INDEX(Balanced_2025!$D$9:$D$3032,MATCH($A496&amp;Keys!$C$54&amp;Keys!$C$55&amp;Keys!$C$54&amp;$C496,Balanced_2025!$E$9:$E$3032,0)))</f>
        <v>117683000000000</v>
      </c>
      <c r="H496" s="10">
        <f>IF($E496=Keys!$C$60,Keys!$C$51,INDEX(Balanced_2025!$D$9:$D$3032,MATCH($A496&amp;Keys!$C$54&amp;Keys!$C$56&amp;Keys!$C$54&amp;$C496,Balanced_2025!$E$9:$E$3032,0)))</f>
        <v>850112000000</v>
      </c>
      <c r="I496" s="10">
        <f>IF($E496=Keys!$C$60,Keys!$C$51,INDEX(Balanced_2025!$D$9:$D$3032,MATCH($A496&amp;Keys!$C$54&amp;Keys!$C$57&amp;Keys!$C$54&amp;$C496,Balanced_2025!$E$9:$E$3032,0)))</f>
        <v>62071600000000</v>
      </c>
      <c r="J496" s="10">
        <f t="shared" si="28"/>
        <v>56461512000000</v>
      </c>
      <c r="K496" s="10">
        <f>MAX(Keys!$C$51,$I496-$H496)</f>
        <v>61221488000000</v>
      </c>
      <c r="L496" s="10">
        <f t="shared" si="29"/>
        <v>117683000000000</v>
      </c>
      <c r="M496" s="11">
        <f>IF($L496&gt;Keys!$C$51,MIN(Keys!$C$52,$K496/$L496),Keys!$C$51)</f>
        <v>0.52022371965364578</v>
      </c>
      <c r="N496" s="11">
        <f>IF($E496=Keys!$C$60,Keys!$C$51,IF($E496=Keys!$C$59,$D496,$M496))</f>
        <v>0.52022371965364578</v>
      </c>
      <c r="O496">
        <f t="shared" si="30"/>
        <v>1</v>
      </c>
      <c r="P496" s="10">
        <f>IF($E496=Keys!$C$60,Keys!$C$51,INDEX(Raw_BFPIaE!$G$9:$G$3032,MATCH($A496&amp;Keys!$C$54&amp;Keys!$C$55&amp;Keys!$C$54&amp;$B496,Raw_BFPIaE!$H$9:$H$3032,0)))</f>
        <v>116732333333333.33</v>
      </c>
      <c r="Q496" s="10">
        <f>IF($E496=Keys!$C$60,Keys!$C$51,INDEX(Raw_BFPIaE!$G$9:$G$3032,MATCH($A496&amp;Keys!$C$54&amp;Keys!$C$56&amp;Keys!$C$54&amp;$B496,Raw_BFPIaE!$H$9:$H$3032,0)))</f>
        <v>0</v>
      </c>
      <c r="R496" s="10">
        <f>IF($E496=Keys!$C$60,Keys!$C$51,INDEX(Raw_BFPIaE!$G$9:$G$3032,MATCH($A496&amp;Keys!$C$54&amp;Keys!$C$57&amp;Keys!$C$54&amp;$B496,Raw_BFPIaE!$H$9:$H$3032,0)))</f>
        <v>40558266666666.664</v>
      </c>
      <c r="S496" s="11">
        <f>IF(($P496+$Q496-$R496+MAX(Keys!$C$51,$R496-$Q496))&gt;Keys!$C$51,MIN(Keys!$C$52,MAX(Keys!$C$51,$R496-$Q496)/($P496+$Q496-$R496+MAX(Keys!$C$51,$R496-$Q496))),Keys!$C$51)</f>
        <v>0.3474467228445704</v>
      </c>
      <c r="T496">
        <f>IF(AND($I496&gt;$H496,ABS($L496-$G496)&gt;MAX(Keys!$C$62,ABS($G496)*Keys!$C$63)),1,0)</f>
        <v>0</v>
      </c>
      <c r="U496">
        <f>IF(OR($N496&lt;Keys!$C$51,$N496&gt;Keys!$C$52),1,0)</f>
        <v>0</v>
      </c>
      <c r="V496">
        <f>IF(AND($E496=Keys!$C$60,$N496&lt;&gt;Keys!$C$51),1,0)</f>
        <v>0</v>
      </c>
      <c r="W496">
        <f>IF($L496&gt;Keys!$C$51,IF($K496/$L496&gt;Keys!$C$52,1,0),0)</f>
        <v>0</v>
      </c>
      <c r="X496" s="11">
        <f t="shared" si="31"/>
        <v>0.17277699680907538</v>
      </c>
    </row>
    <row r="497" spans="1:24" x14ac:dyDescent="0.25">
      <c r="A497" t="s">
        <v>129</v>
      </c>
      <c r="B497" t="s">
        <v>91</v>
      </c>
      <c r="C497" t="str">
        <f>VLOOKUP($B497,Keys!$F$2:$I$22,2,FALSE)</f>
        <v>biofuel gasoline</v>
      </c>
      <c r="D497">
        <f>VLOOKUP($B497,Keys!$F$2:$I$22,3,FALSE)</f>
        <v>8.7213884000000005E-2</v>
      </c>
      <c r="E497" t="str">
        <f>VLOOKUP($B497,Keys!$F$2:$I$22,4,FALSE)</f>
        <v>rule</v>
      </c>
      <c r="F497" t="str">
        <f>$A497&amp;Keys!$C$54&amp;$B497</f>
        <v>MT|biofuel gasoline</v>
      </c>
      <c r="G497" s="10">
        <f>IF($E497=Keys!$C$60,Keys!$C$51,INDEX(Balanced_2025!$D$9:$D$3032,MATCH($A497&amp;Keys!$C$54&amp;Keys!$C$55&amp;Keys!$C$54&amp;$C497,Balanced_2025!$E$9:$E$3032,0)))</f>
        <v>0</v>
      </c>
      <c r="H497" s="10">
        <f>IF($E497=Keys!$C$60,Keys!$C$51,INDEX(Balanced_2025!$D$9:$D$3032,MATCH($A497&amp;Keys!$C$54&amp;Keys!$C$56&amp;Keys!$C$54&amp;$C497,Balanced_2025!$E$9:$E$3032,0)))</f>
        <v>3907070000000</v>
      </c>
      <c r="I497" s="10">
        <f>IF($E497=Keys!$C$60,Keys!$C$51,INDEX(Balanced_2025!$D$9:$D$3032,MATCH($A497&amp;Keys!$C$54&amp;Keys!$C$57&amp;Keys!$C$54&amp;$C497,Balanced_2025!$E$9:$E$3032,0)))</f>
        <v>0</v>
      </c>
      <c r="J497" s="10">
        <f t="shared" si="28"/>
        <v>3907070000000</v>
      </c>
      <c r="K497" s="10">
        <f>MAX(Keys!$C$51,$I497-$H497)</f>
        <v>0</v>
      </c>
      <c r="L497" s="10">
        <f t="shared" si="29"/>
        <v>3907070000000</v>
      </c>
      <c r="M497" s="11">
        <f>IF($L497&gt;Keys!$C$51,MIN(Keys!$C$52,$K497/$L497),Keys!$C$51)</f>
        <v>0</v>
      </c>
      <c r="N497" s="11">
        <f>IF($E497=Keys!$C$60,Keys!$C$51,IF($E497=Keys!$C$59,$D497,$M497))</f>
        <v>0</v>
      </c>
      <c r="O497">
        <f t="shared" si="30"/>
        <v>1</v>
      </c>
      <c r="P497" s="10">
        <f>IF($E497=Keys!$C$60,Keys!$C$51,INDEX(Raw_BFPIaE!$G$9:$G$3032,MATCH($A497&amp;Keys!$C$54&amp;Keys!$C$55&amp;Keys!$C$54&amp;$B497,Raw_BFPIaE!$H$9:$H$3032,0)))</f>
        <v>0</v>
      </c>
      <c r="Q497" s="10">
        <f>IF($E497=Keys!$C$60,Keys!$C$51,INDEX(Raw_BFPIaE!$G$9:$G$3032,MATCH($A497&amp;Keys!$C$54&amp;Keys!$C$56&amp;Keys!$C$54&amp;$B497,Raw_BFPIaE!$H$9:$H$3032,0)))</f>
        <v>2451720000000</v>
      </c>
      <c r="R497" s="10">
        <f>IF($E497=Keys!$C$60,Keys!$C$51,INDEX(Raw_BFPIaE!$G$9:$G$3032,MATCH($A497&amp;Keys!$C$54&amp;Keys!$C$57&amp;Keys!$C$54&amp;$B497,Raw_BFPIaE!$H$9:$H$3032,0)))</f>
        <v>0</v>
      </c>
      <c r="S497" s="11">
        <f>IF(($P497+$Q497-$R497+MAX(Keys!$C$51,$R497-$Q497))&gt;Keys!$C$51,MIN(Keys!$C$52,MAX(Keys!$C$51,$R497-$Q497)/($P497+$Q497-$R497+MAX(Keys!$C$51,$R497-$Q497))),Keys!$C$51)</f>
        <v>0</v>
      </c>
      <c r="T497">
        <f>IF(AND($I497&gt;$H497,ABS($L497-$G497)&gt;MAX(Keys!$C$62,ABS($G497)*Keys!$C$63)),1,0)</f>
        <v>0</v>
      </c>
      <c r="U497">
        <f>IF(OR($N497&lt;Keys!$C$51,$N497&gt;Keys!$C$52),1,0)</f>
        <v>0</v>
      </c>
      <c r="V497">
        <f>IF(AND($E497=Keys!$C$60,$N497&lt;&gt;Keys!$C$51),1,0)</f>
        <v>0</v>
      </c>
      <c r="W497">
        <f>IF($L497&gt;Keys!$C$51,IF($K497/$L497&gt;Keys!$C$52,1,0),0)</f>
        <v>0</v>
      </c>
      <c r="X497" s="11">
        <f t="shared" si="31"/>
        <v>0</v>
      </c>
    </row>
    <row r="498" spans="1:24" x14ac:dyDescent="0.25">
      <c r="A498" t="s">
        <v>129</v>
      </c>
      <c r="B498" t="s">
        <v>94</v>
      </c>
      <c r="C498" t="str">
        <f>VLOOKUP($B498,Keys!$F$2:$I$22,2,FALSE)</f>
        <v>biofuel diesel</v>
      </c>
      <c r="D498">
        <f>VLOOKUP($B498,Keys!$F$2:$I$22,3,FALSE)</f>
        <v>5.8642381E-2</v>
      </c>
      <c r="E498" t="str">
        <f>VLOOKUP($B498,Keys!$F$2:$I$22,4,FALSE)</f>
        <v>rule</v>
      </c>
      <c r="F498" t="str">
        <f>$A498&amp;Keys!$C$54&amp;$B498</f>
        <v>MT|biofuel diesel</v>
      </c>
      <c r="G498" s="10">
        <f>IF($E498=Keys!$C$60,Keys!$C$51,INDEX(Balanced_2025!$D$9:$D$3032,MATCH($A498&amp;Keys!$C$54&amp;Keys!$C$55&amp;Keys!$C$54&amp;$C498,Balanced_2025!$E$9:$E$3032,0)))</f>
        <v>0</v>
      </c>
      <c r="H498" s="10">
        <f>IF($E498=Keys!$C$60,Keys!$C$51,INDEX(Balanced_2025!$D$9:$D$3032,MATCH($A498&amp;Keys!$C$54&amp;Keys!$C$56&amp;Keys!$C$54&amp;$C498,Balanced_2025!$E$9:$E$3032,0)))</f>
        <v>6573920000</v>
      </c>
      <c r="I498" s="10">
        <f>IF($E498=Keys!$C$60,Keys!$C$51,INDEX(Balanced_2025!$D$9:$D$3032,MATCH($A498&amp;Keys!$C$54&amp;Keys!$C$57&amp;Keys!$C$54&amp;$C498,Balanced_2025!$E$9:$E$3032,0)))</f>
        <v>0</v>
      </c>
      <c r="J498" s="10">
        <f t="shared" si="28"/>
        <v>6573920000</v>
      </c>
      <c r="K498" s="10">
        <f>MAX(Keys!$C$51,$I498-$H498)</f>
        <v>0</v>
      </c>
      <c r="L498" s="10">
        <f t="shared" si="29"/>
        <v>6573920000</v>
      </c>
      <c r="M498" s="11">
        <f>IF($L498&gt;Keys!$C$51,MIN(Keys!$C$52,$K498/$L498),Keys!$C$51)</f>
        <v>0</v>
      </c>
      <c r="N498" s="11">
        <f>IF($E498=Keys!$C$60,Keys!$C$51,IF($E498=Keys!$C$59,$D498,$M498))</f>
        <v>0</v>
      </c>
      <c r="O498">
        <f t="shared" si="30"/>
        <v>1</v>
      </c>
      <c r="P498" s="10">
        <f>IF($E498=Keys!$C$60,Keys!$C$51,INDEX(Raw_BFPIaE!$G$9:$G$3032,MATCH($A498&amp;Keys!$C$54&amp;Keys!$C$55&amp;Keys!$C$54&amp;$B498,Raw_BFPIaE!$H$9:$H$3032,0)))</f>
        <v>0</v>
      </c>
      <c r="Q498" s="10">
        <f>IF($E498=Keys!$C$60,Keys!$C$51,INDEX(Raw_BFPIaE!$G$9:$G$3032,MATCH($A498&amp;Keys!$C$54&amp;Keys!$C$56&amp;Keys!$C$54&amp;$B498,Raw_BFPIaE!$H$9:$H$3032,0)))</f>
        <v>4257796666.6666665</v>
      </c>
      <c r="R498" s="10">
        <f>IF($E498=Keys!$C$60,Keys!$C$51,INDEX(Raw_BFPIaE!$G$9:$G$3032,MATCH($A498&amp;Keys!$C$54&amp;Keys!$C$57&amp;Keys!$C$54&amp;$B498,Raw_BFPIaE!$H$9:$H$3032,0)))</f>
        <v>0</v>
      </c>
      <c r="S498" s="11">
        <f>IF(($P498+$Q498-$R498+MAX(Keys!$C$51,$R498-$Q498))&gt;Keys!$C$51,MIN(Keys!$C$52,MAX(Keys!$C$51,$R498-$Q498)/($P498+$Q498-$R498+MAX(Keys!$C$51,$R498-$Q498))),Keys!$C$51)</f>
        <v>0</v>
      </c>
      <c r="T498">
        <f>IF(AND($I498&gt;$H498,ABS($L498-$G498)&gt;MAX(Keys!$C$62,ABS($G498)*Keys!$C$63)),1,0)</f>
        <v>0</v>
      </c>
      <c r="U498">
        <f>IF(OR($N498&lt;Keys!$C$51,$N498&gt;Keys!$C$52),1,0)</f>
        <v>0</v>
      </c>
      <c r="V498">
        <f>IF(AND($E498=Keys!$C$60,$N498&lt;&gt;Keys!$C$51),1,0)</f>
        <v>0</v>
      </c>
      <c r="W498">
        <f>IF($L498&gt;Keys!$C$51,IF($K498/$L498&gt;Keys!$C$52,1,0),0)</f>
        <v>0</v>
      </c>
      <c r="X498" s="11">
        <f t="shared" si="31"/>
        <v>0</v>
      </c>
    </row>
    <row r="499" spans="1:24" x14ac:dyDescent="0.25">
      <c r="A499" t="s">
        <v>129</v>
      </c>
      <c r="B499" t="s">
        <v>97</v>
      </c>
      <c r="C499" t="str">
        <f>VLOOKUP($B499,Keys!$F$2:$I$22,2,FALSE)</f>
        <v>jet fuel or kerosene</v>
      </c>
      <c r="D499">
        <f>VLOOKUP($B499,Keys!$F$2:$I$22,3,FALSE)</f>
        <v>0.10155994</v>
      </c>
      <c r="E499" t="str">
        <f>VLOOKUP($B499,Keys!$F$2:$I$22,4,FALSE)</f>
        <v>rule</v>
      </c>
      <c r="F499" t="str">
        <f>$A499&amp;Keys!$C$54&amp;$B499</f>
        <v>MT|jet fuel or kerosene</v>
      </c>
      <c r="G499" s="10">
        <f>IF($E499=Keys!$C$60,Keys!$C$51,INDEX(Balanced_2025!$D$9:$D$3032,MATCH($A499&amp;Keys!$C$54&amp;Keys!$C$55&amp;Keys!$C$54&amp;$C499,Balanced_2025!$E$9:$E$3032,0)))</f>
        <v>41892900000000</v>
      </c>
      <c r="H499" s="10">
        <f>IF($E499=Keys!$C$60,Keys!$C$51,INDEX(Balanced_2025!$D$9:$D$3032,MATCH($A499&amp;Keys!$C$54&amp;Keys!$C$56&amp;Keys!$C$54&amp;$C499,Balanced_2025!$E$9:$E$3032,0)))</f>
        <v>0</v>
      </c>
      <c r="I499" s="10">
        <f>IF($E499=Keys!$C$60,Keys!$C$51,INDEX(Balanced_2025!$D$9:$D$3032,MATCH($A499&amp;Keys!$C$54&amp;Keys!$C$57&amp;Keys!$C$54&amp;$C499,Balanced_2025!$E$9:$E$3032,0)))</f>
        <v>33919800000000</v>
      </c>
      <c r="J499" s="10">
        <f t="shared" si="28"/>
        <v>7973100000000</v>
      </c>
      <c r="K499" s="10">
        <f>MAX(Keys!$C$51,$I499-$H499)</f>
        <v>33919800000000</v>
      </c>
      <c r="L499" s="10">
        <f t="shared" si="29"/>
        <v>41892900000000</v>
      </c>
      <c r="M499" s="11">
        <f>IF($L499&gt;Keys!$C$51,MIN(Keys!$C$52,$K499/$L499),Keys!$C$51)</f>
        <v>0.80967896708034059</v>
      </c>
      <c r="N499" s="11">
        <f>IF($E499=Keys!$C$60,Keys!$C$51,IF($E499=Keys!$C$59,$D499,$M499))</f>
        <v>0.80967896708034059</v>
      </c>
      <c r="O499">
        <f t="shared" si="30"/>
        <v>1</v>
      </c>
      <c r="P499" s="10">
        <f>IF($E499=Keys!$C$60,Keys!$C$51,INDEX(Raw_BFPIaE!$G$9:$G$3032,MATCH($A499&amp;Keys!$C$54&amp;Keys!$C$55&amp;Keys!$C$54&amp;$B499,Raw_BFPIaE!$H$9:$H$3032,0)))</f>
        <v>41554433333333.336</v>
      </c>
      <c r="Q499" s="10">
        <f>IF($E499=Keys!$C$60,Keys!$C$51,INDEX(Raw_BFPIaE!$G$9:$G$3032,MATCH($A499&amp;Keys!$C$54&amp;Keys!$C$56&amp;Keys!$C$54&amp;$B499,Raw_BFPIaE!$H$9:$H$3032,0)))</f>
        <v>0</v>
      </c>
      <c r="R499" s="10">
        <f>IF($E499=Keys!$C$60,Keys!$C$51,INDEX(Raw_BFPIaE!$G$9:$G$3032,MATCH($A499&amp;Keys!$C$54&amp;Keys!$C$57&amp;Keys!$C$54&amp;$B499,Raw_BFPIaE!$H$9:$H$3032,0)))</f>
        <v>22175900000000</v>
      </c>
      <c r="S499" s="11">
        <f>IF(($P499+$Q499-$R499+MAX(Keys!$C$51,$R499-$Q499))&gt;Keys!$C$51,MIN(Keys!$C$52,MAX(Keys!$C$51,$R499-$Q499)/($P499+$Q499-$R499+MAX(Keys!$C$51,$R499-$Q499))),Keys!$C$51)</f>
        <v>0.53365906405493835</v>
      </c>
      <c r="T499">
        <f>IF(AND($I499&gt;$H499,ABS($L499-$G499)&gt;MAX(Keys!$C$62,ABS($G499)*Keys!$C$63)),1,0)</f>
        <v>0</v>
      </c>
      <c r="U499">
        <f>IF(OR($N499&lt;Keys!$C$51,$N499&gt;Keys!$C$52),1,0)</f>
        <v>0</v>
      </c>
      <c r="V499">
        <f>IF(AND($E499=Keys!$C$60,$N499&lt;&gt;Keys!$C$51),1,0)</f>
        <v>0</v>
      </c>
      <c r="W499">
        <f>IF($L499&gt;Keys!$C$51,IF($K499/$L499&gt;Keys!$C$52,1,0),0)</f>
        <v>0</v>
      </c>
      <c r="X499" s="11">
        <f t="shared" si="31"/>
        <v>0.27601990302540225</v>
      </c>
    </row>
    <row r="500" spans="1:24" x14ac:dyDescent="0.25">
      <c r="A500" t="s">
        <v>129</v>
      </c>
      <c r="B500" t="s">
        <v>100</v>
      </c>
      <c r="C500">
        <f>VLOOKUP($B500,Keys!$F$2:$I$22,2,FALSE)</f>
        <v>0</v>
      </c>
      <c r="D500">
        <f>VLOOKUP($B500,Keys!$F$2:$I$22,3,FALSE)</f>
        <v>0</v>
      </c>
      <c r="E500" t="str">
        <f>VLOOKUP($B500,Keys!$F$2:$I$22,4,FALSE)</f>
        <v>zero</v>
      </c>
      <c r="F500" t="str">
        <f>$A500&amp;Keys!$C$54&amp;$B500</f>
        <v>MT|heat (not used in this variable)</v>
      </c>
      <c r="G500" s="10">
        <f>IF($E500=Keys!$C$60,Keys!$C$51,INDEX(Balanced_2025!$D$9:$D$3032,MATCH($A500&amp;Keys!$C$54&amp;Keys!$C$55&amp;Keys!$C$54&amp;$C500,Balanced_2025!$E$9:$E$3032,0)))</f>
        <v>0</v>
      </c>
      <c r="H500" s="10">
        <f>IF($E500=Keys!$C$60,Keys!$C$51,INDEX(Balanced_2025!$D$9:$D$3032,MATCH($A500&amp;Keys!$C$54&amp;Keys!$C$56&amp;Keys!$C$54&amp;$C500,Balanced_2025!$E$9:$E$3032,0)))</f>
        <v>0</v>
      </c>
      <c r="I500" s="10">
        <f>IF($E500=Keys!$C$60,Keys!$C$51,INDEX(Balanced_2025!$D$9:$D$3032,MATCH($A500&amp;Keys!$C$54&amp;Keys!$C$57&amp;Keys!$C$54&amp;$C500,Balanced_2025!$E$9:$E$3032,0)))</f>
        <v>0</v>
      </c>
      <c r="J500" s="10">
        <f t="shared" si="28"/>
        <v>0</v>
      </c>
      <c r="K500" s="10">
        <f>MAX(Keys!$C$51,$I500-$H500)</f>
        <v>0</v>
      </c>
      <c r="L500" s="10">
        <f t="shared" si="29"/>
        <v>0</v>
      </c>
      <c r="M500" s="11">
        <f>IF($L500&gt;Keys!$C$51,MIN(Keys!$C$52,$K500/$L500),Keys!$C$51)</f>
        <v>0</v>
      </c>
      <c r="N500" s="11">
        <f>IF($E500=Keys!$C$60,Keys!$C$51,IF($E500=Keys!$C$59,$D500,$M500))</f>
        <v>0</v>
      </c>
      <c r="O500">
        <f t="shared" si="30"/>
        <v>0</v>
      </c>
      <c r="P500" s="10">
        <f>IF($E500=Keys!$C$60,Keys!$C$51,INDEX(Raw_BFPIaE!$G$9:$G$3032,MATCH($A500&amp;Keys!$C$54&amp;Keys!$C$55&amp;Keys!$C$54&amp;$B500,Raw_BFPIaE!$H$9:$H$3032,0)))</f>
        <v>0</v>
      </c>
      <c r="Q500" s="10">
        <f>IF($E500=Keys!$C$60,Keys!$C$51,INDEX(Raw_BFPIaE!$G$9:$G$3032,MATCH($A500&amp;Keys!$C$54&amp;Keys!$C$56&amp;Keys!$C$54&amp;$B500,Raw_BFPIaE!$H$9:$H$3032,0)))</f>
        <v>0</v>
      </c>
      <c r="R500" s="10">
        <f>IF($E500=Keys!$C$60,Keys!$C$51,INDEX(Raw_BFPIaE!$G$9:$G$3032,MATCH($A500&amp;Keys!$C$54&amp;Keys!$C$57&amp;Keys!$C$54&amp;$B500,Raw_BFPIaE!$H$9:$H$3032,0)))</f>
        <v>0</v>
      </c>
      <c r="S500" s="11">
        <f>IF(($P500+$Q500-$R500+MAX(Keys!$C$51,$R500-$Q500))&gt;Keys!$C$51,MIN(Keys!$C$52,MAX(Keys!$C$51,$R500-$Q500)/($P500+$Q500-$R500+MAX(Keys!$C$51,$R500-$Q500))),Keys!$C$51)</f>
        <v>0</v>
      </c>
      <c r="T500">
        <f>IF(AND($I500&gt;$H500,ABS($L500-$G500)&gt;MAX(Keys!$C$62,ABS($G500)*Keys!$C$63)),1,0)</f>
        <v>0</v>
      </c>
      <c r="U500">
        <f>IF(OR($N500&lt;Keys!$C$51,$N500&gt;Keys!$C$52),1,0)</f>
        <v>0</v>
      </c>
      <c r="V500">
        <f>IF(AND($E500=Keys!$C$60,$N500&lt;&gt;Keys!$C$51),1,0)</f>
        <v>0</v>
      </c>
      <c r="W500">
        <f>IF($L500&gt;Keys!$C$51,IF($K500/$L500&gt;Keys!$C$52,1,0),0)</f>
        <v>0</v>
      </c>
      <c r="X500" s="11">
        <f t="shared" si="31"/>
        <v>0</v>
      </c>
    </row>
    <row r="501" spans="1:24" x14ac:dyDescent="0.25">
      <c r="A501" t="s">
        <v>129</v>
      </c>
      <c r="B501" t="s">
        <v>103</v>
      </c>
      <c r="C501">
        <f>VLOOKUP($B501,Keys!$F$2:$I$22,2,FALSE)</f>
        <v>0</v>
      </c>
      <c r="D501">
        <f>VLOOKUP($B501,Keys!$F$2:$I$22,3,FALSE)</f>
        <v>0</v>
      </c>
      <c r="E501" t="str">
        <f>VLOOKUP($B501,Keys!$F$2:$I$22,4,FALSE)</f>
        <v>zero</v>
      </c>
      <c r="F501" t="str">
        <f>$A501&amp;Keys!$C$54&amp;$B501</f>
        <v>MT|geothermal (is not a fuel)</v>
      </c>
      <c r="G501" s="10">
        <f>IF($E501=Keys!$C$60,Keys!$C$51,INDEX(Balanced_2025!$D$9:$D$3032,MATCH($A501&amp;Keys!$C$54&amp;Keys!$C$55&amp;Keys!$C$54&amp;$C501,Balanced_2025!$E$9:$E$3032,0)))</f>
        <v>0</v>
      </c>
      <c r="H501" s="10">
        <f>IF($E501=Keys!$C$60,Keys!$C$51,INDEX(Balanced_2025!$D$9:$D$3032,MATCH($A501&amp;Keys!$C$54&amp;Keys!$C$56&amp;Keys!$C$54&amp;$C501,Balanced_2025!$E$9:$E$3032,0)))</f>
        <v>0</v>
      </c>
      <c r="I501" s="10">
        <f>IF($E501=Keys!$C$60,Keys!$C$51,INDEX(Balanced_2025!$D$9:$D$3032,MATCH($A501&amp;Keys!$C$54&amp;Keys!$C$57&amp;Keys!$C$54&amp;$C501,Balanced_2025!$E$9:$E$3032,0)))</f>
        <v>0</v>
      </c>
      <c r="J501" s="10">
        <f t="shared" si="28"/>
        <v>0</v>
      </c>
      <c r="K501" s="10">
        <f>MAX(Keys!$C$51,$I501-$H501)</f>
        <v>0</v>
      </c>
      <c r="L501" s="10">
        <f t="shared" si="29"/>
        <v>0</v>
      </c>
      <c r="M501" s="11">
        <f>IF($L501&gt;Keys!$C$51,MIN(Keys!$C$52,$K501/$L501),Keys!$C$51)</f>
        <v>0</v>
      </c>
      <c r="N501" s="11">
        <f>IF($E501=Keys!$C$60,Keys!$C$51,IF($E501=Keys!$C$59,$D501,$M501))</f>
        <v>0</v>
      </c>
      <c r="O501">
        <f t="shared" si="30"/>
        <v>0</v>
      </c>
      <c r="P501" s="10">
        <f>IF($E501=Keys!$C$60,Keys!$C$51,INDEX(Raw_BFPIaE!$G$9:$G$3032,MATCH($A501&amp;Keys!$C$54&amp;Keys!$C$55&amp;Keys!$C$54&amp;$B501,Raw_BFPIaE!$H$9:$H$3032,0)))</f>
        <v>0</v>
      </c>
      <c r="Q501" s="10">
        <f>IF($E501=Keys!$C$60,Keys!$C$51,INDEX(Raw_BFPIaE!$G$9:$G$3032,MATCH($A501&amp;Keys!$C$54&amp;Keys!$C$56&amp;Keys!$C$54&amp;$B501,Raw_BFPIaE!$H$9:$H$3032,0)))</f>
        <v>0</v>
      </c>
      <c r="R501" s="10">
        <f>IF($E501=Keys!$C$60,Keys!$C$51,INDEX(Raw_BFPIaE!$G$9:$G$3032,MATCH($A501&amp;Keys!$C$54&amp;Keys!$C$57&amp;Keys!$C$54&amp;$B501,Raw_BFPIaE!$H$9:$H$3032,0)))</f>
        <v>0</v>
      </c>
      <c r="S501" s="11">
        <f>IF(($P501+$Q501-$R501+MAX(Keys!$C$51,$R501-$Q501))&gt;Keys!$C$51,MIN(Keys!$C$52,MAX(Keys!$C$51,$R501-$Q501)/($P501+$Q501-$R501+MAX(Keys!$C$51,$R501-$Q501))),Keys!$C$51)</f>
        <v>0</v>
      </c>
      <c r="T501">
        <f>IF(AND($I501&gt;$H501,ABS($L501-$G501)&gt;MAX(Keys!$C$62,ABS($G501)*Keys!$C$63)),1,0)</f>
        <v>0</v>
      </c>
      <c r="U501">
        <f>IF(OR($N501&lt;Keys!$C$51,$N501&gt;Keys!$C$52),1,0)</f>
        <v>0</v>
      </c>
      <c r="V501">
        <f>IF(AND($E501=Keys!$C$60,$N501&lt;&gt;Keys!$C$51),1,0)</f>
        <v>0</v>
      </c>
      <c r="W501">
        <f>IF($L501&gt;Keys!$C$51,IF($K501/$L501&gt;Keys!$C$52,1,0),0)</f>
        <v>0</v>
      </c>
      <c r="X501" s="11">
        <f t="shared" si="31"/>
        <v>0</v>
      </c>
    </row>
    <row r="502" spans="1:24" x14ac:dyDescent="0.25">
      <c r="A502" t="s">
        <v>129</v>
      </c>
      <c r="B502" t="s">
        <v>106</v>
      </c>
      <c r="C502" t="str">
        <f>VLOOKUP($B502,Keys!$F$2:$I$22,2,FALSE)</f>
        <v>lignite</v>
      </c>
      <c r="D502">
        <f>VLOOKUP($B502,Keys!$F$2:$I$22,3,FALSE)</f>
        <v>0</v>
      </c>
      <c r="E502" t="str">
        <f>VLOOKUP($B502,Keys!$F$2:$I$22,4,FALSE)</f>
        <v>rule</v>
      </c>
      <c r="F502" t="str">
        <f>$A502&amp;Keys!$C$54&amp;$B502</f>
        <v>MT|lignite</v>
      </c>
      <c r="G502" s="10">
        <f>IF($E502=Keys!$C$60,Keys!$C$51,INDEX(Balanced_2025!$D$9:$D$3032,MATCH($A502&amp;Keys!$C$54&amp;Keys!$C$55&amp;Keys!$C$54&amp;$C502,Balanced_2025!$E$9:$E$3032,0)))</f>
        <v>0</v>
      </c>
      <c r="H502" s="10">
        <f>IF($E502=Keys!$C$60,Keys!$C$51,INDEX(Balanced_2025!$D$9:$D$3032,MATCH($A502&amp;Keys!$C$54&amp;Keys!$C$56&amp;Keys!$C$54&amp;$C502,Balanced_2025!$E$9:$E$3032,0)))</f>
        <v>0</v>
      </c>
      <c r="I502" s="10">
        <f>IF($E502=Keys!$C$60,Keys!$C$51,INDEX(Balanced_2025!$D$9:$D$3032,MATCH($A502&amp;Keys!$C$54&amp;Keys!$C$57&amp;Keys!$C$54&amp;$C502,Balanced_2025!$E$9:$E$3032,0)))</f>
        <v>0</v>
      </c>
      <c r="J502" s="10">
        <f t="shared" si="28"/>
        <v>0</v>
      </c>
      <c r="K502" s="10">
        <f>MAX(Keys!$C$51,$I502-$H502)</f>
        <v>0</v>
      </c>
      <c r="L502" s="10">
        <f t="shared" si="29"/>
        <v>0</v>
      </c>
      <c r="M502" s="11">
        <f>IF($L502&gt;Keys!$C$51,MIN(Keys!$C$52,$K502/$L502),Keys!$C$51)</f>
        <v>0</v>
      </c>
      <c r="N502" s="11">
        <f>IF($E502=Keys!$C$60,Keys!$C$51,IF($E502=Keys!$C$59,$D502,$M502))</f>
        <v>0</v>
      </c>
      <c r="O502">
        <f t="shared" si="30"/>
        <v>0</v>
      </c>
      <c r="P502" s="10">
        <f>IF($E502=Keys!$C$60,Keys!$C$51,INDEX(Raw_BFPIaE!$G$9:$G$3032,MATCH($A502&amp;Keys!$C$54&amp;Keys!$C$55&amp;Keys!$C$54&amp;$B502,Raw_BFPIaE!$H$9:$H$3032,0)))</f>
        <v>0</v>
      </c>
      <c r="Q502" s="10">
        <f>IF($E502=Keys!$C$60,Keys!$C$51,INDEX(Raw_BFPIaE!$G$9:$G$3032,MATCH($A502&amp;Keys!$C$54&amp;Keys!$C$56&amp;Keys!$C$54&amp;$B502,Raw_BFPIaE!$H$9:$H$3032,0)))</f>
        <v>0</v>
      </c>
      <c r="R502" s="10">
        <f>IF($E502=Keys!$C$60,Keys!$C$51,INDEX(Raw_BFPIaE!$G$9:$G$3032,MATCH($A502&amp;Keys!$C$54&amp;Keys!$C$57&amp;Keys!$C$54&amp;$B502,Raw_BFPIaE!$H$9:$H$3032,0)))</f>
        <v>0</v>
      </c>
      <c r="S502" s="11">
        <f>IF(($P502+$Q502-$R502+MAX(Keys!$C$51,$R502-$Q502))&gt;Keys!$C$51,MIN(Keys!$C$52,MAX(Keys!$C$51,$R502-$Q502)/($P502+$Q502-$R502+MAX(Keys!$C$51,$R502-$Q502))),Keys!$C$51)</f>
        <v>0</v>
      </c>
      <c r="T502">
        <f>IF(AND($I502&gt;$H502,ABS($L502-$G502)&gt;MAX(Keys!$C$62,ABS($G502)*Keys!$C$63)),1,0)</f>
        <v>0</v>
      </c>
      <c r="U502">
        <f>IF(OR($N502&lt;Keys!$C$51,$N502&gt;Keys!$C$52),1,0)</f>
        <v>0</v>
      </c>
      <c r="V502">
        <f>IF(AND($E502=Keys!$C$60,$N502&lt;&gt;Keys!$C$51),1,0)</f>
        <v>0</v>
      </c>
      <c r="W502">
        <f>IF($L502&gt;Keys!$C$51,IF($K502/$L502&gt;Keys!$C$52,1,0),0)</f>
        <v>0</v>
      </c>
      <c r="X502" s="11">
        <f t="shared" si="31"/>
        <v>0</v>
      </c>
    </row>
    <row r="503" spans="1:24" x14ac:dyDescent="0.25">
      <c r="A503" t="s">
        <v>129</v>
      </c>
      <c r="B503" t="s">
        <v>109</v>
      </c>
      <c r="C503" t="str">
        <f>VLOOKUP($B503,Keys!$F$2:$I$22,2,FALSE)</f>
        <v>crude oil</v>
      </c>
      <c r="D503">
        <f>VLOOKUP($B503,Keys!$F$2:$I$22,3,FALSE)</f>
        <v>1</v>
      </c>
      <c r="E503" t="str">
        <f>VLOOKUP($B503,Keys!$F$2:$I$22,4,FALSE)</f>
        <v>hold</v>
      </c>
      <c r="F503" t="str">
        <f>$A503&amp;Keys!$C$54&amp;$B503</f>
        <v>MT|crude oil</v>
      </c>
      <c r="G503" s="10">
        <f>IF($E503=Keys!$C$60,Keys!$C$51,INDEX(Balanced_2025!$D$9:$D$3032,MATCH($A503&amp;Keys!$C$54&amp;Keys!$C$55&amp;Keys!$C$54&amp;$C503,Balanced_2025!$E$9:$E$3032,0)))</f>
        <v>154599000000000</v>
      </c>
      <c r="H503" s="10">
        <f>IF($E503=Keys!$C$60,Keys!$C$51,INDEX(Balanced_2025!$D$9:$D$3032,MATCH($A503&amp;Keys!$C$54&amp;Keys!$C$56&amp;Keys!$C$54&amp;$C503,Balanced_2025!$E$9:$E$3032,0)))</f>
        <v>269029000000000</v>
      </c>
      <c r="I503" s="10">
        <f>IF($E503=Keys!$C$60,Keys!$C$51,INDEX(Balanced_2025!$D$9:$D$3032,MATCH($A503&amp;Keys!$C$54&amp;Keys!$C$57&amp;Keys!$C$54&amp;$C503,Balanced_2025!$E$9:$E$3032,0)))</f>
        <v>0</v>
      </c>
      <c r="J503" s="10">
        <f t="shared" si="28"/>
        <v>423628000000000</v>
      </c>
      <c r="K503" s="10">
        <f>MAX(Keys!$C$51,$I503-$H503)</f>
        <v>0</v>
      </c>
      <c r="L503" s="10">
        <f t="shared" si="29"/>
        <v>423628000000000</v>
      </c>
      <c r="M503" s="11">
        <f>IF($L503&gt;Keys!$C$51,MIN(Keys!$C$52,$K503/$L503),Keys!$C$51)</f>
        <v>0</v>
      </c>
      <c r="N503" s="11">
        <f>IF($E503=Keys!$C$60,Keys!$C$51,IF($E503=Keys!$C$59,$D503,$M503))</f>
        <v>1</v>
      </c>
      <c r="O503">
        <f t="shared" si="30"/>
        <v>0</v>
      </c>
      <c r="P503" s="10">
        <f>IF($E503=Keys!$C$60,Keys!$C$51,INDEX(Raw_BFPIaE!$G$9:$G$3032,MATCH($A503&amp;Keys!$C$54&amp;Keys!$C$55&amp;Keys!$C$54&amp;$B503,Raw_BFPIaE!$H$9:$H$3032,0)))</f>
        <v>152858666666666.66</v>
      </c>
      <c r="Q503" s="10">
        <f>IF($E503=Keys!$C$60,Keys!$C$51,INDEX(Raw_BFPIaE!$G$9:$G$3032,MATCH($A503&amp;Keys!$C$54&amp;Keys!$C$56&amp;Keys!$C$54&amp;$B503,Raw_BFPIaE!$H$9:$H$3032,0)))</f>
        <v>181093000000000</v>
      </c>
      <c r="R503" s="10">
        <f>IF($E503=Keys!$C$60,Keys!$C$51,INDEX(Raw_BFPIaE!$G$9:$G$3032,MATCH($A503&amp;Keys!$C$54&amp;Keys!$C$57&amp;Keys!$C$54&amp;$B503,Raw_BFPIaE!$H$9:$H$3032,0)))</f>
        <v>0</v>
      </c>
      <c r="S503" s="11">
        <f>IF(($P503+$Q503-$R503+MAX(Keys!$C$51,$R503-$Q503))&gt;Keys!$C$51,MIN(Keys!$C$52,MAX(Keys!$C$51,$R503-$Q503)/($P503+$Q503-$R503+MAX(Keys!$C$51,$R503-$Q503))),Keys!$C$51)</f>
        <v>0</v>
      </c>
      <c r="T503">
        <f>IF(AND($I503&gt;$H503,ABS($L503-$G503)&gt;MAX(Keys!$C$62,ABS($G503)*Keys!$C$63)),1,0)</f>
        <v>0</v>
      </c>
      <c r="U503">
        <f>IF(OR($N503&lt;Keys!$C$51,$N503&gt;Keys!$C$52),1,0)</f>
        <v>0</v>
      </c>
      <c r="V503">
        <f>IF(AND($E503=Keys!$C$60,$N503&lt;&gt;Keys!$C$51),1,0)</f>
        <v>0</v>
      </c>
      <c r="W503">
        <f>IF($L503&gt;Keys!$C$51,IF($K503/$L503&gt;Keys!$C$52,1,0),0)</f>
        <v>0</v>
      </c>
      <c r="X503" s="11">
        <f t="shared" si="31"/>
        <v>0</v>
      </c>
    </row>
    <row r="504" spans="1:24" x14ac:dyDescent="0.25">
      <c r="A504" t="s">
        <v>129</v>
      </c>
      <c r="B504" t="s">
        <v>113</v>
      </c>
      <c r="C504" t="str">
        <f>VLOOKUP($B504,Keys!$F$2:$I$22,2,FALSE)</f>
        <v>heavy or residual fuel oil</v>
      </c>
      <c r="D504">
        <f>VLOOKUP($B504,Keys!$F$2:$I$22,3,FALSE)</f>
        <v>0.49914171099999999</v>
      </c>
      <c r="E504" t="str">
        <f>VLOOKUP($B504,Keys!$F$2:$I$22,4,FALSE)</f>
        <v>rule</v>
      </c>
      <c r="F504" t="str">
        <f>$A504&amp;Keys!$C$54&amp;$B504</f>
        <v>MT|heavy fuel oil</v>
      </c>
      <c r="G504" s="10">
        <f>IF($E504=Keys!$C$60,Keys!$C$51,INDEX(Balanced_2025!$D$9:$D$3032,MATCH($A504&amp;Keys!$C$54&amp;Keys!$C$55&amp;Keys!$C$54&amp;$C504,Balanced_2025!$E$9:$E$3032,0)))</f>
        <v>8137840000000</v>
      </c>
      <c r="H504" s="10">
        <f>IF($E504=Keys!$C$60,Keys!$C$51,INDEX(Balanced_2025!$D$9:$D$3032,MATCH($A504&amp;Keys!$C$54&amp;Keys!$C$56&amp;Keys!$C$54&amp;$C504,Balanced_2025!$E$9:$E$3032,0)))</f>
        <v>1758140000000</v>
      </c>
      <c r="I504" s="10">
        <f>IF($E504=Keys!$C$60,Keys!$C$51,INDEX(Balanced_2025!$D$9:$D$3032,MATCH($A504&amp;Keys!$C$54&amp;Keys!$C$57&amp;Keys!$C$54&amp;$C504,Balanced_2025!$E$9:$E$3032,0)))</f>
        <v>0</v>
      </c>
      <c r="J504" s="10">
        <f t="shared" si="28"/>
        <v>9895980000000</v>
      </c>
      <c r="K504" s="10">
        <f>MAX(Keys!$C$51,$I504-$H504)</f>
        <v>0</v>
      </c>
      <c r="L504" s="10">
        <f t="shared" si="29"/>
        <v>9895980000000</v>
      </c>
      <c r="M504" s="11">
        <f>IF($L504&gt;Keys!$C$51,MIN(Keys!$C$52,$K504/$L504),Keys!$C$51)</f>
        <v>0</v>
      </c>
      <c r="N504" s="11">
        <f>IF($E504=Keys!$C$60,Keys!$C$51,IF($E504=Keys!$C$59,$D504,$M504))</f>
        <v>0</v>
      </c>
      <c r="O504">
        <f t="shared" si="30"/>
        <v>1</v>
      </c>
      <c r="P504" s="10">
        <f>IF($E504=Keys!$C$60,Keys!$C$51,INDEX(Raw_BFPIaE!$G$9:$G$3032,MATCH($A504&amp;Keys!$C$54&amp;Keys!$C$55&amp;Keys!$C$54&amp;$B504,Raw_BFPIaE!$H$9:$H$3032,0)))</f>
        <v>8072093333333.333</v>
      </c>
      <c r="Q504" s="10">
        <f>IF($E504=Keys!$C$60,Keys!$C$51,INDEX(Raw_BFPIaE!$G$9:$G$3032,MATCH($A504&amp;Keys!$C$54&amp;Keys!$C$56&amp;Keys!$C$54&amp;$B504,Raw_BFPIaE!$H$9:$H$3032,0)))</f>
        <v>1306513333333.3333</v>
      </c>
      <c r="R504" s="10">
        <f>IF($E504=Keys!$C$60,Keys!$C$51,INDEX(Raw_BFPIaE!$G$9:$G$3032,MATCH($A504&amp;Keys!$C$54&amp;Keys!$C$57&amp;Keys!$C$54&amp;$B504,Raw_BFPIaE!$H$9:$H$3032,0)))</f>
        <v>0</v>
      </c>
      <c r="S504" s="11">
        <f>IF(($P504+$Q504-$R504+MAX(Keys!$C$51,$R504-$Q504))&gt;Keys!$C$51,MIN(Keys!$C$52,MAX(Keys!$C$51,$R504-$Q504)/($P504+$Q504-$R504+MAX(Keys!$C$51,$R504-$Q504))),Keys!$C$51)</f>
        <v>0</v>
      </c>
      <c r="T504">
        <f>IF(AND($I504&gt;$H504,ABS($L504-$G504)&gt;MAX(Keys!$C$62,ABS($G504)*Keys!$C$63)),1,0)</f>
        <v>0</v>
      </c>
      <c r="U504">
        <f>IF(OR($N504&lt;Keys!$C$51,$N504&gt;Keys!$C$52),1,0)</f>
        <v>0</v>
      </c>
      <c r="V504">
        <f>IF(AND($E504=Keys!$C$60,$N504&lt;&gt;Keys!$C$51),1,0)</f>
        <v>0</v>
      </c>
      <c r="W504">
        <f>IF($L504&gt;Keys!$C$51,IF($K504/$L504&gt;Keys!$C$52,1,0),0)</f>
        <v>0</v>
      </c>
      <c r="X504" s="11">
        <f t="shared" si="31"/>
        <v>0</v>
      </c>
    </row>
    <row r="505" spans="1:24" x14ac:dyDescent="0.25">
      <c r="A505" t="s">
        <v>129</v>
      </c>
      <c r="B505" t="s">
        <v>117</v>
      </c>
      <c r="C505" t="str">
        <f>VLOOKUP($B505,Keys!$F$2:$I$22,2,FALSE)</f>
        <v>LPG propane or butane</v>
      </c>
      <c r="D505">
        <f>VLOOKUP($B505,Keys!$F$2:$I$22,3,FALSE)</f>
        <v>0.54955999499999997</v>
      </c>
      <c r="E505" t="str">
        <f>VLOOKUP($B505,Keys!$F$2:$I$22,4,FALSE)</f>
        <v>rule</v>
      </c>
      <c r="F505" t="str">
        <f>$A505&amp;Keys!$C$54&amp;$B505</f>
        <v>MT|LPG propane or butane</v>
      </c>
      <c r="G505" s="10">
        <f>IF($E505=Keys!$C$60,Keys!$C$51,INDEX(Balanced_2025!$D$9:$D$3032,MATCH($A505&amp;Keys!$C$54&amp;Keys!$C$55&amp;Keys!$C$54&amp;$C505,Balanced_2025!$E$9:$E$3032,0)))</f>
        <v>5074330000000</v>
      </c>
      <c r="H505" s="10">
        <f>IF($E505=Keys!$C$60,Keys!$C$51,INDEX(Balanced_2025!$D$9:$D$3032,MATCH($A505&amp;Keys!$C$54&amp;Keys!$C$56&amp;Keys!$C$54&amp;$C505,Balanced_2025!$E$9:$E$3032,0)))</f>
        <v>5101090000000</v>
      </c>
      <c r="I505" s="10">
        <f>IF($E505=Keys!$C$60,Keys!$C$51,INDEX(Balanced_2025!$D$9:$D$3032,MATCH($A505&amp;Keys!$C$54&amp;Keys!$C$57&amp;Keys!$C$54&amp;$C505,Balanced_2025!$E$9:$E$3032,0)))</f>
        <v>0</v>
      </c>
      <c r="J505" s="10">
        <f t="shared" si="28"/>
        <v>10175420000000</v>
      </c>
      <c r="K505" s="10">
        <f>MAX(Keys!$C$51,$I505-$H505)</f>
        <v>0</v>
      </c>
      <c r="L505" s="10">
        <f t="shared" si="29"/>
        <v>10175420000000</v>
      </c>
      <c r="M505" s="11">
        <f>IF($L505&gt;Keys!$C$51,MIN(Keys!$C$52,$K505/$L505),Keys!$C$51)</f>
        <v>0</v>
      </c>
      <c r="N505" s="11">
        <f>IF($E505=Keys!$C$60,Keys!$C$51,IF($E505=Keys!$C$59,$D505,$M505))</f>
        <v>0</v>
      </c>
      <c r="O505">
        <f t="shared" si="30"/>
        <v>1</v>
      </c>
      <c r="P505" s="10">
        <f>IF($E505=Keys!$C$60,Keys!$C$51,INDEX(Raw_BFPIaE!$G$9:$G$3032,MATCH($A505&amp;Keys!$C$54&amp;Keys!$C$55&amp;Keys!$C$54&amp;$B505,Raw_BFPIaE!$H$9:$H$3032,0)))</f>
        <v>5110246666666.667</v>
      </c>
      <c r="Q505" s="10">
        <f>IF($E505=Keys!$C$60,Keys!$C$51,INDEX(Raw_BFPIaE!$G$9:$G$3032,MATCH($A505&amp;Keys!$C$54&amp;Keys!$C$56&amp;Keys!$C$54&amp;$B505,Raw_BFPIaE!$H$9:$H$3032,0)))</f>
        <v>3287860000000</v>
      </c>
      <c r="R505" s="10">
        <f>IF($E505=Keys!$C$60,Keys!$C$51,INDEX(Raw_BFPIaE!$G$9:$G$3032,MATCH($A505&amp;Keys!$C$54&amp;Keys!$C$57&amp;Keys!$C$54&amp;$B505,Raw_BFPIaE!$H$9:$H$3032,0)))</f>
        <v>0</v>
      </c>
      <c r="S505" s="11">
        <f>IF(($P505+$Q505-$R505+MAX(Keys!$C$51,$R505-$Q505))&gt;Keys!$C$51,MIN(Keys!$C$52,MAX(Keys!$C$51,$R505-$Q505)/($P505+$Q505-$R505+MAX(Keys!$C$51,$R505-$Q505))),Keys!$C$51)</f>
        <v>0</v>
      </c>
      <c r="T505">
        <f>IF(AND($I505&gt;$H505,ABS($L505-$G505)&gt;MAX(Keys!$C$62,ABS($G505)*Keys!$C$63)),1,0)</f>
        <v>0</v>
      </c>
      <c r="U505">
        <f>IF(OR($N505&lt;Keys!$C$51,$N505&gt;Keys!$C$52),1,0)</f>
        <v>0</v>
      </c>
      <c r="V505">
        <f>IF(AND($E505=Keys!$C$60,$N505&lt;&gt;Keys!$C$51),1,0)</f>
        <v>0</v>
      </c>
      <c r="W505">
        <f>IF($L505&gt;Keys!$C$51,IF($K505/$L505&gt;Keys!$C$52,1,0),0)</f>
        <v>0</v>
      </c>
      <c r="X505" s="11">
        <f t="shared" si="31"/>
        <v>0</v>
      </c>
    </row>
    <row r="506" spans="1:24" x14ac:dyDescent="0.25">
      <c r="A506" t="s">
        <v>129</v>
      </c>
      <c r="B506" t="s">
        <v>120</v>
      </c>
      <c r="C506">
        <f>VLOOKUP($B506,Keys!$F$2:$I$22,2,FALSE)</f>
        <v>0</v>
      </c>
      <c r="D506">
        <f>VLOOKUP($B506,Keys!$F$2:$I$22,3,FALSE)</f>
        <v>0</v>
      </c>
      <c r="E506" t="str">
        <f>VLOOKUP($B506,Keys!$F$2:$I$22,4,FALSE)</f>
        <v>zero</v>
      </c>
      <c r="F506" t="str">
        <f>$A506&amp;Keys!$C$54&amp;$B506</f>
        <v>MT|municipal solid waste</v>
      </c>
      <c r="G506" s="10">
        <f>IF($E506=Keys!$C$60,Keys!$C$51,INDEX(Balanced_2025!$D$9:$D$3032,MATCH($A506&amp;Keys!$C$54&amp;Keys!$C$55&amp;Keys!$C$54&amp;$C506,Balanced_2025!$E$9:$E$3032,0)))</f>
        <v>0</v>
      </c>
      <c r="H506" s="10">
        <f>IF($E506=Keys!$C$60,Keys!$C$51,INDEX(Balanced_2025!$D$9:$D$3032,MATCH($A506&amp;Keys!$C$54&amp;Keys!$C$56&amp;Keys!$C$54&amp;$C506,Balanced_2025!$E$9:$E$3032,0)))</f>
        <v>0</v>
      </c>
      <c r="I506" s="10">
        <f>IF($E506=Keys!$C$60,Keys!$C$51,INDEX(Balanced_2025!$D$9:$D$3032,MATCH($A506&amp;Keys!$C$54&amp;Keys!$C$57&amp;Keys!$C$54&amp;$C506,Balanced_2025!$E$9:$E$3032,0)))</f>
        <v>0</v>
      </c>
      <c r="J506" s="10">
        <f t="shared" si="28"/>
        <v>0</v>
      </c>
      <c r="K506" s="10">
        <f>MAX(Keys!$C$51,$I506-$H506)</f>
        <v>0</v>
      </c>
      <c r="L506" s="10">
        <f t="shared" si="29"/>
        <v>0</v>
      </c>
      <c r="M506" s="11">
        <f>IF($L506&gt;Keys!$C$51,MIN(Keys!$C$52,$K506/$L506),Keys!$C$51)</f>
        <v>0</v>
      </c>
      <c r="N506" s="11">
        <f>IF($E506=Keys!$C$60,Keys!$C$51,IF($E506=Keys!$C$59,$D506,$M506))</f>
        <v>0</v>
      </c>
      <c r="O506">
        <f t="shared" si="30"/>
        <v>0</v>
      </c>
      <c r="P506" s="10">
        <f>IF($E506=Keys!$C$60,Keys!$C$51,INDEX(Raw_BFPIaE!$G$9:$G$3032,MATCH($A506&amp;Keys!$C$54&amp;Keys!$C$55&amp;Keys!$C$54&amp;$B506,Raw_BFPIaE!$H$9:$H$3032,0)))</f>
        <v>0</v>
      </c>
      <c r="Q506" s="10">
        <f>IF($E506=Keys!$C$60,Keys!$C$51,INDEX(Raw_BFPIaE!$G$9:$G$3032,MATCH($A506&amp;Keys!$C$54&amp;Keys!$C$56&amp;Keys!$C$54&amp;$B506,Raw_BFPIaE!$H$9:$H$3032,0)))</f>
        <v>0</v>
      </c>
      <c r="R506" s="10">
        <f>IF($E506=Keys!$C$60,Keys!$C$51,INDEX(Raw_BFPIaE!$G$9:$G$3032,MATCH($A506&amp;Keys!$C$54&amp;Keys!$C$57&amp;Keys!$C$54&amp;$B506,Raw_BFPIaE!$H$9:$H$3032,0)))</f>
        <v>0</v>
      </c>
      <c r="S506" s="11">
        <f>IF(($P506+$Q506-$R506+MAX(Keys!$C$51,$R506-$Q506))&gt;Keys!$C$51,MIN(Keys!$C$52,MAX(Keys!$C$51,$R506-$Q506)/($P506+$Q506-$R506+MAX(Keys!$C$51,$R506-$Q506))),Keys!$C$51)</f>
        <v>0</v>
      </c>
      <c r="T506">
        <f>IF(AND($I506&gt;$H506,ABS($L506-$G506)&gt;MAX(Keys!$C$62,ABS($G506)*Keys!$C$63)),1,0)</f>
        <v>0</v>
      </c>
      <c r="U506">
        <f>IF(OR($N506&lt;Keys!$C$51,$N506&gt;Keys!$C$52),1,0)</f>
        <v>0</v>
      </c>
      <c r="V506">
        <f>IF(AND($E506=Keys!$C$60,$N506&lt;&gt;Keys!$C$51),1,0)</f>
        <v>0</v>
      </c>
      <c r="W506">
        <f>IF($L506&gt;Keys!$C$51,IF($K506/$L506&gt;Keys!$C$52,1,0),0)</f>
        <v>0</v>
      </c>
      <c r="X506" s="11">
        <f t="shared" si="31"/>
        <v>0</v>
      </c>
    </row>
    <row r="507" spans="1:24" x14ac:dyDescent="0.25">
      <c r="A507" t="s">
        <v>129</v>
      </c>
      <c r="B507" t="s">
        <v>123</v>
      </c>
      <c r="C507">
        <f>VLOOKUP($B507,Keys!$F$2:$I$22,2,FALSE)</f>
        <v>0</v>
      </c>
      <c r="D507">
        <f>VLOOKUP($B507,Keys!$F$2:$I$22,3,FALSE)</f>
        <v>0</v>
      </c>
      <c r="E507" t="str">
        <f>VLOOKUP($B507,Keys!$F$2:$I$22,4,FALSE)</f>
        <v>zero</v>
      </c>
      <c r="F507" t="str">
        <f>$A507&amp;Keys!$C$54&amp;$B507</f>
        <v>MT|hydrogen</v>
      </c>
      <c r="G507" s="10">
        <f>IF($E507=Keys!$C$60,Keys!$C$51,INDEX(Balanced_2025!$D$9:$D$3032,MATCH($A507&amp;Keys!$C$54&amp;Keys!$C$55&amp;Keys!$C$54&amp;$C507,Balanced_2025!$E$9:$E$3032,0)))</f>
        <v>0</v>
      </c>
      <c r="H507" s="10">
        <f>IF($E507=Keys!$C$60,Keys!$C$51,INDEX(Balanced_2025!$D$9:$D$3032,MATCH($A507&amp;Keys!$C$54&amp;Keys!$C$56&amp;Keys!$C$54&amp;$C507,Balanced_2025!$E$9:$E$3032,0)))</f>
        <v>0</v>
      </c>
      <c r="I507" s="10">
        <f>IF($E507=Keys!$C$60,Keys!$C$51,INDEX(Balanced_2025!$D$9:$D$3032,MATCH($A507&amp;Keys!$C$54&amp;Keys!$C$57&amp;Keys!$C$54&amp;$C507,Balanced_2025!$E$9:$E$3032,0)))</f>
        <v>0</v>
      </c>
      <c r="J507" s="10">
        <f t="shared" si="28"/>
        <v>0</v>
      </c>
      <c r="K507" s="10">
        <f>MAX(Keys!$C$51,$I507-$H507)</f>
        <v>0</v>
      </c>
      <c r="L507" s="10">
        <f t="shared" si="29"/>
        <v>0</v>
      </c>
      <c r="M507" s="11">
        <f>IF($L507&gt;Keys!$C$51,MIN(Keys!$C$52,$K507/$L507),Keys!$C$51)</f>
        <v>0</v>
      </c>
      <c r="N507" s="11">
        <f>IF($E507=Keys!$C$60,Keys!$C$51,IF($E507=Keys!$C$59,$D507,$M507))</f>
        <v>0</v>
      </c>
      <c r="O507">
        <f t="shared" si="30"/>
        <v>0</v>
      </c>
      <c r="P507" s="10">
        <f>IF($E507=Keys!$C$60,Keys!$C$51,INDEX(Raw_BFPIaE!$G$9:$G$3032,MATCH($A507&amp;Keys!$C$54&amp;Keys!$C$55&amp;Keys!$C$54&amp;$B507,Raw_BFPIaE!$H$9:$H$3032,0)))</f>
        <v>0</v>
      </c>
      <c r="Q507" s="10">
        <f>IF($E507=Keys!$C$60,Keys!$C$51,INDEX(Raw_BFPIaE!$G$9:$G$3032,MATCH($A507&amp;Keys!$C$54&amp;Keys!$C$56&amp;Keys!$C$54&amp;$B507,Raw_BFPIaE!$H$9:$H$3032,0)))</f>
        <v>0</v>
      </c>
      <c r="R507" s="10">
        <f>IF($E507=Keys!$C$60,Keys!$C$51,INDEX(Raw_BFPIaE!$G$9:$G$3032,MATCH($A507&amp;Keys!$C$54&amp;Keys!$C$57&amp;Keys!$C$54&amp;$B507,Raw_BFPIaE!$H$9:$H$3032,0)))</f>
        <v>0</v>
      </c>
      <c r="S507" s="11">
        <f>IF(($P507+$Q507-$R507+MAX(Keys!$C$51,$R507-$Q507))&gt;Keys!$C$51,MIN(Keys!$C$52,MAX(Keys!$C$51,$R507-$Q507)/($P507+$Q507-$R507+MAX(Keys!$C$51,$R507-$Q507))),Keys!$C$51)</f>
        <v>0</v>
      </c>
      <c r="T507">
        <f>IF(AND($I507&gt;$H507,ABS($L507-$G507)&gt;MAX(Keys!$C$62,ABS($G507)*Keys!$C$63)),1,0)</f>
        <v>0</v>
      </c>
      <c r="U507">
        <f>IF(OR($N507&lt;Keys!$C$51,$N507&gt;Keys!$C$52),1,0)</f>
        <v>0</v>
      </c>
      <c r="V507">
        <f>IF(AND($E507=Keys!$C$60,$N507&lt;&gt;Keys!$C$51),1,0)</f>
        <v>0</v>
      </c>
      <c r="W507">
        <f>IF($L507&gt;Keys!$C$51,IF($K507/$L507&gt;Keys!$C$52,1,0),0)</f>
        <v>0</v>
      </c>
      <c r="X507" s="11">
        <f t="shared" si="31"/>
        <v>0</v>
      </c>
    </row>
    <row r="508" spans="1:24" x14ac:dyDescent="0.25">
      <c r="A508" t="s">
        <v>131</v>
      </c>
      <c r="B508" t="s">
        <v>60</v>
      </c>
      <c r="C508">
        <f>VLOOKUP($B508,Keys!$F$2:$I$22,2,FALSE)</f>
        <v>0</v>
      </c>
      <c r="D508">
        <f>VLOOKUP($B508,Keys!$F$2:$I$22,3,FALSE)</f>
        <v>0</v>
      </c>
      <c r="E508" t="str">
        <f>VLOOKUP($B508,Keys!$F$2:$I$22,4,FALSE)</f>
        <v>zero</v>
      </c>
      <c r="F508" t="str">
        <f>$A508&amp;Keys!$C$54&amp;$B508</f>
        <v>NC|electricity (not used in this variable)</v>
      </c>
      <c r="G508" s="10">
        <f>IF($E508=Keys!$C$60,Keys!$C$51,INDEX(Balanced_2025!$D$9:$D$3032,MATCH($A508&amp;Keys!$C$54&amp;Keys!$C$55&amp;Keys!$C$54&amp;$C508,Balanced_2025!$E$9:$E$3032,0)))</f>
        <v>0</v>
      </c>
      <c r="H508" s="10">
        <f>IF($E508=Keys!$C$60,Keys!$C$51,INDEX(Balanced_2025!$D$9:$D$3032,MATCH($A508&amp;Keys!$C$54&amp;Keys!$C$56&amp;Keys!$C$54&amp;$C508,Balanced_2025!$E$9:$E$3032,0)))</f>
        <v>0</v>
      </c>
      <c r="I508" s="10">
        <f>IF($E508=Keys!$C$60,Keys!$C$51,INDEX(Balanced_2025!$D$9:$D$3032,MATCH($A508&amp;Keys!$C$54&amp;Keys!$C$57&amp;Keys!$C$54&amp;$C508,Balanced_2025!$E$9:$E$3032,0)))</f>
        <v>0</v>
      </c>
      <c r="J508" s="10">
        <f t="shared" si="28"/>
        <v>0</v>
      </c>
      <c r="K508" s="10">
        <f>MAX(Keys!$C$51,$I508-$H508)</f>
        <v>0</v>
      </c>
      <c r="L508" s="10">
        <f t="shared" si="29"/>
        <v>0</v>
      </c>
      <c r="M508" s="11">
        <f>IF($L508&gt;Keys!$C$51,MIN(Keys!$C$52,$K508/$L508),Keys!$C$51)</f>
        <v>0</v>
      </c>
      <c r="N508" s="11">
        <f>IF($E508=Keys!$C$60,Keys!$C$51,IF($E508=Keys!$C$59,$D508,$M508))</f>
        <v>0</v>
      </c>
      <c r="O508">
        <f t="shared" si="30"/>
        <v>0</v>
      </c>
      <c r="P508" s="10">
        <f>IF($E508=Keys!$C$60,Keys!$C$51,INDEX(Raw_BFPIaE!$G$9:$G$3032,MATCH($A508&amp;Keys!$C$54&amp;Keys!$C$55&amp;Keys!$C$54&amp;$B508,Raw_BFPIaE!$H$9:$H$3032,0)))</f>
        <v>0</v>
      </c>
      <c r="Q508" s="10">
        <f>IF($E508=Keys!$C$60,Keys!$C$51,INDEX(Raw_BFPIaE!$G$9:$G$3032,MATCH($A508&amp;Keys!$C$54&amp;Keys!$C$56&amp;Keys!$C$54&amp;$B508,Raw_BFPIaE!$H$9:$H$3032,0)))</f>
        <v>0</v>
      </c>
      <c r="R508" s="10">
        <f>IF($E508=Keys!$C$60,Keys!$C$51,INDEX(Raw_BFPIaE!$G$9:$G$3032,MATCH($A508&amp;Keys!$C$54&amp;Keys!$C$57&amp;Keys!$C$54&amp;$B508,Raw_BFPIaE!$H$9:$H$3032,0)))</f>
        <v>0</v>
      </c>
      <c r="S508" s="11">
        <f>IF(($P508+$Q508-$R508+MAX(Keys!$C$51,$R508-$Q508))&gt;Keys!$C$51,MIN(Keys!$C$52,MAX(Keys!$C$51,$R508-$Q508)/($P508+$Q508-$R508+MAX(Keys!$C$51,$R508-$Q508))),Keys!$C$51)</f>
        <v>0</v>
      </c>
      <c r="T508">
        <f>IF(AND($I508&gt;$H508,ABS($L508-$G508)&gt;MAX(Keys!$C$62,ABS($G508)*Keys!$C$63)),1,0)</f>
        <v>0</v>
      </c>
      <c r="U508">
        <f>IF(OR($N508&lt;Keys!$C$51,$N508&gt;Keys!$C$52),1,0)</f>
        <v>0</v>
      </c>
      <c r="V508">
        <f>IF(AND($E508=Keys!$C$60,$N508&lt;&gt;Keys!$C$51),1,0)</f>
        <v>0</v>
      </c>
      <c r="W508">
        <f>IF($L508&gt;Keys!$C$51,IF($K508/$L508&gt;Keys!$C$52,1,0),0)</f>
        <v>0</v>
      </c>
      <c r="X508" s="11">
        <f t="shared" si="31"/>
        <v>0</v>
      </c>
    </row>
    <row r="509" spans="1:24" x14ac:dyDescent="0.25">
      <c r="A509" t="s">
        <v>131</v>
      </c>
      <c r="B509" t="s">
        <v>64</v>
      </c>
      <c r="C509" t="str">
        <f>VLOOKUP($B509,Keys!$F$2:$I$22,2,FALSE)</f>
        <v>hard coal</v>
      </c>
      <c r="D509">
        <f>VLOOKUP($B509,Keys!$F$2:$I$22,3,FALSE)</f>
        <v>0.137539879</v>
      </c>
      <c r="E509" t="str">
        <f>VLOOKUP($B509,Keys!$F$2:$I$22,4,FALSE)</f>
        <v>rule</v>
      </c>
      <c r="F509" t="str">
        <f>$A509&amp;Keys!$C$54&amp;$B509</f>
        <v>NC|hard coal</v>
      </c>
      <c r="G509" s="10">
        <f>IF($E509=Keys!$C$60,Keys!$C$51,INDEX(Balanced_2025!$D$9:$D$3032,MATCH($A509&amp;Keys!$C$54&amp;Keys!$C$55&amp;Keys!$C$54&amp;$C509,Balanced_2025!$E$9:$E$3032,0)))</f>
        <v>0</v>
      </c>
      <c r="H509" s="10">
        <f>IF($E509=Keys!$C$60,Keys!$C$51,INDEX(Balanced_2025!$D$9:$D$3032,MATCH($A509&amp;Keys!$C$54&amp;Keys!$C$56&amp;Keys!$C$54&amp;$C509,Balanced_2025!$E$9:$E$3032,0)))</f>
        <v>237043000000000</v>
      </c>
      <c r="I509" s="10">
        <f>IF($E509=Keys!$C$60,Keys!$C$51,INDEX(Balanced_2025!$D$9:$D$3032,MATCH($A509&amp;Keys!$C$54&amp;Keys!$C$57&amp;Keys!$C$54&amp;$C509,Balanced_2025!$E$9:$E$3032,0)))</f>
        <v>0</v>
      </c>
      <c r="J509" s="10">
        <f t="shared" si="28"/>
        <v>237043000000000</v>
      </c>
      <c r="K509" s="10">
        <f>MAX(Keys!$C$51,$I509-$H509)</f>
        <v>0</v>
      </c>
      <c r="L509" s="10">
        <f t="shared" si="29"/>
        <v>237043000000000</v>
      </c>
      <c r="M509" s="11">
        <f>IF($L509&gt;Keys!$C$51,MIN(Keys!$C$52,$K509/$L509),Keys!$C$51)</f>
        <v>0</v>
      </c>
      <c r="N509" s="11">
        <f>IF($E509=Keys!$C$60,Keys!$C$51,IF($E509=Keys!$C$59,$D509,$M509))</f>
        <v>0</v>
      </c>
      <c r="O509">
        <f t="shared" si="30"/>
        <v>1</v>
      </c>
      <c r="P509" s="10">
        <f>IF($E509=Keys!$C$60,Keys!$C$51,INDEX(Raw_BFPIaE!$G$9:$G$3032,MATCH($A509&amp;Keys!$C$54&amp;Keys!$C$55&amp;Keys!$C$54&amp;$B509,Raw_BFPIaE!$H$9:$H$3032,0)))</f>
        <v>0</v>
      </c>
      <c r="Q509" s="10">
        <f>IF($E509=Keys!$C$60,Keys!$C$51,INDEX(Raw_BFPIaE!$G$9:$G$3032,MATCH($A509&amp;Keys!$C$54&amp;Keys!$C$56&amp;Keys!$C$54&amp;$B509,Raw_BFPIaE!$H$9:$H$3032,0)))</f>
        <v>189059000000000</v>
      </c>
      <c r="R509" s="10">
        <f>IF($E509=Keys!$C$60,Keys!$C$51,INDEX(Raw_BFPIaE!$G$9:$G$3032,MATCH($A509&amp;Keys!$C$54&amp;Keys!$C$57&amp;Keys!$C$54&amp;$B509,Raw_BFPIaE!$H$9:$H$3032,0)))</f>
        <v>0</v>
      </c>
      <c r="S509" s="11">
        <f>IF(($P509+$Q509-$R509+MAX(Keys!$C$51,$R509-$Q509))&gt;Keys!$C$51,MIN(Keys!$C$52,MAX(Keys!$C$51,$R509-$Q509)/($P509+$Q509-$R509+MAX(Keys!$C$51,$R509-$Q509))),Keys!$C$51)</f>
        <v>0</v>
      </c>
      <c r="T509">
        <f>IF(AND($I509&gt;$H509,ABS($L509-$G509)&gt;MAX(Keys!$C$62,ABS($G509)*Keys!$C$63)),1,0)</f>
        <v>0</v>
      </c>
      <c r="U509">
        <f>IF(OR($N509&lt;Keys!$C$51,$N509&gt;Keys!$C$52),1,0)</f>
        <v>0</v>
      </c>
      <c r="V509">
        <f>IF(AND($E509=Keys!$C$60,$N509&lt;&gt;Keys!$C$51),1,0)</f>
        <v>0</v>
      </c>
      <c r="W509">
        <f>IF($L509&gt;Keys!$C$51,IF($K509/$L509&gt;Keys!$C$52,1,0),0)</f>
        <v>0</v>
      </c>
      <c r="X509" s="11">
        <f t="shared" si="31"/>
        <v>0</v>
      </c>
    </row>
    <row r="510" spans="1:24" x14ac:dyDescent="0.25">
      <c r="A510" t="s">
        <v>131</v>
      </c>
      <c r="B510" t="s">
        <v>68</v>
      </c>
      <c r="C510" t="str">
        <f>VLOOKUP($B510,Keys!$F$2:$I$22,2,FALSE)</f>
        <v>natural gas</v>
      </c>
      <c r="D510">
        <f>VLOOKUP($B510,Keys!$F$2:$I$22,3,FALSE)</f>
        <v>0.190839183</v>
      </c>
      <c r="E510" t="str">
        <f>VLOOKUP($B510,Keys!$F$2:$I$22,4,FALSE)</f>
        <v>rule</v>
      </c>
      <c r="F510" t="str">
        <f>$A510&amp;Keys!$C$54&amp;$B510</f>
        <v>NC|natural gas</v>
      </c>
      <c r="G510" s="10">
        <f>IF($E510=Keys!$C$60,Keys!$C$51,INDEX(Balanced_2025!$D$9:$D$3032,MATCH($A510&amp;Keys!$C$54&amp;Keys!$C$55&amp;Keys!$C$54&amp;$C510,Balanced_2025!$E$9:$E$3032,0)))</f>
        <v>0</v>
      </c>
      <c r="H510" s="10">
        <f>IF($E510=Keys!$C$60,Keys!$C$51,INDEX(Balanced_2025!$D$9:$D$3032,MATCH($A510&amp;Keys!$C$54&amp;Keys!$C$56&amp;Keys!$C$54&amp;$C510,Balanced_2025!$E$9:$E$3032,0)))</f>
        <v>648649000000000</v>
      </c>
      <c r="I510" s="10">
        <f>IF($E510=Keys!$C$60,Keys!$C$51,INDEX(Balanced_2025!$D$9:$D$3032,MATCH($A510&amp;Keys!$C$54&amp;Keys!$C$57&amp;Keys!$C$54&amp;$C510,Balanced_2025!$E$9:$E$3032,0)))</f>
        <v>1037000000</v>
      </c>
      <c r="J510" s="10">
        <f t="shared" si="28"/>
        <v>648647963000000</v>
      </c>
      <c r="K510" s="10">
        <f>MAX(Keys!$C$51,$I510-$H510)</f>
        <v>0</v>
      </c>
      <c r="L510" s="10">
        <f t="shared" si="29"/>
        <v>648647963000000</v>
      </c>
      <c r="M510" s="11">
        <f>IF($L510&gt;Keys!$C$51,MIN(Keys!$C$52,$K510/$L510),Keys!$C$51)</f>
        <v>0</v>
      </c>
      <c r="N510" s="11">
        <f>IF($E510=Keys!$C$60,Keys!$C$51,IF($E510=Keys!$C$59,$D510,$M510))</f>
        <v>0</v>
      </c>
      <c r="O510">
        <f t="shared" si="30"/>
        <v>1</v>
      </c>
      <c r="P510" s="10">
        <f>IF($E510=Keys!$C$60,Keys!$C$51,INDEX(Raw_BFPIaE!$G$9:$G$3032,MATCH($A510&amp;Keys!$C$54&amp;Keys!$C$55&amp;Keys!$C$54&amp;$B510,Raw_BFPIaE!$H$9:$H$3032,0)))</f>
        <v>0</v>
      </c>
      <c r="Q510" s="10">
        <f>IF($E510=Keys!$C$60,Keys!$C$51,INDEX(Raw_BFPIaE!$G$9:$G$3032,MATCH($A510&amp;Keys!$C$54&amp;Keys!$C$56&amp;Keys!$C$54&amp;$B510,Raw_BFPIaE!$H$9:$H$3032,0)))</f>
        <v>705595333333333.38</v>
      </c>
      <c r="R510" s="10">
        <f>IF($E510=Keys!$C$60,Keys!$C$51,INDEX(Raw_BFPIaE!$G$9:$G$3032,MATCH($A510&amp;Keys!$C$54&amp;Keys!$C$57&amp;Keys!$C$54&amp;$B510,Raw_BFPIaE!$H$9:$H$3032,0)))</f>
        <v>1038073333.3333334</v>
      </c>
      <c r="S510" s="11">
        <f>IF(($P510+$Q510-$R510+MAX(Keys!$C$51,$R510-$Q510))&gt;Keys!$C$51,MIN(Keys!$C$52,MAX(Keys!$C$51,$R510-$Q510)/($P510+$Q510-$R510+MAX(Keys!$C$51,$R510-$Q510))),Keys!$C$51)</f>
        <v>0</v>
      </c>
      <c r="T510">
        <f>IF(AND($I510&gt;$H510,ABS($L510-$G510)&gt;MAX(Keys!$C$62,ABS($G510)*Keys!$C$63)),1,0)</f>
        <v>0</v>
      </c>
      <c r="U510">
        <f>IF(OR($N510&lt;Keys!$C$51,$N510&gt;Keys!$C$52),1,0)</f>
        <v>0</v>
      </c>
      <c r="V510">
        <f>IF(AND($E510=Keys!$C$60,$N510&lt;&gt;Keys!$C$51),1,0)</f>
        <v>0</v>
      </c>
      <c r="W510">
        <f>IF($L510&gt;Keys!$C$51,IF($K510/$L510&gt;Keys!$C$52,1,0),0)</f>
        <v>0</v>
      </c>
      <c r="X510" s="11">
        <f t="shared" si="31"/>
        <v>0</v>
      </c>
    </row>
    <row r="511" spans="1:24" x14ac:dyDescent="0.25">
      <c r="A511" t="s">
        <v>131</v>
      </c>
      <c r="B511" t="s">
        <v>71</v>
      </c>
      <c r="C511">
        <f>VLOOKUP($B511,Keys!$F$2:$I$22,2,FALSE)</f>
        <v>0</v>
      </c>
      <c r="D511">
        <f>VLOOKUP($B511,Keys!$F$2:$I$22,3,FALSE)</f>
        <v>0</v>
      </c>
      <c r="E511" t="str">
        <f>VLOOKUP($B511,Keys!$F$2:$I$22,4,FALSE)</f>
        <v>zero</v>
      </c>
      <c r="F511" t="str">
        <f>$A511&amp;Keys!$C$54&amp;$B511</f>
        <v>NC|nuclear</v>
      </c>
      <c r="G511" s="10">
        <f>IF($E511=Keys!$C$60,Keys!$C$51,INDEX(Balanced_2025!$D$9:$D$3032,MATCH($A511&amp;Keys!$C$54&amp;Keys!$C$55&amp;Keys!$C$54&amp;$C511,Balanced_2025!$E$9:$E$3032,0)))</f>
        <v>0</v>
      </c>
      <c r="H511" s="10">
        <f>IF($E511=Keys!$C$60,Keys!$C$51,INDEX(Balanced_2025!$D$9:$D$3032,MATCH($A511&amp;Keys!$C$54&amp;Keys!$C$56&amp;Keys!$C$54&amp;$C511,Balanced_2025!$E$9:$E$3032,0)))</f>
        <v>0</v>
      </c>
      <c r="I511" s="10">
        <f>IF($E511=Keys!$C$60,Keys!$C$51,INDEX(Balanced_2025!$D$9:$D$3032,MATCH($A511&amp;Keys!$C$54&amp;Keys!$C$57&amp;Keys!$C$54&amp;$C511,Balanced_2025!$E$9:$E$3032,0)))</f>
        <v>0</v>
      </c>
      <c r="J511" s="10">
        <f t="shared" si="28"/>
        <v>0</v>
      </c>
      <c r="K511" s="10">
        <f>MAX(Keys!$C$51,$I511-$H511)</f>
        <v>0</v>
      </c>
      <c r="L511" s="10">
        <f t="shared" si="29"/>
        <v>0</v>
      </c>
      <c r="M511" s="11">
        <f>IF($L511&gt;Keys!$C$51,MIN(Keys!$C$52,$K511/$L511),Keys!$C$51)</f>
        <v>0</v>
      </c>
      <c r="N511" s="11">
        <f>IF($E511=Keys!$C$60,Keys!$C$51,IF($E511=Keys!$C$59,$D511,$M511))</f>
        <v>0</v>
      </c>
      <c r="O511">
        <f t="shared" si="30"/>
        <v>0</v>
      </c>
      <c r="P511" s="10">
        <f>IF($E511=Keys!$C$60,Keys!$C$51,INDEX(Raw_BFPIaE!$G$9:$G$3032,MATCH($A511&amp;Keys!$C$54&amp;Keys!$C$55&amp;Keys!$C$54&amp;$B511,Raw_BFPIaE!$H$9:$H$3032,0)))</f>
        <v>0</v>
      </c>
      <c r="Q511" s="10">
        <f>IF($E511=Keys!$C$60,Keys!$C$51,INDEX(Raw_BFPIaE!$G$9:$G$3032,MATCH($A511&amp;Keys!$C$54&amp;Keys!$C$56&amp;Keys!$C$54&amp;$B511,Raw_BFPIaE!$H$9:$H$3032,0)))</f>
        <v>0</v>
      </c>
      <c r="R511" s="10">
        <f>IF($E511=Keys!$C$60,Keys!$C$51,INDEX(Raw_BFPIaE!$G$9:$G$3032,MATCH($A511&amp;Keys!$C$54&amp;Keys!$C$57&amp;Keys!$C$54&amp;$B511,Raw_BFPIaE!$H$9:$H$3032,0)))</f>
        <v>0</v>
      </c>
      <c r="S511" s="11">
        <f>IF(($P511+$Q511-$R511+MAX(Keys!$C$51,$R511-$Q511))&gt;Keys!$C$51,MIN(Keys!$C$52,MAX(Keys!$C$51,$R511-$Q511)/($P511+$Q511-$R511+MAX(Keys!$C$51,$R511-$Q511))),Keys!$C$51)</f>
        <v>0</v>
      </c>
      <c r="T511">
        <f>IF(AND($I511&gt;$H511,ABS($L511-$G511)&gt;MAX(Keys!$C$62,ABS($G511)*Keys!$C$63)),1,0)</f>
        <v>0</v>
      </c>
      <c r="U511">
        <f>IF(OR($N511&lt;Keys!$C$51,$N511&gt;Keys!$C$52),1,0)</f>
        <v>0</v>
      </c>
      <c r="V511">
        <f>IF(AND($E511=Keys!$C$60,$N511&lt;&gt;Keys!$C$51),1,0)</f>
        <v>0</v>
      </c>
      <c r="W511">
        <f>IF($L511&gt;Keys!$C$51,IF($K511/$L511&gt;Keys!$C$52,1,0),0)</f>
        <v>0</v>
      </c>
      <c r="X511" s="11">
        <f t="shared" si="31"/>
        <v>0</v>
      </c>
    </row>
    <row r="512" spans="1:24" x14ac:dyDescent="0.25">
      <c r="A512" t="s">
        <v>131</v>
      </c>
      <c r="B512" t="s">
        <v>74</v>
      </c>
      <c r="C512">
        <f>VLOOKUP($B512,Keys!$F$2:$I$22,2,FALSE)</f>
        <v>0</v>
      </c>
      <c r="D512">
        <f>VLOOKUP($B512,Keys!$F$2:$I$22,3,FALSE)</f>
        <v>0</v>
      </c>
      <c r="E512" t="str">
        <f>VLOOKUP($B512,Keys!$F$2:$I$22,4,FALSE)</f>
        <v>zero</v>
      </c>
      <c r="F512" t="str">
        <f>$A512&amp;Keys!$C$54&amp;$B512</f>
        <v>NC|hydro (is not a fuel)</v>
      </c>
      <c r="G512" s="10">
        <f>IF($E512=Keys!$C$60,Keys!$C$51,INDEX(Balanced_2025!$D$9:$D$3032,MATCH($A512&amp;Keys!$C$54&amp;Keys!$C$55&amp;Keys!$C$54&amp;$C512,Balanced_2025!$E$9:$E$3032,0)))</f>
        <v>0</v>
      </c>
      <c r="H512" s="10">
        <f>IF($E512=Keys!$C$60,Keys!$C$51,INDEX(Balanced_2025!$D$9:$D$3032,MATCH($A512&amp;Keys!$C$54&amp;Keys!$C$56&amp;Keys!$C$54&amp;$C512,Balanced_2025!$E$9:$E$3032,0)))</f>
        <v>0</v>
      </c>
      <c r="I512" s="10">
        <f>IF($E512=Keys!$C$60,Keys!$C$51,INDEX(Balanced_2025!$D$9:$D$3032,MATCH($A512&amp;Keys!$C$54&amp;Keys!$C$57&amp;Keys!$C$54&amp;$C512,Balanced_2025!$E$9:$E$3032,0)))</f>
        <v>0</v>
      </c>
      <c r="J512" s="10">
        <f t="shared" si="28"/>
        <v>0</v>
      </c>
      <c r="K512" s="10">
        <f>MAX(Keys!$C$51,$I512-$H512)</f>
        <v>0</v>
      </c>
      <c r="L512" s="10">
        <f t="shared" si="29"/>
        <v>0</v>
      </c>
      <c r="M512" s="11">
        <f>IF($L512&gt;Keys!$C$51,MIN(Keys!$C$52,$K512/$L512),Keys!$C$51)</f>
        <v>0</v>
      </c>
      <c r="N512" s="11">
        <f>IF($E512=Keys!$C$60,Keys!$C$51,IF($E512=Keys!$C$59,$D512,$M512))</f>
        <v>0</v>
      </c>
      <c r="O512">
        <f t="shared" si="30"/>
        <v>0</v>
      </c>
      <c r="P512" s="10">
        <f>IF($E512=Keys!$C$60,Keys!$C$51,INDEX(Raw_BFPIaE!$G$9:$G$3032,MATCH($A512&amp;Keys!$C$54&amp;Keys!$C$55&amp;Keys!$C$54&amp;$B512,Raw_BFPIaE!$H$9:$H$3032,0)))</f>
        <v>0</v>
      </c>
      <c r="Q512" s="10">
        <f>IF($E512=Keys!$C$60,Keys!$C$51,INDEX(Raw_BFPIaE!$G$9:$G$3032,MATCH($A512&amp;Keys!$C$54&amp;Keys!$C$56&amp;Keys!$C$54&amp;$B512,Raw_BFPIaE!$H$9:$H$3032,0)))</f>
        <v>0</v>
      </c>
      <c r="R512" s="10">
        <f>IF($E512=Keys!$C$60,Keys!$C$51,INDEX(Raw_BFPIaE!$G$9:$G$3032,MATCH($A512&amp;Keys!$C$54&amp;Keys!$C$57&amp;Keys!$C$54&amp;$B512,Raw_BFPIaE!$H$9:$H$3032,0)))</f>
        <v>0</v>
      </c>
      <c r="S512" s="11">
        <f>IF(($P512+$Q512-$R512+MAX(Keys!$C$51,$R512-$Q512))&gt;Keys!$C$51,MIN(Keys!$C$52,MAX(Keys!$C$51,$R512-$Q512)/($P512+$Q512-$R512+MAX(Keys!$C$51,$R512-$Q512))),Keys!$C$51)</f>
        <v>0</v>
      </c>
      <c r="T512">
        <f>IF(AND($I512&gt;$H512,ABS($L512-$G512)&gt;MAX(Keys!$C$62,ABS($G512)*Keys!$C$63)),1,0)</f>
        <v>0</v>
      </c>
      <c r="U512">
        <f>IF(OR($N512&lt;Keys!$C$51,$N512&gt;Keys!$C$52),1,0)</f>
        <v>0</v>
      </c>
      <c r="V512">
        <f>IF(AND($E512=Keys!$C$60,$N512&lt;&gt;Keys!$C$51),1,0)</f>
        <v>0</v>
      </c>
      <c r="W512">
        <f>IF($L512&gt;Keys!$C$51,IF($K512/$L512&gt;Keys!$C$52,1,0),0)</f>
        <v>0</v>
      </c>
      <c r="X512" s="11">
        <f t="shared" si="31"/>
        <v>0</v>
      </c>
    </row>
    <row r="513" spans="1:24" x14ac:dyDescent="0.25">
      <c r="A513" t="s">
        <v>131</v>
      </c>
      <c r="B513" t="s">
        <v>77</v>
      </c>
      <c r="C513">
        <f>VLOOKUP($B513,Keys!$F$2:$I$22,2,FALSE)</f>
        <v>0</v>
      </c>
      <c r="D513">
        <f>VLOOKUP($B513,Keys!$F$2:$I$22,3,FALSE)</f>
        <v>0</v>
      </c>
      <c r="E513" t="str">
        <f>VLOOKUP($B513,Keys!$F$2:$I$22,4,FALSE)</f>
        <v>zero</v>
      </c>
      <c r="F513" t="str">
        <f>$A513&amp;Keys!$C$54&amp;$B513</f>
        <v>NC|wind (is not a fuel)</v>
      </c>
      <c r="G513" s="10">
        <f>IF($E513=Keys!$C$60,Keys!$C$51,INDEX(Balanced_2025!$D$9:$D$3032,MATCH($A513&amp;Keys!$C$54&amp;Keys!$C$55&amp;Keys!$C$54&amp;$C513,Balanced_2025!$E$9:$E$3032,0)))</f>
        <v>0</v>
      </c>
      <c r="H513" s="10">
        <f>IF($E513=Keys!$C$60,Keys!$C$51,INDEX(Balanced_2025!$D$9:$D$3032,MATCH($A513&amp;Keys!$C$54&amp;Keys!$C$56&amp;Keys!$C$54&amp;$C513,Balanced_2025!$E$9:$E$3032,0)))</f>
        <v>0</v>
      </c>
      <c r="I513" s="10">
        <f>IF($E513=Keys!$C$60,Keys!$C$51,INDEX(Balanced_2025!$D$9:$D$3032,MATCH($A513&amp;Keys!$C$54&amp;Keys!$C$57&amp;Keys!$C$54&amp;$C513,Balanced_2025!$E$9:$E$3032,0)))</f>
        <v>0</v>
      </c>
      <c r="J513" s="10">
        <f t="shared" si="28"/>
        <v>0</v>
      </c>
      <c r="K513" s="10">
        <f>MAX(Keys!$C$51,$I513-$H513)</f>
        <v>0</v>
      </c>
      <c r="L513" s="10">
        <f t="shared" si="29"/>
        <v>0</v>
      </c>
      <c r="M513" s="11">
        <f>IF($L513&gt;Keys!$C$51,MIN(Keys!$C$52,$K513/$L513),Keys!$C$51)</f>
        <v>0</v>
      </c>
      <c r="N513" s="11">
        <f>IF($E513=Keys!$C$60,Keys!$C$51,IF($E513=Keys!$C$59,$D513,$M513))</f>
        <v>0</v>
      </c>
      <c r="O513">
        <f t="shared" si="30"/>
        <v>0</v>
      </c>
      <c r="P513" s="10">
        <f>IF($E513=Keys!$C$60,Keys!$C$51,INDEX(Raw_BFPIaE!$G$9:$G$3032,MATCH($A513&amp;Keys!$C$54&amp;Keys!$C$55&amp;Keys!$C$54&amp;$B513,Raw_BFPIaE!$H$9:$H$3032,0)))</f>
        <v>0</v>
      </c>
      <c r="Q513" s="10">
        <f>IF($E513=Keys!$C$60,Keys!$C$51,INDEX(Raw_BFPIaE!$G$9:$G$3032,MATCH($A513&amp;Keys!$C$54&amp;Keys!$C$56&amp;Keys!$C$54&amp;$B513,Raw_BFPIaE!$H$9:$H$3032,0)))</f>
        <v>0</v>
      </c>
      <c r="R513" s="10">
        <f>IF($E513=Keys!$C$60,Keys!$C$51,INDEX(Raw_BFPIaE!$G$9:$G$3032,MATCH($A513&amp;Keys!$C$54&amp;Keys!$C$57&amp;Keys!$C$54&amp;$B513,Raw_BFPIaE!$H$9:$H$3032,0)))</f>
        <v>0</v>
      </c>
      <c r="S513" s="11">
        <f>IF(($P513+$Q513-$R513+MAX(Keys!$C$51,$R513-$Q513))&gt;Keys!$C$51,MIN(Keys!$C$52,MAX(Keys!$C$51,$R513-$Q513)/($P513+$Q513-$R513+MAX(Keys!$C$51,$R513-$Q513))),Keys!$C$51)</f>
        <v>0</v>
      </c>
      <c r="T513">
        <f>IF(AND($I513&gt;$H513,ABS($L513-$G513)&gt;MAX(Keys!$C$62,ABS($G513)*Keys!$C$63)),1,0)</f>
        <v>0</v>
      </c>
      <c r="U513">
        <f>IF(OR($N513&lt;Keys!$C$51,$N513&gt;Keys!$C$52),1,0)</f>
        <v>0</v>
      </c>
      <c r="V513">
        <f>IF(AND($E513=Keys!$C$60,$N513&lt;&gt;Keys!$C$51),1,0)</f>
        <v>0</v>
      </c>
      <c r="W513">
        <f>IF($L513&gt;Keys!$C$51,IF($K513/$L513&gt;Keys!$C$52,1,0),0)</f>
        <v>0</v>
      </c>
      <c r="X513" s="11">
        <f t="shared" si="31"/>
        <v>0</v>
      </c>
    </row>
    <row r="514" spans="1:24" x14ac:dyDescent="0.25">
      <c r="A514" t="s">
        <v>131</v>
      </c>
      <c r="B514" t="s">
        <v>80</v>
      </c>
      <c r="C514">
        <f>VLOOKUP($B514,Keys!$F$2:$I$22,2,FALSE)</f>
        <v>0</v>
      </c>
      <c r="D514">
        <f>VLOOKUP($B514,Keys!$F$2:$I$22,3,FALSE)</f>
        <v>0</v>
      </c>
      <c r="E514" t="str">
        <f>VLOOKUP($B514,Keys!$F$2:$I$22,4,FALSE)</f>
        <v>zero</v>
      </c>
      <c r="F514" t="str">
        <f>$A514&amp;Keys!$C$54&amp;$B514</f>
        <v>NC|solar (is not a fuel)</v>
      </c>
      <c r="G514" s="10">
        <f>IF($E514=Keys!$C$60,Keys!$C$51,INDEX(Balanced_2025!$D$9:$D$3032,MATCH($A514&amp;Keys!$C$54&amp;Keys!$C$55&amp;Keys!$C$54&amp;$C514,Balanced_2025!$E$9:$E$3032,0)))</f>
        <v>0</v>
      </c>
      <c r="H514" s="10">
        <f>IF($E514=Keys!$C$60,Keys!$C$51,INDEX(Balanced_2025!$D$9:$D$3032,MATCH($A514&amp;Keys!$C$54&amp;Keys!$C$56&amp;Keys!$C$54&amp;$C514,Balanced_2025!$E$9:$E$3032,0)))</f>
        <v>0</v>
      </c>
      <c r="I514" s="10">
        <f>IF($E514=Keys!$C$60,Keys!$C$51,INDEX(Balanced_2025!$D$9:$D$3032,MATCH($A514&amp;Keys!$C$54&amp;Keys!$C$57&amp;Keys!$C$54&amp;$C514,Balanced_2025!$E$9:$E$3032,0)))</f>
        <v>0</v>
      </c>
      <c r="J514" s="10">
        <f t="shared" si="28"/>
        <v>0</v>
      </c>
      <c r="K514" s="10">
        <f>MAX(Keys!$C$51,$I514-$H514)</f>
        <v>0</v>
      </c>
      <c r="L514" s="10">
        <f t="shared" si="29"/>
        <v>0</v>
      </c>
      <c r="M514" s="11">
        <f>IF($L514&gt;Keys!$C$51,MIN(Keys!$C$52,$K514/$L514),Keys!$C$51)</f>
        <v>0</v>
      </c>
      <c r="N514" s="11">
        <f>IF($E514=Keys!$C$60,Keys!$C$51,IF($E514=Keys!$C$59,$D514,$M514))</f>
        <v>0</v>
      </c>
      <c r="O514">
        <f t="shared" si="30"/>
        <v>0</v>
      </c>
      <c r="P514" s="10">
        <f>IF($E514=Keys!$C$60,Keys!$C$51,INDEX(Raw_BFPIaE!$G$9:$G$3032,MATCH($A514&amp;Keys!$C$54&amp;Keys!$C$55&amp;Keys!$C$54&amp;$B514,Raw_BFPIaE!$H$9:$H$3032,0)))</f>
        <v>0</v>
      </c>
      <c r="Q514" s="10">
        <f>IF($E514=Keys!$C$60,Keys!$C$51,INDEX(Raw_BFPIaE!$G$9:$G$3032,MATCH($A514&amp;Keys!$C$54&amp;Keys!$C$56&amp;Keys!$C$54&amp;$B514,Raw_BFPIaE!$H$9:$H$3032,0)))</f>
        <v>0</v>
      </c>
      <c r="R514" s="10">
        <f>IF($E514=Keys!$C$60,Keys!$C$51,INDEX(Raw_BFPIaE!$G$9:$G$3032,MATCH($A514&amp;Keys!$C$54&amp;Keys!$C$57&amp;Keys!$C$54&amp;$B514,Raw_BFPIaE!$H$9:$H$3032,0)))</f>
        <v>0</v>
      </c>
      <c r="S514" s="11">
        <f>IF(($P514+$Q514-$R514+MAX(Keys!$C$51,$R514-$Q514))&gt;Keys!$C$51,MIN(Keys!$C$52,MAX(Keys!$C$51,$R514-$Q514)/($P514+$Q514-$R514+MAX(Keys!$C$51,$R514-$Q514))),Keys!$C$51)</f>
        <v>0</v>
      </c>
      <c r="T514">
        <f>IF(AND($I514&gt;$H514,ABS($L514-$G514)&gt;MAX(Keys!$C$62,ABS($G514)*Keys!$C$63)),1,0)</f>
        <v>0</v>
      </c>
      <c r="U514">
        <f>IF(OR($N514&lt;Keys!$C$51,$N514&gt;Keys!$C$52),1,0)</f>
        <v>0</v>
      </c>
      <c r="V514">
        <f>IF(AND($E514=Keys!$C$60,$N514&lt;&gt;Keys!$C$51),1,0)</f>
        <v>0</v>
      </c>
      <c r="W514">
        <f>IF($L514&gt;Keys!$C$51,IF($K514/$L514&gt;Keys!$C$52,1,0),0)</f>
        <v>0</v>
      </c>
      <c r="X514" s="11">
        <f t="shared" si="31"/>
        <v>0</v>
      </c>
    </row>
    <row r="515" spans="1:24" x14ac:dyDescent="0.25">
      <c r="A515" t="s">
        <v>131</v>
      </c>
      <c r="B515" t="s">
        <v>82</v>
      </c>
      <c r="C515" t="str">
        <f>VLOOKUP($B515,Keys!$F$2:$I$22,2,FALSE)</f>
        <v>biomass</v>
      </c>
      <c r="D515">
        <f>VLOOKUP($B515,Keys!$F$2:$I$22,3,FALSE)</f>
        <v>0.74947425499999998</v>
      </c>
      <c r="E515" t="str">
        <f>VLOOKUP($B515,Keys!$F$2:$I$22,4,FALSE)</f>
        <v>rule</v>
      </c>
      <c r="F515" t="str">
        <f>$A515&amp;Keys!$C$54&amp;$B515</f>
        <v>NC|biomass</v>
      </c>
      <c r="G515" s="10">
        <f>IF($E515=Keys!$C$60,Keys!$C$51,INDEX(Balanced_2025!$D$9:$D$3032,MATCH($A515&amp;Keys!$C$54&amp;Keys!$C$55&amp;Keys!$C$54&amp;$C515,Balanced_2025!$E$9:$E$3032,0)))</f>
        <v>34205100000000</v>
      </c>
      <c r="H515" s="10">
        <f>IF($E515=Keys!$C$60,Keys!$C$51,INDEX(Balanced_2025!$D$9:$D$3032,MATCH($A515&amp;Keys!$C$54&amp;Keys!$C$56&amp;Keys!$C$54&amp;$C515,Balanced_2025!$E$9:$E$3032,0)))</f>
        <v>50248500000000</v>
      </c>
      <c r="I515" s="10">
        <f>IF($E515=Keys!$C$60,Keys!$C$51,INDEX(Balanced_2025!$D$9:$D$3032,MATCH($A515&amp;Keys!$C$54&amp;Keys!$C$57&amp;Keys!$C$54&amp;$C515,Balanced_2025!$E$9:$E$3032,0)))</f>
        <v>0</v>
      </c>
      <c r="J515" s="10">
        <f t="shared" si="28"/>
        <v>84453600000000</v>
      </c>
      <c r="K515" s="10">
        <f>MAX(Keys!$C$51,$I515-$H515)</f>
        <v>0</v>
      </c>
      <c r="L515" s="10">
        <f t="shared" si="29"/>
        <v>84453600000000</v>
      </c>
      <c r="M515" s="11">
        <f>IF($L515&gt;Keys!$C$51,MIN(Keys!$C$52,$K515/$L515),Keys!$C$51)</f>
        <v>0</v>
      </c>
      <c r="N515" s="11">
        <f>IF($E515=Keys!$C$60,Keys!$C$51,IF($E515=Keys!$C$59,$D515,$M515))</f>
        <v>0</v>
      </c>
      <c r="O515">
        <f t="shared" si="30"/>
        <v>1</v>
      </c>
      <c r="P515" s="10">
        <f>IF($E515=Keys!$C$60,Keys!$C$51,INDEX(Raw_BFPIaE!$G$9:$G$3032,MATCH($A515&amp;Keys!$C$54&amp;Keys!$C$55&amp;Keys!$C$54&amp;$B515,Raw_BFPIaE!$H$9:$H$3032,0)))</f>
        <v>34205100000000</v>
      </c>
      <c r="Q515" s="10">
        <f>IF($E515=Keys!$C$60,Keys!$C$51,INDEX(Raw_BFPIaE!$G$9:$G$3032,MATCH($A515&amp;Keys!$C$54&amp;Keys!$C$56&amp;Keys!$C$54&amp;$B515,Raw_BFPIaE!$H$9:$H$3032,0)))</f>
        <v>35392300000000</v>
      </c>
      <c r="R515" s="10">
        <f>IF($E515=Keys!$C$60,Keys!$C$51,INDEX(Raw_BFPIaE!$G$9:$G$3032,MATCH($A515&amp;Keys!$C$54&amp;Keys!$C$57&amp;Keys!$C$54&amp;$B515,Raw_BFPIaE!$H$9:$H$3032,0)))</f>
        <v>0</v>
      </c>
      <c r="S515" s="11">
        <f>IF(($P515+$Q515-$R515+MAX(Keys!$C$51,$R515-$Q515))&gt;Keys!$C$51,MIN(Keys!$C$52,MAX(Keys!$C$51,$R515-$Q515)/($P515+$Q515-$R515+MAX(Keys!$C$51,$R515-$Q515))),Keys!$C$51)</f>
        <v>0</v>
      </c>
      <c r="T515">
        <f>IF(AND($I515&gt;$H515,ABS($L515-$G515)&gt;MAX(Keys!$C$62,ABS($G515)*Keys!$C$63)),1,0)</f>
        <v>0</v>
      </c>
      <c r="U515">
        <f>IF(OR($N515&lt;Keys!$C$51,$N515&gt;Keys!$C$52),1,0)</f>
        <v>0</v>
      </c>
      <c r="V515">
        <f>IF(AND($E515=Keys!$C$60,$N515&lt;&gt;Keys!$C$51),1,0)</f>
        <v>0</v>
      </c>
      <c r="W515">
        <f>IF($L515&gt;Keys!$C$51,IF($K515/$L515&gt;Keys!$C$52,1,0),0)</f>
        <v>0</v>
      </c>
      <c r="X515" s="11">
        <f t="shared" si="31"/>
        <v>0</v>
      </c>
    </row>
    <row r="516" spans="1:24" x14ac:dyDescent="0.25">
      <c r="A516" t="s">
        <v>131</v>
      </c>
      <c r="B516" t="s">
        <v>85</v>
      </c>
      <c r="C516" t="str">
        <f>VLOOKUP($B516,Keys!$F$2:$I$22,2,FALSE)</f>
        <v>petroleum gasoline</v>
      </c>
      <c r="D516">
        <f>VLOOKUP($B516,Keys!$F$2:$I$22,3,FALSE)</f>
        <v>7.5004052000000002E-2</v>
      </c>
      <c r="E516" t="str">
        <f>VLOOKUP($B516,Keys!$F$2:$I$22,4,FALSE)</f>
        <v>rule</v>
      </c>
      <c r="F516" t="str">
        <f>$A516&amp;Keys!$C$54&amp;$B516</f>
        <v>NC|petroleum gasoline</v>
      </c>
      <c r="G516" s="10">
        <f>IF($E516=Keys!$C$60,Keys!$C$51,INDEX(Balanced_2025!$D$9:$D$3032,MATCH($A516&amp;Keys!$C$54&amp;Keys!$C$55&amp;Keys!$C$54&amp;$C516,Balanced_2025!$E$9:$E$3032,0)))</f>
        <v>0</v>
      </c>
      <c r="H516" s="10">
        <f>IF($E516=Keys!$C$60,Keys!$C$51,INDEX(Balanced_2025!$D$9:$D$3032,MATCH($A516&amp;Keys!$C$54&amp;Keys!$C$56&amp;Keys!$C$54&amp;$C516,Balanced_2025!$E$9:$E$3032,0)))</f>
        <v>553965000000000</v>
      </c>
      <c r="I516" s="10">
        <f>IF($E516=Keys!$C$60,Keys!$C$51,INDEX(Balanced_2025!$D$9:$D$3032,MATCH($A516&amp;Keys!$C$54&amp;Keys!$C$57&amp;Keys!$C$54&amp;$C516,Balanced_2025!$E$9:$E$3032,0)))</f>
        <v>0</v>
      </c>
      <c r="J516" s="10">
        <f t="shared" ref="J516:J579" si="32">$G516+$H516-$I516</f>
        <v>553965000000000</v>
      </c>
      <c r="K516" s="10">
        <f>MAX(Keys!$C$51,$I516-$H516)</f>
        <v>0</v>
      </c>
      <c r="L516" s="10">
        <f t="shared" ref="L516:L579" si="33">$K516+$J516</f>
        <v>553965000000000</v>
      </c>
      <c r="M516" s="11">
        <f>IF($L516&gt;Keys!$C$51,MIN(Keys!$C$52,$K516/$L516),Keys!$C$51)</f>
        <v>0</v>
      </c>
      <c r="N516" s="11">
        <f>IF($E516=Keys!$C$60,Keys!$C$51,IF($E516=Keys!$C$59,$D516,$M516))</f>
        <v>0</v>
      </c>
      <c r="O516">
        <f t="shared" ref="O516:O579" si="34">IF($N516&lt;&gt;$D516,1,0)</f>
        <v>1</v>
      </c>
      <c r="P516" s="10">
        <f>IF($E516=Keys!$C$60,Keys!$C$51,INDEX(Raw_BFPIaE!$G$9:$G$3032,MATCH($A516&amp;Keys!$C$54&amp;Keys!$C$55&amp;Keys!$C$54&amp;$B516,Raw_BFPIaE!$H$9:$H$3032,0)))</f>
        <v>0</v>
      </c>
      <c r="Q516" s="10">
        <f>IF($E516=Keys!$C$60,Keys!$C$51,INDEX(Raw_BFPIaE!$G$9:$G$3032,MATCH($A516&amp;Keys!$C$54&amp;Keys!$C$56&amp;Keys!$C$54&amp;$B516,Raw_BFPIaE!$H$9:$H$3032,0)))</f>
        <v>349321333333333.31</v>
      </c>
      <c r="R516" s="10">
        <f>IF($E516=Keys!$C$60,Keys!$C$51,INDEX(Raw_BFPIaE!$G$9:$G$3032,MATCH($A516&amp;Keys!$C$54&amp;Keys!$C$57&amp;Keys!$C$54&amp;$B516,Raw_BFPIaE!$H$9:$H$3032,0)))</f>
        <v>0</v>
      </c>
      <c r="S516" s="11">
        <f>IF(($P516+$Q516-$R516+MAX(Keys!$C$51,$R516-$Q516))&gt;Keys!$C$51,MIN(Keys!$C$52,MAX(Keys!$C$51,$R516-$Q516)/($P516+$Q516-$R516+MAX(Keys!$C$51,$R516-$Q516))),Keys!$C$51)</f>
        <v>0</v>
      </c>
      <c r="T516">
        <f>IF(AND($I516&gt;$H516,ABS($L516-$G516)&gt;MAX(Keys!$C$62,ABS($G516)*Keys!$C$63)),1,0)</f>
        <v>0</v>
      </c>
      <c r="U516">
        <f>IF(OR($N516&lt;Keys!$C$51,$N516&gt;Keys!$C$52),1,0)</f>
        <v>0</v>
      </c>
      <c r="V516">
        <f>IF(AND($E516=Keys!$C$60,$N516&lt;&gt;Keys!$C$51),1,0)</f>
        <v>0</v>
      </c>
      <c r="W516">
        <f>IF($L516&gt;Keys!$C$51,IF($K516/$L516&gt;Keys!$C$52,1,0),0)</f>
        <v>0</v>
      </c>
      <c r="X516" s="11">
        <f t="shared" ref="X516:X579" si="35">ABS($M516-$S516)</f>
        <v>0</v>
      </c>
    </row>
    <row r="517" spans="1:24" x14ac:dyDescent="0.25">
      <c r="A517" t="s">
        <v>131</v>
      </c>
      <c r="B517" t="s">
        <v>88</v>
      </c>
      <c r="C517" t="str">
        <f>VLOOKUP($B517,Keys!$F$2:$I$22,2,FALSE)</f>
        <v>petroleum diesel</v>
      </c>
      <c r="D517">
        <f>VLOOKUP($B517,Keys!$F$2:$I$22,3,FALSE)</f>
        <v>0.26691051799999999</v>
      </c>
      <c r="E517" t="str">
        <f>VLOOKUP($B517,Keys!$F$2:$I$22,4,FALSE)</f>
        <v>rule</v>
      </c>
      <c r="F517" t="str">
        <f>$A517&amp;Keys!$C$54&amp;$B517</f>
        <v>NC|petroleum diesel</v>
      </c>
      <c r="G517" s="10">
        <f>IF($E517=Keys!$C$60,Keys!$C$51,INDEX(Balanced_2025!$D$9:$D$3032,MATCH($A517&amp;Keys!$C$54&amp;Keys!$C$55&amp;Keys!$C$54&amp;$C517,Balanced_2025!$E$9:$E$3032,0)))</f>
        <v>0</v>
      </c>
      <c r="H517" s="10">
        <f>IF($E517=Keys!$C$60,Keys!$C$51,INDEX(Balanced_2025!$D$9:$D$3032,MATCH($A517&amp;Keys!$C$54&amp;Keys!$C$56&amp;Keys!$C$54&amp;$C517,Balanced_2025!$E$9:$E$3032,0)))</f>
        <v>214384000000000</v>
      </c>
      <c r="I517" s="10">
        <f>IF($E517=Keys!$C$60,Keys!$C$51,INDEX(Balanced_2025!$D$9:$D$3032,MATCH($A517&amp;Keys!$C$54&amp;Keys!$C$57&amp;Keys!$C$54&amp;$C517,Balanced_2025!$E$9:$E$3032,0)))</f>
        <v>0</v>
      </c>
      <c r="J517" s="10">
        <f t="shared" si="32"/>
        <v>214384000000000</v>
      </c>
      <c r="K517" s="10">
        <f>MAX(Keys!$C$51,$I517-$H517)</f>
        <v>0</v>
      </c>
      <c r="L517" s="10">
        <f t="shared" si="33"/>
        <v>214384000000000</v>
      </c>
      <c r="M517" s="11">
        <f>IF($L517&gt;Keys!$C$51,MIN(Keys!$C$52,$K517/$L517),Keys!$C$51)</f>
        <v>0</v>
      </c>
      <c r="N517" s="11">
        <f>IF($E517=Keys!$C$60,Keys!$C$51,IF($E517=Keys!$C$59,$D517,$M517))</f>
        <v>0</v>
      </c>
      <c r="O517">
        <f t="shared" si="34"/>
        <v>1</v>
      </c>
      <c r="P517" s="10">
        <f>IF($E517=Keys!$C$60,Keys!$C$51,INDEX(Raw_BFPIaE!$G$9:$G$3032,MATCH($A517&amp;Keys!$C$54&amp;Keys!$C$55&amp;Keys!$C$54&amp;$B517,Raw_BFPIaE!$H$9:$H$3032,0)))</f>
        <v>0</v>
      </c>
      <c r="Q517" s="10">
        <f>IF($E517=Keys!$C$60,Keys!$C$51,INDEX(Raw_BFPIaE!$G$9:$G$3032,MATCH($A517&amp;Keys!$C$54&amp;Keys!$C$56&amp;Keys!$C$54&amp;$B517,Raw_BFPIaE!$H$9:$H$3032,0)))</f>
        <v>140873666666666.66</v>
      </c>
      <c r="R517" s="10">
        <f>IF($E517=Keys!$C$60,Keys!$C$51,INDEX(Raw_BFPIaE!$G$9:$G$3032,MATCH($A517&amp;Keys!$C$54&amp;Keys!$C$57&amp;Keys!$C$54&amp;$B517,Raw_BFPIaE!$H$9:$H$3032,0)))</f>
        <v>0</v>
      </c>
      <c r="S517" s="11">
        <f>IF(($P517+$Q517-$R517+MAX(Keys!$C$51,$R517-$Q517))&gt;Keys!$C$51,MIN(Keys!$C$52,MAX(Keys!$C$51,$R517-$Q517)/($P517+$Q517-$R517+MAX(Keys!$C$51,$R517-$Q517))),Keys!$C$51)</f>
        <v>0</v>
      </c>
      <c r="T517">
        <f>IF(AND($I517&gt;$H517,ABS($L517-$G517)&gt;MAX(Keys!$C$62,ABS($G517)*Keys!$C$63)),1,0)</f>
        <v>0</v>
      </c>
      <c r="U517">
        <f>IF(OR($N517&lt;Keys!$C$51,$N517&gt;Keys!$C$52),1,0)</f>
        <v>0</v>
      </c>
      <c r="V517">
        <f>IF(AND($E517=Keys!$C$60,$N517&lt;&gt;Keys!$C$51),1,0)</f>
        <v>0</v>
      </c>
      <c r="W517">
        <f>IF($L517&gt;Keys!$C$51,IF($K517/$L517&gt;Keys!$C$52,1,0),0)</f>
        <v>0</v>
      </c>
      <c r="X517" s="11">
        <f t="shared" si="35"/>
        <v>0</v>
      </c>
    </row>
    <row r="518" spans="1:24" x14ac:dyDescent="0.25">
      <c r="A518" t="s">
        <v>131</v>
      </c>
      <c r="B518" t="s">
        <v>91</v>
      </c>
      <c r="C518" t="str">
        <f>VLOOKUP($B518,Keys!$F$2:$I$22,2,FALSE)</f>
        <v>biofuel gasoline</v>
      </c>
      <c r="D518">
        <f>VLOOKUP($B518,Keys!$F$2:$I$22,3,FALSE)</f>
        <v>8.7213884000000005E-2</v>
      </c>
      <c r="E518" t="str">
        <f>VLOOKUP($B518,Keys!$F$2:$I$22,4,FALSE)</f>
        <v>rule</v>
      </c>
      <c r="F518" t="str">
        <f>$A518&amp;Keys!$C$54&amp;$B518</f>
        <v>NC|biofuel gasoline</v>
      </c>
      <c r="G518" s="10">
        <f>IF($E518=Keys!$C$60,Keys!$C$51,INDEX(Balanced_2025!$D$9:$D$3032,MATCH($A518&amp;Keys!$C$54&amp;Keys!$C$55&amp;Keys!$C$54&amp;$C518,Balanced_2025!$E$9:$E$3032,0)))</f>
        <v>0</v>
      </c>
      <c r="H518" s="10">
        <f>IF($E518=Keys!$C$60,Keys!$C$51,INDEX(Balanced_2025!$D$9:$D$3032,MATCH($A518&amp;Keys!$C$54&amp;Keys!$C$56&amp;Keys!$C$54&amp;$C518,Balanced_2025!$E$9:$E$3032,0)))</f>
        <v>38082900000000</v>
      </c>
      <c r="I518" s="10">
        <f>IF($E518=Keys!$C$60,Keys!$C$51,INDEX(Balanced_2025!$D$9:$D$3032,MATCH($A518&amp;Keys!$C$54&amp;Keys!$C$57&amp;Keys!$C$54&amp;$C518,Balanced_2025!$E$9:$E$3032,0)))</f>
        <v>0</v>
      </c>
      <c r="J518" s="10">
        <f t="shared" si="32"/>
        <v>38082900000000</v>
      </c>
      <c r="K518" s="10">
        <f>MAX(Keys!$C$51,$I518-$H518)</f>
        <v>0</v>
      </c>
      <c r="L518" s="10">
        <f t="shared" si="33"/>
        <v>38082900000000</v>
      </c>
      <c r="M518" s="11">
        <f>IF($L518&gt;Keys!$C$51,MIN(Keys!$C$52,$K518/$L518),Keys!$C$51)</f>
        <v>0</v>
      </c>
      <c r="N518" s="11">
        <f>IF($E518=Keys!$C$60,Keys!$C$51,IF($E518=Keys!$C$59,$D518,$M518))</f>
        <v>0</v>
      </c>
      <c r="O518">
        <f t="shared" si="34"/>
        <v>1</v>
      </c>
      <c r="P518" s="10">
        <f>IF($E518=Keys!$C$60,Keys!$C$51,INDEX(Raw_BFPIaE!$G$9:$G$3032,MATCH($A518&amp;Keys!$C$54&amp;Keys!$C$55&amp;Keys!$C$54&amp;$B518,Raw_BFPIaE!$H$9:$H$3032,0)))</f>
        <v>0</v>
      </c>
      <c r="Q518" s="10">
        <f>IF($E518=Keys!$C$60,Keys!$C$51,INDEX(Raw_BFPIaE!$G$9:$G$3032,MATCH($A518&amp;Keys!$C$54&amp;Keys!$C$56&amp;Keys!$C$54&amp;$B518,Raw_BFPIaE!$H$9:$H$3032,0)))</f>
        <v>24001933333333.332</v>
      </c>
      <c r="R518" s="10">
        <f>IF($E518=Keys!$C$60,Keys!$C$51,INDEX(Raw_BFPIaE!$G$9:$G$3032,MATCH($A518&amp;Keys!$C$54&amp;Keys!$C$57&amp;Keys!$C$54&amp;$B518,Raw_BFPIaE!$H$9:$H$3032,0)))</f>
        <v>0</v>
      </c>
      <c r="S518" s="11">
        <f>IF(($P518+$Q518-$R518+MAX(Keys!$C$51,$R518-$Q518))&gt;Keys!$C$51,MIN(Keys!$C$52,MAX(Keys!$C$51,$R518-$Q518)/($P518+$Q518-$R518+MAX(Keys!$C$51,$R518-$Q518))),Keys!$C$51)</f>
        <v>0</v>
      </c>
      <c r="T518">
        <f>IF(AND($I518&gt;$H518,ABS($L518-$G518)&gt;MAX(Keys!$C$62,ABS($G518)*Keys!$C$63)),1,0)</f>
        <v>0</v>
      </c>
      <c r="U518">
        <f>IF(OR($N518&lt;Keys!$C$51,$N518&gt;Keys!$C$52),1,0)</f>
        <v>0</v>
      </c>
      <c r="V518">
        <f>IF(AND($E518=Keys!$C$60,$N518&lt;&gt;Keys!$C$51),1,0)</f>
        <v>0</v>
      </c>
      <c r="W518">
        <f>IF($L518&gt;Keys!$C$51,IF($K518/$L518&gt;Keys!$C$52,1,0),0)</f>
        <v>0</v>
      </c>
      <c r="X518" s="11">
        <f t="shared" si="35"/>
        <v>0</v>
      </c>
    </row>
    <row r="519" spans="1:24" x14ac:dyDescent="0.25">
      <c r="A519" t="s">
        <v>131</v>
      </c>
      <c r="B519" t="s">
        <v>94</v>
      </c>
      <c r="C519" t="str">
        <f>VLOOKUP($B519,Keys!$F$2:$I$22,2,FALSE)</f>
        <v>biofuel diesel</v>
      </c>
      <c r="D519">
        <f>VLOOKUP($B519,Keys!$F$2:$I$22,3,FALSE)</f>
        <v>5.8642381E-2</v>
      </c>
      <c r="E519" t="str">
        <f>VLOOKUP($B519,Keys!$F$2:$I$22,4,FALSE)</f>
        <v>rule</v>
      </c>
      <c r="F519" t="str">
        <f>$A519&amp;Keys!$C$54&amp;$B519</f>
        <v>NC|biofuel diesel</v>
      </c>
      <c r="G519" s="10">
        <f>IF($E519=Keys!$C$60,Keys!$C$51,INDEX(Balanced_2025!$D$9:$D$3032,MATCH($A519&amp;Keys!$C$54&amp;Keys!$C$55&amp;Keys!$C$54&amp;$C519,Balanced_2025!$E$9:$E$3032,0)))</f>
        <v>610941000000</v>
      </c>
      <c r="H519" s="10">
        <f>IF($E519=Keys!$C$60,Keys!$C$51,INDEX(Balanced_2025!$D$9:$D$3032,MATCH($A519&amp;Keys!$C$54&amp;Keys!$C$56&amp;Keys!$C$54&amp;$C519,Balanced_2025!$E$9:$E$3032,0)))</f>
        <v>774841000000</v>
      </c>
      <c r="I519" s="10">
        <f>IF($E519=Keys!$C$60,Keys!$C$51,INDEX(Balanced_2025!$D$9:$D$3032,MATCH($A519&amp;Keys!$C$54&amp;Keys!$C$57&amp;Keys!$C$54&amp;$C519,Balanced_2025!$E$9:$E$3032,0)))</f>
        <v>0</v>
      </c>
      <c r="J519" s="10">
        <f t="shared" si="32"/>
        <v>1385782000000</v>
      </c>
      <c r="K519" s="10">
        <f>MAX(Keys!$C$51,$I519-$H519)</f>
        <v>0</v>
      </c>
      <c r="L519" s="10">
        <f t="shared" si="33"/>
        <v>1385782000000</v>
      </c>
      <c r="M519" s="11">
        <f>IF($L519&gt;Keys!$C$51,MIN(Keys!$C$52,$K519/$L519),Keys!$C$51)</f>
        <v>0</v>
      </c>
      <c r="N519" s="11">
        <f>IF($E519=Keys!$C$60,Keys!$C$51,IF($E519=Keys!$C$59,$D519,$M519))</f>
        <v>0</v>
      </c>
      <c r="O519">
        <f t="shared" si="34"/>
        <v>1</v>
      </c>
      <c r="P519" s="10">
        <f>IF($E519=Keys!$C$60,Keys!$C$51,INDEX(Raw_BFPIaE!$G$9:$G$3032,MATCH($A519&amp;Keys!$C$54&amp;Keys!$C$55&amp;Keys!$C$54&amp;$B519,Raw_BFPIaE!$H$9:$H$3032,0)))</f>
        <v>649198666666.66663</v>
      </c>
      <c r="Q519" s="10">
        <f>IF($E519=Keys!$C$60,Keys!$C$51,INDEX(Raw_BFPIaE!$G$9:$G$3032,MATCH($A519&amp;Keys!$C$54&amp;Keys!$C$56&amp;Keys!$C$54&amp;$B519,Raw_BFPIaE!$H$9:$H$3032,0)))</f>
        <v>461097666666.66669</v>
      </c>
      <c r="R519" s="10">
        <f>IF($E519=Keys!$C$60,Keys!$C$51,INDEX(Raw_BFPIaE!$G$9:$G$3032,MATCH($A519&amp;Keys!$C$54&amp;Keys!$C$57&amp;Keys!$C$54&amp;$B519,Raw_BFPIaE!$H$9:$H$3032,0)))</f>
        <v>0</v>
      </c>
      <c r="S519" s="11">
        <f>IF(($P519+$Q519-$R519+MAX(Keys!$C$51,$R519-$Q519))&gt;Keys!$C$51,MIN(Keys!$C$52,MAX(Keys!$C$51,$R519-$Q519)/($P519+$Q519-$R519+MAX(Keys!$C$51,$R519-$Q519))),Keys!$C$51)</f>
        <v>0</v>
      </c>
      <c r="T519">
        <f>IF(AND($I519&gt;$H519,ABS($L519-$G519)&gt;MAX(Keys!$C$62,ABS($G519)*Keys!$C$63)),1,0)</f>
        <v>0</v>
      </c>
      <c r="U519">
        <f>IF(OR($N519&lt;Keys!$C$51,$N519&gt;Keys!$C$52),1,0)</f>
        <v>0</v>
      </c>
      <c r="V519">
        <f>IF(AND($E519=Keys!$C$60,$N519&lt;&gt;Keys!$C$51),1,0)</f>
        <v>0</v>
      </c>
      <c r="W519">
        <f>IF($L519&gt;Keys!$C$51,IF($K519/$L519&gt;Keys!$C$52,1,0),0)</f>
        <v>0</v>
      </c>
      <c r="X519" s="11">
        <f t="shared" si="35"/>
        <v>0</v>
      </c>
    </row>
    <row r="520" spans="1:24" x14ac:dyDescent="0.25">
      <c r="A520" t="s">
        <v>131</v>
      </c>
      <c r="B520" t="s">
        <v>97</v>
      </c>
      <c r="C520" t="str">
        <f>VLOOKUP($B520,Keys!$F$2:$I$22,2,FALSE)</f>
        <v>jet fuel or kerosene</v>
      </c>
      <c r="D520">
        <f>VLOOKUP($B520,Keys!$F$2:$I$22,3,FALSE)</f>
        <v>0.10155994</v>
      </c>
      <c r="E520" t="str">
        <f>VLOOKUP($B520,Keys!$F$2:$I$22,4,FALSE)</f>
        <v>rule</v>
      </c>
      <c r="F520" t="str">
        <f>$A520&amp;Keys!$C$54&amp;$B520</f>
        <v>NC|jet fuel or kerosene</v>
      </c>
      <c r="G520" s="10">
        <f>IF($E520=Keys!$C$60,Keys!$C$51,INDEX(Balanced_2025!$D$9:$D$3032,MATCH($A520&amp;Keys!$C$54&amp;Keys!$C$55&amp;Keys!$C$54&amp;$C520,Balanced_2025!$E$9:$E$3032,0)))</f>
        <v>0</v>
      </c>
      <c r="H520" s="10">
        <f>IF($E520=Keys!$C$60,Keys!$C$51,INDEX(Balanced_2025!$D$9:$D$3032,MATCH($A520&amp;Keys!$C$54&amp;Keys!$C$56&amp;Keys!$C$54&amp;$C520,Balanced_2025!$E$9:$E$3032,0)))</f>
        <v>98304100000000</v>
      </c>
      <c r="I520" s="10">
        <f>IF($E520=Keys!$C$60,Keys!$C$51,INDEX(Balanced_2025!$D$9:$D$3032,MATCH($A520&amp;Keys!$C$54&amp;Keys!$C$57&amp;Keys!$C$54&amp;$C520,Balanced_2025!$E$9:$E$3032,0)))</f>
        <v>0</v>
      </c>
      <c r="J520" s="10">
        <f t="shared" si="32"/>
        <v>98304100000000</v>
      </c>
      <c r="K520" s="10">
        <f>MAX(Keys!$C$51,$I520-$H520)</f>
        <v>0</v>
      </c>
      <c r="L520" s="10">
        <f t="shared" si="33"/>
        <v>98304100000000</v>
      </c>
      <c r="M520" s="11">
        <f>IF($L520&gt;Keys!$C$51,MIN(Keys!$C$52,$K520/$L520),Keys!$C$51)</f>
        <v>0</v>
      </c>
      <c r="N520" s="11">
        <f>IF($E520=Keys!$C$60,Keys!$C$51,IF($E520=Keys!$C$59,$D520,$M520))</f>
        <v>0</v>
      </c>
      <c r="O520">
        <f t="shared" si="34"/>
        <v>1</v>
      </c>
      <c r="P520" s="10">
        <f>IF($E520=Keys!$C$60,Keys!$C$51,INDEX(Raw_BFPIaE!$G$9:$G$3032,MATCH($A520&amp;Keys!$C$54&amp;Keys!$C$55&amp;Keys!$C$54&amp;$B520,Raw_BFPIaE!$H$9:$H$3032,0)))</f>
        <v>0</v>
      </c>
      <c r="Q520" s="10">
        <f>IF($E520=Keys!$C$60,Keys!$C$51,INDEX(Raw_BFPIaE!$G$9:$G$3032,MATCH($A520&amp;Keys!$C$54&amp;Keys!$C$56&amp;Keys!$C$54&amp;$B520,Raw_BFPIaE!$H$9:$H$3032,0)))</f>
        <v>67014200000000</v>
      </c>
      <c r="R520" s="10">
        <f>IF($E520=Keys!$C$60,Keys!$C$51,INDEX(Raw_BFPIaE!$G$9:$G$3032,MATCH($A520&amp;Keys!$C$54&amp;Keys!$C$57&amp;Keys!$C$54&amp;$B520,Raw_BFPIaE!$H$9:$H$3032,0)))</f>
        <v>0</v>
      </c>
      <c r="S520" s="11">
        <f>IF(($P520+$Q520-$R520+MAX(Keys!$C$51,$R520-$Q520))&gt;Keys!$C$51,MIN(Keys!$C$52,MAX(Keys!$C$51,$R520-$Q520)/($P520+$Q520-$R520+MAX(Keys!$C$51,$R520-$Q520))),Keys!$C$51)</f>
        <v>0</v>
      </c>
      <c r="T520">
        <f>IF(AND($I520&gt;$H520,ABS($L520-$G520)&gt;MAX(Keys!$C$62,ABS($G520)*Keys!$C$63)),1,0)</f>
        <v>0</v>
      </c>
      <c r="U520">
        <f>IF(OR($N520&lt;Keys!$C$51,$N520&gt;Keys!$C$52),1,0)</f>
        <v>0</v>
      </c>
      <c r="V520">
        <f>IF(AND($E520=Keys!$C$60,$N520&lt;&gt;Keys!$C$51),1,0)</f>
        <v>0</v>
      </c>
      <c r="W520">
        <f>IF($L520&gt;Keys!$C$51,IF($K520/$L520&gt;Keys!$C$52,1,0),0)</f>
        <v>0</v>
      </c>
      <c r="X520" s="11">
        <f t="shared" si="35"/>
        <v>0</v>
      </c>
    </row>
    <row r="521" spans="1:24" x14ac:dyDescent="0.25">
      <c r="A521" t="s">
        <v>131</v>
      </c>
      <c r="B521" t="s">
        <v>100</v>
      </c>
      <c r="C521">
        <f>VLOOKUP($B521,Keys!$F$2:$I$22,2,FALSE)</f>
        <v>0</v>
      </c>
      <c r="D521">
        <f>VLOOKUP($B521,Keys!$F$2:$I$22,3,FALSE)</f>
        <v>0</v>
      </c>
      <c r="E521" t="str">
        <f>VLOOKUP($B521,Keys!$F$2:$I$22,4,FALSE)</f>
        <v>zero</v>
      </c>
      <c r="F521" t="str">
        <f>$A521&amp;Keys!$C$54&amp;$B521</f>
        <v>NC|heat (not used in this variable)</v>
      </c>
      <c r="G521" s="10">
        <f>IF($E521=Keys!$C$60,Keys!$C$51,INDEX(Balanced_2025!$D$9:$D$3032,MATCH($A521&amp;Keys!$C$54&amp;Keys!$C$55&amp;Keys!$C$54&amp;$C521,Balanced_2025!$E$9:$E$3032,0)))</f>
        <v>0</v>
      </c>
      <c r="H521" s="10">
        <f>IF($E521=Keys!$C$60,Keys!$C$51,INDEX(Balanced_2025!$D$9:$D$3032,MATCH($A521&amp;Keys!$C$54&amp;Keys!$C$56&amp;Keys!$C$54&amp;$C521,Balanced_2025!$E$9:$E$3032,0)))</f>
        <v>0</v>
      </c>
      <c r="I521" s="10">
        <f>IF($E521=Keys!$C$60,Keys!$C$51,INDEX(Balanced_2025!$D$9:$D$3032,MATCH($A521&amp;Keys!$C$54&amp;Keys!$C$57&amp;Keys!$C$54&amp;$C521,Balanced_2025!$E$9:$E$3032,0)))</f>
        <v>0</v>
      </c>
      <c r="J521" s="10">
        <f t="shared" si="32"/>
        <v>0</v>
      </c>
      <c r="K521" s="10">
        <f>MAX(Keys!$C$51,$I521-$H521)</f>
        <v>0</v>
      </c>
      <c r="L521" s="10">
        <f t="shared" si="33"/>
        <v>0</v>
      </c>
      <c r="M521" s="11">
        <f>IF($L521&gt;Keys!$C$51,MIN(Keys!$C$52,$K521/$L521),Keys!$C$51)</f>
        <v>0</v>
      </c>
      <c r="N521" s="11">
        <f>IF($E521=Keys!$C$60,Keys!$C$51,IF($E521=Keys!$C$59,$D521,$M521))</f>
        <v>0</v>
      </c>
      <c r="O521">
        <f t="shared" si="34"/>
        <v>0</v>
      </c>
      <c r="P521" s="10">
        <f>IF($E521=Keys!$C$60,Keys!$C$51,INDEX(Raw_BFPIaE!$G$9:$G$3032,MATCH($A521&amp;Keys!$C$54&amp;Keys!$C$55&amp;Keys!$C$54&amp;$B521,Raw_BFPIaE!$H$9:$H$3032,0)))</f>
        <v>0</v>
      </c>
      <c r="Q521" s="10">
        <f>IF($E521=Keys!$C$60,Keys!$C$51,INDEX(Raw_BFPIaE!$G$9:$G$3032,MATCH($A521&amp;Keys!$C$54&amp;Keys!$C$56&amp;Keys!$C$54&amp;$B521,Raw_BFPIaE!$H$9:$H$3032,0)))</f>
        <v>0</v>
      </c>
      <c r="R521" s="10">
        <f>IF($E521=Keys!$C$60,Keys!$C$51,INDEX(Raw_BFPIaE!$G$9:$G$3032,MATCH($A521&amp;Keys!$C$54&amp;Keys!$C$57&amp;Keys!$C$54&amp;$B521,Raw_BFPIaE!$H$9:$H$3032,0)))</f>
        <v>0</v>
      </c>
      <c r="S521" s="11">
        <f>IF(($P521+$Q521-$R521+MAX(Keys!$C$51,$R521-$Q521))&gt;Keys!$C$51,MIN(Keys!$C$52,MAX(Keys!$C$51,$R521-$Q521)/($P521+$Q521-$R521+MAX(Keys!$C$51,$R521-$Q521))),Keys!$C$51)</f>
        <v>0</v>
      </c>
      <c r="T521">
        <f>IF(AND($I521&gt;$H521,ABS($L521-$G521)&gt;MAX(Keys!$C$62,ABS($G521)*Keys!$C$63)),1,0)</f>
        <v>0</v>
      </c>
      <c r="U521">
        <f>IF(OR($N521&lt;Keys!$C$51,$N521&gt;Keys!$C$52),1,0)</f>
        <v>0</v>
      </c>
      <c r="V521">
        <f>IF(AND($E521=Keys!$C$60,$N521&lt;&gt;Keys!$C$51),1,0)</f>
        <v>0</v>
      </c>
      <c r="W521">
        <f>IF($L521&gt;Keys!$C$51,IF($K521/$L521&gt;Keys!$C$52,1,0),0)</f>
        <v>0</v>
      </c>
      <c r="X521" s="11">
        <f t="shared" si="35"/>
        <v>0</v>
      </c>
    </row>
    <row r="522" spans="1:24" x14ac:dyDescent="0.25">
      <c r="A522" t="s">
        <v>131</v>
      </c>
      <c r="B522" t="s">
        <v>103</v>
      </c>
      <c r="C522">
        <f>VLOOKUP($B522,Keys!$F$2:$I$22,2,FALSE)</f>
        <v>0</v>
      </c>
      <c r="D522">
        <f>VLOOKUP($B522,Keys!$F$2:$I$22,3,FALSE)</f>
        <v>0</v>
      </c>
      <c r="E522" t="str">
        <f>VLOOKUP($B522,Keys!$F$2:$I$22,4,FALSE)</f>
        <v>zero</v>
      </c>
      <c r="F522" t="str">
        <f>$A522&amp;Keys!$C$54&amp;$B522</f>
        <v>NC|geothermal (is not a fuel)</v>
      </c>
      <c r="G522" s="10">
        <f>IF($E522=Keys!$C$60,Keys!$C$51,INDEX(Balanced_2025!$D$9:$D$3032,MATCH($A522&amp;Keys!$C$54&amp;Keys!$C$55&amp;Keys!$C$54&amp;$C522,Balanced_2025!$E$9:$E$3032,0)))</f>
        <v>0</v>
      </c>
      <c r="H522" s="10">
        <f>IF($E522=Keys!$C$60,Keys!$C$51,INDEX(Balanced_2025!$D$9:$D$3032,MATCH($A522&amp;Keys!$C$54&amp;Keys!$C$56&amp;Keys!$C$54&amp;$C522,Balanced_2025!$E$9:$E$3032,0)))</f>
        <v>0</v>
      </c>
      <c r="I522" s="10">
        <f>IF($E522=Keys!$C$60,Keys!$C$51,INDEX(Balanced_2025!$D$9:$D$3032,MATCH($A522&amp;Keys!$C$54&amp;Keys!$C$57&amp;Keys!$C$54&amp;$C522,Balanced_2025!$E$9:$E$3032,0)))</f>
        <v>0</v>
      </c>
      <c r="J522" s="10">
        <f t="shared" si="32"/>
        <v>0</v>
      </c>
      <c r="K522" s="10">
        <f>MAX(Keys!$C$51,$I522-$H522)</f>
        <v>0</v>
      </c>
      <c r="L522" s="10">
        <f t="shared" si="33"/>
        <v>0</v>
      </c>
      <c r="M522" s="11">
        <f>IF($L522&gt;Keys!$C$51,MIN(Keys!$C$52,$K522/$L522),Keys!$C$51)</f>
        <v>0</v>
      </c>
      <c r="N522" s="11">
        <f>IF($E522=Keys!$C$60,Keys!$C$51,IF($E522=Keys!$C$59,$D522,$M522))</f>
        <v>0</v>
      </c>
      <c r="O522">
        <f t="shared" si="34"/>
        <v>0</v>
      </c>
      <c r="P522" s="10">
        <f>IF($E522=Keys!$C$60,Keys!$C$51,INDEX(Raw_BFPIaE!$G$9:$G$3032,MATCH($A522&amp;Keys!$C$54&amp;Keys!$C$55&amp;Keys!$C$54&amp;$B522,Raw_BFPIaE!$H$9:$H$3032,0)))</f>
        <v>0</v>
      </c>
      <c r="Q522" s="10">
        <f>IF($E522=Keys!$C$60,Keys!$C$51,INDEX(Raw_BFPIaE!$G$9:$G$3032,MATCH($A522&amp;Keys!$C$54&amp;Keys!$C$56&amp;Keys!$C$54&amp;$B522,Raw_BFPIaE!$H$9:$H$3032,0)))</f>
        <v>0</v>
      </c>
      <c r="R522" s="10">
        <f>IF($E522=Keys!$C$60,Keys!$C$51,INDEX(Raw_BFPIaE!$G$9:$G$3032,MATCH($A522&amp;Keys!$C$54&amp;Keys!$C$57&amp;Keys!$C$54&amp;$B522,Raw_BFPIaE!$H$9:$H$3032,0)))</f>
        <v>0</v>
      </c>
      <c r="S522" s="11">
        <f>IF(($P522+$Q522-$R522+MAX(Keys!$C$51,$R522-$Q522))&gt;Keys!$C$51,MIN(Keys!$C$52,MAX(Keys!$C$51,$R522-$Q522)/($P522+$Q522-$R522+MAX(Keys!$C$51,$R522-$Q522))),Keys!$C$51)</f>
        <v>0</v>
      </c>
      <c r="T522">
        <f>IF(AND($I522&gt;$H522,ABS($L522-$G522)&gt;MAX(Keys!$C$62,ABS($G522)*Keys!$C$63)),1,0)</f>
        <v>0</v>
      </c>
      <c r="U522">
        <f>IF(OR($N522&lt;Keys!$C$51,$N522&gt;Keys!$C$52),1,0)</f>
        <v>0</v>
      </c>
      <c r="V522">
        <f>IF(AND($E522=Keys!$C$60,$N522&lt;&gt;Keys!$C$51),1,0)</f>
        <v>0</v>
      </c>
      <c r="W522">
        <f>IF($L522&gt;Keys!$C$51,IF($K522/$L522&gt;Keys!$C$52,1,0),0)</f>
        <v>0</v>
      </c>
      <c r="X522" s="11">
        <f t="shared" si="35"/>
        <v>0</v>
      </c>
    </row>
    <row r="523" spans="1:24" x14ac:dyDescent="0.25">
      <c r="A523" t="s">
        <v>131</v>
      </c>
      <c r="B523" t="s">
        <v>106</v>
      </c>
      <c r="C523" t="str">
        <f>VLOOKUP($B523,Keys!$F$2:$I$22,2,FALSE)</f>
        <v>lignite</v>
      </c>
      <c r="D523">
        <f>VLOOKUP($B523,Keys!$F$2:$I$22,3,FALSE)</f>
        <v>0</v>
      </c>
      <c r="E523" t="str">
        <f>VLOOKUP($B523,Keys!$F$2:$I$22,4,FALSE)</f>
        <v>rule</v>
      </c>
      <c r="F523" t="str">
        <f>$A523&amp;Keys!$C$54&amp;$B523</f>
        <v>NC|lignite</v>
      </c>
      <c r="G523" s="10">
        <f>IF($E523=Keys!$C$60,Keys!$C$51,INDEX(Balanced_2025!$D$9:$D$3032,MATCH($A523&amp;Keys!$C$54&amp;Keys!$C$55&amp;Keys!$C$54&amp;$C523,Balanced_2025!$E$9:$E$3032,0)))</f>
        <v>0</v>
      </c>
      <c r="H523" s="10">
        <f>IF($E523=Keys!$C$60,Keys!$C$51,INDEX(Balanced_2025!$D$9:$D$3032,MATCH($A523&amp;Keys!$C$54&amp;Keys!$C$56&amp;Keys!$C$54&amp;$C523,Balanced_2025!$E$9:$E$3032,0)))</f>
        <v>0</v>
      </c>
      <c r="I523" s="10">
        <f>IF($E523=Keys!$C$60,Keys!$C$51,INDEX(Balanced_2025!$D$9:$D$3032,MATCH($A523&amp;Keys!$C$54&amp;Keys!$C$57&amp;Keys!$C$54&amp;$C523,Balanced_2025!$E$9:$E$3032,0)))</f>
        <v>0</v>
      </c>
      <c r="J523" s="10">
        <f t="shared" si="32"/>
        <v>0</v>
      </c>
      <c r="K523" s="10">
        <f>MAX(Keys!$C$51,$I523-$H523)</f>
        <v>0</v>
      </c>
      <c r="L523" s="10">
        <f t="shared" si="33"/>
        <v>0</v>
      </c>
      <c r="M523" s="11">
        <f>IF($L523&gt;Keys!$C$51,MIN(Keys!$C$52,$K523/$L523),Keys!$C$51)</f>
        <v>0</v>
      </c>
      <c r="N523" s="11">
        <f>IF($E523=Keys!$C$60,Keys!$C$51,IF($E523=Keys!$C$59,$D523,$M523))</f>
        <v>0</v>
      </c>
      <c r="O523">
        <f t="shared" si="34"/>
        <v>0</v>
      </c>
      <c r="P523" s="10">
        <f>IF($E523=Keys!$C$60,Keys!$C$51,INDEX(Raw_BFPIaE!$G$9:$G$3032,MATCH($A523&amp;Keys!$C$54&amp;Keys!$C$55&amp;Keys!$C$54&amp;$B523,Raw_BFPIaE!$H$9:$H$3032,0)))</f>
        <v>0</v>
      </c>
      <c r="Q523" s="10">
        <f>IF($E523=Keys!$C$60,Keys!$C$51,INDEX(Raw_BFPIaE!$G$9:$G$3032,MATCH($A523&amp;Keys!$C$54&amp;Keys!$C$56&amp;Keys!$C$54&amp;$B523,Raw_BFPIaE!$H$9:$H$3032,0)))</f>
        <v>0</v>
      </c>
      <c r="R523" s="10">
        <f>IF($E523=Keys!$C$60,Keys!$C$51,INDEX(Raw_BFPIaE!$G$9:$G$3032,MATCH($A523&amp;Keys!$C$54&amp;Keys!$C$57&amp;Keys!$C$54&amp;$B523,Raw_BFPIaE!$H$9:$H$3032,0)))</f>
        <v>0</v>
      </c>
      <c r="S523" s="11">
        <f>IF(($P523+$Q523-$R523+MAX(Keys!$C$51,$R523-$Q523))&gt;Keys!$C$51,MIN(Keys!$C$52,MAX(Keys!$C$51,$R523-$Q523)/($P523+$Q523-$R523+MAX(Keys!$C$51,$R523-$Q523))),Keys!$C$51)</f>
        <v>0</v>
      </c>
      <c r="T523">
        <f>IF(AND($I523&gt;$H523,ABS($L523-$G523)&gt;MAX(Keys!$C$62,ABS($G523)*Keys!$C$63)),1,0)</f>
        <v>0</v>
      </c>
      <c r="U523">
        <f>IF(OR($N523&lt;Keys!$C$51,$N523&gt;Keys!$C$52),1,0)</f>
        <v>0</v>
      </c>
      <c r="V523">
        <f>IF(AND($E523=Keys!$C$60,$N523&lt;&gt;Keys!$C$51),1,0)</f>
        <v>0</v>
      </c>
      <c r="W523">
        <f>IF($L523&gt;Keys!$C$51,IF($K523/$L523&gt;Keys!$C$52,1,0),0)</f>
        <v>0</v>
      </c>
      <c r="X523" s="11">
        <f t="shared" si="35"/>
        <v>0</v>
      </c>
    </row>
    <row r="524" spans="1:24" x14ac:dyDescent="0.25">
      <c r="A524" t="s">
        <v>131</v>
      </c>
      <c r="B524" t="s">
        <v>109</v>
      </c>
      <c r="C524" t="str">
        <f>VLOOKUP($B524,Keys!$F$2:$I$22,2,FALSE)</f>
        <v>crude oil</v>
      </c>
      <c r="D524">
        <f>VLOOKUP($B524,Keys!$F$2:$I$22,3,FALSE)</f>
        <v>1</v>
      </c>
      <c r="E524" t="str">
        <f>VLOOKUP($B524,Keys!$F$2:$I$22,4,FALSE)</f>
        <v>hold</v>
      </c>
      <c r="F524" t="str">
        <f>$A524&amp;Keys!$C$54&amp;$B524</f>
        <v>NC|crude oil</v>
      </c>
      <c r="G524" s="10">
        <f>IF($E524=Keys!$C$60,Keys!$C$51,INDEX(Balanced_2025!$D$9:$D$3032,MATCH($A524&amp;Keys!$C$54&amp;Keys!$C$55&amp;Keys!$C$54&amp;$C524,Balanced_2025!$E$9:$E$3032,0)))</f>
        <v>0</v>
      </c>
      <c r="H524" s="10">
        <f>IF($E524=Keys!$C$60,Keys!$C$51,INDEX(Balanced_2025!$D$9:$D$3032,MATCH($A524&amp;Keys!$C$54&amp;Keys!$C$56&amp;Keys!$C$54&amp;$C524,Balanced_2025!$E$9:$E$3032,0)))</f>
        <v>2314000000000</v>
      </c>
      <c r="I524" s="10">
        <f>IF($E524=Keys!$C$60,Keys!$C$51,INDEX(Balanced_2025!$D$9:$D$3032,MATCH($A524&amp;Keys!$C$54&amp;Keys!$C$57&amp;Keys!$C$54&amp;$C524,Balanced_2025!$E$9:$E$3032,0)))</f>
        <v>0</v>
      </c>
      <c r="J524" s="10">
        <f t="shared" si="32"/>
        <v>2314000000000</v>
      </c>
      <c r="K524" s="10">
        <f>MAX(Keys!$C$51,$I524-$H524)</f>
        <v>0</v>
      </c>
      <c r="L524" s="10">
        <f t="shared" si="33"/>
        <v>2314000000000</v>
      </c>
      <c r="M524" s="11">
        <f>IF($L524&gt;Keys!$C$51,MIN(Keys!$C$52,$K524/$L524),Keys!$C$51)</f>
        <v>0</v>
      </c>
      <c r="N524" s="11">
        <f>IF($E524=Keys!$C$60,Keys!$C$51,IF($E524=Keys!$C$59,$D524,$M524))</f>
        <v>1</v>
      </c>
      <c r="O524">
        <f t="shared" si="34"/>
        <v>0</v>
      </c>
      <c r="P524" s="10">
        <f>IF($E524=Keys!$C$60,Keys!$C$51,INDEX(Raw_BFPIaE!$G$9:$G$3032,MATCH($A524&amp;Keys!$C$54&amp;Keys!$C$55&amp;Keys!$C$54&amp;$B524,Raw_BFPIaE!$H$9:$H$3032,0)))</f>
        <v>0</v>
      </c>
      <c r="Q524" s="10">
        <f>IF($E524=Keys!$C$60,Keys!$C$51,INDEX(Raw_BFPIaE!$G$9:$G$3032,MATCH($A524&amp;Keys!$C$54&amp;Keys!$C$56&amp;Keys!$C$54&amp;$B524,Raw_BFPIaE!$H$9:$H$3032,0)))</f>
        <v>771333333333.33337</v>
      </c>
      <c r="R524" s="10">
        <f>IF($E524=Keys!$C$60,Keys!$C$51,INDEX(Raw_BFPIaE!$G$9:$G$3032,MATCH($A524&amp;Keys!$C$54&amp;Keys!$C$57&amp;Keys!$C$54&amp;$B524,Raw_BFPIaE!$H$9:$H$3032,0)))</f>
        <v>0</v>
      </c>
      <c r="S524" s="11">
        <f>IF(($P524+$Q524-$R524+MAX(Keys!$C$51,$R524-$Q524))&gt;Keys!$C$51,MIN(Keys!$C$52,MAX(Keys!$C$51,$R524-$Q524)/($P524+$Q524-$R524+MAX(Keys!$C$51,$R524-$Q524))),Keys!$C$51)</f>
        <v>0</v>
      </c>
      <c r="T524">
        <f>IF(AND($I524&gt;$H524,ABS($L524-$G524)&gt;MAX(Keys!$C$62,ABS($G524)*Keys!$C$63)),1,0)</f>
        <v>0</v>
      </c>
      <c r="U524">
        <f>IF(OR($N524&lt;Keys!$C$51,$N524&gt;Keys!$C$52),1,0)</f>
        <v>0</v>
      </c>
      <c r="V524">
        <f>IF(AND($E524=Keys!$C$60,$N524&lt;&gt;Keys!$C$51),1,0)</f>
        <v>0</v>
      </c>
      <c r="W524">
        <f>IF($L524&gt;Keys!$C$51,IF($K524/$L524&gt;Keys!$C$52,1,0),0)</f>
        <v>0</v>
      </c>
      <c r="X524" s="11">
        <f t="shared" si="35"/>
        <v>0</v>
      </c>
    </row>
    <row r="525" spans="1:24" x14ac:dyDescent="0.25">
      <c r="A525" t="s">
        <v>131</v>
      </c>
      <c r="B525" t="s">
        <v>113</v>
      </c>
      <c r="C525" t="str">
        <f>VLOOKUP($B525,Keys!$F$2:$I$22,2,FALSE)</f>
        <v>heavy or residual fuel oil</v>
      </c>
      <c r="D525">
        <f>VLOOKUP($B525,Keys!$F$2:$I$22,3,FALSE)</f>
        <v>0.49914171099999999</v>
      </c>
      <c r="E525" t="str">
        <f>VLOOKUP($B525,Keys!$F$2:$I$22,4,FALSE)</f>
        <v>rule</v>
      </c>
      <c r="F525" t="str">
        <f>$A525&amp;Keys!$C$54&amp;$B525</f>
        <v>NC|heavy fuel oil</v>
      </c>
      <c r="G525" s="10">
        <f>IF($E525=Keys!$C$60,Keys!$C$51,INDEX(Balanced_2025!$D$9:$D$3032,MATCH($A525&amp;Keys!$C$54&amp;Keys!$C$55&amp;Keys!$C$54&amp;$C525,Balanced_2025!$E$9:$E$3032,0)))</f>
        <v>0</v>
      </c>
      <c r="H525" s="10">
        <f>IF($E525=Keys!$C$60,Keys!$C$51,INDEX(Balanced_2025!$D$9:$D$3032,MATCH($A525&amp;Keys!$C$54&amp;Keys!$C$56&amp;Keys!$C$54&amp;$C525,Balanced_2025!$E$9:$E$3032,0)))</f>
        <v>28045500000000</v>
      </c>
      <c r="I525" s="10">
        <f>IF($E525=Keys!$C$60,Keys!$C$51,INDEX(Balanced_2025!$D$9:$D$3032,MATCH($A525&amp;Keys!$C$54&amp;Keys!$C$57&amp;Keys!$C$54&amp;$C525,Balanced_2025!$E$9:$E$3032,0)))</f>
        <v>0</v>
      </c>
      <c r="J525" s="10">
        <f t="shared" si="32"/>
        <v>28045500000000</v>
      </c>
      <c r="K525" s="10">
        <f>MAX(Keys!$C$51,$I525-$H525)</f>
        <v>0</v>
      </c>
      <c r="L525" s="10">
        <f t="shared" si="33"/>
        <v>28045500000000</v>
      </c>
      <c r="M525" s="11">
        <f>IF($L525&gt;Keys!$C$51,MIN(Keys!$C$52,$K525/$L525),Keys!$C$51)</f>
        <v>0</v>
      </c>
      <c r="N525" s="11">
        <f>IF($E525=Keys!$C$60,Keys!$C$51,IF($E525=Keys!$C$59,$D525,$M525))</f>
        <v>0</v>
      </c>
      <c r="O525">
        <f t="shared" si="34"/>
        <v>1</v>
      </c>
      <c r="P525" s="10">
        <f>IF($E525=Keys!$C$60,Keys!$C$51,INDEX(Raw_BFPIaE!$G$9:$G$3032,MATCH($A525&amp;Keys!$C$54&amp;Keys!$C$55&amp;Keys!$C$54&amp;$B525,Raw_BFPIaE!$H$9:$H$3032,0)))</f>
        <v>0</v>
      </c>
      <c r="Q525" s="10">
        <f>IF($E525=Keys!$C$60,Keys!$C$51,INDEX(Raw_BFPIaE!$G$9:$G$3032,MATCH($A525&amp;Keys!$C$54&amp;Keys!$C$56&amp;Keys!$C$54&amp;$B525,Raw_BFPIaE!$H$9:$H$3032,0)))</f>
        <v>18767500000000</v>
      </c>
      <c r="R525" s="10">
        <f>IF($E525=Keys!$C$60,Keys!$C$51,INDEX(Raw_BFPIaE!$G$9:$G$3032,MATCH($A525&amp;Keys!$C$54&amp;Keys!$C$57&amp;Keys!$C$54&amp;$B525,Raw_BFPIaE!$H$9:$H$3032,0)))</f>
        <v>0</v>
      </c>
      <c r="S525" s="11">
        <f>IF(($P525+$Q525-$R525+MAX(Keys!$C$51,$R525-$Q525))&gt;Keys!$C$51,MIN(Keys!$C$52,MAX(Keys!$C$51,$R525-$Q525)/($P525+$Q525-$R525+MAX(Keys!$C$51,$R525-$Q525))),Keys!$C$51)</f>
        <v>0</v>
      </c>
      <c r="T525">
        <f>IF(AND($I525&gt;$H525,ABS($L525-$G525)&gt;MAX(Keys!$C$62,ABS($G525)*Keys!$C$63)),1,0)</f>
        <v>0</v>
      </c>
      <c r="U525">
        <f>IF(OR($N525&lt;Keys!$C$51,$N525&gt;Keys!$C$52),1,0)</f>
        <v>0</v>
      </c>
      <c r="V525">
        <f>IF(AND($E525=Keys!$C$60,$N525&lt;&gt;Keys!$C$51),1,0)</f>
        <v>0</v>
      </c>
      <c r="W525">
        <f>IF($L525&gt;Keys!$C$51,IF($K525/$L525&gt;Keys!$C$52,1,0),0)</f>
        <v>0</v>
      </c>
      <c r="X525" s="11">
        <f t="shared" si="35"/>
        <v>0</v>
      </c>
    </row>
    <row r="526" spans="1:24" x14ac:dyDescent="0.25">
      <c r="A526" t="s">
        <v>131</v>
      </c>
      <c r="B526" t="s">
        <v>117</v>
      </c>
      <c r="C526" t="str">
        <f>VLOOKUP($B526,Keys!$F$2:$I$22,2,FALSE)</f>
        <v>LPG propane or butane</v>
      </c>
      <c r="D526">
        <f>VLOOKUP($B526,Keys!$F$2:$I$22,3,FALSE)</f>
        <v>0.54955999499999997</v>
      </c>
      <c r="E526" t="str">
        <f>VLOOKUP($B526,Keys!$F$2:$I$22,4,FALSE)</f>
        <v>rule</v>
      </c>
      <c r="F526" t="str">
        <f>$A526&amp;Keys!$C$54&amp;$B526</f>
        <v>NC|LPG propane or butane</v>
      </c>
      <c r="G526" s="10">
        <f>IF($E526=Keys!$C$60,Keys!$C$51,INDEX(Balanced_2025!$D$9:$D$3032,MATCH($A526&amp;Keys!$C$54&amp;Keys!$C$55&amp;Keys!$C$54&amp;$C526,Balanced_2025!$E$9:$E$3032,0)))</f>
        <v>0</v>
      </c>
      <c r="H526" s="10">
        <f>IF($E526=Keys!$C$60,Keys!$C$51,INDEX(Balanced_2025!$D$9:$D$3032,MATCH($A526&amp;Keys!$C$54&amp;Keys!$C$56&amp;Keys!$C$54&amp;$C526,Balanced_2025!$E$9:$E$3032,0)))</f>
        <v>38249300000000</v>
      </c>
      <c r="I526" s="10">
        <f>IF($E526=Keys!$C$60,Keys!$C$51,INDEX(Balanced_2025!$D$9:$D$3032,MATCH($A526&amp;Keys!$C$54&amp;Keys!$C$57&amp;Keys!$C$54&amp;$C526,Balanced_2025!$E$9:$E$3032,0)))</f>
        <v>0</v>
      </c>
      <c r="J526" s="10">
        <f t="shared" si="32"/>
        <v>38249300000000</v>
      </c>
      <c r="K526" s="10">
        <f>MAX(Keys!$C$51,$I526-$H526)</f>
        <v>0</v>
      </c>
      <c r="L526" s="10">
        <f t="shared" si="33"/>
        <v>38249300000000</v>
      </c>
      <c r="M526" s="11">
        <f>IF($L526&gt;Keys!$C$51,MIN(Keys!$C$52,$K526/$L526),Keys!$C$51)</f>
        <v>0</v>
      </c>
      <c r="N526" s="11">
        <f>IF($E526=Keys!$C$60,Keys!$C$51,IF($E526=Keys!$C$59,$D526,$M526))</f>
        <v>0</v>
      </c>
      <c r="O526">
        <f t="shared" si="34"/>
        <v>1</v>
      </c>
      <c r="P526" s="10">
        <f>IF($E526=Keys!$C$60,Keys!$C$51,INDEX(Raw_BFPIaE!$G$9:$G$3032,MATCH($A526&amp;Keys!$C$54&amp;Keys!$C$55&amp;Keys!$C$54&amp;$B526,Raw_BFPIaE!$H$9:$H$3032,0)))</f>
        <v>0</v>
      </c>
      <c r="Q526" s="10">
        <f>IF($E526=Keys!$C$60,Keys!$C$51,INDEX(Raw_BFPIaE!$G$9:$G$3032,MATCH($A526&amp;Keys!$C$54&amp;Keys!$C$56&amp;Keys!$C$54&amp;$B526,Raw_BFPIaE!$H$9:$H$3032,0)))</f>
        <v>25336733333333.332</v>
      </c>
      <c r="R526" s="10">
        <f>IF($E526=Keys!$C$60,Keys!$C$51,INDEX(Raw_BFPIaE!$G$9:$G$3032,MATCH($A526&amp;Keys!$C$54&amp;Keys!$C$57&amp;Keys!$C$54&amp;$B526,Raw_BFPIaE!$H$9:$H$3032,0)))</f>
        <v>0</v>
      </c>
      <c r="S526" s="11">
        <f>IF(($P526+$Q526-$R526+MAX(Keys!$C$51,$R526-$Q526))&gt;Keys!$C$51,MIN(Keys!$C$52,MAX(Keys!$C$51,$R526-$Q526)/($P526+$Q526-$R526+MAX(Keys!$C$51,$R526-$Q526))),Keys!$C$51)</f>
        <v>0</v>
      </c>
      <c r="T526">
        <f>IF(AND($I526&gt;$H526,ABS($L526-$G526)&gt;MAX(Keys!$C$62,ABS($G526)*Keys!$C$63)),1,0)</f>
        <v>0</v>
      </c>
      <c r="U526">
        <f>IF(OR($N526&lt;Keys!$C$51,$N526&gt;Keys!$C$52),1,0)</f>
        <v>0</v>
      </c>
      <c r="V526">
        <f>IF(AND($E526=Keys!$C$60,$N526&lt;&gt;Keys!$C$51),1,0)</f>
        <v>0</v>
      </c>
      <c r="W526">
        <f>IF($L526&gt;Keys!$C$51,IF($K526/$L526&gt;Keys!$C$52,1,0),0)</f>
        <v>0</v>
      </c>
      <c r="X526" s="11">
        <f t="shared" si="35"/>
        <v>0</v>
      </c>
    </row>
    <row r="527" spans="1:24" x14ac:dyDescent="0.25">
      <c r="A527" t="s">
        <v>131</v>
      </c>
      <c r="B527" t="s">
        <v>120</v>
      </c>
      <c r="C527">
        <f>VLOOKUP($B527,Keys!$F$2:$I$22,2,FALSE)</f>
        <v>0</v>
      </c>
      <c r="D527">
        <f>VLOOKUP($B527,Keys!$F$2:$I$22,3,FALSE)</f>
        <v>0</v>
      </c>
      <c r="E527" t="str">
        <f>VLOOKUP($B527,Keys!$F$2:$I$22,4,FALSE)</f>
        <v>zero</v>
      </c>
      <c r="F527" t="str">
        <f>$A527&amp;Keys!$C$54&amp;$B527</f>
        <v>NC|municipal solid waste</v>
      </c>
      <c r="G527" s="10">
        <f>IF($E527=Keys!$C$60,Keys!$C$51,INDEX(Balanced_2025!$D$9:$D$3032,MATCH($A527&amp;Keys!$C$54&amp;Keys!$C$55&amp;Keys!$C$54&amp;$C527,Balanced_2025!$E$9:$E$3032,0)))</f>
        <v>0</v>
      </c>
      <c r="H527" s="10">
        <f>IF($E527=Keys!$C$60,Keys!$C$51,INDEX(Balanced_2025!$D$9:$D$3032,MATCH($A527&amp;Keys!$C$54&amp;Keys!$C$56&amp;Keys!$C$54&amp;$C527,Balanced_2025!$E$9:$E$3032,0)))</f>
        <v>0</v>
      </c>
      <c r="I527" s="10">
        <f>IF($E527=Keys!$C$60,Keys!$C$51,INDEX(Balanced_2025!$D$9:$D$3032,MATCH($A527&amp;Keys!$C$54&amp;Keys!$C$57&amp;Keys!$C$54&amp;$C527,Balanced_2025!$E$9:$E$3032,0)))</f>
        <v>0</v>
      </c>
      <c r="J527" s="10">
        <f t="shared" si="32"/>
        <v>0</v>
      </c>
      <c r="K527" s="10">
        <f>MAX(Keys!$C$51,$I527-$H527)</f>
        <v>0</v>
      </c>
      <c r="L527" s="10">
        <f t="shared" si="33"/>
        <v>0</v>
      </c>
      <c r="M527" s="11">
        <f>IF($L527&gt;Keys!$C$51,MIN(Keys!$C$52,$K527/$L527),Keys!$C$51)</f>
        <v>0</v>
      </c>
      <c r="N527" s="11">
        <f>IF($E527=Keys!$C$60,Keys!$C$51,IF($E527=Keys!$C$59,$D527,$M527))</f>
        <v>0</v>
      </c>
      <c r="O527">
        <f t="shared" si="34"/>
        <v>0</v>
      </c>
      <c r="P527" s="10">
        <f>IF($E527=Keys!$C$60,Keys!$C$51,INDEX(Raw_BFPIaE!$G$9:$G$3032,MATCH($A527&amp;Keys!$C$54&amp;Keys!$C$55&amp;Keys!$C$54&amp;$B527,Raw_BFPIaE!$H$9:$H$3032,0)))</f>
        <v>0</v>
      </c>
      <c r="Q527" s="10">
        <f>IF($E527=Keys!$C$60,Keys!$C$51,INDEX(Raw_BFPIaE!$G$9:$G$3032,MATCH($A527&amp;Keys!$C$54&amp;Keys!$C$56&amp;Keys!$C$54&amp;$B527,Raw_BFPIaE!$H$9:$H$3032,0)))</f>
        <v>0</v>
      </c>
      <c r="R527" s="10">
        <f>IF($E527=Keys!$C$60,Keys!$C$51,INDEX(Raw_BFPIaE!$G$9:$G$3032,MATCH($A527&amp;Keys!$C$54&amp;Keys!$C$57&amp;Keys!$C$54&amp;$B527,Raw_BFPIaE!$H$9:$H$3032,0)))</f>
        <v>0</v>
      </c>
      <c r="S527" s="11">
        <f>IF(($P527+$Q527-$R527+MAX(Keys!$C$51,$R527-$Q527))&gt;Keys!$C$51,MIN(Keys!$C$52,MAX(Keys!$C$51,$R527-$Q527)/($P527+$Q527-$R527+MAX(Keys!$C$51,$R527-$Q527))),Keys!$C$51)</f>
        <v>0</v>
      </c>
      <c r="T527">
        <f>IF(AND($I527&gt;$H527,ABS($L527-$G527)&gt;MAX(Keys!$C$62,ABS($G527)*Keys!$C$63)),1,0)</f>
        <v>0</v>
      </c>
      <c r="U527">
        <f>IF(OR($N527&lt;Keys!$C$51,$N527&gt;Keys!$C$52),1,0)</f>
        <v>0</v>
      </c>
      <c r="V527">
        <f>IF(AND($E527=Keys!$C$60,$N527&lt;&gt;Keys!$C$51),1,0)</f>
        <v>0</v>
      </c>
      <c r="W527">
        <f>IF($L527&gt;Keys!$C$51,IF($K527/$L527&gt;Keys!$C$52,1,0),0)</f>
        <v>0</v>
      </c>
      <c r="X527" s="11">
        <f t="shared" si="35"/>
        <v>0</v>
      </c>
    </row>
    <row r="528" spans="1:24" x14ac:dyDescent="0.25">
      <c r="A528" t="s">
        <v>131</v>
      </c>
      <c r="B528" t="s">
        <v>123</v>
      </c>
      <c r="C528">
        <f>VLOOKUP($B528,Keys!$F$2:$I$22,2,FALSE)</f>
        <v>0</v>
      </c>
      <c r="D528">
        <f>VLOOKUP($B528,Keys!$F$2:$I$22,3,FALSE)</f>
        <v>0</v>
      </c>
      <c r="E528" t="str">
        <f>VLOOKUP($B528,Keys!$F$2:$I$22,4,FALSE)</f>
        <v>zero</v>
      </c>
      <c r="F528" t="str">
        <f>$A528&amp;Keys!$C$54&amp;$B528</f>
        <v>NC|hydrogen</v>
      </c>
      <c r="G528" s="10">
        <f>IF($E528=Keys!$C$60,Keys!$C$51,INDEX(Balanced_2025!$D$9:$D$3032,MATCH($A528&amp;Keys!$C$54&amp;Keys!$C$55&amp;Keys!$C$54&amp;$C528,Balanced_2025!$E$9:$E$3032,0)))</f>
        <v>0</v>
      </c>
      <c r="H528" s="10">
        <f>IF($E528=Keys!$C$60,Keys!$C$51,INDEX(Balanced_2025!$D$9:$D$3032,MATCH($A528&amp;Keys!$C$54&amp;Keys!$C$56&amp;Keys!$C$54&amp;$C528,Balanced_2025!$E$9:$E$3032,0)))</f>
        <v>0</v>
      </c>
      <c r="I528" s="10">
        <f>IF($E528=Keys!$C$60,Keys!$C$51,INDEX(Balanced_2025!$D$9:$D$3032,MATCH($A528&amp;Keys!$C$54&amp;Keys!$C$57&amp;Keys!$C$54&amp;$C528,Balanced_2025!$E$9:$E$3032,0)))</f>
        <v>0</v>
      </c>
      <c r="J528" s="10">
        <f t="shared" si="32"/>
        <v>0</v>
      </c>
      <c r="K528" s="10">
        <f>MAX(Keys!$C$51,$I528-$H528)</f>
        <v>0</v>
      </c>
      <c r="L528" s="10">
        <f t="shared" si="33"/>
        <v>0</v>
      </c>
      <c r="M528" s="11">
        <f>IF($L528&gt;Keys!$C$51,MIN(Keys!$C$52,$K528/$L528),Keys!$C$51)</f>
        <v>0</v>
      </c>
      <c r="N528" s="11">
        <f>IF($E528=Keys!$C$60,Keys!$C$51,IF($E528=Keys!$C$59,$D528,$M528))</f>
        <v>0</v>
      </c>
      <c r="O528">
        <f t="shared" si="34"/>
        <v>0</v>
      </c>
      <c r="P528" s="10">
        <f>IF($E528=Keys!$C$60,Keys!$C$51,INDEX(Raw_BFPIaE!$G$9:$G$3032,MATCH($A528&amp;Keys!$C$54&amp;Keys!$C$55&amp;Keys!$C$54&amp;$B528,Raw_BFPIaE!$H$9:$H$3032,0)))</f>
        <v>0</v>
      </c>
      <c r="Q528" s="10">
        <f>IF($E528=Keys!$C$60,Keys!$C$51,INDEX(Raw_BFPIaE!$G$9:$G$3032,MATCH($A528&amp;Keys!$C$54&amp;Keys!$C$56&amp;Keys!$C$54&amp;$B528,Raw_BFPIaE!$H$9:$H$3032,0)))</f>
        <v>0</v>
      </c>
      <c r="R528" s="10">
        <f>IF($E528=Keys!$C$60,Keys!$C$51,INDEX(Raw_BFPIaE!$G$9:$G$3032,MATCH($A528&amp;Keys!$C$54&amp;Keys!$C$57&amp;Keys!$C$54&amp;$B528,Raw_BFPIaE!$H$9:$H$3032,0)))</f>
        <v>0</v>
      </c>
      <c r="S528" s="11">
        <f>IF(($P528+$Q528-$R528+MAX(Keys!$C$51,$R528-$Q528))&gt;Keys!$C$51,MIN(Keys!$C$52,MAX(Keys!$C$51,$R528-$Q528)/($P528+$Q528-$R528+MAX(Keys!$C$51,$R528-$Q528))),Keys!$C$51)</f>
        <v>0</v>
      </c>
      <c r="T528">
        <f>IF(AND($I528&gt;$H528,ABS($L528-$G528)&gt;MAX(Keys!$C$62,ABS($G528)*Keys!$C$63)),1,0)</f>
        <v>0</v>
      </c>
      <c r="U528">
        <f>IF(OR($N528&lt;Keys!$C$51,$N528&gt;Keys!$C$52),1,0)</f>
        <v>0</v>
      </c>
      <c r="V528">
        <f>IF(AND($E528=Keys!$C$60,$N528&lt;&gt;Keys!$C$51),1,0)</f>
        <v>0</v>
      </c>
      <c r="W528">
        <f>IF($L528&gt;Keys!$C$51,IF($K528/$L528&gt;Keys!$C$52,1,0),0)</f>
        <v>0</v>
      </c>
      <c r="X528" s="11">
        <f t="shared" si="35"/>
        <v>0</v>
      </c>
    </row>
    <row r="529" spans="1:24" x14ac:dyDescent="0.25">
      <c r="A529" t="s">
        <v>133</v>
      </c>
      <c r="B529" t="s">
        <v>60</v>
      </c>
      <c r="C529">
        <f>VLOOKUP($B529,Keys!$F$2:$I$22,2,FALSE)</f>
        <v>0</v>
      </c>
      <c r="D529">
        <f>VLOOKUP($B529,Keys!$F$2:$I$22,3,FALSE)</f>
        <v>0</v>
      </c>
      <c r="E529" t="str">
        <f>VLOOKUP($B529,Keys!$F$2:$I$22,4,FALSE)</f>
        <v>zero</v>
      </c>
      <c r="F529" t="str">
        <f>$A529&amp;Keys!$C$54&amp;$B529</f>
        <v>ND|electricity (not used in this variable)</v>
      </c>
      <c r="G529" s="10">
        <f>IF($E529=Keys!$C$60,Keys!$C$51,INDEX(Balanced_2025!$D$9:$D$3032,MATCH($A529&amp;Keys!$C$54&amp;Keys!$C$55&amp;Keys!$C$54&amp;$C529,Balanced_2025!$E$9:$E$3032,0)))</f>
        <v>0</v>
      </c>
      <c r="H529" s="10">
        <f>IF($E529=Keys!$C$60,Keys!$C$51,INDEX(Balanced_2025!$D$9:$D$3032,MATCH($A529&amp;Keys!$C$54&amp;Keys!$C$56&amp;Keys!$C$54&amp;$C529,Balanced_2025!$E$9:$E$3032,0)))</f>
        <v>0</v>
      </c>
      <c r="I529" s="10">
        <f>IF($E529=Keys!$C$60,Keys!$C$51,INDEX(Balanced_2025!$D$9:$D$3032,MATCH($A529&amp;Keys!$C$54&amp;Keys!$C$57&amp;Keys!$C$54&amp;$C529,Balanced_2025!$E$9:$E$3032,0)))</f>
        <v>0</v>
      </c>
      <c r="J529" s="10">
        <f t="shared" si="32"/>
        <v>0</v>
      </c>
      <c r="K529" s="10">
        <f>MAX(Keys!$C$51,$I529-$H529)</f>
        <v>0</v>
      </c>
      <c r="L529" s="10">
        <f t="shared" si="33"/>
        <v>0</v>
      </c>
      <c r="M529" s="11">
        <f>IF($L529&gt;Keys!$C$51,MIN(Keys!$C$52,$K529/$L529),Keys!$C$51)</f>
        <v>0</v>
      </c>
      <c r="N529" s="11">
        <f>IF($E529=Keys!$C$60,Keys!$C$51,IF($E529=Keys!$C$59,$D529,$M529))</f>
        <v>0</v>
      </c>
      <c r="O529">
        <f t="shared" si="34"/>
        <v>0</v>
      </c>
      <c r="P529" s="10">
        <f>IF($E529=Keys!$C$60,Keys!$C$51,INDEX(Raw_BFPIaE!$G$9:$G$3032,MATCH($A529&amp;Keys!$C$54&amp;Keys!$C$55&amp;Keys!$C$54&amp;$B529,Raw_BFPIaE!$H$9:$H$3032,0)))</f>
        <v>0</v>
      </c>
      <c r="Q529" s="10">
        <f>IF($E529=Keys!$C$60,Keys!$C$51,INDEX(Raw_BFPIaE!$G$9:$G$3032,MATCH($A529&amp;Keys!$C$54&amp;Keys!$C$56&amp;Keys!$C$54&amp;$B529,Raw_BFPIaE!$H$9:$H$3032,0)))</f>
        <v>0</v>
      </c>
      <c r="R529" s="10">
        <f>IF($E529=Keys!$C$60,Keys!$C$51,INDEX(Raw_BFPIaE!$G$9:$G$3032,MATCH($A529&amp;Keys!$C$54&amp;Keys!$C$57&amp;Keys!$C$54&amp;$B529,Raw_BFPIaE!$H$9:$H$3032,0)))</f>
        <v>0</v>
      </c>
      <c r="S529" s="11">
        <f>IF(($P529+$Q529-$R529+MAX(Keys!$C$51,$R529-$Q529))&gt;Keys!$C$51,MIN(Keys!$C$52,MAX(Keys!$C$51,$R529-$Q529)/($P529+$Q529-$R529+MAX(Keys!$C$51,$R529-$Q529))),Keys!$C$51)</f>
        <v>0</v>
      </c>
      <c r="T529">
        <f>IF(AND($I529&gt;$H529,ABS($L529-$G529)&gt;MAX(Keys!$C$62,ABS($G529)*Keys!$C$63)),1,0)</f>
        <v>0</v>
      </c>
      <c r="U529">
        <f>IF(OR($N529&lt;Keys!$C$51,$N529&gt;Keys!$C$52),1,0)</f>
        <v>0</v>
      </c>
      <c r="V529">
        <f>IF(AND($E529=Keys!$C$60,$N529&lt;&gt;Keys!$C$51),1,0)</f>
        <v>0</v>
      </c>
      <c r="W529">
        <f>IF($L529&gt;Keys!$C$51,IF($K529/$L529&gt;Keys!$C$52,1,0),0)</f>
        <v>0</v>
      </c>
      <c r="X529" s="11">
        <f t="shared" si="35"/>
        <v>0</v>
      </c>
    </row>
    <row r="530" spans="1:24" x14ac:dyDescent="0.25">
      <c r="A530" t="s">
        <v>133</v>
      </c>
      <c r="B530" t="s">
        <v>64</v>
      </c>
      <c r="C530" t="str">
        <f>VLOOKUP($B530,Keys!$F$2:$I$22,2,FALSE)</f>
        <v>hard coal</v>
      </c>
      <c r="D530">
        <f>VLOOKUP($B530,Keys!$F$2:$I$22,3,FALSE)</f>
        <v>0.137539879</v>
      </c>
      <c r="E530" t="str">
        <f>VLOOKUP($B530,Keys!$F$2:$I$22,4,FALSE)</f>
        <v>rule</v>
      </c>
      <c r="F530" t="str">
        <f>$A530&amp;Keys!$C$54&amp;$B530</f>
        <v>ND|hard coal</v>
      </c>
      <c r="G530" s="10">
        <f>IF($E530=Keys!$C$60,Keys!$C$51,INDEX(Balanced_2025!$D$9:$D$3032,MATCH($A530&amp;Keys!$C$54&amp;Keys!$C$55&amp;Keys!$C$54&amp;$C530,Balanced_2025!$E$9:$E$3032,0)))</f>
        <v>0</v>
      </c>
      <c r="H530" s="10">
        <f>IF($E530=Keys!$C$60,Keys!$C$51,INDEX(Balanced_2025!$D$9:$D$3032,MATCH($A530&amp;Keys!$C$54&amp;Keys!$C$56&amp;Keys!$C$54&amp;$C530,Balanced_2025!$E$9:$E$3032,0)))</f>
        <v>159261000000000</v>
      </c>
      <c r="I530" s="10">
        <f>IF($E530=Keys!$C$60,Keys!$C$51,INDEX(Balanced_2025!$D$9:$D$3032,MATCH($A530&amp;Keys!$C$54&amp;Keys!$C$57&amp;Keys!$C$54&amp;$C530,Balanced_2025!$E$9:$E$3032,0)))</f>
        <v>0</v>
      </c>
      <c r="J530" s="10">
        <f t="shared" si="32"/>
        <v>159261000000000</v>
      </c>
      <c r="K530" s="10">
        <f>MAX(Keys!$C$51,$I530-$H530)</f>
        <v>0</v>
      </c>
      <c r="L530" s="10">
        <f t="shared" si="33"/>
        <v>159261000000000</v>
      </c>
      <c r="M530" s="11">
        <f>IF($L530&gt;Keys!$C$51,MIN(Keys!$C$52,$K530/$L530),Keys!$C$51)</f>
        <v>0</v>
      </c>
      <c r="N530" s="11">
        <f>IF($E530=Keys!$C$60,Keys!$C$51,IF($E530=Keys!$C$59,$D530,$M530))</f>
        <v>0</v>
      </c>
      <c r="O530">
        <f t="shared" si="34"/>
        <v>1</v>
      </c>
      <c r="P530" s="10">
        <f>IF($E530=Keys!$C$60,Keys!$C$51,INDEX(Raw_BFPIaE!$G$9:$G$3032,MATCH($A530&amp;Keys!$C$54&amp;Keys!$C$55&amp;Keys!$C$54&amp;$B530,Raw_BFPIaE!$H$9:$H$3032,0)))</f>
        <v>0</v>
      </c>
      <c r="Q530" s="10">
        <f>IF($E530=Keys!$C$60,Keys!$C$51,INDEX(Raw_BFPIaE!$G$9:$G$3032,MATCH($A530&amp;Keys!$C$54&amp;Keys!$C$56&amp;Keys!$C$54&amp;$B530,Raw_BFPIaE!$H$9:$H$3032,0)))</f>
        <v>110676100000000</v>
      </c>
      <c r="R530" s="10">
        <f>IF($E530=Keys!$C$60,Keys!$C$51,INDEX(Raw_BFPIaE!$G$9:$G$3032,MATCH($A530&amp;Keys!$C$54&amp;Keys!$C$57&amp;Keys!$C$54&amp;$B530,Raw_BFPIaE!$H$9:$H$3032,0)))</f>
        <v>0</v>
      </c>
      <c r="S530" s="11">
        <f>IF(($P530+$Q530-$R530+MAX(Keys!$C$51,$R530-$Q530))&gt;Keys!$C$51,MIN(Keys!$C$52,MAX(Keys!$C$51,$R530-$Q530)/($P530+$Q530-$R530+MAX(Keys!$C$51,$R530-$Q530))),Keys!$C$51)</f>
        <v>0</v>
      </c>
      <c r="T530">
        <f>IF(AND($I530&gt;$H530,ABS($L530-$G530)&gt;MAX(Keys!$C$62,ABS($G530)*Keys!$C$63)),1,0)</f>
        <v>0</v>
      </c>
      <c r="U530">
        <f>IF(OR($N530&lt;Keys!$C$51,$N530&gt;Keys!$C$52),1,0)</f>
        <v>0</v>
      </c>
      <c r="V530">
        <f>IF(AND($E530=Keys!$C$60,$N530&lt;&gt;Keys!$C$51),1,0)</f>
        <v>0</v>
      </c>
      <c r="W530">
        <f>IF($L530&gt;Keys!$C$51,IF($K530/$L530&gt;Keys!$C$52,1,0),0)</f>
        <v>0</v>
      </c>
      <c r="X530" s="11">
        <f t="shared" si="35"/>
        <v>0</v>
      </c>
    </row>
    <row r="531" spans="1:24" x14ac:dyDescent="0.25">
      <c r="A531" t="s">
        <v>133</v>
      </c>
      <c r="B531" t="s">
        <v>68</v>
      </c>
      <c r="C531" t="str">
        <f>VLOOKUP($B531,Keys!$F$2:$I$22,2,FALSE)</f>
        <v>natural gas</v>
      </c>
      <c r="D531">
        <f>VLOOKUP($B531,Keys!$F$2:$I$22,3,FALSE)</f>
        <v>0.190839183</v>
      </c>
      <c r="E531" t="str">
        <f>VLOOKUP($B531,Keys!$F$2:$I$22,4,FALSE)</f>
        <v>rule</v>
      </c>
      <c r="F531" t="str">
        <f>$A531&amp;Keys!$C$54&amp;$B531</f>
        <v>ND|natural gas</v>
      </c>
      <c r="G531" s="10">
        <f>IF($E531=Keys!$C$60,Keys!$C$51,INDEX(Balanced_2025!$D$9:$D$3032,MATCH($A531&amp;Keys!$C$54&amp;Keys!$C$55&amp;Keys!$C$54&amp;$C531,Balanced_2025!$E$9:$E$3032,0)))</f>
        <v>983409000000000</v>
      </c>
      <c r="H531" s="10">
        <f>IF($E531=Keys!$C$60,Keys!$C$51,INDEX(Balanced_2025!$D$9:$D$3032,MATCH($A531&amp;Keys!$C$54&amp;Keys!$C$56&amp;Keys!$C$54&amp;$C531,Balanced_2025!$E$9:$E$3032,0)))</f>
        <v>682764000000000</v>
      </c>
      <c r="I531" s="10">
        <f>IF($E531=Keys!$C$60,Keys!$C$51,INDEX(Balanced_2025!$D$9:$D$3032,MATCH($A531&amp;Keys!$C$54&amp;Keys!$C$57&amp;Keys!$C$54&amp;$C531,Balanced_2025!$E$9:$E$3032,0)))</f>
        <v>1454560000000000</v>
      </c>
      <c r="J531" s="10">
        <f t="shared" si="32"/>
        <v>211613000000000</v>
      </c>
      <c r="K531" s="10">
        <f>MAX(Keys!$C$51,$I531-$H531)</f>
        <v>771796000000000</v>
      </c>
      <c r="L531" s="10">
        <f t="shared" si="33"/>
        <v>983409000000000</v>
      </c>
      <c r="M531" s="11">
        <f>IF($L531&gt;Keys!$C$51,MIN(Keys!$C$52,$K531/$L531),Keys!$C$51)</f>
        <v>0.78481689714045733</v>
      </c>
      <c r="N531" s="11">
        <f>IF($E531=Keys!$C$60,Keys!$C$51,IF($E531=Keys!$C$59,$D531,$M531))</f>
        <v>0.78481689714045733</v>
      </c>
      <c r="O531">
        <f t="shared" si="34"/>
        <v>1</v>
      </c>
      <c r="P531" s="10">
        <f>IF($E531=Keys!$C$60,Keys!$C$51,INDEX(Raw_BFPIaE!$G$9:$G$3032,MATCH($A531&amp;Keys!$C$54&amp;Keys!$C$55&amp;Keys!$C$54&amp;$B531,Raw_BFPIaE!$H$9:$H$3032,0)))</f>
        <v>959280000000000</v>
      </c>
      <c r="Q531" s="10">
        <f>IF($E531=Keys!$C$60,Keys!$C$51,INDEX(Raw_BFPIaE!$G$9:$G$3032,MATCH($A531&amp;Keys!$C$54&amp;Keys!$C$56&amp;Keys!$C$54&amp;$B531,Raw_BFPIaE!$H$9:$H$3032,0)))</f>
        <v>668255666666666.63</v>
      </c>
      <c r="R531" s="10">
        <f>IF($E531=Keys!$C$60,Keys!$C$51,INDEX(Raw_BFPIaE!$G$9:$G$3032,MATCH($A531&amp;Keys!$C$54&amp;Keys!$C$57&amp;Keys!$C$54&amp;$B531,Raw_BFPIaE!$H$9:$H$3032,0)))</f>
        <v>1418873333333333.3</v>
      </c>
      <c r="S531" s="11">
        <f>IF(($P531+$Q531-$R531+MAX(Keys!$C$51,$R531-$Q531))&gt;Keys!$C$51,MIN(Keys!$C$52,MAX(Keys!$C$51,$R531-$Q531)/($P531+$Q531-$R531+MAX(Keys!$C$51,$R531-$Q531))),Keys!$C$51)</f>
        <v>0.78248026297500906</v>
      </c>
      <c r="T531">
        <f>IF(AND($I531&gt;$H531,ABS($L531-$G531)&gt;MAX(Keys!$C$62,ABS($G531)*Keys!$C$63)),1,0)</f>
        <v>0</v>
      </c>
      <c r="U531">
        <f>IF(OR($N531&lt;Keys!$C$51,$N531&gt;Keys!$C$52),1,0)</f>
        <v>0</v>
      </c>
      <c r="V531">
        <f>IF(AND($E531=Keys!$C$60,$N531&lt;&gt;Keys!$C$51),1,0)</f>
        <v>0</v>
      </c>
      <c r="W531">
        <f>IF($L531&gt;Keys!$C$51,IF($K531/$L531&gt;Keys!$C$52,1,0),0)</f>
        <v>0</v>
      </c>
      <c r="X531" s="11">
        <f t="shared" si="35"/>
        <v>2.3366341654482703E-3</v>
      </c>
    </row>
    <row r="532" spans="1:24" x14ac:dyDescent="0.25">
      <c r="A532" t="s">
        <v>133</v>
      </c>
      <c r="B532" t="s">
        <v>71</v>
      </c>
      <c r="C532">
        <f>VLOOKUP($B532,Keys!$F$2:$I$22,2,FALSE)</f>
        <v>0</v>
      </c>
      <c r="D532">
        <f>VLOOKUP($B532,Keys!$F$2:$I$22,3,FALSE)</f>
        <v>0</v>
      </c>
      <c r="E532" t="str">
        <f>VLOOKUP($B532,Keys!$F$2:$I$22,4,FALSE)</f>
        <v>zero</v>
      </c>
      <c r="F532" t="str">
        <f>$A532&amp;Keys!$C$54&amp;$B532</f>
        <v>ND|nuclear</v>
      </c>
      <c r="G532" s="10">
        <f>IF($E532=Keys!$C$60,Keys!$C$51,INDEX(Balanced_2025!$D$9:$D$3032,MATCH($A532&amp;Keys!$C$54&amp;Keys!$C$55&amp;Keys!$C$54&amp;$C532,Balanced_2025!$E$9:$E$3032,0)))</f>
        <v>0</v>
      </c>
      <c r="H532" s="10">
        <f>IF($E532=Keys!$C$60,Keys!$C$51,INDEX(Balanced_2025!$D$9:$D$3032,MATCH($A532&amp;Keys!$C$54&amp;Keys!$C$56&amp;Keys!$C$54&amp;$C532,Balanced_2025!$E$9:$E$3032,0)))</f>
        <v>0</v>
      </c>
      <c r="I532" s="10">
        <f>IF($E532=Keys!$C$60,Keys!$C$51,INDEX(Balanced_2025!$D$9:$D$3032,MATCH($A532&amp;Keys!$C$54&amp;Keys!$C$57&amp;Keys!$C$54&amp;$C532,Balanced_2025!$E$9:$E$3032,0)))</f>
        <v>0</v>
      </c>
      <c r="J532" s="10">
        <f t="shared" si="32"/>
        <v>0</v>
      </c>
      <c r="K532" s="10">
        <f>MAX(Keys!$C$51,$I532-$H532)</f>
        <v>0</v>
      </c>
      <c r="L532" s="10">
        <f t="shared" si="33"/>
        <v>0</v>
      </c>
      <c r="M532" s="11">
        <f>IF($L532&gt;Keys!$C$51,MIN(Keys!$C$52,$K532/$L532),Keys!$C$51)</f>
        <v>0</v>
      </c>
      <c r="N532" s="11">
        <f>IF($E532=Keys!$C$60,Keys!$C$51,IF($E532=Keys!$C$59,$D532,$M532))</f>
        <v>0</v>
      </c>
      <c r="O532">
        <f t="shared" si="34"/>
        <v>0</v>
      </c>
      <c r="P532" s="10">
        <f>IF($E532=Keys!$C$60,Keys!$C$51,INDEX(Raw_BFPIaE!$G$9:$G$3032,MATCH($A532&amp;Keys!$C$54&amp;Keys!$C$55&amp;Keys!$C$54&amp;$B532,Raw_BFPIaE!$H$9:$H$3032,0)))</f>
        <v>0</v>
      </c>
      <c r="Q532" s="10">
        <f>IF($E532=Keys!$C$60,Keys!$C$51,INDEX(Raw_BFPIaE!$G$9:$G$3032,MATCH($A532&amp;Keys!$C$54&amp;Keys!$C$56&amp;Keys!$C$54&amp;$B532,Raw_BFPIaE!$H$9:$H$3032,0)))</f>
        <v>0</v>
      </c>
      <c r="R532" s="10">
        <f>IF($E532=Keys!$C$60,Keys!$C$51,INDEX(Raw_BFPIaE!$G$9:$G$3032,MATCH($A532&amp;Keys!$C$54&amp;Keys!$C$57&amp;Keys!$C$54&amp;$B532,Raw_BFPIaE!$H$9:$H$3032,0)))</f>
        <v>0</v>
      </c>
      <c r="S532" s="11">
        <f>IF(($P532+$Q532-$R532+MAX(Keys!$C$51,$R532-$Q532))&gt;Keys!$C$51,MIN(Keys!$C$52,MAX(Keys!$C$51,$R532-$Q532)/($P532+$Q532-$R532+MAX(Keys!$C$51,$R532-$Q532))),Keys!$C$51)</f>
        <v>0</v>
      </c>
      <c r="T532">
        <f>IF(AND($I532&gt;$H532,ABS($L532-$G532)&gt;MAX(Keys!$C$62,ABS($G532)*Keys!$C$63)),1,0)</f>
        <v>0</v>
      </c>
      <c r="U532">
        <f>IF(OR($N532&lt;Keys!$C$51,$N532&gt;Keys!$C$52),1,0)</f>
        <v>0</v>
      </c>
      <c r="V532">
        <f>IF(AND($E532=Keys!$C$60,$N532&lt;&gt;Keys!$C$51),1,0)</f>
        <v>0</v>
      </c>
      <c r="W532">
        <f>IF($L532&gt;Keys!$C$51,IF($K532/$L532&gt;Keys!$C$52,1,0),0)</f>
        <v>0</v>
      </c>
      <c r="X532" s="11">
        <f t="shared" si="35"/>
        <v>0</v>
      </c>
    </row>
    <row r="533" spans="1:24" x14ac:dyDescent="0.25">
      <c r="A533" t="s">
        <v>133</v>
      </c>
      <c r="B533" t="s">
        <v>74</v>
      </c>
      <c r="C533">
        <f>VLOOKUP($B533,Keys!$F$2:$I$22,2,FALSE)</f>
        <v>0</v>
      </c>
      <c r="D533">
        <f>VLOOKUP($B533,Keys!$F$2:$I$22,3,FALSE)</f>
        <v>0</v>
      </c>
      <c r="E533" t="str">
        <f>VLOOKUP($B533,Keys!$F$2:$I$22,4,FALSE)</f>
        <v>zero</v>
      </c>
      <c r="F533" t="str">
        <f>$A533&amp;Keys!$C$54&amp;$B533</f>
        <v>ND|hydro (is not a fuel)</v>
      </c>
      <c r="G533" s="10">
        <f>IF($E533=Keys!$C$60,Keys!$C$51,INDEX(Balanced_2025!$D$9:$D$3032,MATCH($A533&amp;Keys!$C$54&amp;Keys!$C$55&amp;Keys!$C$54&amp;$C533,Balanced_2025!$E$9:$E$3032,0)))</f>
        <v>0</v>
      </c>
      <c r="H533" s="10">
        <f>IF($E533=Keys!$C$60,Keys!$C$51,INDEX(Balanced_2025!$D$9:$D$3032,MATCH($A533&amp;Keys!$C$54&amp;Keys!$C$56&amp;Keys!$C$54&amp;$C533,Balanced_2025!$E$9:$E$3032,0)))</f>
        <v>0</v>
      </c>
      <c r="I533" s="10">
        <f>IF($E533=Keys!$C$60,Keys!$C$51,INDEX(Balanced_2025!$D$9:$D$3032,MATCH($A533&amp;Keys!$C$54&amp;Keys!$C$57&amp;Keys!$C$54&amp;$C533,Balanced_2025!$E$9:$E$3032,0)))</f>
        <v>0</v>
      </c>
      <c r="J533" s="10">
        <f t="shared" si="32"/>
        <v>0</v>
      </c>
      <c r="K533" s="10">
        <f>MAX(Keys!$C$51,$I533-$H533)</f>
        <v>0</v>
      </c>
      <c r="L533" s="10">
        <f t="shared" si="33"/>
        <v>0</v>
      </c>
      <c r="M533" s="11">
        <f>IF($L533&gt;Keys!$C$51,MIN(Keys!$C$52,$K533/$L533),Keys!$C$51)</f>
        <v>0</v>
      </c>
      <c r="N533" s="11">
        <f>IF($E533=Keys!$C$60,Keys!$C$51,IF($E533=Keys!$C$59,$D533,$M533))</f>
        <v>0</v>
      </c>
      <c r="O533">
        <f t="shared" si="34"/>
        <v>0</v>
      </c>
      <c r="P533" s="10">
        <f>IF($E533=Keys!$C$60,Keys!$C$51,INDEX(Raw_BFPIaE!$G$9:$G$3032,MATCH($A533&amp;Keys!$C$54&amp;Keys!$C$55&amp;Keys!$C$54&amp;$B533,Raw_BFPIaE!$H$9:$H$3032,0)))</f>
        <v>0</v>
      </c>
      <c r="Q533" s="10">
        <f>IF($E533=Keys!$C$60,Keys!$C$51,INDEX(Raw_BFPIaE!$G$9:$G$3032,MATCH($A533&amp;Keys!$C$54&amp;Keys!$C$56&amp;Keys!$C$54&amp;$B533,Raw_BFPIaE!$H$9:$H$3032,0)))</f>
        <v>0</v>
      </c>
      <c r="R533" s="10">
        <f>IF($E533=Keys!$C$60,Keys!$C$51,INDEX(Raw_BFPIaE!$G$9:$G$3032,MATCH($A533&amp;Keys!$C$54&amp;Keys!$C$57&amp;Keys!$C$54&amp;$B533,Raw_BFPIaE!$H$9:$H$3032,0)))</f>
        <v>0</v>
      </c>
      <c r="S533" s="11">
        <f>IF(($P533+$Q533-$R533+MAX(Keys!$C$51,$R533-$Q533))&gt;Keys!$C$51,MIN(Keys!$C$52,MAX(Keys!$C$51,$R533-$Q533)/($P533+$Q533-$R533+MAX(Keys!$C$51,$R533-$Q533))),Keys!$C$51)</f>
        <v>0</v>
      </c>
      <c r="T533">
        <f>IF(AND($I533&gt;$H533,ABS($L533-$G533)&gt;MAX(Keys!$C$62,ABS($G533)*Keys!$C$63)),1,0)</f>
        <v>0</v>
      </c>
      <c r="U533">
        <f>IF(OR($N533&lt;Keys!$C$51,$N533&gt;Keys!$C$52),1,0)</f>
        <v>0</v>
      </c>
      <c r="V533">
        <f>IF(AND($E533=Keys!$C$60,$N533&lt;&gt;Keys!$C$51),1,0)</f>
        <v>0</v>
      </c>
      <c r="W533">
        <f>IF($L533&gt;Keys!$C$51,IF($K533/$L533&gt;Keys!$C$52,1,0),0)</f>
        <v>0</v>
      </c>
      <c r="X533" s="11">
        <f t="shared" si="35"/>
        <v>0</v>
      </c>
    </row>
    <row r="534" spans="1:24" x14ac:dyDescent="0.25">
      <c r="A534" t="s">
        <v>133</v>
      </c>
      <c r="B534" t="s">
        <v>77</v>
      </c>
      <c r="C534">
        <f>VLOOKUP($B534,Keys!$F$2:$I$22,2,FALSE)</f>
        <v>0</v>
      </c>
      <c r="D534">
        <f>VLOOKUP($B534,Keys!$F$2:$I$22,3,FALSE)</f>
        <v>0</v>
      </c>
      <c r="E534" t="str">
        <f>VLOOKUP($B534,Keys!$F$2:$I$22,4,FALSE)</f>
        <v>zero</v>
      </c>
      <c r="F534" t="str">
        <f>$A534&amp;Keys!$C$54&amp;$B534</f>
        <v>ND|wind (is not a fuel)</v>
      </c>
      <c r="G534" s="10">
        <f>IF($E534=Keys!$C$60,Keys!$C$51,INDEX(Balanced_2025!$D$9:$D$3032,MATCH($A534&amp;Keys!$C$54&amp;Keys!$C$55&amp;Keys!$C$54&amp;$C534,Balanced_2025!$E$9:$E$3032,0)))</f>
        <v>0</v>
      </c>
      <c r="H534" s="10">
        <f>IF($E534=Keys!$C$60,Keys!$C$51,INDEX(Balanced_2025!$D$9:$D$3032,MATCH($A534&amp;Keys!$C$54&amp;Keys!$C$56&amp;Keys!$C$54&amp;$C534,Balanced_2025!$E$9:$E$3032,0)))</f>
        <v>0</v>
      </c>
      <c r="I534" s="10">
        <f>IF($E534=Keys!$C$60,Keys!$C$51,INDEX(Balanced_2025!$D$9:$D$3032,MATCH($A534&amp;Keys!$C$54&amp;Keys!$C$57&amp;Keys!$C$54&amp;$C534,Balanced_2025!$E$9:$E$3032,0)))</f>
        <v>0</v>
      </c>
      <c r="J534" s="10">
        <f t="shared" si="32"/>
        <v>0</v>
      </c>
      <c r="K534" s="10">
        <f>MAX(Keys!$C$51,$I534-$H534)</f>
        <v>0</v>
      </c>
      <c r="L534" s="10">
        <f t="shared" si="33"/>
        <v>0</v>
      </c>
      <c r="M534" s="11">
        <f>IF($L534&gt;Keys!$C$51,MIN(Keys!$C$52,$K534/$L534),Keys!$C$51)</f>
        <v>0</v>
      </c>
      <c r="N534" s="11">
        <f>IF($E534=Keys!$C$60,Keys!$C$51,IF($E534=Keys!$C$59,$D534,$M534))</f>
        <v>0</v>
      </c>
      <c r="O534">
        <f t="shared" si="34"/>
        <v>0</v>
      </c>
      <c r="P534" s="10">
        <f>IF($E534=Keys!$C$60,Keys!$C$51,INDEX(Raw_BFPIaE!$G$9:$G$3032,MATCH($A534&amp;Keys!$C$54&amp;Keys!$C$55&amp;Keys!$C$54&amp;$B534,Raw_BFPIaE!$H$9:$H$3032,0)))</f>
        <v>0</v>
      </c>
      <c r="Q534" s="10">
        <f>IF($E534=Keys!$C$60,Keys!$C$51,INDEX(Raw_BFPIaE!$G$9:$G$3032,MATCH($A534&amp;Keys!$C$54&amp;Keys!$C$56&amp;Keys!$C$54&amp;$B534,Raw_BFPIaE!$H$9:$H$3032,0)))</f>
        <v>0</v>
      </c>
      <c r="R534" s="10">
        <f>IF($E534=Keys!$C$60,Keys!$C$51,INDEX(Raw_BFPIaE!$G$9:$G$3032,MATCH($A534&amp;Keys!$C$54&amp;Keys!$C$57&amp;Keys!$C$54&amp;$B534,Raw_BFPIaE!$H$9:$H$3032,0)))</f>
        <v>0</v>
      </c>
      <c r="S534" s="11">
        <f>IF(($P534+$Q534-$R534+MAX(Keys!$C$51,$R534-$Q534))&gt;Keys!$C$51,MIN(Keys!$C$52,MAX(Keys!$C$51,$R534-$Q534)/($P534+$Q534-$R534+MAX(Keys!$C$51,$R534-$Q534))),Keys!$C$51)</f>
        <v>0</v>
      </c>
      <c r="T534">
        <f>IF(AND($I534&gt;$H534,ABS($L534-$G534)&gt;MAX(Keys!$C$62,ABS($G534)*Keys!$C$63)),1,0)</f>
        <v>0</v>
      </c>
      <c r="U534">
        <f>IF(OR($N534&lt;Keys!$C$51,$N534&gt;Keys!$C$52),1,0)</f>
        <v>0</v>
      </c>
      <c r="V534">
        <f>IF(AND($E534=Keys!$C$60,$N534&lt;&gt;Keys!$C$51),1,0)</f>
        <v>0</v>
      </c>
      <c r="W534">
        <f>IF($L534&gt;Keys!$C$51,IF($K534/$L534&gt;Keys!$C$52,1,0),0)</f>
        <v>0</v>
      </c>
      <c r="X534" s="11">
        <f t="shared" si="35"/>
        <v>0</v>
      </c>
    </row>
    <row r="535" spans="1:24" x14ac:dyDescent="0.25">
      <c r="A535" t="s">
        <v>133</v>
      </c>
      <c r="B535" t="s">
        <v>80</v>
      </c>
      <c r="C535">
        <f>VLOOKUP($B535,Keys!$F$2:$I$22,2,FALSE)</f>
        <v>0</v>
      </c>
      <c r="D535">
        <f>VLOOKUP($B535,Keys!$F$2:$I$22,3,FALSE)</f>
        <v>0</v>
      </c>
      <c r="E535" t="str">
        <f>VLOOKUP($B535,Keys!$F$2:$I$22,4,FALSE)</f>
        <v>zero</v>
      </c>
      <c r="F535" t="str">
        <f>$A535&amp;Keys!$C$54&amp;$B535</f>
        <v>ND|solar (is not a fuel)</v>
      </c>
      <c r="G535" s="10">
        <f>IF($E535=Keys!$C$60,Keys!$C$51,INDEX(Balanced_2025!$D$9:$D$3032,MATCH($A535&amp;Keys!$C$54&amp;Keys!$C$55&amp;Keys!$C$54&amp;$C535,Balanced_2025!$E$9:$E$3032,0)))</f>
        <v>0</v>
      </c>
      <c r="H535" s="10">
        <f>IF($E535=Keys!$C$60,Keys!$C$51,INDEX(Balanced_2025!$D$9:$D$3032,MATCH($A535&amp;Keys!$C$54&amp;Keys!$C$56&amp;Keys!$C$54&amp;$C535,Balanced_2025!$E$9:$E$3032,0)))</f>
        <v>0</v>
      </c>
      <c r="I535" s="10">
        <f>IF($E535=Keys!$C$60,Keys!$C$51,INDEX(Balanced_2025!$D$9:$D$3032,MATCH($A535&amp;Keys!$C$54&amp;Keys!$C$57&amp;Keys!$C$54&amp;$C535,Balanced_2025!$E$9:$E$3032,0)))</f>
        <v>0</v>
      </c>
      <c r="J535" s="10">
        <f t="shared" si="32"/>
        <v>0</v>
      </c>
      <c r="K535" s="10">
        <f>MAX(Keys!$C$51,$I535-$H535)</f>
        <v>0</v>
      </c>
      <c r="L535" s="10">
        <f t="shared" si="33"/>
        <v>0</v>
      </c>
      <c r="M535" s="11">
        <f>IF($L535&gt;Keys!$C$51,MIN(Keys!$C$52,$K535/$L535),Keys!$C$51)</f>
        <v>0</v>
      </c>
      <c r="N535" s="11">
        <f>IF($E535=Keys!$C$60,Keys!$C$51,IF($E535=Keys!$C$59,$D535,$M535))</f>
        <v>0</v>
      </c>
      <c r="O535">
        <f t="shared" si="34"/>
        <v>0</v>
      </c>
      <c r="P535" s="10">
        <f>IF($E535=Keys!$C$60,Keys!$C$51,INDEX(Raw_BFPIaE!$G$9:$G$3032,MATCH($A535&amp;Keys!$C$54&amp;Keys!$C$55&amp;Keys!$C$54&amp;$B535,Raw_BFPIaE!$H$9:$H$3032,0)))</f>
        <v>0</v>
      </c>
      <c r="Q535" s="10">
        <f>IF($E535=Keys!$C$60,Keys!$C$51,INDEX(Raw_BFPIaE!$G$9:$G$3032,MATCH($A535&amp;Keys!$C$54&amp;Keys!$C$56&amp;Keys!$C$54&amp;$B535,Raw_BFPIaE!$H$9:$H$3032,0)))</f>
        <v>0</v>
      </c>
      <c r="R535" s="10">
        <f>IF($E535=Keys!$C$60,Keys!$C$51,INDEX(Raw_BFPIaE!$G$9:$G$3032,MATCH($A535&amp;Keys!$C$54&amp;Keys!$C$57&amp;Keys!$C$54&amp;$B535,Raw_BFPIaE!$H$9:$H$3032,0)))</f>
        <v>0</v>
      </c>
      <c r="S535" s="11">
        <f>IF(($P535+$Q535-$R535+MAX(Keys!$C$51,$R535-$Q535))&gt;Keys!$C$51,MIN(Keys!$C$52,MAX(Keys!$C$51,$R535-$Q535)/($P535+$Q535-$R535+MAX(Keys!$C$51,$R535-$Q535))),Keys!$C$51)</f>
        <v>0</v>
      </c>
      <c r="T535">
        <f>IF(AND($I535&gt;$H535,ABS($L535-$G535)&gt;MAX(Keys!$C$62,ABS($G535)*Keys!$C$63)),1,0)</f>
        <v>0</v>
      </c>
      <c r="U535">
        <f>IF(OR($N535&lt;Keys!$C$51,$N535&gt;Keys!$C$52),1,0)</f>
        <v>0</v>
      </c>
      <c r="V535">
        <f>IF(AND($E535=Keys!$C$60,$N535&lt;&gt;Keys!$C$51),1,0)</f>
        <v>0</v>
      </c>
      <c r="W535">
        <f>IF($L535&gt;Keys!$C$51,IF($K535/$L535&gt;Keys!$C$52,1,0),0)</f>
        <v>0</v>
      </c>
      <c r="X535" s="11">
        <f t="shared" si="35"/>
        <v>0</v>
      </c>
    </row>
    <row r="536" spans="1:24" x14ac:dyDescent="0.25">
      <c r="A536" t="s">
        <v>133</v>
      </c>
      <c r="B536" t="s">
        <v>82</v>
      </c>
      <c r="C536" t="str">
        <f>VLOOKUP($B536,Keys!$F$2:$I$22,2,FALSE)</f>
        <v>biomass</v>
      </c>
      <c r="D536">
        <f>VLOOKUP($B536,Keys!$F$2:$I$22,3,FALSE)</f>
        <v>0.74947425499999998</v>
      </c>
      <c r="E536" t="str">
        <f>VLOOKUP($B536,Keys!$F$2:$I$22,4,FALSE)</f>
        <v>rule</v>
      </c>
      <c r="F536" t="str">
        <f>$A536&amp;Keys!$C$54&amp;$B536</f>
        <v>ND|biomass</v>
      </c>
      <c r="G536" s="10">
        <f>IF($E536=Keys!$C$60,Keys!$C$51,INDEX(Balanced_2025!$D$9:$D$3032,MATCH($A536&amp;Keys!$C$54&amp;Keys!$C$55&amp;Keys!$C$54&amp;$C536,Balanced_2025!$E$9:$E$3032,0)))</f>
        <v>0</v>
      </c>
      <c r="H536" s="10">
        <f>IF($E536=Keys!$C$60,Keys!$C$51,INDEX(Balanced_2025!$D$9:$D$3032,MATCH($A536&amp;Keys!$C$54&amp;Keys!$C$56&amp;Keys!$C$54&amp;$C536,Balanced_2025!$E$9:$E$3032,0)))</f>
        <v>856548000000</v>
      </c>
      <c r="I536" s="10">
        <f>IF($E536=Keys!$C$60,Keys!$C$51,INDEX(Balanced_2025!$D$9:$D$3032,MATCH($A536&amp;Keys!$C$54&amp;Keys!$C$57&amp;Keys!$C$54&amp;$C536,Balanced_2025!$E$9:$E$3032,0)))</f>
        <v>0</v>
      </c>
      <c r="J536" s="10">
        <f t="shared" si="32"/>
        <v>856548000000</v>
      </c>
      <c r="K536" s="10">
        <f>MAX(Keys!$C$51,$I536-$H536)</f>
        <v>0</v>
      </c>
      <c r="L536" s="10">
        <f t="shared" si="33"/>
        <v>856548000000</v>
      </c>
      <c r="M536" s="11">
        <f>IF($L536&gt;Keys!$C$51,MIN(Keys!$C$52,$K536/$L536),Keys!$C$51)</f>
        <v>0</v>
      </c>
      <c r="N536" s="11">
        <f>IF($E536=Keys!$C$60,Keys!$C$51,IF($E536=Keys!$C$59,$D536,$M536))</f>
        <v>0</v>
      </c>
      <c r="O536">
        <f t="shared" si="34"/>
        <v>1</v>
      </c>
      <c r="P536" s="10">
        <f>IF($E536=Keys!$C$60,Keys!$C$51,INDEX(Raw_BFPIaE!$G$9:$G$3032,MATCH($A536&amp;Keys!$C$54&amp;Keys!$C$55&amp;Keys!$C$54&amp;$B536,Raw_BFPIaE!$H$9:$H$3032,0)))</f>
        <v>0</v>
      </c>
      <c r="Q536" s="10">
        <f>IF($E536=Keys!$C$60,Keys!$C$51,INDEX(Raw_BFPIaE!$G$9:$G$3032,MATCH($A536&amp;Keys!$C$54&amp;Keys!$C$56&amp;Keys!$C$54&amp;$B536,Raw_BFPIaE!$H$9:$H$3032,0)))</f>
        <v>566072333333.33337</v>
      </c>
      <c r="R536" s="10">
        <f>IF($E536=Keys!$C$60,Keys!$C$51,INDEX(Raw_BFPIaE!$G$9:$G$3032,MATCH($A536&amp;Keys!$C$54&amp;Keys!$C$57&amp;Keys!$C$54&amp;$B536,Raw_BFPIaE!$H$9:$H$3032,0)))</f>
        <v>0</v>
      </c>
      <c r="S536" s="11">
        <f>IF(($P536+$Q536-$R536+MAX(Keys!$C$51,$R536-$Q536))&gt;Keys!$C$51,MIN(Keys!$C$52,MAX(Keys!$C$51,$R536-$Q536)/($P536+$Q536-$R536+MAX(Keys!$C$51,$R536-$Q536))),Keys!$C$51)</f>
        <v>0</v>
      </c>
      <c r="T536">
        <f>IF(AND($I536&gt;$H536,ABS($L536-$G536)&gt;MAX(Keys!$C$62,ABS($G536)*Keys!$C$63)),1,0)</f>
        <v>0</v>
      </c>
      <c r="U536">
        <f>IF(OR($N536&lt;Keys!$C$51,$N536&gt;Keys!$C$52),1,0)</f>
        <v>0</v>
      </c>
      <c r="V536">
        <f>IF(AND($E536=Keys!$C$60,$N536&lt;&gt;Keys!$C$51),1,0)</f>
        <v>0</v>
      </c>
      <c r="W536">
        <f>IF($L536&gt;Keys!$C$51,IF($K536/$L536&gt;Keys!$C$52,1,0),0)</f>
        <v>0</v>
      </c>
      <c r="X536" s="11">
        <f t="shared" si="35"/>
        <v>0</v>
      </c>
    </row>
    <row r="537" spans="1:24" x14ac:dyDescent="0.25">
      <c r="A537" t="s">
        <v>133</v>
      </c>
      <c r="B537" t="s">
        <v>85</v>
      </c>
      <c r="C537" t="str">
        <f>VLOOKUP($B537,Keys!$F$2:$I$22,2,FALSE)</f>
        <v>petroleum gasoline</v>
      </c>
      <c r="D537">
        <f>VLOOKUP($B537,Keys!$F$2:$I$22,3,FALSE)</f>
        <v>7.5004052000000002E-2</v>
      </c>
      <c r="E537" t="str">
        <f>VLOOKUP($B537,Keys!$F$2:$I$22,4,FALSE)</f>
        <v>rule</v>
      </c>
      <c r="F537" t="str">
        <f>$A537&amp;Keys!$C$54&amp;$B537</f>
        <v>ND|petroleum gasoline</v>
      </c>
      <c r="G537" s="10">
        <f>IF($E537=Keys!$C$60,Keys!$C$51,INDEX(Balanced_2025!$D$9:$D$3032,MATCH($A537&amp;Keys!$C$54&amp;Keys!$C$55&amp;Keys!$C$54&amp;$C537,Balanced_2025!$E$9:$E$3032,0)))</f>
        <v>68905500000000</v>
      </c>
      <c r="H537" s="10">
        <f>IF($E537=Keys!$C$60,Keys!$C$51,INDEX(Balanced_2025!$D$9:$D$3032,MATCH($A537&amp;Keys!$C$54&amp;Keys!$C$56&amp;Keys!$C$54&amp;$C537,Balanced_2025!$E$9:$E$3032,0)))</f>
        <v>81415000000000</v>
      </c>
      <c r="I537" s="10">
        <f>IF($E537=Keys!$C$60,Keys!$C$51,INDEX(Balanced_2025!$D$9:$D$3032,MATCH($A537&amp;Keys!$C$54&amp;Keys!$C$57&amp;Keys!$C$54&amp;$C537,Balanced_2025!$E$9:$E$3032,0)))</f>
        <v>106189000000000</v>
      </c>
      <c r="J537" s="10">
        <f t="shared" si="32"/>
        <v>44131500000000</v>
      </c>
      <c r="K537" s="10">
        <f>MAX(Keys!$C$51,$I537-$H537)</f>
        <v>24774000000000</v>
      </c>
      <c r="L537" s="10">
        <f t="shared" si="33"/>
        <v>68905500000000</v>
      </c>
      <c r="M537" s="11">
        <f>IF($L537&gt;Keys!$C$51,MIN(Keys!$C$52,$K537/$L537),Keys!$C$51)</f>
        <v>0.3595358861048828</v>
      </c>
      <c r="N537" s="11">
        <f>IF($E537=Keys!$C$60,Keys!$C$51,IF($E537=Keys!$C$59,$D537,$M537))</f>
        <v>0.3595358861048828</v>
      </c>
      <c r="O537">
        <f t="shared" si="34"/>
        <v>1</v>
      </c>
      <c r="P537" s="10">
        <f>IF($E537=Keys!$C$60,Keys!$C$51,INDEX(Raw_BFPIaE!$G$9:$G$3032,MATCH($A537&amp;Keys!$C$54&amp;Keys!$C$55&amp;Keys!$C$54&amp;$B537,Raw_BFPIaE!$H$9:$H$3032,0)))</f>
        <v>68348800000000</v>
      </c>
      <c r="Q537" s="10">
        <f>IF($E537=Keys!$C$60,Keys!$C$51,INDEX(Raw_BFPIaE!$G$9:$G$3032,MATCH($A537&amp;Keys!$C$54&amp;Keys!$C$56&amp;Keys!$C$54&amp;$B537,Raw_BFPIaE!$H$9:$H$3032,0)))</f>
        <v>52519966666666.664</v>
      </c>
      <c r="R537" s="10">
        <f>IF($E537=Keys!$C$60,Keys!$C$51,INDEX(Raw_BFPIaE!$G$9:$G$3032,MATCH($A537&amp;Keys!$C$54&amp;Keys!$C$57&amp;Keys!$C$54&amp;$B537,Raw_BFPIaE!$H$9:$H$3032,0)))</f>
        <v>105331000000000</v>
      </c>
      <c r="S537" s="11">
        <f>IF(($P537+$Q537-$R537+MAX(Keys!$C$51,$R537-$Q537))&gt;Keys!$C$51,MIN(Keys!$C$52,MAX(Keys!$C$51,$R537-$Q537)/($P537+$Q537-$R537+MAX(Keys!$C$51,$R537-$Q537))),Keys!$C$51)</f>
        <v>0.77266950309783555</v>
      </c>
      <c r="T537">
        <f>IF(AND($I537&gt;$H537,ABS($L537-$G537)&gt;MAX(Keys!$C$62,ABS($G537)*Keys!$C$63)),1,0)</f>
        <v>0</v>
      </c>
      <c r="U537">
        <f>IF(OR($N537&lt;Keys!$C$51,$N537&gt;Keys!$C$52),1,0)</f>
        <v>0</v>
      </c>
      <c r="V537">
        <f>IF(AND($E537=Keys!$C$60,$N537&lt;&gt;Keys!$C$51),1,0)</f>
        <v>0</v>
      </c>
      <c r="W537">
        <f>IF($L537&gt;Keys!$C$51,IF($K537/$L537&gt;Keys!$C$52,1,0),0)</f>
        <v>0</v>
      </c>
      <c r="X537" s="11">
        <f t="shared" si="35"/>
        <v>0.41313361699295276</v>
      </c>
    </row>
    <row r="538" spans="1:24" x14ac:dyDescent="0.25">
      <c r="A538" t="s">
        <v>133</v>
      </c>
      <c r="B538" t="s">
        <v>88</v>
      </c>
      <c r="C538" t="str">
        <f>VLOOKUP($B538,Keys!$F$2:$I$22,2,FALSE)</f>
        <v>petroleum diesel</v>
      </c>
      <c r="D538">
        <f>VLOOKUP($B538,Keys!$F$2:$I$22,3,FALSE)</f>
        <v>0.26691051799999999</v>
      </c>
      <c r="E538" t="str">
        <f>VLOOKUP($B538,Keys!$F$2:$I$22,4,FALSE)</f>
        <v>rule</v>
      </c>
      <c r="F538" t="str">
        <f>$A538&amp;Keys!$C$54&amp;$B538</f>
        <v>ND|petroleum diesel</v>
      </c>
      <c r="G538" s="10">
        <f>IF($E538=Keys!$C$60,Keys!$C$51,INDEX(Balanced_2025!$D$9:$D$3032,MATCH($A538&amp;Keys!$C$54&amp;Keys!$C$55&amp;Keys!$C$54&amp;$C538,Balanced_2025!$E$9:$E$3032,0)))</f>
        <v>40758700000000</v>
      </c>
      <c r="H538" s="10">
        <f>IF($E538=Keys!$C$60,Keys!$C$51,INDEX(Balanced_2025!$D$9:$D$3032,MATCH($A538&amp;Keys!$C$54&amp;Keys!$C$56&amp;Keys!$C$54&amp;$C538,Balanced_2025!$E$9:$E$3032,0)))</f>
        <v>50324000000000</v>
      </c>
      <c r="I538" s="10">
        <f>IF($E538=Keys!$C$60,Keys!$C$51,INDEX(Balanced_2025!$D$9:$D$3032,MATCH($A538&amp;Keys!$C$54&amp;Keys!$C$57&amp;Keys!$C$54&amp;$C538,Balanced_2025!$E$9:$E$3032,0)))</f>
        <v>0</v>
      </c>
      <c r="J538" s="10">
        <f t="shared" si="32"/>
        <v>91082700000000</v>
      </c>
      <c r="K538" s="10">
        <f>MAX(Keys!$C$51,$I538-$H538)</f>
        <v>0</v>
      </c>
      <c r="L538" s="10">
        <f t="shared" si="33"/>
        <v>91082700000000</v>
      </c>
      <c r="M538" s="11">
        <f>IF($L538&gt;Keys!$C$51,MIN(Keys!$C$52,$K538/$L538),Keys!$C$51)</f>
        <v>0</v>
      </c>
      <c r="N538" s="11">
        <f>IF($E538=Keys!$C$60,Keys!$C$51,IF($E538=Keys!$C$59,$D538,$M538))</f>
        <v>0</v>
      </c>
      <c r="O538">
        <f t="shared" si="34"/>
        <v>1</v>
      </c>
      <c r="P538" s="10">
        <f>IF($E538=Keys!$C$60,Keys!$C$51,INDEX(Raw_BFPIaE!$G$9:$G$3032,MATCH($A538&amp;Keys!$C$54&amp;Keys!$C$55&amp;Keys!$C$54&amp;$B538,Raw_BFPIaE!$H$9:$H$3032,0)))</f>
        <v>40429366666666.664</v>
      </c>
      <c r="Q538" s="10">
        <f>IF($E538=Keys!$C$60,Keys!$C$51,INDEX(Raw_BFPIaE!$G$9:$G$3032,MATCH($A538&amp;Keys!$C$54&amp;Keys!$C$56&amp;Keys!$C$54&amp;$B538,Raw_BFPIaE!$H$9:$H$3032,0)))</f>
        <v>34154200000000</v>
      </c>
      <c r="R538" s="10">
        <f>IF($E538=Keys!$C$60,Keys!$C$51,INDEX(Raw_BFPIaE!$G$9:$G$3032,MATCH($A538&amp;Keys!$C$54&amp;Keys!$C$57&amp;Keys!$C$54&amp;$B538,Raw_BFPIaE!$H$9:$H$3032,0)))</f>
        <v>0</v>
      </c>
      <c r="S538" s="11">
        <f>IF(($P538+$Q538-$R538+MAX(Keys!$C$51,$R538-$Q538))&gt;Keys!$C$51,MIN(Keys!$C$52,MAX(Keys!$C$51,$R538-$Q538)/($P538+$Q538-$R538+MAX(Keys!$C$51,$R538-$Q538))),Keys!$C$51)</f>
        <v>0</v>
      </c>
      <c r="T538">
        <f>IF(AND($I538&gt;$H538,ABS($L538-$G538)&gt;MAX(Keys!$C$62,ABS($G538)*Keys!$C$63)),1,0)</f>
        <v>0</v>
      </c>
      <c r="U538">
        <f>IF(OR($N538&lt;Keys!$C$51,$N538&gt;Keys!$C$52),1,0)</f>
        <v>0</v>
      </c>
      <c r="V538">
        <f>IF(AND($E538=Keys!$C$60,$N538&lt;&gt;Keys!$C$51),1,0)</f>
        <v>0</v>
      </c>
      <c r="W538">
        <f>IF($L538&gt;Keys!$C$51,IF($K538/$L538&gt;Keys!$C$52,1,0),0)</f>
        <v>0</v>
      </c>
      <c r="X538" s="11">
        <f t="shared" si="35"/>
        <v>0</v>
      </c>
    </row>
    <row r="539" spans="1:24" x14ac:dyDescent="0.25">
      <c r="A539" t="s">
        <v>133</v>
      </c>
      <c r="B539" t="s">
        <v>91</v>
      </c>
      <c r="C539" t="str">
        <f>VLOOKUP($B539,Keys!$F$2:$I$22,2,FALSE)</f>
        <v>biofuel gasoline</v>
      </c>
      <c r="D539">
        <f>VLOOKUP($B539,Keys!$F$2:$I$22,3,FALSE)</f>
        <v>8.7213884000000005E-2</v>
      </c>
      <c r="E539" t="str">
        <f>VLOOKUP($B539,Keys!$F$2:$I$22,4,FALSE)</f>
        <v>rule</v>
      </c>
      <c r="F539" t="str">
        <f>$A539&amp;Keys!$C$54&amp;$B539</f>
        <v>ND|biofuel gasoline</v>
      </c>
      <c r="G539" s="10">
        <f>IF($E539=Keys!$C$60,Keys!$C$51,INDEX(Balanced_2025!$D$9:$D$3032,MATCH($A539&amp;Keys!$C$54&amp;Keys!$C$55&amp;Keys!$C$54&amp;$C539,Balanced_2025!$E$9:$E$3032,0)))</f>
        <v>47832300000000</v>
      </c>
      <c r="H539" s="10">
        <f>IF($E539=Keys!$C$60,Keys!$C$51,INDEX(Balanced_2025!$D$9:$D$3032,MATCH($A539&amp;Keys!$C$54&amp;Keys!$C$56&amp;Keys!$C$54&amp;$C539,Balanced_2025!$E$9:$E$3032,0)))</f>
        <v>162899000000</v>
      </c>
      <c r="I539" s="10">
        <f>IF($E539=Keys!$C$60,Keys!$C$51,INDEX(Balanced_2025!$D$9:$D$3032,MATCH($A539&amp;Keys!$C$54&amp;Keys!$C$57&amp;Keys!$C$54&amp;$C539,Balanced_2025!$E$9:$E$3032,0)))</f>
        <v>44818300000000</v>
      </c>
      <c r="J539" s="10">
        <f t="shared" si="32"/>
        <v>3176899000000</v>
      </c>
      <c r="K539" s="10">
        <f>MAX(Keys!$C$51,$I539-$H539)</f>
        <v>44655401000000</v>
      </c>
      <c r="L539" s="10">
        <f t="shared" si="33"/>
        <v>47832300000000</v>
      </c>
      <c r="M539" s="11">
        <f>IF($L539&gt;Keys!$C$51,MIN(Keys!$C$52,$K539/$L539),Keys!$C$51)</f>
        <v>0.93358255822948089</v>
      </c>
      <c r="N539" s="11">
        <f>IF($E539=Keys!$C$60,Keys!$C$51,IF($E539=Keys!$C$59,$D539,$M539))</f>
        <v>0.93358255822948089</v>
      </c>
      <c r="O539">
        <f t="shared" si="34"/>
        <v>1</v>
      </c>
      <c r="P539" s="10">
        <f>IF($E539=Keys!$C$60,Keys!$C$51,INDEX(Raw_BFPIaE!$G$9:$G$3032,MATCH($A539&amp;Keys!$C$54&amp;Keys!$C$55&amp;Keys!$C$54&amp;$B539,Raw_BFPIaE!$H$9:$H$3032,0)))</f>
        <v>47877166666666.664</v>
      </c>
      <c r="Q539" s="10">
        <f>IF($E539=Keys!$C$60,Keys!$C$51,INDEX(Raw_BFPIaE!$G$9:$G$3032,MATCH($A539&amp;Keys!$C$54&amp;Keys!$C$56&amp;Keys!$C$54&amp;$B539,Raw_BFPIaE!$H$9:$H$3032,0)))</f>
        <v>0</v>
      </c>
      <c r="R539" s="10">
        <f>IF($E539=Keys!$C$60,Keys!$C$51,INDEX(Raw_BFPIaE!$G$9:$G$3032,MATCH($A539&amp;Keys!$C$54&amp;Keys!$C$57&amp;Keys!$C$54&amp;$B539,Raw_BFPIaE!$H$9:$H$3032,0)))</f>
        <v>43309133333333.336</v>
      </c>
      <c r="S539" s="11">
        <f>IF(($P539+$Q539-$R539+MAX(Keys!$C$51,$R539-$Q539))&gt;Keys!$C$51,MIN(Keys!$C$52,MAX(Keys!$C$51,$R539-$Q539)/($P539+$Q539-$R539+MAX(Keys!$C$51,$R539-$Q539))),Keys!$C$51)</f>
        <v>0.90458847815416543</v>
      </c>
      <c r="T539">
        <f>IF(AND($I539&gt;$H539,ABS($L539-$G539)&gt;MAX(Keys!$C$62,ABS($G539)*Keys!$C$63)),1,0)</f>
        <v>0</v>
      </c>
      <c r="U539">
        <f>IF(OR($N539&lt;Keys!$C$51,$N539&gt;Keys!$C$52),1,0)</f>
        <v>0</v>
      </c>
      <c r="V539">
        <f>IF(AND($E539=Keys!$C$60,$N539&lt;&gt;Keys!$C$51),1,0)</f>
        <v>0</v>
      </c>
      <c r="W539">
        <f>IF($L539&gt;Keys!$C$51,IF($K539/$L539&gt;Keys!$C$52,1,0),0)</f>
        <v>0</v>
      </c>
      <c r="X539" s="11">
        <f t="shared" si="35"/>
        <v>2.8994080075315454E-2</v>
      </c>
    </row>
    <row r="540" spans="1:24" x14ac:dyDescent="0.25">
      <c r="A540" t="s">
        <v>133</v>
      </c>
      <c r="B540" t="s">
        <v>94</v>
      </c>
      <c r="C540" t="str">
        <f>VLOOKUP($B540,Keys!$F$2:$I$22,2,FALSE)</f>
        <v>biofuel diesel</v>
      </c>
      <c r="D540">
        <f>VLOOKUP($B540,Keys!$F$2:$I$22,3,FALSE)</f>
        <v>5.8642381E-2</v>
      </c>
      <c r="E540" t="str">
        <f>VLOOKUP($B540,Keys!$F$2:$I$22,4,FALSE)</f>
        <v>rule</v>
      </c>
      <c r="F540" t="str">
        <f>$A540&amp;Keys!$C$54&amp;$B540</f>
        <v>ND|biofuel diesel</v>
      </c>
      <c r="G540" s="10">
        <f>IF($E540=Keys!$C$60,Keys!$C$51,INDEX(Balanced_2025!$D$9:$D$3032,MATCH($A540&amp;Keys!$C$54&amp;Keys!$C$55&amp;Keys!$C$54&amp;$C540,Balanced_2025!$E$9:$E$3032,0)))</f>
        <v>27534800000000</v>
      </c>
      <c r="H540" s="10">
        <f>IF($E540=Keys!$C$60,Keys!$C$51,INDEX(Balanced_2025!$D$9:$D$3032,MATCH($A540&amp;Keys!$C$54&amp;Keys!$C$56&amp;Keys!$C$54&amp;$C540,Balanced_2025!$E$9:$E$3032,0)))</f>
        <v>47348200000</v>
      </c>
      <c r="I540" s="10">
        <f>IF($E540=Keys!$C$60,Keys!$C$51,INDEX(Balanced_2025!$D$9:$D$3032,MATCH($A540&amp;Keys!$C$54&amp;Keys!$C$57&amp;Keys!$C$54&amp;$C540,Balanced_2025!$E$9:$E$3032,0)))</f>
        <v>25942200000000</v>
      </c>
      <c r="J540" s="10">
        <f t="shared" si="32"/>
        <v>1639948200000</v>
      </c>
      <c r="K540" s="10">
        <f>MAX(Keys!$C$51,$I540-$H540)</f>
        <v>25894851800000</v>
      </c>
      <c r="L540" s="10">
        <f t="shared" si="33"/>
        <v>27534800000000</v>
      </c>
      <c r="M540" s="11">
        <f>IF($L540&gt;Keys!$C$51,MIN(Keys!$C$52,$K540/$L540),Keys!$C$51)</f>
        <v>0.94044088934729864</v>
      </c>
      <c r="N540" s="11">
        <f>IF($E540=Keys!$C$60,Keys!$C$51,IF($E540=Keys!$C$59,$D540,$M540))</f>
        <v>0.94044088934729864</v>
      </c>
      <c r="O540">
        <f t="shared" si="34"/>
        <v>1</v>
      </c>
      <c r="P540" s="10">
        <f>IF($E540=Keys!$C$60,Keys!$C$51,INDEX(Raw_BFPIaE!$G$9:$G$3032,MATCH($A540&amp;Keys!$C$54&amp;Keys!$C$55&amp;Keys!$C$54&amp;$B540,Raw_BFPIaE!$H$9:$H$3032,0)))</f>
        <v>29259033333333.332</v>
      </c>
      <c r="Q540" s="10">
        <f>IF($E540=Keys!$C$60,Keys!$C$51,INDEX(Raw_BFPIaE!$G$9:$G$3032,MATCH($A540&amp;Keys!$C$54&amp;Keys!$C$56&amp;Keys!$C$54&amp;$B540,Raw_BFPIaE!$H$9:$H$3032,0)))</f>
        <v>0</v>
      </c>
      <c r="R540" s="10">
        <f>IF($E540=Keys!$C$60,Keys!$C$51,INDEX(Raw_BFPIaE!$G$9:$G$3032,MATCH($A540&amp;Keys!$C$54&amp;Keys!$C$57&amp;Keys!$C$54&amp;$B540,Raw_BFPIaE!$H$9:$H$3032,0)))</f>
        <v>25804966666666.668</v>
      </c>
      <c r="S540" s="11">
        <f>IF(($P540+$Q540-$R540+MAX(Keys!$C$51,$R540-$Q540))&gt;Keys!$C$51,MIN(Keys!$C$52,MAX(Keys!$C$51,$R540-$Q540)/($P540+$Q540-$R540+MAX(Keys!$C$51,$R540-$Q540))),Keys!$C$51)</f>
        <v>0.88194870871787756</v>
      </c>
      <c r="T540">
        <f>IF(AND($I540&gt;$H540,ABS($L540-$G540)&gt;MAX(Keys!$C$62,ABS($G540)*Keys!$C$63)),1,0)</f>
        <v>0</v>
      </c>
      <c r="U540">
        <f>IF(OR($N540&lt;Keys!$C$51,$N540&gt;Keys!$C$52),1,0)</f>
        <v>0</v>
      </c>
      <c r="V540">
        <f>IF(AND($E540=Keys!$C$60,$N540&lt;&gt;Keys!$C$51),1,0)</f>
        <v>0</v>
      </c>
      <c r="W540">
        <f>IF($L540&gt;Keys!$C$51,IF($K540/$L540&gt;Keys!$C$52,1,0),0)</f>
        <v>0</v>
      </c>
      <c r="X540" s="11">
        <f t="shared" si="35"/>
        <v>5.8492180629421076E-2</v>
      </c>
    </row>
    <row r="541" spans="1:24" x14ac:dyDescent="0.25">
      <c r="A541" t="s">
        <v>133</v>
      </c>
      <c r="B541" t="s">
        <v>97</v>
      </c>
      <c r="C541" t="str">
        <f>VLOOKUP($B541,Keys!$F$2:$I$22,2,FALSE)</f>
        <v>jet fuel or kerosene</v>
      </c>
      <c r="D541">
        <f>VLOOKUP($B541,Keys!$F$2:$I$22,3,FALSE)</f>
        <v>0.10155994</v>
      </c>
      <c r="E541" t="str">
        <f>VLOOKUP($B541,Keys!$F$2:$I$22,4,FALSE)</f>
        <v>rule</v>
      </c>
      <c r="F541" t="str">
        <f>$A541&amp;Keys!$C$54&amp;$B541</f>
        <v>ND|jet fuel or kerosene</v>
      </c>
      <c r="G541" s="10">
        <f>IF($E541=Keys!$C$60,Keys!$C$51,INDEX(Balanced_2025!$D$9:$D$3032,MATCH($A541&amp;Keys!$C$54&amp;Keys!$C$55&amp;Keys!$C$54&amp;$C541,Balanced_2025!$E$9:$E$3032,0)))</f>
        <v>14509300000000</v>
      </c>
      <c r="H541" s="10">
        <f>IF($E541=Keys!$C$60,Keys!$C$51,INDEX(Balanced_2025!$D$9:$D$3032,MATCH($A541&amp;Keys!$C$54&amp;Keys!$C$56&amp;Keys!$C$54&amp;$C541,Balanced_2025!$E$9:$E$3032,0)))</f>
        <v>0</v>
      </c>
      <c r="I541" s="10">
        <f>IF($E541=Keys!$C$60,Keys!$C$51,INDEX(Balanced_2025!$D$9:$D$3032,MATCH($A541&amp;Keys!$C$54&amp;Keys!$C$57&amp;Keys!$C$54&amp;$C541,Balanced_2025!$E$9:$E$3032,0)))</f>
        <v>9643720000000</v>
      </c>
      <c r="J541" s="10">
        <f t="shared" si="32"/>
        <v>4865580000000</v>
      </c>
      <c r="K541" s="10">
        <f>MAX(Keys!$C$51,$I541-$H541)</f>
        <v>9643720000000</v>
      </c>
      <c r="L541" s="10">
        <f t="shared" si="33"/>
        <v>14509300000000</v>
      </c>
      <c r="M541" s="11">
        <f>IF($L541&gt;Keys!$C$51,MIN(Keys!$C$52,$K541/$L541),Keys!$C$51)</f>
        <v>0.66465784014390772</v>
      </c>
      <c r="N541" s="11">
        <f>IF($E541=Keys!$C$60,Keys!$C$51,IF($E541=Keys!$C$59,$D541,$M541))</f>
        <v>0.66465784014390772</v>
      </c>
      <c r="O541">
        <f t="shared" si="34"/>
        <v>1</v>
      </c>
      <c r="P541" s="10">
        <f>IF($E541=Keys!$C$60,Keys!$C$51,INDEX(Raw_BFPIaE!$G$9:$G$3032,MATCH($A541&amp;Keys!$C$54&amp;Keys!$C$55&amp;Keys!$C$54&amp;$B541,Raw_BFPIaE!$H$9:$H$3032,0)))</f>
        <v>14392066666666.666</v>
      </c>
      <c r="Q541" s="10">
        <f>IF($E541=Keys!$C$60,Keys!$C$51,INDEX(Raw_BFPIaE!$G$9:$G$3032,MATCH($A541&amp;Keys!$C$54&amp;Keys!$C$56&amp;Keys!$C$54&amp;$B541,Raw_BFPIaE!$H$9:$H$3032,0)))</f>
        <v>0</v>
      </c>
      <c r="R541" s="10">
        <f>IF($E541=Keys!$C$60,Keys!$C$51,INDEX(Raw_BFPIaE!$G$9:$G$3032,MATCH($A541&amp;Keys!$C$54&amp;Keys!$C$57&amp;Keys!$C$54&amp;$B541,Raw_BFPIaE!$H$9:$H$3032,0)))</f>
        <v>6212593333333.333</v>
      </c>
      <c r="S541" s="11">
        <f>IF(($P541+$Q541-$R541+MAX(Keys!$C$51,$R541-$Q541))&gt;Keys!$C$51,MIN(Keys!$C$52,MAX(Keys!$C$51,$R541-$Q541)/($P541+$Q541-$R541+MAX(Keys!$C$51,$R541-$Q541))),Keys!$C$51)</f>
        <v>0.43166790963540097</v>
      </c>
      <c r="T541">
        <f>IF(AND($I541&gt;$H541,ABS($L541-$G541)&gt;MAX(Keys!$C$62,ABS($G541)*Keys!$C$63)),1,0)</f>
        <v>0</v>
      </c>
      <c r="U541">
        <f>IF(OR($N541&lt;Keys!$C$51,$N541&gt;Keys!$C$52),1,0)</f>
        <v>0</v>
      </c>
      <c r="V541">
        <f>IF(AND($E541=Keys!$C$60,$N541&lt;&gt;Keys!$C$51),1,0)</f>
        <v>0</v>
      </c>
      <c r="W541">
        <f>IF($L541&gt;Keys!$C$51,IF($K541/$L541&gt;Keys!$C$52,1,0),0)</f>
        <v>0</v>
      </c>
      <c r="X541" s="11">
        <f t="shared" si="35"/>
        <v>0.23298993050850675</v>
      </c>
    </row>
    <row r="542" spans="1:24" x14ac:dyDescent="0.25">
      <c r="A542" t="s">
        <v>133</v>
      </c>
      <c r="B542" t="s">
        <v>100</v>
      </c>
      <c r="C542">
        <f>VLOOKUP($B542,Keys!$F$2:$I$22,2,FALSE)</f>
        <v>0</v>
      </c>
      <c r="D542">
        <f>VLOOKUP($B542,Keys!$F$2:$I$22,3,FALSE)</f>
        <v>0</v>
      </c>
      <c r="E542" t="str">
        <f>VLOOKUP($B542,Keys!$F$2:$I$22,4,FALSE)</f>
        <v>zero</v>
      </c>
      <c r="F542" t="str">
        <f>$A542&amp;Keys!$C$54&amp;$B542</f>
        <v>ND|heat (not used in this variable)</v>
      </c>
      <c r="G542" s="10">
        <f>IF($E542=Keys!$C$60,Keys!$C$51,INDEX(Balanced_2025!$D$9:$D$3032,MATCH($A542&amp;Keys!$C$54&amp;Keys!$C$55&amp;Keys!$C$54&amp;$C542,Balanced_2025!$E$9:$E$3032,0)))</f>
        <v>0</v>
      </c>
      <c r="H542" s="10">
        <f>IF($E542=Keys!$C$60,Keys!$C$51,INDEX(Balanced_2025!$D$9:$D$3032,MATCH($A542&amp;Keys!$C$54&amp;Keys!$C$56&amp;Keys!$C$54&amp;$C542,Balanced_2025!$E$9:$E$3032,0)))</f>
        <v>0</v>
      </c>
      <c r="I542" s="10">
        <f>IF($E542=Keys!$C$60,Keys!$C$51,INDEX(Balanced_2025!$D$9:$D$3032,MATCH($A542&amp;Keys!$C$54&amp;Keys!$C$57&amp;Keys!$C$54&amp;$C542,Balanced_2025!$E$9:$E$3032,0)))</f>
        <v>0</v>
      </c>
      <c r="J542" s="10">
        <f t="shared" si="32"/>
        <v>0</v>
      </c>
      <c r="K542" s="10">
        <f>MAX(Keys!$C$51,$I542-$H542)</f>
        <v>0</v>
      </c>
      <c r="L542" s="10">
        <f t="shared" si="33"/>
        <v>0</v>
      </c>
      <c r="M542" s="11">
        <f>IF($L542&gt;Keys!$C$51,MIN(Keys!$C$52,$K542/$L542),Keys!$C$51)</f>
        <v>0</v>
      </c>
      <c r="N542" s="11">
        <f>IF($E542=Keys!$C$60,Keys!$C$51,IF($E542=Keys!$C$59,$D542,$M542))</f>
        <v>0</v>
      </c>
      <c r="O542">
        <f t="shared" si="34"/>
        <v>0</v>
      </c>
      <c r="P542" s="10">
        <f>IF($E542=Keys!$C$60,Keys!$C$51,INDEX(Raw_BFPIaE!$G$9:$G$3032,MATCH($A542&amp;Keys!$C$54&amp;Keys!$C$55&amp;Keys!$C$54&amp;$B542,Raw_BFPIaE!$H$9:$H$3032,0)))</f>
        <v>0</v>
      </c>
      <c r="Q542" s="10">
        <f>IF($E542=Keys!$C$60,Keys!$C$51,INDEX(Raw_BFPIaE!$G$9:$G$3032,MATCH($A542&amp;Keys!$C$54&amp;Keys!$C$56&amp;Keys!$C$54&amp;$B542,Raw_BFPIaE!$H$9:$H$3032,0)))</f>
        <v>0</v>
      </c>
      <c r="R542" s="10">
        <f>IF($E542=Keys!$C$60,Keys!$C$51,INDEX(Raw_BFPIaE!$G$9:$G$3032,MATCH($A542&amp;Keys!$C$54&amp;Keys!$C$57&amp;Keys!$C$54&amp;$B542,Raw_BFPIaE!$H$9:$H$3032,0)))</f>
        <v>0</v>
      </c>
      <c r="S542" s="11">
        <f>IF(($P542+$Q542-$R542+MAX(Keys!$C$51,$R542-$Q542))&gt;Keys!$C$51,MIN(Keys!$C$52,MAX(Keys!$C$51,$R542-$Q542)/($P542+$Q542-$R542+MAX(Keys!$C$51,$R542-$Q542))),Keys!$C$51)</f>
        <v>0</v>
      </c>
      <c r="T542">
        <f>IF(AND($I542&gt;$H542,ABS($L542-$G542)&gt;MAX(Keys!$C$62,ABS($G542)*Keys!$C$63)),1,0)</f>
        <v>0</v>
      </c>
      <c r="U542">
        <f>IF(OR($N542&lt;Keys!$C$51,$N542&gt;Keys!$C$52),1,0)</f>
        <v>0</v>
      </c>
      <c r="V542">
        <f>IF(AND($E542=Keys!$C$60,$N542&lt;&gt;Keys!$C$51),1,0)</f>
        <v>0</v>
      </c>
      <c r="W542">
        <f>IF($L542&gt;Keys!$C$51,IF($K542/$L542&gt;Keys!$C$52,1,0),0)</f>
        <v>0</v>
      </c>
      <c r="X542" s="11">
        <f t="shared" si="35"/>
        <v>0</v>
      </c>
    </row>
    <row r="543" spans="1:24" x14ac:dyDescent="0.25">
      <c r="A543" t="s">
        <v>133</v>
      </c>
      <c r="B543" t="s">
        <v>103</v>
      </c>
      <c r="C543">
        <f>VLOOKUP($B543,Keys!$F$2:$I$22,2,FALSE)</f>
        <v>0</v>
      </c>
      <c r="D543">
        <f>VLOOKUP($B543,Keys!$F$2:$I$22,3,FALSE)</f>
        <v>0</v>
      </c>
      <c r="E543" t="str">
        <f>VLOOKUP($B543,Keys!$F$2:$I$22,4,FALSE)</f>
        <v>zero</v>
      </c>
      <c r="F543" t="str">
        <f>$A543&amp;Keys!$C$54&amp;$B543</f>
        <v>ND|geothermal (is not a fuel)</v>
      </c>
      <c r="G543" s="10">
        <f>IF($E543=Keys!$C$60,Keys!$C$51,INDEX(Balanced_2025!$D$9:$D$3032,MATCH($A543&amp;Keys!$C$54&amp;Keys!$C$55&amp;Keys!$C$54&amp;$C543,Balanced_2025!$E$9:$E$3032,0)))</f>
        <v>0</v>
      </c>
      <c r="H543" s="10">
        <f>IF($E543=Keys!$C$60,Keys!$C$51,INDEX(Balanced_2025!$D$9:$D$3032,MATCH($A543&amp;Keys!$C$54&amp;Keys!$C$56&amp;Keys!$C$54&amp;$C543,Balanced_2025!$E$9:$E$3032,0)))</f>
        <v>0</v>
      </c>
      <c r="I543" s="10">
        <f>IF($E543=Keys!$C$60,Keys!$C$51,INDEX(Balanced_2025!$D$9:$D$3032,MATCH($A543&amp;Keys!$C$54&amp;Keys!$C$57&amp;Keys!$C$54&amp;$C543,Balanced_2025!$E$9:$E$3032,0)))</f>
        <v>0</v>
      </c>
      <c r="J543" s="10">
        <f t="shared" si="32"/>
        <v>0</v>
      </c>
      <c r="K543" s="10">
        <f>MAX(Keys!$C$51,$I543-$H543)</f>
        <v>0</v>
      </c>
      <c r="L543" s="10">
        <f t="shared" si="33"/>
        <v>0</v>
      </c>
      <c r="M543" s="11">
        <f>IF($L543&gt;Keys!$C$51,MIN(Keys!$C$52,$K543/$L543),Keys!$C$51)</f>
        <v>0</v>
      </c>
      <c r="N543" s="11">
        <f>IF($E543=Keys!$C$60,Keys!$C$51,IF($E543=Keys!$C$59,$D543,$M543))</f>
        <v>0</v>
      </c>
      <c r="O543">
        <f t="shared" si="34"/>
        <v>0</v>
      </c>
      <c r="P543" s="10">
        <f>IF($E543=Keys!$C$60,Keys!$C$51,INDEX(Raw_BFPIaE!$G$9:$G$3032,MATCH($A543&amp;Keys!$C$54&amp;Keys!$C$55&amp;Keys!$C$54&amp;$B543,Raw_BFPIaE!$H$9:$H$3032,0)))</f>
        <v>0</v>
      </c>
      <c r="Q543" s="10">
        <f>IF($E543=Keys!$C$60,Keys!$C$51,INDEX(Raw_BFPIaE!$G$9:$G$3032,MATCH($A543&amp;Keys!$C$54&amp;Keys!$C$56&amp;Keys!$C$54&amp;$B543,Raw_BFPIaE!$H$9:$H$3032,0)))</f>
        <v>0</v>
      </c>
      <c r="R543" s="10">
        <f>IF($E543=Keys!$C$60,Keys!$C$51,INDEX(Raw_BFPIaE!$G$9:$G$3032,MATCH($A543&amp;Keys!$C$54&amp;Keys!$C$57&amp;Keys!$C$54&amp;$B543,Raw_BFPIaE!$H$9:$H$3032,0)))</f>
        <v>0</v>
      </c>
      <c r="S543" s="11">
        <f>IF(($P543+$Q543-$R543+MAX(Keys!$C$51,$R543-$Q543))&gt;Keys!$C$51,MIN(Keys!$C$52,MAX(Keys!$C$51,$R543-$Q543)/($P543+$Q543-$R543+MAX(Keys!$C$51,$R543-$Q543))),Keys!$C$51)</f>
        <v>0</v>
      </c>
      <c r="T543">
        <f>IF(AND($I543&gt;$H543,ABS($L543-$G543)&gt;MAX(Keys!$C$62,ABS($G543)*Keys!$C$63)),1,0)</f>
        <v>0</v>
      </c>
      <c r="U543">
        <f>IF(OR($N543&lt;Keys!$C$51,$N543&gt;Keys!$C$52),1,0)</f>
        <v>0</v>
      </c>
      <c r="V543">
        <f>IF(AND($E543=Keys!$C$60,$N543&lt;&gt;Keys!$C$51),1,0)</f>
        <v>0</v>
      </c>
      <c r="W543">
        <f>IF($L543&gt;Keys!$C$51,IF($K543/$L543&gt;Keys!$C$52,1,0),0)</f>
        <v>0</v>
      </c>
      <c r="X543" s="11">
        <f t="shared" si="35"/>
        <v>0</v>
      </c>
    </row>
    <row r="544" spans="1:24" x14ac:dyDescent="0.25">
      <c r="A544" t="s">
        <v>133</v>
      </c>
      <c r="B544" t="s">
        <v>106</v>
      </c>
      <c r="C544" t="str">
        <f>VLOOKUP($B544,Keys!$F$2:$I$22,2,FALSE)</f>
        <v>lignite</v>
      </c>
      <c r="D544">
        <f>VLOOKUP($B544,Keys!$F$2:$I$22,3,FALSE)</f>
        <v>0</v>
      </c>
      <c r="E544" t="str">
        <f>VLOOKUP($B544,Keys!$F$2:$I$22,4,FALSE)</f>
        <v>rule</v>
      </c>
      <c r="F544" t="str">
        <f>$A544&amp;Keys!$C$54&amp;$B544</f>
        <v>ND|lignite</v>
      </c>
      <c r="G544" s="10">
        <f>IF($E544=Keys!$C$60,Keys!$C$51,INDEX(Balanced_2025!$D$9:$D$3032,MATCH($A544&amp;Keys!$C$54&amp;Keys!$C$55&amp;Keys!$C$54&amp;$C544,Balanced_2025!$E$9:$E$3032,0)))</f>
        <v>355805000000000</v>
      </c>
      <c r="H544" s="10">
        <f>IF($E544=Keys!$C$60,Keys!$C$51,INDEX(Balanced_2025!$D$9:$D$3032,MATCH($A544&amp;Keys!$C$54&amp;Keys!$C$56&amp;Keys!$C$54&amp;$C544,Balanced_2025!$E$9:$E$3032,0)))</f>
        <v>0</v>
      </c>
      <c r="I544" s="10">
        <f>IF($E544=Keys!$C$60,Keys!$C$51,INDEX(Balanced_2025!$D$9:$D$3032,MATCH($A544&amp;Keys!$C$54&amp;Keys!$C$57&amp;Keys!$C$54&amp;$C544,Balanced_2025!$E$9:$E$3032,0)))</f>
        <v>181252000000000</v>
      </c>
      <c r="J544" s="10">
        <f t="shared" si="32"/>
        <v>174553000000000</v>
      </c>
      <c r="K544" s="10">
        <f>MAX(Keys!$C$51,$I544-$H544)</f>
        <v>181252000000000</v>
      </c>
      <c r="L544" s="10">
        <f t="shared" si="33"/>
        <v>355805000000000</v>
      </c>
      <c r="M544" s="11">
        <f>IF($L544&gt;Keys!$C$51,MIN(Keys!$C$52,$K544/$L544),Keys!$C$51)</f>
        <v>0.50941386433580194</v>
      </c>
      <c r="N544" s="11">
        <f>IF($E544=Keys!$C$60,Keys!$C$51,IF($E544=Keys!$C$59,$D544,$M544))</f>
        <v>0.50941386433580194</v>
      </c>
      <c r="O544">
        <f t="shared" si="34"/>
        <v>1</v>
      </c>
      <c r="P544" s="10">
        <f>IF($E544=Keys!$C$60,Keys!$C$51,INDEX(Raw_BFPIaE!$G$9:$G$3032,MATCH($A544&amp;Keys!$C$54&amp;Keys!$C$55&amp;Keys!$C$54&amp;$B544,Raw_BFPIaE!$H$9:$H$3032,0)))</f>
        <v>347954000000000</v>
      </c>
      <c r="Q544" s="10">
        <f>IF($E544=Keys!$C$60,Keys!$C$51,INDEX(Raw_BFPIaE!$G$9:$G$3032,MATCH($A544&amp;Keys!$C$54&amp;Keys!$C$56&amp;Keys!$C$54&amp;$B544,Raw_BFPIaE!$H$9:$H$3032,0)))</f>
        <v>0</v>
      </c>
      <c r="R544" s="10">
        <f>IF($E544=Keys!$C$60,Keys!$C$51,INDEX(Raw_BFPIaE!$G$9:$G$3032,MATCH($A544&amp;Keys!$C$54&amp;Keys!$C$57&amp;Keys!$C$54&amp;$B544,Raw_BFPIaE!$H$9:$H$3032,0)))</f>
        <v>110250666666666.67</v>
      </c>
      <c r="S544" s="11">
        <f>IF(($P544+$Q544-$R544+MAX(Keys!$C$51,$R544-$Q544))&gt;Keys!$C$51,MIN(Keys!$C$52,MAX(Keys!$C$51,$R544-$Q544)/($P544+$Q544-$R544+MAX(Keys!$C$51,$R544-$Q544))),Keys!$C$51)</f>
        <v>0.31685414355537417</v>
      </c>
      <c r="T544">
        <f>IF(AND($I544&gt;$H544,ABS($L544-$G544)&gt;MAX(Keys!$C$62,ABS($G544)*Keys!$C$63)),1,0)</f>
        <v>0</v>
      </c>
      <c r="U544">
        <f>IF(OR($N544&lt;Keys!$C$51,$N544&gt;Keys!$C$52),1,0)</f>
        <v>0</v>
      </c>
      <c r="V544">
        <f>IF(AND($E544=Keys!$C$60,$N544&lt;&gt;Keys!$C$51),1,0)</f>
        <v>0</v>
      </c>
      <c r="W544">
        <f>IF($L544&gt;Keys!$C$51,IF($K544/$L544&gt;Keys!$C$52,1,0),0)</f>
        <v>0</v>
      </c>
      <c r="X544" s="11">
        <f t="shared" si="35"/>
        <v>0.19255972078042777</v>
      </c>
    </row>
    <row r="545" spans="1:24" x14ac:dyDescent="0.25">
      <c r="A545" t="s">
        <v>133</v>
      </c>
      <c r="B545" t="s">
        <v>109</v>
      </c>
      <c r="C545" t="str">
        <f>VLOOKUP($B545,Keys!$F$2:$I$22,2,FALSE)</f>
        <v>crude oil</v>
      </c>
      <c r="D545">
        <f>VLOOKUP($B545,Keys!$F$2:$I$22,3,FALSE)</f>
        <v>1</v>
      </c>
      <c r="E545" t="str">
        <f>VLOOKUP($B545,Keys!$F$2:$I$22,4,FALSE)</f>
        <v>hold</v>
      </c>
      <c r="F545" t="str">
        <f>$A545&amp;Keys!$C$54&amp;$B545</f>
        <v>ND|crude oil</v>
      </c>
      <c r="G545" s="10">
        <f>IF($E545=Keys!$C$60,Keys!$C$51,INDEX(Balanced_2025!$D$9:$D$3032,MATCH($A545&amp;Keys!$C$54&amp;Keys!$C$55&amp;Keys!$C$54&amp;$C545,Balanced_2025!$E$9:$E$3032,0)))</f>
        <v>2534650000000000</v>
      </c>
      <c r="H545" s="10">
        <f>IF($E545=Keys!$C$60,Keys!$C$51,INDEX(Balanced_2025!$D$9:$D$3032,MATCH($A545&amp;Keys!$C$54&amp;Keys!$C$56&amp;Keys!$C$54&amp;$C545,Balanced_2025!$E$9:$E$3032,0)))</f>
        <v>0</v>
      </c>
      <c r="I545" s="10">
        <f>IF($E545=Keys!$C$60,Keys!$C$51,INDEX(Balanced_2025!$D$9:$D$3032,MATCH($A545&amp;Keys!$C$54&amp;Keys!$C$57&amp;Keys!$C$54&amp;$C545,Balanced_2025!$E$9:$E$3032,0)))</f>
        <v>2390300000000000</v>
      </c>
      <c r="J545" s="10">
        <f t="shared" si="32"/>
        <v>144350000000000</v>
      </c>
      <c r="K545" s="10">
        <f>MAX(Keys!$C$51,$I545-$H545)</f>
        <v>2390300000000000</v>
      </c>
      <c r="L545" s="10">
        <f t="shared" si="33"/>
        <v>2534650000000000</v>
      </c>
      <c r="M545" s="11">
        <f>IF($L545&gt;Keys!$C$51,MIN(Keys!$C$52,$K545/$L545),Keys!$C$51)</f>
        <v>0.94304933620026432</v>
      </c>
      <c r="N545" s="11">
        <f>IF($E545=Keys!$C$60,Keys!$C$51,IF($E545=Keys!$C$59,$D545,$M545))</f>
        <v>1</v>
      </c>
      <c r="O545">
        <f t="shared" si="34"/>
        <v>0</v>
      </c>
      <c r="P545" s="10">
        <f>IF($E545=Keys!$C$60,Keys!$C$51,INDEX(Raw_BFPIaE!$G$9:$G$3032,MATCH($A545&amp;Keys!$C$54&amp;Keys!$C$55&amp;Keys!$C$54&amp;$B545,Raw_BFPIaE!$H$9:$H$3032,0)))</f>
        <v>2506116666666666.5</v>
      </c>
      <c r="Q545" s="10">
        <f>IF($E545=Keys!$C$60,Keys!$C$51,INDEX(Raw_BFPIaE!$G$9:$G$3032,MATCH($A545&amp;Keys!$C$54&amp;Keys!$C$56&amp;Keys!$C$54&amp;$B545,Raw_BFPIaE!$H$9:$H$3032,0)))</f>
        <v>0</v>
      </c>
      <c r="R545" s="10">
        <f>IF($E545=Keys!$C$60,Keys!$C$51,INDEX(Raw_BFPIaE!$G$9:$G$3032,MATCH($A545&amp;Keys!$C$54&amp;Keys!$C$57&amp;Keys!$C$54&amp;$B545,Raw_BFPIaE!$H$9:$H$3032,0)))</f>
        <v>1649110333333333.3</v>
      </c>
      <c r="S545" s="11">
        <f>IF(($P545+$Q545-$R545+MAX(Keys!$C$51,$R545-$Q545))&gt;Keys!$C$51,MIN(Keys!$C$52,MAX(Keys!$C$51,$R545-$Q545)/($P545+$Q545-$R545+MAX(Keys!$C$51,$R545-$Q545))),Keys!$C$51)</f>
        <v>0.65803414312980912</v>
      </c>
      <c r="T545">
        <f>IF(AND($I545&gt;$H545,ABS($L545-$G545)&gt;MAX(Keys!$C$62,ABS($G545)*Keys!$C$63)),1,0)</f>
        <v>0</v>
      </c>
      <c r="U545">
        <f>IF(OR($N545&lt;Keys!$C$51,$N545&gt;Keys!$C$52),1,0)</f>
        <v>0</v>
      </c>
      <c r="V545">
        <f>IF(AND($E545=Keys!$C$60,$N545&lt;&gt;Keys!$C$51),1,0)</f>
        <v>0</v>
      </c>
      <c r="W545">
        <f>IF($L545&gt;Keys!$C$51,IF($K545/$L545&gt;Keys!$C$52,1,0),0)</f>
        <v>0</v>
      </c>
      <c r="X545" s="11">
        <f t="shared" si="35"/>
        <v>0.2850151930704552</v>
      </c>
    </row>
    <row r="546" spans="1:24" x14ac:dyDescent="0.25">
      <c r="A546" t="s">
        <v>133</v>
      </c>
      <c r="B546" t="s">
        <v>113</v>
      </c>
      <c r="C546" t="str">
        <f>VLOOKUP($B546,Keys!$F$2:$I$22,2,FALSE)</f>
        <v>heavy or residual fuel oil</v>
      </c>
      <c r="D546">
        <f>VLOOKUP($B546,Keys!$F$2:$I$22,3,FALSE)</f>
        <v>0.49914171099999999</v>
      </c>
      <c r="E546" t="str">
        <f>VLOOKUP($B546,Keys!$F$2:$I$22,4,FALSE)</f>
        <v>rule</v>
      </c>
      <c r="F546" t="str">
        <f>$A546&amp;Keys!$C$54&amp;$B546</f>
        <v>ND|heavy fuel oil</v>
      </c>
      <c r="G546" s="10">
        <f>IF($E546=Keys!$C$60,Keys!$C$51,INDEX(Balanced_2025!$D$9:$D$3032,MATCH($A546&amp;Keys!$C$54&amp;Keys!$C$55&amp;Keys!$C$54&amp;$C546,Balanced_2025!$E$9:$E$3032,0)))</f>
        <v>2818470000000</v>
      </c>
      <c r="H546" s="10">
        <f>IF($E546=Keys!$C$60,Keys!$C$51,INDEX(Balanced_2025!$D$9:$D$3032,MATCH($A546&amp;Keys!$C$54&amp;Keys!$C$56&amp;Keys!$C$54&amp;$C546,Balanced_2025!$E$9:$E$3032,0)))</f>
        <v>1326960000000</v>
      </c>
      <c r="I546" s="10">
        <f>IF($E546=Keys!$C$60,Keys!$C$51,INDEX(Balanced_2025!$D$9:$D$3032,MATCH($A546&amp;Keys!$C$54&amp;Keys!$C$57&amp;Keys!$C$54&amp;$C546,Balanced_2025!$E$9:$E$3032,0)))</f>
        <v>0</v>
      </c>
      <c r="J546" s="10">
        <f t="shared" si="32"/>
        <v>4145430000000</v>
      </c>
      <c r="K546" s="10">
        <f>MAX(Keys!$C$51,$I546-$H546)</f>
        <v>0</v>
      </c>
      <c r="L546" s="10">
        <f t="shared" si="33"/>
        <v>4145430000000</v>
      </c>
      <c r="M546" s="11">
        <f>IF($L546&gt;Keys!$C$51,MIN(Keys!$C$52,$K546/$L546),Keys!$C$51)</f>
        <v>0</v>
      </c>
      <c r="N546" s="11">
        <f>IF($E546=Keys!$C$60,Keys!$C$51,IF($E546=Keys!$C$59,$D546,$M546))</f>
        <v>0</v>
      </c>
      <c r="O546">
        <f t="shared" si="34"/>
        <v>1</v>
      </c>
      <c r="P546" s="10">
        <f>IF($E546=Keys!$C$60,Keys!$C$51,INDEX(Raw_BFPIaE!$G$9:$G$3032,MATCH($A546&amp;Keys!$C$54&amp;Keys!$C$55&amp;Keys!$C$54&amp;$B546,Raw_BFPIaE!$H$9:$H$3032,0)))</f>
        <v>2795700000000</v>
      </c>
      <c r="Q546" s="10">
        <f>IF($E546=Keys!$C$60,Keys!$C$51,INDEX(Raw_BFPIaE!$G$9:$G$3032,MATCH($A546&amp;Keys!$C$54&amp;Keys!$C$56&amp;Keys!$C$54&amp;$B546,Raw_BFPIaE!$H$9:$H$3032,0)))</f>
        <v>945226666666.66663</v>
      </c>
      <c r="R546" s="10">
        <f>IF($E546=Keys!$C$60,Keys!$C$51,INDEX(Raw_BFPIaE!$G$9:$G$3032,MATCH($A546&amp;Keys!$C$54&amp;Keys!$C$57&amp;Keys!$C$54&amp;$B546,Raw_BFPIaE!$H$9:$H$3032,0)))</f>
        <v>0</v>
      </c>
      <c r="S546" s="11">
        <f>IF(($P546+$Q546-$R546+MAX(Keys!$C$51,$R546-$Q546))&gt;Keys!$C$51,MIN(Keys!$C$52,MAX(Keys!$C$51,$R546-$Q546)/($P546+$Q546-$R546+MAX(Keys!$C$51,$R546-$Q546))),Keys!$C$51)</f>
        <v>0</v>
      </c>
      <c r="T546">
        <f>IF(AND($I546&gt;$H546,ABS($L546-$G546)&gt;MAX(Keys!$C$62,ABS($G546)*Keys!$C$63)),1,0)</f>
        <v>0</v>
      </c>
      <c r="U546">
        <f>IF(OR($N546&lt;Keys!$C$51,$N546&gt;Keys!$C$52),1,0)</f>
        <v>0</v>
      </c>
      <c r="V546">
        <f>IF(AND($E546=Keys!$C$60,$N546&lt;&gt;Keys!$C$51),1,0)</f>
        <v>0</v>
      </c>
      <c r="W546">
        <f>IF($L546&gt;Keys!$C$51,IF($K546/$L546&gt;Keys!$C$52,1,0),0)</f>
        <v>0</v>
      </c>
      <c r="X546" s="11">
        <f t="shared" si="35"/>
        <v>0</v>
      </c>
    </row>
    <row r="547" spans="1:24" x14ac:dyDescent="0.25">
      <c r="A547" t="s">
        <v>133</v>
      </c>
      <c r="B547" t="s">
        <v>117</v>
      </c>
      <c r="C547" t="str">
        <f>VLOOKUP($B547,Keys!$F$2:$I$22,2,FALSE)</f>
        <v>LPG propane or butane</v>
      </c>
      <c r="D547">
        <f>VLOOKUP($B547,Keys!$F$2:$I$22,3,FALSE)</f>
        <v>0.54955999499999997</v>
      </c>
      <c r="E547" t="str">
        <f>VLOOKUP($B547,Keys!$F$2:$I$22,4,FALSE)</f>
        <v>rule</v>
      </c>
      <c r="F547" t="str">
        <f>$A547&amp;Keys!$C$54&amp;$B547</f>
        <v>ND|LPG propane or butane</v>
      </c>
      <c r="G547" s="10">
        <f>IF($E547=Keys!$C$60,Keys!$C$51,INDEX(Balanced_2025!$D$9:$D$3032,MATCH($A547&amp;Keys!$C$54&amp;Keys!$C$55&amp;Keys!$C$54&amp;$C547,Balanced_2025!$E$9:$E$3032,0)))</f>
        <v>120221000000000</v>
      </c>
      <c r="H547" s="10">
        <f>IF($E547=Keys!$C$60,Keys!$C$51,INDEX(Balanced_2025!$D$9:$D$3032,MATCH($A547&amp;Keys!$C$54&amp;Keys!$C$56&amp;Keys!$C$54&amp;$C547,Balanced_2025!$E$9:$E$3032,0)))</f>
        <v>0</v>
      </c>
      <c r="I547" s="10">
        <f>IF($E547=Keys!$C$60,Keys!$C$51,INDEX(Balanced_2025!$D$9:$D$3032,MATCH($A547&amp;Keys!$C$54&amp;Keys!$C$57&amp;Keys!$C$54&amp;$C547,Balanced_2025!$E$9:$E$3032,0)))</f>
        <v>110225000000000</v>
      </c>
      <c r="J547" s="10">
        <f t="shared" si="32"/>
        <v>9996000000000</v>
      </c>
      <c r="K547" s="10">
        <f>MAX(Keys!$C$51,$I547-$H547)</f>
        <v>110225000000000</v>
      </c>
      <c r="L547" s="10">
        <f t="shared" si="33"/>
        <v>120221000000000</v>
      </c>
      <c r="M547" s="11">
        <f>IF($L547&gt;Keys!$C$51,MIN(Keys!$C$52,$K547/$L547),Keys!$C$51)</f>
        <v>0.91685312882108783</v>
      </c>
      <c r="N547" s="11">
        <f>IF($E547=Keys!$C$60,Keys!$C$51,IF($E547=Keys!$C$59,$D547,$M547))</f>
        <v>0.91685312882108783</v>
      </c>
      <c r="O547">
        <f t="shared" si="34"/>
        <v>1</v>
      </c>
      <c r="P547" s="10">
        <f>IF($E547=Keys!$C$60,Keys!$C$51,INDEX(Raw_BFPIaE!$G$9:$G$3032,MATCH($A547&amp;Keys!$C$54&amp;Keys!$C$55&amp;Keys!$C$54&amp;$B547,Raw_BFPIaE!$H$9:$H$3032,0)))</f>
        <v>121072000000000</v>
      </c>
      <c r="Q547" s="10">
        <f>IF($E547=Keys!$C$60,Keys!$C$51,INDEX(Raw_BFPIaE!$G$9:$G$3032,MATCH($A547&amp;Keys!$C$54&amp;Keys!$C$56&amp;Keys!$C$54&amp;$B547,Raw_BFPIaE!$H$9:$H$3032,0)))</f>
        <v>0</v>
      </c>
      <c r="R547" s="10">
        <f>IF($E547=Keys!$C$60,Keys!$C$51,INDEX(Raw_BFPIaE!$G$9:$G$3032,MATCH($A547&amp;Keys!$C$54&amp;Keys!$C$57&amp;Keys!$C$54&amp;$B547,Raw_BFPIaE!$H$9:$H$3032,0)))</f>
        <v>74316333333333.328</v>
      </c>
      <c r="S547" s="11">
        <f>IF(($P547+$Q547-$R547+MAX(Keys!$C$51,$R547-$Q547))&gt;Keys!$C$51,MIN(Keys!$C$52,MAX(Keys!$C$51,$R547-$Q547)/($P547+$Q547-$R547+MAX(Keys!$C$51,$R547-$Q547))),Keys!$C$51)</f>
        <v>0.61381932513986159</v>
      </c>
      <c r="T547">
        <f>IF(AND($I547&gt;$H547,ABS($L547-$G547)&gt;MAX(Keys!$C$62,ABS($G547)*Keys!$C$63)),1,0)</f>
        <v>0</v>
      </c>
      <c r="U547">
        <f>IF(OR($N547&lt;Keys!$C$51,$N547&gt;Keys!$C$52),1,0)</f>
        <v>0</v>
      </c>
      <c r="V547">
        <f>IF(AND($E547=Keys!$C$60,$N547&lt;&gt;Keys!$C$51),1,0)</f>
        <v>0</v>
      </c>
      <c r="W547">
        <f>IF($L547&gt;Keys!$C$51,IF($K547/$L547&gt;Keys!$C$52,1,0),0)</f>
        <v>0</v>
      </c>
      <c r="X547" s="11">
        <f t="shared" si="35"/>
        <v>0.30303380368122623</v>
      </c>
    </row>
    <row r="548" spans="1:24" x14ac:dyDescent="0.25">
      <c r="A548" t="s">
        <v>133</v>
      </c>
      <c r="B548" t="s">
        <v>120</v>
      </c>
      <c r="C548">
        <f>VLOOKUP($B548,Keys!$F$2:$I$22,2,FALSE)</f>
        <v>0</v>
      </c>
      <c r="D548">
        <f>VLOOKUP($B548,Keys!$F$2:$I$22,3,FALSE)</f>
        <v>0</v>
      </c>
      <c r="E548" t="str">
        <f>VLOOKUP($B548,Keys!$F$2:$I$22,4,FALSE)</f>
        <v>zero</v>
      </c>
      <c r="F548" t="str">
        <f>$A548&amp;Keys!$C$54&amp;$B548</f>
        <v>ND|municipal solid waste</v>
      </c>
      <c r="G548" s="10">
        <f>IF($E548=Keys!$C$60,Keys!$C$51,INDEX(Balanced_2025!$D$9:$D$3032,MATCH($A548&amp;Keys!$C$54&amp;Keys!$C$55&amp;Keys!$C$54&amp;$C548,Balanced_2025!$E$9:$E$3032,0)))</f>
        <v>0</v>
      </c>
      <c r="H548" s="10">
        <f>IF($E548=Keys!$C$60,Keys!$C$51,INDEX(Balanced_2025!$D$9:$D$3032,MATCH($A548&amp;Keys!$C$54&amp;Keys!$C$56&amp;Keys!$C$54&amp;$C548,Balanced_2025!$E$9:$E$3032,0)))</f>
        <v>0</v>
      </c>
      <c r="I548" s="10">
        <f>IF($E548=Keys!$C$60,Keys!$C$51,INDEX(Balanced_2025!$D$9:$D$3032,MATCH($A548&amp;Keys!$C$54&amp;Keys!$C$57&amp;Keys!$C$54&amp;$C548,Balanced_2025!$E$9:$E$3032,0)))</f>
        <v>0</v>
      </c>
      <c r="J548" s="10">
        <f t="shared" si="32"/>
        <v>0</v>
      </c>
      <c r="K548" s="10">
        <f>MAX(Keys!$C$51,$I548-$H548)</f>
        <v>0</v>
      </c>
      <c r="L548" s="10">
        <f t="shared" si="33"/>
        <v>0</v>
      </c>
      <c r="M548" s="11">
        <f>IF($L548&gt;Keys!$C$51,MIN(Keys!$C$52,$K548/$L548),Keys!$C$51)</f>
        <v>0</v>
      </c>
      <c r="N548" s="11">
        <f>IF($E548=Keys!$C$60,Keys!$C$51,IF($E548=Keys!$C$59,$D548,$M548))</f>
        <v>0</v>
      </c>
      <c r="O548">
        <f t="shared" si="34"/>
        <v>0</v>
      </c>
      <c r="P548" s="10">
        <f>IF($E548=Keys!$C$60,Keys!$C$51,INDEX(Raw_BFPIaE!$G$9:$G$3032,MATCH($A548&amp;Keys!$C$54&amp;Keys!$C$55&amp;Keys!$C$54&amp;$B548,Raw_BFPIaE!$H$9:$H$3032,0)))</f>
        <v>0</v>
      </c>
      <c r="Q548" s="10">
        <f>IF($E548=Keys!$C$60,Keys!$C$51,INDEX(Raw_BFPIaE!$G$9:$G$3032,MATCH($A548&amp;Keys!$C$54&amp;Keys!$C$56&amp;Keys!$C$54&amp;$B548,Raw_BFPIaE!$H$9:$H$3032,0)))</f>
        <v>0</v>
      </c>
      <c r="R548" s="10">
        <f>IF($E548=Keys!$C$60,Keys!$C$51,INDEX(Raw_BFPIaE!$G$9:$G$3032,MATCH($A548&amp;Keys!$C$54&amp;Keys!$C$57&amp;Keys!$C$54&amp;$B548,Raw_BFPIaE!$H$9:$H$3032,0)))</f>
        <v>0</v>
      </c>
      <c r="S548" s="11">
        <f>IF(($P548+$Q548-$R548+MAX(Keys!$C$51,$R548-$Q548))&gt;Keys!$C$51,MIN(Keys!$C$52,MAX(Keys!$C$51,$R548-$Q548)/($P548+$Q548-$R548+MAX(Keys!$C$51,$R548-$Q548))),Keys!$C$51)</f>
        <v>0</v>
      </c>
      <c r="T548">
        <f>IF(AND($I548&gt;$H548,ABS($L548-$G548)&gt;MAX(Keys!$C$62,ABS($G548)*Keys!$C$63)),1,0)</f>
        <v>0</v>
      </c>
      <c r="U548">
        <f>IF(OR($N548&lt;Keys!$C$51,$N548&gt;Keys!$C$52),1,0)</f>
        <v>0</v>
      </c>
      <c r="V548">
        <f>IF(AND($E548=Keys!$C$60,$N548&lt;&gt;Keys!$C$51),1,0)</f>
        <v>0</v>
      </c>
      <c r="W548">
        <f>IF($L548&gt;Keys!$C$51,IF($K548/$L548&gt;Keys!$C$52,1,0),0)</f>
        <v>0</v>
      </c>
      <c r="X548" s="11">
        <f t="shared" si="35"/>
        <v>0</v>
      </c>
    </row>
    <row r="549" spans="1:24" x14ac:dyDescent="0.25">
      <c r="A549" t="s">
        <v>133</v>
      </c>
      <c r="B549" t="s">
        <v>123</v>
      </c>
      <c r="C549">
        <f>VLOOKUP($B549,Keys!$F$2:$I$22,2,FALSE)</f>
        <v>0</v>
      </c>
      <c r="D549">
        <f>VLOOKUP($B549,Keys!$F$2:$I$22,3,FALSE)</f>
        <v>0</v>
      </c>
      <c r="E549" t="str">
        <f>VLOOKUP($B549,Keys!$F$2:$I$22,4,FALSE)</f>
        <v>zero</v>
      </c>
      <c r="F549" t="str">
        <f>$A549&amp;Keys!$C$54&amp;$B549</f>
        <v>ND|hydrogen</v>
      </c>
      <c r="G549" s="10">
        <f>IF($E549=Keys!$C$60,Keys!$C$51,INDEX(Balanced_2025!$D$9:$D$3032,MATCH($A549&amp;Keys!$C$54&amp;Keys!$C$55&amp;Keys!$C$54&amp;$C549,Balanced_2025!$E$9:$E$3032,0)))</f>
        <v>0</v>
      </c>
      <c r="H549" s="10">
        <f>IF($E549=Keys!$C$60,Keys!$C$51,INDEX(Balanced_2025!$D$9:$D$3032,MATCH($A549&amp;Keys!$C$54&amp;Keys!$C$56&amp;Keys!$C$54&amp;$C549,Balanced_2025!$E$9:$E$3032,0)))</f>
        <v>0</v>
      </c>
      <c r="I549" s="10">
        <f>IF($E549=Keys!$C$60,Keys!$C$51,INDEX(Balanced_2025!$D$9:$D$3032,MATCH($A549&amp;Keys!$C$54&amp;Keys!$C$57&amp;Keys!$C$54&amp;$C549,Balanced_2025!$E$9:$E$3032,0)))</f>
        <v>0</v>
      </c>
      <c r="J549" s="10">
        <f t="shared" si="32"/>
        <v>0</v>
      </c>
      <c r="K549" s="10">
        <f>MAX(Keys!$C$51,$I549-$H549)</f>
        <v>0</v>
      </c>
      <c r="L549" s="10">
        <f t="shared" si="33"/>
        <v>0</v>
      </c>
      <c r="M549" s="11">
        <f>IF($L549&gt;Keys!$C$51,MIN(Keys!$C$52,$K549/$L549),Keys!$C$51)</f>
        <v>0</v>
      </c>
      <c r="N549" s="11">
        <f>IF($E549=Keys!$C$60,Keys!$C$51,IF($E549=Keys!$C$59,$D549,$M549))</f>
        <v>0</v>
      </c>
      <c r="O549">
        <f t="shared" si="34"/>
        <v>0</v>
      </c>
      <c r="P549" s="10">
        <f>IF($E549=Keys!$C$60,Keys!$C$51,INDEX(Raw_BFPIaE!$G$9:$G$3032,MATCH($A549&amp;Keys!$C$54&amp;Keys!$C$55&amp;Keys!$C$54&amp;$B549,Raw_BFPIaE!$H$9:$H$3032,0)))</f>
        <v>0</v>
      </c>
      <c r="Q549" s="10">
        <f>IF($E549=Keys!$C$60,Keys!$C$51,INDEX(Raw_BFPIaE!$G$9:$G$3032,MATCH($A549&amp;Keys!$C$54&amp;Keys!$C$56&amp;Keys!$C$54&amp;$B549,Raw_BFPIaE!$H$9:$H$3032,0)))</f>
        <v>0</v>
      </c>
      <c r="R549" s="10">
        <f>IF($E549=Keys!$C$60,Keys!$C$51,INDEX(Raw_BFPIaE!$G$9:$G$3032,MATCH($A549&amp;Keys!$C$54&amp;Keys!$C$57&amp;Keys!$C$54&amp;$B549,Raw_BFPIaE!$H$9:$H$3032,0)))</f>
        <v>0</v>
      </c>
      <c r="S549" s="11">
        <f>IF(($P549+$Q549-$R549+MAX(Keys!$C$51,$R549-$Q549))&gt;Keys!$C$51,MIN(Keys!$C$52,MAX(Keys!$C$51,$R549-$Q549)/($P549+$Q549-$R549+MAX(Keys!$C$51,$R549-$Q549))),Keys!$C$51)</f>
        <v>0</v>
      </c>
      <c r="T549">
        <f>IF(AND($I549&gt;$H549,ABS($L549-$G549)&gt;MAX(Keys!$C$62,ABS($G549)*Keys!$C$63)),1,0)</f>
        <v>0</v>
      </c>
      <c r="U549">
        <f>IF(OR($N549&lt;Keys!$C$51,$N549&gt;Keys!$C$52),1,0)</f>
        <v>0</v>
      </c>
      <c r="V549">
        <f>IF(AND($E549=Keys!$C$60,$N549&lt;&gt;Keys!$C$51),1,0)</f>
        <v>0</v>
      </c>
      <c r="W549">
        <f>IF($L549&gt;Keys!$C$51,IF($K549/$L549&gt;Keys!$C$52,1,0),0)</f>
        <v>0</v>
      </c>
      <c r="X549" s="11">
        <f t="shared" si="35"/>
        <v>0</v>
      </c>
    </row>
    <row r="550" spans="1:24" x14ac:dyDescent="0.25">
      <c r="A550" t="s">
        <v>135</v>
      </c>
      <c r="B550" t="s">
        <v>60</v>
      </c>
      <c r="C550">
        <f>VLOOKUP($B550,Keys!$F$2:$I$22,2,FALSE)</f>
        <v>0</v>
      </c>
      <c r="D550">
        <f>VLOOKUP($B550,Keys!$F$2:$I$22,3,FALSE)</f>
        <v>0</v>
      </c>
      <c r="E550" t="str">
        <f>VLOOKUP($B550,Keys!$F$2:$I$22,4,FALSE)</f>
        <v>zero</v>
      </c>
      <c r="F550" t="str">
        <f>$A550&amp;Keys!$C$54&amp;$B550</f>
        <v>NE|electricity (not used in this variable)</v>
      </c>
      <c r="G550" s="10">
        <f>IF($E550=Keys!$C$60,Keys!$C$51,INDEX(Balanced_2025!$D$9:$D$3032,MATCH($A550&amp;Keys!$C$54&amp;Keys!$C$55&amp;Keys!$C$54&amp;$C550,Balanced_2025!$E$9:$E$3032,0)))</f>
        <v>0</v>
      </c>
      <c r="H550" s="10">
        <f>IF($E550=Keys!$C$60,Keys!$C$51,INDEX(Balanced_2025!$D$9:$D$3032,MATCH($A550&amp;Keys!$C$54&amp;Keys!$C$56&amp;Keys!$C$54&amp;$C550,Balanced_2025!$E$9:$E$3032,0)))</f>
        <v>0</v>
      </c>
      <c r="I550" s="10">
        <f>IF($E550=Keys!$C$60,Keys!$C$51,INDEX(Balanced_2025!$D$9:$D$3032,MATCH($A550&amp;Keys!$C$54&amp;Keys!$C$57&amp;Keys!$C$54&amp;$C550,Balanced_2025!$E$9:$E$3032,0)))</f>
        <v>0</v>
      </c>
      <c r="J550" s="10">
        <f t="shared" si="32"/>
        <v>0</v>
      </c>
      <c r="K550" s="10">
        <f>MAX(Keys!$C$51,$I550-$H550)</f>
        <v>0</v>
      </c>
      <c r="L550" s="10">
        <f t="shared" si="33"/>
        <v>0</v>
      </c>
      <c r="M550" s="11">
        <f>IF($L550&gt;Keys!$C$51,MIN(Keys!$C$52,$K550/$L550),Keys!$C$51)</f>
        <v>0</v>
      </c>
      <c r="N550" s="11">
        <f>IF($E550=Keys!$C$60,Keys!$C$51,IF($E550=Keys!$C$59,$D550,$M550))</f>
        <v>0</v>
      </c>
      <c r="O550">
        <f t="shared" si="34"/>
        <v>0</v>
      </c>
      <c r="P550" s="10">
        <f>IF($E550=Keys!$C$60,Keys!$C$51,INDEX(Raw_BFPIaE!$G$9:$G$3032,MATCH($A550&amp;Keys!$C$54&amp;Keys!$C$55&amp;Keys!$C$54&amp;$B550,Raw_BFPIaE!$H$9:$H$3032,0)))</f>
        <v>0</v>
      </c>
      <c r="Q550" s="10">
        <f>IF($E550=Keys!$C$60,Keys!$C$51,INDEX(Raw_BFPIaE!$G$9:$G$3032,MATCH($A550&amp;Keys!$C$54&amp;Keys!$C$56&amp;Keys!$C$54&amp;$B550,Raw_BFPIaE!$H$9:$H$3032,0)))</f>
        <v>0</v>
      </c>
      <c r="R550" s="10">
        <f>IF($E550=Keys!$C$60,Keys!$C$51,INDEX(Raw_BFPIaE!$G$9:$G$3032,MATCH($A550&amp;Keys!$C$54&amp;Keys!$C$57&amp;Keys!$C$54&amp;$B550,Raw_BFPIaE!$H$9:$H$3032,0)))</f>
        <v>0</v>
      </c>
      <c r="S550" s="11">
        <f>IF(($P550+$Q550-$R550+MAX(Keys!$C$51,$R550-$Q550))&gt;Keys!$C$51,MIN(Keys!$C$52,MAX(Keys!$C$51,$R550-$Q550)/($P550+$Q550-$R550+MAX(Keys!$C$51,$R550-$Q550))),Keys!$C$51)</f>
        <v>0</v>
      </c>
      <c r="T550">
        <f>IF(AND($I550&gt;$H550,ABS($L550-$G550)&gt;MAX(Keys!$C$62,ABS($G550)*Keys!$C$63)),1,0)</f>
        <v>0</v>
      </c>
      <c r="U550">
        <f>IF(OR($N550&lt;Keys!$C$51,$N550&gt;Keys!$C$52),1,0)</f>
        <v>0</v>
      </c>
      <c r="V550">
        <f>IF(AND($E550=Keys!$C$60,$N550&lt;&gt;Keys!$C$51),1,0)</f>
        <v>0</v>
      </c>
      <c r="W550">
        <f>IF($L550&gt;Keys!$C$51,IF($K550/$L550&gt;Keys!$C$52,1,0),0)</f>
        <v>0</v>
      </c>
      <c r="X550" s="11">
        <f t="shared" si="35"/>
        <v>0</v>
      </c>
    </row>
    <row r="551" spans="1:24" x14ac:dyDescent="0.25">
      <c r="A551" t="s">
        <v>135</v>
      </c>
      <c r="B551" t="s">
        <v>64</v>
      </c>
      <c r="C551" t="str">
        <f>VLOOKUP($B551,Keys!$F$2:$I$22,2,FALSE)</f>
        <v>hard coal</v>
      </c>
      <c r="D551">
        <f>VLOOKUP($B551,Keys!$F$2:$I$22,3,FALSE)</f>
        <v>0.137539879</v>
      </c>
      <c r="E551" t="str">
        <f>VLOOKUP($B551,Keys!$F$2:$I$22,4,FALSE)</f>
        <v>rule</v>
      </c>
      <c r="F551" t="str">
        <f>$A551&amp;Keys!$C$54&amp;$B551</f>
        <v>NE|hard coal</v>
      </c>
      <c r="G551" s="10">
        <f>IF($E551=Keys!$C$60,Keys!$C$51,INDEX(Balanced_2025!$D$9:$D$3032,MATCH($A551&amp;Keys!$C$54&amp;Keys!$C$55&amp;Keys!$C$54&amp;$C551,Balanced_2025!$E$9:$E$3032,0)))</f>
        <v>0</v>
      </c>
      <c r="H551" s="10">
        <f>IF($E551=Keys!$C$60,Keys!$C$51,INDEX(Balanced_2025!$D$9:$D$3032,MATCH($A551&amp;Keys!$C$54&amp;Keys!$C$56&amp;Keys!$C$54&amp;$C551,Balanced_2025!$E$9:$E$3032,0)))</f>
        <v>180585000000000</v>
      </c>
      <c r="I551" s="10">
        <f>IF($E551=Keys!$C$60,Keys!$C$51,INDEX(Balanced_2025!$D$9:$D$3032,MATCH($A551&amp;Keys!$C$54&amp;Keys!$C$57&amp;Keys!$C$54&amp;$C551,Balanced_2025!$E$9:$E$3032,0)))</f>
        <v>0</v>
      </c>
      <c r="J551" s="10">
        <f t="shared" si="32"/>
        <v>180585000000000</v>
      </c>
      <c r="K551" s="10">
        <f>MAX(Keys!$C$51,$I551-$H551)</f>
        <v>0</v>
      </c>
      <c r="L551" s="10">
        <f t="shared" si="33"/>
        <v>180585000000000</v>
      </c>
      <c r="M551" s="11">
        <f>IF($L551&gt;Keys!$C$51,MIN(Keys!$C$52,$K551/$L551),Keys!$C$51)</f>
        <v>0</v>
      </c>
      <c r="N551" s="11">
        <f>IF($E551=Keys!$C$60,Keys!$C$51,IF($E551=Keys!$C$59,$D551,$M551))</f>
        <v>0</v>
      </c>
      <c r="O551">
        <f t="shared" si="34"/>
        <v>1</v>
      </c>
      <c r="P551" s="10">
        <f>IF($E551=Keys!$C$60,Keys!$C$51,INDEX(Raw_BFPIaE!$G$9:$G$3032,MATCH($A551&amp;Keys!$C$54&amp;Keys!$C$55&amp;Keys!$C$54&amp;$B551,Raw_BFPIaE!$H$9:$H$3032,0)))</f>
        <v>0</v>
      </c>
      <c r="Q551" s="10">
        <f>IF($E551=Keys!$C$60,Keys!$C$51,INDEX(Raw_BFPIaE!$G$9:$G$3032,MATCH($A551&amp;Keys!$C$54&amp;Keys!$C$56&amp;Keys!$C$54&amp;$B551,Raw_BFPIaE!$H$9:$H$3032,0)))</f>
        <v>192810000000000</v>
      </c>
      <c r="R551" s="10">
        <f>IF($E551=Keys!$C$60,Keys!$C$51,INDEX(Raw_BFPIaE!$G$9:$G$3032,MATCH($A551&amp;Keys!$C$54&amp;Keys!$C$57&amp;Keys!$C$54&amp;$B551,Raw_BFPIaE!$H$9:$H$3032,0)))</f>
        <v>0</v>
      </c>
      <c r="S551" s="11">
        <f>IF(($P551+$Q551-$R551+MAX(Keys!$C$51,$R551-$Q551))&gt;Keys!$C$51,MIN(Keys!$C$52,MAX(Keys!$C$51,$R551-$Q551)/($P551+$Q551-$R551+MAX(Keys!$C$51,$R551-$Q551))),Keys!$C$51)</f>
        <v>0</v>
      </c>
      <c r="T551">
        <f>IF(AND($I551&gt;$H551,ABS($L551-$G551)&gt;MAX(Keys!$C$62,ABS($G551)*Keys!$C$63)),1,0)</f>
        <v>0</v>
      </c>
      <c r="U551">
        <f>IF(OR($N551&lt;Keys!$C$51,$N551&gt;Keys!$C$52),1,0)</f>
        <v>0</v>
      </c>
      <c r="V551">
        <f>IF(AND($E551=Keys!$C$60,$N551&lt;&gt;Keys!$C$51),1,0)</f>
        <v>0</v>
      </c>
      <c r="W551">
        <f>IF($L551&gt;Keys!$C$51,IF($K551/$L551&gt;Keys!$C$52,1,0),0)</f>
        <v>0</v>
      </c>
      <c r="X551" s="11">
        <f t="shared" si="35"/>
        <v>0</v>
      </c>
    </row>
    <row r="552" spans="1:24" x14ac:dyDescent="0.25">
      <c r="A552" t="s">
        <v>135</v>
      </c>
      <c r="B552" t="s">
        <v>68</v>
      </c>
      <c r="C552" t="str">
        <f>VLOOKUP($B552,Keys!$F$2:$I$22,2,FALSE)</f>
        <v>natural gas</v>
      </c>
      <c r="D552">
        <f>VLOOKUP($B552,Keys!$F$2:$I$22,3,FALSE)</f>
        <v>0.190839183</v>
      </c>
      <c r="E552" t="str">
        <f>VLOOKUP($B552,Keys!$F$2:$I$22,4,FALSE)</f>
        <v>rule</v>
      </c>
      <c r="F552" t="str">
        <f>$A552&amp;Keys!$C$54&amp;$B552</f>
        <v>NE|natural gas</v>
      </c>
      <c r="G552" s="10">
        <f>IF($E552=Keys!$C$60,Keys!$C$51,INDEX(Balanced_2025!$D$9:$D$3032,MATCH($A552&amp;Keys!$C$54&amp;Keys!$C$55&amp;Keys!$C$54&amp;$C552,Balanced_2025!$E$9:$E$3032,0)))</f>
        <v>270657000000</v>
      </c>
      <c r="H552" s="10">
        <f>IF($E552=Keys!$C$60,Keys!$C$51,INDEX(Balanced_2025!$D$9:$D$3032,MATCH($A552&amp;Keys!$C$54&amp;Keys!$C$56&amp;Keys!$C$54&amp;$C552,Balanced_2025!$E$9:$E$3032,0)))</f>
        <v>1601560000000000</v>
      </c>
      <c r="I552" s="10">
        <f>IF($E552=Keys!$C$60,Keys!$C$51,INDEX(Balanced_2025!$D$9:$D$3032,MATCH($A552&amp;Keys!$C$54&amp;Keys!$C$57&amp;Keys!$C$54&amp;$C552,Balanced_2025!$E$9:$E$3032,0)))</f>
        <v>1397360000000000</v>
      </c>
      <c r="J552" s="10">
        <f t="shared" si="32"/>
        <v>204470657000000</v>
      </c>
      <c r="K552" s="10">
        <f>MAX(Keys!$C$51,$I552-$H552)</f>
        <v>0</v>
      </c>
      <c r="L552" s="10">
        <f t="shared" si="33"/>
        <v>204470657000000</v>
      </c>
      <c r="M552" s="11">
        <f>IF($L552&gt;Keys!$C$51,MIN(Keys!$C$52,$K552/$L552),Keys!$C$51)</f>
        <v>0</v>
      </c>
      <c r="N552" s="11">
        <f>IF($E552=Keys!$C$60,Keys!$C$51,IF($E552=Keys!$C$59,$D552,$M552))</f>
        <v>0</v>
      </c>
      <c r="O552">
        <f t="shared" si="34"/>
        <v>1</v>
      </c>
      <c r="P552" s="10">
        <f>IF($E552=Keys!$C$60,Keys!$C$51,INDEX(Raw_BFPIaE!$G$9:$G$3032,MATCH($A552&amp;Keys!$C$54&amp;Keys!$C$55&amp;Keys!$C$54&amp;$B552,Raw_BFPIaE!$H$9:$H$3032,0)))</f>
        <v>262237000000</v>
      </c>
      <c r="Q552" s="10">
        <f>IF($E552=Keys!$C$60,Keys!$C$51,INDEX(Raw_BFPIaE!$G$9:$G$3032,MATCH($A552&amp;Keys!$C$54&amp;Keys!$C$56&amp;Keys!$C$54&amp;$B552,Raw_BFPIaE!$H$9:$H$3032,0)))</f>
        <v>1524923333333333.3</v>
      </c>
      <c r="R552" s="10">
        <f>IF($E552=Keys!$C$60,Keys!$C$51,INDEX(Raw_BFPIaE!$G$9:$G$3032,MATCH($A552&amp;Keys!$C$54&amp;Keys!$C$57&amp;Keys!$C$54&amp;$B552,Raw_BFPIaE!$H$9:$H$3032,0)))</f>
        <v>1353890000000000</v>
      </c>
      <c r="S552" s="11">
        <f>IF(($P552+$Q552-$R552+MAX(Keys!$C$51,$R552-$Q552))&gt;Keys!$C$51,MIN(Keys!$C$52,MAX(Keys!$C$51,$R552-$Q552)/($P552+$Q552-$R552+MAX(Keys!$C$51,$R552-$Q552))),Keys!$C$51)</f>
        <v>0</v>
      </c>
      <c r="T552">
        <f>IF(AND($I552&gt;$H552,ABS($L552-$G552)&gt;MAX(Keys!$C$62,ABS($G552)*Keys!$C$63)),1,0)</f>
        <v>0</v>
      </c>
      <c r="U552">
        <f>IF(OR($N552&lt;Keys!$C$51,$N552&gt;Keys!$C$52),1,0)</f>
        <v>0</v>
      </c>
      <c r="V552">
        <f>IF(AND($E552=Keys!$C$60,$N552&lt;&gt;Keys!$C$51),1,0)</f>
        <v>0</v>
      </c>
      <c r="W552">
        <f>IF($L552&gt;Keys!$C$51,IF($K552/$L552&gt;Keys!$C$52,1,0),0)</f>
        <v>0</v>
      </c>
      <c r="X552" s="11">
        <f t="shared" si="35"/>
        <v>0</v>
      </c>
    </row>
    <row r="553" spans="1:24" x14ac:dyDescent="0.25">
      <c r="A553" t="s">
        <v>135</v>
      </c>
      <c r="B553" t="s">
        <v>71</v>
      </c>
      <c r="C553">
        <f>VLOOKUP($B553,Keys!$F$2:$I$22,2,FALSE)</f>
        <v>0</v>
      </c>
      <c r="D553">
        <f>VLOOKUP($B553,Keys!$F$2:$I$22,3,FALSE)</f>
        <v>0</v>
      </c>
      <c r="E553" t="str">
        <f>VLOOKUP($B553,Keys!$F$2:$I$22,4,FALSE)</f>
        <v>zero</v>
      </c>
      <c r="F553" t="str">
        <f>$A553&amp;Keys!$C$54&amp;$B553</f>
        <v>NE|nuclear</v>
      </c>
      <c r="G553" s="10">
        <f>IF($E553=Keys!$C$60,Keys!$C$51,INDEX(Balanced_2025!$D$9:$D$3032,MATCH($A553&amp;Keys!$C$54&amp;Keys!$C$55&amp;Keys!$C$54&amp;$C553,Balanced_2025!$E$9:$E$3032,0)))</f>
        <v>0</v>
      </c>
      <c r="H553" s="10">
        <f>IF($E553=Keys!$C$60,Keys!$C$51,INDEX(Balanced_2025!$D$9:$D$3032,MATCH($A553&amp;Keys!$C$54&amp;Keys!$C$56&amp;Keys!$C$54&amp;$C553,Balanced_2025!$E$9:$E$3032,0)))</f>
        <v>0</v>
      </c>
      <c r="I553" s="10">
        <f>IF($E553=Keys!$C$60,Keys!$C$51,INDEX(Balanced_2025!$D$9:$D$3032,MATCH($A553&amp;Keys!$C$54&amp;Keys!$C$57&amp;Keys!$C$54&amp;$C553,Balanced_2025!$E$9:$E$3032,0)))</f>
        <v>0</v>
      </c>
      <c r="J553" s="10">
        <f t="shared" si="32"/>
        <v>0</v>
      </c>
      <c r="K553" s="10">
        <f>MAX(Keys!$C$51,$I553-$H553)</f>
        <v>0</v>
      </c>
      <c r="L553" s="10">
        <f t="shared" si="33"/>
        <v>0</v>
      </c>
      <c r="M553" s="11">
        <f>IF($L553&gt;Keys!$C$51,MIN(Keys!$C$52,$K553/$L553),Keys!$C$51)</f>
        <v>0</v>
      </c>
      <c r="N553" s="11">
        <f>IF($E553=Keys!$C$60,Keys!$C$51,IF($E553=Keys!$C$59,$D553,$M553))</f>
        <v>0</v>
      </c>
      <c r="O553">
        <f t="shared" si="34"/>
        <v>0</v>
      </c>
      <c r="P553" s="10">
        <f>IF($E553=Keys!$C$60,Keys!$C$51,INDEX(Raw_BFPIaE!$G$9:$G$3032,MATCH($A553&amp;Keys!$C$54&amp;Keys!$C$55&amp;Keys!$C$54&amp;$B553,Raw_BFPIaE!$H$9:$H$3032,0)))</f>
        <v>0</v>
      </c>
      <c r="Q553" s="10">
        <f>IF($E553=Keys!$C$60,Keys!$C$51,INDEX(Raw_BFPIaE!$G$9:$G$3032,MATCH($A553&amp;Keys!$C$54&amp;Keys!$C$56&amp;Keys!$C$54&amp;$B553,Raw_BFPIaE!$H$9:$H$3032,0)))</f>
        <v>0</v>
      </c>
      <c r="R553" s="10">
        <f>IF($E553=Keys!$C$60,Keys!$C$51,INDEX(Raw_BFPIaE!$G$9:$G$3032,MATCH($A553&amp;Keys!$C$54&amp;Keys!$C$57&amp;Keys!$C$54&amp;$B553,Raw_BFPIaE!$H$9:$H$3032,0)))</f>
        <v>0</v>
      </c>
      <c r="S553" s="11">
        <f>IF(($P553+$Q553-$R553+MAX(Keys!$C$51,$R553-$Q553))&gt;Keys!$C$51,MIN(Keys!$C$52,MAX(Keys!$C$51,$R553-$Q553)/($P553+$Q553-$R553+MAX(Keys!$C$51,$R553-$Q553))),Keys!$C$51)</f>
        <v>0</v>
      </c>
      <c r="T553">
        <f>IF(AND($I553&gt;$H553,ABS($L553-$G553)&gt;MAX(Keys!$C$62,ABS($G553)*Keys!$C$63)),1,0)</f>
        <v>0</v>
      </c>
      <c r="U553">
        <f>IF(OR($N553&lt;Keys!$C$51,$N553&gt;Keys!$C$52),1,0)</f>
        <v>0</v>
      </c>
      <c r="V553">
        <f>IF(AND($E553=Keys!$C$60,$N553&lt;&gt;Keys!$C$51),1,0)</f>
        <v>0</v>
      </c>
      <c r="W553">
        <f>IF($L553&gt;Keys!$C$51,IF($K553/$L553&gt;Keys!$C$52,1,0),0)</f>
        <v>0</v>
      </c>
      <c r="X553" s="11">
        <f t="shared" si="35"/>
        <v>0</v>
      </c>
    </row>
    <row r="554" spans="1:24" x14ac:dyDescent="0.25">
      <c r="A554" t="s">
        <v>135</v>
      </c>
      <c r="B554" t="s">
        <v>74</v>
      </c>
      <c r="C554">
        <f>VLOOKUP($B554,Keys!$F$2:$I$22,2,FALSE)</f>
        <v>0</v>
      </c>
      <c r="D554">
        <f>VLOOKUP($B554,Keys!$F$2:$I$22,3,FALSE)</f>
        <v>0</v>
      </c>
      <c r="E554" t="str">
        <f>VLOOKUP($B554,Keys!$F$2:$I$22,4,FALSE)</f>
        <v>zero</v>
      </c>
      <c r="F554" t="str">
        <f>$A554&amp;Keys!$C$54&amp;$B554</f>
        <v>NE|hydro (is not a fuel)</v>
      </c>
      <c r="G554" s="10">
        <f>IF($E554=Keys!$C$60,Keys!$C$51,INDEX(Balanced_2025!$D$9:$D$3032,MATCH($A554&amp;Keys!$C$54&amp;Keys!$C$55&amp;Keys!$C$54&amp;$C554,Balanced_2025!$E$9:$E$3032,0)))</f>
        <v>0</v>
      </c>
      <c r="H554" s="10">
        <f>IF($E554=Keys!$C$60,Keys!$C$51,INDEX(Balanced_2025!$D$9:$D$3032,MATCH($A554&amp;Keys!$C$54&amp;Keys!$C$56&amp;Keys!$C$54&amp;$C554,Balanced_2025!$E$9:$E$3032,0)))</f>
        <v>0</v>
      </c>
      <c r="I554" s="10">
        <f>IF($E554=Keys!$C$60,Keys!$C$51,INDEX(Balanced_2025!$D$9:$D$3032,MATCH($A554&amp;Keys!$C$54&amp;Keys!$C$57&amp;Keys!$C$54&amp;$C554,Balanced_2025!$E$9:$E$3032,0)))</f>
        <v>0</v>
      </c>
      <c r="J554" s="10">
        <f t="shared" si="32"/>
        <v>0</v>
      </c>
      <c r="K554" s="10">
        <f>MAX(Keys!$C$51,$I554-$H554)</f>
        <v>0</v>
      </c>
      <c r="L554" s="10">
        <f t="shared" si="33"/>
        <v>0</v>
      </c>
      <c r="M554" s="11">
        <f>IF($L554&gt;Keys!$C$51,MIN(Keys!$C$52,$K554/$L554),Keys!$C$51)</f>
        <v>0</v>
      </c>
      <c r="N554" s="11">
        <f>IF($E554=Keys!$C$60,Keys!$C$51,IF($E554=Keys!$C$59,$D554,$M554))</f>
        <v>0</v>
      </c>
      <c r="O554">
        <f t="shared" si="34"/>
        <v>0</v>
      </c>
      <c r="P554" s="10">
        <f>IF($E554=Keys!$C$60,Keys!$C$51,INDEX(Raw_BFPIaE!$G$9:$G$3032,MATCH($A554&amp;Keys!$C$54&amp;Keys!$C$55&amp;Keys!$C$54&amp;$B554,Raw_BFPIaE!$H$9:$H$3032,0)))</f>
        <v>0</v>
      </c>
      <c r="Q554" s="10">
        <f>IF($E554=Keys!$C$60,Keys!$C$51,INDEX(Raw_BFPIaE!$G$9:$G$3032,MATCH($A554&amp;Keys!$C$54&amp;Keys!$C$56&amp;Keys!$C$54&amp;$B554,Raw_BFPIaE!$H$9:$H$3032,0)))</f>
        <v>0</v>
      </c>
      <c r="R554" s="10">
        <f>IF($E554=Keys!$C$60,Keys!$C$51,INDEX(Raw_BFPIaE!$G$9:$G$3032,MATCH($A554&amp;Keys!$C$54&amp;Keys!$C$57&amp;Keys!$C$54&amp;$B554,Raw_BFPIaE!$H$9:$H$3032,0)))</f>
        <v>0</v>
      </c>
      <c r="S554" s="11">
        <f>IF(($P554+$Q554-$R554+MAX(Keys!$C$51,$R554-$Q554))&gt;Keys!$C$51,MIN(Keys!$C$52,MAX(Keys!$C$51,$R554-$Q554)/($P554+$Q554-$R554+MAX(Keys!$C$51,$R554-$Q554))),Keys!$C$51)</f>
        <v>0</v>
      </c>
      <c r="T554">
        <f>IF(AND($I554&gt;$H554,ABS($L554-$G554)&gt;MAX(Keys!$C$62,ABS($G554)*Keys!$C$63)),1,0)</f>
        <v>0</v>
      </c>
      <c r="U554">
        <f>IF(OR($N554&lt;Keys!$C$51,$N554&gt;Keys!$C$52),1,0)</f>
        <v>0</v>
      </c>
      <c r="V554">
        <f>IF(AND($E554=Keys!$C$60,$N554&lt;&gt;Keys!$C$51),1,0)</f>
        <v>0</v>
      </c>
      <c r="W554">
        <f>IF($L554&gt;Keys!$C$51,IF($K554/$L554&gt;Keys!$C$52,1,0),0)</f>
        <v>0</v>
      </c>
      <c r="X554" s="11">
        <f t="shared" si="35"/>
        <v>0</v>
      </c>
    </row>
    <row r="555" spans="1:24" x14ac:dyDescent="0.25">
      <c r="A555" t="s">
        <v>135</v>
      </c>
      <c r="B555" t="s">
        <v>77</v>
      </c>
      <c r="C555">
        <f>VLOOKUP($B555,Keys!$F$2:$I$22,2,FALSE)</f>
        <v>0</v>
      </c>
      <c r="D555">
        <f>VLOOKUP($B555,Keys!$F$2:$I$22,3,FALSE)</f>
        <v>0</v>
      </c>
      <c r="E555" t="str">
        <f>VLOOKUP($B555,Keys!$F$2:$I$22,4,FALSE)</f>
        <v>zero</v>
      </c>
      <c r="F555" t="str">
        <f>$A555&amp;Keys!$C$54&amp;$B555</f>
        <v>NE|wind (is not a fuel)</v>
      </c>
      <c r="G555" s="10">
        <f>IF($E555=Keys!$C$60,Keys!$C$51,INDEX(Balanced_2025!$D$9:$D$3032,MATCH($A555&amp;Keys!$C$54&amp;Keys!$C$55&amp;Keys!$C$54&amp;$C555,Balanced_2025!$E$9:$E$3032,0)))</f>
        <v>0</v>
      </c>
      <c r="H555" s="10">
        <f>IF($E555=Keys!$C$60,Keys!$C$51,INDEX(Balanced_2025!$D$9:$D$3032,MATCH($A555&amp;Keys!$C$54&amp;Keys!$C$56&amp;Keys!$C$54&amp;$C555,Balanced_2025!$E$9:$E$3032,0)))</f>
        <v>0</v>
      </c>
      <c r="I555" s="10">
        <f>IF($E555=Keys!$C$60,Keys!$C$51,INDEX(Balanced_2025!$D$9:$D$3032,MATCH($A555&amp;Keys!$C$54&amp;Keys!$C$57&amp;Keys!$C$54&amp;$C555,Balanced_2025!$E$9:$E$3032,0)))</f>
        <v>0</v>
      </c>
      <c r="J555" s="10">
        <f t="shared" si="32"/>
        <v>0</v>
      </c>
      <c r="K555" s="10">
        <f>MAX(Keys!$C$51,$I555-$H555)</f>
        <v>0</v>
      </c>
      <c r="L555" s="10">
        <f t="shared" si="33"/>
        <v>0</v>
      </c>
      <c r="M555" s="11">
        <f>IF($L555&gt;Keys!$C$51,MIN(Keys!$C$52,$K555/$L555),Keys!$C$51)</f>
        <v>0</v>
      </c>
      <c r="N555" s="11">
        <f>IF($E555=Keys!$C$60,Keys!$C$51,IF($E555=Keys!$C$59,$D555,$M555))</f>
        <v>0</v>
      </c>
      <c r="O555">
        <f t="shared" si="34"/>
        <v>0</v>
      </c>
      <c r="P555" s="10">
        <f>IF($E555=Keys!$C$60,Keys!$C$51,INDEX(Raw_BFPIaE!$G$9:$G$3032,MATCH($A555&amp;Keys!$C$54&amp;Keys!$C$55&amp;Keys!$C$54&amp;$B555,Raw_BFPIaE!$H$9:$H$3032,0)))</f>
        <v>0</v>
      </c>
      <c r="Q555" s="10">
        <f>IF($E555=Keys!$C$60,Keys!$C$51,INDEX(Raw_BFPIaE!$G$9:$G$3032,MATCH($A555&amp;Keys!$C$54&amp;Keys!$C$56&amp;Keys!$C$54&amp;$B555,Raw_BFPIaE!$H$9:$H$3032,0)))</f>
        <v>0</v>
      </c>
      <c r="R555" s="10">
        <f>IF($E555=Keys!$C$60,Keys!$C$51,INDEX(Raw_BFPIaE!$G$9:$G$3032,MATCH($A555&amp;Keys!$C$54&amp;Keys!$C$57&amp;Keys!$C$54&amp;$B555,Raw_BFPIaE!$H$9:$H$3032,0)))</f>
        <v>0</v>
      </c>
      <c r="S555" s="11">
        <f>IF(($P555+$Q555-$R555+MAX(Keys!$C$51,$R555-$Q555))&gt;Keys!$C$51,MIN(Keys!$C$52,MAX(Keys!$C$51,$R555-$Q555)/($P555+$Q555-$R555+MAX(Keys!$C$51,$R555-$Q555))),Keys!$C$51)</f>
        <v>0</v>
      </c>
      <c r="T555">
        <f>IF(AND($I555&gt;$H555,ABS($L555-$G555)&gt;MAX(Keys!$C$62,ABS($G555)*Keys!$C$63)),1,0)</f>
        <v>0</v>
      </c>
      <c r="U555">
        <f>IF(OR($N555&lt;Keys!$C$51,$N555&gt;Keys!$C$52),1,0)</f>
        <v>0</v>
      </c>
      <c r="V555">
        <f>IF(AND($E555=Keys!$C$60,$N555&lt;&gt;Keys!$C$51),1,0)</f>
        <v>0</v>
      </c>
      <c r="W555">
        <f>IF($L555&gt;Keys!$C$51,IF($K555/$L555&gt;Keys!$C$52,1,0),0)</f>
        <v>0</v>
      </c>
      <c r="X555" s="11">
        <f t="shared" si="35"/>
        <v>0</v>
      </c>
    </row>
    <row r="556" spans="1:24" x14ac:dyDescent="0.25">
      <c r="A556" t="s">
        <v>135</v>
      </c>
      <c r="B556" t="s">
        <v>80</v>
      </c>
      <c r="C556">
        <f>VLOOKUP($B556,Keys!$F$2:$I$22,2,FALSE)</f>
        <v>0</v>
      </c>
      <c r="D556">
        <f>VLOOKUP($B556,Keys!$F$2:$I$22,3,FALSE)</f>
        <v>0</v>
      </c>
      <c r="E556" t="str">
        <f>VLOOKUP($B556,Keys!$F$2:$I$22,4,FALSE)</f>
        <v>zero</v>
      </c>
      <c r="F556" t="str">
        <f>$A556&amp;Keys!$C$54&amp;$B556</f>
        <v>NE|solar (is not a fuel)</v>
      </c>
      <c r="G556" s="10">
        <f>IF($E556=Keys!$C$60,Keys!$C$51,INDEX(Balanced_2025!$D$9:$D$3032,MATCH($A556&amp;Keys!$C$54&amp;Keys!$C$55&amp;Keys!$C$54&amp;$C556,Balanced_2025!$E$9:$E$3032,0)))</f>
        <v>0</v>
      </c>
      <c r="H556" s="10">
        <f>IF($E556=Keys!$C$60,Keys!$C$51,INDEX(Balanced_2025!$D$9:$D$3032,MATCH($A556&amp;Keys!$C$54&amp;Keys!$C$56&amp;Keys!$C$54&amp;$C556,Balanced_2025!$E$9:$E$3032,0)))</f>
        <v>0</v>
      </c>
      <c r="I556" s="10">
        <f>IF($E556=Keys!$C$60,Keys!$C$51,INDEX(Balanced_2025!$D$9:$D$3032,MATCH($A556&amp;Keys!$C$54&amp;Keys!$C$57&amp;Keys!$C$54&amp;$C556,Balanced_2025!$E$9:$E$3032,0)))</f>
        <v>0</v>
      </c>
      <c r="J556" s="10">
        <f t="shared" si="32"/>
        <v>0</v>
      </c>
      <c r="K556" s="10">
        <f>MAX(Keys!$C$51,$I556-$H556)</f>
        <v>0</v>
      </c>
      <c r="L556" s="10">
        <f t="shared" si="33"/>
        <v>0</v>
      </c>
      <c r="M556" s="11">
        <f>IF($L556&gt;Keys!$C$51,MIN(Keys!$C$52,$K556/$L556),Keys!$C$51)</f>
        <v>0</v>
      </c>
      <c r="N556" s="11">
        <f>IF($E556=Keys!$C$60,Keys!$C$51,IF($E556=Keys!$C$59,$D556,$M556))</f>
        <v>0</v>
      </c>
      <c r="O556">
        <f t="shared" si="34"/>
        <v>0</v>
      </c>
      <c r="P556" s="10">
        <f>IF($E556=Keys!$C$60,Keys!$C$51,INDEX(Raw_BFPIaE!$G$9:$G$3032,MATCH($A556&amp;Keys!$C$54&amp;Keys!$C$55&amp;Keys!$C$54&amp;$B556,Raw_BFPIaE!$H$9:$H$3032,0)))</f>
        <v>0</v>
      </c>
      <c r="Q556" s="10">
        <f>IF($E556=Keys!$C$60,Keys!$C$51,INDEX(Raw_BFPIaE!$G$9:$G$3032,MATCH($A556&amp;Keys!$C$54&amp;Keys!$C$56&amp;Keys!$C$54&amp;$B556,Raw_BFPIaE!$H$9:$H$3032,0)))</f>
        <v>0</v>
      </c>
      <c r="R556" s="10">
        <f>IF($E556=Keys!$C$60,Keys!$C$51,INDEX(Raw_BFPIaE!$G$9:$G$3032,MATCH($A556&amp;Keys!$C$54&amp;Keys!$C$57&amp;Keys!$C$54&amp;$B556,Raw_BFPIaE!$H$9:$H$3032,0)))</f>
        <v>0</v>
      </c>
      <c r="S556" s="11">
        <f>IF(($P556+$Q556-$R556+MAX(Keys!$C$51,$R556-$Q556))&gt;Keys!$C$51,MIN(Keys!$C$52,MAX(Keys!$C$51,$R556-$Q556)/($P556+$Q556-$R556+MAX(Keys!$C$51,$R556-$Q556))),Keys!$C$51)</f>
        <v>0</v>
      </c>
      <c r="T556">
        <f>IF(AND($I556&gt;$H556,ABS($L556-$G556)&gt;MAX(Keys!$C$62,ABS($G556)*Keys!$C$63)),1,0)</f>
        <v>0</v>
      </c>
      <c r="U556">
        <f>IF(OR($N556&lt;Keys!$C$51,$N556&gt;Keys!$C$52),1,0)</f>
        <v>0</v>
      </c>
      <c r="V556">
        <f>IF(AND($E556=Keys!$C$60,$N556&lt;&gt;Keys!$C$51),1,0)</f>
        <v>0</v>
      </c>
      <c r="W556">
        <f>IF($L556&gt;Keys!$C$51,IF($K556/$L556&gt;Keys!$C$52,1,0),0)</f>
        <v>0</v>
      </c>
      <c r="X556" s="11">
        <f t="shared" si="35"/>
        <v>0</v>
      </c>
    </row>
    <row r="557" spans="1:24" x14ac:dyDescent="0.25">
      <c r="A557" t="s">
        <v>135</v>
      </c>
      <c r="B557" t="s">
        <v>82</v>
      </c>
      <c r="C557" t="str">
        <f>VLOOKUP($B557,Keys!$F$2:$I$22,2,FALSE)</f>
        <v>biomass</v>
      </c>
      <c r="D557">
        <f>VLOOKUP($B557,Keys!$F$2:$I$22,3,FALSE)</f>
        <v>0.74947425499999998</v>
      </c>
      <c r="E557" t="str">
        <f>VLOOKUP($B557,Keys!$F$2:$I$22,4,FALSE)</f>
        <v>rule</v>
      </c>
      <c r="F557" t="str">
        <f>$A557&amp;Keys!$C$54&amp;$B557</f>
        <v>NE|biomass</v>
      </c>
      <c r="G557" s="10">
        <f>IF($E557=Keys!$C$60,Keys!$C$51,INDEX(Balanced_2025!$D$9:$D$3032,MATCH($A557&amp;Keys!$C$54&amp;Keys!$C$55&amp;Keys!$C$54&amp;$C557,Balanced_2025!$E$9:$E$3032,0)))</f>
        <v>0</v>
      </c>
      <c r="H557" s="10">
        <f>IF($E557=Keys!$C$60,Keys!$C$51,INDEX(Balanced_2025!$D$9:$D$3032,MATCH($A557&amp;Keys!$C$54&amp;Keys!$C$56&amp;Keys!$C$54&amp;$C557,Balanced_2025!$E$9:$E$3032,0)))</f>
        <v>4092370000000</v>
      </c>
      <c r="I557" s="10">
        <f>IF($E557=Keys!$C$60,Keys!$C$51,INDEX(Balanced_2025!$D$9:$D$3032,MATCH($A557&amp;Keys!$C$54&amp;Keys!$C$57&amp;Keys!$C$54&amp;$C557,Balanced_2025!$E$9:$E$3032,0)))</f>
        <v>0</v>
      </c>
      <c r="J557" s="10">
        <f t="shared" si="32"/>
        <v>4092370000000</v>
      </c>
      <c r="K557" s="10">
        <f>MAX(Keys!$C$51,$I557-$H557)</f>
        <v>0</v>
      </c>
      <c r="L557" s="10">
        <f t="shared" si="33"/>
        <v>4092370000000</v>
      </c>
      <c r="M557" s="11">
        <f>IF($L557&gt;Keys!$C$51,MIN(Keys!$C$52,$K557/$L557),Keys!$C$51)</f>
        <v>0</v>
      </c>
      <c r="N557" s="11">
        <f>IF($E557=Keys!$C$60,Keys!$C$51,IF($E557=Keys!$C$59,$D557,$M557))</f>
        <v>0</v>
      </c>
      <c r="O557">
        <f t="shared" si="34"/>
        <v>1</v>
      </c>
      <c r="P557" s="10">
        <f>IF($E557=Keys!$C$60,Keys!$C$51,INDEX(Raw_BFPIaE!$G$9:$G$3032,MATCH($A557&amp;Keys!$C$54&amp;Keys!$C$55&amp;Keys!$C$54&amp;$B557,Raw_BFPIaE!$H$9:$H$3032,0)))</f>
        <v>0</v>
      </c>
      <c r="Q557" s="10">
        <f>IF($E557=Keys!$C$60,Keys!$C$51,INDEX(Raw_BFPIaE!$G$9:$G$3032,MATCH($A557&amp;Keys!$C$54&amp;Keys!$C$56&amp;Keys!$C$54&amp;$B557,Raw_BFPIaE!$H$9:$H$3032,0)))</f>
        <v>2524673333333.3335</v>
      </c>
      <c r="R557" s="10">
        <f>IF($E557=Keys!$C$60,Keys!$C$51,INDEX(Raw_BFPIaE!$G$9:$G$3032,MATCH($A557&amp;Keys!$C$54&amp;Keys!$C$57&amp;Keys!$C$54&amp;$B557,Raw_BFPIaE!$H$9:$H$3032,0)))</f>
        <v>0</v>
      </c>
      <c r="S557" s="11">
        <f>IF(($P557+$Q557-$R557+MAX(Keys!$C$51,$R557-$Q557))&gt;Keys!$C$51,MIN(Keys!$C$52,MAX(Keys!$C$51,$R557-$Q557)/($P557+$Q557-$R557+MAX(Keys!$C$51,$R557-$Q557))),Keys!$C$51)</f>
        <v>0</v>
      </c>
      <c r="T557">
        <f>IF(AND($I557&gt;$H557,ABS($L557-$G557)&gt;MAX(Keys!$C$62,ABS($G557)*Keys!$C$63)),1,0)</f>
        <v>0</v>
      </c>
      <c r="U557">
        <f>IF(OR($N557&lt;Keys!$C$51,$N557&gt;Keys!$C$52),1,0)</f>
        <v>0</v>
      </c>
      <c r="V557">
        <f>IF(AND($E557=Keys!$C$60,$N557&lt;&gt;Keys!$C$51),1,0)</f>
        <v>0</v>
      </c>
      <c r="W557">
        <f>IF($L557&gt;Keys!$C$51,IF($K557/$L557&gt;Keys!$C$52,1,0),0)</f>
        <v>0</v>
      </c>
      <c r="X557" s="11">
        <f t="shared" si="35"/>
        <v>0</v>
      </c>
    </row>
    <row r="558" spans="1:24" x14ac:dyDescent="0.25">
      <c r="A558" t="s">
        <v>135</v>
      </c>
      <c r="B558" t="s">
        <v>85</v>
      </c>
      <c r="C558" t="str">
        <f>VLOOKUP($B558,Keys!$F$2:$I$22,2,FALSE)</f>
        <v>petroleum gasoline</v>
      </c>
      <c r="D558">
        <f>VLOOKUP($B558,Keys!$F$2:$I$22,3,FALSE)</f>
        <v>7.5004052000000002E-2</v>
      </c>
      <c r="E558" t="str">
        <f>VLOOKUP($B558,Keys!$F$2:$I$22,4,FALSE)</f>
        <v>rule</v>
      </c>
      <c r="F558" t="str">
        <f>$A558&amp;Keys!$C$54&amp;$B558</f>
        <v>NE|petroleum gasoline</v>
      </c>
      <c r="G558" s="10">
        <f>IF($E558=Keys!$C$60,Keys!$C$51,INDEX(Balanced_2025!$D$9:$D$3032,MATCH($A558&amp;Keys!$C$54&amp;Keys!$C$55&amp;Keys!$C$54&amp;$C558,Balanced_2025!$E$9:$E$3032,0)))</f>
        <v>0</v>
      </c>
      <c r="H558" s="10">
        <f>IF($E558=Keys!$C$60,Keys!$C$51,INDEX(Balanced_2025!$D$9:$D$3032,MATCH($A558&amp;Keys!$C$54&amp;Keys!$C$56&amp;Keys!$C$54&amp;$C558,Balanced_2025!$E$9:$E$3032,0)))</f>
        <v>97443600000000</v>
      </c>
      <c r="I558" s="10">
        <f>IF($E558=Keys!$C$60,Keys!$C$51,INDEX(Balanced_2025!$D$9:$D$3032,MATCH($A558&amp;Keys!$C$54&amp;Keys!$C$57&amp;Keys!$C$54&amp;$C558,Balanced_2025!$E$9:$E$3032,0)))</f>
        <v>0</v>
      </c>
      <c r="J558" s="10">
        <f t="shared" si="32"/>
        <v>97443600000000</v>
      </c>
      <c r="K558" s="10">
        <f>MAX(Keys!$C$51,$I558-$H558)</f>
        <v>0</v>
      </c>
      <c r="L558" s="10">
        <f t="shared" si="33"/>
        <v>97443600000000</v>
      </c>
      <c r="M558" s="11">
        <f>IF($L558&gt;Keys!$C$51,MIN(Keys!$C$52,$K558/$L558),Keys!$C$51)</f>
        <v>0</v>
      </c>
      <c r="N558" s="11">
        <f>IF($E558=Keys!$C$60,Keys!$C$51,IF($E558=Keys!$C$59,$D558,$M558))</f>
        <v>0</v>
      </c>
      <c r="O558">
        <f t="shared" si="34"/>
        <v>1</v>
      </c>
      <c r="P558" s="10">
        <f>IF($E558=Keys!$C$60,Keys!$C$51,INDEX(Raw_BFPIaE!$G$9:$G$3032,MATCH($A558&amp;Keys!$C$54&amp;Keys!$C$55&amp;Keys!$C$54&amp;$B558,Raw_BFPIaE!$H$9:$H$3032,0)))</f>
        <v>0</v>
      </c>
      <c r="Q558" s="10">
        <f>IF($E558=Keys!$C$60,Keys!$C$51,INDEX(Raw_BFPIaE!$G$9:$G$3032,MATCH($A558&amp;Keys!$C$54&amp;Keys!$C$56&amp;Keys!$C$54&amp;$B558,Raw_BFPIaE!$H$9:$H$3032,0)))</f>
        <v>61179166666666.664</v>
      </c>
      <c r="R558" s="10">
        <f>IF($E558=Keys!$C$60,Keys!$C$51,INDEX(Raw_BFPIaE!$G$9:$G$3032,MATCH($A558&amp;Keys!$C$54&amp;Keys!$C$57&amp;Keys!$C$54&amp;$B558,Raw_BFPIaE!$H$9:$H$3032,0)))</f>
        <v>0</v>
      </c>
      <c r="S558" s="11">
        <f>IF(($P558+$Q558-$R558+MAX(Keys!$C$51,$R558-$Q558))&gt;Keys!$C$51,MIN(Keys!$C$52,MAX(Keys!$C$51,$R558-$Q558)/($P558+$Q558-$R558+MAX(Keys!$C$51,$R558-$Q558))),Keys!$C$51)</f>
        <v>0</v>
      </c>
      <c r="T558">
        <f>IF(AND($I558&gt;$H558,ABS($L558-$G558)&gt;MAX(Keys!$C$62,ABS($G558)*Keys!$C$63)),1,0)</f>
        <v>0</v>
      </c>
      <c r="U558">
        <f>IF(OR($N558&lt;Keys!$C$51,$N558&gt;Keys!$C$52),1,0)</f>
        <v>0</v>
      </c>
      <c r="V558">
        <f>IF(AND($E558=Keys!$C$60,$N558&lt;&gt;Keys!$C$51),1,0)</f>
        <v>0</v>
      </c>
      <c r="W558">
        <f>IF($L558&gt;Keys!$C$51,IF($K558/$L558&gt;Keys!$C$52,1,0),0)</f>
        <v>0</v>
      </c>
      <c r="X558" s="11">
        <f t="shared" si="35"/>
        <v>0</v>
      </c>
    </row>
    <row r="559" spans="1:24" x14ac:dyDescent="0.25">
      <c r="A559" t="s">
        <v>135</v>
      </c>
      <c r="B559" t="s">
        <v>88</v>
      </c>
      <c r="C559" t="str">
        <f>VLOOKUP($B559,Keys!$F$2:$I$22,2,FALSE)</f>
        <v>petroleum diesel</v>
      </c>
      <c r="D559">
        <f>VLOOKUP($B559,Keys!$F$2:$I$22,3,FALSE)</f>
        <v>0.26691051799999999</v>
      </c>
      <c r="E559" t="str">
        <f>VLOOKUP($B559,Keys!$F$2:$I$22,4,FALSE)</f>
        <v>rule</v>
      </c>
      <c r="F559" t="str">
        <f>$A559&amp;Keys!$C$54&amp;$B559</f>
        <v>NE|petroleum diesel</v>
      </c>
      <c r="G559" s="10">
        <f>IF($E559=Keys!$C$60,Keys!$C$51,INDEX(Balanced_2025!$D$9:$D$3032,MATCH($A559&amp;Keys!$C$54&amp;Keys!$C$55&amp;Keys!$C$54&amp;$C559,Balanced_2025!$E$9:$E$3032,0)))</f>
        <v>0</v>
      </c>
      <c r="H559" s="10">
        <f>IF($E559=Keys!$C$60,Keys!$C$51,INDEX(Balanced_2025!$D$9:$D$3032,MATCH($A559&amp;Keys!$C$54&amp;Keys!$C$56&amp;Keys!$C$54&amp;$C559,Balanced_2025!$E$9:$E$3032,0)))</f>
        <v>109112000000000</v>
      </c>
      <c r="I559" s="10">
        <f>IF($E559=Keys!$C$60,Keys!$C$51,INDEX(Balanced_2025!$D$9:$D$3032,MATCH($A559&amp;Keys!$C$54&amp;Keys!$C$57&amp;Keys!$C$54&amp;$C559,Balanced_2025!$E$9:$E$3032,0)))</f>
        <v>0</v>
      </c>
      <c r="J559" s="10">
        <f t="shared" si="32"/>
        <v>109112000000000</v>
      </c>
      <c r="K559" s="10">
        <f>MAX(Keys!$C$51,$I559-$H559)</f>
        <v>0</v>
      </c>
      <c r="L559" s="10">
        <f t="shared" si="33"/>
        <v>109112000000000</v>
      </c>
      <c r="M559" s="11">
        <f>IF($L559&gt;Keys!$C$51,MIN(Keys!$C$52,$K559/$L559),Keys!$C$51)</f>
        <v>0</v>
      </c>
      <c r="N559" s="11">
        <f>IF($E559=Keys!$C$60,Keys!$C$51,IF($E559=Keys!$C$59,$D559,$M559))</f>
        <v>0</v>
      </c>
      <c r="O559">
        <f t="shared" si="34"/>
        <v>1</v>
      </c>
      <c r="P559" s="10">
        <f>IF($E559=Keys!$C$60,Keys!$C$51,INDEX(Raw_BFPIaE!$G$9:$G$3032,MATCH($A559&amp;Keys!$C$54&amp;Keys!$C$55&amp;Keys!$C$54&amp;$B559,Raw_BFPIaE!$H$9:$H$3032,0)))</f>
        <v>0</v>
      </c>
      <c r="Q559" s="10">
        <f>IF($E559=Keys!$C$60,Keys!$C$51,INDEX(Raw_BFPIaE!$G$9:$G$3032,MATCH($A559&amp;Keys!$C$54&amp;Keys!$C$56&amp;Keys!$C$54&amp;$B559,Raw_BFPIaE!$H$9:$H$3032,0)))</f>
        <v>71888666666666.672</v>
      </c>
      <c r="R559" s="10">
        <f>IF($E559=Keys!$C$60,Keys!$C$51,INDEX(Raw_BFPIaE!$G$9:$G$3032,MATCH($A559&amp;Keys!$C$54&amp;Keys!$C$57&amp;Keys!$C$54&amp;$B559,Raw_BFPIaE!$H$9:$H$3032,0)))</f>
        <v>0</v>
      </c>
      <c r="S559" s="11">
        <f>IF(($P559+$Q559-$R559+MAX(Keys!$C$51,$R559-$Q559))&gt;Keys!$C$51,MIN(Keys!$C$52,MAX(Keys!$C$51,$R559-$Q559)/($P559+$Q559-$R559+MAX(Keys!$C$51,$R559-$Q559))),Keys!$C$51)</f>
        <v>0</v>
      </c>
      <c r="T559">
        <f>IF(AND($I559&gt;$H559,ABS($L559-$G559)&gt;MAX(Keys!$C$62,ABS($G559)*Keys!$C$63)),1,0)</f>
        <v>0</v>
      </c>
      <c r="U559">
        <f>IF(OR($N559&lt;Keys!$C$51,$N559&gt;Keys!$C$52),1,0)</f>
        <v>0</v>
      </c>
      <c r="V559">
        <f>IF(AND($E559=Keys!$C$60,$N559&lt;&gt;Keys!$C$51),1,0)</f>
        <v>0</v>
      </c>
      <c r="W559">
        <f>IF($L559&gt;Keys!$C$51,IF($K559/$L559&gt;Keys!$C$52,1,0),0)</f>
        <v>0</v>
      </c>
      <c r="X559" s="11">
        <f t="shared" si="35"/>
        <v>0</v>
      </c>
    </row>
    <row r="560" spans="1:24" x14ac:dyDescent="0.25">
      <c r="A560" t="s">
        <v>135</v>
      </c>
      <c r="B560" t="s">
        <v>91</v>
      </c>
      <c r="C560" t="str">
        <f>VLOOKUP($B560,Keys!$F$2:$I$22,2,FALSE)</f>
        <v>biofuel gasoline</v>
      </c>
      <c r="D560">
        <f>VLOOKUP($B560,Keys!$F$2:$I$22,3,FALSE)</f>
        <v>8.7213884000000005E-2</v>
      </c>
      <c r="E560" t="str">
        <f>VLOOKUP($B560,Keys!$F$2:$I$22,4,FALSE)</f>
        <v>rule</v>
      </c>
      <c r="F560" t="str">
        <f>$A560&amp;Keys!$C$54&amp;$B560</f>
        <v>NE|biofuel gasoline</v>
      </c>
      <c r="G560" s="10">
        <f>IF($E560=Keys!$C$60,Keys!$C$51,INDEX(Balanced_2025!$D$9:$D$3032,MATCH($A560&amp;Keys!$C$54&amp;Keys!$C$55&amp;Keys!$C$54&amp;$C560,Balanced_2025!$E$9:$E$3032,0)))</f>
        <v>174403000000000</v>
      </c>
      <c r="H560" s="10">
        <f>IF($E560=Keys!$C$60,Keys!$C$51,INDEX(Balanced_2025!$D$9:$D$3032,MATCH($A560&amp;Keys!$C$54&amp;Keys!$C$56&amp;Keys!$C$54&amp;$C560,Balanced_2025!$E$9:$E$3032,0)))</f>
        <v>347594000000</v>
      </c>
      <c r="I560" s="10">
        <f>IF($E560=Keys!$C$60,Keys!$C$51,INDEX(Balanced_2025!$D$9:$D$3032,MATCH($A560&amp;Keys!$C$54&amp;Keys!$C$57&amp;Keys!$C$54&amp;$C560,Balanced_2025!$E$9:$E$3032,0)))</f>
        <v>168263000000000</v>
      </c>
      <c r="J560" s="10">
        <f t="shared" si="32"/>
        <v>6487594000000</v>
      </c>
      <c r="K560" s="10">
        <f>MAX(Keys!$C$51,$I560-$H560)</f>
        <v>167915406000000</v>
      </c>
      <c r="L560" s="10">
        <f t="shared" si="33"/>
        <v>174403000000000</v>
      </c>
      <c r="M560" s="11">
        <f>IF($L560&gt;Keys!$C$51,MIN(Keys!$C$52,$K560/$L560),Keys!$C$51)</f>
        <v>0.96280113300803316</v>
      </c>
      <c r="N560" s="11">
        <f>IF($E560=Keys!$C$60,Keys!$C$51,IF($E560=Keys!$C$59,$D560,$M560))</f>
        <v>0.96280113300803316</v>
      </c>
      <c r="O560">
        <f t="shared" si="34"/>
        <v>1</v>
      </c>
      <c r="P560" s="10">
        <f>IF($E560=Keys!$C$60,Keys!$C$51,INDEX(Raw_BFPIaE!$G$9:$G$3032,MATCH($A560&amp;Keys!$C$54&amp;Keys!$C$55&amp;Keys!$C$54&amp;$B560,Raw_BFPIaE!$H$9:$H$3032,0)))</f>
        <v>174566666666666.66</v>
      </c>
      <c r="Q560" s="10">
        <f>IF($E560=Keys!$C$60,Keys!$C$51,INDEX(Raw_BFPIaE!$G$9:$G$3032,MATCH($A560&amp;Keys!$C$54&amp;Keys!$C$56&amp;Keys!$C$54&amp;$B560,Raw_BFPIaE!$H$9:$H$3032,0)))</f>
        <v>0</v>
      </c>
      <c r="R560" s="10">
        <f>IF($E560=Keys!$C$60,Keys!$C$51,INDEX(Raw_BFPIaE!$G$9:$G$3032,MATCH($A560&amp;Keys!$C$54&amp;Keys!$C$57&amp;Keys!$C$54&amp;$B560,Raw_BFPIaE!$H$9:$H$3032,0)))</f>
        <v>112360666666666.67</v>
      </c>
      <c r="S560" s="11">
        <f>IF(($P560+$Q560-$R560+MAX(Keys!$C$51,$R560-$Q560))&gt;Keys!$C$51,MIN(Keys!$C$52,MAX(Keys!$C$51,$R560-$Q560)/($P560+$Q560-$R560+MAX(Keys!$C$51,$R560-$Q560))),Keys!$C$51)</f>
        <v>0.64365476417796452</v>
      </c>
      <c r="T560">
        <f>IF(AND($I560&gt;$H560,ABS($L560-$G560)&gt;MAX(Keys!$C$62,ABS($G560)*Keys!$C$63)),1,0)</f>
        <v>0</v>
      </c>
      <c r="U560">
        <f>IF(OR($N560&lt;Keys!$C$51,$N560&gt;Keys!$C$52),1,0)</f>
        <v>0</v>
      </c>
      <c r="V560">
        <f>IF(AND($E560=Keys!$C$60,$N560&lt;&gt;Keys!$C$51),1,0)</f>
        <v>0</v>
      </c>
      <c r="W560">
        <f>IF($L560&gt;Keys!$C$51,IF($K560/$L560&gt;Keys!$C$52,1,0),0)</f>
        <v>0</v>
      </c>
      <c r="X560" s="11">
        <f t="shared" si="35"/>
        <v>0.31914636883006864</v>
      </c>
    </row>
    <row r="561" spans="1:24" x14ac:dyDescent="0.25">
      <c r="A561" t="s">
        <v>135</v>
      </c>
      <c r="B561" t="s">
        <v>94</v>
      </c>
      <c r="C561" t="str">
        <f>VLOOKUP($B561,Keys!$F$2:$I$22,2,FALSE)</f>
        <v>biofuel diesel</v>
      </c>
      <c r="D561">
        <f>VLOOKUP($B561,Keys!$F$2:$I$22,3,FALSE)</f>
        <v>5.8642381E-2</v>
      </c>
      <c r="E561" t="str">
        <f>VLOOKUP($B561,Keys!$F$2:$I$22,4,FALSE)</f>
        <v>rule</v>
      </c>
      <c r="F561" t="str">
        <f>$A561&amp;Keys!$C$54&amp;$B561</f>
        <v>NE|biofuel diesel</v>
      </c>
      <c r="G561" s="10">
        <f>IF($E561=Keys!$C$60,Keys!$C$51,INDEX(Balanced_2025!$D$9:$D$3032,MATCH($A561&amp;Keys!$C$54&amp;Keys!$C$55&amp;Keys!$C$54&amp;$C561,Balanced_2025!$E$9:$E$3032,0)))</f>
        <v>0</v>
      </c>
      <c r="H561" s="10">
        <f>IF($E561=Keys!$C$60,Keys!$C$51,INDEX(Balanced_2025!$D$9:$D$3032,MATCH($A561&amp;Keys!$C$54&amp;Keys!$C$56&amp;Keys!$C$54&amp;$C561,Balanced_2025!$E$9:$E$3032,0)))</f>
        <v>2030050000000</v>
      </c>
      <c r="I561" s="10">
        <f>IF($E561=Keys!$C$60,Keys!$C$51,INDEX(Balanced_2025!$D$9:$D$3032,MATCH($A561&amp;Keys!$C$54&amp;Keys!$C$57&amp;Keys!$C$54&amp;$C561,Balanced_2025!$E$9:$E$3032,0)))</f>
        <v>0</v>
      </c>
      <c r="J561" s="10">
        <f t="shared" si="32"/>
        <v>2030050000000</v>
      </c>
      <c r="K561" s="10">
        <f>MAX(Keys!$C$51,$I561-$H561)</f>
        <v>0</v>
      </c>
      <c r="L561" s="10">
        <f t="shared" si="33"/>
        <v>2030050000000</v>
      </c>
      <c r="M561" s="11">
        <f>IF($L561&gt;Keys!$C$51,MIN(Keys!$C$52,$K561/$L561),Keys!$C$51)</f>
        <v>0</v>
      </c>
      <c r="N561" s="11">
        <f>IF($E561=Keys!$C$60,Keys!$C$51,IF($E561=Keys!$C$59,$D561,$M561))</f>
        <v>0</v>
      </c>
      <c r="O561">
        <f t="shared" si="34"/>
        <v>1</v>
      </c>
      <c r="P561" s="10">
        <f>IF($E561=Keys!$C$60,Keys!$C$51,INDEX(Raw_BFPIaE!$G$9:$G$3032,MATCH($A561&amp;Keys!$C$54&amp;Keys!$C$55&amp;Keys!$C$54&amp;$B561,Raw_BFPIaE!$H$9:$H$3032,0)))</f>
        <v>0</v>
      </c>
      <c r="Q561" s="10">
        <f>IF($E561=Keys!$C$60,Keys!$C$51,INDEX(Raw_BFPIaE!$G$9:$G$3032,MATCH($A561&amp;Keys!$C$54&amp;Keys!$C$56&amp;Keys!$C$54&amp;$B561,Raw_BFPIaE!$H$9:$H$3032,0)))</f>
        <v>1316970000000</v>
      </c>
      <c r="R561" s="10">
        <f>IF($E561=Keys!$C$60,Keys!$C$51,INDEX(Raw_BFPIaE!$G$9:$G$3032,MATCH($A561&amp;Keys!$C$54&amp;Keys!$C$57&amp;Keys!$C$54&amp;$B561,Raw_BFPIaE!$H$9:$H$3032,0)))</f>
        <v>0</v>
      </c>
      <c r="S561" s="11">
        <f>IF(($P561+$Q561-$R561+MAX(Keys!$C$51,$R561-$Q561))&gt;Keys!$C$51,MIN(Keys!$C$52,MAX(Keys!$C$51,$R561-$Q561)/($P561+$Q561-$R561+MAX(Keys!$C$51,$R561-$Q561))),Keys!$C$51)</f>
        <v>0</v>
      </c>
      <c r="T561">
        <f>IF(AND($I561&gt;$H561,ABS($L561-$G561)&gt;MAX(Keys!$C$62,ABS($G561)*Keys!$C$63)),1,0)</f>
        <v>0</v>
      </c>
      <c r="U561">
        <f>IF(OR($N561&lt;Keys!$C$51,$N561&gt;Keys!$C$52),1,0)</f>
        <v>0</v>
      </c>
      <c r="V561">
        <f>IF(AND($E561=Keys!$C$60,$N561&lt;&gt;Keys!$C$51),1,0)</f>
        <v>0</v>
      </c>
      <c r="W561">
        <f>IF($L561&gt;Keys!$C$51,IF($K561/$L561&gt;Keys!$C$52,1,0),0)</f>
        <v>0</v>
      </c>
      <c r="X561" s="11">
        <f t="shared" si="35"/>
        <v>0</v>
      </c>
    </row>
    <row r="562" spans="1:24" x14ac:dyDescent="0.25">
      <c r="A562" t="s">
        <v>135</v>
      </c>
      <c r="B562" t="s">
        <v>97</v>
      </c>
      <c r="C562" t="str">
        <f>VLOOKUP($B562,Keys!$F$2:$I$22,2,FALSE)</f>
        <v>jet fuel or kerosene</v>
      </c>
      <c r="D562">
        <f>VLOOKUP($B562,Keys!$F$2:$I$22,3,FALSE)</f>
        <v>0.10155994</v>
      </c>
      <c r="E562" t="str">
        <f>VLOOKUP($B562,Keys!$F$2:$I$22,4,FALSE)</f>
        <v>rule</v>
      </c>
      <c r="F562" t="str">
        <f>$A562&amp;Keys!$C$54&amp;$B562</f>
        <v>NE|jet fuel or kerosene</v>
      </c>
      <c r="G562" s="10">
        <f>IF($E562=Keys!$C$60,Keys!$C$51,INDEX(Balanced_2025!$D$9:$D$3032,MATCH($A562&amp;Keys!$C$54&amp;Keys!$C$55&amp;Keys!$C$54&amp;$C562,Balanced_2025!$E$9:$E$3032,0)))</f>
        <v>0</v>
      </c>
      <c r="H562" s="10">
        <f>IF($E562=Keys!$C$60,Keys!$C$51,INDEX(Balanced_2025!$D$9:$D$3032,MATCH($A562&amp;Keys!$C$54&amp;Keys!$C$56&amp;Keys!$C$54&amp;$C562,Balanced_2025!$E$9:$E$3032,0)))</f>
        <v>5993420000000</v>
      </c>
      <c r="I562" s="10">
        <f>IF($E562=Keys!$C$60,Keys!$C$51,INDEX(Balanced_2025!$D$9:$D$3032,MATCH($A562&amp;Keys!$C$54&amp;Keys!$C$57&amp;Keys!$C$54&amp;$C562,Balanced_2025!$E$9:$E$3032,0)))</f>
        <v>0</v>
      </c>
      <c r="J562" s="10">
        <f t="shared" si="32"/>
        <v>5993420000000</v>
      </c>
      <c r="K562" s="10">
        <f>MAX(Keys!$C$51,$I562-$H562)</f>
        <v>0</v>
      </c>
      <c r="L562" s="10">
        <f t="shared" si="33"/>
        <v>5993420000000</v>
      </c>
      <c r="M562" s="11">
        <f>IF($L562&gt;Keys!$C$51,MIN(Keys!$C$52,$K562/$L562),Keys!$C$51)</f>
        <v>0</v>
      </c>
      <c r="N562" s="11">
        <f>IF($E562=Keys!$C$60,Keys!$C$51,IF($E562=Keys!$C$59,$D562,$M562))</f>
        <v>0</v>
      </c>
      <c r="O562">
        <f t="shared" si="34"/>
        <v>1</v>
      </c>
      <c r="P562" s="10">
        <f>IF($E562=Keys!$C$60,Keys!$C$51,INDEX(Raw_BFPIaE!$G$9:$G$3032,MATCH($A562&amp;Keys!$C$54&amp;Keys!$C$55&amp;Keys!$C$54&amp;$B562,Raw_BFPIaE!$H$9:$H$3032,0)))</f>
        <v>0</v>
      </c>
      <c r="Q562" s="10">
        <f>IF($E562=Keys!$C$60,Keys!$C$51,INDEX(Raw_BFPIaE!$G$9:$G$3032,MATCH($A562&amp;Keys!$C$54&amp;Keys!$C$56&amp;Keys!$C$54&amp;$B562,Raw_BFPIaE!$H$9:$H$3032,0)))</f>
        <v>4061170000000</v>
      </c>
      <c r="R562" s="10">
        <f>IF($E562=Keys!$C$60,Keys!$C$51,INDEX(Raw_BFPIaE!$G$9:$G$3032,MATCH($A562&amp;Keys!$C$54&amp;Keys!$C$57&amp;Keys!$C$54&amp;$B562,Raw_BFPIaE!$H$9:$H$3032,0)))</f>
        <v>0</v>
      </c>
      <c r="S562" s="11">
        <f>IF(($P562+$Q562-$R562+MAX(Keys!$C$51,$R562-$Q562))&gt;Keys!$C$51,MIN(Keys!$C$52,MAX(Keys!$C$51,$R562-$Q562)/($P562+$Q562-$R562+MAX(Keys!$C$51,$R562-$Q562))),Keys!$C$51)</f>
        <v>0</v>
      </c>
      <c r="T562">
        <f>IF(AND($I562&gt;$H562,ABS($L562-$G562)&gt;MAX(Keys!$C$62,ABS($G562)*Keys!$C$63)),1,0)</f>
        <v>0</v>
      </c>
      <c r="U562">
        <f>IF(OR($N562&lt;Keys!$C$51,$N562&gt;Keys!$C$52),1,0)</f>
        <v>0</v>
      </c>
      <c r="V562">
        <f>IF(AND($E562=Keys!$C$60,$N562&lt;&gt;Keys!$C$51),1,0)</f>
        <v>0</v>
      </c>
      <c r="W562">
        <f>IF($L562&gt;Keys!$C$51,IF($K562/$L562&gt;Keys!$C$52,1,0),0)</f>
        <v>0</v>
      </c>
      <c r="X562" s="11">
        <f t="shared" si="35"/>
        <v>0</v>
      </c>
    </row>
    <row r="563" spans="1:24" x14ac:dyDescent="0.25">
      <c r="A563" t="s">
        <v>135</v>
      </c>
      <c r="B563" t="s">
        <v>100</v>
      </c>
      <c r="C563">
        <f>VLOOKUP($B563,Keys!$F$2:$I$22,2,FALSE)</f>
        <v>0</v>
      </c>
      <c r="D563">
        <f>VLOOKUP($B563,Keys!$F$2:$I$22,3,FALSE)</f>
        <v>0</v>
      </c>
      <c r="E563" t="str">
        <f>VLOOKUP($B563,Keys!$F$2:$I$22,4,FALSE)</f>
        <v>zero</v>
      </c>
      <c r="F563" t="str">
        <f>$A563&amp;Keys!$C$54&amp;$B563</f>
        <v>NE|heat (not used in this variable)</v>
      </c>
      <c r="G563" s="10">
        <f>IF($E563=Keys!$C$60,Keys!$C$51,INDEX(Balanced_2025!$D$9:$D$3032,MATCH($A563&amp;Keys!$C$54&amp;Keys!$C$55&amp;Keys!$C$54&amp;$C563,Balanced_2025!$E$9:$E$3032,0)))</f>
        <v>0</v>
      </c>
      <c r="H563" s="10">
        <f>IF($E563=Keys!$C$60,Keys!$C$51,INDEX(Balanced_2025!$D$9:$D$3032,MATCH($A563&amp;Keys!$C$54&amp;Keys!$C$56&amp;Keys!$C$54&amp;$C563,Balanced_2025!$E$9:$E$3032,0)))</f>
        <v>0</v>
      </c>
      <c r="I563" s="10">
        <f>IF($E563=Keys!$C$60,Keys!$C$51,INDEX(Balanced_2025!$D$9:$D$3032,MATCH($A563&amp;Keys!$C$54&amp;Keys!$C$57&amp;Keys!$C$54&amp;$C563,Balanced_2025!$E$9:$E$3032,0)))</f>
        <v>0</v>
      </c>
      <c r="J563" s="10">
        <f t="shared" si="32"/>
        <v>0</v>
      </c>
      <c r="K563" s="10">
        <f>MAX(Keys!$C$51,$I563-$H563)</f>
        <v>0</v>
      </c>
      <c r="L563" s="10">
        <f t="shared" si="33"/>
        <v>0</v>
      </c>
      <c r="M563" s="11">
        <f>IF($L563&gt;Keys!$C$51,MIN(Keys!$C$52,$K563/$L563),Keys!$C$51)</f>
        <v>0</v>
      </c>
      <c r="N563" s="11">
        <f>IF($E563=Keys!$C$60,Keys!$C$51,IF($E563=Keys!$C$59,$D563,$M563))</f>
        <v>0</v>
      </c>
      <c r="O563">
        <f t="shared" si="34"/>
        <v>0</v>
      </c>
      <c r="P563" s="10">
        <f>IF($E563=Keys!$C$60,Keys!$C$51,INDEX(Raw_BFPIaE!$G$9:$G$3032,MATCH($A563&amp;Keys!$C$54&amp;Keys!$C$55&amp;Keys!$C$54&amp;$B563,Raw_BFPIaE!$H$9:$H$3032,0)))</f>
        <v>0</v>
      </c>
      <c r="Q563" s="10">
        <f>IF($E563=Keys!$C$60,Keys!$C$51,INDEX(Raw_BFPIaE!$G$9:$G$3032,MATCH($A563&amp;Keys!$C$54&amp;Keys!$C$56&amp;Keys!$C$54&amp;$B563,Raw_BFPIaE!$H$9:$H$3032,0)))</f>
        <v>0</v>
      </c>
      <c r="R563" s="10">
        <f>IF($E563=Keys!$C$60,Keys!$C$51,INDEX(Raw_BFPIaE!$G$9:$G$3032,MATCH($A563&amp;Keys!$C$54&amp;Keys!$C$57&amp;Keys!$C$54&amp;$B563,Raw_BFPIaE!$H$9:$H$3032,0)))</f>
        <v>0</v>
      </c>
      <c r="S563" s="11">
        <f>IF(($P563+$Q563-$R563+MAX(Keys!$C$51,$R563-$Q563))&gt;Keys!$C$51,MIN(Keys!$C$52,MAX(Keys!$C$51,$R563-$Q563)/($P563+$Q563-$R563+MAX(Keys!$C$51,$R563-$Q563))),Keys!$C$51)</f>
        <v>0</v>
      </c>
      <c r="T563">
        <f>IF(AND($I563&gt;$H563,ABS($L563-$G563)&gt;MAX(Keys!$C$62,ABS($G563)*Keys!$C$63)),1,0)</f>
        <v>0</v>
      </c>
      <c r="U563">
        <f>IF(OR($N563&lt;Keys!$C$51,$N563&gt;Keys!$C$52),1,0)</f>
        <v>0</v>
      </c>
      <c r="V563">
        <f>IF(AND($E563=Keys!$C$60,$N563&lt;&gt;Keys!$C$51),1,0)</f>
        <v>0</v>
      </c>
      <c r="W563">
        <f>IF($L563&gt;Keys!$C$51,IF($K563/$L563&gt;Keys!$C$52,1,0),0)</f>
        <v>0</v>
      </c>
      <c r="X563" s="11">
        <f t="shared" si="35"/>
        <v>0</v>
      </c>
    </row>
    <row r="564" spans="1:24" x14ac:dyDescent="0.25">
      <c r="A564" t="s">
        <v>135</v>
      </c>
      <c r="B564" t="s">
        <v>103</v>
      </c>
      <c r="C564">
        <f>VLOOKUP($B564,Keys!$F$2:$I$22,2,FALSE)</f>
        <v>0</v>
      </c>
      <c r="D564">
        <f>VLOOKUP($B564,Keys!$F$2:$I$22,3,FALSE)</f>
        <v>0</v>
      </c>
      <c r="E564" t="str">
        <f>VLOOKUP($B564,Keys!$F$2:$I$22,4,FALSE)</f>
        <v>zero</v>
      </c>
      <c r="F564" t="str">
        <f>$A564&amp;Keys!$C$54&amp;$B564</f>
        <v>NE|geothermal (is not a fuel)</v>
      </c>
      <c r="G564" s="10">
        <f>IF($E564=Keys!$C$60,Keys!$C$51,INDEX(Balanced_2025!$D$9:$D$3032,MATCH($A564&amp;Keys!$C$54&amp;Keys!$C$55&amp;Keys!$C$54&amp;$C564,Balanced_2025!$E$9:$E$3032,0)))</f>
        <v>0</v>
      </c>
      <c r="H564" s="10">
        <f>IF($E564=Keys!$C$60,Keys!$C$51,INDEX(Balanced_2025!$D$9:$D$3032,MATCH($A564&amp;Keys!$C$54&amp;Keys!$C$56&amp;Keys!$C$54&amp;$C564,Balanced_2025!$E$9:$E$3032,0)))</f>
        <v>0</v>
      </c>
      <c r="I564" s="10">
        <f>IF($E564=Keys!$C$60,Keys!$C$51,INDEX(Balanced_2025!$D$9:$D$3032,MATCH($A564&amp;Keys!$C$54&amp;Keys!$C$57&amp;Keys!$C$54&amp;$C564,Balanced_2025!$E$9:$E$3032,0)))</f>
        <v>0</v>
      </c>
      <c r="J564" s="10">
        <f t="shared" si="32"/>
        <v>0</v>
      </c>
      <c r="K564" s="10">
        <f>MAX(Keys!$C$51,$I564-$H564)</f>
        <v>0</v>
      </c>
      <c r="L564" s="10">
        <f t="shared" si="33"/>
        <v>0</v>
      </c>
      <c r="M564" s="11">
        <f>IF($L564&gt;Keys!$C$51,MIN(Keys!$C$52,$K564/$L564),Keys!$C$51)</f>
        <v>0</v>
      </c>
      <c r="N564" s="11">
        <f>IF($E564=Keys!$C$60,Keys!$C$51,IF($E564=Keys!$C$59,$D564,$M564))</f>
        <v>0</v>
      </c>
      <c r="O564">
        <f t="shared" si="34"/>
        <v>0</v>
      </c>
      <c r="P564" s="10">
        <f>IF($E564=Keys!$C$60,Keys!$C$51,INDEX(Raw_BFPIaE!$G$9:$G$3032,MATCH($A564&amp;Keys!$C$54&amp;Keys!$C$55&amp;Keys!$C$54&amp;$B564,Raw_BFPIaE!$H$9:$H$3032,0)))</f>
        <v>0</v>
      </c>
      <c r="Q564" s="10">
        <f>IF($E564=Keys!$C$60,Keys!$C$51,INDEX(Raw_BFPIaE!$G$9:$G$3032,MATCH($A564&amp;Keys!$C$54&amp;Keys!$C$56&amp;Keys!$C$54&amp;$B564,Raw_BFPIaE!$H$9:$H$3032,0)))</f>
        <v>0</v>
      </c>
      <c r="R564" s="10">
        <f>IF($E564=Keys!$C$60,Keys!$C$51,INDEX(Raw_BFPIaE!$G$9:$G$3032,MATCH($A564&amp;Keys!$C$54&amp;Keys!$C$57&amp;Keys!$C$54&amp;$B564,Raw_BFPIaE!$H$9:$H$3032,0)))</f>
        <v>0</v>
      </c>
      <c r="S564" s="11">
        <f>IF(($P564+$Q564-$R564+MAX(Keys!$C$51,$R564-$Q564))&gt;Keys!$C$51,MIN(Keys!$C$52,MAX(Keys!$C$51,$R564-$Q564)/($P564+$Q564-$R564+MAX(Keys!$C$51,$R564-$Q564))),Keys!$C$51)</f>
        <v>0</v>
      </c>
      <c r="T564">
        <f>IF(AND($I564&gt;$H564,ABS($L564-$G564)&gt;MAX(Keys!$C$62,ABS($G564)*Keys!$C$63)),1,0)</f>
        <v>0</v>
      </c>
      <c r="U564">
        <f>IF(OR($N564&lt;Keys!$C$51,$N564&gt;Keys!$C$52),1,0)</f>
        <v>0</v>
      </c>
      <c r="V564">
        <f>IF(AND($E564=Keys!$C$60,$N564&lt;&gt;Keys!$C$51),1,0)</f>
        <v>0</v>
      </c>
      <c r="W564">
        <f>IF($L564&gt;Keys!$C$51,IF($K564/$L564&gt;Keys!$C$52,1,0),0)</f>
        <v>0</v>
      </c>
      <c r="X564" s="11">
        <f t="shared" si="35"/>
        <v>0</v>
      </c>
    </row>
    <row r="565" spans="1:24" x14ac:dyDescent="0.25">
      <c r="A565" t="s">
        <v>135</v>
      </c>
      <c r="B565" t="s">
        <v>106</v>
      </c>
      <c r="C565" t="str">
        <f>VLOOKUP($B565,Keys!$F$2:$I$22,2,FALSE)</f>
        <v>lignite</v>
      </c>
      <c r="D565">
        <f>VLOOKUP($B565,Keys!$F$2:$I$22,3,FALSE)</f>
        <v>0</v>
      </c>
      <c r="E565" t="str">
        <f>VLOOKUP($B565,Keys!$F$2:$I$22,4,FALSE)</f>
        <v>rule</v>
      </c>
      <c r="F565" t="str">
        <f>$A565&amp;Keys!$C$54&amp;$B565</f>
        <v>NE|lignite</v>
      </c>
      <c r="G565" s="10">
        <f>IF($E565=Keys!$C$60,Keys!$C$51,INDEX(Balanced_2025!$D$9:$D$3032,MATCH($A565&amp;Keys!$C$54&amp;Keys!$C$55&amp;Keys!$C$54&amp;$C565,Balanced_2025!$E$9:$E$3032,0)))</f>
        <v>0</v>
      </c>
      <c r="H565" s="10">
        <f>IF($E565=Keys!$C$60,Keys!$C$51,INDEX(Balanced_2025!$D$9:$D$3032,MATCH($A565&amp;Keys!$C$54&amp;Keys!$C$56&amp;Keys!$C$54&amp;$C565,Balanced_2025!$E$9:$E$3032,0)))</f>
        <v>0</v>
      </c>
      <c r="I565" s="10">
        <f>IF($E565=Keys!$C$60,Keys!$C$51,INDEX(Balanced_2025!$D$9:$D$3032,MATCH($A565&amp;Keys!$C$54&amp;Keys!$C$57&amp;Keys!$C$54&amp;$C565,Balanced_2025!$E$9:$E$3032,0)))</f>
        <v>0</v>
      </c>
      <c r="J565" s="10">
        <f t="shared" si="32"/>
        <v>0</v>
      </c>
      <c r="K565" s="10">
        <f>MAX(Keys!$C$51,$I565-$H565)</f>
        <v>0</v>
      </c>
      <c r="L565" s="10">
        <f t="shared" si="33"/>
        <v>0</v>
      </c>
      <c r="M565" s="11">
        <f>IF($L565&gt;Keys!$C$51,MIN(Keys!$C$52,$K565/$L565),Keys!$C$51)</f>
        <v>0</v>
      </c>
      <c r="N565" s="11">
        <f>IF($E565=Keys!$C$60,Keys!$C$51,IF($E565=Keys!$C$59,$D565,$M565))</f>
        <v>0</v>
      </c>
      <c r="O565">
        <f t="shared" si="34"/>
        <v>0</v>
      </c>
      <c r="P565" s="10">
        <f>IF($E565=Keys!$C$60,Keys!$C$51,INDEX(Raw_BFPIaE!$G$9:$G$3032,MATCH($A565&amp;Keys!$C$54&amp;Keys!$C$55&amp;Keys!$C$54&amp;$B565,Raw_BFPIaE!$H$9:$H$3032,0)))</f>
        <v>0</v>
      </c>
      <c r="Q565" s="10">
        <f>IF($E565=Keys!$C$60,Keys!$C$51,INDEX(Raw_BFPIaE!$G$9:$G$3032,MATCH($A565&amp;Keys!$C$54&amp;Keys!$C$56&amp;Keys!$C$54&amp;$B565,Raw_BFPIaE!$H$9:$H$3032,0)))</f>
        <v>0</v>
      </c>
      <c r="R565" s="10">
        <f>IF($E565=Keys!$C$60,Keys!$C$51,INDEX(Raw_BFPIaE!$G$9:$G$3032,MATCH($A565&amp;Keys!$C$54&amp;Keys!$C$57&amp;Keys!$C$54&amp;$B565,Raw_BFPIaE!$H$9:$H$3032,0)))</f>
        <v>0</v>
      </c>
      <c r="S565" s="11">
        <f>IF(($P565+$Q565-$R565+MAX(Keys!$C$51,$R565-$Q565))&gt;Keys!$C$51,MIN(Keys!$C$52,MAX(Keys!$C$51,$R565-$Q565)/($P565+$Q565-$R565+MAX(Keys!$C$51,$R565-$Q565))),Keys!$C$51)</f>
        <v>0</v>
      </c>
      <c r="T565">
        <f>IF(AND($I565&gt;$H565,ABS($L565-$G565)&gt;MAX(Keys!$C$62,ABS($G565)*Keys!$C$63)),1,0)</f>
        <v>0</v>
      </c>
      <c r="U565">
        <f>IF(OR($N565&lt;Keys!$C$51,$N565&gt;Keys!$C$52),1,0)</f>
        <v>0</v>
      </c>
      <c r="V565">
        <f>IF(AND($E565=Keys!$C$60,$N565&lt;&gt;Keys!$C$51),1,0)</f>
        <v>0</v>
      </c>
      <c r="W565">
        <f>IF($L565&gt;Keys!$C$51,IF($K565/$L565&gt;Keys!$C$52,1,0),0)</f>
        <v>0</v>
      </c>
      <c r="X565" s="11">
        <f t="shared" si="35"/>
        <v>0</v>
      </c>
    </row>
    <row r="566" spans="1:24" x14ac:dyDescent="0.25">
      <c r="A566" t="s">
        <v>135</v>
      </c>
      <c r="B566" t="s">
        <v>109</v>
      </c>
      <c r="C566" t="str">
        <f>VLOOKUP($B566,Keys!$F$2:$I$22,2,FALSE)</f>
        <v>crude oil</v>
      </c>
      <c r="D566">
        <f>VLOOKUP($B566,Keys!$F$2:$I$22,3,FALSE)</f>
        <v>1</v>
      </c>
      <c r="E566" t="str">
        <f>VLOOKUP($B566,Keys!$F$2:$I$22,4,FALSE)</f>
        <v>hold</v>
      </c>
      <c r="F566" t="str">
        <f>$A566&amp;Keys!$C$54&amp;$B566</f>
        <v>NE|crude oil</v>
      </c>
      <c r="G566" s="10">
        <f>IF($E566=Keys!$C$60,Keys!$C$51,INDEX(Balanced_2025!$D$9:$D$3032,MATCH($A566&amp;Keys!$C$54&amp;Keys!$C$55&amp;Keys!$C$54&amp;$C566,Balanced_2025!$E$9:$E$3032,0)))</f>
        <v>7464600000000</v>
      </c>
      <c r="H566" s="10">
        <f>IF($E566=Keys!$C$60,Keys!$C$51,INDEX(Balanced_2025!$D$9:$D$3032,MATCH($A566&amp;Keys!$C$54&amp;Keys!$C$56&amp;Keys!$C$54&amp;$C566,Balanced_2025!$E$9:$E$3032,0)))</f>
        <v>0</v>
      </c>
      <c r="I566" s="10">
        <f>IF($E566=Keys!$C$60,Keys!$C$51,INDEX(Balanced_2025!$D$9:$D$3032,MATCH($A566&amp;Keys!$C$54&amp;Keys!$C$57&amp;Keys!$C$54&amp;$C566,Balanced_2025!$E$9:$E$3032,0)))</f>
        <v>6894400000000</v>
      </c>
      <c r="J566" s="10">
        <f t="shared" si="32"/>
        <v>570200000000</v>
      </c>
      <c r="K566" s="10">
        <f>MAX(Keys!$C$51,$I566-$H566)</f>
        <v>6894400000000</v>
      </c>
      <c r="L566" s="10">
        <f t="shared" si="33"/>
        <v>7464600000000</v>
      </c>
      <c r="M566" s="11">
        <f>IF($L566&gt;Keys!$C$51,MIN(Keys!$C$52,$K566/$L566),Keys!$C$51)</f>
        <v>0.9236127856817512</v>
      </c>
      <c r="N566" s="11">
        <f>IF($E566=Keys!$C$60,Keys!$C$51,IF($E566=Keys!$C$59,$D566,$M566))</f>
        <v>1</v>
      </c>
      <c r="O566">
        <f t="shared" si="34"/>
        <v>0</v>
      </c>
      <c r="P566" s="10">
        <f>IF($E566=Keys!$C$60,Keys!$C$51,INDEX(Raw_BFPIaE!$G$9:$G$3032,MATCH($A566&amp;Keys!$C$54&amp;Keys!$C$55&amp;Keys!$C$54&amp;$B566,Raw_BFPIaE!$H$9:$H$3032,0)))</f>
        <v>7388326666666.667</v>
      </c>
      <c r="Q566" s="10">
        <f>IF($E566=Keys!$C$60,Keys!$C$51,INDEX(Raw_BFPIaE!$G$9:$G$3032,MATCH($A566&amp;Keys!$C$54&amp;Keys!$C$56&amp;Keys!$C$54&amp;$B566,Raw_BFPIaE!$H$9:$H$3032,0)))</f>
        <v>0</v>
      </c>
      <c r="R566" s="10">
        <f>IF($E566=Keys!$C$60,Keys!$C$51,INDEX(Raw_BFPIaE!$G$9:$G$3032,MATCH($A566&amp;Keys!$C$54&amp;Keys!$C$57&amp;Keys!$C$54&amp;$B566,Raw_BFPIaE!$H$9:$H$3032,0)))</f>
        <v>4528060000000</v>
      </c>
      <c r="S566" s="11">
        <f>IF(($P566+$Q566-$R566+MAX(Keys!$C$51,$R566-$Q566))&gt;Keys!$C$51,MIN(Keys!$C$52,MAX(Keys!$C$51,$R566-$Q566)/($P566+$Q566-$R566+MAX(Keys!$C$51,$R566-$Q566))),Keys!$C$51)</f>
        <v>0.6128667835477406</v>
      </c>
      <c r="T566">
        <f>IF(AND($I566&gt;$H566,ABS($L566-$G566)&gt;MAX(Keys!$C$62,ABS($G566)*Keys!$C$63)),1,0)</f>
        <v>0</v>
      </c>
      <c r="U566">
        <f>IF(OR($N566&lt;Keys!$C$51,$N566&gt;Keys!$C$52),1,0)</f>
        <v>0</v>
      </c>
      <c r="V566">
        <f>IF(AND($E566=Keys!$C$60,$N566&lt;&gt;Keys!$C$51),1,0)</f>
        <v>0</v>
      </c>
      <c r="W566">
        <f>IF($L566&gt;Keys!$C$51,IF($K566/$L566&gt;Keys!$C$52,1,0),0)</f>
        <v>0</v>
      </c>
      <c r="X566" s="11">
        <f t="shared" si="35"/>
        <v>0.3107460021340106</v>
      </c>
    </row>
    <row r="567" spans="1:24" x14ac:dyDescent="0.25">
      <c r="A567" t="s">
        <v>135</v>
      </c>
      <c r="B567" t="s">
        <v>113</v>
      </c>
      <c r="C567" t="str">
        <f>VLOOKUP($B567,Keys!$F$2:$I$22,2,FALSE)</f>
        <v>heavy or residual fuel oil</v>
      </c>
      <c r="D567">
        <f>VLOOKUP($B567,Keys!$F$2:$I$22,3,FALSE)</f>
        <v>0.49914171099999999</v>
      </c>
      <c r="E567" t="str">
        <f>VLOOKUP($B567,Keys!$F$2:$I$22,4,FALSE)</f>
        <v>rule</v>
      </c>
      <c r="F567" t="str">
        <f>$A567&amp;Keys!$C$54&amp;$B567</f>
        <v>NE|heavy fuel oil</v>
      </c>
      <c r="G567" s="10">
        <f>IF($E567=Keys!$C$60,Keys!$C$51,INDEX(Balanced_2025!$D$9:$D$3032,MATCH($A567&amp;Keys!$C$54&amp;Keys!$C$55&amp;Keys!$C$54&amp;$C567,Balanced_2025!$E$9:$E$3032,0)))</f>
        <v>0</v>
      </c>
      <c r="H567" s="10">
        <f>IF($E567=Keys!$C$60,Keys!$C$51,INDEX(Balanced_2025!$D$9:$D$3032,MATCH($A567&amp;Keys!$C$54&amp;Keys!$C$56&amp;Keys!$C$54&amp;$C567,Balanced_2025!$E$9:$E$3032,0)))</f>
        <v>5622380000000</v>
      </c>
      <c r="I567" s="10">
        <f>IF($E567=Keys!$C$60,Keys!$C$51,INDEX(Balanced_2025!$D$9:$D$3032,MATCH($A567&amp;Keys!$C$54&amp;Keys!$C$57&amp;Keys!$C$54&amp;$C567,Balanced_2025!$E$9:$E$3032,0)))</f>
        <v>0</v>
      </c>
      <c r="J567" s="10">
        <f t="shared" si="32"/>
        <v>5622380000000</v>
      </c>
      <c r="K567" s="10">
        <f>MAX(Keys!$C$51,$I567-$H567)</f>
        <v>0</v>
      </c>
      <c r="L567" s="10">
        <f t="shared" si="33"/>
        <v>5622380000000</v>
      </c>
      <c r="M567" s="11">
        <f>IF($L567&gt;Keys!$C$51,MIN(Keys!$C$52,$K567/$L567),Keys!$C$51)</f>
        <v>0</v>
      </c>
      <c r="N567" s="11">
        <f>IF($E567=Keys!$C$60,Keys!$C$51,IF($E567=Keys!$C$59,$D567,$M567))</f>
        <v>0</v>
      </c>
      <c r="O567">
        <f t="shared" si="34"/>
        <v>1</v>
      </c>
      <c r="P567" s="10">
        <f>IF($E567=Keys!$C$60,Keys!$C$51,INDEX(Raw_BFPIaE!$G$9:$G$3032,MATCH($A567&amp;Keys!$C$54&amp;Keys!$C$55&amp;Keys!$C$54&amp;$B567,Raw_BFPIaE!$H$9:$H$3032,0)))</f>
        <v>0</v>
      </c>
      <c r="Q567" s="10">
        <f>IF($E567=Keys!$C$60,Keys!$C$51,INDEX(Raw_BFPIaE!$G$9:$G$3032,MATCH($A567&amp;Keys!$C$54&amp;Keys!$C$56&amp;Keys!$C$54&amp;$B567,Raw_BFPIaE!$H$9:$H$3032,0)))</f>
        <v>3788413333333.3335</v>
      </c>
      <c r="R567" s="10">
        <f>IF($E567=Keys!$C$60,Keys!$C$51,INDEX(Raw_BFPIaE!$G$9:$G$3032,MATCH($A567&amp;Keys!$C$54&amp;Keys!$C$57&amp;Keys!$C$54&amp;$B567,Raw_BFPIaE!$H$9:$H$3032,0)))</f>
        <v>0</v>
      </c>
      <c r="S567" s="11">
        <f>IF(($P567+$Q567-$R567+MAX(Keys!$C$51,$R567-$Q567))&gt;Keys!$C$51,MIN(Keys!$C$52,MAX(Keys!$C$51,$R567-$Q567)/($P567+$Q567-$R567+MAX(Keys!$C$51,$R567-$Q567))),Keys!$C$51)</f>
        <v>0</v>
      </c>
      <c r="T567">
        <f>IF(AND($I567&gt;$H567,ABS($L567-$G567)&gt;MAX(Keys!$C$62,ABS($G567)*Keys!$C$63)),1,0)</f>
        <v>0</v>
      </c>
      <c r="U567">
        <f>IF(OR($N567&lt;Keys!$C$51,$N567&gt;Keys!$C$52),1,0)</f>
        <v>0</v>
      </c>
      <c r="V567">
        <f>IF(AND($E567=Keys!$C$60,$N567&lt;&gt;Keys!$C$51),1,0)</f>
        <v>0</v>
      </c>
      <c r="W567">
        <f>IF($L567&gt;Keys!$C$51,IF($K567/$L567&gt;Keys!$C$52,1,0),0)</f>
        <v>0</v>
      </c>
      <c r="X567" s="11">
        <f t="shared" si="35"/>
        <v>0</v>
      </c>
    </row>
    <row r="568" spans="1:24" x14ac:dyDescent="0.25">
      <c r="A568" t="s">
        <v>135</v>
      </c>
      <c r="B568" t="s">
        <v>117</v>
      </c>
      <c r="C568" t="str">
        <f>VLOOKUP($B568,Keys!$F$2:$I$22,2,FALSE)</f>
        <v>LPG propane or butane</v>
      </c>
      <c r="D568">
        <f>VLOOKUP($B568,Keys!$F$2:$I$22,3,FALSE)</f>
        <v>0.54955999499999997</v>
      </c>
      <c r="E568" t="str">
        <f>VLOOKUP($B568,Keys!$F$2:$I$22,4,FALSE)</f>
        <v>rule</v>
      </c>
      <c r="F568" t="str">
        <f>$A568&amp;Keys!$C$54&amp;$B568</f>
        <v>NE|LPG propane or butane</v>
      </c>
      <c r="G568" s="10">
        <f>IF($E568=Keys!$C$60,Keys!$C$51,INDEX(Balanced_2025!$D$9:$D$3032,MATCH($A568&amp;Keys!$C$54&amp;Keys!$C$55&amp;Keys!$C$54&amp;$C568,Balanced_2025!$E$9:$E$3032,0)))</f>
        <v>33087700000</v>
      </c>
      <c r="H568" s="10">
        <f>IF($E568=Keys!$C$60,Keys!$C$51,INDEX(Balanced_2025!$D$9:$D$3032,MATCH($A568&amp;Keys!$C$54&amp;Keys!$C$56&amp;Keys!$C$54&amp;$C568,Balanced_2025!$E$9:$E$3032,0)))</f>
        <v>6964710000000</v>
      </c>
      <c r="I568" s="10">
        <f>IF($E568=Keys!$C$60,Keys!$C$51,INDEX(Balanced_2025!$D$9:$D$3032,MATCH($A568&amp;Keys!$C$54&amp;Keys!$C$57&amp;Keys!$C$54&amp;$C568,Balanced_2025!$E$9:$E$3032,0)))</f>
        <v>0</v>
      </c>
      <c r="J568" s="10">
        <f t="shared" si="32"/>
        <v>6997797700000</v>
      </c>
      <c r="K568" s="10">
        <f>MAX(Keys!$C$51,$I568-$H568)</f>
        <v>0</v>
      </c>
      <c r="L568" s="10">
        <f t="shared" si="33"/>
        <v>6997797700000</v>
      </c>
      <c r="M568" s="11">
        <f>IF($L568&gt;Keys!$C$51,MIN(Keys!$C$52,$K568/$L568),Keys!$C$51)</f>
        <v>0</v>
      </c>
      <c r="N568" s="11">
        <f>IF($E568=Keys!$C$60,Keys!$C$51,IF($E568=Keys!$C$59,$D568,$M568))</f>
        <v>0</v>
      </c>
      <c r="O568">
        <f t="shared" si="34"/>
        <v>1</v>
      </c>
      <c r="P568" s="10">
        <f>IF($E568=Keys!$C$60,Keys!$C$51,INDEX(Raw_BFPIaE!$G$9:$G$3032,MATCH($A568&amp;Keys!$C$54&amp;Keys!$C$55&amp;Keys!$C$54&amp;$B568,Raw_BFPIaE!$H$9:$H$3032,0)))</f>
        <v>33321900000</v>
      </c>
      <c r="Q568" s="10">
        <f>IF($E568=Keys!$C$60,Keys!$C$51,INDEX(Raw_BFPIaE!$G$9:$G$3032,MATCH($A568&amp;Keys!$C$54&amp;Keys!$C$56&amp;Keys!$C$54&amp;$B568,Raw_BFPIaE!$H$9:$H$3032,0)))</f>
        <v>4627086666666.667</v>
      </c>
      <c r="R568" s="10">
        <f>IF($E568=Keys!$C$60,Keys!$C$51,INDEX(Raw_BFPIaE!$G$9:$G$3032,MATCH($A568&amp;Keys!$C$54&amp;Keys!$C$57&amp;Keys!$C$54&amp;$B568,Raw_BFPIaE!$H$9:$H$3032,0)))</f>
        <v>0</v>
      </c>
      <c r="S568" s="11">
        <f>IF(($P568+$Q568-$R568+MAX(Keys!$C$51,$R568-$Q568))&gt;Keys!$C$51,MIN(Keys!$C$52,MAX(Keys!$C$51,$R568-$Q568)/($P568+$Q568-$R568+MAX(Keys!$C$51,$R568-$Q568))),Keys!$C$51)</f>
        <v>0</v>
      </c>
      <c r="T568">
        <f>IF(AND($I568&gt;$H568,ABS($L568-$G568)&gt;MAX(Keys!$C$62,ABS($G568)*Keys!$C$63)),1,0)</f>
        <v>0</v>
      </c>
      <c r="U568">
        <f>IF(OR($N568&lt;Keys!$C$51,$N568&gt;Keys!$C$52),1,0)</f>
        <v>0</v>
      </c>
      <c r="V568">
        <f>IF(AND($E568=Keys!$C$60,$N568&lt;&gt;Keys!$C$51),1,0)</f>
        <v>0</v>
      </c>
      <c r="W568">
        <f>IF($L568&gt;Keys!$C$51,IF($K568/$L568&gt;Keys!$C$52,1,0),0)</f>
        <v>0</v>
      </c>
      <c r="X568" s="11">
        <f t="shared" si="35"/>
        <v>0</v>
      </c>
    </row>
    <row r="569" spans="1:24" x14ac:dyDescent="0.25">
      <c r="A569" t="s">
        <v>135</v>
      </c>
      <c r="B569" t="s">
        <v>120</v>
      </c>
      <c r="C569">
        <f>VLOOKUP($B569,Keys!$F$2:$I$22,2,FALSE)</f>
        <v>0</v>
      </c>
      <c r="D569">
        <f>VLOOKUP($B569,Keys!$F$2:$I$22,3,FALSE)</f>
        <v>0</v>
      </c>
      <c r="E569" t="str">
        <f>VLOOKUP($B569,Keys!$F$2:$I$22,4,FALSE)</f>
        <v>zero</v>
      </c>
      <c r="F569" t="str">
        <f>$A569&amp;Keys!$C$54&amp;$B569</f>
        <v>NE|municipal solid waste</v>
      </c>
      <c r="G569" s="10">
        <f>IF($E569=Keys!$C$60,Keys!$C$51,INDEX(Balanced_2025!$D$9:$D$3032,MATCH($A569&amp;Keys!$C$54&amp;Keys!$C$55&amp;Keys!$C$54&amp;$C569,Balanced_2025!$E$9:$E$3032,0)))</f>
        <v>0</v>
      </c>
      <c r="H569" s="10">
        <f>IF($E569=Keys!$C$60,Keys!$C$51,INDEX(Balanced_2025!$D$9:$D$3032,MATCH($A569&amp;Keys!$C$54&amp;Keys!$C$56&amp;Keys!$C$54&amp;$C569,Balanced_2025!$E$9:$E$3032,0)))</f>
        <v>0</v>
      </c>
      <c r="I569" s="10">
        <f>IF($E569=Keys!$C$60,Keys!$C$51,INDEX(Balanced_2025!$D$9:$D$3032,MATCH($A569&amp;Keys!$C$54&amp;Keys!$C$57&amp;Keys!$C$54&amp;$C569,Balanced_2025!$E$9:$E$3032,0)))</f>
        <v>0</v>
      </c>
      <c r="J569" s="10">
        <f t="shared" si="32"/>
        <v>0</v>
      </c>
      <c r="K569" s="10">
        <f>MAX(Keys!$C$51,$I569-$H569)</f>
        <v>0</v>
      </c>
      <c r="L569" s="10">
        <f t="shared" si="33"/>
        <v>0</v>
      </c>
      <c r="M569" s="11">
        <f>IF($L569&gt;Keys!$C$51,MIN(Keys!$C$52,$K569/$L569),Keys!$C$51)</f>
        <v>0</v>
      </c>
      <c r="N569" s="11">
        <f>IF($E569=Keys!$C$60,Keys!$C$51,IF($E569=Keys!$C$59,$D569,$M569))</f>
        <v>0</v>
      </c>
      <c r="O569">
        <f t="shared" si="34"/>
        <v>0</v>
      </c>
      <c r="P569" s="10">
        <f>IF($E569=Keys!$C$60,Keys!$C$51,INDEX(Raw_BFPIaE!$G$9:$G$3032,MATCH($A569&amp;Keys!$C$54&amp;Keys!$C$55&amp;Keys!$C$54&amp;$B569,Raw_BFPIaE!$H$9:$H$3032,0)))</f>
        <v>0</v>
      </c>
      <c r="Q569" s="10">
        <f>IF($E569=Keys!$C$60,Keys!$C$51,INDEX(Raw_BFPIaE!$G$9:$G$3032,MATCH($A569&amp;Keys!$C$54&amp;Keys!$C$56&amp;Keys!$C$54&amp;$B569,Raw_BFPIaE!$H$9:$H$3032,0)))</f>
        <v>0</v>
      </c>
      <c r="R569" s="10">
        <f>IF($E569=Keys!$C$60,Keys!$C$51,INDEX(Raw_BFPIaE!$G$9:$G$3032,MATCH($A569&amp;Keys!$C$54&amp;Keys!$C$57&amp;Keys!$C$54&amp;$B569,Raw_BFPIaE!$H$9:$H$3032,0)))</f>
        <v>0</v>
      </c>
      <c r="S569" s="11">
        <f>IF(($P569+$Q569-$R569+MAX(Keys!$C$51,$R569-$Q569))&gt;Keys!$C$51,MIN(Keys!$C$52,MAX(Keys!$C$51,$R569-$Q569)/($P569+$Q569-$R569+MAX(Keys!$C$51,$R569-$Q569))),Keys!$C$51)</f>
        <v>0</v>
      </c>
      <c r="T569">
        <f>IF(AND($I569&gt;$H569,ABS($L569-$G569)&gt;MAX(Keys!$C$62,ABS($G569)*Keys!$C$63)),1,0)</f>
        <v>0</v>
      </c>
      <c r="U569">
        <f>IF(OR($N569&lt;Keys!$C$51,$N569&gt;Keys!$C$52),1,0)</f>
        <v>0</v>
      </c>
      <c r="V569">
        <f>IF(AND($E569=Keys!$C$60,$N569&lt;&gt;Keys!$C$51),1,0)</f>
        <v>0</v>
      </c>
      <c r="W569">
        <f>IF($L569&gt;Keys!$C$51,IF($K569/$L569&gt;Keys!$C$52,1,0),0)</f>
        <v>0</v>
      </c>
      <c r="X569" s="11">
        <f t="shared" si="35"/>
        <v>0</v>
      </c>
    </row>
    <row r="570" spans="1:24" x14ac:dyDescent="0.25">
      <c r="A570" t="s">
        <v>135</v>
      </c>
      <c r="B570" t="s">
        <v>123</v>
      </c>
      <c r="C570">
        <f>VLOOKUP($B570,Keys!$F$2:$I$22,2,FALSE)</f>
        <v>0</v>
      </c>
      <c r="D570">
        <f>VLOOKUP($B570,Keys!$F$2:$I$22,3,FALSE)</f>
        <v>0</v>
      </c>
      <c r="E570" t="str">
        <f>VLOOKUP($B570,Keys!$F$2:$I$22,4,FALSE)</f>
        <v>zero</v>
      </c>
      <c r="F570" t="str">
        <f>$A570&amp;Keys!$C$54&amp;$B570</f>
        <v>NE|hydrogen</v>
      </c>
      <c r="G570" s="10">
        <f>IF($E570=Keys!$C$60,Keys!$C$51,INDEX(Balanced_2025!$D$9:$D$3032,MATCH($A570&amp;Keys!$C$54&amp;Keys!$C$55&amp;Keys!$C$54&amp;$C570,Balanced_2025!$E$9:$E$3032,0)))</f>
        <v>0</v>
      </c>
      <c r="H570" s="10">
        <f>IF($E570=Keys!$C$60,Keys!$C$51,INDEX(Balanced_2025!$D$9:$D$3032,MATCH($A570&amp;Keys!$C$54&amp;Keys!$C$56&amp;Keys!$C$54&amp;$C570,Balanced_2025!$E$9:$E$3032,0)))</f>
        <v>0</v>
      </c>
      <c r="I570" s="10">
        <f>IF($E570=Keys!$C$60,Keys!$C$51,INDEX(Balanced_2025!$D$9:$D$3032,MATCH($A570&amp;Keys!$C$54&amp;Keys!$C$57&amp;Keys!$C$54&amp;$C570,Balanced_2025!$E$9:$E$3032,0)))</f>
        <v>0</v>
      </c>
      <c r="J570" s="10">
        <f t="shared" si="32"/>
        <v>0</v>
      </c>
      <c r="K570" s="10">
        <f>MAX(Keys!$C$51,$I570-$H570)</f>
        <v>0</v>
      </c>
      <c r="L570" s="10">
        <f t="shared" si="33"/>
        <v>0</v>
      </c>
      <c r="M570" s="11">
        <f>IF($L570&gt;Keys!$C$51,MIN(Keys!$C$52,$K570/$L570),Keys!$C$51)</f>
        <v>0</v>
      </c>
      <c r="N570" s="11">
        <f>IF($E570=Keys!$C$60,Keys!$C$51,IF($E570=Keys!$C$59,$D570,$M570))</f>
        <v>0</v>
      </c>
      <c r="O570">
        <f t="shared" si="34"/>
        <v>0</v>
      </c>
      <c r="P570" s="10">
        <f>IF($E570=Keys!$C$60,Keys!$C$51,INDEX(Raw_BFPIaE!$G$9:$G$3032,MATCH($A570&amp;Keys!$C$54&amp;Keys!$C$55&amp;Keys!$C$54&amp;$B570,Raw_BFPIaE!$H$9:$H$3032,0)))</f>
        <v>0</v>
      </c>
      <c r="Q570" s="10">
        <f>IF($E570=Keys!$C$60,Keys!$C$51,INDEX(Raw_BFPIaE!$G$9:$G$3032,MATCH($A570&amp;Keys!$C$54&amp;Keys!$C$56&amp;Keys!$C$54&amp;$B570,Raw_BFPIaE!$H$9:$H$3032,0)))</f>
        <v>0</v>
      </c>
      <c r="R570" s="10">
        <f>IF($E570=Keys!$C$60,Keys!$C$51,INDEX(Raw_BFPIaE!$G$9:$G$3032,MATCH($A570&amp;Keys!$C$54&amp;Keys!$C$57&amp;Keys!$C$54&amp;$B570,Raw_BFPIaE!$H$9:$H$3032,0)))</f>
        <v>0</v>
      </c>
      <c r="S570" s="11">
        <f>IF(($P570+$Q570-$R570+MAX(Keys!$C$51,$R570-$Q570))&gt;Keys!$C$51,MIN(Keys!$C$52,MAX(Keys!$C$51,$R570-$Q570)/($P570+$Q570-$R570+MAX(Keys!$C$51,$R570-$Q570))),Keys!$C$51)</f>
        <v>0</v>
      </c>
      <c r="T570">
        <f>IF(AND($I570&gt;$H570,ABS($L570-$G570)&gt;MAX(Keys!$C$62,ABS($G570)*Keys!$C$63)),1,0)</f>
        <v>0</v>
      </c>
      <c r="U570">
        <f>IF(OR($N570&lt;Keys!$C$51,$N570&gt;Keys!$C$52),1,0)</f>
        <v>0</v>
      </c>
      <c r="V570">
        <f>IF(AND($E570=Keys!$C$60,$N570&lt;&gt;Keys!$C$51),1,0)</f>
        <v>0</v>
      </c>
      <c r="W570">
        <f>IF($L570&gt;Keys!$C$51,IF($K570/$L570&gt;Keys!$C$52,1,0),0)</f>
        <v>0</v>
      </c>
      <c r="X570" s="11">
        <f t="shared" si="35"/>
        <v>0</v>
      </c>
    </row>
    <row r="571" spans="1:24" x14ac:dyDescent="0.25">
      <c r="A571" t="s">
        <v>137</v>
      </c>
      <c r="B571" t="s">
        <v>60</v>
      </c>
      <c r="C571">
        <f>VLOOKUP($B571,Keys!$F$2:$I$22,2,FALSE)</f>
        <v>0</v>
      </c>
      <c r="D571">
        <f>VLOOKUP($B571,Keys!$F$2:$I$22,3,FALSE)</f>
        <v>0</v>
      </c>
      <c r="E571" t="str">
        <f>VLOOKUP($B571,Keys!$F$2:$I$22,4,FALSE)</f>
        <v>zero</v>
      </c>
      <c r="F571" t="str">
        <f>$A571&amp;Keys!$C$54&amp;$B571</f>
        <v>NH|electricity (not used in this variable)</v>
      </c>
      <c r="G571" s="10">
        <f>IF($E571=Keys!$C$60,Keys!$C$51,INDEX(Balanced_2025!$D$9:$D$3032,MATCH($A571&amp;Keys!$C$54&amp;Keys!$C$55&amp;Keys!$C$54&amp;$C571,Balanced_2025!$E$9:$E$3032,0)))</f>
        <v>0</v>
      </c>
      <c r="H571" s="10">
        <f>IF($E571=Keys!$C$60,Keys!$C$51,INDEX(Balanced_2025!$D$9:$D$3032,MATCH($A571&amp;Keys!$C$54&amp;Keys!$C$56&amp;Keys!$C$54&amp;$C571,Balanced_2025!$E$9:$E$3032,0)))</f>
        <v>0</v>
      </c>
      <c r="I571" s="10">
        <f>IF($E571=Keys!$C$60,Keys!$C$51,INDEX(Balanced_2025!$D$9:$D$3032,MATCH($A571&amp;Keys!$C$54&amp;Keys!$C$57&amp;Keys!$C$54&amp;$C571,Balanced_2025!$E$9:$E$3032,0)))</f>
        <v>0</v>
      </c>
      <c r="J571" s="10">
        <f t="shared" si="32"/>
        <v>0</v>
      </c>
      <c r="K571" s="10">
        <f>MAX(Keys!$C$51,$I571-$H571)</f>
        <v>0</v>
      </c>
      <c r="L571" s="10">
        <f t="shared" si="33"/>
        <v>0</v>
      </c>
      <c r="M571" s="11">
        <f>IF($L571&gt;Keys!$C$51,MIN(Keys!$C$52,$K571/$L571),Keys!$C$51)</f>
        <v>0</v>
      </c>
      <c r="N571" s="11">
        <f>IF($E571=Keys!$C$60,Keys!$C$51,IF($E571=Keys!$C$59,$D571,$M571))</f>
        <v>0</v>
      </c>
      <c r="O571">
        <f t="shared" si="34"/>
        <v>0</v>
      </c>
      <c r="P571" s="10">
        <f>IF($E571=Keys!$C$60,Keys!$C$51,INDEX(Raw_BFPIaE!$G$9:$G$3032,MATCH($A571&amp;Keys!$C$54&amp;Keys!$C$55&amp;Keys!$C$54&amp;$B571,Raw_BFPIaE!$H$9:$H$3032,0)))</f>
        <v>0</v>
      </c>
      <c r="Q571" s="10">
        <f>IF($E571=Keys!$C$60,Keys!$C$51,INDEX(Raw_BFPIaE!$G$9:$G$3032,MATCH($A571&amp;Keys!$C$54&amp;Keys!$C$56&amp;Keys!$C$54&amp;$B571,Raw_BFPIaE!$H$9:$H$3032,0)))</f>
        <v>0</v>
      </c>
      <c r="R571" s="10">
        <f>IF($E571=Keys!$C$60,Keys!$C$51,INDEX(Raw_BFPIaE!$G$9:$G$3032,MATCH($A571&amp;Keys!$C$54&amp;Keys!$C$57&amp;Keys!$C$54&amp;$B571,Raw_BFPIaE!$H$9:$H$3032,0)))</f>
        <v>0</v>
      </c>
      <c r="S571" s="11">
        <f>IF(($P571+$Q571-$R571+MAX(Keys!$C$51,$R571-$Q571))&gt;Keys!$C$51,MIN(Keys!$C$52,MAX(Keys!$C$51,$R571-$Q571)/($P571+$Q571-$R571+MAX(Keys!$C$51,$R571-$Q571))),Keys!$C$51)</f>
        <v>0</v>
      </c>
      <c r="T571">
        <f>IF(AND($I571&gt;$H571,ABS($L571-$G571)&gt;MAX(Keys!$C$62,ABS($G571)*Keys!$C$63)),1,0)</f>
        <v>0</v>
      </c>
      <c r="U571">
        <f>IF(OR($N571&lt;Keys!$C$51,$N571&gt;Keys!$C$52),1,0)</f>
        <v>0</v>
      </c>
      <c r="V571">
        <f>IF(AND($E571=Keys!$C$60,$N571&lt;&gt;Keys!$C$51),1,0)</f>
        <v>0</v>
      </c>
      <c r="W571">
        <f>IF($L571&gt;Keys!$C$51,IF($K571/$L571&gt;Keys!$C$52,1,0),0)</f>
        <v>0</v>
      </c>
      <c r="X571" s="11">
        <f t="shared" si="35"/>
        <v>0</v>
      </c>
    </row>
    <row r="572" spans="1:24" x14ac:dyDescent="0.25">
      <c r="A572" t="s">
        <v>137</v>
      </c>
      <c r="B572" t="s">
        <v>64</v>
      </c>
      <c r="C572" t="str">
        <f>VLOOKUP($B572,Keys!$F$2:$I$22,2,FALSE)</f>
        <v>hard coal</v>
      </c>
      <c r="D572">
        <f>VLOOKUP($B572,Keys!$F$2:$I$22,3,FALSE)</f>
        <v>0.137539879</v>
      </c>
      <c r="E572" t="str">
        <f>VLOOKUP($B572,Keys!$F$2:$I$22,4,FALSE)</f>
        <v>rule</v>
      </c>
      <c r="F572" t="str">
        <f>$A572&amp;Keys!$C$54&amp;$B572</f>
        <v>NH|hard coal</v>
      </c>
      <c r="G572" s="10">
        <f>IF($E572=Keys!$C$60,Keys!$C$51,INDEX(Balanced_2025!$D$9:$D$3032,MATCH($A572&amp;Keys!$C$54&amp;Keys!$C$55&amp;Keys!$C$54&amp;$C572,Balanced_2025!$E$9:$E$3032,0)))</f>
        <v>0</v>
      </c>
      <c r="H572" s="10">
        <f>IF($E572=Keys!$C$60,Keys!$C$51,INDEX(Balanced_2025!$D$9:$D$3032,MATCH($A572&amp;Keys!$C$54&amp;Keys!$C$56&amp;Keys!$C$54&amp;$C572,Balanced_2025!$E$9:$E$3032,0)))</f>
        <v>10074300000000</v>
      </c>
      <c r="I572" s="10">
        <f>IF($E572=Keys!$C$60,Keys!$C$51,INDEX(Balanced_2025!$D$9:$D$3032,MATCH($A572&amp;Keys!$C$54&amp;Keys!$C$57&amp;Keys!$C$54&amp;$C572,Balanced_2025!$E$9:$E$3032,0)))</f>
        <v>0</v>
      </c>
      <c r="J572" s="10">
        <f t="shared" si="32"/>
        <v>10074300000000</v>
      </c>
      <c r="K572" s="10">
        <f>MAX(Keys!$C$51,$I572-$H572)</f>
        <v>0</v>
      </c>
      <c r="L572" s="10">
        <f t="shared" si="33"/>
        <v>10074300000000</v>
      </c>
      <c r="M572" s="11">
        <f>IF($L572&gt;Keys!$C$51,MIN(Keys!$C$52,$K572/$L572),Keys!$C$51)</f>
        <v>0</v>
      </c>
      <c r="N572" s="11">
        <f>IF($E572=Keys!$C$60,Keys!$C$51,IF($E572=Keys!$C$59,$D572,$M572))</f>
        <v>0</v>
      </c>
      <c r="O572">
        <f t="shared" si="34"/>
        <v>1</v>
      </c>
      <c r="P572" s="10">
        <f>IF($E572=Keys!$C$60,Keys!$C$51,INDEX(Raw_BFPIaE!$G$9:$G$3032,MATCH($A572&amp;Keys!$C$54&amp;Keys!$C$55&amp;Keys!$C$54&amp;$B572,Raw_BFPIaE!$H$9:$H$3032,0)))</f>
        <v>0</v>
      </c>
      <c r="Q572" s="10">
        <f>IF($E572=Keys!$C$60,Keys!$C$51,INDEX(Raw_BFPIaE!$G$9:$G$3032,MATCH($A572&amp;Keys!$C$54&amp;Keys!$C$56&amp;Keys!$C$54&amp;$B572,Raw_BFPIaE!$H$9:$H$3032,0)))</f>
        <v>3748790000000</v>
      </c>
      <c r="R572" s="10">
        <f>IF($E572=Keys!$C$60,Keys!$C$51,INDEX(Raw_BFPIaE!$G$9:$G$3032,MATCH($A572&amp;Keys!$C$54&amp;Keys!$C$57&amp;Keys!$C$54&amp;$B572,Raw_BFPIaE!$H$9:$H$3032,0)))</f>
        <v>0</v>
      </c>
      <c r="S572" s="11">
        <f>IF(($P572+$Q572-$R572+MAX(Keys!$C$51,$R572-$Q572))&gt;Keys!$C$51,MIN(Keys!$C$52,MAX(Keys!$C$51,$R572-$Q572)/($P572+$Q572-$R572+MAX(Keys!$C$51,$R572-$Q572))),Keys!$C$51)</f>
        <v>0</v>
      </c>
      <c r="T572">
        <f>IF(AND($I572&gt;$H572,ABS($L572-$G572)&gt;MAX(Keys!$C$62,ABS($G572)*Keys!$C$63)),1,0)</f>
        <v>0</v>
      </c>
      <c r="U572">
        <f>IF(OR($N572&lt;Keys!$C$51,$N572&gt;Keys!$C$52),1,0)</f>
        <v>0</v>
      </c>
      <c r="V572">
        <f>IF(AND($E572=Keys!$C$60,$N572&lt;&gt;Keys!$C$51),1,0)</f>
        <v>0</v>
      </c>
      <c r="W572">
        <f>IF($L572&gt;Keys!$C$51,IF($K572/$L572&gt;Keys!$C$52,1,0),0)</f>
        <v>0</v>
      </c>
      <c r="X572" s="11">
        <f t="shared" si="35"/>
        <v>0</v>
      </c>
    </row>
    <row r="573" spans="1:24" x14ac:dyDescent="0.25">
      <c r="A573" t="s">
        <v>137</v>
      </c>
      <c r="B573" t="s">
        <v>68</v>
      </c>
      <c r="C573" t="str">
        <f>VLOOKUP($B573,Keys!$F$2:$I$22,2,FALSE)</f>
        <v>natural gas</v>
      </c>
      <c r="D573">
        <f>VLOOKUP($B573,Keys!$F$2:$I$22,3,FALSE)</f>
        <v>0.190839183</v>
      </c>
      <c r="E573" t="str">
        <f>VLOOKUP($B573,Keys!$F$2:$I$22,4,FALSE)</f>
        <v>rule</v>
      </c>
      <c r="F573" t="str">
        <f>$A573&amp;Keys!$C$54&amp;$B573</f>
        <v>NH|natural gas</v>
      </c>
      <c r="G573" s="10">
        <f>IF($E573=Keys!$C$60,Keys!$C$51,INDEX(Balanced_2025!$D$9:$D$3032,MATCH($A573&amp;Keys!$C$54&amp;Keys!$C$55&amp;Keys!$C$54&amp;$C573,Balanced_2025!$E$9:$E$3032,0)))</f>
        <v>0</v>
      </c>
      <c r="H573" s="10">
        <f>IF($E573=Keys!$C$60,Keys!$C$51,INDEX(Balanced_2025!$D$9:$D$3032,MATCH($A573&amp;Keys!$C$54&amp;Keys!$C$56&amp;Keys!$C$54&amp;$C573,Balanced_2025!$E$9:$E$3032,0)))</f>
        <v>403813000000000</v>
      </c>
      <c r="I573" s="10">
        <f>IF($E573=Keys!$C$60,Keys!$C$51,INDEX(Balanced_2025!$D$9:$D$3032,MATCH($A573&amp;Keys!$C$54&amp;Keys!$C$57&amp;Keys!$C$54&amp;$C573,Balanced_2025!$E$9:$E$3032,0)))</f>
        <v>343566000000000</v>
      </c>
      <c r="J573" s="10">
        <f t="shared" si="32"/>
        <v>60247000000000</v>
      </c>
      <c r="K573" s="10">
        <f>MAX(Keys!$C$51,$I573-$H573)</f>
        <v>0</v>
      </c>
      <c r="L573" s="10">
        <f t="shared" si="33"/>
        <v>60247000000000</v>
      </c>
      <c r="M573" s="11">
        <f>IF($L573&gt;Keys!$C$51,MIN(Keys!$C$52,$K573/$L573),Keys!$C$51)</f>
        <v>0</v>
      </c>
      <c r="N573" s="11">
        <f>IF($E573=Keys!$C$60,Keys!$C$51,IF($E573=Keys!$C$59,$D573,$M573))</f>
        <v>0</v>
      </c>
      <c r="O573">
        <f t="shared" si="34"/>
        <v>1</v>
      </c>
      <c r="P573" s="10">
        <f>IF($E573=Keys!$C$60,Keys!$C$51,INDEX(Raw_BFPIaE!$G$9:$G$3032,MATCH($A573&amp;Keys!$C$54&amp;Keys!$C$55&amp;Keys!$C$54&amp;$B573,Raw_BFPIaE!$H$9:$H$3032,0)))</f>
        <v>0</v>
      </c>
      <c r="Q573" s="10">
        <f>IF($E573=Keys!$C$60,Keys!$C$51,INDEX(Raw_BFPIaE!$G$9:$G$3032,MATCH($A573&amp;Keys!$C$54&amp;Keys!$C$56&amp;Keys!$C$54&amp;$B573,Raw_BFPIaE!$H$9:$H$3032,0)))</f>
        <v>398836333333333.31</v>
      </c>
      <c r="R573" s="10">
        <f>IF($E573=Keys!$C$60,Keys!$C$51,INDEX(Raw_BFPIaE!$G$9:$G$3032,MATCH($A573&amp;Keys!$C$54&amp;Keys!$C$57&amp;Keys!$C$54&amp;$B573,Raw_BFPIaE!$H$9:$H$3032,0)))</f>
        <v>343921666666666.69</v>
      </c>
      <c r="S573" s="11">
        <f>IF(($P573+$Q573-$R573+MAX(Keys!$C$51,$R573-$Q573))&gt;Keys!$C$51,MIN(Keys!$C$52,MAX(Keys!$C$51,$R573-$Q573)/($P573+$Q573-$R573+MAX(Keys!$C$51,$R573-$Q573))),Keys!$C$51)</f>
        <v>0</v>
      </c>
      <c r="T573">
        <f>IF(AND($I573&gt;$H573,ABS($L573-$G573)&gt;MAX(Keys!$C$62,ABS($G573)*Keys!$C$63)),1,0)</f>
        <v>0</v>
      </c>
      <c r="U573">
        <f>IF(OR($N573&lt;Keys!$C$51,$N573&gt;Keys!$C$52),1,0)</f>
        <v>0</v>
      </c>
      <c r="V573">
        <f>IF(AND($E573=Keys!$C$60,$N573&lt;&gt;Keys!$C$51),1,0)</f>
        <v>0</v>
      </c>
      <c r="W573">
        <f>IF($L573&gt;Keys!$C$51,IF($K573/$L573&gt;Keys!$C$52,1,0),0)</f>
        <v>0</v>
      </c>
      <c r="X573" s="11">
        <f t="shared" si="35"/>
        <v>0</v>
      </c>
    </row>
    <row r="574" spans="1:24" x14ac:dyDescent="0.25">
      <c r="A574" t="s">
        <v>137</v>
      </c>
      <c r="B574" t="s">
        <v>71</v>
      </c>
      <c r="C574">
        <f>VLOOKUP($B574,Keys!$F$2:$I$22,2,FALSE)</f>
        <v>0</v>
      </c>
      <c r="D574">
        <f>VLOOKUP($B574,Keys!$F$2:$I$22,3,FALSE)</f>
        <v>0</v>
      </c>
      <c r="E574" t="str">
        <f>VLOOKUP($B574,Keys!$F$2:$I$22,4,FALSE)</f>
        <v>zero</v>
      </c>
      <c r="F574" t="str">
        <f>$A574&amp;Keys!$C$54&amp;$B574</f>
        <v>NH|nuclear</v>
      </c>
      <c r="G574" s="10">
        <f>IF($E574=Keys!$C$60,Keys!$C$51,INDEX(Balanced_2025!$D$9:$D$3032,MATCH($A574&amp;Keys!$C$54&amp;Keys!$C$55&amp;Keys!$C$54&amp;$C574,Balanced_2025!$E$9:$E$3032,0)))</f>
        <v>0</v>
      </c>
      <c r="H574" s="10">
        <f>IF($E574=Keys!$C$60,Keys!$C$51,INDEX(Balanced_2025!$D$9:$D$3032,MATCH($A574&amp;Keys!$C$54&amp;Keys!$C$56&amp;Keys!$C$54&amp;$C574,Balanced_2025!$E$9:$E$3032,0)))</f>
        <v>0</v>
      </c>
      <c r="I574" s="10">
        <f>IF($E574=Keys!$C$60,Keys!$C$51,INDEX(Balanced_2025!$D$9:$D$3032,MATCH($A574&amp;Keys!$C$54&amp;Keys!$C$57&amp;Keys!$C$54&amp;$C574,Balanced_2025!$E$9:$E$3032,0)))</f>
        <v>0</v>
      </c>
      <c r="J574" s="10">
        <f t="shared" si="32"/>
        <v>0</v>
      </c>
      <c r="K574" s="10">
        <f>MAX(Keys!$C$51,$I574-$H574)</f>
        <v>0</v>
      </c>
      <c r="L574" s="10">
        <f t="shared" si="33"/>
        <v>0</v>
      </c>
      <c r="M574" s="11">
        <f>IF($L574&gt;Keys!$C$51,MIN(Keys!$C$52,$K574/$L574),Keys!$C$51)</f>
        <v>0</v>
      </c>
      <c r="N574" s="11">
        <f>IF($E574=Keys!$C$60,Keys!$C$51,IF($E574=Keys!$C$59,$D574,$M574))</f>
        <v>0</v>
      </c>
      <c r="O574">
        <f t="shared" si="34"/>
        <v>0</v>
      </c>
      <c r="P574" s="10">
        <f>IF($E574=Keys!$C$60,Keys!$C$51,INDEX(Raw_BFPIaE!$G$9:$G$3032,MATCH($A574&amp;Keys!$C$54&amp;Keys!$C$55&amp;Keys!$C$54&amp;$B574,Raw_BFPIaE!$H$9:$H$3032,0)))</f>
        <v>0</v>
      </c>
      <c r="Q574" s="10">
        <f>IF($E574=Keys!$C$60,Keys!$C$51,INDEX(Raw_BFPIaE!$G$9:$G$3032,MATCH($A574&amp;Keys!$C$54&amp;Keys!$C$56&amp;Keys!$C$54&amp;$B574,Raw_BFPIaE!$H$9:$H$3032,0)))</f>
        <v>0</v>
      </c>
      <c r="R574" s="10">
        <f>IF($E574=Keys!$C$60,Keys!$C$51,INDEX(Raw_BFPIaE!$G$9:$G$3032,MATCH($A574&amp;Keys!$C$54&amp;Keys!$C$57&amp;Keys!$C$54&amp;$B574,Raw_BFPIaE!$H$9:$H$3032,0)))</f>
        <v>0</v>
      </c>
      <c r="S574" s="11">
        <f>IF(($P574+$Q574-$R574+MAX(Keys!$C$51,$R574-$Q574))&gt;Keys!$C$51,MIN(Keys!$C$52,MAX(Keys!$C$51,$R574-$Q574)/($P574+$Q574-$R574+MAX(Keys!$C$51,$R574-$Q574))),Keys!$C$51)</f>
        <v>0</v>
      </c>
      <c r="T574">
        <f>IF(AND($I574&gt;$H574,ABS($L574-$G574)&gt;MAX(Keys!$C$62,ABS($G574)*Keys!$C$63)),1,0)</f>
        <v>0</v>
      </c>
      <c r="U574">
        <f>IF(OR($N574&lt;Keys!$C$51,$N574&gt;Keys!$C$52),1,0)</f>
        <v>0</v>
      </c>
      <c r="V574">
        <f>IF(AND($E574=Keys!$C$60,$N574&lt;&gt;Keys!$C$51),1,0)</f>
        <v>0</v>
      </c>
      <c r="W574">
        <f>IF($L574&gt;Keys!$C$51,IF($K574/$L574&gt;Keys!$C$52,1,0),0)</f>
        <v>0</v>
      </c>
      <c r="X574" s="11">
        <f t="shared" si="35"/>
        <v>0</v>
      </c>
    </row>
    <row r="575" spans="1:24" x14ac:dyDescent="0.25">
      <c r="A575" t="s">
        <v>137</v>
      </c>
      <c r="B575" t="s">
        <v>74</v>
      </c>
      <c r="C575">
        <f>VLOOKUP($B575,Keys!$F$2:$I$22,2,FALSE)</f>
        <v>0</v>
      </c>
      <c r="D575">
        <f>VLOOKUP($B575,Keys!$F$2:$I$22,3,FALSE)</f>
        <v>0</v>
      </c>
      <c r="E575" t="str">
        <f>VLOOKUP($B575,Keys!$F$2:$I$22,4,FALSE)</f>
        <v>zero</v>
      </c>
      <c r="F575" t="str">
        <f>$A575&amp;Keys!$C$54&amp;$B575</f>
        <v>NH|hydro (is not a fuel)</v>
      </c>
      <c r="G575" s="10">
        <f>IF($E575=Keys!$C$60,Keys!$C$51,INDEX(Balanced_2025!$D$9:$D$3032,MATCH($A575&amp;Keys!$C$54&amp;Keys!$C$55&amp;Keys!$C$54&amp;$C575,Balanced_2025!$E$9:$E$3032,0)))</f>
        <v>0</v>
      </c>
      <c r="H575" s="10">
        <f>IF($E575=Keys!$C$60,Keys!$C$51,INDEX(Balanced_2025!$D$9:$D$3032,MATCH($A575&amp;Keys!$C$54&amp;Keys!$C$56&amp;Keys!$C$54&amp;$C575,Balanced_2025!$E$9:$E$3032,0)))</f>
        <v>0</v>
      </c>
      <c r="I575" s="10">
        <f>IF($E575=Keys!$C$60,Keys!$C$51,INDEX(Balanced_2025!$D$9:$D$3032,MATCH($A575&amp;Keys!$C$54&amp;Keys!$C$57&amp;Keys!$C$54&amp;$C575,Balanced_2025!$E$9:$E$3032,0)))</f>
        <v>0</v>
      </c>
      <c r="J575" s="10">
        <f t="shared" si="32"/>
        <v>0</v>
      </c>
      <c r="K575" s="10">
        <f>MAX(Keys!$C$51,$I575-$H575)</f>
        <v>0</v>
      </c>
      <c r="L575" s="10">
        <f t="shared" si="33"/>
        <v>0</v>
      </c>
      <c r="M575" s="11">
        <f>IF($L575&gt;Keys!$C$51,MIN(Keys!$C$52,$K575/$L575),Keys!$C$51)</f>
        <v>0</v>
      </c>
      <c r="N575" s="11">
        <f>IF($E575=Keys!$C$60,Keys!$C$51,IF($E575=Keys!$C$59,$D575,$M575))</f>
        <v>0</v>
      </c>
      <c r="O575">
        <f t="shared" si="34"/>
        <v>0</v>
      </c>
      <c r="P575" s="10">
        <f>IF($E575=Keys!$C$60,Keys!$C$51,INDEX(Raw_BFPIaE!$G$9:$G$3032,MATCH($A575&amp;Keys!$C$54&amp;Keys!$C$55&amp;Keys!$C$54&amp;$B575,Raw_BFPIaE!$H$9:$H$3032,0)))</f>
        <v>0</v>
      </c>
      <c r="Q575" s="10">
        <f>IF($E575=Keys!$C$60,Keys!$C$51,INDEX(Raw_BFPIaE!$G$9:$G$3032,MATCH($A575&amp;Keys!$C$54&amp;Keys!$C$56&amp;Keys!$C$54&amp;$B575,Raw_BFPIaE!$H$9:$H$3032,0)))</f>
        <v>0</v>
      </c>
      <c r="R575" s="10">
        <f>IF($E575=Keys!$C$60,Keys!$C$51,INDEX(Raw_BFPIaE!$G$9:$G$3032,MATCH($A575&amp;Keys!$C$54&amp;Keys!$C$57&amp;Keys!$C$54&amp;$B575,Raw_BFPIaE!$H$9:$H$3032,0)))</f>
        <v>0</v>
      </c>
      <c r="S575" s="11">
        <f>IF(($P575+$Q575-$R575+MAX(Keys!$C$51,$R575-$Q575))&gt;Keys!$C$51,MIN(Keys!$C$52,MAX(Keys!$C$51,$R575-$Q575)/($P575+$Q575-$R575+MAX(Keys!$C$51,$R575-$Q575))),Keys!$C$51)</f>
        <v>0</v>
      </c>
      <c r="T575">
        <f>IF(AND($I575&gt;$H575,ABS($L575-$G575)&gt;MAX(Keys!$C$62,ABS($G575)*Keys!$C$63)),1,0)</f>
        <v>0</v>
      </c>
      <c r="U575">
        <f>IF(OR($N575&lt;Keys!$C$51,$N575&gt;Keys!$C$52),1,0)</f>
        <v>0</v>
      </c>
      <c r="V575">
        <f>IF(AND($E575=Keys!$C$60,$N575&lt;&gt;Keys!$C$51),1,0)</f>
        <v>0</v>
      </c>
      <c r="W575">
        <f>IF($L575&gt;Keys!$C$51,IF($K575/$L575&gt;Keys!$C$52,1,0),0)</f>
        <v>0</v>
      </c>
      <c r="X575" s="11">
        <f t="shared" si="35"/>
        <v>0</v>
      </c>
    </row>
    <row r="576" spans="1:24" x14ac:dyDescent="0.25">
      <c r="A576" t="s">
        <v>137</v>
      </c>
      <c r="B576" t="s">
        <v>77</v>
      </c>
      <c r="C576">
        <f>VLOOKUP($B576,Keys!$F$2:$I$22,2,FALSE)</f>
        <v>0</v>
      </c>
      <c r="D576">
        <f>VLOOKUP($B576,Keys!$F$2:$I$22,3,FALSE)</f>
        <v>0</v>
      </c>
      <c r="E576" t="str">
        <f>VLOOKUP($B576,Keys!$F$2:$I$22,4,FALSE)</f>
        <v>zero</v>
      </c>
      <c r="F576" t="str">
        <f>$A576&amp;Keys!$C$54&amp;$B576</f>
        <v>NH|wind (is not a fuel)</v>
      </c>
      <c r="G576" s="10">
        <f>IF($E576=Keys!$C$60,Keys!$C$51,INDEX(Balanced_2025!$D$9:$D$3032,MATCH($A576&amp;Keys!$C$54&amp;Keys!$C$55&amp;Keys!$C$54&amp;$C576,Balanced_2025!$E$9:$E$3032,0)))</f>
        <v>0</v>
      </c>
      <c r="H576" s="10">
        <f>IF($E576=Keys!$C$60,Keys!$C$51,INDEX(Balanced_2025!$D$9:$D$3032,MATCH($A576&amp;Keys!$C$54&amp;Keys!$C$56&amp;Keys!$C$54&amp;$C576,Balanced_2025!$E$9:$E$3032,0)))</f>
        <v>0</v>
      </c>
      <c r="I576" s="10">
        <f>IF($E576=Keys!$C$60,Keys!$C$51,INDEX(Balanced_2025!$D$9:$D$3032,MATCH($A576&amp;Keys!$C$54&amp;Keys!$C$57&amp;Keys!$C$54&amp;$C576,Balanced_2025!$E$9:$E$3032,0)))</f>
        <v>0</v>
      </c>
      <c r="J576" s="10">
        <f t="shared" si="32"/>
        <v>0</v>
      </c>
      <c r="K576" s="10">
        <f>MAX(Keys!$C$51,$I576-$H576)</f>
        <v>0</v>
      </c>
      <c r="L576" s="10">
        <f t="shared" si="33"/>
        <v>0</v>
      </c>
      <c r="M576" s="11">
        <f>IF($L576&gt;Keys!$C$51,MIN(Keys!$C$52,$K576/$L576),Keys!$C$51)</f>
        <v>0</v>
      </c>
      <c r="N576" s="11">
        <f>IF($E576=Keys!$C$60,Keys!$C$51,IF($E576=Keys!$C$59,$D576,$M576))</f>
        <v>0</v>
      </c>
      <c r="O576">
        <f t="shared" si="34"/>
        <v>0</v>
      </c>
      <c r="P576" s="10">
        <f>IF($E576=Keys!$C$60,Keys!$C$51,INDEX(Raw_BFPIaE!$G$9:$G$3032,MATCH($A576&amp;Keys!$C$54&amp;Keys!$C$55&amp;Keys!$C$54&amp;$B576,Raw_BFPIaE!$H$9:$H$3032,0)))</f>
        <v>0</v>
      </c>
      <c r="Q576" s="10">
        <f>IF($E576=Keys!$C$60,Keys!$C$51,INDEX(Raw_BFPIaE!$G$9:$G$3032,MATCH($A576&amp;Keys!$C$54&amp;Keys!$C$56&amp;Keys!$C$54&amp;$B576,Raw_BFPIaE!$H$9:$H$3032,0)))</f>
        <v>0</v>
      </c>
      <c r="R576" s="10">
        <f>IF($E576=Keys!$C$60,Keys!$C$51,INDEX(Raw_BFPIaE!$G$9:$G$3032,MATCH($A576&amp;Keys!$C$54&amp;Keys!$C$57&amp;Keys!$C$54&amp;$B576,Raw_BFPIaE!$H$9:$H$3032,0)))</f>
        <v>0</v>
      </c>
      <c r="S576" s="11">
        <f>IF(($P576+$Q576-$R576+MAX(Keys!$C$51,$R576-$Q576))&gt;Keys!$C$51,MIN(Keys!$C$52,MAX(Keys!$C$51,$R576-$Q576)/($P576+$Q576-$R576+MAX(Keys!$C$51,$R576-$Q576))),Keys!$C$51)</f>
        <v>0</v>
      </c>
      <c r="T576">
        <f>IF(AND($I576&gt;$H576,ABS($L576-$G576)&gt;MAX(Keys!$C$62,ABS($G576)*Keys!$C$63)),1,0)</f>
        <v>0</v>
      </c>
      <c r="U576">
        <f>IF(OR($N576&lt;Keys!$C$51,$N576&gt;Keys!$C$52),1,0)</f>
        <v>0</v>
      </c>
      <c r="V576">
        <f>IF(AND($E576=Keys!$C$60,$N576&lt;&gt;Keys!$C$51),1,0)</f>
        <v>0</v>
      </c>
      <c r="W576">
        <f>IF($L576&gt;Keys!$C$51,IF($K576/$L576&gt;Keys!$C$52,1,0),0)</f>
        <v>0</v>
      </c>
      <c r="X576" s="11">
        <f t="shared" si="35"/>
        <v>0</v>
      </c>
    </row>
    <row r="577" spans="1:24" x14ac:dyDescent="0.25">
      <c r="A577" t="s">
        <v>137</v>
      </c>
      <c r="B577" t="s">
        <v>80</v>
      </c>
      <c r="C577">
        <f>VLOOKUP($B577,Keys!$F$2:$I$22,2,FALSE)</f>
        <v>0</v>
      </c>
      <c r="D577">
        <f>VLOOKUP($B577,Keys!$F$2:$I$22,3,FALSE)</f>
        <v>0</v>
      </c>
      <c r="E577" t="str">
        <f>VLOOKUP($B577,Keys!$F$2:$I$22,4,FALSE)</f>
        <v>zero</v>
      </c>
      <c r="F577" t="str">
        <f>$A577&amp;Keys!$C$54&amp;$B577</f>
        <v>NH|solar (is not a fuel)</v>
      </c>
      <c r="G577" s="10">
        <f>IF($E577=Keys!$C$60,Keys!$C$51,INDEX(Balanced_2025!$D$9:$D$3032,MATCH($A577&amp;Keys!$C$54&amp;Keys!$C$55&amp;Keys!$C$54&amp;$C577,Balanced_2025!$E$9:$E$3032,0)))</f>
        <v>0</v>
      </c>
      <c r="H577" s="10">
        <f>IF($E577=Keys!$C$60,Keys!$C$51,INDEX(Balanced_2025!$D$9:$D$3032,MATCH($A577&amp;Keys!$C$54&amp;Keys!$C$56&amp;Keys!$C$54&amp;$C577,Balanced_2025!$E$9:$E$3032,0)))</f>
        <v>0</v>
      </c>
      <c r="I577" s="10">
        <f>IF($E577=Keys!$C$60,Keys!$C$51,INDEX(Balanced_2025!$D$9:$D$3032,MATCH($A577&amp;Keys!$C$54&amp;Keys!$C$57&amp;Keys!$C$54&amp;$C577,Balanced_2025!$E$9:$E$3032,0)))</f>
        <v>0</v>
      </c>
      <c r="J577" s="10">
        <f t="shared" si="32"/>
        <v>0</v>
      </c>
      <c r="K577" s="10">
        <f>MAX(Keys!$C$51,$I577-$H577)</f>
        <v>0</v>
      </c>
      <c r="L577" s="10">
        <f t="shared" si="33"/>
        <v>0</v>
      </c>
      <c r="M577" s="11">
        <f>IF($L577&gt;Keys!$C$51,MIN(Keys!$C$52,$K577/$L577),Keys!$C$51)</f>
        <v>0</v>
      </c>
      <c r="N577" s="11">
        <f>IF($E577=Keys!$C$60,Keys!$C$51,IF($E577=Keys!$C$59,$D577,$M577))</f>
        <v>0</v>
      </c>
      <c r="O577">
        <f t="shared" si="34"/>
        <v>0</v>
      </c>
      <c r="P577" s="10">
        <f>IF($E577=Keys!$C$60,Keys!$C$51,INDEX(Raw_BFPIaE!$G$9:$G$3032,MATCH($A577&amp;Keys!$C$54&amp;Keys!$C$55&amp;Keys!$C$54&amp;$B577,Raw_BFPIaE!$H$9:$H$3032,0)))</f>
        <v>0</v>
      </c>
      <c r="Q577" s="10">
        <f>IF($E577=Keys!$C$60,Keys!$C$51,INDEX(Raw_BFPIaE!$G$9:$G$3032,MATCH($A577&amp;Keys!$C$54&amp;Keys!$C$56&amp;Keys!$C$54&amp;$B577,Raw_BFPIaE!$H$9:$H$3032,0)))</f>
        <v>0</v>
      </c>
      <c r="R577" s="10">
        <f>IF($E577=Keys!$C$60,Keys!$C$51,INDEX(Raw_BFPIaE!$G$9:$G$3032,MATCH($A577&amp;Keys!$C$54&amp;Keys!$C$57&amp;Keys!$C$54&amp;$B577,Raw_BFPIaE!$H$9:$H$3032,0)))</f>
        <v>0</v>
      </c>
      <c r="S577" s="11">
        <f>IF(($P577+$Q577-$R577+MAX(Keys!$C$51,$R577-$Q577))&gt;Keys!$C$51,MIN(Keys!$C$52,MAX(Keys!$C$51,$R577-$Q577)/($P577+$Q577-$R577+MAX(Keys!$C$51,$R577-$Q577))),Keys!$C$51)</f>
        <v>0</v>
      </c>
      <c r="T577">
        <f>IF(AND($I577&gt;$H577,ABS($L577-$G577)&gt;MAX(Keys!$C$62,ABS($G577)*Keys!$C$63)),1,0)</f>
        <v>0</v>
      </c>
      <c r="U577">
        <f>IF(OR($N577&lt;Keys!$C$51,$N577&gt;Keys!$C$52),1,0)</f>
        <v>0</v>
      </c>
      <c r="V577">
        <f>IF(AND($E577=Keys!$C$60,$N577&lt;&gt;Keys!$C$51),1,0)</f>
        <v>0</v>
      </c>
      <c r="W577">
        <f>IF($L577&gt;Keys!$C$51,IF($K577/$L577&gt;Keys!$C$52,1,0),0)</f>
        <v>0</v>
      </c>
      <c r="X577" s="11">
        <f t="shared" si="35"/>
        <v>0</v>
      </c>
    </row>
    <row r="578" spans="1:24" x14ac:dyDescent="0.25">
      <c r="A578" t="s">
        <v>137</v>
      </c>
      <c r="B578" t="s">
        <v>82</v>
      </c>
      <c r="C578" t="str">
        <f>VLOOKUP($B578,Keys!$F$2:$I$22,2,FALSE)</f>
        <v>biomass</v>
      </c>
      <c r="D578">
        <f>VLOOKUP($B578,Keys!$F$2:$I$22,3,FALSE)</f>
        <v>0.74947425499999998</v>
      </c>
      <c r="E578" t="str">
        <f>VLOOKUP($B578,Keys!$F$2:$I$22,4,FALSE)</f>
        <v>rule</v>
      </c>
      <c r="F578" t="str">
        <f>$A578&amp;Keys!$C$54&amp;$B578</f>
        <v>NH|biomass</v>
      </c>
      <c r="G578" s="10">
        <f>IF($E578=Keys!$C$60,Keys!$C$51,INDEX(Balanced_2025!$D$9:$D$3032,MATCH($A578&amp;Keys!$C$54&amp;Keys!$C$55&amp;Keys!$C$54&amp;$C578,Balanced_2025!$E$9:$E$3032,0)))</f>
        <v>1440000000000</v>
      </c>
      <c r="H578" s="10">
        <f>IF($E578=Keys!$C$60,Keys!$C$51,INDEX(Balanced_2025!$D$9:$D$3032,MATCH($A578&amp;Keys!$C$54&amp;Keys!$C$56&amp;Keys!$C$54&amp;$C578,Balanced_2025!$E$9:$E$3032,0)))</f>
        <v>23100700000000</v>
      </c>
      <c r="I578" s="10">
        <f>IF($E578=Keys!$C$60,Keys!$C$51,INDEX(Balanced_2025!$D$9:$D$3032,MATCH($A578&amp;Keys!$C$54&amp;Keys!$C$57&amp;Keys!$C$54&amp;$C578,Balanced_2025!$E$9:$E$3032,0)))</f>
        <v>0</v>
      </c>
      <c r="J578" s="10">
        <f t="shared" si="32"/>
        <v>24540700000000</v>
      </c>
      <c r="K578" s="10">
        <f>MAX(Keys!$C$51,$I578-$H578)</f>
        <v>0</v>
      </c>
      <c r="L578" s="10">
        <f t="shared" si="33"/>
        <v>24540700000000</v>
      </c>
      <c r="M578" s="11">
        <f>IF($L578&gt;Keys!$C$51,MIN(Keys!$C$52,$K578/$L578),Keys!$C$51)</f>
        <v>0</v>
      </c>
      <c r="N578" s="11">
        <f>IF($E578=Keys!$C$60,Keys!$C$51,IF($E578=Keys!$C$59,$D578,$M578))</f>
        <v>0</v>
      </c>
      <c r="O578">
        <f t="shared" si="34"/>
        <v>1</v>
      </c>
      <c r="P578" s="10">
        <f>IF($E578=Keys!$C$60,Keys!$C$51,INDEX(Raw_BFPIaE!$G$9:$G$3032,MATCH($A578&amp;Keys!$C$54&amp;Keys!$C$55&amp;Keys!$C$54&amp;$B578,Raw_BFPIaE!$H$9:$H$3032,0)))</f>
        <v>1440000000000</v>
      </c>
      <c r="Q578" s="10">
        <f>IF($E578=Keys!$C$60,Keys!$C$51,INDEX(Raw_BFPIaE!$G$9:$G$3032,MATCH($A578&amp;Keys!$C$54&amp;Keys!$C$56&amp;Keys!$C$54&amp;$B578,Raw_BFPIaE!$H$9:$H$3032,0)))</f>
        <v>13903333333333.334</v>
      </c>
      <c r="R578" s="10">
        <f>IF($E578=Keys!$C$60,Keys!$C$51,INDEX(Raw_BFPIaE!$G$9:$G$3032,MATCH($A578&amp;Keys!$C$54&amp;Keys!$C$57&amp;Keys!$C$54&amp;$B578,Raw_BFPIaE!$H$9:$H$3032,0)))</f>
        <v>0</v>
      </c>
      <c r="S578" s="11">
        <f>IF(($P578+$Q578-$R578+MAX(Keys!$C$51,$R578-$Q578))&gt;Keys!$C$51,MIN(Keys!$C$52,MAX(Keys!$C$51,$R578-$Q578)/($P578+$Q578-$R578+MAX(Keys!$C$51,$R578-$Q578))),Keys!$C$51)</f>
        <v>0</v>
      </c>
      <c r="T578">
        <f>IF(AND($I578&gt;$H578,ABS($L578-$G578)&gt;MAX(Keys!$C$62,ABS($G578)*Keys!$C$63)),1,0)</f>
        <v>0</v>
      </c>
      <c r="U578">
        <f>IF(OR($N578&lt;Keys!$C$51,$N578&gt;Keys!$C$52),1,0)</f>
        <v>0</v>
      </c>
      <c r="V578">
        <f>IF(AND($E578=Keys!$C$60,$N578&lt;&gt;Keys!$C$51),1,0)</f>
        <v>0</v>
      </c>
      <c r="W578">
        <f>IF($L578&gt;Keys!$C$51,IF($K578/$L578&gt;Keys!$C$52,1,0),0)</f>
        <v>0</v>
      </c>
      <c r="X578" s="11">
        <f t="shared" si="35"/>
        <v>0</v>
      </c>
    </row>
    <row r="579" spans="1:24" x14ac:dyDescent="0.25">
      <c r="A579" t="s">
        <v>137</v>
      </c>
      <c r="B579" t="s">
        <v>85</v>
      </c>
      <c r="C579" t="str">
        <f>VLOOKUP($B579,Keys!$F$2:$I$22,2,FALSE)</f>
        <v>petroleum gasoline</v>
      </c>
      <c r="D579">
        <f>VLOOKUP($B579,Keys!$F$2:$I$22,3,FALSE)</f>
        <v>7.5004052000000002E-2</v>
      </c>
      <c r="E579" t="str">
        <f>VLOOKUP($B579,Keys!$F$2:$I$22,4,FALSE)</f>
        <v>rule</v>
      </c>
      <c r="F579" t="str">
        <f>$A579&amp;Keys!$C$54&amp;$B579</f>
        <v>NH|petroleum gasoline</v>
      </c>
      <c r="G579" s="10">
        <f>IF($E579=Keys!$C$60,Keys!$C$51,INDEX(Balanced_2025!$D$9:$D$3032,MATCH($A579&amp;Keys!$C$54&amp;Keys!$C$55&amp;Keys!$C$54&amp;$C579,Balanced_2025!$E$9:$E$3032,0)))</f>
        <v>0</v>
      </c>
      <c r="H579" s="10">
        <f>IF($E579=Keys!$C$60,Keys!$C$51,INDEX(Balanced_2025!$D$9:$D$3032,MATCH($A579&amp;Keys!$C$54&amp;Keys!$C$56&amp;Keys!$C$54&amp;$C579,Balanced_2025!$E$9:$E$3032,0)))</f>
        <v>75437200000000</v>
      </c>
      <c r="I579" s="10">
        <f>IF($E579=Keys!$C$60,Keys!$C$51,INDEX(Balanced_2025!$D$9:$D$3032,MATCH($A579&amp;Keys!$C$54&amp;Keys!$C$57&amp;Keys!$C$54&amp;$C579,Balanced_2025!$E$9:$E$3032,0)))</f>
        <v>0</v>
      </c>
      <c r="J579" s="10">
        <f t="shared" si="32"/>
        <v>75437200000000</v>
      </c>
      <c r="K579" s="10">
        <f>MAX(Keys!$C$51,$I579-$H579)</f>
        <v>0</v>
      </c>
      <c r="L579" s="10">
        <f t="shared" si="33"/>
        <v>75437200000000</v>
      </c>
      <c r="M579" s="11">
        <f>IF($L579&gt;Keys!$C$51,MIN(Keys!$C$52,$K579/$L579),Keys!$C$51)</f>
        <v>0</v>
      </c>
      <c r="N579" s="11">
        <f>IF($E579=Keys!$C$60,Keys!$C$51,IF($E579=Keys!$C$59,$D579,$M579))</f>
        <v>0</v>
      </c>
      <c r="O579">
        <f t="shared" si="34"/>
        <v>1</v>
      </c>
      <c r="P579" s="10">
        <f>IF($E579=Keys!$C$60,Keys!$C$51,INDEX(Raw_BFPIaE!$G$9:$G$3032,MATCH($A579&amp;Keys!$C$54&amp;Keys!$C$55&amp;Keys!$C$54&amp;$B579,Raw_BFPIaE!$H$9:$H$3032,0)))</f>
        <v>0</v>
      </c>
      <c r="Q579" s="10">
        <f>IF($E579=Keys!$C$60,Keys!$C$51,INDEX(Raw_BFPIaE!$G$9:$G$3032,MATCH($A579&amp;Keys!$C$54&amp;Keys!$C$56&amp;Keys!$C$54&amp;$B579,Raw_BFPIaE!$H$9:$H$3032,0)))</f>
        <v>47236766666666.664</v>
      </c>
      <c r="R579" s="10">
        <f>IF($E579=Keys!$C$60,Keys!$C$51,INDEX(Raw_BFPIaE!$G$9:$G$3032,MATCH($A579&amp;Keys!$C$54&amp;Keys!$C$57&amp;Keys!$C$54&amp;$B579,Raw_BFPIaE!$H$9:$H$3032,0)))</f>
        <v>0</v>
      </c>
      <c r="S579" s="11">
        <f>IF(($P579+$Q579-$R579+MAX(Keys!$C$51,$R579-$Q579))&gt;Keys!$C$51,MIN(Keys!$C$52,MAX(Keys!$C$51,$R579-$Q579)/($P579+$Q579-$R579+MAX(Keys!$C$51,$R579-$Q579))),Keys!$C$51)</f>
        <v>0</v>
      </c>
      <c r="T579">
        <f>IF(AND($I579&gt;$H579,ABS($L579-$G579)&gt;MAX(Keys!$C$62,ABS($G579)*Keys!$C$63)),1,0)</f>
        <v>0</v>
      </c>
      <c r="U579">
        <f>IF(OR($N579&lt;Keys!$C$51,$N579&gt;Keys!$C$52),1,0)</f>
        <v>0</v>
      </c>
      <c r="V579">
        <f>IF(AND($E579=Keys!$C$60,$N579&lt;&gt;Keys!$C$51),1,0)</f>
        <v>0</v>
      </c>
      <c r="W579">
        <f>IF($L579&gt;Keys!$C$51,IF($K579/$L579&gt;Keys!$C$52,1,0),0)</f>
        <v>0</v>
      </c>
      <c r="X579" s="11">
        <f t="shared" si="35"/>
        <v>0</v>
      </c>
    </row>
    <row r="580" spans="1:24" x14ac:dyDescent="0.25">
      <c r="A580" t="s">
        <v>137</v>
      </c>
      <c r="B580" t="s">
        <v>88</v>
      </c>
      <c r="C580" t="str">
        <f>VLOOKUP($B580,Keys!$F$2:$I$22,2,FALSE)</f>
        <v>petroleum diesel</v>
      </c>
      <c r="D580">
        <f>VLOOKUP($B580,Keys!$F$2:$I$22,3,FALSE)</f>
        <v>0.26691051799999999</v>
      </c>
      <c r="E580" t="str">
        <f>VLOOKUP($B580,Keys!$F$2:$I$22,4,FALSE)</f>
        <v>rule</v>
      </c>
      <c r="F580" t="str">
        <f>$A580&amp;Keys!$C$54&amp;$B580</f>
        <v>NH|petroleum diesel</v>
      </c>
      <c r="G580" s="10">
        <f>IF($E580=Keys!$C$60,Keys!$C$51,INDEX(Balanced_2025!$D$9:$D$3032,MATCH($A580&amp;Keys!$C$54&amp;Keys!$C$55&amp;Keys!$C$54&amp;$C580,Balanced_2025!$E$9:$E$3032,0)))</f>
        <v>0</v>
      </c>
      <c r="H580" s="10">
        <f>IF($E580=Keys!$C$60,Keys!$C$51,INDEX(Balanced_2025!$D$9:$D$3032,MATCH($A580&amp;Keys!$C$54&amp;Keys!$C$56&amp;Keys!$C$54&amp;$C580,Balanced_2025!$E$9:$E$3032,0)))</f>
        <v>47013000000000</v>
      </c>
      <c r="I580" s="10">
        <f>IF($E580=Keys!$C$60,Keys!$C$51,INDEX(Balanced_2025!$D$9:$D$3032,MATCH($A580&amp;Keys!$C$54&amp;Keys!$C$57&amp;Keys!$C$54&amp;$C580,Balanced_2025!$E$9:$E$3032,0)))</f>
        <v>0</v>
      </c>
      <c r="J580" s="10">
        <f t="shared" ref="J580:J643" si="36">$G580+$H580-$I580</f>
        <v>47013000000000</v>
      </c>
      <c r="K580" s="10">
        <f>MAX(Keys!$C$51,$I580-$H580)</f>
        <v>0</v>
      </c>
      <c r="L580" s="10">
        <f t="shared" ref="L580:L643" si="37">$K580+$J580</f>
        <v>47013000000000</v>
      </c>
      <c r="M580" s="11">
        <f>IF($L580&gt;Keys!$C$51,MIN(Keys!$C$52,$K580/$L580),Keys!$C$51)</f>
        <v>0</v>
      </c>
      <c r="N580" s="11">
        <f>IF($E580=Keys!$C$60,Keys!$C$51,IF($E580=Keys!$C$59,$D580,$M580))</f>
        <v>0</v>
      </c>
      <c r="O580">
        <f t="shared" ref="O580:O643" si="38">IF($N580&lt;&gt;$D580,1,0)</f>
        <v>1</v>
      </c>
      <c r="P580" s="10">
        <f>IF($E580=Keys!$C$60,Keys!$C$51,INDEX(Raw_BFPIaE!$G$9:$G$3032,MATCH($A580&amp;Keys!$C$54&amp;Keys!$C$55&amp;Keys!$C$54&amp;$B580,Raw_BFPIaE!$H$9:$H$3032,0)))</f>
        <v>0</v>
      </c>
      <c r="Q580" s="10">
        <f>IF($E580=Keys!$C$60,Keys!$C$51,INDEX(Raw_BFPIaE!$G$9:$G$3032,MATCH($A580&amp;Keys!$C$54&amp;Keys!$C$56&amp;Keys!$C$54&amp;$B580,Raw_BFPIaE!$H$9:$H$3032,0)))</f>
        <v>30854533333333.332</v>
      </c>
      <c r="R580" s="10">
        <f>IF($E580=Keys!$C$60,Keys!$C$51,INDEX(Raw_BFPIaE!$G$9:$G$3032,MATCH($A580&amp;Keys!$C$54&amp;Keys!$C$57&amp;Keys!$C$54&amp;$B580,Raw_BFPIaE!$H$9:$H$3032,0)))</f>
        <v>0</v>
      </c>
      <c r="S580" s="11">
        <f>IF(($P580+$Q580-$R580+MAX(Keys!$C$51,$R580-$Q580))&gt;Keys!$C$51,MIN(Keys!$C$52,MAX(Keys!$C$51,$R580-$Q580)/($P580+$Q580-$R580+MAX(Keys!$C$51,$R580-$Q580))),Keys!$C$51)</f>
        <v>0</v>
      </c>
      <c r="T580">
        <f>IF(AND($I580&gt;$H580,ABS($L580-$G580)&gt;MAX(Keys!$C$62,ABS($G580)*Keys!$C$63)),1,0)</f>
        <v>0</v>
      </c>
      <c r="U580">
        <f>IF(OR($N580&lt;Keys!$C$51,$N580&gt;Keys!$C$52),1,0)</f>
        <v>0</v>
      </c>
      <c r="V580">
        <f>IF(AND($E580=Keys!$C$60,$N580&lt;&gt;Keys!$C$51),1,0)</f>
        <v>0</v>
      </c>
      <c r="W580">
        <f>IF($L580&gt;Keys!$C$51,IF($K580/$L580&gt;Keys!$C$52,1,0),0)</f>
        <v>0</v>
      </c>
      <c r="X580" s="11">
        <f t="shared" ref="X580:X643" si="39">ABS($M580-$S580)</f>
        <v>0</v>
      </c>
    </row>
    <row r="581" spans="1:24" x14ac:dyDescent="0.25">
      <c r="A581" t="s">
        <v>137</v>
      </c>
      <c r="B581" t="s">
        <v>91</v>
      </c>
      <c r="C581" t="str">
        <f>VLOOKUP($B581,Keys!$F$2:$I$22,2,FALSE)</f>
        <v>biofuel gasoline</v>
      </c>
      <c r="D581">
        <f>VLOOKUP($B581,Keys!$F$2:$I$22,3,FALSE)</f>
        <v>8.7213884000000005E-2</v>
      </c>
      <c r="E581" t="str">
        <f>VLOOKUP($B581,Keys!$F$2:$I$22,4,FALSE)</f>
        <v>rule</v>
      </c>
      <c r="F581" t="str">
        <f>$A581&amp;Keys!$C$54&amp;$B581</f>
        <v>NH|biofuel gasoline</v>
      </c>
      <c r="G581" s="10">
        <f>IF($E581=Keys!$C$60,Keys!$C$51,INDEX(Balanced_2025!$D$9:$D$3032,MATCH($A581&amp;Keys!$C$54&amp;Keys!$C$55&amp;Keys!$C$54&amp;$C581,Balanced_2025!$E$9:$E$3032,0)))</f>
        <v>0</v>
      </c>
      <c r="H581" s="10">
        <f>IF($E581=Keys!$C$60,Keys!$C$51,INDEX(Balanced_2025!$D$9:$D$3032,MATCH($A581&amp;Keys!$C$54&amp;Keys!$C$56&amp;Keys!$C$54&amp;$C581,Balanced_2025!$E$9:$E$3032,0)))</f>
        <v>5412980000000</v>
      </c>
      <c r="I581" s="10">
        <f>IF($E581=Keys!$C$60,Keys!$C$51,INDEX(Balanced_2025!$D$9:$D$3032,MATCH($A581&amp;Keys!$C$54&amp;Keys!$C$57&amp;Keys!$C$54&amp;$C581,Balanced_2025!$E$9:$E$3032,0)))</f>
        <v>0</v>
      </c>
      <c r="J581" s="10">
        <f t="shared" si="36"/>
        <v>5412980000000</v>
      </c>
      <c r="K581" s="10">
        <f>MAX(Keys!$C$51,$I581-$H581)</f>
        <v>0</v>
      </c>
      <c r="L581" s="10">
        <f t="shared" si="37"/>
        <v>5412980000000</v>
      </c>
      <c r="M581" s="11">
        <f>IF($L581&gt;Keys!$C$51,MIN(Keys!$C$52,$K581/$L581),Keys!$C$51)</f>
        <v>0</v>
      </c>
      <c r="N581" s="11">
        <f>IF($E581=Keys!$C$60,Keys!$C$51,IF($E581=Keys!$C$59,$D581,$M581))</f>
        <v>0</v>
      </c>
      <c r="O581">
        <f t="shared" si="38"/>
        <v>1</v>
      </c>
      <c r="P581" s="10">
        <f>IF($E581=Keys!$C$60,Keys!$C$51,INDEX(Raw_BFPIaE!$G$9:$G$3032,MATCH($A581&amp;Keys!$C$54&amp;Keys!$C$55&amp;Keys!$C$54&amp;$B581,Raw_BFPIaE!$H$9:$H$3032,0)))</f>
        <v>0</v>
      </c>
      <c r="Q581" s="10">
        <f>IF($E581=Keys!$C$60,Keys!$C$51,INDEX(Raw_BFPIaE!$G$9:$G$3032,MATCH($A581&amp;Keys!$C$54&amp;Keys!$C$56&amp;Keys!$C$54&amp;$B581,Raw_BFPIaE!$H$9:$H$3032,0)))</f>
        <v>3387040000000</v>
      </c>
      <c r="R581" s="10">
        <f>IF($E581=Keys!$C$60,Keys!$C$51,INDEX(Raw_BFPIaE!$G$9:$G$3032,MATCH($A581&amp;Keys!$C$54&amp;Keys!$C$57&amp;Keys!$C$54&amp;$B581,Raw_BFPIaE!$H$9:$H$3032,0)))</f>
        <v>0</v>
      </c>
      <c r="S581" s="11">
        <f>IF(($P581+$Q581-$R581+MAX(Keys!$C$51,$R581-$Q581))&gt;Keys!$C$51,MIN(Keys!$C$52,MAX(Keys!$C$51,$R581-$Q581)/($P581+$Q581-$R581+MAX(Keys!$C$51,$R581-$Q581))),Keys!$C$51)</f>
        <v>0</v>
      </c>
      <c r="T581">
        <f>IF(AND($I581&gt;$H581,ABS($L581-$G581)&gt;MAX(Keys!$C$62,ABS($G581)*Keys!$C$63)),1,0)</f>
        <v>0</v>
      </c>
      <c r="U581">
        <f>IF(OR($N581&lt;Keys!$C$51,$N581&gt;Keys!$C$52),1,0)</f>
        <v>0</v>
      </c>
      <c r="V581">
        <f>IF(AND($E581=Keys!$C$60,$N581&lt;&gt;Keys!$C$51),1,0)</f>
        <v>0</v>
      </c>
      <c r="W581">
        <f>IF($L581&gt;Keys!$C$51,IF($K581/$L581&gt;Keys!$C$52,1,0),0)</f>
        <v>0</v>
      </c>
      <c r="X581" s="11">
        <f t="shared" si="39"/>
        <v>0</v>
      </c>
    </row>
    <row r="582" spans="1:24" x14ac:dyDescent="0.25">
      <c r="A582" t="s">
        <v>137</v>
      </c>
      <c r="B582" t="s">
        <v>94</v>
      </c>
      <c r="C582" t="str">
        <f>VLOOKUP($B582,Keys!$F$2:$I$22,2,FALSE)</f>
        <v>biofuel diesel</v>
      </c>
      <c r="D582">
        <f>VLOOKUP($B582,Keys!$F$2:$I$22,3,FALSE)</f>
        <v>5.8642381E-2</v>
      </c>
      <c r="E582" t="str">
        <f>VLOOKUP($B582,Keys!$F$2:$I$22,4,FALSE)</f>
        <v>rule</v>
      </c>
      <c r="F582" t="str">
        <f>$A582&amp;Keys!$C$54&amp;$B582</f>
        <v>NH|biofuel diesel</v>
      </c>
      <c r="G582" s="10">
        <f>IF($E582=Keys!$C$60,Keys!$C$51,INDEX(Balanced_2025!$D$9:$D$3032,MATCH($A582&amp;Keys!$C$54&amp;Keys!$C$55&amp;Keys!$C$54&amp;$C582,Balanced_2025!$E$9:$E$3032,0)))</f>
        <v>2381540000000</v>
      </c>
      <c r="H582" s="10">
        <f>IF($E582=Keys!$C$60,Keys!$C$51,INDEX(Balanced_2025!$D$9:$D$3032,MATCH($A582&amp;Keys!$C$54&amp;Keys!$C$56&amp;Keys!$C$54&amp;$C582,Balanced_2025!$E$9:$E$3032,0)))</f>
        <v>9090630000</v>
      </c>
      <c r="I582" s="10">
        <f>IF($E582=Keys!$C$60,Keys!$C$51,INDEX(Balanced_2025!$D$9:$D$3032,MATCH($A582&amp;Keys!$C$54&amp;Keys!$C$57&amp;Keys!$C$54&amp;$C582,Balanced_2025!$E$9:$E$3032,0)))</f>
        <v>2054220000000</v>
      </c>
      <c r="J582" s="10">
        <f t="shared" si="36"/>
        <v>336410630000</v>
      </c>
      <c r="K582" s="10">
        <f>MAX(Keys!$C$51,$I582-$H582)</f>
        <v>2045129370000</v>
      </c>
      <c r="L582" s="10">
        <f t="shared" si="37"/>
        <v>2381540000000</v>
      </c>
      <c r="M582" s="11">
        <f>IF($L582&gt;Keys!$C$51,MIN(Keys!$C$52,$K582/$L582),Keys!$C$51)</f>
        <v>0.85874239777622885</v>
      </c>
      <c r="N582" s="11">
        <f>IF($E582=Keys!$C$60,Keys!$C$51,IF($E582=Keys!$C$59,$D582,$M582))</f>
        <v>0.85874239777622885</v>
      </c>
      <c r="O582">
        <f t="shared" si="38"/>
        <v>1</v>
      </c>
      <c r="P582" s="10">
        <f>IF($E582=Keys!$C$60,Keys!$C$51,INDEX(Raw_BFPIaE!$G$9:$G$3032,MATCH($A582&amp;Keys!$C$54&amp;Keys!$C$55&amp;Keys!$C$54&amp;$B582,Raw_BFPIaE!$H$9:$H$3032,0)))</f>
        <v>2530673333333.3335</v>
      </c>
      <c r="Q582" s="10">
        <f>IF($E582=Keys!$C$60,Keys!$C$51,INDEX(Raw_BFPIaE!$G$9:$G$3032,MATCH($A582&amp;Keys!$C$54&amp;Keys!$C$56&amp;Keys!$C$54&amp;$B582,Raw_BFPIaE!$H$9:$H$3032,0)))</f>
        <v>0</v>
      </c>
      <c r="R582" s="10">
        <f>IF($E582=Keys!$C$60,Keys!$C$51,INDEX(Raw_BFPIaE!$G$9:$G$3032,MATCH($A582&amp;Keys!$C$54&amp;Keys!$C$57&amp;Keys!$C$54&amp;$B582,Raw_BFPIaE!$H$9:$H$3032,0)))</f>
        <v>1517903333333.3333</v>
      </c>
      <c r="S582" s="11">
        <f>IF(($P582+$Q582-$R582+MAX(Keys!$C$51,$R582-$Q582))&gt;Keys!$C$51,MIN(Keys!$C$52,MAX(Keys!$C$51,$R582-$Q582)/($P582+$Q582-$R582+MAX(Keys!$C$51,$R582-$Q582))),Keys!$C$51)</f>
        <v>0.59980216068977688</v>
      </c>
      <c r="T582">
        <f>IF(AND($I582&gt;$H582,ABS($L582-$G582)&gt;MAX(Keys!$C$62,ABS($G582)*Keys!$C$63)),1,0)</f>
        <v>0</v>
      </c>
      <c r="U582">
        <f>IF(OR($N582&lt;Keys!$C$51,$N582&gt;Keys!$C$52),1,0)</f>
        <v>0</v>
      </c>
      <c r="V582">
        <f>IF(AND($E582=Keys!$C$60,$N582&lt;&gt;Keys!$C$51),1,0)</f>
        <v>0</v>
      </c>
      <c r="W582">
        <f>IF($L582&gt;Keys!$C$51,IF($K582/$L582&gt;Keys!$C$52,1,0),0)</f>
        <v>0</v>
      </c>
      <c r="X582" s="11">
        <f t="shared" si="39"/>
        <v>0.25894023708645197</v>
      </c>
    </row>
    <row r="583" spans="1:24" x14ac:dyDescent="0.25">
      <c r="A583" t="s">
        <v>137</v>
      </c>
      <c r="B583" t="s">
        <v>97</v>
      </c>
      <c r="C583" t="str">
        <f>VLOOKUP($B583,Keys!$F$2:$I$22,2,FALSE)</f>
        <v>jet fuel or kerosene</v>
      </c>
      <c r="D583">
        <f>VLOOKUP($B583,Keys!$F$2:$I$22,3,FALSE)</f>
        <v>0.10155994</v>
      </c>
      <c r="E583" t="str">
        <f>VLOOKUP($B583,Keys!$F$2:$I$22,4,FALSE)</f>
        <v>rule</v>
      </c>
      <c r="F583" t="str">
        <f>$A583&amp;Keys!$C$54&amp;$B583</f>
        <v>NH|jet fuel or kerosene</v>
      </c>
      <c r="G583" s="10">
        <f>IF($E583=Keys!$C$60,Keys!$C$51,INDEX(Balanced_2025!$D$9:$D$3032,MATCH($A583&amp;Keys!$C$54&amp;Keys!$C$55&amp;Keys!$C$54&amp;$C583,Balanced_2025!$E$9:$E$3032,0)))</f>
        <v>0</v>
      </c>
      <c r="H583" s="10">
        <f>IF($E583=Keys!$C$60,Keys!$C$51,INDEX(Balanced_2025!$D$9:$D$3032,MATCH($A583&amp;Keys!$C$54&amp;Keys!$C$56&amp;Keys!$C$54&amp;$C583,Balanced_2025!$E$9:$E$3032,0)))</f>
        <v>5537520000000</v>
      </c>
      <c r="I583" s="10">
        <f>IF($E583=Keys!$C$60,Keys!$C$51,INDEX(Balanced_2025!$D$9:$D$3032,MATCH($A583&amp;Keys!$C$54&amp;Keys!$C$57&amp;Keys!$C$54&amp;$C583,Balanced_2025!$E$9:$E$3032,0)))</f>
        <v>0</v>
      </c>
      <c r="J583" s="10">
        <f t="shared" si="36"/>
        <v>5537520000000</v>
      </c>
      <c r="K583" s="10">
        <f>MAX(Keys!$C$51,$I583-$H583)</f>
        <v>0</v>
      </c>
      <c r="L583" s="10">
        <f t="shared" si="37"/>
        <v>5537520000000</v>
      </c>
      <c r="M583" s="11">
        <f>IF($L583&gt;Keys!$C$51,MIN(Keys!$C$52,$K583/$L583),Keys!$C$51)</f>
        <v>0</v>
      </c>
      <c r="N583" s="11">
        <f>IF($E583=Keys!$C$60,Keys!$C$51,IF($E583=Keys!$C$59,$D583,$M583))</f>
        <v>0</v>
      </c>
      <c r="O583">
        <f t="shared" si="38"/>
        <v>1</v>
      </c>
      <c r="P583" s="10">
        <f>IF($E583=Keys!$C$60,Keys!$C$51,INDEX(Raw_BFPIaE!$G$9:$G$3032,MATCH($A583&amp;Keys!$C$54&amp;Keys!$C$55&amp;Keys!$C$54&amp;$B583,Raw_BFPIaE!$H$9:$H$3032,0)))</f>
        <v>0</v>
      </c>
      <c r="Q583" s="10">
        <f>IF($E583=Keys!$C$60,Keys!$C$51,INDEX(Raw_BFPIaE!$G$9:$G$3032,MATCH($A583&amp;Keys!$C$54&amp;Keys!$C$56&amp;Keys!$C$54&amp;$B583,Raw_BFPIaE!$H$9:$H$3032,0)))</f>
        <v>3747070000000</v>
      </c>
      <c r="R583" s="10">
        <f>IF($E583=Keys!$C$60,Keys!$C$51,INDEX(Raw_BFPIaE!$G$9:$G$3032,MATCH($A583&amp;Keys!$C$54&amp;Keys!$C$57&amp;Keys!$C$54&amp;$B583,Raw_BFPIaE!$H$9:$H$3032,0)))</f>
        <v>0</v>
      </c>
      <c r="S583" s="11">
        <f>IF(($P583+$Q583-$R583+MAX(Keys!$C$51,$R583-$Q583))&gt;Keys!$C$51,MIN(Keys!$C$52,MAX(Keys!$C$51,$R583-$Q583)/($P583+$Q583-$R583+MAX(Keys!$C$51,$R583-$Q583))),Keys!$C$51)</f>
        <v>0</v>
      </c>
      <c r="T583">
        <f>IF(AND($I583&gt;$H583,ABS($L583-$G583)&gt;MAX(Keys!$C$62,ABS($G583)*Keys!$C$63)),1,0)</f>
        <v>0</v>
      </c>
      <c r="U583">
        <f>IF(OR($N583&lt;Keys!$C$51,$N583&gt;Keys!$C$52),1,0)</f>
        <v>0</v>
      </c>
      <c r="V583">
        <f>IF(AND($E583=Keys!$C$60,$N583&lt;&gt;Keys!$C$51),1,0)</f>
        <v>0</v>
      </c>
      <c r="W583">
        <f>IF($L583&gt;Keys!$C$51,IF($K583/$L583&gt;Keys!$C$52,1,0),0)</f>
        <v>0</v>
      </c>
      <c r="X583" s="11">
        <f t="shared" si="39"/>
        <v>0</v>
      </c>
    </row>
    <row r="584" spans="1:24" x14ac:dyDescent="0.25">
      <c r="A584" t="s">
        <v>137</v>
      </c>
      <c r="B584" t="s">
        <v>100</v>
      </c>
      <c r="C584">
        <f>VLOOKUP($B584,Keys!$F$2:$I$22,2,FALSE)</f>
        <v>0</v>
      </c>
      <c r="D584">
        <f>VLOOKUP($B584,Keys!$F$2:$I$22,3,FALSE)</f>
        <v>0</v>
      </c>
      <c r="E584" t="str">
        <f>VLOOKUP($B584,Keys!$F$2:$I$22,4,FALSE)</f>
        <v>zero</v>
      </c>
      <c r="F584" t="str">
        <f>$A584&amp;Keys!$C$54&amp;$B584</f>
        <v>NH|heat (not used in this variable)</v>
      </c>
      <c r="G584" s="10">
        <f>IF($E584=Keys!$C$60,Keys!$C$51,INDEX(Balanced_2025!$D$9:$D$3032,MATCH($A584&amp;Keys!$C$54&amp;Keys!$C$55&amp;Keys!$C$54&amp;$C584,Balanced_2025!$E$9:$E$3032,0)))</f>
        <v>0</v>
      </c>
      <c r="H584" s="10">
        <f>IF($E584=Keys!$C$60,Keys!$C$51,INDEX(Balanced_2025!$D$9:$D$3032,MATCH($A584&amp;Keys!$C$54&amp;Keys!$C$56&amp;Keys!$C$54&amp;$C584,Balanced_2025!$E$9:$E$3032,0)))</f>
        <v>0</v>
      </c>
      <c r="I584" s="10">
        <f>IF($E584=Keys!$C$60,Keys!$C$51,INDEX(Balanced_2025!$D$9:$D$3032,MATCH($A584&amp;Keys!$C$54&amp;Keys!$C$57&amp;Keys!$C$54&amp;$C584,Balanced_2025!$E$9:$E$3032,0)))</f>
        <v>0</v>
      </c>
      <c r="J584" s="10">
        <f t="shared" si="36"/>
        <v>0</v>
      </c>
      <c r="K584" s="10">
        <f>MAX(Keys!$C$51,$I584-$H584)</f>
        <v>0</v>
      </c>
      <c r="L584" s="10">
        <f t="shared" si="37"/>
        <v>0</v>
      </c>
      <c r="M584" s="11">
        <f>IF($L584&gt;Keys!$C$51,MIN(Keys!$C$52,$K584/$L584),Keys!$C$51)</f>
        <v>0</v>
      </c>
      <c r="N584" s="11">
        <f>IF($E584=Keys!$C$60,Keys!$C$51,IF($E584=Keys!$C$59,$D584,$M584))</f>
        <v>0</v>
      </c>
      <c r="O584">
        <f t="shared" si="38"/>
        <v>0</v>
      </c>
      <c r="P584" s="10">
        <f>IF($E584=Keys!$C$60,Keys!$C$51,INDEX(Raw_BFPIaE!$G$9:$G$3032,MATCH($A584&amp;Keys!$C$54&amp;Keys!$C$55&amp;Keys!$C$54&amp;$B584,Raw_BFPIaE!$H$9:$H$3032,0)))</f>
        <v>0</v>
      </c>
      <c r="Q584" s="10">
        <f>IF($E584=Keys!$C$60,Keys!$C$51,INDEX(Raw_BFPIaE!$G$9:$G$3032,MATCH($A584&amp;Keys!$C$54&amp;Keys!$C$56&amp;Keys!$C$54&amp;$B584,Raw_BFPIaE!$H$9:$H$3032,0)))</f>
        <v>0</v>
      </c>
      <c r="R584" s="10">
        <f>IF($E584=Keys!$C$60,Keys!$C$51,INDEX(Raw_BFPIaE!$G$9:$G$3032,MATCH($A584&amp;Keys!$C$54&amp;Keys!$C$57&amp;Keys!$C$54&amp;$B584,Raw_BFPIaE!$H$9:$H$3032,0)))</f>
        <v>0</v>
      </c>
      <c r="S584" s="11">
        <f>IF(($P584+$Q584-$R584+MAX(Keys!$C$51,$R584-$Q584))&gt;Keys!$C$51,MIN(Keys!$C$52,MAX(Keys!$C$51,$R584-$Q584)/($P584+$Q584-$R584+MAX(Keys!$C$51,$R584-$Q584))),Keys!$C$51)</f>
        <v>0</v>
      </c>
      <c r="T584">
        <f>IF(AND($I584&gt;$H584,ABS($L584-$G584)&gt;MAX(Keys!$C$62,ABS($G584)*Keys!$C$63)),1,0)</f>
        <v>0</v>
      </c>
      <c r="U584">
        <f>IF(OR($N584&lt;Keys!$C$51,$N584&gt;Keys!$C$52),1,0)</f>
        <v>0</v>
      </c>
      <c r="V584">
        <f>IF(AND($E584=Keys!$C$60,$N584&lt;&gt;Keys!$C$51),1,0)</f>
        <v>0</v>
      </c>
      <c r="W584">
        <f>IF($L584&gt;Keys!$C$51,IF($K584/$L584&gt;Keys!$C$52,1,0),0)</f>
        <v>0</v>
      </c>
      <c r="X584" s="11">
        <f t="shared" si="39"/>
        <v>0</v>
      </c>
    </row>
    <row r="585" spans="1:24" x14ac:dyDescent="0.25">
      <c r="A585" t="s">
        <v>137</v>
      </c>
      <c r="B585" t="s">
        <v>103</v>
      </c>
      <c r="C585">
        <f>VLOOKUP($B585,Keys!$F$2:$I$22,2,FALSE)</f>
        <v>0</v>
      </c>
      <c r="D585">
        <f>VLOOKUP($B585,Keys!$F$2:$I$22,3,FALSE)</f>
        <v>0</v>
      </c>
      <c r="E585" t="str">
        <f>VLOOKUP($B585,Keys!$F$2:$I$22,4,FALSE)</f>
        <v>zero</v>
      </c>
      <c r="F585" t="str">
        <f>$A585&amp;Keys!$C$54&amp;$B585</f>
        <v>NH|geothermal (is not a fuel)</v>
      </c>
      <c r="G585" s="10">
        <f>IF($E585=Keys!$C$60,Keys!$C$51,INDEX(Balanced_2025!$D$9:$D$3032,MATCH($A585&amp;Keys!$C$54&amp;Keys!$C$55&amp;Keys!$C$54&amp;$C585,Balanced_2025!$E$9:$E$3032,0)))</f>
        <v>0</v>
      </c>
      <c r="H585" s="10">
        <f>IF($E585=Keys!$C$60,Keys!$C$51,INDEX(Balanced_2025!$D$9:$D$3032,MATCH($A585&amp;Keys!$C$54&amp;Keys!$C$56&amp;Keys!$C$54&amp;$C585,Balanced_2025!$E$9:$E$3032,0)))</f>
        <v>0</v>
      </c>
      <c r="I585" s="10">
        <f>IF($E585=Keys!$C$60,Keys!$C$51,INDEX(Balanced_2025!$D$9:$D$3032,MATCH($A585&amp;Keys!$C$54&amp;Keys!$C$57&amp;Keys!$C$54&amp;$C585,Balanced_2025!$E$9:$E$3032,0)))</f>
        <v>0</v>
      </c>
      <c r="J585" s="10">
        <f t="shared" si="36"/>
        <v>0</v>
      </c>
      <c r="K585" s="10">
        <f>MAX(Keys!$C$51,$I585-$H585)</f>
        <v>0</v>
      </c>
      <c r="L585" s="10">
        <f t="shared" si="37"/>
        <v>0</v>
      </c>
      <c r="M585" s="11">
        <f>IF($L585&gt;Keys!$C$51,MIN(Keys!$C$52,$K585/$L585),Keys!$C$51)</f>
        <v>0</v>
      </c>
      <c r="N585" s="11">
        <f>IF($E585=Keys!$C$60,Keys!$C$51,IF($E585=Keys!$C$59,$D585,$M585))</f>
        <v>0</v>
      </c>
      <c r="O585">
        <f t="shared" si="38"/>
        <v>0</v>
      </c>
      <c r="P585" s="10">
        <f>IF($E585=Keys!$C$60,Keys!$C$51,INDEX(Raw_BFPIaE!$G$9:$G$3032,MATCH($A585&amp;Keys!$C$54&amp;Keys!$C$55&amp;Keys!$C$54&amp;$B585,Raw_BFPIaE!$H$9:$H$3032,0)))</f>
        <v>0</v>
      </c>
      <c r="Q585" s="10">
        <f>IF($E585=Keys!$C$60,Keys!$C$51,INDEX(Raw_BFPIaE!$G$9:$G$3032,MATCH($A585&amp;Keys!$C$54&amp;Keys!$C$56&amp;Keys!$C$54&amp;$B585,Raw_BFPIaE!$H$9:$H$3032,0)))</f>
        <v>0</v>
      </c>
      <c r="R585" s="10">
        <f>IF($E585=Keys!$C$60,Keys!$C$51,INDEX(Raw_BFPIaE!$G$9:$G$3032,MATCH($A585&amp;Keys!$C$54&amp;Keys!$C$57&amp;Keys!$C$54&amp;$B585,Raw_BFPIaE!$H$9:$H$3032,0)))</f>
        <v>0</v>
      </c>
      <c r="S585" s="11">
        <f>IF(($P585+$Q585-$R585+MAX(Keys!$C$51,$R585-$Q585))&gt;Keys!$C$51,MIN(Keys!$C$52,MAX(Keys!$C$51,$R585-$Q585)/($P585+$Q585-$R585+MAX(Keys!$C$51,$R585-$Q585))),Keys!$C$51)</f>
        <v>0</v>
      </c>
      <c r="T585">
        <f>IF(AND($I585&gt;$H585,ABS($L585-$G585)&gt;MAX(Keys!$C$62,ABS($G585)*Keys!$C$63)),1,0)</f>
        <v>0</v>
      </c>
      <c r="U585">
        <f>IF(OR($N585&lt;Keys!$C$51,$N585&gt;Keys!$C$52),1,0)</f>
        <v>0</v>
      </c>
      <c r="V585">
        <f>IF(AND($E585=Keys!$C$60,$N585&lt;&gt;Keys!$C$51),1,0)</f>
        <v>0</v>
      </c>
      <c r="W585">
        <f>IF($L585&gt;Keys!$C$51,IF($K585/$L585&gt;Keys!$C$52,1,0),0)</f>
        <v>0</v>
      </c>
      <c r="X585" s="11">
        <f t="shared" si="39"/>
        <v>0</v>
      </c>
    </row>
    <row r="586" spans="1:24" x14ac:dyDescent="0.25">
      <c r="A586" t="s">
        <v>137</v>
      </c>
      <c r="B586" t="s">
        <v>106</v>
      </c>
      <c r="C586" t="str">
        <f>VLOOKUP($B586,Keys!$F$2:$I$22,2,FALSE)</f>
        <v>lignite</v>
      </c>
      <c r="D586">
        <f>VLOOKUP($B586,Keys!$F$2:$I$22,3,FALSE)</f>
        <v>0</v>
      </c>
      <c r="E586" t="str">
        <f>VLOOKUP($B586,Keys!$F$2:$I$22,4,FALSE)</f>
        <v>rule</v>
      </c>
      <c r="F586" t="str">
        <f>$A586&amp;Keys!$C$54&amp;$B586</f>
        <v>NH|lignite</v>
      </c>
      <c r="G586" s="10">
        <f>IF($E586=Keys!$C$60,Keys!$C$51,INDEX(Balanced_2025!$D$9:$D$3032,MATCH($A586&amp;Keys!$C$54&amp;Keys!$C$55&amp;Keys!$C$54&amp;$C586,Balanced_2025!$E$9:$E$3032,0)))</f>
        <v>0</v>
      </c>
      <c r="H586" s="10">
        <f>IF($E586=Keys!$C$60,Keys!$C$51,INDEX(Balanced_2025!$D$9:$D$3032,MATCH($A586&amp;Keys!$C$54&amp;Keys!$C$56&amp;Keys!$C$54&amp;$C586,Balanced_2025!$E$9:$E$3032,0)))</f>
        <v>0</v>
      </c>
      <c r="I586" s="10">
        <f>IF($E586=Keys!$C$60,Keys!$C$51,INDEX(Balanced_2025!$D$9:$D$3032,MATCH($A586&amp;Keys!$C$54&amp;Keys!$C$57&amp;Keys!$C$54&amp;$C586,Balanced_2025!$E$9:$E$3032,0)))</f>
        <v>0</v>
      </c>
      <c r="J586" s="10">
        <f t="shared" si="36"/>
        <v>0</v>
      </c>
      <c r="K586" s="10">
        <f>MAX(Keys!$C$51,$I586-$H586)</f>
        <v>0</v>
      </c>
      <c r="L586" s="10">
        <f t="shared" si="37"/>
        <v>0</v>
      </c>
      <c r="M586" s="11">
        <f>IF($L586&gt;Keys!$C$51,MIN(Keys!$C$52,$K586/$L586),Keys!$C$51)</f>
        <v>0</v>
      </c>
      <c r="N586" s="11">
        <f>IF($E586=Keys!$C$60,Keys!$C$51,IF($E586=Keys!$C$59,$D586,$M586))</f>
        <v>0</v>
      </c>
      <c r="O586">
        <f t="shared" si="38"/>
        <v>0</v>
      </c>
      <c r="P586" s="10">
        <f>IF($E586=Keys!$C$60,Keys!$C$51,INDEX(Raw_BFPIaE!$G$9:$G$3032,MATCH($A586&amp;Keys!$C$54&amp;Keys!$C$55&amp;Keys!$C$54&amp;$B586,Raw_BFPIaE!$H$9:$H$3032,0)))</f>
        <v>0</v>
      </c>
      <c r="Q586" s="10">
        <f>IF($E586=Keys!$C$60,Keys!$C$51,INDEX(Raw_BFPIaE!$G$9:$G$3032,MATCH($A586&amp;Keys!$C$54&amp;Keys!$C$56&amp;Keys!$C$54&amp;$B586,Raw_BFPIaE!$H$9:$H$3032,0)))</f>
        <v>0</v>
      </c>
      <c r="R586" s="10">
        <f>IF($E586=Keys!$C$60,Keys!$C$51,INDEX(Raw_BFPIaE!$G$9:$G$3032,MATCH($A586&amp;Keys!$C$54&amp;Keys!$C$57&amp;Keys!$C$54&amp;$B586,Raw_BFPIaE!$H$9:$H$3032,0)))</f>
        <v>0</v>
      </c>
      <c r="S586" s="11">
        <f>IF(($P586+$Q586-$R586+MAX(Keys!$C$51,$R586-$Q586))&gt;Keys!$C$51,MIN(Keys!$C$52,MAX(Keys!$C$51,$R586-$Q586)/($P586+$Q586-$R586+MAX(Keys!$C$51,$R586-$Q586))),Keys!$C$51)</f>
        <v>0</v>
      </c>
      <c r="T586">
        <f>IF(AND($I586&gt;$H586,ABS($L586-$G586)&gt;MAX(Keys!$C$62,ABS($G586)*Keys!$C$63)),1,0)</f>
        <v>0</v>
      </c>
      <c r="U586">
        <f>IF(OR($N586&lt;Keys!$C$51,$N586&gt;Keys!$C$52),1,0)</f>
        <v>0</v>
      </c>
      <c r="V586">
        <f>IF(AND($E586=Keys!$C$60,$N586&lt;&gt;Keys!$C$51),1,0)</f>
        <v>0</v>
      </c>
      <c r="W586">
        <f>IF($L586&gt;Keys!$C$51,IF($K586/$L586&gt;Keys!$C$52,1,0),0)</f>
        <v>0</v>
      </c>
      <c r="X586" s="11">
        <f t="shared" si="39"/>
        <v>0</v>
      </c>
    </row>
    <row r="587" spans="1:24" x14ac:dyDescent="0.25">
      <c r="A587" t="s">
        <v>137</v>
      </c>
      <c r="B587" t="s">
        <v>109</v>
      </c>
      <c r="C587" t="str">
        <f>VLOOKUP($B587,Keys!$F$2:$I$22,2,FALSE)</f>
        <v>crude oil</v>
      </c>
      <c r="D587">
        <f>VLOOKUP($B587,Keys!$F$2:$I$22,3,FALSE)</f>
        <v>1</v>
      </c>
      <c r="E587" t="str">
        <f>VLOOKUP($B587,Keys!$F$2:$I$22,4,FALSE)</f>
        <v>hold</v>
      </c>
      <c r="F587" t="str">
        <f>$A587&amp;Keys!$C$54&amp;$B587</f>
        <v>NH|crude oil</v>
      </c>
      <c r="G587" s="10">
        <f>IF($E587=Keys!$C$60,Keys!$C$51,INDEX(Balanced_2025!$D$9:$D$3032,MATCH($A587&amp;Keys!$C$54&amp;Keys!$C$55&amp;Keys!$C$54&amp;$C587,Balanced_2025!$E$9:$E$3032,0)))</f>
        <v>0</v>
      </c>
      <c r="H587" s="10">
        <f>IF($E587=Keys!$C$60,Keys!$C$51,INDEX(Balanced_2025!$D$9:$D$3032,MATCH($A587&amp;Keys!$C$54&amp;Keys!$C$56&amp;Keys!$C$54&amp;$C587,Balanced_2025!$E$9:$E$3032,0)))</f>
        <v>226000000000</v>
      </c>
      <c r="I587" s="10">
        <f>IF($E587=Keys!$C$60,Keys!$C$51,INDEX(Balanced_2025!$D$9:$D$3032,MATCH($A587&amp;Keys!$C$54&amp;Keys!$C$57&amp;Keys!$C$54&amp;$C587,Balanced_2025!$E$9:$E$3032,0)))</f>
        <v>0</v>
      </c>
      <c r="J587" s="10">
        <f t="shared" si="36"/>
        <v>226000000000</v>
      </c>
      <c r="K587" s="10">
        <f>MAX(Keys!$C$51,$I587-$H587)</f>
        <v>0</v>
      </c>
      <c r="L587" s="10">
        <f t="shared" si="37"/>
        <v>226000000000</v>
      </c>
      <c r="M587" s="11">
        <f>IF($L587&gt;Keys!$C$51,MIN(Keys!$C$52,$K587/$L587),Keys!$C$51)</f>
        <v>0</v>
      </c>
      <c r="N587" s="11">
        <f>IF($E587=Keys!$C$60,Keys!$C$51,IF($E587=Keys!$C$59,$D587,$M587))</f>
        <v>1</v>
      </c>
      <c r="O587">
        <f t="shared" si="38"/>
        <v>0</v>
      </c>
      <c r="P587" s="10">
        <f>IF($E587=Keys!$C$60,Keys!$C$51,INDEX(Raw_BFPIaE!$G$9:$G$3032,MATCH($A587&amp;Keys!$C$54&amp;Keys!$C$55&amp;Keys!$C$54&amp;$B587,Raw_BFPIaE!$H$9:$H$3032,0)))</f>
        <v>0</v>
      </c>
      <c r="Q587" s="10">
        <f>IF($E587=Keys!$C$60,Keys!$C$51,INDEX(Raw_BFPIaE!$G$9:$G$3032,MATCH($A587&amp;Keys!$C$54&amp;Keys!$C$56&amp;Keys!$C$54&amp;$B587,Raw_BFPIaE!$H$9:$H$3032,0)))</f>
        <v>75333333333.333328</v>
      </c>
      <c r="R587" s="10">
        <f>IF($E587=Keys!$C$60,Keys!$C$51,INDEX(Raw_BFPIaE!$G$9:$G$3032,MATCH($A587&amp;Keys!$C$54&amp;Keys!$C$57&amp;Keys!$C$54&amp;$B587,Raw_BFPIaE!$H$9:$H$3032,0)))</f>
        <v>0</v>
      </c>
      <c r="S587" s="11">
        <f>IF(($P587+$Q587-$R587+MAX(Keys!$C$51,$R587-$Q587))&gt;Keys!$C$51,MIN(Keys!$C$52,MAX(Keys!$C$51,$R587-$Q587)/($P587+$Q587-$R587+MAX(Keys!$C$51,$R587-$Q587))),Keys!$C$51)</f>
        <v>0</v>
      </c>
      <c r="T587">
        <f>IF(AND($I587&gt;$H587,ABS($L587-$G587)&gt;MAX(Keys!$C$62,ABS($G587)*Keys!$C$63)),1,0)</f>
        <v>0</v>
      </c>
      <c r="U587">
        <f>IF(OR($N587&lt;Keys!$C$51,$N587&gt;Keys!$C$52),1,0)</f>
        <v>0</v>
      </c>
      <c r="V587">
        <f>IF(AND($E587=Keys!$C$60,$N587&lt;&gt;Keys!$C$51),1,0)</f>
        <v>0</v>
      </c>
      <c r="W587">
        <f>IF($L587&gt;Keys!$C$51,IF($K587/$L587&gt;Keys!$C$52,1,0),0)</f>
        <v>0</v>
      </c>
      <c r="X587" s="11">
        <f t="shared" si="39"/>
        <v>0</v>
      </c>
    </row>
    <row r="588" spans="1:24" x14ac:dyDescent="0.25">
      <c r="A588" t="s">
        <v>137</v>
      </c>
      <c r="B588" t="s">
        <v>113</v>
      </c>
      <c r="C588" t="str">
        <f>VLOOKUP($B588,Keys!$F$2:$I$22,2,FALSE)</f>
        <v>heavy or residual fuel oil</v>
      </c>
      <c r="D588">
        <f>VLOOKUP($B588,Keys!$F$2:$I$22,3,FALSE)</f>
        <v>0.49914171099999999</v>
      </c>
      <c r="E588" t="str">
        <f>VLOOKUP($B588,Keys!$F$2:$I$22,4,FALSE)</f>
        <v>rule</v>
      </c>
      <c r="F588" t="str">
        <f>$A588&amp;Keys!$C$54&amp;$B588</f>
        <v>NH|heavy fuel oil</v>
      </c>
      <c r="G588" s="10">
        <f>IF($E588=Keys!$C$60,Keys!$C$51,INDEX(Balanced_2025!$D$9:$D$3032,MATCH($A588&amp;Keys!$C$54&amp;Keys!$C$55&amp;Keys!$C$54&amp;$C588,Balanced_2025!$E$9:$E$3032,0)))</f>
        <v>0</v>
      </c>
      <c r="H588" s="10">
        <f>IF($E588=Keys!$C$60,Keys!$C$51,INDEX(Balanced_2025!$D$9:$D$3032,MATCH($A588&amp;Keys!$C$54&amp;Keys!$C$56&amp;Keys!$C$54&amp;$C588,Balanced_2025!$E$9:$E$3032,0)))</f>
        <v>3749980000000</v>
      </c>
      <c r="I588" s="10">
        <f>IF($E588=Keys!$C$60,Keys!$C$51,INDEX(Balanced_2025!$D$9:$D$3032,MATCH($A588&amp;Keys!$C$54&amp;Keys!$C$57&amp;Keys!$C$54&amp;$C588,Balanced_2025!$E$9:$E$3032,0)))</f>
        <v>0</v>
      </c>
      <c r="J588" s="10">
        <f t="shared" si="36"/>
        <v>3749980000000</v>
      </c>
      <c r="K588" s="10">
        <f>MAX(Keys!$C$51,$I588-$H588)</f>
        <v>0</v>
      </c>
      <c r="L588" s="10">
        <f t="shared" si="37"/>
        <v>3749980000000</v>
      </c>
      <c r="M588" s="11">
        <f>IF($L588&gt;Keys!$C$51,MIN(Keys!$C$52,$K588/$L588),Keys!$C$51)</f>
        <v>0</v>
      </c>
      <c r="N588" s="11">
        <f>IF($E588=Keys!$C$60,Keys!$C$51,IF($E588=Keys!$C$59,$D588,$M588))</f>
        <v>0</v>
      </c>
      <c r="O588">
        <f t="shared" si="38"/>
        <v>1</v>
      </c>
      <c r="P588" s="10">
        <f>IF($E588=Keys!$C$60,Keys!$C$51,INDEX(Raw_BFPIaE!$G$9:$G$3032,MATCH($A588&amp;Keys!$C$54&amp;Keys!$C$55&amp;Keys!$C$54&amp;$B588,Raw_BFPIaE!$H$9:$H$3032,0)))</f>
        <v>0</v>
      </c>
      <c r="Q588" s="10">
        <f>IF($E588=Keys!$C$60,Keys!$C$51,INDEX(Raw_BFPIaE!$G$9:$G$3032,MATCH($A588&amp;Keys!$C$54&amp;Keys!$C$56&amp;Keys!$C$54&amp;$B588,Raw_BFPIaE!$H$9:$H$3032,0)))</f>
        <v>2521086666666.6665</v>
      </c>
      <c r="R588" s="10">
        <f>IF($E588=Keys!$C$60,Keys!$C$51,INDEX(Raw_BFPIaE!$G$9:$G$3032,MATCH($A588&amp;Keys!$C$54&amp;Keys!$C$57&amp;Keys!$C$54&amp;$B588,Raw_BFPIaE!$H$9:$H$3032,0)))</f>
        <v>0</v>
      </c>
      <c r="S588" s="11">
        <f>IF(($P588+$Q588-$R588+MAX(Keys!$C$51,$R588-$Q588))&gt;Keys!$C$51,MIN(Keys!$C$52,MAX(Keys!$C$51,$R588-$Q588)/($P588+$Q588-$R588+MAX(Keys!$C$51,$R588-$Q588))),Keys!$C$51)</f>
        <v>0</v>
      </c>
      <c r="T588">
        <f>IF(AND($I588&gt;$H588,ABS($L588-$G588)&gt;MAX(Keys!$C$62,ABS($G588)*Keys!$C$63)),1,0)</f>
        <v>0</v>
      </c>
      <c r="U588">
        <f>IF(OR($N588&lt;Keys!$C$51,$N588&gt;Keys!$C$52),1,0)</f>
        <v>0</v>
      </c>
      <c r="V588">
        <f>IF(AND($E588=Keys!$C$60,$N588&lt;&gt;Keys!$C$51),1,0)</f>
        <v>0</v>
      </c>
      <c r="W588">
        <f>IF($L588&gt;Keys!$C$51,IF($K588/$L588&gt;Keys!$C$52,1,0),0)</f>
        <v>0</v>
      </c>
      <c r="X588" s="11">
        <f t="shared" si="39"/>
        <v>0</v>
      </c>
    </row>
    <row r="589" spans="1:24" x14ac:dyDescent="0.25">
      <c r="A589" t="s">
        <v>137</v>
      </c>
      <c r="B589" t="s">
        <v>117</v>
      </c>
      <c r="C589" t="str">
        <f>VLOOKUP($B589,Keys!$F$2:$I$22,2,FALSE)</f>
        <v>LPG propane or butane</v>
      </c>
      <c r="D589">
        <f>VLOOKUP($B589,Keys!$F$2:$I$22,3,FALSE)</f>
        <v>0.54955999499999997</v>
      </c>
      <c r="E589" t="str">
        <f>VLOOKUP($B589,Keys!$F$2:$I$22,4,FALSE)</f>
        <v>rule</v>
      </c>
      <c r="F589" t="str">
        <f>$A589&amp;Keys!$C$54&amp;$B589</f>
        <v>NH|LPG propane or butane</v>
      </c>
      <c r="G589" s="10">
        <f>IF($E589=Keys!$C$60,Keys!$C$51,INDEX(Balanced_2025!$D$9:$D$3032,MATCH($A589&amp;Keys!$C$54&amp;Keys!$C$55&amp;Keys!$C$54&amp;$C589,Balanced_2025!$E$9:$E$3032,0)))</f>
        <v>0</v>
      </c>
      <c r="H589" s="10">
        <f>IF($E589=Keys!$C$60,Keys!$C$51,INDEX(Balanced_2025!$D$9:$D$3032,MATCH($A589&amp;Keys!$C$54&amp;Keys!$C$56&amp;Keys!$C$54&amp;$C589,Balanced_2025!$E$9:$E$3032,0)))</f>
        <v>16961300000000</v>
      </c>
      <c r="I589" s="10">
        <f>IF($E589=Keys!$C$60,Keys!$C$51,INDEX(Balanced_2025!$D$9:$D$3032,MATCH($A589&amp;Keys!$C$54&amp;Keys!$C$57&amp;Keys!$C$54&amp;$C589,Balanced_2025!$E$9:$E$3032,0)))</f>
        <v>0</v>
      </c>
      <c r="J589" s="10">
        <f t="shared" si="36"/>
        <v>16961300000000</v>
      </c>
      <c r="K589" s="10">
        <f>MAX(Keys!$C$51,$I589-$H589)</f>
        <v>0</v>
      </c>
      <c r="L589" s="10">
        <f t="shared" si="37"/>
        <v>16961300000000</v>
      </c>
      <c r="M589" s="11">
        <f>IF($L589&gt;Keys!$C$51,MIN(Keys!$C$52,$K589/$L589),Keys!$C$51)</f>
        <v>0</v>
      </c>
      <c r="N589" s="11">
        <f>IF($E589=Keys!$C$60,Keys!$C$51,IF($E589=Keys!$C$59,$D589,$M589))</f>
        <v>0</v>
      </c>
      <c r="O589">
        <f t="shared" si="38"/>
        <v>1</v>
      </c>
      <c r="P589" s="10">
        <f>IF($E589=Keys!$C$60,Keys!$C$51,INDEX(Raw_BFPIaE!$G$9:$G$3032,MATCH($A589&amp;Keys!$C$54&amp;Keys!$C$55&amp;Keys!$C$54&amp;$B589,Raw_BFPIaE!$H$9:$H$3032,0)))</f>
        <v>0</v>
      </c>
      <c r="Q589" s="10">
        <f>IF($E589=Keys!$C$60,Keys!$C$51,INDEX(Raw_BFPIaE!$G$9:$G$3032,MATCH($A589&amp;Keys!$C$54&amp;Keys!$C$56&amp;Keys!$C$54&amp;$B589,Raw_BFPIaE!$H$9:$H$3032,0)))</f>
        <v>11257933333333.334</v>
      </c>
      <c r="R589" s="10">
        <f>IF($E589=Keys!$C$60,Keys!$C$51,INDEX(Raw_BFPIaE!$G$9:$G$3032,MATCH($A589&amp;Keys!$C$54&amp;Keys!$C$57&amp;Keys!$C$54&amp;$B589,Raw_BFPIaE!$H$9:$H$3032,0)))</f>
        <v>0</v>
      </c>
      <c r="S589" s="11">
        <f>IF(($P589+$Q589-$R589+MAX(Keys!$C$51,$R589-$Q589))&gt;Keys!$C$51,MIN(Keys!$C$52,MAX(Keys!$C$51,$R589-$Q589)/($P589+$Q589-$R589+MAX(Keys!$C$51,$R589-$Q589))),Keys!$C$51)</f>
        <v>0</v>
      </c>
      <c r="T589">
        <f>IF(AND($I589&gt;$H589,ABS($L589-$G589)&gt;MAX(Keys!$C$62,ABS($G589)*Keys!$C$63)),1,0)</f>
        <v>0</v>
      </c>
      <c r="U589">
        <f>IF(OR($N589&lt;Keys!$C$51,$N589&gt;Keys!$C$52),1,0)</f>
        <v>0</v>
      </c>
      <c r="V589">
        <f>IF(AND($E589=Keys!$C$60,$N589&lt;&gt;Keys!$C$51),1,0)</f>
        <v>0</v>
      </c>
      <c r="W589">
        <f>IF($L589&gt;Keys!$C$51,IF($K589/$L589&gt;Keys!$C$52,1,0),0)</f>
        <v>0</v>
      </c>
      <c r="X589" s="11">
        <f t="shared" si="39"/>
        <v>0</v>
      </c>
    </row>
    <row r="590" spans="1:24" x14ac:dyDescent="0.25">
      <c r="A590" t="s">
        <v>137</v>
      </c>
      <c r="B590" t="s">
        <v>120</v>
      </c>
      <c r="C590">
        <f>VLOOKUP($B590,Keys!$F$2:$I$22,2,FALSE)</f>
        <v>0</v>
      </c>
      <c r="D590">
        <f>VLOOKUP($B590,Keys!$F$2:$I$22,3,FALSE)</f>
        <v>0</v>
      </c>
      <c r="E590" t="str">
        <f>VLOOKUP($B590,Keys!$F$2:$I$22,4,FALSE)</f>
        <v>zero</v>
      </c>
      <c r="F590" t="str">
        <f>$A590&amp;Keys!$C$54&amp;$B590</f>
        <v>NH|municipal solid waste</v>
      </c>
      <c r="G590" s="10">
        <f>IF($E590=Keys!$C$60,Keys!$C$51,INDEX(Balanced_2025!$D$9:$D$3032,MATCH($A590&amp;Keys!$C$54&amp;Keys!$C$55&amp;Keys!$C$54&amp;$C590,Balanced_2025!$E$9:$E$3032,0)))</f>
        <v>0</v>
      </c>
      <c r="H590" s="10">
        <f>IF($E590=Keys!$C$60,Keys!$C$51,INDEX(Balanced_2025!$D$9:$D$3032,MATCH($A590&amp;Keys!$C$54&amp;Keys!$C$56&amp;Keys!$C$54&amp;$C590,Balanced_2025!$E$9:$E$3032,0)))</f>
        <v>0</v>
      </c>
      <c r="I590" s="10">
        <f>IF($E590=Keys!$C$60,Keys!$C$51,INDEX(Balanced_2025!$D$9:$D$3032,MATCH($A590&amp;Keys!$C$54&amp;Keys!$C$57&amp;Keys!$C$54&amp;$C590,Balanced_2025!$E$9:$E$3032,0)))</f>
        <v>0</v>
      </c>
      <c r="J590" s="10">
        <f t="shared" si="36"/>
        <v>0</v>
      </c>
      <c r="K590" s="10">
        <f>MAX(Keys!$C$51,$I590-$H590)</f>
        <v>0</v>
      </c>
      <c r="L590" s="10">
        <f t="shared" si="37"/>
        <v>0</v>
      </c>
      <c r="M590" s="11">
        <f>IF($L590&gt;Keys!$C$51,MIN(Keys!$C$52,$K590/$L590),Keys!$C$51)</f>
        <v>0</v>
      </c>
      <c r="N590" s="11">
        <f>IF($E590=Keys!$C$60,Keys!$C$51,IF($E590=Keys!$C$59,$D590,$M590))</f>
        <v>0</v>
      </c>
      <c r="O590">
        <f t="shared" si="38"/>
        <v>0</v>
      </c>
      <c r="P590" s="10">
        <f>IF($E590=Keys!$C$60,Keys!$C$51,INDEX(Raw_BFPIaE!$G$9:$G$3032,MATCH($A590&amp;Keys!$C$54&amp;Keys!$C$55&amp;Keys!$C$54&amp;$B590,Raw_BFPIaE!$H$9:$H$3032,0)))</f>
        <v>0</v>
      </c>
      <c r="Q590" s="10">
        <f>IF($E590=Keys!$C$60,Keys!$C$51,INDEX(Raw_BFPIaE!$G$9:$G$3032,MATCH($A590&amp;Keys!$C$54&amp;Keys!$C$56&amp;Keys!$C$54&amp;$B590,Raw_BFPIaE!$H$9:$H$3032,0)))</f>
        <v>0</v>
      </c>
      <c r="R590" s="10">
        <f>IF($E590=Keys!$C$60,Keys!$C$51,INDEX(Raw_BFPIaE!$G$9:$G$3032,MATCH($A590&amp;Keys!$C$54&amp;Keys!$C$57&amp;Keys!$C$54&amp;$B590,Raw_BFPIaE!$H$9:$H$3032,0)))</f>
        <v>0</v>
      </c>
      <c r="S590" s="11">
        <f>IF(($P590+$Q590-$R590+MAX(Keys!$C$51,$R590-$Q590))&gt;Keys!$C$51,MIN(Keys!$C$52,MAX(Keys!$C$51,$R590-$Q590)/($P590+$Q590-$R590+MAX(Keys!$C$51,$R590-$Q590))),Keys!$C$51)</f>
        <v>0</v>
      </c>
      <c r="T590">
        <f>IF(AND($I590&gt;$H590,ABS($L590-$G590)&gt;MAX(Keys!$C$62,ABS($G590)*Keys!$C$63)),1,0)</f>
        <v>0</v>
      </c>
      <c r="U590">
        <f>IF(OR($N590&lt;Keys!$C$51,$N590&gt;Keys!$C$52),1,0)</f>
        <v>0</v>
      </c>
      <c r="V590">
        <f>IF(AND($E590=Keys!$C$60,$N590&lt;&gt;Keys!$C$51),1,0)</f>
        <v>0</v>
      </c>
      <c r="W590">
        <f>IF($L590&gt;Keys!$C$51,IF($K590/$L590&gt;Keys!$C$52,1,0),0)</f>
        <v>0</v>
      </c>
      <c r="X590" s="11">
        <f t="shared" si="39"/>
        <v>0</v>
      </c>
    </row>
    <row r="591" spans="1:24" x14ac:dyDescent="0.25">
      <c r="A591" t="s">
        <v>137</v>
      </c>
      <c r="B591" t="s">
        <v>123</v>
      </c>
      <c r="C591">
        <f>VLOOKUP($B591,Keys!$F$2:$I$22,2,FALSE)</f>
        <v>0</v>
      </c>
      <c r="D591">
        <f>VLOOKUP($B591,Keys!$F$2:$I$22,3,FALSE)</f>
        <v>0</v>
      </c>
      <c r="E591" t="str">
        <f>VLOOKUP($B591,Keys!$F$2:$I$22,4,FALSE)</f>
        <v>zero</v>
      </c>
      <c r="F591" t="str">
        <f>$A591&amp;Keys!$C$54&amp;$B591</f>
        <v>NH|hydrogen</v>
      </c>
      <c r="G591" s="10">
        <f>IF($E591=Keys!$C$60,Keys!$C$51,INDEX(Balanced_2025!$D$9:$D$3032,MATCH($A591&amp;Keys!$C$54&amp;Keys!$C$55&amp;Keys!$C$54&amp;$C591,Balanced_2025!$E$9:$E$3032,0)))</f>
        <v>0</v>
      </c>
      <c r="H591" s="10">
        <f>IF($E591=Keys!$C$60,Keys!$C$51,INDEX(Balanced_2025!$D$9:$D$3032,MATCH($A591&amp;Keys!$C$54&amp;Keys!$C$56&amp;Keys!$C$54&amp;$C591,Balanced_2025!$E$9:$E$3032,0)))</f>
        <v>0</v>
      </c>
      <c r="I591" s="10">
        <f>IF($E591=Keys!$C$60,Keys!$C$51,INDEX(Balanced_2025!$D$9:$D$3032,MATCH($A591&amp;Keys!$C$54&amp;Keys!$C$57&amp;Keys!$C$54&amp;$C591,Balanced_2025!$E$9:$E$3032,0)))</f>
        <v>0</v>
      </c>
      <c r="J591" s="10">
        <f t="shared" si="36"/>
        <v>0</v>
      </c>
      <c r="K591" s="10">
        <f>MAX(Keys!$C$51,$I591-$H591)</f>
        <v>0</v>
      </c>
      <c r="L591" s="10">
        <f t="shared" si="37"/>
        <v>0</v>
      </c>
      <c r="M591" s="11">
        <f>IF($L591&gt;Keys!$C$51,MIN(Keys!$C$52,$K591/$L591),Keys!$C$51)</f>
        <v>0</v>
      </c>
      <c r="N591" s="11">
        <f>IF($E591=Keys!$C$60,Keys!$C$51,IF($E591=Keys!$C$59,$D591,$M591))</f>
        <v>0</v>
      </c>
      <c r="O591">
        <f t="shared" si="38"/>
        <v>0</v>
      </c>
      <c r="P591" s="10">
        <f>IF($E591=Keys!$C$60,Keys!$C$51,INDEX(Raw_BFPIaE!$G$9:$G$3032,MATCH($A591&amp;Keys!$C$54&amp;Keys!$C$55&amp;Keys!$C$54&amp;$B591,Raw_BFPIaE!$H$9:$H$3032,0)))</f>
        <v>0</v>
      </c>
      <c r="Q591" s="10">
        <f>IF($E591=Keys!$C$60,Keys!$C$51,INDEX(Raw_BFPIaE!$G$9:$G$3032,MATCH($A591&amp;Keys!$C$54&amp;Keys!$C$56&amp;Keys!$C$54&amp;$B591,Raw_BFPIaE!$H$9:$H$3032,0)))</f>
        <v>0</v>
      </c>
      <c r="R591" s="10">
        <f>IF($E591=Keys!$C$60,Keys!$C$51,INDEX(Raw_BFPIaE!$G$9:$G$3032,MATCH($A591&amp;Keys!$C$54&amp;Keys!$C$57&amp;Keys!$C$54&amp;$B591,Raw_BFPIaE!$H$9:$H$3032,0)))</f>
        <v>0</v>
      </c>
      <c r="S591" s="11">
        <f>IF(($P591+$Q591-$R591+MAX(Keys!$C$51,$R591-$Q591))&gt;Keys!$C$51,MIN(Keys!$C$52,MAX(Keys!$C$51,$R591-$Q591)/($P591+$Q591-$R591+MAX(Keys!$C$51,$R591-$Q591))),Keys!$C$51)</f>
        <v>0</v>
      </c>
      <c r="T591">
        <f>IF(AND($I591&gt;$H591,ABS($L591-$G591)&gt;MAX(Keys!$C$62,ABS($G591)*Keys!$C$63)),1,0)</f>
        <v>0</v>
      </c>
      <c r="U591">
        <f>IF(OR($N591&lt;Keys!$C$51,$N591&gt;Keys!$C$52),1,0)</f>
        <v>0</v>
      </c>
      <c r="V591">
        <f>IF(AND($E591=Keys!$C$60,$N591&lt;&gt;Keys!$C$51),1,0)</f>
        <v>0</v>
      </c>
      <c r="W591">
        <f>IF($L591&gt;Keys!$C$51,IF($K591/$L591&gt;Keys!$C$52,1,0),0)</f>
        <v>0</v>
      </c>
      <c r="X591" s="11">
        <f t="shared" si="39"/>
        <v>0</v>
      </c>
    </row>
    <row r="592" spans="1:24" x14ac:dyDescent="0.25">
      <c r="A592" t="s">
        <v>139</v>
      </c>
      <c r="B592" t="s">
        <v>60</v>
      </c>
      <c r="C592">
        <f>VLOOKUP($B592,Keys!$F$2:$I$22,2,FALSE)</f>
        <v>0</v>
      </c>
      <c r="D592">
        <f>VLOOKUP($B592,Keys!$F$2:$I$22,3,FALSE)</f>
        <v>0</v>
      </c>
      <c r="E592" t="str">
        <f>VLOOKUP($B592,Keys!$F$2:$I$22,4,FALSE)</f>
        <v>zero</v>
      </c>
      <c r="F592" t="str">
        <f>$A592&amp;Keys!$C$54&amp;$B592</f>
        <v>NJ|electricity (not used in this variable)</v>
      </c>
      <c r="G592" s="10">
        <f>IF($E592=Keys!$C$60,Keys!$C$51,INDEX(Balanced_2025!$D$9:$D$3032,MATCH($A592&amp;Keys!$C$54&amp;Keys!$C$55&amp;Keys!$C$54&amp;$C592,Balanced_2025!$E$9:$E$3032,0)))</f>
        <v>0</v>
      </c>
      <c r="H592" s="10">
        <f>IF($E592=Keys!$C$60,Keys!$C$51,INDEX(Balanced_2025!$D$9:$D$3032,MATCH($A592&amp;Keys!$C$54&amp;Keys!$C$56&amp;Keys!$C$54&amp;$C592,Balanced_2025!$E$9:$E$3032,0)))</f>
        <v>0</v>
      </c>
      <c r="I592" s="10">
        <f>IF($E592=Keys!$C$60,Keys!$C$51,INDEX(Balanced_2025!$D$9:$D$3032,MATCH($A592&amp;Keys!$C$54&amp;Keys!$C$57&amp;Keys!$C$54&amp;$C592,Balanced_2025!$E$9:$E$3032,0)))</f>
        <v>0</v>
      </c>
      <c r="J592" s="10">
        <f t="shared" si="36"/>
        <v>0</v>
      </c>
      <c r="K592" s="10">
        <f>MAX(Keys!$C$51,$I592-$H592)</f>
        <v>0</v>
      </c>
      <c r="L592" s="10">
        <f t="shared" si="37"/>
        <v>0</v>
      </c>
      <c r="M592" s="11">
        <f>IF($L592&gt;Keys!$C$51,MIN(Keys!$C$52,$K592/$L592),Keys!$C$51)</f>
        <v>0</v>
      </c>
      <c r="N592" s="11">
        <f>IF($E592=Keys!$C$60,Keys!$C$51,IF($E592=Keys!$C$59,$D592,$M592))</f>
        <v>0</v>
      </c>
      <c r="O592">
        <f t="shared" si="38"/>
        <v>0</v>
      </c>
      <c r="P592" s="10">
        <f>IF($E592=Keys!$C$60,Keys!$C$51,INDEX(Raw_BFPIaE!$G$9:$G$3032,MATCH($A592&amp;Keys!$C$54&amp;Keys!$C$55&amp;Keys!$C$54&amp;$B592,Raw_BFPIaE!$H$9:$H$3032,0)))</f>
        <v>0</v>
      </c>
      <c r="Q592" s="10">
        <f>IF($E592=Keys!$C$60,Keys!$C$51,INDEX(Raw_BFPIaE!$G$9:$G$3032,MATCH($A592&amp;Keys!$C$54&amp;Keys!$C$56&amp;Keys!$C$54&amp;$B592,Raw_BFPIaE!$H$9:$H$3032,0)))</f>
        <v>0</v>
      </c>
      <c r="R592" s="10">
        <f>IF($E592=Keys!$C$60,Keys!$C$51,INDEX(Raw_BFPIaE!$G$9:$G$3032,MATCH($A592&amp;Keys!$C$54&amp;Keys!$C$57&amp;Keys!$C$54&amp;$B592,Raw_BFPIaE!$H$9:$H$3032,0)))</f>
        <v>0</v>
      </c>
      <c r="S592" s="11">
        <f>IF(($P592+$Q592-$R592+MAX(Keys!$C$51,$R592-$Q592))&gt;Keys!$C$51,MIN(Keys!$C$52,MAX(Keys!$C$51,$R592-$Q592)/($P592+$Q592-$R592+MAX(Keys!$C$51,$R592-$Q592))),Keys!$C$51)</f>
        <v>0</v>
      </c>
      <c r="T592">
        <f>IF(AND($I592&gt;$H592,ABS($L592-$G592)&gt;MAX(Keys!$C$62,ABS($G592)*Keys!$C$63)),1,0)</f>
        <v>0</v>
      </c>
      <c r="U592">
        <f>IF(OR($N592&lt;Keys!$C$51,$N592&gt;Keys!$C$52),1,0)</f>
        <v>0</v>
      </c>
      <c r="V592">
        <f>IF(AND($E592=Keys!$C$60,$N592&lt;&gt;Keys!$C$51),1,0)</f>
        <v>0</v>
      </c>
      <c r="W592">
        <f>IF($L592&gt;Keys!$C$51,IF($K592/$L592&gt;Keys!$C$52,1,0),0)</f>
        <v>0</v>
      </c>
      <c r="X592" s="11">
        <f t="shared" si="39"/>
        <v>0</v>
      </c>
    </row>
    <row r="593" spans="1:24" x14ac:dyDescent="0.25">
      <c r="A593" t="s">
        <v>139</v>
      </c>
      <c r="B593" t="s">
        <v>64</v>
      </c>
      <c r="C593" t="str">
        <f>VLOOKUP($B593,Keys!$F$2:$I$22,2,FALSE)</f>
        <v>hard coal</v>
      </c>
      <c r="D593">
        <f>VLOOKUP($B593,Keys!$F$2:$I$22,3,FALSE)</f>
        <v>0.137539879</v>
      </c>
      <c r="E593" t="str">
        <f>VLOOKUP($B593,Keys!$F$2:$I$22,4,FALSE)</f>
        <v>rule</v>
      </c>
      <c r="F593" t="str">
        <f>$A593&amp;Keys!$C$54&amp;$B593</f>
        <v>NJ|hard coal</v>
      </c>
      <c r="G593" s="10">
        <f>IF($E593=Keys!$C$60,Keys!$C$51,INDEX(Balanced_2025!$D$9:$D$3032,MATCH($A593&amp;Keys!$C$54&amp;Keys!$C$55&amp;Keys!$C$54&amp;$C593,Balanced_2025!$E$9:$E$3032,0)))</f>
        <v>0</v>
      </c>
      <c r="H593" s="10">
        <f>IF($E593=Keys!$C$60,Keys!$C$51,INDEX(Balanced_2025!$D$9:$D$3032,MATCH($A593&amp;Keys!$C$54&amp;Keys!$C$56&amp;Keys!$C$54&amp;$C593,Balanced_2025!$E$9:$E$3032,0)))</f>
        <v>0</v>
      </c>
      <c r="I593" s="10">
        <f>IF($E593=Keys!$C$60,Keys!$C$51,INDEX(Balanced_2025!$D$9:$D$3032,MATCH($A593&amp;Keys!$C$54&amp;Keys!$C$57&amp;Keys!$C$54&amp;$C593,Balanced_2025!$E$9:$E$3032,0)))</f>
        <v>0</v>
      </c>
      <c r="J593" s="10">
        <f t="shared" si="36"/>
        <v>0</v>
      </c>
      <c r="K593" s="10">
        <f>MAX(Keys!$C$51,$I593-$H593)</f>
        <v>0</v>
      </c>
      <c r="L593" s="10">
        <f t="shared" si="37"/>
        <v>0</v>
      </c>
      <c r="M593" s="11">
        <f>IF($L593&gt;Keys!$C$51,MIN(Keys!$C$52,$K593/$L593),Keys!$C$51)</f>
        <v>0</v>
      </c>
      <c r="N593" s="11">
        <f>IF($E593=Keys!$C$60,Keys!$C$51,IF($E593=Keys!$C$59,$D593,$M593))</f>
        <v>0</v>
      </c>
      <c r="O593">
        <f t="shared" si="38"/>
        <v>1</v>
      </c>
      <c r="P593" s="10">
        <f>IF($E593=Keys!$C$60,Keys!$C$51,INDEX(Raw_BFPIaE!$G$9:$G$3032,MATCH($A593&amp;Keys!$C$54&amp;Keys!$C$55&amp;Keys!$C$54&amp;$B593,Raw_BFPIaE!$H$9:$H$3032,0)))</f>
        <v>0</v>
      </c>
      <c r="Q593" s="10">
        <f>IF($E593=Keys!$C$60,Keys!$C$51,INDEX(Raw_BFPIaE!$G$9:$G$3032,MATCH($A593&amp;Keys!$C$54&amp;Keys!$C$56&amp;Keys!$C$54&amp;$B593,Raw_BFPIaE!$H$9:$H$3032,0)))</f>
        <v>0</v>
      </c>
      <c r="R593" s="10">
        <f>IF($E593=Keys!$C$60,Keys!$C$51,INDEX(Raw_BFPIaE!$G$9:$G$3032,MATCH($A593&amp;Keys!$C$54&amp;Keys!$C$57&amp;Keys!$C$54&amp;$B593,Raw_BFPIaE!$H$9:$H$3032,0)))</f>
        <v>0</v>
      </c>
      <c r="S593" s="11">
        <f>IF(($P593+$Q593-$R593+MAX(Keys!$C$51,$R593-$Q593))&gt;Keys!$C$51,MIN(Keys!$C$52,MAX(Keys!$C$51,$R593-$Q593)/($P593+$Q593-$R593+MAX(Keys!$C$51,$R593-$Q593))),Keys!$C$51)</f>
        <v>0</v>
      </c>
      <c r="T593">
        <f>IF(AND($I593&gt;$H593,ABS($L593-$G593)&gt;MAX(Keys!$C$62,ABS($G593)*Keys!$C$63)),1,0)</f>
        <v>0</v>
      </c>
      <c r="U593">
        <f>IF(OR($N593&lt;Keys!$C$51,$N593&gt;Keys!$C$52),1,0)</f>
        <v>0</v>
      </c>
      <c r="V593">
        <f>IF(AND($E593=Keys!$C$60,$N593&lt;&gt;Keys!$C$51),1,0)</f>
        <v>0</v>
      </c>
      <c r="W593">
        <f>IF($L593&gt;Keys!$C$51,IF($K593/$L593&gt;Keys!$C$52,1,0),0)</f>
        <v>0</v>
      </c>
      <c r="X593" s="11">
        <f t="shared" si="39"/>
        <v>0</v>
      </c>
    </row>
    <row r="594" spans="1:24" x14ac:dyDescent="0.25">
      <c r="A594" t="s">
        <v>139</v>
      </c>
      <c r="B594" t="s">
        <v>68</v>
      </c>
      <c r="C594" t="str">
        <f>VLOOKUP($B594,Keys!$F$2:$I$22,2,FALSE)</f>
        <v>natural gas</v>
      </c>
      <c r="D594">
        <f>VLOOKUP($B594,Keys!$F$2:$I$22,3,FALSE)</f>
        <v>0.190839183</v>
      </c>
      <c r="E594" t="str">
        <f>VLOOKUP($B594,Keys!$F$2:$I$22,4,FALSE)</f>
        <v>rule</v>
      </c>
      <c r="F594" t="str">
        <f>$A594&amp;Keys!$C$54&amp;$B594</f>
        <v>NJ|natural gas</v>
      </c>
      <c r="G594" s="10">
        <f>IF($E594=Keys!$C$60,Keys!$C$51,INDEX(Balanced_2025!$D$9:$D$3032,MATCH($A594&amp;Keys!$C$54&amp;Keys!$C$55&amp;Keys!$C$54&amp;$C594,Balanced_2025!$E$9:$E$3032,0)))</f>
        <v>0</v>
      </c>
      <c r="H594" s="10">
        <f>IF($E594=Keys!$C$60,Keys!$C$51,INDEX(Balanced_2025!$D$9:$D$3032,MATCH($A594&amp;Keys!$C$54&amp;Keys!$C$56&amp;Keys!$C$54&amp;$C594,Balanced_2025!$E$9:$E$3032,0)))</f>
        <v>1458800000000000</v>
      </c>
      <c r="I594" s="10">
        <f>IF($E594=Keys!$C$60,Keys!$C$51,INDEX(Balanced_2025!$D$9:$D$3032,MATCH($A594&amp;Keys!$C$54&amp;Keys!$C$57&amp;Keys!$C$54&amp;$C594,Balanced_2025!$E$9:$E$3032,0)))</f>
        <v>789327000000000</v>
      </c>
      <c r="J594" s="10">
        <f t="shared" si="36"/>
        <v>669473000000000</v>
      </c>
      <c r="K594" s="10">
        <f>MAX(Keys!$C$51,$I594-$H594)</f>
        <v>0</v>
      </c>
      <c r="L594" s="10">
        <f t="shared" si="37"/>
        <v>669473000000000</v>
      </c>
      <c r="M594" s="11">
        <f>IF($L594&gt;Keys!$C$51,MIN(Keys!$C$52,$K594/$L594),Keys!$C$51)</f>
        <v>0</v>
      </c>
      <c r="N594" s="11">
        <f>IF($E594=Keys!$C$60,Keys!$C$51,IF($E594=Keys!$C$59,$D594,$M594))</f>
        <v>0</v>
      </c>
      <c r="O594">
        <f t="shared" si="38"/>
        <v>1</v>
      </c>
      <c r="P594" s="10">
        <f>IF($E594=Keys!$C$60,Keys!$C$51,INDEX(Raw_BFPIaE!$G$9:$G$3032,MATCH($A594&amp;Keys!$C$54&amp;Keys!$C$55&amp;Keys!$C$54&amp;$B594,Raw_BFPIaE!$H$9:$H$3032,0)))</f>
        <v>0</v>
      </c>
      <c r="Q594" s="10">
        <f>IF($E594=Keys!$C$60,Keys!$C$51,INDEX(Raw_BFPIaE!$G$9:$G$3032,MATCH($A594&amp;Keys!$C$54&amp;Keys!$C$56&amp;Keys!$C$54&amp;$B594,Raw_BFPIaE!$H$9:$H$3032,0)))</f>
        <v>1521263333333333.3</v>
      </c>
      <c r="R594" s="10">
        <f>IF($E594=Keys!$C$60,Keys!$C$51,INDEX(Raw_BFPIaE!$G$9:$G$3032,MATCH($A594&amp;Keys!$C$54&amp;Keys!$C$57&amp;Keys!$C$54&amp;$B594,Raw_BFPIaE!$H$9:$H$3032,0)))</f>
        <v>790144333333333.38</v>
      </c>
      <c r="S594" s="11">
        <f>IF(($P594+$Q594-$R594+MAX(Keys!$C$51,$R594-$Q594))&gt;Keys!$C$51,MIN(Keys!$C$52,MAX(Keys!$C$51,$R594-$Q594)/($P594+$Q594-$R594+MAX(Keys!$C$51,$R594-$Q594))),Keys!$C$51)</f>
        <v>0</v>
      </c>
      <c r="T594">
        <f>IF(AND($I594&gt;$H594,ABS($L594-$G594)&gt;MAX(Keys!$C$62,ABS($G594)*Keys!$C$63)),1,0)</f>
        <v>0</v>
      </c>
      <c r="U594">
        <f>IF(OR($N594&lt;Keys!$C$51,$N594&gt;Keys!$C$52),1,0)</f>
        <v>0</v>
      </c>
      <c r="V594">
        <f>IF(AND($E594=Keys!$C$60,$N594&lt;&gt;Keys!$C$51),1,0)</f>
        <v>0</v>
      </c>
      <c r="W594">
        <f>IF($L594&gt;Keys!$C$51,IF($K594/$L594&gt;Keys!$C$52,1,0),0)</f>
        <v>0</v>
      </c>
      <c r="X594" s="11">
        <f t="shared" si="39"/>
        <v>0</v>
      </c>
    </row>
    <row r="595" spans="1:24" x14ac:dyDescent="0.25">
      <c r="A595" t="s">
        <v>139</v>
      </c>
      <c r="B595" t="s">
        <v>71</v>
      </c>
      <c r="C595">
        <f>VLOOKUP($B595,Keys!$F$2:$I$22,2,FALSE)</f>
        <v>0</v>
      </c>
      <c r="D595">
        <f>VLOOKUP($B595,Keys!$F$2:$I$22,3,FALSE)</f>
        <v>0</v>
      </c>
      <c r="E595" t="str">
        <f>VLOOKUP($B595,Keys!$F$2:$I$22,4,FALSE)</f>
        <v>zero</v>
      </c>
      <c r="F595" t="str">
        <f>$A595&amp;Keys!$C$54&amp;$B595</f>
        <v>NJ|nuclear</v>
      </c>
      <c r="G595" s="10">
        <f>IF($E595=Keys!$C$60,Keys!$C$51,INDEX(Balanced_2025!$D$9:$D$3032,MATCH($A595&amp;Keys!$C$54&amp;Keys!$C$55&amp;Keys!$C$54&amp;$C595,Balanced_2025!$E$9:$E$3032,0)))</f>
        <v>0</v>
      </c>
      <c r="H595" s="10">
        <f>IF($E595=Keys!$C$60,Keys!$C$51,INDEX(Balanced_2025!$D$9:$D$3032,MATCH($A595&amp;Keys!$C$54&amp;Keys!$C$56&amp;Keys!$C$54&amp;$C595,Balanced_2025!$E$9:$E$3032,0)))</f>
        <v>0</v>
      </c>
      <c r="I595" s="10">
        <f>IF($E595=Keys!$C$60,Keys!$C$51,INDEX(Balanced_2025!$D$9:$D$3032,MATCH($A595&amp;Keys!$C$54&amp;Keys!$C$57&amp;Keys!$C$54&amp;$C595,Balanced_2025!$E$9:$E$3032,0)))</f>
        <v>0</v>
      </c>
      <c r="J595" s="10">
        <f t="shared" si="36"/>
        <v>0</v>
      </c>
      <c r="K595" s="10">
        <f>MAX(Keys!$C$51,$I595-$H595)</f>
        <v>0</v>
      </c>
      <c r="L595" s="10">
        <f t="shared" si="37"/>
        <v>0</v>
      </c>
      <c r="M595" s="11">
        <f>IF($L595&gt;Keys!$C$51,MIN(Keys!$C$52,$K595/$L595),Keys!$C$51)</f>
        <v>0</v>
      </c>
      <c r="N595" s="11">
        <f>IF($E595=Keys!$C$60,Keys!$C$51,IF($E595=Keys!$C$59,$D595,$M595))</f>
        <v>0</v>
      </c>
      <c r="O595">
        <f t="shared" si="38"/>
        <v>0</v>
      </c>
      <c r="P595" s="10">
        <f>IF($E595=Keys!$C$60,Keys!$C$51,INDEX(Raw_BFPIaE!$G$9:$G$3032,MATCH($A595&amp;Keys!$C$54&amp;Keys!$C$55&amp;Keys!$C$54&amp;$B595,Raw_BFPIaE!$H$9:$H$3032,0)))</f>
        <v>0</v>
      </c>
      <c r="Q595" s="10">
        <f>IF($E595=Keys!$C$60,Keys!$C$51,INDEX(Raw_BFPIaE!$G$9:$G$3032,MATCH($A595&amp;Keys!$C$54&amp;Keys!$C$56&amp;Keys!$C$54&amp;$B595,Raw_BFPIaE!$H$9:$H$3032,0)))</f>
        <v>0</v>
      </c>
      <c r="R595" s="10">
        <f>IF($E595=Keys!$C$60,Keys!$C$51,INDEX(Raw_BFPIaE!$G$9:$G$3032,MATCH($A595&amp;Keys!$C$54&amp;Keys!$C$57&amp;Keys!$C$54&amp;$B595,Raw_BFPIaE!$H$9:$H$3032,0)))</f>
        <v>0</v>
      </c>
      <c r="S595" s="11">
        <f>IF(($P595+$Q595-$R595+MAX(Keys!$C$51,$R595-$Q595))&gt;Keys!$C$51,MIN(Keys!$C$52,MAX(Keys!$C$51,$R595-$Q595)/($P595+$Q595-$R595+MAX(Keys!$C$51,$R595-$Q595))),Keys!$C$51)</f>
        <v>0</v>
      </c>
      <c r="T595">
        <f>IF(AND($I595&gt;$H595,ABS($L595-$G595)&gt;MAX(Keys!$C$62,ABS($G595)*Keys!$C$63)),1,0)</f>
        <v>0</v>
      </c>
      <c r="U595">
        <f>IF(OR($N595&lt;Keys!$C$51,$N595&gt;Keys!$C$52),1,0)</f>
        <v>0</v>
      </c>
      <c r="V595">
        <f>IF(AND($E595=Keys!$C$60,$N595&lt;&gt;Keys!$C$51),1,0)</f>
        <v>0</v>
      </c>
      <c r="W595">
        <f>IF($L595&gt;Keys!$C$51,IF($K595/$L595&gt;Keys!$C$52,1,0),0)</f>
        <v>0</v>
      </c>
      <c r="X595" s="11">
        <f t="shared" si="39"/>
        <v>0</v>
      </c>
    </row>
    <row r="596" spans="1:24" x14ac:dyDescent="0.25">
      <c r="A596" t="s">
        <v>139</v>
      </c>
      <c r="B596" t="s">
        <v>74</v>
      </c>
      <c r="C596">
        <f>VLOOKUP($B596,Keys!$F$2:$I$22,2,FALSE)</f>
        <v>0</v>
      </c>
      <c r="D596">
        <f>VLOOKUP($B596,Keys!$F$2:$I$22,3,FALSE)</f>
        <v>0</v>
      </c>
      <c r="E596" t="str">
        <f>VLOOKUP($B596,Keys!$F$2:$I$22,4,FALSE)</f>
        <v>zero</v>
      </c>
      <c r="F596" t="str">
        <f>$A596&amp;Keys!$C$54&amp;$B596</f>
        <v>NJ|hydro (is not a fuel)</v>
      </c>
      <c r="G596" s="10">
        <f>IF($E596=Keys!$C$60,Keys!$C$51,INDEX(Balanced_2025!$D$9:$D$3032,MATCH($A596&amp;Keys!$C$54&amp;Keys!$C$55&amp;Keys!$C$54&amp;$C596,Balanced_2025!$E$9:$E$3032,0)))</f>
        <v>0</v>
      </c>
      <c r="H596" s="10">
        <f>IF($E596=Keys!$C$60,Keys!$C$51,INDEX(Balanced_2025!$D$9:$D$3032,MATCH($A596&amp;Keys!$C$54&amp;Keys!$C$56&amp;Keys!$C$54&amp;$C596,Balanced_2025!$E$9:$E$3032,0)))</f>
        <v>0</v>
      </c>
      <c r="I596" s="10">
        <f>IF($E596=Keys!$C$60,Keys!$C$51,INDEX(Balanced_2025!$D$9:$D$3032,MATCH($A596&amp;Keys!$C$54&amp;Keys!$C$57&amp;Keys!$C$54&amp;$C596,Balanced_2025!$E$9:$E$3032,0)))</f>
        <v>0</v>
      </c>
      <c r="J596" s="10">
        <f t="shared" si="36"/>
        <v>0</v>
      </c>
      <c r="K596" s="10">
        <f>MAX(Keys!$C$51,$I596-$H596)</f>
        <v>0</v>
      </c>
      <c r="L596" s="10">
        <f t="shared" si="37"/>
        <v>0</v>
      </c>
      <c r="M596" s="11">
        <f>IF($L596&gt;Keys!$C$51,MIN(Keys!$C$52,$K596/$L596),Keys!$C$51)</f>
        <v>0</v>
      </c>
      <c r="N596" s="11">
        <f>IF($E596=Keys!$C$60,Keys!$C$51,IF($E596=Keys!$C$59,$D596,$M596))</f>
        <v>0</v>
      </c>
      <c r="O596">
        <f t="shared" si="38"/>
        <v>0</v>
      </c>
      <c r="P596" s="10">
        <f>IF($E596=Keys!$C$60,Keys!$C$51,INDEX(Raw_BFPIaE!$G$9:$G$3032,MATCH($A596&amp;Keys!$C$54&amp;Keys!$C$55&amp;Keys!$C$54&amp;$B596,Raw_BFPIaE!$H$9:$H$3032,0)))</f>
        <v>0</v>
      </c>
      <c r="Q596" s="10">
        <f>IF($E596=Keys!$C$60,Keys!$C$51,INDEX(Raw_BFPIaE!$G$9:$G$3032,MATCH($A596&amp;Keys!$C$54&amp;Keys!$C$56&amp;Keys!$C$54&amp;$B596,Raw_BFPIaE!$H$9:$H$3032,0)))</f>
        <v>0</v>
      </c>
      <c r="R596" s="10">
        <f>IF($E596=Keys!$C$60,Keys!$C$51,INDEX(Raw_BFPIaE!$G$9:$G$3032,MATCH($A596&amp;Keys!$C$54&amp;Keys!$C$57&amp;Keys!$C$54&amp;$B596,Raw_BFPIaE!$H$9:$H$3032,0)))</f>
        <v>0</v>
      </c>
      <c r="S596" s="11">
        <f>IF(($P596+$Q596-$R596+MAX(Keys!$C$51,$R596-$Q596))&gt;Keys!$C$51,MIN(Keys!$C$52,MAX(Keys!$C$51,$R596-$Q596)/($P596+$Q596-$R596+MAX(Keys!$C$51,$R596-$Q596))),Keys!$C$51)</f>
        <v>0</v>
      </c>
      <c r="T596">
        <f>IF(AND($I596&gt;$H596,ABS($L596-$G596)&gt;MAX(Keys!$C$62,ABS($G596)*Keys!$C$63)),1,0)</f>
        <v>0</v>
      </c>
      <c r="U596">
        <f>IF(OR($N596&lt;Keys!$C$51,$N596&gt;Keys!$C$52),1,0)</f>
        <v>0</v>
      </c>
      <c r="V596">
        <f>IF(AND($E596=Keys!$C$60,$N596&lt;&gt;Keys!$C$51),1,0)</f>
        <v>0</v>
      </c>
      <c r="W596">
        <f>IF($L596&gt;Keys!$C$51,IF($K596/$L596&gt;Keys!$C$52,1,0),0)</f>
        <v>0</v>
      </c>
      <c r="X596" s="11">
        <f t="shared" si="39"/>
        <v>0</v>
      </c>
    </row>
    <row r="597" spans="1:24" x14ac:dyDescent="0.25">
      <c r="A597" t="s">
        <v>139</v>
      </c>
      <c r="B597" t="s">
        <v>77</v>
      </c>
      <c r="C597">
        <f>VLOOKUP($B597,Keys!$F$2:$I$22,2,FALSE)</f>
        <v>0</v>
      </c>
      <c r="D597">
        <f>VLOOKUP($B597,Keys!$F$2:$I$22,3,FALSE)</f>
        <v>0</v>
      </c>
      <c r="E597" t="str">
        <f>VLOOKUP($B597,Keys!$F$2:$I$22,4,FALSE)</f>
        <v>zero</v>
      </c>
      <c r="F597" t="str">
        <f>$A597&amp;Keys!$C$54&amp;$B597</f>
        <v>NJ|wind (is not a fuel)</v>
      </c>
      <c r="G597" s="10">
        <f>IF($E597=Keys!$C$60,Keys!$C$51,INDEX(Balanced_2025!$D$9:$D$3032,MATCH($A597&amp;Keys!$C$54&amp;Keys!$C$55&amp;Keys!$C$54&amp;$C597,Balanced_2025!$E$9:$E$3032,0)))</f>
        <v>0</v>
      </c>
      <c r="H597" s="10">
        <f>IF($E597=Keys!$C$60,Keys!$C$51,INDEX(Balanced_2025!$D$9:$D$3032,MATCH($A597&amp;Keys!$C$54&amp;Keys!$C$56&amp;Keys!$C$54&amp;$C597,Balanced_2025!$E$9:$E$3032,0)))</f>
        <v>0</v>
      </c>
      <c r="I597" s="10">
        <f>IF($E597=Keys!$C$60,Keys!$C$51,INDEX(Balanced_2025!$D$9:$D$3032,MATCH($A597&amp;Keys!$C$54&amp;Keys!$C$57&amp;Keys!$C$54&amp;$C597,Balanced_2025!$E$9:$E$3032,0)))</f>
        <v>0</v>
      </c>
      <c r="J597" s="10">
        <f t="shared" si="36"/>
        <v>0</v>
      </c>
      <c r="K597" s="10">
        <f>MAX(Keys!$C$51,$I597-$H597)</f>
        <v>0</v>
      </c>
      <c r="L597" s="10">
        <f t="shared" si="37"/>
        <v>0</v>
      </c>
      <c r="M597" s="11">
        <f>IF($L597&gt;Keys!$C$51,MIN(Keys!$C$52,$K597/$L597),Keys!$C$51)</f>
        <v>0</v>
      </c>
      <c r="N597" s="11">
        <f>IF($E597=Keys!$C$60,Keys!$C$51,IF($E597=Keys!$C$59,$D597,$M597))</f>
        <v>0</v>
      </c>
      <c r="O597">
        <f t="shared" si="38"/>
        <v>0</v>
      </c>
      <c r="P597" s="10">
        <f>IF($E597=Keys!$C$60,Keys!$C$51,INDEX(Raw_BFPIaE!$G$9:$G$3032,MATCH($A597&amp;Keys!$C$54&amp;Keys!$C$55&amp;Keys!$C$54&amp;$B597,Raw_BFPIaE!$H$9:$H$3032,0)))</f>
        <v>0</v>
      </c>
      <c r="Q597" s="10">
        <f>IF($E597=Keys!$C$60,Keys!$C$51,INDEX(Raw_BFPIaE!$G$9:$G$3032,MATCH($A597&amp;Keys!$C$54&amp;Keys!$C$56&amp;Keys!$C$54&amp;$B597,Raw_BFPIaE!$H$9:$H$3032,0)))</f>
        <v>0</v>
      </c>
      <c r="R597" s="10">
        <f>IF($E597=Keys!$C$60,Keys!$C$51,INDEX(Raw_BFPIaE!$G$9:$G$3032,MATCH($A597&amp;Keys!$C$54&amp;Keys!$C$57&amp;Keys!$C$54&amp;$B597,Raw_BFPIaE!$H$9:$H$3032,0)))</f>
        <v>0</v>
      </c>
      <c r="S597" s="11">
        <f>IF(($P597+$Q597-$R597+MAX(Keys!$C$51,$R597-$Q597))&gt;Keys!$C$51,MIN(Keys!$C$52,MAX(Keys!$C$51,$R597-$Q597)/($P597+$Q597-$R597+MAX(Keys!$C$51,$R597-$Q597))),Keys!$C$51)</f>
        <v>0</v>
      </c>
      <c r="T597">
        <f>IF(AND($I597&gt;$H597,ABS($L597-$G597)&gt;MAX(Keys!$C$62,ABS($G597)*Keys!$C$63)),1,0)</f>
        <v>0</v>
      </c>
      <c r="U597">
        <f>IF(OR($N597&lt;Keys!$C$51,$N597&gt;Keys!$C$52),1,0)</f>
        <v>0</v>
      </c>
      <c r="V597">
        <f>IF(AND($E597=Keys!$C$60,$N597&lt;&gt;Keys!$C$51),1,0)</f>
        <v>0</v>
      </c>
      <c r="W597">
        <f>IF($L597&gt;Keys!$C$51,IF($K597/$L597&gt;Keys!$C$52,1,0),0)</f>
        <v>0</v>
      </c>
      <c r="X597" s="11">
        <f t="shared" si="39"/>
        <v>0</v>
      </c>
    </row>
    <row r="598" spans="1:24" x14ac:dyDescent="0.25">
      <c r="A598" t="s">
        <v>139</v>
      </c>
      <c r="B598" t="s">
        <v>80</v>
      </c>
      <c r="C598">
        <f>VLOOKUP($B598,Keys!$F$2:$I$22,2,FALSE)</f>
        <v>0</v>
      </c>
      <c r="D598">
        <f>VLOOKUP($B598,Keys!$F$2:$I$22,3,FALSE)</f>
        <v>0</v>
      </c>
      <c r="E598" t="str">
        <f>VLOOKUP($B598,Keys!$F$2:$I$22,4,FALSE)</f>
        <v>zero</v>
      </c>
      <c r="F598" t="str">
        <f>$A598&amp;Keys!$C$54&amp;$B598</f>
        <v>NJ|solar (is not a fuel)</v>
      </c>
      <c r="G598" s="10">
        <f>IF($E598=Keys!$C$60,Keys!$C$51,INDEX(Balanced_2025!$D$9:$D$3032,MATCH($A598&amp;Keys!$C$54&amp;Keys!$C$55&amp;Keys!$C$54&amp;$C598,Balanced_2025!$E$9:$E$3032,0)))</f>
        <v>0</v>
      </c>
      <c r="H598" s="10">
        <f>IF($E598=Keys!$C$60,Keys!$C$51,INDEX(Balanced_2025!$D$9:$D$3032,MATCH($A598&amp;Keys!$C$54&amp;Keys!$C$56&amp;Keys!$C$54&amp;$C598,Balanced_2025!$E$9:$E$3032,0)))</f>
        <v>0</v>
      </c>
      <c r="I598" s="10">
        <f>IF($E598=Keys!$C$60,Keys!$C$51,INDEX(Balanced_2025!$D$9:$D$3032,MATCH($A598&amp;Keys!$C$54&amp;Keys!$C$57&amp;Keys!$C$54&amp;$C598,Balanced_2025!$E$9:$E$3032,0)))</f>
        <v>0</v>
      </c>
      <c r="J598" s="10">
        <f t="shared" si="36"/>
        <v>0</v>
      </c>
      <c r="K598" s="10">
        <f>MAX(Keys!$C$51,$I598-$H598)</f>
        <v>0</v>
      </c>
      <c r="L598" s="10">
        <f t="shared" si="37"/>
        <v>0</v>
      </c>
      <c r="M598" s="11">
        <f>IF($L598&gt;Keys!$C$51,MIN(Keys!$C$52,$K598/$L598),Keys!$C$51)</f>
        <v>0</v>
      </c>
      <c r="N598" s="11">
        <f>IF($E598=Keys!$C$60,Keys!$C$51,IF($E598=Keys!$C$59,$D598,$M598))</f>
        <v>0</v>
      </c>
      <c r="O598">
        <f t="shared" si="38"/>
        <v>0</v>
      </c>
      <c r="P598" s="10">
        <f>IF($E598=Keys!$C$60,Keys!$C$51,INDEX(Raw_BFPIaE!$G$9:$G$3032,MATCH($A598&amp;Keys!$C$54&amp;Keys!$C$55&amp;Keys!$C$54&amp;$B598,Raw_BFPIaE!$H$9:$H$3032,0)))</f>
        <v>0</v>
      </c>
      <c r="Q598" s="10">
        <f>IF($E598=Keys!$C$60,Keys!$C$51,INDEX(Raw_BFPIaE!$G$9:$G$3032,MATCH($A598&amp;Keys!$C$54&amp;Keys!$C$56&amp;Keys!$C$54&amp;$B598,Raw_BFPIaE!$H$9:$H$3032,0)))</f>
        <v>0</v>
      </c>
      <c r="R598" s="10">
        <f>IF($E598=Keys!$C$60,Keys!$C$51,INDEX(Raw_BFPIaE!$G$9:$G$3032,MATCH($A598&amp;Keys!$C$54&amp;Keys!$C$57&amp;Keys!$C$54&amp;$B598,Raw_BFPIaE!$H$9:$H$3032,0)))</f>
        <v>0</v>
      </c>
      <c r="S598" s="11">
        <f>IF(($P598+$Q598-$R598+MAX(Keys!$C$51,$R598-$Q598))&gt;Keys!$C$51,MIN(Keys!$C$52,MAX(Keys!$C$51,$R598-$Q598)/($P598+$Q598-$R598+MAX(Keys!$C$51,$R598-$Q598))),Keys!$C$51)</f>
        <v>0</v>
      </c>
      <c r="T598">
        <f>IF(AND($I598&gt;$H598,ABS($L598-$G598)&gt;MAX(Keys!$C$62,ABS($G598)*Keys!$C$63)),1,0)</f>
        <v>0</v>
      </c>
      <c r="U598">
        <f>IF(OR($N598&lt;Keys!$C$51,$N598&gt;Keys!$C$52),1,0)</f>
        <v>0</v>
      </c>
      <c r="V598">
        <f>IF(AND($E598=Keys!$C$60,$N598&lt;&gt;Keys!$C$51),1,0)</f>
        <v>0</v>
      </c>
      <c r="W598">
        <f>IF($L598&gt;Keys!$C$51,IF($K598/$L598&gt;Keys!$C$52,1,0),0)</f>
        <v>0</v>
      </c>
      <c r="X598" s="11">
        <f t="shared" si="39"/>
        <v>0</v>
      </c>
    </row>
    <row r="599" spans="1:24" x14ac:dyDescent="0.25">
      <c r="A599" t="s">
        <v>139</v>
      </c>
      <c r="B599" t="s">
        <v>82</v>
      </c>
      <c r="C599" t="str">
        <f>VLOOKUP($B599,Keys!$F$2:$I$22,2,FALSE)</f>
        <v>biomass</v>
      </c>
      <c r="D599">
        <f>VLOOKUP($B599,Keys!$F$2:$I$22,3,FALSE)</f>
        <v>0.74947425499999998</v>
      </c>
      <c r="E599" t="str">
        <f>VLOOKUP($B599,Keys!$F$2:$I$22,4,FALSE)</f>
        <v>rule</v>
      </c>
      <c r="F599" t="str">
        <f>$A599&amp;Keys!$C$54&amp;$B599</f>
        <v>NJ|biomass</v>
      </c>
      <c r="G599" s="10">
        <f>IF($E599=Keys!$C$60,Keys!$C$51,INDEX(Balanced_2025!$D$9:$D$3032,MATCH($A599&amp;Keys!$C$54&amp;Keys!$C$55&amp;Keys!$C$54&amp;$C599,Balanced_2025!$E$9:$E$3032,0)))</f>
        <v>0</v>
      </c>
      <c r="H599" s="10">
        <f>IF($E599=Keys!$C$60,Keys!$C$51,INDEX(Balanced_2025!$D$9:$D$3032,MATCH($A599&amp;Keys!$C$54&amp;Keys!$C$56&amp;Keys!$C$54&amp;$C599,Balanced_2025!$E$9:$E$3032,0)))</f>
        <v>17251400000000</v>
      </c>
      <c r="I599" s="10">
        <f>IF($E599=Keys!$C$60,Keys!$C$51,INDEX(Balanced_2025!$D$9:$D$3032,MATCH($A599&amp;Keys!$C$54&amp;Keys!$C$57&amp;Keys!$C$54&amp;$C599,Balanced_2025!$E$9:$E$3032,0)))</f>
        <v>0</v>
      </c>
      <c r="J599" s="10">
        <f t="shared" si="36"/>
        <v>17251400000000</v>
      </c>
      <c r="K599" s="10">
        <f>MAX(Keys!$C$51,$I599-$H599)</f>
        <v>0</v>
      </c>
      <c r="L599" s="10">
        <f t="shared" si="37"/>
        <v>17251400000000</v>
      </c>
      <c r="M599" s="11">
        <f>IF($L599&gt;Keys!$C$51,MIN(Keys!$C$52,$K599/$L599),Keys!$C$51)</f>
        <v>0</v>
      </c>
      <c r="N599" s="11">
        <f>IF($E599=Keys!$C$60,Keys!$C$51,IF($E599=Keys!$C$59,$D599,$M599))</f>
        <v>0</v>
      </c>
      <c r="O599">
        <f t="shared" si="38"/>
        <v>1</v>
      </c>
      <c r="P599" s="10">
        <f>IF($E599=Keys!$C$60,Keys!$C$51,INDEX(Raw_BFPIaE!$G$9:$G$3032,MATCH($A599&amp;Keys!$C$54&amp;Keys!$C$55&amp;Keys!$C$54&amp;$B599,Raw_BFPIaE!$H$9:$H$3032,0)))</f>
        <v>0</v>
      </c>
      <c r="Q599" s="10">
        <f>IF($E599=Keys!$C$60,Keys!$C$51,INDEX(Raw_BFPIaE!$G$9:$G$3032,MATCH($A599&amp;Keys!$C$54&amp;Keys!$C$56&amp;Keys!$C$54&amp;$B599,Raw_BFPIaE!$H$9:$H$3032,0)))</f>
        <v>11303466666666.666</v>
      </c>
      <c r="R599" s="10">
        <f>IF($E599=Keys!$C$60,Keys!$C$51,INDEX(Raw_BFPIaE!$G$9:$G$3032,MATCH($A599&amp;Keys!$C$54&amp;Keys!$C$57&amp;Keys!$C$54&amp;$B599,Raw_BFPIaE!$H$9:$H$3032,0)))</f>
        <v>0</v>
      </c>
      <c r="S599" s="11">
        <f>IF(($P599+$Q599-$R599+MAX(Keys!$C$51,$R599-$Q599))&gt;Keys!$C$51,MIN(Keys!$C$52,MAX(Keys!$C$51,$R599-$Q599)/($P599+$Q599-$R599+MAX(Keys!$C$51,$R599-$Q599))),Keys!$C$51)</f>
        <v>0</v>
      </c>
      <c r="T599">
        <f>IF(AND($I599&gt;$H599,ABS($L599-$G599)&gt;MAX(Keys!$C$62,ABS($G599)*Keys!$C$63)),1,0)</f>
        <v>0</v>
      </c>
      <c r="U599">
        <f>IF(OR($N599&lt;Keys!$C$51,$N599&gt;Keys!$C$52),1,0)</f>
        <v>0</v>
      </c>
      <c r="V599">
        <f>IF(AND($E599=Keys!$C$60,$N599&lt;&gt;Keys!$C$51),1,0)</f>
        <v>0</v>
      </c>
      <c r="W599">
        <f>IF($L599&gt;Keys!$C$51,IF($K599/$L599&gt;Keys!$C$52,1,0),0)</f>
        <v>0</v>
      </c>
      <c r="X599" s="11">
        <f t="shared" si="39"/>
        <v>0</v>
      </c>
    </row>
    <row r="600" spans="1:24" x14ac:dyDescent="0.25">
      <c r="A600" t="s">
        <v>139</v>
      </c>
      <c r="B600" t="s">
        <v>85</v>
      </c>
      <c r="C600" t="str">
        <f>VLOOKUP($B600,Keys!$F$2:$I$22,2,FALSE)</f>
        <v>petroleum gasoline</v>
      </c>
      <c r="D600">
        <f>VLOOKUP($B600,Keys!$F$2:$I$22,3,FALSE)</f>
        <v>7.5004052000000002E-2</v>
      </c>
      <c r="E600" t="str">
        <f>VLOOKUP($B600,Keys!$F$2:$I$22,4,FALSE)</f>
        <v>rule</v>
      </c>
      <c r="F600" t="str">
        <f>$A600&amp;Keys!$C$54&amp;$B600</f>
        <v>NJ|petroleum gasoline</v>
      </c>
      <c r="G600" s="10">
        <f>IF($E600=Keys!$C$60,Keys!$C$51,INDEX(Balanced_2025!$D$9:$D$3032,MATCH($A600&amp;Keys!$C$54&amp;Keys!$C$55&amp;Keys!$C$54&amp;$C600,Balanced_2025!$E$9:$E$3032,0)))</f>
        <v>347924000000000</v>
      </c>
      <c r="H600" s="10">
        <f>IF($E600=Keys!$C$60,Keys!$C$51,INDEX(Balanced_2025!$D$9:$D$3032,MATCH($A600&amp;Keys!$C$54&amp;Keys!$C$56&amp;Keys!$C$54&amp;$C600,Balanced_2025!$E$9:$E$3032,0)))</f>
        <v>29723700000000</v>
      </c>
      <c r="I600" s="10">
        <f>IF($E600=Keys!$C$60,Keys!$C$51,INDEX(Balanced_2025!$D$9:$D$3032,MATCH($A600&amp;Keys!$C$54&amp;Keys!$C$57&amp;Keys!$C$54&amp;$C600,Balanced_2025!$E$9:$E$3032,0)))</f>
        <v>0</v>
      </c>
      <c r="J600" s="10">
        <f t="shared" si="36"/>
        <v>377647700000000</v>
      </c>
      <c r="K600" s="10">
        <f>MAX(Keys!$C$51,$I600-$H600)</f>
        <v>0</v>
      </c>
      <c r="L600" s="10">
        <f t="shared" si="37"/>
        <v>377647700000000</v>
      </c>
      <c r="M600" s="11">
        <f>IF($L600&gt;Keys!$C$51,MIN(Keys!$C$52,$K600/$L600),Keys!$C$51)</f>
        <v>0</v>
      </c>
      <c r="N600" s="11">
        <f>IF($E600=Keys!$C$60,Keys!$C$51,IF($E600=Keys!$C$59,$D600,$M600))</f>
        <v>0</v>
      </c>
      <c r="O600">
        <f t="shared" si="38"/>
        <v>1</v>
      </c>
      <c r="P600" s="10">
        <f>IF($E600=Keys!$C$60,Keys!$C$51,INDEX(Raw_BFPIaE!$G$9:$G$3032,MATCH($A600&amp;Keys!$C$54&amp;Keys!$C$55&amp;Keys!$C$54&amp;$B600,Raw_BFPIaE!$H$9:$H$3032,0)))</f>
        <v>345113000000000</v>
      </c>
      <c r="Q600" s="10">
        <f>IF($E600=Keys!$C$60,Keys!$C$51,INDEX(Raw_BFPIaE!$G$9:$G$3032,MATCH($A600&amp;Keys!$C$54&amp;Keys!$C$56&amp;Keys!$C$54&amp;$B600,Raw_BFPIaE!$H$9:$H$3032,0)))</f>
        <v>6910500000000</v>
      </c>
      <c r="R600" s="10">
        <f>IF($E600=Keys!$C$60,Keys!$C$51,INDEX(Raw_BFPIaE!$G$9:$G$3032,MATCH($A600&amp;Keys!$C$54&amp;Keys!$C$57&amp;Keys!$C$54&amp;$B600,Raw_BFPIaE!$H$9:$H$3032,0)))</f>
        <v>0</v>
      </c>
      <c r="S600" s="11">
        <f>IF(($P600+$Q600-$R600+MAX(Keys!$C$51,$R600-$Q600))&gt;Keys!$C$51,MIN(Keys!$C$52,MAX(Keys!$C$51,$R600-$Q600)/($P600+$Q600-$R600+MAX(Keys!$C$51,$R600-$Q600))),Keys!$C$51)</f>
        <v>0</v>
      </c>
      <c r="T600">
        <f>IF(AND($I600&gt;$H600,ABS($L600-$G600)&gt;MAX(Keys!$C$62,ABS($G600)*Keys!$C$63)),1,0)</f>
        <v>0</v>
      </c>
      <c r="U600">
        <f>IF(OR($N600&lt;Keys!$C$51,$N600&gt;Keys!$C$52),1,0)</f>
        <v>0</v>
      </c>
      <c r="V600">
        <f>IF(AND($E600=Keys!$C$60,$N600&lt;&gt;Keys!$C$51),1,0)</f>
        <v>0</v>
      </c>
      <c r="W600">
        <f>IF($L600&gt;Keys!$C$51,IF($K600/$L600&gt;Keys!$C$52,1,0),0)</f>
        <v>0</v>
      </c>
      <c r="X600" s="11">
        <f t="shared" si="39"/>
        <v>0</v>
      </c>
    </row>
    <row r="601" spans="1:24" x14ac:dyDescent="0.25">
      <c r="A601" t="s">
        <v>139</v>
      </c>
      <c r="B601" t="s">
        <v>88</v>
      </c>
      <c r="C601" t="str">
        <f>VLOOKUP($B601,Keys!$F$2:$I$22,2,FALSE)</f>
        <v>petroleum diesel</v>
      </c>
      <c r="D601">
        <f>VLOOKUP($B601,Keys!$F$2:$I$22,3,FALSE)</f>
        <v>0.26691051799999999</v>
      </c>
      <c r="E601" t="str">
        <f>VLOOKUP($B601,Keys!$F$2:$I$22,4,FALSE)</f>
        <v>rule</v>
      </c>
      <c r="F601" t="str">
        <f>$A601&amp;Keys!$C$54&amp;$B601</f>
        <v>NJ|petroleum diesel</v>
      </c>
      <c r="G601" s="10">
        <f>IF($E601=Keys!$C$60,Keys!$C$51,INDEX(Balanced_2025!$D$9:$D$3032,MATCH($A601&amp;Keys!$C$54&amp;Keys!$C$55&amp;Keys!$C$54&amp;$C601,Balanced_2025!$E$9:$E$3032,0)))</f>
        <v>205803000000000</v>
      </c>
      <c r="H601" s="10">
        <f>IF($E601=Keys!$C$60,Keys!$C$51,INDEX(Balanced_2025!$D$9:$D$3032,MATCH($A601&amp;Keys!$C$54&amp;Keys!$C$56&amp;Keys!$C$54&amp;$C601,Balanced_2025!$E$9:$E$3032,0)))</f>
        <v>24887100000000</v>
      </c>
      <c r="I601" s="10">
        <f>IF($E601=Keys!$C$60,Keys!$C$51,INDEX(Balanced_2025!$D$9:$D$3032,MATCH($A601&amp;Keys!$C$54&amp;Keys!$C$57&amp;Keys!$C$54&amp;$C601,Balanced_2025!$E$9:$E$3032,0)))</f>
        <v>53363200000000</v>
      </c>
      <c r="J601" s="10">
        <f t="shared" si="36"/>
        <v>177326900000000</v>
      </c>
      <c r="K601" s="10">
        <f>MAX(Keys!$C$51,$I601-$H601)</f>
        <v>28476100000000</v>
      </c>
      <c r="L601" s="10">
        <f t="shared" si="37"/>
        <v>205803000000000</v>
      </c>
      <c r="M601" s="11">
        <f>IF($L601&gt;Keys!$C$51,MIN(Keys!$C$52,$K601/$L601),Keys!$C$51)</f>
        <v>0.13836581585302449</v>
      </c>
      <c r="N601" s="11">
        <f>IF($E601=Keys!$C$60,Keys!$C$51,IF($E601=Keys!$C$59,$D601,$M601))</f>
        <v>0.13836581585302449</v>
      </c>
      <c r="O601">
        <f t="shared" si="38"/>
        <v>1</v>
      </c>
      <c r="P601" s="10">
        <f>IF($E601=Keys!$C$60,Keys!$C$51,INDEX(Raw_BFPIaE!$G$9:$G$3032,MATCH($A601&amp;Keys!$C$54&amp;Keys!$C$55&amp;Keys!$C$54&amp;$B601,Raw_BFPIaE!$H$9:$H$3032,0)))</f>
        <v>204140000000000</v>
      </c>
      <c r="Q601" s="10">
        <f>IF($E601=Keys!$C$60,Keys!$C$51,INDEX(Raw_BFPIaE!$G$9:$G$3032,MATCH($A601&amp;Keys!$C$54&amp;Keys!$C$56&amp;Keys!$C$54&amp;$B601,Raw_BFPIaE!$H$9:$H$3032,0)))</f>
        <v>15707066666666.666</v>
      </c>
      <c r="R601" s="10">
        <f>IF($E601=Keys!$C$60,Keys!$C$51,INDEX(Raw_BFPIaE!$G$9:$G$3032,MATCH($A601&amp;Keys!$C$54&amp;Keys!$C$57&amp;Keys!$C$54&amp;$B601,Raw_BFPIaE!$H$9:$H$3032,0)))</f>
        <v>52932066666666.664</v>
      </c>
      <c r="S601" s="11">
        <f>IF(($P601+$Q601-$R601+MAX(Keys!$C$51,$R601-$Q601))&gt;Keys!$C$51,MIN(Keys!$C$52,MAX(Keys!$C$51,$R601-$Q601)/($P601+$Q601-$R601+MAX(Keys!$C$51,$R601-$Q601))),Keys!$C$51)</f>
        <v>0.18235034780052906</v>
      </c>
      <c r="T601">
        <f>IF(AND($I601&gt;$H601,ABS($L601-$G601)&gt;MAX(Keys!$C$62,ABS($G601)*Keys!$C$63)),1,0)</f>
        <v>0</v>
      </c>
      <c r="U601">
        <f>IF(OR($N601&lt;Keys!$C$51,$N601&gt;Keys!$C$52),1,0)</f>
        <v>0</v>
      </c>
      <c r="V601">
        <f>IF(AND($E601=Keys!$C$60,$N601&lt;&gt;Keys!$C$51),1,0)</f>
        <v>0</v>
      </c>
      <c r="W601">
        <f>IF($L601&gt;Keys!$C$51,IF($K601/$L601&gt;Keys!$C$52,1,0),0)</f>
        <v>0</v>
      </c>
      <c r="X601" s="11">
        <f t="shared" si="39"/>
        <v>4.3984531947504568E-2</v>
      </c>
    </row>
    <row r="602" spans="1:24" x14ac:dyDescent="0.25">
      <c r="A602" t="s">
        <v>139</v>
      </c>
      <c r="B602" t="s">
        <v>91</v>
      </c>
      <c r="C602" t="str">
        <f>VLOOKUP($B602,Keys!$F$2:$I$22,2,FALSE)</f>
        <v>biofuel gasoline</v>
      </c>
      <c r="D602">
        <f>VLOOKUP($B602,Keys!$F$2:$I$22,3,FALSE)</f>
        <v>8.7213884000000005E-2</v>
      </c>
      <c r="E602" t="str">
        <f>VLOOKUP($B602,Keys!$F$2:$I$22,4,FALSE)</f>
        <v>rule</v>
      </c>
      <c r="F602" t="str">
        <f>$A602&amp;Keys!$C$54&amp;$B602</f>
        <v>NJ|biofuel gasoline</v>
      </c>
      <c r="G602" s="10">
        <f>IF($E602=Keys!$C$60,Keys!$C$51,INDEX(Balanced_2025!$D$9:$D$3032,MATCH($A602&amp;Keys!$C$54&amp;Keys!$C$55&amp;Keys!$C$54&amp;$C602,Balanced_2025!$E$9:$E$3032,0)))</f>
        <v>0</v>
      </c>
      <c r="H602" s="10">
        <f>IF($E602=Keys!$C$60,Keys!$C$51,INDEX(Balanced_2025!$D$9:$D$3032,MATCH($A602&amp;Keys!$C$54&amp;Keys!$C$56&amp;Keys!$C$54&amp;$C602,Balanced_2025!$E$9:$E$3032,0)))</f>
        <v>27708300000000</v>
      </c>
      <c r="I602" s="10">
        <f>IF($E602=Keys!$C$60,Keys!$C$51,INDEX(Balanced_2025!$D$9:$D$3032,MATCH($A602&amp;Keys!$C$54&amp;Keys!$C$57&amp;Keys!$C$54&amp;$C602,Balanced_2025!$E$9:$E$3032,0)))</f>
        <v>0</v>
      </c>
      <c r="J602" s="10">
        <f t="shared" si="36"/>
        <v>27708300000000</v>
      </c>
      <c r="K602" s="10">
        <f>MAX(Keys!$C$51,$I602-$H602)</f>
        <v>0</v>
      </c>
      <c r="L602" s="10">
        <f t="shared" si="37"/>
        <v>27708300000000</v>
      </c>
      <c r="M602" s="11">
        <f>IF($L602&gt;Keys!$C$51,MIN(Keys!$C$52,$K602/$L602),Keys!$C$51)</f>
        <v>0</v>
      </c>
      <c r="N602" s="11">
        <f>IF($E602=Keys!$C$60,Keys!$C$51,IF($E602=Keys!$C$59,$D602,$M602))</f>
        <v>0</v>
      </c>
      <c r="O602">
        <f t="shared" si="38"/>
        <v>1</v>
      </c>
      <c r="P602" s="10">
        <f>IF($E602=Keys!$C$60,Keys!$C$51,INDEX(Raw_BFPIaE!$G$9:$G$3032,MATCH($A602&amp;Keys!$C$54&amp;Keys!$C$55&amp;Keys!$C$54&amp;$B602,Raw_BFPIaE!$H$9:$H$3032,0)))</f>
        <v>0</v>
      </c>
      <c r="Q602" s="10">
        <f>IF($E602=Keys!$C$60,Keys!$C$51,INDEX(Raw_BFPIaE!$G$9:$G$3032,MATCH($A602&amp;Keys!$C$54&amp;Keys!$C$56&amp;Keys!$C$54&amp;$B602,Raw_BFPIaE!$H$9:$H$3032,0)))</f>
        <v>17314166666666.666</v>
      </c>
      <c r="R602" s="10">
        <f>IF($E602=Keys!$C$60,Keys!$C$51,INDEX(Raw_BFPIaE!$G$9:$G$3032,MATCH($A602&amp;Keys!$C$54&amp;Keys!$C$57&amp;Keys!$C$54&amp;$B602,Raw_BFPIaE!$H$9:$H$3032,0)))</f>
        <v>0</v>
      </c>
      <c r="S602" s="11">
        <f>IF(($P602+$Q602-$R602+MAX(Keys!$C$51,$R602-$Q602))&gt;Keys!$C$51,MIN(Keys!$C$52,MAX(Keys!$C$51,$R602-$Q602)/($P602+$Q602-$R602+MAX(Keys!$C$51,$R602-$Q602))),Keys!$C$51)</f>
        <v>0</v>
      </c>
      <c r="T602">
        <f>IF(AND($I602&gt;$H602,ABS($L602-$G602)&gt;MAX(Keys!$C$62,ABS($G602)*Keys!$C$63)),1,0)</f>
        <v>0</v>
      </c>
      <c r="U602">
        <f>IF(OR($N602&lt;Keys!$C$51,$N602&gt;Keys!$C$52),1,0)</f>
        <v>0</v>
      </c>
      <c r="V602">
        <f>IF(AND($E602=Keys!$C$60,$N602&lt;&gt;Keys!$C$51),1,0)</f>
        <v>0</v>
      </c>
      <c r="W602">
        <f>IF($L602&gt;Keys!$C$51,IF($K602/$L602&gt;Keys!$C$52,1,0),0)</f>
        <v>0</v>
      </c>
      <c r="X602" s="11">
        <f t="shared" si="39"/>
        <v>0</v>
      </c>
    </row>
    <row r="603" spans="1:24" x14ac:dyDescent="0.25">
      <c r="A603" t="s">
        <v>139</v>
      </c>
      <c r="B603" t="s">
        <v>94</v>
      </c>
      <c r="C603" t="str">
        <f>VLOOKUP($B603,Keys!$F$2:$I$22,2,FALSE)</f>
        <v>biofuel diesel</v>
      </c>
      <c r="D603">
        <f>VLOOKUP($B603,Keys!$F$2:$I$22,3,FALSE)</f>
        <v>5.8642381E-2</v>
      </c>
      <c r="E603" t="str">
        <f>VLOOKUP($B603,Keys!$F$2:$I$22,4,FALSE)</f>
        <v>rule</v>
      </c>
      <c r="F603" t="str">
        <f>$A603&amp;Keys!$C$54&amp;$B603</f>
        <v>NJ|biofuel diesel</v>
      </c>
      <c r="G603" s="10">
        <f>IF($E603=Keys!$C$60,Keys!$C$51,INDEX(Balanced_2025!$D$9:$D$3032,MATCH($A603&amp;Keys!$C$54&amp;Keys!$C$55&amp;Keys!$C$54&amp;$C603,Balanced_2025!$E$9:$E$3032,0)))</f>
        <v>0</v>
      </c>
      <c r="H603" s="10">
        <f>IF($E603=Keys!$C$60,Keys!$C$51,INDEX(Balanced_2025!$D$9:$D$3032,MATCH($A603&amp;Keys!$C$54&amp;Keys!$C$56&amp;Keys!$C$54&amp;$C603,Balanced_2025!$E$9:$E$3032,0)))</f>
        <v>1060720000000</v>
      </c>
      <c r="I603" s="10">
        <f>IF($E603=Keys!$C$60,Keys!$C$51,INDEX(Balanced_2025!$D$9:$D$3032,MATCH($A603&amp;Keys!$C$54&amp;Keys!$C$57&amp;Keys!$C$54&amp;$C603,Balanced_2025!$E$9:$E$3032,0)))</f>
        <v>0</v>
      </c>
      <c r="J603" s="10">
        <f t="shared" si="36"/>
        <v>1060720000000</v>
      </c>
      <c r="K603" s="10">
        <f>MAX(Keys!$C$51,$I603-$H603)</f>
        <v>0</v>
      </c>
      <c r="L603" s="10">
        <f t="shared" si="37"/>
        <v>1060720000000</v>
      </c>
      <c r="M603" s="11">
        <f>IF($L603&gt;Keys!$C$51,MIN(Keys!$C$52,$K603/$L603),Keys!$C$51)</f>
        <v>0</v>
      </c>
      <c r="N603" s="11">
        <f>IF($E603=Keys!$C$60,Keys!$C$51,IF($E603=Keys!$C$59,$D603,$M603))</f>
        <v>0</v>
      </c>
      <c r="O603">
        <f t="shared" si="38"/>
        <v>1</v>
      </c>
      <c r="P603" s="10">
        <f>IF($E603=Keys!$C$60,Keys!$C$51,INDEX(Raw_BFPIaE!$G$9:$G$3032,MATCH($A603&amp;Keys!$C$54&amp;Keys!$C$55&amp;Keys!$C$54&amp;$B603,Raw_BFPIaE!$H$9:$H$3032,0)))</f>
        <v>0</v>
      </c>
      <c r="Q603" s="10">
        <f>IF($E603=Keys!$C$60,Keys!$C$51,INDEX(Raw_BFPIaE!$G$9:$G$3032,MATCH($A603&amp;Keys!$C$54&amp;Keys!$C$56&amp;Keys!$C$54&amp;$B603,Raw_BFPIaE!$H$9:$H$3032,0)))</f>
        <v>689090000000</v>
      </c>
      <c r="R603" s="10">
        <f>IF($E603=Keys!$C$60,Keys!$C$51,INDEX(Raw_BFPIaE!$G$9:$G$3032,MATCH($A603&amp;Keys!$C$54&amp;Keys!$C$57&amp;Keys!$C$54&amp;$B603,Raw_BFPIaE!$H$9:$H$3032,0)))</f>
        <v>0</v>
      </c>
      <c r="S603" s="11">
        <f>IF(($P603+$Q603-$R603+MAX(Keys!$C$51,$R603-$Q603))&gt;Keys!$C$51,MIN(Keys!$C$52,MAX(Keys!$C$51,$R603-$Q603)/($P603+$Q603-$R603+MAX(Keys!$C$51,$R603-$Q603))),Keys!$C$51)</f>
        <v>0</v>
      </c>
      <c r="T603">
        <f>IF(AND($I603&gt;$H603,ABS($L603-$G603)&gt;MAX(Keys!$C$62,ABS($G603)*Keys!$C$63)),1,0)</f>
        <v>0</v>
      </c>
      <c r="U603">
        <f>IF(OR($N603&lt;Keys!$C$51,$N603&gt;Keys!$C$52),1,0)</f>
        <v>0</v>
      </c>
      <c r="V603">
        <f>IF(AND($E603=Keys!$C$60,$N603&lt;&gt;Keys!$C$51),1,0)</f>
        <v>0</v>
      </c>
      <c r="W603">
        <f>IF($L603&gt;Keys!$C$51,IF($K603/$L603&gt;Keys!$C$52,1,0),0)</f>
        <v>0</v>
      </c>
      <c r="X603" s="11">
        <f t="shared" si="39"/>
        <v>0</v>
      </c>
    </row>
    <row r="604" spans="1:24" x14ac:dyDescent="0.25">
      <c r="A604" t="s">
        <v>139</v>
      </c>
      <c r="B604" t="s">
        <v>97</v>
      </c>
      <c r="C604" t="str">
        <f>VLOOKUP($B604,Keys!$F$2:$I$22,2,FALSE)</f>
        <v>jet fuel or kerosene</v>
      </c>
      <c r="D604">
        <f>VLOOKUP($B604,Keys!$F$2:$I$22,3,FALSE)</f>
        <v>0.10155994</v>
      </c>
      <c r="E604" t="str">
        <f>VLOOKUP($B604,Keys!$F$2:$I$22,4,FALSE)</f>
        <v>rule</v>
      </c>
      <c r="F604" t="str">
        <f>$A604&amp;Keys!$C$54&amp;$B604</f>
        <v>NJ|jet fuel or kerosene</v>
      </c>
      <c r="G604" s="10">
        <f>IF($E604=Keys!$C$60,Keys!$C$51,INDEX(Balanced_2025!$D$9:$D$3032,MATCH($A604&amp;Keys!$C$54&amp;Keys!$C$55&amp;Keys!$C$54&amp;$C604,Balanced_2025!$E$9:$E$3032,0)))</f>
        <v>73261500000000</v>
      </c>
      <c r="H604" s="10">
        <f>IF($E604=Keys!$C$60,Keys!$C$51,INDEX(Balanced_2025!$D$9:$D$3032,MATCH($A604&amp;Keys!$C$54&amp;Keys!$C$56&amp;Keys!$C$54&amp;$C604,Balanced_2025!$E$9:$E$3032,0)))</f>
        <v>41976200000000</v>
      </c>
      <c r="I604" s="10">
        <f>IF($E604=Keys!$C$60,Keys!$C$51,INDEX(Balanced_2025!$D$9:$D$3032,MATCH($A604&amp;Keys!$C$54&amp;Keys!$C$57&amp;Keys!$C$54&amp;$C604,Balanced_2025!$E$9:$E$3032,0)))</f>
        <v>8452250000000</v>
      </c>
      <c r="J604" s="10">
        <f t="shared" si="36"/>
        <v>106785450000000</v>
      </c>
      <c r="K604" s="10">
        <f>MAX(Keys!$C$51,$I604-$H604)</f>
        <v>0</v>
      </c>
      <c r="L604" s="10">
        <f t="shared" si="37"/>
        <v>106785450000000</v>
      </c>
      <c r="M604" s="11">
        <f>IF($L604&gt;Keys!$C$51,MIN(Keys!$C$52,$K604/$L604),Keys!$C$51)</f>
        <v>0</v>
      </c>
      <c r="N604" s="11">
        <f>IF($E604=Keys!$C$60,Keys!$C$51,IF($E604=Keys!$C$59,$D604,$M604))</f>
        <v>0</v>
      </c>
      <c r="O604">
        <f t="shared" si="38"/>
        <v>1</v>
      </c>
      <c r="P604" s="10">
        <f>IF($E604=Keys!$C$60,Keys!$C$51,INDEX(Raw_BFPIaE!$G$9:$G$3032,MATCH($A604&amp;Keys!$C$54&amp;Keys!$C$55&amp;Keys!$C$54&amp;$B604,Raw_BFPIaE!$H$9:$H$3032,0)))</f>
        <v>72669600000000</v>
      </c>
      <c r="Q604" s="10">
        <f>IF($E604=Keys!$C$60,Keys!$C$51,INDEX(Raw_BFPIaE!$G$9:$G$3032,MATCH($A604&amp;Keys!$C$54&amp;Keys!$C$56&amp;Keys!$C$54&amp;$B604,Raw_BFPIaE!$H$9:$H$3032,0)))</f>
        <v>29658833333333.332</v>
      </c>
      <c r="R604" s="10">
        <f>IF($E604=Keys!$C$60,Keys!$C$51,INDEX(Raw_BFPIaE!$G$9:$G$3032,MATCH($A604&amp;Keys!$C$54&amp;Keys!$C$57&amp;Keys!$C$54&amp;$B604,Raw_BFPIaE!$H$9:$H$3032,0)))</f>
        <v>8383963333333.333</v>
      </c>
      <c r="S604" s="11">
        <f>IF(($P604+$Q604-$R604+MAX(Keys!$C$51,$R604-$Q604))&gt;Keys!$C$51,MIN(Keys!$C$52,MAX(Keys!$C$51,$R604-$Q604)/($P604+$Q604-$R604+MAX(Keys!$C$51,$R604-$Q604))),Keys!$C$51)</f>
        <v>0</v>
      </c>
      <c r="T604">
        <f>IF(AND($I604&gt;$H604,ABS($L604-$G604)&gt;MAX(Keys!$C$62,ABS($G604)*Keys!$C$63)),1,0)</f>
        <v>0</v>
      </c>
      <c r="U604">
        <f>IF(OR($N604&lt;Keys!$C$51,$N604&gt;Keys!$C$52),1,0)</f>
        <v>0</v>
      </c>
      <c r="V604">
        <f>IF(AND($E604=Keys!$C$60,$N604&lt;&gt;Keys!$C$51),1,0)</f>
        <v>0</v>
      </c>
      <c r="W604">
        <f>IF($L604&gt;Keys!$C$51,IF($K604/$L604&gt;Keys!$C$52,1,0),0)</f>
        <v>0</v>
      </c>
      <c r="X604" s="11">
        <f t="shared" si="39"/>
        <v>0</v>
      </c>
    </row>
    <row r="605" spans="1:24" x14ac:dyDescent="0.25">
      <c r="A605" t="s">
        <v>139</v>
      </c>
      <c r="B605" t="s">
        <v>100</v>
      </c>
      <c r="C605">
        <f>VLOOKUP($B605,Keys!$F$2:$I$22,2,FALSE)</f>
        <v>0</v>
      </c>
      <c r="D605">
        <f>VLOOKUP($B605,Keys!$F$2:$I$22,3,FALSE)</f>
        <v>0</v>
      </c>
      <c r="E605" t="str">
        <f>VLOOKUP($B605,Keys!$F$2:$I$22,4,FALSE)</f>
        <v>zero</v>
      </c>
      <c r="F605" t="str">
        <f>$A605&amp;Keys!$C$54&amp;$B605</f>
        <v>NJ|heat (not used in this variable)</v>
      </c>
      <c r="G605" s="10">
        <f>IF($E605=Keys!$C$60,Keys!$C$51,INDEX(Balanced_2025!$D$9:$D$3032,MATCH($A605&amp;Keys!$C$54&amp;Keys!$C$55&amp;Keys!$C$54&amp;$C605,Balanced_2025!$E$9:$E$3032,0)))</f>
        <v>0</v>
      </c>
      <c r="H605" s="10">
        <f>IF($E605=Keys!$C$60,Keys!$C$51,INDEX(Balanced_2025!$D$9:$D$3032,MATCH($A605&amp;Keys!$C$54&amp;Keys!$C$56&amp;Keys!$C$54&amp;$C605,Balanced_2025!$E$9:$E$3032,0)))</f>
        <v>0</v>
      </c>
      <c r="I605" s="10">
        <f>IF($E605=Keys!$C$60,Keys!$C$51,INDEX(Balanced_2025!$D$9:$D$3032,MATCH($A605&amp;Keys!$C$54&amp;Keys!$C$57&amp;Keys!$C$54&amp;$C605,Balanced_2025!$E$9:$E$3032,0)))</f>
        <v>0</v>
      </c>
      <c r="J605" s="10">
        <f t="shared" si="36"/>
        <v>0</v>
      </c>
      <c r="K605" s="10">
        <f>MAX(Keys!$C$51,$I605-$H605)</f>
        <v>0</v>
      </c>
      <c r="L605" s="10">
        <f t="shared" si="37"/>
        <v>0</v>
      </c>
      <c r="M605" s="11">
        <f>IF($L605&gt;Keys!$C$51,MIN(Keys!$C$52,$K605/$L605),Keys!$C$51)</f>
        <v>0</v>
      </c>
      <c r="N605" s="11">
        <f>IF($E605=Keys!$C$60,Keys!$C$51,IF($E605=Keys!$C$59,$D605,$M605))</f>
        <v>0</v>
      </c>
      <c r="O605">
        <f t="shared" si="38"/>
        <v>0</v>
      </c>
      <c r="P605" s="10">
        <f>IF($E605=Keys!$C$60,Keys!$C$51,INDEX(Raw_BFPIaE!$G$9:$G$3032,MATCH($A605&amp;Keys!$C$54&amp;Keys!$C$55&amp;Keys!$C$54&amp;$B605,Raw_BFPIaE!$H$9:$H$3032,0)))</f>
        <v>0</v>
      </c>
      <c r="Q605" s="10">
        <f>IF($E605=Keys!$C$60,Keys!$C$51,INDEX(Raw_BFPIaE!$G$9:$G$3032,MATCH($A605&amp;Keys!$C$54&amp;Keys!$C$56&amp;Keys!$C$54&amp;$B605,Raw_BFPIaE!$H$9:$H$3032,0)))</f>
        <v>0</v>
      </c>
      <c r="R605" s="10">
        <f>IF($E605=Keys!$C$60,Keys!$C$51,INDEX(Raw_BFPIaE!$G$9:$G$3032,MATCH($A605&amp;Keys!$C$54&amp;Keys!$C$57&amp;Keys!$C$54&amp;$B605,Raw_BFPIaE!$H$9:$H$3032,0)))</f>
        <v>0</v>
      </c>
      <c r="S605" s="11">
        <f>IF(($P605+$Q605-$R605+MAX(Keys!$C$51,$R605-$Q605))&gt;Keys!$C$51,MIN(Keys!$C$52,MAX(Keys!$C$51,$R605-$Q605)/($P605+$Q605-$R605+MAX(Keys!$C$51,$R605-$Q605))),Keys!$C$51)</f>
        <v>0</v>
      </c>
      <c r="T605">
        <f>IF(AND($I605&gt;$H605,ABS($L605-$G605)&gt;MAX(Keys!$C$62,ABS($G605)*Keys!$C$63)),1,0)</f>
        <v>0</v>
      </c>
      <c r="U605">
        <f>IF(OR($N605&lt;Keys!$C$51,$N605&gt;Keys!$C$52),1,0)</f>
        <v>0</v>
      </c>
      <c r="V605">
        <f>IF(AND($E605=Keys!$C$60,$N605&lt;&gt;Keys!$C$51),1,0)</f>
        <v>0</v>
      </c>
      <c r="W605">
        <f>IF($L605&gt;Keys!$C$51,IF($K605/$L605&gt;Keys!$C$52,1,0),0)</f>
        <v>0</v>
      </c>
      <c r="X605" s="11">
        <f t="shared" si="39"/>
        <v>0</v>
      </c>
    </row>
    <row r="606" spans="1:24" x14ac:dyDescent="0.25">
      <c r="A606" t="s">
        <v>139</v>
      </c>
      <c r="B606" t="s">
        <v>103</v>
      </c>
      <c r="C606">
        <f>VLOOKUP($B606,Keys!$F$2:$I$22,2,FALSE)</f>
        <v>0</v>
      </c>
      <c r="D606">
        <f>VLOOKUP($B606,Keys!$F$2:$I$22,3,FALSE)</f>
        <v>0</v>
      </c>
      <c r="E606" t="str">
        <f>VLOOKUP($B606,Keys!$F$2:$I$22,4,FALSE)</f>
        <v>zero</v>
      </c>
      <c r="F606" t="str">
        <f>$A606&amp;Keys!$C$54&amp;$B606</f>
        <v>NJ|geothermal (is not a fuel)</v>
      </c>
      <c r="G606" s="10">
        <f>IF($E606=Keys!$C$60,Keys!$C$51,INDEX(Balanced_2025!$D$9:$D$3032,MATCH($A606&amp;Keys!$C$54&amp;Keys!$C$55&amp;Keys!$C$54&amp;$C606,Balanced_2025!$E$9:$E$3032,0)))</f>
        <v>0</v>
      </c>
      <c r="H606" s="10">
        <f>IF($E606=Keys!$C$60,Keys!$C$51,INDEX(Balanced_2025!$D$9:$D$3032,MATCH($A606&amp;Keys!$C$54&amp;Keys!$C$56&amp;Keys!$C$54&amp;$C606,Balanced_2025!$E$9:$E$3032,0)))</f>
        <v>0</v>
      </c>
      <c r="I606" s="10">
        <f>IF($E606=Keys!$C$60,Keys!$C$51,INDEX(Balanced_2025!$D$9:$D$3032,MATCH($A606&amp;Keys!$C$54&amp;Keys!$C$57&amp;Keys!$C$54&amp;$C606,Balanced_2025!$E$9:$E$3032,0)))</f>
        <v>0</v>
      </c>
      <c r="J606" s="10">
        <f t="shared" si="36"/>
        <v>0</v>
      </c>
      <c r="K606" s="10">
        <f>MAX(Keys!$C$51,$I606-$H606)</f>
        <v>0</v>
      </c>
      <c r="L606" s="10">
        <f t="shared" si="37"/>
        <v>0</v>
      </c>
      <c r="M606" s="11">
        <f>IF($L606&gt;Keys!$C$51,MIN(Keys!$C$52,$K606/$L606),Keys!$C$51)</f>
        <v>0</v>
      </c>
      <c r="N606" s="11">
        <f>IF($E606=Keys!$C$60,Keys!$C$51,IF($E606=Keys!$C$59,$D606,$M606))</f>
        <v>0</v>
      </c>
      <c r="O606">
        <f t="shared" si="38"/>
        <v>0</v>
      </c>
      <c r="P606" s="10">
        <f>IF($E606=Keys!$C$60,Keys!$C$51,INDEX(Raw_BFPIaE!$G$9:$G$3032,MATCH($A606&amp;Keys!$C$54&amp;Keys!$C$55&amp;Keys!$C$54&amp;$B606,Raw_BFPIaE!$H$9:$H$3032,0)))</f>
        <v>0</v>
      </c>
      <c r="Q606" s="10">
        <f>IF($E606=Keys!$C$60,Keys!$C$51,INDEX(Raw_BFPIaE!$G$9:$G$3032,MATCH($A606&amp;Keys!$C$54&amp;Keys!$C$56&amp;Keys!$C$54&amp;$B606,Raw_BFPIaE!$H$9:$H$3032,0)))</f>
        <v>0</v>
      </c>
      <c r="R606" s="10">
        <f>IF($E606=Keys!$C$60,Keys!$C$51,INDEX(Raw_BFPIaE!$G$9:$G$3032,MATCH($A606&amp;Keys!$C$54&amp;Keys!$C$57&amp;Keys!$C$54&amp;$B606,Raw_BFPIaE!$H$9:$H$3032,0)))</f>
        <v>0</v>
      </c>
      <c r="S606" s="11">
        <f>IF(($P606+$Q606-$R606+MAX(Keys!$C$51,$R606-$Q606))&gt;Keys!$C$51,MIN(Keys!$C$52,MAX(Keys!$C$51,$R606-$Q606)/($P606+$Q606-$R606+MAX(Keys!$C$51,$R606-$Q606))),Keys!$C$51)</f>
        <v>0</v>
      </c>
      <c r="T606">
        <f>IF(AND($I606&gt;$H606,ABS($L606-$G606)&gt;MAX(Keys!$C$62,ABS($G606)*Keys!$C$63)),1,0)</f>
        <v>0</v>
      </c>
      <c r="U606">
        <f>IF(OR($N606&lt;Keys!$C$51,$N606&gt;Keys!$C$52),1,0)</f>
        <v>0</v>
      </c>
      <c r="V606">
        <f>IF(AND($E606=Keys!$C$60,$N606&lt;&gt;Keys!$C$51),1,0)</f>
        <v>0</v>
      </c>
      <c r="W606">
        <f>IF($L606&gt;Keys!$C$51,IF($K606/$L606&gt;Keys!$C$52,1,0),0)</f>
        <v>0</v>
      </c>
      <c r="X606" s="11">
        <f t="shared" si="39"/>
        <v>0</v>
      </c>
    </row>
    <row r="607" spans="1:24" x14ac:dyDescent="0.25">
      <c r="A607" t="s">
        <v>139</v>
      </c>
      <c r="B607" t="s">
        <v>106</v>
      </c>
      <c r="C607" t="str">
        <f>VLOOKUP($B607,Keys!$F$2:$I$22,2,FALSE)</f>
        <v>lignite</v>
      </c>
      <c r="D607">
        <f>VLOOKUP($B607,Keys!$F$2:$I$22,3,FALSE)</f>
        <v>0</v>
      </c>
      <c r="E607" t="str">
        <f>VLOOKUP($B607,Keys!$F$2:$I$22,4,FALSE)</f>
        <v>rule</v>
      </c>
      <c r="F607" t="str">
        <f>$A607&amp;Keys!$C$54&amp;$B607</f>
        <v>NJ|lignite</v>
      </c>
      <c r="G607" s="10">
        <f>IF($E607=Keys!$C$60,Keys!$C$51,INDEX(Balanced_2025!$D$9:$D$3032,MATCH($A607&amp;Keys!$C$54&amp;Keys!$C$55&amp;Keys!$C$54&amp;$C607,Balanced_2025!$E$9:$E$3032,0)))</f>
        <v>0</v>
      </c>
      <c r="H607" s="10">
        <f>IF($E607=Keys!$C$60,Keys!$C$51,INDEX(Balanced_2025!$D$9:$D$3032,MATCH($A607&amp;Keys!$C$54&amp;Keys!$C$56&amp;Keys!$C$54&amp;$C607,Balanced_2025!$E$9:$E$3032,0)))</f>
        <v>0</v>
      </c>
      <c r="I607" s="10">
        <f>IF($E607=Keys!$C$60,Keys!$C$51,INDEX(Balanced_2025!$D$9:$D$3032,MATCH($A607&amp;Keys!$C$54&amp;Keys!$C$57&amp;Keys!$C$54&amp;$C607,Balanced_2025!$E$9:$E$3032,0)))</f>
        <v>0</v>
      </c>
      <c r="J607" s="10">
        <f t="shared" si="36"/>
        <v>0</v>
      </c>
      <c r="K607" s="10">
        <f>MAX(Keys!$C$51,$I607-$H607)</f>
        <v>0</v>
      </c>
      <c r="L607" s="10">
        <f t="shared" si="37"/>
        <v>0</v>
      </c>
      <c r="M607" s="11">
        <f>IF($L607&gt;Keys!$C$51,MIN(Keys!$C$52,$K607/$L607),Keys!$C$51)</f>
        <v>0</v>
      </c>
      <c r="N607" s="11">
        <f>IF($E607=Keys!$C$60,Keys!$C$51,IF($E607=Keys!$C$59,$D607,$M607))</f>
        <v>0</v>
      </c>
      <c r="O607">
        <f t="shared" si="38"/>
        <v>0</v>
      </c>
      <c r="P607" s="10">
        <f>IF($E607=Keys!$C$60,Keys!$C$51,INDEX(Raw_BFPIaE!$G$9:$G$3032,MATCH($A607&amp;Keys!$C$54&amp;Keys!$C$55&amp;Keys!$C$54&amp;$B607,Raw_BFPIaE!$H$9:$H$3032,0)))</f>
        <v>0</v>
      </c>
      <c r="Q607" s="10">
        <f>IF($E607=Keys!$C$60,Keys!$C$51,INDEX(Raw_BFPIaE!$G$9:$G$3032,MATCH($A607&amp;Keys!$C$54&amp;Keys!$C$56&amp;Keys!$C$54&amp;$B607,Raw_BFPIaE!$H$9:$H$3032,0)))</f>
        <v>0</v>
      </c>
      <c r="R607" s="10">
        <f>IF($E607=Keys!$C$60,Keys!$C$51,INDEX(Raw_BFPIaE!$G$9:$G$3032,MATCH($A607&amp;Keys!$C$54&amp;Keys!$C$57&amp;Keys!$C$54&amp;$B607,Raw_BFPIaE!$H$9:$H$3032,0)))</f>
        <v>0</v>
      </c>
      <c r="S607" s="11">
        <f>IF(($P607+$Q607-$R607+MAX(Keys!$C$51,$R607-$Q607))&gt;Keys!$C$51,MIN(Keys!$C$52,MAX(Keys!$C$51,$R607-$Q607)/($P607+$Q607-$R607+MAX(Keys!$C$51,$R607-$Q607))),Keys!$C$51)</f>
        <v>0</v>
      </c>
      <c r="T607">
        <f>IF(AND($I607&gt;$H607,ABS($L607-$G607)&gt;MAX(Keys!$C$62,ABS($G607)*Keys!$C$63)),1,0)</f>
        <v>0</v>
      </c>
      <c r="U607">
        <f>IF(OR($N607&lt;Keys!$C$51,$N607&gt;Keys!$C$52),1,0)</f>
        <v>0</v>
      </c>
      <c r="V607">
        <f>IF(AND($E607=Keys!$C$60,$N607&lt;&gt;Keys!$C$51),1,0)</f>
        <v>0</v>
      </c>
      <c r="W607">
        <f>IF($L607&gt;Keys!$C$51,IF($K607/$L607&gt;Keys!$C$52,1,0),0)</f>
        <v>0</v>
      </c>
      <c r="X607" s="11">
        <f t="shared" si="39"/>
        <v>0</v>
      </c>
    </row>
    <row r="608" spans="1:24" x14ac:dyDescent="0.25">
      <c r="A608" t="s">
        <v>139</v>
      </c>
      <c r="B608" t="s">
        <v>109</v>
      </c>
      <c r="C608" t="str">
        <f>VLOOKUP($B608,Keys!$F$2:$I$22,2,FALSE)</f>
        <v>crude oil</v>
      </c>
      <c r="D608">
        <f>VLOOKUP($B608,Keys!$F$2:$I$22,3,FALSE)</f>
        <v>1</v>
      </c>
      <c r="E608" t="str">
        <f>VLOOKUP($B608,Keys!$F$2:$I$22,4,FALSE)</f>
        <v>hold</v>
      </c>
      <c r="F608" t="str">
        <f>$A608&amp;Keys!$C$54&amp;$B608</f>
        <v>NJ|crude oil</v>
      </c>
      <c r="G608" s="10">
        <f>IF($E608=Keys!$C$60,Keys!$C$51,INDEX(Balanced_2025!$D$9:$D$3032,MATCH($A608&amp;Keys!$C$54&amp;Keys!$C$55&amp;Keys!$C$54&amp;$C608,Balanced_2025!$E$9:$E$3032,0)))</f>
        <v>0</v>
      </c>
      <c r="H608" s="10">
        <f>IF($E608=Keys!$C$60,Keys!$C$51,INDEX(Balanced_2025!$D$9:$D$3032,MATCH($A608&amp;Keys!$C$54&amp;Keys!$C$56&amp;Keys!$C$54&amp;$C608,Balanced_2025!$E$9:$E$3032,0)))</f>
        <v>752684000000000</v>
      </c>
      <c r="I608" s="10">
        <f>IF($E608=Keys!$C$60,Keys!$C$51,INDEX(Balanced_2025!$D$9:$D$3032,MATCH($A608&amp;Keys!$C$54&amp;Keys!$C$57&amp;Keys!$C$54&amp;$C608,Balanced_2025!$E$9:$E$3032,0)))</f>
        <v>0</v>
      </c>
      <c r="J608" s="10">
        <f t="shared" si="36"/>
        <v>752684000000000</v>
      </c>
      <c r="K608" s="10">
        <f>MAX(Keys!$C$51,$I608-$H608)</f>
        <v>0</v>
      </c>
      <c r="L608" s="10">
        <f t="shared" si="37"/>
        <v>752684000000000</v>
      </c>
      <c r="M608" s="11">
        <f>IF($L608&gt;Keys!$C$51,MIN(Keys!$C$52,$K608/$L608),Keys!$C$51)</f>
        <v>0</v>
      </c>
      <c r="N608" s="11">
        <f>IF($E608=Keys!$C$60,Keys!$C$51,IF($E608=Keys!$C$59,$D608,$M608))</f>
        <v>1</v>
      </c>
      <c r="O608">
        <f t="shared" si="38"/>
        <v>0</v>
      </c>
      <c r="P608" s="10">
        <f>IF($E608=Keys!$C$60,Keys!$C$51,INDEX(Raw_BFPIaE!$G$9:$G$3032,MATCH($A608&amp;Keys!$C$54&amp;Keys!$C$55&amp;Keys!$C$54&amp;$B608,Raw_BFPIaE!$H$9:$H$3032,0)))</f>
        <v>0</v>
      </c>
      <c r="Q608" s="10">
        <f>IF($E608=Keys!$C$60,Keys!$C$51,INDEX(Raw_BFPIaE!$G$9:$G$3032,MATCH($A608&amp;Keys!$C$54&amp;Keys!$C$56&amp;Keys!$C$54&amp;$B608,Raw_BFPIaE!$H$9:$H$3032,0)))</f>
        <v>501789333333333.31</v>
      </c>
      <c r="R608" s="10">
        <f>IF($E608=Keys!$C$60,Keys!$C$51,INDEX(Raw_BFPIaE!$G$9:$G$3032,MATCH($A608&amp;Keys!$C$54&amp;Keys!$C$57&amp;Keys!$C$54&amp;$B608,Raw_BFPIaE!$H$9:$H$3032,0)))</f>
        <v>0</v>
      </c>
      <c r="S608" s="11">
        <f>IF(($P608+$Q608-$R608+MAX(Keys!$C$51,$R608-$Q608))&gt;Keys!$C$51,MIN(Keys!$C$52,MAX(Keys!$C$51,$R608-$Q608)/($P608+$Q608-$R608+MAX(Keys!$C$51,$R608-$Q608))),Keys!$C$51)</f>
        <v>0</v>
      </c>
      <c r="T608">
        <f>IF(AND($I608&gt;$H608,ABS($L608-$G608)&gt;MAX(Keys!$C$62,ABS($G608)*Keys!$C$63)),1,0)</f>
        <v>0</v>
      </c>
      <c r="U608">
        <f>IF(OR($N608&lt;Keys!$C$51,$N608&gt;Keys!$C$52),1,0)</f>
        <v>0</v>
      </c>
      <c r="V608">
        <f>IF(AND($E608=Keys!$C$60,$N608&lt;&gt;Keys!$C$51),1,0)</f>
        <v>0</v>
      </c>
      <c r="W608">
        <f>IF($L608&gt;Keys!$C$51,IF($K608/$L608&gt;Keys!$C$52,1,0),0)</f>
        <v>0</v>
      </c>
      <c r="X608" s="11">
        <f t="shared" si="39"/>
        <v>0</v>
      </c>
    </row>
    <row r="609" spans="1:24" x14ac:dyDescent="0.25">
      <c r="A609" t="s">
        <v>139</v>
      </c>
      <c r="B609" t="s">
        <v>113</v>
      </c>
      <c r="C609" t="str">
        <f>VLOOKUP($B609,Keys!$F$2:$I$22,2,FALSE)</f>
        <v>heavy or residual fuel oil</v>
      </c>
      <c r="D609">
        <f>VLOOKUP($B609,Keys!$F$2:$I$22,3,FALSE)</f>
        <v>0.49914171099999999</v>
      </c>
      <c r="E609" t="str">
        <f>VLOOKUP($B609,Keys!$F$2:$I$22,4,FALSE)</f>
        <v>rule</v>
      </c>
      <c r="F609" t="str">
        <f>$A609&amp;Keys!$C$54&amp;$B609</f>
        <v>NJ|heavy fuel oil</v>
      </c>
      <c r="G609" s="10">
        <f>IF($E609=Keys!$C$60,Keys!$C$51,INDEX(Balanced_2025!$D$9:$D$3032,MATCH($A609&amp;Keys!$C$54&amp;Keys!$C$55&amp;Keys!$C$54&amp;$C609,Balanced_2025!$E$9:$E$3032,0)))</f>
        <v>14231300000000</v>
      </c>
      <c r="H609" s="10">
        <f>IF($E609=Keys!$C$60,Keys!$C$51,INDEX(Balanced_2025!$D$9:$D$3032,MATCH($A609&amp;Keys!$C$54&amp;Keys!$C$56&amp;Keys!$C$54&amp;$C609,Balanced_2025!$E$9:$E$3032,0)))</f>
        <v>37065300000000</v>
      </c>
      <c r="I609" s="10">
        <f>IF($E609=Keys!$C$60,Keys!$C$51,INDEX(Balanced_2025!$D$9:$D$3032,MATCH($A609&amp;Keys!$C$54&amp;Keys!$C$57&amp;Keys!$C$54&amp;$C609,Balanced_2025!$E$9:$E$3032,0)))</f>
        <v>6093450000000</v>
      </c>
      <c r="J609" s="10">
        <f t="shared" si="36"/>
        <v>45203150000000</v>
      </c>
      <c r="K609" s="10">
        <f>MAX(Keys!$C$51,$I609-$H609)</f>
        <v>0</v>
      </c>
      <c r="L609" s="10">
        <f t="shared" si="37"/>
        <v>45203150000000</v>
      </c>
      <c r="M609" s="11">
        <f>IF($L609&gt;Keys!$C$51,MIN(Keys!$C$52,$K609/$L609),Keys!$C$51)</f>
        <v>0</v>
      </c>
      <c r="N609" s="11">
        <f>IF($E609=Keys!$C$60,Keys!$C$51,IF($E609=Keys!$C$59,$D609,$M609))</f>
        <v>0</v>
      </c>
      <c r="O609">
        <f t="shared" si="38"/>
        <v>1</v>
      </c>
      <c r="P609" s="10">
        <f>IF($E609=Keys!$C$60,Keys!$C$51,INDEX(Raw_BFPIaE!$G$9:$G$3032,MATCH($A609&amp;Keys!$C$54&amp;Keys!$C$55&amp;Keys!$C$54&amp;$B609,Raw_BFPIaE!$H$9:$H$3032,0)))</f>
        <v>14116333333333.334</v>
      </c>
      <c r="Q609" s="10">
        <f>IF($E609=Keys!$C$60,Keys!$C$51,INDEX(Raw_BFPIaE!$G$9:$G$3032,MATCH($A609&amp;Keys!$C$54&amp;Keys!$C$56&amp;Keys!$C$54&amp;$B609,Raw_BFPIaE!$H$9:$H$3032,0)))</f>
        <v>25356966666666.668</v>
      </c>
      <c r="R609" s="10">
        <f>IF($E609=Keys!$C$60,Keys!$C$51,INDEX(Raw_BFPIaE!$G$9:$G$3032,MATCH($A609&amp;Keys!$C$54&amp;Keys!$C$57&amp;Keys!$C$54&amp;$B609,Raw_BFPIaE!$H$9:$H$3032,0)))</f>
        <v>6044220000000</v>
      </c>
      <c r="S609" s="11">
        <f>IF(($P609+$Q609-$R609+MAX(Keys!$C$51,$R609-$Q609))&gt;Keys!$C$51,MIN(Keys!$C$52,MAX(Keys!$C$51,$R609-$Q609)/($P609+$Q609-$R609+MAX(Keys!$C$51,$R609-$Q609))),Keys!$C$51)</f>
        <v>0</v>
      </c>
      <c r="T609">
        <f>IF(AND($I609&gt;$H609,ABS($L609-$G609)&gt;MAX(Keys!$C$62,ABS($G609)*Keys!$C$63)),1,0)</f>
        <v>0</v>
      </c>
      <c r="U609">
        <f>IF(OR($N609&lt;Keys!$C$51,$N609&gt;Keys!$C$52),1,0)</f>
        <v>0</v>
      </c>
      <c r="V609">
        <f>IF(AND($E609=Keys!$C$60,$N609&lt;&gt;Keys!$C$51),1,0)</f>
        <v>0</v>
      </c>
      <c r="W609">
        <f>IF($L609&gt;Keys!$C$51,IF($K609/$L609&gt;Keys!$C$52,1,0),0)</f>
        <v>0</v>
      </c>
      <c r="X609" s="11">
        <f t="shared" si="39"/>
        <v>0</v>
      </c>
    </row>
    <row r="610" spans="1:24" x14ac:dyDescent="0.25">
      <c r="A610" t="s">
        <v>139</v>
      </c>
      <c r="B610" t="s">
        <v>117</v>
      </c>
      <c r="C610" t="str">
        <f>VLOOKUP($B610,Keys!$F$2:$I$22,2,FALSE)</f>
        <v>LPG propane or butane</v>
      </c>
      <c r="D610">
        <f>VLOOKUP($B610,Keys!$F$2:$I$22,3,FALSE)</f>
        <v>0.54955999499999997</v>
      </c>
      <c r="E610" t="str">
        <f>VLOOKUP($B610,Keys!$F$2:$I$22,4,FALSE)</f>
        <v>rule</v>
      </c>
      <c r="F610" t="str">
        <f>$A610&amp;Keys!$C$54&amp;$B610</f>
        <v>NJ|LPG propane or butane</v>
      </c>
      <c r="G610" s="10">
        <f>IF($E610=Keys!$C$60,Keys!$C$51,INDEX(Balanced_2025!$D$9:$D$3032,MATCH($A610&amp;Keys!$C$54&amp;Keys!$C$55&amp;Keys!$C$54&amp;$C610,Balanced_2025!$E$9:$E$3032,0)))</f>
        <v>0</v>
      </c>
      <c r="H610" s="10">
        <f>IF($E610=Keys!$C$60,Keys!$C$51,INDEX(Balanced_2025!$D$9:$D$3032,MATCH($A610&amp;Keys!$C$54&amp;Keys!$C$56&amp;Keys!$C$54&amp;$C610,Balanced_2025!$E$9:$E$3032,0)))</f>
        <v>23492800000000</v>
      </c>
      <c r="I610" s="10">
        <f>IF($E610=Keys!$C$60,Keys!$C$51,INDEX(Balanced_2025!$D$9:$D$3032,MATCH($A610&amp;Keys!$C$54&amp;Keys!$C$57&amp;Keys!$C$54&amp;$C610,Balanced_2025!$E$9:$E$3032,0)))</f>
        <v>0</v>
      </c>
      <c r="J610" s="10">
        <f t="shared" si="36"/>
        <v>23492800000000</v>
      </c>
      <c r="K610" s="10">
        <f>MAX(Keys!$C$51,$I610-$H610)</f>
        <v>0</v>
      </c>
      <c r="L610" s="10">
        <f t="shared" si="37"/>
        <v>23492800000000</v>
      </c>
      <c r="M610" s="11">
        <f>IF($L610&gt;Keys!$C$51,MIN(Keys!$C$52,$K610/$L610),Keys!$C$51)</f>
        <v>0</v>
      </c>
      <c r="N610" s="11">
        <f>IF($E610=Keys!$C$60,Keys!$C$51,IF($E610=Keys!$C$59,$D610,$M610))</f>
        <v>0</v>
      </c>
      <c r="O610">
        <f t="shared" si="38"/>
        <v>1</v>
      </c>
      <c r="P610" s="10">
        <f>IF($E610=Keys!$C$60,Keys!$C$51,INDEX(Raw_BFPIaE!$G$9:$G$3032,MATCH($A610&amp;Keys!$C$54&amp;Keys!$C$55&amp;Keys!$C$54&amp;$B610,Raw_BFPIaE!$H$9:$H$3032,0)))</f>
        <v>0</v>
      </c>
      <c r="Q610" s="10">
        <f>IF($E610=Keys!$C$60,Keys!$C$51,INDEX(Raw_BFPIaE!$G$9:$G$3032,MATCH($A610&amp;Keys!$C$54&amp;Keys!$C$56&amp;Keys!$C$54&amp;$B610,Raw_BFPIaE!$H$9:$H$3032,0)))</f>
        <v>15625800000000</v>
      </c>
      <c r="R610" s="10">
        <f>IF($E610=Keys!$C$60,Keys!$C$51,INDEX(Raw_BFPIaE!$G$9:$G$3032,MATCH($A610&amp;Keys!$C$54&amp;Keys!$C$57&amp;Keys!$C$54&amp;$B610,Raw_BFPIaE!$H$9:$H$3032,0)))</f>
        <v>0</v>
      </c>
      <c r="S610" s="11">
        <f>IF(($P610+$Q610-$R610+MAX(Keys!$C$51,$R610-$Q610))&gt;Keys!$C$51,MIN(Keys!$C$52,MAX(Keys!$C$51,$R610-$Q610)/($P610+$Q610-$R610+MAX(Keys!$C$51,$R610-$Q610))),Keys!$C$51)</f>
        <v>0</v>
      </c>
      <c r="T610">
        <f>IF(AND($I610&gt;$H610,ABS($L610-$G610)&gt;MAX(Keys!$C$62,ABS($G610)*Keys!$C$63)),1,0)</f>
        <v>0</v>
      </c>
      <c r="U610">
        <f>IF(OR($N610&lt;Keys!$C$51,$N610&gt;Keys!$C$52),1,0)</f>
        <v>0</v>
      </c>
      <c r="V610">
        <f>IF(AND($E610=Keys!$C$60,$N610&lt;&gt;Keys!$C$51),1,0)</f>
        <v>0</v>
      </c>
      <c r="W610">
        <f>IF($L610&gt;Keys!$C$51,IF($K610/$L610&gt;Keys!$C$52,1,0),0)</f>
        <v>0</v>
      </c>
      <c r="X610" s="11">
        <f t="shared" si="39"/>
        <v>0</v>
      </c>
    </row>
    <row r="611" spans="1:24" x14ac:dyDescent="0.25">
      <c r="A611" t="s">
        <v>139</v>
      </c>
      <c r="B611" t="s">
        <v>120</v>
      </c>
      <c r="C611">
        <f>VLOOKUP($B611,Keys!$F$2:$I$22,2,FALSE)</f>
        <v>0</v>
      </c>
      <c r="D611">
        <f>VLOOKUP($B611,Keys!$F$2:$I$22,3,FALSE)</f>
        <v>0</v>
      </c>
      <c r="E611" t="str">
        <f>VLOOKUP($B611,Keys!$F$2:$I$22,4,FALSE)</f>
        <v>zero</v>
      </c>
      <c r="F611" t="str">
        <f>$A611&amp;Keys!$C$54&amp;$B611</f>
        <v>NJ|municipal solid waste</v>
      </c>
      <c r="G611" s="10">
        <f>IF($E611=Keys!$C$60,Keys!$C$51,INDEX(Balanced_2025!$D$9:$D$3032,MATCH($A611&amp;Keys!$C$54&amp;Keys!$C$55&amp;Keys!$C$54&amp;$C611,Balanced_2025!$E$9:$E$3032,0)))</f>
        <v>0</v>
      </c>
      <c r="H611" s="10">
        <f>IF($E611=Keys!$C$60,Keys!$C$51,INDEX(Balanced_2025!$D$9:$D$3032,MATCH($A611&amp;Keys!$C$54&amp;Keys!$C$56&amp;Keys!$C$54&amp;$C611,Balanced_2025!$E$9:$E$3032,0)))</f>
        <v>0</v>
      </c>
      <c r="I611" s="10">
        <f>IF($E611=Keys!$C$60,Keys!$C$51,INDEX(Balanced_2025!$D$9:$D$3032,MATCH($A611&amp;Keys!$C$54&amp;Keys!$C$57&amp;Keys!$C$54&amp;$C611,Balanced_2025!$E$9:$E$3032,0)))</f>
        <v>0</v>
      </c>
      <c r="J611" s="10">
        <f t="shared" si="36"/>
        <v>0</v>
      </c>
      <c r="K611" s="10">
        <f>MAX(Keys!$C$51,$I611-$H611)</f>
        <v>0</v>
      </c>
      <c r="L611" s="10">
        <f t="shared" si="37"/>
        <v>0</v>
      </c>
      <c r="M611" s="11">
        <f>IF($L611&gt;Keys!$C$51,MIN(Keys!$C$52,$K611/$L611),Keys!$C$51)</f>
        <v>0</v>
      </c>
      <c r="N611" s="11">
        <f>IF($E611=Keys!$C$60,Keys!$C$51,IF($E611=Keys!$C$59,$D611,$M611))</f>
        <v>0</v>
      </c>
      <c r="O611">
        <f t="shared" si="38"/>
        <v>0</v>
      </c>
      <c r="P611" s="10">
        <f>IF($E611=Keys!$C$60,Keys!$C$51,INDEX(Raw_BFPIaE!$G$9:$G$3032,MATCH($A611&amp;Keys!$C$54&amp;Keys!$C$55&amp;Keys!$C$54&amp;$B611,Raw_BFPIaE!$H$9:$H$3032,0)))</f>
        <v>0</v>
      </c>
      <c r="Q611" s="10">
        <f>IF($E611=Keys!$C$60,Keys!$C$51,INDEX(Raw_BFPIaE!$G$9:$G$3032,MATCH($A611&amp;Keys!$C$54&amp;Keys!$C$56&amp;Keys!$C$54&amp;$B611,Raw_BFPIaE!$H$9:$H$3032,0)))</f>
        <v>0</v>
      </c>
      <c r="R611" s="10">
        <f>IF($E611=Keys!$C$60,Keys!$C$51,INDEX(Raw_BFPIaE!$G$9:$G$3032,MATCH($A611&amp;Keys!$C$54&amp;Keys!$C$57&amp;Keys!$C$54&amp;$B611,Raw_BFPIaE!$H$9:$H$3032,0)))</f>
        <v>0</v>
      </c>
      <c r="S611" s="11">
        <f>IF(($P611+$Q611-$R611+MAX(Keys!$C$51,$R611-$Q611))&gt;Keys!$C$51,MIN(Keys!$C$52,MAX(Keys!$C$51,$R611-$Q611)/($P611+$Q611-$R611+MAX(Keys!$C$51,$R611-$Q611))),Keys!$C$51)</f>
        <v>0</v>
      </c>
      <c r="T611">
        <f>IF(AND($I611&gt;$H611,ABS($L611-$G611)&gt;MAX(Keys!$C$62,ABS($G611)*Keys!$C$63)),1,0)</f>
        <v>0</v>
      </c>
      <c r="U611">
        <f>IF(OR($N611&lt;Keys!$C$51,$N611&gt;Keys!$C$52),1,0)</f>
        <v>0</v>
      </c>
      <c r="V611">
        <f>IF(AND($E611=Keys!$C$60,$N611&lt;&gt;Keys!$C$51),1,0)</f>
        <v>0</v>
      </c>
      <c r="W611">
        <f>IF($L611&gt;Keys!$C$51,IF($K611/$L611&gt;Keys!$C$52,1,0),0)</f>
        <v>0</v>
      </c>
      <c r="X611" s="11">
        <f t="shared" si="39"/>
        <v>0</v>
      </c>
    </row>
    <row r="612" spans="1:24" x14ac:dyDescent="0.25">
      <c r="A612" t="s">
        <v>139</v>
      </c>
      <c r="B612" t="s">
        <v>123</v>
      </c>
      <c r="C612">
        <f>VLOOKUP($B612,Keys!$F$2:$I$22,2,FALSE)</f>
        <v>0</v>
      </c>
      <c r="D612">
        <f>VLOOKUP($B612,Keys!$F$2:$I$22,3,FALSE)</f>
        <v>0</v>
      </c>
      <c r="E612" t="str">
        <f>VLOOKUP($B612,Keys!$F$2:$I$22,4,FALSE)</f>
        <v>zero</v>
      </c>
      <c r="F612" t="str">
        <f>$A612&amp;Keys!$C$54&amp;$B612</f>
        <v>NJ|hydrogen</v>
      </c>
      <c r="G612" s="10">
        <f>IF($E612=Keys!$C$60,Keys!$C$51,INDEX(Balanced_2025!$D$9:$D$3032,MATCH($A612&amp;Keys!$C$54&amp;Keys!$C$55&amp;Keys!$C$54&amp;$C612,Balanced_2025!$E$9:$E$3032,0)))</f>
        <v>0</v>
      </c>
      <c r="H612" s="10">
        <f>IF($E612=Keys!$C$60,Keys!$C$51,INDEX(Balanced_2025!$D$9:$D$3032,MATCH($A612&amp;Keys!$C$54&amp;Keys!$C$56&amp;Keys!$C$54&amp;$C612,Balanced_2025!$E$9:$E$3032,0)))</f>
        <v>0</v>
      </c>
      <c r="I612" s="10">
        <f>IF($E612=Keys!$C$60,Keys!$C$51,INDEX(Balanced_2025!$D$9:$D$3032,MATCH($A612&amp;Keys!$C$54&amp;Keys!$C$57&amp;Keys!$C$54&amp;$C612,Balanced_2025!$E$9:$E$3032,0)))</f>
        <v>0</v>
      </c>
      <c r="J612" s="10">
        <f t="shared" si="36"/>
        <v>0</v>
      </c>
      <c r="K612" s="10">
        <f>MAX(Keys!$C$51,$I612-$H612)</f>
        <v>0</v>
      </c>
      <c r="L612" s="10">
        <f t="shared" si="37"/>
        <v>0</v>
      </c>
      <c r="M612" s="11">
        <f>IF($L612&gt;Keys!$C$51,MIN(Keys!$C$52,$K612/$L612),Keys!$C$51)</f>
        <v>0</v>
      </c>
      <c r="N612" s="11">
        <f>IF($E612=Keys!$C$60,Keys!$C$51,IF($E612=Keys!$C$59,$D612,$M612))</f>
        <v>0</v>
      </c>
      <c r="O612">
        <f t="shared" si="38"/>
        <v>0</v>
      </c>
      <c r="P612" s="10">
        <f>IF($E612=Keys!$C$60,Keys!$C$51,INDEX(Raw_BFPIaE!$G$9:$G$3032,MATCH($A612&amp;Keys!$C$54&amp;Keys!$C$55&amp;Keys!$C$54&amp;$B612,Raw_BFPIaE!$H$9:$H$3032,0)))</f>
        <v>0</v>
      </c>
      <c r="Q612" s="10">
        <f>IF($E612=Keys!$C$60,Keys!$C$51,INDEX(Raw_BFPIaE!$G$9:$G$3032,MATCH($A612&amp;Keys!$C$54&amp;Keys!$C$56&amp;Keys!$C$54&amp;$B612,Raw_BFPIaE!$H$9:$H$3032,0)))</f>
        <v>0</v>
      </c>
      <c r="R612" s="10">
        <f>IF($E612=Keys!$C$60,Keys!$C$51,INDEX(Raw_BFPIaE!$G$9:$G$3032,MATCH($A612&amp;Keys!$C$54&amp;Keys!$C$57&amp;Keys!$C$54&amp;$B612,Raw_BFPIaE!$H$9:$H$3032,0)))</f>
        <v>0</v>
      </c>
      <c r="S612" s="11">
        <f>IF(($P612+$Q612-$R612+MAX(Keys!$C$51,$R612-$Q612))&gt;Keys!$C$51,MIN(Keys!$C$52,MAX(Keys!$C$51,$R612-$Q612)/($P612+$Q612-$R612+MAX(Keys!$C$51,$R612-$Q612))),Keys!$C$51)</f>
        <v>0</v>
      </c>
      <c r="T612">
        <f>IF(AND($I612&gt;$H612,ABS($L612-$G612)&gt;MAX(Keys!$C$62,ABS($G612)*Keys!$C$63)),1,0)</f>
        <v>0</v>
      </c>
      <c r="U612">
        <f>IF(OR($N612&lt;Keys!$C$51,$N612&gt;Keys!$C$52),1,0)</f>
        <v>0</v>
      </c>
      <c r="V612">
        <f>IF(AND($E612=Keys!$C$60,$N612&lt;&gt;Keys!$C$51),1,0)</f>
        <v>0</v>
      </c>
      <c r="W612">
        <f>IF($L612&gt;Keys!$C$51,IF($K612/$L612&gt;Keys!$C$52,1,0),0)</f>
        <v>0</v>
      </c>
      <c r="X612" s="11">
        <f t="shared" si="39"/>
        <v>0</v>
      </c>
    </row>
    <row r="613" spans="1:24" x14ac:dyDescent="0.25">
      <c r="A613" t="s">
        <v>141</v>
      </c>
      <c r="B613" t="s">
        <v>60</v>
      </c>
      <c r="C613">
        <f>VLOOKUP($B613,Keys!$F$2:$I$22,2,FALSE)</f>
        <v>0</v>
      </c>
      <c r="D613">
        <f>VLOOKUP($B613,Keys!$F$2:$I$22,3,FALSE)</f>
        <v>0</v>
      </c>
      <c r="E613" t="str">
        <f>VLOOKUP($B613,Keys!$F$2:$I$22,4,FALSE)</f>
        <v>zero</v>
      </c>
      <c r="F613" t="str">
        <f>$A613&amp;Keys!$C$54&amp;$B613</f>
        <v>NM|electricity (not used in this variable)</v>
      </c>
      <c r="G613" s="10">
        <f>IF($E613=Keys!$C$60,Keys!$C$51,INDEX(Balanced_2025!$D$9:$D$3032,MATCH($A613&amp;Keys!$C$54&amp;Keys!$C$55&amp;Keys!$C$54&amp;$C613,Balanced_2025!$E$9:$E$3032,0)))</f>
        <v>0</v>
      </c>
      <c r="H613" s="10">
        <f>IF($E613=Keys!$C$60,Keys!$C$51,INDEX(Balanced_2025!$D$9:$D$3032,MATCH($A613&amp;Keys!$C$54&amp;Keys!$C$56&amp;Keys!$C$54&amp;$C613,Balanced_2025!$E$9:$E$3032,0)))</f>
        <v>0</v>
      </c>
      <c r="I613" s="10">
        <f>IF($E613=Keys!$C$60,Keys!$C$51,INDEX(Balanced_2025!$D$9:$D$3032,MATCH($A613&amp;Keys!$C$54&amp;Keys!$C$57&amp;Keys!$C$54&amp;$C613,Balanced_2025!$E$9:$E$3032,0)))</f>
        <v>0</v>
      </c>
      <c r="J613" s="10">
        <f t="shared" si="36"/>
        <v>0</v>
      </c>
      <c r="K613" s="10">
        <f>MAX(Keys!$C$51,$I613-$H613)</f>
        <v>0</v>
      </c>
      <c r="L613" s="10">
        <f t="shared" si="37"/>
        <v>0</v>
      </c>
      <c r="M613" s="11">
        <f>IF($L613&gt;Keys!$C$51,MIN(Keys!$C$52,$K613/$L613),Keys!$C$51)</f>
        <v>0</v>
      </c>
      <c r="N613" s="11">
        <f>IF($E613=Keys!$C$60,Keys!$C$51,IF($E613=Keys!$C$59,$D613,$M613))</f>
        <v>0</v>
      </c>
      <c r="O613">
        <f t="shared" si="38"/>
        <v>0</v>
      </c>
      <c r="P613" s="10">
        <f>IF($E613=Keys!$C$60,Keys!$C$51,INDEX(Raw_BFPIaE!$G$9:$G$3032,MATCH($A613&amp;Keys!$C$54&amp;Keys!$C$55&amp;Keys!$C$54&amp;$B613,Raw_BFPIaE!$H$9:$H$3032,0)))</f>
        <v>0</v>
      </c>
      <c r="Q613" s="10">
        <f>IF($E613=Keys!$C$60,Keys!$C$51,INDEX(Raw_BFPIaE!$G$9:$G$3032,MATCH($A613&amp;Keys!$C$54&amp;Keys!$C$56&amp;Keys!$C$54&amp;$B613,Raw_BFPIaE!$H$9:$H$3032,0)))</f>
        <v>0</v>
      </c>
      <c r="R613" s="10">
        <f>IF($E613=Keys!$C$60,Keys!$C$51,INDEX(Raw_BFPIaE!$G$9:$G$3032,MATCH($A613&amp;Keys!$C$54&amp;Keys!$C$57&amp;Keys!$C$54&amp;$B613,Raw_BFPIaE!$H$9:$H$3032,0)))</f>
        <v>0</v>
      </c>
      <c r="S613" s="11">
        <f>IF(($P613+$Q613-$R613+MAX(Keys!$C$51,$R613-$Q613))&gt;Keys!$C$51,MIN(Keys!$C$52,MAX(Keys!$C$51,$R613-$Q613)/($P613+$Q613-$R613+MAX(Keys!$C$51,$R613-$Q613))),Keys!$C$51)</f>
        <v>0</v>
      </c>
      <c r="T613">
        <f>IF(AND($I613&gt;$H613,ABS($L613-$G613)&gt;MAX(Keys!$C$62,ABS($G613)*Keys!$C$63)),1,0)</f>
        <v>0</v>
      </c>
      <c r="U613">
        <f>IF(OR($N613&lt;Keys!$C$51,$N613&gt;Keys!$C$52),1,0)</f>
        <v>0</v>
      </c>
      <c r="V613">
        <f>IF(AND($E613=Keys!$C$60,$N613&lt;&gt;Keys!$C$51),1,0)</f>
        <v>0</v>
      </c>
      <c r="W613">
        <f>IF($L613&gt;Keys!$C$51,IF($K613/$L613&gt;Keys!$C$52,1,0),0)</f>
        <v>0</v>
      </c>
      <c r="X613" s="11">
        <f t="shared" si="39"/>
        <v>0</v>
      </c>
    </row>
    <row r="614" spans="1:24" x14ac:dyDescent="0.25">
      <c r="A614" t="s">
        <v>141</v>
      </c>
      <c r="B614" t="s">
        <v>64</v>
      </c>
      <c r="C614" t="str">
        <f>VLOOKUP($B614,Keys!$F$2:$I$22,2,FALSE)</f>
        <v>hard coal</v>
      </c>
      <c r="D614">
        <f>VLOOKUP($B614,Keys!$F$2:$I$22,3,FALSE)</f>
        <v>0.137539879</v>
      </c>
      <c r="E614" t="str">
        <f>VLOOKUP($B614,Keys!$F$2:$I$22,4,FALSE)</f>
        <v>rule</v>
      </c>
      <c r="F614" t="str">
        <f>$A614&amp;Keys!$C$54&amp;$B614</f>
        <v>NM|hard coal</v>
      </c>
      <c r="G614" s="10">
        <f>IF($E614=Keys!$C$60,Keys!$C$51,INDEX(Balanced_2025!$D$9:$D$3032,MATCH($A614&amp;Keys!$C$54&amp;Keys!$C$55&amp;Keys!$C$54&amp;$C614,Balanced_2025!$E$9:$E$3032,0)))</f>
        <v>147575000000000</v>
      </c>
      <c r="H614" s="10">
        <f>IF($E614=Keys!$C$60,Keys!$C$51,INDEX(Balanced_2025!$D$9:$D$3032,MATCH($A614&amp;Keys!$C$54&amp;Keys!$C$56&amp;Keys!$C$54&amp;$C614,Balanced_2025!$E$9:$E$3032,0)))</f>
        <v>741505000000</v>
      </c>
      <c r="I614" s="10">
        <f>IF($E614=Keys!$C$60,Keys!$C$51,INDEX(Balanced_2025!$D$9:$D$3032,MATCH($A614&amp;Keys!$C$54&amp;Keys!$C$57&amp;Keys!$C$54&amp;$C614,Balanced_2025!$E$9:$E$3032,0)))</f>
        <v>64885300000000</v>
      </c>
      <c r="J614" s="10">
        <f t="shared" si="36"/>
        <v>83431205000000</v>
      </c>
      <c r="K614" s="10">
        <f>MAX(Keys!$C$51,$I614-$H614)</f>
        <v>64143795000000</v>
      </c>
      <c r="L614" s="10">
        <f t="shared" si="37"/>
        <v>147575000000000</v>
      </c>
      <c r="M614" s="11">
        <f>IF($L614&gt;Keys!$C$51,MIN(Keys!$C$52,$K614/$L614),Keys!$C$51)</f>
        <v>0.43465217685922414</v>
      </c>
      <c r="N614" s="11">
        <f>IF($E614=Keys!$C$60,Keys!$C$51,IF($E614=Keys!$C$59,$D614,$M614))</f>
        <v>0.43465217685922414</v>
      </c>
      <c r="O614">
        <f t="shared" si="38"/>
        <v>1</v>
      </c>
      <c r="P614" s="10">
        <f>IF($E614=Keys!$C$60,Keys!$C$51,INDEX(Raw_BFPIaE!$G$9:$G$3032,MATCH($A614&amp;Keys!$C$54&amp;Keys!$C$55&amp;Keys!$C$54&amp;$B614,Raw_BFPIaE!$H$9:$H$3032,0)))</f>
        <v>144318666666666.66</v>
      </c>
      <c r="Q614" s="10">
        <f>IF($E614=Keys!$C$60,Keys!$C$51,INDEX(Raw_BFPIaE!$G$9:$G$3032,MATCH($A614&amp;Keys!$C$54&amp;Keys!$C$56&amp;Keys!$C$54&amp;$B614,Raw_BFPIaE!$H$9:$H$3032,0)))</f>
        <v>338563333333.33331</v>
      </c>
      <c r="R614" s="10">
        <f>IF($E614=Keys!$C$60,Keys!$C$51,INDEX(Raw_BFPIaE!$G$9:$G$3032,MATCH($A614&amp;Keys!$C$54&amp;Keys!$C$57&amp;Keys!$C$54&amp;$B614,Raw_BFPIaE!$H$9:$H$3032,0)))</f>
        <v>56373333333333.336</v>
      </c>
      <c r="S614" s="11">
        <f>IF(($P614+$Q614-$R614+MAX(Keys!$C$51,$R614-$Q614))&gt;Keys!$C$51,MIN(Keys!$C$52,MAX(Keys!$C$51,$R614-$Q614)/($P614+$Q614-$R614+MAX(Keys!$C$51,$R614-$Q614))),Keys!$C$51)</f>
        <v>0.38827111761934241</v>
      </c>
      <c r="T614">
        <f>IF(AND($I614&gt;$H614,ABS($L614-$G614)&gt;MAX(Keys!$C$62,ABS($G614)*Keys!$C$63)),1,0)</f>
        <v>0</v>
      </c>
      <c r="U614">
        <f>IF(OR($N614&lt;Keys!$C$51,$N614&gt;Keys!$C$52),1,0)</f>
        <v>0</v>
      </c>
      <c r="V614">
        <f>IF(AND($E614=Keys!$C$60,$N614&lt;&gt;Keys!$C$51),1,0)</f>
        <v>0</v>
      </c>
      <c r="W614">
        <f>IF($L614&gt;Keys!$C$51,IF($K614/$L614&gt;Keys!$C$52,1,0),0)</f>
        <v>0</v>
      </c>
      <c r="X614" s="11">
        <f t="shared" si="39"/>
        <v>4.6381059239881728E-2</v>
      </c>
    </row>
    <row r="615" spans="1:24" x14ac:dyDescent="0.25">
      <c r="A615" t="s">
        <v>141</v>
      </c>
      <c r="B615" t="s">
        <v>68</v>
      </c>
      <c r="C615" t="str">
        <f>VLOOKUP($B615,Keys!$F$2:$I$22,2,FALSE)</f>
        <v>natural gas</v>
      </c>
      <c r="D615">
        <f>VLOOKUP($B615,Keys!$F$2:$I$22,3,FALSE)</f>
        <v>0.190839183</v>
      </c>
      <c r="E615" t="str">
        <f>VLOOKUP($B615,Keys!$F$2:$I$22,4,FALSE)</f>
        <v>rule</v>
      </c>
      <c r="F615" t="str">
        <f>$A615&amp;Keys!$C$54&amp;$B615</f>
        <v>NM|natural gas</v>
      </c>
      <c r="G615" s="10">
        <f>IF($E615=Keys!$C$60,Keys!$C$51,INDEX(Balanced_2025!$D$9:$D$3032,MATCH($A615&amp;Keys!$C$54&amp;Keys!$C$55&amp;Keys!$C$54&amp;$C615,Balanced_2025!$E$9:$E$3032,0)))</f>
        <v>3452590000000000</v>
      </c>
      <c r="H615" s="10">
        <f>IF($E615=Keys!$C$60,Keys!$C$51,INDEX(Balanced_2025!$D$9:$D$3032,MATCH($A615&amp;Keys!$C$54&amp;Keys!$C$56&amp;Keys!$C$54&amp;$C615,Balanced_2025!$E$9:$E$3032,0)))</f>
        <v>0</v>
      </c>
      <c r="I615" s="10">
        <f>IF($E615=Keys!$C$60,Keys!$C$51,INDEX(Balanced_2025!$D$9:$D$3032,MATCH($A615&amp;Keys!$C$54&amp;Keys!$C$57&amp;Keys!$C$54&amp;$C615,Balanced_2025!$E$9:$E$3032,0)))</f>
        <v>3152550000000000</v>
      </c>
      <c r="J615" s="10">
        <f t="shared" si="36"/>
        <v>300040000000000</v>
      </c>
      <c r="K615" s="10">
        <f>MAX(Keys!$C$51,$I615-$H615)</f>
        <v>3152550000000000</v>
      </c>
      <c r="L615" s="10">
        <f t="shared" si="37"/>
        <v>3452590000000000</v>
      </c>
      <c r="M615" s="11">
        <f>IF($L615&gt;Keys!$C$51,MIN(Keys!$C$52,$K615/$L615),Keys!$C$51)</f>
        <v>0.91309712418792843</v>
      </c>
      <c r="N615" s="11">
        <f>IF($E615=Keys!$C$60,Keys!$C$51,IF($E615=Keys!$C$59,$D615,$M615))</f>
        <v>0.91309712418792843</v>
      </c>
      <c r="O615">
        <f t="shared" si="38"/>
        <v>1</v>
      </c>
      <c r="P615" s="10">
        <f>IF($E615=Keys!$C$60,Keys!$C$51,INDEX(Raw_BFPIaE!$G$9:$G$3032,MATCH($A615&amp;Keys!$C$54&amp;Keys!$C$55&amp;Keys!$C$54&amp;$B615,Raw_BFPIaE!$H$9:$H$3032,0)))</f>
        <v>3467383333333333.5</v>
      </c>
      <c r="Q615" s="10">
        <f>IF($E615=Keys!$C$60,Keys!$C$51,INDEX(Raw_BFPIaE!$G$9:$G$3032,MATCH($A615&amp;Keys!$C$54&amp;Keys!$C$56&amp;Keys!$C$54&amp;$B615,Raw_BFPIaE!$H$9:$H$3032,0)))</f>
        <v>234962333333333.34</v>
      </c>
      <c r="R615" s="10">
        <f>IF($E615=Keys!$C$60,Keys!$C$51,INDEX(Raw_BFPIaE!$G$9:$G$3032,MATCH($A615&amp;Keys!$C$54&amp;Keys!$C$57&amp;Keys!$C$54&amp;$B615,Raw_BFPIaE!$H$9:$H$3032,0)))</f>
        <v>2706193333333333.5</v>
      </c>
      <c r="S615" s="11">
        <f>IF(($P615+$Q615-$R615+MAX(Keys!$C$51,$R615-$Q615))&gt;Keys!$C$51,MIN(Keys!$C$52,MAX(Keys!$C$51,$R615-$Q615)/($P615+$Q615-$R615+MAX(Keys!$C$51,$R615-$Q615))),Keys!$C$51)</f>
        <v>0.71270775753089499</v>
      </c>
      <c r="T615">
        <f>IF(AND($I615&gt;$H615,ABS($L615-$G615)&gt;MAX(Keys!$C$62,ABS($G615)*Keys!$C$63)),1,0)</f>
        <v>0</v>
      </c>
      <c r="U615">
        <f>IF(OR($N615&lt;Keys!$C$51,$N615&gt;Keys!$C$52),1,0)</f>
        <v>0</v>
      </c>
      <c r="V615">
        <f>IF(AND($E615=Keys!$C$60,$N615&lt;&gt;Keys!$C$51),1,0)</f>
        <v>0</v>
      </c>
      <c r="W615">
        <f>IF($L615&gt;Keys!$C$51,IF($K615/$L615&gt;Keys!$C$52,1,0),0)</f>
        <v>0</v>
      </c>
      <c r="X615" s="11">
        <f t="shared" si="39"/>
        <v>0.20038936665703344</v>
      </c>
    </row>
    <row r="616" spans="1:24" x14ac:dyDescent="0.25">
      <c r="A616" t="s">
        <v>141</v>
      </c>
      <c r="B616" t="s">
        <v>71</v>
      </c>
      <c r="C616">
        <f>VLOOKUP($B616,Keys!$F$2:$I$22,2,FALSE)</f>
        <v>0</v>
      </c>
      <c r="D616">
        <f>VLOOKUP($B616,Keys!$F$2:$I$22,3,FALSE)</f>
        <v>0</v>
      </c>
      <c r="E616" t="str">
        <f>VLOOKUP($B616,Keys!$F$2:$I$22,4,FALSE)</f>
        <v>zero</v>
      </c>
      <c r="F616" t="str">
        <f>$A616&amp;Keys!$C$54&amp;$B616</f>
        <v>NM|nuclear</v>
      </c>
      <c r="G616" s="10">
        <f>IF($E616=Keys!$C$60,Keys!$C$51,INDEX(Balanced_2025!$D$9:$D$3032,MATCH($A616&amp;Keys!$C$54&amp;Keys!$C$55&amp;Keys!$C$54&amp;$C616,Balanced_2025!$E$9:$E$3032,0)))</f>
        <v>0</v>
      </c>
      <c r="H616" s="10">
        <f>IF($E616=Keys!$C$60,Keys!$C$51,INDEX(Balanced_2025!$D$9:$D$3032,MATCH($A616&amp;Keys!$C$54&amp;Keys!$C$56&amp;Keys!$C$54&amp;$C616,Balanced_2025!$E$9:$E$3032,0)))</f>
        <v>0</v>
      </c>
      <c r="I616" s="10">
        <f>IF($E616=Keys!$C$60,Keys!$C$51,INDEX(Balanced_2025!$D$9:$D$3032,MATCH($A616&amp;Keys!$C$54&amp;Keys!$C$57&amp;Keys!$C$54&amp;$C616,Balanced_2025!$E$9:$E$3032,0)))</f>
        <v>0</v>
      </c>
      <c r="J616" s="10">
        <f t="shared" si="36"/>
        <v>0</v>
      </c>
      <c r="K616" s="10">
        <f>MAX(Keys!$C$51,$I616-$H616)</f>
        <v>0</v>
      </c>
      <c r="L616" s="10">
        <f t="shared" si="37"/>
        <v>0</v>
      </c>
      <c r="M616" s="11">
        <f>IF($L616&gt;Keys!$C$51,MIN(Keys!$C$52,$K616/$L616),Keys!$C$51)</f>
        <v>0</v>
      </c>
      <c r="N616" s="11">
        <f>IF($E616=Keys!$C$60,Keys!$C$51,IF($E616=Keys!$C$59,$D616,$M616))</f>
        <v>0</v>
      </c>
      <c r="O616">
        <f t="shared" si="38"/>
        <v>0</v>
      </c>
      <c r="P616" s="10">
        <f>IF($E616=Keys!$C$60,Keys!$C$51,INDEX(Raw_BFPIaE!$G$9:$G$3032,MATCH($A616&amp;Keys!$C$54&amp;Keys!$C$55&amp;Keys!$C$54&amp;$B616,Raw_BFPIaE!$H$9:$H$3032,0)))</f>
        <v>0</v>
      </c>
      <c r="Q616" s="10">
        <f>IF($E616=Keys!$C$60,Keys!$C$51,INDEX(Raw_BFPIaE!$G$9:$G$3032,MATCH($A616&amp;Keys!$C$54&amp;Keys!$C$56&amp;Keys!$C$54&amp;$B616,Raw_BFPIaE!$H$9:$H$3032,0)))</f>
        <v>0</v>
      </c>
      <c r="R616" s="10">
        <f>IF($E616=Keys!$C$60,Keys!$C$51,INDEX(Raw_BFPIaE!$G$9:$G$3032,MATCH($A616&amp;Keys!$C$54&amp;Keys!$C$57&amp;Keys!$C$54&amp;$B616,Raw_BFPIaE!$H$9:$H$3032,0)))</f>
        <v>0</v>
      </c>
      <c r="S616" s="11">
        <f>IF(($P616+$Q616-$R616+MAX(Keys!$C$51,$R616-$Q616))&gt;Keys!$C$51,MIN(Keys!$C$52,MAX(Keys!$C$51,$R616-$Q616)/($P616+$Q616-$R616+MAX(Keys!$C$51,$R616-$Q616))),Keys!$C$51)</f>
        <v>0</v>
      </c>
      <c r="T616">
        <f>IF(AND($I616&gt;$H616,ABS($L616-$G616)&gt;MAX(Keys!$C$62,ABS($G616)*Keys!$C$63)),1,0)</f>
        <v>0</v>
      </c>
      <c r="U616">
        <f>IF(OR($N616&lt;Keys!$C$51,$N616&gt;Keys!$C$52),1,0)</f>
        <v>0</v>
      </c>
      <c r="V616">
        <f>IF(AND($E616=Keys!$C$60,$N616&lt;&gt;Keys!$C$51),1,0)</f>
        <v>0</v>
      </c>
      <c r="W616">
        <f>IF($L616&gt;Keys!$C$51,IF($K616/$L616&gt;Keys!$C$52,1,0),0)</f>
        <v>0</v>
      </c>
      <c r="X616" s="11">
        <f t="shared" si="39"/>
        <v>0</v>
      </c>
    </row>
    <row r="617" spans="1:24" x14ac:dyDescent="0.25">
      <c r="A617" t="s">
        <v>141</v>
      </c>
      <c r="B617" t="s">
        <v>74</v>
      </c>
      <c r="C617">
        <f>VLOOKUP($B617,Keys!$F$2:$I$22,2,FALSE)</f>
        <v>0</v>
      </c>
      <c r="D617">
        <f>VLOOKUP($B617,Keys!$F$2:$I$22,3,FALSE)</f>
        <v>0</v>
      </c>
      <c r="E617" t="str">
        <f>VLOOKUP($B617,Keys!$F$2:$I$22,4,FALSE)</f>
        <v>zero</v>
      </c>
      <c r="F617" t="str">
        <f>$A617&amp;Keys!$C$54&amp;$B617</f>
        <v>NM|hydro (is not a fuel)</v>
      </c>
      <c r="G617" s="10">
        <f>IF($E617=Keys!$C$60,Keys!$C$51,INDEX(Balanced_2025!$D$9:$D$3032,MATCH($A617&amp;Keys!$C$54&amp;Keys!$C$55&amp;Keys!$C$54&amp;$C617,Balanced_2025!$E$9:$E$3032,0)))</f>
        <v>0</v>
      </c>
      <c r="H617" s="10">
        <f>IF($E617=Keys!$C$60,Keys!$C$51,INDEX(Balanced_2025!$D$9:$D$3032,MATCH($A617&amp;Keys!$C$54&amp;Keys!$C$56&amp;Keys!$C$54&amp;$C617,Balanced_2025!$E$9:$E$3032,0)))</f>
        <v>0</v>
      </c>
      <c r="I617" s="10">
        <f>IF($E617=Keys!$C$60,Keys!$C$51,INDEX(Balanced_2025!$D$9:$D$3032,MATCH($A617&amp;Keys!$C$54&amp;Keys!$C$57&amp;Keys!$C$54&amp;$C617,Balanced_2025!$E$9:$E$3032,0)))</f>
        <v>0</v>
      </c>
      <c r="J617" s="10">
        <f t="shared" si="36"/>
        <v>0</v>
      </c>
      <c r="K617" s="10">
        <f>MAX(Keys!$C$51,$I617-$H617)</f>
        <v>0</v>
      </c>
      <c r="L617" s="10">
        <f t="shared" si="37"/>
        <v>0</v>
      </c>
      <c r="M617" s="11">
        <f>IF($L617&gt;Keys!$C$51,MIN(Keys!$C$52,$K617/$L617),Keys!$C$51)</f>
        <v>0</v>
      </c>
      <c r="N617" s="11">
        <f>IF($E617=Keys!$C$60,Keys!$C$51,IF($E617=Keys!$C$59,$D617,$M617))</f>
        <v>0</v>
      </c>
      <c r="O617">
        <f t="shared" si="38"/>
        <v>0</v>
      </c>
      <c r="P617" s="10">
        <f>IF($E617=Keys!$C$60,Keys!$C$51,INDEX(Raw_BFPIaE!$G$9:$G$3032,MATCH($A617&amp;Keys!$C$54&amp;Keys!$C$55&amp;Keys!$C$54&amp;$B617,Raw_BFPIaE!$H$9:$H$3032,0)))</f>
        <v>0</v>
      </c>
      <c r="Q617" s="10">
        <f>IF($E617=Keys!$C$60,Keys!$C$51,INDEX(Raw_BFPIaE!$G$9:$G$3032,MATCH($A617&amp;Keys!$C$54&amp;Keys!$C$56&amp;Keys!$C$54&amp;$B617,Raw_BFPIaE!$H$9:$H$3032,0)))</f>
        <v>0</v>
      </c>
      <c r="R617" s="10">
        <f>IF($E617=Keys!$C$60,Keys!$C$51,INDEX(Raw_BFPIaE!$G$9:$G$3032,MATCH($A617&amp;Keys!$C$54&amp;Keys!$C$57&amp;Keys!$C$54&amp;$B617,Raw_BFPIaE!$H$9:$H$3032,0)))</f>
        <v>0</v>
      </c>
      <c r="S617" s="11">
        <f>IF(($P617+$Q617-$R617+MAX(Keys!$C$51,$R617-$Q617))&gt;Keys!$C$51,MIN(Keys!$C$52,MAX(Keys!$C$51,$R617-$Q617)/($P617+$Q617-$R617+MAX(Keys!$C$51,$R617-$Q617))),Keys!$C$51)</f>
        <v>0</v>
      </c>
      <c r="T617">
        <f>IF(AND($I617&gt;$H617,ABS($L617-$G617)&gt;MAX(Keys!$C$62,ABS($G617)*Keys!$C$63)),1,0)</f>
        <v>0</v>
      </c>
      <c r="U617">
        <f>IF(OR($N617&lt;Keys!$C$51,$N617&gt;Keys!$C$52),1,0)</f>
        <v>0</v>
      </c>
      <c r="V617">
        <f>IF(AND($E617=Keys!$C$60,$N617&lt;&gt;Keys!$C$51),1,0)</f>
        <v>0</v>
      </c>
      <c r="W617">
        <f>IF($L617&gt;Keys!$C$51,IF($K617/$L617&gt;Keys!$C$52,1,0),0)</f>
        <v>0</v>
      </c>
      <c r="X617" s="11">
        <f t="shared" si="39"/>
        <v>0</v>
      </c>
    </row>
    <row r="618" spans="1:24" x14ac:dyDescent="0.25">
      <c r="A618" t="s">
        <v>141</v>
      </c>
      <c r="B618" t="s">
        <v>77</v>
      </c>
      <c r="C618">
        <f>VLOOKUP($B618,Keys!$F$2:$I$22,2,FALSE)</f>
        <v>0</v>
      </c>
      <c r="D618">
        <f>VLOOKUP($B618,Keys!$F$2:$I$22,3,FALSE)</f>
        <v>0</v>
      </c>
      <c r="E618" t="str">
        <f>VLOOKUP($B618,Keys!$F$2:$I$22,4,FALSE)</f>
        <v>zero</v>
      </c>
      <c r="F618" t="str">
        <f>$A618&amp;Keys!$C$54&amp;$B618</f>
        <v>NM|wind (is not a fuel)</v>
      </c>
      <c r="G618" s="10">
        <f>IF($E618=Keys!$C$60,Keys!$C$51,INDEX(Balanced_2025!$D$9:$D$3032,MATCH($A618&amp;Keys!$C$54&amp;Keys!$C$55&amp;Keys!$C$54&amp;$C618,Balanced_2025!$E$9:$E$3032,0)))</f>
        <v>0</v>
      </c>
      <c r="H618" s="10">
        <f>IF($E618=Keys!$C$60,Keys!$C$51,INDEX(Balanced_2025!$D$9:$D$3032,MATCH($A618&amp;Keys!$C$54&amp;Keys!$C$56&amp;Keys!$C$54&amp;$C618,Balanced_2025!$E$9:$E$3032,0)))</f>
        <v>0</v>
      </c>
      <c r="I618" s="10">
        <f>IF($E618=Keys!$C$60,Keys!$C$51,INDEX(Balanced_2025!$D$9:$D$3032,MATCH($A618&amp;Keys!$C$54&amp;Keys!$C$57&amp;Keys!$C$54&amp;$C618,Balanced_2025!$E$9:$E$3032,0)))</f>
        <v>0</v>
      </c>
      <c r="J618" s="10">
        <f t="shared" si="36"/>
        <v>0</v>
      </c>
      <c r="K618" s="10">
        <f>MAX(Keys!$C$51,$I618-$H618)</f>
        <v>0</v>
      </c>
      <c r="L618" s="10">
        <f t="shared" si="37"/>
        <v>0</v>
      </c>
      <c r="M618" s="11">
        <f>IF($L618&gt;Keys!$C$51,MIN(Keys!$C$52,$K618/$L618),Keys!$C$51)</f>
        <v>0</v>
      </c>
      <c r="N618" s="11">
        <f>IF($E618=Keys!$C$60,Keys!$C$51,IF($E618=Keys!$C$59,$D618,$M618))</f>
        <v>0</v>
      </c>
      <c r="O618">
        <f t="shared" si="38"/>
        <v>0</v>
      </c>
      <c r="P618" s="10">
        <f>IF($E618=Keys!$C$60,Keys!$C$51,INDEX(Raw_BFPIaE!$G$9:$G$3032,MATCH($A618&amp;Keys!$C$54&amp;Keys!$C$55&amp;Keys!$C$54&amp;$B618,Raw_BFPIaE!$H$9:$H$3032,0)))</f>
        <v>0</v>
      </c>
      <c r="Q618" s="10">
        <f>IF($E618=Keys!$C$60,Keys!$C$51,INDEX(Raw_BFPIaE!$G$9:$G$3032,MATCH($A618&amp;Keys!$C$54&amp;Keys!$C$56&amp;Keys!$C$54&amp;$B618,Raw_BFPIaE!$H$9:$H$3032,0)))</f>
        <v>0</v>
      </c>
      <c r="R618" s="10">
        <f>IF($E618=Keys!$C$60,Keys!$C$51,INDEX(Raw_BFPIaE!$G$9:$G$3032,MATCH($A618&amp;Keys!$C$54&amp;Keys!$C$57&amp;Keys!$C$54&amp;$B618,Raw_BFPIaE!$H$9:$H$3032,0)))</f>
        <v>0</v>
      </c>
      <c r="S618" s="11">
        <f>IF(($P618+$Q618-$R618+MAX(Keys!$C$51,$R618-$Q618))&gt;Keys!$C$51,MIN(Keys!$C$52,MAX(Keys!$C$51,$R618-$Q618)/($P618+$Q618-$R618+MAX(Keys!$C$51,$R618-$Q618))),Keys!$C$51)</f>
        <v>0</v>
      </c>
      <c r="T618">
        <f>IF(AND($I618&gt;$H618,ABS($L618-$G618)&gt;MAX(Keys!$C$62,ABS($G618)*Keys!$C$63)),1,0)</f>
        <v>0</v>
      </c>
      <c r="U618">
        <f>IF(OR($N618&lt;Keys!$C$51,$N618&gt;Keys!$C$52),1,0)</f>
        <v>0</v>
      </c>
      <c r="V618">
        <f>IF(AND($E618=Keys!$C$60,$N618&lt;&gt;Keys!$C$51),1,0)</f>
        <v>0</v>
      </c>
      <c r="W618">
        <f>IF($L618&gt;Keys!$C$51,IF($K618/$L618&gt;Keys!$C$52,1,0),0)</f>
        <v>0</v>
      </c>
      <c r="X618" s="11">
        <f t="shared" si="39"/>
        <v>0</v>
      </c>
    </row>
    <row r="619" spans="1:24" x14ac:dyDescent="0.25">
      <c r="A619" t="s">
        <v>141</v>
      </c>
      <c r="B619" t="s">
        <v>80</v>
      </c>
      <c r="C619">
        <f>VLOOKUP($B619,Keys!$F$2:$I$22,2,FALSE)</f>
        <v>0</v>
      </c>
      <c r="D619">
        <f>VLOOKUP($B619,Keys!$F$2:$I$22,3,FALSE)</f>
        <v>0</v>
      </c>
      <c r="E619" t="str">
        <f>VLOOKUP($B619,Keys!$F$2:$I$22,4,FALSE)</f>
        <v>zero</v>
      </c>
      <c r="F619" t="str">
        <f>$A619&amp;Keys!$C$54&amp;$B619</f>
        <v>NM|solar (is not a fuel)</v>
      </c>
      <c r="G619" s="10">
        <f>IF($E619=Keys!$C$60,Keys!$C$51,INDEX(Balanced_2025!$D$9:$D$3032,MATCH($A619&amp;Keys!$C$54&amp;Keys!$C$55&amp;Keys!$C$54&amp;$C619,Balanced_2025!$E$9:$E$3032,0)))</f>
        <v>0</v>
      </c>
      <c r="H619" s="10">
        <f>IF($E619=Keys!$C$60,Keys!$C$51,INDEX(Balanced_2025!$D$9:$D$3032,MATCH($A619&amp;Keys!$C$54&amp;Keys!$C$56&amp;Keys!$C$54&amp;$C619,Balanced_2025!$E$9:$E$3032,0)))</f>
        <v>0</v>
      </c>
      <c r="I619" s="10">
        <f>IF($E619=Keys!$C$60,Keys!$C$51,INDEX(Balanced_2025!$D$9:$D$3032,MATCH($A619&amp;Keys!$C$54&amp;Keys!$C$57&amp;Keys!$C$54&amp;$C619,Balanced_2025!$E$9:$E$3032,0)))</f>
        <v>0</v>
      </c>
      <c r="J619" s="10">
        <f t="shared" si="36"/>
        <v>0</v>
      </c>
      <c r="K619" s="10">
        <f>MAX(Keys!$C$51,$I619-$H619)</f>
        <v>0</v>
      </c>
      <c r="L619" s="10">
        <f t="shared" si="37"/>
        <v>0</v>
      </c>
      <c r="M619" s="11">
        <f>IF($L619&gt;Keys!$C$51,MIN(Keys!$C$52,$K619/$L619),Keys!$C$51)</f>
        <v>0</v>
      </c>
      <c r="N619" s="11">
        <f>IF($E619=Keys!$C$60,Keys!$C$51,IF($E619=Keys!$C$59,$D619,$M619))</f>
        <v>0</v>
      </c>
      <c r="O619">
        <f t="shared" si="38"/>
        <v>0</v>
      </c>
      <c r="P619" s="10">
        <f>IF($E619=Keys!$C$60,Keys!$C$51,INDEX(Raw_BFPIaE!$G$9:$G$3032,MATCH($A619&amp;Keys!$C$54&amp;Keys!$C$55&amp;Keys!$C$54&amp;$B619,Raw_BFPIaE!$H$9:$H$3032,0)))</f>
        <v>0</v>
      </c>
      <c r="Q619" s="10">
        <f>IF($E619=Keys!$C$60,Keys!$C$51,INDEX(Raw_BFPIaE!$G$9:$G$3032,MATCH($A619&amp;Keys!$C$54&amp;Keys!$C$56&amp;Keys!$C$54&amp;$B619,Raw_BFPIaE!$H$9:$H$3032,0)))</f>
        <v>0</v>
      </c>
      <c r="R619" s="10">
        <f>IF($E619=Keys!$C$60,Keys!$C$51,INDEX(Raw_BFPIaE!$G$9:$G$3032,MATCH($A619&amp;Keys!$C$54&amp;Keys!$C$57&amp;Keys!$C$54&amp;$B619,Raw_BFPIaE!$H$9:$H$3032,0)))</f>
        <v>0</v>
      </c>
      <c r="S619" s="11">
        <f>IF(($P619+$Q619-$R619+MAX(Keys!$C$51,$R619-$Q619))&gt;Keys!$C$51,MIN(Keys!$C$52,MAX(Keys!$C$51,$R619-$Q619)/($P619+$Q619-$R619+MAX(Keys!$C$51,$R619-$Q619))),Keys!$C$51)</f>
        <v>0</v>
      </c>
      <c r="T619">
        <f>IF(AND($I619&gt;$H619,ABS($L619-$G619)&gt;MAX(Keys!$C$62,ABS($G619)*Keys!$C$63)),1,0)</f>
        <v>0</v>
      </c>
      <c r="U619">
        <f>IF(OR($N619&lt;Keys!$C$51,$N619&gt;Keys!$C$52),1,0)</f>
        <v>0</v>
      </c>
      <c r="V619">
        <f>IF(AND($E619=Keys!$C$60,$N619&lt;&gt;Keys!$C$51),1,0)</f>
        <v>0</v>
      </c>
      <c r="W619">
        <f>IF($L619&gt;Keys!$C$51,IF($K619/$L619&gt;Keys!$C$52,1,0),0)</f>
        <v>0</v>
      </c>
      <c r="X619" s="11">
        <f t="shared" si="39"/>
        <v>0</v>
      </c>
    </row>
    <row r="620" spans="1:24" x14ac:dyDescent="0.25">
      <c r="A620" t="s">
        <v>141</v>
      </c>
      <c r="B620" t="s">
        <v>82</v>
      </c>
      <c r="C620" t="str">
        <f>VLOOKUP($B620,Keys!$F$2:$I$22,2,FALSE)</f>
        <v>biomass</v>
      </c>
      <c r="D620">
        <f>VLOOKUP($B620,Keys!$F$2:$I$22,3,FALSE)</f>
        <v>0.74947425499999998</v>
      </c>
      <c r="E620" t="str">
        <f>VLOOKUP($B620,Keys!$F$2:$I$22,4,FALSE)</f>
        <v>rule</v>
      </c>
      <c r="F620" t="str">
        <f>$A620&amp;Keys!$C$54&amp;$B620</f>
        <v>NM|biomass</v>
      </c>
      <c r="G620" s="10">
        <f>IF($E620=Keys!$C$60,Keys!$C$51,INDEX(Balanced_2025!$D$9:$D$3032,MATCH($A620&amp;Keys!$C$54&amp;Keys!$C$55&amp;Keys!$C$54&amp;$C620,Balanced_2025!$E$9:$E$3032,0)))</f>
        <v>304000000000</v>
      </c>
      <c r="H620" s="10">
        <f>IF($E620=Keys!$C$60,Keys!$C$51,INDEX(Balanced_2025!$D$9:$D$3032,MATCH($A620&amp;Keys!$C$54&amp;Keys!$C$56&amp;Keys!$C$54&amp;$C620,Balanced_2025!$E$9:$E$3032,0)))</f>
        <v>6302400000000</v>
      </c>
      <c r="I620" s="10">
        <f>IF($E620=Keys!$C$60,Keys!$C$51,INDEX(Balanced_2025!$D$9:$D$3032,MATCH($A620&amp;Keys!$C$54&amp;Keys!$C$57&amp;Keys!$C$54&amp;$C620,Balanced_2025!$E$9:$E$3032,0)))</f>
        <v>0</v>
      </c>
      <c r="J620" s="10">
        <f t="shared" si="36"/>
        <v>6606400000000</v>
      </c>
      <c r="K620" s="10">
        <f>MAX(Keys!$C$51,$I620-$H620)</f>
        <v>0</v>
      </c>
      <c r="L620" s="10">
        <f t="shared" si="37"/>
        <v>6606400000000</v>
      </c>
      <c r="M620" s="11">
        <f>IF($L620&gt;Keys!$C$51,MIN(Keys!$C$52,$K620/$L620),Keys!$C$51)</f>
        <v>0</v>
      </c>
      <c r="N620" s="11">
        <f>IF($E620=Keys!$C$60,Keys!$C$51,IF($E620=Keys!$C$59,$D620,$M620))</f>
        <v>0</v>
      </c>
      <c r="O620">
        <f t="shared" si="38"/>
        <v>1</v>
      </c>
      <c r="P620" s="10">
        <f>IF($E620=Keys!$C$60,Keys!$C$51,INDEX(Raw_BFPIaE!$G$9:$G$3032,MATCH($A620&amp;Keys!$C$54&amp;Keys!$C$55&amp;Keys!$C$54&amp;$B620,Raw_BFPIaE!$H$9:$H$3032,0)))</f>
        <v>304000000000</v>
      </c>
      <c r="Q620" s="10">
        <f>IF($E620=Keys!$C$60,Keys!$C$51,INDEX(Raw_BFPIaE!$G$9:$G$3032,MATCH($A620&amp;Keys!$C$54&amp;Keys!$C$56&amp;Keys!$C$54&amp;$B620,Raw_BFPIaE!$H$9:$H$3032,0)))</f>
        <v>4119906666666.6665</v>
      </c>
      <c r="R620" s="10">
        <f>IF($E620=Keys!$C$60,Keys!$C$51,INDEX(Raw_BFPIaE!$G$9:$G$3032,MATCH($A620&amp;Keys!$C$54&amp;Keys!$C$57&amp;Keys!$C$54&amp;$B620,Raw_BFPIaE!$H$9:$H$3032,0)))</f>
        <v>0</v>
      </c>
      <c r="S620" s="11">
        <f>IF(($P620+$Q620-$R620+MAX(Keys!$C$51,$R620-$Q620))&gt;Keys!$C$51,MIN(Keys!$C$52,MAX(Keys!$C$51,$R620-$Q620)/($P620+$Q620-$R620+MAX(Keys!$C$51,$R620-$Q620))),Keys!$C$51)</f>
        <v>0</v>
      </c>
      <c r="T620">
        <f>IF(AND($I620&gt;$H620,ABS($L620-$G620)&gt;MAX(Keys!$C$62,ABS($G620)*Keys!$C$63)),1,0)</f>
        <v>0</v>
      </c>
      <c r="U620">
        <f>IF(OR($N620&lt;Keys!$C$51,$N620&gt;Keys!$C$52),1,0)</f>
        <v>0</v>
      </c>
      <c r="V620">
        <f>IF(AND($E620=Keys!$C$60,$N620&lt;&gt;Keys!$C$51),1,0)</f>
        <v>0</v>
      </c>
      <c r="W620">
        <f>IF($L620&gt;Keys!$C$51,IF($K620/$L620&gt;Keys!$C$52,1,0),0)</f>
        <v>0</v>
      </c>
      <c r="X620" s="11">
        <f t="shared" si="39"/>
        <v>0</v>
      </c>
    </row>
    <row r="621" spans="1:24" x14ac:dyDescent="0.25">
      <c r="A621" t="s">
        <v>141</v>
      </c>
      <c r="B621" t="s">
        <v>85</v>
      </c>
      <c r="C621" t="str">
        <f>VLOOKUP($B621,Keys!$F$2:$I$22,2,FALSE)</f>
        <v>petroleum gasoline</v>
      </c>
      <c r="D621">
        <f>VLOOKUP($B621,Keys!$F$2:$I$22,3,FALSE)</f>
        <v>7.5004052000000002E-2</v>
      </c>
      <c r="E621" t="str">
        <f>VLOOKUP($B621,Keys!$F$2:$I$22,4,FALSE)</f>
        <v>rule</v>
      </c>
      <c r="F621" t="str">
        <f>$A621&amp;Keys!$C$54&amp;$B621</f>
        <v>NM|petroleum gasoline</v>
      </c>
      <c r="G621" s="10">
        <f>IF($E621=Keys!$C$60,Keys!$C$51,INDEX(Balanced_2025!$D$9:$D$3032,MATCH($A621&amp;Keys!$C$54&amp;Keys!$C$55&amp;Keys!$C$54&amp;$C621,Balanced_2025!$E$9:$E$3032,0)))</f>
        <v>106755000000000</v>
      </c>
      <c r="H621" s="10">
        <f>IF($E621=Keys!$C$60,Keys!$C$51,INDEX(Balanced_2025!$D$9:$D$3032,MATCH($A621&amp;Keys!$C$54&amp;Keys!$C$56&amp;Keys!$C$54&amp;$C621,Balanced_2025!$E$9:$E$3032,0)))</f>
        <v>5962780000000</v>
      </c>
      <c r="I621" s="10">
        <f>IF($E621=Keys!$C$60,Keys!$C$51,INDEX(Balanced_2025!$D$9:$D$3032,MATCH($A621&amp;Keys!$C$54&amp;Keys!$C$57&amp;Keys!$C$54&amp;$C621,Balanced_2025!$E$9:$E$3032,0)))</f>
        <v>12775100000000</v>
      </c>
      <c r="J621" s="10">
        <f t="shared" si="36"/>
        <v>99942680000000</v>
      </c>
      <c r="K621" s="10">
        <f>MAX(Keys!$C$51,$I621-$H621)</f>
        <v>6812320000000</v>
      </c>
      <c r="L621" s="10">
        <f t="shared" si="37"/>
        <v>106755000000000</v>
      </c>
      <c r="M621" s="11">
        <f>IF($L621&gt;Keys!$C$51,MIN(Keys!$C$52,$K621/$L621),Keys!$C$51)</f>
        <v>6.3812655144958083E-2</v>
      </c>
      <c r="N621" s="11">
        <f>IF($E621=Keys!$C$60,Keys!$C$51,IF($E621=Keys!$C$59,$D621,$M621))</f>
        <v>6.3812655144958083E-2</v>
      </c>
      <c r="O621">
        <f t="shared" si="38"/>
        <v>1</v>
      </c>
      <c r="P621" s="10">
        <f>IF($E621=Keys!$C$60,Keys!$C$51,INDEX(Raw_BFPIaE!$G$9:$G$3032,MATCH($A621&amp;Keys!$C$54&amp;Keys!$C$55&amp;Keys!$C$54&amp;$B621,Raw_BFPIaE!$H$9:$H$3032,0)))</f>
        <v>105892333333333.33</v>
      </c>
      <c r="Q621" s="10">
        <f>IF($E621=Keys!$C$60,Keys!$C$51,INDEX(Raw_BFPIaE!$G$9:$G$3032,MATCH($A621&amp;Keys!$C$54&amp;Keys!$C$56&amp;Keys!$C$54&amp;$B621,Raw_BFPIaE!$H$9:$H$3032,0)))</f>
        <v>0</v>
      </c>
      <c r="R621" s="10">
        <f>IF($E621=Keys!$C$60,Keys!$C$51,INDEX(Raw_BFPIaE!$G$9:$G$3032,MATCH($A621&amp;Keys!$C$54&amp;Keys!$C$57&amp;Keys!$C$54&amp;$B621,Raw_BFPIaE!$H$9:$H$3032,0)))</f>
        <v>8141866666666.667</v>
      </c>
      <c r="S621" s="11">
        <f>IF(($P621+$Q621-$R621+MAX(Keys!$C$51,$R621-$Q621))&gt;Keys!$C$51,MIN(Keys!$C$52,MAX(Keys!$C$51,$R621-$Q621)/($P621+$Q621-$R621+MAX(Keys!$C$51,$R621-$Q621))),Keys!$C$51)</f>
        <v>7.6888159986401292E-2</v>
      </c>
      <c r="T621">
        <f>IF(AND($I621&gt;$H621,ABS($L621-$G621)&gt;MAX(Keys!$C$62,ABS($G621)*Keys!$C$63)),1,0)</f>
        <v>0</v>
      </c>
      <c r="U621">
        <f>IF(OR($N621&lt;Keys!$C$51,$N621&gt;Keys!$C$52),1,0)</f>
        <v>0</v>
      </c>
      <c r="V621">
        <f>IF(AND($E621=Keys!$C$60,$N621&lt;&gt;Keys!$C$51),1,0)</f>
        <v>0</v>
      </c>
      <c r="W621">
        <f>IF($L621&gt;Keys!$C$51,IF($K621/$L621&gt;Keys!$C$52,1,0),0)</f>
        <v>0</v>
      </c>
      <c r="X621" s="11">
        <f t="shared" si="39"/>
        <v>1.3075504841443208E-2</v>
      </c>
    </row>
    <row r="622" spans="1:24" x14ac:dyDescent="0.25">
      <c r="A622" t="s">
        <v>141</v>
      </c>
      <c r="B622" t="s">
        <v>88</v>
      </c>
      <c r="C622" t="str">
        <f>VLOOKUP($B622,Keys!$F$2:$I$22,2,FALSE)</f>
        <v>petroleum diesel</v>
      </c>
      <c r="D622">
        <f>VLOOKUP($B622,Keys!$F$2:$I$22,3,FALSE)</f>
        <v>0.26691051799999999</v>
      </c>
      <c r="E622" t="str">
        <f>VLOOKUP($B622,Keys!$F$2:$I$22,4,FALSE)</f>
        <v>rule</v>
      </c>
      <c r="F622" t="str">
        <f>$A622&amp;Keys!$C$54&amp;$B622</f>
        <v>NM|petroleum diesel</v>
      </c>
      <c r="G622" s="10">
        <f>IF($E622=Keys!$C$60,Keys!$C$51,INDEX(Balanced_2025!$D$9:$D$3032,MATCH($A622&amp;Keys!$C$54&amp;Keys!$C$55&amp;Keys!$C$54&amp;$C622,Balanced_2025!$E$9:$E$3032,0)))</f>
        <v>63147200000000</v>
      </c>
      <c r="H622" s="10">
        <f>IF($E622=Keys!$C$60,Keys!$C$51,INDEX(Balanced_2025!$D$9:$D$3032,MATCH($A622&amp;Keys!$C$54&amp;Keys!$C$56&amp;Keys!$C$54&amp;$C622,Balanced_2025!$E$9:$E$3032,0)))</f>
        <v>29549800000000</v>
      </c>
      <c r="I622" s="10">
        <f>IF($E622=Keys!$C$60,Keys!$C$51,INDEX(Balanced_2025!$D$9:$D$3032,MATCH($A622&amp;Keys!$C$54&amp;Keys!$C$57&amp;Keys!$C$54&amp;$C622,Balanced_2025!$E$9:$E$3032,0)))</f>
        <v>0</v>
      </c>
      <c r="J622" s="10">
        <f t="shared" si="36"/>
        <v>92697000000000</v>
      </c>
      <c r="K622" s="10">
        <f>MAX(Keys!$C$51,$I622-$H622)</f>
        <v>0</v>
      </c>
      <c r="L622" s="10">
        <f t="shared" si="37"/>
        <v>92697000000000</v>
      </c>
      <c r="M622" s="11">
        <f>IF($L622&gt;Keys!$C$51,MIN(Keys!$C$52,$K622/$L622),Keys!$C$51)</f>
        <v>0</v>
      </c>
      <c r="N622" s="11">
        <f>IF($E622=Keys!$C$60,Keys!$C$51,IF($E622=Keys!$C$59,$D622,$M622))</f>
        <v>0</v>
      </c>
      <c r="O622">
        <f t="shared" si="38"/>
        <v>1</v>
      </c>
      <c r="P622" s="10">
        <f>IF($E622=Keys!$C$60,Keys!$C$51,INDEX(Raw_BFPIaE!$G$9:$G$3032,MATCH($A622&amp;Keys!$C$54&amp;Keys!$C$55&amp;Keys!$C$54&amp;$B622,Raw_BFPIaE!$H$9:$H$3032,0)))</f>
        <v>62637000000000</v>
      </c>
      <c r="Q622" s="10">
        <f>IF($E622=Keys!$C$60,Keys!$C$51,INDEX(Raw_BFPIaE!$G$9:$G$3032,MATCH($A622&amp;Keys!$C$54&amp;Keys!$C$56&amp;Keys!$C$54&amp;$B622,Raw_BFPIaE!$H$9:$H$3032,0)))</f>
        <v>18072833333333.332</v>
      </c>
      <c r="R622" s="10">
        <f>IF($E622=Keys!$C$60,Keys!$C$51,INDEX(Raw_BFPIaE!$G$9:$G$3032,MATCH($A622&amp;Keys!$C$54&amp;Keys!$C$57&amp;Keys!$C$54&amp;$B622,Raw_BFPIaE!$H$9:$H$3032,0)))</f>
        <v>0</v>
      </c>
      <c r="S622" s="11">
        <f>IF(($P622+$Q622-$R622+MAX(Keys!$C$51,$R622-$Q622))&gt;Keys!$C$51,MIN(Keys!$C$52,MAX(Keys!$C$51,$R622-$Q622)/($P622+$Q622-$R622+MAX(Keys!$C$51,$R622-$Q622))),Keys!$C$51)</f>
        <v>0</v>
      </c>
      <c r="T622">
        <f>IF(AND($I622&gt;$H622,ABS($L622-$G622)&gt;MAX(Keys!$C$62,ABS($G622)*Keys!$C$63)),1,0)</f>
        <v>0</v>
      </c>
      <c r="U622">
        <f>IF(OR($N622&lt;Keys!$C$51,$N622&gt;Keys!$C$52),1,0)</f>
        <v>0</v>
      </c>
      <c r="V622">
        <f>IF(AND($E622=Keys!$C$60,$N622&lt;&gt;Keys!$C$51),1,0)</f>
        <v>0</v>
      </c>
      <c r="W622">
        <f>IF($L622&gt;Keys!$C$51,IF($K622/$L622&gt;Keys!$C$52,1,0),0)</f>
        <v>0</v>
      </c>
      <c r="X622" s="11">
        <f t="shared" si="39"/>
        <v>0</v>
      </c>
    </row>
    <row r="623" spans="1:24" x14ac:dyDescent="0.25">
      <c r="A623" t="s">
        <v>141</v>
      </c>
      <c r="B623" t="s">
        <v>91</v>
      </c>
      <c r="C623" t="str">
        <f>VLOOKUP($B623,Keys!$F$2:$I$22,2,FALSE)</f>
        <v>biofuel gasoline</v>
      </c>
      <c r="D623">
        <f>VLOOKUP($B623,Keys!$F$2:$I$22,3,FALSE)</f>
        <v>8.7213884000000005E-2</v>
      </c>
      <c r="E623" t="str">
        <f>VLOOKUP($B623,Keys!$F$2:$I$22,4,FALSE)</f>
        <v>rule</v>
      </c>
      <c r="F623" t="str">
        <f>$A623&amp;Keys!$C$54&amp;$B623</f>
        <v>NM|biofuel gasoline</v>
      </c>
      <c r="G623" s="10">
        <f>IF($E623=Keys!$C$60,Keys!$C$51,INDEX(Balanced_2025!$D$9:$D$3032,MATCH($A623&amp;Keys!$C$54&amp;Keys!$C$55&amp;Keys!$C$54&amp;$C623,Balanced_2025!$E$9:$E$3032,0)))</f>
        <v>0</v>
      </c>
      <c r="H623" s="10">
        <f>IF($E623=Keys!$C$60,Keys!$C$51,INDEX(Balanced_2025!$D$9:$D$3032,MATCH($A623&amp;Keys!$C$54&amp;Keys!$C$56&amp;Keys!$C$54&amp;$C623,Balanced_2025!$E$9:$E$3032,0)))</f>
        <v>8392590000000</v>
      </c>
      <c r="I623" s="10">
        <f>IF($E623=Keys!$C$60,Keys!$C$51,INDEX(Balanced_2025!$D$9:$D$3032,MATCH($A623&amp;Keys!$C$54&amp;Keys!$C$57&amp;Keys!$C$54&amp;$C623,Balanced_2025!$E$9:$E$3032,0)))</f>
        <v>0</v>
      </c>
      <c r="J623" s="10">
        <f t="shared" si="36"/>
        <v>8392590000000</v>
      </c>
      <c r="K623" s="10">
        <f>MAX(Keys!$C$51,$I623-$H623)</f>
        <v>0</v>
      </c>
      <c r="L623" s="10">
        <f t="shared" si="37"/>
        <v>8392590000000</v>
      </c>
      <c r="M623" s="11">
        <f>IF($L623&gt;Keys!$C$51,MIN(Keys!$C$52,$K623/$L623),Keys!$C$51)</f>
        <v>0</v>
      </c>
      <c r="N623" s="11">
        <f>IF($E623=Keys!$C$60,Keys!$C$51,IF($E623=Keys!$C$59,$D623,$M623))</f>
        <v>0</v>
      </c>
      <c r="O623">
        <f t="shared" si="38"/>
        <v>1</v>
      </c>
      <c r="P623" s="10">
        <f>IF($E623=Keys!$C$60,Keys!$C$51,INDEX(Raw_BFPIaE!$G$9:$G$3032,MATCH($A623&amp;Keys!$C$54&amp;Keys!$C$55&amp;Keys!$C$54&amp;$B623,Raw_BFPIaE!$H$9:$H$3032,0)))</f>
        <v>0</v>
      </c>
      <c r="Q623" s="10">
        <f>IF($E623=Keys!$C$60,Keys!$C$51,INDEX(Raw_BFPIaE!$G$9:$G$3032,MATCH($A623&amp;Keys!$C$54&amp;Keys!$C$56&amp;Keys!$C$54&amp;$B623,Raw_BFPIaE!$H$9:$H$3032,0)))</f>
        <v>5322830000000</v>
      </c>
      <c r="R623" s="10">
        <f>IF($E623=Keys!$C$60,Keys!$C$51,INDEX(Raw_BFPIaE!$G$9:$G$3032,MATCH($A623&amp;Keys!$C$54&amp;Keys!$C$57&amp;Keys!$C$54&amp;$B623,Raw_BFPIaE!$H$9:$H$3032,0)))</f>
        <v>0</v>
      </c>
      <c r="S623" s="11">
        <f>IF(($P623+$Q623-$R623+MAX(Keys!$C$51,$R623-$Q623))&gt;Keys!$C$51,MIN(Keys!$C$52,MAX(Keys!$C$51,$R623-$Q623)/($P623+$Q623-$R623+MAX(Keys!$C$51,$R623-$Q623))),Keys!$C$51)</f>
        <v>0</v>
      </c>
      <c r="T623">
        <f>IF(AND($I623&gt;$H623,ABS($L623-$G623)&gt;MAX(Keys!$C$62,ABS($G623)*Keys!$C$63)),1,0)</f>
        <v>0</v>
      </c>
      <c r="U623">
        <f>IF(OR($N623&lt;Keys!$C$51,$N623&gt;Keys!$C$52),1,0)</f>
        <v>0</v>
      </c>
      <c r="V623">
        <f>IF(AND($E623=Keys!$C$60,$N623&lt;&gt;Keys!$C$51),1,0)</f>
        <v>0</v>
      </c>
      <c r="W623">
        <f>IF($L623&gt;Keys!$C$51,IF($K623/$L623&gt;Keys!$C$52,1,0),0)</f>
        <v>0</v>
      </c>
      <c r="X623" s="11">
        <f t="shared" si="39"/>
        <v>0</v>
      </c>
    </row>
    <row r="624" spans="1:24" x14ac:dyDescent="0.25">
      <c r="A624" t="s">
        <v>141</v>
      </c>
      <c r="B624" t="s">
        <v>94</v>
      </c>
      <c r="C624" t="str">
        <f>VLOOKUP($B624,Keys!$F$2:$I$22,2,FALSE)</f>
        <v>biofuel diesel</v>
      </c>
      <c r="D624">
        <f>VLOOKUP($B624,Keys!$F$2:$I$22,3,FALSE)</f>
        <v>5.8642381E-2</v>
      </c>
      <c r="E624" t="str">
        <f>VLOOKUP($B624,Keys!$F$2:$I$22,4,FALSE)</f>
        <v>rule</v>
      </c>
      <c r="F624" t="str">
        <f>$A624&amp;Keys!$C$54&amp;$B624</f>
        <v>NM|biofuel diesel</v>
      </c>
      <c r="G624" s="10">
        <f>IF($E624=Keys!$C$60,Keys!$C$51,INDEX(Balanced_2025!$D$9:$D$3032,MATCH($A624&amp;Keys!$C$54&amp;Keys!$C$55&amp;Keys!$C$54&amp;$C624,Balanced_2025!$E$9:$E$3032,0)))</f>
        <v>0</v>
      </c>
      <c r="H624" s="10">
        <f>IF($E624=Keys!$C$60,Keys!$C$51,INDEX(Balanced_2025!$D$9:$D$3032,MATCH($A624&amp;Keys!$C$54&amp;Keys!$C$56&amp;Keys!$C$54&amp;$C624,Balanced_2025!$E$9:$E$3032,0)))</f>
        <v>10349700000000</v>
      </c>
      <c r="I624" s="10">
        <f>IF($E624=Keys!$C$60,Keys!$C$51,INDEX(Balanced_2025!$D$9:$D$3032,MATCH($A624&amp;Keys!$C$54&amp;Keys!$C$57&amp;Keys!$C$54&amp;$C624,Balanced_2025!$E$9:$E$3032,0)))</f>
        <v>0</v>
      </c>
      <c r="J624" s="10">
        <f t="shared" si="36"/>
        <v>10349700000000</v>
      </c>
      <c r="K624" s="10">
        <f>MAX(Keys!$C$51,$I624-$H624)</f>
        <v>0</v>
      </c>
      <c r="L624" s="10">
        <f t="shared" si="37"/>
        <v>10349700000000</v>
      </c>
      <c r="M624" s="11">
        <f>IF($L624&gt;Keys!$C$51,MIN(Keys!$C$52,$K624/$L624),Keys!$C$51)</f>
        <v>0</v>
      </c>
      <c r="N624" s="11">
        <f>IF($E624=Keys!$C$60,Keys!$C$51,IF($E624=Keys!$C$59,$D624,$M624))</f>
        <v>0</v>
      </c>
      <c r="O624">
        <f t="shared" si="38"/>
        <v>1</v>
      </c>
      <c r="P624" s="10">
        <f>IF($E624=Keys!$C$60,Keys!$C$51,INDEX(Raw_BFPIaE!$G$9:$G$3032,MATCH($A624&amp;Keys!$C$54&amp;Keys!$C$55&amp;Keys!$C$54&amp;$B624,Raw_BFPIaE!$H$9:$H$3032,0)))</f>
        <v>0</v>
      </c>
      <c r="Q624" s="10">
        <f>IF($E624=Keys!$C$60,Keys!$C$51,INDEX(Raw_BFPIaE!$G$9:$G$3032,MATCH($A624&amp;Keys!$C$54&amp;Keys!$C$56&amp;Keys!$C$54&amp;$B624,Raw_BFPIaE!$H$9:$H$3032,0)))</f>
        <v>7579486666666.667</v>
      </c>
      <c r="R624" s="10">
        <f>IF($E624=Keys!$C$60,Keys!$C$51,INDEX(Raw_BFPIaE!$G$9:$G$3032,MATCH($A624&amp;Keys!$C$54&amp;Keys!$C$57&amp;Keys!$C$54&amp;$B624,Raw_BFPIaE!$H$9:$H$3032,0)))</f>
        <v>0</v>
      </c>
      <c r="S624" s="11">
        <f>IF(($P624+$Q624-$R624+MAX(Keys!$C$51,$R624-$Q624))&gt;Keys!$C$51,MIN(Keys!$C$52,MAX(Keys!$C$51,$R624-$Q624)/($P624+$Q624-$R624+MAX(Keys!$C$51,$R624-$Q624))),Keys!$C$51)</f>
        <v>0</v>
      </c>
      <c r="T624">
        <f>IF(AND($I624&gt;$H624,ABS($L624-$G624)&gt;MAX(Keys!$C$62,ABS($G624)*Keys!$C$63)),1,0)</f>
        <v>0</v>
      </c>
      <c r="U624">
        <f>IF(OR($N624&lt;Keys!$C$51,$N624&gt;Keys!$C$52),1,0)</f>
        <v>0</v>
      </c>
      <c r="V624">
        <f>IF(AND($E624=Keys!$C$60,$N624&lt;&gt;Keys!$C$51),1,0)</f>
        <v>0</v>
      </c>
      <c r="W624">
        <f>IF($L624&gt;Keys!$C$51,IF($K624/$L624&gt;Keys!$C$52,1,0),0)</f>
        <v>0</v>
      </c>
      <c r="X624" s="11">
        <f t="shared" si="39"/>
        <v>0</v>
      </c>
    </row>
    <row r="625" spans="1:24" x14ac:dyDescent="0.25">
      <c r="A625" t="s">
        <v>141</v>
      </c>
      <c r="B625" t="s">
        <v>97</v>
      </c>
      <c r="C625" t="str">
        <f>VLOOKUP($B625,Keys!$F$2:$I$22,2,FALSE)</f>
        <v>jet fuel or kerosene</v>
      </c>
      <c r="D625">
        <f>VLOOKUP($B625,Keys!$F$2:$I$22,3,FALSE)</f>
        <v>0.10155994</v>
      </c>
      <c r="E625" t="str">
        <f>VLOOKUP($B625,Keys!$F$2:$I$22,4,FALSE)</f>
        <v>rule</v>
      </c>
      <c r="F625" t="str">
        <f>$A625&amp;Keys!$C$54&amp;$B625</f>
        <v>NM|jet fuel or kerosene</v>
      </c>
      <c r="G625" s="10">
        <f>IF($E625=Keys!$C$60,Keys!$C$51,INDEX(Balanced_2025!$D$9:$D$3032,MATCH($A625&amp;Keys!$C$54&amp;Keys!$C$55&amp;Keys!$C$54&amp;$C625,Balanced_2025!$E$9:$E$3032,0)))</f>
        <v>22479100000000</v>
      </c>
      <c r="H625" s="10">
        <f>IF($E625=Keys!$C$60,Keys!$C$51,INDEX(Balanced_2025!$D$9:$D$3032,MATCH($A625&amp;Keys!$C$54&amp;Keys!$C$56&amp;Keys!$C$54&amp;$C625,Balanced_2025!$E$9:$E$3032,0)))</f>
        <v>0</v>
      </c>
      <c r="I625" s="10">
        <f>IF($E625=Keys!$C$60,Keys!$C$51,INDEX(Balanced_2025!$D$9:$D$3032,MATCH($A625&amp;Keys!$C$54&amp;Keys!$C$57&amp;Keys!$C$54&amp;$C625,Balanced_2025!$E$9:$E$3032,0)))</f>
        <v>14868600000000</v>
      </c>
      <c r="J625" s="10">
        <f t="shared" si="36"/>
        <v>7610500000000</v>
      </c>
      <c r="K625" s="10">
        <f>MAX(Keys!$C$51,$I625-$H625)</f>
        <v>14868600000000</v>
      </c>
      <c r="L625" s="10">
        <f t="shared" si="37"/>
        <v>22479100000000</v>
      </c>
      <c r="M625" s="11">
        <f>IF($L625&gt;Keys!$C$51,MIN(Keys!$C$52,$K625/$L625),Keys!$C$51)</f>
        <v>0.66144107192903634</v>
      </c>
      <c r="N625" s="11">
        <f>IF($E625=Keys!$C$60,Keys!$C$51,IF($E625=Keys!$C$59,$D625,$M625))</f>
        <v>0.66144107192903634</v>
      </c>
      <c r="O625">
        <f t="shared" si="38"/>
        <v>1</v>
      </c>
      <c r="P625" s="10">
        <f>IF($E625=Keys!$C$60,Keys!$C$51,INDEX(Raw_BFPIaE!$G$9:$G$3032,MATCH($A625&amp;Keys!$C$54&amp;Keys!$C$55&amp;Keys!$C$54&amp;$B625,Raw_BFPIaE!$H$9:$H$3032,0)))</f>
        <v>22297500000000</v>
      </c>
      <c r="Q625" s="10">
        <f>IF($E625=Keys!$C$60,Keys!$C$51,INDEX(Raw_BFPIaE!$G$9:$G$3032,MATCH($A625&amp;Keys!$C$54&amp;Keys!$C$56&amp;Keys!$C$54&amp;$B625,Raw_BFPIaE!$H$9:$H$3032,0)))</f>
        <v>0</v>
      </c>
      <c r="R625" s="10">
        <f>IF($E625=Keys!$C$60,Keys!$C$51,INDEX(Raw_BFPIaE!$G$9:$G$3032,MATCH($A625&amp;Keys!$C$54&amp;Keys!$C$57&amp;Keys!$C$54&amp;$B625,Raw_BFPIaE!$H$9:$H$3032,0)))</f>
        <v>9699000000000</v>
      </c>
      <c r="S625" s="11">
        <f>IF(($P625+$Q625-$R625+MAX(Keys!$C$51,$R625-$Q625))&gt;Keys!$C$51,MIN(Keys!$C$52,MAX(Keys!$C$51,$R625-$Q625)/($P625+$Q625-$R625+MAX(Keys!$C$51,$R625-$Q625))),Keys!$C$51)</f>
        <v>0.43498150016818027</v>
      </c>
      <c r="T625">
        <f>IF(AND($I625&gt;$H625,ABS($L625-$G625)&gt;MAX(Keys!$C$62,ABS($G625)*Keys!$C$63)),1,0)</f>
        <v>0</v>
      </c>
      <c r="U625">
        <f>IF(OR($N625&lt;Keys!$C$51,$N625&gt;Keys!$C$52),1,0)</f>
        <v>0</v>
      </c>
      <c r="V625">
        <f>IF(AND($E625=Keys!$C$60,$N625&lt;&gt;Keys!$C$51),1,0)</f>
        <v>0</v>
      </c>
      <c r="W625">
        <f>IF($L625&gt;Keys!$C$51,IF($K625/$L625&gt;Keys!$C$52,1,0),0)</f>
        <v>0</v>
      </c>
      <c r="X625" s="11">
        <f t="shared" si="39"/>
        <v>0.22645957176085607</v>
      </c>
    </row>
    <row r="626" spans="1:24" x14ac:dyDescent="0.25">
      <c r="A626" t="s">
        <v>141</v>
      </c>
      <c r="B626" t="s">
        <v>100</v>
      </c>
      <c r="C626">
        <f>VLOOKUP($B626,Keys!$F$2:$I$22,2,FALSE)</f>
        <v>0</v>
      </c>
      <c r="D626">
        <f>VLOOKUP($B626,Keys!$F$2:$I$22,3,FALSE)</f>
        <v>0</v>
      </c>
      <c r="E626" t="str">
        <f>VLOOKUP($B626,Keys!$F$2:$I$22,4,FALSE)</f>
        <v>zero</v>
      </c>
      <c r="F626" t="str">
        <f>$A626&amp;Keys!$C$54&amp;$B626</f>
        <v>NM|heat (not used in this variable)</v>
      </c>
      <c r="G626" s="10">
        <f>IF($E626=Keys!$C$60,Keys!$C$51,INDEX(Balanced_2025!$D$9:$D$3032,MATCH($A626&amp;Keys!$C$54&amp;Keys!$C$55&amp;Keys!$C$54&amp;$C626,Balanced_2025!$E$9:$E$3032,0)))</f>
        <v>0</v>
      </c>
      <c r="H626" s="10">
        <f>IF($E626=Keys!$C$60,Keys!$C$51,INDEX(Balanced_2025!$D$9:$D$3032,MATCH($A626&amp;Keys!$C$54&amp;Keys!$C$56&amp;Keys!$C$54&amp;$C626,Balanced_2025!$E$9:$E$3032,0)))</f>
        <v>0</v>
      </c>
      <c r="I626" s="10">
        <f>IF($E626=Keys!$C$60,Keys!$C$51,INDEX(Balanced_2025!$D$9:$D$3032,MATCH($A626&amp;Keys!$C$54&amp;Keys!$C$57&amp;Keys!$C$54&amp;$C626,Balanced_2025!$E$9:$E$3032,0)))</f>
        <v>0</v>
      </c>
      <c r="J626" s="10">
        <f t="shared" si="36"/>
        <v>0</v>
      </c>
      <c r="K626" s="10">
        <f>MAX(Keys!$C$51,$I626-$H626)</f>
        <v>0</v>
      </c>
      <c r="L626" s="10">
        <f t="shared" si="37"/>
        <v>0</v>
      </c>
      <c r="M626" s="11">
        <f>IF($L626&gt;Keys!$C$51,MIN(Keys!$C$52,$K626/$L626),Keys!$C$51)</f>
        <v>0</v>
      </c>
      <c r="N626" s="11">
        <f>IF($E626=Keys!$C$60,Keys!$C$51,IF($E626=Keys!$C$59,$D626,$M626))</f>
        <v>0</v>
      </c>
      <c r="O626">
        <f t="shared" si="38"/>
        <v>0</v>
      </c>
      <c r="P626" s="10">
        <f>IF($E626=Keys!$C$60,Keys!$C$51,INDEX(Raw_BFPIaE!$G$9:$G$3032,MATCH($A626&amp;Keys!$C$54&amp;Keys!$C$55&amp;Keys!$C$54&amp;$B626,Raw_BFPIaE!$H$9:$H$3032,0)))</f>
        <v>0</v>
      </c>
      <c r="Q626" s="10">
        <f>IF($E626=Keys!$C$60,Keys!$C$51,INDEX(Raw_BFPIaE!$G$9:$G$3032,MATCH($A626&amp;Keys!$C$54&amp;Keys!$C$56&amp;Keys!$C$54&amp;$B626,Raw_BFPIaE!$H$9:$H$3032,0)))</f>
        <v>0</v>
      </c>
      <c r="R626" s="10">
        <f>IF($E626=Keys!$C$60,Keys!$C$51,INDEX(Raw_BFPIaE!$G$9:$G$3032,MATCH($A626&amp;Keys!$C$54&amp;Keys!$C$57&amp;Keys!$C$54&amp;$B626,Raw_BFPIaE!$H$9:$H$3032,0)))</f>
        <v>0</v>
      </c>
      <c r="S626" s="11">
        <f>IF(($P626+$Q626-$R626+MAX(Keys!$C$51,$R626-$Q626))&gt;Keys!$C$51,MIN(Keys!$C$52,MAX(Keys!$C$51,$R626-$Q626)/($P626+$Q626-$R626+MAX(Keys!$C$51,$R626-$Q626))),Keys!$C$51)</f>
        <v>0</v>
      </c>
      <c r="T626">
        <f>IF(AND($I626&gt;$H626,ABS($L626-$G626)&gt;MAX(Keys!$C$62,ABS($G626)*Keys!$C$63)),1,0)</f>
        <v>0</v>
      </c>
      <c r="U626">
        <f>IF(OR($N626&lt;Keys!$C$51,$N626&gt;Keys!$C$52),1,0)</f>
        <v>0</v>
      </c>
      <c r="V626">
        <f>IF(AND($E626=Keys!$C$60,$N626&lt;&gt;Keys!$C$51),1,0)</f>
        <v>0</v>
      </c>
      <c r="W626">
        <f>IF($L626&gt;Keys!$C$51,IF($K626/$L626&gt;Keys!$C$52,1,0),0)</f>
        <v>0</v>
      </c>
      <c r="X626" s="11">
        <f t="shared" si="39"/>
        <v>0</v>
      </c>
    </row>
    <row r="627" spans="1:24" x14ac:dyDescent="0.25">
      <c r="A627" t="s">
        <v>141</v>
      </c>
      <c r="B627" t="s">
        <v>103</v>
      </c>
      <c r="C627">
        <f>VLOOKUP($B627,Keys!$F$2:$I$22,2,FALSE)</f>
        <v>0</v>
      </c>
      <c r="D627">
        <f>VLOOKUP($B627,Keys!$F$2:$I$22,3,FALSE)</f>
        <v>0</v>
      </c>
      <c r="E627" t="str">
        <f>VLOOKUP($B627,Keys!$F$2:$I$22,4,FALSE)</f>
        <v>zero</v>
      </c>
      <c r="F627" t="str">
        <f>$A627&amp;Keys!$C$54&amp;$B627</f>
        <v>NM|geothermal (is not a fuel)</v>
      </c>
      <c r="G627" s="10">
        <f>IF($E627=Keys!$C$60,Keys!$C$51,INDEX(Balanced_2025!$D$9:$D$3032,MATCH($A627&amp;Keys!$C$54&amp;Keys!$C$55&amp;Keys!$C$54&amp;$C627,Balanced_2025!$E$9:$E$3032,0)))</f>
        <v>0</v>
      </c>
      <c r="H627" s="10">
        <f>IF($E627=Keys!$C$60,Keys!$C$51,INDEX(Balanced_2025!$D$9:$D$3032,MATCH($A627&amp;Keys!$C$54&amp;Keys!$C$56&amp;Keys!$C$54&amp;$C627,Balanced_2025!$E$9:$E$3032,0)))</f>
        <v>0</v>
      </c>
      <c r="I627" s="10">
        <f>IF($E627=Keys!$C$60,Keys!$C$51,INDEX(Balanced_2025!$D$9:$D$3032,MATCH($A627&amp;Keys!$C$54&amp;Keys!$C$57&amp;Keys!$C$54&amp;$C627,Balanced_2025!$E$9:$E$3032,0)))</f>
        <v>0</v>
      </c>
      <c r="J627" s="10">
        <f t="shared" si="36"/>
        <v>0</v>
      </c>
      <c r="K627" s="10">
        <f>MAX(Keys!$C$51,$I627-$H627)</f>
        <v>0</v>
      </c>
      <c r="L627" s="10">
        <f t="shared" si="37"/>
        <v>0</v>
      </c>
      <c r="M627" s="11">
        <f>IF($L627&gt;Keys!$C$51,MIN(Keys!$C$52,$K627/$L627),Keys!$C$51)</f>
        <v>0</v>
      </c>
      <c r="N627" s="11">
        <f>IF($E627=Keys!$C$60,Keys!$C$51,IF($E627=Keys!$C$59,$D627,$M627))</f>
        <v>0</v>
      </c>
      <c r="O627">
        <f t="shared" si="38"/>
        <v>0</v>
      </c>
      <c r="P627" s="10">
        <f>IF($E627=Keys!$C$60,Keys!$C$51,INDEX(Raw_BFPIaE!$G$9:$G$3032,MATCH($A627&amp;Keys!$C$54&amp;Keys!$C$55&amp;Keys!$C$54&amp;$B627,Raw_BFPIaE!$H$9:$H$3032,0)))</f>
        <v>0</v>
      </c>
      <c r="Q627" s="10">
        <f>IF($E627=Keys!$C$60,Keys!$C$51,INDEX(Raw_BFPIaE!$G$9:$G$3032,MATCH($A627&amp;Keys!$C$54&amp;Keys!$C$56&amp;Keys!$C$54&amp;$B627,Raw_BFPIaE!$H$9:$H$3032,0)))</f>
        <v>0</v>
      </c>
      <c r="R627" s="10">
        <f>IF($E627=Keys!$C$60,Keys!$C$51,INDEX(Raw_BFPIaE!$G$9:$G$3032,MATCH($A627&amp;Keys!$C$54&amp;Keys!$C$57&amp;Keys!$C$54&amp;$B627,Raw_BFPIaE!$H$9:$H$3032,0)))</f>
        <v>0</v>
      </c>
      <c r="S627" s="11">
        <f>IF(($P627+$Q627-$R627+MAX(Keys!$C$51,$R627-$Q627))&gt;Keys!$C$51,MIN(Keys!$C$52,MAX(Keys!$C$51,$R627-$Q627)/($P627+$Q627-$R627+MAX(Keys!$C$51,$R627-$Q627))),Keys!$C$51)</f>
        <v>0</v>
      </c>
      <c r="T627">
        <f>IF(AND($I627&gt;$H627,ABS($L627-$G627)&gt;MAX(Keys!$C$62,ABS($G627)*Keys!$C$63)),1,0)</f>
        <v>0</v>
      </c>
      <c r="U627">
        <f>IF(OR($N627&lt;Keys!$C$51,$N627&gt;Keys!$C$52),1,0)</f>
        <v>0</v>
      </c>
      <c r="V627">
        <f>IF(AND($E627=Keys!$C$60,$N627&lt;&gt;Keys!$C$51),1,0)</f>
        <v>0</v>
      </c>
      <c r="W627">
        <f>IF($L627&gt;Keys!$C$51,IF($K627/$L627&gt;Keys!$C$52,1,0),0)</f>
        <v>0</v>
      </c>
      <c r="X627" s="11">
        <f t="shared" si="39"/>
        <v>0</v>
      </c>
    </row>
    <row r="628" spans="1:24" x14ac:dyDescent="0.25">
      <c r="A628" t="s">
        <v>141</v>
      </c>
      <c r="B628" t="s">
        <v>106</v>
      </c>
      <c r="C628" t="str">
        <f>VLOOKUP($B628,Keys!$F$2:$I$22,2,FALSE)</f>
        <v>lignite</v>
      </c>
      <c r="D628">
        <f>VLOOKUP($B628,Keys!$F$2:$I$22,3,FALSE)</f>
        <v>0</v>
      </c>
      <c r="E628" t="str">
        <f>VLOOKUP($B628,Keys!$F$2:$I$22,4,FALSE)</f>
        <v>rule</v>
      </c>
      <c r="F628" t="str">
        <f>$A628&amp;Keys!$C$54&amp;$B628</f>
        <v>NM|lignite</v>
      </c>
      <c r="G628" s="10">
        <f>IF($E628=Keys!$C$60,Keys!$C$51,INDEX(Balanced_2025!$D$9:$D$3032,MATCH($A628&amp;Keys!$C$54&amp;Keys!$C$55&amp;Keys!$C$54&amp;$C628,Balanced_2025!$E$9:$E$3032,0)))</f>
        <v>0</v>
      </c>
      <c r="H628" s="10">
        <f>IF($E628=Keys!$C$60,Keys!$C$51,INDEX(Balanced_2025!$D$9:$D$3032,MATCH($A628&amp;Keys!$C$54&amp;Keys!$C$56&amp;Keys!$C$54&amp;$C628,Balanced_2025!$E$9:$E$3032,0)))</f>
        <v>0</v>
      </c>
      <c r="I628" s="10">
        <f>IF($E628=Keys!$C$60,Keys!$C$51,INDEX(Balanced_2025!$D$9:$D$3032,MATCH($A628&amp;Keys!$C$54&amp;Keys!$C$57&amp;Keys!$C$54&amp;$C628,Balanced_2025!$E$9:$E$3032,0)))</f>
        <v>0</v>
      </c>
      <c r="J628" s="10">
        <f t="shared" si="36"/>
        <v>0</v>
      </c>
      <c r="K628" s="10">
        <f>MAX(Keys!$C$51,$I628-$H628)</f>
        <v>0</v>
      </c>
      <c r="L628" s="10">
        <f t="shared" si="37"/>
        <v>0</v>
      </c>
      <c r="M628" s="11">
        <f>IF($L628&gt;Keys!$C$51,MIN(Keys!$C$52,$K628/$L628),Keys!$C$51)</f>
        <v>0</v>
      </c>
      <c r="N628" s="11">
        <f>IF($E628=Keys!$C$60,Keys!$C$51,IF($E628=Keys!$C$59,$D628,$M628))</f>
        <v>0</v>
      </c>
      <c r="O628">
        <f t="shared" si="38"/>
        <v>0</v>
      </c>
      <c r="P628" s="10">
        <f>IF($E628=Keys!$C$60,Keys!$C$51,INDEX(Raw_BFPIaE!$G$9:$G$3032,MATCH($A628&amp;Keys!$C$54&amp;Keys!$C$55&amp;Keys!$C$54&amp;$B628,Raw_BFPIaE!$H$9:$H$3032,0)))</f>
        <v>0</v>
      </c>
      <c r="Q628" s="10">
        <f>IF($E628=Keys!$C$60,Keys!$C$51,INDEX(Raw_BFPIaE!$G$9:$G$3032,MATCH($A628&amp;Keys!$C$54&amp;Keys!$C$56&amp;Keys!$C$54&amp;$B628,Raw_BFPIaE!$H$9:$H$3032,0)))</f>
        <v>0</v>
      </c>
      <c r="R628" s="10">
        <f>IF($E628=Keys!$C$60,Keys!$C$51,INDEX(Raw_BFPIaE!$G$9:$G$3032,MATCH($A628&amp;Keys!$C$54&amp;Keys!$C$57&amp;Keys!$C$54&amp;$B628,Raw_BFPIaE!$H$9:$H$3032,0)))</f>
        <v>0</v>
      </c>
      <c r="S628" s="11">
        <f>IF(($P628+$Q628-$R628+MAX(Keys!$C$51,$R628-$Q628))&gt;Keys!$C$51,MIN(Keys!$C$52,MAX(Keys!$C$51,$R628-$Q628)/($P628+$Q628-$R628+MAX(Keys!$C$51,$R628-$Q628))),Keys!$C$51)</f>
        <v>0</v>
      </c>
      <c r="T628">
        <f>IF(AND($I628&gt;$H628,ABS($L628-$G628)&gt;MAX(Keys!$C$62,ABS($G628)*Keys!$C$63)),1,0)</f>
        <v>0</v>
      </c>
      <c r="U628">
        <f>IF(OR($N628&lt;Keys!$C$51,$N628&gt;Keys!$C$52),1,0)</f>
        <v>0</v>
      </c>
      <c r="V628">
        <f>IF(AND($E628=Keys!$C$60,$N628&lt;&gt;Keys!$C$51),1,0)</f>
        <v>0</v>
      </c>
      <c r="W628">
        <f>IF($L628&gt;Keys!$C$51,IF($K628/$L628&gt;Keys!$C$52,1,0),0)</f>
        <v>0</v>
      </c>
      <c r="X628" s="11">
        <f t="shared" si="39"/>
        <v>0</v>
      </c>
    </row>
    <row r="629" spans="1:24" x14ac:dyDescent="0.25">
      <c r="A629" t="s">
        <v>141</v>
      </c>
      <c r="B629" t="s">
        <v>109</v>
      </c>
      <c r="C629" t="str">
        <f>VLOOKUP($B629,Keys!$F$2:$I$22,2,FALSE)</f>
        <v>crude oil</v>
      </c>
      <c r="D629">
        <f>VLOOKUP($B629,Keys!$F$2:$I$22,3,FALSE)</f>
        <v>1</v>
      </c>
      <c r="E629" t="str">
        <f>VLOOKUP($B629,Keys!$F$2:$I$22,4,FALSE)</f>
        <v>hold</v>
      </c>
      <c r="F629" t="str">
        <f>$A629&amp;Keys!$C$54&amp;$B629</f>
        <v>NM|crude oil</v>
      </c>
      <c r="G629" s="10">
        <f>IF($E629=Keys!$C$60,Keys!$C$51,INDEX(Balanced_2025!$D$9:$D$3032,MATCH($A629&amp;Keys!$C$54&amp;Keys!$C$55&amp;Keys!$C$54&amp;$C629,Balanced_2025!$E$9:$E$3032,0)))</f>
        <v>4294330000000000</v>
      </c>
      <c r="H629" s="10">
        <f>IF($E629=Keys!$C$60,Keys!$C$51,INDEX(Balanced_2025!$D$9:$D$3032,MATCH($A629&amp;Keys!$C$54&amp;Keys!$C$56&amp;Keys!$C$54&amp;$C629,Balanced_2025!$E$9:$E$3032,0)))</f>
        <v>0</v>
      </c>
      <c r="I629" s="10">
        <f>IF($E629=Keys!$C$60,Keys!$C$51,INDEX(Balanced_2025!$D$9:$D$3032,MATCH($A629&amp;Keys!$C$54&amp;Keys!$C$57&amp;Keys!$C$54&amp;$C629,Balanced_2025!$E$9:$E$3032,0)))</f>
        <v>4077940000000000</v>
      </c>
      <c r="J629" s="10">
        <f t="shared" si="36"/>
        <v>216390000000000</v>
      </c>
      <c r="K629" s="10">
        <f>MAX(Keys!$C$51,$I629-$H629)</f>
        <v>4077940000000000</v>
      </c>
      <c r="L629" s="10">
        <f t="shared" si="37"/>
        <v>4294330000000000</v>
      </c>
      <c r="M629" s="11">
        <f>IF($L629&gt;Keys!$C$51,MIN(Keys!$C$52,$K629/$L629),Keys!$C$51)</f>
        <v>0.94961030009337899</v>
      </c>
      <c r="N629" s="11">
        <f>IF($E629=Keys!$C$60,Keys!$C$51,IF($E629=Keys!$C$59,$D629,$M629))</f>
        <v>1</v>
      </c>
      <c r="O629">
        <f t="shared" si="38"/>
        <v>0</v>
      </c>
      <c r="P629" s="10">
        <f>IF($E629=Keys!$C$60,Keys!$C$51,INDEX(Raw_BFPIaE!$G$9:$G$3032,MATCH($A629&amp;Keys!$C$54&amp;Keys!$C$55&amp;Keys!$C$54&amp;$B629,Raw_BFPIaE!$H$9:$H$3032,0)))</f>
        <v>4316420000000000</v>
      </c>
      <c r="Q629" s="10">
        <f>IF($E629=Keys!$C$60,Keys!$C$51,INDEX(Raw_BFPIaE!$G$9:$G$3032,MATCH($A629&amp;Keys!$C$54&amp;Keys!$C$56&amp;Keys!$C$54&amp;$B629,Raw_BFPIaE!$H$9:$H$3032,0)))</f>
        <v>0</v>
      </c>
      <c r="R629" s="10">
        <f>IF($E629=Keys!$C$60,Keys!$C$51,INDEX(Raw_BFPIaE!$G$9:$G$3032,MATCH($A629&amp;Keys!$C$54&amp;Keys!$C$57&amp;Keys!$C$54&amp;$B629,Raw_BFPIaE!$H$9:$H$3032,0)))</f>
        <v>2740716666666666.5</v>
      </c>
      <c r="S629" s="11">
        <f>IF(($P629+$Q629-$R629+MAX(Keys!$C$51,$R629-$Q629))&gt;Keys!$C$51,MIN(Keys!$C$52,MAX(Keys!$C$51,$R629-$Q629)/($P629+$Q629-$R629+MAX(Keys!$C$51,$R629-$Q629))),Keys!$C$51)</f>
        <v>0.63495134084882066</v>
      </c>
      <c r="T629">
        <f>IF(AND($I629&gt;$H629,ABS($L629-$G629)&gt;MAX(Keys!$C$62,ABS($G629)*Keys!$C$63)),1,0)</f>
        <v>0</v>
      </c>
      <c r="U629">
        <f>IF(OR($N629&lt;Keys!$C$51,$N629&gt;Keys!$C$52),1,0)</f>
        <v>0</v>
      </c>
      <c r="V629">
        <f>IF(AND($E629=Keys!$C$60,$N629&lt;&gt;Keys!$C$51),1,0)</f>
        <v>0</v>
      </c>
      <c r="W629">
        <f>IF($L629&gt;Keys!$C$51,IF($K629/$L629&gt;Keys!$C$52,1,0),0)</f>
        <v>0</v>
      </c>
      <c r="X629" s="11">
        <f t="shared" si="39"/>
        <v>0.31465895924455833</v>
      </c>
    </row>
    <row r="630" spans="1:24" x14ac:dyDescent="0.25">
      <c r="A630" t="s">
        <v>141</v>
      </c>
      <c r="B630" t="s">
        <v>113</v>
      </c>
      <c r="C630" t="str">
        <f>VLOOKUP($B630,Keys!$F$2:$I$22,2,FALSE)</f>
        <v>heavy or residual fuel oil</v>
      </c>
      <c r="D630">
        <f>VLOOKUP($B630,Keys!$F$2:$I$22,3,FALSE)</f>
        <v>0.49914171099999999</v>
      </c>
      <c r="E630" t="str">
        <f>VLOOKUP($B630,Keys!$F$2:$I$22,4,FALSE)</f>
        <v>rule</v>
      </c>
      <c r="F630" t="str">
        <f>$A630&amp;Keys!$C$54&amp;$B630</f>
        <v>NM|heavy fuel oil</v>
      </c>
      <c r="G630" s="10">
        <f>IF($E630=Keys!$C$60,Keys!$C$51,INDEX(Balanced_2025!$D$9:$D$3032,MATCH($A630&amp;Keys!$C$54&amp;Keys!$C$55&amp;Keys!$C$54&amp;$C630,Balanced_2025!$E$9:$E$3032,0)))</f>
        <v>4366650000000</v>
      </c>
      <c r="H630" s="10">
        <f>IF($E630=Keys!$C$60,Keys!$C$51,INDEX(Balanced_2025!$D$9:$D$3032,MATCH($A630&amp;Keys!$C$54&amp;Keys!$C$56&amp;Keys!$C$54&amp;$C630,Balanced_2025!$E$9:$E$3032,0)))</f>
        <v>3716790000000</v>
      </c>
      <c r="I630" s="10">
        <f>IF($E630=Keys!$C$60,Keys!$C$51,INDEX(Balanced_2025!$D$9:$D$3032,MATCH($A630&amp;Keys!$C$54&amp;Keys!$C$57&amp;Keys!$C$54&amp;$C630,Balanced_2025!$E$9:$E$3032,0)))</f>
        <v>0</v>
      </c>
      <c r="J630" s="10">
        <f t="shared" si="36"/>
        <v>8083440000000</v>
      </c>
      <c r="K630" s="10">
        <f>MAX(Keys!$C$51,$I630-$H630)</f>
        <v>0</v>
      </c>
      <c r="L630" s="10">
        <f t="shared" si="37"/>
        <v>8083440000000</v>
      </c>
      <c r="M630" s="11">
        <f>IF($L630&gt;Keys!$C$51,MIN(Keys!$C$52,$K630/$L630),Keys!$C$51)</f>
        <v>0</v>
      </c>
      <c r="N630" s="11">
        <f>IF($E630=Keys!$C$60,Keys!$C$51,IF($E630=Keys!$C$59,$D630,$M630))</f>
        <v>0</v>
      </c>
      <c r="O630">
        <f t="shared" si="38"/>
        <v>1</v>
      </c>
      <c r="P630" s="10">
        <f>IF($E630=Keys!$C$60,Keys!$C$51,INDEX(Raw_BFPIaE!$G$9:$G$3032,MATCH($A630&amp;Keys!$C$54&amp;Keys!$C$55&amp;Keys!$C$54&amp;$B630,Raw_BFPIaE!$H$9:$H$3032,0)))</f>
        <v>4331370000000</v>
      </c>
      <c r="Q630" s="10">
        <f>IF($E630=Keys!$C$60,Keys!$C$51,INDEX(Raw_BFPIaE!$G$9:$G$3032,MATCH($A630&amp;Keys!$C$54&amp;Keys!$C$56&amp;Keys!$C$54&amp;$B630,Raw_BFPIaE!$H$9:$H$3032,0)))</f>
        <v>2569223333333.3335</v>
      </c>
      <c r="R630" s="10">
        <f>IF($E630=Keys!$C$60,Keys!$C$51,INDEX(Raw_BFPIaE!$G$9:$G$3032,MATCH($A630&amp;Keys!$C$54&amp;Keys!$C$57&amp;Keys!$C$54&amp;$B630,Raw_BFPIaE!$H$9:$H$3032,0)))</f>
        <v>0</v>
      </c>
      <c r="S630" s="11">
        <f>IF(($P630+$Q630-$R630+MAX(Keys!$C$51,$R630-$Q630))&gt;Keys!$C$51,MIN(Keys!$C$52,MAX(Keys!$C$51,$R630-$Q630)/($P630+$Q630-$R630+MAX(Keys!$C$51,$R630-$Q630))),Keys!$C$51)</f>
        <v>0</v>
      </c>
      <c r="T630">
        <f>IF(AND($I630&gt;$H630,ABS($L630-$G630)&gt;MAX(Keys!$C$62,ABS($G630)*Keys!$C$63)),1,0)</f>
        <v>0</v>
      </c>
      <c r="U630">
        <f>IF(OR($N630&lt;Keys!$C$51,$N630&gt;Keys!$C$52),1,0)</f>
        <v>0</v>
      </c>
      <c r="V630">
        <f>IF(AND($E630=Keys!$C$60,$N630&lt;&gt;Keys!$C$51),1,0)</f>
        <v>0</v>
      </c>
      <c r="W630">
        <f>IF($L630&gt;Keys!$C$51,IF($K630/$L630&gt;Keys!$C$52,1,0),0)</f>
        <v>0</v>
      </c>
      <c r="X630" s="11">
        <f t="shared" si="39"/>
        <v>0</v>
      </c>
    </row>
    <row r="631" spans="1:24" x14ac:dyDescent="0.25">
      <c r="A631" t="s">
        <v>141</v>
      </c>
      <c r="B631" t="s">
        <v>117</v>
      </c>
      <c r="C631" t="str">
        <f>VLOOKUP($B631,Keys!$F$2:$I$22,2,FALSE)</f>
        <v>LPG propane or butane</v>
      </c>
      <c r="D631">
        <f>VLOOKUP($B631,Keys!$F$2:$I$22,3,FALSE)</f>
        <v>0.54955999499999997</v>
      </c>
      <c r="E631" t="str">
        <f>VLOOKUP($B631,Keys!$F$2:$I$22,4,FALSE)</f>
        <v>rule</v>
      </c>
      <c r="F631" t="str">
        <f>$A631&amp;Keys!$C$54&amp;$B631</f>
        <v>NM|LPG propane or butane</v>
      </c>
      <c r="G631" s="10">
        <f>IF($E631=Keys!$C$60,Keys!$C$51,INDEX(Balanced_2025!$D$9:$D$3032,MATCH($A631&amp;Keys!$C$54&amp;Keys!$C$55&amp;Keys!$C$54&amp;$C631,Balanced_2025!$E$9:$E$3032,0)))</f>
        <v>422077000000000</v>
      </c>
      <c r="H631" s="10">
        <f>IF($E631=Keys!$C$60,Keys!$C$51,INDEX(Balanced_2025!$D$9:$D$3032,MATCH($A631&amp;Keys!$C$54&amp;Keys!$C$56&amp;Keys!$C$54&amp;$C631,Balanced_2025!$E$9:$E$3032,0)))</f>
        <v>0</v>
      </c>
      <c r="I631" s="10">
        <f>IF($E631=Keys!$C$60,Keys!$C$51,INDEX(Balanced_2025!$D$9:$D$3032,MATCH($A631&amp;Keys!$C$54&amp;Keys!$C$57&amp;Keys!$C$54&amp;$C631,Balanced_2025!$E$9:$E$3032,0)))</f>
        <v>414730000000000</v>
      </c>
      <c r="J631" s="10">
        <f t="shared" si="36"/>
        <v>7347000000000</v>
      </c>
      <c r="K631" s="10">
        <f>MAX(Keys!$C$51,$I631-$H631)</f>
        <v>414730000000000</v>
      </c>
      <c r="L631" s="10">
        <f t="shared" si="37"/>
        <v>422077000000000</v>
      </c>
      <c r="M631" s="11">
        <f>IF($L631&gt;Keys!$C$51,MIN(Keys!$C$52,$K631/$L631),Keys!$C$51)</f>
        <v>0.98259322351134981</v>
      </c>
      <c r="N631" s="11">
        <f>IF($E631=Keys!$C$60,Keys!$C$51,IF($E631=Keys!$C$59,$D631,$M631))</f>
        <v>0.98259322351134981</v>
      </c>
      <c r="O631">
        <f t="shared" si="38"/>
        <v>1</v>
      </c>
      <c r="P631" s="10">
        <f>IF($E631=Keys!$C$60,Keys!$C$51,INDEX(Raw_BFPIaE!$G$9:$G$3032,MATCH($A631&amp;Keys!$C$54&amp;Keys!$C$55&amp;Keys!$C$54&amp;$B631,Raw_BFPIaE!$H$9:$H$3032,0)))</f>
        <v>425064333333333.31</v>
      </c>
      <c r="Q631" s="10">
        <f>IF($E631=Keys!$C$60,Keys!$C$51,INDEX(Raw_BFPIaE!$G$9:$G$3032,MATCH($A631&amp;Keys!$C$54&amp;Keys!$C$56&amp;Keys!$C$54&amp;$B631,Raw_BFPIaE!$H$9:$H$3032,0)))</f>
        <v>0</v>
      </c>
      <c r="R631" s="10">
        <f>IF($E631=Keys!$C$60,Keys!$C$51,INDEX(Raw_BFPIaE!$G$9:$G$3032,MATCH($A631&amp;Keys!$C$54&amp;Keys!$C$57&amp;Keys!$C$54&amp;$B631,Raw_BFPIaE!$H$9:$H$3032,0)))</f>
        <v>279512333333333.34</v>
      </c>
      <c r="S631" s="11">
        <f>IF(($P631+$Q631-$R631+MAX(Keys!$C$51,$R631-$Q631))&gt;Keys!$C$51,MIN(Keys!$C$52,MAX(Keys!$C$51,$R631-$Q631)/($P631+$Q631-$R631+MAX(Keys!$C$51,$R631-$Q631))),Keys!$C$51)</f>
        <v>0.65757653939442895</v>
      </c>
      <c r="T631">
        <f>IF(AND($I631&gt;$H631,ABS($L631-$G631)&gt;MAX(Keys!$C$62,ABS($G631)*Keys!$C$63)),1,0)</f>
        <v>0</v>
      </c>
      <c r="U631">
        <f>IF(OR($N631&lt;Keys!$C$51,$N631&gt;Keys!$C$52),1,0)</f>
        <v>0</v>
      </c>
      <c r="V631">
        <f>IF(AND($E631=Keys!$C$60,$N631&lt;&gt;Keys!$C$51),1,0)</f>
        <v>0</v>
      </c>
      <c r="W631">
        <f>IF($L631&gt;Keys!$C$51,IF($K631/$L631&gt;Keys!$C$52,1,0),0)</f>
        <v>0</v>
      </c>
      <c r="X631" s="11">
        <f t="shared" si="39"/>
        <v>0.32501668411692086</v>
      </c>
    </row>
    <row r="632" spans="1:24" x14ac:dyDescent="0.25">
      <c r="A632" t="s">
        <v>141</v>
      </c>
      <c r="B632" t="s">
        <v>120</v>
      </c>
      <c r="C632">
        <f>VLOOKUP($B632,Keys!$F$2:$I$22,2,FALSE)</f>
        <v>0</v>
      </c>
      <c r="D632">
        <f>VLOOKUP($B632,Keys!$F$2:$I$22,3,FALSE)</f>
        <v>0</v>
      </c>
      <c r="E632" t="str">
        <f>VLOOKUP($B632,Keys!$F$2:$I$22,4,FALSE)</f>
        <v>zero</v>
      </c>
      <c r="F632" t="str">
        <f>$A632&amp;Keys!$C$54&amp;$B632</f>
        <v>NM|municipal solid waste</v>
      </c>
      <c r="G632" s="10">
        <f>IF($E632=Keys!$C$60,Keys!$C$51,INDEX(Balanced_2025!$D$9:$D$3032,MATCH($A632&amp;Keys!$C$54&amp;Keys!$C$55&amp;Keys!$C$54&amp;$C632,Balanced_2025!$E$9:$E$3032,0)))</f>
        <v>0</v>
      </c>
      <c r="H632" s="10">
        <f>IF($E632=Keys!$C$60,Keys!$C$51,INDEX(Balanced_2025!$D$9:$D$3032,MATCH($A632&amp;Keys!$C$54&amp;Keys!$C$56&amp;Keys!$C$54&amp;$C632,Balanced_2025!$E$9:$E$3032,0)))</f>
        <v>0</v>
      </c>
      <c r="I632" s="10">
        <f>IF($E632=Keys!$C$60,Keys!$C$51,INDEX(Balanced_2025!$D$9:$D$3032,MATCH($A632&amp;Keys!$C$54&amp;Keys!$C$57&amp;Keys!$C$54&amp;$C632,Balanced_2025!$E$9:$E$3032,0)))</f>
        <v>0</v>
      </c>
      <c r="J632" s="10">
        <f t="shared" si="36"/>
        <v>0</v>
      </c>
      <c r="K632" s="10">
        <f>MAX(Keys!$C$51,$I632-$H632)</f>
        <v>0</v>
      </c>
      <c r="L632" s="10">
        <f t="shared" si="37"/>
        <v>0</v>
      </c>
      <c r="M632" s="11">
        <f>IF($L632&gt;Keys!$C$51,MIN(Keys!$C$52,$K632/$L632),Keys!$C$51)</f>
        <v>0</v>
      </c>
      <c r="N632" s="11">
        <f>IF($E632=Keys!$C$60,Keys!$C$51,IF($E632=Keys!$C$59,$D632,$M632))</f>
        <v>0</v>
      </c>
      <c r="O632">
        <f t="shared" si="38"/>
        <v>0</v>
      </c>
      <c r="P632" s="10">
        <f>IF($E632=Keys!$C$60,Keys!$C$51,INDEX(Raw_BFPIaE!$G$9:$G$3032,MATCH($A632&amp;Keys!$C$54&amp;Keys!$C$55&amp;Keys!$C$54&amp;$B632,Raw_BFPIaE!$H$9:$H$3032,0)))</f>
        <v>0</v>
      </c>
      <c r="Q632" s="10">
        <f>IF($E632=Keys!$C$60,Keys!$C$51,INDEX(Raw_BFPIaE!$G$9:$G$3032,MATCH($A632&amp;Keys!$C$54&amp;Keys!$C$56&amp;Keys!$C$54&amp;$B632,Raw_BFPIaE!$H$9:$H$3032,0)))</f>
        <v>0</v>
      </c>
      <c r="R632" s="10">
        <f>IF($E632=Keys!$C$60,Keys!$C$51,INDEX(Raw_BFPIaE!$G$9:$G$3032,MATCH($A632&amp;Keys!$C$54&amp;Keys!$C$57&amp;Keys!$C$54&amp;$B632,Raw_BFPIaE!$H$9:$H$3032,0)))</f>
        <v>0</v>
      </c>
      <c r="S632" s="11">
        <f>IF(($P632+$Q632-$R632+MAX(Keys!$C$51,$R632-$Q632))&gt;Keys!$C$51,MIN(Keys!$C$52,MAX(Keys!$C$51,$R632-$Q632)/($P632+$Q632-$R632+MAX(Keys!$C$51,$R632-$Q632))),Keys!$C$51)</f>
        <v>0</v>
      </c>
      <c r="T632">
        <f>IF(AND($I632&gt;$H632,ABS($L632-$G632)&gt;MAX(Keys!$C$62,ABS($G632)*Keys!$C$63)),1,0)</f>
        <v>0</v>
      </c>
      <c r="U632">
        <f>IF(OR($N632&lt;Keys!$C$51,$N632&gt;Keys!$C$52),1,0)</f>
        <v>0</v>
      </c>
      <c r="V632">
        <f>IF(AND($E632=Keys!$C$60,$N632&lt;&gt;Keys!$C$51),1,0)</f>
        <v>0</v>
      </c>
      <c r="W632">
        <f>IF($L632&gt;Keys!$C$51,IF($K632/$L632&gt;Keys!$C$52,1,0),0)</f>
        <v>0</v>
      </c>
      <c r="X632" s="11">
        <f t="shared" si="39"/>
        <v>0</v>
      </c>
    </row>
    <row r="633" spans="1:24" x14ac:dyDescent="0.25">
      <c r="A633" t="s">
        <v>141</v>
      </c>
      <c r="B633" t="s">
        <v>123</v>
      </c>
      <c r="C633">
        <f>VLOOKUP($B633,Keys!$F$2:$I$22,2,FALSE)</f>
        <v>0</v>
      </c>
      <c r="D633">
        <f>VLOOKUP($B633,Keys!$F$2:$I$22,3,FALSE)</f>
        <v>0</v>
      </c>
      <c r="E633" t="str">
        <f>VLOOKUP($B633,Keys!$F$2:$I$22,4,FALSE)</f>
        <v>zero</v>
      </c>
      <c r="F633" t="str">
        <f>$A633&amp;Keys!$C$54&amp;$B633</f>
        <v>NM|hydrogen</v>
      </c>
      <c r="G633" s="10">
        <f>IF($E633=Keys!$C$60,Keys!$C$51,INDEX(Balanced_2025!$D$9:$D$3032,MATCH($A633&amp;Keys!$C$54&amp;Keys!$C$55&amp;Keys!$C$54&amp;$C633,Balanced_2025!$E$9:$E$3032,0)))</f>
        <v>0</v>
      </c>
      <c r="H633" s="10">
        <f>IF($E633=Keys!$C$60,Keys!$C$51,INDEX(Balanced_2025!$D$9:$D$3032,MATCH($A633&amp;Keys!$C$54&amp;Keys!$C$56&amp;Keys!$C$54&amp;$C633,Balanced_2025!$E$9:$E$3032,0)))</f>
        <v>0</v>
      </c>
      <c r="I633" s="10">
        <f>IF($E633=Keys!$C$60,Keys!$C$51,INDEX(Balanced_2025!$D$9:$D$3032,MATCH($A633&amp;Keys!$C$54&amp;Keys!$C$57&amp;Keys!$C$54&amp;$C633,Balanced_2025!$E$9:$E$3032,0)))</f>
        <v>0</v>
      </c>
      <c r="J633" s="10">
        <f t="shared" si="36"/>
        <v>0</v>
      </c>
      <c r="K633" s="10">
        <f>MAX(Keys!$C$51,$I633-$H633)</f>
        <v>0</v>
      </c>
      <c r="L633" s="10">
        <f t="shared" si="37"/>
        <v>0</v>
      </c>
      <c r="M633" s="11">
        <f>IF($L633&gt;Keys!$C$51,MIN(Keys!$C$52,$K633/$L633),Keys!$C$51)</f>
        <v>0</v>
      </c>
      <c r="N633" s="11">
        <f>IF($E633=Keys!$C$60,Keys!$C$51,IF($E633=Keys!$C$59,$D633,$M633))</f>
        <v>0</v>
      </c>
      <c r="O633">
        <f t="shared" si="38"/>
        <v>0</v>
      </c>
      <c r="P633" s="10">
        <f>IF($E633=Keys!$C$60,Keys!$C$51,INDEX(Raw_BFPIaE!$G$9:$G$3032,MATCH($A633&amp;Keys!$C$54&amp;Keys!$C$55&amp;Keys!$C$54&amp;$B633,Raw_BFPIaE!$H$9:$H$3032,0)))</f>
        <v>0</v>
      </c>
      <c r="Q633" s="10">
        <f>IF($E633=Keys!$C$60,Keys!$C$51,INDEX(Raw_BFPIaE!$G$9:$G$3032,MATCH($A633&amp;Keys!$C$54&amp;Keys!$C$56&amp;Keys!$C$54&amp;$B633,Raw_BFPIaE!$H$9:$H$3032,0)))</f>
        <v>0</v>
      </c>
      <c r="R633" s="10">
        <f>IF($E633=Keys!$C$60,Keys!$C$51,INDEX(Raw_BFPIaE!$G$9:$G$3032,MATCH($A633&amp;Keys!$C$54&amp;Keys!$C$57&amp;Keys!$C$54&amp;$B633,Raw_BFPIaE!$H$9:$H$3032,0)))</f>
        <v>0</v>
      </c>
      <c r="S633" s="11">
        <f>IF(($P633+$Q633-$R633+MAX(Keys!$C$51,$R633-$Q633))&gt;Keys!$C$51,MIN(Keys!$C$52,MAX(Keys!$C$51,$R633-$Q633)/($P633+$Q633-$R633+MAX(Keys!$C$51,$R633-$Q633))),Keys!$C$51)</f>
        <v>0</v>
      </c>
      <c r="T633">
        <f>IF(AND($I633&gt;$H633,ABS($L633-$G633)&gt;MAX(Keys!$C$62,ABS($G633)*Keys!$C$63)),1,0)</f>
        <v>0</v>
      </c>
      <c r="U633">
        <f>IF(OR($N633&lt;Keys!$C$51,$N633&gt;Keys!$C$52),1,0)</f>
        <v>0</v>
      </c>
      <c r="V633">
        <f>IF(AND($E633=Keys!$C$60,$N633&lt;&gt;Keys!$C$51),1,0)</f>
        <v>0</v>
      </c>
      <c r="W633">
        <f>IF($L633&gt;Keys!$C$51,IF($K633/$L633&gt;Keys!$C$52,1,0),0)</f>
        <v>0</v>
      </c>
      <c r="X633" s="11">
        <f t="shared" si="39"/>
        <v>0</v>
      </c>
    </row>
    <row r="634" spans="1:24" x14ac:dyDescent="0.25">
      <c r="A634" t="s">
        <v>143</v>
      </c>
      <c r="B634" t="s">
        <v>60</v>
      </c>
      <c r="C634">
        <f>VLOOKUP($B634,Keys!$F$2:$I$22,2,FALSE)</f>
        <v>0</v>
      </c>
      <c r="D634">
        <f>VLOOKUP($B634,Keys!$F$2:$I$22,3,FALSE)</f>
        <v>0</v>
      </c>
      <c r="E634" t="str">
        <f>VLOOKUP($B634,Keys!$F$2:$I$22,4,FALSE)</f>
        <v>zero</v>
      </c>
      <c r="F634" t="str">
        <f>$A634&amp;Keys!$C$54&amp;$B634</f>
        <v>NV|electricity (not used in this variable)</v>
      </c>
      <c r="G634" s="10">
        <f>IF($E634=Keys!$C$60,Keys!$C$51,INDEX(Balanced_2025!$D$9:$D$3032,MATCH($A634&amp;Keys!$C$54&amp;Keys!$C$55&amp;Keys!$C$54&amp;$C634,Balanced_2025!$E$9:$E$3032,0)))</f>
        <v>0</v>
      </c>
      <c r="H634" s="10">
        <f>IF($E634=Keys!$C$60,Keys!$C$51,INDEX(Balanced_2025!$D$9:$D$3032,MATCH($A634&amp;Keys!$C$54&amp;Keys!$C$56&amp;Keys!$C$54&amp;$C634,Balanced_2025!$E$9:$E$3032,0)))</f>
        <v>0</v>
      </c>
      <c r="I634" s="10">
        <f>IF($E634=Keys!$C$60,Keys!$C$51,INDEX(Balanced_2025!$D$9:$D$3032,MATCH($A634&amp;Keys!$C$54&amp;Keys!$C$57&amp;Keys!$C$54&amp;$C634,Balanced_2025!$E$9:$E$3032,0)))</f>
        <v>0</v>
      </c>
      <c r="J634" s="10">
        <f t="shared" si="36"/>
        <v>0</v>
      </c>
      <c r="K634" s="10">
        <f>MAX(Keys!$C$51,$I634-$H634)</f>
        <v>0</v>
      </c>
      <c r="L634" s="10">
        <f t="shared" si="37"/>
        <v>0</v>
      </c>
      <c r="M634" s="11">
        <f>IF($L634&gt;Keys!$C$51,MIN(Keys!$C$52,$K634/$L634),Keys!$C$51)</f>
        <v>0</v>
      </c>
      <c r="N634" s="11">
        <f>IF($E634=Keys!$C$60,Keys!$C$51,IF($E634=Keys!$C$59,$D634,$M634))</f>
        <v>0</v>
      </c>
      <c r="O634">
        <f t="shared" si="38"/>
        <v>0</v>
      </c>
      <c r="P634" s="10">
        <f>IF($E634=Keys!$C$60,Keys!$C$51,INDEX(Raw_BFPIaE!$G$9:$G$3032,MATCH($A634&amp;Keys!$C$54&amp;Keys!$C$55&amp;Keys!$C$54&amp;$B634,Raw_BFPIaE!$H$9:$H$3032,0)))</f>
        <v>0</v>
      </c>
      <c r="Q634" s="10">
        <f>IF($E634=Keys!$C$60,Keys!$C$51,INDEX(Raw_BFPIaE!$G$9:$G$3032,MATCH($A634&amp;Keys!$C$54&amp;Keys!$C$56&amp;Keys!$C$54&amp;$B634,Raw_BFPIaE!$H$9:$H$3032,0)))</f>
        <v>0</v>
      </c>
      <c r="R634" s="10">
        <f>IF($E634=Keys!$C$60,Keys!$C$51,INDEX(Raw_BFPIaE!$G$9:$G$3032,MATCH($A634&amp;Keys!$C$54&amp;Keys!$C$57&amp;Keys!$C$54&amp;$B634,Raw_BFPIaE!$H$9:$H$3032,0)))</f>
        <v>0</v>
      </c>
      <c r="S634" s="11">
        <f>IF(($P634+$Q634-$R634+MAX(Keys!$C$51,$R634-$Q634))&gt;Keys!$C$51,MIN(Keys!$C$52,MAX(Keys!$C$51,$R634-$Q634)/($P634+$Q634-$R634+MAX(Keys!$C$51,$R634-$Q634))),Keys!$C$51)</f>
        <v>0</v>
      </c>
      <c r="T634">
        <f>IF(AND($I634&gt;$H634,ABS($L634-$G634)&gt;MAX(Keys!$C$62,ABS($G634)*Keys!$C$63)),1,0)</f>
        <v>0</v>
      </c>
      <c r="U634">
        <f>IF(OR($N634&lt;Keys!$C$51,$N634&gt;Keys!$C$52),1,0)</f>
        <v>0</v>
      </c>
      <c r="V634">
        <f>IF(AND($E634=Keys!$C$60,$N634&lt;&gt;Keys!$C$51),1,0)</f>
        <v>0</v>
      </c>
      <c r="W634">
        <f>IF($L634&gt;Keys!$C$51,IF($K634/$L634&gt;Keys!$C$52,1,0),0)</f>
        <v>0</v>
      </c>
      <c r="X634" s="11">
        <f t="shared" si="39"/>
        <v>0</v>
      </c>
    </row>
    <row r="635" spans="1:24" x14ac:dyDescent="0.25">
      <c r="A635" t="s">
        <v>143</v>
      </c>
      <c r="B635" t="s">
        <v>64</v>
      </c>
      <c r="C635" t="str">
        <f>VLOOKUP($B635,Keys!$F$2:$I$22,2,FALSE)</f>
        <v>hard coal</v>
      </c>
      <c r="D635">
        <f>VLOOKUP($B635,Keys!$F$2:$I$22,3,FALSE)</f>
        <v>0.137539879</v>
      </c>
      <c r="E635" t="str">
        <f>VLOOKUP($B635,Keys!$F$2:$I$22,4,FALSE)</f>
        <v>rule</v>
      </c>
      <c r="F635" t="str">
        <f>$A635&amp;Keys!$C$54&amp;$B635</f>
        <v>NV|hard coal</v>
      </c>
      <c r="G635" s="10">
        <f>IF($E635=Keys!$C$60,Keys!$C$51,INDEX(Balanced_2025!$D$9:$D$3032,MATCH($A635&amp;Keys!$C$54&amp;Keys!$C$55&amp;Keys!$C$54&amp;$C635,Balanced_2025!$E$9:$E$3032,0)))</f>
        <v>0</v>
      </c>
      <c r="H635" s="10">
        <f>IF($E635=Keys!$C$60,Keys!$C$51,INDEX(Balanced_2025!$D$9:$D$3032,MATCH($A635&amp;Keys!$C$54&amp;Keys!$C$56&amp;Keys!$C$54&amp;$C635,Balanced_2025!$E$9:$E$3032,0)))</f>
        <v>42533100000000</v>
      </c>
      <c r="I635" s="10">
        <f>IF($E635=Keys!$C$60,Keys!$C$51,INDEX(Balanced_2025!$D$9:$D$3032,MATCH($A635&amp;Keys!$C$54&amp;Keys!$C$57&amp;Keys!$C$54&amp;$C635,Balanced_2025!$E$9:$E$3032,0)))</f>
        <v>0</v>
      </c>
      <c r="J635" s="10">
        <f t="shared" si="36"/>
        <v>42533100000000</v>
      </c>
      <c r="K635" s="10">
        <f>MAX(Keys!$C$51,$I635-$H635)</f>
        <v>0</v>
      </c>
      <c r="L635" s="10">
        <f t="shared" si="37"/>
        <v>42533100000000</v>
      </c>
      <c r="M635" s="11">
        <f>IF($L635&gt;Keys!$C$51,MIN(Keys!$C$52,$K635/$L635),Keys!$C$51)</f>
        <v>0</v>
      </c>
      <c r="N635" s="11">
        <f>IF($E635=Keys!$C$60,Keys!$C$51,IF($E635=Keys!$C$59,$D635,$M635))</f>
        <v>0</v>
      </c>
      <c r="O635">
        <f t="shared" si="38"/>
        <v>1</v>
      </c>
      <c r="P635" s="10">
        <f>IF($E635=Keys!$C$60,Keys!$C$51,INDEX(Raw_BFPIaE!$G$9:$G$3032,MATCH($A635&amp;Keys!$C$54&amp;Keys!$C$55&amp;Keys!$C$54&amp;$B635,Raw_BFPIaE!$H$9:$H$3032,0)))</f>
        <v>0</v>
      </c>
      <c r="Q635" s="10">
        <f>IF($E635=Keys!$C$60,Keys!$C$51,INDEX(Raw_BFPIaE!$G$9:$G$3032,MATCH($A635&amp;Keys!$C$54&amp;Keys!$C$56&amp;Keys!$C$54&amp;$B635,Raw_BFPIaE!$H$9:$H$3032,0)))</f>
        <v>38083400000000</v>
      </c>
      <c r="R635" s="10">
        <f>IF($E635=Keys!$C$60,Keys!$C$51,INDEX(Raw_BFPIaE!$G$9:$G$3032,MATCH($A635&amp;Keys!$C$54&amp;Keys!$C$57&amp;Keys!$C$54&amp;$B635,Raw_BFPIaE!$H$9:$H$3032,0)))</f>
        <v>0</v>
      </c>
      <c r="S635" s="11">
        <f>IF(($P635+$Q635-$R635+MAX(Keys!$C$51,$R635-$Q635))&gt;Keys!$C$51,MIN(Keys!$C$52,MAX(Keys!$C$51,$R635-$Q635)/($P635+$Q635-$R635+MAX(Keys!$C$51,$R635-$Q635))),Keys!$C$51)</f>
        <v>0</v>
      </c>
      <c r="T635">
        <f>IF(AND($I635&gt;$H635,ABS($L635-$G635)&gt;MAX(Keys!$C$62,ABS($G635)*Keys!$C$63)),1,0)</f>
        <v>0</v>
      </c>
      <c r="U635">
        <f>IF(OR($N635&lt;Keys!$C$51,$N635&gt;Keys!$C$52),1,0)</f>
        <v>0</v>
      </c>
      <c r="V635">
        <f>IF(AND($E635=Keys!$C$60,$N635&lt;&gt;Keys!$C$51),1,0)</f>
        <v>0</v>
      </c>
      <c r="W635">
        <f>IF($L635&gt;Keys!$C$51,IF($K635/$L635&gt;Keys!$C$52,1,0),0)</f>
        <v>0</v>
      </c>
      <c r="X635" s="11">
        <f t="shared" si="39"/>
        <v>0</v>
      </c>
    </row>
    <row r="636" spans="1:24" x14ac:dyDescent="0.25">
      <c r="A636" t="s">
        <v>143</v>
      </c>
      <c r="B636" t="s">
        <v>68</v>
      </c>
      <c r="C636" t="str">
        <f>VLOOKUP($B636,Keys!$F$2:$I$22,2,FALSE)</f>
        <v>natural gas</v>
      </c>
      <c r="D636">
        <f>VLOOKUP($B636,Keys!$F$2:$I$22,3,FALSE)</f>
        <v>0.190839183</v>
      </c>
      <c r="E636" t="str">
        <f>VLOOKUP($B636,Keys!$F$2:$I$22,4,FALSE)</f>
        <v>rule</v>
      </c>
      <c r="F636" t="str">
        <f>$A636&amp;Keys!$C$54&amp;$B636</f>
        <v>NV|natural gas</v>
      </c>
      <c r="G636" s="10">
        <f>IF($E636=Keys!$C$60,Keys!$C$51,INDEX(Balanced_2025!$D$9:$D$3032,MATCH($A636&amp;Keys!$C$54&amp;Keys!$C$55&amp;Keys!$C$54&amp;$C636,Balanced_2025!$E$9:$E$3032,0)))</f>
        <v>4148000000</v>
      </c>
      <c r="H636" s="10">
        <f>IF($E636=Keys!$C$60,Keys!$C$51,INDEX(Balanced_2025!$D$9:$D$3032,MATCH($A636&amp;Keys!$C$54&amp;Keys!$C$56&amp;Keys!$C$54&amp;$C636,Balanced_2025!$E$9:$E$3032,0)))</f>
        <v>895593000000000</v>
      </c>
      <c r="I636" s="10">
        <f>IF($E636=Keys!$C$60,Keys!$C$51,INDEX(Balanced_2025!$D$9:$D$3032,MATCH($A636&amp;Keys!$C$54&amp;Keys!$C$57&amp;Keys!$C$54&amp;$C636,Balanced_2025!$E$9:$E$3032,0)))</f>
        <v>602443000000000</v>
      </c>
      <c r="J636" s="10">
        <f t="shared" si="36"/>
        <v>293154148000000</v>
      </c>
      <c r="K636" s="10">
        <f>MAX(Keys!$C$51,$I636-$H636)</f>
        <v>0</v>
      </c>
      <c r="L636" s="10">
        <f t="shared" si="37"/>
        <v>293154148000000</v>
      </c>
      <c r="M636" s="11">
        <f>IF($L636&gt;Keys!$C$51,MIN(Keys!$C$52,$K636/$L636),Keys!$C$51)</f>
        <v>0</v>
      </c>
      <c r="N636" s="11">
        <f>IF($E636=Keys!$C$60,Keys!$C$51,IF($E636=Keys!$C$59,$D636,$M636))</f>
        <v>0</v>
      </c>
      <c r="O636">
        <f t="shared" si="38"/>
        <v>1</v>
      </c>
      <c r="P636" s="10">
        <f>IF($E636=Keys!$C$60,Keys!$C$51,INDEX(Raw_BFPIaE!$G$9:$G$3032,MATCH($A636&amp;Keys!$C$54&amp;Keys!$C$55&amp;Keys!$C$54&amp;$B636,Raw_BFPIaE!$H$9:$H$3032,0)))</f>
        <v>4151770000</v>
      </c>
      <c r="Q636" s="10">
        <f>IF($E636=Keys!$C$60,Keys!$C$51,INDEX(Raw_BFPIaE!$G$9:$G$3032,MATCH($A636&amp;Keys!$C$54&amp;Keys!$C$56&amp;Keys!$C$54&amp;$B636,Raw_BFPIaE!$H$9:$H$3032,0)))</f>
        <v>887309666666666.63</v>
      </c>
      <c r="R636" s="10">
        <f>IF($E636=Keys!$C$60,Keys!$C$51,INDEX(Raw_BFPIaE!$G$9:$G$3032,MATCH($A636&amp;Keys!$C$54&amp;Keys!$C$57&amp;Keys!$C$54&amp;$B636,Raw_BFPIaE!$H$9:$H$3032,0)))</f>
        <v>602990666666666.63</v>
      </c>
      <c r="S636" s="11">
        <f>IF(($P636+$Q636-$R636+MAX(Keys!$C$51,$R636-$Q636))&gt;Keys!$C$51,MIN(Keys!$C$52,MAX(Keys!$C$51,$R636-$Q636)/($P636+$Q636-$R636+MAX(Keys!$C$51,$R636-$Q636))),Keys!$C$51)</f>
        <v>0</v>
      </c>
      <c r="T636">
        <f>IF(AND($I636&gt;$H636,ABS($L636-$G636)&gt;MAX(Keys!$C$62,ABS($G636)*Keys!$C$63)),1,0)</f>
        <v>0</v>
      </c>
      <c r="U636">
        <f>IF(OR($N636&lt;Keys!$C$51,$N636&gt;Keys!$C$52),1,0)</f>
        <v>0</v>
      </c>
      <c r="V636">
        <f>IF(AND($E636=Keys!$C$60,$N636&lt;&gt;Keys!$C$51),1,0)</f>
        <v>0</v>
      </c>
      <c r="W636">
        <f>IF($L636&gt;Keys!$C$51,IF($K636/$L636&gt;Keys!$C$52,1,0),0)</f>
        <v>0</v>
      </c>
      <c r="X636" s="11">
        <f t="shared" si="39"/>
        <v>0</v>
      </c>
    </row>
    <row r="637" spans="1:24" x14ac:dyDescent="0.25">
      <c r="A637" t="s">
        <v>143</v>
      </c>
      <c r="B637" t="s">
        <v>71</v>
      </c>
      <c r="C637">
        <f>VLOOKUP($B637,Keys!$F$2:$I$22,2,FALSE)</f>
        <v>0</v>
      </c>
      <c r="D637">
        <f>VLOOKUP($B637,Keys!$F$2:$I$22,3,FALSE)</f>
        <v>0</v>
      </c>
      <c r="E637" t="str">
        <f>VLOOKUP($B637,Keys!$F$2:$I$22,4,FALSE)</f>
        <v>zero</v>
      </c>
      <c r="F637" t="str">
        <f>$A637&amp;Keys!$C$54&amp;$B637</f>
        <v>NV|nuclear</v>
      </c>
      <c r="G637" s="10">
        <f>IF($E637=Keys!$C$60,Keys!$C$51,INDEX(Balanced_2025!$D$9:$D$3032,MATCH($A637&amp;Keys!$C$54&amp;Keys!$C$55&amp;Keys!$C$54&amp;$C637,Balanced_2025!$E$9:$E$3032,0)))</f>
        <v>0</v>
      </c>
      <c r="H637" s="10">
        <f>IF($E637=Keys!$C$60,Keys!$C$51,INDEX(Balanced_2025!$D$9:$D$3032,MATCH($A637&amp;Keys!$C$54&amp;Keys!$C$56&amp;Keys!$C$54&amp;$C637,Balanced_2025!$E$9:$E$3032,0)))</f>
        <v>0</v>
      </c>
      <c r="I637" s="10">
        <f>IF($E637=Keys!$C$60,Keys!$C$51,INDEX(Balanced_2025!$D$9:$D$3032,MATCH($A637&amp;Keys!$C$54&amp;Keys!$C$57&amp;Keys!$C$54&amp;$C637,Balanced_2025!$E$9:$E$3032,0)))</f>
        <v>0</v>
      </c>
      <c r="J637" s="10">
        <f t="shared" si="36"/>
        <v>0</v>
      </c>
      <c r="K637" s="10">
        <f>MAX(Keys!$C$51,$I637-$H637)</f>
        <v>0</v>
      </c>
      <c r="L637" s="10">
        <f t="shared" si="37"/>
        <v>0</v>
      </c>
      <c r="M637" s="11">
        <f>IF($L637&gt;Keys!$C$51,MIN(Keys!$C$52,$K637/$L637),Keys!$C$51)</f>
        <v>0</v>
      </c>
      <c r="N637" s="11">
        <f>IF($E637=Keys!$C$60,Keys!$C$51,IF($E637=Keys!$C$59,$D637,$M637))</f>
        <v>0</v>
      </c>
      <c r="O637">
        <f t="shared" si="38"/>
        <v>0</v>
      </c>
      <c r="P637" s="10">
        <f>IF($E637=Keys!$C$60,Keys!$C$51,INDEX(Raw_BFPIaE!$G$9:$G$3032,MATCH($A637&amp;Keys!$C$54&amp;Keys!$C$55&amp;Keys!$C$54&amp;$B637,Raw_BFPIaE!$H$9:$H$3032,0)))</f>
        <v>0</v>
      </c>
      <c r="Q637" s="10">
        <f>IF($E637=Keys!$C$60,Keys!$C$51,INDEX(Raw_BFPIaE!$G$9:$G$3032,MATCH($A637&amp;Keys!$C$54&amp;Keys!$C$56&amp;Keys!$C$54&amp;$B637,Raw_BFPIaE!$H$9:$H$3032,0)))</f>
        <v>0</v>
      </c>
      <c r="R637" s="10">
        <f>IF($E637=Keys!$C$60,Keys!$C$51,INDEX(Raw_BFPIaE!$G$9:$G$3032,MATCH($A637&amp;Keys!$C$54&amp;Keys!$C$57&amp;Keys!$C$54&amp;$B637,Raw_BFPIaE!$H$9:$H$3032,0)))</f>
        <v>0</v>
      </c>
      <c r="S637" s="11">
        <f>IF(($P637+$Q637-$R637+MAX(Keys!$C$51,$R637-$Q637))&gt;Keys!$C$51,MIN(Keys!$C$52,MAX(Keys!$C$51,$R637-$Q637)/($P637+$Q637-$R637+MAX(Keys!$C$51,$R637-$Q637))),Keys!$C$51)</f>
        <v>0</v>
      </c>
      <c r="T637">
        <f>IF(AND($I637&gt;$H637,ABS($L637-$G637)&gt;MAX(Keys!$C$62,ABS($G637)*Keys!$C$63)),1,0)</f>
        <v>0</v>
      </c>
      <c r="U637">
        <f>IF(OR($N637&lt;Keys!$C$51,$N637&gt;Keys!$C$52),1,0)</f>
        <v>0</v>
      </c>
      <c r="V637">
        <f>IF(AND($E637=Keys!$C$60,$N637&lt;&gt;Keys!$C$51),1,0)</f>
        <v>0</v>
      </c>
      <c r="W637">
        <f>IF($L637&gt;Keys!$C$51,IF($K637/$L637&gt;Keys!$C$52,1,0),0)</f>
        <v>0</v>
      </c>
      <c r="X637" s="11">
        <f t="shared" si="39"/>
        <v>0</v>
      </c>
    </row>
    <row r="638" spans="1:24" x14ac:dyDescent="0.25">
      <c r="A638" t="s">
        <v>143</v>
      </c>
      <c r="B638" t="s">
        <v>74</v>
      </c>
      <c r="C638">
        <f>VLOOKUP($B638,Keys!$F$2:$I$22,2,FALSE)</f>
        <v>0</v>
      </c>
      <c r="D638">
        <f>VLOOKUP($B638,Keys!$F$2:$I$22,3,FALSE)</f>
        <v>0</v>
      </c>
      <c r="E638" t="str">
        <f>VLOOKUP($B638,Keys!$F$2:$I$22,4,FALSE)</f>
        <v>zero</v>
      </c>
      <c r="F638" t="str">
        <f>$A638&amp;Keys!$C$54&amp;$B638</f>
        <v>NV|hydro (is not a fuel)</v>
      </c>
      <c r="G638" s="10">
        <f>IF($E638=Keys!$C$60,Keys!$C$51,INDEX(Balanced_2025!$D$9:$D$3032,MATCH($A638&amp;Keys!$C$54&amp;Keys!$C$55&amp;Keys!$C$54&amp;$C638,Balanced_2025!$E$9:$E$3032,0)))</f>
        <v>0</v>
      </c>
      <c r="H638" s="10">
        <f>IF($E638=Keys!$C$60,Keys!$C$51,INDEX(Balanced_2025!$D$9:$D$3032,MATCH($A638&amp;Keys!$C$54&amp;Keys!$C$56&amp;Keys!$C$54&amp;$C638,Balanced_2025!$E$9:$E$3032,0)))</f>
        <v>0</v>
      </c>
      <c r="I638" s="10">
        <f>IF($E638=Keys!$C$60,Keys!$C$51,INDEX(Balanced_2025!$D$9:$D$3032,MATCH($A638&amp;Keys!$C$54&amp;Keys!$C$57&amp;Keys!$C$54&amp;$C638,Balanced_2025!$E$9:$E$3032,0)))</f>
        <v>0</v>
      </c>
      <c r="J638" s="10">
        <f t="shared" si="36"/>
        <v>0</v>
      </c>
      <c r="K638" s="10">
        <f>MAX(Keys!$C$51,$I638-$H638)</f>
        <v>0</v>
      </c>
      <c r="L638" s="10">
        <f t="shared" si="37"/>
        <v>0</v>
      </c>
      <c r="M638" s="11">
        <f>IF($L638&gt;Keys!$C$51,MIN(Keys!$C$52,$K638/$L638),Keys!$C$51)</f>
        <v>0</v>
      </c>
      <c r="N638" s="11">
        <f>IF($E638=Keys!$C$60,Keys!$C$51,IF($E638=Keys!$C$59,$D638,$M638))</f>
        <v>0</v>
      </c>
      <c r="O638">
        <f t="shared" si="38"/>
        <v>0</v>
      </c>
      <c r="P638" s="10">
        <f>IF($E638=Keys!$C$60,Keys!$C$51,INDEX(Raw_BFPIaE!$G$9:$G$3032,MATCH($A638&amp;Keys!$C$54&amp;Keys!$C$55&amp;Keys!$C$54&amp;$B638,Raw_BFPIaE!$H$9:$H$3032,0)))</f>
        <v>0</v>
      </c>
      <c r="Q638" s="10">
        <f>IF($E638=Keys!$C$60,Keys!$C$51,INDEX(Raw_BFPIaE!$G$9:$G$3032,MATCH($A638&amp;Keys!$C$54&amp;Keys!$C$56&amp;Keys!$C$54&amp;$B638,Raw_BFPIaE!$H$9:$H$3032,0)))</f>
        <v>0</v>
      </c>
      <c r="R638" s="10">
        <f>IF($E638=Keys!$C$60,Keys!$C$51,INDEX(Raw_BFPIaE!$G$9:$G$3032,MATCH($A638&amp;Keys!$C$54&amp;Keys!$C$57&amp;Keys!$C$54&amp;$B638,Raw_BFPIaE!$H$9:$H$3032,0)))</f>
        <v>0</v>
      </c>
      <c r="S638" s="11">
        <f>IF(($P638+$Q638-$R638+MAX(Keys!$C$51,$R638-$Q638))&gt;Keys!$C$51,MIN(Keys!$C$52,MAX(Keys!$C$51,$R638-$Q638)/($P638+$Q638-$R638+MAX(Keys!$C$51,$R638-$Q638))),Keys!$C$51)</f>
        <v>0</v>
      </c>
      <c r="T638">
        <f>IF(AND($I638&gt;$H638,ABS($L638-$G638)&gt;MAX(Keys!$C$62,ABS($G638)*Keys!$C$63)),1,0)</f>
        <v>0</v>
      </c>
      <c r="U638">
        <f>IF(OR($N638&lt;Keys!$C$51,$N638&gt;Keys!$C$52),1,0)</f>
        <v>0</v>
      </c>
      <c r="V638">
        <f>IF(AND($E638=Keys!$C$60,$N638&lt;&gt;Keys!$C$51),1,0)</f>
        <v>0</v>
      </c>
      <c r="W638">
        <f>IF($L638&gt;Keys!$C$51,IF($K638/$L638&gt;Keys!$C$52,1,0),0)</f>
        <v>0</v>
      </c>
      <c r="X638" s="11">
        <f t="shared" si="39"/>
        <v>0</v>
      </c>
    </row>
    <row r="639" spans="1:24" x14ac:dyDescent="0.25">
      <c r="A639" t="s">
        <v>143</v>
      </c>
      <c r="B639" t="s">
        <v>77</v>
      </c>
      <c r="C639">
        <f>VLOOKUP($B639,Keys!$F$2:$I$22,2,FALSE)</f>
        <v>0</v>
      </c>
      <c r="D639">
        <f>VLOOKUP($B639,Keys!$F$2:$I$22,3,FALSE)</f>
        <v>0</v>
      </c>
      <c r="E639" t="str">
        <f>VLOOKUP($B639,Keys!$F$2:$I$22,4,FALSE)</f>
        <v>zero</v>
      </c>
      <c r="F639" t="str">
        <f>$A639&amp;Keys!$C$54&amp;$B639</f>
        <v>NV|wind (is not a fuel)</v>
      </c>
      <c r="G639" s="10">
        <f>IF($E639=Keys!$C$60,Keys!$C$51,INDEX(Balanced_2025!$D$9:$D$3032,MATCH($A639&amp;Keys!$C$54&amp;Keys!$C$55&amp;Keys!$C$54&amp;$C639,Balanced_2025!$E$9:$E$3032,0)))</f>
        <v>0</v>
      </c>
      <c r="H639" s="10">
        <f>IF($E639=Keys!$C$60,Keys!$C$51,INDEX(Balanced_2025!$D$9:$D$3032,MATCH($A639&amp;Keys!$C$54&amp;Keys!$C$56&amp;Keys!$C$54&amp;$C639,Balanced_2025!$E$9:$E$3032,0)))</f>
        <v>0</v>
      </c>
      <c r="I639" s="10">
        <f>IF($E639=Keys!$C$60,Keys!$C$51,INDEX(Balanced_2025!$D$9:$D$3032,MATCH($A639&amp;Keys!$C$54&amp;Keys!$C$57&amp;Keys!$C$54&amp;$C639,Balanced_2025!$E$9:$E$3032,0)))</f>
        <v>0</v>
      </c>
      <c r="J639" s="10">
        <f t="shared" si="36"/>
        <v>0</v>
      </c>
      <c r="K639" s="10">
        <f>MAX(Keys!$C$51,$I639-$H639)</f>
        <v>0</v>
      </c>
      <c r="L639" s="10">
        <f t="shared" si="37"/>
        <v>0</v>
      </c>
      <c r="M639" s="11">
        <f>IF($L639&gt;Keys!$C$51,MIN(Keys!$C$52,$K639/$L639),Keys!$C$51)</f>
        <v>0</v>
      </c>
      <c r="N639" s="11">
        <f>IF($E639=Keys!$C$60,Keys!$C$51,IF($E639=Keys!$C$59,$D639,$M639))</f>
        <v>0</v>
      </c>
      <c r="O639">
        <f t="shared" si="38"/>
        <v>0</v>
      </c>
      <c r="P639" s="10">
        <f>IF($E639=Keys!$C$60,Keys!$C$51,INDEX(Raw_BFPIaE!$G$9:$G$3032,MATCH($A639&amp;Keys!$C$54&amp;Keys!$C$55&amp;Keys!$C$54&amp;$B639,Raw_BFPIaE!$H$9:$H$3032,0)))</f>
        <v>0</v>
      </c>
      <c r="Q639" s="10">
        <f>IF($E639=Keys!$C$60,Keys!$C$51,INDEX(Raw_BFPIaE!$G$9:$G$3032,MATCH($A639&amp;Keys!$C$54&amp;Keys!$C$56&amp;Keys!$C$54&amp;$B639,Raw_BFPIaE!$H$9:$H$3032,0)))</f>
        <v>0</v>
      </c>
      <c r="R639" s="10">
        <f>IF($E639=Keys!$C$60,Keys!$C$51,INDEX(Raw_BFPIaE!$G$9:$G$3032,MATCH($A639&amp;Keys!$C$54&amp;Keys!$C$57&amp;Keys!$C$54&amp;$B639,Raw_BFPIaE!$H$9:$H$3032,0)))</f>
        <v>0</v>
      </c>
      <c r="S639" s="11">
        <f>IF(($P639+$Q639-$R639+MAX(Keys!$C$51,$R639-$Q639))&gt;Keys!$C$51,MIN(Keys!$C$52,MAX(Keys!$C$51,$R639-$Q639)/($P639+$Q639-$R639+MAX(Keys!$C$51,$R639-$Q639))),Keys!$C$51)</f>
        <v>0</v>
      </c>
      <c r="T639">
        <f>IF(AND($I639&gt;$H639,ABS($L639-$G639)&gt;MAX(Keys!$C$62,ABS($G639)*Keys!$C$63)),1,0)</f>
        <v>0</v>
      </c>
      <c r="U639">
        <f>IF(OR($N639&lt;Keys!$C$51,$N639&gt;Keys!$C$52),1,0)</f>
        <v>0</v>
      </c>
      <c r="V639">
        <f>IF(AND($E639=Keys!$C$60,$N639&lt;&gt;Keys!$C$51),1,0)</f>
        <v>0</v>
      </c>
      <c r="W639">
        <f>IF($L639&gt;Keys!$C$51,IF($K639/$L639&gt;Keys!$C$52,1,0),0)</f>
        <v>0</v>
      </c>
      <c r="X639" s="11">
        <f t="shared" si="39"/>
        <v>0</v>
      </c>
    </row>
    <row r="640" spans="1:24" x14ac:dyDescent="0.25">
      <c r="A640" t="s">
        <v>143</v>
      </c>
      <c r="B640" t="s">
        <v>80</v>
      </c>
      <c r="C640">
        <f>VLOOKUP($B640,Keys!$F$2:$I$22,2,FALSE)</f>
        <v>0</v>
      </c>
      <c r="D640">
        <f>VLOOKUP($B640,Keys!$F$2:$I$22,3,FALSE)</f>
        <v>0</v>
      </c>
      <c r="E640" t="str">
        <f>VLOOKUP($B640,Keys!$F$2:$I$22,4,FALSE)</f>
        <v>zero</v>
      </c>
      <c r="F640" t="str">
        <f>$A640&amp;Keys!$C$54&amp;$B640</f>
        <v>NV|solar (is not a fuel)</v>
      </c>
      <c r="G640" s="10">
        <f>IF($E640=Keys!$C$60,Keys!$C$51,INDEX(Balanced_2025!$D$9:$D$3032,MATCH($A640&amp;Keys!$C$54&amp;Keys!$C$55&amp;Keys!$C$54&amp;$C640,Balanced_2025!$E$9:$E$3032,0)))</f>
        <v>0</v>
      </c>
      <c r="H640" s="10">
        <f>IF($E640=Keys!$C$60,Keys!$C$51,INDEX(Balanced_2025!$D$9:$D$3032,MATCH($A640&amp;Keys!$C$54&amp;Keys!$C$56&amp;Keys!$C$54&amp;$C640,Balanced_2025!$E$9:$E$3032,0)))</f>
        <v>0</v>
      </c>
      <c r="I640" s="10">
        <f>IF($E640=Keys!$C$60,Keys!$C$51,INDEX(Balanced_2025!$D$9:$D$3032,MATCH($A640&amp;Keys!$C$54&amp;Keys!$C$57&amp;Keys!$C$54&amp;$C640,Balanced_2025!$E$9:$E$3032,0)))</f>
        <v>0</v>
      </c>
      <c r="J640" s="10">
        <f t="shared" si="36"/>
        <v>0</v>
      </c>
      <c r="K640" s="10">
        <f>MAX(Keys!$C$51,$I640-$H640)</f>
        <v>0</v>
      </c>
      <c r="L640" s="10">
        <f t="shared" si="37"/>
        <v>0</v>
      </c>
      <c r="M640" s="11">
        <f>IF($L640&gt;Keys!$C$51,MIN(Keys!$C$52,$K640/$L640),Keys!$C$51)</f>
        <v>0</v>
      </c>
      <c r="N640" s="11">
        <f>IF($E640=Keys!$C$60,Keys!$C$51,IF($E640=Keys!$C$59,$D640,$M640))</f>
        <v>0</v>
      </c>
      <c r="O640">
        <f t="shared" si="38"/>
        <v>0</v>
      </c>
      <c r="P640" s="10">
        <f>IF($E640=Keys!$C$60,Keys!$C$51,INDEX(Raw_BFPIaE!$G$9:$G$3032,MATCH($A640&amp;Keys!$C$54&amp;Keys!$C$55&amp;Keys!$C$54&amp;$B640,Raw_BFPIaE!$H$9:$H$3032,0)))</f>
        <v>0</v>
      </c>
      <c r="Q640" s="10">
        <f>IF($E640=Keys!$C$60,Keys!$C$51,INDEX(Raw_BFPIaE!$G$9:$G$3032,MATCH($A640&amp;Keys!$C$54&amp;Keys!$C$56&amp;Keys!$C$54&amp;$B640,Raw_BFPIaE!$H$9:$H$3032,0)))</f>
        <v>0</v>
      </c>
      <c r="R640" s="10">
        <f>IF($E640=Keys!$C$60,Keys!$C$51,INDEX(Raw_BFPIaE!$G$9:$G$3032,MATCH($A640&amp;Keys!$C$54&amp;Keys!$C$57&amp;Keys!$C$54&amp;$B640,Raw_BFPIaE!$H$9:$H$3032,0)))</f>
        <v>0</v>
      </c>
      <c r="S640" s="11">
        <f>IF(($P640+$Q640-$R640+MAX(Keys!$C$51,$R640-$Q640))&gt;Keys!$C$51,MIN(Keys!$C$52,MAX(Keys!$C$51,$R640-$Q640)/($P640+$Q640-$R640+MAX(Keys!$C$51,$R640-$Q640))),Keys!$C$51)</f>
        <v>0</v>
      </c>
      <c r="T640">
        <f>IF(AND($I640&gt;$H640,ABS($L640-$G640)&gt;MAX(Keys!$C$62,ABS($G640)*Keys!$C$63)),1,0)</f>
        <v>0</v>
      </c>
      <c r="U640">
        <f>IF(OR($N640&lt;Keys!$C$51,$N640&gt;Keys!$C$52),1,0)</f>
        <v>0</v>
      </c>
      <c r="V640">
        <f>IF(AND($E640=Keys!$C$60,$N640&lt;&gt;Keys!$C$51),1,0)</f>
        <v>0</v>
      </c>
      <c r="W640">
        <f>IF($L640&gt;Keys!$C$51,IF($K640/$L640&gt;Keys!$C$52,1,0),0)</f>
        <v>0</v>
      </c>
      <c r="X640" s="11">
        <f t="shared" si="39"/>
        <v>0</v>
      </c>
    </row>
    <row r="641" spans="1:24" x14ac:dyDescent="0.25">
      <c r="A641" t="s">
        <v>143</v>
      </c>
      <c r="B641" t="s">
        <v>82</v>
      </c>
      <c r="C641" t="str">
        <f>VLOOKUP($B641,Keys!$F$2:$I$22,2,FALSE)</f>
        <v>biomass</v>
      </c>
      <c r="D641">
        <f>VLOOKUP($B641,Keys!$F$2:$I$22,3,FALSE)</f>
        <v>0.74947425499999998</v>
      </c>
      <c r="E641" t="str">
        <f>VLOOKUP($B641,Keys!$F$2:$I$22,4,FALSE)</f>
        <v>rule</v>
      </c>
      <c r="F641" t="str">
        <f>$A641&amp;Keys!$C$54&amp;$B641</f>
        <v>NV|biomass</v>
      </c>
      <c r="G641" s="10">
        <f>IF($E641=Keys!$C$60,Keys!$C$51,INDEX(Balanced_2025!$D$9:$D$3032,MATCH($A641&amp;Keys!$C$54&amp;Keys!$C$55&amp;Keys!$C$54&amp;$C641,Balanced_2025!$E$9:$E$3032,0)))</f>
        <v>0</v>
      </c>
      <c r="H641" s="10">
        <f>IF($E641=Keys!$C$60,Keys!$C$51,INDEX(Balanced_2025!$D$9:$D$3032,MATCH($A641&amp;Keys!$C$54&amp;Keys!$C$56&amp;Keys!$C$54&amp;$C641,Balanced_2025!$E$9:$E$3032,0)))</f>
        <v>3540740000000</v>
      </c>
      <c r="I641" s="10">
        <f>IF($E641=Keys!$C$60,Keys!$C$51,INDEX(Balanced_2025!$D$9:$D$3032,MATCH($A641&amp;Keys!$C$54&amp;Keys!$C$57&amp;Keys!$C$54&amp;$C641,Balanced_2025!$E$9:$E$3032,0)))</f>
        <v>0</v>
      </c>
      <c r="J641" s="10">
        <f t="shared" si="36"/>
        <v>3540740000000</v>
      </c>
      <c r="K641" s="10">
        <f>MAX(Keys!$C$51,$I641-$H641)</f>
        <v>0</v>
      </c>
      <c r="L641" s="10">
        <f t="shared" si="37"/>
        <v>3540740000000</v>
      </c>
      <c r="M641" s="11">
        <f>IF($L641&gt;Keys!$C$51,MIN(Keys!$C$52,$K641/$L641),Keys!$C$51)</f>
        <v>0</v>
      </c>
      <c r="N641" s="11">
        <f>IF($E641=Keys!$C$60,Keys!$C$51,IF($E641=Keys!$C$59,$D641,$M641))</f>
        <v>0</v>
      </c>
      <c r="O641">
        <f t="shared" si="38"/>
        <v>1</v>
      </c>
      <c r="P641" s="10">
        <f>IF($E641=Keys!$C$60,Keys!$C$51,INDEX(Raw_BFPIaE!$G$9:$G$3032,MATCH($A641&amp;Keys!$C$54&amp;Keys!$C$55&amp;Keys!$C$54&amp;$B641,Raw_BFPIaE!$H$9:$H$3032,0)))</f>
        <v>0</v>
      </c>
      <c r="Q641" s="10">
        <f>IF($E641=Keys!$C$60,Keys!$C$51,INDEX(Raw_BFPIaE!$G$9:$G$3032,MATCH($A641&amp;Keys!$C$54&amp;Keys!$C$56&amp;Keys!$C$54&amp;$B641,Raw_BFPIaE!$H$9:$H$3032,0)))</f>
        <v>2301003333333.3335</v>
      </c>
      <c r="R641" s="10">
        <f>IF($E641=Keys!$C$60,Keys!$C$51,INDEX(Raw_BFPIaE!$G$9:$G$3032,MATCH($A641&amp;Keys!$C$54&amp;Keys!$C$57&amp;Keys!$C$54&amp;$B641,Raw_BFPIaE!$H$9:$H$3032,0)))</f>
        <v>0</v>
      </c>
      <c r="S641" s="11">
        <f>IF(($P641+$Q641-$R641+MAX(Keys!$C$51,$R641-$Q641))&gt;Keys!$C$51,MIN(Keys!$C$52,MAX(Keys!$C$51,$R641-$Q641)/($P641+$Q641-$R641+MAX(Keys!$C$51,$R641-$Q641))),Keys!$C$51)</f>
        <v>0</v>
      </c>
      <c r="T641">
        <f>IF(AND($I641&gt;$H641,ABS($L641-$G641)&gt;MAX(Keys!$C$62,ABS($G641)*Keys!$C$63)),1,0)</f>
        <v>0</v>
      </c>
      <c r="U641">
        <f>IF(OR($N641&lt;Keys!$C$51,$N641&gt;Keys!$C$52),1,0)</f>
        <v>0</v>
      </c>
      <c r="V641">
        <f>IF(AND($E641=Keys!$C$60,$N641&lt;&gt;Keys!$C$51),1,0)</f>
        <v>0</v>
      </c>
      <c r="W641">
        <f>IF($L641&gt;Keys!$C$51,IF($K641/$L641&gt;Keys!$C$52,1,0),0)</f>
        <v>0</v>
      </c>
      <c r="X641" s="11">
        <f t="shared" si="39"/>
        <v>0</v>
      </c>
    </row>
    <row r="642" spans="1:24" x14ac:dyDescent="0.25">
      <c r="A642" t="s">
        <v>143</v>
      </c>
      <c r="B642" t="s">
        <v>85</v>
      </c>
      <c r="C642" t="str">
        <f>VLOOKUP($B642,Keys!$F$2:$I$22,2,FALSE)</f>
        <v>petroleum gasoline</v>
      </c>
      <c r="D642">
        <f>VLOOKUP($B642,Keys!$F$2:$I$22,3,FALSE)</f>
        <v>7.5004052000000002E-2</v>
      </c>
      <c r="E642" t="str">
        <f>VLOOKUP($B642,Keys!$F$2:$I$22,4,FALSE)</f>
        <v>rule</v>
      </c>
      <c r="F642" t="str">
        <f>$A642&amp;Keys!$C$54&amp;$B642</f>
        <v>NV|petroleum gasoline</v>
      </c>
      <c r="G642" s="10">
        <f>IF($E642=Keys!$C$60,Keys!$C$51,INDEX(Balanced_2025!$D$9:$D$3032,MATCH($A642&amp;Keys!$C$54&amp;Keys!$C$55&amp;Keys!$C$54&amp;$C642,Balanced_2025!$E$9:$E$3032,0)))</f>
        <v>1941000000000</v>
      </c>
      <c r="H642" s="10">
        <f>IF($E642=Keys!$C$60,Keys!$C$51,INDEX(Balanced_2025!$D$9:$D$3032,MATCH($A642&amp;Keys!$C$54&amp;Keys!$C$56&amp;Keys!$C$54&amp;$C642,Balanced_2025!$E$9:$E$3032,0)))</f>
        <v>121921000000000</v>
      </c>
      <c r="I642" s="10">
        <f>IF($E642=Keys!$C$60,Keys!$C$51,INDEX(Balanced_2025!$D$9:$D$3032,MATCH($A642&amp;Keys!$C$54&amp;Keys!$C$57&amp;Keys!$C$54&amp;$C642,Balanced_2025!$E$9:$E$3032,0)))</f>
        <v>0</v>
      </c>
      <c r="J642" s="10">
        <f t="shared" si="36"/>
        <v>123862000000000</v>
      </c>
      <c r="K642" s="10">
        <f>MAX(Keys!$C$51,$I642-$H642)</f>
        <v>0</v>
      </c>
      <c r="L642" s="10">
        <f t="shared" si="37"/>
        <v>123862000000000</v>
      </c>
      <c r="M642" s="11">
        <f>IF($L642&gt;Keys!$C$51,MIN(Keys!$C$52,$K642/$L642),Keys!$C$51)</f>
        <v>0</v>
      </c>
      <c r="N642" s="11">
        <f>IF($E642=Keys!$C$60,Keys!$C$51,IF($E642=Keys!$C$59,$D642,$M642))</f>
        <v>0</v>
      </c>
      <c r="O642">
        <f t="shared" si="38"/>
        <v>1</v>
      </c>
      <c r="P642" s="10">
        <f>IF($E642=Keys!$C$60,Keys!$C$51,INDEX(Raw_BFPIaE!$G$9:$G$3032,MATCH($A642&amp;Keys!$C$54&amp;Keys!$C$55&amp;Keys!$C$54&amp;$B642,Raw_BFPIaE!$H$9:$H$3032,0)))</f>
        <v>1925316666666.6667</v>
      </c>
      <c r="Q642" s="10">
        <f>IF($E642=Keys!$C$60,Keys!$C$51,INDEX(Raw_BFPIaE!$G$9:$G$3032,MATCH($A642&amp;Keys!$C$54&amp;Keys!$C$56&amp;Keys!$C$54&amp;$B642,Raw_BFPIaE!$H$9:$H$3032,0)))</f>
        <v>76761666666666.672</v>
      </c>
      <c r="R642" s="10">
        <f>IF($E642=Keys!$C$60,Keys!$C$51,INDEX(Raw_BFPIaE!$G$9:$G$3032,MATCH($A642&amp;Keys!$C$54&amp;Keys!$C$57&amp;Keys!$C$54&amp;$B642,Raw_BFPIaE!$H$9:$H$3032,0)))</f>
        <v>0</v>
      </c>
      <c r="S642" s="11">
        <f>IF(($P642+$Q642-$R642+MAX(Keys!$C$51,$R642-$Q642))&gt;Keys!$C$51,MIN(Keys!$C$52,MAX(Keys!$C$51,$R642-$Q642)/($P642+$Q642-$R642+MAX(Keys!$C$51,$R642-$Q642))),Keys!$C$51)</f>
        <v>0</v>
      </c>
      <c r="T642">
        <f>IF(AND($I642&gt;$H642,ABS($L642-$G642)&gt;MAX(Keys!$C$62,ABS($G642)*Keys!$C$63)),1,0)</f>
        <v>0</v>
      </c>
      <c r="U642">
        <f>IF(OR($N642&lt;Keys!$C$51,$N642&gt;Keys!$C$52),1,0)</f>
        <v>0</v>
      </c>
      <c r="V642">
        <f>IF(AND($E642=Keys!$C$60,$N642&lt;&gt;Keys!$C$51),1,0)</f>
        <v>0</v>
      </c>
      <c r="W642">
        <f>IF($L642&gt;Keys!$C$51,IF($K642/$L642&gt;Keys!$C$52,1,0),0)</f>
        <v>0</v>
      </c>
      <c r="X642" s="11">
        <f t="shared" si="39"/>
        <v>0</v>
      </c>
    </row>
    <row r="643" spans="1:24" x14ac:dyDescent="0.25">
      <c r="A643" t="s">
        <v>143</v>
      </c>
      <c r="B643" t="s">
        <v>88</v>
      </c>
      <c r="C643" t="str">
        <f>VLOOKUP($B643,Keys!$F$2:$I$22,2,FALSE)</f>
        <v>petroleum diesel</v>
      </c>
      <c r="D643">
        <f>VLOOKUP($B643,Keys!$F$2:$I$22,3,FALSE)</f>
        <v>0.26691051799999999</v>
      </c>
      <c r="E643" t="str">
        <f>VLOOKUP($B643,Keys!$F$2:$I$22,4,FALSE)</f>
        <v>rule</v>
      </c>
      <c r="F643" t="str">
        <f>$A643&amp;Keys!$C$54&amp;$B643</f>
        <v>NV|petroleum diesel</v>
      </c>
      <c r="G643" s="10">
        <f>IF($E643=Keys!$C$60,Keys!$C$51,INDEX(Balanced_2025!$D$9:$D$3032,MATCH($A643&amp;Keys!$C$54&amp;Keys!$C$55&amp;Keys!$C$54&amp;$C643,Balanced_2025!$E$9:$E$3032,0)))</f>
        <v>1148130000000</v>
      </c>
      <c r="H643" s="10">
        <f>IF($E643=Keys!$C$60,Keys!$C$51,INDEX(Balanced_2025!$D$9:$D$3032,MATCH($A643&amp;Keys!$C$54&amp;Keys!$C$56&amp;Keys!$C$54&amp;$C643,Balanced_2025!$E$9:$E$3032,0)))</f>
        <v>75873700000000</v>
      </c>
      <c r="I643" s="10">
        <f>IF($E643=Keys!$C$60,Keys!$C$51,INDEX(Balanced_2025!$D$9:$D$3032,MATCH($A643&amp;Keys!$C$54&amp;Keys!$C$57&amp;Keys!$C$54&amp;$C643,Balanced_2025!$E$9:$E$3032,0)))</f>
        <v>0</v>
      </c>
      <c r="J643" s="10">
        <f t="shared" si="36"/>
        <v>77021830000000</v>
      </c>
      <c r="K643" s="10">
        <f>MAX(Keys!$C$51,$I643-$H643)</f>
        <v>0</v>
      </c>
      <c r="L643" s="10">
        <f t="shared" si="37"/>
        <v>77021830000000</v>
      </c>
      <c r="M643" s="11">
        <f>IF($L643&gt;Keys!$C$51,MIN(Keys!$C$52,$K643/$L643),Keys!$C$51)</f>
        <v>0</v>
      </c>
      <c r="N643" s="11">
        <f>IF($E643=Keys!$C$60,Keys!$C$51,IF($E643=Keys!$C$59,$D643,$M643))</f>
        <v>0</v>
      </c>
      <c r="O643">
        <f t="shared" si="38"/>
        <v>1</v>
      </c>
      <c r="P643" s="10">
        <f>IF($E643=Keys!$C$60,Keys!$C$51,INDEX(Raw_BFPIaE!$G$9:$G$3032,MATCH($A643&amp;Keys!$C$54&amp;Keys!$C$55&amp;Keys!$C$54&amp;$B643,Raw_BFPIaE!$H$9:$H$3032,0)))</f>
        <v>1138853333333.3333</v>
      </c>
      <c r="Q643" s="10">
        <f>IF($E643=Keys!$C$60,Keys!$C$51,INDEX(Raw_BFPIaE!$G$9:$G$3032,MATCH($A643&amp;Keys!$C$54&amp;Keys!$C$56&amp;Keys!$C$54&amp;$B643,Raw_BFPIaE!$H$9:$H$3032,0)))</f>
        <v>49862500000000</v>
      </c>
      <c r="R643" s="10">
        <f>IF($E643=Keys!$C$60,Keys!$C$51,INDEX(Raw_BFPIaE!$G$9:$G$3032,MATCH($A643&amp;Keys!$C$54&amp;Keys!$C$57&amp;Keys!$C$54&amp;$B643,Raw_BFPIaE!$H$9:$H$3032,0)))</f>
        <v>0</v>
      </c>
      <c r="S643" s="11">
        <f>IF(($P643+$Q643-$R643+MAX(Keys!$C$51,$R643-$Q643))&gt;Keys!$C$51,MIN(Keys!$C$52,MAX(Keys!$C$51,$R643-$Q643)/($P643+$Q643-$R643+MAX(Keys!$C$51,$R643-$Q643))),Keys!$C$51)</f>
        <v>0</v>
      </c>
      <c r="T643">
        <f>IF(AND($I643&gt;$H643,ABS($L643-$G643)&gt;MAX(Keys!$C$62,ABS($G643)*Keys!$C$63)),1,0)</f>
        <v>0</v>
      </c>
      <c r="U643">
        <f>IF(OR($N643&lt;Keys!$C$51,$N643&gt;Keys!$C$52),1,0)</f>
        <v>0</v>
      </c>
      <c r="V643">
        <f>IF(AND($E643=Keys!$C$60,$N643&lt;&gt;Keys!$C$51),1,0)</f>
        <v>0</v>
      </c>
      <c r="W643">
        <f>IF($L643&gt;Keys!$C$51,IF($K643/$L643&gt;Keys!$C$52,1,0),0)</f>
        <v>0</v>
      </c>
      <c r="X643" s="11">
        <f t="shared" si="39"/>
        <v>0</v>
      </c>
    </row>
    <row r="644" spans="1:24" x14ac:dyDescent="0.25">
      <c r="A644" t="s">
        <v>143</v>
      </c>
      <c r="B644" t="s">
        <v>91</v>
      </c>
      <c r="C644" t="str">
        <f>VLOOKUP($B644,Keys!$F$2:$I$22,2,FALSE)</f>
        <v>biofuel gasoline</v>
      </c>
      <c r="D644">
        <f>VLOOKUP($B644,Keys!$F$2:$I$22,3,FALSE)</f>
        <v>8.7213884000000005E-2</v>
      </c>
      <c r="E644" t="str">
        <f>VLOOKUP($B644,Keys!$F$2:$I$22,4,FALSE)</f>
        <v>rule</v>
      </c>
      <c r="F644" t="str">
        <f>$A644&amp;Keys!$C$54&amp;$B644</f>
        <v>NV|biofuel gasoline</v>
      </c>
      <c r="G644" s="10">
        <f>IF($E644=Keys!$C$60,Keys!$C$51,INDEX(Balanced_2025!$D$9:$D$3032,MATCH($A644&amp;Keys!$C$54&amp;Keys!$C$55&amp;Keys!$C$54&amp;$C644,Balanced_2025!$E$9:$E$3032,0)))</f>
        <v>0</v>
      </c>
      <c r="H644" s="10">
        <f>IF($E644=Keys!$C$60,Keys!$C$51,INDEX(Balanced_2025!$D$9:$D$3032,MATCH($A644&amp;Keys!$C$54&amp;Keys!$C$56&amp;Keys!$C$54&amp;$C644,Balanced_2025!$E$9:$E$3032,0)))</f>
        <v>9112170000000</v>
      </c>
      <c r="I644" s="10">
        <f>IF($E644=Keys!$C$60,Keys!$C$51,INDEX(Balanced_2025!$D$9:$D$3032,MATCH($A644&amp;Keys!$C$54&amp;Keys!$C$57&amp;Keys!$C$54&amp;$C644,Balanced_2025!$E$9:$E$3032,0)))</f>
        <v>0</v>
      </c>
      <c r="J644" s="10">
        <f t="shared" ref="J644:J707" si="40">$G644+$H644-$I644</f>
        <v>9112170000000</v>
      </c>
      <c r="K644" s="10">
        <f>MAX(Keys!$C$51,$I644-$H644)</f>
        <v>0</v>
      </c>
      <c r="L644" s="10">
        <f t="shared" ref="L644:L707" si="41">$K644+$J644</f>
        <v>9112170000000</v>
      </c>
      <c r="M644" s="11">
        <f>IF($L644&gt;Keys!$C$51,MIN(Keys!$C$52,$K644/$L644),Keys!$C$51)</f>
        <v>0</v>
      </c>
      <c r="N644" s="11">
        <f>IF($E644=Keys!$C$60,Keys!$C$51,IF($E644=Keys!$C$59,$D644,$M644))</f>
        <v>0</v>
      </c>
      <c r="O644">
        <f t="shared" ref="O644:O707" si="42">IF($N644&lt;&gt;$D644,1,0)</f>
        <v>1</v>
      </c>
      <c r="P644" s="10">
        <f>IF($E644=Keys!$C$60,Keys!$C$51,INDEX(Raw_BFPIaE!$G$9:$G$3032,MATCH($A644&amp;Keys!$C$54&amp;Keys!$C$55&amp;Keys!$C$54&amp;$B644,Raw_BFPIaE!$H$9:$H$3032,0)))</f>
        <v>0</v>
      </c>
      <c r="Q644" s="10">
        <f>IF($E644=Keys!$C$60,Keys!$C$51,INDEX(Raw_BFPIaE!$G$9:$G$3032,MATCH($A644&amp;Keys!$C$54&amp;Keys!$C$56&amp;Keys!$C$54&amp;$B644,Raw_BFPIaE!$H$9:$H$3032,0)))</f>
        <v>5740226666666.667</v>
      </c>
      <c r="R644" s="10">
        <f>IF($E644=Keys!$C$60,Keys!$C$51,INDEX(Raw_BFPIaE!$G$9:$G$3032,MATCH($A644&amp;Keys!$C$54&amp;Keys!$C$57&amp;Keys!$C$54&amp;$B644,Raw_BFPIaE!$H$9:$H$3032,0)))</f>
        <v>0</v>
      </c>
      <c r="S644" s="11">
        <f>IF(($P644+$Q644-$R644+MAX(Keys!$C$51,$R644-$Q644))&gt;Keys!$C$51,MIN(Keys!$C$52,MAX(Keys!$C$51,$R644-$Q644)/($P644+$Q644-$R644+MAX(Keys!$C$51,$R644-$Q644))),Keys!$C$51)</f>
        <v>0</v>
      </c>
      <c r="T644">
        <f>IF(AND($I644&gt;$H644,ABS($L644-$G644)&gt;MAX(Keys!$C$62,ABS($G644)*Keys!$C$63)),1,0)</f>
        <v>0</v>
      </c>
      <c r="U644">
        <f>IF(OR($N644&lt;Keys!$C$51,$N644&gt;Keys!$C$52),1,0)</f>
        <v>0</v>
      </c>
      <c r="V644">
        <f>IF(AND($E644=Keys!$C$60,$N644&lt;&gt;Keys!$C$51),1,0)</f>
        <v>0</v>
      </c>
      <c r="W644">
        <f>IF($L644&gt;Keys!$C$51,IF($K644/$L644&gt;Keys!$C$52,1,0),0)</f>
        <v>0</v>
      </c>
      <c r="X644" s="11">
        <f t="shared" ref="X644:X707" si="43">ABS($M644-$S644)</f>
        <v>0</v>
      </c>
    </row>
    <row r="645" spans="1:24" x14ac:dyDescent="0.25">
      <c r="A645" t="s">
        <v>143</v>
      </c>
      <c r="B645" t="s">
        <v>94</v>
      </c>
      <c r="C645" t="str">
        <f>VLOOKUP($B645,Keys!$F$2:$I$22,2,FALSE)</f>
        <v>biofuel diesel</v>
      </c>
      <c r="D645">
        <f>VLOOKUP($B645,Keys!$F$2:$I$22,3,FALSE)</f>
        <v>5.8642381E-2</v>
      </c>
      <c r="E645" t="str">
        <f>VLOOKUP($B645,Keys!$F$2:$I$22,4,FALSE)</f>
        <v>rule</v>
      </c>
      <c r="F645" t="str">
        <f>$A645&amp;Keys!$C$54&amp;$B645</f>
        <v>NV|biofuel diesel</v>
      </c>
      <c r="G645" s="10">
        <f>IF($E645=Keys!$C$60,Keys!$C$51,INDEX(Balanced_2025!$D$9:$D$3032,MATCH($A645&amp;Keys!$C$54&amp;Keys!$C$55&amp;Keys!$C$54&amp;$C645,Balanced_2025!$E$9:$E$3032,0)))</f>
        <v>0</v>
      </c>
      <c r="H645" s="10">
        <f>IF($E645=Keys!$C$60,Keys!$C$51,INDEX(Balanced_2025!$D$9:$D$3032,MATCH($A645&amp;Keys!$C$54&amp;Keys!$C$56&amp;Keys!$C$54&amp;$C645,Balanced_2025!$E$9:$E$3032,0)))</f>
        <v>997819000000</v>
      </c>
      <c r="I645" s="10">
        <f>IF($E645=Keys!$C$60,Keys!$C$51,INDEX(Balanced_2025!$D$9:$D$3032,MATCH($A645&amp;Keys!$C$54&amp;Keys!$C$57&amp;Keys!$C$54&amp;$C645,Balanced_2025!$E$9:$E$3032,0)))</f>
        <v>0</v>
      </c>
      <c r="J645" s="10">
        <f t="shared" si="40"/>
        <v>997819000000</v>
      </c>
      <c r="K645" s="10">
        <f>MAX(Keys!$C$51,$I645-$H645)</f>
        <v>0</v>
      </c>
      <c r="L645" s="10">
        <f t="shared" si="41"/>
        <v>997819000000</v>
      </c>
      <c r="M645" s="11">
        <f>IF($L645&gt;Keys!$C$51,MIN(Keys!$C$52,$K645/$L645),Keys!$C$51)</f>
        <v>0</v>
      </c>
      <c r="N645" s="11">
        <f>IF($E645=Keys!$C$60,Keys!$C$51,IF($E645=Keys!$C$59,$D645,$M645))</f>
        <v>0</v>
      </c>
      <c r="O645">
        <f t="shared" si="42"/>
        <v>1</v>
      </c>
      <c r="P645" s="10">
        <f>IF($E645=Keys!$C$60,Keys!$C$51,INDEX(Raw_BFPIaE!$G$9:$G$3032,MATCH($A645&amp;Keys!$C$54&amp;Keys!$C$55&amp;Keys!$C$54&amp;$B645,Raw_BFPIaE!$H$9:$H$3032,0)))</f>
        <v>0</v>
      </c>
      <c r="Q645" s="10">
        <f>IF($E645=Keys!$C$60,Keys!$C$51,INDEX(Raw_BFPIaE!$G$9:$G$3032,MATCH($A645&amp;Keys!$C$54&amp;Keys!$C$56&amp;Keys!$C$54&amp;$B645,Raw_BFPIaE!$H$9:$H$3032,0)))</f>
        <v>652031000000</v>
      </c>
      <c r="R645" s="10">
        <f>IF($E645=Keys!$C$60,Keys!$C$51,INDEX(Raw_BFPIaE!$G$9:$G$3032,MATCH($A645&amp;Keys!$C$54&amp;Keys!$C$57&amp;Keys!$C$54&amp;$B645,Raw_BFPIaE!$H$9:$H$3032,0)))</f>
        <v>0</v>
      </c>
      <c r="S645" s="11">
        <f>IF(($P645+$Q645-$R645+MAX(Keys!$C$51,$R645-$Q645))&gt;Keys!$C$51,MIN(Keys!$C$52,MAX(Keys!$C$51,$R645-$Q645)/($P645+$Q645-$R645+MAX(Keys!$C$51,$R645-$Q645))),Keys!$C$51)</f>
        <v>0</v>
      </c>
      <c r="T645">
        <f>IF(AND($I645&gt;$H645,ABS($L645-$G645)&gt;MAX(Keys!$C$62,ABS($G645)*Keys!$C$63)),1,0)</f>
        <v>0</v>
      </c>
      <c r="U645">
        <f>IF(OR($N645&lt;Keys!$C$51,$N645&gt;Keys!$C$52),1,0)</f>
        <v>0</v>
      </c>
      <c r="V645">
        <f>IF(AND($E645=Keys!$C$60,$N645&lt;&gt;Keys!$C$51),1,0)</f>
        <v>0</v>
      </c>
      <c r="W645">
        <f>IF($L645&gt;Keys!$C$51,IF($K645/$L645&gt;Keys!$C$52,1,0),0)</f>
        <v>0</v>
      </c>
      <c r="X645" s="11">
        <f t="shared" si="43"/>
        <v>0</v>
      </c>
    </row>
    <row r="646" spans="1:24" x14ac:dyDescent="0.25">
      <c r="A646" t="s">
        <v>143</v>
      </c>
      <c r="B646" t="s">
        <v>97</v>
      </c>
      <c r="C646" t="str">
        <f>VLOOKUP($B646,Keys!$F$2:$I$22,2,FALSE)</f>
        <v>jet fuel or kerosene</v>
      </c>
      <c r="D646">
        <f>VLOOKUP($B646,Keys!$F$2:$I$22,3,FALSE)</f>
        <v>0.10155994</v>
      </c>
      <c r="E646" t="str">
        <f>VLOOKUP($B646,Keys!$F$2:$I$22,4,FALSE)</f>
        <v>rule</v>
      </c>
      <c r="F646" t="str">
        <f>$A646&amp;Keys!$C$54&amp;$B646</f>
        <v>NV|jet fuel or kerosene</v>
      </c>
      <c r="G646" s="10">
        <f>IF($E646=Keys!$C$60,Keys!$C$51,INDEX(Balanced_2025!$D$9:$D$3032,MATCH($A646&amp;Keys!$C$54&amp;Keys!$C$55&amp;Keys!$C$54&amp;$C646,Balanced_2025!$E$9:$E$3032,0)))</f>
        <v>408712000000</v>
      </c>
      <c r="H646" s="10">
        <f>IF($E646=Keys!$C$60,Keys!$C$51,INDEX(Balanced_2025!$D$9:$D$3032,MATCH($A646&amp;Keys!$C$54&amp;Keys!$C$56&amp;Keys!$C$54&amp;$C646,Balanced_2025!$E$9:$E$3032,0)))</f>
        <v>77501900000000</v>
      </c>
      <c r="I646" s="10">
        <f>IF($E646=Keys!$C$60,Keys!$C$51,INDEX(Balanced_2025!$D$9:$D$3032,MATCH($A646&amp;Keys!$C$54&amp;Keys!$C$57&amp;Keys!$C$54&amp;$C646,Balanced_2025!$E$9:$E$3032,0)))</f>
        <v>0</v>
      </c>
      <c r="J646" s="10">
        <f t="shared" si="40"/>
        <v>77910612000000</v>
      </c>
      <c r="K646" s="10">
        <f>MAX(Keys!$C$51,$I646-$H646)</f>
        <v>0</v>
      </c>
      <c r="L646" s="10">
        <f t="shared" si="41"/>
        <v>77910612000000</v>
      </c>
      <c r="M646" s="11">
        <f>IF($L646&gt;Keys!$C$51,MIN(Keys!$C$52,$K646/$L646),Keys!$C$51)</f>
        <v>0</v>
      </c>
      <c r="N646" s="11">
        <f>IF($E646=Keys!$C$60,Keys!$C$51,IF($E646=Keys!$C$59,$D646,$M646))</f>
        <v>0</v>
      </c>
      <c r="O646">
        <f t="shared" si="42"/>
        <v>1</v>
      </c>
      <c r="P646" s="10">
        <f>IF($E646=Keys!$C$60,Keys!$C$51,INDEX(Raw_BFPIaE!$G$9:$G$3032,MATCH($A646&amp;Keys!$C$54&amp;Keys!$C$55&amp;Keys!$C$54&amp;$B646,Raw_BFPIaE!$H$9:$H$3032,0)))</f>
        <v>405409666666.66669</v>
      </c>
      <c r="Q646" s="10">
        <f>IF($E646=Keys!$C$60,Keys!$C$51,INDEX(Raw_BFPIaE!$G$9:$G$3032,MATCH($A646&amp;Keys!$C$54&amp;Keys!$C$56&amp;Keys!$C$54&amp;$B646,Raw_BFPIaE!$H$9:$H$3032,0)))</f>
        <v>52845233333333.336</v>
      </c>
      <c r="R646" s="10">
        <f>IF($E646=Keys!$C$60,Keys!$C$51,INDEX(Raw_BFPIaE!$G$9:$G$3032,MATCH($A646&amp;Keys!$C$54&amp;Keys!$C$57&amp;Keys!$C$54&amp;$B646,Raw_BFPIaE!$H$9:$H$3032,0)))</f>
        <v>0</v>
      </c>
      <c r="S646" s="11">
        <f>IF(($P646+$Q646-$R646+MAX(Keys!$C$51,$R646-$Q646))&gt;Keys!$C$51,MIN(Keys!$C$52,MAX(Keys!$C$51,$R646-$Q646)/($P646+$Q646-$R646+MAX(Keys!$C$51,$R646-$Q646))),Keys!$C$51)</f>
        <v>0</v>
      </c>
      <c r="T646">
        <f>IF(AND($I646&gt;$H646,ABS($L646-$G646)&gt;MAX(Keys!$C$62,ABS($G646)*Keys!$C$63)),1,0)</f>
        <v>0</v>
      </c>
      <c r="U646">
        <f>IF(OR($N646&lt;Keys!$C$51,$N646&gt;Keys!$C$52),1,0)</f>
        <v>0</v>
      </c>
      <c r="V646">
        <f>IF(AND($E646=Keys!$C$60,$N646&lt;&gt;Keys!$C$51),1,0)</f>
        <v>0</v>
      </c>
      <c r="W646">
        <f>IF($L646&gt;Keys!$C$51,IF($K646/$L646&gt;Keys!$C$52,1,0),0)</f>
        <v>0</v>
      </c>
      <c r="X646" s="11">
        <f t="shared" si="43"/>
        <v>0</v>
      </c>
    </row>
    <row r="647" spans="1:24" x14ac:dyDescent="0.25">
      <c r="A647" t="s">
        <v>143</v>
      </c>
      <c r="B647" t="s">
        <v>100</v>
      </c>
      <c r="C647">
        <f>VLOOKUP($B647,Keys!$F$2:$I$22,2,FALSE)</f>
        <v>0</v>
      </c>
      <c r="D647">
        <f>VLOOKUP($B647,Keys!$F$2:$I$22,3,FALSE)</f>
        <v>0</v>
      </c>
      <c r="E647" t="str">
        <f>VLOOKUP($B647,Keys!$F$2:$I$22,4,FALSE)</f>
        <v>zero</v>
      </c>
      <c r="F647" t="str">
        <f>$A647&amp;Keys!$C$54&amp;$B647</f>
        <v>NV|heat (not used in this variable)</v>
      </c>
      <c r="G647" s="10">
        <f>IF($E647=Keys!$C$60,Keys!$C$51,INDEX(Balanced_2025!$D$9:$D$3032,MATCH($A647&amp;Keys!$C$54&amp;Keys!$C$55&amp;Keys!$C$54&amp;$C647,Balanced_2025!$E$9:$E$3032,0)))</f>
        <v>0</v>
      </c>
      <c r="H647" s="10">
        <f>IF($E647=Keys!$C$60,Keys!$C$51,INDEX(Balanced_2025!$D$9:$D$3032,MATCH($A647&amp;Keys!$C$54&amp;Keys!$C$56&amp;Keys!$C$54&amp;$C647,Balanced_2025!$E$9:$E$3032,0)))</f>
        <v>0</v>
      </c>
      <c r="I647" s="10">
        <f>IF($E647=Keys!$C$60,Keys!$C$51,INDEX(Balanced_2025!$D$9:$D$3032,MATCH($A647&amp;Keys!$C$54&amp;Keys!$C$57&amp;Keys!$C$54&amp;$C647,Balanced_2025!$E$9:$E$3032,0)))</f>
        <v>0</v>
      </c>
      <c r="J647" s="10">
        <f t="shared" si="40"/>
        <v>0</v>
      </c>
      <c r="K647" s="10">
        <f>MAX(Keys!$C$51,$I647-$H647)</f>
        <v>0</v>
      </c>
      <c r="L647" s="10">
        <f t="shared" si="41"/>
        <v>0</v>
      </c>
      <c r="M647" s="11">
        <f>IF($L647&gt;Keys!$C$51,MIN(Keys!$C$52,$K647/$L647),Keys!$C$51)</f>
        <v>0</v>
      </c>
      <c r="N647" s="11">
        <f>IF($E647=Keys!$C$60,Keys!$C$51,IF($E647=Keys!$C$59,$D647,$M647))</f>
        <v>0</v>
      </c>
      <c r="O647">
        <f t="shared" si="42"/>
        <v>0</v>
      </c>
      <c r="P647" s="10">
        <f>IF($E647=Keys!$C$60,Keys!$C$51,INDEX(Raw_BFPIaE!$G$9:$G$3032,MATCH($A647&amp;Keys!$C$54&amp;Keys!$C$55&amp;Keys!$C$54&amp;$B647,Raw_BFPIaE!$H$9:$H$3032,0)))</f>
        <v>0</v>
      </c>
      <c r="Q647" s="10">
        <f>IF($E647=Keys!$C$60,Keys!$C$51,INDEX(Raw_BFPIaE!$G$9:$G$3032,MATCH($A647&amp;Keys!$C$54&amp;Keys!$C$56&amp;Keys!$C$54&amp;$B647,Raw_BFPIaE!$H$9:$H$3032,0)))</f>
        <v>0</v>
      </c>
      <c r="R647" s="10">
        <f>IF($E647=Keys!$C$60,Keys!$C$51,INDEX(Raw_BFPIaE!$G$9:$G$3032,MATCH($A647&amp;Keys!$C$54&amp;Keys!$C$57&amp;Keys!$C$54&amp;$B647,Raw_BFPIaE!$H$9:$H$3032,0)))</f>
        <v>0</v>
      </c>
      <c r="S647" s="11">
        <f>IF(($P647+$Q647-$R647+MAX(Keys!$C$51,$R647-$Q647))&gt;Keys!$C$51,MIN(Keys!$C$52,MAX(Keys!$C$51,$R647-$Q647)/($P647+$Q647-$R647+MAX(Keys!$C$51,$R647-$Q647))),Keys!$C$51)</f>
        <v>0</v>
      </c>
      <c r="T647">
        <f>IF(AND($I647&gt;$H647,ABS($L647-$G647)&gt;MAX(Keys!$C$62,ABS($G647)*Keys!$C$63)),1,0)</f>
        <v>0</v>
      </c>
      <c r="U647">
        <f>IF(OR($N647&lt;Keys!$C$51,$N647&gt;Keys!$C$52),1,0)</f>
        <v>0</v>
      </c>
      <c r="V647">
        <f>IF(AND($E647=Keys!$C$60,$N647&lt;&gt;Keys!$C$51),1,0)</f>
        <v>0</v>
      </c>
      <c r="W647">
        <f>IF($L647&gt;Keys!$C$51,IF($K647/$L647&gt;Keys!$C$52,1,0),0)</f>
        <v>0</v>
      </c>
      <c r="X647" s="11">
        <f t="shared" si="43"/>
        <v>0</v>
      </c>
    </row>
    <row r="648" spans="1:24" x14ac:dyDescent="0.25">
      <c r="A648" t="s">
        <v>143</v>
      </c>
      <c r="B648" t="s">
        <v>103</v>
      </c>
      <c r="C648">
        <f>VLOOKUP($B648,Keys!$F$2:$I$22,2,FALSE)</f>
        <v>0</v>
      </c>
      <c r="D648">
        <f>VLOOKUP($B648,Keys!$F$2:$I$22,3,FALSE)</f>
        <v>0</v>
      </c>
      <c r="E648" t="str">
        <f>VLOOKUP($B648,Keys!$F$2:$I$22,4,FALSE)</f>
        <v>zero</v>
      </c>
      <c r="F648" t="str">
        <f>$A648&amp;Keys!$C$54&amp;$B648</f>
        <v>NV|geothermal (is not a fuel)</v>
      </c>
      <c r="G648" s="10">
        <f>IF($E648=Keys!$C$60,Keys!$C$51,INDEX(Balanced_2025!$D$9:$D$3032,MATCH($A648&amp;Keys!$C$54&amp;Keys!$C$55&amp;Keys!$C$54&amp;$C648,Balanced_2025!$E$9:$E$3032,0)))</f>
        <v>0</v>
      </c>
      <c r="H648" s="10">
        <f>IF($E648=Keys!$C$60,Keys!$C$51,INDEX(Balanced_2025!$D$9:$D$3032,MATCH($A648&amp;Keys!$C$54&amp;Keys!$C$56&amp;Keys!$C$54&amp;$C648,Balanced_2025!$E$9:$E$3032,0)))</f>
        <v>0</v>
      </c>
      <c r="I648" s="10">
        <f>IF($E648=Keys!$C$60,Keys!$C$51,INDEX(Balanced_2025!$D$9:$D$3032,MATCH($A648&amp;Keys!$C$54&amp;Keys!$C$57&amp;Keys!$C$54&amp;$C648,Balanced_2025!$E$9:$E$3032,0)))</f>
        <v>0</v>
      </c>
      <c r="J648" s="10">
        <f t="shared" si="40"/>
        <v>0</v>
      </c>
      <c r="K648" s="10">
        <f>MAX(Keys!$C$51,$I648-$H648)</f>
        <v>0</v>
      </c>
      <c r="L648" s="10">
        <f t="shared" si="41"/>
        <v>0</v>
      </c>
      <c r="M648" s="11">
        <f>IF($L648&gt;Keys!$C$51,MIN(Keys!$C$52,$K648/$L648),Keys!$C$51)</f>
        <v>0</v>
      </c>
      <c r="N648" s="11">
        <f>IF($E648=Keys!$C$60,Keys!$C$51,IF($E648=Keys!$C$59,$D648,$M648))</f>
        <v>0</v>
      </c>
      <c r="O648">
        <f t="shared" si="42"/>
        <v>0</v>
      </c>
      <c r="P648" s="10">
        <f>IF($E648=Keys!$C$60,Keys!$C$51,INDEX(Raw_BFPIaE!$G$9:$G$3032,MATCH($A648&amp;Keys!$C$54&amp;Keys!$C$55&amp;Keys!$C$54&amp;$B648,Raw_BFPIaE!$H$9:$H$3032,0)))</f>
        <v>0</v>
      </c>
      <c r="Q648" s="10">
        <f>IF($E648=Keys!$C$60,Keys!$C$51,INDEX(Raw_BFPIaE!$G$9:$G$3032,MATCH($A648&amp;Keys!$C$54&amp;Keys!$C$56&amp;Keys!$C$54&amp;$B648,Raw_BFPIaE!$H$9:$H$3032,0)))</f>
        <v>0</v>
      </c>
      <c r="R648" s="10">
        <f>IF($E648=Keys!$C$60,Keys!$C$51,INDEX(Raw_BFPIaE!$G$9:$G$3032,MATCH($A648&amp;Keys!$C$54&amp;Keys!$C$57&amp;Keys!$C$54&amp;$B648,Raw_BFPIaE!$H$9:$H$3032,0)))</f>
        <v>0</v>
      </c>
      <c r="S648" s="11">
        <f>IF(($P648+$Q648-$R648+MAX(Keys!$C$51,$R648-$Q648))&gt;Keys!$C$51,MIN(Keys!$C$52,MAX(Keys!$C$51,$R648-$Q648)/($P648+$Q648-$R648+MAX(Keys!$C$51,$R648-$Q648))),Keys!$C$51)</f>
        <v>0</v>
      </c>
      <c r="T648">
        <f>IF(AND($I648&gt;$H648,ABS($L648-$G648)&gt;MAX(Keys!$C$62,ABS($G648)*Keys!$C$63)),1,0)</f>
        <v>0</v>
      </c>
      <c r="U648">
        <f>IF(OR($N648&lt;Keys!$C$51,$N648&gt;Keys!$C$52),1,0)</f>
        <v>0</v>
      </c>
      <c r="V648">
        <f>IF(AND($E648=Keys!$C$60,$N648&lt;&gt;Keys!$C$51),1,0)</f>
        <v>0</v>
      </c>
      <c r="W648">
        <f>IF($L648&gt;Keys!$C$51,IF($K648/$L648&gt;Keys!$C$52,1,0),0)</f>
        <v>0</v>
      </c>
      <c r="X648" s="11">
        <f t="shared" si="43"/>
        <v>0</v>
      </c>
    </row>
    <row r="649" spans="1:24" x14ac:dyDescent="0.25">
      <c r="A649" t="s">
        <v>143</v>
      </c>
      <c r="B649" t="s">
        <v>106</v>
      </c>
      <c r="C649" t="str">
        <f>VLOOKUP($B649,Keys!$F$2:$I$22,2,FALSE)</f>
        <v>lignite</v>
      </c>
      <c r="D649">
        <f>VLOOKUP($B649,Keys!$F$2:$I$22,3,FALSE)</f>
        <v>0</v>
      </c>
      <c r="E649" t="str">
        <f>VLOOKUP($B649,Keys!$F$2:$I$22,4,FALSE)</f>
        <v>rule</v>
      </c>
      <c r="F649" t="str">
        <f>$A649&amp;Keys!$C$54&amp;$B649</f>
        <v>NV|lignite</v>
      </c>
      <c r="G649" s="10">
        <f>IF($E649=Keys!$C$60,Keys!$C$51,INDEX(Balanced_2025!$D$9:$D$3032,MATCH($A649&amp;Keys!$C$54&amp;Keys!$C$55&amp;Keys!$C$54&amp;$C649,Balanced_2025!$E$9:$E$3032,0)))</f>
        <v>0</v>
      </c>
      <c r="H649" s="10">
        <f>IF($E649=Keys!$C$60,Keys!$C$51,INDEX(Balanced_2025!$D$9:$D$3032,MATCH($A649&amp;Keys!$C$54&amp;Keys!$C$56&amp;Keys!$C$54&amp;$C649,Balanced_2025!$E$9:$E$3032,0)))</f>
        <v>0</v>
      </c>
      <c r="I649" s="10">
        <f>IF($E649=Keys!$C$60,Keys!$C$51,INDEX(Balanced_2025!$D$9:$D$3032,MATCH($A649&amp;Keys!$C$54&amp;Keys!$C$57&amp;Keys!$C$54&amp;$C649,Balanced_2025!$E$9:$E$3032,0)))</f>
        <v>0</v>
      </c>
      <c r="J649" s="10">
        <f t="shared" si="40"/>
        <v>0</v>
      </c>
      <c r="K649" s="10">
        <f>MAX(Keys!$C$51,$I649-$H649)</f>
        <v>0</v>
      </c>
      <c r="L649" s="10">
        <f t="shared" si="41"/>
        <v>0</v>
      </c>
      <c r="M649" s="11">
        <f>IF($L649&gt;Keys!$C$51,MIN(Keys!$C$52,$K649/$L649),Keys!$C$51)</f>
        <v>0</v>
      </c>
      <c r="N649" s="11">
        <f>IF($E649=Keys!$C$60,Keys!$C$51,IF($E649=Keys!$C$59,$D649,$M649))</f>
        <v>0</v>
      </c>
      <c r="O649">
        <f t="shared" si="42"/>
        <v>0</v>
      </c>
      <c r="P649" s="10">
        <f>IF($E649=Keys!$C$60,Keys!$C$51,INDEX(Raw_BFPIaE!$G$9:$G$3032,MATCH($A649&amp;Keys!$C$54&amp;Keys!$C$55&amp;Keys!$C$54&amp;$B649,Raw_BFPIaE!$H$9:$H$3032,0)))</f>
        <v>0</v>
      </c>
      <c r="Q649" s="10">
        <f>IF($E649=Keys!$C$60,Keys!$C$51,INDEX(Raw_BFPIaE!$G$9:$G$3032,MATCH($A649&amp;Keys!$C$54&amp;Keys!$C$56&amp;Keys!$C$54&amp;$B649,Raw_BFPIaE!$H$9:$H$3032,0)))</f>
        <v>0</v>
      </c>
      <c r="R649" s="10">
        <f>IF($E649=Keys!$C$60,Keys!$C$51,INDEX(Raw_BFPIaE!$G$9:$G$3032,MATCH($A649&amp;Keys!$C$54&amp;Keys!$C$57&amp;Keys!$C$54&amp;$B649,Raw_BFPIaE!$H$9:$H$3032,0)))</f>
        <v>0</v>
      </c>
      <c r="S649" s="11">
        <f>IF(($P649+$Q649-$R649+MAX(Keys!$C$51,$R649-$Q649))&gt;Keys!$C$51,MIN(Keys!$C$52,MAX(Keys!$C$51,$R649-$Q649)/($P649+$Q649-$R649+MAX(Keys!$C$51,$R649-$Q649))),Keys!$C$51)</f>
        <v>0</v>
      </c>
      <c r="T649">
        <f>IF(AND($I649&gt;$H649,ABS($L649-$G649)&gt;MAX(Keys!$C$62,ABS($G649)*Keys!$C$63)),1,0)</f>
        <v>0</v>
      </c>
      <c r="U649">
        <f>IF(OR($N649&lt;Keys!$C$51,$N649&gt;Keys!$C$52),1,0)</f>
        <v>0</v>
      </c>
      <c r="V649">
        <f>IF(AND($E649=Keys!$C$60,$N649&lt;&gt;Keys!$C$51),1,0)</f>
        <v>0</v>
      </c>
      <c r="W649">
        <f>IF($L649&gt;Keys!$C$51,IF($K649/$L649&gt;Keys!$C$52,1,0),0)</f>
        <v>0</v>
      </c>
      <c r="X649" s="11">
        <f t="shared" si="43"/>
        <v>0</v>
      </c>
    </row>
    <row r="650" spans="1:24" x14ac:dyDescent="0.25">
      <c r="A650" t="s">
        <v>143</v>
      </c>
      <c r="B650" t="s">
        <v>109</v>
      </c>
      <c r="C650" t="str">
        <f>VLOOKUP($B650,Keys!$F$2:$I$22,2,FALSE)</f>
        <v>crude oil</v>
      </c>
      <c r="D650">
        <f>VLOOKUP($B650,Keys!$F$2:$I$22,3,FALSE)</f>
        <v>1</v>
      </c>
      <c r="E650" t="str">
        <f>VLOOKUP($B650,Keys!$F$2:$I$22,4,FALSE)</f>
        <v>hold</v>
      </c>
      <c r="F650" t="str">
        <f>$A650&amp;Keys!$C$54&amp;$B650</f>
        <v>NV|crude oil</v>
      </c>
      <c r="G650" s="10">
        <f>IF($E650=Keys!$C$60,Keys!$C$51,INDEX(Balanced_2025!$D$9:$D$3032,MATCH($A650&amp;Keys!$C$54&amp;Keys!$C$55&amp;Keys!$C$54&amp;$C650,Balanced_2025!$E$9:$E$3032,0)))</f>
        <v>1026600000000</v>
      </c>
      <c r="H650" s="10">
        <f>IF($E650=Keys!$C$60,Keys!$C$51,INDEX(Balanced_2025!$D$9:$D$3032,MATCH($A650&amp;Keys!$C$54&amp;Keys!$C$56&amp;Keys!$C$54&amp;$C650,Balanced_2025!$E$9:$E$3032,0)))</f>
        <v>3401660000000</v>
      </c>
      <c r="I650" s="10">
        <f>IF($E650=Keys!$C$60,Keys!$C$51,INDEX(Balanced_2025!$D$9:$D$3032,MATCH($A650&amp;Keys!$C$54&amp;Keys!$C$57&amp;Keys!$C$54&amp;$C650,Balanced_2025!$E$9:$E$3032,0)))</f>
        <v>0</v>
      </c>
      <c r="J650" s="10">
        <f t="shared" si="40"/>
        <v>4428260000000</v>
      </c>
      <c r="K650" s="10">
        <f>MAX(Keys!$C$51,$I650-$H650)</f>
        <v>0</v>
      </c>
      <c r="L650" s="10">
        <f t="shared" si="41"/>
        <v>4428260000000</v>
      </c>
      <c r="M650" s="11">
        <f>IF($L650&gt;Keys!$C$51,MIN(Keys!$C$52,$K650/$L650),Keys!$C$51)</f>
        <v>0</v>
      </c>
      <c r="N650" s="11">
        <f>IF($E650=Keys!$C$60,Keys!$C$51,IF($E650=Keys!$C$59,$D650,$M650))</f>
        <v>1</v>
      </c>
      <c r="O650">
        <f t="shared" si="42"/>
        <v>0</v>
      </c>
      <c r="P650" s="10">
        <f>IF($E650=Keys!$C$60,Keys!$C$51,INDEX(Raw_BFPIaE!$G$9:$G$3032,MATCH($A650&amp;Keys!$C$54&amp;Keys!$C$55&amp;Keys!$C$54&amp;$B650,Raw_BFPIaE!$H$9:$H$3032,0)))</f>
        <v>1020370000000</v>
      </c>
      <c r="Q650" s="10">
        <f>IF($E650=Keys!$C$60,Keys!$C$51,INDEX(Raw_BFPIaE!$G$9:$G$3032,MATCH($A650&amp;Keys!$C$54&amp;Keys!$C$56&amp;Keys!$C$54&amp;$B650,Raw_BFPIaE!$H$9:$H$3032,0)))</f>
        <v>2274003333333.3335</v>
      </c>
      <c r="R650" s="10">
        <f>IF($E650=Keys!$C$60,Keys!$C$51,INDEX(Raw_BFPIaE!$G$9:$G$3032,MATCH($A650&amp;Keys!$C$54&amp;Keys!$C$57&amp;Keys!$C$54&amp;$B650,Raw_BFPIaE!$H$9:$H$3032,0)))</f>
        <v>0</v>
      </c>
      <c r="S650" s="11">
        <f>IF(($P650+$Q650-$R650+MAX(Keys!$C$51,$R650-$Q650))&gt;Keys!$C$51,MIN(Keys!$C$52,MAX(Keys!$C$51,$R650-$Q650)/($P650+$Q650-$R650+MAX(Keys!$C$51,$R650-$Q650))),Keys!$C$51)</f>
        <v>0</v>
      </c>
      <c r="T650">
        <f>IF(AND($I650&gt;$H650,ABS($L650-$G650)&gt;MAX(Keys!$C$62,ABS($G650)*Keys!$C$63)),1,0)</f>
        <v>0</v>
      </c>
      <c r="U650">
        <f>IF(OR($N650&lt;Keys!$C$51,$N650&gt;Keys!$C$52),1,0)</f>
        <v>0</v>
      </c>
      <c r="V650">
        <f>IF(AND($E650=Keys!$C$60,$N650&lt;&gt;Keys!$C$51),1,0)</f>
        <v>0</v>
      </c>
      <c r="W650">
        <f>IF($L650&gt;Keys!$C$51,IF($K650/$L650&gt;Keys!$C$52,1,0),0)</f>
        <v>0</v>
      </c>
      <c r="X650" s="11">
        <f t="shared" si="43"/>
        <v>0</v>
      </c>
    </row>
    <row r="651" spans="1:24" x14ac:dyDescent="0.25">
      <c r="A651" t="s">
        <v>143</v>
      </c>
      <c r="B651" t="s">
        <v>113</v>
      </c>
      <c r="C651" t="str">
        <f>VLOOKUP($B651,Keys!$F$2:$I$22,2,FALSE)</f>
        <v>heavy or residual fuel oil</v>
      </c>
      <c r="D651">
        <f>VLOOKUP($B651,Keys!$F$2:$I$22,3,FALSE)</f>
        <v>0.49914171099999999</v>
      </c>
      <c r="E651" t="str">
        <f>VLOOKUP($B651,Keys!$F$2:$I$22,4,FALSE)</f>
        <v>rule</v>
      </c>
      <c r="F651" t="str">
        <f>$A651&amp;Keys!$C$54&amp;$B651</f>
        <v>NV|heavy fuel oil</v>
      </c>
      <c r="G651" s="10">
        <f>IF($E651=Keys!$C$60,Keys!$C$51,INDEX(Balanced_2025!$D$9:$D$3032,MATCH($A651&amp;Keys!$C$54&amp;Keys!$C$55&amp;Keys!$C$54&amp;$C651,Balanced_2025!$E$9:$E$3032,0)))</f>
        <v>79393600000</v>
      </c>
      <c r="H651" s="10">
        <f>IF($E651=Keys!$C$60,Keys!$C$51,INDEX(Balanced_2025!$D$9:$D$3032,MATCH($A651&amp;Keys!$C$54&amp;Keys!$C$56&amp;Keys!$C$54&amp;$C651,Balanced_2025!$E$9:$E$3032,0)))</f>
        <v>7648310000000</v>
      </c>
      <c r="I651" s="10">
        <f>IF($E651=Keys!$C$60,Keys!$C$51,INDEX(Balanced_2025!$D$9:$D$3032,MATCH($A651&amp;Keys!$C$54&amp;Keys!$C$57&amp;Keys!$C$54&amp;$C651,Balanced_2025!$E$9:$E$3032,0)))</f>
        <v>0</v>
      </c>
      <c r="J651" s="10">
        <f t="shared" si="40"/>
        <v>7727703600000</v>
      </c>
      <c r="K651" s="10">
        <f>MAX(Keys!$C$51,$I651-$H651)</f>
        <v>0</v>
      </c>
      <c r="L651" s="10">
        <f t="shared" si="41"/>
        <v>7727703600000</v>
      </c>
      <c r="M651" s="11">
        <f>IF($L651&gt;Keys!$C$51,MIN(Keys!$C$52,$K651/$L651),Keys!$C$51)</f>
        <v>0</v>
      </c>
      <c r="N651" s="11">
        <f>IF($E651=Keys!$C$60,Keys!$C$51,IF($E651=Keys!$C$59,$D651,$M651))</f>
        <v>0</v>
      </c>
      <c r="O651">
        <f t="shared" si="42"/>
        <v>1</v>
      </c>
      <c r="P651" s="10">
        <f>IF($E651=Keys!$C$60,Keys!$C$51,INDEX(Raw_BFPIaE!$G$9:$G$3032,MATCH($A651&amp;Keys!$C$54&amp;Keys!$C$55&amp;Keys!$C$54&amp;$B651,Raw_BFPIaE!$H$9:$H$3032,0)))</f>
        <v>78752133333.333328</v>
      </c>
      <c r="Q651" s="10">
        <f>IF($E651=Keys!$C$60,Keys!$C$51,INDEX(Raw_BFPIaE!$G$9:$G$3032,MATCH($A651&amp;Keys!$C$54&amp;Keys!$C$56&amp;Keys!$C$54&amp;$B651,Raw_BFPIaE!$H$9:$H$3032,0)))</f>
        <v>5153126666666.667</v>
      </c>
      <c r="R651" s="10">
        <f>IF($E651=Keys!$C$60,Keys!$C$51,INDEX(Raw_BFPIaE!$G$9:$G$3032,MATCH($A651&amp;Keys!$C$54&amp;Keys!$C$57&amp;Keys!$C$54&amp;$B651,Raw_BFPIaE!$H$9:$H$3032,0)))</f>
        <v>0</v>
      </c>
      <c r="S651" s="11">
        <f>IF(($P651+$Q651-$R651+MAX(Keys!$C$51,$R651-$Q651))&gt;Keys!$C$51,MIN(Keys!$C$52,MAX(Keys!$C$51,$R651-$Q651)/($P651+$Q651-$R651+MAX(Keys!$C$51,$R651-$Q651))),Keys!$C$51)</f>
        <v>0</v>
      </c>
      <c r="T651">
        <f>IF(AND($I651&gt;$H651,ABS($L651-$G651)&gt;MAX(Keys!$C$62,ABS($G651)*Keys!$C$63)),1,0)</f>
        <v>0</v>
      </c>
      <c r="U651">
        <f>IF(OR($N651&lt;Keys!$C$51,$N651&gt;Keys!$C$52),1,0)</f>
        <v>0</v>
      </c>
      <c r="V651">
        <f>IF(AND($E651=Keys!$C$60,$N651&lt;&gt;Keys!$C$51),1,0)</f>
        <v>0</v>
      </c>
      <c r="W651">
        <f>IF($L651&gt;Keys!$C$51,IF($K651/$L651&gt;Keys!$C$52,1,0),0)</f>
        <v>0</v>
      </c>
      <c r="X651" s="11">
        <f t="shared" si="43"/>
        <v>0</v>
      </c>
    </row>
    <row r="652" spans="1:24" x14ac:dyDescent="0.25">
      <c r="A652" t="s">
        <v>143</v>
      </c>
      <c r="B652" t="s">
        <v>117</v>
      </c>
      <c r="C652" t="str">
        <f>VLOOKUP($B652,Keys!$F$2:$I$22,2,FALSE)</f>
        <v>LPG propane or butane</v>
      </c>
      <c r="D652">
        <f>VLOOKUP($B652,Keys!$F$2:$I$22,3,FALSE)</f>
        <v>0.54955999499999997</v>
      </c>
      <c r="E652" t="str">
        <f>VLOOKUP($B652,Keys!$F$2:$I$22,4,FALSE)</f>
        <v>rule</v>
      </c>
      <c r="F652" t="str">
        <f>$A652&amp;Keys!$C$54&amp;$B652</f>
        <v>NV|LPG propane or butane</v>
      </c>
      <c r="G652" s="10">
        <f>IF($E652=Keys!$C$60,Keys!$C$51,INDEX(Balanced_2025!$D$9:$D$3032,MATCH($A652&amp;Keys!$C$54&amp;Keys!$C$55&amp;Keys!$C$54&amp;$C652,Balanced_2025!$E$9:$E$3032,0)))</f>
        <v>507091000</v>
      </c>
      <c r="H652" s="10">
        <f>IF($E652=Keys!$C$60,Keys!$C$51,INDEX(Balanced_2025!$D$9:$D$3032,MATCH($A652&amp;Keys!$C$54&amp;Keys!$C$56&amp;Keys!$C$54&amp;$C652,Balanced_2025!$E$9:$E$3032,0)))</f>
        <v>5573300000000</v>
      </c>
      <c r="I652" s="10">
        <f>IF($E652=Keys!$C$60,Keys!$C$51,INDEX(Balanced_2025!$D$9:$D$3032,MATCH($A652&amp;Keys!$C$54&amp;Keys!$C$57&amp;Keys!$C$54&amp;$C652,Balanced_2025!$E$9:$E$3032,0)))</f>
        <v>0</v>
      </c>
      <c r="J652" s="10">
        <f t="shared" si="40"/>
        <v>5573807091000</v>
      </c>
      <c r="K652" s="10">
        <f>MAX(Keys!$C$51,$I652-$H652)</f>
        <v>0</v>
      </c>
      <c r="L652" s="10">
        <f t="shared" si="41"/>
        <v>5573807091000</v>
      </c>
      <c r="M652" s="11">
        <f>IF($L652&gt;Keys!$C$51,MIN(Keys!$C$52,$K652/$L652),Keys!$C$51)</f>
        <v>0</v>
      </c>
      <c r="N652" s="11">
        <f>IF($E652=Keys!$C$60,Keys!$C$51,IF($E652=Keys!$C$59,$D652,$M652))</f>
        <v>0</v>
      </c>
      <c r="O652">
        <f t="shared" si="42"/>
        <v>1</v>
      </c>
      <c r="P652" s="10">
        <f>IF($E652=Keys!$C$60,Keys!$C$51,INDEX(Raw_BFPIaE!$G$9:$G$3032,MATCH($A652&amp;Keys!$C$54&amp;Keys!$C$55&amp;Keys!$C$54&amp;$B652,Raw_BFPIaE!$H$9:$H$3032,0)))</f>
        <v>510680000</v>
      </c>
      <c r="Q652" s="10">
        <f>IF($E652=Keys!$C$60,Keys!$C$51,INDEX(Raw_BFPIaE!$G$9:$G$3032,MATCH($A652&amp;Keys!$C$54&amp;Keys!$C$56&amp;Keys!$C$54&amp;$B652,Raw_BFPIaE!$H$9:$H$3032,0)))</f>
        <v>3696523333333.3335</v>
      </c>
      <c r="R652" s="10">
        <f>IF($E652=Keys!$C$60,Keys!$C$51,INDEX(Raw_BFPIaE!$G$9:$G$3032,MATCH($A652&amp;Keys!$C$54&amp;Keys!$C$57&amp;Keys!$C$54&amp;$B652,Raw_BFPIaE!$H$9:$H$3032,0)))</f>
        <v>0</v>
      </c>
      <c r="S652" s="11">
        <f>IF(($P652+$Q652-$R652+MAX(Keys!$C$51,$R652-$Q652))&gt;Keys!$C$51,MIN(Keys!$C$52,MAX(Keys!$C$51,$R652-$Q652)/($P652+$Q652-$R652+MAX(Keys!$C$51,$R652-$Q652))),Keys!$C$51)</f>
        <v>0</v>
      </c>
      <c r="T652">
        <f>IF(AND($I652&gt;$H652,ABS($L652-$G652)&gt;MAX(Keys!$C$62,ABS($G652)*Keys!$C$63)),1,0)</f>
        <v>0</v>
      </c>
      <c r="U652">
        <f>IF(OR($N652&lt;Keys!$C$51,$N652&gt;Keys!$C$52),1,0)</f>
        <v>0</v>
      </c>
      <c r="V652">
        <f>IF(AND($E652=Keys!$C$60,$N652&lt;&gt;Keys!$C$51),1,0)</f>
        <v>0</v>
      </c>
      <c r="W652">
        <f>IF($L652&gt;Keys!$C$51,IF($K652/$L652&gt;Keys!$C$52,1,0),0)</f>
        <v>0</v>
      </c>
      <c r="X652" s="11">
        <f t="shared" si="43"/>
        <v>0</v>
      </c>
    </row>
    <row r="653" spans="1:24" x14ac:dyDescent="0.25">
      <c r="A653" t="s">
        <v>143</v>
      </c>
      <c r="B653" t="s">
        <v>120</v>
      </c>
      <c r="C653">
        <f>VLOOKUP($B653,Keys!$F$2:$I$22,2,FALSE)</f>
        <v>0</v>
      </c>
      <c r="D653">
        <f>VLOOKUP($B653,Keys!$F$2:$I$22,3,FALSE)</f>
        <v>0</v>
      </c>
      <c r="E653" t="str">
        <f>VLOOKUP($B653,Keys!$F$2:$I$22,4,FALSE)</f>
        <v>zero</v>
      </c>
      <c r="F653" t="str">
        <f>$A653&amp;Keys!$C$54&amp;$B653</f>
        <v>NV|municipal solid waste</v>
      </c>
      <c r="G653" s="10">
        <f>IF($E653=Keys!$C$60,Keys!$C$51,INDEX(Balanced_2025!$D$9:$D$3032,MATCH($A653&amp;Keys!$C$54&amp;Keys!$C$55&amp;Keys!$C$54&amp;$C653,Balanced_2025!$E$9:$E$3032,0)))</f>
        <v>0</v>
      </c>
      <c r="H653" s="10">
        <f>IF($E653=Keys!$C$60,Keys!$C$51,INDEX(Balanced_2025!$D$9:$D$3032,MATCH($A653&amp;Keys!$C$54&amp;Keys!$C$56&amp;Keys!$C$54&amp;$C653,Balanced_2025!$E$9:$E$3032,0)))</f>
        <v>0</v>
      </c>
      <c r="I653" s="10">
        <f>IF($E653=Keys!$C$60,Keys!$C$51,INDEX(Balanced_2025!$D$9:$D$3032,MATCH($A653&amp;Keys!$C$54&amp;Keys!$C$57&amp;Keys!$C$54&amp;$C653,Balanced_2025!$E$9:$E$3032,0)))</f>
        <v>0</v>
      </c>
      <c r="J653" s="10">
        <f t="shared" si="40"/>
        <v>0</v>
      </c>
      <c r="K653" s="10">
        <f>MAX(Keys!$C$51,$I653-$H653)</f>
        <v>0</v>
      </c>
      <c r="L653" s="10">
        <f t="shared" si="41"/>
        <v>0</v>
      </c>
      <c r="M653" s="11">
        <f>IF($L653&gt;Keys!$C$51,MIN(Keys!$C$52,$K653/$L653),Keys!$C$51)</f>
        <v>0</v>
      </c>
      <c r="N653" s="11">
        <f>IF($E653=Keys!$C$60,Keys!$C$51,IF($E653=Keys!$C$59,$D653,$M653))</f>
        <v>0</v>
      </c>
      <c r="O653">
        <f t="shared" si="42"/>
        <v>0</v>
      </c>
      <c r="P653" s="10">
        <f>IF($E653=Keys!$C$60,Keys!$C$51,INDEX(Raw_BFPIaE!$G$9:$G$3032,MATCH($A653&amp;Keys!$C$54&amp;Keys!$C$55&amp;Keys!$C$54&amp;$B653,Raw_BFPIaE!$H$9:$H$3032,0)))</f>
        <v>0</v>
      </c>
      <c r="Q653" s="10">
        <f>IF($E653=Keys!$C$60,Keys!$C$51,INDEX(Raw_BFPIaE!$G$9:$G$3032,MATCH($A653&amp;Keys!$C$54&amp;Keys!$C$56&amp;Keys!$C$54&amp;$B653,Raw_BFPIaE!$H$9:$H$3032,0)))</f>
        <v>0</v>
      </c>
      <c r="R653" s="10">
        <f>IF($E653=Keys!$C$60,Keys!$C$51,INDEX(Raw_BFPIaE!$G$9:$G$3032,MATCH($A653&amp;Keys!$C$54&amp;Keys!$C$57&amp;Keys!$C$54&amp;$B653,Raw_BFPIaE!$H$9:$H$3032,0)))</f>
        <v>0</v>
      </c>
      <c r="S653" s="11">
        <f>IF(($P653+$Q653-$R653+MAX(Keys!$C$51,$R653-$Q653))&gt;Keys!$C$51,MIN(Keys!$C$52,MAX(Keys!$C$51,$R653-$Q653)/($P653+$Q653-$R653+MAX(Keys!$C$51,$R653-$Q653))),Keys!$C$51)</f>
        <v>0</v>
      </c>
      <c r="T653">
        <f>IF(AND($I653&gt;$H653,ABS($L653-$G653)&gt;MAX(Keys!$C$62,ABS($G653)*Keys!$C$63)),1,0)</f>
        <v>0</v>
      </c>
      <c r="U653">
        <f>IF(OR($N653&lt;Keys!$C$51,$N653&gt;Keys!$C$52),1,0)</f>
        <v>0</v>
      </c>
      <c r="V653">
        <f>IF(AND($E653=Keys!$C$60,$N653&lt;&gt;Keys!$C$51),1,0)</f>
        <v>0</v>
      </c>
      <c r="W653">
        <f>IF($L653&gt;Keys!$C$51,IF($K653/$L653&gt;Keys!$C$52,1,0),0)</f>
        <v>0</v>
      </c>
      <c r="X653" s="11">
        <f t="shared" si="43"/>
        <v>0</v>
      </c>
    </row>
    <row r="654" spans="1:24" x14ac:dyDescent="0.25">
      <c r="A654" t="s">
        <v>143</v>
      </c>
      <c r="B654" t="s">
        <v>123</v>
      </c>
      <c r="C654">
        <f>VLOOKUP($B654,Keys!$F$2:$I$22,2,FALSE)</f>
        <v>0</v>
      </c>
      <c r="D654">
        <f>VLOOKUP($B654,Keys!$F$2:$I$22,3,FALSE)</f>
        <v>0</v>
      </c>
      <c r="E654" t="str">
        <f>VLOOKUP($B654,Keys!$F$2:$I$22,4,FALSE)</f>
        <v>zero</v>
      </c>
      <c r="F654" t="str">
        <f>$A654&amp;Keys!$C$54&amp;$B654</f>
        <v>NV|hydrogen</v>
      </c>
      <c r="G654" s="10">
        <f>IF($E654=Keys!$C$60,Keys!$C$51,INDEX(Balanced_2025!$D$9:$D$3032,MATCH($A654&amp;Keys!$C$54&amp;Keys!$C$55&amp;Keys!$C$54&amp;$C654,Balanced_2025!$E$9:$E$3032,0)))</f>
        <v>0</v>
      </c>
      <c r="H654" s="10">
        <f>IF($E654=Keys!$C$60,Keys!$C$51,INDEX(Balanced_2025!$D$9:$D$3032,MATCH($A654&amp;Keys!$C$54&amp;Keys!$C$56&amp;Keys!$C$54&amp;$C654,Balanced_2025!$E$9:$E$3032,0)))</f>
        <v>0</v>
      </c>
      <c r="I654" s="10">
        <f>IF($E654=Keys!$C$60,Keys!$C$51,INDEX(Balanced_2025!$D$9:$D$3032,MATCH($A654&amp;Keys!$C$54&amp;Keys!$C$57&amp;Keys!$C$54&amp;$C654,Balanced_2025!$E$9:$E$3032,0)))</f>
        <v>0</v>
      </c>
      <c r="J654" s="10">
        <f t="shared" si="40"/>
        <v>0</v>
      </c>
      <c r="K654" s="10">
        <f>MAX(Keys!$C$51,$I654-$H654)</f>
        <v>0</v>
      </c>
      <c r="L654" s="10">
        <f t="shared" si="41"/>
        <v>0</v>
      </c>
      <c r="M654" s="11">
        <f>IF($L654&gt;Keys!$C$51,MIN(Keys!$C$52,$K654/$L654),Keys!$C$51)</f>
        <v>0</v>
      </c>
      <c r="N654" s="11">
        <f>IF($E654=Keys!$C$60,Keys!$C$51,IF($E654=Keys!$C$59,$D654,$M654))</f>
        <v>0</v>
      </c>
      <c r="O654">
        <f t="shared" si="42"/>
        <v>0</v>
      </c>
      <c r="P654" s="10">
        <f>IF($E654=Keys!$C$60,Keys!$C$51,INDEX(Raw_BFPIaE!$G$9:$G$3032,MATCH($A654&amp;Keys!$C$54&amp;Keys!$C$55&amp;Keys!$C$54&amp;$B654,Raw_BFPIaE!$H$9:$H$3032,0)))</f>
        <v>0</v>
      </c>
      <c r="Q654" s="10">
        <f>IF($E654=Keys!$C$60,Keys!$C$51,INDEX(Raw_BFPIaE!$G$9:$G$3032,MATCH($A654&amp;Keys!$C$54&amp;Keys!$C$56&amp;Keys!$C$54&amp;$B654,Raw_BFPIaE!$H$9:$H$3032,0)))</f>
        <v>0</v>
      </c>
      <c r="R654" s="10">
        <f>IF($E654=Keys!$C$60,Keys!$C$51,INDEX(Raw_BFPIaE!$G$9:$G$3032,MATCH($A654&amp;Keys!$C$54&amp;Keys!$C$57&amp;Keys!$C$54&amp;$B654,Raw_BFPIaE!$H$9:$H$3032,0)))</f>
        <v>0</v>
      </c>
      <c r="S654" s="11">
        <f>IF(($P654+$Q654-$R654+MAX(Keys!$C$51,$R654-$Q654))&gt;Keys!$C$51,MIN(Keys!$C$52,MAX(Keys!$C$51,$R654-$Q654)/($P654+$Q654-$R654+MAX(Keys!$C$51,$R654-$Q654))),Keys!$C$51)</f>
        <v>0</v>
      </c>
      <c r="T654">
        <f>IF(AND($I654&gt;$H654,ABS($L654-$G654)&gt;MAX(Keys!$C$62,ABS($G654)*Keys!$C$63)),1,0)</f>
        <v>0</v>
      </c>
      <c r="U654">
        <f>IF(OR($N654&lt;Keys!$C$51,$N654&gt;Keys!$C$52),1,0)</f>
        <v>0</v>
      </c>
      <c r="V654">
        <f>IF(AND($E654=Keys!$C$60,$N654&lt;&gt;Keys!$C$51),1,0)</f>
        <v>0</v>
      </c>
      <c r="W654">
        <f>IF($L654&gt;Keys!$C$51,IF($K654/$L654&gt;Keys!$C$52,1,0),0)</f>
        <v>0</v>
      </c>
      <c r="X654" s="11">
        <f t="shared" si="43"/>
        <v>0</v>
      </c>
    </row>
    <row r="655" spans="1:24" x14ac:dyDescent="0.25">
      <c r="A655" t="s">
        <v>145</v>
      </c>
      <c r="B655" t="s">
        <v>60</v>
      </c>
      <c r="C655">
        <f>VLOOKUP($B655,Keys!$F$2:$I$22,2,FALSE)</f>
        <v>0</v>
      </c>
      <c r="D655">
        <f>VLOOKUP($B655,Keys!$F$2:$I$22,3,FALSE)</f>
        <v>0</v>
      </c>
      <c r="E655" t="str">
        <f>VLOOKUP($B655,Keys!$F$2:$I$22,4,FALSE)</f>
        <v>zero</v>
      </c>
      <c r="F655" t="str">
        <f>$A655&amp;Keys!$C$54&amp;$B655</f>
        <v>NY|electricity (not used in this variable)</v>
      </c>
      <c r="G655" s="10">
        <f>IF($E655=Keys!$C$60,Keys!$C$51,INDEX(Balanced_2025!$D$9:$D$3032,MATCH($A655&amp;Keys!$C$54&amp;Keys!$C$55&amp;Keys!$C$54&amp;$C655,Balanced_2025!$E$9:$E$3032,0)))</f>
        <v>0</v>
      </c>
      <c r="H655" s="10">
        <f>IF($E655=Keys!$C$60,Keys!$C$51,INDEX(Balanced_2025!$D$9:$D$3032,MATCH($A655&amp;Keys!$C$54&amp;Keys!$C$56&amp;Keys!$C$54&amp;$C655,Balanced_2025!$E$9:$E$3032,0)))</f>
        <v>0</v>
      </c>
      <c r="I655" s="10">
        <f>IF($E655=Keys!$C$60,Keys!$C$51,INDEX(Balanced_2025!$D$9:$D$3032,MATCH($A655&amp;Keys!$C$54&amp;Keys!$C$57&amp;Keys!$C$54&amp;$C655,Balanced_2025!$E$9:$E$3032,0)))</f>
        <v>0</v>
      </c>
      <c r="J655" s="10">
        <f t="shared" si="40"/>
        <v>0</v>
      </c>
      <c r="K655" s="10">
        <f>MAX(Keys!$C$51,$I655-$H655)</f>
        <v>0</v>
      </c>
      <c r="L655" s="10">
        <f t="shared" si="41"/>
        <v>0</v>
      </c>
      <c r="M655" s="11">
        <f>IF($L655&gt;Keys!$C$51,MIN(Keys!$C$52,$K655/$L655),Keys!$C$51)</f>
        <v>0</v>
      </c>
      <c r="N655" s="11">
        <f>IF($E655=Keys!$C$60,Keys!$C$51,IF($E655=Keys!$C$59,$D655,$M655))</f>
        <v>0</v>
      </c>
      <c r="O655">
        <f t="shared" si="42"/>
        <v>0</v>
      </c>
      <c r="P655" s="10">
        <f>IF($E655=Keys!$C$60,Keys!$C$51,INDEX(Raw_BFPIaE!$G$9:$G$3032,MATCH($A655&amp;Keys!$C$54&amp;Keys!$C$55&amp;Keys!$C$54&amp;$B655,Raw_BFPIaE!$H$9:$H$3032,0)))</f>
        <v>0</v>
      </c>
      <c r="Q655" s="10">
        <f>IF($E655=Keys!$C$60,Keys!$C$51,INDEX(Raw_BFPIaE!$G$9:$G$3032,MATCH($A655&amp;Keys!$C$54&amp;Keys!$C$56&amp;Keys!$C$54&amp;$B655,Raw_BFPIaE!$H$9:$H$3032,0)))</f>
        <v>0</v>
      </c>
      <c r="R655" s="10">
        <f>IF($E655=Keys!$C$60,Keys!$C$51,INDEX(Raw_BFPIaE!$G$9:$G$3032,MATCH($A655&amp;Keys!$C$54&amp;Keys!$C$57&amp;Keys!$C$54&amp;$B655,Raw_BFPIaE!$H$9:$H$3032,0)))</f>
        <v>0</v>
      </c>
      <c r="S655" s="11">
        <f>IF(($P655+$Q655-$R655+MAX(Keys!$C$51,$R655-$Q655))&gt;Keys!$C$51,MIN(Keys!$C$52,MAX(Keys!$C$51,$R655-$Q655)/($P655+$Q655-$R655+MAX(Keys!$C$51,$R655-$Q655))),Keys!$C$51)</f>
        <v>0</v>
      </c>
      <c r="T655">
        <f>IF(AND($I655&gt;$H655,ABS($L655-$G655)&gt;MAX(Keys!$C$62,ABS($G655)*Keys!$C$63)),1,0)</f>
        <v>0</v>
      </c>
      <c r="U655">
        <f>IF(OR($N655&lt;Keys!$C$51,$N655&gt;Keys!$C$52),1,0)</f>
        <v>0</v>
      </c>
      <c r="V655">
        <f>IF(AND($E655=Keys!$C$60,$N655&lt;&gt;Keys!$C$51),1,0)</f>
        <v>0</v>
      </c>
      <c r="W655">
        <f>IF($L655&gt;Keys!$C$51,IF($K655/$L655&gt;Keys!$C$52,1,0),0)</f>
        <v>0</v>
      </c>
      <c r="X655" s="11">
        <f t="shared" si="43"/>
        <v>0</v>
      </c>
    </row>
    <row r="656" spans="1:24" x14ac:dyDescent="0.25">
      <c r="A656" t="s">
        <v>145</v>
      </c>
      <c r="B656" t="s">
        <v>64</v>
      </c>
      <c r="C656" t="str">
        <f>VLOOKUP($B656,Keys!$F$2:$I$22,2,FALSE)</f>
        <v>hard coal</v>
      </c>
      <c r="D656">
        <f>VLOOKUP($B656,Keys!$F$2:$I$22,3,FALSE)</f>
        <v>0.137539879</v>
      </c>
      <c r="E656" t="str">
        <f>VLOOKUP($B656,Keys!$F$2:$I$22,4,FALSE)</f>
        <v>rule</v>
      </c>
      <c r="F656" t="str">
        <f>$A656&amp;Keys!$C$54&amp;$B656</f>
        <v>NY|hard coal</v>
      </c>
      <c r="G656" s="10">
        <f>IF($E656=Keys!$C$60,Keys!$C$51,INDEX(Balanced_2025!$D$9:$D$3032,MATCH($A656&amp;Keys!$C$54&amp;Keys!$C$55&amp;Keys!$C$54&amp;$C656,Balanced_2025!$E$9:$E$3032,0)))</f>
        <v>0</v>
      </c>
      <c r="H656" s="10">
        <f>IF($E656=Keys!$C$60,Keys!$C$51,INDEX(Balanced_2025!$D$9:$D$3032,MATCH($A656&amp;Keys!$C$54&amp;Keys!$C$56&amp;Keys!$C$54&amp;$C656,Balanced_2025!$E$9:$E$3032,0)))</f>
        <v>2650000000000</v>
      </c>
      <c r="I656" s="10">
        <f>IF($E656=Keys!$C$60,Keys!$C$51,INDEX(Balanced_2025!$D$9:$D$3032,MATCH($A656&amp;Keys!$C$54&amp;Keys!$C$57&amp;Keys!$C$54&amp;$C656,Balanced_2025!$E$9:$E$3032,0)))</f>
        <v>0</v>
      </c>
      <c r="J656" s="10">
        <f t="shared" si="40"/>
        <v>2650000000000</v>
      </c>
      <c r="K656" s="10">
        <f>MAX(Keys!$C$51,$I656-$H656)</f>
        <v>0</v>
      </c>
      <c r="L656" s="10">
        <f t="shared" si="41"/>
        <v>2650000000000</v>
      </c>
      <c r="M656" s="11">
        <f>IF($L656&gt;Keys!$C$51,MIN(Keys!$C$52,$K656/$L656),Keys!$C$51)</f>
        <v>0</v>
      </c>
      <c r="N656" s="11">
        <f>IF($E656=Keys!$C$60,Keys!$C$51,IF($E656=Keys!$C$59,$D656,$M656))</f>
        <v>0</v>
      </c>
      <c r="O656">
        <f t="shared" si="42"/>
        <v>1</v>
      </c>
      <c r="P656" s="10">
        <f>IF($E656=Keys!$C$60,Keys!$C$51,INDEX(Raw_BFPIaE!$G$9:$G$3032,MATCH($A656&amp;Keys!$C$54&amp;Keys!$C$55&amp;Keys!$C$54&amp;$B656,Raw_BFPIaE!$H$9:$H$3032,0)))</f>
        <v>0</v>
      </c>
      <c r="Q656" s="10">
        <f>IF($E656=Keys!$C$60,Keys!$C$51,INDEX(Raw_BFPIaE!$G$9:$G$3032,MATCH($A656&amp;Keys!$C$54&amp;Keys!$C$56&amp;Keys!$C$54&amp;$B656,Raw_BFPIaE!$H$9:$H$3032,0)))</f>
        <v>2622303333333.3335</v>
      </c>
      <c r="R656" s="10">
        <f>IF($E656=Keys!$C$60,Keys!$C$51,INDEX(Raw_BFPIaE!$G$9:$G$3032,MATCH($A656&amp;Keys!$C$54&amp;Keys!$C$57&amp;Keys!$C$54&amp;$B656,Raw_BFPIaE!$H$9:$H$3032,0)))</f>
        <v>0</v>
      </c>
      <c r="S656" s="11">
        <f>IF(($P656+$Q656-$R656+MAX(Keys!$C$51,$R656-$Q656))&gt;Keys!$C$51,MIN(Keys!$C$52,MAX(Keys!$C$51,$R656-$Q656)/($P656+$Q656-$R656+MAX(Keys!$C$51,$R656-$Q656))),Keys!$C$51)</f>
        <v>0</v>
      </c>
      <c r="T656">
        <f>IF(AND($I656&gt;$H656,ABS($L656-$G656)&gt;MAX(Keys!$C$62,ABS($G656)*Keys!$C$63)),1,0)</f>
        <v>0</v>
      </c>
      <c r="U656">
        <f>IF(OR($N656&lt;Keys!$C$51,$N656&gt;Keys!$C$52),1,0)</f>
        <v>0</v>
      </c>
      <c r="V656">
        <f>IF(AND($E656=Keys!$C$60,$N656&lt;&gt;Keys!$C$51),1,0)</f>
        <v>0</v>
      </c>
      <c r="W656">
        <f>IF($L656&gt;Keys!$C$51,IF($K656/$L656&gt;Keys!$C$52,1,0),0)</f>
        <v>0</v>
      </c>
      <c r="X656" s="11">
        <f t="shared" si="43"/>
        <v>0</v>
      </c>
    </row>
    <row r="657" spans="1:24" x14ac:dyDescent="0.25">
      <c r="A657" t="s">
        <v>145</v>
      </c>
      <c r="B657" t="s">
        <v>68</v>
      </c>
      <c r="C657" t="str">
        <f>VLOOKUP($B657,Keys!$F$2:$I$22,2,FALSE)</f>
        <v>natural gas</v>
      </c>
      <c r="D657">
        <f>VLOOKUP($B657,Keys!$F$2:$I$22,3,FALSE)</f>
        <v>0.190839183</v>
      </c>
      <c r="E657" t="str">
        <f>VLOOKUP($B657,Keys!$F$2:$I$22,4,FALSE)</f>
        <v>rule</v>
      </c>
      <c r="F657" t="str">
        <f>$A657&amp;Keys!$C$54&amp;$B657</f>
        <v>NY|natural gas</v>
      </c>
      <c r="G657" s="10">
        <f>IF($E657=Keys!$C$60,Keys!$C$51,INDEX(Balanced_2025!$D$9:$D$3032,MATCH($A657&amp;Keys!$C$54&amp;Keys!$C$55&amp;Keys!$C$54&amp;$C657,Balanced_2025!$E$9:$E$3032,0)))</f>
        <v>9162930000000</v>
      </c>
      <c r="H657" s="10">
        <f>IF($E657=Keys!$C$60,Keys!$C$51,INDEX(Balanced_2025!$D$9:$D$3032,MATCH($A657&amp;Keys!$C$54&amp;Keys!$C$56&amp;Keys!$C$54&amp;$C657,Balanced_2025!$E$9:$E$3032,0)))</f>
        <v>2567300000000000</v>
      </c>
      <c r="I657" s="10">
        <f>IF($E657=Keys!$C$60,Keys!$C$51,INDEX(Balanced_2025!$D$9:$D$3032,MATCH($A657&amp;Keys!$C$54&amp;Keys!$C$57&amp;Keys!$C$54&amp;$C657,Balanced_2025!$E$9:$E$3032,0)))</f>
        <v>1272100000000000</v>
      </c>
      <c r="J657" s="10">
        <f t="shared" si="40"/>
        <v>1304362930000000</v>
      </c>
      <c r="K657" s="10">
        <f>MAX(Keys!$C$51,$I657-$H657)</f>
        <v>0</v>
      </c>
      <c r="L657" s="10">
        <f t="shared" si="41"/>
        <v>1304362930000000</v>
      </c>
      <c r="M657" s="11">
        <f>IF($L657&gt;Keys!$C$51,MIN(Keys!$C$52,$K657/$L657),Keys!$C$51)</f>
        <v>0</v>
      </c>
      <c r="N657" s="11">
        <f>IF($E657=Keys!$C$60,Keys!$C$51,IF($E657=Keys!$C$59,$D657,$M657))</f>
        <v>0</v>
      </c>
      <c r="O657">
        <f t="shared" si="42"/>
        <v>1</v>
      </c>
      <c r="P657" s="10">
        <f>IF($E657=Keys!$C$60,Keys!$C$51,INDEX(Raw_BFPIaE!$G$9:$G$3032,MATCH($A657&amp;Keys!$C$54&amp;Keys!$C$55&amp;Keys!$C$54&amp;$B657,Raw_BFPIaE!$H$9:$H$3032,0)))</f>
        <v>9172416666666.666</v>
      </c>
      <c r="Q657" s="10">
        <f>IF($E657=Keys!$C$60,Keys!$C$51,INDEX(Raw_BFPIaE!$G$9:$G$3032,MATCH($A657&amp;Keys!$C$54&amp;Keys!$C$56&amp;Keys!$C$54&amp;$B657,Raw_BFPIaE!$H$9:$H$3032,0)))</f>
        <v>2473366666666666.5</v>
      </c>
      <c r="R657" s="10">
        <f>IF($E657=Keys!$C$60,Keys!$C$51,INDEX(Raw_BFPIaE!$G$9:$G$3032,MATCH($A657&amp;Keys!$C$54&amp;Keys!$C$57&amp;Keys!$C$54&amp;$B657,Raw_BFPIaE!$H$9:$H$3032,0)))</f>
        <v>1273420000000000</v>
      </c>
      <c r="S657" s="11">
        <f>IF(($P657+$Q657-$R657+MAX(Keys!$C$51,$R657-$Q657))&gt;Keys!$C$51,MIN(Keys!$C$52,MAX(Keys!$C$51,$R657-$Q657)/($P657+$Q657-$R657+MAX(Keys!$C$51,$R657-$Q657))),Keys!$C$51)</f>
        <v>0</v>
      </c>
      <c r="T657">
        <f>IF(AND($I657&gt;$H657,ABS($L657-$G657)&gt;MAX(Keys!$C$62,ABS($G657)*Keys!$C$63)),1,0)</f>
        <v>0</v>
      </c>
      <c r="U657">
        <f>IF(OR($N657&lt;Keys!$C$51,$N657&gt;Keys!$C$52),1,0)</f>
        <v>0</v>
      </c>
      <c r="V657">
        <f>IF(AND($E657=Keys!$C$60,$N657&lt;&gt;Keys!$C$51),1,0)</f>
        <v>0</v>
      </c>
      <c r="W657">
        <f>IF($L657&gt;Keys!$C$51,IF($K657/$L657&gt;Keys!$C$52,1,0),0)</f>
        <v>0</v>
      </c>
      <c r="X657" s="11">
        <f t="shared" si="43"/>
        <v>0</v>
      </c>
    </row>
    <row r="658" spans="1:24" x14ac:dyDescent="0.25">
      <c r="A658" t="s">
        <v>145</v>
      </c>
      <c r="B658" t="s">
        <v>71</v>
      </c>
      <c r="C658">
        <f>VLOOKUP($B658,Keys!$F$2:$I$22,2,FALSE)</f>
        <v>0</v>
      </c>
      <c r="D658">
        <f>VLOOKUP($B658,Keys!$F$2:$I$22,3,FALSE)</f>
        <v>0</v>
      </c>
      <c r="E658" t="str">
        <f>VLOOKUP($B658,Keys!$F$2:$I$22,4,FALSE)</f>
        <v>zero</v>
      </c>
      <c r="F658" t="str">
        <f>$A658&amp;Keys!$C$54&amp;$B658</f>
        <v>NY|nuclear</v>
      </c>
      <c r="G658" s="10">
        <f>IF($E658=Keys!$C$60,Keys!$C$51,INDEX(Balanced_2025!$D$9:$D$3032,MATCH($A658&amp;Keys!$C$54&amp;Keys!$C$55&amp;Keys!$C$54&amp;$C658,Balanced_2025!$E$9:$E$3032,0)))</f>
        <v>0</v>
      </c>
      <c r="H658" s="10">
        <f>IF($E658=Keys!$C$60,Keys!$C$51,INDEX(Balanced_2025!$D$9:$D$3032,MATCH($A658&amp;Keys!$C$54&amp;Keys!$C$56&amp;Keys!$C$54&amp;$C658,Balanced_2025!$E$9:$E$3032,0)))</f>
        <v>0</v>
      </c>
      <c r="I658" s="10">
        <f>IF($E658=Keys!$C$60,Keys!$C$51,INDEX(Balanced_2025!$D$9:$D$3032,MATCH($A658&amp;Keys!$C$54&amp;Keys!$C$57&amp;Keys!$C$54&amp;$C658,Balanced_2025!$E$9:$E$3032,0)))</f>
        <v>0</v>
      </c>
      <c r="J658" s="10">
        <f t="shared" si="40"/>
        <v>0</v>
      </c>
      <c r="K658" s="10">
        <f>MAX(Keys!$C$51,$I658-$H658)</f>
        <v>0</v>
      </c>
      <c r="L658" s="10">
        <f t="shared" si="41"/>
        <v>0</v>
      </c>
      <c r="M658" s="11">
        <f>IF($L658&gt;Keys!$C$51,MIN(Keys!$C$52,$K658/$L658),Keys!$C$51)</f>
        <v>0</v>
      </c>
      <c r="N658" s="11">
        <f>IF($E658=Keys!$C$60,Keys!$C$51,IF($E658=Keys!$C$59,$D658,$M658))</f>
        <v>0</v>
      </c>
      <c r="O658">
        <f t="shared" si="42"/>
        <v>0</v>
      </c>
      <c r="P658" s="10">
        <f>IF($E658=Keys!$C$60,Keys!$C$51,INDEX(Raw_BFPIaE!$G$9:$G$3032,MATCH($A658&amp;Keys!$C$54&amp;Keys!$C$55&amp;Keys!$C$54&amp;$B658,Raw_BFPIaE!$H$9:$H$3032,0)))</f>
        <v>0</v>
      </c>
      <c r="Q658" s="10">
        <f>IF($E658=Keys!$C$60,Keys!$C$51,INDEX(Raw_BFPIaE!$G$9:$G$3032,MATCH($A658&amp;Keys!$C$54&amp;Keys!$C$56&amp;Keys!$C$54&amp;$B658,Raw_BFPIaE!$H$9:$H$3032,0)))</f>
        <v>0</v>
      </c>
      <c r="R658" s="10">
        <f>IF($E658=Keys!$C$60,Keys!$C$51,INDEX(Raw_BFPIaE!$G$9:$G$3032,MATCH($A658&amp;Keys!$C$54&amp;Keys!$C$57&amp;Keys!$C$54&amp;$B658,Raw_BFPIaE!$H$9:$H$3032,0)))</f>
        <v>0</v>
      </c>
      <c r="S658" s="11">
        <f>IF(($P658+$Q658-$R658+MAX(Keys!$C$51,$R658-$Q658))&gt;Keys!$C$51,MIN(Keys!$C$52,MAX(Keys!$C$51,$R658-$Q658)/($P658+$Q658-$R658+MAX(Keys!$C$51,$R658-$Q658))),Keys!$C$51)</f>
        <v>0</v>
      </c>
      <c r="T658">
        <f>IF(AND($I658&gt;$H658,ABS($L658-$G658)&gt;MAX(Keys!$C$62,ABS($G658)*Keys!$C$63)),1,0)</f>
        <v>0</v>
      </c>
      <c r="U658">
        <f>IF(OR($N658&lt;Keys!$C$51,$N658&gt;Keys!$C$52),1,0)</f>
        <v>0</v>
      </c>
      <c r="V658">
        <f>IF(AND($E658=Keys!$C$60,$N658&lt;&gt;Keys!$C$51),1,0)</f>
        <v>0</v>
      </c>
      <c r="W658">
        <f>IF($L658&gt;Keys!$C$51,IF($K658/$L658&gt;Keys!$C$52,1,0),0)</f>
        <v>0</v>
      </c>
      <c r="X658" s="11">
        <f t="shared" si="43"/>
        <v>0</v>
      </c>
    </row>
    <row r="659" spans="1:24" x14ac:dyDescent="0.25">
      <c r="A659" t="s">
        <v>145</v>
      </c>
      <c r="B659" t="s">
        <v>74</v>
      </c>
      <c r="C659">
        <f>VLOOKUP($B659,Keys!$F$2:$I$22,2,FALSE)</f>
        <v>0</v>
      </c>
      <c r="D659">
        <f>VLOOKUP($B659,Keys!$F$2:$I$22,3,FALSE)</f>
        <v>0</v>
      </c>
      <c r="E659" t="str">
        <f>VLOOKUP($B659,Keys!$F$2:$I$22,4,FALSE)</f>
        <v>zero</v>
      </c>
      <c r="F659" t="str">
        <f>$A659&amp;Keys!$C$54&amp;$B659</f>
        <v>NY|hydro (is not a fuel)</v>
      </c>
      <c r="G659" s="10">
        <f>IF($E659=Keys!$C$60,Keys!$C$51,INDEX(Balanced_2025!$D$9:$D$3032,MATCH($A659&amp;Keys!$C$54&amp;Keys!$C$55&amp;Keys!$C$54&amp;$C659,Balanced_2025!$E$9:$E$3032,0)))</f>
        <v>0</v>
      </c>
      <c r="H659" s="10">
        <f>IF($E659=Keys!$C$60,Keys!$C$51,INDEX(Balanced_2025!$D$9:$D$3032,MATCH($A659&amp;Keys!$C$54&amp;Keys!$C$56&amp;Keys!$C$54&amp;$C659,Balanced_2025!$E$9:$E$3032,0)))</f>
        <v>0</v>
      </c>
      <c r="I659" s="10">
        <f>IF($E659=Keys!$C$60,Keys!$C$51,INDEX(Balanced_2025!$D$9:$D$3032,MATCH($A659&amp;Keys!$C$54&amp;Keys!$C$57&amp;Keys!$C$54&amp;$C659,Balanced_2025!$E$9:$E$3032,0)))</f>
        <v>0</v>
      </c>
      <c r="J659" s="10">
        <f t="shared" si="40"/>
        <v>0</v>
      </c>
      <c r="K659" s="10">
        <f>MAX(Keys!$C$51,$I659-$H659)</f>
        <v>0</v>
      </c>
      <c r="L659" s="10">
        <f t="shared" si="41"/>
        <v>0</v>
      </c>
      <c r="M659" s="11">
        <f>IF($L659&gt;Keys!$C$51,MIN(Keys!$C$52,$K659/$L659),Keys!$C$51)</f>
        <v>0</v>
      </c>
      <c r="N659" s="11">
        <f>IF($E659=Keys!$C$60,Keys!$C$51,IF($E659=Keys!$C$59,$D659,$M659))</f>
        <v>0</v>
      </c>
      <c r="O659">
        <f t="shared" si="42"/>
        <v>0</v>
      </c>
      <c r="P659" s="10">
        <f>IF($E659=Keys!$C$60,Keys!$C$51,INDEX(Raw_BFPIaE!$G$9:$G$3032,MATCH($A659&amp;Keys!$C$54&amp;Keys!$C$55&amp;Keys!$C$54&amp;$B659,Raw_BFPIaE!$H$9:$H$3032,0)))</f>
        <v>0</v>
      </c>
      <c r="Q659" s="10">
        <f>IF($E659=Keys!$C$60,Keys!$C$51,INDEX(Raw_BFPIaE!$G$9:$G$3032,MATCH($A659&amp;Keys!$C$54&amp;Keys!$C$56&amp;Keys!$C$54&amp;$B659,Raw_BFPIaE!$H$9:$H$3032,0)))</f>
        <v>0</v>
      </c>
      <c r="R659" s="10">
        <f>IF($E659=Keys!$C$60,Keys!$C$51,INDEX(Raw_BFPIaE!$G$9:$G$3032,MATCH($A659&amp;Keys!$C$54&amp;Keys!$C$57&amp;Keys!$C$54&amp;$B659,Raw_BFPIaE!$H$9:$H$3032,0)))</f>
        <v>0</v>
      </c>
      <c r="S659" s="11">
        <f>IF(($P659+$Q659-$R659+MAX(Keys!$C$51,$R659-$Q659))&gt;Keys!$C$51,MIN(Keys!$C$52,MAX(Keys!$C$51,$R659-$Q659)/($P659+$Q659-$R659+MAX(Keys!$C$51,$R659-$Q659))),Keys!$C$51)</f>
        <v>0</v>
      </c>
      <c r="T659">
        <f>IF(AND($I659&gt;$H659,ABS($L659-$G659)&gt;MAX(Keys!$C$62,ABS($G659)*Keys!$C$63)),1,0)</f>
        <v>0</v>
      </c>
      <c r="U659">
        <f>IF(OR($N659&lt;Keys!$C$51,$N659&gt;Keys!$C$52),1,0)</f>
        <v>0</v>
      </c>
      <c r="V659">
        <f>IF(AND($E659=Keys!$C$60,$N659&lt;&gt;Keys!$C$51),1,0)</f>
        <v>0</v>
      </c>
      <c r="W659">
        <f>IF($L659&gt;Keys!$C$51,IF($K659/$L659&gt;Keys!$C$52,1,0),0)</f>
        <v>0</v>
      </c>
      <c r="X659" s="11">
        <f t="shared" si="43"/>
        <v>0</v>
      </c>
    </row>
    <row r="660" spans="1:24" x14ac:dyDescent="0.25">
      <c r="A660" t="s">
        <v>145</v>
      </c>
      <c r="B660" t="s">
        <v>77</v>
      </c>
      <c r="C660">
        <f>VLOOKUP($B660,Keys!$F$2:$I$22,2,FALSE)</f>
        <v>0</v>
      </c>
      <c r="D660">
        <f>VLOOKUP($B660,Keys!$F$2:$I$22,3,FALSE)</f>
        <v>0</v>
      </c>
      <c r="E660" t="str">
        <f>VLOOKUP($B660,Keys!$F$2:$I$22,4,FALSE)</f>
        <v>zero</v>
      </c>
      <c r="F660" t="str">
        <f>$A660&amp;Keys!$C$54&amp;$B660</f>
        <v>NY|wind (is not a fuel)</v>
      </c>
      <c r="G660" s="10">
        <f>IF($E660=Keys!$C$60,Keys!$C$51,INDEX(Balanced_2025!$D$9:$D$3032,MATCH($A660&amp;Keys!$C$54&amp;Keys!$C$55&amp;Keys!$C$54&amp;$C660,Balanced_2025!$E$9:$E$3032,0)))</f>
        <v>0</v>
      </c>
      <c r="H660" s="10">
        <f>IF($E660=Keys!$C$60,Keys!$C$51,INDEX(Balanced_2025!$D$9:$D$3032,MATCH($A660&amp;Keys!$C$54&amp;Keys!$C$56&amp;Keys!$C$54&amp;$C660,Balanced_2025!$E$9:$E$3032,0)))</f>
        <v>0</v>
      </c>
      <c r="I660" s="10">
        <f>IF($E660=Keys!$C$60,Keys!$C$51,INDEX(Balanced_2025!$D$9:$D$3032,MATCH($A660&amp;Keys!$C$54&amp;Keys!$C$57&amp;Keys!$C$54&amp;$C660,Balanced_2025!$E$9:$E$3032,0)))</f>
        <v>0</v>
      </c>
      <c r="J660" s="10">
        <f t="shared" si="40"/>
        <v>0</v>
      </c>
      <c r="K660" s="10">
        <f>MAX(Keys!$C$51,$I660-$H660)</f>
        <v>0</v>
      </c>
      <c r="L660" s="10">
        <f t="shared" si="41"/>
        <v>0</v>
      </c>
      <c r="M660" s="11">
        <f>IF($L660&gt;Keys!$C$51,MIN(Keys!$C$52,$K660/$L660),Keys!$C$51)</f>
        <v>0</v>
      </c>
      <c r="N660" s="11">
        <f>IF($E660=Keys!$C$60,Keys!$C$51,IF($E660=Keys!$C$59,$D660,$M660))</f>
        <v>0</v>
      </c>
      <c r="O660">
        <f t="shared" si="42"/>
        <v>0</v>
      </c>
      <c r="P660" s="10">
        <f>IF($E660=Keys!$C$60,Keys!$C$51,INDEX(Raw_BFPIaE!$G$9:$G$3032,MATCH($A660&amp;Keys!$C$54&amp;Keys!$C$55&amp;Keys!$C$54&amp;$B660,Raw_BFPIaE!$H$9:$H$3032,0)))</f>
        <v>0</v>
      </c>
      <c r="Q660" s="10">
        <f>IF($E660=Keys!$C$60,Keys!$C$51,INDEX(Raw_BFPIaE!$G$9:$G$3032,MATCH($A660&amp;Keys!$C$54&amp;Keys!$C$56&amp;Keys!$C$54&amp;$B660,Raw_BFPIaE!$H$9:$H$3032,0)))</f>
        <v>0</v>
      </c>
      <c r="R660" s="10">
        <f>IF($E660=Keys!$C$60,Keys!$C$51,INDEX(Raw_BFPIaE!$G$9:$G$3032,MATCH($A660&amp;Keys!$C$54&amp;Keys!$C$57&amp;Keys!$C$54&amp;$B660,Raw_BFPIaE!$H$9:$H$3032,0)))</f>
        <v>0</v>
      </c>
      <c r="S660" s="11">
        <f>IF(($P660+$Q660-$R660+MAX(Keys!$C$51,$R660-$Q660))&gt;Keys!$C$51,MIN(Keys!$C$52,MAX(Keys!$C$51,$R660-$Q660)/($P660+$Q660-$R660+MAX(Keys!$C$51,$R660-$Q660))),Keys!$C$51)</f>
        <v>0</v>
      </c>
      <c r="T660">
        <f>IF(AND($I660&gt;$H660,ABS($L660-$G660)&gt;MAX(Keys!$C$62,ABS($G660)*Keys!$C$63)),1,0)</f>
        <v>0</v>
      </c>
      <c r="U660">
        <f>IF(OR($N660&lt;Keys!$C$51,$N660&gt;Keys!$C$52),1,0)</f>
        <v>0</v>
      </c>
      <c r="V660">
        <f>IF(AND($E660=Keys!$C$60,$N660&lt;&gt;Keys!$C$51),1,0)</f>
        <v>0</v>
      </c>
      <c r="W660">
        <f>IF($L660&gt;Keys!$C$51,IF($K660/$L660&gt;Keys!$C$52,1,0),0)</f>
        <v>0</v>
      </c>
      <c r="X660" s="11">
        <f t="shared" si="43"/>
        <v>0</v>
      </c>
    </row>
    <row r="661" spans="1:24" x14ac:dyDescent="0.25">
      <c r="A661" t="s">
        <v>145</v>
      </c>
      <c r="B661" t="s">
        <v>80</v>
      </c>
      <c r="C661">
        <f>VLOOKUP($B661,Keys!$F$2:$I$22,2,FALSE)</f>
        <v>0</v>
      </c>
      <c r="D661">
        <f>VLOOKUP($B661,Keys!$F$2:$I$22,3,FALSE)</f>
        <v>0</v>
      </c>
      <c r="E661" t="str">
        <f>VLOOKUP($B661,Keys!$F$2:$I$22,4,FALSE)</f>
        <v>zero</v>
      </c>
      <c r="F661" t="str">
        <f>$A661&amp;Keys!$C$54&amp;$B661</f>
        <v>NY|solar (is not a fuel)</v>
      </c>
      <c r="G661" s="10">
        <f>IF($E661=Keys!$C$60,Keys!$C$51,INDEX(Balanced_2025!$D$9:$D$3032,MATCH($A661&amp;Keys!$C$54&amp;Keys!$C$55&amp;Keys!$C$54&amp;$C661,Balanced_2025!$E$9:$E$3032,0)))</f>
        <v>0</v>
      </c>
      <c r="H661" s="10">
        <f>IF($E661=Keys!$C$60,Keys!$C$51,INDEX(Balanced_2025!$D$9:$D$3032,MATCH($A661&amp;Keys!$C$54&amp;Keys!$C$56&amp;Keys!$C$54&amp;$C661,Balanced_2025!$E$9:$E$3032,0)))</f>
        <v>0</v>
      </c>
      <c r="I661" s="10">
        <f>IF($E661=Keys!$C$60,Keys!$C$51,INDEX(Balanced_2025!$D$9:$D$3032,MATCH($A661&amp;Keys!$C$54&amp;Keys!$C$57&amp;Keys!$C$54&amp;$C661,Balanced_2025!$E$9:$E$3032,0)))</f>
        <v>0</v>
      </c>
      <c r="J661" s="10">
        <f t="shared" si="40"/>
        <v>0</v>
      </c>
      <c r="K661" s="10">
        <f>MAX(Keys!$C$51,$I661-$H661)</f>
        <v>0</v>
      </c>
      <c r="L661" s="10">
        <f t="shared" si="41"/>
        <v>0</v>
      </c>
      <c r="M661" s="11">
        <f>IF($L661&gt;Keys!$C$51,MIN(Keys!$C$52,$K661/$L661),Keys!$C$51)</f>
        <v>0</v>
      </c>
      <c r="N661" s="11">
        <f>IF($E661=Keys!$C$60,Keys!$C$51,IF($E661=Keys!$C$59,$D661,$M661))</f>
        <v>0</v>
      </c>
      <c r="O661">
        <f t="shared" si="42"/>
        <v>0</v>
      </c>
      <c r="P661" s="10">
        <f>IF($E661=Keys!$C$60,Keys!$C$51,INDEX(Raw_BFPIaE!$G$9:$G$3032,MATCH($A661&amp;Keys!$C$54&amp;Keys!$C$55&amp;Keys!$C$54&amp;$B661,Raw_BFPIaE!$H$9:$H$3032,0)))</f>
        <v>0</v>
      </c>
      <c r="Q661" s="10">
        <f>IF($E661=Keys!$C$60,Keys!$C$51,INDEX(Raw_BFPIaE!$G$9:$G$3032,MATCH($A661&amp;Keys!$C$54&amp;Keys!$C$56&amp;Keys!$C$54&amp;$B661,Raw_BFPIaE!$H$9:$H$3032,0)))</f>
        <v>0</v>
      </c>
      <c r="R661" s="10">
        <f>IF($E661=Keys!$C$60,Keys!$C$51,INDEX(Raw_BFPIaE!$G$9:$G$3032,MATCH($A661&amp;Keys!$C$54&amp;Keys!$C$57&amp;Keys!$C$54&amp;$B661,Raw_BFPIaE!$H$9:$H$3032,0)))</f>
        <v>0</v>
      </c>
      <c r="S661" s="11">
        <f>IF(($P661+$Q661-$R661+MAX(Keys!$C$51,$R661-$Q661))&gt;Keys!$C$51,MIN(Keys!$C$52,MAX(Keys!$C$51,$R661-$Q661)/($P661+$Q661-$R661+MAX(Keys!$C$51,$R661-$Q661))),Keys!$C$51)</f>
        <v>0</v>
      </c>
      <c r="T661">
        <f>IF(AND($I661&gt;$H661,ABS($L661-$G661)&gt;MAX(Keys!$C$62,ABS($G661)*Keys!$C$63)),1,0)</f>
        <v>0</v>
      </c>
      <c r="U661">
        <f>IF(OR($N661&lt;Keys!$C$51,$N661&gt;Keys!$C$52),1,0)</f>
        <v>0</v>
      </c>
      <c r="V661">
        <f>IF(AND($E661=Keys!$C$60,$N661&lt;&gt;Keys!$C$51),1,0)</f>
        <v>0</v>
      </c>
      <c r="W661">
        <f>IF($L661&gt;Keys!$C$51,IF($K661/$L661&gt;Keys!$C$52,1,0),0)</f>
        <v>0</v>
      </c>
      <c r="X661" s="11">
        <f t="shared" si="43"/>
        <v>0</v>
      </c>
    </row>
    <row r="662" spans="1:24" x14ac:dyDescent="0.25">
      <c r="A662" t="s">
        <v>145</v>
      </c>
      <c r="B662" t="s">
        <v>82</v>
      </c>
      <c r="C662" t="str">
        <f>VLOOKUP($B662,Keys!$F$2:$I$22,2,FALSE)</f>
        <v>biomass</v>
      </c>
      <c r="D662">
        <f>VLOOKUP($B662,Keys!$F$2:$I$22,3,FALSE)</f>
        <v>0.74947425499999998</v>
      </c>
      <c r="E662" t="str">
        <f>VLOOKUP($B662,Keys!$F$2:$I$22,4,FALSE)</f>
        <v>rule</v>
      </c>
      <c r="F662" t="str">
        <f>$A662&amp;Keys!$C$54&amp;$B662</f>
        <v>NY|biomass</v>
      </c>
      <c r="G662" s="10">
        <f>IF($E662=Keys!$C$60,Keys!$C$51,INDEX(Balanced_2025!$D$9:$D$3032,MATCH($A662&amp;Keys!$C$54&amp;Keys!$C$55&amp;Keys!$C$54&amp;$C662,Balanced_2025!$E$9:$E$3032,0)))</f>
        <v>5033180000000</v>
      </c>
      <c r="H662" s="10">
        <f>IF($E662=Keys!$C$60,Keys!$C$51,INDEX(Balanced_2025!$D$9:$D$3032,MATCH($A662&amp;Keys!$C$54&amp;Keys!$C$56&amp;Keys!$C$54&amp;$C662,Balanced_2025!$E$9:$E$3032,0)))</f>
        <v>67023000000000</v>
      </c>
      <c r="I662" s="10">
        <f>IF($E662=Keys!$C$60,Keys!$C$51,INDEX(Balanced_2025!$D$9:$D$3032,MATCH($A662&amp;Keys!$C$54&amp;Keys!$C$57&amp;Keys!$C$54&amp;$C662,Balanced_2025!$E$9:$E$3032,0)))</f>
        <v>0</v>
      </c>
      <c r="J662" s="10">
        <f t="shared" si="40"/>
        <v>72056180000000</v>
      </c>
      <c r="K662" s="10">
        <f>MAX(Keys!$C$51,$I662-$H662)</f>
        <v>0</v>
      </c>
      <c r="L662" s="10">
        <f t="shared" si="41"/>
        <v>72056180000000</v>
      </c>
      <c r="M662" s="11">
        <f>IF($L662&gt;Keys!$C$51,MIN(Keys!$C$52,$K662/$L662),Keys!$C$51)</f>
        <v>0</v>
      </c>
      <c r="N662" s="11">
        <f>IF($E662=Keys!$C$60,Keys!$C$51,IF($E662=Keys!$C$59,$D662,$M662))</f>
        <v>0</v>
      </c>
      <c r="O662">
        <f t="shared" si="42"/>
        <v>1</v>
      </c>
      <c r="P662" s="10">
        <f>IF($E662=Keys!$C$60,Keys!$C$51,INDEX(Raw_BFPIaE!$G$9:$G$3032,MATCH($A662&amp;Keys!$C$54&amp;Keys!$C$55&amp;Keys!$C$54&amp;$B662,Raw_BFPIaE!$H$9:$H$3032,0)))</f>
        <v>5033180000000</v>
      </c>
      <c r="Q662" s="10">
        <f>IF($E662=Keys!$C$60,Keys!$C$51,INDEX(Raw_BFPIaE!$G$9:$G$3032,MATCH($A662&amp;Keys!$C$54&amp;Keys!$C$56&amp;Keys!$C$54&amp;$B662,Raw_BFPIaE!$H$9:$H$3032,0)))</f>
        <v>62891166666666.664</v>
      </c>
      <c r="R662" s="10">
        <f>IF($E662=Keys!$C$60,Keys!$C$51,INDEX(Raw_BFPIaE!$G$9:$G$3032,MATCH($A662&amp;Keys!$C$54&amp;Keys!$C$57&amp;Keys!$C$54&amp;$B662,Raw_BFPIaE!$H$9:$H$3032,0)))</f>
        <v>0</v>
      </c>
      <c r="S662" s="11">
        <f>IF(($P662+$Q662-$R662+MAX(Keys!$C$51,$R662-$Q662))&gt;Keys!$C$51,MIN(Keys!$C$52,MAX(Keys!$C$51,$R662-$Q662)/($P662+$Q662-$R662+MAX(Keys!$C$51,$R662-$Q662))),Keys!$C$51)</f>
        <v>0</v>
      </c>
      <c r="T662">
        <f>IF(AND($I662&gt;$H662,ABS($L662-$G662)&gt;MAX(Keys!$C$62,ABS($G662)*Keys!$C$63)),1,0)</f>
        <v>0</v>
      </c>
      <c r="U662">
        <f>IF(OR($N662&lt;Keys!$C$51,$N662&gt;Keys!$C$52),1,0)</f>
        <v>0</v>
      </c>
      <c r="V662">
        <f>IF(AND($E662=Keys!$C$60,$N662&lt;&gt;Keys!$C$51),1,0)</f>
        <v>0</v>
      </c>
      <c r="W662">
        <f>IF($L662&gt;Keys!$C$51,IF($K662/$L662&gt;Keys!$C$52,1,0),0)</f>
        <v>0</v>
      </c>
      <c r="X662" s="11">
        <f t="shared" si="43"/>
        <v>0</v>
      </c>
    </row>
    <row r="663" spans="1:24" x14ac:dyDescent="0.25">
      <c r="A663" t="s">
        <v>145</v>
      </c>
      <c r="B663" t="s">
        <v>85</v>
      </c>
      <c r="C663" t="str">
        <f>VLOOKUP($B663,Keys!$F$2:$I$22,2,FALSE)</f>
        <v>petroleum gasoline</v>
      </c>
      <c r="D663">
        <f>VLOOKUP($B663,Keys!$F$2:$I$22,3,FALSE)</f>
        <v>7.5004052000000002E-2</v>
      </c>
      <c r="E663" t="str">
        <f>VLOOKUP($B663,Keys!$F$2:$I$22,4,FALSE)</f>
        <v>rule</v>
      </c>
      <c r="F663" t="str">
        <f>$A663&amp;Keys!$C$54&amp;$B663</f>
        <v>NY|petroleum gasoline</v>
      </c>
      <c r="G663" s="10">
        <f>IF($E663=Keys!$C$60,Keys!$C$51,INDEX(Balanced_2025!$D$9:$D$3032,MATCH($A663&amp;Keys!$C$54&amp;Keys!$C$55&amp;Keys!$C$54&amp;$C663,Balanced_2025!$E$9:$E$3032,0)))</f>
        <v>0</v>
      </c>
      <c r="H663" s="10">
        <f>IF($E663=Keys!$C$60,Keys!$C$51,INDEX(Balanced_2025!$D$9:$D$3032,MATCH($A663&amp;Keys!$C$54&amp;Keys!$C$56&amp;Keys!$C$54&amp;$C663,Balanced_2025!$E$9:$E$3032,0)))</f>
        <v>553935000000000</v>
      </c>
      <c r="I663" s="10">
        <f>IF($E663=Keys!$C$60,Keys!$C$51,INDEX(Balanced_2025!$D$9:$D$3032,MATCH($A663&amp;Keys!$C$54&amp;Keys!$C$57&amp;Keys!$C$54&amp;$C663,Balanced_2025!$E$9:$E$3032,0)))</f>
        <v>0</v>
      </c>
      <c r="J663" s="10">
        <f t="shared" si="40"/>
        <v>553935000000000</v>
      </c>
      <c r="K663" s="10">
        <f>MAX(Keys!$C$51,$I663-$H663)</f>
        <v>0</v>
      </c>
      <c r="L663" s="10">
        <f t="shared" si="41"/>
        <v>553935000000000</v>
      </c>
      <c r="M663" s="11">
        <f>IF($L663&gt;Keys!$C$51,MIN(Keys!$C$52,$K663/$L663),Keys!$C$51)</f>
        <v>0</v>
      </c>
      <c r="N663" s="11">
        <f>IF($E663=Keys!$C$60,Keys!$C$51,IF($E663=Keys!$C$59,$D663,$M663))</f>
        <v>0</v>
      </c>
      <c r="O663">
        <f t="shared" si="42"/>
        <v>1</v>
      </c>
      <c r="P663" s="10">
        <f>IF($E663=Keys!$C$60,Keys!$C$51,INDEX(Raw_BFPIaE!$G$9:$G$3032,MATCH($A663&amp;Keys!$C$54&amp;Keys!$C$55&amp;Keys!$C$54&amp;$B663,Raw_BFPIaE!$H$9:$H$3032,0)))</f>
        <v>0</v>
      </c>
      <c r="Q663" s="10">
        <f>IF($E663=Keys!$C$60,Keys!$C$51,INDEX(Raw_BFPIaE!$G$9:$G$3032,MATCH($A663&amp;Keys!$C$54&amp;Keys!$C$56&amp;Keys!$C$54&amp;$B663,Raw_BFPIaE!$H$9:$H$3032,0)))</f>
        <v>343860666666666.69</v>
      </c>
      <c r="R663" s="10">
        <f>IF($E663=Keys!$C$60,Keys!$C$51,INDEX(Raw_BFPIaE!$G$9:$G$3032,MATCH($A663&amp;Keys!$C$54&amp;Keys!$C$57&amp;Keys!$C$54&amp;$B663,Raw_BFPIaE!$H$9:$H$3032,0)))</f>
        <v>0</v>
      </c>
      <c r="S663" s="11">
        <f>IF(($P663+$Q663-$R663+MAX(Keys!$C$51,$R663-$Q663))&gt;Keys!$C$51,MIN(Keys!$C$52,MAX(Keys!$C$51,$R663-$Q663)/($P663+$Q663-$R663+MAX(Keys!$C$51,$R663-$Q663))),Keys!$C$51)</f>
        <v>0</v>
      </c>
      <c r="T663">
        <f>IF(AND($I663&gt;$H663,ABS($L663-$G663)&gt;MAX(Keys!$C$62,ABS($G663)*Keys!$C$63)),1,0)</f>
        <v>0</v>
      </c>
      <c r="U663">
        <f>IF(OR($N663&lt;Keys!$C$51,$N663&gt;Keys!$C$52),1,0)</f>
        <v>0</v>
      </c>
      <c r="V663">
        <f>IF(AND($E663=Keys!$C$60,$N663&lt;&gt;Keys!$C$51),1,0)</f>
        <v>0</v>
      </c>
      <c r="W663">
        <f>IF($L663&gt;Keys!$C$51,IF($K663/$L663&gt;Keys!$C$52,1,0),0)</f>
        <v>0</v>
      </c>
      <c r="X663" s="11">
        <f t="shared" si="43"/>
        <v>0</v>
      </c>
    </row>
    <row r="664" spans="1:24" x14ac:dyDescent="0.25">
      <c r="A664" t="s">
        <v>145</v>
      </c>
      <c r="B664" t="s">
        <v>88</v>
      </c>
      <c r="C664" t="str">
        <f>VLOOKUP($B664,Keys!$F$2:$I$22,2,FALSE)</f>
        <v>petroleum diesel</v>
      </c>
      <c r="D664">
        <f>VLOOKUP($B664,Keys!$F$2:$I$22,3,FALSE)</f>
        <v>0.26691051799999999</v>
      </c>
      <c r="E664" t="str">
        <f>VLOOKUP($B664,Keys!$F$2:$I$22,4,FALSE)</f>
        <v>rule</v>
      </c>
      <c r="F664" t="str">
        <f>$A664&amp;Keys!$C$54&amp;$B664</f>
        <v>NY|petroleum diesel</v>
      </c>
      <c r="G664" s="10">
        <f>IF($E664=Keys!$C$60,Keys!$C$51,INDEX(Balanced_2025!$D$9:$D$3032,MATCH($A664&amp;Keys!$C$54&amp;Keys!$C$55&amp;Keys!$C$54&amp;$C664,Balanced_2025!$E$9:$E$3032,0)))</f>
        <v>0</v>
      </c>
      <c r="H664" s="10">
        <f>IF($E664=Keys!$C$60,Keys!$C$51,INDEX(Balanced_2025!$D$9:$D$3032,MATCH($A664&amp;Keys!$C$54&amp;Keys!$C$56&amp;Keys!$C$54&amp;$C664,Balanced_2025!$E$9:$E$3032,0)))</f>
        <v>422997000000000</v>
      </c>
      <c r="I664" s="10">
        <f>IF($E664=Keys!$C$60,Keys!$C$51,INDEX(Balanced_2025!$D$9:$D$3032,MATCH($A664&amp;Keys!$C$54&amp;Keys!$C$57&amp;Keys!$C$54&amp;$C664,Balanced_2025!$E$9:$E$3032,0)))</f>
        <v>29136300000000</v>
      </c>
      <c r="J664" s="10">
        <f t="shared" si="40"/>
        <v>393860700000000</v>
      </c>
      <c r="K664" s="10">
        <f>MAX(Keys!$C$51,$I664-$H664)</f>
        <v>0</v>
      </c>
      <c r="L664" s="10">
        <f t="shared" si="41"/>
        <v>393860700000000</v>
      </c>
      <c r="M664" s="11">
        <f>IF($L664&gt;Keys!$C$51,MIN(Keys!$C$52,$K664/$L664),Keys!$C$51)</f>
        <v>0</v>
      </c>
      <c r="N664" s="11">
        <f>IF($E664=Keys!$C$60,Keys!$C$51,IF($E664=Keys!$C$59,$D664,$M664))</f>
        <v>0</v>
      </c>
      <c r="O664">
        <f t="shared" si="42"/>
        <v>1</v>
      </c>
      <c r="P664" s="10">
        <f>IF($E664=Keys!$C$60,Keys!$C$51,INDEX(Raw_BFPIaE!$G$9:$G$3032,MATCH($A664&amp;Keys!$C$54&amp;Keys!$C$55&amp;Keys!$C$54&amp;$B664,Raw_BFPIaE!$H$9:$H$3032,0)))</f>
        <v>0</v>
      </c>
      <c r="Q664" s="10">
        <f>IF($E664=Keys!$C$60,Keys!$C$51,INDEX(Raw_BFPIaE!$G$9:$G$3032,MATCH($A664&amp;Keys!$C$54&amp;Keys!$C$56&amp;Keys!$C$54&amp;$B664,Raw_BFPIaE!$H$9:$H$3032,0)))</f>
        <v>274654666666666.66</v>
      </c>
      <c r="R664" s="10">
        <f>IF($E664=Keys!$C$60,Keys!$C$51,INDEX(Raw_BFPIaE!$G$9:$G$3032,MATCH($A664&amp;Keys!$C$54&amp;Keys!$C$57&amp;Keys!$C$54&amp;$B664,Raw_BFPIaE!$H$9:$H$3032,0)))</f>
        <v>28900900000000</v>
      </c>
      <c r="S664" s="11">
        <f>IF(($P664+$Q664-$R664+MAX(Keys!$C$51,$R664-$Q664))&gt;Keys!$C$51,MIN(Keys!$C$52,MAX(Keys!$C$51,$R664-$Q664)/($P664+$Q664-$R664+MAX(Keys!$C$51,$R664-$Q664))),Keys!$C$51)</f>
        <v>0</v>
      </c>
      <c r="T664">
        <f>IF(AND($I664&gt;$H664,ABS($L664-$G664)&gt;MAX(Keys!$C$62,ABS($G664)*Keys!$C$63)),1,0)</f>
        <v>0</v>
      </c>
      <c r="U664">
        <f>IF(OR($N664&lt;Keys!$C$51,$N664&gt;Keys!$C$52),1,0)</f>
        <v>0</v>
      </c>
      <c r="V664">
        <f>IF(AND($E664=Keys!$C$60,$N664&lt;&gt;Keys!$C$51),1,0)</f>
        <v>0</v>
      </c>
      <c r="W664">
        <f>IF($L664&gt;Keys!$C$51,IF($K664/$L664&gt;Keys!$C$52,1,0),0)</f>
        <v>0</v>
      </c>
      <c r="X664" s="11">
        <f t="shared" si="43"/>
        <v>0</v>
      </c>
    </row>
    <row r="665" spans="1:24" x14ac:dyDescent="0.25">
      <c r="A665" t="s">
        <v>145</v>
      </c>
      <c r="B665" t="s">
        <v>91</v>
      </c>
      <c r="C665" t="str">
        <f>VLOOKUP($B665,Keys!$F$2:$I$22,2,FALSE)</f>
        <v>biofuel gasoline</v>
      </c>
      <c r="D665">
        <f>VLOOKUP($B665,Keys!$F$2:$I$22,3,FALSE)</f>
        <v>8.7213884000000005E-2</v>
      </c>
      <c r="E665" t="str">
        <f>VLOOKUP($B665,Keys!$F$2:$I$22,4,FALSE)</f>
        <v>rule</v>
      </c>
      <c r="F665" t="str">
        <f>$A665&amp;Keys!$C$54&amp;$B665</f>
        <v>NY|biofuel gasoline</v>
      </c>
      <c r="G665" s="10">
        <f>IF($E665=Keys!$C$60,Keys!$C$51,INDEX(Balanced_2025!$D$9:$D$3032,MATCH($A665&amp;Keys!$C$54&amp;Keys!$C$55&amp;Keys!$C$54&amp;$C665,Balanced_2025!$E$9:$E$3032,0)))</f>
        <v>5097200000000</v>
      </c>
      <c r="H665" s="10">
        <f>IF($E665=Keys!$C$60,Keys!$C$51,INDEX(Balanced_2025!$D$9:$D$3032,MATCH($A665&amp;Keys!$C$54&amp;Keys!$C$56&amp;Keys!$C$54&amp;$C665,Balanced_2025!$E$9:$E$3032,0)))</f>
        <v>34423100000000</v>
      </c>
      <c r="I665" s="10">
        <f>IF($E665=Keys!$C$60,Keys!$C$51,INDEX(Balanced_2025!$D$9:$D$3032,MATCH($A665&amp;Keys!$C$54&amp;Keys!$C$57&amp;Keys!$C$54&amp;$C665,Balanced_2025!$E$9:$E$3032,0)))</f>
        <v>0</v>
      </c>
      <c r="J665" s="10">
        <f t="shared" si="40"/>
        <v>39520300000000</v>
      </c>
      <c r="K665" s="10">
        <f>MAX(Keys!$C$51,$I665-$H665)</f>
        <v>0</v>
      </c>
      <c r="L665" s="10">
        <f t="shared" si="41"/>
        <v>39520300000000</v>
      </c>
      <c r="M665" s="11">
        <f>IF($L665&gt;Keys!$C$51,MIN(Keys!$C$52,$K665/$L665),Keys!$C$51)</f>
        <v>0</v>
      </c>
      <c r="N665" s="11">
        <f>IF($E665=Keys!$C$60,Keys!$C$51,IF($E665=Keys!$C$59,$D665,$M665))</f>
        <v>0</v>
      </c>
      <c r="O665">
        <f t="shared" si="42"/>
        <v>1</v>
      </c>
      <c r="P665" s="10">
        <f>IF($E665=Keys!$C$60,Keys!$C$51,INDEX(Raw_BFPIaE!$G$9:$G$3032,MATCH($A665&amp;Keys!$C$54&amp;Keys!$C$55&amp;Keys!$C$54&amp;$B665,Raw_BFPIaE!$H$9:$H$3032,0)))</f>
        <v>5101983333333.333</v>
      </c>
      <c r="Q665" s="10">
        <f>IF($E665=Keys!$C$60,Keys!$C$51,INDEX(Raw_BFPIaE!$G$9:$G$3032,MATCH($A665&amp;Keys!$C$54&amp;Keys!$C$56&amp;Keys!$C$54&amp;$B665,Raw_BFPIaE!$H$9:$H$3032,0)))</f>
        <v>21118600000000</v>
      </c>
      <c r="R665" s="10">
        <f>IF($E665=Keys!$C$60,Keys!$C$51,INDEX(Raw_BFPIaE!$G$9:$G$3032,MATCH($A665&amp;Keys!$C$54&amp;Keys!$C$57&amp;Keys!$C$54&amp;$B665,Raw_BFPIaE!$H$9:$H$3032,0)))</f>
        <v>0</v>
      </c>
      <c r="S665" s="11">
        <f>IF(($P665+$Q665-$R665+MAX(Keys!$C$51,$R665-$Q665))&gt;Keys!$C$51,MIN(Keys!$C$52,MAX(Keys!$C$51,$R665-$Q665)/($P665+$Q665-$R665+MAX(Keys!$C$51,$R665-$Q665))),Keys!$C$51)</f>
        <v>0</v>
      </c>
      <c r="T665">
        <f>IF(AND($I665&gt;$H665,ABS($L665-$G665)&gt;MAX(Keys!$C$62,ABS($G665)*Keys!$C$63)),1,0)</f>
        <v>0</v>
      </c>
      <c r="U665">
        <f>IF(OR($N665&lt;Keys!$C$51,$N665&gt;Keys!$C$52),1,0)</f>
        <v>0</v>
      </c>
      <c r="V665">
        <f>IF(AND($E665=Keys!$C$60,$N665&lt;&gt;Keys!$C$51),1,0)</f>
        <v>0</v>
      </c>
      <c r="W665">
        <f>IF($L665&gt;Keys!$C$51,IF($K665/$L665&gt;Keys!$C$52,1,0),0)</f>
        <v>0</v>
      </c>
      <c r="X665" s="11">
        <f t="shared" si="43"/>
        <v>0</v>
      </c>
    </row>
    <row r="666" spans="1:24" x14ac:dyDescent="0.25">
      <c r="A666" t="s">
        <v>145</v>
      </c>
      <c r="B666" t="s">
        <v>94</v>
      </c>
      <c r="C666" t="str">
        <f>VLOOKUP($B666,Keys!$F$2:$I$22,2,FALSE)</f>
        <v>biofuel diesel</v>
      </c>
      <c r="D666">
        <f>VLOOKUP($B666,Keys!$F$2:$I$22,3,FALSE)</f>
        <v>5.8642381E-2</v>
      </c>
      <c r="E666" t="str">
        <f>VLOOKUP($B666,Keys!$F$2:$I$22,4,FALSE)</f>
        <v>rule</v>
      </c>
      <c r="F666" t="str">
        <f>$A666&amp;Keys!$C$54&amp;$B666</f>
        <v>NY|biofuel diesel</v>
      </c>
      <c r="G666" s="10">
        <f>IF($E666=Keys!$C$60,Keys!$C$51,INDEX(Balanced_2025!$D$9:$D$3032,MATCH($A666&amp;Keys!$C$54&amp;Keys!$C$55&amp;Keys!$C$54&amp;$C666,Balanced_2025!$E$9:$E$3032,0)))</f>
        <v>0</v>
      </c>
      <c r="H666" s="10">
        <f>IF($E666=Keys!$C$60,Keys!$C$51,INDEX(Balanced_2025!$D$9:$D$3032,MATCH($A666&amp;Keys!$C$54&amp;Keys!$C$56&amp;Keys!$C$54&amp;$C666,Balanced_2025!$E$9:$E$3032,0)))</f>
        <v>8765600000000</v>
      </c>
      <c r="I666" s="10">
        <f>IF($E666=Keys!$C$60,Keys!$C$51,INDEX(Balanced_2025!$D$9:$D$3032,MATCH($A666&amp;Keys!$C$54&amp;Keys!$C$57&amp;Keys!$C$54&amp;$C666,Balanced_2025!$E$9:$E$3032,0)))</f>
        <v>0</v>
      </c>
      <c r="J666" s="10">
        <f t="shared" si="40"/>
        <v>8765600000000</v>
      </c>
      <c r="K666" s="10">
        <f>MAX(Keys!$C$51,$I666-$H666)</f>
        <v>0</v>
      </c>
      <c r="L666" s="10">
        <f t="shared" si="41"/>
        <v>8765600000000</v>
      </c>
      <c r="M666" s="11">
        <f>IF($L666&gt;Keys!$C$51,MIN(Keys!$C$52,$K666/$L666),Keys!$C$51)</f>
        <v>0</v>
      </c>
      <c r="N666" s="11">
        <f>IF($E666=Keys!$C$60,Keys!$C$51,IF($E666=Keys!$C$59,$D666,$M666))</f>
        <v>0</v>
      </c>
      <c r="O666">
        <f t="shared" si="42"/>
        <v>1</v>
      </c>
      <c r="P666" s="10">
        <f>IF($E666=Keys!$C$60,Keys!$C$51,INDEX(Raw_BFPIaE!$G$9:$G$3032,MATCH($A666&amp;Keys!$C$54&amp;Keys!$C$55&amp;Keys!$C$54&amp;$B666,Raw_BFPIaE!$H$9:$H$3032,0)))</f>
        <v>0</v>
      </c>
      <c r="Q666" s="10">
        <f>IF($E666=Keys!$C$60,Keys!$C$51,INDEX(Raw_BFPIaE!$G$9:$G$3032,MATCH($A666&amp;Keys!$C$54&amp;Keys!$C$56&amp;Keys!$C$54&amp;$B666,Raw_BFPIaE!$H$9:$H$3032,0)))</f>
        <v>5640056666666.667</v>
      </c>
      <c r="R666" s="10">
        <f>IF($E666=Keys!$C$60,Keys!$C$51,INDEX(Raw_BFPIaE!$G$9:$G$3032,MATCH($A666&amp;Keys!$C$54&amp;Keys!$C$57&amp;Keys!$C$54&amp;$B666,Raw_BFPIaE!$H$9:$H$3032,0)))</f>
        <v>0</v>
      </c>
      <c r="S666" s="11">
        <f>IF(($P666+$Q666-$R666+MAX(Keys!$C$51,$R666-$Q666))&gt;Keys!$C$51,MIN(Keys!$C$52,MAX(Keys!$C$51,$R666-$Q666)/($P666+$Q666-$R666+MAX(Keys!$C$51,$R666-$Q666))),Keys!$C$51)</f>
        <v>0</v>
      </c>
      <c r="T666">
        <f>IF(AND($I666&gt;$H666,ABS($L666-$G666)&gt;MAX(Keys!$C$62,ABS($G666)*Keys!$C$63)),1,0)</f>
        <v>0</v>
      </c>
      <c r="U666">
        <f>IF(OR($N666&lt;Keys!$C$51,$N666&gt;Keys!$C$52),1,0)</f>
        <v>0</v>
      </c>
      <c r="V666">
        <f>IF(AND($E666=Keys!$C$60,$N666&lt;&gt;Keys!$C$51),1,0)</f>
        <v>0</v>
      </c>
      <c r="W666">
        <f>IF($L666&gt;Keys!$C$51,IF($K666/$L666&gt;Keys!$C$52,1,0),0)</f>
        <v>0</v>
      </c>
      <c r="X666" s="11">
        <f t="shared" si="43"/>
        <v>0</v>
      </c>
    </row>
    <row r="667" spans="1:24" x14ac:dyDescent="0.25">
      <c r="A667" t="s">
        <v>145</v>
      </c>
      <c r="B667" t="s">
        <v>97</v>
      </c>
      <c r="C667" t="str">
        <f>VLOOKUP($B667,Keys!$F$2:$I$22,2,FALSE)</f>
        <v>jet fuel or kerosene</v>
      </c>
      <c r="D667">
        <f>VLOOKUP($B667,Keys!$F$2:$I$22,3,FALSE)</f>
        <v>0.10155994</v>
      </c>
      <c r="E667" t="str">
        <f>VLOOKUP($B667,Keys!$F$2:$I$22,4,FALSE)</f>
        <v>rule</v>
      </c>
      <c r="F667" t="str">
        <f>$A667&amp;Keys!$C$54&amp;$B667</f>
        <v>NY|jet fuel or kerosene</v>
      </c>
      <c r="G667" s="10">
        <f>IF($E667=Keys!$C$60,Keys!$C$51,INDEX(Balanced_2025!$D$9:$D$3032,MATCH($A667&amp;Keys!$C$54&amp;Keys!$C$55&amp;Keys!$C$54&amp;$C667,Balanced_2025!$E$9:$E$3032,0)))</f>
        <v>0</v>
      </c>
      <c r="H667" s="10">
        <f>IF($E667=Keys!$C$60,Keys!$C$51,INDEX(Balanced_2025!$D$9:$D$3032,MATCH($A667&amp;Keys!$C$54&amp;Keys!$C$56&amp;Keys!$C$54&amp;$C667,Balanced_2025!$E$9:$E$3032,0)))</f>
        <v>274282000000000</v>
      </c>
      <c r="I667" s="10">
        <f>IF($E667=Keys!$C$60,Keys!$C$51,INDEX(Balanced_2025!$D$9:$D$3032,MATCH($A667&amp;Keys!$C$54&amp;Keys!$C$57&amp;Keys!$C$54&amp;$C667,Balanced_2025!$E$9:$E$3032,0)))</f>
        <v>4614930000000</v>
      </c>
      <c r="J667" s="10">
        <f t="shared" si="40"/>
        <v>269667070000000</v>
      </c>
      <c r="K667" s="10">
        <f>MAX(Keys!$C$51,$I667-$H667)</f>
        <v>0</v>
      </c>
      <c r="L667" s="10">
        <f t="shared" si="41"/>
        <v>269667070000000</v>
      </c>
      <c r="M667" s="11">
        <f>IF($L667&gt;Keys!$C$51,MIN(Keys!$C$52,$K667/$L667),Keys!$C$51)</f>
        <v>0</v>
      </c>
      <c r="N667" s="11">
        <f>IF($E667=Keys!$C$60,Keys!$C$51,IF($E667=Keys!$C$59,$D667,$M667))</f>
        <v>0</v>
      </c>
      <c r="O667">
        <f t="shared" si="42"/>
        <v>1</v>
      </c>
      <c r="P667" s="10">
        <f>IF($E667=Keys!$C$60,Keys!$C$51,INDEX(Raw_BFPIaE!$G$9:$G$3032,MATCH($A667&amp;Keys!$C$54&amp;Keys!$C$55&amp;Keys!$C$54&amp;$B667,Raw_BFPIaE!$H$9:$H$3032,0)))</f>
        <v>0</v>
      </c>
      <c r="Q667" s="10">
        <f>IF($E667=Keys!$C$60,Keys!$C$51,INDEX(Raw_BFPIaE!$G$9:$G$3032,MATCH($A667&amp;Keys!$C$54&amp;Keys!$C$56&amp;Keys!$C$54&amp;$B667,Raw_BFPIaE!$H$9:$H$3032,0)))</f>
        <v>185483000000000</v>
      </c>
      <c r="R667" s="10">
        <f>IF($E667=Keys!$C$60,Keys!$C$51,INDEX(Raw_BFPIaE!$G$9:$G$3032,MATCH($A667&amp;Keys!$C$54&amp;Keys!$C$57&amp;Keys!$C$54&amp;$B667,Raw_BFPIaE!$H$9:$H$3032,0)))</f>
        <v>4577643333333.333</v>
      </c>
      <c r="S667" s="11">
        <f>IF(($P667+$Q667-$R667+MAX(Keys!$C$51,$R667-$Q667))&gt;Keys!$C$51,MIN(Keys!$C$52,MAX(Keys!$C$51,$R667-$Q667)/($P667+$Q667-$R667+MAX(Keys!$C$51,$R667-$Q667))),Keys!$C$51)</f>
        <v>0</v>
      </c>
      <c r="T667">
        <f>IF(AND($I667&gt;$H667,ABS($L667-$G667)&gt;MAX(Keys!$C$62,ABS($G667)*Keys!$C$63)),1,0)</f>
        <v>0</v>
      </c>
      <c r="U667">
        <f>IF(OR($N667&lt;Keys!$C$51,$N667&gt;Keys!$C$52),1,0)</f>
        <v>0</v>
      </c>
      <c r="V667">
        <f>IF(AND($E667=Keys!$C$60,$N667&lt;&gt;Keys!$C$51),1,0)</f>
        <v>0</v>
      </c>
      <c r="W667">
        <f>IF($L667&gt;Keys!$C$51,IF($K667/$L667&gt;Keys!$C$52,1,0),0)</f>
        <v>0</v>
      </c>
      <c r="X667" s="11">
        <f t="shared" si="43"/>
        <v>0</v>
      </c>
    </row>
    <row r="668" spans="1:24" x14ac:dyDescent="0.25">
      <c r="A668" t="s">
        <v>145</v>
      </c>
      <c r="B668" t="s">
        <v>100</v>
      </c>
      <c r="C668">
        <f>VLOOKUP($B668,Keys!$F$2:$I$22,2,FALSE)</f>
        <v>0</v>
      </c>
      <c r="D668">
        <f>VLOOKUP($B668,Keys!$F$2:$I$22,3,FALSE)</f>
        <v>0</v>
      </c>
      <c r="E668" t="str">
        <f>VLOOKUP($B668,Keys!$F$2:$I$22,4,FALSE)</f>
        <v>zero</v>
      </c>
      <c r="F668" t="str">
        <f>$A668&amp;Keys!$C$54&amp;$B668</f>
        <v>NY|heat (not used in this variable)</v>
      </c>
      <c r="G668" s="10">
        <f>IF($E668=Keys!$C$60,Keys!$C$51,INDEX(Balanced_2025!$D$9:$D$3032,MATCH($A668&amp;Keys!$C$54&amp;Keys!$C$55&amp;Keys!$C$54&amp;$C668,Balanced_2025!$E$9:$E$3032,0)))</f>
        <v>0</v>
      </c>
      <c r="H668" s="10">
        <f>IF($E668=Keys!$C$60,Keys!$C$51,INDEX(Balanced_2025!$D$9:$D$3032,MATCH($A668&amp;Keys!$C$54&amp;Keys!$C$56&amp;Keys!$C$54&amp;$C668,Balanced_2025!$E$9:$E$3032,0)))</f>
        <v>0</v>
      </c>
      <c r="I668" s="10">
        <f>IF($E668=Keys!$C$60,Keys!$C$51,INDEX(Balanced_2025!$D$9:$D$3032,MATCH($A668&amp;Keys!$C$54&amp;Keys!$C$57&amp;Keys!$C$54&amp;$C668,Balanced_2025!$E$9:$E$3032,0)))</f>
        <v>0</v>
      </c>
      <c r="J668" s="10">
        <f t="shared" si="40"/>
        <v>0</v>
      </c>
      <c r="K668" s="10">
        <f>MAX(Keys!$C$51,$I668-$H668)</f>
        <v>0</v>
      </c>
      <c r="L668" s="10">
        <f t="shared" si="41"/>
        <v>0</v>
      </c>
      <c r="M668" s="11">
        <f>IF($L668&gt;Keys!$C$51,MIN(Keys!$C$52,$K668/$L668),Keys!$C$51)</f>
        <v>0</v>
      </c>
      <c r="N668" s="11">
        <f>IF($E668=Keys!$C$60,Keys!$C$51,IF($E668=Keys!$C$59,$D668,$M668))</f>
        <v>0</v>
      </c>
      <c r="O668">
        <f t="shared" si="42"/>
        <v>0</v>
      </c>
      <c r="P668" s="10">
        <f>IF($E668=Keys!$C$60,Keys!$C$51,INDEX(Raw_BFPIaE!$G$9:$G$3032,MATCH($A668&amp;Keys!$C$54&amp;Keys!$C$55&amp;Keys!$C$54&amp;$B668,Raw_BFPIaE!$H$9:$H$3032,0)))</f>
        <v>0</v>
      </c>
      <c r="Q668" s="10">
        <f>IF($E668=Keys!$C$60,Keys!$C$51,INDEX(Raw_BFPIaE!$G$9:$G$3032,MATCH($A668&amp;Keys!$C$54&amp;Keys!$C$56&amp;Keys!$C$54&amp;$B668,Raw_BFPIaE!$H$9:$H$3032,0)))</f>
        <v>0</v>
      </c>
      <c r="R668" s="10">
        <f>IF($E668=Keys!$C$60,Keys!$C$51,INDEX(Raw_BFPIaE!$G$9:$G$3032,MATCH($A668&amp;Keys!$C$54&amp;Keys!$C$57&amp;Keys!$C$54&amp;$B668,Raw_BFPIaE!$H$9:$H$3032,0)))</f>
        <v>0</v>
      </c>
      <c r="S668" s="11">
        <f>IF(($P668+$Q668-$R668+MAX(Keys!$C$51,$R668-$Q668))&gt;Keys!$C$51,MIN(Keys!$C$52,MAX(Keys!$C$51,$R668-$Q668)/($P668+$Q668-$R668+MAX(Keys!$C$51,$R668-$Q668))),Keys!$C$51)</f>
        <v>0</v>
      </c>
      <c r="T668">
        <f>IF(AND($I668&gt;$H668,ABS($L668-$G668)&gt;MAX(Keys!$C$62,ABS($G668)*Keys!$C$63)),1,0)</f>
        <v>0</v>
      </c>
      <c r="U668">
        <f>IF(OR($N668&lt;Keys!$C$51,$N668&gt;Keys!$C$52),1,0)</f>
        <v>0</v>
      </c>
      <c r="V668">
        <f>IF(AND($E668=Keys!$C$60,$N668&lt;&gt;Keys!$C$51),1,0)</f>
        <v>0</v>
      </c>
      <c r="W668">
        <f>IF($L668&gt;Keys!$C$51,IF($K668/$L668&gt;Keys!$C$52,1,0),0)</f>
        <v>0</v>
      </c>
      <c r="X668" s="11">
        <f t="shared" si="43"/>
        <v>0</v>
      </c>
    </row>
    <row r="669" spans="1:24" x14ac:dyDescent="0.25">
      <c r="A669" t="s">
        <v>145</v>
      </c>
      <c r="B669" t="s">
        <v>103</v>
      </c>
      <c r="C669">
        <f>VLOOKUP($B669,Keys!$F$2:$I$22,2,FALSE)</f>
        <v>0</v>
      </c>
      <c r="D669">
        <f>VLOOKUP($B669,Keys!$F$2:$I$22,3,FALSE)</f>
        <v>0</v>
      </c>
      <c r="E669" t="str">
        <f>VLOOKUP($B669,Keys!$F$2:$I$22,4,FALSE)</f>
        <v>zero</v>
      </c>
      <c r="F669" t="str">
        <f>$A669&amp;Keys!$C$54&amp;$B669</f>
        <v>NY|geothermal (is not a fuel)</v>
      </c>
      <c r="G669" s="10">
        <f>IF($E669=Keys!$C$60,Keys!$C$51,INDEX(Balanced_2025!$D$9:$D$3032,MATCH($A669&amp;Keys!$C$54&amp;Keys!$C$55&amp;Keys!$C$54&amp;$C669,Balanced_2025!$E$9:$E$3032,0)))</f>
        <v>0</v>
      </c>
      <c r="H669" s="10">
        <f>IF($E669=Keys!$C$60,Keys!$C$51,INDEX(Balanced_2025!$D$9:$D$3032,MATCH($A669&amp;Keys!$C$54&amp;Keys!$C$56&amp;Keys!$C$54&amp;$C669,Balanced_2025!$E$9:$E$3032,0)))</f>
        <v>0</v>
      </c>
      <c r="I669" s="10">
        <f>IF($E669=Keys!$C$60,Keys!$C$51,INDEX(Balanced_2025!$D$9:$D$3032,MATCH($A669&amp;Keys!$C$54&amp;Keys!$C$57&amp;Keys!$C$54&amp;$C669,Balanced_2025!$E$9:$E$3032,0)))</f>
        <v>0</v>
      </c>
      <c r="J669" s="10">
        <f t="shared" si="40"/>
        <v>0</v>
      </c>
      <c r="K669" s="10">
        <f>MAX(Keys!$C$51,$I669-$H669)</f>
        <v>0</v>
      </c>
      <c r="L669" s="10">
        <f t="shared" si="41"/>
        <v>0</v>
      </c>
      <c r="M669" s="11">
        <f>IF($L669&gt;Keys!$C$51,MIN(Keys!$C$52,$K669/$L669),Keys!$C$51)</f>
        <v>0</v>
      </c>
      <c r="N669" s="11">
        <f>IF($E669=Keys!$C$60,Keys!$C$51,IF($E669=Keys!$C$59,$D669,$M669))</f>
        <v>0</v>
      </c>
      <c r="O669">
        <f t="shared" si="42"/>
        <v>0</v>
      </c>
      <c r="P669" s="10">
        <f>IF($E669=Keys!$C$60,Keys!$C$51,INDEX(Raw_BFPIaE!$G$9:$G$3032,MATCH($A669&amp;Keys!$C$54&amp;Keys!$C$55&amp;Keys!$C$54&amp;$B669,Raw_BFPIaE!$H$9:$H$3032,0)))</f>
        <v>0</v>
      </c>
      <c r="Q669" s="10">
        <f>IF($E669=Keys!$C$60,Keys!$C$51,INDEX(Raw_BFPIaE!$G$9:$G$3032,MATCH($A669&amp;Keys!$C$54&amp;Keys!$C$56&amp;Keys!$C$54&amp;$B669,Raw_BFPIaE!$H$9:$H$3032,0)))</f>
        <v>0</v>
      </c>
      <c r="R669" s="10">
        <f>IF($E669=Keys!$C$60,Keys!$C$51,INDEX(Raw_BFPIaE!$G$9:$G$3032,MATCH($A669&amp;Keys!$C$54&amp;Keys!$C$57&amp;Keys!$C$54&amp;$B669,Raw_BFPIaE!$H$9:$H$3032,0)))</f>
        <v>0</v>
      </c>
      <c r="S669" s="11">
        <f>IF(($P669+$Q669-$R669+MAX(Keys!$C$51,$R669-$Q669))&gt;Keys!$C$51,MIN(Keys!$C$52,MAX(Keys!$C$51,$R669-$Q669)/($P669+$Q669-$R669+MAX(Keys!$C$51,$R669-$Q669))),Keys!$C$51)</f>
        <v>0</v>
      </c>
      <c r="T669">
        <f>IF(AND($I669&gt;$H669,ABS($L669-$G669)&gt;MAX(Keys!$C$62,ABS($G669)*Keys!$C$63)),1,0)</f>
        <v>0</v>
      </c>
      <c r="U669">
        <f>IF(OR($N669&lt;Keys!$C$51,$N669&gt;Keys!$C$52),1,0)</f>
        <v>0</v>
      </c>
      <c r="V669">
        <f>IF(AND($E669=Keys!$C$60,$N669&lt;&gt;Keys!$C$51),1,0)</f>
        <v>0</v>
      </c>
      <c r="W669">
        <f>IF($L669&gt;Keys!$C$51,IF($K669/$L669&gt;Keys!$C$52,1,0),0)</f>
        <v>0</v>
      </c>
      <c r="X669" s="11">
        <f t="shared" si="43"/>
        <v>0</v>
      </c>
    </row>
    <row r="670" spans="1:24" x14ac:dyDescent="0.25">
      <c r="A670" t="s">
        <v>145</v>
      </c>
      <c r="B670" t="s">
        <v>106</v>
      </c>
      <c r="C670" t="str">
        <f>VLOOKUP($B670,Keys!$F$2:$I$22,2,FALSE)</f>
        <v>lignite</v>
      </c>
      <c r="D670">
        <f>VLOOKUP($B670,Keys!$F$2:$I$22,3,FALSE)</f>
        <v>0</v>
      </c>
      <c r="E670" t="str">
        <f>VLOOKUP($B670,Keys!$F$2:$I$22,4,FALSE)</f>
        <v>rule</v>
      </c>
      <c r="F670" t="str">
        <f>$A670&amp;Keys!$C$54&amp;$B670</f>
        <v>NY|lignite</v>
      </c>
      <c r="G670" s="10">
        <f>IF($E670=Keys!$C$60,Keys!$C$51,INDEX(Balanced_2025!$D$9:$D$3032,MATCH($A670&amp;Keys!$C$54&amp;Keys!$C$55&amp;Keys!$C$54&amp;$C670,Balanced_2025!$E$9:$E$3032,0)))</f>
        <v>0</v>
      </c>
      <c r="H670" s="10">
        <f>IF($E670=Keys!$C$60,Keys!$C$51,INDEX(Balanced_2025!$D$9:$D$3032,MATCH($A670&amp;Keys!$C$54&amp;Keys!$C$56&amp;Keys!$C$54&amp;$C670,Balanced_2025!$E$9:$E$3032,0)))</f>
        <v>0</v>
      </c>
      <c r="I670" s="10">
        <f>IF($E670=Keys!$C$60,Keys!$C$51,INDEX(Balanced_2025!$D$9:$D$3032,MATCH($A670&amp;Keys!$C$54&amp;Keys!$C$57&amp;Keys!$C$54&amp;$C670,Balanced_2025!$E$9:$E$3032,0)))</f>
        <v>0</v>
      </c>
      <c r="J670" s="10">
        <f t="shared" si="40"/>
        <v>0</v>
      </c>
      <c r="K670" s="10">
        <f>MAX(Keys!$C$51,$I670-$H670)</f>
        <v>0</v>
      </c>
      <c r="L670" s="10">
        <f t="shared" si="41"/>
        <v>0</v>
      </c>
      <c r="M670" s="11">
        <f>IF($L670&gt;Keys!$C$51,MIN(Keys!$C$52,$K670/$L670),Keys!$C$51)</f>
        <v>0</v>
      </c>
      <c r="N670" s="11">
        <f>IF($E670=Keys!$C$60,Keys!$C$51,IF($E670=Keys!$C$59,$D670,$M670))</f>
        <v>0</v>
      </c>
      <c r="O670">
        <f t="shared" si="42"/>
        <v>0</v>
      </c>
      <c r="P670" s="10">
        <f>IF($E670=Keys!$C$60,Keys!$C$51,INDEX(Raw_BFPIaE!$G$9:$G$3032,MATCH($A670&amp;Keys!$C$54&amp;Keys!$C$55&amp;Keys!$C$54&amp;$B670,Raw_BFPIaE!$H$9:$H$3032,0)))</f>
        <v>0</v>
      </c>
      <c r="Q670" s="10">
        <f>IF($E670=Keys!$C$60,Keys!$C$51,INDEX(Raw_BFPIaE!$G$9:$G$3032,MATCH($A670&amp;Keys!$C$54&amp;Keys!$C$56&amp;Keys!$C$54&amp;$B670,Raw_BFPIaE!$H$9:$H$3032,0)))</f>
        <v>0</v>
      </c>
      <c r="R670" s="10">
        <f>IF($E670=Keys!$C$60,Keys!$C$51,INDEX(Raw_BFPIaE!$G$9:$G$3032,MATCH($A670&amp;Keys!$C$54&amp;Keys!$C$57&amp;Keys!$C$54&amp;$B670,Raw_BFPIaE!$H$9:$H$3032,0)))</f>
        <v>0</v>
      </c>
      <c r="S670" s="11">
        <f>IF(($P670+$Q670-$R670+MAX(Keys!$C$51,$R670-$Q670))&gt;Keys!$C$51,MIN(Keys!$C$52,MAX(Keys!$C$51,$R670-$Q670)/($P670+$Q670-$R670+MAX(Keys!$C$51,$R670-$Q670))),Keys!$C$51)</f>
        <v>0</v>
      </c>
      <c r="T670">
        <f>IF(AND($I670&gt;$H670,ABS($L670-$G670)&gt;MAX(Keys!$C$62,ABS($G670)*Keys!$C$63)),1,0)</f>
        <v>0</v>
      </c>
      <c r="U670">
        <f>IF(OR($N670&lt;Keys!$C$51,$N670&gt;Keys!$C$52),1,0)</f>
        <v>0</v>
      </c>
      <c r="V670">
        <f>IF(AND($E670=Keys!$C$60,$N670&lt;&gt;Keys!$C$51),1,0)</f>
        <v>0</v>
      </c>
      <c r="W670">
        <f>IF($L670&gt;Keys!$C$51,IF($K670/$L670&gt;Keys!$C$52,1,0),0)</f>
        <v>0</v>
      </c>
      <c r="X670" s="11">
        <f t="shared" si="43"/>
        <v>0</v>
      </c>
    </row>
    <row r="671" spans="1:24" x14ac:dyDescent="0.25">
      <c r="A671" t="s">
        <v>145</v>
      </c>
      <c r="B671" t="s">
        <v>109</v>
      </c>
      <c r="C671" t="str">
        <f>VLOOKUP($B671,Keys!$F$2:$I$22,2,FALSE)</f>
        <v>crude oil</v>
      </c>
      <c r="D671">
        <f>VLOOKUP($B671,Keys!$F$2:$I$22,3,FALSE)</f>
        <v>1</v>
      </c>
      <c r="E671" t="str">
        <f>VLOOKUP($B671,Keys!$F$2:$I$22,4,FALSE)</f>
        <v>hold</v>
      </c>
      <c r="F671" t="str">
        <f>$A671&amp;Keys!$C$54&amp;$B671</f>
        <v>NY|crude oil</v>
      </c>
      <c r="G671" s="10">
        <f>IF($E671=Keys!$C$60,Keys!$C$51,INDEX(Balanced_2025!$D$9:$D$3032,MATCH($A671&amp;Keys!$C$54&amp;Keys!$C$55&amp;Keys!$C$54&amp;$C671,Balanced_2025!$E$9:$E$3032,0)))</f>
        <v>1194800000000</v>
      </c>
      <c r="H671" s="10">
        <f>IF($E671=Keys!$C$60,Keys!$C$51,INDEX(Balanced_2025!$D$9:$D$3032,MATCH($A671&amp;Keys!$C$54&amp;Keys!$C$56&amp;Keys!$C$54&amp;$C671,Balanced_2025!$E$9:$E$3032,0)))</f>
        <v>9428200000000</v>
      </c>
      <c r="I671" s="10">
        <f>IF($E671=Keys!$C$60,Keys!$C$51,INDEX(Balanced_2025!$D$9:$D$3032,MATCH($A671&amp;Keys!$C$54&amp;Keys!$C$57&amp;Keys!$C$54&amp;$C671,Balanced_2025!$E$9:$E$3032,0)))</f>
        <v>0</v>
      </c>
      <c r="J671" s="10">
        <f t="shared" si="40"/>
        <v>10623000000000</v>
      </c>
      <c r="K671" s="10">
        <f>MAX(Keys!$C$51,$I671-$H671)</f>
        <v>0</v>
      </c>
      <c r="L671" s="10">
        <f t="shared" si="41"/>
        <v>10623000000000</v>
      </c>
      <c r="M671" s="11">
        <f>IF($L671&gt;Keys!$C$51,MIN(Keys!$C$52,$K671/$L671),Keys!$C$51)</f>
        <v>0</v>
      </c>
      <c r="N671" s="11">
        <f>IF($E671=Keys!$C$60,Keys!$C$51,IF($E671=Keys!$C$59,$D671,$M671))</f>
        <v>1</v>
      </c>
      <c r="O671">
        <f t="shared" si="42"/>
        <v>0</v>
      </c>
      <c r="P671" s="10">
        <f>IF($E671=Keys!$C$60,Keys!$C$51,INDEX(Raw_BFPIaE!$G$9:$G$3032,MATCH($A671&amp;Keys!$C$54&amp;Keys!$C$55&amp;Keys!$C$54&amp;$B671,Raw_BFPIaE!$H$9:$H$3032,0)))</f>
        <v>1158440000000</v>
      </c>
      <c r="Q671" s="10">
        <f>IF($E671=Keys!$C$60,Keys!$C$51,INDEX(Raw_BFPIaE!$G$9:$G$3032,MATCH($A671&amp;Keys!$C$54&amp;Keys!$C$56&amp;Keys!$C$54&amp;$B671,Raw_BFPIaE!$H$9:$H$3032,0)))</f>
        <v>6321823333333.333</v>
      </c>
      <c r="R671" s="10">
        <f>IF($E671=Keys!$C$60,Keys!$C$51,INDEX(Raw_BFPIaE!$G$9:$G$3032,MATCH($A671&amp;Keys!$C$54&amp;Keys!$C$57&amp;Keys!$C$54&amp;$B671,Raw_BFPIaE!$H$9:$H$3032,0)))</f>
        <v>0</v>
      </c>
      <c r="S671" s="11">
        <f>IF(($P671+$Q671-$R671+MAX(Keys!$C$51,$R671-$Q671))&gt;Keys!$C$51,MIN(Keys!$C$52,MAX(Keys!$C$51,$R671-$Q671)/($P671+$Q671-$R671+MAX(Keys!$C$51,$R671-$Q671))),Keys!$C$51)</f>
        <v>0</v>
      </c>
      <c r="T671">
        <f>IF(AND($I671&gt;$H671,ABS($L671-$G671)&gt;MAX(Keys!$C$62,ABS($G671)*Keys!$C$63)),1,0)</f>
        <v>0</v>
      </c>
      <c r="U671">
        <f>IF(OR($N671&lt;Keys!$C$51,$N671&gt;Keys!$C$52),1,0)</f>
        <v>0</v>
      </c>
      <c r="V671">
        <f>IF(AND($E671=Keys!$C$60,$N671&lt;&gt;Keys!$C$51),1,0)</f>
        <v>0</v>
      </c>
      <c r="W671">
        <f>IF($L671&gt;Keys!$C$51,IF($K671/$L671&gt;Keys!$C$52,1,0),0)</f>
        <v>0</v>
      </c>
      <c r="X671" s="11">
        <f t="shared" si="43"/>
        <v>0</v>
      </c>
    </row>
    <row r="672" spans="1:24" x14ac:dyDescent="0.25">
      <c r="A672" t="s">
        <v>145</v>
      </c>
      <c r="B672" t="s">
        <v>113</v>
      </c>
      <c r="C672" t="str">
        <f>VLOOKUP($B672,Keys!$F$2:$I$22,2,FALSE)</f>
        <v>heavy or residual fuel oil</v>
      </c>
      <c r="D672">
        <f>VLOOKUP($B672,Keys!$F$2:$I$22,3,FALSE)</f>
        <v>0.49914171099999999</v>
      </c>
      <c r="E672" t="str">
        <f>VLOOKUP($B672,Keys!$F$2:$I$22,4,FALSE)</f>
        <v>rule</v>
      </c>
      <c r="F672" t="str">
        <f>$A672&amp;Keys!$C$54&amp;$B672</f>
        <v>NY|heavy fuel oil</v>
      </c>
      <c r="G672" s="10">
        <f>IF($E672=Keys!$C$60,Keys!$C$51,INDEX(Balanced_2025!$D$9:$D$3032,MATCH($A672&amp;Keys!$C$54&amp;Keys!$C$55&amp;Keys!$C$54&amp;$C672,Balanced_2025!$E$9:$E$3032,0)))</f>
        <v>0</v>
      </c>
      <c r="H672" s="10">
        <f>IF($E672=Keys!$C$60,Keys!$C$51,INDEX(Balanced_2025!$D$9:$D$3032,MATCH($A672&amp;Keys!$C$54&amp;Keys!$C$56&amp;Keys!$C$54&amp;$C672,Balanced_2025!$E$9:$E$3032,0)))</f>
        <v>57420000000000</v>
      </c>
      <c r="I672" s="10">
        <f>IF($E672=Keys!$C$60,Keys!$C$51,INDEX(Balanced_2025!$D$9:$D$3032,MATCH($A672&amp;Keys!$C$54&amp;Keys!$C$57&amp;Keys!$C$54&amp;$C672,Balanced_2025!$E$9:$E$3032,0)))</f>
        <v>3327020000000</v>
      </c>
      <c r="J672" s="10">
        <f t="shared" si="40"/>
        <v>54092980000000</v>
      </c>
      <c r="K672" s="10">
        <f>MAX(Keys!$C$51,$I672-$H672)</f>
        <v>0</v>
      </c>
      <c r="L672" s="10">
        <f t="shared" si="41"/>
        <v>54092980000000</v>
      </c>
      <c r="M672" s="11">
        <f>IF($L672&gt;Keys!$C$51,MIN(Keys!$C$52,$K672/$L672),Keys!$C$51)</f>
        <v>0</v>
      </c>
      <c r="N672" s="11">
        <f>IF($E672=Keys!$C$60,Keys!$C$51,IF($E672=Keys!$C$59,$D672,$M672))</f>
        <v>0</v>
      </c>
      <c r="O672">
        <f t="shared" si="42"/>
        <v>1</v>
      </c>
      <c r="P672" s="10">
        <f>IF($E672=Keys!$C$60,Keys!$C$51,INDEX(Raw_BFPIaE!$G$9:$G$3032,MATCH($A672&amp;Keys!$C$54&amp;Keys!$C$55&amp;Keys!$C$54&amp;$B672,Raw_BFPIaE!$H$9:$H$3032,0)))</f>
        <v>0</v>
      </c>
      <c r="Q672" s="10">
        <f>IF($E672=Keys!$C$60,Keys!$C$51,INDEX(Raw_BFPIaE!$G$9:$G$3032,MATCH($A672&amp;Keys!$C$54&amp;Keys!$C$56&amp;Keys!$C$54&amp;$B672,Raw_BFPIaE!$H$9:$H$3032,0)))</f>
        <v>38752500000000</v>
      </c>
      <c r="R672" s="10">
        <f>IF($E672=Keys!$C$60,Keys!$C$51,INDEX(Raw_BFPIaE!$G$9:$G$3032,MATCH($A672&amp;Keys!$C$54&amp;Keys!$C$57&amp;Keys!$C$54&amp;$B672,Raw_BFPIaE!$H$9:$H$3032,0)))</f>
        <v>3300140000000</v>
      </c>
      <c r="S672" s="11">
        <f>IF(($P672+$Q672-$R672+MAX(Keys!$C$51,$R672-$Q672))&gt;Keys!$C$51,MIN(Keys!$C$52,MAX(Keys!$C$51,$R672-$Q672)/($P672+$Q672-$R672+MAX(Keys!$C$51,$R672-$Q672))),Keys!$C$51)</f>
        <v>0</v>
      </c>
      <c r="T672">
        <f>IF(AND($I672&gt;$H672,ABS($L672-$G672)&gt;MAX(Keys!$C$62,ABS($G672)*Keys!$C$63)),1,0)</f>
        <v>0</v>
      </c>
      <c r="U672">
        <f>IF(OR($N672&lt;Keys!$C$51,$N672&gt;Keys!$C$52),1,0)</f>
        <v>0</v>
      </c>
      <c r="V672">
        <f>IF(AND($E672=Keys!$C$60,$N672&lt;&gt;Keys!$C$51),1,0)</f>
        <v>0</v>
      </c>
      <c r="W672">
        <f>IF($L672&gt;Keys!$C$51,IF($K672/$L672&gt;Keys!$C$52,1,0),0)</f>
        <v>0</v>
      </c>
      <c r="X672" s="11">
        <f t="shared" si="43"/>
        <v>0</v>
      </c>
    </row>
    <row r="673" spans="1:24" x14ac:dyDescent="0.25">
      <c r="A673" t="s">
        <v>145</v>
      </c>
      <c r="B673" t="s">
        <v>117</v>
      </c>
      <c r="C673" t="str">
        <f>VLOOKUP($B673,Keys!$F$2:$I$22,2,FALSE)</f>
        <v>LPG propane or butane</v>
      </c>
      <c r="D673">
        <f>VLOOKUP($B673,Keys!$F$2:$I$22,3,FALSE)</f>
        <v>0.54955999499999997</v>
      </c>
      <c r="E673" t="str">
        <f>VLOOKUP($B673,Keys!$F$2:$I$22,4,FALSE)</f>
        <v>rule</v>
      </c>
      <c r="F673" t="str">
        <f>$A673&amp;Keys!$C$54&amp;$B673</f>
        <v>NY|LPG propane or butane</v>
      </c>
      <c r="G673" s="10">
        <f>IF($E673=Keys!$C$60,Keys!$C$51,INDEX(Balanced_2025!$D$9:$D$3032,MATCH($A673&amp;Keys!$C$54&amp;Keys!$C$55&amp;Keys!$C$54&amp;$C673,Balanced_2025!$E$9:$E$3032,0)))</f>
        <v>1120160000000</v>
      </c>
      <c r="H673" s="10">
        <f>IF($E673=Keys!$C$60,Keys!$C$51,INDEX(Balanced_2025!$D$9:$D$3032,MATCH($A673&amp;Keys!$C$54&amp;Keys!$C$56&amp;Keys!$C$54&amp;$C673,Balanced_2025!$E$9:$E$3032,0)))</f>
        <v>40745600000000</v>
      </c>
      <c r="I673" s="10">
        <f>IF($E673=Keys!$C$60,Keys!$C$51,INDEX(Balanced_2025!$D$9:$D$3032,MATCH($A673&amp;Keys!$C$54&amp;Keys!$C$57&amp;Keys!$C$54&amp;$C673,Balanced_2025!$E$9:$E$3032,0)))</f>
        <v>0</v>
      </c>
      <c r="J673" s="10">
        <f t="shared" si="40"/>
        <v>41865760000000</v>
      </c>
      <c r="K673" s="10">
        <f>MAX(Keys!$C$51,$I673-$H673)</f>
        <v>0</v>
      </c>
      <c r="L673" s="10">
        <f t="shared" si="41"/>
        <v>41865760000000</v>
      </c>
      <c r="M673" s="11">
        <f>IF($L673&gt;Keys!$C$51,MIN(Keys!$C$52,$K673/$L673),Keys!$C$51)</f>
        <v>0</v>
      </c>
      <c r="N673" s="11">
        <f>IF($E673=Keys!$C$60,Keys!$C$51,IF($E673=Keys!$C$59,$D673,$M673))</f>
        <v>0</v>
      </c>
      <c r="O673">
        <f t="shared" si="42"/>
        <v>1</v>
      </c>
      <c r="P673" s="10">
        <f>IF($E673=Keys!$C$60,Keys!$C$51,INDEX(Raw_BFPIaE!$G$9:$G$3032,MATCH($A673&amp;Keys!$C$54&amp;Keys!$C$55&amp;Keys!$C$54&amp;$B673,Raw_BFPIaE!$H$9:$H$3032,0)))</f>
        <v>1128090000000</v>
      </c>
      <c r="Q673" s="10">
        <f>IF($E673=Keys!$C$60,Keys!$C$51,INDEX(Raw_BFPIaE!$G$9:$G$3032,MATCH($A673&amp;Keys!$C$54&amp;Keys!$C$56&amp;Keys!$C$54&amp;$B673,Raw_BFPIaE!$H$9:$H$3032,0)))</f>
        <v>26983066666666.668</v>
      </c>
      <c r="R673" s="10">
        <f>IF($E673=Keys!$C$60,Keys!$C$51,INDEX(Raw_BFPIaE!$G$9:$G$3032,MATCH($A673&amp;Keys!$C$54&amp;Keys!$C$57&amp;Keys!$C$54&amp;$B673,Raw_BFPIaE!$H$9:$H$3032,0)))</f>
        <v>0</v>
      </c>
      <c r="S673" s="11">
        <f>IF(($P673+$Q673-$R673+MAX(Keys!$C$51,$R673-$Q673))&gt;Keys!$C$51,MIN(Keys!$C$52,MAX(Keys!$C$51,$R673-$Q673)/($P673+$Q673-$R673+MAX(Keys!$C$51,$R673-$Q673))),Keys!$C$51)</f>
        <v>0</v>
      </c>
      <c r="T673">
        <f>IF(AND($I673&gt;$H673,ABS($L673-$G673)&gt;MAX(Keys!$C$62,ABS($G673)*Keys!$C$63)),1,0)</f>
        <v>0</v>
      </c>
      <c r="U673">
        <f>IF(OR($N673&lt;Keys!$C$51,$N673&gt;Keys!$C$52),1,0)</f>
        <v>0</v>
      </c>
      <c r="V673">
        <f>IF(AND($E673=Keys!$C$60,$N673&lt;&gt;Keys!$C$51),1,0)</f>
        <v>0</v>
      </c>
      <c r="W673">
        <f>IF($L673&gt;Keys!$C$51,IF($K673/$L673&gt;Keys!$C$52,1,0),0)</f>
        <v>0</v>
      </c>
      <c r="X673" s="11">
        <f t="shared" si="43"/>
        <v>0</v>
      </c>
    </row>
    <row r="674" spans="1:24" x14ac:dyDescent="0.25">
      <c r="A674" t="s">
        <v>145</v>
      </c>
      <c r="B674" t="s">
        <v>120</v>
      </c>
      <c r="C674">
        <f>VLOOKUP($B674,Keys!$F$2:$I$22,2,FALSE)</f>
        <v>0</v>
      </c>
      <c r="D674">
        <f>VLOOKUP($B674,Keys!$F$2:$I$22,3,FALSE)</f>
        <v>0</v>
      </c>
      <c r="E674" t="str">
        <f>VLOOKUP($B674,Keys!$F$2:$I$22,4,FALSE)</f>
        <v>zero</v>
      </c>
      <c r="F674" t="str">
        <f>$A674&amp;Keys!$C$54&amp;$B674</f>
        <v>NY|municipal solid waste</v>
      </c>
      <c r="G674" s="10">
        <f>IF($E674=Keys!$C$60,Keys!$C$51,INDEX(Balanced_2025!$D$9:$D$3032,MATCH($A674&amp;Keys!$C$54&amp;Keys!$C$55&amp;Keys!$C$54&amp;$C674,Balanced_2025!$E$9:$E$3032,0)))</f>
        <v>0</v>
      </c>
      <c r="H674" s="10">
        <f>IF($E674=Keys!$C$60,Keys!$C$51,INDEX(Balanced_2025!$D$9:$D$3032,MATCH($A674&amp;Keys!$C$54&amp;Keys!$C$56&amp;Keys!$C$54&amp;$C674,Balanced_2025!$E$9:$E$3032,0)))</f>
        <v>0</v>
      </c>
      <c r="I674" s="10">
        <f>IF($E674=Keys!$C$60,Keys!$C$51,INDEX(Balanced_2025!$D$9:$D$3032,MATCH($A674&amp;Keys!$C$54&amp;Keys!$C$57&amp;Keys!$C$54&amp;$C674,Balanced_2025!$E$9:$E$3032,0)))</f>
        <v>0</v>
      </c>
      <c r="J674" s="10">
        <f t="shared" si="40"/>
        <v>0</v>
      </c>
      <c r="K674" s="10">
        <f>MAX(Keys!$C$51,$I674-$H674)</f>
        <v>0</v>
      </c>
      <c r="L674" s="10">
        <f t="shared" si="41"/>
        <v>0</v>
      </c>
      <c r="M674" s="11">
        <f>IF($L674&gt;Keys!$C$51,MIN(Keys!$C$52,$K674/$L674),Keys!$C$51)</f>
        <v>0</v>
      </c>
      <c r="N674" s="11">
        <f>IF($E674=Keys!$C$60,Keys!$C$51,IF($E674=Keys!$C$59,$D674,$M674))</f>
        <v>0</v>
      </c>
      <c r="O674">
        <f t="shared" si="42"/>
        <v>0</v>
      </c>
      <c r="P674" s="10">
        <f>IF($E674=Keys!$C$60,Keys!$C$51,INDEX(Raw_BFPIaE!$G$9:$G$3032,MATCH($A674&amp;Keys!$C$54&amp;Keys!$C$55&amp;Keys!$C$54&amp;$B674,Raw_BFPIaE!$H$9:$H$3032,0)))</f>
        <v>0</v>
      </c>
      <c r="Q674" s="10">
        <f>IF($E674=Keys!$C$60,Keys!$C$51,INDEX(Raw_BFPIaE!$G$9:$G$3032,MATCH($A674&amp;Keys!$C$54&amp;Keys!$C$56&amp;Keys!$C$54&amp;$B674,Raw_BFPIaE!$H$9:$H$3032,0)))</f>
        <v>0</v>
      </c>
      <c r="R674" s="10">
        <f>IF($E674=Keys!$C$60,Keys!$C$51,INDEX(Raw_BFPIaE!$G$9:$G$3032,MATCH($A674&amp;Keys!$C$54&amp;Keys!$C$57&amp;Keys!$C$54&amp;$B674,Raw_BFPIaE!$H$9:$H$3032,0)))</f>
        <v>0</v>
      </c>
      <c r="S674" s="11">
        <f>IF(($P674+$Q674-$R674+MAX(Keys!$C$51,$R674-$Q674))&gt;Keys!$C$51,MIN(Keys!$C$52,MAX(Keys!$C$51,$R674-$Q674)/($P674+$Q674-$R674+MAX(Keys!$C$51,$R674-$Q674))),Keys!$C$51)</f>
        <v>0</v>
      </c>
      <c r="T674">
        <f>IF(AND($I674&gt;$H674,ABS($L674-$G674)&gt;MAX(Keys!$C$62,ABS($G674)*Keys!$C$63)),1,0)</f>
        <v>0</v>
      </c>
      <c r="U674">
        <f>IF(OR($N674&lt;Keys!$C$51,$N674&gt;Keys!$C$52),1,0)</f>
        <v>0</v>
      </c>
      <c r="V674">
        <f>IF(AND($E674=Keys!$C$60,$N674&lt;&gt;Keys!$C$51),1,0)</f>
        <v>0</v>
      </c>
      <c r="W674">
        <f>IF($L674&gt;Keys!$C$51,IF($K674/$L674&gt;Keys!$C$52,1,0),0)</f>
        <v>0</v>
      </c>
      <c r="X674" s="11">
        <f t="shared" si="43"/>
        <v>0</v>
      </c>
    </row>
    <row r="675" spans="1:24" x14ac:dyDescent="0.25">
      <c r="A675" t="s">
        <v>145</v>
      </c>
      <c r="B675" t="s">
        <v>123</v>
      </c>
      <c r="C675">
        <f>VLOOKUP($B675,Keys!$F$2:$I$22,2,FALSE)</f>
        <v>0</v>
      </c>
      <c r="D675">
        <f>VLOOKUP($B675,Keys!$F$2:$I$22,3,FALSE)</f>
        <v>0</v>
      </c>
      <c r="E675" t="str">
        <f>VLOOKUP($B675,Keys!$F$2:$I$22,4,FALSE)</f>
        <v>zero</v>
      </c>
      <c r="F675" t="str">
        <f>$A675&amp;Keys!$C$54&amp;$B675</f>
        <v>NY|hydrogen</v>
      </c>
      <c r="G675" s="10">
        <f>IF($E675=Keys!$C$60,Keys!$C$51,INDEX(Balanced_2025!$D$9:$D$3032,MATCH($A675&amp;Keys!$C$54&amp;Keys!$C$55&amp;Keys!$C$54&amp;$C675,Balanced_2025!$E$9:$E$3032,0)))</f>
        <v>0</v>
      </c>
      <c r="H675" s="10">
        <f>IF($E675=Keys!$C$60,Keys!$C$51,INDEX(Balanced_2025!$D$9:$D$3032,MATCH($A675&amp;Keys!$C$54&amp;Keys!$C$56&amp;Keys!$C$54&amp;$C675,Balanced_2025!$E$9:$E$3032,0)))</f>
        <v>0</v>
      </c>
      <c r="I675" s="10">
        <f>IF($E675=Keys!$C$60,Keys!$C$51,INDEX(Balanced_2025!$D$9:$D$3032,MATCH($A675&amp;Keys!$C$54&amp;Keys!$C$57&amp;Keys!$C$54&amp;$C675,Balanced_2025!$E$9:$E$3032,0)))</f>
        <v>0</v>
      </c>
      <c r="J675" s="10">
        <f t="shared" si="40"/>
        <v>0</v>
      </c>
      <c r="K675" s="10">
        <f>MAX(Keys!$C$51,$I675-$H675)</f>
        <v>0</v>
      </c>
      <c r="L675" s="10">
        <f t="shared" si="41"/>
        <v>0</v>
      </c>
      <c r="M675" s="11">
        <f>IF($L675&gt;Keys!$C$51,MIN(Keys!$C$52,$K675/$L675),Keys!$C$51)</f>
        <v>0</v>
      </c>
      <c r="N675" s="11">
        <f>IF($E675=Keys!$C$60,Keys!$C$51,IF($E675=Keys!$C$59,$D675,$M675))</f>
        <v>0</v>
      </c>
      <c r="O675">
        <f t="shared" si="42"/>
        <v>0</v>
      </c>
      <c r="P675" s="10">
        <f>IF($E675=Keys!$C$60,Keys!$C$51,INDEX(Raw_BFPIaE!$G$9:$G$3032,MATCH($A675&amp;Keys!$C$54&amp;Keys!$C$55&amp;Keys!$C$54&amp;$B675,Raw_BFPIaE!$H$9:$H$3032,0)))</f>
        <v>0</v>
      </c>
      <c r="Q675" s="10">
        <f>IF($E675=Keys!$C$60,Keys!$C$51,INDEX(Raw_BFPIaE!$G$9:$G$3032,MATCH($A675&amp;Keys!$C$54&amp;Keys!$C$56&amp;Keys!$C$54&amp;$B675,Raw_BFPIaE!$H$9:$H$3032,0)))</f>
        <v>0</v>
      </c>
      <c r="R675" s="10">
        <f>IF($E675=Keys!$C$60,Keys!$C$51,INDEX(Raw_BFPIaE!$G$9:$G$3032,MATCH($A675&amp;Keys!$C$54&amp;Keys!$C$57&amp;Keys!$C$54&amp;$B675,Raw_BFPIaE!$H$9:$H$3032,0)))</f>
        <v>0</v>
      </c>
      <c r="S675" s="11">
        <f>IF(($P675+$Q675-$R675+MAX(Keys!$C$51,$R675-$Q675))&gt;Keys!$C$51,MIN(Keys!$C$52,MAX(Keys!$C$51,$R675-$Q675)/($P675+$Q675-$R675+MAX(Keys!$C$51,$R675-$Q675))),Keys!$C$51)</f>
        <v>0</v>
      </c>
      <c r="T675">
        <f>IF(AND($I675&gt;$H675,ABS($L675-$G675)&gt;MAX(Keys!$C$62,ABS($G675)*Keys!$C$63)),1,0)</f>
        <v>0</v>
      </c>
      <c r="U675">
        <f>IF(OR($N675&lt;Keys!$C$51,$N675&gt;Keys!$C$52),1,0)</f>
        <v>0</v>
      </c>
      <c r="V675">
        <f>IF(AND($E675=Keys!$C$60,$N675&lt;&gt;Keys!$C$51),1,0)</f>
        <v>0</v>
      </c>
      <c r="W675">
        <f>IF($L675&gt;Keys!$C$51,IF($K675/$L675&gt;Keys!$C$52,1,0),0)</f>
        <v>0</v>
      </c>
      <c r="X675" s="11">
        <f t="shared" si="43"/>
        <v>0</v>
      </c>
    </row>
    <row r="676" spans="1:24" x14ac:dyDescent="0.25">
      <c r="A676" t="s">
        <v>147</v>
      </c>
      <c r="B676" t="s">
        <v>60</v>
      </c>
      <c r="C676">
        <f>VLOOKUP($B676,Keys!$F$2:$I$22,2,FALSE)</f>
        <v>0</v>
      </c>
      <c r="D676">
        <f>VLOOKUP($B676,Keys!$F$2:$I$22,3,FALSE)</f>
        <v>0</v>
      </c>
      <c r="E676" t="str">
        <f>VLOOKUP($B676,Keys!$F$2:$I$22,4,FALSE)</f>
        <v>zero</v>
      </c>
      <c r="F676" t="str">
        <f>$A676&amp;Keys!$C$54&amp;$B676</f>
        <v>OH|electricity (not used in this variable)</v>
      </c>
      <c r="G676" s="10">
        <f>IF($E676=Keys!$C$60,Keys!$C$51,INDEX(Balanced_2025!$D$9:$D$3032,MATCH($A676&amp;Keys!$C$54&amp;Keys!$C$55&amp;Keys!$C$54&amp;$C676,Balanced_2025!$E$9:$E$3032,0)))</f>
        <v>0</v>
      </c>
      <c r="H676" s="10">
        <f>IF($E676=Keys!$C$60,Keys!$C$51,INDEX(Balanced_2025!$D$9:$D$3032,MATCH($A676&amp;Keys!$C$54&amp;Keys!$C$56&amp;Keys!$C$54&amp;$C676,Balanced_2025!$E$9:$E$3032,0)))</f>
        <v>0</v>
      </c>
      <c r="I676" s="10">
        <f>IF($E676=Keys!$C$60,Keys!$C$51,INDEX(Balanced_2025!$D$9:$D$3032,MATCH($A676&amp;Keys!$C$54&amp;Keys!$C$57&amp;Keys!$C$54&amp;$C676,Balanced_2025!$E$9:$E$3032,0)))</f>
        <v>0</v>
      </c>
      <c r="J676" s="10">
        <f t="shared" si="40"/>
        <v>0</v>
      </c>
      <c r="K676" s="10">
        <f>MAX(Keys!$C$51,$I676-$H676)</f>
        <v>0</v>
      </c>
      <c r="L676" s="10">
        <f t="shared" si="41"/>
        <v>0</v>
      </c>
      <c r="M676" s="11">
        <f>IF($L676&gt;Keys!$C$51,MIN(Keys!$C$52,$K676/$L676),Keys!$C$51)</f>
        <v>0</v>
      </c>
      <c r="N676" s="11">
        <f>IF($E676=Keys!$C$60,Keys!$C$51,IF($E676=Keys!$C$59,$D676,$M676))</f>
        <v>0</v>
      </c>
      <c r="O676">
        <f t="shared" si="42"/>
        <v>0</v>
      </c>
      <c r="P676" s="10">
        <f>IF($E676=Keys!$C$60,Keys!$C$51,INDEX(Raw_BFPIaE!$G$9:$G$3032,MATCH($A676&amp;Keys!$C$54&amp;Keys!$C$55&amp;Keys!$C$54&amp;$B676,Raw_BFPIaE!$H$9:$H$3032,0)))</f>
        <v>0</v>
      </c>
      <c r="Q676" s="10">
        <f>IF($E676=Keys!$C$60,Keys!$C$51,INDEX(Raw_BFPIaE!$G$9:$G$3032,MATCH($A676&amp;Keys!$C$54&amp;Keys!$C$56&amp;Keys!$C$54&amp;$B676,Raw_BFPIaE!$H$9:$H$3032,0)))</f>
        <v>0</v>
      </c>
      <c r="R676" s="10">
        <f>IF($E676=Keys!$C$60,Keys!$C$51,INDEX(Raw_BFPIaE!$G$9:$G$3032,MATCH($A676&amp;Keys!$C$54&amp;Keys!$C$57&amp;Keys!$C$54&amp;$B676,Raw_BFPIaE!$H$9:$H$3032,0)))</f>
        <v>0</v>
      </c>
      <c r="S676" s="11">
        <f>IF(($P676+$Q676-$R676+MAX(Keys!$C$51,$R676-$Q676))&gt;Keys!$C$51,MIN(Keys!$C$52,MAX(Keys!$C$51,$R676-$Q676)/($P676+$Q676-$R676+MAX(Keys!$C$51,$R676-$Q676))),Keys!$C$51)</f>
        <v>0</v>
      </c>
      <c r="T676">
        <f>IF(AND($I676&gt;$H676,ABS($L676-$G676)&gt;MAX(Keys!$C$62,ABS($G676)*Keys!$C$63)),1,0)</f>
        <v>0</v>
      </c>
      <c r="U676">
        <f>IF(OR($N676&lt;Keys!$C$51,$N676&gt;Keys!$C$52),1,0)</f>
        <v>0</v>
      </c>
      <c r="V676">
        <f>IF(AND($E676=Keys!$C$60,$N676&lt;&gt;Keys!$C$51),1,0)</f>
        <v>0</v>
      </c>
      <c r="W676">
        <f>IF($L676&gt;Keys!$C$51,IF($K676/$L676&gt;Keys!$C$52,1,0),0)</f>
        <v>0</v>
      </c>
      <c r="X676" s="11">
        <f t="shared" si="43"/>
        <v>0</v>
      </c>
    </row>
    <row r="677" spans="1:24" x14ac:dyDescent="0.25">
      <c r="A677" t="s">
        <v>147</v>
      </c>
      <c r="B677" t="s">
        <v>64</v>
      </c>
      <c r="C677" t="str">
        <f>VLOOKUP($B677,Keys!$F$2:$I$22,2,FALSE)</f>
        <v>hard coal</v>
      </c>
      <c r="D677">
        <f>VLOOKUP($B677,Keys!$F$2:$I$22,3,FALSE)</f>
        <v>0.137539879</v>
      </c>
      <c r="E677" t="str">
        <f>VLOOKUP($B677,Keys!$F$2:$I$22,4,FALSE)</f>
        <v>rule</v>
      </c>
      <c r="F677" t="str">
        <f>$A677&amp;Keys!$C$54&amp;$B677</f>
        <v>OH|hard coal</v>
      </c>
      <c r="G677" s="10">
        <f>IF($E677=Keys!$C$60,Keys!$C$51,INDEX(Balanced_2025!$D$9:$D$3032,MATCH($A677&amp;Keys!$C$54&amp;Keys!$C$55&amp;Keys!$C$54&amp;$C677,Balanced_2025!$E$9:$E$3032,0)))</f>
        <v>36799500000000</v>
      </c>
      <c r="H677" s="10">
        <f>IF($E677=Keys!$C$60,Keys!$C$51,INDEX(Balanced_2025!$D$9:$D$3032,MATCH($A677&amp;Keys!$C$54&amp;Keys!$C$56&amp;Keys!$C$54&amp;$C677,Balanced_2025!$E$9:$E$3032,0)))</f>
        <v>494191000000000</v>
      </c>
      <c r="I677" s="10">
        <f>IF($E677=Keys!$C$60,Keys!$C$51,INDEX(Balanced_2025!$D$9:$D$3032,MATCH($A677&amp;Keys!$C$54&amp;Keys!$C$57&amp;Keys!$C$54&amp;$C677,Balanced_2025!$E$9:$E$3032,0)))</f>
        <v>24302000000000</v>
      </c>
      <c r="J677" s="10">
        <f t="shared" si="40"/>
        <v>506688500000000</v>
      </c>
      <c r="K677" s="10">
        <f>MAX(Keys!$C$51,$I677-$H677)</f>
        <v>0</v>
      </c>
      <c r="L677" s="10">
        <f t="shared" si="41"/>
        <v>506688500000000</v>
      </c>
      <c r="M677" s="11">
        <f>IF($L677&gt;Keys!$C$51,MIN(Keys!$C$52,$K677/$L677),Keys!$C$51)</f>
        <v>0</v>
      </c>
      <c r="N677" s="11">
        <f>IF($E677=Keys!$C$60,Keys!$C$51,IF($E677=Keys!$C$59,$D677,$M677))</f>
        <v>0</v>
      </c>
      <c r="O677">
        <f t="shared" si="42"/>
        <v>1</v>
      </c>
      <c r="P677" s="10">
        <f>IF($E677=Keys!$C$60,Keys!$C$51,INDEX(Raw_BFPIaE!$G$9:$G$3032,MATCH($A677&amp;Keys!$C$54&amp;Keys!$C$55&amp;Keys!$C$54&amp;$B677,Raw_BFPIaE!$H$9:$H$3032,0)))</f>
        <v>36799800000000</v>
      </c>
      <c r="Q677" s="10">
        <f>IF($E677=Keys!$C$60,Keys!$C$51,INDEX(Raw_BFPIaE!$G$9:$G$3032,MATCH($A677&amp;Keys!$C$54&amp;Keys!$C$56&amp;Keys!$C$54&amp;$B677,Raw_BFPIaE!$H$9:$H$3032,0)))</f>
        <v>420377666666666.69</v>
      </c>
      <c r="R677" s="10">
        <f>IF($E677=Keys!$C$60,Keys!$C$51,INDEX(Raw_BFPIaE!$G$9:$G$3032,MATCH($A677&amp;Keys!$C$54&amp;Keys!$C$57&amp;Keys!$C$54&amp;$B677,Raw_BFPIaE!$H$9:$H$3032,0)))</f>
        <v>24302200000000</v>
      </c>
      <c r="S677" s="11">
        <f>IF(($P677+$Q677-$R677+MAX(Keys!$C$51,$R677-$Q677))&gt;Keys!$C$51,MIN(Keys!$C$52,MAX(Keys!$C$51,$R677-$Q677)/($P677+$Q677-$R677+MAX(Keys!$C$51,$R677-$Q677))),Keys!$C$51)</f>
        <v>0</v>
      </c>
      <c r="T677">
        <f>IF(AND($I677&gt;$H677,ABS($L677-$G677)&gt;MAX(Keys!$C$62,ABS($G677)*Keys!$C$63)),1,0)</f>
        <v>0</v>
      </c>
      <c r="U677">
        <f>IF(OR($N677&lt;Keys!$C$51,$N677&gt;Keys!$C$52),1,0)</f>
        <v>0</v>
      </c>
      <c r="V677">
        <f>IF(AND($E677=Keys!$C$60,$N677&lt;&gt;Keys!$C$51),1,0)</f>
        <v>0</v>
      </c>
      <c r="W677">
        <f>IF($L677&gt;Keys!$C$51,IF($K677/$L677&gt;Keys!$C$52,1,0),0)</f>
        <v>0</v>
      </c>
      <c r="X677" s="11">
        <f t="shared" si="43"/>
        <v>0</v>
      </c>
    </row>
    <row r="678" spans="1:24" x14ac:dyDescent="0.25">
      <c r="A678" t="s">
        <v>147</v>
      </c>
      <c r="B678" t="s">
        <v>68</v>
      </c>
      <c r="C678" t="str">
        <f>VLOOKUP($B678,Keys!$F$2:$I$22,2,FALSE)</f>
        <v>natural gas</v>
      </c>
      <c r="D678">
        <f>VLOOKUP($B678,Keys!$F$2:$I$22,3,FALSE)</f>
        <v>0.190839183</v>
      </c>
      <c r="E678" t="str">
        <f>VLOOKUP($B678,Keys!$F$2:$I$22,4,FALSE)</f>
        <v>rule</v>
      </c>
      <c r="F678" t="str">
        <f>$A678&amp;Keys!$C$54&amp;$B678</f>
        <v>OH|natural gas</v>
      </c>
      <c r="G678" s="10">
        <f>IF($E678=Keys!$C$60,Keys!$C$51,INDEX(Balanced_2025!$D$9:$D$3032,MATCH($A678&amp;Keys!$C$54&amp;Keys!$C$55&amp;Keys!$C$54&amp;$C678,Balanced_2025!$E$9:$E$3032,0)))</f>
        <v>2159520000000000</v>
      </c>
      <c r="H678" s="10">
        <f>IF($E678=Keys!$C$60,Keys!$C$51,INDEX(Balanced_2025!$D$9:$D$3032,MATCH($A678&amp;Keys!$C$54&amp;Keys!$C$56&amp;Keys!$C$54&amp;$C678,Balanced_2025!$E$9:$E$3032,0)))</f>
        <v>3009400000000000</v>
      </c>
      <c r="I678" s="10">
        <f>IF($E678=Keys!$C$60,Keys!$C$51,INDEX(Balanced_2025!$D$9:$D$3032,MATCH($A678&amp;Keys!$C$54&amp;Keys!$C$57&amp;Keys!$C$54&amp;$C678,Balanced_2025!$E$9:$E$3032,0)))</f>
        <v>3774360000000000</v>
      </c>
      <c r="J678" s="10">
        <f t="shared" si="40"/>
        <v>1394560000000000</v>
      </c>
      <c r="K678" s="10">
        <f>MAX(Keys!$C$51,$I678-$H678)</f>
        <v>764960000000000</v>
      </c>
      <c r="L678" s="10">
        <f t="shared" si="41"/>
        <v>2159520000000000</v>
      </c>
      <c r="M678" s="11">
        <f>IF($L678&gt;Keys!$C$51,MIN(Keys!$C$52,$K678/$L678),Keys!$C$51)</f>
        <v>0.35422686522931024</v>
      </c>
      <c r="N678" s="11">
        <f>IF($E678=Keys!$C$60,Keys!$C$51,IF($E678=Keys!$C$59,$D678,$M678))</f>
        <v>0.35422686522931024</v>
      </c>
      <c r="O678">
        <f t="shared" si="42"/>
        <v>1</v>
      </c>
      <c r="P678" s="10">
        <f>IF($E678=Keys!$C$60,Keys!$C$51,INDEX(Raw_BFPIaE!$G$9:$G$3032,MATCH($A678&amp;Keys!$C$54&amp;Keys!$C$55&amp;Keys!$C$54&amp;$B678,Raw_BFPIaE!$H$9:$H$3032,0)))</f>
        <v>2161753333333333.3</v>
      </c>
      <c r="Q678" s="10">
        <f>IF($E678=Keys!$C$60,Keys!$C$51,INDEX(Raw_BFPIaE!$G$9:$G$3032,MATCH($A678&amp;Keys!$C$54&amp;Keys!$C$56&amp;Keys!$C$54&amp;$B678,Raw_BFPIaE!$H$9:$H$3032,0)))</f>
        <v>3116683333333333.5</v>
      </c>
      <c r="R678" s="10">
        <f>IF($E678=Keys!$C$60,Keys!$C$51,INDEX(Raw_BFPIaE!$G$9:$G$3032,MATCH($A678&amp;Keys!$C$54&amp;Keys!$C$57&amp;Keys!$C$54&amp;$B678,Raw_BFPIaE!$H$9:$H$3032,0)))</f>
        <v>3778266666666666.5</v>
      </c>
      <c r="S678" s="11">
        <f>IF(($P678+$Q678-$R678+MAX(Keys!$C$51,$R678-$Q678))&gt;Keys!$C$51,MIN(Keys!$C$52,MAX(Keys!$C$51,$R678-$Q678)/($P678+$Q678-$R678+MAX(Keys!$C$51,$R678-$Q678))),Keys!$C$51)</f>
        <v>0.30604015876001872</v>
      </c>
      <c r="T678">
        <f>IF(AND($I678&gt;$H678,ABS($L678-$G678)&gt;MAX(Keys!$C$62,ABS($G678)*Keys!$C$63)),1,0)</f>
        <v>0</v>
      </c>
      <c r="U678">
        <f>IF(OR($N678&lt;Keys!$C$51,$N678&gt;Keys!$C$52),1,0)</f>
        <v>0</v>
      </c>
      <c r="V678">
        <f>IF(AND($E678=Keys!$C$60,$N678&lt;&gt;Keys!$C$51),1,0)</f>
        <v>0</v>
      </c>
      <c r="W678">
        <f>IF($L678&gt;Keys!$C$51,IF($K678/$L678&gt;Keys!$C$52,1,0),0)</f>
        <v>0</v>
      </c>
      <c r="X678" s="11">
        <f t="shared" si="43"/>
        <v>4.8186706469291518E-2</v>
      </c>
    </row>
    <row r="679" spans="1:24" x14ac:dyDescent="0.25">
      <c r="A679" t="s">
        <v>147</v>
      </c>
      <c r="B679" t="s">
        <v>71</v>
      </c>
      <c r="C679">
        <f>VLOOKUP($B679,Keys!$F$2:$I$22,2,FALSE)</f>
        <v>0</v>
      </c>
      <c r="D679">
        <f>VLOOKUP($B679,Keys!$F$2:$I$22,3,FALSE)</f>
        <v>0</v>
      </c>
      <c r="E679" t="str">
        <f>VLOOKUP($B679,Keys!$F$2:$I$22,4,FALSE)</f>
        <v>zero</v>
      </c>
      <c r="F679" t="str">
        <f>$A679&amp;Keys!$C$54&amp;$B679</f>
        <v>OH|nuclear</v>
      </c>
      <c r="G679" s="10">
        <f>IF($E679=Keys!$C$60,Keys!$C$51,INDEX(Balanced_2025!$D$9:$D$3032,MATCH($A679&amp;Keys!$C$54&amp;Keys!$C$55&amp;Keys!$C$54&amp;$C679,Balanced_2025!$E$9:$E$3032,0)))</f>
        <v>0</v>
      </c>
      <c r="H679" s="10">
        <f>IF($E679=Keys!$C$60,Keys!$C$51,INDEX(Balanced_2025!$D$9:$D$3032,MATCH($A679&amp;Keys!$C$54&amp;Keys!$C$56&amp;Keys!$C$54&amp;$C679,Balanced_2025!$E$9:$E$3032,0)))</f>
        <v>0</v>
      </c>
      <c r="I679" s="10">
        <f>IF($E679=Keys!$C$60,Keys!$C$51,INDEX(Balanced_2025!$D$9:$D$3032,MATCH($A679&amp;Keys!$C$54&amp;Keys!$C$57&amp;Keys!$C$54&amp;$C679,Balanced_2025!$E$9:$E$3032,0)))</f>
        <v>0</v>
      </c>
      <c r="J679" s="10">
        <f t="shared" si="40"/>
        <v>0</v>
      </c>
      <c r="K679" s="10">
        <f>MAX(Keys!$C$51,$I679-$H679)</f>
        <v>0</v>
      </c>
      <c r="L679" s="10">
        <f t="shared" si="41"/>
        <v>0</v>
      </c>
      <c r="M679" s="11">
        <f>IF($L679&gt;Keys!$C$51,MIN(Keys!$C$52,$K679/$L679),Keys!$C$51)</f>
        <v>0</v>
      </c>
      <c r="N679" s="11">
        <f>IF($E679=Keys!$C$60,Keys!$C$51,IF($E679=Keys!$C$59,$D679,$M679))</f>
        <v>0</v>
      </c>
      <c r="O679">
        <f t="shared" si="42"/>
        <v>0</v>
      </c>
      <c r="P679" s="10">
        <f>IF($E679=Keys!$C$60,Keys!$C$51,INDEX(Raw_BFPIaE!$G$9:$G$3032,MATCH($A679&amp;Keys!$C$54&amp;Keys!$C$55&amp;Keys!$C$54&amp;$B679,Raw_BFPIaE!$H$9:$H$3032,0)))</f>
        <v>0</v>
      </c>
      <c r="Q679" s="10">
        <f>IF($E679=Keys!$C$60,Keys!$C$51,INDEX(Raw_BFPIaE!$G$9:$G$3032,MATCH($A679&amp;Keys!$C$54&amp;Keys!$C$56&amp;Keys!$C$54&amp;$B679,Raw_BFPIaE!$H$9:$H$3032,0)))</f>
        <v>0</v>
      </c>
      <c r="R679" s="10">
        <f>IF($E679=Keys!$C$60,Keys!$C$51,INDEX(Raw_BFPIaE!$G$9:$G$3032,MATCH($A679&amp;Keys!$C$54&amp;Keys!$C$57&amp;Keys!$C$54&amp;$B679,Raw_BFPIaE!$H$9:$H$3032,0)))</f>
        <v>0</v>
      </c>
      <c r="S679" s="11">
        <f>IF(($P679+$Q679-$R679+MAX(Keys!$C$51,$R679-$Q679))&gt;Keys!$C$51,MIN(Keys!$C$52,MAX(Keys!$C$51,$R679-$Q679)/($P679+$Q679-$R679+MAX(Keys!$C$51,$R679-$Q679))),Keys!$C$51)</f>
        <v>0</v>
      </c>
      <c r="T679">
        <f>IF(AND($I679&gt;$H679,ABS($L679-$G679)&gt;MAX(Keys!$C$62,ABS($G679)*Keys!$C$63)),1,0)</f>
        <v>0</v>
      </c>
      <c r="U679">
        <f>IF(OR($N679&lt;Keys!$C$51,$N679&gt;Keys!$C$52),1,0)</f>
        <v>0</v>
      </c>
      <c r="V679">
        <f>IF(AND($E679=Keys!$C$60,$N679&lt;&gt;Keys!$C$51),1,0)</f>
        <v>0</v>
      </c>
      <c r="W679">
        <f>IF($L679&gt;Keys!$C$51,IF($K679/$L679&gt;Keys!$C$52,1,0),0)</f>
        <v>0</v>
      </c>
      <c r="X679" s="11">
        <f t="shared" si="43"/>
        <v>0</v>
      </c>
    </row>
    <row r="680" spans="1:24" x14ac:dyDescent="0.25">
      <c r="A680" t="s">
        <v>147</v>
      </c>
      <c r="B680" t="s">
        <v>74</v>
      </c>
      <c r="C680">
        <f>VLOOKUP($B680,Keys!$F$2:$I$22,2,FALSE)</f>
        <v>0</v>
      </c>
      <c r="D680">
        <f>VLOOKUP($B680,Keys!$F$2:$I$22,3,FALSE)</f>
        <v>0</v>
      </c>
      <c r="E680" t="str">
        <f>VLOOKUP($B680,Keys!$F$2:$I$22,4,FALSE)</f>
        <v>zero</v>
      </c>
      <c r="F680" t="str">
        <f>$A680&amp;Keys!$C$54&amp;$B680</f>
        <v>OH|hydro (is not a fuel)</v>
      </c>
      <c r="G680" s="10">
        <f>IF($E680=Keys!$C$60,Keys!$C$51,INDEX(Balanced_2025!$D$9:$D$3032,MATCH($A680&amp;Keys!$C$54&amp;Keys!$C$55&amp;Keys!$C$54&amp;$C680,Balanced_2025!$E$9:$E$3032,0)))</f>
        <v>0</v>
      </c>
      <c r="H680" s="10">
        <f>IF($E680=Keys!$C$60,Keys!$C$51,INDEX(Balanced_2025!$D$9:$D$3032,MATCH($A680&amp;Keys!$C$54&amp;Keys!$C$56&amp;Keys!$C$54&amp;$C680,Balanced_2025!$E$9:$E$3032,0)))</f>
        <v>0</v>
      </c>
      <c r="I680" s="10">
        <f>IF($E680=Keys!$C$60,Keys!$C$51,INDEX(Balanced_2025!$D$9:$D$3032,MATCH($A680&amp;Keys!$C$54&amp;Keys!$C$57&amp;Keys!$C$54&amp;$C680,Balanced_2025!$E$9:$E$3032,0)))</f>
        <v>0</v>
      </c>
      <c r="J680" s="10">
        <f t="shared" si="40"/>
        <v>0</v>
      </c>
      <c r="K680" s="10">
        <f>MAX(Keys!$C$51,$I680-$H680)</f>
        <v>0</v>
      </c>
      <c r="L680" s="10">
        <f t="shared" si="41"/>
        <v>0</v>
      </c>
      <c r="M680" s="11">
        <f>IF($L680&gt;Keys!$C$51,MIN(Keys!$C$52,$K680/$L680),Keys!$C$51)</f>
        <v>0</v>
      </c>
      <c r="N680" s="11">
        <f>IF($E680=Keys!$C$60,Keys!$C$51,IF($E680=Keys!$C$59,$D680,$M680))</f>
        <v>0</v>
      </c>
      <c r="O680">
        <f t="shared" si="42"/>
        <v>0</v>
      </c>
      <c r="P680" s="10">
        <f>IF($E680=Keys!$C$60,Keys!$C$51,INDEX(Raw_BFPIaE!$G$9:$G$3032,MATCH($A680&amp;Keys!$C$54&amp;Keys!$C$55&amp;Keys!$C$54&amp;$B680,Raw_BFPIaE!$H$9:$H$3032,0)))</f>
        <v>0</v>
      </c>
      <c r="Q680" s="10">
        <f>IF($E680=Keys!$C$60,Keys!$C$51,INDEX(Raw_BFPIaE!$G$9:$G$3032,MATCH($A680&amp;Keys!$C$54&amp;Keys!$C$56&amp;Keys!$C$54&amp;$B680,Raw_BFPIaE!$H$9:$H$3032,0)))</f>
        <v>0</v>
      </c>
      <c r="R680" s="10">
        <f>IF($E680=Keys!$C$60,Keys!$C$51,INDEX(Raw_BFPIaE!$G$9:$G$3032,MATCH($A680&amp;Keys!$C$54&amp;Keys!$C$57&amp;Keys!$C$54&amp;$B680,Raw_BFPIaE!$H$9:$H$3032,0)))</f>
        <v>0</v>
      </c>
      <c r="S680" s="11">
        <f>IF(($P680+$Q680-$R680+MAX(Keys!$C$51,$R680-$Q680))&gt;Keys!$C$51,MIN(Keys!$C$52,MAX(Keys!$C$51,$R680-$Q680)/($P680+$Q680-$R680+MAX(Keys!$C$51,$R680-$Q680))),Keys!$C$51)</f>
        <v>0</v>
      </c>
      <c r="T680">
        <f>IF(AND($I680&gt;$H680,ABS($L680-$G680)&gt;MAX(Keys!$C$62,ABS($G680)*Keys!$C$63)),1,0)</f>
        <v>0</v>
      </c>
      <c r="U680">
        <f>IF(OR($N680&lt;Keys!$C$51,$N680&gt;Keys!$C$52),1,0)</f>
        <v>0</v>
      </c>
      <c r="V680">
        <f>IF(AND($E680=Keys!$C$60,$N680&lt;&gt;Keys!$C$51),1,0)</f>
        <v>0</v>
      </c>
      <c r="W680">
        <f>IF($L680&gt;Keys!$C$51,IF($K680/$L680&gt;Keys!$C$52,1,0),0)</f>
        <v>0</v>
      </c>
      <c r="X680" s="11">
        <f t="shared" si="43"/>
        <v>0</v>
      </c>
    </row>
    <row r="681" spans="1:24" x14ac:dyDescent="0.25">
      <c r="A681" t="s">
        <v>147</v>
      </c>
      <c r="B681" t="s">
        <v>77</v>
      </c>
      <c r="C681">
        <f>VLOOKUP($B681,Keys!$F$2:$I$22,2,FALSE)</f>
        <v>0</v>
      </c>
      <c r="D681">
        <f>VLOOKUP($B681,Keys!$F$2:$I$22,3,FALSE)</f>
        <v>0</v>
      </c>
      <c r="E681" t="str">
        <f>VLOOKUP($B681,Keys!$F$2:$I$22,4,FALSE)</f>
        <v>zero</v>
      </c>
      <c r="F681" t="str">
        <f>$A681&amp;Keys!$C$54&amp;$B681</f>
        <v>OH|wind (is not a fuel)</v>
      </c>
      <c r="G681" s="10">
        <f>IF($E681=Keys!$C$60,Keys!$C$51,INDEX(Balanced_2025!$D$9:$D$3032,MATCH($A681&amp;Keys!$C$54&amp;Keys!$C$55&amp;Keys!$C$54&amp;$C681,Balanced_2025!$E$9:$E$3032,0)))</f>
        <v>0</v>
      </c>
      <c r="H681" s="10">
        <f>IF($E681=Keys!$C$60,Keys!$C$51,INDEX(Balanced_2025!$D$9:$D$3032,MATCH($A681&amp;Keys!$C$54&amp;Keys!$C$56&amp;Keys!$C$54&amp;$C681,Balanced_2025!$E$9:$E$3032,0)))</f>
        <v>0</v>
      </c>
      <c r="I681" s="10">
        <f>IF($E681=Keys!$C$60,Keys!$C$51,INDEX(Balanced_2025!$D$9:$D$3032,MATCH($A681&amp;Keys!$C$54&amp;Keys!$C$57&amp;Keys!$C$54&amp;$C681,Balanced_2025!$E$9:$E$3032,0)))</f>
        <v>0</v>
      </c>
      <c r="J681" s="10">
        <f t="shared" si="40"/>
        <v>0</v>
      </c>
      <c r="K681" s="10">
        <f>MAX(Keys!$C$51,$I681-$H681)</f>
        <v>0</v>
      </c>
      <c r="L681" s="10">
        <f t="shared" si="41"/>
        <v>0</v>
      </c>
      <c r="M681" s="11">
        <f>IF($L681&gt;Keys!$C$51,MIN(Keys!$C$52,$K681/$L681),Keys!$C$51)</f>
        <v>0</v>
      </c>
      <c r="N681" s="11">
        <f>IF($E681=Keys!$C$60,Keys!$C$51,IF($E681=Keys!$C$59,$D681,$M681))</f>
        <v>0</v>
      </c>
      <c r="O681">
        <f t="shared" si="42"/>
        <v>0</v>
      </c>
      <c r="P681" s="10">
        <f>IF($E681=Keys!$C$60,Keys!$C$51,INDEX(Raw_BFPIaE!$G$9:$G$3032,MATCH($A681&amp;Keys!$C$54&amp;Keys!$C$55&amp;Keys!$C$54&amp;$B681,Raw_BFPIaE!$H$9:$H$3032,0)))</f>
        <v>0</v>
      </c>
      <c r="Q681" s="10">
        <f>IF($E681=Keys!$C$60,Keys!$C$51,INDEX(Raw_BFPIaE!$G$9:$G$3032,MATCH($A681&amp;Keys!$C$54&amp;Keys!$C$56&amp;Keys!$C$54&amp;$B681,Raw_BFPIaE!$H$9:$H$3032,0)))</f>
        <v>0</v>
      </c>
      <c r="R681" s="10">
        <f>IF($E681=Keys!$C$60,Keys!$C$51,INDEX(Raw_BFPIaE!$G$9:$G$3032,MATCH($A681&amp;Keys!$C$54&amp;Keys!$C$57&amp;Keys!$C$54&amp;$B681,Raw_BFPIaE!$H$9:$H$3032,0)))</f>
        <v>0</v>
      </c>
      <c r="S681" s="11">
        <f>IF(($P681+$Q681-$R681+MAX(Keys!$C$51,$R681-$Q681))&gt;Keys!$C$51,MIN(Keys!$C$52,MAX(Keys!$C$51,$R681-$Q681)/($P681+$Q681-$R681+MAX(Keys!$C$51,$R681-$Q681))),Keys!$C$51)</f>
        <v>0</v>
      </c>
      <c r="T681">
        <f>IF(AND($I681&gt;$H681,ABS($L681-$G681)&gt;MAX(Keys!$C$62,ABS($G681)*Keys!$C$63)),1,0)</f>
        <v>0</v>
      </c>
      <c r="U681">
        <f>IF(OR($N681&lt;Keys!$C$51,$N681&gt;Keys!$C$52),1,0)</f>
        <v>0</v>
      </c>
      <c r="V681">
        <f>IF(AND($E681=Keys!$C$60,$N681&lt;&gt;Keys!$C$51),1,0)</f>
        <v>0</v>
      </c>
      <c r="W681">
        <f>IF($L681&gt;Keys!$C$51,IF($K681/$L681&gt;Keys!$C$52,1,0),0)</f>
        <v>0</v>
      </c>
      <c r="X681" s="11">
        <f t="shared" si="43"/>
        <v>0</v>
      </c>
    </row>
    <row r="682" spans="1:24" x14ac:dyDescent="0.25">
      <c r="A682" t="s">
        <v>147</v>
      </c>
      <c r="B682" t="s">
        <v>80</v>
      </c>
      <c r="C682">
        <f>VLOOKUP($B682,Keys!$F$2:$I$22,2,FALSE)</f>
        <v>0</v>
      </c>
      <c r="D682">
        <f>VLOOKUP($B682,Keys!$F$2:$I$22,3,FALSE)</f>
        <v>0</v>
      </c>
      <c r="E682" t="str">
        <f>VLOOKUP($B682,Keys!$F$2:$I$22,4,FALSE)</f>
        <v>zero</v>
      </c>
      <c r="F682" t="str">
        <f>$A682&amp;Keys!$C$54&amp;$B682</f>
        <v>OH|solar (is not a fuel)</v>
      </c>
      <c r="G682" s="10">
        <f>IF($E682=Keys!$C$60,Keys!$C$51,INDEX(Balanced_2025!$D$9:$D$3032,MATCH($A682&amp;Keys!$C$54&amp;Keys!$C$55&amp;Keys!$C$54&amp;$C682,Balanced_2025!$E$9:$E$3032,0)))</f>
        <v>0</v>
      </c>
      <c r="H682" s="10">
        <f>IF($E682=Keys!$C$60,Keys!$C$51,INDEX(Balanced_2025!$D$9:$D$3032,MATCH($A682&amp;Keys!$C$54&amp;Keys!$C$56&amp;Keys!$C$54&amp;$C682,Balanced_2025!$E$9:$E$3032,0)))</f>
        <v>0</v>
      </c>
      <c r="I682" s="10">
        <f>IF($E682=Keys!$C$60,Keys!$C$51,INDEX(Balanced_2025!$D$9:$D$3032,MATCH($A682&amp;Keys!$C$54&amp;Keys!$C$57&amp;Keys!$C$54&amp;$C682,Balanced_2025!$E$9:$E$3032,0)))</f>
        <v>0</v>
      </c>
      <c r="J682" s="10">
        <f t="shared" si="40"/>
        <v>0</v>
      </c>
      <c r="K682" s="10">
        <f>MAX(Keys!$C$51,$I682-$H682)</f>
        <v>0</v>
      </c>
      <c r="L682" s="10">
        <f t="shared" si="41"/>
        <v>0</v>
      </c>
      <c r="M682" s="11">
        <f>IF($L682&gt;Keys!$C$51,MIN(Keys!$C$52,$K682/$L682),Keys!$C$51)</f>
        <v>0</v>
      </c>
      <c r="N682" s="11">
        <f>IF($E682=Keys!$C$60,Keys!$C$51,IF($E682=Keys!$C$59,$D682,$M682))</f>
        <v>0</v>
      </c>
      <c r="O682">
        <f t="shared" si="42"/>
        <v>0</v>
      </c>
      <c r="P682" s="10">
        <f>IF($E682=Keys!$C$60,Keys!$C$51,INDEX(Raw_BFPIaE!$G$9:$G$3032,MATCH($A682&amp;Keys!$C$54&amp;Keys!$C$55&amp;Keys!$C$54&amp;$B682,Raw_BFPIaE!$H$9:$H$3032,0)))</f>
        <v>0</v>
      </c>
      <c r="Q682" s="10">
        <f>IF($E682=Keys!$C$60,Keys!$C$51,INDEX(Raw_BFPIaE!$G$9:$G$3032,MATCH($A682&amp;Keys!$C$54&amp;Keys!$C$56&amp;Keys!$C$54&amp;$B682,Raw_BFPIaE!$H$9:$H$3032,0)))</f>
        <v>0</v>
      </c>
      <c r="R682" s="10">
        <f>IF($E682=Keys!$C$60,Keys!$C$51,INDEX(Raw_BFPIaE!$G$9:$G$3032,MATCH($A682&amp;Keys!$C$54&amp;Keys!$C$57&amp;Keys!$C$54&amp;$B682,Raw_BFPIaE!$H$9:$H$3032,0)))</f>
        <v>0</v>
      </c>
      <c r="S682" s="11">
        <f>IF(($P682+$Q682-$R682+MAX(Keys!$C$51,$R682-$Q682))&gt;Keys!$C$51,MIN(Keys!$C$52,MAX(Keys!$C$51,$R682-$Q682)/($P682+$Q682-$R682+MAX(Keys!$C$51,$R682-$Q682))),Keys!$C$51)</f>
        <v>0</v>
      </c>
      <c r="T682">
        <f>IF(AND($I682&gt;$H682,ABS($L682-$G682)&gt;MAX(Keys!$C$62,ABS($G682)*Keys!$C$63)),1,0)</f>
        <v>0</v>
      </c>
      <c r="U682">
        <f>IF(OR($N682&lt;Keys!$C$51,$N682&gt;Keys!$C$52),1,0)</f>
        <v>0</v>
      </c>
      <c r="V682">
        <f>IF(AND($E682=Keys!$C$60,$N682&lt;&gt;Keys!$C$51),1,0)</f>
        <v>0</v>
      </c>
      <c r="W682">
        <f>IF($L682&gt;Keys!$C$51,IF($K682/$L682&gt;Keys!$C$52,1,0),0)</f>
        <v>0</v>
      </c>
      <c r="X682" s="11">
        <f t="shared" si="43"/>
        <v>0</v>
      </c>
    </row>
    <row r="683" spans="1:24" x14ac:dyDescent="0.25">
      <c r="A683" t="s">
        <v>147</v>
      </c>
      <c r="B683" t="s">
        <v>82</v>
      </c>
      <c r="C683" t="str">
        <f>VLOOKUP($B683,Keys!$F$2:$I$22,2,FALSE)</f>
        <v>biomass</v>
      </c>
      <c r="D683">
        <f>VLOOKUP($B683,Keys!$F$2:$I$22,3,FALSE)</f>
        <v>0.74947425499999998</v>
      </c>
      <c r="E683" t="str">
        <f>VLOOKUP($B683,Keys!$F$2:$I$22,4,FALSE)</f>
        <v>rule</v>
      </c>
      <c r="F683" t="str">
        <f>$A683&amp;Keys!$C$54&amp;$B683</f>
        <v>OH|biomass</v>
      </c>
      <c r="G683" s="10">
        <f>IF($E683=Keys!$C$60,Keys!$C$51,INDEX(Balanced_2025!$D$9:$D$3032,MATCH($A683&amp;Keys!$C$54&amp;Keys!$C$55&amp;Keys!$C$54&amp;$C683,Balanced_2025!$E$9:$E$3032,0)))</f>
        <v>1720000000000</v>
      </c>
      <c r="H683" s="10">
        <f>IF($E683=Keys!$C$60,Keys!$C$51,INDEX(Balanced_2025!$D$9:$D$3032,MATCH($A683&amp;Keys!$C$54&amp;Keys!$C$56&amp;Keys!$C$54&amp;$C683,Balanced_2025!$E$9:$E$3032,0)))</f>
        <v>48127000000000</v>
      </c>
      <c r="I683" s="10">
        <f>IF($E683=Keys!$C$60,Keys!$C$51,INDEX(Balanced_2025!$D$9:$D$3032,MATCH($A683&amp;Keys!$C$54&amp;Keys!$C$57&amp;Keys!$C$54&amp;$C683,Balanced_2025!$E$9:$E$3032,0)))</f>
        <v>0</v>
      </c>
      <c r="J683" s="10">
        <f t="shared" si="40"/>
        <v>49847000000000</v>
      </c>
      <c r="K683" s="10">
        <f>MAX(Keys!$C$51,$I683-$H683)</f>
        <v>0</v>
      </c>
      <c r="L683" s="10">
        <f t="shared" si="41"/>
        <v>49847000000000</v>
      </c>
      <c r="M683" s="11">
        <f>IF($L683&gt;Keys!$C$51,MIN(Keys!$C$52,$K683/$L683),Keys!$C$51)</f>
        <v>0</v>
      </c>
      <c r="N683" s="11">
        <f>IF($E683=Keys!$C$60,Keys!$C$51,IF($E683=Keys!$C$59,$D683,$M683))</f>
        <v>0</v>
      </c>
      <c r="O683">
        <f t="shared" si="42"/>
        <v>1</v>
      </c>
      <c r="P683" s="10">
        <f>IF($E683=Keys!$C$60,Keys!$C$51,INDEX(Raw_BFPIaE!$G$9:$G$3032,MATCH($A683&amp;Keys!$C$54&amp;Keys!$C$55&amp;Keys!$C$54&amp;$B683,Raw_BFPIaE!$H$9:$H$3032,0)))</f>
        <v>1720000000000</v>
      </c>
      <c r="Q683" s="10">
        <f>IF($E683=Keys!$C$60,Keys!$C$51,INDEX(Raw_BFPIaE!$G$9:$G$3032,MATCH($A683&amp;Keys!$C$54&amp;Keys!$C$56&amp;Keys!$C$54&amp;$B683,Raw_BFPIaE!$H$9:$H$3032,0)))</f>
        <v>31663966666666.668</v>
      </c>
      <c r="R683" s="10">
        <f>IF($E683=Keys!$C$60,Keys!$C$51,INDEX(Raw_BFPIaE!$G$9:$G$3032,MATCH($A683&amp;Keys!$C$54&amp;Keys!$C$57&amp;Keys!$C$54&amp;$B683,Raw_BFPIaE!$H$9:$H$3032,0)))</f>
        <v>0</v>
      </c>
      <c r="S683" s="11">
        <f>IF(($P683+$Q683-$R683+MAX(Keys!$C$51,$R683-$Q683))&gt;Keys!$C$51,MIN(Keys!$C$52,MAX(Keys!$C$51,$R683-$Q683)/($P683+$Q683-$R683+MAX(Keys!$C$51,$R683-$Q683))),Keys!$C$51)</f>
        <v>0</v>
      </c>
      <c r="T683">
        <f>IF(AND($I683&gt;$H683,ABS($L683-$G683)&gt;MAX(Keys!$C$62,ABS($G683)*Keys!$C$63)),1,0)</f>
        <v>0</v>
      </c>
      <c r="U683">
        <f>IF(OR($N683&lt;Keys!$C$51,$N683&gt;Keys!$C$52),1,0)</f>
        <v>0</v>
      </c>
      <c r="V683">
        <f>IF(AND($E683=Keys!$C$60,$N683&lt;&gt;Keys!$C$51),1,0)</f>
        <v>0</v>
      </c>
      <c r="W683">
        <f>IF($L683&gt;Keys!$C$51,IF($K683/$L683&gt;Keys!$C$52,1,0),0)</f>
        <v>0</v>
      </c>
      <c r="X683" s="11">
        <f t="shared" si="43"/>
        <v>0</v>
      </c>
    </row>
    <row r="684" spans="1:24" x14ac:dyDescent="0.25">
      <c r="A684" t="s">
        <v>147</v>
      </c>
      <c r="B684" t="s">
        <v>85</v>
      </c>
      <c r="C684" t="str">
        <f>VLOOKUP($B684,Keys!$F$2:$I$22,2,FALSE)</f>
        <v>petroleum gasoline</v>
      </c>
      <c r="D684">
        <f>VLOOKUP($B684,Keys!$F$2:$I$22,3,FALSE)</f>
        <v>7.5004052000000002E-2</v>
      </c>
      <c r="E684" t="str">
        <f>VLOOKUP($B684,Keys!$F$2:$I$22,4,FALSE)</f>
        <v>rule</v>
      </c>
      <c r="F684" t="str">
        <f>$A684&amp;Keys!$C$54&amp;$B684</f>
        <v>OH|petroleum gasoline</v>
      </c>
      <c r="G684" s="10">
        <f>IF($E684=Keys!$C$60,Keys!$C$51,INDEX(Balanced_2025!$D$9:$D$3032,MATCH($A684&amp;Keys!$C$54&amp;Keys!$C$55&amp;Keys!$C$54&amp;$C684,Balanced_2025!$E$9:$E$3032,0)))</f>
        <v>588705000000000</v>
      </c>
      <c r="H684" s="10">
        <f>IF($E684=Keys!$C$60,Keys!$C$51,INDEX(Balanced_2025!$D$9:$D$3032,MATCH($A684&amp;Keys!$C$54&amp;Keys!$C$56&amp;Keys!$C$54&amp;$C684,Balanced_2025!$E$9:$E$3032,0)))</f>
        <v>27917800000000</v>
      </c>
      <c r="I684" s="10">
        <f>IF($E684=Keys!$C$60,Keys!$C$51,INDEX(Balanced_2025!$D$9:$D$3032,MATCH($A684&amp;Keys!$C$54&amp;Keys!$C$57&amp;Keys!$C$54&amp;$C684,Balanced_2025!$E$9:$E$3032,0)))</f>
        <v>107130000000000</v>
      </c>
      <c r="J684" s="10">
        <f t="shared" si="40"/>
        <v>509492800000000</v>
      </c>
      <c r="K684" s="10">
        <f>MAX(Keys!$C$51,$I684-$H684)</f>
        <v>79212200000000</v>
      </c>
      <c r="L684" s="10">
        <f t="shared" si="41"/>
        <v>588705000000000</v>
      </c>
      <c r="M684" s="11">
        <f>IF($L684&gt;Keys!$C$51,MIN(Keys!$C$52,$K684/$L684),Keys!$C$51)</f>
        <v>0.1345532991905963</v>
      </c>
      <c r="N684" s="11">
        <f>IF($E684=Keys!$C$60,Keys!$C$51,IF($E684=Keys!$C$59,$D684,$M684))</f>
        <v>0.1345532991905963</v>
      </c>
      <c r="O684">
        <f t="shared" si="42"/>
        <v>1</v>
      </c>
      <c r="P684" s="10">
        <f>IF($E684=Keys!$C$60,Keys!$C$51,INDEX(Raw_BFPIaE!$G$9:$G$3032,MATCH($A684&amp;Keys!$C$54&amp;Keys!$C$55&amp;Keys!$C$54&amp;$B684,Raw_BFPIaE!$H$9:$H$3032,0)))</f>
        <v>583948666666666.63</v>
      </c>
      <c r="Q684" s="10">
        <f>IF($E684=Keys!$C$60,Keys!$C$51,INDEX(Raw_BFPIaE!$G$9:$G$3032,MATCH($A684&amp;Keys!$C$54&amp;Keys!$C$56&amp;Keys!$C$54&amp;$B684,Raw_BFPIaE!$H$9:$H$3032,0)))</f>
        <v>0</v>
      </c>
      <c r="R684" s="10">
        <f>IF($E684=Keys!$C$60,Keys!$C$51,INDEX(Raw_BFPIaE!$G$9:$G$3032,MATCH($A684&amp;Keys!$C$54&amp;Keys!$C$57&amp;Keys!$C$54&amp;$B684,Raw_BFPIaE!$H$9:$H$3032,0)))</f>
        <v>68935366666666.664</v>
      </c>
      <c r="S684" s="11">
        <f>IF(($P684+$Q684-$R684+MAX(Keys!$C$51,$R684-$Q684))&gt;Keys!$C$51,MIN(Keys!$C$52,MAX(Keys!$C$51,$R684-$Q684)/($P684+$Q684-$R684+MAX(Keys!$C$51,$R684-$Q684))),Keys!$C$51)</f>
        <v>0.11805038799072522</v>
      </c>
      <c r="T684">
        <f>IF(AND($I684&gt;$H684,ABS($L684-$G684)&gt;MAX(Keys!$C$62,ABS($G684)*Keys!$C$63)),1,0)</f>
        <v>0</v>
      </c>
      <c r="U684">
        <f>IF(OR($N684&lt;Keys!$C$51,$N684&gt;Keys!$C$52),1,0)</f>
        <v>0</v>
      </c>
      <c r="V684">
        <f>IF(AND($E684=Keys!$C$60,$N684&lt;&gt;Keys!$C$51),1,0)</f>
        <v>0</v>
      </c>
      <c r="W684">
        <f>IF($L684&gt;Keys!$C$51,IF($K684/$L684&gt;Keys!$C$52,1,0),0)</f>
        <v>0</v>
      </c>
      <c r="X684" s="11">
        <f t="shared" si="43"/>
        <v>1.6502911199871087E-2</v>
      </c>
    </row>
    <row r="685" spans="1:24" x14ac:dyDescent="0.25">
      <c r="A685" t="s">
        <v>147</v>
      </c>
      <c r="B685" t="s">
        <v>88</v>
      </c>
      <c r="C685" t="str">
        <f>VLOOKUP($B685,Keys!$F$2:$I$22,2,FALSE)</f>
        <v>petroleum diesel</v>
      </c>
      <c r="D685">
        <f>VLOOKUP($B685,Keys!$F$2:$I$22,3,FALSE)</f>
        <v>0.26691051799999999</v>
      </c>
      <c r="E685" t="str">
        <f>VLOOKUP($B685,Keys!$F$2:$I$22,4,FALSE)</f>
        <v>rule</v>
      </c>
      <c r="F685" t="str">
        <f>$A685&amp;Keys!$C$54&amp;$B685</f>
        <v>OH|petroleum diesel</v>
      </c>
      <c r="G685" s="10">
        <f>IF($E685=Keys!$C$60,Keys!$C$51,INDEX(Balanced_2025!$D$9:$D$3032,MATCH($A685&amp;Keys!$C$54&amp;Keys!$C$55&amp;Keys!$C$54&amp;$C685,Balanced_2025!$E$9:$E$3032,0)))</f>
        <v>348228000000000</v>
      </c>
      <c r="H685" s="10">
        <f>IF($E685=Keys!$C$60,Keys!$C$51,INDEX(Balanced_2025!$D$9:$D$3032,MATCH($A685&amp;Keys!$C$54&amp;Keys!$C$56&amp;Keys!$C$54&amp;$C685,Balanced_2025!$E$9:$E$3032,0)))</f>
        <v>5173710000000</v>
      </c>
      <c r="I685" s="10">
        <f>IF($E685=Keys!$C$60,Keys!$C$51,INDEX(Balanced_2025!$D$9:$D$3032,MATCH($A685&amp;Keys!$C$54&amp;Keys!$C$57&amp;Keys!$C$54&amp;$C685,Balanced_2025!$E$9:$E$3032,0)))</f>
        <v>39564800000000</v>
      </c>
      <c r="J685" s="10">
        <f t="shared" si="40"/>
        <v>313836910000000</v>
      </c>
      <c r="K685" s="10">
        <f>MAX(Keys!$C$51,$I685-$H685)</f>
        <v>34391090000000</v>
      </c>
      <c r="L685" s="10">
        <f t="shared" si="41"/>
        <v>348228000000000</v>
      </c>
      <c r="M685" s="11">
        <f>IF($L685&gt;Keys!$C$51,MIN(Keys!$C$52,$K685/$L685),Keys!$C$51)</f>
        <v>9.8760266262333876E-2</v>
      </c>
      <c r="N685" s="11">
        <f>IF($E685=Keys!$C$60,Keys!$C$51,IF($E685=Keys!$C$59,$D685,$M685))</f>
        <v>9.8760266262333876E-2</v>
      </c>
      <c r="O685">
        <f t="shared" si="42"/>
        <v>1</v>
      </c>
      <c r="P685" s="10">
        <f>IF($E685=Keys!$C$60,Keys!$C$51,INDEX(Raw_BFPIaE!$G$9:$G$3032,MATCH($A685&amp;Keys!$C$54&amp;Keys!$C$55&amp;Keys!$C$54&amp;$B685,Raw_BFPIaE!$H$9:$H$3032,0)))</f>
        <v>345414666666666.69</v>
      </c>
      <c r="Q685" s="10">
        <f>IF($E685=Keys!$C$60,Keys!$C$51,INDEX(Raw_BFPIaE!$G$9:$G$3032,MATCH($A685&amp;Keys!$C$54&amp;Keys!$C$56&amp;Keys!$C$54&amp;$B685,Raw_BFPIaE!$H$9:$H$3032,0)))</f>
        <v>0</v>
      </c>
      <c r="R685" s="10">
        <f>IF($E685=Keys!$C$60,Keys!$C$51,INDEX(Raw_BFPIaE!$G$9:$G$3032,MATCH($A685&amp;Keys!$C$54&amp;Keys!$C$57&amp;Keys!$C$54&amp;$B685,Raw_BFPIaE!$H$9:$H$3032,0)))</f>
        <v>23462300000000</v>
      </c>
      <c r="S685" s="11">
        <f>IF(($P685+$Q685-$R685+MAX(Keys!$C$51,$R685-$Q685))&gt;Keys!$C$51,MIN(Keys!$C$52,MAX(Keys!$C$51,$R685-$Q685)/($P685+$Q685-$R685+MAX(Keys!$C$51,$R685-$Q685))),Keys!$C$51)</f>
        <v>6.7925025380122822E-2</v>
      </c>
      <c r="T685">
        <f>IF(AND($I685&gt;$H685,ABS($L685-$G685)&gt;MAX(Keys!$C$62,ABS($G685)*Keys!$C$63)),1,0)</f>
        <v>0</v>
      </c>
      <c r="U685">
        <f>IF(OR($N685&lt;Keys!$C$51,$N685&gt;Keys!$C$52),1,0)</f>
        <v>0</v>
      </c>
      <c r="V685">
        <f>IF(AND($E685=Keys!$C$60,$N685&lt;&gt;Keys!$C$51),1,0)</f>
        <v>0</v>
      </c>
      <c r="W685">
        <f>IF($L685&gt;Keys!$C$51,IF($K685/$L685&gt;Keys!$C$52,1,0),0)</f>
        <v>0</v>
      </c>
      <c r="X685" s="11">
        <f t="shared" si="43"/>
        <v>3.0835240882211054E-2</v>
      </c>
    </row>
    <row r="686" spans="1:24" x14ac:dyDescent="0.25">
      <c r="A686" t="s">
        <v>147</v>
      </c>
      <c r="B686" t="s">
        <v>91</v>
      </c>
      <c r="C686" t="str">
        <f>VLOOKUP($B686,Keys!$F$2:$I$22,2,FALSE)</f>
        <v>biofuel gasoline</v>
      </c>
      <c r="D686">
        <f>VLOOKUP($B686,Keys!$F$2:$I$22,3,FALSE)</f>
        <v>8.7213884000000005E-2</v>
      </c>
      <c r="E686" t="str">
        <f>VLOOKUP($B686,Keys!$F$2:$I$22,4,FALSE)</f>
        <v>rule</v>
      </c>
      <c r="F686" t="str">
        <f>$A686&amp;Keys!$C$54&amp;$B686</f>
        <v>OH|biofuel gasoline</v>
      </c>
      <c r="G686" s="10">
        <f>IF($E686=Keys!$C$60,Keys!$C$51,INDEX(Balanced_2025!$D$9:$D$3032,MATCH($A686&amp;Keys!$C$54&amp;Keys!$C$55&amp;Keys!$C$54&amp;$C686,Balanced_2025!$E$9:$E$3032,0)))</f>
        <v>60383900000000</v>
      </c>
      <c r="H686" s="10">
        <f>IF($E686=Keys!$C$60,Keys!$C$51,INDEX(Balanced_2025!$D$9:$D$3032,MATCH($A686&amp;Keys!$C$54&amp;Keys!$C$56&amp;Keys!$C$54&amp;$C686,Balanced_2025!$E$9:$E$3032,0)))</f>
        <v>1897890000000</v>
      </c>
      <c r="I686" s="10">
        <f>IF($E686=Keys!$C$60,Keys!$C$51,INDEX(Balanced_2025!$D$9:$D$3032,MATCH($A686&amp;Keys!$C$54&amp;Keys!$C$57&amp;Keys!$C$54&amp;$C686,Balanced_2025!$E$9:$E$3032,0)))</f>
        <v>27123900000000</v>
      </c>
      <c r="J686" s="10">
        <f t="shared" si="40"/>
        <v>35157890000000</v>
      </c>
      <c r="K686" s="10">
        <f>MAX(Keys!$C$51,$I686-$H686)</f>
        <v>25226010000000</v>
      </c>
      <c r="L686" s="10">
        <f t="shared" si="41"/>
        <v>60383900000000</v>
      </c>
      <c r="M686" s="11">
        <f>IF($L686&gt;Keys!$C$51,MIN(Keys!$C$52,$K686/$L686),Keys!$C$51)</f>
        <v>0.41776052888269888</v>
      </c>
      <c r="N686" s="11">
        <f>IF($E686=Keys!$C$60,Keys!$C$51,IF($E686=Keys!$C$59,$D686,$M686))</f>
        <v>0.41776052888269888</v>
      </c>
      <c r="O686">
        <f t="shared" si="42"/>
        <v>1</v>
      </c>
      <c r="P686" s="10">
        <f>IF($E686=Keys!$C$60,Keys!$C$51,INDEX(Raw_BFPIaE!$G$9:$G$3032,MATCH($A686&amp;Keys!$C$54&amp;Keys!$C$55&amp;Keys!$C$54&amp;$B686,Raw_BFPIaE!$H$9:$H$3032,0)))</f>
        <v>60440566666666.664</v>
      </c>
      <c r="Q686" s="10">
        <f>IF($E686=Keys!$C$60,Keys!$C$51,INDEX(Raw_BFPIaE!$G$9:$G$3032,MATCH($A686&amp;Keys!$C$54&amp;Keys!$C$56&amp;Keys!$C$54&amp;$B686,Raw_BFPIaE!$H$9:$H$3032,0)))</f>
        <v>0</v>
      </c>
      <c r="R686" s="10">
        <f>IF($E686=Keys!$C$60,Keys!$C$51,INDEX(Raw_BFPIaE!$G$9:$G$3032,MATCH($A686&amp;Keys!$C$54&amp;Keys!$C$57&amp;Keys!$C$54&amp;$B686,Raw_BFPIaE!$H$9:$H$3032,0)))</f>
        <v>18283933333333.332</v>
      </c>
      <c r="S686" s="11">
        <f>IF(($P686+$Q686-$R686+MAX(Keys!$C$51,$R686-$Q686))&gt;Keys!$C$51,MIN(Keys!$C$52,MAX(Keys!$C$51,$R686-$Q686)/($P686+$Q686-$R686+MAX(Keys!$C$51,$R686-$Q686))),Keys!$C$51)</f>
        <v>0.30251095152979485</v>
      </c>
      <c r="T686">
        <f>IF(AND($I686&gt;$H686,ABS($L686-$G686)&gt;MAX(Keys!$C$62,ABS($G686)*Keys!$C$63)),1,0)</f>
        <v>0</v>
      </c>
      <c r="U686">
        <f>IF(OR($N686&lt;Keys!$C$51,$N686&gt;Keys!$C$52),1,0)</f>
        <v>0</v>
      </c>
      <c r="V686">
        <f>IF(AND($E686=Keys!$C$60,$N686&lt;&gt;Keys!$C$51),1,0)</f>
        <v>0</v>
      </c>
      <c r="W686">
        <f>IF($L686&gt;Keys!$C$51,IF($K686/$L686&gt;Keys!$C$52,1,0),0)</f>
        <v>0</v>
      </c>
      <c r="X686" s="11">
        <f t="shared" si="43"/>
        <v>0.11524957735290403</v>
      </c>
    </row>
    <row r="687" spans="1:24" x14ac:dyDescent="0.25">
      <c r="A687" t="s">
        <v>147</v>
      </c>
      <c r="B687" t="s">
        <v>94</v>
      </c>
      <c r="C687" t="str">
        <f>VLOOKUP($B687,Keys!$F$2:$I$22,2,FALSE)</f>
        <v>biofuel diesel</v>
      </c>
      <c r="D687">
        <f>VLOOKUP($B687,Keys!$F$2:$I$22,3,FALSE)</f>
        <v>5.8642381E-2</v>
      </c>
      <c r="E687" t="str">
        <f>VLOOKUP($B687,Keys!$F$2:$I$22,4,FALSE)</f>
        <v>rule</v>
      </c>
      <c r="F687" t="str">
        <f>$A687&amp;Keys!$C$54&amp;$B687</f>
        <v>OH|biofuel diesel</v>
      </c>
      <c r="G687" s="10">
        <f>IF($E687=Keys!$C$60,Keys!$C$51,INDEX(Balanced_2025!$D$9:$D$3032,MATCH($A687&amp;Keys!$C$54&amp;Keys!$C$55&amp;Keys!$C$54&amp;$C687,Balanced_2025!$E$9:$E$3032,0)))</f>
        <v>0</v>
      </c>
      <c r="H687" s="10">
        <f>IF($E687=Keys!$C$60,Keys!$C$51,INDEX(Balanced_2025!$D$9:$D$3032,MATCH($A687&amp;Keys!$C$54&amp;Keys!$C$56&amp;Keys!$C$54&amp;$C687,Balanced_2025!$E$9:$E$3032,0)))</f>
        <v>5734410000000</v>
      </c>
      <c r="I687" s="10">
        <f>IF($E687=Keys!$C$60,Keys!$C$51,INDEX(Balanced_2025!$D$9:$D$3032,MATCH($A687&amp;Keys!$C$54&amp;Keys!$C$57&amp;Keys!$C$54&amp;$C687,Balanced_2025!$E$9:$E$3032,0)))</f>
        <v>0</v>
      </c>
      <c r="J687" s="10">
        <f t="shared" si="40"/>
        <v>5734410000000</v>
      </c>
      <c r="K687" s="10">
        <f>MAX(Keys!$C$51,$I687-$H687)</f>
        <v>0</v>
      </c>
      <c r="L687" s="10">
        <f t="shared" si="41"/>
        <v>5734410000000</v>
      </c>
      <c r="M687" s="11">
        <f>IF($L687&gt;Keys!$C$51,MIN(Keys!$C$52,$K687/$L687),Keys!$C$51)</f>
        <v>0</v>
      </c>
      <c r="N687" s="11">
        <f>IF($E687=Keys!$C$60,Keys!$C$51,IF($E687=Keys!$C$59,$D687,$M687))</f>
        <v>0</v>
      </c>
      <c r="O687">
        <f t="shared" si="42"/>
        <v>1</v>
      </c>
      <c r="P687" s="10">
        <f>IF($E687=Keys!$C$60,Keys!$C$51,INDEX(Raw_BFPIaE!$G$9:$G$3032,MATCH($A687&amp;Keys!$C$54&amp;Keys!$C$55&amp;Keys!$C$54&amp;$B687,Raw_BFPIaE!$H$9:$H$3032,0)))</f>
        <v>0</v>
      </c>
      <c r="Q687" s="10">
        <f>IF($E687=Keys!$C$60,Keys!$C$51,INDEX(Raw_BFPIaE!$G$9:$G$3032,MATCH($A687&amp;Keys!$C$54&amp;Keys!$C$56&amp;Keys!$C$54&amp;$B687,Raw_BFPIaE!$H$9:$H$3032,0)))</f>
        <v>3712333333333.3335</v>
      </c>
      <c r="R687" s="10">
        <f>IF($E687=Keys!$C$60,Keys!$C$51,INDEX(Raw_BFPIaE!$G$9:$G$3032,MATCH($A687&amp;Keys!$C$54&amp;Keys!$C$57&amp;Keys!$C$54&amp;$B687,Raw_BFPIaE!$H$9:$H$3032,0)))</f>
        <v>0</v>
      </c>
      <c r="S687" s="11">
        <f>IF(($P687+$Q687-$R687+MAX(Keys!$C$51,$R687-$Q687))&gt;Keys!$C$51,MIN(Keys!$C$52,MAX(Keys!$C$51,$R687-$Q687)/($P687+$Q687-$R687+MAX(Keys!$C$51,$R687-$Q687))),Keys!$C$51)</f>
        <v>0</v>
      </c>
      <c r="T687">
        <f>IF(AND($I687&gt;$H687,ABS($L687-$G687)&gt;MAX(Keys!$C$62,ABS($G687)*Keys!$C$63)),1,0)</f>
        <v>0</v>
      </c>
      <c r="U687">
        <f>IF(OR($N687&lt;Keys!$C$51,$N687&gt;Keys!$C$52),1,0)</f>
        <v>0</v>
      </c>
      <c r="V687">
        <f>IF(AND($E687=Keys!$C$60,$N687&lt;&gt;Keys!$C$51),1,0)</f>
        <v>0</v>
      </c>
      <c r="W687">
        <f>IF($L687&gt;Keys!$C$51,IF($K687/$L687&gt;Keys!$C$52,1,0),0)</f>
        <v>0</v>
      </c>
      <c r="X687" s="11">
        <f t="shared" si="43"/>
        <v>0</v>
      </c>
    </row>
    <row r="688" spans="1:24" x14ac:dyDescent="0.25">
      <c r="A688" t="s">
        <v>147</v>
      </c>
      <c r="B688" t="s">
        <v>97</v>
      </c>
      <c r="C688" t="str">
        <f>VLOOKUP($B688,Keys!$F$2:$I$22,2,FALSE)</f>
        <v>jet fuel or kerosene</v>
      </c>
      <c r="D688">
        <f>VLOOKUP($B688,Keys!$F$2:$I$22,3,FALSE)</f>
        <v>0.10155994</v>
      </c>
      <c r="E688" t="str">
        <f>VLOOKUP($B688,Keys!$F$2:$I$22,4,FALSE)</f>
        <v>rule</v>
      </c>
      <c r="F688" t="str">
        <f>$A688&amp;Keys!$C$54&amp;$B688</f>
        <v>OH|jet fuel or kerosene</v>
      </c>
      <c r="G688" s="10">
        <f>IF($E688=Keys!$C$60,Keys!$C$51,INDEX(Balanced_2025!$D$9:$D$3032,MATCH($A688&amp;Keys!$C$54&amp;Keys!$C$55&amp;Keys!$C$54&amp;$C688,Balanced_2025!$E$9:$E$3032,0)))</f>
        <v>123962000000000</v>
      </c>
      <c r="H688" s="10">
        <f>IF($E688=Keys!$C$60,Keys!$C$51,INDEX(Balanced_2025!$D$9:$D$3032,MATCH($A688&amp;Keys!$C$54&amp;Keys!$C$56&amp;Keys!$C$54&amp;$C688,Balanced_2025!$E$9:$E$3032,0)))</f>
        <v>0</v>
      </c>
      <c r="I688" s="10">
        <f>IF($E688=Keys!$C$60,Keys!$C$51,INDEX(Balanced_2025!$D$9:$D$3032,MATCH($A688&amp;Keys!$C$54&amp;Keys!$C$57&amp;Keys!$C$54&amp;$C688,Balanced_2025!$E$9:$E$3032,0)))</f>
        <v>74253100000000</v>
      </c>
      <c r="J688" s="10">
        <f t="shared" si="40"/>
        <v>49708900000000</v>
      </c>
      <c r="K688" s="10">
        <f>MAX(Keys!$C$51,$I688-$H688)</f>
        <v>74253100000000</v>
      </c>
      <c r="L688" s="10">
        <f t="shared" si="41"/>
        <v>123962000000000</v>
      </c>
      <c r="M688" s="11">
        <f>IF($L688&gt;Keys!$C$51,MIN(Keys!$C$52,$K688/$L688),Keys!$C$51)</f>
        <v>0.59899888675561863</v>
      </c>
      <c r="N688" s="11">
        <f>IF($E688=Keys!$C$60,Keys!$C$51,IF($E688=Keys!$C$59,$D688,$M688))</f>
        <v>0.59899888675561863</v>
      </c>
      <c r="O688">
        <f t="shared" si="42"/>
        <v>1</v>
      </c>
      <c r="P688" s="10">
        <f>IF($E688=Keys!$C$60,Keys!$C$51,INDEX(Raw_BFPIaE!$G$9:$G$3032,MATCH($A688&amp;Keys!$C$54&amp;Keys!$C$55&amp;Keys!$C$54&amp;$B688,Raw_BFPIaE!$H$9:$H$3032,0)))</f>
        <v>122960666666666.67</v>
      </c>
      <c r="Q688" s="10">
        <f>IF($E688=Keys!$C$60,Keys!$C$51,INDEX(Raw_BFPIaE!$G$9:$G$3032,MATCH($A688&amp;Keys!$C$54&amp;Keys!$C$56&amp;Keys!$C$54&amp;$B688,Raw_BFPIaE!$H$9:$H$3032,0)))</f>
        <v>0</v>
      </c>
      <c r="R688" s="10">
        <f>IF($E688=Keys!$C$60,Keys!$C$51,INDEX(Raw_BFPIaE!$G$9:$G$3032,MATCH($A688&amp;Keys!$C$54&amp;Keys!$C$57&amp;Keys!$C$54&amp;$B688,Raw_BFPIaE!$H$9:$H$3032,0)))</f>
        <v>48044366666666.664</v>
      </c>
      <c r="S688" s="11">
        <f>IF(($P688+$Q688-$R688+MAX(Keys!$C$51,$R688-$Q688))&gt;Keys!$C$51,MIN(Keys!$C$52,MAX(Keys!$C$51,$R688-$Q688)/($P688+$Q688-$R688+MAX(Keys!$C$51,$R688-$Q688))),Keys!$C$51)</f>
        <v>0.39072955579290941</v>
      </c>
      <c r="T688">
        <f>IF(AND($I688&gt;$H688,ABS($L688-$G688)&gt;MAX(Keys!$C$62,ABS($G688)*Keys!$C$63)),1,0)</f>
        <v>0</v>
      </c>
      <c r="U688">
        <f>IF(OR($N688&lt;Keys!$C$51,$N688&gt;Keys!$C$52),1,0)</f>
        <v>0</v>
      </c>
      <c r="V688">
        <f>IF(AND($E688=Keys!$C$60,$N688&lt;&gt;Keys!$C$51),1,0)</f>
        <v>0</v>
      </c>
      <c r="W688">
        <f>IF($L688&gt;Keys!$C$51,IF($K688/$L688&gt;Keys!$C$52,1,0),0)</f>
        <v>0</v>
      </c>
      <c r="X688" s="11">
        <f t="shared" si="43"/>
        <v>0.20826933096270922</v>
      </c>
    </row>
    <row r="689" spans="1:24" x14ac:dyDescent="0.25">
      <c r="A689" t="s">
        <v>147</v>
      </c>
      <c r="B689" t="s">
        <v>100</v>
      </c>
      <c r="C689">
        <f>VLOOKUP($B689,Keys!$F$2:$I$22,2,FALSE)</f>
        <v>0</v>
      </c>
      <c r="D689">
        <f>VLOOKUP($B689,Keys!$F$2:$I$22,3,FALSE)</f>
        <v>0</v>
      </c>
      <c r="E689" t="str">
        <f>VLOOKUP($B689,Keys!$F$2:$I$22,4,FALSE)</f>
        <v>zero</v>
      </c>
      <c r="F689" t="str">
        <f>$A689&amp;Keys!$C$54&amp;$B689</f>
        <v>OH|heat (not used in this variable)</v>
      </c>
      <c r="G689" s="10">
        <f>IF($E689=Keys!$C$60,Keys!$C$51,INDEX(Balanced_2025!$D$9:$D$3032,MATCH($A689&amp;Keys!$C$54&amp;Keys!$C$55&amp;Keys!$C$54&amp;$C689,Balanced_2025!$E$9:$E$3032,0)))</f>
        <v>0</v>
      </c>
      <c r="H689" s="10">
        <f>IF($E689=Keys!$C$60,Keys!$C$51,INDEX(Balanced_2025!$D$9:$D$3032,MATCH($A689&amp;Keys!$C$54&amp;Keys!$C$56&amp;Keys!$C$54&amp;$C689,Balanced_2025!$E$9:$E$3032,0)))</f>
        <v>0</v>
      </c>
      <c r="I689" s="10">
        <f>IF($E689=Keys!$C$60,Keys!$C$51,INDEX(Balanced_2025!$D$9:$D$3032,MATCH($A689&amp;Keys!$C$54&amp;Keys!$C$57&amp;Keys!$C$54&amp;$C689,Balanced_2025!$E$9:$E$3032,0)))</f>
        <v>0</v>
      </c>
      <c r="J689" s="10">
        <f t="shared" si="40"/>
        <v>0</v>
      </c>
      <c r="K689" s="10">
        <f>MAX(Keys!$C$51,$I689-$H689)</f>
        <v>0</v>
      </c>
      <c r="L689" s="10">
        <f t="shared" si="41"/>
        <v>0</v>
      </c>
      <c r="M689" s="11">
        <f>IF($L689&gt;Keys!$C$51,MIN(Keys!$C$52,$K689/$L689),Keys!$C$51)</f>
        <v>0</v>
      </c>
      <c r="N689" s="11">
        <f>IF($E689=Keys!$C$60,Keys!$C$51,IF($E689=Keys!$C$59,$D689,$M689))</f>
        <v>0</v>
      </c>
      <c r="O689">
        <f t="shared" si="42"/>
        <v>0</v>
      </c>
      <c r="P689" s="10">
        <f>IF($E689=Keys!$C$60,Keys!$C$51,INDEX(Raw_BFPIaE!$G$9:$G$3032,MATCH($A689&amp;Keys!$C$54&amp;Keys!$C$55&amp;Keys!$C$54&amp;$B689,Raw_BFPIaE!$H$9:$H$3032,0)))</f>
        <v>0</v>
      </c>
      <c r="Q689" s="10">
        <f>IF($E689=Keys!$C$60,Keys!$C$51,INDEX(Raw_BFPIaE!$G$9:$G$3032,MATCH($A689&amp;Keys!$C$54&amp;Keys!$C$56&amp;Keys!$C$54&amp;$B689,Raw_BFPIaE!$H$9:$H$3032,0)))</f>
        <v>0</v>
      </c>
      <c r="R689" s="10">
        <f>IF($E689=Keys!$C$60,Keys!$C$51,INDEX(Raw_BFPIaE!$G$9:$G$3032,MATCH($A689&amp;Keys!$C$54&amp;Keys!$C$57&amp;Keys!$C$54&amp;$B689,Raw_BFPIaE!$H$9:$H$3032,0)))</f>
        <v>0</v>
      </c>
      <c r="S689" s="11">
        <f>IF(($P689+$Q689-$R689+MAX(Keys!$C$51,$R689-$Q689))&gt;Keys!$C$51,MIN(Keys!$C$52,MAX(Keys!$C$51,$R689-$Q689)/($P689+$Q689-$R689+MAX(Keys!$C$51,$R689-$Q689))),Keys!$C$51)</f>
        <v>0</v>
      </c>
      <c r="T689">
        <f>IF(AND($I689&gt;$H689,ABS($L689-$G689)&gt;MAX(Keys!$C$62,ABS($G689)*Keys!$C$63)),1,0)</f>
        <v>0</v>
      </c>
      <c r="U689">
        <f>IF(OR($N689&lt;Keys!$C$51,$N689&gt;Keys!$C$52),1,0)</f>
        <v>0</v>
      </c>
      <c r="V689">
        <f>IF(AND($E689=Keys!$C$60,$N689&lt;&gt;Keys!$C$51),1,0)</f>
        <v>0</v>
      </c>
      <c r="W689">
        <f>IF($L689&gt;Keys!$C$51,IF($K689/$L689&gt;Keys!$C$52,1,0),0)</f>
        <v>0</v>
      </c>
      <c r="X689" s="11">
        <f t="shared" si="43"/>
        <v>0</v>
      </c>
    </row>
    <row r="690" spans="1:24" x14ac:dyDescent="0.25">
      <c r="A690" t="s">
        <v>147</v>
      </c>
      <c r="B690" t="s">
        <v>103</v>
      </c>
      <c r="C690">
        <f>VLOOKUP($B690,Keys!$F$2:$I$22,2,FALSE)</f>
        <v>0</v>
      </c>
      <c r="D690">
        <f>VLOOKUP($B690,Keys!$F$2:$I$22,3,FALSE)</f>
        <v>0</v>
      </c>
      <c r="E690" t="str">
        <f>VLOOKUP($B690,Keys!$F$2:$I$22,4,FALSE)</f>
        <v>zero</v>
      </c>
      <c r="F690" t="str">
        <f>$A690&amp;Keys!$C$54&amp;$B690</f>
        <v>OH|geothermal (is not a fuel)</v>
      </c>
      <c r="G690" s="10">
        <f>IF($E690=Keys!$C$60,Keys!$C$51,INDEX(Balanced_2025!$D$9:$D$3032,MATCH($A690&amp;Keys!$C$54&amp;Keys!$C$55&amp;Keys!$C$54&amp;$C690,Balanced_2025!$E$9:$E$3032,0)))</f>
        <v>0</v>
      </c>
      <c r="H690" s="10">
        <f>IF($E690=Keys!$C$60,Keys!$C$51,INDEX(Balanced_2025!$D$9:$D$3032,MATCH($A690&amp;Keys!$C$54&amp;Keys!$C$56&amp;Keys!$C$54&amp;$C690,Balanced_2025!$E$9:$E$3032,0)))</f>
        <v>0</v>
      </c>
      <c r="I690" s="10">
        <f>IF($E690=Keys!$C$60,Keys!$C$51,INDEX(Balanced_2025!$D$9:$D$3032,MATCH($A690&amp;Keys!$C$54&amp;Keys!$C$57&amp;Keys!$C$54&amp;$C690,Balanced_2025!$E$9:$E$3032,0)))</f>
        <v>0</v>
      </c>
      <c r="J690" s="10">
        <f t="shared" si="40"/>
        <v>0</v>
      </c>
      <c r="K690" s="10">
        <f>MAX(Keys!$C$51,$I690-$H690)</f>
        <v>0</v>
      </c>
      <c r="L690" s="10">
        <f t="shared" si="41"/>
        <v>0</v>
      </c>
      <c r="M690" s="11">
        <f>IF($L690&gt;Keys!$C$51,MIN(Keys!$C$52,$K690/$L690),Keys!$C$51)</f>
        <v>0</v>
      </c>
      <c r="N690" s="11">
        <f>IF($E690=Keys!$C$60,Keys!$C$51,IF($E690=Keys!$C$59,$D690,$M690))</f>
        <v>0</v>
      </c>
      <c r="O690">
        <f t="shared" si="42"/>
        <v>0</v>
      </c>
      <c r="P690" s="10">
        <f>IF($E690=Keys!$C$60,Keys!$C$51,INDEX(Raw_BFPIaE!$G$9:$G$3032,MATCH($A690&amp;Keys!$C$54&amp;Keys!$C$55&amp;Keys!$C$54&amp;$B690,Raw_BFPIaE!$H$9:$H$3032,0)))</f>
        <v>0</v>
      </c>
      <c r="Q690" s="10">
        <f>IF($E690=Keys!$C$60,Keys!$C$51,INDEX(Raw_BFPIaE!$G$9:$G$3032,MATCH($A690&amp;Keys!$C$54&amp;Keys!$C$56&amp;Keys!$C$54&amp;$B690,Raw_BFPIaE!$H$9:$H$3032,0)))</f>
        <v>0</v>
      </c>
      <c r="R690" s="10">
        <f>IF($E690=Keys!$C$60,Keys!$C$51,INDEX(Raw_BFPIaE!$G$9:$G$3032,MATCH($A690&amp;Keys!$C$54&amp;Keys!$C$57&amp;Keys!$C$54&amp;$B690,Raw_BFPIaE!$H$9:$H$3032,0)))</f>
        <v>0</v>
      </c>
      <c r="S690" s="11">
        <f>IF(($P690+$Q690-$R690+MAX(Keys!$C$51,$R690-$Q690))&gt;Keys!$C$51,MIN(Keys!$C$52,MAX(Keys!$C$51,$R690-$Q690)/($P690+$Q690-$R690+MAX(Keys!$C$51,$R690-$Q690))),Keys!$C$51)</f>
        <v>0</v>
      </c>
      <c r="T690">
        <f>IF(AND($I690&gt;$H690,ABS($L690-$G690)&gt;MAX(Keys!$C$62,ABS($G690)*Keys!$C$63)),1,0)</f>
        <v>0</v>
      </c>
      <c r="U690">
        <f>IF(OR($N690&lt;Keys!$C$51,$N690&gt;Keys!$C$52),1,0)</f>
        <v>0</v>
      </c>
      <c r="V690">
        <f>IF(AND($E690=Keys!$C$60,$N690&lt;&gt;Keys!$C$51),1,0)</f>
        <v>0</v>
      </c>
      <c r="W690">
        <f>IF($L690&gt;Keys!$C$51,IF($K690/$L690&gt;Keys!$C$52,1,0),0)</f>
        <v>0</v>
      </c>
      <c r="X690" s="11">
        <f t="shared" si="43"/>
        <v>0</v>
      </c>
    </row>
    <row r="691" spans="1:24" x14ac:dyDescent="0.25">
      <c r="A691" t="s">
        <v>147</v>
      </c>
      <c r="B691" t="s">
        <v>106</v>
      </c>
      <c r="C691" t="str">
        <f>VLOOKUP($B691,Keys!$F$2:$I$22,2,FALSE)</f>
        <v>lignite</v>
      </c>
      <c r="D691">
        <f>VLOOKUP($B691,Keys!$F$2:$I$22,3,FALSE)</f>
        <v>0</v>
      </c>
      <c r="E691" t="str">
        <f>VLOOKUP($B691,Keys!$F$2:$I$22,4,FALSE)</f>
        <v>rule</v>
      </c>
      <c r="F691" t="str">
        <f>$A691&amp;Keys!$C$54&amp;$B691</f>
        <v>OH|lignite</v>
      </c>
      <c r="G691" s="10">
        <f>IF($E691=Keys!$C$60,Keys!$C$51,INDEX(Balanced_2025!$D$9:$D$3032,MATCH($A691&amp;Keys!$C$54&amp;Keys!$C$55&amp;Keys!$C$54&amp;$C691,Balanced_2025!$E$9:$E$3032,0)))</f>
        <v>0</v>
      </c>
      <c r="H691" s="10">
        <f>IF($E691=Keys!$C$60,Keys!$C$51,INDEX(Balanced_2025!$D$9:$D$3032,MATCH($A691&amp;Keys!$C$54&amp;Keys!$C$56&amp;Keys!$C$54&amp;$C691,Balanced_2025!$E$9:$E$3032,0)))</f>
        <v>0</v>
      </c>
      <c r="I691" s="10">
        <f>IF($E691=Keys!$C$60,Keys!$C$51,INDEX(Balanced_2025!$D$9:$D$3032,MATCH($A691&amp;Keys!$C$54&amp;Keys!$C$57&amp;Keys!$C$54&amp;$C691,Balanced_2025!$E$9:$E$3032,0)))</f>
        <v>0</v>
      </c>
      <c r="J691" s="10">
        <f t="shared" si="40"/>
        <v>0</v>
      </c>
      <c r="K691" s="10">
        <f>MAX(Keys!$C$51,$I691-$H691)</f>
        <v>0</v>
      </c>
      <c r="L691" s="10">
        <f t="shared" si="41"/>
        <v>0</v>
      </c>
      <c r="M691" s="11">
        <f>IF($L691&gt;Keys!$C$51,MIN(Keys!$C$52,$K691/$L691),Keys!$C$51)</f>
        <v>0</v>
      </c>
      <c r="N691" s="11">
        <f>IF($E691=Keys!$C$60,Keys!$C$51,IF($E691=Keys!$C$59,$D691,$M691))</f>
        <v>0</v>
      </c>
      <c r="O691">
        <f t="shared" si="42"/>
        <v>0</v>
      </c>
      <c r="P691" s="10">
        <f>IF($E691=Keys!$C$60,Keys!$C$51,INDEX(Raw_BFPIaE!$G$9:$G$3032,MATCH($A691&amp;Keys!$C$54&amp;Keys!$C$55&amp;Keys!$C$54&amp;$B691,Raw_BFPIaE!$H$9:$H$3032,0)))</f>
        <v>0</v>
      </c>
      <c r="Q691" s="10">
        <f>IF($E691=Keys!$C$60,Keys!$C$51,INDEX(Raw_BFPIaE!$G$9:$G$3032,MATCH($A691&amp;Keys!$C$54&amp;Keys!$C$56&amp;Keys!$C$54&amp;$B691,Raw_BFPIaE!$H$9:$H$3032,0)))</f>
        <v>0</v>
      </c>
      <c r="R691" s="10">
        <f>IF($E691=Keys!$C$60,Keys!$C$51,INDEX(Raw_BFPIaE!$G$9:$G$3032,MATCH($A691&amp;Keys!$C$54&amp;Keys!$C$57&amp;Keys!$C$54&amp;$B691,Raw_BFPIaE!$H$9:$H$3032,0)))</f>
        <v>0</v>
      </c>
      <c r="S691" s="11">
        <f>IF(($P691+$Q691-$R691+MAX(Keys!$C$51,$R691-$Q691))&gt;Keys!$C$51,MIN(Keys!$C$52,MAX(Keys!$C$51,$R691-$Q691)/($P691+$Q691-$R691+MAX(Keys!$C$51,$R691-$Q691))),Keys!$C$51)</f>
        <v>0</v>
      </c>
      <c r="T691">
        <f>IF(AND($I691&gt;$H691,ABS($L691-$G691)&gt;MAX(Keys!$C$62,ABS($G691)*Keys!$C$63)),1,0)</f>
        <v>0</v>
      </c>
      <c r="U691">
        <f>IF(OR($N691&lt;Keys!$C$51,$N691&gt;Keys!$C$52),1,0)</f>
        <v>0</v>
      </c>
      <c r="V691">
        <f>IF(AND($E691=Keys!$C$60,$N691&lt;&gt;Keys!$C$51),1,0)</f>
        <v>0</v>
      </c>
      <c r="W691">
        <f>IF($L691&gt;Keys!$C$51,IF($K691/$L691&gt;Keys!$C$52,1,0),0)</f>
        <v>0</v>
      </c>
      <c r="X691" s="11">
        <f t="shared" si="43"/>
        <v>0</v>
      </c>
    </row>
    <row r="692" spans="1:24" x14ac:dyDescent="0.25">
      <c r="A692" t="s">
        <v>147</v>
      </c>
      <c r="B692" t="s">
        <v>109</v>
      </c>
      <c r="C692" t="str">
        <f>VLOOKUP($B692,Keys!$F$2:$I$22,2,FALSE)</f>
        <v>crude oil</v>
      </c>
      <c r="D692">
        <f>VLOOKUP($B692,Keys!$F$2:$I$22,3,FALSE)</f>
        <v>1</v>
      </c>
      <c r="E692" t="str">
        <f>VLOOKUP($B692,Keys!$F$2:$I$22,4,FALSE)</f>
        <v>hold</v>
      </c>
      <c r="F692" t="str">
        <f>$A692&amp;Keys!$C$54&amp;$B692</f>
        <v>OH|crude oil</v>
      </c>
      <c r="G692" s="10">
        <f>IF($E692=Keys!$C$60,Keys!$C$51,INDEX(Balanced_2025!$D$9:$D$3032,MATCH($A692&amp;Keys!$C$54&amp;Keys!$C$55&amp;Keys!$C$54&amp;$C692,Balanced_2025!$E$9:$E$3032,0)))</f>
        <v>212239000000000</v>
      </c>
      <c r="H692" s="10">
        <f>IF($E692=Keys!$C$60,Keys!$C$51,INDEX(Balanced_2025!$D$9:$D$3032,MATCH($A692&amp;Keys!$C$54&amp;Keys!$C$56&amp;Keys!$C$54&amp;$C692,Balanced_2025!$E$9:$E$3032,0)))</f>
        <v>1029620000000000</v>
      </c>
      <c r="I692" s="10">
        <f>IF($E692=Keys!$C$60,Keys!$C$51,INDEX(Balanced_2025!$D$9:$D$3032,MATCH($A692&amp;Keys!$C$54&amp;Keys!$C$57&amp;Keys!$C$54&amp;$C692,Balanced_2025!$E$9:$E$3032,0)))</f>
        <v>0</v>
      </c>
      <c r="J692" s="10">
        <f t="shared" si="40"/>
        <v>1241859000000000</v>
      </c>
      <c r="K692" s="10">
        <f>MAX(Keys!$C$51,$I692-$H692)</f>
        <v>0</v>
      </c>
      <c r="L692" s="10">
        <f t="shared" si="41"/>
        <v>1241859000000000</v>
      </c>
      <c r="M692" s="11">
        <f>IF($L692&gt;Keys!$C$51,MIN(Keys!$C$52,$K692/$L692),Keys!$C$51)</f>
        <v>0</v>
      </c>
      <c r="N692" s="11">
        <f>IF($E692=Keys!$C$60,Keys!$C$51,IF($E692=Keys!$C$59,$D692,$M692))</f>
        <v>1</v>
      </c>
      <c r="O692">
        <f t="shared" si="42"/>
        <v>0</v>
      </c>
      <c r="P692" s="10">
        <f>IF($E692=Keys!$C$60,Keys!$C$51,INDEX(Raw_BFPIaE!$G$9:$G$3032,MATCH($A692&amp;Keys!$C$54&amp;Keys!$C$55&amp;Keys!$C$54&amp;$B692,Raw_BFPIaE!$H$9:$H$3032,0)))</f>
        <v>205780333333333.34</v>
      </c>
      <c r="Q692" s="10">
        <f>IF($E692=Keys!$C$60,Keys!$C$51,INDEX(Raw_BFPIaE!$G$9:$G$3032,MATCH($A692&amp;Keys!$C$54&amp;Keys!$C$56&amp;Keys!$C$54&amp;$B692,Raw_BFPIaE!$H$9:$H$3032,0)))</f>
        <v>692873333333333.38</v>
      </c>
      <c r="R692" s="10">
        <f>IF($E692=Keys!$C$60,Keys!$C$51,INDEX(Raw_BFPIaE!$G$9:$G$3032,MATCH($A692&amp;Keys!$C$54&amp;Keys!$C$57&amp;Keys!$C$54&amp;$B692,Raw_BFPIaE!$H$9:$H$3032,0)))</f>
        <v>0</v>
      </c>
      <c r="S692" s="11">
        <f>IF(($P692+$Q692-$R692+MAX(Keys!$C$51,$R692-$Q692))&gt;Keys!$C$51,MIN(Keys!$C$52,MAX(Keys!$C$51,$R692-$Q692)/($P692+$Q692-$R692+MAX(Keys!$C$51,$R692-$Q692))),Keys!$C$51)</f>
        <v>0</v>
      </c>
      <c r="T692">
        <f>IF(AND($I692&gt;$H692,ABS($L692-$G692)&gt;MAX(Keys!$C$62,ABS($G692)*Keys!$C$63)),1,0)</f>
        <v>0</v>
      </c>
      <c r="U692">
        <f>IF(OR($N692&lt;Keys!$C$51,$N692&gt;Keys!$C$52),1,0)</f>
        <v>0</v>
      </c>
      <c r="V692">
        <f>IF(AND($E692=Keys!$C$60,$N692&lt;&gt;Keys!$C$51),1,0)</f>
        <v>0</v>
      </c>
      <c r="W692">
        <f>IF($L692&gt;Keys!$C$51,IF($K692/$L692&gt;Keys!$C$52,1,0),0)</f>
        <v>0</v>
      </c>
      <c r="X692" s="11">
        <f t="shared" si="43"/>
        <v>0</v>
      </c>
    </row>
    <row r="693" spans="1:24" x14ac:dyDescent="0.25">
      <c r="A693" t="s">
        <v>147</v>
      </c>
      <c r="B693" t="s">
        <v>113</v>
      </c>
      <c r="C693" t="str">
        <f>VLOOKUP($B693,Keys!$F$2:$I$22,2,FALSE)</f>
        <v>heavy or residual fuel oil</v>
      </c>
      <c r="D693">
        <f>VLOOKUP($B693,Keys!$F$2:$I$22,3,FALSE)</f>
        <v>0.49914171099999999</v>
      </c>
      <c r="E693" t="str">
        <f>VLOOKUP($B693,Keys!$F$2:$I$22,4,FALSE)</f>
        <v>rule</v>
      </c>
      <c r="F693" t="str">
        <f>$A693&amp;Keys!$C$54&amp;$B693</f>
        <v>OH|heavy fuel oil</v>
      </c>
      <c r="G693" s="10">
        <f>IF($E693=Keys!$C$60,Keys!$C$51,INDEX(Balanced_2025!$D$9:$D$3032,MATCH($A693&amp;Keys!$C$54&amp;Keys!$C$55&amp;Keys!$C$54&amp;$C693,Balanced_2025!$E$9:$E$3032,0)))</f>
        <v>24080100000000</v>
      </c>
      <c r="H693" s="10">
        <f>IF($E693=Keys!$C$60,Keys!$C$51,INDEX(Balanced_2025!$D$9:$D$3032,MATCH($A693&amp;Keys!$C$54&amp;Keys!$C$56&amp;Keys!$C$54&amp;$C693,Balanced_2025!$E$9:$E$3032,0)))</f>
        <v>7044030000000</v>
      </c>
      <c r="I693" s="10">
        <f>IF($E693=Keys!$C$60,Keys!$C$51,INDEX(Balanced_2025!$D$9:$D$3032,MATCH($A693&amp;Keys!$C$54&amp;Keys!$C$57&amp;Keys!$C$54&amp;$C693,Balanced_2025!$E$9:$E$3032,0)))</f>
        <v>0</v>
      </c>
      <c r="J693" s="10">
        <f t="shared" si="40"/>
        <v>31124130000000</v>
      </c>
      <c r="K693" s="10">
        <f>MAX(Keys!$C$51,$I693-$H693)</f>
        <v>0</v>
      </c>
      <c r="L693" s="10">
        <f t="shared" si="41"/>
        <v>31124130000000</v>
      </c>
      <c r="M693" s="11">
        <f>IF($L693&gt;Keys!$C$51,MIN(Keys!$C$52,$K693/$L693),Keys!$C$51)</f>
        <v>0</v>
      </c>
      <c r="N693" s="11">
        <f>IF($E693=Keys!$C$60,Keys!$C$51,IF($E693=Keys!$C$59,$D693,$M693))</f>
        <v>0</v>
      </c>
      <c r="O693">
        <f t="shared" si="42"/>
        <v>1</v>
      </c>
      <c r="P693" s="10">
        <f>IF($E693=Keys!$C$60,Keys!$C$51,INDEX(Raw_BFPIaE!$G$9:$G$3032,MATCH($A693&amp;Keys!$C$54&amp;Keys!$C$55&amp;Keys!$C$54&amp;$B693,Raw_BFPIaE!$H$9:$H$3032,0)))</f>
        <v>23885533333333.332</v>
      </c>
      <c r="Q693" s="10">
        <f>IF($E693=Keys!$C$60,Keys!$C$51,INDEX(Raw_BFPIaE!$G$9:$G$3032,MATCH($A693&amp;Keys!$C$54&amp;Keys!$C$56&amp;Keys!$C$54&amp;$B693,Raw_BFPIaE!$H$9:$H$3032,0)))</f>
        <v>5108113333333.333</v>
      </c>
      <c r="R693" s="10">
        <f>IF($E693=Keys!$C$60,Keys!$C$51,INDEX(Raw_BFPIaE!$G$9:$G$3032,MATCH($A693&amp;Keys!$C$54&amp;Keys!$C$57&amp;Keys!$C$54&amp;$B693,Raw_BFPIaE!$H$9:$H$3032,0)))</f>
        <v>0</v>
      </c>
      <c r="S693" s="11">
        <f>IF(($P693+$Q693-$R693+MAX(Keys!$C$51,$R693-$Q693))&gt;Keys!$C$51,MIN(Keys!$C$52,MAX(Keys!$C$51,$R693-$Q693)/($P693+$Q693-$R693+MAX(Keys!$C$51,$R693-$Q693))),Keys!$C$51)</f>
        <v>0</v>
      </c>
      <c r="T693">
        <f>IF(AND($I693&gt;$H693,ABS($L693-$G693)&gt;MAX(Keys!$C$62,ABS($G693)*Keys!$C$63)),1,0)</f>
        <v>0</v>
      </c>
      <c r="U693">
        <f>IF(OR($N693&lt;Keys!$C$51,$N693&gt;Keys!$C$52),1,0)</f>
        <v>0</v>
      </c>
      <c r="V693">
        <f>IF(AND($E693=Keys!$C$60,$N693&lt;&gt;Keys!$C$51),1,0)</f>
        <v>0</v>
      </c>
      <c r="W693">
        <f>IF($L693&gt;Keys!$C$51,IF($K693/$L693&gt;Keys!$C$52,1,0),0)</f>
        <v>0</v>
      </c>
      <c r="X693" s="11">
        <f t="shared" si="43"/>
        <v>0</v>
      </c>
    </row>
    <row r="694" spans="1:24" x14ac:dyDescent="0.25">
      <c r="A694" t="s">
        <v>147</v>
      </c>
      <c r="B694" t="s">
        <v>117</v>
      </c>
      <c r="C694" t="str">
        <f>VLOOKUP($B694,Keys!$F$2:$I$22,2,FALSE)</f>
        <v>LPG propane or butane</v>
      </c>
      <c r="D694">
        <f>VLOOKUP($B694,Keys!$F$2:$I$22,3,FALSE)</f>
        <v>0.54955999499999997</v>
      </c>
      <c r="E694" t="str">
        <f>VLOOKUP($B694,Keys!$F$2:$I$22,4,FALSE)</f>
        <v>rule</v>
      </c>
      <c r="F694" t="str">
        <f>$A694&amp;Keys!$C$54&amp;$B694</f>
        <v>OH|LPG propane or butane</v>
      </c>
      <c r="G694" s="10">
        <f>IF($E694=Keys!$C$60,Keys!$C$51,INDEX(Balanced_2025!$D$9:$D$3032,MATCH($A694&amp;Keys!$C$54&amp;Keys!$C$55&amp;Keys!$C$54&amp;$C694,Balanced_2025!$E$9:$E$3032,0)))</f>
        <v>264000000000000</v>
      </c>
      <c r="H694" s="10">
        <f>IF($E694=Keys!$C$60,Keys!$C$51,INDEX(Balanced_2025!$D$9:$D$3032,MATCH($A694&amp;Keys!$C$54&amp;Keys!$C$56&amp;Keys!$C$54&amp;$C694,Balanced_2025!$E$9:$E$3032,0)))</f>
        <v>0</v>
      </c>
      <c r="I694" s="10">
        <f>IF($E694=Keys!$C$60,Keys!$C$51,INDEX(Balanced_2025!$D$9:$D$3032,MATCH($A694&amp;Keys!$C$54&amp;Keys!$C$57&amp;Keys!$C$54&amp;$C694,Balanced_2025!$E$9:$E$3032,0)))</f>
        <v>220531000000000</v>
      </c>
      <c r="J694" s="10">
        <f t="shared" si="40"/>
        <v>43469000000000</v>
      </c>
      <c r="K694" s="10">
        <f>MAX(Keys!$C$51,$I694-$H694)</f>
        <v>220531000000000</v>
      </c>
      <c r="L694" s="10">
        <f t="shared" si="41"/>
        <v>264000000000000</v>
      </c>
      <c r="M694" s="11">
        <f>IF($L694&gt;Keys!$C$51,MIN(Keys!$C$52,$K694/$L694),Keys!$C$51)</f>
        <v>0.83534469696969693</v>
      </c>
      <c r="N694" s="11">
        <f>IF($E694=Keys!$C$60,Keys!$C$51,IF($E694=Keys!$C$59,$D694,$M694))</f>
        <v>0.83534469696969693</v>
      </c>
      <c r="O694">
        <f t="shared" si="42"/>
        <v>1</v>
      </c>
      <c r="P694" s="10">
        <f>IF($E694=Keys!$C$60,Keys!$C$51,INDEX(Raw_BFPIaE!$G$9:$G$3032,MATCH($A694&amp;Keys!$C$54&amp;Keys!$C$55&amp;Keys!$C$54&amp;$B694,Raw_BFPIaE!$H$9:$H$3032,0)))</f>
        <v>265868666666666.66</v>
      </c>
      <c r="Q694" s="10">
        <f>IF($E694=Keys!$C$60,Keys!$C$51,INDEX(Raw_BFPIaE!$G$9:$G$3032,MATCH($A694&amp;Keys!$C$54&amp;Keys!$C$56&amp;Keys!$C$54&amp;$B694,Raw_BFPIaE!$H$9:$H$3032,0)))</f>
        <v>0</v>
      </c>
      <c r="R694" s="10">
        <f>IF($E694=Keys!$C$60,Keys!$C$51,INDEX(Raw_BFPIaE!$G$9:$G$3032,MATCH($A694&amp;Keys!$C$54&amp;Keys!$C$57&amp;Keys!$C$54&amp;$B694,Raw_BFPIaE!$H$9:$H$3032,0)))</f>
        <v>148928000000000</v>
      </c>
      <c r="S694" s="11">
        <f>IF(($P694+$Q694-$R694+MAX(Keys!$C$51,$R694-$Q694))&gt;Keys!$C$51,MIN(Keys!$C$52,MAX(Keys!$C$51,$R694-$Q694)/($P694+$Q694-$R694+MAX(Keys!$C$51,$R694-$Q694))),Keys!$C$51)</f>
        <v>0.56015626763088544</v>
      </c>
      <c r="T694">
        <f>IF(AND($I694&gt;$H694,ABS($L694-$G694)&gt;MAX(Keys!$C$62,ABS($G694)*Keys!$C$63)),1,0)</f>
        <v>0</v>
      </c>
      <c r="U694">
        <f>IF(OR($N694&lt;Keys!$C$51,$N694&gt;Keys!$C$52),1,0)</f>
        <v>0</v>
      </c>
      <c r="V694">
        <f>IF(AND($E694=Keys!$C$60,$N694&lt;&gt;Keys!$C$51),1,0)</f>
        <v>0</v>
      </c>
      <c r="W694">
        <f>IF($L694&gt;Keys!$C$51,IF($K694/$L694&gt;Keys!$C$52,1,0),0)</f>
        <v>0</v>
      </c>
      <c r="X694" s="11">
        <f t="shared" si="43"/>
        <v>0.27518842933881149</v>
      </c>
    </row>
    <row r="695" spans="1:24" x14ac:dyDescent="0.25">
      <c r="A695" t="s">
        <v>147</v>
      </c>
      <c r="B695" t="s">
        <v>120</v>
      </c>
      <c r="C695">
        <f>VLOOKUP($B695,Keys!$F$2:$I$22,2,FALSE)</f>
        <v>0</v>
      </c>
      <c r="D695">
        <f>VLOOKUP($B695,Keys!$F$2:$I$22,3,FALSE)</f>
        <v>0</v>
      </c>
      <c r="E695" t="str">
        <f>VLOOKUP($B695,Keys!$F$2:$I$22,4,FALSE)</f>
        <v>zero</v>
      </c>
      <c r="F695" t="str">
        <f>$A695&amp;Keys!$C$54&amp;$B695</f>
        <v>OH|municipal solid waste</v>
      </c>
      <c r="G695" s="10">
        <f>IF($E695=Keys!$C$60,Keys!$C$51,INDEX(Balanced_2025!$D$9:$D$3032,MATCH($A695&amp;Keys!$C$54&amp;Keys!$C$55&amp;Keys!$C$54&amp;$C695,Balanced_2025!$E$9:$E$3032,0)))</f>
        <v>0</v>
      </c>
      <c r="H695" s="10">
        <f>IF($E695=Keys!$C$60,Keys!$C$51,INDEX(Balanced_2025!$D$9:$D$3032,MATCH($A695&amp;Keys!$C$54&amp;Keys!$C$56&amp;Keys!$C$54&amp;$C695,Balanced_2025!$E$9:$E$3032,0)))</f>
        <v>0</v>
      </c>
      <c r="I695" s="10">
        <f>IF($E695=Keys!$C$60,Keys!$C$51,INDEX(Balanced_2025!$D$9:$D$3032,MATCH($A695&amp;Keys!$C$54&amp;Keys!$C$57&amp;Keys!$C$54&amp;$C695,Balanced_2025!$E$9:$E$3032,0)))</f>
        <v>0</v>
      </c>
      <c r="J695" s="10">
        <f t="shared" si="40"/>
        <v>0</v>
      </c>
      <c r="K695" s="10">
        <f>MAX(Keys!$C$51,$I695-$H695)</f>
        <v>0</v>
      </c>
      <c r="L695" s="10">
        <f t="shared" si="41"/>
        <v>0</v>
      </c>
      <c r="M695" s="11">
        <f>IF($L695&gt;Keys!$C$51,MIN(Keys!$C$52,$K695/$L695),Keys!$C$51)</f>
        <v>0</v>
      </c>
      <c r="N695" s="11">
        <f>IF($E695=Keys!$C$60,Keys!$C$51,IF($E695=Keys!$C$59,$D695,$M695))</f>
        <v>0</v>
      </c>
      <c r="O695">
        <f t="shared" si="42"/>
        <v>0</v>
      </c>
      <c r="P695" s="10">
        <f>IF($E695=Keys!$C$60,Keys!$C$51,INDEX(Raw_BFPIaE!$G$9:$G$3032,MATCH($A695&amp;Keys!$C$54&amp;Keys!$C$55&amp;Keys!$C$54&amp;$B695,Raw_BFPIaE!$H$9:$H$3032,0)))</f>
        <v>0</v>
      </c>
      <c r="Q695" s="10">
        <f>IF($E695=Keys!$C$60,Keys!$C$51,INDEX(Raw_BFPIaE!$G$9:$G$3032,MATCH($A695&amp;Keys!$C$54&amp;Keys!$C$56&amp;Keys!$C$54&amp;$B695,Raw_BFPIaE!$H$9:$H$3032,0)))</f>
        <v>0</v>
      </c>
      <c r="R695" s="10">
        <f>IF($E695=Keys!$C$60,Keys!$C$51,INDEX(Raw_BFPIaE!$G$9:$G$3032,MATCH($A695&amp;Keys!$C$54&amp;Keys!$C$57&amp;Keys!$C$54&amp;$B695,Raw_BFPIaE!$H$9:$H$3032,0)))</f>
        <v>0</v>
      </c>
      <c r="S695" s="11">
        <f>IF(($P695+$Q695-$R695+MAX(Keys!$C$51,$R695-$Q695))&gt;Keys!$C$51,MIN(Keys!$C$52,MAX(Keys!$C$51,$R695-$Q695)/($P695+$Q695-$R695+MAX(Keys!$C$51,$R695-$Q695))),Keys!$C$51)</f>
        <v>0</v>
      </c>
      <c r="T695">
        <f>IF(AND($I695&gt;$H695,ABS($L695-$G695)&gt;MAX(Keys!$C$62,ABS($G695)*Keys!$C$63)),1,0)</f>
        <v>0</v>
      </c>
      <c r="U695">
        <f>IF(OR($N695&lt;Keys!$C$51,$N695&gt;Keys!$C$52),1,0)</f>
        <v>0</v>
      </c>
      <c r="V695">
        <f>IF(AND($E695=Keys!$C$60,$N695&lt;&gt;Keys!$C$51),1,0)</f>
        <v>0</v>
      </c>
      <c r="W695">
        <f>IF($L695&gt;Keys!$C$51,IF($K695/$L695&gt;Keys!$C$52,1,0),0)</f>
        <v>0</v>
      </c>
      <c r="X695" s="11">
        <f t="shared" si="43"/>
        <v>0</v>
      </c>
    </row>
    <row r="696" spans="1:24" x14ac:dyDescent="0.25">
      <c r="A696" t="s">
        <v>147</v>
      </c>
      <c r="B696" t="s">
        <v>123</v>
      </c>
      <c r="C696">
        <f>VLOOKUP($B696,Keys!$F$2:$I$22,2,FALSE)</f>
        <v>0</v>
      </c>
      <c r="D696">
        <f>VLOOKUP($B696,Keys!$F$2:$I$22,3,FALSE)</f>
        <v>0</v>
      </c>
      <c r="E696" t="str">
        <f>VLOOKUP($B696,Keys!$F$2:$I$22,4,FALSE)</f>
        <v>zero</v>
      </c>
      <c r="F696" t="str">
        <f>$A696&amp;Keys!$C$54&amp;$B696</f>
        <v>OH|hydrogen</v>
      </c>
      <c r="G696" s="10">
        <f>IF($E696=Keys!$C$60,Keys!$C$51,INDEX(Balanced_2025!$D$9:$D$3032,MATCH($A696&amp;Keys!$C$54&amp;Keys!$C$55&amp;Keys!$C$54&amp;$C696,Balanced_2025!$E$9:$E$3032,0)))</f>
        <v>0</v>
      </c>
      <c r="H696" s="10">
        <f>IF($E696=Keys!$C$60,Keys!$C$51,INDEX(Balanced_2025!$D$9:$D$3032,MATCH($A696&amp;Keys!$C$54&amp;Keys!$C$56&amp;Keys!$C$54&amp;$C696,Balanced_2025!$E$9:$E$3032,0)))</f>
        <v>0</v>
      </c>
      <c r="I696" s="10">
        <f>IF($E696=Keys!$C$60,Keys!$C$51,INDEX(Balanced_2025!$D$9:$D$3032,MATCH($A696&amp;Keys!$C$54&amp;Keys!$C$57&amp;Keys!$C$54&amp;$C696,Balanced_2025!$E$9:$E$3032,0)))</f>
        <v>0</v>
      </c>
      <c r="J696" s="10">
        <f t="shared" si="40"/>
        <v>0</v>
      </c>
      <c r="K696" s="10">
        <f>MAX(Keys!$C$51,$I696-$H696)</f>
        <v>0</v>
      </c>
      <c r="L696" s="10">
        <f t="shared" si="41"/>
        <v>0</v>
      </c>
      <c r="M696" s="11">
        <f>IF($L696&gt;Keys!$C$51,MIN(Keys!$C$52,$K696/$L696),Keys!$C$51)</f>
        <v>0</v>
      </c>
      <c r="N696" s="11">
        <f>IF($E696=Keys!$C$60,Keys!$C$51,IF($E696=Keys!$C$59,$D696,$M696))</f>
        <v>0</v>
      </c>
      <c r="O696">
        <f t="shared" si="42"/>
        <v>0</v>
      </c>
      <c r="P696" s="10">
        <f>IF($E696=Keys!$C$60,Keys!$C$51,INDEX(Raw_BFPIaE!$G$9:$G$3032,MATCH($A696&amp;Keys!$C$54&amp;Keys!$C$55&amp;Keys!$C$54&amp;$B696,Raw_BFPIaE!$H$9:$H$3032,0)))</f>
        <v>0</v>
      </c>
      <c r="Q696" s="10">
        <f>IF($E696=Keys!$C$60,Keys!$C$51,INDEX(Raw_BFPIaE!$G$9:$G$3032,MATCH($A696&amp;Keys!$C$54&amp;Keys!$C$56&amp;Keys!$C$54&amp;$B696,Raw_BFPIaE!$H$9:$H$3032,0)))</f>
        <v>0</v>
      </c>
      <c r="R696" s="10">
        <f>IF($E696=Keys!$C$60,Keys!$C$51,INDEX(Raw_BFPIaE!$G$9:$G$3032,MATCH($A696&amp;Keys!$C$54&amp;Keys!$C$57&amp;Keys!$C$54&amp;$B696,Raw_BFPIaE!$H$9:$H$3032,0)))</f>
        <v>0</v>
      </c>
      <c r="S696" s="11">
        <f>IF(($P696+$Q696-$R696+MAX(Keys!$C$51,$R696-$Q696))&gt;Keys!$C$51,MIN(Keys!$C$52,MAX(Keys!$C$51,$R696-$Q696)/($P696+$Q696-$R696+MAX(Keys!$C$51,$R696-$Q696))),Keys!$C$51)</f>
        <v>0</v>
      </c>
      <c r="T696">
        <f>IF(AND($I696&gt;$H696,ABS($L696-$G696)&gt;MAX(Keys!$C$62,ABS($G696)*Keys!$C$63)),1,0)</f>
        <v>0</v>
      </c>
      <c r="U696">
        <f>IF(OR($N696&lt;Keys!$C$51,$N696&gt;Keys!$C$52),1,0)</f>
        <v>0</v>
      </c>
      <c r="V696">
        <f>IF(AND($E696=Keys!$C$60,$N696&lt;&gt;Keys!$C$51),1,0)</f>
        <v>0</v>
      </c>
      <c r="W696">
        <f>IF($L696&gt;Keys!$C$51,IF($K696/$L696&gt;Keys!$C$52,1,0),0)</f>
        <v>0</v>
      </c>
      <c r="X696" s="11">
        <f t="shared" si="43"/>
        <v>0</v>
      </c>
    </row>
    <row r="697" spans="1:24" x14ac:dyDescent="0.25">
      <c r="A697" t="s">
        <v>149</v>
      </c>
      <c r="B697" t="s">
        <v>60</v>
      </c>
      <c r="C697">
        <f>VLOOKUP($B697,Keys!$F$2:$I$22,2,FALSE)</f>
        <v>0</v>
      </c>
      <c r="D697">
        <f>VLOOKUP($B697,Keys!$F$2:$I$22,3,FALSE)</f>
        <v>0</v>
      </c>
      <c r="E697" t="str">
        <f>VLOOKUP($B697,Keys!$F$2:$I$22,4,FALSE)</f>
        <v>zero</v>
      </c>
      <c r="F697" t="str">
        <f>$A697&amp;Keys!$C$54&amp;$B697</f>
        <v>OK|electricity (not used in this variable)</v>
      </c>
      <c r="G697" s="10">
        <f>IF($E697=Keys!$C$60,Keys!$C$51,INDEX(Balanced_2025!$D$9:$D$3032,MATCH($A697&amp;Keys!$C$54&amp;Keys!$C$55&amp;Keys!$C$54&amp;$C697,Balanced_2025!$E$9:$E$3032,0)))</f>
        <v>0</v>
      </c>
      <c r="H697" s="10">
        <f>IF($E697=Keys!$C$60,Keys!$C$51,INDEX(Balanced_2025!$D$9:$D$3032,MATCH($A697&amp;Keys!$C$54&amp;Keys!$C$56&amp;Keys!$C$54&amp;$C697,Balanced_2025!$E$9:$E$3032,0)))</f>
        <v>0</v>
      </c>
      <c r="I697" s="10">
        <f>IF($E697=Keys!$C$60,Keys!$C$51,INDEX(Balanced_2025!$D$9:$D$3032,MATCH($A697&amp;Keys!$C$54&amp;Keys!$C$57&amp;Keys!$C$54&amp;$C697,Balanced_2025!$E$9:$E$3032,0)))</f>
        <v>0</v>
      </c>
      <c r="J697" s="10">
        <f t="shared" si="40"/>
        <v>0</v>
      </c>
      <c r="K697" s="10">
        <f>MAX(Keys!$C$51,$I697-$H697)</f>
        <v>0</v>
      </c>
      <c r="L697" s="10">
        <f t="shared" si="41"/>
        <v>0</v>
      </c>
      <c r="M697" s="11">
        <f>IF($L697&gt;Keys!$C$51,MIN(Keys!$C$52,$K697/$L697),Keys!$C$51)</f>
        <v>0</v>
      </c>
      <c r="N697" s="11">
        <f>IF($E697=Keys!$C$60,Keys!$C$51,IF($E697=Keys!$C$59,$D697,$M697))</f>
        <v>0</v>
      </c>
      <c r="O697">
        <f t="shared" si="42"/>
        <v>0</v>
      </c>
      <c r="P697" s="10">
        <f>IF($E697=Keys!$C$60,Keys!$C$51,INDEX(Raw_BFPIaE!$G$9:$G$3032,MATCH($A697&amp;Keys!$C$54&amp;Keys!$C$55&amp;Keys!$C$54&amp;$B697,Raw_BFPIaE!$H$9:$H$3032,0)))</f>
        <v>0</v>
      </c>
      <c r="Q697" s="10">
        <f>IF($E697=Keys!$C$60,Keys!$C$51,INDEX(Raw_BFPIaE!$G$9:$G$3032,MATCH($A697&amp;Keys!$C$54&amp;Keys!$C$56&amp;Keys!$C$54&amp;$B697,Raw_BFPIaE!$H$9:$H$3032,0)))</f>
        <v>0</v>
      </c>
      <c r="R697" s="10">
        <f>IF($E697=Keys!$C$60,Keys!$C$51,INDEX(Raw_BFPIaE!$G$9:$G$3032,MATCH($A697&amp;Keys!$C$54&amp;Keys!$C$57&amp;Keys!$C$54&amp;$B697,Raw_BFPIaE!$H$9:$H$3032,0)))</f>
        <v>0</v>
      </c>
      <c r="S697" s="11">
        <f>IF(($P697+$Q697-$R697+MAX(Keys!$C$51,$R697-$Q697))&gt;Keys!$C$51,MIN(Keys!$C$52,MAX(Keys!$C$51,$R697-$Q697)/($P697+$Q697-$R697+MAX(Keys!$C$51,$R697-$Q697))),Keys!$C$51)</f>
        <v>0</v>
      </c>
      <c r="T697">
        <f>IF(AND($I697&gt;$H697,ABS($L697-$G697)&gt;MAX(Keys!$C$62,ABS($G697)*Keys!$C$63)),1,0)</f>
        <v>0</v>
      </c>
      <c r="U697">
        <f>IF(OR($N697&lt;Keys!$C$51,$N697&gt;Keys!$C$52),1,0)</f>
        <v>0</v>
      </c>
      <c r="V697">
        <f>IF(AND($E697=Keys!$C$60,$N697&lt;&gt;Keys!$C$51),1,0)</f>
        <v>0</v>
      </c>
      <c r="W697">
        <f>IF($L697&gt;Keys!$C$51,IF($K697/$L697&gt;Keys!$C$52,1,0),0)</f>
        <v>0</v>
      </c>
      <c r="X697" s="11">
        <f t="shared" si="43"/>
        <v>0</v>
      </c>
    </row>
    <row r="698" spans="1:24" x14ac:dyDescent="0.25">
      <c r="A698" t="s">
        <v>149</v>
      </c>
      <c r="B698" t="s">
        <v>64</v>
      </c>
      <c r="C698" t="str">
        <f>VLOOKUP($B698,Keys!$F$2:$I$22,2,FALSE)</f>
        <v>hard coal</v>
      </c>
      <c r="D698">
        <f>VLOOKUP($B698,Keys!$F$2:$I$22,3,FALSE)</f>
        <v>0.137539879</v>
      </c>
      <c r="E698" t="str">
        <f>VLOOKUP($B698,Keys!$F$2:$I$22,4,FALSE)</f>
        <v>rule</v>
      </c>
      <c r="F698" t="str">
        <f>$A698&amp;Keys!$C$54&amp;$B698</f>
        <v>OK|hard coal</v>
      </c>
      <c r="G698" s="10">
        <f>IF($E698=Keys!$C$60,Keys!$C$51,INDEX(Balanced_2025!$D$9:$D$3032,MATCH($A698&amp;Keys!$C$54&amp;Keys!$C$55&amp;Keys!$C$54&amp;$C698,Balanced_2025!$E$9:$E$3032,0)))</f>
        <v>2419000000</v>
      </c>
      <c r="H698" s="10">
        <f>IF($E698=Keys!$C$60,Keys!$C$51,INDEX(Balanced_2025!$D$9:$D$3032,MATCH($A698&amp;Keys!$C$54&amp;Keys!$C$56&amp;Keys!$C$54&amp;$C698,Balanced_2025!$E$9:$E$3032,0)))</f>
        <v>167423000000000</v>
      </c>
      <c r="I698" s="10">
        <f>IF($E698=Keys!$C$60,Keys!$C$51,INDEX(Balanced_2025!$D$9:$D$3032,MATCH($A698&amp;Keys!$C$54&amp;Keys!$C$57&amp;Keys!$C$54&amp;$C698,Balanced_2025!$E$9:$E$3032,0)))</f>
        <v>0</v>
      </c>
      <c r="J698" s="10">
        <f t="shared" si="40"/>
        <v>167425419000000</v>
      </c>
      <c r="K698" s="10">
        <f>MAX(Keys!$C$51,$I698-$H698)</f>
        <v>0</v>
      </c>
      <c r="L698" s="10">
        <f t="shared" si="41"/>
        <v>167425419000000</v>
      </c>
      <c r="M698" s="11">
        <f>IF($L698&gt;Keys!$C$51,MIN(Keys!$C$52,$K698/$L698),Keys!$C$51)</f>
        <v>0</v>
      </c>
      <c r="N698" s="11">
        <f>IF($E698=Keys!$C$60,Keys!$C$51,IF($E698=Keys!$C$59,$D698,$M698))</f>
        <v>0</v>
      </c>
      <c r="O698">
        <f t="shared" si="42"/>
        <v>1</v>
      </c>
      <c r="P698" s="10">
        <f>IF($E698=Keys!$C$60,Keys!$C$51,INDEX(Raw_BFPIaE!$G$9:$G$3032,MATCH($A698&amp;Keys!$C$54&amp;Keys!$C$55&amp;Keys!$C$54&amp;$B698,Raw_BFPIaE!$H$9:$H$3032,0)))</f>
        <v>2414663333.3333335</v>
      </c>
      <c r="Q698" s="10">
        <f>IF($E698=Keys!$C$60,Keys!$C$51,INDEX(Raw_BFPIaE!$G$9:$G$3032,MATCH($A698&amp;Keys!$C$54&amp;Keys!$C$56&amp;Keys!$C$54&amp;$B698,Raw_BFPIaE!$H$9:$H$3032,0)))</f>
        <v>111211166666666.67</v>
      </c>
      <c r="R698" s="10">
        <f>IF($E698=Keys!$C$60,Keys!$C$51,INDEX(Raw_BFPIaE!$G$9:$G$3032,MATCH($A698&amp;Keys!$C$54&amp;Keys!$C$57&amp;Keys!$C$54&amp;$B698,Raw_BFPIaE!$H$9:$H$3032,0)))</f>
        <v>0</v>
      </c>
      <c r="S698" s="11">
        <f>IF(($P698+$Q698-$R698+MAX(Keys!$C$51,$R698-$Q698))&gt;Keys!$C$51,MIN(Keys!$C$52,MAX(Keys!$C$51,$R698-$Q698)/($P698+$Q698-$R698+MAX(Keys!$C$51,$R698-$Q698))),Keys!$C$51)</f>
        <v>0</v>
      </c>
      <c r="T698">
        <f>IF(AND($I698&gt;$H698,ABS($L698-$G698)&gt;MAX(Keys!$C$62,ABS($G698)*Keys!$C$63)),1,0)</f>
        <v>0</v>
      </c>
      <c r="U698">
        <f>IF(OR($N698&lt;Keys!$C$51,$N698&gt;Keys!$C$52),1,0)</f>
        <v>0</v>
      </c>
      <c r="V698">
        <f>IF(AND($E698=Keys!$C$60,$N698&lt;&gt;Keys!$C$51),1,0)</f>
        <v>0</v>
      </c>
      <c r="W698">
        <f>IF($L698&gt;Keys!$C$51,IF($K698/$L698&gt;Keys!$C$52,1,0),0)</f>
        <v>0</v>
      </c>
      <c r="X698" s="11">
        <f t="shared" si="43"/>
        <v>0</v>
      </c>
    </row>
    <row r="699" spans="1:24" x14ac:dyDescent="0.25">
      <c r="A699" t="s">
        <v>149</v>
      </c>
      <c r="B699" t="s">
        <v>68</v>
      </c>
      <c r="C699" t="str">
        <f>VLOOKUP($B699,Keys!$F$2:$I$22,2,FALSE)</f>
        <v>natural gas</v>
      </c>
      <c r="D699">
        <f>VLOOKUP($B699,Keys!$F$2:$I$22,3,FALSE)</f>
        <v>0.190839183</v>
      </c>
      <c r="E699" t="str">
        <f>VLOOKUP($B699,Keys!$F$2:$I$22,4,FALSE)</f>
        <v>rule</v>
      </c>
      <c r="F699" t="str">
        <f>$A699&amp;Keys!$C$54&amp;$B699</f>
        <v>OK|natural gas</v>
      </c>
      <c r="G699" s="10">
        <f>IF($E699=Keys!$C$60,Keys!$C$51,INDEX(Balanced_2025!$D$9:$D$3032,MATCH($A699&amp;Keys!$C$54&amp;Keys!$C$55&amp;Keys!$C$54&amp;$C699,Balanced_2025!$E$9:$E$3032,0)))</f>
        <v>2579530000000000</v>
      </c>
      <c r="H699" s="10">
        <f>IF($E699=Keys!$C$60,Keys!$C$51,INDEX(Balanced_2025!$D$9:$D$3032,MATCH($A699&amp;Keys!$C$54&amp;Keys!$C$56&amp;Keys!$C$54&amp;$C699,Balanced_2025!$E$9:$E$3032,0)))</f>
        <v>480371000000000</v>
      </c>
      <c r="I699" s="10">
        <f>IF($E699=Keys!$C$60,Keys!$C$51,INDEX(Balanced_2025!$D$9:$D$3032,MATCH($A699&amp;Keys!$C$54&amp;Keys!$C$57&amp;Keys!$C$54&amp;$C699,Balanced_2025!$E$9:$E$3032,0)))</f>
        <v>2317560000000000</v>
      </c>
      <c r="J699" s="10">
        <f t="shared" si="40"/>
        <v>742341000000000</v>
      </c>
      <c r="K699" s="10">
        <f>MAX(Keys!$C$51,$I699-$H699)</f>
        <v>1837189000000000</v>
      </c>
      <c r="L699" s="10">
        <f t="shared" si="41"/>
        <v>2579530000000000</v>
      </c>
      <c r="M699" s="11">
        <f>IF($L699&gt;Keys!$C$51,MIN(Keys!$C$52,$K699/$L699),Keys!$C$51)</f>
        <v>0.71221850492143912</v>
      </c>
      <c r="N699" s="11">
        <f>IF($E699=Keys!$C$60,Keys!$C$51,IF($E699=Keys!$C$59,$D699,$M699))</f>
        <v>0.71221850492143912</v>
      </c>
      <c r="O699">
        <f t="shared" si="42"/>
        <v>1</v>
      </c>
      <c r="P699" s="10">
        <f>IF($E699=Keys!$C$60,Keys!$C$51,INDEX(Raw_BFPIaE!$G$9:$G$3032,MATCH($A699&amp;Keys!$C$54&amp;Keys!$C$55&amp;Keys!$C$54&amp;$B699,Raw_BFPIaE!$H$9:$H$3032,0)))</f>
        <v>2499283333333333.5</v>
      </c>
      <c r="Q699" s="10">
        <f>IF($E699=Keys!$C$60,Keys!$C$51,INDEX(Raw_BFPIaE!$G$9:$G$3032,MATCH($A699&amp;Keys!$C$54&amp;Keys!$C$56&amp;Keys!$C$54&amp;$B699,Raw_BFPIaE!$H$9:$H$3032,0)))</f>
        <v>661951666666666.63</v>
      </c>
      <c r="R699" s="10">
        <f>IF($E699=Keys!$C$60,Keys!$C$51,INDEX(Raw_BFPIaE!$G$9:$G$3032,MATCH($A699&amp;Keys!$C$54&amp;Keys!$C$57&amp;Keys!$C$54&amp;$B699,Raw_BFPIaE!$H$9:$H$3032,0)))</f>
        <v>2245460000000000</v>
      </c>
      <c r="S699" s="11">
        <f>IF(($P699+$Q699-$R699+MAX(Keys!$C$51,$R699-$Q699))&gt;Keys!$C$51,MIN(Keys!$C$52,MAX(Keys!$C$51,$R699-$Q699)/($P699+$Q699-$R699+MAX(Keys!$C$51,$R699-$Q699))),Keys!$C$51)</f>
        <v>0.63358496102215967</v>
      </c>
      <c r="T699">
        <f>IF(AND($I699&gt;$H699,ABS($L699-$G699)&gt;MAX(Keys!$C$62,ABS($G699)*Keys!$C$63)),1,0)</f>
        <v>0</v>
      </c>
      <c r="U699">
        <f>IF(OR($N699&lt;Keys!$C$51,$N699&gt;Keys!$C$52),1,0)</f>
        <v>0</v>
      </c>
      <c r="V699">
        <f>IF(AND($E699=Keys!$C$60,$N699&lt;&gt;Keys!$C$51),1,0)</f>
        <v>0</v>
      </c>
      <c r="W699">
        <f>IF($L699&gt;Keys!$C$51,IF($K699/$L699&gt;Keys!$C$52,1,0),0)</f>
        <v>0</v>
      </c>
      <c r="X699" s="11">
        <f t="shared" si="43"/>
        <v>7.8633543899279457E-2</v>
      </c>
    </row>
    <row r="700" spans="1:24" x14ac:dyDescent="0.25">
      <c r="A700" t="s">
        <v>149</v>
      </c>
      <c r="B700" t="s">
        <v>71</v>
      </c>
      <c r="C700">
        <f>VLOOKUP($B700,Keys!$F$2:$I$22,2,FALSE)</f>
        <v>0</v>
      </c>
      <c r="D700">
        <f>VLOOKUP($B700,Keys!$F$2:$I$22,3,FALSE)</f>
        <v>0</v>
      </c>
      <c r="E700" t="str">
        <f>VLOOKUP($B700,Keys!$F$2:$I$22,4,FALSE)</f>
        <v>zero</v>
      </c>
      <c r="F700" t="str">
        <f>$A700&amp;Keys!$C$54&amp;$B700</f>
        <v>OK|nuclear</v>
      </c>
      <c r="G700" s="10">
        <f>IF($E700=Keys!$C$60,Keys!$C$51,INDEX(Balanced_2025!$D$9:$D$3032,MATCH($A700&amp;Keys!$C$54&amp;Keys!$C$55&amp;Keys!$C$54&amp;$C700,Balanced_2025!$E$9:$E$3032,0)))</f>
        <v>0</v>
      </c>
      <c r="H700" s="10">
        <f>IF($E700=Keys!$C$60,Keys!$C$51,INDEX(Balanced_2025!$D$9:$D$3032,MATCH($A700&amp;Keys!$C$54&amp;Keys!$C$56&amp;Keys!$C$54&amp;$C700,Balanced_2025!$E$9:$E$3032,0)))</f>
        <v>0</v>
      </c>
      <c r="I700" s="10">
        <f>IF($E700=Keys!$C$60,Keys!$C$51,INDEX(Balanced_2025!$D$9:$D$3032,MATCH($A700&amp;Keys!$C$54&amp;Keys!$C$57&amp;Keys!$C$54&amp;$C700,Balanced_2025!$E$9:$E$3032,0)))</f>
        <v>0</v>
      </c>
      <c r="J700" s="10">
        <f t="shared" si="40"/>
        <v>0</v>
      </c>
      <c r="K700" s="10">
        <f>MAX(Keys!$C$51,$I700-$H700)</f>
        <v>0</v>
      </c>
      <c r="L700" s="10">
        <f t="shared" si="41"/>
        <v>0</v>
      </c>
      <c r="M700" s="11">
        <f>IF($L700&gt;Keys!$C$51,MIN(Keys!$C$52,$K700/$L700),Keys!$C$51)</f>
        <v>0</v>
      </c>
      <c r="N700" s="11">
        <f>IF($E700=Keys!$C$60,Keys!$C$51,IF($E700=Keys!$C$59,$D700,$M700))</f>
        <v>0</v>
      </c>
      <c r="O700">
        <f t="shared" si="42"/>
        <v>0</v>
      </c>
      <c r="P700" s="10">
        <f>IF($E700=Keys!$C$60,Keys!$C$51,INDEX(Raw_BFPIaE!$G$9:$G$3032,MATCH($A700&amp;Keys!$C$54&amp;Keys!$C$55&amp;Keys!$C$54&amp;$B700,Raw_BFPIaE!$H$9:$H$3032,0)))</f>
        <v>0</v>
      </c>
      <c r="Q700" s="10">
        <f>IF($E700=Keys!$C$60,Keys!$C$51,INDEX(Raw_BFPIaE!$G$9:$G$3032,MATCH($A700&amp;Keys!$C$54&amp;Keys!$C$56&amp;Keys!$C$54&amp;$B700,Raw_BFPIaE!$H$9:$H$3032,0)))</f>
        <v>0</v>
      </c>
      <c r="R700" s="10">
        <f>IF($E700=Keys!$C$60,Keys!$C$51,INDEX(Raw_BFPIaE!$G$9:$G$3032,MATCH($A700&amp;Keys!$C$54&amp;Keys!$C$57&amp;Keys!$C$54&amp;$B700,Raw_BFPIaE!$H$9:$H$3032,0)))</f>
        <v>0</v>
      </c>
      <c r="S700" s="11">
        <f>IF(($P700+$Q700-$R700+MAX(Keys!$C$51,$R700-$Q700))&gt;Keys!$C$51,MIN(Keys!$C$52,MAX(Keys!$C$51,$R700-$Q700)/($P700+$Q700-$R700+MAX(Keys!$C$51,$R700-$Q700))),Keys!$C$51)</f>
        <v>0</v>
      </c>
      <c r="T700">
        <f>IF(AND($I700&gt;$H700,ABS($L700-$G700)&gt;MAX(Keys!$C$62,ABS($G700)*Keys!$C$63)),1,0)</f>
        <v>0</v>
      </c>
      <c r="U700">
        <f>IF(OR($N700&lt;Keys!$C$51,$N700&gt;Keys!$C$52),1,0)</f>
        <v>0</v>
      </c>
      <c r="V700">
        <f>IF(AND($E700=Keys!$C$60,$N700&lt;&gt;Keys!$C$51),1,0)</f>
        <v>0</v>
      </c>
      <c r="W700">
        <f>IF($L700&gt;Keys!$C$51,IF($K700/$L700&gt;Keys!$C$52,1,0),0)</f>
        <v>0</v>
      </c>
      <c r="X700" s="11">
        <f t="shared" si="43"/>
        <v>0</v>
      </c>
    </row>
    <row r="701" spans="1:24" x14ac:dyDescent="0.25">
      <c r="A701" t="s">
        <v>149</v>
      </c>
      <c r="B701" t="s">
        <v>74</v>
      </c>
      <c r="C701">
        <f>VLOOKUP($B701,Keys!$F$2:$I$22,2,FALSE)</f>
        <v>0</v>
      </c>
      <c r="D701">
        <f>VLOOKUP($B701,Keys!$F$2:$I$22,3,FALSE)</f>
        <v>0</v>
      </c>
      <c r="E701" t="str">
        <f>VLOOKUP($B701,Keys!$F$2:$I$22,4,FALSE)</f>
        <v>zero</v>
      </c>
      <c r="F701" t="str">
        <f>$A701&amp;Keys!$C$54&amp;$B701</f>
        <v>OK|hydro (is not a fuel)</v>
      </c>
      <c r="G701" s="10">
        <f>IF($E701=Keys!$C$60,Keys!$C$51,INDEX(Balanced_2025!$D$9:$D$3032,MATCH($A701&amp;Keys!$C$54&amp;Keys!$C$55&amp;Keys!$C$54&amp;$C701,Balanced_2025!$E$9:$E$3032,0)))</f>
        <v>0</v>
      </c>
      <c r="H701" s="10">
        <f>IF($E701=Keys!$C$60,Keys!$C$51,INDEX(Balanced_2025!$D$9:$D$3032,MATCH($A701&amp;Keys!$C$54&amp;Keys!$C$56&amp;Keys!$C$54&amp;$C701,Balanced_2025!$E$9:$E$3032,0)))</f>
        <v>0</v>
      </c>
      <c r="I701" s="10">
        <f>IF($E701=Keys!$C$60,Keys!$C$51,INDEX(Balanced_2025!$D$9:$D$3032,MATCH($A701&amp;Keys!$C$54&amp;Keys!$C$57&amp;Keys!$C$54&amp;$C701,Balanced_2025!$E$9:$E$3032,0)))</f>
        <v>0</v>
      </c>
      <c r="J701" s="10">
        <f t="shared" si="40"/>
        <v>0</v>
      </c>
      <c r="K701" s="10">
        <f>MAX(Keys!$C$51,$I701-$H701)</f>
        <v>0</v>
      </c>
      <c r="L701" s="10">
        <f t="shared" si="41"/>
        <v>0</v>
      </c>
      <c r="M701" s="11">
        <f>IF($L701&gt;Keys!$C$51,MIN(Keys!$C$52,$K701/$L701),Keys!$C$51)</f>
        <v>0</v>
      </c>
      <c r="N701" s="11">
        <f>IF($E701=Keys!$C$60,Keys!$C$51,IF($E701=Keys!$C$59,$D701,$M701))</f>
        <v>0</v>
      </c>
      <c r="O701">
        <f t="shared" si="42"/>
        <v>0</v>
      </c>
      <c r="P701" s="10">
        <f>IF($E701=Keys!$C$60,Keys!$C$51,INDEX(Raw_BFPIaE!$G$9:$G$3032,MATCH($A701&amp;Keys!$C$54&amp;Keys!$C$55&amp;Keys!$C$54&amp;$B701,Raw_BFPIaE!$H$9:$H$3032,0)))</f>
        <v>0</v>
      </c>
      <c r="Q701" s="10">
        <f>IF($E701=Keys!$C$60,Keys!$C$51,INDEX(Raw_BFPIaE!$G$9:$G$3032,MATCH($A701&amp;Keys!$C$54&amp;Keys!$C$56&amp;Keys!$C$54&amp;$B701,Raw_BFPIaE!$H$9:$H$3032,0)))</f>
        <v>0</v>
      </c>
      <c r="R701" s="10">
        <f>IF($E701=Keys!$C$60,Keys!$C$51,INDEX(Raw_BFPIaE!$G$9:$G$3032,MATCH($A701&amp;Keys!$C$54&amp;Keys!$C$57&amp;Keys!$C$54&amp;$B701,Raw_BFPIaE!$H$9:$H$3032,0)))</f>
        <v>0</v>
      </c>
      <c r="S701" s="11">
        <f>IF(($P701+$Q701-$R701+MAX(Keys!$C$51,$R701-$Q701))&gt;Keys!$C$51,MIN(Keys!$C$52,MAX(Keys!$C$51,$R701-$Q701)/($P701+$Q701-$R701+MAX(Keys!$C$51,$R701-$Q701))),Keys!$C$51)</f>
        <v>0</v>
      </c>
      <c r="T701">
        <f>IF(AND($I701&gt;$H701,ABS($L701-$G701)&gt;MAX(Keys!$C$62,ABS($G701)*Keys!$C$63)),1,0)</f>
        <v>0</v>
      </c>
      <c r="U701">
        <f>IF(OR($N701&lt;Keys!$C$51,$N701&gt;Keys!$C$52),1,0)</f>
        <v>0</v>
      </c>
      <c r="V701">
        <f>IF(AND($E701=Keys!$C$60,$N701&lt;&gt;Keys!$C$51),1,0)</f>
        <v>0</v>
      </c>
      <c r="W701">
        <f>IF($L701&gt;Keys!$C$51,IF($K701/$L701&gt;Keys!$C$52,1,0),0)</f>
        <v>0</v>
      </c>
      <c r="X701" s="11">
        <f t="shared" si="43"/>
        <v>0</v>
      </c>
    </row>
    <row r="702" spans="1:24" x14ac:dyDescent="0.25">
      <c r="A702" t="s">
        <v>149</v>
      </c>
      <c r="B702" t="s">
        <v>77</v>
      </c>
      <c r="C702">
        <f>VLOOKUP($B702,Keys!$F$2:$I$22,2,FALSE)</f>
        <v>0</v>
      </c>
      <c r="D702">
        <f>VLOOKUP($B702,Keys!$F$2:$I$22,3,FALSE)</f>
        <v>0</v>
      </c>
      <c r="E702" t="str">
        <f>VLOOKUP($B702,Keys!$F$2:$I$22,4,FALSE)</f>
        <v>zero</v>
      </c>
      <c r="F702" t="str">
        <f>$A702&amp;Keys!$C$54&amp;$B702</f>
        <v>OK|wind (is not a fuel)</v>
      </c>
      <c r="G702" s="10">
        <f>IF($E702=Keys!$C$60,Keys!$C$51,INDEX(Balanced_2025!$D$9:$D$3032,MATCH($A702&amp;Keys!$C$54&amp;Keys!$C$55&amp;Keys!$C$54&amp;$C702,Balanced_2025!$E$9:$E$3032,0)))</f>
        <v>0</v>
      </c>
      <c r="H702" s="10">
        <f>IF($E702=Keys!$C$60,Keys!$C$51,INDEX(Balanced_2025!$D$9:$D$3032,MATCH($A702&amp;Keys!$C$54&amp;Keys!$C$56&amp;Keys!$C$54&amp;$C702,Balanced_2025!$E$9:$E$3032,0)))</f>
        <v>0</v>
      </c>
      <c r="I702" s="10">
        <f>IF($E702=Keys!$C$60,Keys!$C$51,INDEX(Balanced_2025!$D$9:$D$3032,MATCH($A702&amp;Keys!$C$54&amp;Keys!$C$57&amp;Keys!$C$54&amp;$C702,Balanced_2025!$E$9:$E$3032,0)))</f>
        <v>0</v>
      </c>
      <c r="J702" s="10">
        <f t="shared" si="40"/>
        <v>0</v>
      </c>
      <c r="K702" s="10">
        <f>MAX(Keys!$C$51,$I702-$H702)</f>
        <v>0</v>
      </c>
      <c r="L702" s="10">
        <f t="shared" si="41"/>
        <v>0</v>
      </c>
      <c r="M702" s="11">
        <f>IF($L702&gt;Keys!$C$51,MIN(Keys!$C$52,$K702/$L702),Keys!$C$51)</f>
        <v>0</v>
      </c>
      <c r="N702" s="11">
        <f>IF($E702=Keys!$C$60,Keys!$C$51,IF($E702=Keys!$C$59,$D702,$M702))</f>
        <v>0</v>
      </c>
      <c r="O702">
        <f t="shared" si="42"/>
        <v>0</v>
      </c>
      <c r="P702" s="10">
        <f>IF($E702=Keys!$C$60,Keys!$C$51,INDEX(Raw_BFPIaE!$G$9:$G$3032,MATCH($A702&amp;Keys!$C$54&amp;Keys!$C$55&amp;Keys!$C$54&amp;$B702,Raw_BFPIaE!$H$9:$H$3032,0)))</f>
        <v>0</v>
      </c>
      <c r="Q702" s="10">
        <f>IF($E702=Keys!$C$60,Keys!$C$51,INDEX(Raw_BFPIaE!$G$9:$G$3032,MATCH($A702&amp;Keys!$C$54&amp;Keys!$C$56&amp;Keys!$C$54&amp;$B702,Raw_BFPIaE!$H$9:$H$3032,0)))</f>
        <v>0</v>
      </c>
      <c r="R702" s="10">
        <f>IF($E702=Keys!$C$60,Keys!$C$51,INDEX(Raw_BFPIaE!$G$9:$G$3032,MATCH($A702&amp;Keys!$C$54&amp;Keys!$C$57&amp;Keys!$C$54&amp;$B702,Raw_BFPIaE!$H$9:$H$3032,0)))</f>
        <v>0</v>
      </c>
      <c r="S702" s="11">
        <f>IF(($P702+$Q702-$R702+MAX(Keys!$C$51,$R702-$Q702))&gt;Keys!$C$51,MIN(Keys!$C$52,MAX(Keys!$C$51,$R702-$Q702)/($P702+$Q702-$R702+MAX(Keys!$C$51,$R702-$Q702))),Keys!$C$51)</f>
        <v>0</v>
      </c>
      <c r="T702">
        <f>IF(AND($I702&gt;$H702,ABS($L702-$G702)&gt;MAX(Keys!$C$62,ABS($G702)*Keys!$C$63)),1,0)</f>
        <v>0</v>
      </c>
      <c r="U702">
        <f>IF(OR($N702&lt;Keys!$C$51,$N702&gt;Keys!$C$52),1,0)</f>
        <v>0</v>
      </c>
      <c r="V702">
        <f>IF(AND($E702=Keys!$C$60,$N702&lt;&gt;Keys!$C$51),1,0)</f>
        <v>0</v>
      </c>
      <c r="W702">
        <f>IF($L702&gt;Keys!$C$51,IF($K702/$L702&gt;Keys!$C$52,1,0),0)</f>
        <v>0</v>
      </c>
      <c r="X702" s="11">
        <f t="shared" si="43"/>
        <v>0</v>
      </c>
    </row>
    <row r="703" spans="1:24" x14ac:dyDescent="0.25">
      <c r="A703" t="s">
        <v>149</v>
      </c>
      <c r="B703" t="s">
        <v>80</v>
      </c>
      <c r="C703">
        <f>VLOOKUP($B703,Keys!$F$2:$I$22,2,FALSE)</f>
        <v>0</v>
      </c>
      <c r="D703">
        <f>VLOOKUP($B703,Keys!$F$2:$I$22,3,FALSE)</f>
        <v>0</v>
      </c>
      <c r="E703" t="str">
        <f>VLOOKUP($B703,Keys!$F$2:$I$22,4,FALSE)</f>
        <v>zero</v>
      </c>
      <c r="F703" t="str">
        <f>$A703&amp;Keys!$C$54&amp;$B703</f>
        <v>OK|solar (is not a fuel)</v>
      </c>
      <c r="G703" s="10">
        <f>IF($E703=Keys!$C$60,Keys!$C$51,INDEX(Balanced_2025!$D$9:$D$3032,MATCH($A703&amp;Keys!$C$54&amp;Keys!$C$55&amp;Keys!$C$54&amp;$C703,Balanced_2025!$E$9:$E$3032,0)))</f>
        <v>0</v>
      </c>
      <c r="H703" s="10">
        <f>IF($E703=Keys!$C$60,Keys!$C$51,INDEX(Balanced_2025!$D$9:$D$3032,MATCH($A703&amp;Keys!$C$54&amp;Keys!$C$56&amp;Keys!$C$54&amp;$C703,Balanced_2025!$E$9:$E$3032,0)))</f>
        <v>0</v>
      </c>
      <c r="I703" s="10">
        <f>IF($E703=Keys!$C$60,Keys!$C$51,INDEX(Balanced_2025!$D$9:$D$3032,MATCH($A703&amp;Keys!$C$54&amp;Keys!$C$57&amp;Keys!$C$54&amp;$C703,Balanced_2025!$E$9:$E$3032,0)))</f>
        <v>0</v>
      </c>
      <c r="J703" s="10">
        <f t="shared" si="40"/>
        <v>0</v>
      </c>
      <c r="K703" s="10">
        <f>MAX(Keys!$C$51,$I703-$H703)</f>
        <v>0</v>
      </c>
      <c r="L703" s="10">
        <f t="shared" si="41"/>
        <v>0</v>
      </c>
      <c r="M703" s="11">
        <f>IF($L703&gt;Keys!$C$51,MIN(Keys!$C$52,$K703/$L703),Keys!$C$51)</f>
        <v>0</v>
      </c>
      <c r="N703" s="11">
        <f>IF($E703=Keys!$C$60,Keys!$C$51,IF($E703=Keys!$C$59,$D703,$M703))</f>
        <v>0</v>
      </c>
      <c r="O703">
        <f t="shared" si="42"/>
        <v>0</v>
      </c>
      <c r="P703" s="10">
        <f>IF($E703=Keys!$C$60,Keys!$C$51,INDEX(Raw_BFPIaE!$G$9:$G$3032,MATCH($A703&amp;Keys!$C$54&amp;Keys!$C$55&amp;Keys!$C$54&amp;$B703,Raw_BFPIaE!$H$9:$H$3032,0)))</f>
        <v>0</v>
      </c>
      <c r="Q703" s="10">
        <f>IF($E703=Keys!$C$60,Keys!$C$51,INDEX(Raw_BFPIaE!$G$9:$G$3032,MATCH($A703&amp;Keys!$C$54&amp;Keys!$C$56&amp;Keys!$C$54&amp;$B703,Raw_BFPIaE!$H$9:$H$3032,0)))</f>
        <v>0</v>
      </c>
      <c r="R703" s="10">
        <f>IF($E703=Keys!$C$60,Keys!$C$51,INDEX(Raw_BFPIaE!$G$9:$G$3032,MATCH($A703&amp;Keys!$C$54&amp;Keys!$C$57&amp;Keys!$C$54&amp;$B703,Raw_BFPIaE!$H$9:$H$3032,0)))</f>
        <v>0</v>
      </c>
      <c r="S703" s="11">
        <f>IF(($P703+$Q703-$R703+MAX(Keys!$C$51,$R703-$Q703))&gt;Keys!$C$51,MIN(Keys!$C$52,MAX(Keys!$C$51,$R703-$Q703)/($P703+$Q703-$R703+MAX(Keys!$C$51,$R703-$Q703))),Keys!$C$51)</f>
        <v>0</v>
      </c>
      <c r="T703">
        <f>IF(AND($I703&gt;$H703,ABS($L703-$G703)&gt;MAX(Keys!$C$62,ABS($G703)*Keys!$C$63)),1,0)</f>
        <v>0</v>
      </c>
      <c r="U703">
        <f>IF(OR($N703&lt;Keys!$C$51,$N703&gt;Keys!$C$52),1,0)</f>
        <v>0</v>
      </c>
      <c r="V703">
        <f>IF(AND($E703=Keys!$C$60,$N703&lt;&gt;Keys!$C$51),1,0)</f>
        <v>0</v>
      </c>
      <c r="W703">
        <f>IF($L703&gt;Keys!$C$51,IF($K703/$L703&gt;Keys!$C$52,1,0),0)</f>
        <v>0</v>
      </c>
      <c r="X703" s="11">
        <f t="shared" si="43"/>
        <v>0</v>
      </c>
    </row>
    <row r="704" spans="1:24" x14ac:dyDescent="0.25">
      <c r="A704" t="s">
        <v>149</v>
      </c>
      <c r="B704" t="s">
        <v>82</v>
      </c>
      <c r="C704" t="str">
        <f>VLOOKUP($B704,Keys!$F$2:$I$22,2,FALSE)</f>
        <v>biomass</v>
      </c>
      <c r="D704">
        <f>VLOOKUP($B704,Keys!$F$2:$I$22,3,FALSE)</f>
        <v>0.74947425499999998</v>
      </c>
      <c r="E704" t="str">
        <f>VLOOKUP($B704,Keys!$F$2:$I$22,4,FALSE)</f>
        <v>rule</v>
      </c>
      <c r="F704" t="str">
        <f>$A704&amp;Keys!$C$54&amp;$B704</f>
        <v>OK|biomass</v>
      </c>
      <c r="G704" s="10">
        <f>IF($E704=Keys!$C$60,Keys!$C$51,INDEX(Balanced_2025!$D$9:$D$3032,MATCH($A704&amp;Keys!$C$54&amp;Keys!$C$55&amp;Keys!$C$54&amp;$C704,Balanced_2025!$E$9:$E$3032,0)))</f>
        <v>0</v>
      </c>
      <c r="H704" s="10">
        <f>IF($E704=Keys!$C$60,Keys!$C$51,INDEX(Balanced_2025!$D$9:$D$3032,MATCH($A704&amp;Keys!$C$54&amp;Keys!$C$56&amp;Keys!$C$54&amp;$C704,Balanced_2025!$E$9:$E$3032,0)))</f>
        <v>40745700000000</v>
      </c>
      <c r="I704" s="10">
        <f>IF($E704=Keys!$C$60,Keys!$C$51,INDEX(Balanced_2025!$D$9:$D$3032,MATCH($A704&amp;Keys!$C$54&amp;Keys!$C$57&amp;Keys!$C$54&amp;$C704,Balanced_2025!$E$9:$E$3032,0)))</f>
        <v>0</v>
      </c>
      <c r="J704" s="10">
        <f t="shared" si="40"/>
        <v>40745700000000</v>
      </c>
      <c r="K704" s="10">
        <f>MAX(Keys!$C$51,$I704-$H704)</f>
        <v>0</v>
      </c>
      <c r="L704" s="10">
        <f t="shared" si="41"/>
        <v>40745700000000</v>
      </c>
      <c r="M704" s="11">
        <f>IF($L704&gt;Keys!$C$51,MIN(Keys!$C$52,$K704/$L704),Keys!$C$51)</f>
        <v>0</v>
      </c>
      <c r="N704" s="11">
        <f>IF($E704=Keys!$C$60,Keys!$C$51,IF($E704=Keys!$C$59,$D704,$M704))</f>
        <v>0</v>
      </c>
      <c r="O704">
        <f t="shared" si="42"/>
        <v>1</v>
      </c>
      <c r="P704" s="10">
        <f>IF($E704=Keys!$C$60,Keys!$C$51,INDEX(Raw_BFPIaE!$G$9:$G$3032,MATCH($A704&amp;Keys!$C$54&amp;Keys!$C$55&amp;Keys!$C$54&amp;$B704,Raw_BFPIaE!$H$9:$H$3032,0)))</f>
        <v>0</v>
      </c>
      <c r="Q704" s="10">
        <f>IF($E704=Keys!$C$60,Keys!$C$51,INDEX(Raw_BFPIaE!$G$9:$G$3032,MATCH($A704&amp;Keys!$C$54&amp;Keys!$C$56&amp;Keys!$C$54&amp;$B704,Raw_BFPIaE!$H$9:$H$3032,0)))</f>
        <v>27643733333333.332</v>
      </c>
      <c r="R704" s="10">
        <f>IF($E704=Keys!$C$60,Keys!$C$51,INDEX(Raw_BFPIaE!$G$9:$G$3032,MATCH($A704&amp;Keys!$C$54&amp;Keys!$C$57&amp;Keys!$C$54&amp;$B704,Raw_BFPIaE!$H$9:$H$3032,0)))</f>
        <v>0</v>
      </c>
      <c r="S704" s="11">
        <f>IF(($P704+$Q704-$R704+MAX(Keys!$C$51,$R704-$Q704))&gt;Keys!$C$51,MIN(Keys!$C$52,MAX(Keys!$C$51,$R704-$Q704)/($P704+$Q704-$R704+MAX(Keys!$C$51,$R704-$Q704))),Keys!$C$51)</f>
        <v>0</v>
      </c>
      <c r="T704">
        <f>IF(AND($I704&gt;$H704,ABS($L704-$G704)&gt;MAX(Keys!$C$62,ABS($G704)*Keys!$C$63)),1,0)</f>
        <v>0</v>
      </c>
      <c r="U704">
        <f>IF(OR($N704&lt;Keys!$C$51,$N704&gt;Keys!$C$52),1,0)</f>
        <v>0</v>
      </c>
      <c r="V704">
        <f>IF(AND($E704=Keys!$C$60,$N704&lt;&gt;Keys!$C$51),1,0)</f>
        <v>0</v>
      </c>
      <c r="W704">
        <f>IF($L704&gt;Keys!$C$51,IF($K704/$L704&gt;Keys!$C$52,1,0),0)</f>
        <v>0</v>
      </c>
      <c r="X704" s="11">
        <f t="shared" si="43"/>
        <v>0</v>
      </c>
    </row>
    <row r="705" spans="1:24" x14ac:dyDescent="0.25">
      <c r="A705" t="s">
        <v>149</v>
      </c>
      <c r="B705" t="s">
        <v>85</v>
      </c>
      <c r="C705" t="str">
        <f>VLOOKUP($B705,Keys!$F$2:$I$22,2,FALSE)</f>
        <v>petroleum gasoline</v>
      </c>
      <c r="D705">
        <f>VLOOKUP($B705,Keys!$F$2:$I$22,3,FALSE)</f>
        <v>7.5004052000000002E-2</v>
      </c>
      <c r="E705" t="str">
        <f>VLOOKUP($B705,Keys!$F$2:$I$22,4,FALSE)</f>
        <v>rule</v>
      </c>
      <c r="F705" t="str">
        <f>$A705&amp;Keys!$C$54&amp;$B705</f>
        <v>OK|petroleum gasoline</v>
      </c>
      <c r="G705" s="10">
        <f>IF($E705=Keys!$C$60,Keys!$C$51,INDEX(Balanced_2025!$D$9:$D$3032,MATCH($A705&amp;Keys!$C$54&amp;Keys!$C$55&amp;Keys!$C$54&amp;$C705,Balanced_2025!$E$9:$E$3032,0)))</f>
        <v>516791000000000</v>
      </c>
      <c r="H705" s="10">
        <f>IF($E705=Keys!$C$60,Keys!$C$51,INDEX(Balanced_2025!$D$9:$D$3032,MATCH($A705&amp;Keys!$C$54&amp;Keys!$C$56&amp;Keys!$C$54&amp;$C705,Balanced_2025!$E$9:$E$3032,0)))</f>
        <v>10537500000000</v>
      </c>
      <c r="I705" s="10">
        <f>IF($E705=Keys!$C$60,Keys!$C$51,INDEX(Balanced_2025!$D$9:$D$3032,MATCH($A705&amp;Keys!$C$54&amp;Keys!$C$57&amp;Keys!$C$54&amp;$C705,Balanced_2025!$E$9:$E$3032,0)))</f>
        <v>320530000000000</v>
      </c>
      <c r="J705" s="10">
        <f t="shared" si="40"/>
        <v>206798500000000</v>
      </c>
      <c r="K705" s="10">
        <f>MAX(Keys!$C$51,$I705-$H705)</f>
        <v>309992500000000</v>
      </c>
      <c r="L705" s="10">
        <f t="shared" si="41"/>
        <v>516791000000000</v>
      </c>
      <c r="M705" s="11">
        <f>IF($L705&gt;Keys!$C$51,MIN(Keys!$C$52,$K705/$L705),Keys!$C$51)</f>
        <v>0.59984113500428604</v>
      </c>
      <c r="N705" s="11">
        <f>IF($E705=Keys!$C$60,Keys!$C$51,IF($E705=Keys!$C$59,$D705,$M705))</f>
        <v>0.59984113500428604</v>
      </c>
      <c r="O705">
        <f t="shared" si="42"/>
        <v>1</v>
      </c>
      <c r="P705" s="10">
        <f>IF($E705=Keys!$C$60,Keys!$C$51,INDEX(Raw_BFPIaE!$G$9:$G$3032,MATCH($A705&amp;Keys!$C$54&amp;Keys!$C$55&amp;Keys!$C$54&amp;$B705,Raw_BFPIaE!$H$9:$H$3032,0)))</f>
        <v>512615666666666.69</v>
      </c>
      <c r="Q705" s="10">
        <f>IF($E705=Keys!$C$60,Keys!$C$51,INDEX(Raw_BFPIaE!$G$9:$G$3032,MATCH($A705&amp;Keys!$C$54&amp;Keys!$C$56&amp;Keys!$C$54&amp;$B705,Raw_BFPIaE!$H$9:$H$3032,0)))</f>
        <v>0</v>
      </c>
      <c r="R705" s="10">
        <f>IF($E705=Keys!$C$60,Keys!$C$51,INDEX(Raw_BFPIaE!$G$9:$G$3032,MATCH($A705&amp;Keys!$C$54&amp;Keys!$C$57&amp;Keys!$C$54&amp;$B705,Raw_BFPIaE!$H$9:$H$3032,0)))</f>
        <v>210501666666666.66</v>
      </c>
      <c r="S705" s="11">
        <f>IF(($P705+$Q705-$R705+MAX(Keys!$C$51,$R705-$Q705))&gt;Keys!$C$51,MIN(Keys!$C$52,MAX(Keys!$C$51,$R705-$Q705)/($P705+$Q705-$R705+MAX(Keys!$C$51,$R705-$Q705))),Keys!$C$51)</f>
        <v>0.41064228105916911</v>
      </c>
      <c r="T705">
        <f>IF(AND($I705&gt;$H705,ABS($L705-$G705)&gt;MAX(Keys!$C$62,ABS($G705)*Keys!$C$63)),1,0)</f>
        <v>0</v>
      </c>
      <c r="U705">
        <f>IF(OR($N705&lt;Keys!$C$51,$N705&gt;Keys!$C$52),1,0)</f>
        <v>0</v>
      </c>
      <c r="V705">
        <f>IF(AND($E705=Keys!$C$60,$N705&lt;&gt;Keys!$C$51),1,0)</f>
        <v>0</v>
      </c>
      <c r="W705">
        <f>IF($L705&gt;Keys!$C$51,IF($K705/$L705&gt;Keys!$C$52,1,0),0)</f>
        <v>0</v>
      </c>
      <c r="X705" s="11">
        <f t="shared" si="43"/>
        <v>0.18919885394511693</v>
      </c>
    </row>
    <row r="706" spans="1:24" x14ac:dyDescent="0.25">
      <c r="A706" t="s">
        <v>149</v>
      </c>
      <c r="B706" t="s">
        <v>88</v>
      </c>
      <c r="C706" t="str">
        <f>VLOOKUP($B706,Keys!$F$2:$I$22,2,FALSE)</f>
        <v>petroleum diesel</v>
      </c>
      <c r="D706">
        <f>VLOOKUP($B706,Keys!$F$2:$I$22,3,FALSE)</f>
        <v>0.26691051799999999</v>
      </c>
      <c r="E706" t="str">
        <f>VLOOKUP($B706,Keys!$F$2:$I$22,4,FALSE)</f>
        <v>rule</v>
      </c>
      <c r="F706" t="str">
        <f>$A706&amp;Keys!$C$54&amp;$B706</f>
        <v>OK|petroleum diesel</v>
      </c>
      <c r="G706" s="10">
        <f>IF($E706=Keys!$C$60,Keys!$C$51,INDEX(Balanced_2025!$D$9:$D$3032,MATCH($A706&amp;Keys!$C$54&amp;Keys!$C$55&amp;Keys!$C$54&amp;$C706,Balanced_2025!$E$9:$E$3032,0)))</f>
        <v>305690000000000</v>
      </c>
      <c r="H706" s="10">
        <f>IF($E706=Keys!$C$60,Keys!$C$51,INDEX(Balanced_2025!$D$9:$D$3032,MATCH($A706&amp;Keys!$C$54&amp;Keys!$C$56&amp;Keys!$C$54&amp;$C706,Balanced_2025!$E$9:$E$3032,0)))</f>
        <v>3186720000000</v>
      </c>
      <c r="I706" s="10">
        <f>IF($E706=Keys!$C$60,Keys!$C$51,INDEX(Balanced_2025!$D$9:$D$3032,MATCH($A706&amp;Keys!$C$54&amp;Keys!$C$57&amp;Keys!$C$54&amp;$C706,Balanced_2025!$E$9:$E$3032,0)))</f>
        <v>130956000000000</v>
      </c>
      <c r="J706" s="10">
        <f t="shared" si="40"/>
        <v>177920720000000</v>
      </c>
      <c r="K706" s="10">
        <f>MAX(Keys!$C$51,$I706-$H706)</f>
        <v>127769280000000</v>
      </c>
      <c r="L706" s="10">
        <f t="shared" si="41"/>
        <v>305690000000000</v>
      </c>
      <c r="M706" s="11">
        <f>IF($L706&gt;Keys!$C$51,MIN(Keys!$C$52,$K706/$L706),Keys!$C$51)</f>
        <v>0.41797010042853872</v>
      </c>
      <c r="N706" s="11">
        <f>IF($E706=Keys!$C$60,Keys!$C$51,IF($E706=Keys!$C$59,$D706,$M706))</f>
        <v>0.41797010042853872</v>
      </c>
      <c r="O706">
        <f t="shared" si="42"/>
        <v>1</v>
      </c>
      <c r="P706" s="10">
        <f>IF($E706=Keys!$C$60,Keys!$C$51,INDEX(Raw_BFPIaE!$G$9:$G$3032,MATCH($A706&amp;Keys!$C$54&amp;Keys!$C$55&amp;Keys!$C$54&amp;$B706,Raw_BFPIaE!$H$9:$H$3032,0)))</f>
        <v>303220333333333.31</v>
      </c>
      <c r="Q706" s="10">
        <f>IF($E706=Keys!$C$60,Keys!$C$51,INDEX(Raw_BFPIaE!$G$9:$G$3032,MATCH($A706&amp;Keys!$C$54&amp;Keys!$C$56&amp;Keys!$C$54&amp;$B706,Raw_BFPIaE!$H$9:$H$3032,0)))</f>
        <v>0</v>
      </c>
      <c r="R706" s="10">
        <f>IF($E706=Keys!$C$60,Keys!$C$51,INDEX(Raw_BFPIaE!$G$9:$G$3032,MATCH($A706&amp;Keys!$C$54&amp;Keys!$C$57&amp;Keys!$C$54&amp;$B706,Raw_BFPIaE!$H$9:$H$3032,0)))</f>
        <v>85868706666666.672</v>
      </c>
      <c r="S706" s="11">
        <f>IF(($P706+$Q706-$R706+MAX(Keys!$C$51,$R706-$Q706))&gt;Keys!$C$51,MIN(Keys!$C$52,MAX(Keys!$C$51,$R706-$Q706)/($P706+$Q706-$R706+MAX(Keys!$C$51,$R706-$Q706))),Keys!$C$51)</f>
        <v>0.28318914408774259</v>
      </c>
      <c r="T706">
        <f>IF(AND($I706&gt;$H706,ABS($L706-$G706)&gt;MAX(Keys!$C$62,ABS($G706)*Keys!$C$63)),1,0)</f>
        <v>0</v>
      </c>
      <c r="U706">
        <f>IF(OR($N706&lt;Keys!$C$51,$N706&gt;Keys!$C$52),1,0)</f>
        <v>0</v>
      </c>
      <c r="V706">
        <f>IF(AND($E706=Keys!$C$60,$N706&lt;&gt;Keys!$C$51),1,0)</f>
        <v>0</v>
      </c>
      <c r="W706">
        <f>IF($L706&gt;Keys!$C$51,IF($K706/$L706&gt;Keys!$C$52,1,0),0)</f>
        <v>0</v>
      </c>
      <c r="X706" s="11">
        <f t="shared" si="43"/>
        <v>0.13478095634079612</v>
      </c>
    </row>
    <row r="707" spans="1:24" x14ac:dyDescent="0.25">
      <c r="A707" t="s">
        <v>149</v>
      </c>
      <c r="B707" t="s">
        <v>91</v>
      </c>
      <c r="C707" t="str">
        <f>VLOOKUP($B707,Keys!$F$2:$I$22,2,FALSE)</f>
        <v>biofuel gasoline</v>
      </c>
      <c r="D707">
        <f>VLOOKUP($B707,Keys!$F$2:$I$22,3,FALSE)</f>
        <v>8.7213884000000005E-2</v>
      </c>
      <c r="E707" t="str">
        <f>VLOOKUP($B707,Keys!$F$2:$I$22,4,FALSE)</f>
        <v>rule</v>
      </c>
      <c r="F707" t="str">
        <f>$A707&amp;Keys!$C$54&amp;$B707</f>
        <v>OK|biofuel gasoline</v>
      </c>
      <c r="G707" s="10">
        <f>IF($E707=Keys!$C$60,Keys!$C$51,INDEX(Balanced_2025!$D$9:$D$3032,MATCH($A707&amp;Keys!$C$54&amp;Keys!$C$55&amp;Keys!$C$54&amp;$C707,Balanced_2025!$E$9:$E$3032,0)))</f>
        <v>0</v>
      </c>
      <c r="H707" s="10">
        <f>IF($E707=Keys!$C$60,Keys!$C$51,INDEX(Balanced_2025!$D$9:$D$3032,MATCH($A707&amp;Keys!$C$54&amp;Keys!$C$56&amp;Keys!$C$54&amp;$C707,Balanced_2025!$E$9:$E$3032,0)))</f>
        <v>13737800000000</v>
      </c>
      <c r="I707" s="10">
        <f>IF($E707=Keys!$C$60,Keys!$C$51,INDEX(Balanced_2025!$D$9:$D$3032,MATCH($A707&amp;Keys!$C$54&amp;Keys!$C$57&amp;Keys!$C$54&amp;$C707,Balanced_2025!$E$9:$E$3032,0)))</f>
        <v>0</v>
      </c>
      <c r="J707" s="10">
        <f t="shared" si="40"/>
        <v>13737800000000</v>
      </c>
      <c r="K707" s="10">
        <f>MAX(Keys!$C$51,$I707-$H707)</f>
        <v>0</v>
      </c>
      <c r="L707" s="10">
        <f t="shared" si="41"/>
        <v>13737800000000</v>
      </c>
      <c r="M707" s="11">
        <f>IF($L707&gt;Keys!$C$51,MIN(Keys!$C$52,$K707/$L707),Keys!$C$51)</f>
        <v>0</v>
      </c>
      <c r="N707" s="11">
        <f>IF($E707=Keys!$C$60,Keys!$C$51,IF($E707=Keys!$C$59,$D707,$M707))</f>
        <v>0</v>
      </c>
      <c r="O707">
        <f t="shared" si="42"/>
        <v>1</v>
      </c>
      <c r="P707" s="10">
        <f>IF($E707=Keys!$C$60,Keys!$C$51,INDEX(Raw_BFPIaE!$G$9:$G$3032,MATCH($A707&amp;Keys!$C$54&amp;Keys!$C$55&amp;Keys!$C$54&amp;$B707,Raw_BFPIaE!$H$9:$H$3032,0)))</f>
        <v>0</v>
      </c>
      <c r="Q707" s="10">
        <f>IF($E707=Keys!$C$60,Keys!$C$51,INDEX(Raw_BFPIaE!$G$9:$G$3032,MATCH($A707&amp;Keys!$C$54&amp;Keys!$C$56&amp;Keys!$C$54&amp;$B707,Raw_BFPIaE!$H$9:$H$3032,0)))</f>
        <v>8619166666666.667</v>
      </c>
      <c r="R707" s="10">
        <f>IF($E707=Keys!$C$60,Keys!$C$51,INDEX(Raw_BFPIaE!$G$9:$G$3032,MATCH($A707&amp;Keys!$C$54&amp;Keys!$C$57&amp;Keys!$C$54&amp;$B707,Raw_BFPIaE!$H$9:$H$3032,0)))</f>
        <v>0</v>
      </c>
      <c r="S707" s="11">
        <f>IF(($P707+$Q707-$R707+MAX(Keys!$C$51,$R707-$Q707))&gt;Keys!$C$51,MIN(Keys!$C$52,MAX(Keys!$C$51,$R707-$Q707)/($P707+$Q707-$R707+MAX(Keys!$C$51,$R707-$Q707))),Keys!$C$51)</f>
        <v>0</v>
      </c>
      <c r="T707">
        <f>IF(AND($I707&gt;$H707,ABS($L707-$G707)&gt;MAX(Keys!$C$62,ABS($G707)*Keys!$C$63)),1,0)</f>
        <v>0</v>
      </c>
      <c r="U707">
        <f>IF(OR($N707&lt;Keys!$C$51,$N707&gt;Keys!$C$52),1,0)</f>
        <v>0</v>
      </c>
      <c r="V707">
        <f>IF(AND($E707=Keys!$C$60,$N707&lt;&gt;Keys!$C$51),1,0)</f>
        <v>0</v>
      </c>
      <c r="W707">
        <f>IF($L707&gt;Keys!$C$51,IF($K707/$L707&gt;Keys!$C$52,1,0),0)</f>
        <v>0</v>
      </c>
      <c r="X707" s="11">
        <f t="shared" si="43"/>
        <v>0</v>
      </c>
    </row>
    <row r="708" spans="1:24" x14ac:dyDescent="0.25">
      <c r="A708" t="s">
        <v>149</v>
      </c>
      <c r="B708" t="s">
        <v>94</v>
      </c>
      <c r="C708" t="str">
        <f>VLOOKUP($B708,Keys!$F$2:$I$22,2,FALSE)</f>
        <v>biofuel diesel</v>
      </c>
      <c r="D708">
        <f>VLOOKUP($B708,Keys!$F$2:$I$22,3,FALSE)</f>
        <v>5.8642381E-2</v>
      </c>
      <c r="E708" t="str">
        <f>VLOOKUP($B708,Keys!$F$2:$I$22,4,FALSE)</f>
        <v>rule</v>
      </c>
      <c r="F708" t="str">
        <f>$A708&amp;Keys!$C$54&amp;$B708</f>
        <v>OK|biofuel diesel</v>
      </c>
      <c r="G708" s="10">
        <f>IF($E708=Keys!$C$60,Keys!$C$51,INDEX(Balanced_2025!$D$9:$D$3032,MATCH($A708&amp;Keys!$C$54&amp;Keys!$C$55&amp;Keys!$C$54&amp;$C708,Balanced_2025!$E$9:$E$3032,0)))</f>
        <v>12957000000000</v>
      </c>
      <c r="H708" s="10">
        <f>IF($E708=Keys!$C$60,Keys!$C$51,INDEX(Balanced_2025!$D$9:$D$3032,MATCH($A708&amp;Keys!$C$54&amp;Keys!$C$56&amp;Keys!$C$54&amp;$C708,Balanced_2025!$E$9:$E$3032,0)))</f>
        <v>27408000000</v>
      </c>
      <c r="I708" s="10">
        <f>IF($E708=Keys!$C$60,Keys!$C$51,INDEX(Balanced_2025!$D$9:$D$3032,MATCH($A708&amp;Keys!$C$54&amp;Keys!$C$57&amp;Keys!$C$54&amp;$C708,Balanced_2025!$E$9:$E$3032,0)))</f>
        <v>9397930000000</v>
      </c>
      <c r="J708" s="10">
        <f t="shared" ref="J708:J771" si="44">$G708+$H708-$I708</f>
        <v>3586478000000</v>
      </c>
      <c r="K708" s="10">
        <f>MAX(Keys!$C$51,$I708-$H708)</f>
        <v>9370522000000</v>
      </c>
      <c r="L708" s="10">
        <f t="shared" ref="L708:L771" si="45">$K708+$J708</f>
        <v>12957000000000</v>
      </c>
      <c r="M708" s="11">
        <f>IF($L708&gt;Keys!$C$51,MIN(Keys!$C$52,$K708/$L708),Keys!$C$51)</f>
        <v>0.7232015126958401</v>
      </c>
      <c r="N708" s="11">
        <f>IF($E708=Keys!$C$60,Keys!$C$51,IF($E708=Keys!$C$59,$D708,$M708))</f>
        <v>0.7232015126958401</v>
      </c>
      <c r="O708">
        <f t="shared" ref="O708:O771" si="46">IF($N708&lt;&gt;$D708,1,0)</f>
        <v>1</v>
      </c>
      <c r="P708" s="10">
        <f>IF($E708=Keys!$C$60,Keys!$C$51,INDEX(Raw_BFPIaE!$G$9:$G$3032,MATCH($A708&amp;Keys!$C$54&amp;Keys!$C$55&amp;Keys!$C$54&amp;$B708,Raw_BFPIaE!$H$9:$H$3032,0)))</f>
        <v>13768400000000</v>
      </c>
      <c r="Q708" s="10">
        <f>IF($E708=Keys!$C$60,Keys!$C$51,INDEX(Raw_BFPIaE!$G$9:$G$3032,MATCH($A708&amp;Keys!$C$54&amp;Keys!$C$56&amp;Keys!$C$54&amp;$B708,Raw_BFPIaE!$H$9:$H$3032,0)))</f>
        <v>0</v>
      </c>
      <c r="R708" s="10">
        <f>IF($E708=Keys!$C$60,Keys!$C$51,INDEX(Raw_BFPIaE!$G$9:$G$3032,MATCH($A708&amp;Keys!$C$54&amp;Keys!$C$57&amp;Keys!$C$54&amp;$B708,Raw_BFPIaE!$H$9:$H$3032,0)))</f>
        <v>7077710000000</v>
      </c>
      <c r="S708" s="11">
        <f>IF(($P708+$Q708-$R708+MAX(Keys!$C$51,$R708-$Q708))&gt;Keys!$C$51,MIN(Keys!$C$52,MAX(Keys!$C$51,$R708-$Q708)/($P708+$Q708-$R708+MAX(Keys!$C$51,$R708-$Q708))),Keys!$C$51)</f>
        <v>0.51405464687254876</v>
      </c>
      <c r="T708">
        <f>IF(AND($I708&gt;$H708,ABS($L708-$G708)&gt;MAX(Keys!$C$62,ABS($G708)*Keys!$C$63)),1,0)</f>
        <v>0</v>
      </c>
      <c r="U708">
        <f>IF(OR($N708&lt;Keys!$C$51,$N708&gt;Keys!$C$52),1,0)</f>
        <v>0</v>
      </c>
      <c r="V708">
        <f>IF(AND($E708=Keys!$C$60,$N708&lt;&gt;Keys!$C$51),1,0)</f>
        <v>0</v>
      </c>
      <c r="W708">
        <f>IF($L708&gt;Keys!$C$51,IF($K708/$L708&gt;Keys!$C$52,1,0),0)</f>
        <v>0</v>
      </c>
      <c r="X708" s="11">
        <f t="shared" ref="X708:X771" si="47">ABS($M708-$S708)</f>
        <v>0.20914686582329134</v>
      </c>
    </row>
    <row r="709" spans="1:24" x14ac:dyDescent="0.25">
      <c r="A709" t="s">
        <v>149</v>
      </c>
      <c r="B709" t="s">
        <v>97</v>
      </c>
      <c r="C709" t="str">
        <f>VLOOKUP($B709,Keys!$F$2:$I$22,2,FALSE)</f>
        <v>jet fuel or kerosene</v>
      </c>
      <c r="D709">
        <f>VLOOKUP($B709,Keys!$F$2:$I$22,3,FALSE)</f>
        <v>0.10155994</v>
      </c>
      <c r="E709" t="str">
        <f>VLOOKUP($B709,Keys!$F$2:$I$22,4,FALSE)</f>
        <v>rule</v>
      </c>
      <c r="F709" t="str">
        <f>$A709&amp;Keys!$C$54&amp;$B709</f>
        <v>OK|jet fuel or kerosene</v>
      </c>
      <c r="G709" s="10">
        <f>IF($E709=Keys!$C$60,Keys!$C$51,INDEX(Balanced_2025!$D$9:$D$3032,MATCH($A709&amp;Keys!$C$54&amp;Keys!$C$55&amp;Keys!$C$54&amp;$C709,Balanced_2025!$E$9:$E$3032,0)))</f>
        <v>108819000000000</v>
      </c>
      <c r="H709" s="10">
        <f>IF($E709=Keys!$C$60,Keys!$C$51,INDEX(Balanced_2025!$D$9:$D$3032,MATCH($A709&amp;Keys!$C$54&amp;Keys!$C$56&amp;Keys!$C$54&amp;$C709,Balanced_2025!$E$9:$E$3032,0)))</f>
        <v>0</v>
      </c>
      <c r="I709" s="10">
        <f>IF($E709=Keys!$C$60,Keys!$C$51,INDEX(Balanced_2025!$D$9:$D$3032,MATCH($A709&amp;Keys!$C$54&amp;Keys!$C$57&amp;Keys!$C$54&amp;$C709,Balanced_2025!$E$9:$E$3032,0)))</f>
        <v>61311500000000</v>
      </c>
      <c r="J709" s="10">
        <f t="shared" si="44"/>
        <v>47507500000000</v>
      </c>
      <c r="K709" s="10">
        <f>MAX(Keys!$C$51,$I709-$H709)</f>
        <v>61311500000000</v>
      </c>
      <c r="L709" s="10">
        <f t="shared" si="45"/>
        <v>108819000000000</v>
      </c>
      <c r="M709" s="11">
        <f>IF($L709&gt;Keys!$C$51,MIN(Keys!$C$52,$K709/$L709),Keys!$C$51)</f>
        <v>0.56342642369439155</v>
      </c>
      <c r="N709" s="11">
        <f>IF($E709=Keys!$C$60,Keys!$C$51,IF($E709=Keys!$C$59,$D709,$M709))</f>
        <v>0.56342642369439155</v>
      </c>
      <c r="O709">
        <f t="shared" si="46"/>
        <v>1</v>
      </c>
      <c r="P709" s="10">
        <f>IF($E709=Keys!$C$60,Keys!$C$51,INDEX(Raw_BFPIaE!$G$9:$G$3032,MATCH($A709&amp;Keys!$C$54&amp;Keys!$C$55&amp;Keys!$C$54&amp;$B709,Raw_BFPIaE!$H$9:$H$3032,0)))</f>
        <v>107940000000000</v>
      </c>
      <c r="Q709" s="10">
        <f>IF($E709=Keys!$C$60,Keys!$C$51,INDEX(Raw_BFPIaE!$G$9:$G$3032,MATCH($A709&amp;Keys!$C$54&amp;Keys!$C$56&amp;Keys!$C$54&amp;$B709,Raw_BFPIaE!$H$9:$H$3032,0)))</f>
        <v>0</v>
      </c>
      <c r="R709" s="10">
        <f>IF($E709=Keys!$C$60,Keys!$C$51,INDEX(Raw_BFPIaE!$G$9:$G$3032,MATCH($A709&amp;Keys!$C$54&amp;Keys!$C$57&amp;Keys!$C$54&amp;$B709,Raw_BFPIaE!$H$9:$H$3032,0)))</f>
        <v>39874308000000</v>
      </c>
      <c r="S709" s="11">
        <f>IF(($P709+$Q709-$R709+MAX(Keys!$C$51,$R709-$Q709))&gt;Keys!$C$51,MIN(Keys!$C$52,MAX(Keys!$C$51,$R709-$Q709)/($P709+$Q709-$R709+MAX(Keys!$C$51,$R709-$Q709))),Keys!$C$51)</f>
        <v>0.36941178432462479</v>
      </c>
      <c r="T709">
        <f>IF(AND($I709&gt;$H709,ABS($L709-$G709)&gt;MAX(Keys!$C$62,ABS($G709)*Keys!$C$63)),1,0)</f>
        <v>0</v>
      </c>
      <c r="U709">
        <f>IF(OR($N709&lt;Keys!$C$51,$N709&gt;Keys!$C$52),1,0)</f>
        <v>0</v>
      </c>
      <c r="V709">
        <f>IF(AND($E709=Keys!$C$60,$N709&lt;&gt;Keys!$C$51),1,0)</f>
        <v>0</v>
      </c>
      <c r="W709">
        <f>IF($L709&gt;Keys!$C$51,IF($K709/$L709&gt;Keys!$C$52,1,0),0)</f>
        <v>0</v>
      </c>
      <c r="X709" s="11">
        <f t="shared" si="47"/>
        <v>0.19401463936976676</v>
      </c>
    </row>
    <row r="710" spans="1:24" x14ac:dyDescent="0.25">
      <c r="A710" t="s">
        <v>149</v>
      </c>
      <c r="B710" t="s">
        <v>100</v>
      </c>
      <c r="C710">
        <f>VLOOKUP($B710,Keys!$F$2:$I$22,2,FALSE)</f>
        <v>0</v>
      </c>
      <c r="D710">
        <f>VLOOKUP($B710,Keys!$F$2:$I$22,3,FALSE)</f>
        <v>0</v>
      </c>
      <c r="E710" t="str">
        <f>VLOOKUP($B710,Keys!$F$2:$I$22,4,FALSE)</f>
        <v>zero</v>
      </c>
      <c r="F710" t="str">
        <f>$A710&amp;Keys!$C$54&amp;$B710</f>
        <v>OK|heat (not used in this variable)</v>
      </c>
      <c r="G710" s="10">
        <f>IF($E710=Keys!$C$60,Keys!$C$51,INDEX(Balanced_2025!$D$9:$D$3032,MATCH($A710&amp;Keys!$C$54&amp;Keys!$C$55&amp;Keys!$C$54&amp;$C710,Balanced_2025!$E$9:$E$3032,0)))</f>
        <v>0</v>
      </c>
      <c r="H710" s="10">
        <f>IF($E710=Keys!$C$60,Keys!$C$51,INDEX(Balanced_2025!$D$9:$D$3032,MATCH($A710&amp;Keys!$C$54&amp;Keys!$C$56&amp;Keys!$C$54&amp;$C710,Balanced_2025!$E$9:$E$3032,0)))</f>
        <v>0</v>
      </c>
      <c r="I710" s="10">
        <f>IF($E710=Keys!$C$60,Keys!$C$51,INDEX(Balanced_2025!$D$9:$D$3032,MATCH($A710&amp;Keys!$C$54&amp;Keys!$C$57&amp;Keys!$C$54&amp;$C710,Balanced_2025!$E$9:$E$3032,0)))</f>
        <v>0</v>
      </c>
      <c r="J710" s="10">
        <f t="shared" si="44"/>
        <v>0</v>
      </c>
      <c r="K710" s="10">
        <f>MAX(Keys!$C$51,$I710-$H710)</f>
        <v>0</v>
      </c>
      <c r="L710" s="10">
        <f t="shared" si="45"/>
        <v>0</v>
      </c>
      <c r="M710" s="11">
        <f>IF($L710&gt;Keys!$C$51,MIN(Keys!$C$52,$K710/$L710),Keys!$C$51)</f>
        <v>0</v>
      </c>
      <c r="N710" s="11">
        <f>IF($E710=Keys!$C$60,Keys!$C$51,IF($E710=Keys!$C$59,$D710,$M710))</f>
        <v>0</v>
      </c>
      <c r="O710">
        <f t="shared" si="46"/>
        <v>0</v>
      </c>
      <c r="P710" s="10">
        <f>IF($E710=Keys!$C$60,Keys!$C$51,INDEX(Raw_BFPIaE!$G$9:$G$3032,MATCH($A710&amp;Keys!$C$54&amp;Keys!$C$55&amp;Keys!$C$54&amp;$B710,Raw_BFPIaE!$H$9:$H$3032,0)))</f>
        <v>0</v>
      </c>
      <c r="Q710" s="10">
        <f>IF($E710=Keys!$C$60,Keys!$C$51,INDEX(Raw_BFPIaE!$G$9:$G$3032,MATCH($A710&amp;Keys!$C$54&amp;Keys!$C$56&amp;Keys!$C$54&amp;$B710,Raw_BFPIaE!$H$9:$H$3032,0)))</f>
        <v>0</v>
      </c>
      <c r="R710" s="10">
        <f>IF($E710=Keys!$C$60,Keys!$C$51,INDEX(Raw_BFPIaE!$G$9:$G$3032,MATCH($A710&amp;Keys!$C$54&amp;Keys!$C$57&amp;Keys!$C$54&amp;$B710,Raw_BFPIaE!$H$9:$H$3032,0)))</f>
        <v>0</v>
      </c>
      <c r="S710" s="11">
        <f>IF(($P710+$Q710-$R710+MAX(Keys!$C$51,$R710-$Q710))&gt;Keys!$C$51,MIN(Keys!$C$52,MAX(Keys!$C$51,$R710-$Q710)/($P710+$Q710-$R710+MAX(Keys!$C$51,$R710-$Q710))),Keys!$C$51)</f>
        <v>0</v>
      </c>
      <c r="T710">
        <f>IF(AND($I710&gt;$H710,ABS($L710-$G710)&gt;MAX(Keys!$C$62,ABS($G710)*Keys!$C$63)),1,0)</f>
        <v>0</v>
      </c>
      <c r="U710">
        <f>IF(OR($N710&lt;Keys!$C$51,$N710&gt;Keys!$C$52),1,0)</f>
        <v>0</v>
      </c>
      <c r="V710">
        <f>IF(AND($E710=Keys!$C$60,$N710&lt;&gt;Keys!$C$51),1,0)</f>
        <v>0</v>
      </c>
      <c r="W710">
        <f>IF($L710&gt;Keys!$C$51,IF($K710/$L710&gt;Keys!$C$52,1,0),0)</f>
        <v>0</v>
      </c>
      <c r="X710" s="11">
        <f t="shared" si="47"/>
        <v>0</v>
      </c>
    </row>
    <row r="711" spans="1:24" x14ac:dyDescent="0.25">
      <c r="A711" t="s">
        <v>149</v>
      </c>
      <c r="B711" t="s">
        <v>103</v>
      </c>
      <c r="C711">
        <f>VLOOKUP($B711,Keys!$F$2:$I$22,2,FALSE)</f>
        <v>0</v>
      </c>
      <c r="D711">
        <f>VLOOKUP($B711,Keys!$F$2:$I$22,3,FALSE)</f>
        <v>0</v>
      </c>
      <c r="E711" t="str">
        <f>VLOOKUP($B711,Keys!$F$2:$I$22,4,FALSE)</f>
        <v>zero</v>
      </c>
      <c r="F711" t="str">
        <f>$A711&amp;Keys!$C$54&amp;$B711</f>
        <v>OK|geothermal (is not a fuel)</v>
      </c>
      <c r="G711" s="10">
        <f>IF($E711=Keys!$C$60,Keys!$C$51,INDEX(Balanced_2025!$D$9:$D$3032,MATCH($A711&amp;Keys!$C$54&amp;Keys!$C$55&amp;Keys!$C$54&amp;$C711,Balanced_2025!$E$9:$E$3032,0)))</f>
        <v>0</v>
      </c>
      <c r="H711" s="10">
        <f>IF($E711=Keys!$C$60,Keys!$C$51,INDEX(Balanced_2025!$D$9:$D$3032,MATCH($A711&amp;Keys!$C$54&amp;Keys!$C$56&amp;Keys!$C$54&amp;$C711,Balanced_2025!$E$9:$E$3032,0)))</f>
        <v>0</v>
      </c>
      <c r="I711" s="10">
        <f>IF($E711=Keys!$C$60,Keys!$C$51,INDEX(Balanced_2025!$D$9:$D$3032,MATCH($A711&amp;Keys!$C$54&amp;Keys!$C$57&amp;Keys!$C$54&amp;$C711,Balanced_2025!$E$9:$E$3032,0)))</f>
        <v>0</v>
      </c>
      <c r="J711" s="10">
        <f t="shared" si="44"/>
        <v>0</v>
      </c>
      <c r="K711" s="10">
        <f>MAX(Keys!$C$51,$I711-$H711)</f>
        <v>0</v>
      </c>
      <c r="L711" s="10">
        <f t="shared" si="45"/>
        <v>0</v>
      </c>
      <c r="M711" s="11">
        <f>IF($L711&gt;Keys!$C$51,MIN(Keys!$C$52,$K711/$L711),Keys!$C$51)</f>
        <v>0</v>
      </c>
      <c r="N711" s="11">
        <f>IF($E711=Keys!$C$60,Keys!$C$51,IF($E711=Keys!$C$59,$D711,$M711))</f>
        <v>0</v>
      </c>
      <c r="O711">
        <f t="shared" si="46"/>
        <v>0</v>
      </c>
      <c r="P711" s="10">
        <f>IF($E711=Keys!$C$60,Keys!$C$51,INDEX(Raw_BFPIaE!$G$9:$G$3032,MATCH($A711&amp;Keys!$C$54&amp;Keys!$C$55&amp;Keys!$C$54&amp;$B711,Raw_BFPIaE!$H$9:$H$3032,0)))</f>
        <v>0</v>
      </c>
      <c r="Q711" s="10">
        <f>IF($E711=Keys!$C$60,Keys!$C$51,INDEX(Raw_BFPIaE!$G$9:$G$3032,MATCH($A711&amp;Keys!$C$54&amp;Keys!$C$56&amp;Keys!$C$54&amp;$B711,Raw_BFPIaE!$H$9:$H$3032,0)))</f>
        <v>0</v>
      </c>
      <c r="R711" s="10">
        <f>IF($E711=Keys!$C$60,Keys!$C$51,INDEX(Raw_BFPIaE!$G$9:$G$3032,MATCH($A711&amp;Keys!$C$54&amp;Keys!$C$57&amp;Keys!$C$54&amp;$B711,Raw_BFPIaE!$H$9:$H$3032,0)))</f>
        <v>0</v>
      </c>
      <c r="S711" s="11">
        <f>IF(($P711+$Q711-$R711+MAX(Keys!$C$51,$R711-$Q711))&gt;Keys!$C$51,MIN(Keys!$C$52,MAX(Keys!$C$51,$R711-$Q711)/($P711+$Q711-$R711+MAX(Keys!$C$51,$R711-$Q711))),Keys!$C$51)</f>
        <v>0</v>
      </c>
      <c r="T711">
        <f>IF(AND($I711&gt;$H711,ABS($L711-$G711)&gt;MAX(Keys!$C$62,ABS($G711)*Keys!$C$63)),1,0)</f>
        <v>0</v>
      </c>
      <c r="U711">
        <f>IF(OR($N711&lt;Keys!$C$51,$N711&gt;Keys!$C$52),1,0)</f>
        <v>0</v>
      </c>
      <c r="V711">
        <f>IF(AND($E711=Keys!$C$60,$N711&lt;&gt;Keys!$C$51),1,0)</f>
        <v>0</v>
      </c>
      <c r="W711">
        <f>IF($L711&gt;Keys!$C$51,IF($K711/$L711&gt;Keys!$C$52,1,0),0)</f>
        <v>0</v>
      </c>
      <c r="X711" s="11">
        <f t="shared" si="47"/>
        <v>0</v>
      </c>
    </row>
    <row r="712" spans="1:24" x14ac:dyDescent="0.25">
      <c r="A712" t="s">
        <v>149</v>
      </c>
      <c r="B712" t="s">
        <v>106</v>
      </c>
      <c r="C712" t="str">
        <f>VLOOKUP($B712,Keys!$F$2:$I$22,2,FALSE)</f>
        <v>lignite</v>
      </c>
      <c r="D712">
        <f>VLOOKUP($B712,Keys!$F$2:$I$22,3,FALSE)</f>
        <v>0</v>
      </c>
      <c r="E712" t="str">
        <f>VLOOKUP($B712,Keys!$F$2:$I$22,4,FALSE)</f>
        <v>rule</v>
      </c>
      <c r="F712" t="str">
        <f>$A712&amp;Keys!$C$54&amp;$B712</f>
        <v>OK|lignite</v>
      </c>
      <c r="G712" s="10">
        <f>IF($E712=Keys!$C$60,Keys!$C$51,INDEX(Balanced_2025!$D$9:$D$3032,MATCH($A712&amp;Keys!$C$54&amp;Keys!$C$55&amp;Keys!$C$54&amp;$C712,Balanced_2025!$E$9:$E$3032,0)))</f>
        <v>0</v>
      </c>
      <c r="H712" s="10">
        <f>IF($E712=Keys!$C$60,Keys!$C$51,INDEX(Balanced_2025!$D$9:$D$3032,MATCH($A712&amp;Keys!$C$54&amp;Keys!$C$56&amp;Keys!$C$54&amp;$C712,Balanced_2025!$E$9:$E$3032,0)))</f>
        <v>0</v>
      </c>
      <c r="I712" s="10">
        <f>IF($E712=Keys!$C$60,Keys!$C$51,INDEX(Balanced_2025!$D$9:$D$3032,MATCH($A712&amp;Keys!$C$54&amp;Keys!$C$57&amp;Keys!$C$54&amp;$C712,Balanced_2025!$E$9:$E$3032,0)))</f>
        <v>0</v>
      </c>
      <c r="J712" s="10">
        <f t="shared" si="44"/>
        <v>0</v>
      </c>
      <c r="K712" s="10">
        <f>MAX(Keys!$C$51,$I712-$H712)</f>
        <v>0</v>
      </c>
      <c r="L712" s="10">
        <f t="shared" si="45"/>
        <v>0</v>
      </c>
      <c r="M712" s="11">
        <f>IF($L712&gt;Keys!$C$51,MIN(Keys!$C$52,$K712/$L712),Keys!$C$51)</f>
        <v>0</v>
      </c>
      <c r="N712" s="11">
        <f>IF($E712=Keys!$C$60,Keys!$C$51,IF($E712=Keys!$C$59,$D712,$M712))</f>
        <v>0</v>
      </c>
      <c r="O712">
        <f t="shared" si="46"/>
        <v>0</v>
      </c>
      <c r="P712" s="10">
        <f>IF($E712=Keys!$C$60,Keys!$C$51,INDEX(Raw_BFPIaE!$G$9:$G$3032,MATCH($A712&amp;Keys!$C$54&amp;Keys!$C$55&amp;Keys!$C$54&amp;$B712,Raw_BFPIaE!$H$9:$H$3032,0)))</f>
        <v>0</v>
      </c>
      <c r="Q712" s="10">
        <f>IF($E712=Keys!$C$60,Keys!$C$51,INDEX(Raw_BFPIaE!$G$9:$G$3032,MATCH($A712&amp;Keys!$C$54&amp;Keys!$C$56&amp;Keys!$C$54&amp;$B712,Raw_BFPIaE!$H$9:$H$3032,0)))</f>
        <v>0</v>
      </c>
      <c r="R712" s="10">
        <f>IF($E712=Keys!$C$60,Keys!$C$51,INDEX(Raw_BFPIaE!$G$9:$G$3032,MATCH($A712&amp;Keys!$C$54&amp;Keys!$C$57&amp;Keys!$C$54&amp;$B712,Raw_BFPIaE!$H$9:$H$3032,0)))</f>
        <v>0</v>
      </c>
      <c r="S712" s="11">
        <f>IF(($P712+$Q712-$R712+MAX(Keys!$C$51,$R712-$Q712))&gt;Keys!$C$51,MIN(Keys!$C$52,MAX(Keys!$C$51,$R712-$Q712)/($P712+$Q712-$R712+MAX(Keys!$C$51,$R712-$Q712))),Keys!$C$51)</f>
        <v>0</v>
      </c>
      <c r="T712">
        <f>IF(AND($I712&gt;$H712,ABS($L712-$G712)&gt;MAX(Keys!$C$62,ABS($G712)*Keys!$C$63)),1,0)</f>
        <v>0</v>
      </c>
      <c r="U712">
        <f>IF(OR($N712&lt;Keys!$C$51,$N712&gt;Keys!$C$52),1,0)</f>
        <v>0</v>
      </c>
      <c r="V712">
        <f>IF(AND($E712=Keys!$C$60,$N712&lt;&gt;Keys!$C$51),1,0)</f>
        <v>0</v>
      </c>
      <c r="W712">
        <f>IF($L712&gt;Keys!$C$51,IF($K712/$L712&gt;Keys!$C$52,1,0),0)</f>
        <v>0</v>
      </c>
      <c r="X712" s="11">
        <f t="shared" si="47"/>
        <v>0</v>
      </c>
    </row>
    <row r="713" spans="1:24" x14ac:dyDescent="0.25">
      <c r="A713" t="s">
        <v>149</v>
      </c>
      <c r="B713" t="s">
        <v>109</v>
      </c>
      <c r="C713" t="str">
        <f>VLOOKUP($B713,Keys!$F$2:$I$22,2,FALSE)</f>
        <v>crude oil</v>
      </c>
      <c r="D713">
        <f>VLOOKUP($B713,Keys!$F$2:$I$22,3,FALSE)</f>
        <v>1</v>
      </c>
      <c r="E713" t="str">
        <f>VLOOKUP($B713,Keys!$F$2:$I$22,4,FALSE)</f>
        <v>hold</v>
      </c>
      <c r="F713" t="str">
        <f>$A713&amp;Keys!$C$54&amp;$B713</f>
        <v>OK|crude oil</v>
      </c>
      <c r="G713" s="10">
        <f>IF($E713=Keys!$C$60,Keys!$C$51,INDEX(Balanced_2025!$D$9:$D$3032,MATCH($A713&amp;Keys!$C$54&amp;Keys!$C$55&amp;Keys!$C$54&amp;$C713,Balanced_2025!$E$9:$E$3032,0)))</f>
        <v>847769000000000</v>
      </c>
      <c r="H713" s="10">
        <f>IF($E713=Keys!$C$60,Keys!$C$51,INDEX(Balanced_2025!$D$9:$D$3032,MATCH($A713&amp;Keys!$C$54&amp;Keys!$C$56&amp;Keys!$C$54&amp;$C713,Balanced_2025!$E$9:$E$3032,0)))</f>
        <v>234931000000000</v>
      </c>
      <c r="I713" s="10">
        <f>IF($E713=Keys!$C$60,Keys!$C$51,INDEX(Balanced_2025!$D$9:$D$3032,MATCH($A713&amp;Keys!$C$54&amp;Keys!$C$57&amp;Keys!$C$54&amp;$C713,Balanced_2025!$E$9:$E$3032,0)))</f>
        <v>0</v>
      </c>
      <c r="J713" s="10">
        <f t="shared" si="44"/>
        <v>1082700000000000</v>
      </c>
      <c r="K713" s="10">
        <f>MAX(Keys!$C$51,$I713-$H713)</f>
        <v>0</v>
      </c>
      <c r="L713" s="10">
        <f t="shared" si="45"/>
        <v>1082700000000000</v>
      </c>
      <c r="M713" s="11">
        <f>IF($L713&gt;Keys!$C$51,MIN(Keys!$C$52,$K713/$L713),Keys!$C$51)</f>
        <v>0</v>
      </c>
      <c r="N713" s="11">
        <f>IF($E713=Keys!$C$60,Keys!$C$51,IF($E713=Keys!$C$59,$D713,$M713))</f>
        <v>1</v>
      </c>
      <c r="O713">
        <f t="shared" si="46"/>
        <v>0</v>
      </c>
      <c r="P713" s="10">
        <f>IF($E713=Keys!$C$60,Keys!$C$51,INDEX(Raw_BFPIaE!$G$9:$G$3032,MATCH($A713&amp;Keys!$C$54&amp;Keys!$C$55&amp;Keys!$C$54&amp;$B713,Raw_BFPIaE!$H$9:$H$3032,0)))</f>
        <v>839106333333333.38</v>
      </c>
      <c r="Q713" s="10">
        <f>IF($E713=Keys!$C$60,Keys!$C$51,INDEX(Raw_BFPIaE!$G$9:$G$3032,MATCH($A713&amp;Keys!$C$54&amp;Keys!$C$56&amp;Keys!$C$54&amp;$B713,Raw_BFPIaE!$H$9:$H$3032,0)))</f>
        <v>165283333333333.34</v>
      </c>
      <c r="R713" s="10">
        <f>IF($E713=Keys!$C$60,Keys!$C$51,INDEX(Raw_BFPIaE!$G$9:$G$3032,MATCH($A713&amp;Keys!$C$54&amp;Keys!$C$57&amp;Keys!$C$54&amp;$B713,Raw_BFPIaE!$H$9:$H$3032,0)))</f>
        <v>0</v>
      </c>
      <c r="S713" s="11">
        <f>IF(($P713+$Q713-$R713+MAX(Keys!$C$51,$R713-$Q713))&gt;Keys!$C$51,MIN(Keys!$C$52,MAX(Keys!$C$51,$R713-$Q713)/($P713+$Q713-$R713+MAX(Keys!$C$51,$R713-$Q713))),Keys!$C$51)</f>
        <v>0</v>
      </c>
      <c r="T713">
        <f>IF(AND($I713&gt;$H713,ABS($L713-$G713)&gt;MAX(Keys!$C$62,ABS($G713)*Keys!$C$63)),1,0)</f>
        <v>0</v>
      </c>
      <c r="U713">
        <f>IF(OR($N713&lt;Keys!$C$51,$N713&gt;Keys!$C$52),1,0)</f>
        <v>0</v>
      </c>
      <c r="V713">
        <f>IF(AND($E713=Keys!$C$60,$N713&lt;&gt;Keys!$C$51),1,0)</f>
        <v>0</v>
      </c>
      <c r="W713">
        <f>IF($L713&gt;Keys!$C$51,IF($K713/$L713&gt;Keys!$C$52,1,0),0)</f>
        <v>0</v>
      </c>
      <c r="X713" s="11">
        <f t="shared" si="47"/>
        <v>0</v>
      </c>
    </row>
    <row r="714" spans="1:24" x14ac:dyDescent="0.25">
      <c r="A714" t="s">
        <v>149</v>
      </c>
      <c r="B714" t="s">
        <v>113</v>
      </c>
      <c r="C714" t="str">
        <f>VLOOKUP($B714,Keys!$F$2:$I$22,2,FALSE)</f>
        <v>heavy or residual fuel oil</v>
      </c>
      <c r="D714">
        <f>VLOOKUP($B714,Keys!$F$2:$I$22,3,FALSE)</f>
        <v>0.49914171099999999</v>
      </c>
      <c r="E714" t="str">
        <f>VLOOKUP($B714,Keys!$F$2:$I$22,4,FALSE)</f>
        <v>rule</v>
      </c>
      <c r="F714" t="str">
        <f>$A714&amp;Keys!$C$54&amp;$B714</f>
        <v>OK|heavy fuel oil</v>
      </c>
      <c r="G714" s="10">
        <f>IF($E714=Keys!$C$60,Keys!$C$51,INDEX(Balanced_2025!$D$9:$D$3032,MATCH($A714&amp;Keys!$C$54&amp;Keys!$C$55&amp;Keys!$C$54&amp;$C714,Balanced_2025!$E$9:$E$3032,0)))</f>
        <v>21138500000000</v>
      </c>
      <c r="H714" s="10">
        <f>IF($E714=Keys!$C$60,Keys!$C$51,INDEX(Balanced_2025!$D$9:$D$3032,MATCH($A714&amp;Keys!$C$54&amp;Keys!$C$56&amp;Keys!$C$54&amp;$C714,Balanced_2025!$E$9:$E$3032,0)))</f>
        <v>38100000</v>
      </c>
      <c r="I714" s="10">
        <f>IF($E714=Keys!$C$60,Keys!$C$51,INDEX(Balanced_2025!$D$9:$D$3032,MATCH($A714&amp;Keys!$C$54&amp;Keys!$C$57&amp;Keys!$C$54&amp;$C714,Balanced_2025!$E$9:$E$3032,0)))</f>
        <v>9173320000000</v>
      </c>
      <c r="J714" s="10">
        <f t="shared" si="44"/>
        <v>11965218100000</v>
      </c>
      <c r="K714" s="10">
        <f>MAX(Keys!$C$51,$I714-$H714)</f>
        <v>9173281900000</v>
      </c>
      <c r="L714" s="10">
        <f t="shared" si="45"/>
        <v>21138500000000</v>
      </c>
      <c r="M714" s="11">
        <f>IF($L714&gt;Keys!$C$51,MIN(Keys!$C$52,$K714/$L714),Keys!$C$51)</f>
        <v>0.43396087234193531</v>
      </c>
      <c r="N714" s="11">
        <f>IF($E714=Keys!$C$60,Keys!$C$51,IF($E714=Keys!$C$59,$D714,$M714))</f>
        <v>0.43396087234193531</v>
      </c>
      <c r="O714">
        <f t="shared" si="46"/>
        <v>1</v>
      </c>
      <c r="P714" s="10">
        <f>IF($E714=Keys!$C$60,Keys!$C$51,INDEX(Raw_BFPIaE!$G$9:$G$3032,MATCH($A714&amp;Keys!$C$54&amp;Keys!$C$55&amp;Keys!$C$54&amp;$B714,Raw_BFPIaE!$H$9:$H$3032,0)))</f>
        <v>20967733333333.332</v>
      </c>
      <c r="Q714" s="10">
        <f>IF($E714=Keys!$C$60,Keys!$C$51,INDEX(Raw_BFPIaE!$G$9:$G$3032,MATCH($A714&amp;Keys!$C$54&amp;Keys!$C$56&amp;Keys!$C$54&amp;$B714,Raw_BFPIaE!$H$9:$H$3032,0)))</f>
        <v>0</v>
      </c>
      <c r="R714" s="10">
        <f>IF($E714=Keys!$C$60,Keys!$C$51,INDEX(Raw_BFPIaE!$G$9:$G$3032,MATCH($A714&amp;Keys!$C$54&amp;Keys!$C$57&amp;Keys!$C$54&amp;$B714,Raw_BFPIaE!$H$9:$H$3032,0)))</f>
        <v>6035974666666.667</v>
      </c>
      <c r="S714" s="11">
        <f>IF(($P714+$Q714-$R714+MAX(Keys!$C$51,$R714-$Q714))&gt;Keys!$C$51,MIN(Keys!$C$52,MAX(Keys!$C$51,$R714-$Q714)/($P714+$Q714-$R714+MAX(Keys!$C$51,$R714-$Q714))),Keys!$C$51)</f>
        <v>0.28786967912602224</v>
      </c>
      <c r="T714">
        <f>IF(AND($I714&gt;$H714,ABS($L714-$G714)&gt;MAX(Keys!$C$62,ABS($G714)*Keys!$C$63)),1,0)</f>
        <v>0</v>
      </c>
      <c r="U714">
        <f>IF(OR($N714&lt;Keys!$C$51,$N714&gt;Keys!$C$52),1,0)</f>
        <v>0</v>
      </c>
      <c r="V714">
        <f>IF(AND($E714=Keys!$C$60,$N714&lt;&gt;Keys!$C$51),1,0)</f>
        <v>0</v>
      </c>
      <c r="W714">
        <f>IF($L714&gt;Keys!$C$51,IF($K714/$L714&gt;Keys!$C$52,1,0),0)</f>
        <v>0</v>
      </c>
      <c r="X714" s="11">
        <f t="shared" si="47"/>
        <v>0.14609119321591307</v>
      </c>
    </row>
    <row r="715" spans="1:24" x14ac:dyDescent="0.25">
      <c r="A715" t="s">
        <v>149</v>
      </c>
      <c r="B715" t="s">
        <v>117</v>
      </c>
      <c r="C715" t="str">
        <f>VLOOKUP($B715,Keys!$F$2:$I$22,2,FALSE)</f>
        <v>LPG propane or butane</v>
      </c>
      <c r="D715">
        <f>VLOOKUP($B715,Keys!$F$2:$I$22,3,FALSE)</f>
        <v>0.54955999499999997</v>
      </c>
      <c r="E715" t="str">
        <f>VLOOKUP($B715,Keys!$F$2:$I$22,4,FALSE)</f>
        <v>rule</v>
      </c>
      <c r="F715" t="str">
        <f>$A715&amp;Keys!$C$54&amp;$B715</f>
        <v>OK|LPG propane or butane</v>
      </c>
      <c r="G715" s="10">
        <f>IF($E715=Keys!$C$60,Keys!$C$51,INDEX(Balanced_2025!$D$9:$D$3032,MATCH($A715&amp;Keys!$C$54&amp;Keys!$C$55&amp;Keys!$C$54&amp;$C715,Balanced_2025!$E$9:$E$3032,0)))</f>
        <v>315346000000000</v>
      </c>
      <c r="H715" s="10">
        <f>IF($E715=Keys!$C$60,Keys!$C$51,INDEX(Balanced_2025!$D$9:$D$3032,MATCH($A715&amp;Keys!$C$54&amp;Keys!$C$56&amp;Keys!$C$54&amp;$C715,Balanced_2025!$E$9:$E$3032,0)))</f>
        <v>38648200000</v>
      </c>
      <c r="I715" s="10">
        <f>IF($E715=Keys!$C$60,Keys!$C$51,INDEX(Balanced_2025!$D$9:$D$3032,MATCH($A715&amp;Keys!$C$54&amp;Keys!$C$57&amp;Keys!$C$54&amp;$C715,Balanced_2025!$E$9:$E$3032,0)))</f>
        <v>306470000000000</v>
      </c>
      <c r="J715" s="10">
        <f t="shared" si="44"/>
        <v>8914648200000</v>
      </c>
      <c r="K715" s="10">
        <f>MAX(Keys!$C$51,$I715-$H715)</f>
        <v>306431351800000</v>
      </c>
      <c r="L715" s="10">
        <f t="shared" si="45"/>
        <v>315346000000000</v>
      </c>
      <c r="M715" s="11">
        <f>IF($L715&gt;Keys!$C$51,MIN(Keys!$C$52,$K715/$L715),Keys!$C$51)</f>
        <v>0.97173058101260201</v>
      </c>
      <c r="N715" s="11">
        <f>IF($E715=Keys!$C$60,Keys!$C$51,IF($E715=Keys!$C$59,$D715,$M715))</f>
        <v>0.97173058101260201</v>
      </c>
      <c r="O715">
        <f t="shared" si="46"/>
        <v>1</v>
      </c>
      <c r="P715" s="10">
        <f>IF($E715=Keys!$C$60,Keys!$C$51,INDEX(Raw_BFPIaE!$G$9:$G$3032,MATCH($A715&amp;Keys!$C$54&amp;Keys!$C$55&amp;Keys!$C$54&amp;$B715,Raw_BFPIaE!$H$9:$H$3032,0)))</f>
        <v>317578000000000</v>
      </c>
      <c r="Q715" s="10">
        <f>IF($E715=Keys!$C$60,Keys!$C$51,INDEX(Raw_BFPIaE!$G$9:$G$3032,MATCH($A715&amp;Keys!$C$54&amp;Keys!$C$56&amp;Keys!$C$54&amp;$B715,Raw_BFPIaE!$H$9:$H$3032,0)))</f>
        <v>0</v>
      </c>
      <c r="R715" s="10">
        <f>IF($E715=Keys!$C$60,Keys!$C$51,INDEX(Raw_BFPIaE!$G$9:$G$3032,MATCH($A715&amp;Keys!$C$54&amp;Keys!$C$57&amp;Keys!$C$54&amp;$B715,Raw_BFPIaE!$H$9:$H$3032,0)))</f>
        <v>206572000000000</v>
      </c>
      <c r="S715" s="11">
        <f>IF(($P715+$Q715-$R715+MAX(Keys!$C$51,$R715-$Q715))&gt;Keys!$C$51,MIN(Keys!$C$52,MAX(Keys!$C$51,$R715-$Q715)/($P715+$Q715-$R715+MAX(Keys!$C$51,$R715-$Q715))),Keys!$C$51)</f>
        <v>0.65046067422806364</v>
      </c>
      <c r="T715">
        <f>IF(AND($I715&gt;$H715,ABS($L715-$G715)&gt;MAX(Keys!$C$62,ABS($G715)*Keys!$C$63)),1,0)</f>
        <v>0</v>
      </c>
      <c r="U715">
        <f>IF(OR($N715&lt;Keys!$C$51,$N715&gt;Keys!$C$52),1,0)</f>
        <v>0</v>
      </c>
      <c r="V715">
        <f>IF(AND($E715=Keys!$C$60,$N715&lt;&gt;Keys!$C$51),1,0)</f>
        <v>0</v>
      </c>
      <c r="W715">
        <f>IF($L715&gt;Keys!$C$51,IF($K715/$L715&gt;Keys!$C$52,1,0),0)</f>
        <v>0</v>
      </c>
      <c r="X715" s="11">
        <f t="shared" si="47"/>
        <v>0.32126990678453837</v>
      </c>
    </row>
    <row r="716" spans="1:24" x14ac:dyDescent="0.25">
      <c r="A716" t="s">
        <v>149</v>
      </c>
      <c r="B716" t="s">
        <v>120</v>
      </c>
      <c r="C716">
        <f>VLOOKUP($B716,Keys!$F$2:$I$22,2,FALSE)</f>
        <v>0</v>
      </c>
      <c r="D716">
        <f>VLOOKUP($B716,Keys!$F$2:$I$22,3,FALSE)</f>
        <v>0</v>
      </c>
      <c r="E716" t="str">
        <f>VLOOKUP($B716,Keys!$F$2:$I$22,4,FALSE)</f>
        <v>zero</v>
      </c>
      <c r="F716" t="str">
        <f>$A716&amp;Keys!$C$54&amp;$B716</f>
        <v>OK|municipal solid waste</v>
      </c>
      <c r="G716" s="10">
        <f>IF($E716=Keys!$C$60,Keys!$C$51,INDEX(Balanced_2025!$D$9:$D$3032,MATCH($A716&amp;Keys!$C$54&amp;Keys!$C$55&amp;Keys!$C$54&amp;$C716,Balanced_2025!$E$9:$E$3032,0)))</f>
        <v>0</v>
      </c>
      <c r="H716" s="10">
        <f>IF($E716=Keys!$C$60,Keys!$C$51,INDEX(Balanced_2025!$D$9:$D$3032,MATCH($A716&amp;Keys!$C$54&amp;Keys!$C$56&amp;Keys!$C$54&amp;$C716,Balanced_2025!$E$9:$E$3032,0)))</f>
        <v>0</v>
      </c>
      <c r="I716" s="10">
        <f>IF($E716=Keys!$C$60,Keys!$C$51,INDEX(Balanced_2025!$D$9:$D$3032,MATCH($A716&amp;Keys!$C$54&amp;Keys!$C$57&amp;Keys!$C$54&amp;$C716,Balanced_2025!$E$9:$E$3032,0)))</f>
        <v>0</v>
      </c>
      <c r="J716" s="10">
        <f t="shared" si="44"/>
        <v>0</v>
      </c>
      <c r="K716" s="10">
        <f>MAX(Keys!$C$51,$I716-$H716)</f>
        <v>0</v>
      </c>
      <c r="L716" s="10">
        <f t="shared" si="45"/>
        <v>0</v>
      </c>
      <c r="M716" s="11">
        <f>IF($L716&gt;Keys!$C$51,MIN(Keys!$C$52,$K716/$L716),Keys!$C$51)</f>
        <v>0</v>
      </c>
      <c r="N716" s="11">
        <f>IF($E716=Keys!$C$60,Keys!$C$51,IF($E716=Keys!$C$59,$D716,$M716))</f>
        <v>0</v>
      </c>
      <c r="O716">
        <f t="shared" si="46"/>
        <v>0</v>
      </c>
      <c r="P716" s="10">
        <f>IF($E716=Keys!$C$60,Keys!$C$51,INDEX(Raw_BFPIaE!$G$9:$G$3032,MATCH($A716&amp;Keys!$C$54&amp;Keys!$C$55&amp;Keys!$C$54&amp;$B716,Raw_BFPIaE!$H$9:$H$3032,0)))</f>
        <v>0</v>
      </c>
      <c r="Q716" s="10">
        <f>IF($E716=Keys!$C$60,Keys!$C$51,INDEX(Raw_BFPIaE!$G$9:$G$3032,MATCH($A716&amp;Keys!$C$54&amp;Keys!$C$56&amp;Keys!$C$54&amp;$B716,Raw_BFPIaE!$H$9:$H$3032,0)))</f>
        <v>0</v>
      </c>
      <c r="R716" s="10">
        <f>IF($E716=Keys!$C$60,Keys!$C$51,INDEX(Raw_BFPIaE!$G$9:$G$3032,MATCH($A716&amp;Keys!$C$54&amp;Keys!$C$57&amp;Keys!$C$54&amp;$B716,Raw_BFPIaE!$H$9:$H$3032,0)))</f>
        <v>0</v>
      </c>
      <c r="S716" s="11">
        <f>IF(($P716+$Q716-$R716+MAX(Keys!$C$51,$R716-$Q716))&gt;Keys!$C$51,MIN(Keys!$C$52,MAX(Keys!$C$51,$R716-$Q716)/($P716+$Q716-$R716+MAX(Keys!$C$51,$R716-$Q716))),Keys!$C$51)</f>
        <v>0</v>
      </c>
      <c r="T716">
        <f>IF(AND($I716&gt;$H716,ABS($L716-$G716)&gt;MAX(Keys!$C$62,ABS($G716)*Keys!$C$63)),1,0)</f>
        <v>0</v>
      </c>
      <c r="U716">
        <f>IF(OR($N716&lt;Keys!$C$51,$N716&gt;Keys!$C$52),1,0)</f>
        <v>0</v>
      </c>
      <c r="V716">
        <f>IF(AND($E716=Keys!$C$60,$N716&lt;&gt;Keys!$C$51),1,0)</f>
        <v>0</v>
      </c>
      <c r="W716">
        <f>IF($L716&gt;Keys!$C$51,IF($K716/$L716&gt;Keys!$C$52,1,0),0)</f>
        <v>0</v>
      </c>
      <c r="X716" s="11">
        <f t="shared" si="47"/>
        <v>0</v>
      </c>
    </row>
    <row r="717" spans="1:24" x14ac:dyDescent="0.25">
      <c r="A717" t="s">
        <v>149</v>
      </c>
      <c r="B717" t="s">
        <v>123</v>
      </c>
      <c r="C717">
        <f>VLOOKUP($B717,Keys!$F$2:$I$22,2,FALSE)</f>
        <v>0</v>
      </c>
      <c r="D717">
        <f>VLOOKUP($B717,Keys!$F$2:$I$22,3,FALSE)</f>
        <v>0</v>
      </c>
      <c r="E717" t="str">
        <f>VLOOKUP($B717,Keys!$F$2:$I$22,4,FALSE)</f>
        <v>zero</v>
      </c>
      <c r="F717" t="str">
        <f>$A717&amp;Keys!$C$54&amp;$B717</f>
        <v>OK|hydrogen</v>
      </c>
      <c r="G717" s="10">
        <f>IF($E717=Keys!$C$60,Keys!$C$51,INDEX(Balanced_2025!$D$9:$D$3032,MATCH($A717&amp;Keys!$C$54&amp;Keys!$C$55&amp;Keys!$C$54&amp;$C717,Balanced_2025!$E$9:$E$3032,0)))</f>
        <v>0</v>
      </c>
      <c r="H717" s="10">
        <f>IF($E717=Keys!$C$60,Keys!$C$51,INDEX(Balanced_2025!$D$9:$D$3032,MATCH($A717&amp;Keys!$C$54&amp;Keys!$C$56&amp;Keys!$C$54&amp;$C717,Balanced_2025!$E$9:$E$3032,0)))</f>
        <v>0</v>
      </c>
      <c r="I717" s="10">
        <f>IF($E717=Keys!$C$60,Keys!$C$51,INDEX(Balanced_2025!$D$9:$D$3032,MATCH($A717&amp;Keys!$C$54&amp;Keys!$C$57&amp;Keys!$C$54&amp;$C717,Balanced_2025!$E$9:$E$3032,0)))</f>
        <v>0</v>
      </c>
      <c r="J717" s="10">
        <f t="shared" si="44"/>
        <v>0</v>
      </c>
      <c r="K717" s="10">
        <f>MAX(Keys!$C$51,$I717-$H717)</f>
        <v>0</v>
      </c>
      <c r="L717" s="10">
        <f t="shared" si="45"/>
        <v>0</v>
      </c>
      <c r="M717" s="11">
        <f>IF($L717&gt;Keys!$C$51,MIN(Keys!$C$52,$K717/$L717),Keys!$C$51)</f>
        <v>0</v>
      </c>
      <c r="N717" s="11">
        <f>IF($E717=Keys!$C$60,Keys!$C$51,IF($E717=Keys!$C$59,$D717,$M717))</f>
        <v>0</v>
      </c>
      <c r="O717">
        <f t="shared" si="46"/>
        <v>0</v>
      </c>
      <c r="P717" s="10">
        <f>IF($E717=Keys!$C$60,Keys!$C$51,INDEX(Raw_BFPIaE!$G$9:$G$3032,MATCH($A717&amp;Keys!$C$54&amp;Keys!$C$55&amp;Keys!$C$54&amp;$B717,Raw_BFPIaE!$H$9:$H$3032,0)))</f>
        <v>0</v>
      </c>
      <c r="Q717" s="10">
        <f>IF($E717=Keys!$C$60,Keys!$C$51,INDEX(Raw_BFPIaE!$G$9:$G$3032,MATCH($A717&amp;Keys!$C$54&amp;Keys!$C$56&amp;Keys!$C$54&amp;$B717,Raw_BFPIaE!$H$9:$H$3032,0)))</f>
        <v>0</v>
      </c>
      <c r="R717" s="10">
        <f>IF($E717=Keys!$C$60,Keys!$C$51,INDEX(Raw_BFPIaE!$G$9:$G$3032,MATCH($A717&amp;Keys!$C$54&amp;Keys!$C$57&amp;Keys!$C$54&amp;$B717,Raw_BFPIaE!$H$9:$H$3032,0)))</f>
        <v>0</v>
      </c>
      <c r="S717" s="11">
        <f>IF(($P717+$Q717-$R717+MAX(Keys!$C$51,$R717-$Q717))&gt;Keys!$C$51,MIN(Keys!$C$52,MAX(Keys!$C$51,$R717-$Q717)/($P717+$Q717-$R717+MAX(Keys!$C$51,$R717-$Q717))),Keys!$C$51)</f>
        <v>0</v>
      </c>
      <c r="T717">
        <f>IF(AND($I717&gt;$H717,ABS($L717-$G717)&gt;MAX(Keys!$C$62,ABS($G717)*Keys!$C$63)),1,0)</f>
        <v>0</v>
      </c>
      <c r="U717">
        <f>IF(OR($N717&lt;Keys!$C$51,$N717&gt;Keys!$C$52),1,0)</f>
        <v>0</v>
      </c>
      <c r="V717">
        <f>IF(AND($E717=Keys!$C$60,$N717&lt;&gt;Keys!$C$51),1,0)</f>
        <v>0</v>
      </c>
      <c r="W717">
        <f>IF($L717&gt;Keys!$C$51,IF($K717/$L717&gt;Keys!$C$52,1,0),0)</f>
        <v>0</v>
      </c>
      <c r="X717" s="11">
        <f t="shared" si="47"/>
        <v>0</v>
      </c>
    </row>
    <row r="718" spans="1:24" x14ac:dyDescent="0.25">
      <c r="A718" t="s">
        <v>151</v>
      </c>
      <c r="B718" t="s">
        <v>60</v>
      </c>
      <c r="C718">
        <f>VLOOKUP($B718,Keys!$F$2:$I$22,2,FALSE)</f>
        <v>0</v>
      </c>
      <c r="D718">
        <f>VLOOKUP($B718,Keys!$F$2:$I$22,3,FALSE)</f>
        <v>0</v>
      </c>
      <c r="E718" t="str">
        <f>VLOOKUP($B718,Keys!$F$2:$I$22,4,FALSE)</f>
        <v>zero</v>
      </c>
      <c r="F718" t="str">
        <f>$A718&amp;Keys!$C$54&amp;$B718</f>
        <v>OR|electricity (not used in this variable)</v>
      </c>
      <c r="G718" s="10">
        <f>IF($E718=Keys!$C$60,Keys!$C$51,INDEX(Balanced_2025!$D$9:$D$3032,MATCH($A718&amp;Keys!$C$54&amp;Keys!$C$55&amp;Keys!$C$54&amp;$C718,Balanced_2025!$E$9:$E$3032,0)))</f>
        <v>0</v>
      </c>
      <c r="H718" s="10">
        <f>IF($E718=Keys!$C$60,Keys!$C$51,INDEX(Balanced_2025!$D$9:$D$3032,MATCH($A718&amp;Keys!$C$54&amp;Keys!$C$56&amp;Keys!$C$54&amp;$C718,Balanced_2025!$E$9:$E$3032,0)))</f>
        <v>0</v>
      </c>
      <c r="I718" s="10">
        <f>IF($E718=Keys!$C$60,Keys!$C$51,INDEX(Balanced_2025!$D$9:$D$3032,MATCH($A718&amp;Keys!$C$54&amp;Keys!$C$57&amp;Keys!$C$54&amp;$C718,Balanced_2025!$E$9:$E$3032,0)))</f>
        <v>0</v>
      </c>
      <c r="J718" s="10">
        <f t="shared" si="44"/>
        <v>0</v>
      </c>
      <c r="K718" s="10">
        <f>MAX(Keys!$C$51,$I718-$H718)</f>
        <v>0</v>
      </c>
      <c r="L718" s="10">
        <f t="shared" si="45"/>
        <v>0</v>
      </c>
      <c r="M718" s="11">
        <f>IF($L718&gt;Keys!$C$51,MIN(Keys!$C$52,$K718/$L718),Keys!$C$51)</f>
        <v>0</v>
      </c>
      <c r="N718" s="11">
        <f>IF($E718=Keys!$C$60,Keys!$C$51,IF($E718=Keys!$C$59,$D718,$M718))</f>
        <v>0</v>
      </c>
      <c r="O718">
        <f t="shared" si="46"/>
        <v>0</v>
      </c>
      <c r="P718" s="10">
        <f>IF($E718=Keys!$C$60,Keys!$C$51,INDEX(Raw_BFPIaE!$G$9:$G$3032,MATCH($A718&amp;Keys!$C$54&amp;Keys!$C$55&amp;Keys!$C$54&amp;$B718,Raw_BFPIaE!$H$9:$H$3032,0)))</f>
        <v>0</v>
      </c>
      <c r="Q718" s="10">
        <f>IF($E718=Keys!$C$60,Keys!$C$51,INDEX(Raw_BFPIaE!$G$9:$G$3032,MATCH($A718&amp;Keys!$C$54&amp;Keys!$C$56&amp;Keys!$C$54&amp;$B718,Raw_BFPIaE!$H$9:$H$3032,0)))</f>
        <v>0</v>
      </c>
      <c r="R718" s="10">
        <f>IF($E718=Keys!$C$60,Keys!$C$51,INDEX(Raw_BFPIaE!$G$9:$G$3032,MATCH($A718&amp;Keys!$C$54&amp;Keys!$C$57&amp;Keys!$C$54&amp;$B718,Raw_BFPIaE!$H$9:$H$3032,0)))</f>
        <v>0</v>
      </c>
      <c r="S718" s="11">
        <f>IF(($P718+$Q718-$R718+MAX(Keys!$C$51,$R718-$Q718))&gt;Keys!$C$51,MIN(Keys!$C$52,MAX(Keys!$C$51,$R718-$Q718)/($P718+$Q718-$R718+MAX(Keys!$C$51,$R718-$Q718))),Keys!$C$51)</f>
        <v>0</v>
      </c>
      <c r="T718">
        <f>IF(AND($I718&gt;$H718,ABS($L718-$G718)&gt;MAX(Keys!$C$62,ABS($G718)*Keys!$C$63)),1,0)</f>
        <v>0</v>
      </c>
      <c r="U718">
        <f>IF(OR($N718&lt;Keys!$C$51,$N718&gt;Keys!$C$52),1,0)</f>
        <v>0</v>
      </c>
      <c r="V718">
        <f>IF(AND($E718=Keys!$C$60,$N718&lt;&gt;Keys!$C$51),1,0)</f>
        <v>0</v>
      </c>
      <c r="W718">
        <f>IF($L718&gt;Keys!$C$51,IF($K718/$L718&gt;Keys!$C$52,1,0),0)</f>
        <v>0</v>
      </c>
      <c r="X718" s="11">
        <f t="shared" si="47"/>
        <v>0</v>
      </c>
    </row>
    <row r="719" spans="1:24" x14ac:dyDescent="0.25">
      <c r="A719" t="s">
        <v>151</v>
      </c>
      <c r="B719" t="s">
        <v>64</v>
      </c>
      <c r="C719" t="str">
        <f>VLOOKUP($B719,Keys!$F$2:$I$22,2,FALSE)</f>
        <v>hard coal</v>
      </c>
      <c r="D719">
        <f>VLOOKUP($B719,Keys!$F$2:$I$22,3,FALSE)</f>
        <v>0.137539879</v>
      </c>
      <c r="E719" t="str">
        <f>VLOOKUP($B719,Keys!$F$2:$I$22,4,FALSE)</f>
        <v>rule</v>
      </c>
      <c r="F719" t="str">
        <f>$A719&amp;Keys!$C$54&amp;$B719</f>
        <v>OR|hard coal</v>
      </c>
      <c r="G719" s="10">
        <f>IF($E719=Keys!$C$60,Keys!$C$51,INDEX(Balanced_2025!$D$9:$D$3032,MATCH($A719&amp;Keys!$C$54&amp;Keys!$C$55&amp;Keys!$C$54&amp;$C719,Balanced_2025!$E$9:$E$3032,0)))</f>
        <v>0</v>
      </c>
      <c r="H719" s="10">
        <f>IF($E719=Keys!$C$60,Keys!$C$51,INDEX(Balanced_2025!$D$9:$D$3032,MATCH($A719&amp;Keys!$C$54&amp;Keys!$C$56&amp;Keys!$C$54&amp;$C719,Balanced_2025!$E$9:$E$3032,0)))</f>
        <v>108000000000</v>
      </c>
      <c r="I719" s="10">
        <f>IF($E719=Keys!$C$60,Keys!$C$51,INDEX(Balanced_2025!$D$9:$D$3032,MATCH($A719&amp;Keys!$C$54&amp;Keys!$C$57&amp;Keys!$C$54&amp;$C719,Balanced_2025!$E$9:$E$3032,0)))</f>
        <v>0</v>
      </c>
      <c r="J719" s="10">
        <f t="shared" si="44"/>
        <v>108000000000</v>
      </c>
      <c r="K719" s="10">
        <f>MAX(Keys!$C$51,$I719-$H719)</f>
        <v>0</v>
      </c>
      <c r="L719" s="10">
        <f t="shared" si="45"/>
        <v>108000000000</v>
      </c>
      <c r="M719" s="11">
        <f>IF($L719&gt;Keys!$C$51,MIN(Keys!$C$52,$K719/$L719),Keys!$C$51)</f>
        <v>0</v>
      </c>
      <c r="N719" s="11">
        <f>IF($E719=Keys!$C$60,Keys!$C$51,IF($E719=Keys!$C$59,$D719,$M719))</f>
        <v>0</v>
      </c>
      <c r="O719">
        <f t="shared" si="46"/>
        <v>1</v>
      </c>
      <c r="P719" s="10">
        <f>IF($E719=Keys!$C$60,Keys!$C$51,INDEX(Raw_BFPIaE!$G$9:$G$3032,MATCH($A719&amp;Keys!$C$54&amp;Keys!$C$55&amp;Keys!$C$54&amp;$B719,Raw_BFPIaE!$H$9:$H$3032,0)))</f>
        <v>0</v>
      </c>
      <c r="Q719" s="10">
        <f>IF($E719=Keys!$C$60,Keys!$C$51,INDEX(Raw_BFPIaE!$G$9:$G$3032,MATCH($A719&amp;Keys!$C$54&amp;Keys!$C$56&amp;Keys!$C$54&amp;$B719,Raw_BFPIaE!$H$9:$H$3032,0)))</f>
        <v>72369000000</v>
      </c>
      <c r="R719" s="10">
        <f>IF($E719=Keys!$C$60,Keys!$C$51,INDEX(Raw_BFPIaE!$G$9:$G$3032,MATCH($A719&amp;Keys!$C$54&amp;Keys!$C$57&amp;Keys!$C$54&amp;$B719,Raw_BFPIaE!$H$9:$H$3032,0)))</f>
        <v>0</v>
      </c>
      <c r="S719" s="11">
        <f>IF(($P719+$Q719-$R719+MAX(Keys!$C$51,$R719-$Q719))&gt;Keys!$C$51,MIN(Keys!$C$52,MAX(Keys!$C$51,$R719-$Q719)/($P719+$Q719-$R719+MAX(Keys!$C$51,$R719-$Q719))),Keys!$C$51)</f>
        <v>0</v>
      </c>
      <c r="T719">
        <f>IF(AND($I719&gt;$H719,ABS($L719-$G719)&gt;MAX(Keys!$C$62,ABS($G719)*Keys!$C$63)),1,0)</f>
        <v>0</v>
      </c>
      <c r="U719">
        <f>IF(OR($N719&lt;Keys!$C$51,$N719&gt;Keys!$C$52),1,0)</f>
        <v>0</v>
      </c>
      <c r="V719">
        <f>IF(AND($E719=Keys!$C$60,$N719&lt;&gt;Keys!$C$51),1,0)</f>
        <v>0</v>
      </c>
      <c r="W719">
        <f>IF($L719&gt;Keys!$C$51,IF($K719/$L719&gt;Keys!$C$52,1,0),0)</f>
        <v>0</v>
      </c>
      <c r="X719" s="11">
        <f t="shared" si="47"/>
        <v>0</v>
      </c>
    </row>
    <row r="720" spans="1:24" x14ac:dyDescent="0.25">
      <c r="A720" t="s">
        <v>151</v>
      </c>
      <c r="B720" t="s">
        <v>68</v>
      </c>
      <c r="C720" t="str">
        <f>VLOOKUP($B720,Keys!$F$2:$I$22,2,FALSE)</f>
        <v>natural gas</v>
      </c>
      <c r="D720">
        <f>VLOOKUP($B720,Keys!$F$2:$I$22,3,FALSE)</f>
        <v>0.190839183</v>
      </c>
      <c r="E720" t="str">
        <f>VLOOKUP($B720,Keys!$F$2:$I$22,4,FALSE)</f>
        <v>rule</v>
      </c>
      <c r="F720" t="str">
        <f>$A720&amp;Keys!$C$54&amp;$B720</f>
        <v>OR|natural gas</v>
      </c>
      <c r="G720" s="10">
        <f>IF($E720=Keys!$C$60,Keys!$C$51,INDEX(Balanced_2025!$D$9:$D$3032,MATCH($A720&amp;Keys!$C$54&amp;Keys!$C$55&amp;Keys!$C$54&amp;$C720,Balanced_2025!$E$9:$E$3032,0)))</f>
        <v>87108000000</v>
      </c>
      <c r="H720" s="10">
        <f>IF($E720=Keys!$C$60,Keys!$C$51,INDEX(Balanced_2025!$D$9:$D$3032,MATCH($A720&amp;Keys!$C$54&amp;Keys!$C$56&amp;Keys!$C$54&amp;$C720,Balanced_2025!$E$9:$E$3032,0)))</f>
        <v>1106640000000000</v>
      </c>
      <c r="I720" s="10">
        <f>IF($E720=Keys!$C$60,Keys!$C$51,INDEX(Balanced_2025!$D$9:$D$3032,MATCH($A720&amp;Keys!$C$54&amp;Keys!$C$57&amp;Keys!$C$54&amp;$C720,Balanced_2025!$E$9:$E$3032,0)))</f>
        <v>784351000000000</v>
      </c>
      <c r="J720" s="10">
        <f t="shared" si="44"/>
        <v>322376108000000</v>
      </c>
      <c r="K720" s="10">
        <f>MAX(Keys!$C$51,$I720-$H720)</f>
        <v>0</v>
      </c>
      <c r="L720" s="10">
        <f t="shared" si="45"/>
        <v>322376108000000</v>
      </c>
      <c r="M720" s="11">
        <f>IF($L720&gt;Keys!$C$51,MIN(Keys!$C$52,$K720/$L720),Keys!$C$51)</f>
        <v>0</v>
      </c>
      <c r="N720" s="11">
        <f>IF($E720=Keys!$C$60,Keys!$C$51,IF($E720=Keys!$C$59,$D720,$M720))</f>
        <v>0</v>
      </c>
      <c r="O720">
        <f t="shared" si="46"/>
        <v>1</v>
      </c>
      <c r="P720" s="10">
        <f>IF($E720=Keys!$C$60,Keys!$C$51,INDEX(Raw_BFPIaE!$G$9:$G$3032,MATCH($A720&amp;Keys!$C$54&amp;Keys!$C$55&amp;Keys!$C$54&amp;$B720,Raw_BFPIaE!$H$9:$H$3032,0)))</f>
        <v>85060466666.666672</v>
      </c>
      <c r="Q720" s="10">
        <f>IF($E720=Keys!$C$60,Keys!$C$51,INDEX(Raw_BFPIaE!$G$9:$G$3032,MATCH($A720&amp;Keys!$C$54&amp;Keys!$C$56&amp;Keys!$C$54&amp;$B720,Raw_BFPIaE!$H$9:$H$3032,0)))</f>
        <v>1083776666666666.6</v>
      </c>
      <c r="R720" s="10">
        <f>IF($E720=Keys!$C$60,Keys!$C$51,INDEX(Raw_BFPIaE!$G$9:$G$3032,MATCH($A720&amp;Keys!$C$54&amp;Keys!$C$57&amp;Keys!$C$54&amp;$B720,Raw_BFPIaE!$H$9:$H$3032,0)))</f>
        <v>765914333333333.38</v>
      </c>
      <c r="S720" s="11">
        <f>IF(($P720+$Q720-$R720+MAX(Keys!$C$51,$R720-$Q720))&gt;Keys!$C$51,MIN(Keys!$C$52,MAX(Keys!$C$51,$R720-$Q720)/($P720+$Q720-$R720+MAX(Keys!$C$51,$R720-$Q720))),Keys!$C$51)</f>
        <v>0</v>
      </c>
      <c r="T720">
        <f>IF(AND($I720&gt;$H720,ABS($L720-$G720)&gt;MAX(Keys!$C$62,ABS($G720)*Keys!$C$63)),1,0)</f>
        <v>0</v>
      </c>
      <c r="U720">
        <f>IF(OR($N720&lt;Keys!$C$51,$N720&gt;Keys!$C$52),1,0)</f>
        <v>0</v>
      </c>
      <c r="V720">
        <f>IF(AND($E720=Keys!$C$60,$N720&lt;&gt;Keys!$C$51),1,0)</f>
        <v>0</v>
      </c>
      <c r="W720">
        <f>IF($L720&gt;Keys!$C$51,IF($K720/$L720&gt;Keys!$C$52,1,0),0)</f>
        <v>0</v>
      </c>
      <c r="X720" s="11">
        <f t="shared" si="47"/>
        <v>0</v>
      </c>
    </row>
    <row r="721" spans="1:24" x14ac:dyDescent="0.25">
      <c r="A721" t="s">
        <v>151</v>
      </c>
      <c r="B721" t="s">
        <v>71</v>
      </c>
      <c r="C721">
        <f>VLOOKUP($B721,Keys!$F$2:$I$22,2,FALSE)</f>
        <v>0</v>
      </c>
      <c r="D721">
        <f>VLOOKUP($B721,Keys!$F$2:$I$22,3,FALSE)</f>
        <v>0</v>
      </c>
      <c r="E721" t="str">
        <f>VLOOKUP($B721,Keys!$F$2:$I$22,4,FALSE)</f>
        <v>zero</v>
      </c>
      <c r="F721" t="str">
        <f>$A721&amp;Keys!$C$54&amp;$B721</f>
        <v>OR|nuclear</v>
      </c>
      <c r="G721" s="10">
        <f>IF($E721=Keys!$C$60,Keys!$C$51,INDEX(Balanced_2025!$D$9:$D$3032,MATCH($A721&amp;Keys!$C$54&amp;Keys!$C$55&amp;Keys!$C$54&amp;$C721,Balanced_2025!$E$9:$E$3032,0)))</f>
        <v>0</v>
      </c>
      <c r="H721" s="10">
        <f>IF($E721=Keys!$C$60,Keys!$C$51,INDEX(Balanced_2025!$D$9:$D$3032,MATCH($A721&amp;Keys!$C$54&amp;Keys!$C$56&amp;Keys!$C$54&amp;$C721,Balanced_2025!$E$9:$E$3032,0)))</f>
        <v>0</v>
      </c>
      <c r="I721" s="10">
        <f>IF($E721=Keys!$C$60,Keys!$C$51,INDEX(Balanced_2025!$D$9:$D$3032,MATCH($A721&amp;Keys!$C$54&amp;Keys!$C$57&amp;Keys!$C$54&amp;$C721,Balanced_2025!$E$9:$E$3032,0)))</f>
        <v>0</v>
      </c>
      <c r="J721" s="10">
        <f t="shared" si="44"/>
        <v>0</v>
      </c>
      <c r="K721" s="10">
        <f>MAX(Keys!$C$51,$I721-$H721)</f>
        <v>0</v>
      </c>
      <c r="L721" s="10">
        <f t="shared" si="45"/>
        <v>0</v>
      </c>
      <c r="M721" s="11">
        <f>IF($L721&gt;Keys!$C$51,MIN(Keys!$C$52,$K721/$L721),Keys!$C$51)</f>
        <v>0</v>
      </c>
      <c r="N721" s="11">
        <f>IF($E721=Keys!$C$60,Keys!$C$51,IF($E721=Keys!$C$59,$D721,$M721))</f>
        <v>0</v>
      </c>
      <c r="O721">
        <f t="shared" si="46"/>
        <v>0</v>
      </c>
      <c r="P721" s="10">
        <f>IF($E721=Keys!$C$60,Keys!$C$51,INDEX(Raw_BFPIaE!$G$9:$G$3032,MATCH($A721&amp;Keys!$C$54&amp;Keys!$C$55&amp;Keys!$C$54&amp;$B721,Raw_BFPIaE!$H$9:$H$3032,0)))</f>
        <v>0</v>
      </c>
      <c r="Q721" s="10">
        <f>IF($E721=Keys!$C$60,Keys!$C$51,INDEX(Raw_BFPIaE!$G$9:$G$3032,MATCH($A721&amp;Keys!$C$54&amp;Keys!$C$56&amp;Keys!$C$54&amp;$B721,Raw_BFPIaE!$H$9:$H$3032,0)))</f>
        <v>0</v>
      </c>
      <c r="R721" s="10">
        <f>IF($E721=Keys!$C$60,Keys!$C$51,INDEX(Raw_BFPIaE!$G$9:$G$3032,MATCH($A721&amp;Keys!$C$54&amp;Keys!$C$57&amp;Keys!$C$54&amp;$B721,Raw_BFPIaE!$H$9:$H$3032,0)))</f>
        <v>0</v>
      </c>
      <c r="S721" s="11">
        <f>IF(($P721+$Q721-$R721+MAX(Keys!$C$51,$R721-$Q721))&gt;Keys!$C$51,MIN(Keys!$C$52,MAX(Keys!$C$51,$R721-$Q721)/($P721+$Q721-$R721+MAX(Keys!$C$51,$R721-$Q721))),Keys!$C$51)</f>
        <v>0</v>
      </c>
      <c r="T721">
        <f>IF(AND($I721&gt;$H721,ABS($L721-$G721)&gt;MAX(Keys!$C$62,ABS($G721)*Keys!$C$63)),1,0)</f>
        <v>0</v>
      </c>
      <c r="U721">
        <f>IF(OR($N721&lt;Keys!$C$51,$N721&gt;Keys!$C$52),1,0)</f>
        <v>0</v>
      </c>
      <c r="V721">
        <f>IF(AND($E721=Keys!$C$60,$N721&lt;&gt;Keys!$C$51),1,0)</f>
        <v>0</v>
      </c>
      <c r="W721">
        <f>IF($L721&gt;Keys!$C$51,IF($K721/$L721&gt;Keys!$C$52,1,0),0)</f>
        <v>0</v>
      </c>
      <c r="X721" s="11">
        <f t="shared" si="47"/>
        <v>0</v>
      </c>
    </row>
    <row r="722" spans="1:24" x14ac:dyDescent="0.25">
      <c r="A722" t="s">
        <v>151</v>
      </c>
      <c r="B722" t="s">
        <v>74</v>
      </c>
      <c r="C722">
        <f>VLOOKUP($B722,Keys!$F$2:$I$22,2,FALSE)</f>
        <v>0</v>
      </c>
      <c r="D722">
        <f>VLOOKUP($B722,Keys!$F$2:$I$22,3,FALSE)</f>
        <v>0</v>
      </c>
      <c r="E722" t="str">
        <f>VLOOKUP($B722,Keys!$F$2:$I$22,4,FALSE)</f>
        <v>zero</v>
      </c>
      <c r="F722" t="str">
        <f>$A722&amp;Keys!$C$54&amp;$B722</f>
        <v>OR|hydro (is not a fuel)</v>
      </c>
      <c r="G722" s="10">
        <f>IF($E722=Keys!$C$60,Keys!$C$51,INDEX(Balanced_2025!$D$9:$D$3032,MATCH($A722&amp;Keys!$C$54&amp;Keys!$C$55&amp;Keys!$C$54&amp;$C722,Balanced_2025!$E$9:$E$3032,0)))</f>
        <v>0</v>
      </c>
      <c r="H722" s="10">
        <f>IF($E722=Keys!$C$60,Keys!$C$51,INDEX(Balanced_2025!$D$9:$D$3032,MATCH($A722&amp;Keys!$C$54&amp;Keys!$C$56&amp;Keys!$C$54&amp;$C722,Balanced_2025!$E$9:$E$3032,0)))</f>
        <v>0</v>
      </c>
      <c r="I722" s="10">
        <f>IF($E722=Keys!$C$60,Keys!$C$51,INDEX(Balanced_2025!$D$9:$D$3032,MATCH($A722&amp;Keys!$C$54&amp;Keys!$C$57&amp;Keys!$C$54&amp;$C722,Balanced_2025!$E$9:$E$3032,0)))</f>
        <v>0</v>
      </c>
      <c r="J722" s="10">
        <f t="shared" si="44"/>
        <v>0</v>
      </c>
      <c r="K722" s="10">
        <f>MAX(Keys!$C$51,$I722-$H722)</f>
        <v>0</v>
      </c>
      <c r="L722" s="10">
        <f t="shared" si="45"/>
        <v>0</v>
      </c>
      <c r="M722" s="11">
        <f>IF($L722&gt;Keys!$C$51,MIN(Keys!$C$52,$K722/$L722),Keys!$C$51)</f>
        <v>0</v>
      </c>
      <c r="N722" s="11">
        <f>IF($E722=Keys!$C$60,Keys!$C$51,IF($E722=Keys!$C$59,$D722,$M722))</f>
        <v>0</v>
      </c>
      <c r="O722">
        <f t="shared" si="46"/>
        <v>0</v>
      </c>
      <c r="P722" s="10">
        <f>IF($E722=Keys!$C$60,Keys!$C$51,INDEX(Raw_BFPIaE!$G$9:$G$3032,MATCH($A722&amp;Keys!$C$54&amp;Keys!$C$55&amp;Keys!$C$54&amp;$B722,Raw_BFPIaE!$H$9:$H$3032,0)))</f>
        <v>0</v>
      </c>
      <c r="Q722" s="10">
        <f>IF($E722=Keys!$C$60,Keys!$C$51,INDEX(Raw_BFPIaE!$G$9:$G$3032,MATCH($A722&amp;Keys!$C$54&amp;Keys!$C$56&amp;Keys!$C$54&amp;$B722,Raw_BFPIaE!$H$9:$H$3032,0)))</f>
        <v>0</v>
      </c>
      <c r="R722" s="10">
        <f>IF($E722=Keys!$C$60,Keys!$C$51,INDEX(Raw_BFPIaE!$G$9:$G$3032,MATCH($A722&amp;Keys!$C$54&amp;Keys!$C$57&amp;Keys!$C$54&amp;$B722,Raw_BFPIaE!$H$9:$H$3032,0)))</f>
        <v>0</v>
      </c>
      <c r="S722" s="11">
        <f>IF(($P722+$Q722-$R722+MAX(Keys!$C$51,$R722-$Q722))&gt;Keys!$C$51,MIN(Keys!$C$52,MAX(Keys!$C$51,$R722-$Q722)/($P722+$Q722-$R722+MAX(Keys!$C$51,$R722-$Q722))),Keys!$C$51)</f>
        <v>0</v>
      </c>
      <c r="T722">
        <f>IF(AND($I722&gt;$H722,ABS($L722-$G722)&gt;MAX(Keys!$C$62,ABS($G722)*Keys!$C$63)),1,0)</f>
        <v>0</v>
      </c>
      <c r="U722">
        <f>IF(OR($N722&lt;Keys!$C$51,$N722&gt;Keys!$C$52),1,0)</f>
        <v>0</v>
      </c>
      <c r="V722">
        <f>IF(AND($E722=Keys!$C$60,$N722&lt;&gt;Keys!$C$51),1,0)</f>
        <v>0</v>
      </c>
      <c r="W722">
        <f>IF($L722&gt;Keys!$C$51,IF($K722/$L722&gt;Keys!$C$52,1,0),0)</f>
        <v>0</v>
      </c>
      <c r="X722" s="11">
        <f t="shared" si="47"/>
        <v>0</v>
      </c>
    </row>
    <row r="723" spans="1:24" x14ac:dyDescent="0.25">
      <c r="A723" t="s">
        <v>151</v>
      </c>
      <c r="B723" t="s">
        <v>77</v>
      </c>
      <c r="C723">
        <f>VLOOKUP($B723,Keys!$F$2:$I$22,2,FALSE)</f>
        <v>0</v>
      </c>
      <c r="D723">
        <f>VLOOKUP($B723,Keys!$F$2:$I$22,3,FALSE)</f>
        <v>0</v>
      </c>
      <c r="E723" t="str">
        <f>VLOOKUP($B723,Keys!$F$2:$I$22,4,FALSE)</f>
        <v>zero</v>
      </c>
      <c r="F723" t="str">
        <f>$A723&amp;Keys!$C$54&amp;$B723</f>
        <v>OR|wind (is not a fuel)</v>
      </c>
      <c r="G723" s="10">
        <f>IF($E723=Keys!$C$60,Keys!$C$51,INDEX(Balanced_2025!$D$9:$D$3032,MATCH($A723&amp;Keys!$C$54&amp;Keys!$C$55&amp;Keys!$C$54&amp;$C723,Balanced_2025!$E$9:$E$3032,0)))</f>
        <v>0</v>
      </c>
      <c r="H723" s="10">
        <f>IF($E723=Keys!$C$60,Keys!$C$51,INDEX(Balanced_2025!$D$9:$D$3032,MATCH($A723&amp;Keys!$C$54&amp;Keys!$C$56&amp;Keys!$C$54&amp;$C723,Balanced_2025!$E$9:$E$3032,0)))</f>
        <v>0</v>
      </c>
      <c r="I723" s="10">
        <f>IF($E723=Keys!$C$60,Keys!$C$51,INDEX(Balanced_2025!$D$9:$D$3032,MATCH($A723&amp;Keys!$C$54&amp;Keys!$C$57&amp;Keys!$C$54&amp;$C723,Balanced_2025!$E$9:$E$3032,0)))</f>
        <v>0</v>
      </c>
      <c r="J723" s="10">
        <f t="shared" si="44"/>
        <v>0</v>
      </c>
      <c r="K723" s="10">
        <f>MAX(Keys!$C$51,$I723-$H723)</f>
        <v>0</v>
      </c>
      <c r="L723" s="10">
        <f t="shared" si="45"/>
        <v>0</v>
      </c>
      <c r="M723" s="11">
        <f>IF($L723&gt;Keys!$C$51,MIN(Keys!$C$52,$K723/$L723),Keys!$C$51)</f>
        <v>0</v>
      </c>
      <c r="N723" s="11">
        <f>IF($E723=Keys!$C$60,Keys!$C$51,IF($E723=Keys!$C$59,$D723,$M723))</f>
        <v>0</v>
      </c>
      <c r="O723">
        <f t="shared" si="46"/>
        <v>0</v>
      </c>
      <c r="P723" s="10">
        <f>IF($E723=Keys!$C$60,Keys!$C$51,INDEX(Raw_BFPIaE!$G$9:$G$3032,MATCH($A723&amp;Keys!$C$54&amp;Keys!$C$55&amp;Keys!$C$54&amp;$B723,Raw_BFPIaE!$H$9:$H$3032,0)))</f>
        <v>0</v>
      </c>
      <c r="Q723" s="10">
        <f>IF($E723=Keys!$C$60,Keys!$C$51,INDEX(Raw_BFPIaE!$G$9:$G$3032,MATCH($A723&amp;Keys!$C$54&amp;Keys!$C$56&amp;Keys!$C$54&amp;$B723,Raw_BFPIaE!$H$9:$H$3032,0)))</f>
        <v>0</v>
      </c>
      <c r="R723" s="10">
        <f>IF($E723=Keys!$C$60,Keys!$C$51,INDEX(Raw_BFPIaE!$G$9:$G$3032,MATCH($A723&amp;Keys!$C$54&amp;Keys!$C$57&amp;Keys!$C$54&amp;$B723,Raw_BFPIaE!$H$9:$H$3032,0)))</f>
        <v>0</v>
      </c>
      <c r="S723" s="11">
        <f>IF(($P723+$Q723-$R723+MAX(Keys!$C$51,$R723-$Q723))&gt;Keys!$C$51,MIN(Keys!$C$52,MAX(Keys!$C$51,$R723-$Q723)/($P723+$Q723-$R723+MAX(Keys!$C$51,$R723-$Q723))),Keys!$C$51)</f>
        <v>0</v>
      </c>
      <c r="T723">
        <f>IF(AND($I723&gt;$H723,ABS($L723-$G723)&gt;MAX(Keys!$C$62,ABS($G723)*Keys!$C$63)),1,0)</f>
        <v>0</v>
      </c>
      <c r="U723">
        <f>IF(OR($N723&lt;Keys!$C$51,$N723&gt;Keys!$C$52),1,0)</f>
        <v>0</v>
      </c>
      <c r="V723">
        <f>IF(AND($E723=Keys!$C$60,$N723&lt;&gt;Keys!$C$51),1,0)</f>
        <v>0</v>
      </c>
      <c r="W723">
        <f>IF($L723&gt;Keys!$C$51,IF($K723/$L723&gt;Keys!$C$52,1,0),0)</f>
        <v>0</v>
      </c>
      <c r="X723" s="11">
        <f t="shared" si="47"/>
        <v>0</v>
      </c>
    </row>
    <row r="724" spans="1:24" x14ac:dyDescent="0.25">
      <c r="A724" t="s">
        <v>151</v>
      </c>
      <c r="B724" t="s">
        <v>80</v>
      </c>
      <c r="C724">
        <f>VLOOKUP($B724,Keys!$F$2:$I$22,2,FALSE)</f>
        <v>0</v>
      </c>
      <c r="D724">
        <f>VLOOKUP($B724,Keys!$F$2:$I$22,3,FALSE)</f>
        <v>0</v>
      </c>
      <c r="E724" t="str">
        <f>VLOOKUP($B724,Keys!$F$2:$I$22,4,FALSE)</f>
        <v>zero</v>
      </c>
      <c r="F724" t="str">
        <f>$A724&amp;Keys!$C$54&amp;$B724</f>
        <v>OR|solar (is not a fuel)</v>
      </c>
      <c r="G724" s="10">
        <f>IF($E724=Keys!$C$60,Keys!$C$51,INDEX(Balanced_2025!$D$9:$D$3032,MATCH($A724&amp;Keys!$C$54&amp;Keys!$C$55&amp;Keys!$C$54&amp;$C724,Balanced_2025!$E$9:$E$3032,0)))</f>
        <v>0</v>
      </c>
      <c r="H724" s="10">
        <f>IF($E724=Keys!$C$60,Keys!$C$51,INDEX(Balanced_2025!$D$9:$D$3032,MATCH($A724&amp;Keys!$C$54&amp;Keys!$C$56&amp;Keys!$C$54&amp;$C724,Balanced_2025!$E$9:$E$3032,0)))</f>
        <v>0</v>
      </c>
      <c r="I724" s="10">
        <f>IF($E724=Keys!$C$60,Keys!$C$51,INDEX(Balanced_2025!$D$9:$D$3032,MATCH($A724&amp;Keys!$C$54&amp;Keys!$C$57&amp;Keys!$C$54&amp;$C724,Balanced_2025!$E$9:$E$3032,0)))</f>
        <v>0</v>
      </c>
      <c r="J724" s="10">
        <f t="shared" si="44"/>
        <v>0</v>
      </c>
      <c r="K724" s="10">
        <f>MAX(Keys!$C$51,$I724-$H724)</f>
        <v>0</v>
      </c>
      <c r="L724" s="10">
        <f t="shared" si="45"/>
        <v>0</v>
      </c>
      <c r="M724" s="11">
        <f>IF($L724&gt;Keys!$C$51,MIN(Keys!$C$52,$K724/$L724),Keys!$C$51)</f>
        <v>0</v>
      </c>
      <c r="N724" s="11">
        <f>IF($E724=Keys!$C$60,Keys!$C$51,IF($E724=Keys!$C$59,$D724,$M724))</f>
        <v>0</v>
      </c>
      <c r="O724">
        <f t="shared" si="46"/>
        <v>0</v>
      </c>
      <c r="P724" s="10">
        <f>IF($E724=Keys!$C$60,Keys!$C$51,INDEX(Raw_BFPIaE!$G$9:$G$3032,MATCH($A724&amp;Keys!$C$54&amp;Keys!$C$55&amp;Keys!$C$54&amp;$B724,Raw_BFPIaE!$H$9:$H$3032,0)))</f>
        <v>0</v>
      </c>
      <c r="Q724" s="10">
        <f>IF($E724=Keys!$C$60,Keys!$C$51,INDEX(Raw_BFPIaE!$G$9:$G$3032,MATCH($A724&amp;Keys!$C$54&amp;Keys!$C$56&amp;Keys!$C$54&amp;$B724,Raw_BFPIaE!$H$9:$H$3032,0)))</f>
        <v>0</v>
      </c>
      <c r="R724" s="10">
        <f>IF($E724=Keys!$C$60,Keys!$C$51,INDEX(Raw_BFPIaE!$G$9:$G$3032,MATCH($A724&amp;Keys!$C$54&amp;Keys!$C$57&amp;Keys!$C$54&amp;$B724,Raw_BFPIaE!$H$9:$H$3032,0)))</f>
        <v>0</v>
      </c>
      <c r="S724" s="11">
        <f>IF(($P724+$Q724-$R724+MAX(Keys!$C$51,$R724-$Q724))&gt;Keys!$C$51,MIN(Keys!$C$52,MAX(Keys!$C$51,$R724-$Q724)/($P724+$Q724-$R724+MAX(Keys!$C$51,$R724-$Q724))),Keys!$C$51)</f>
        <v>0</v>
      </c>
      <c r="T724">
        <f>IF(AND($I724&gt;$H724,ABS($L724-$G724)&gt;MAX(Keys!$C$62,ABS($G724)*Keys!$C$63)),1,0)</f>
        <v>0</v>
      </c>
      <c r="U724">
        <f>IF(OR($N724&lt;Keys!$C$51,$N724&gt;Keys!$C$52),1,0)</f>
        <v>0</v>
      </c>
      <c r="V724">
        <f>IF(AND($E724=Keys!$C$60,$N724&lt;&gt;Keys!$C$51),1,0)</f>
        <v>0</v>
      </c>
      <c r="W724">
        <f>IF($L724&gt;Keys!$C$51,IF($K724/$L724&gt;Keys!$C$52,1,0),0)</f>
        <v>0</v>
      </c>
      <c r="X724" s="11">
        <f t="shared" si="47"/>
        <v>0</v>
      </c>
    </row>
    <row r="725" spans="1:24" x14ac:dyDescent="0.25">
      <c r="A725" t="s">
        <v>151</v>
      </c>
      <c r="B725" t="s">
        <v>82</v>
      </c>
      <c r="C725" t="str">
        <f>VLOOKUP($B725,Keys!$F$2:$I$22,2,FALSE)</f>
        <v>biomass</v>
      </c>
      <c r="D725">
        <f>VLOOKUP($B725,Keys!$F$2:$I$22,3,FALSE)</f>
        <v>0.74947425499999998</v>
      </c>
      <c r="E725" t="str">
        <f>VLOOKUP($B725,Keys!$F$2:$I$22,4,FALSE)</f>
        <v>rule</v>
      </c>
      <c r="F725" t="str">
        <f>$A725&amp;Keys!$C$54&amp;$B725</f>
        <v>OR|biomass</v>
      </c>
      <c r="G725" s="10">
        <f>IF($E725=Keys!$C$60,Keys!$C$51,INDEX(Balanced_2025!$D$9:$D$3032,MATCH($A725&amp;Keys!$C$54&amp;Keys!$C$55&amp;Keys!$C$54&amp;$C725,Balanced_2025!$E$9:$E$3032,0)))</f>
        <v>3045440000000</v>
      </c>
      <c r="H725" s="10">
        <f>IF($E725=Keys!$C$60,Keys!$C$51,INDEX(Balanced_2025!$D$9:$D$3032,MATCH($A725&amp;Keys!$C$54&amp;Keys!$C$56&amp;Keys!$C$54&amp;$C725,Balanced_2025!$E$9:$E$3032,0)))</f>
        <v>60102000000000</v>
      </c>
      <c r="I725" s="10">
        <f>IF($E725=Keys!$C$60,Keys!$C$51,INDEX(Balanced_2025!$D$9:$D$3032,MATCH($A725&amp;Keys!$C$54&amp;Keys!$C$57&amp;Keys!$C$54&amp;$C725,Balanced_2025!$E$9:$E$3032,0)))</f>
        <v>0</v>
      </c>
      <c r="J725" s="10">
        <f t="shared" si="44"/>
        <v>63147440000000</v>
      </c>
      <c r="K725" s="10">
        <f>MAX(Keys!$C$51,$I725-$H725)</f>
        <v>0</v>
      </c>
      <c r="L725" s="10">
        <f t="shared" si="45"/>
        <v>63147440000000</v>
      </c>
      <c r="M725" s="11">
        <f>IF($L725&gt;Keys!$C$51,MIN(Keys!$C$52,$K725/$L725),Keys!$C$51)</f>
        <v>0</v>
      </c>
      <c r="N725" s="11">
        <f>IF($E725=Keys!$C$60,Keys!$C$51,IF($E725=Keys!$C$59,$D725,$M725))</f>
        <v>0</v>
      </c>
      <c r="O725">
        <f t="shared" si="46"/>
        <v>1</v>
      </c>
      <c r="P725" s="10">
        <f>IF($E725=Keys!$C$60,Keys!$C$51,INDEX(Raw_BFPIaE!$G$9:$G$3032,MATCH($A725&amp;Keys!$C$54&amp;Keys!$C$55&amp;Keys!$C$54&amp;$B725,Raw_BFPIaE!$H$9:$H$3032,0)))</f>
        <v>3045440000000</v>
      </c>
      <c r="Q725" s="10">
        <f>IF($E725=Keys!$C$60,Keys!$C$51,INDEX(Raw_BFPIaE!$G$9:$G$3032,MATCH($A725&amp;Keys!$C$54&amp;Keys!$C$56&amp;Keys!$C$54&amp;$B725,Raw_BFPIaE!$H$9:$H$3032,0)))</f>
        <v>39105300000000</v>
      </c>
      <c r="R725" s="10">
        <f>IF($E725=Keys!$C$60,Keys!$C$51,INDEX(Raw_BFPIaE!$G$9:$G$3032,MATCH($A725&amp;Keys!$C$54&amp;Keys!$C$57&amp;Keys!$C$54&amp;$B725,Raw_BFPIaE!$H$9:$H$3032,0)))</f>
        <v>0</v>
      </c>
      <c r="S725" s="11">
        <f>IF(($P725+$Q725-$R725+MAX(Keys!$C$51,$R725-$Q725))&gt;Keys!$C$51,MIN(Keys!$C$52,MAX(Keys!$C$51,$R725-$Q725)/($P725+$Q725-$R725+MAX(Keys!$C$51,$R725-$Q725))),Keys!$C$51)</f>
        <v>0</v>
      </c>
      <c r="T725">
        <f>IF(AND($I725&gt;$H725,ABS($L725-$G725)&gt;MAX(Keys!$C$62,ABS($G725)*Keys!$C$63)),1,0)</f>
        <v>0</v>
      </c>
      <c r="U725">
        <f>IF(OR($N725&lt;Keys!$C$51,$N725&gt;Keys!$C$52),1,0)</f>
        <v>0</v>
      </c>
      <c r="V725">
        <f>IF(AND($E725=Keys!$C$60,$N725&lt;&gt;Keys!$C$51),1,0)</f>
        <v>0</v>
      </c>
      <c r="W725">
        <f>IF($L725&gt;Keys!$C$51,IF($K725/$L725&gt;Keys!$C$52,1,0),0)</f>
        <v>0</v>
      </c>
      <c r="X725" s="11">
        <f t="shared" si="47"/>
        <v>0</v>
      </c>
    </row>
    <row r="726" spans="1:24" x14ac:dyDescent="0.25">
      <c r="A726" t="s">
        <v>151</v>
      </c>
      <c r="B726" t="s">
        <v>85</v>
      </c>
      <c r="C726" t="str">
        <f>VLOOKUP($B726,Keys!$F$2:$I$22,2,FALSE)</f>
        <v>petroleum gasoline</v>
      </c>
      <c r="D726">
        <f>VLOOKUP($B726,Keys!$F$2:$I$22,3,FALSE)</f>
        <v>7.5004052000000002E-2</v>
      </c>
      <c r="E726" t="str">
        <f>VLOOKUP($B726,Keys!$F$2:$I$22,4,FALSE)</f>
        <v>rule</v>
      </c>
      <c r="F726" t="str">
        <f>$A726&amp;Keys!$C$54&amp;$B726</f>
        <v>OR|petroleum gasoline</v>
      </c>
      <c r="G726" s="10">
        <f>IF($E726=Keys!$C$60,Keys!$C$51,INDEX(Balanced_2025!$D$9:$D$3032,MATCH($A726&amp;Keys!$C$54&amp;Keys!$C$55&amp;Keys!$C$54&amp;$C726,Balanced_2025!$E$9:$E$3032,0)))</f>
        <v>0</v>
      </c>
      <c r="H726" s="10">
        <f>IF($E726=Keys!$C$60,Keys!$C$51,INDEX(Balanced_2025!$D$9:$D$3032,MATCH($A726&amp;Keys!$C$54&amp;Keys!$C$56&amp;Keys!$C$54&amp;$C726,Balanced_2025!$E$9:$E$3032,0)))</f>
        <v>149007000000000</v>
      </c>
      <c r="I726" s="10">
        <f>IF($E726=Keys!$C$60,Keys!$C$51,INDEX(Balanced_2025!$D$9:$D$3032,MATCH($A726&amp;Keys!$C$54&amp;Keys!$C$57&amp;Keys!$C$54&amp;$C726,Balanced_2025!$E$9:$E$3032,0)))</f>
        <v>0</v>
      </c>
      <c r="J726" s="10">
        <f t="shared" si="44"/>
        <v>149007000000000</v>
      </c>
      <c r="K726" s="10">
        <f>MAX(Keys!$C$51,$I726-$H726)</f>
        <v>0</v>
      </c>
      <c r="L726" s="10">
        <f t="shared" si="45"/>
        <v>149007000000000</v>
      </c>
      <c r="M726" s="11">
        <f>IF($L726&gt;Keys!$C$51,MIN(Keys!$C$52,$K726/$L726),Keys!$C$51)</f>
        <v>0</v>
      </c>
      <c r="N726" s="11">
        <f>IF($E726=Keys!$C$60,Keys!$C$51,IF($E726=Keys!$C$59,$D726,$M726))</f>
        <v>0</v>
      </c>
      <c r="O726">
        <f t="shared" si="46"/>
        <v>1</v>
      </c>
      <c r="P726" s="10">
        <f>IF($E726=Keys!$C$60,Keys!$C$51,INDEX(Raw_BFPIaE!$G$9:$G$3032,MATCH($A726&amp;Keys!$C$54&amp;Keys!$C$55&amp;Keys!$C$54&amp;$B726,Raw_BFPIaE!$H$9:$H$3032,0)))</f>
        <v>0</v>
      </c>
      <c r="Q726" s="10">
        <f>IF($E726=Keys!$C$60,Keys!$C$51,INDEX(Raw_BFPIaE!$G$9:$G$3032,MATCH($A726&amp;Keys!$C$54&amp;Keys!$C$56&amp;Keys!$C$54&amp;$B726,Raw_BFPIaE!$H$9:$H$3032,0)))</f>
        <v>93411666666666.672</v>
      </c>
      <c r="R726" s="10">
        <f>IF($E726=Keys!$C$60,Keys!$C$51,INDEX(Raw_BFPIaE!$G$9:$G$3032,MATCH($A726&amp;Keys!$C$54&amp;Keys!$C$57&amp;Keys!$C$54&amp;$B726,Raw_BFPIaE!$H$9:$H$3032,0)))</f>
        <v>0</v>
      </c>
      <c r="S726" s="11">
        <f>IF(($P726+$Q726-$R726+MAX(Keys!$C$51,$R726-$Q726))&gt;Keys!$C$51,MIN(Keys!$C$52,MAX(Keys!$C$51,$R726-$Q726)/($P726+$Q726-$R726+MAX(Keys!$C$51,$R726-$Q726))),Keys!$C$51)</f>
        <v>0</v>
      </c>
      <c r="T726">
        <f>IF(AND($I726&gt;$H726,ABS($L726-$G726)&gt;MAX(Keys!$C$62,ABS($G726)*Keys!$C$63)),1,0)</f>
        <v>0</v>
      </c>
      <c r="U726">
        <f>IF(OR($N726&lt;Keys!$C$51,$N726&gt;Keys!$C$52),1,0)</f>
        <v>0</v>
      </c>
      <c r="V726">
        <f>IF(AND($E726=Keys!$C$60,$N726&lt;&gt;Keys!$C$51),1,0)</f>
        <v>0</v>
      </c>
      <c r="W726">
        <f>IF($L726&gt;Keys!$C$51,IF($K726/$L726&gt;Keys!$C$52,1,0),0)</f>
        <v>0</v>
      </c>
      <c r="X726" s="11">
        <f t="shared" si="47"/>
        <v>0</v>
      </c>
    </row>
    <row r="727" spans="1:24" x14ac:dyDescent="0.25">
      <c r="A727" t="s">
        <v>151</v>
      </c>
      <c r="B727" t="s">
        <v>88</v>
      </c>
      <c r="C727" t="str">
        <f>VLOOKUP($B727,Keys!$F$2:$I$22,2,FALSE)</f>
        <v>petroleum diesel</v>
      </c>
      <c r="D727">
        <f>VLOOKUP($B727,Keys!$F$2:$I$22,3,FALSE)</f>
        <v>0.26691051799999999</v>
      </c>
      <c r="E727" t="str">
        <f>VLOOKUP($B727,Keys!$F$2:$I$22,4,FALSE)</f>
        <v>rule</v>
      </c>
      <c r="F727" t="str">
        <f>$A727&amp;Keys!$C$54&amp;$B727</f>
        <v>OR|petroleum diesel</v>
      </c>
      <c r="G727" s="10">
        <f>IF($E727=Keys!$C$60,Keys!$C$51,INDEX(Balanced_2025!$D$9:$D$3032,MATCH($A727&amp;Keys!$C$54&amp;Keys!$C$55&amp;Keys!$C$54&amp;$C727,Balanced_2025!$E$9:$E$3032,0)))</f>
        <v>0</v>
      </c>
      <c r="H727" s="10">
        <f>IF($E727=Keys!$C$60,Keys!$C$51,INDEX(Balanced_2025!$D$9:$D$3032,MATCH($A727&amp;Keys!$C$54&amp;Keys!$C$56&amp;Keys!$C$54&amp;$C727,Balanced_2025!$E$9:$E$3032,0)))</f>
        <v>101269000000000</v>
      </c>
      <c r="I727" s="10">
        <f>IF($E727=Keys!$C$60,Keys!$C$51,INDEX(Balanced_2025!$D$9:$D$3032,MATCH($A727&amp;Keys!$C$54&amp;Keys!$C$57&amp;Keys!$C$54&amp;$C727,Balanced_2025!$E$9:$E$3032,0)))</f>
        <v>0</v>
      </c>
      <c r="J727" s="10">
        <f t="shared" si="44"/>
        <v>101269000000000</v>
      </c>
      <c r="K727" s="10">
        <f>MAX(Keys!$C$51,$I727-$H727)</f>
        <v>0</v>
      </c>
      <c r="L727" s="10">
        <f t="shared" si="45"/>
        <v>101269000000000</v>
      </c>
      <c r="M727" s="11">
        <f>IF($L727&gt;Keys!$C$51,MIN(Keys!$C$52,$K727/$L727),Keys!$C$51)</f>
        <v>0</v>
      </c>
      <c r="N727" s="11">
        <f>IF($E727=Keys!$C$60,Keys!$C$51,IF($E727=Keys!$C$59,$D727,$M727))</f>
        <v>0</v>
      </c>
      <c r="O727">
        <f t="shared" si="46"/>
        <v>1</v>
      </c>
      <c r="P727" s="10">
        <f>IF($E727=Keys!$C$60,Keys!$C$51,INDEX(Raw_BFPIaE!$G$9:$G$3032,MATCH($A727&amp;Keys!$C$54&amp;Keys!$C$55&amp;Keys!$C$54&amp;$B727,Raw_BFPIaE!$H$9:$H$3032,0)))</f>
        <v>0</v>
      </c>
      <c r="Q727" s="10">
        <f>IF($E727=Keys!$C$60,Keys!$C$51,INDEX(Raw_BFPIaE!$G$9:$G$3032,MATCH($A727&amp;Keys!$C$54&amp;Keys!$C$56&amp;Keys!$C$54&amp;$B727,Raw_BFPIaE!$H$9:$H$3032,0)))</f>
        <v>65933700000000</v>
      </c>
      <c r="R727" s="10">
        <f>IF($E727=Keys!$C$60,Keys!$C$51,INDEX(Raw_BFPIaE!$G$9:$G$3032,MATCH($A727&amp;Keys!$C$54&amp;Keys!$C$57&amp;Keys!$C$54&amp;$B727,Raw_BFPIaE!$H$9:$H$3032,0)))</f>
        <v>0</v>
      </c>
      <c r="S727" s="11">
        <f>IF(($P727+$Q727-$R727+MAX(Keys!$C$51,$R727-$Q727))&gt;Keys!$C$51,MIN(Keys!$C$52,MAX(Keys!$C$51,$R727-$Q727)/($P727+$Q727-$R727+MAX(Keys!$C$51,$R727-$Q727))),Keys!$C$51)</f>
        <v>0</v>
      </c>
      <c r="T727">
        <f>IF(AND($I727&gt;$H727,ABS($L727-$G727)&gt;MAX(Keys!$C$62,ABS($G727)*Keys!$C$63)),1,0)</f>
        <v>0</v>
      </c>
      <c r="U727">
        <f>IF(OR($N727&lt;Keys!$C$51,$N727&gt;Keys!$C$52),1,0)</f>
        <v>0</v>
      </c>
      <c r="V727">
        <f>IF(AND($E727=Keys!$C$60,$N727&lt;&gt;Keys!$C$51),1,0)</f>
        <v>0</v>
      </c>
      <c r="W727">
        <f>IF($L727&gt;Keys!$C$51,IF($K727/$L727&gt;Keys!$C$52,1,0),0)</f>
        <v>0</v>
      </c>
      <c r="X727" s="11">
        <f t="shared" si="47"/>
        <v>0</v>
      </c>
    </row>
    <row r="728" spans="1:24" x14ac:dyDescent="0.25">
      <c r="A728" t="s">
        <v>151</v>
      </c>
      <c r="B728" t="s">
        <v>91</v>
      </c>
      <c r="C728" t="str">
        <f>VLOOKUP($B728,Keys!$F$2:$I$22,2,FALSE)</f>
        <v>biofuel gasoline</v>
      </c>
      <c r="D728">
        <f>VLOOKUP($B728,Keys!$F$2:$I$22,3,FALSE)</f>
        <v>8.7213884000000005E-2</v>
      </c>
      <c r="E728" t="str">
        <f>VLOOKUP($B728,Keys!$F$2:$I$22,4,FALSE)</f>
        <v>rule</v>
      </c>
      <c r="F728" t="str">
        <f>$A728&amp;Keys!$C$54&amp;$B728</f>
        <v>OR|biofuel gasoline</v>
      </c>
      <c r="G728" s="10">
        <f>IF($E728=Keys!$C$60,Keys!$C$51,INDEX(Balanced_2025!$D$9:$D$3032,MATCH($A728&amp;Keys!$C$54&amp;Keys!$C$55&amp;Keys!$C$54&amp;$C728,Balanced_2025!$E$9:$E$3032,0)))</f>
        <v>2245600000000</v>
      </c>
      <c r="H728" s="10">
        <f>IF($E728=Keys!$C$60,Keys!$C$51,INDEX(Balanced_2025!$D$9:$D$3032,MATCH($A728&amp;Keys!$C$54&amp;Keys!$C$56&amp;Keys!$C$54&amp;$C728,Balanced_2025!$E$9:$E$3032,0)))</f>
        <v>9627840000000</v>
      </c>
      <c r="I728" s="10">
        <f>IF($E728=Keys!$C$60,Keys!$C$51,INDEX(Balanced_2025!$D$9:$D$3032,MATCH($A728&amp;Keys!$C$54&amp;Keys!$C$57&amp;Keys!$C$54&amp;$C728,Balanced_2025!$E$9:$E$3032,0)))</f>
        <v>0</v>
      </c>
      <c r="J728" s="10">
        <f t="shared" si="44"/>
        <v>11873440000000</v>
      </c>
      <c r="K728" s="10">
        <f>MAX(Keys!$C$51,$I728-$H728)</f>
        <v>0</v>
      </c>
      <c r="L728" s="10">
        <f t="shared" si="45"/>
        <v>11873440000000</v>
      </c>
      <c r="M728" s="11">
        <f>IF($L728&gt;Keys!$C$51,MIN(Keys!$C$52,$K728/$L728),Keys!$C$51)</f>
        <v>0</v>
      </c>
      <c r="N728" s="11">
        <f>IF($E728=Keys!$C$60,Keys!$C$51,IF($E728=Keys!$C$59,$D728,$M728))</f>
        <v>0</v>
      </c>
      <c r="O728">
        <f t="shared" si="46"/>
        <v>1</v>
      </c>
      <c r="P728" s="10">
        <f>IF($E728=Keys!$C$60,Keys!$C$51,INDEX(Raw_BFPIaE!$G$9:$G$3032,MATCH($A728&amp;Keys!$C$54&amp;Keys!$C$55&amp;Keys!$C$54&amp;$B728,Raw_BFPIaE!$H$9:$H$3032,0)))</f>
        <v>2247706666666.6665</v>
      </c>
      <c r="Q728" s="10">
        <f>IF($E728=Keys!$C$60,Keys!$C$51,INDEX(Raw_BFPIaE!$G$9:$G$3032,MATCH($A728&amp;Keys!$C$54&amp;Keys!$C$56&amp;Keys!$C$54&amp;$B728,Raw_BFPIaE!$H$9:$H$3032,0)))</f>
        <v>6083096666666.667</v>
      </c>
      <c r="R728" s="10">
        <f>IF($E728=Keys!$C$60,Keys!$C$51,INDEX(Raw_BFPIaE!$G$9:$G$3032,MATCH($A728&amp;Keys!$C$54&amp;Keys!$C$57&amp;Keys!$C$54&amp;$B728,Raw_BFPIaE!$H$9:$H$3032,0)))</f>
        <v>0</v>
      </c>
      <c r="S728" s="11">
        <f>IF(($P728+$Q728-$R728+MAX(Keys!$C$51,$R728-$Q728))&gt;Keys!$C$51,MIN(Keys!$C$52,MAX(Keys!$C$51,$R728-$Q728)/($P728+$Q728-$R728+MAX(Keys!$C$51,$R728-$Q728))),Keys!$C$51)</f>
        <v>0</v>
      </c>
      <c r="T728">
        <f>IF(AND($I728&gt;$H728,ABS($L728-$G728)&gt;MAX(Keys!$C$62,ABS($G728)*Keys!$C$63)),1,0)</f>
        <v>0</v>
      </c>
      <c r="U728">
        <f>IF(OR($N728&lt;Keys!$C$51,$N728&gt;Keys!$C$52),1,0)</f>
        <v>0</v>
      </c>
      <c r="V728">
        <f>IF(AND($E728=Keys!$C$60,$N728&lt;&gt;Keys!$C$51),1,0)</f>
        <v>0</v>
      </c>
      <c r="W728">
        <f>IF($L728&gt;Keys!$C$51,IF($K728/$L728&gt;Keys!$C$52,1,0),0)</f>
        <v>0</v>
      </c>
      <c r="X728" s="11">
        <f t="shared" si="47"/>
        <v>0</v>
      </c>
    </row>
    <row r="729" spans="1:24" x14ac:dyDescent="0.25">
      <c r="A729" t="s">
        <v>151</v>
      </c>
      <c r="B729" t="s">
        <v>94</v>
      </c>
      <c r="C729" t="str">
        <f>VLOOKUP($B729,Keys!$F$2:$I$22,2,FALSE)</f>
        <v>biofuel diesel</v>
      </c>
      <c r="D729">
        <f>VLOOKUP($B729,Keys!$F$2:$I$22,3,FALSE)</f>
        <v>5.8642381E-2</v>
      </c>
      <c r="E729" t="str">
        <f>VLOOKUP($B729,Keys!$F$2:$I$22,4,FALSE)</f>
        <v>rule</v>
      </c>
      <c r="F729" t="str">
        <f>$A729&amp;Keys!$C$54&amp;$B729</f>
        <v>OR|biofuel diesel</v>
      </c>
      <c r="G729" s="10">
        <f>IF($E729=Keys!$C$60,Keys!$C$51,INDEX(Balanced_2025!$D$9:$D$3032,MATCH($A729&amp;Keys!$C$54&amp;Keys!$C$55&amp;Keys!$C$54&amp;$C729,Balanced_2025!$E$9:$E$3032,0)))</f>
        <v>291328000000</v>
      </c>
      <c r="H729" s="10">
        <f>IF($E729=Keys!$C$60,Keys!$C$51,INDEX(Balanced_2025!$D$9:$D$3032,MATCH($A729&amp;Keys!$C$54&amp;Keys!$C$56&amp;Keys!$C$54&amp;$C729,Balanced_2025!$E$9:$E$3032,0)))</f>
        <v>13688100000000</v>
      </c>
      <c r="I729" s="10">
        <f>IF($E729=Keys!$C$60,Keys!$C$51,INDEX(Balanced_2025!$D$9:$D$3032,MATCH($A729&amp;Keys!$C$54&amp;Keys!$C$57&amp;Keys!$C$54&amp;$C729,Balanced_2025!$E$9:$E$3032,0)))</f>
        <v>0</v>
      </c>
      <c r="J729" s="10">
        <f t="shared" si="44"/>
        <v>13979428000000</v>
      </c>
      <c r="K729" s="10">
        <f>MAX(Keys!$C$51,$I729-$H729)</f>
        <v>0</v>
      </c>
      <c r="L729" s="10">
        <f t="shared" si="45"/>
        <v>13979428000000</v>
      </c>
      <c r="M729" s="11">
        <f>IF($L729&gt;Keys!$C$51,MIN(Keys!$C$52,$K729/$L729),Keys!$C$51)</f>
        <v>0</v>
      </c>
      <c r="N729" s="11">
        <f>IF($E729=Keys!$C$60,Keys!$C$51,IF($E729=Keys!$C$59,$D729,$M729))</f>
        <v>0</v>
      </c>
      <c r="O729">
        <f t="shared" si="46"/>
        <v>1</v>
      </c>
      <c r="P729" s="10">
        <f>IF($E729=Keys!$C$60,Keys!$C$51,INDEX(Raw_BFPIaE!$G$9:$G$3032,MATCH($A729&amp;Keys!$C$54&amp;Keys!$C$55&amp;Keys!$C$54&amp;$B729,Raw_BFPIaE!$H$9:$H$3032,0)))</f>
        <v>309571333333.33331</v>
      </c>
      <c r="Q729" s="10">
        <f>IF($E729=Keys!$C$60,Keys!$C$51,INDEX(Raw_BFPIaE!$G$9:$G$3032,MATCH($A729&amp;Keys!$C$54&amp;Keys!$C$56&amp;Keys!$C$54&amp;$B729,Raw_BFPIaE!$H$9:$H$3032,0)))</f>
        <v>9630966666666.666</v>
      </c>
      <c r="R729" s="10">
        <f>IF($E729=Keys!$C$60,Keys!$C$51,INDEX(Raw_BFPIaE!$G$9:$G$3032,MATCH($A729&amp;Keys!$C$54&amp;Keys!$C$57&amp;Keys!$C$54&amp;$B729,Raw_BFPIaE!$H$9:$H$3032,0)))</f>
        <v>0</v>
      </c>
      <c r="S729" s="11">
        <f>IF(($P729+$Q729-$R729+MAX(Keys!$C$51,$R729-$Q729))&gt;Keys!$C$51,MIN(Keys!$C$52,MAX(Keys!$C$51,$R729-$Q729)/($P729+$Q729-$R729+MAX(Keys!$C$51,$R729-$Q729))),Keys!$C$51)</f>
        <v>0</v>
      </c>
      <c r="T729">
        <f>IF(AND($I729&gt;$H729,ABS($L729-$G729)&gt;MAX(Keys!$C$62,ABS($G729)*Keys!$C$63)),1,0)</f>
        <v>0</v>
      </c>
      <c r="U729">
        <f>IF(OR($N729&lt;Keys!$C$51,$N729&gt;Keys!$C$52),1,0)</f>
        <v>0</v>
      </c>
      <c r="V729">
        <f>IF(AND($E729=Keys!$C$60,$N729&lt;&gt;Keys!$C$51),1,0)</f>
        <v>0</v>
      </c>
      <c r="W729">
        <f>IF($L729&gt;Keys!$C$51,IF($K729/$L729&gt;Keys!$C$52,1,0),0)</f>
        <v>0</v>
      </c>
      <c r="X729" s="11">
        <f t="shared" si="47"/>
        <v>0</v>
      </c>
    </row>
    <row r="730" spans="1:24" x14ac:dyDescent="0.25">
      <c r="A730" t="s">
        <v>151</v>
      </c>
      <c r="B730" t="s">
        <v>97</v>
      </c>
      <c r="C730" t="str">
        <f>VLOOKUP($B730,Keys!$F$2:$I$22,2,FALSE)</f>
        <v>jet fuel or kerosene</v>
      </c>
      <c r="D730">
        <f>VLOOKUP($B730,Keys!$F$2:$I$22,3,FALSE)</f>
        <v>0.10155994</v>
      </c>
      <c r="E730" t="str">
        <f>VLOOKUP($B730,Keys!$F$2:$I$22,4,FALSE)</f>
        <v>rule</v>
      </c>
      <c r="F730" t="str">
        <f>$A730&amp;Keys!$C$54&amp;$B730</f>
        <v>OR|jet fuel or kerosene</v>
      </c>
      <c r="G730" s="10">
        <f>IF($E730=Keys!$C$60,Keys!$C$51,INDEX(Balanced_2025!$D$9:$D$3032,MATCH($A730&amp;Keys!$C$54&amp;Keys!$C$55&amp;Keys!$C$54&amp;$C730,Balanced_2025!$E$9:$E$3032,0)))</f>
        <v>0</v>
      </c>
      <c r="H730" s="10">
        <f>IF($E730=Keys!$C$60,Keys!$C$51,INDEX(Balanced_2025!$D$9:$D$3032,MATCH($A730&amp;Keys!$C$54&amp;Keys!$C$56&amp;Keys!$C$54&amp;$C730,Balanced_2025!$E$9:$E$3032,0)))</f>
        <v>32503200000000</v>
      </c>
      <c r="I730" s="10">
        <f>IF($E730=Keys!$C$60,Keys!$C$51,INDEX(Balanced_2025!$D$9:$D$3032,MATCH($A730&amp;Keys!$C$54&amp;Keys!$C$57&amp;Keys!$C$54&amp;$C730,Balanced_2025!$E$9:$E$3032,0)))</f>
        <v>0</v>
      </c>
      <c r="J730" s="10">
        <f t="shared" si="44"/>
        <v>32503200000000</v>
      </c>
      <c r="K730" s="10">
        <f>MAX(Keys!$C$51,$I730-$H730)</f>
        <v>0</v>
      </c>
      <c r="L730" s="10">
        <f t="shared" si="45"/>
        <v>32503200000000</v>
      </c>
      <c r="M730" s="11">
        <f>IF($L730&gt;Keys!$C$51,MIN(Keys!$C$52,$K730/$L730),Keys!$C$51)</f>
        <v>0</v>
      </c>
      <c r="N730" s="11">
        <f>IF($E730=Keys!$C$60,Keys!$C$51,IF($E730=Keys!$C$59,$D730,$M730))</f>
        <v>0</v>
      </c>
      <c r="O730">
        <f t="shared" si="46"/>
        <v>1</v>
      </c>
      <c r="P730" s="10">
        <f>IF($E730=Keys!$C$60,Keys!$C$51,INDEX(Raw_BFPIaE!$G$9:$G$3032,MATCH($A730&amp;Keys!$C$54&amp;Keys!$C$55&amp;Keys!$C$54&amp;$B730,Raw_BFPIaE!$H$9:$H$3032,0)))</f>
        <v>0</v>
      </c>
      <c r="Q730" s="10">
        <f>IF($E730=Keys!$C$60,Keys!$C$51,INDEX(Raw_BFPIaE!$G$9:$G$3032,MATCH($A730&amp;Keys!$C$54&amp;Keys!$C$56&amp;Keys!$C$54&amp;$B730,Raw_BFPIaE!$H$9:$H$3032,0)))</f>
        <v>22085200000000</v>
      </c>
      <c r="R730" s="10">
        <f>IF($E730=Keys!$C$60,Keys!$C$51,INDEX(Raw_BFPIaE!$G$9:$G$3032,MATCH($A730&amp;Keys!$C$54&amp;Keys!$C$57&amp;Keys!$C$54&amp;$B730,Raw_BFPIaE!$H$9:$H$3032,0)))</f>
        <v>0</v>
      </c>
      <c r="S730" s="11">
        <f>IF(($P730+$Q730-$R730+MAX(Keys!$C$51,$R730-$Q730))&gt;Keys!$C$51,MIN(Keys!$C$52,MAX(Keys!$C$51,$R730-$Q730)/($P730+$Q730-$R730+MAX(Keys!$C$51,$R730-$Q730))),Keys!$C$51)</f>
        <v>0</v>
      </c>
      <c r="T730">
        <f>IF(AND($I730&gt;$H730,ABS($L730-$G730)&gt;MAX(Keys!$C$62,ABS($G730)*Keys!$C$63)),1,0)</f>
        <v>0</v>
      </c>
      <c r="U730">
        <f>IF(OR($N730&lt;Keys!$C$51,$N730&gt;Keys!$C$52),1,0)</f>
        <v>0</v>
      </c>
      <c r="V730">
        <f>IF(AND($E730=Keys!$C$60,$N730&lt;&gt;Keys!$C$51),1,0)</f>
        <v>0</v>
      </c>
      <c r="W730">
        <f>IF($L730&gt;Keys!$C$51,IF($K730/$L730&gt;Keys!$C$52,1,0),0)</f>
        <v>0</v>
      </c>
      <c r="X730" s="11">
        <f t="shared" si="47"/>
        <v>0</v>
      </c>
    </row>
    <row r="731" spans="1:24" x14ac:dyDescent="0.25">
      <c r="A731" t="s">
        <v>151</v>
      </c>
      <c r="B731" t="s">
        <v>100</v>
      </c>
      <c r="C731">
        <f>VLOOKUP($B731,Keys!$F$2:$I$22,2,FALSE)</f>
        <v>0</v>
      </c>
      <c r="D731">
        <f>VLOOKUP($B731,Keys!$F$2:$I$22,3,FALSE)</f>
        <v>0</v>
      </c>
      <c r="E731" t="str">
        <f>VLOOKUP($B731,Keys!$F$2:$I$22,4,FALSE)</f>
        <v>zero</v>
      </c>
      <c r="F731" t="str">
        <f>$A731&amp;Keys!$C$54&amp;$B731</f>
        <v>OR|heat (not used in this variable)</v>
      </c>
      <c r="G731" s="10">
        <f>IF($E731=Keys!$C$60,Keys!$C$51,INDEX(Balanced_2025!$D$9:$D$3032,MATCH($A731&amp;Keys!$C$54&amp;Keys!$C$55&amp;Keys!$C$54&amp;$C731,Balanced_2025!$E$9:$E$3032,0)))</f>
        <v>0</v>
      </c>
      <c r="H731" s="10">
        <f>IF($E731=Keys!$C$60,Keys!$C$51,INDEX(Balanced_2025!$D$9:$D$3032,MATCH($A731&amp;Keys!$C$54&amp;Keys!$C$56&amp;Keys!$C$54&amp;$C731,Balanced_2025!$E$9:$E$3032,0)))</f>
        <v>0</v>
      </c>
      <c r="I731" s="10">
        <f>IF($E731=Keys!$C$60,Keys!$C$51,INDEX(Balanced_2025!$D$9:$D$3032,MATCH($A731&amp;Keys!$C$54&amp;Keys!$C$57&amp;Keys!$C$54&amp;$C731,Balanced_2025!$E$9:$E$3032,0)))</f>
        <v>0</v>
      </c>
      <c r="J731" s="10">
        <f t="shared" si="44"/>
        <v>0</v>
      </c>
      <c r="K731" s="10">
        <f>MAX(Keys!$C$51,$I731-$H731)</f>
        <v>0</v>
      </c>
      <c r="L731" s="10">
        <f t="shared" si="45"/>
        <v>0</v>
      </c>
      <c r="M731" s="11">
        <f>IF($L731&gt;Keys!$C$51,MIN(Keys!$C$52,$K731/$L731),Keys!$C$51)</f>
        <v>0</v>
      </c>
      <c r="N731" s="11">
        <f>IF($E731=Keys!$C$60,Keys!$C$51,IF($E731=Keys!$C$59,$D731,$M731))</f>
        <v>0</v>
      </c>
      <c r="O731">
        <f t="shared" si="46"/>
        <v>0</v>
      </c>
      <c r="P731" s="10">
        <f>IF($E731=Keys!$C$60,Keys!$C$51,INDEX(Raw_BFPIaE!$G$9:$G$3032,MATCH($A731&amp;Keys!$C$54&amp;Keys!$C$55&amp;Keys!$C$54&amp;$B731,Raw_BFPIaE!$H$9:$H$3032,0)))</f>
        <v>0</v>
      </c>
      <c r="Q731" s="10">
        <f>IF($E731=Keys!$C$60,Keys!$C$51,INDEX(Raw_BFPIaE!$G$9:$G$3032,MATCH($A731&amp;Keys!$C$54&amp;Keys!$C$56&amp;Keys!$C$54&amp;$B731,Raw_BFPIaE!$H$9:$H$3032,0)))</f>
        <v>0</v>
      </c>
      <c r="R731" s="10">
        <f>IF($E731=Keys!$C$60,Keys!$C$51,INDEX(Raw_BFPIaE!$G$9:$G$3032,MATCH($A731&amp;Keys!$C$54&amp;Keys!$C$57&amp;Keys!$C$54&amp;$B731,Raw_BFPIaE!$H$9:$H$3032,0)))</f>
        <v>0</v>
      </c>
      <c r="S731" s="11">
        <f>IF(($P731+$Q731-$R731+MAX(Keys!$C$51,$R731-$Q731))&gt;Keys!$C$51,MIN(Keys!$C$52,MAX(Keys!$C$51,$R731-$Q731)/($P731+$Q731-$R731+MAX(Keys!$C$51,$R731-$Q731))),Keys!$C$51)</f>
        <v>0</v>
      </c>
      <c r="T731">
        <f>IF(AND($I731&gt;$H731,ABS($L731-$G731)&gt;MAX(Keys!$C$62,ABS($G731)*Keys!$C$63)),1,0)</f>
        <v>0</v>
      </c>
      <c r="U731">
        <f>IF(OR($N731&lt;Keys!$C$51,$N731&gt;Keys!$C$52),1,0)</f>
        <v>0</v>
      </c>
      <c r="V731">
        <f>IF(AND($E731=Keys!$C$60,$N731&lt;&gt;Keys!$C$51),1,0)</f>
        <v>0</v>
      </c>
      <c r="W731">
        <f>IF($L731&gt;Keys!$C$51,IF($K731/$L731&gt;Keys!$C$52,1,0),0)</f>
        <v>0</v>
      </c>
      <c r="X731" s="11">
        <f t="shared" si="47"/>
        <v>0</v>
      </c>
    </row>
    <row r="732" spans="1:24" x14ac:dyDescent="0.25">
      <c r="A732" t="s">
        <v>151</v>
      </c>
      <c r="B732" t="s">
        <v>103</v>
      </c>
      <c r="C732">
        <f>VLOOKUP($B732,Keys!$F$2:$I$22,2,FALSE)</f>
        <v>0</v>
      </c>
      <c r="D732">
        <f>VLOOKUP($B732,Keys!$F$2:$I$22,3,FALSE)</f>
        <v>0</v>
      </c>
      <c r="E732" t="str">
        <f>VLOOKUP($B732,Keys!$F$2:$I$22,4,FALSE)</f>
        <v>zero</v>
      </c>
      <c r="F732" t="str">
        <f>$A732&amp;Keys!$C$54&amp;$B732</f>
        <v>OR|geothermal (is not a fuel)</v>
      </c>
      <c r="G732" s="10">
        <f>IF($E732=Keys!$C$60,Keys!$C$51,INDEX(Balanced_2025!$D$9:$D$3032,MATCH($A732&amp;Keys!$C$54&amp;Keys!$C$55&amp;Keys!$C$54&amp;$C732,Balanced_2025!$E$9:$E$3032,0)))</f>
        <v>0</v>
      </c>
      <c r="H732" s="10">
        <f>IF($E732=Keys!$C$60,Keys!$C$51,INDEX(Balanced_2025!$D$9:$D$3032,MATCH($A732&amp;Keys!$C$54&amp;Keys!$C$56&amp;Keys!$C$54&amp;$C732,Balanced_2025!$E$9:$E$3032,0)))</f>
        <v>0</v>
      </c>
      <c r="I732" s="10">
        <f>IF($E732=Keys!$C$60,Keys!$C$51,INDEX(Balanced_2025!$D$9:$D$3032,MATCH($A732&amp;Keys!$C$54&amp;Keys!$C$57&amp;Keys!$C$54&amp;$C732,Balanced_2025!$E$9:$E$3032,0)))</f>
        <v>0</v>
      </c>
      <c r="J732" s="10">
        <f t="shared" si="44"/>
        <v>0</v>
      </c>
      <c r="K732" s="10">
        <f>MAX(Keys!$C$51,$I732-$H732)</f>
        <v>0</v>
      </c>
      <c r="L732" s="10">
        <f t="shared" si="45"/>
        <v>0</v>
      </c>
      <c r="M732" s="11">
        <f>IF($L732&gt;Keys!$C$51,MIN(Keys!$C$52,$K732/$L732),Keys!$C$51)</f>
        <v>0</v>
      </c>
      <c r="N732" s="11">
        <f>IF($E732=Keys!$C$60,Keys!$C$51,IF($E732=Keys!$C$59,$D732,$M732))</f>
        <v>0</v>
      </c>
      <c r="O732">
        <f t="shared" si="46"/>
        <v>0</v>
      </c>
      <c r="P732" s="10">
        <f>IF($E732=Keys!$C$60,Keys!$C$51,INDEX(Raw_BFPIaE!$G$9:$G$3032,MATCH($A732&amp;Keys!$C$54&amp;Keys!$C$55&amp;Keys!$C$54&amp;$B732,Raw_BFPIaE!$H$9:$H$3032,0)))</f>
        <v>0</v>
      </c>
      <c r="Q732" s="10">
        <f>IF($E732=Keys!$C$60,Keys!$C$51,INDEX(Raw_BFPIaE!$G$9:$G$3032,MATCH($A732&amp;Keys!$C$54&amp;Keys!$C$56&amp;Keys!$C$54&amp;$B732,Raw_BFPIaE!$H$9:$H$3032,0)))</f>
        <v>0</v>
      </c>
      <c r="R732" s="10">
        <f>IF($E732=Keys!$C$60,Keys!$C$51,INDEX(Raw_BFPIaE!$G$9:$G$3032,MATCH($A732&amp;Keys!$C$54&amp;Keys!$C$57&amp;Keys!$C$54&amp;$B732,Raw_BFPIaE!$H$9:$H$3032,0)))</f>
        <v>0</v>
      </c>
      <c r="S732" s="11">
        <f>IF(($P732+$Q732-$R732+MAX(Keys!$C$51,$R732-$Q732))&gt;Keys!$C$51,MIN(Keys!$C$52,MAX(Keys!$C$51,$R732-$Q732)/($P732+$Q732-$R732+MAX(Keys!$C$51,$R732-$Q732))),Keys!$C$51)</f>
        <v>0</v>
      </c>
      <c r="T732">
        <f>IF(AND($I732&gt;$H732,ABS($L732-$G732)&gt;MAX(Keys!$C$62,ABS($G732)*Keys!$C$63)),1,0)</f>
        <v>0</v>
      </c>
      <c r="U732">
        <f>IF(OR($N732&lt;Keys!$C$51,$N732&gt;Keys!$C$52),1,0)</f>
        <v>0</v>
      </c>
      <c r="V732">
        <f>IF(AND($E732=Keys!$C$60,$N732&lt;&gt;Keys!$C$51),1,0)</f>
        <v>0</v>
      </c>
      <c r="W732">
        <f>IF($L732&gt;Keys!$C$51,IF($K732/$L732&gt;Keys!$C$52,1,0),0)</f>
        <v>0</v>
      </c>
      <c r="X732" s="11">
        <f t="shared" si="47"/>
        <v>0</v>
      </c>
    </row>
    <row r="733" spans="1:24" x14ac:dyDescent="0.25">
      <c r="A733" t="s">
        <v>151</v>
      </c>
      <c r="B733" t="s">
        <v>106</v>
      </c>
      <c r="C733" t="str">
        <f>VLOOKUP($B733,Keys!$F$2:$I$22,2,FALSE)</f>
        <v>lignite</v>
      </c>
      <c r="D733">
        <f>VLOOKUP($B733,Keys!$F$2:$I$22,3,FALSE)</f>
        <v>0</v>
      </c>
      <c r="E733" t="str">
        <f>VLOOKUP($B733,Keys!$F$2:$I$22,4,FALSE)</f>
        <v>rule</v>
      </c>
      <c r="F733" t="str">
        <f>$A733&amp;Keys!$C$54&amp;$B733</f>
        <v>OR|lignite</v>
      </c>
      <c r="G733" s="10">
        <f>IF($E733=Keys!$C$60,Keys!$C$51,INDEX(Balanced_2025!$D$9:$D$3032,MATCH($A733&amp;Keys!$C$54&amp;Keys!$C$55&amp;Keys!$C$54&amp;$C733,Balanced_2025!$E$9:$E$3032,0)))</f>
        <v>0</v>
      </c>
      <c r="H733" s="10">
        <f>IF($E733=Keys!$C$60,Keys!$C$51,INDEX(Balanced_2025!$D$9:$D$3032,MATCH($A733&amp;Keys!$C$54&amp;Keys!$C$56&amp;Keys!$C$54&amp;$C733,Balanced_2025!$E$9:$E$3032,0)))</f>
        <v>0</v>
      </c>
      <c r="I733" s="10">
        <f>IF($E733=Keys!$C$60,Keys!$C$51,INDEX(Balanced_2025!$D$9:$D$3032,MATCH($A733&amp;Keys!$C$54&amp;Keys!$C$57&amp;Keys!$C$54&amp;$C733,Balanced_2025!$E$9:$E$3032,0)))</f>
        <v>0</v>
      </c>
      <c r="J733" s="10">
        <f t="shared" si="44"/>
        <v>0</v>
      </c>
      <c r="K733" s="10">
        <f>MAX(Keys!$C$51,$I733-$H733)</f>
        <v>0</v>
      </c>
      <c r="L733" s="10">
        <f t="shared" si="45"/>
        <v>0</v>
      </c>
      <c r="M733" s="11">
        <f>IF($L733&gt;Keys!$C$51,MIN(Keys!$C$52,$K733/$L733),Keys!$C$51)</f>
        <v>0</v>
      </c>
      <c r="N733" s="11">
        <f>IF($E733=Keys!$C$60,Keys!$C$51,IF($E733=Keys!$C$59,$D733,$M733))</f>
        <v>0</v>
      </c>
      <c r="O733">
        <f t="shared" si="46"/>
        <v>0</v>
      </c>
      <c r="P733" s="10">
        <f>IF($E733=Keys!$C$60,Keys!$C$51,INDEX(Raw_BFPIaE!$G$9:$G$3032,MATCH($A733&amp;Keys!$C$54&amp;Keys!$C$55&amp;Keys!$C$54&amp;$B733,Raw_BFPIaE!$H$9:$H$3032,0)))</f>
        <v>0</v>
      </c>
      <c r="Q733" s="10">
        <f>IF($E733=Keys!$C$60,Keys!$C$51,INDEX(Raw_BFPIaE!$G$9:$G$3032,MATCH($A733&amp;Keys!$C$54&amp;Keys!$C$56&amp;Keys!$C$54&amp;$B733,Raw_BFPIaE!$H$9:$H$3032,0)))</f>
        <v>0</v>
      </c>
      <c r="R733" s="10">
        <f>IF($E733=Keys!$C$60,Keys!$C$51,INDEX(Raw_BFPIaE!$G$9:$G$3032,MATCH($A733&amp;Keys!$C$54&amp;Keys!$C$57&amp;Keys!$C$54&amp;$B733,Raw_BFPIaE!$H$9:$H$3032,0)))</f>
        <v>0</v>
      </c>
      <c r="S733" s="11">
        <f>IF(($P733+$Q733-$R733+MAX(Keys!$C$51,$R733-$Q733))&gt;Keys!$C$51,MIN(Keys!$C$52,MAX(Keys!$C$51,$R733-$Q733)/($P733+$Q733-$R733+MAX(Keys!$C$51,$R733-$Q733))),Keys!$C$51)</f>
        <v>0</v>
      </c>
      <c r="T733">
        <f>IF(AND($I733&gt;$H733,ABS($L733-$G733)&gt;MAX(Keys!$C$62,ABS($G733)*Keys!$C$63)),1,0)</f>
        <v>0</v>
      </c>
      <c r="U733">
        <f>IF(OR($N733&lt;Keys!$C$51,$N733&gt;Keys!$C$52),1,0)</f>
        <v>0</v>
      </c>
      <c r="V733">
        <f>IF(AND($E733=Keys!$C$60,$N733&lt;&gt;Keys!$C$51),1,0)</f>
        <v>0</v>
      </c>
      <c r="W733">
        <f>IF($L733&gt;Keys!$C$51,IF($K733/$L733&gt;Keys!$C$52,1,0),0)</f>
        <v>0</v>
      </c>
      <c r="X733" s="11">
        <f t="shared" si="47"/>
        <v>0</v>
      </c>
    </row>
    <row r="734" spans="1:24" x14ac:dyDescent="0.25">
      <c r="A734" t="s">
        <v>151</v>
      </c>
      <c r="B734" t="s">
        <v>109</v>
      </c>
      <c r="C734" t="str">
        <f>VLOOKUP($B734,Keys!$F$2:$I$22,2,FALSE)</f>
        <v>crude oil</v>
      </c>
      <c r="D734">
        <f>VLOOKUP($B734,Keys!$F$2:$I$22,3,FALSE)</f>
        <v>1</v>
      </c>
      <c r="E734" t="str">
        <f>VLOOKUP($B734,Keys!$F$2:$I$22,4,FALSE)</f>
        <v>hold</v>
      </c>
      <c r="F734" t="str">
        <f>$A734&amp;Keys!$C$54&amp;$B734</f>
        <v>OR|crude oil</v>
      </c>
      <c r="G734" s="10">
        <f>IF($E734=Keys!$C$60,Keys!$C$51,INDEX(Balanced_2025!$D$9:$D$3032,MATCH($A734&amp;Keys!$C$54&amp;Keys!$C$55&amp;Keys!$C$54&amp;$C734,Balanced_2025!$E$9:$E$3032,0)))</f>
        <v>0</v>
      </c>
      <c r="H734" s="10">
        <f>IF($E734=Keys!$C$60,Keys!$C$51,INDEX(Balanced_2025!$D$9:$D$3032,MATCH($A734&amp;Keys!$C$54&amp;Keys!$C$56&amp;Keys!$C$54&amp;$C734,Balanced_2025!$E$9:$E$3032,0)))</f>
        <v>766000000000</v>
      </c>
      <c r="I734" s="10">
        <f>IF($E734=Keys!$C$60,Keys!$C$51,INDEX(Balanced_2025!$D$9:$D$3032,MATCH($A734&amp;Keys!$C$54&amp;Keys!$C$57&amp;Keys!$C$54&amp;$C734,Balanced_2025!$E$9:$E$3032,0)))</f>
        <v>0</v>
      </c>
      <c r="J734" s="10">
        <f t="shared" si="44"/>
        <v>766000000000</v>
      </c>
      <c r="K734" s="10">
        <f>MAX(Keys!$C$51,$I734-$H734)</f>
        <v>0</v>
      </c>
      <c r="L734" s="10">
        <f t="shared" si="45"/>
        <v>766000000000</v>
      </c>
      <c r="M734" s="11">
        <f>IF($L734&gt;Keys!$C$51,MIN(Keys!$C$52,$K734/$L734),Keys!$C$51)</f>
        <v>0</v>
      </c>
      <c r="N734" s="11">
        <f>IF($E734=Keys!$C$60,Keys!$C$51,IF($E734=Keys!$C$59,$D734,$M734))</f>
        <v>1</v>
      </c>
      <c r="O734">
        <f t="shared" si="46"/>
        <v>0</v>
      </c>
      <c r="P734" s="10">
        <f>IF($E734=Keys!$C$60,Keys!$C$51,INDEX(Raw_BFPIaE!$G$9:$G$3032,MATCH($A734&amp;Keys!$C$54&amp;Keys!$C$55&amp;Keys!$C$54&amp;$B734,Raw_BFPIaE!$H$9:$H$3032,0)))</f>
        <v>0</v>
      </c>
      <c r="Q734" s="10">
        <f>IF($E734=Keys!$C$60,Keys!$C$51,INDEX(Raw_BFPIaE!$G$9:$G$3032,MATCH($A734&amp;Keys!$C$54&amp;Keys!$C$56&amp;Keys!$C$54&amp;$B734,Raw_BFPIaE!$H$9:$H$3032,0)))</f>
        <v>510666666666.66669</v>
      </c>
      <c r="R734" s="10">
        <f>IF($E734=Keys!$C$60,Keys!$C$51,INDEX(Raw_BFPIaE!$G$9:$G$3032,MATCH($A734&amp;Keys!$C$54&amp;Keys!$C$57&amp;Keys!$C$54&amp;$B734,Raw_BFPIaE!$H$9:$H$3032,0)))</f>
        <v>0</v>
      </c>
      <c r="S734" s="11">
        <f>IF(($P734+$Q734-$R734+MAX(Keys!$C$51,$R734-$Q734))&gt;Keys!$C$51,MIN(Keys!$C$52,MAX(Keys!$C$51,$R734-$Q734)/($P734+$Q734-$R734+MAX(Keys!$C$51,$R734-$Q734))),Keys!$C$51)</f>
        <v>0</v>
      </c>
      <c r="T734">
        <f>IF(AND($I734&gt;$H734,ABS($L734-$G734)&gt;MAX(Keys!$C$62,ABS($G734)*Keys!$C$63)),1,0)</f>
        <v>0</v>
      </c>
      <c r="U734">
        <f>IF(OR($N734&lt;Keys!$C$51,$N734&gt;Keys!$C$52),1,0)</f>
        <v>0</v>
      </c>
      <c r="V734">
        <f>IF(AND($E734=Keys!$C$60,$N734&lt;&gt;Keys!$C$51),1,0)</f>
        <v>0</v>
      </c>
      <c r="W734">
        <f>IF($L734&gt;Keys!$C$51,IF($K734/$L734&gt;Keys!$C$52,1,0),0)</f>
        <v>0</v>
      </c>
      <c r="X734" s="11">
        <f t="shared" si="47"/>
        <v>0</v>
      </c>
    </row>
    <row r="735" spans="1:24" x14ac:dyDescent="0.25">
      <c r="A735" t="s">
        <v>151</v>
      </c>
      <c r="B735" t="s">
        <v>113</v>
      </c>
      <c r="C735" t="str">
        <f>VLOOKUP($B735,Keys!$F$2:$I$22,2,FALSE)</f>
        <v>heavy or residual fuel oil</v>
      </c>
      <c r="D735">
        <f>VLOOKUP($B735,Keys!$F$2:$I$22,3,FALSE)</f>
        <v>0.49914171099999999</v>
      </c>
      <c r="E735" t="str">
        <f>VLOOKUP($B735,Keys!$F$2:$I$22,4,FALSE)</f>
        <v>rule</v>
      </c>
      <c r="F735" t="str">
        <f>$A735&amp;Keys!$C$54&amp;$B735</f>
        <v>OR|heavy fuel oil</v>
      </c>
      <c r="G735" s="10">
        <f>IF($E735=Keys!$C$60,Keys!$C$51,INDEX(Balanced_2025!$D$9:$D$3032,MATCH($A735&amp;Keys!$C$54&amp;Keys!$C$55&amp;Keys!$C$54&amp;$C735,Balanced_2025!$E$9:$E$3032,0)))</f>
        <v>0</v>
      </c>
      <c r="H735" s="10">
        <f>IF($E735=Keys!$C$60,Keys!$C$51,INDEX(Balanced_2025!$D$9:$D$3032,MATCH($A735&amp;Keys!$C$54&amp;Keys!$C$56&amp;Keys!$C$54&amp;$C735,Balanced_2025!$E$9:$E$3032,0)))</f>
        <v>11312400000000</v>
      </c>
      <c r="I735" s="10">
        <f>IF($E735=Keys!$C$60,Keys!$C$51,INDEX(Balanced_2025!$D$9:$D$3032,MATCH($A735&amp;Keys!$C$54&amp;Keys!$C$57&amp;Keys!$C$54&amp;$C735,Balanced_2025!$E$9:$E$3032,0)))</f>
        <v>0</v>
      </c>
      <c r="J735" s="10">
        <f t="shared" si="44"/>
        <v>11312400000000</v>
      </c>
      <c r="K735" s="10">
        <f>MAX(Keys!$C$51,$I735-$H735)</f>
        <v>0</v>
      </c>
      <c r="L735" s="10">
        <f t="shared" si="45"/>
        <v>11312400000000</v>
      </c>
      <c r="M735" s="11">
        <f>IF($L735&gt;Keys!$C$51,MIN(Keys!$C$52,$K735/$L735),Keys!$C$51)</f>
        <v>0</v>
      </c>
      <c r="N735" s="11">
        <f>IF($E735=Keys!$C$60,Keys!$C$51,IF($E735=Keys!$C$59,$D735,$M735))</f>
        <v>0</v>
      </c>
      <c r="O735">
        <f t="shared" si="46"/>
        <v>1</v>
      </c>
      <c r="P735" s="10">
        <f>IF($E735=Keys!$C$60,Keys!$C$51,INDEX(Raw_BFPIaE!$G$9:$G$3032,MATCH($A735&amp;Keys!$C$54&amp;Keys!$C$55&amp;Keys!$C$54&amp;$B735,Raw_BFPIaE!$H$9:$H$3032,0)))</f>
        <v>0</v>
      </c>
      <c r="Q735" s="10">
        <f>IF($E735=Keys!$C$60,Keys!$C$51,INDEX(Raw_BFPIaE!$G$9:$G$3032,MATCH($A735&amp;Keys!$C$54&amp;Keys!$C$56&amp;Keys!$C$54&amp;$B735,Raw_BFPIaE!$H$9:$H$3032,0)))</f>
        <v>7620333333333.333</v>
      </c>
      <c r="R735" s="10">
        <f>IF($E735=Keys!$C$60,Keys!$C$51,INDEX(Raw_BFPIaE!$G$9:$G$3032,MATCH($A735&amp;Keys!$C$54&amp;Keys!$C$57&amp;Keys!$C$54&amp;$B735,Raw_BFPIaE!$H$9:$H$3032,0)))</f>
        <v>0</v>
      </c>
      <c r="S735" s="11">
        <f>IF(($P735+$Q735-$R735+MAX(Keys!$C$51,$R735-$Q735))&gt;Keys!$C$51,MIN(Keys!$C$52,MAX(Keys!$C$51,$R735-$Q735)/($P735+$Q735-$R735+MAX(Keys!$C$51,$R735-$Q735))),Keys!$C$51)</f>
        <v>0</v>
      </c>
      <c r="T735">
        <f>IF(AND($I735&gt;$H735,ABS($L735-$G735)&gt;MAX(Keys!$C$62,ABS($G735)*Keys!$C$63)),1,0)</f>
        <v>0</v>
      </c>
      <c r="U735">
        <f>IF(OR($N735&lt;Keys!$C$51,$N735&gt;Keys!$C$52),1,0)</f>
        <v>0</v>
      </c>
      <c r="V735">
        <f>IF(AND($E735=Keys!$C$60,$N735&lt;&gt;Keys!$C$51),1,0)</f>
        <v>0</v>
      </c>
      <c r="W735">
        <f>IF($L735&gt;Keys!$C$51,IF($K735/$L735&gt;Keys!$C$52,1,0),0)</f>
        <v>0</v>
      </c>
      <c r="X735" s="11">
        <f t="shared" si="47"/>
        <v>0</v>
      </c>
    </row>
    <row r="736" spans="1:24" x14ac:dyDescent="0.25">
      <c r="A736" t="s">
        <v>151</v>
      </c>
      <c r="B736" t="s">
        <v>117</v>
      </c>
      <c r="C736" t="str">
        <f>VLOOKUP($B736,Keys!$F$2:$I$22,2,FALSE)</f>
        <v>LPG propane or butane</v>
      </c>
      <c r="D736">
        <f>VLOOKUP($B736,Keys!$F$2:$I$22,3,FALSE)</f>
        <v>0.54955999499999997</v>
      </c>
      <c r="E736" t="str">
        <f>VLOOKUP($B736,Keys!$F$2:$I$22,4,FALSE)</f>
        <v>rule</v>
      </c>
      <c r="F736" t="str">
        <f>$A736&amp;Keys!$C$54&amp;$B736</f>
        <v>OR|LPG propane or butane</v>
      </c>
      <c r="G736" s="10">
        <f>IF($E736=Keys!$C$60,Keys!$C$51,INDEX(Balanced_2025!$D$9:$D$3032,MATCH($A736&amp;Keys!$C$54&amp;Keys!$C$55&amp;Keys!$C$54&amp;$C736,Balanced_2025!$E$9:$E$3032,0)))</f>
        <v>10648900000</v>
      </c>
      <c r="H736" s="10">
        <f>IF($E736=Keys!$C$60,Keys!$C$51,INDEX(Balanced_2025!$D$9:$D$3032,MATCH($A736&amp;Keys!$C$54&amp;Keys!$C$56&amp;Keys!$C$54&amp;$C736,Balanced_2025!$E$9:$E$3032,0)))</f>
        <v>8519100000000</v>
      </c>
      <c r="I736" s="10">
        <f>IF($E736=Keys!$C$60,Keys!$C$51,INDEX(Balanced_2025!$D$9:$D$3032,MATCH($A736&amp;Keys!$C$54&amp;Keys!$C$57&amp;Keys!$C$54&amp;$C736,Balanced_2025!$E$9:$E$3032,0)))</f>
        <v>0</v>
      </c>
      <c r="J736" s="10">
        <f t="shared" si="44"/>
        <v>8529748900000</v>
      </c>
      <c r="K736" s="10">
        <f>MAX(Keys!$C$51,$I736-$H736)</f>
        <v>0</v>
      </c>
      <c r="L736" s="10">
        <f t="shared" si="45"/>
        <v>8529748900000</v>
      </c>
      <c r="M736" s="11">
        <f>IF($L736&gt;Keys!$C$51,MIN(Keys!$C$52,$K736/$L736),Keys!$C$51)</f>
        <v>0</v>
      </c>
      <c r="N736" s="11">
        <f>IF($E736=Keys!$C$60,Keys!$C$51,IF($E736=Keys!$C$59,$D736,$M736))</f>
        <v>0</v>
      </c>
      <c r="O736">
        <f t="shared" si="46"/>
        <v>1</v>
      </c>
      <c r="P736" s="10">
        <f>IF($E736=Keys!$C$60,Keys!$C$51,INDEX(Raw_BFPIaE!$G$9:$G$3032,MATCH($A736&amp;Keys!$C$54&amp;Keys!$C$55&amp;Keys!$C$54&amp;$B736,Raw_BFPIaE!$H$9:$H$3032,0)))</f>
        <v>10724266666.666666</v>
      </c>
      <c r="Q736" s="10">
        <f>IF($E736=Keys!$C$60,Keys!$C$51,INDEX(Raw_BFPIaE!$G$9:$G$3032,MATCH($A736&amp;Keys!$C$54&amp;Keys!$C$56&amp;Keys!$C$54&amp;$B736,Raw_BFPIaE!$H$9:$H$3032,0)))</f>
        <v>5659956666666.667</v>
      </c>
      <c r="R736" s="10">
        <f>IF($E736=Keys!$C$60,Keys!$C$51,INDEX(Raw_BFPIaE!$G$9:$G$3032,MATCH($A736&amp;Keys!$C$54&amp;Keys!$C$57&amp;Keys!$C$54&amp;$B736,Raw_BFPIaE!$H$9:$H$3032,0)))</f>
        <v>0</v>
      </c>
      <c r="S736" s="11">
        <f>IF(($P736+$Q736-$R736+MAX(Keys!$C$51,$R736-$Q736))&gt;Keys!$C$51,MIN(Keys!$C$52,MAX(Keys!$C$51,$R736-$Q736)/($P736+$Q736-$R736+MAX(Keys!$C$51,$R736-$Q736))),Keys!$C$51)</f>
        <v>0</v>
      </c>
      <c r="T736">
        <f>IF(AND($I736&gt;$H736,ABS($L736-$G736)&gt;MAX(Keys!$C$62,ABS($G736)*Keys!$C$63)),1,0)</f>
        <v>0</v>
      </c>
      <c r="U736">
        <f>IF(OR($N736&lt;Keys!$C$51,$N736&gt;Keys!$C$52),1,0)</f>
        <v>0</v>
      </c>
      <c r="V736">
        <f>IF(AND($E736=Keys!$C$60,$N736&lt;&gt;Keys!$C$51),1,0)</f>
        <v>0</v>
      </c>
      <c r="W736">
        <f>IF($L736&gt;Keys!$C$51,IF($K736/$L736&gt;Keys!$C$52,1,0),0)</f>
        <v>0</v>
      </c>
      <c r="X736" s="11">
        <f t="shared" si="47"/>
        <v>0</v>
      </c>
    </row>
    <row r="737" spans="1:24" x14ac:dyDescent="0.25">
      <c r="A737" t="s">
        <v>151</v>
      </c>
      <c r="B737" t="s">
        <v>120</v>
      </c>
      <c r="C737">
        <f>VLOOKUP($B737,Keys!$F$2:$I$22,2,FALSE)</f>
        <v>0</v>
      </c>
      <c r="D737">
        <f>VLOOKUP($B737,Keys!$F$2:$I$22,3,FALSE)</f>
        <v>0</v>
      </c>
      <c r="E737" t="str">
        <f>VLOOKUP($B737,Keys!$F$2:$I$22,4,FALSE)</f>
        <v>zero</v>
      </c>
      <c r="F737" t="str">
        <f>$A737&amp;Keys!$C$54&amp;$B737</f>
        <v>OR|municipal solid waste</v>
      </c>
      <c r="G737" s="10">
        <f>IF($E737=Keys!$C$60,Keys!$C$51,INDEX(Balanced_2025!$D$9:$D$3032,MATCH($A737&amp;Keys!$C$54&amp;Keys!$C$55&amp;Keys!$C$54&amp;$C737,Balanced_2025!$E$9:$E$3032,0)))</f>
        <v>0</v>
      </c>
      <c r="H737" s="10">
        <f>IF($E737=Keys!$C$60,Keys!$C$51,INDEX(Balanced_2025!$D$9:$D$3032,MATCH($A737&amp;Keys!$C$54&amp;Keys!$C$56&amp;Keys!$C$54&amp;$C737,Balanced_2025!$E$9:$E$3032,0)))</f>
        <v>0</v>
      </c>
      <c r="I737" s="10">
        <f>IF($E737=Keys!$C$60,Keys!$C$51,INDEX(Balanced_2025!$D$9:$D$3032,MATCH($A737&amp;Keys!$C$54&amp;Keys!$C$57&amp;Keys!$C$54&amp;$C737,Balanced_2025!$E$9:$E$3032,0)))</f>
        <v>0</v>
      </c>
      <c r="J737" s="10">
        <f t="shared" si="44"/>
        <v>0</v>
      </c>
      <c r="K737" s="10">
        <f>MAX(Keys!$C$51,$I737-$H737)</f>
        <v>0</v>
      </c>
      <c r="L737" s="10">
        <f t="shared" si="45"/>
        <v>0</v>
      </c>
      <c r="M737" s="11">
        <f>IF($L737&gt;Keys!$C$51,MIN(Keys!$C$52,$K737/$L737),Keys!$C$51)</f>
        <v>0</v>
      </c>
      <c r="N737" s="11">
        <f>IF($E737=Keys!$C$60,Keys!$C$51,IF($E737=Keys!$C$59,$D737,$M737))</f>
        <v>0</v>
      </c>
      <c r="O737">
        <f t="shared" si="46"/>
        <v>0</v>
      </c>
      <c r="P737" s="10">
        <f>IF($E737=Keys!$C$60,Keys!$C$51,INDEX(Raw_BFPIaE!$G$9:$G$3032,MATCH($A737&amp;Keys!$C$54&amp;Keys!$C$55&amp;Keys!$C$54&amp;$B737,Raw_BFPIaE!$H$9:$H$3032,0)))</f>
        <v>0</v>
      </c>
      <c r="Q737" s="10">
        <f>IF($E737=Keys!$C$60,Keys!$C$51,INDEX(Raw_BFPIaE!$G$9:$G$3032,MATCH($A737&amp;Keys!$C$54&amp;Keys!$C$56&amp;Keys!$C$54&amp;$B737,Raw_BFPIaE!$H$9:$H$3032,0)))</f>
        <v>0</v>
      </c>
      <c r="R737" s="10">
        <f>IF($E737=Keys!$C$60,Keys!$C$51,INDEX(Raw_BFPIaE!$G$9:$G$3032,MATCH($A737&amp;Keys!$C$54&amp;Keys!$C$57&amp;Keys!$C$54&amp;$B737,Raw_BFPIaE!$H$9:$H$3032,0)))</f>
        <v>0</v>
      </c>
      <c r="S737" s="11">
        <f>IF(($P737+$Q737-$R737+MAX(Keys!$C$51,$R737-$Q737))&gt;Keys!$C$51,MIN(Keys!$C$52,MAX(Keys!$C$51,$R737-$Q737)/($P737+$Q737-$R737+MAX(Keys!$C$51,$R737-$Q737))),Keys!$C$51)</f>
        <v>0</v>
      </c>
      <c r="T737">
        <f>IF(AND($I737&gt;$H737,ABS($L737-$G737)&gt;MAX(Keys!$C$62,ABS($G737)*Keys!$C$63)),1,0)</f>
        <v>0</v>
      </c>
      <c r="U737">
        <f>IF(OR($N737&lt;Keys!$C$51,$N737&gt;Keys!$C$52),1,0)</f>
        <v>0</v>
      </c>
      <c r="V737">
        <f>IF(AND($E737=Keys!$C$60,$N737&lt;&gt;Keys!$C$51),1,0)</f>
        <v>0</v>
      </c>
      <c r="W737">
        <f>IF($L737&gt;Keys!$C$51,IF($K737/$L737&gt;Keys!$C$52,1,0),0)</f>
        <v>0</v>
      </c>
      <c r="X737" s="11">
        <f t="shared" si="47"/>
        <v>0</v>
      </c>
    </row>
    <row r="738" spans="1:24" x14ac:dyDescent="0.25">
      <c r="A738" t="s">
        <v>151</v>
      </c>
      <c r="B738" t="s">
        <v>123</v>
      </c>
      <c r="C738">
        <f>VLOOKUP($B738,Keys!$F$2:$I$22,2,FALSE)</f>
        <v>0</v>
      </c>
      <c r="D738">
        <f>VLOOKUP($B738,Keys!$F$2:$I$22,3,FALSE)</f>
        <v>0</v>
      </c>
      <c r="E738" t="str">
        <f>VLOOKUP($B738,Keys!$F$2:$I$22,4,FALSE)</f>
        <v>zero</v>
      </c>
      <c r="F738" t="str">
        <f>$A738&amp;Keys!$C$54&amp;$B738</f>
        <v>OR|hydrogen</v>
      </c>
      <c r="G738" s="10">
        <f>IF($E738=Keys!$C$60,Keys!$C$51,INDEX(Balanced_2025!$D$9:$D$3032,MATCH($A738&amp;Keys!$C$54&amp;Keys!$C$55&amp;Keys!$C$54&amp;$C738,Balanced_2025!$E$9:$E$3032,0)))</f>
        <v>0</v>
      </c>
      <c r="H738" s="10">
        <f>IF($E738=Keys!$C$60,Keys!$C$51,INDEX(Balanced_2025!$D$9:$D$3032,MATCH($A738&amp;Keys!$C$54&amp;Keys!$C$56&amp;Keys!$C$54&amp;$C738,Balanced_2025!$E$9:$E$3032,0)))</f>
        <v>0</v>
      </c>
      <c r="I738" s="10">
        <f>IF($E738=Keys!$C$60,Keys!$C$51,INDEX(Balanced_2025!$D$9:$D$3032,MATCH($A738&amp;Keys!$C$54&amp;Keys!$C$57&amp;Keys!$C$54&amp;$C738,Balanced_2025!$E$9:$E$3032,0)))</f>
        <v>0</v>
      </c>
      <c r="J738" s="10">
        <f t="shared" si="44"/>
        <v>0</v>
      </c>
      <c r="K738" s="10">
        <f>MAX(Keys!$C$51,$I738-$H738)</f>
        <v>0</v>
      </c>
      <c r="L738" s="10">
        <f t="shared" si="45"/>
        <v>0</v>
      </c>
      <c r="M738" s="11">
        <f>IF($L738&gt;Keys!$C$51,MIN(Keys!$C$52,$K738/$L738),Keys!$C$51)</f>
        <v>0</v>
      </c>
      <c r="N738" s="11">
        <f>IF($E738=Keys!$C$60,Keys!$C$51,IF($E738=Keys!$C$59,$D738,$M738))</f>
        <v>0</v>
      </c>
      <c r="O738">
        <f t="shared" si="46"/>
        <v>0</v>
      </c>
      <c r="P738" s="10">
        <f>IF($E738=Keys!$C$60,Keys!$C$51,INDEX(Raw_BFPIaE!$G$9:$G$3032,MATCH($A738&amp;Keys!$C$54&amp;Keys!$C$55&amp;Keys!$C$54&amp;$B738,Raw_BFPIaE!$H$9:$H$3032,0)))</f>
        <v>0</v>
      </c>
      <c r="Q738" s="10">
        <f>IF($E738=Keys!$C$60,Keys!$C$51,INDEX(Raw_BFPIaE!$G$9:$G$3032,MATCH($A738&amp;Keys!$C$54&amp;Keys!$C$56&amp;Keys!$C$54&amp;$B738,Raw_BFPIaE!$H$9:$H$3032,0)))</f>
        <v>0</v>
      </c>
      <c r="R738" s="10">
        <f>IF($E738=Keys!$C$60,Keys!$C$51,INDEX(Raw_BFPIaE!$G$9:$G$3032,MATCH($A738&amp;Keys!$C$54&amp;Keys!$C$57&amp;Keys!$C$54&amp;$B738,Raw_BFPIaE!$H$9:$H$3032,0)))</f>
        <v>0</v>
      </c>
      <c r="S738" s="11">
        <f>IF(($P738+$Q738-$R738+MAX(Keys!$C$51,$R738-$Q738))&gt;Keys!$C$51,MIN(Keys!$C$52,MAX(Keys!$C$51,$R738-$Q738)/($P738+$Q738-$R738+MAX(Keys!$C$51,$R738-$Q738))),Keys!$C$51)</f>
        <v>0</v>
      </c>
      <c r="T738">
        <f>IF(AND($I738&gt;$H738,ABS($L738-$G738)&gt;MAX(Keys!$C$62,ABS($G738)*Keys!$C$63)),1,0)</f>
        <v>0</v>
      </c>
      <c r="U738">
        <f>IF(OR($N738&lt;Keys!$C$51,$N738&gt;Keys!$C$52),1,0)</f>
        <v>0</v>
      </c>
      <c r="V738">
        <f>IF(AND($E738=Keys!$C$60,$N738&lt;&gt;Keys!$C$51),1,0)</f>
        <v>0</v>
      </c>
      <c r="W738">
        <f>IF($L738&gt;Keys!$C$51,IF($K738/$L738&gt;Keys!$C$52,1,0),0)</f>
        <v>0</v>
      </c>
      <c r="X738" s="11">
        <f t="shared" si="47"/>
        <v>0</v>
      </c>
    </row>
    <row r="739" spans="1:24" x14ac:dyDescent="0.25">
      <c r="A739" t="s">
        <v>153</v>
      </c>
      <c r="B739" t="s">
        <v>60</v>
      </c>
      <c r="C739">
        <f>VLOOKUP($B739,Keys!$F$2:$I$22,2,FALSE)</f>
        <v>0</v>
      </c>
      <c r="D739">
        <f>VLOOKUP($B739,Keys!$F$2:$I$22,3,FALSE)</f>
        <v>0</v>
      </c>
      <c r="E739" t="str">
        <f>VLOOKUP($B739,Keys!$F$2:$I$22,4,FALSE)</f>
        <v>zero</v>
      </c>
      <c r="F739" t="str">
        <f>$A739&amp;Keys!$C$54&amp;$B739</f>
        <v>PA|electricity (not used in this variable)</v>
      </c>
      <c r="G739" s="10">
        <f>IF($E739=Keys!$C$60,Keys!$C$51,INDEX(Balanced_2025!$D$9:$D$3032,MATCH($A739&amp;Keys!$C$54&amp;Keys!$C$55&amp;Keys!$C$54&amp;$C739,Balanced_2025!$E$9:$E$3032,0)))</f>
        <v>0</v>
      </c>
      <c r="H739" s="10">
        <f>IF($E739=Keys!$C$60,Keys!$C$51,INDEX(Balanced_2025!$D$9:$D$3032,MATCH($A739&amp;Keys!$C$54&amp;Keys!$C$56&amp;Keys!$C$54&amp;$C739,Balanced_2025!$E$9:$E$3032,0)))</f>
        <v>0</v>
      </c>
      <c r="I739" s="10">
        <f>IF($E739=Keys!$C$60,Keys!$C$51,INDEX(Balanced_2025!$D$9:$D$3032,MATCH($A739&amp;Keys!$C$54&amp;Keys!$C$57&amp;Keys!$C$54&amp;$C739,Balanced_2025!$E$9:$E$3032,0)))</f>
        <v>0</v>
      </c>
      <c r="J739" s="10">
        <f t="shared" si="44"/>
        <v>0</v>
      </c>
      <c r="K739" s="10">
        <f>MAX(Keys!$C$51,$I739-$H739)</f>
        <v>0</v>
      </c>
      <c r="L739" s="10">
        <f t="shared" si="45"/>
        <v>0</v>
      </c>
      <c r="M739" s="11">
        <f>IF($L739&gt;Keys!$C$51,MIN(Keys!$C$52,$K739/$L739),Keys!$C$51)</f>
        <v>0</v>
      </c>
      <c r="N739" s="11">
        <f>IF($E739=Keys!$C$60,Keys!$C$51,IF($E739=Keys!$C$59,$D739,$M739))</f>
        <v>0</v>
      </c>
      <c r="O739">
        <f t="shared" si="46"/>
        <v>0</v>
      </c>
      <c r="P739" s="10">
        <f>IF($E739=Keys!$C$60,Keys!$C$51,INDEX(Raw_BFPIaE!$G$9:$G$3032,MATCH($A739&amp;Keys!$C$54&amp;Keys!$C$55&amp;Keys!$C$54&amp;$B739,Raw_BFPIaE!$H$9:$H$3032,0)))</f>
        <v>0</v>
      </c>
      <c r="Q739" s="10">
        <f>IF($E739=Keys!$C$60,Keys!$C$51,INDEX(Raw_BFPIaE!$G$9:$G$3032,MATCH($A739&amp;Keys!$C$54&amp;Keys!$C$56&amp;Keys!$C$54&amp;$B739,Raw_BFPIaE!$H$9:$H$3032,0)))</f>
        <v>0</v>
      </c>
      <c r="R739" s="10">
        <f>IF($E739=Keys!$C$60,Keys!$C$51,INDEX(Raw_BFPIaE!$G$9:$G$3032,MATCH($A739&amp;Keys!$C$54&amp;Keys!$C$57&amp;Keys!$C$54&amp;$B739,Raw_BFPIaE!$H$9:$H$3032,0)))</f>
        <v>0</v>
      </c>
      <c r="S739" s="11">
        <f>IF(($P739+$Q739-$R739+MAX(Keys!$C$51,$R739-$Q739))&gt;Keys!$C$51,MIN(Keys!$C$52,MAX(Keys!$C$51,$R739-$Q739)/($P739+$Q739-$R739+MAX(Keys!$C$51,$R739-$Q739))),Keys!$C$51)</f>
        <v>0</v>
      </c>
      <c r="T739">
        <f>IF(AND($I739&gt;$H739,ABS($L739-$G739)&gt;MAX(Keys!$C$62,ABS($G739)*Keys!$C$63)),1,0)</f>
        <v>0</v>
      </c>
      <c r="U739">
        <f>IF(OR($N739&lt;Keys!$C$51,$N739&gt;Keys!$C$52),1,0)</f>
        <v>0</v>
      </c>
      <c r="V739">
        <f>IF(AND($E739=Keys!$C$60,$N739&lt;&gt;Keys!$C$51),1,0)</f>
        <v>0</v>
      </c>
      <c r="W739">
        <f>IF($L739&gt;Keys!$C$51,IF($K739/$L739&gt;Keys!$C$52,1,0),0)</f>
        <v>0</v>
      </c>
      <c r="X739" s="11">
        <f t="shared" si="47"/>
        <v>0</v>
      </c>
    </row>
    <row r="740" spans="1:24" x14ac:dyDescent="0.25">
      <c r="A740" t="s">
        <v>153</v>
      </c>
      <c r="B740" t="s">
        <v>64</v>
      </c>
      <c r="C740" t="str">
        <f>VLOOKUP($B740,Keys!$F$2:$I$22,2,FALSE)</f>
        <v>hard coal</v>
      </c>
      <c r="D740">
        <f>VLOOKUP($B740,Keys!$F$2:$I$22,3,FALSE)</f>
        <v>0.137539879</v>
      </c>
      <c r="E740" t="str">
        <f>VLOOKUP($B740,Keys!$F$2:$I$22,4,FALSE)</f>
        <v>rule</v>
      </c>
      <c r="F740" t="str">
        <f>$A740&amp;Keys!$C$54&amp;$B740</f>
        <v>PA|hard coal</v>
      </c>
      <c r="G740" s="10">
        <f>IF($E740=Keys!$C$60,Keys!$C$51,INDEX(Balanced_2025!$D$9:$D$3032,MATCH($A740&amp;Keys!$C$54&amp;Keys!$C$55&amp;Keys!$C$54&amp;$C740,Balanced_2025!$E$9:$E$3032,0)))</f>
        <v>832230000000000</v>
      </c>
      <c r="H740" s="10">
        <f>IF($E740=Keys!$C$60,Keys!$C$51,INDEX(Balanced_2025!$D$9:$D$3032,MATCH($A740&amp;Keys!$C$54&amp;Keys!$C$56&amp;Keys!$C$54&amp;$C740,Balanced_2025!$E$9:$E$3032,0)))</f>
        <v>27133400000000</v>
      </c>
      <c r="I740" s="10">
        <f>IF($E740=Keys!$C$60,Keys!$C$51,INDEX(Balanced_2025!$D$9:$D$3032,MATCH($A740&amp;Keys!$C$54&amp;Keys!$C$57&amp;Keys!$C$54&amp;$C740,Balanced_2025!$E$9:$E$3032,0)))</f>
        <v>485549000000000</v>
      </c>
      <c r="J740" s="10">
        <f t="shared" si="44"/>
        <v>373814400000000</v>
      </c>
      <c r="K740" s="10">
        <f>MAX(Keys!$C$51,$I740-$H740)</f>
        <v>458415600000000</v>
      </c>
      <c r="L740" s="10">
        <f t="shared" si="45"/>
        <v>832230000000000</v>
      </c>
      <c r="M740" s="11">
        <f>IF($L740&gt;Keys!$C$51,MIN(Keys!$C$52,$K740/$L740),Keys!$C$51)</f>
        <v>0.5508280162935727</v>
      </c>
      <c r="N740" s="11">
        <f>IF($E740=Keys!$C$60,Keys!$C$51,IF($E740=Keys!$C$59,$D740,$M740))</f>
        <v>0.5508280162935727</v>
      </c>
      <c r="O740">
        <f t="shared" si="46"/>
        <v>1</v>
      </c>
      <c r="P740" s="10">
        <f>IF($E740=Keys!$C$60,Keys!$C$51,INDEX(Raw_BFPIaE!$G$9:$G$3032,MATCH($A740&amp;Keys!$C$54&amp;Keys!$C$55&amp;Keys!$C$54&amp;$B740,Raw_BFPIaE!$H$9:$H$3032,0)))</f>
        <v>832236666666666.63</v>
      </c>
      <c r="Q740" s="10">
        <f>IF($E740=Keys!$C$60,Keys!$C$51,INDEX(Raw_BFPIaE!$G$9:$G$3032,MATCH($A740&amp;Keys!$C$54&amp;Keys!$C$56&amp;Keys!$C$54&amp;$B740,Raw_BFPIaE!$H$9:$H$3032,0)))</f>
        <v>51949666666666.664</v>
      </c>
      <c r="R740" s="10">
        <f>IF($E740=Keys!$C$60,Keys!$C$51,INDEX(Raw_BFPIaE!$G$9:$G$3032,MATCH($A740&amp;Keys!$C$54&amp;Keys!$C$57&amp;Keys!$C$54&amp;$B740,Raw_BFPIaE!$H$9:$H$3032,0)))</f>
        <v>323665333333333.31</v>
      </c>
      <c r="S740" s="11">
        <f>IF(($P740+$Q740-$R740+MAX(Keys!$C$51,$R740-$Q740))&gt;Keys!$C$51,MIN(Keys!$C$52,MAX(Keys!$C$51,$R740-$Q740)/($P740+$Q740-$R740+MAX(Keys!$C$51,$R740-$Q740))),Keys!$C$51)</f>
        <v>0.32648845881179633</v>
      </c>
      <c r="T740">
        <f>IF(AND($I740&gt;$H740,ABS($L740-$G740)&gt;MAX(Keys!$C$62,ABS($G740)*Keys!$C$63)),1,0)</f>
        <v>0</v>
      </c>
      <c r="U740">
        <f>IF(OR($N740&lt;Keys!$C$51,$N740&gt;Keys!$C$52),1,0)</f>
        <v>0</v>
      </c>
      <c r="V740">
        <f>IF(AND($E740=Keys!$C$60,$N740&lt;&gt;Keys!$C$51),1,0)</f>
        <v>0</v>
      </c>
      <c r="W740">
        <f>IF($L740&gt;Keys!$C$51,IF($K740/$L740&gt;Keys!$C$52,1,0),0)</f>
        <v>0</v>
      </c>
      <c r="X740" s="11">
        <f t="shared" si="47"/>
        <v>0.22433955748177636</v>
      </c>
    </row>
    <row r="741" spans="1:24" x14ac:dyDescent="0.25">
      <c r="A741" t="s">
        <v>153</v>
      </c>
      <c r="B741" t="s">
        <v>68</v>
      </c>
      <c r="C741" t="str">
        <f>VLOOKUP($B741,Keys!$F$2:$I$22,2,FALSE)</f>
        <v>natural gas</v>
      </c>
      <c r="D741">
        <f>VLOOKUP($B741,Keys!$F$2:$I$22,3,FALSE)</f>
        <v>0.190839183</v>
      </c>
      <c r="E741" t="str">
        <f>VLOOKUP($B741,Keys!$F$2:$I$22,4,FALSE)</f>
        <v>rule</v>
      </c>
      <c r="F741" t="str">
        <f>$A741&amp;Keys!$C$54&amp;$B741</f>
        <v>PA|natural gas</v>
      </c>
      <c r="G741" s="10">
        <f>IF($E741=Keys!$C$60,Keys!$C$51,INDEX(Balanced_2025!$D$9:$D$3032,MATCH($A741&amp;Keys!$C$54&amp;Keys!$C$55&amp;Keys!$C$54&amp;$C741,Balanced_2025!$E$9:$E$3032,0)))</f>
        <v>7569180000000000</v>
      </c>
      <c r="H741" s="10">
        <f>IF($E741=Keys!$C$60,Keys!$C$51,INDEX(Balanced_2025!$D$9:$D$3032,MATCH($A741&amp;Keys!$C$54&amp;Keys!$C$56&amp;Keys!$C$54&amp;$C741,Balanced_2025!$E$9:$E$3032,0)))</f>
        <v>443566000000000</v>
      </c>
      <c r="I741" s="10">
        <f>IF($E741=Keys!$C$60,Keys!$C$51,INDEX(Balanced_2025!$D$9:$D$3032,MATCH($A741&amp;Keys!$C$54&amp;Keys!$C$57&amp;Keys!$C$54&amp;$C741,Balanced_2025!$E$9:$E$3032,0)))</f>
        <v>6109100000000000</v>
      </c>
      <c r="J741" s="10">
        <f t="shared" si="44"/>
        <v>1903646000000000</v>
      </c>
      <c r="K741" s="10">
        <f>MAX(Keys!$C$51,$I741-$H741)</f>
        <v>5665534000000000</v>
      </c>
      <c r="L741" s="10">
        <f t="shared" si="45"/>
        <v>7569180000000000</v>
      </c>
      <c r="M741" s="11">
        <f>IF($L741&gt;Keys!$C$51,MIN(Keys!$C$52,$K741/$L741),Keys!$C$51)</f>
        <v>0.74850036595773917</v>
      </c>
      <c r="N741" s="11">
        <f>IF($E741=Keys!$C$60,Keys!$C$51,IF($E741=Keys!$C$59,$D741,$M741))</f>
        <v>0.74850036595773917</v>
      </c>
      <c r="O741">
        <f t="shared" si="46"/>
        <v>1</v>
      </c>
      <c r="P741" s="10">
        <f>IF($E741=Keys!$C$60,Keys!$C$51,INDEX(Raw_BFPIaE!$G$9:$G$3032,MATCH($A741&amp;Keys!$C$54&amp;Keys!$C$55&amp;Keys!$C$54&amp;$B741,Raw_BFPIaE!$H$9:$H$3032,0)))</f>
        <v>7577016666666667</v>
      </c>
      <c r="Q741" s="10">
        <f>IF($E741=Keys!$C$60,Keys!$C$51,INDEX(Raw_BFPIaE!$G$9:$G$3032,MATCH($A741&amp;Keys!$C$54&amp;Keys!$C$56&amp;Keys!$C$54&amp;$B741,Raw_BFPIaE!$H$9:$H$3032,0)))</f>
        <v>439039666666666.69</v>
      </c>
      <c r="R741" s="10">
        <f>IF($E741=Keys!$C$60,Keys!$C$51,INDEX(Raw_BFPIaE!$G$9:$G$3032,MATCH($A741&amp;Keys!$C$54&amp;Keys!$C$57&amp;Keys!$C$54&amp;$B741,Raw_BFPIaE!$H$9:$H$3032,0)))</f>
        <v>6115423333333333</v>
      </c>
      <c r="S741" s="11">
        <f>IF(($P741+$Q741-$R741+MAX(Keys!$C$51,$R741-$Q741))&gt;Keys!$C$51,MIN(Keys!$C$52,MAX(Keys!$C$51,$R741-$Q741)/($P741+$Q741-$R741+MAX(Keys!$C$51,$R741-$Q741))),Keys!$C$51)</f>
        <v>0.74915813391814268</v>
      </c>
      <c r="T741">
        <f>IF(AND($I741&gt;$H741,ABS($L741-$G741)&gt;MAX(Keys!$C$62,ABS($G741)*Keys!$C$63)),1,0)</f>
        <v>0</v>
      </c>
      <c r="U741">
        <f>IF(OR($N741&lt;Keys!$C$51,$N741&gt;Keys!$C$52),1,0)</f>
        <v>0</v>
      </c>
      <c r="V741">
        <f>IF(AND($E741=Keys!$C$60,$N741&lt;&gt;Keys!$C$51),1,0)</f>
        <v>0</v>
      </c>
      <c r="W741">
        <f>IF($L741&gt;Keys!$C$51,IF($K741/$L741&gt;Keys!$C$52,1,0),0)</f>
        <v>0</v>
      </c>
      <c r="X741" s="11">
        <f t="shared" si="47"/>
        <v>6.5776796040351027E-4</v>
      </c>
    </row>
    <row r="742" spans="1:24" x14ac:dyDescent="0.25">
      <c r="A742" t="s">
        <v>153</v>
      </c>
      <c r="B742" t="s">
        <v>71</v>
      </c>
      <c r="C742">
        <f>VLOOKUP($B742,Keys!$F$2:$I$22,2,FALSE)</f>
        <v>0</v>
      </c>
      <c r="D742">
        <f>VLOOKUP($B742,Keys!$F$2:$I$22,3,FALSE)</f>
        <v>0</v>
      </c>
      <c r="E742" t="str">
        <f>VLOOKUP($B742,Keys!$F$2:$I$22,4,FALSE)</f>
        <v>zero</v>
      </c>
      <c r="F742" t="str">
        <f>$A742&amp;Keys!$C$54&amp;$B742</f>
        <v>PA|nuclear</v>
      </c>
      <c r="G742" s="10">
        <f>IF($E742=Keys!$C$60,Keys!$C$51,INDEX(Balanced_2025!$D$9:$D$3032,MATCH($A742&amp;Keys!$C$54&amp;Keys!$C$55&amp;Keys!$C$54&amp;$C742,Balanced_2025!$E$9:$E$3032,0)))</f>
        <v>0</v>
      </c>
      <c r="H742" s="10">
        <f>IF($E742=Keys!$C$60,Keys!$C$51,INDEX(Balanced_2025!$D$9:$D$3032,MATCH($A742&amp;Keys!$C$54&amp;Keys!$C$56&amp;Keys!$C$54&amp;$C742,Balanced_2025!$E$9:$E$3032,0)))</f>
        <v>0</v>
      </c>
      <c r="I742" s="10">
        <f>IF($E742=Keys!$C$60,Keys!$C$51,INDEX(Balanced_2025!$D$9:$D$3032,MATCH($A742&amp;Keys!$C$54&amp;Keys!$C$57&amp;Keys!$C$54&amp;$C742,Balanced_2025!$E$9:$E$3032,0)))</f>
        <v>0</v>
      </c>
      <c r="J742" s="10">
        <f t="shared" si="44"/>
        <v>0</v>
      </c>
      <c r="K742" s="10">
        <f>MAX(Keys!$C$51,$I742-$H742)</f>
        <v>0</v>
      </c>
      <c r="L742" s="10">
        <f t="shared" si="45"/>
        <v>0</v>
      </c>
      <c r="M742" s="11">
        <f>IF($L742&gt;Keys!$C$51,MIN(Keys!$C$52,$K742/$L742),Keys!$C$51)</f>
        <v>0</v>
      </c>
      <c r="N742" s="11">
        <f>IF($E742=Keys!$C$60,Keys!$C$51,IF($E742=Keys!$C$59,$D742,$M742))</f>
        <v>0</v>
      </c>
      <c r="O742">
        <f t="shared" si="46"/>
        <v>0</v>
      </c>
      <c r="P742" s="10">
        <f>IF($E742=Keys!$C$60,Keys!$C$51,INDEX(Raw_BFPIaE!$G$9:$G$3032,MATCH($A742&amp;Keys!$C$54&amp;Keys!$C$55&amp;Keys!$C$54&amp;$B742,Raw_BFPIaE!$H$9:$H$3032,0)))</f>
        <v>0</v>
      </c>
      <c r="Q742" s="10">
        <f>IF($E742=Keys!$C$60,Keys!$C$51,INDEX(Raw_BFPIaE!$G$9:$G$3032,MATCH($A742&amp;Keys!$C$54&amp;Keys!$C$56&amp;Keys!$C$54&amp;$B742,Raw_BFPIaE!$H$9:$H$3032,0)))</f>
        <v>0</v>
      </c>
      <c r="R742" s="10">
        <f>IF($E742=Keys!$C$60,Keys!$C$51,INDEX(Raw_BFPIaE!$G$9:$G$3032,MATCH($A742&amp;Keys!$C$54&amp;Keys!$C$57&amp;Keys!$C$54&amp;$B742,Raw_BFPIaE!$H$9:$H$3032,0)))</f>
        <v>0</v>
      </c>
      <c r="S742" s="11">
        <f>IF(($P742+$Q742-$R742+MAX(Keys!$C$51,$R742-$Q742))&gt;Keys!$C$51,MIN(Keys!$C$52,MAX(Keys!$C$51,$R742-$Q742)/($P742+$Q742-$R742+MAX(Keys!$C$51,$R742-$Q742))),Keys!$C$51)</f>
        <v>0</v>
      </c>
      <c r="T742">
        <f>IF(AND($I742&gt;$H742,ABS($L742-$G742)&gt;MAX(Keys!$C$62,ABS($G742)*Keys!$C$63)),1,0)</f>
        <v>0</v>
      </c>
      <c r="U742">
        <f>IF(OR($N742&lt;Keys!$C$51,$N742&gt;Keys!$C$52),1,0)</f>
        <v>0</v>
      </c>
      <c r="V742">
        <f>IF(AND($E742=Keys!$C$60,$N742&lt;&gt;Keys!$C$51),1,0)</f>
        <v>0</v>
      </c>
      <c r="W742">
        <f>IF($L742&gt;Keys!$C$51,IF($K742/$L742&gt;Keys!$C$52,1,0),0)</f>
        <v>0</v>
      </c>
      <c r="X742" s="11">
        <f t="shared" si="47"/>
        <v>0</v>
      </c>
    </row>
    <row r="743" spans="1:24" x14ac:dyDescent="0.25">
      <c r="A743" t="s">
        <v>153</v>
      </c>
      <c r="B743" t="s">
        <v>74</v>
      </c>
      <c r="C743">
        <f>VLOOKUP($B743,Keys!$F$2:$I$22,2,FALSE)</f>
        <v>0</v>
      </c>
      <c r="D743">
        <f>VLOOKUP($B743,Keys!$F$2:$I$22,3,FALSE)</f>
        <v>0</v>
      </c>
      <c r="E743" t="str">
        <f>VLOOKUP($B743,Keys!$F$2:$I$22,4,FALSE)</f>
        <v>zero</v>
      </c>
      <c r="F743" t="str">
        <f>$A743&amp;Keys!$C$54&amp;$B743</f>
        <v>PA|hydro (is not a fuel)</v>
      </c>
      <c r="G743" s="10">
        <f>IF($E743=Keys!$C$60,Keys!$C$51,INDEX(Balanced_2025!$D$9:$D$3032,MATCH($A743&amp;Keys!$C$54&amp;Keys!$C$55&amp;Keys!$C$54&amp;$C743,Balanced_2025!$E$9:$E$3032,0)))</f>
        <v>0</v>
      </c>
      <c r="H743" s="10">
        <f>IF($E743=Keys!$C$60,Keys!$C$51,INDEX(Balanced_2025!$D$9:$D$3032,MATCH($A743&amp;Keys!$C$54&amp;Keys!$C$56&amp;Keys!$C$54&amp;$C743,Balanced_2025!$E$9:$E$3032,0)))</f>
        <v>0</v>
      </c>
      <c r="I743" s="10">
        <f>IF($E743=Keys!$C$60,Keys!$C$51,INDEX(Balanced_2025!$D$9:$D$3032,MATCH($A743&amp;Keys!$C$54&amp;Keys!$C$57&amp;Keys!$C$54&amp;$C743,Balanced_2025!$E$9:$E$3032,0)))</f>
        <v>0</v>
      </c>
      <c r="J743" s="10">
        <f t="shared" si="44"/>
        <v>0</v>
      </c>
      <c r="K743" s="10">
        <f>MAX(Keys!$C$51,$I743-$H743)</f>
        <v>0</v>
      </c>
      <c r="L743" s="10">
        <f t="shared" si="45"/>
        <v>0</v>
      </c>
      <c r="M743" s="11">
        <f>IF($L743&gt;Keys!$C$51,MIN(Keys!$C$52,$K743/$L743),Keys!$C$51)</f>
        <v>0</v>
      </c>
      <c r="N743" s="11">
        <f>IF($E743=Keys!$C$60,Keys!$C$51,IF($E743=Keys!$C$59,$D743,$M743))</f>
        <v>0</v>
      </c>
      <c r="O743">
        <f t="shared" si="46"/>
        <v>0</v>
      </c>
      <c r="P743" s="10">
        <f>IF($E743=Keys!$C$60,Keys!$C$51,INDEX(Raw_BFPIaE!$G$9:$G$3032,MATCH($A743&amp;Keys!$C$54&amp;Keys!$C$55&amp;Keys!$C$54&amp;$B743,Raw_BFPIaE!$H$9:$H$3032,0)))</f>
        <v>0</v>
      </c>
      <c r="Q743" s="10">
        <f>IF($E743=Keys!$C$60,Keys!$C$51,INDEX(Raw_BFPIaE!$G$9:$G$3032,MATCH($A743&amp;Keys!$C$54&amp;Keys!$C$56&amp;Keys!$C$54&amp;$B743,Raw_BFPIaE!$H$9:$H$3032,0)))</f>
        <v>0</v>
      </c>
      <c r="R743" s="10">
        <f>IF($E743=Keys!$C$60,Keys!$C$51,INDEX(Raw_BFPIaE!$G$9:$G$3032,MATCH($A743&amp;Keys!$C$54&amp;Keys!$C$57&amp;Keys!$C$54&amp;$B743,Raw_BFPIaE!$H$9:$H$3032,0)))</f>
        <v>0</v>
      </c>
      <c r="S743" s="11">
        <f>IF(($P743+$Q743-$R743+MAX(Keys!$C$51,$R743-$Q743))&gt;Keys!$C$51,MIN(Keys!$C$52,MAX(Keys!$C$51,$R743-$Q743)/($P743+$Q743-$R743+MAX(Keys!$C$51,$R743-$Q743))),Keys!$C$51)</f>
        <v>0</v>
      </c>
      <c r="T743">
        <f>IF(AND($I743&gt;$H743,ABS($L743-$G743)&gt;MAX(Keys!$C$62,ABS($G743)*Keys!$C$63)),1,0)</f>
        <v>0</v>
      </c>
      <c r="U743">
        <f>IF(OR($N743&lt;Keys!$C$51,$N743&gt;Keys!$C$52),1,0)</f>
        <v>0</v>
      </c>
      <c r="V743">
        <f>IF(AND($E743=Keys!$C$60,$N743&lt;&gt;Keys!$C$51),1,0)</f>
        <v>0</v>
      </c>
      <c r="W743">
        <f>IF($L743&gt;Keys!$C$51,IF($K743/$L743&gt;Keys!$C$52,1,0),0)</f>
        <v>0</v>
      </c>
      <c r="X743" s="11">
        <f t="shared" si="47"/>
        <v>0</v>
      </c>
    </row>
    <row r="744" spans="1:24" x14ac:dyDescent="0.25">
      <c r="A744" t="s">
        <v>153</v>
      </c>
      <c r="B744" t="s">
        <v>77</v>
      </c>
      <c r="C744">
        <f>VLOOKUP($B744,Keys!$F$2:$I$22,2,FALSE)</f>
        <v>0</v>
      </c>
      <c r="D744">
        <f>VLOOKUP($B744,Keys!$F$2:$I$22,3,FALSE)</f>
        <v>0</v>
      </c>
      <c r="E744" t="str">
        <f>VLOOKUP($B744,Keys!$F$2:$I$22,4,FALSE)</f>
        <v>zero</v>
      </c>
      <c r="F744" t="str">
        <f>$A744&amp;Keys!$C$54&amp;$B744</f>
        <v>PA|wind (is not a fuel)</v>
      </c>
      <c r="G744" s="10">
        <f>IF($E744=Keys!$C$60,Keys!$C$51,INDEX(Balanced_2025!$D$9:$D$3032,MATCH($A744&amp;Keys!$C$54&amp;Keys!$C$55&amp;Keys!$C$54&amp;$C744,Balanced_2025!$E$9:$E$3032,0)))</f>
        <v>0</v>
      </c>
      <c r="H744" s="10">
        <f>IF($E744=Keys!$C$60,Keys!$C$51,INDEX(Balanced_2025!$D$9:$D$3032,MATCH($A744&amp;Keys!$C$54&amp;Keys!$C$56&amp;Keys!$C$54&amp;$C744,Balanced_2025!$E$9:$E$3032,0)))</f>
        <v>0</v>
      </c>
      <c r="I744" s="10">
        <f>IF($E744=Keys!$C$60,Keys!$C$51,INDEX(Balanced_2025!$D$9:$D$3032,MATCH($A744&amp;Keys!$C$54&amp;Keys!$C$57&amp;Keys!$C$54&amp;$C744,Balanced_2025!$E$9:$E$3032,0)))</f>
        <v>0</v>
      </c>
      <c r="J744" s="10">
        <f t="shared" si="44"/>
        <v>0</v>
      </c>
      <c r="K744" s="10">
        <f>MAX(Keys!$C$51,$I744-$H744)</f>
        <v>0</v>
      </c>
      <c r="L744" s="10">
        <f t="shared" si="45"/>
        <v>0</v>
      </c>
      <c r="M744" s="11">
        <f>IF($L744&gt;Keys!$C$51,MIN(Keys!$C$52,$K744/$L744),Keys!$C$51)</f>
        <v>0</v>
      </c>
      <c r="N744" s="11">
        <f>IF($E744=Keys!$C$60,Keys!$C$51,IF($E744=Keys!$C$59,$D744,$M744))</f>
        <v>0</v>
      </c>
      <c r="O744">
        <f t="shared" si="46"/>
        <v>0</v>
      </c>
      <c r="P744" s="10">
        <f>IF($E744=Keys!$C$60,Keys!$C$51,INDEX(Raw_BFPIaE!$G$9:$G$3032,MATCH($A744&amp;Keys!$C$54&amp;Keys!$C$55&amp;Keys!$C$54&amp;$B744,Raw_BFPIaE!$H$9:$H$3032,0)))</f>
        <v>0</v>
      </c>
      <c r="Q744" s="10">
        <f>IF($E744=Keys!$C$60,Keys!$C$51,INDEX(Raw_BFPIaE!$G$9:$G$3032,MATCH($A744&amp;Keys!$C$54&amp;Keys!$C$56&amp;Keys!$C$54&amp;$B744,Raw_BFPIaE!$H$9:$H$3032,0)))</f>
        <v>0</v>
      </c>
      <c r="R744" s="10">
        <f>IF($E744=Keys!$C$60,Keys!$C$51,INDEX(Raw_BFPIaE!$G$9:$G$3032,MATCH($A744&amp;Keys!$C$54&amp;Keys!$C$57&amp;Keys!$C$54&amp;$B744,Raw_BFPIaE!$H$9:$H$3032,0)))</f>
        <v>0</v>
      </c>
      <c r="S744" s="11">
        <f>IF(($P744+$Q744-$R744+MAX(Keys!$C$51,$R744-$Q744))&gt;Keys!$C$51,MIN(Keys!$C$52,MAX(Keys!$C$51,$R744-$Q744)/($P744+$Q744-$R744+MAX(Keys!$C$51,$R744-$Q744))),Keys!$C$51)</f>
        <v>0</v>
      </c>
      <c r="T744">
        <f>IF(AND($I744&gt;$H744,ABS($L744-$G744)&gt;MAX(Keys!$C$62,ABS($G744)*Keys!$C$63)),1,0)</f>
        <v>0</v>
      </c>
      <c r="U744">
        <f>IF(OR($N744&lt;Keys!$C$51,$N744&gt;Keys!$C$52),1,0)</f>
        <v>0</v>
      </c>
      <c r="V744">
        <f>IF(AND($E744=Keys!$C$60,$N744&lt;&gt;Keys!$C$51),1,0)</f>
        <v>0</v>
      </c>
      <c r="W744">
        <f>IF($L744&gt;Keys!$C$51,IF($K744/$L744&gt;Keys!$C$52,1,0),0)</f>
        <v>0</v>
      </c>
      <c r="X744" s="11">
        <f t="shared" si="47"/>
        <v>0</v>
      </c>
    </row>
    <row r="745" spans="1:24" x14ac:dyDescent="0.25">
      <c r="A745" t="s">
        <v>153</v>
      </c>
      <c r="B745" t="s">
        <v>80</v>
      </c>
      <c r="C745">
        <f>VLOOKUP($B745,Keys!$F$2:$I$22,2,FALSE)</f>
        <v>0</v>
      </c>
      <c r="D745">
        <f>VLOOKUP($B745,Keys!$F$2:$I$22,3,FALSE)</f>
        <v>0</v>
      </c>
      <c r="E745" t="str">
        <f>VLOOKUP($B745,Keys!$F$2:$I$22,4,FALSE)</f>
        <v>zero</v>
      </c>
      <c r="F745" t="str">
        <f>$A745&amp;Keys!$C$54&amp;$B745</f>
        <v>PA|solar (is not a fuel)</v>
      </c>
      <c r="G745" s="10">
        <f>IF($E745=Keys!$C$60,Keys!$C$51,INDEX(Balanced_2025!$D$9:$D$3032,MATCH($A745&amp;Keys!$C$54&amp;Keys!$C$55&amp;Keys!$C$54&amp;$C745,Balanced_2025!$E$9:$E$3032,0)))</f>
        <v>0</v>
      </c>
      <c r="H745" s="10">
        <f>IF($E745=Keys!$C$60,Keys!$C$51,INDEX(Balanced_2025!$D$9:$D$3032,MATCH($A745&amp;Keys!$C$54&amp;Keys!$C$56&amp;Keys!$C$54&amp;$C745,Balanced_2025!$E$9:$E$3032,0)))</f>
        <v>0</v>
      </c>
      <c r="I745" s="10">
        <f>IF($E745=Keys!$C$60,Keys!$C$51,INDEX(Balanced_2025!$D$9:$D$3032,MATCH($A745&amp;Keys!$C$54&amp;Keys!$C$57&amp;Keys!$C$54&amp;$C745,Balanced_2025!$E$9:$E$3032,0)))</f>
        <v>0</v>
      </c>
      <c r="J745" s="10">
        <f t="shared" si="44"/>
        <v>0</v>
      </c>
      <c r="K745" s="10">
        <f>MAX(Keys!$C$51,$I745-$H745)</f>
        <v>0</v>
      </c>
      <c r="L745" s="10">
        <f t="shared" si="45"/>
        <v>0</v>
      </c>
      <c r="M745" s="11">
        <f>IF($L745&gt;Keys!$C$51,MIN(Keys!$C$52,$K745/$L745),Keys!$C$51)</f>
        <v>0</v>
      </c>
      <c r="N745" s="11">
        <f>IF($E745=Keys!$C$60,Keys!$C$51,IF($E745=Keys!$C$59,$D745,$M745))</f>
        <v>0</v>
      </c>
      <c r="O745">
        <f t="shared" si="46"/>
        <v>0</v>
      </c>
      <c r="P745" s="10">
        <f>IF($E745=Keys!$C$60,Keys!$C$51,INDEX(Raw_BFPIaE!$G$9:$G$3032,MATCH($A745&amp;Keys!$C$54&amp;Keys!$C$55&amp;Keys!$C$54&amp;$B745,Raw_BFPIaE!$H$9:$H$3032,0)))</f>
        <v>0</v>
      </c>
      <c r="Q745" s="10">
        <f>IF($E745=Keys!$C$60,Keys!$C$51,INDEX(Raw_BFPIaE!$G$9:$G$3032,MATCH($A745&amp;Keys!$C$54&amp;Keys!$C$56&amp;Keys!$C$54&amp;$B745,Raw_BFPIaE!$H$9:$H$3032,0)))</f>
        <v>0</v>
      </c>
      <c r="R745" s="10">
        <f>IF($E745=Keys!$C$60,Keys!$C$51,INDEX(Raw_BFPIaE!$G$9:$G$3032,MATCH($A745&amp;Keys!$C$54&amp;Keys!$C$57&amp;Keys!$C$54&amp;$B745,Raw_BFPIaE!$H$9:$H$3032,0)))</f>
        <v>0</v>
      </c>
      <c r="S745" s="11">
        <f>IF(($P745+$Q745-$R745+MAX(Keys!$C$51,$R745-$Q745))&gt;Keys!$C$51,MIN(Keys!$C$52,MAX(Keys!$C$51,$R745-$Q745)/($P745+$Q745-$R745+MAX(Keys!$C$51,$R745-$Q745))),Keys!$C$51)</f>
        <v>0</v>
      </c>
      <c r="T745">
        <f>IF(AND($I745&gt;$H745,ABS($L745-$G745)&gt;MAX(Keys!$C$62,ABS($G745)*Keys!$C$63)),1,0)</f>
        <v>0</v>
      </c>
      <c r="U745">
        <f>IF(OR($N745&lt;Keys!$C$51,$N745&gt;Keys!$C$52),1,0)</f>
        <v>0</v>
      </c>
      <c r="V745">
        <f>IF(AND($E745=Keys!$C$60,$N745&lt;&gt;Keys!$C$51),1,0)</f>
        <v>0</v>
      </c>
      <c r="W745">
        <f>IF($L745&gt;Keys!$C$51,IF($K745/$L745&gt;Keys!$C$52,1,0),0)</f>
        <v>0</v>
      </c>
      <c r="X745" s="11">
        <f t="shared" si="47"/>
        <v>0</v>
      </c>
    </row>
    <row r="746" spans="1:24" x14ac:dyDescent="0.25">
      <c r="A746" t="s">
        <v>153</v>
      </c>
      <c r="B746" t="s">
        <v>82</v>
      </c>
      <c r="C746" t="str">
        <f>VLOOKUP($B746,Keys!$F$2:$I$22,2,FALSE)</f>
        <v>biomass</v>
      </c>
      <c r="D746">
        <f>VLOOKUP($B746,Keys!$F$2:$I$22,3,FALSE)</f>
        <v>0.74947425499999998</v>
      </c>
      <c r="E746" t="str">
        <f>VLOOKUP($B746,Keys!$F$2:$I$22,4,FALSE)</f>
        <v>rule</v>
      </c>
      <c r="F746" t="str">
        <f>$A746&amp;Keys!$C$54&amp;$B746</f>
        <v>PA|biomass</v>
      </c>
      <c r="G746" s="10">
        <f>IF($E746=Keys!$C$60,Keys!$C$51,INDEX(Balanced_2025!$D$9:$D$3032,MATCH($A746&amp;Keys!$C$54&amp;Keys!$C$55&amp;Keys!$C$54&amp;$C746,Balanced_2025!$E$9:$E$3032,0)))</f>
        <v>6178450000000</v>
      </c>
      <c r="H746" s="10">
        <f>IF($E746=Keys!$C$60,Keys!$C$51,INDEX(Balanced_2025!$D$9:$D$3032,MATCH($A746&amp;Keys!$C$54&amp;Keys!$C$56&amp;Keys!$C$54&amp;$C746,Balanced_2025!$E$9:$E$3032,0)))</f>
        <v>85008700000000</v>
      </c>
      <c r="I746" s="10">
        <f>IF($E746=Keys!$C$60,Keys!$C$51,INDEX(Balanced_2025!$D$9:$D$3032,MATCH($A746&amp;Keys!$C$54&amp;Keys!$C$57&amp;Keys!$C$54&amp;$C746,Balanced_2025!$E$9:$E$3032,0)))</f>
        <v>0</v>
      </c>
      <c r="J746" s="10">
        <f t="shared" si="44"/>
        <v>91187150000000</v>
      </c>
      <c r="K746" s="10">
        <f>MAX(Keys!$C$51,$I746-$H746)</f>
        <v>0</v>
      </c>
      <c r="L746" s="10">
        <f t="shared" si="45"/>
        <v>91187150000000</v>
      </c>
      <c r="M746" s="11">
        <f>IF($L746&gt;Keys!$C$51,MIN(Keys!$C$52,$K746/$L746),Keys!$C$51)</f>
        <v>0</v>
      </c>
      <c r="N746" s="11">
        <f>IF($E746=Keys!$C$60,Keys!$C$51,IF($E746=Keys!$C$59,$D746,$M746))</f>
        <v>0</v>
      </c>
      <c r="O746">
        <f t="shared" si="46"/>
        <v>1</v>
      </c>
      <c r="P746" s="10">
        <f>IF($E746=Keys!$C$60,Keys!$C$51,INDEX(Raw_BFPIaE!$G$9:$G$3032,MATCH($A746&amp;Keys!$C$54&amp;Keys!$C$55&amp;Keys!$C$54&amp;$B746,Raw_BFPIaE!$H$9:$H$3032,0)))</f>
        <v>6178450000000</v>
      </c>
      <c r="Q746" s="10">
        <f>IF($E746=Keys!$C$60,Keys!$C$51,INDEX(Raw_BFPIaE!$G$9:$G$3032,MATCH($A746&amp;Keys!$C$54&amp;Keys!$C$56&amp;Keys!$C$54&amp;$B746,Raw_BFPIaE!$H$9:$H$3032,0)))</f>
        <v>56309733333333.336</v>
      </c>
      <c r="R746" s="10">
        <f>IF($E746=Keys!$C$60,Keys!$C$51,INDEX(Raw_BFPIaE!$G$9:$G$3032,MATCH($A746&amp;Keys!$C$54&amp;Keys!$C$57&amp;Keys!$C$54&amp;$B746,Raw_BFPIaE!$H$9:$H$3032,0)))</f>
        <v>0</v>
      </c>
      <c r="S746" s="11">
        <f>IF(($P746+$Q746-$R746+MAX(Keys!$C$51,$R746-$Q746))&gt;Keys!$C$51,MIN(Keys!$C$52,MAX(Keys!$C$51,$R746-$Q746)/($P746+$Q746-$R746+MAX(Keys!$C$51,$R746-$Q746))),Keys!$C$51)</f>
        <v>0</v>
      </c>
      <c r="T746">
        <f>IF(AND($I746&gt;$H746,ABS($L746-$G746)&gt;MAX(Keys!$C$62,ABS($G746)*Keys!$C$63)),1,0)</f>
        <v>0</v>
      </c>
      <c r="U746">
        <f>IF(OR($N746&lt;Keys!$C$51,$N746&gt;Keys!$C$52),1,0)</f>
        <v>0</v>
      </c>
      <c r="V746">
        <f>IF(AND($E746=Keys!$C$60,$N746&lt;&gt;Keys!$C$51),1,0)</f>
        <v>0</v>
      </c>
      <c r="W746">
        <f>IF($L746&gt;Keys!$C$51,IF($K746/$L746&gt;Keys!$C$52,1,0),0)</f>
        <v>0</v>
      </c>
      <c r="X746" s="11">
        <f t="shared" si="47"/>
        <v>0</v>
      </c>
    </row>
    <row r="747" spans="1:24" x14ac:dyDescent="0.25">
      <c r="A747" t="s">
        <v>153</v>
      </c>
      <c r="B747" t="s">
        <v>85</v>
      </c>
      <c r="C747" t="str">
        <f>VLOOKUP($B747,Keys!$F$2:$I$22,2,FALSE)</f>
        <v>petroleum gasoline</v>
      </c>
      <c r="D747">
        <f>VLOOKUP($B747,Keys!$F$2:$I$22,3,FALSE)</f>
        <v>7.5004052000000002E-2</v>
      </c>
      <c r="E747" t="str">
        <f>VLOOKUP($B747,Keys!$F$2:$I$22,4,FALSE)</f>
        <v>rule</v>
      </c>
      <c r="F747" t="str">
        <f>$A747&amp;Keys!$C$54&amp;$B747</f>
        <v>PA|petroleum gasoline</v>
      </c>
      <c r="G747" s="10">
        <f>IF($E747=Keys!$C$60,Keys!$C$51,INDEX(Balanced_2025!$D$9:$D$3032,MATCH($A747&amp;Keys!$C$54&amp;Keys!$C$55&amp;Keys!$C$54&amp;$C747,Balanced_2025!$E$9:$E$3032,0)))</f>
        <v>260094000000000</v>
      </c>
      <c r="H747" s="10">
        <f>IF($E747=Keys!$C$60,Keys!$C$51,INDEX(Balanced_2025!$D$9:$D$3032,MATCH($A747&amp;Keys!$C$54&amp;Keys!$C$56&amp;Keys!$C$54&amp;$C747,Balanced_2025!$E$9:$E$3032,0)))</f>
        <v>211412000000000</v>
      </c>
      <c r="I747" s="10">
        <f>IF($E747=Keys!$C$60,Keys!$C$51,INDEX(Balanced_2025!$D$9:$D$3032,MATCH($A747&amp;Keys!$C$54&amp;Keys!$C$57&amp;Keys!$C$54&amp;$C747,Balanced_2025!$E$9:$E$3032,0)))</f>
        <v>0</v>
      </c>
      <c r="J747" s="10">
        <f t="shared" si="44"/>
        <v>471506000000000</v>
      </c>
      <c r="K747" s="10">
        <f>MAX(Keys!$C$51,$I747-$H747)</f>
        <v>0</v>
      </c>
      <c r="L747" s="10">
        <f t="shared" si="45"/>
        <v>471506000000000</v>
      </c>
      <c r="M747" s="11">
        <f>IF($L747&gt;Keys!$C$51,MIN(Keys!$C$52,$K747/$L747),Keys!$C$51)</f>
        <v>0</v>
      </c>
      <c r="N747" s="11">
        <f>IF($E747=Keys!$C$60,Keys!$C$51,IF($E747=Keys!$C$59,$D747,$M747))</f>
        <v>0</v>
      </c>
      <c r="O747">
        <f t="shared" si="46"/>
        <v>1</v>
      </c>
      <c r="P747" s="10">
        <f>IF($E747=Keys!$C$60,Keys!$C$51,INDEX(Raw_BFPIaE!$G$9:$G$3032,MATCH($A747&amp;Keys!$C$54&amp;Keys!$C$55&amp;Keys!$C$54&amp;$B747,Raw_BFPIaE!$H$9:$H$3032,0)))</f>
        <v>257992666666666.66</v>
      </c>
      <c r="Q747" s="10">
        <f>IF($E747=Keys!$C$60,Keys!$C$51,INDEX(Raw_BFPIaE!$G$9:$G$3032,MATCH($A747&amp;Keys!$C$54&amp;Keys!$C$56&amp;Keys!$C$54&amp;$B747,Raw_BFPIaE!$H$9:$H$3032,0)))</f>
        <v>123159666666666.67</v>
      </c>
      <c r="R747" s="10">
        <f>IF($E747=Keys!$C$60,Keys!$C$51,INDEX(Raw_BFPIaE!$G$9:$G$3032,MATCH($A747&amp;Keys!$C$54&amp;Keys!$C$57&amp;Keys!$C$54&amp;$B747,Raw_BFPIaE!$H$9:$H$3032,0)))</f>
        <v>0</v>
      </c>
      <c r="S747" s="11">
        <f>IF(($P747+$Q747-$R747+MAX(Keys!$C$51,$R747-$Q747))&gt;Keys!$C$51,MIN(Keys!$C$52,MAX(Keys!$C$51,$R747-$Q747)/($P747+$Q747-$R747+MAX(Keys!$C$51,$R747-$Q747))),Keys!$C$51)</f>
        <v>0</v>
      </c>
      <c r="T747">
        <f>IF(AND($I747&gt;$H747,ABS($L747-$G747)&gt;MAX(Keys!$C$62,ABS($G747)*Keys!$C$63)),1,0)</f>
        <v>0</v>
      </c>
      <c r="U747">
        <f>IF(OR($N747&lt;Keys!$C$51,$N747&gt;Keys!$C$52),1,0)</f>
        <v>0</v>
      </c>
      <c r="V747">
        <f>IF(AND($E747=Keys!$C$60,$N747&lt;&gt;Keys!$C$51),1,0)</f>
        <v>0</v>
      </c>
      <c r="W747">
        <f>IF($L747&gt;Keys!$C$51,IF($K747/$L747&gt;Keys!$C$52,1,0),0)</f>
        <v>0</v>
      </c>
      <c r="X747" s="11">
        <f t="shared" si="47"/>
        <v>0</v>
      </c>
    </row>
    <row r="748" spans="1:24" x14ac:dyDescent="0.25">
      <c r="A748" t="s">
        <v>153</v>
      </c>
      <c r="B748" t="s">
        <v>88</v>
      </c>
      <c r="C748" t="str">
        <f>VLOOKUP($B748,Keys!$F$2:$I$22,2,FALSE)</f>
        <v>petroleum diesel</v>
      </c>
      <c r="D748">
        <f>VLOOKUP($B748,Keys!$F$2:$I$22,3,FALSE)</f>
        <v>0.26691051799999999</v>
      </c>
      <c r="E748" t="str">
        <f>VLOOKUP($B748,Keys!$F$2:$I$22,4,FALSE)</f>
        <v>rule</v>
      </c>
      <c r="F748" t="str">
        <f>$A748&amp;Keys!$C$54&amp;$B748</f>
        <v>PA|petroleum diesel</v>
      </c>
      <c r="G748" s="10">
        <f>IF($E748=Keys!$C$60,Keys!$C$51,INDEX(Balanced_2025!$D$9:$D$3032,MATCH($A748&amp;Keys!$C$54&amp;Keys!$C$55&amp;Keys!$C$54&amp;$C748,Balanced_2025!$E$9:$E$3032,0)))</f>
        <v>153850000000000</v>
      </c>
      <c r="H748" s="10">
        <f>IF($E748=Keys!$C$60,Keys!$C$51,INDEX(Balanced_2025!$D$9:$D$3032,MATCH($A748&amp;Keys!$C$54&amp;Keys!$C$56&amp;Keys!$C$54&amp;$C748,Balanced_2025!$E$9:$E$3032,0)))</f>
        <v>200542000000000</v>
      </c>
      <c r="I748" s="10">
        <f>IF($E748=Keys!$C$60,Keys!$C$51,INDEX(Balanced_2025!$D$9:$D$3032,MATCH($A748&amp;Keys!$C$54&amp;Keys!$C$57&amp;Keys!$C$54&amp;$C748,Balanced_2025!$E$9:$E$3032,0)))</f>
        <v>0</v>
      </c>
      <c r="J748" s="10">
        <f t="shared" si="44"/>
        <v>354392000000000</v>
      </c>
      <c r="K748" s="10">
        <f>MAX(Keys!$C$51,$I748-$H748)</f>
        <v>0</v>
      </c>
      <c r="L748" s="10">
        <f t="shared" si="45"/>
        <v>354392000000000</v>
      </c>
      <c r="M748" s="11">
        <f>IF($L748&gt;Keys!$C$51,MIN(Keys!$C$52,$K748/$L748),Keys!$C$51)</f>
        <v>0</v>
      </c>
      <c r="N748" s="11">
        <f>IF($E748=Keys!$C$60,Keys!$C$51,IF($E748=Keys!$C$59,$D748,$M748))</f>
        <v>0</v>
      </c>
      <c r="O748">
        <f t="shared" si="46"/>
        <v>1</v>
      </c>
      <c r="P748" s="10">
        <f>IF($E748=Keys!$C$60,Keys!$C$51,INDEX(Raw_BFPIaE!$G$9:$G$3032,MATCH($A748&amp;Keys!$C$54&amp;Keys!$C$55&amp;Keys!$C$54&amp;$B748,Raw_BFPIaE!$H$9:$H$3032,0)))</f>
        <v>152607000000000</v>
      </c>
      <c r="Q748" s="10">
        <f>IF($E748=Keys!$C$60,Keys!$C$51,INDEX(Raw_BFPIaE!$G$9:$G$3032,MATCH($A748&amp;Keys!$C$54&amp;Keys!$C$56&amp;Keys!$C$54&amp;$B748,Raw_BFPIaE!$H$9:$H$3032,0)))</f>
        <v>130759000000000</v>
      </c>
      <c r="R748" s="10">
        <f>IF($E748=Keys!$C$60,Keys!$C$51,INDEX(Raw_BFPIaE!$G$9:$G$3032,MATCH($A748&amp;Keys!$C$54&amp;Keys!$C$57&amp;Keys!$C$54&amp;$B748,Raw_BFPIaE!$H$9:$H$3032,0)))</f>
        <v>0</v>
      </c>
      <c r="S748" s="11">
        <f>IF(($P748+$Q748-$R748+MAX(Keys!$C$51,$R748-$Q748))&gt;Keys!$C$51,MIN(Keys!$C$52,MAX(Keys!$C$51,$R748-$Q748)/($P748+$Q748-$R748+MAX(Keys!$C$51,$R748-$Q748))),Keys!$C$51)</f>
        <v>0</v>
      </c>
      <c r="T748">
        <f>IF(AND($I748&gt;$H748,ABS($L748-$G748)&gt;MAX(Keys!$C$62,ABS($G748)*Keys!$C$63)),1,0)</f>
        <v>0</v>
      </c>
      <c r="U748">
        <f>IF(OR($N748&lt;Keys!$C$51,$N748&gt;Keys!$C$52),1,0)</f>
        <v>0</v>
      </c>
      <c r="V748">
        <f>IF(AND($E748=Keys!$C$60,$N748&lt;&gt;Keys!$C$51),1,0)</f>
        <v>0</v>
      </c>
      <c r="W748">
        <f>IF($L748&gt;Keys!$C$51,IF($K748/$L748&gt;Keys!$C$52,1,0),0)</f>
        <v>0</v>
      </c>
      <c r="X748" s="11">
        <f t="shared" si="47"/>
        <v>0</v>
      </c>
    </row>
    <row r="749" spans="1:24" x14ac:dyDescent="0.25">
      <c r="A749" t="s">
        <v>153</v>
      </c>
      <c r="B749" t="s">
        <v>91</v>
      </c>
      <c r="C749" t="str">
        <f>VLOOKUP($B749,Keys!$F$2:$I$22,2,FALSE)</f>
        <v>biofuel gasoline</v>
      </c>
      <c r="D749">
        <f>VLOOKUP($B749,Keys!$F$2:$I$22,3,FALSE)</f>
        <v>8.7213884000000005E-2</v>
      </c>
      <c r="E749" t="str">
        <f>VLOOKUP($B749,Keys!$F$2:$I$22,4,FALSE)</f>
        <v>rule</v>
      </c>
      <c r="F749" t="str">
        <f>$A749&amp;Keys!$C$54&amp;$B749</f>
        <v>PA|biofuel gasoline</v>
      </c>
      <c r="G749" s="10">
        <f>IF($E749=Keys!$C$60,Keys!$C$51,INDEX(Balanced_2025!$D$9:$D$3032,MATCH($A749&amp;Keys!$C$54&amp;Keys!$C$55&amp;Keys!$C$54&amp;$C749,Balanced_2025!$E$9:$E$3032,0)))</f>
        <v>10523400000000</v>
      </c>
      <c r="H749" s="10">
        <f>IF($E749=Keys!$C$60,Keys!$C$51,INDEX(Balanced_2025!$D$9:$D$3032,MATCH($A749&amp;Keys!$C$54&amp;Keys!$C$56&amp;Keys!$C$54&amp;$C749,Balanced_2025!$E$9:$E$3032,0)))</f>
        <v>22504800000000</v>
      </c>
      <c r="I749" s="10">
        <f>IF($E749=Keys!$C$60,Keys!$C$51,INDEX(Balanced_2025!$D$9:$D$3032,MATCH($A749&amp;Keys!$C$54&amp;Keys!$C$57&amp;Keys!$C$54&amp;$C749,Balanced_2025!$E$9:$E$3032,0)))</f>
        <v>0</v>
      </c>
      <c r="J749" s="10">
        <f t="shared" si="44"/>
        <v>33028200000000</v>
      </c>
      <c r="K749" s="10">
        <f>MAX(Keys!$C$51,$I749-$H749)</f>
        <v>0</v>
      </c>
      <c r="L749" s="10">
        <f t="shared" si="45"/>
        <v>33028200000000</v>
      </c>
      <c r="M749" s="11">
        <f>IF($L749&gt;Keys!$C$51,MIN(Keys!$C$52,$K749/$L749),Keys!$C$51)</f>
        <v>0</v>
      </c>
      <c r="N749" s="11">
        <f>IF($E749=Keys!$C$60,Keys!$C$51,IF($E749=Keys!$C$59,$D749,$M749))</f>
        <v>0</v>
      </c>
      <c r="O749">
        <f t="shared" si="46"/>
        <v>1</v>
      </c>
      <c r="P749" s="10">
        <f>IF($E749=Keys!$C$60,Keys!$C$51,INDEX(Raw_BFPIaE!$G$9:$G$3032,MATCH($A749&amp;Keys!$C$54&amp;Keys!$C$55&amp;Keys!$C$54&amp;$B749,Raw_BFPIaE!$H$9:$H$3032,0)))</f>
        <v>10533266666666.666</v>
      </c>
      <c r="Q749" s="10">
        <f>IF($E749=Keys!$C$60,Keys!$C$51,INDEX(Raw_BFPIaE!$G$9:$G$3032,MATCH($A749&amp;Keys!$C$54&amp;Keys!$C$56&amp;Keys!$C$54&amp;$B749,Raw_BFPIaE!$H$9:$H$3032,0)))</f>
        <v>13595200000000</v>
      </c>
      <c r="R749" s="10">
        <f>IF($E749=Keys!$C$60,Keys!$C$51,INDEX(Raw_BFPIaE!$G$9:$G$3032,MATCH($A749&amp;Keys!$C$54&amp;Keys!$C$57&amp;Keys!$C$54&amp;$B749,Raw_BFPIaE!$H$9:$H$3032,0)))</f>
        <v>0</v>
      </c>
      <c r="S749" s="11">
        <f>IF(($P749+$Q749-$R749+MAX(Keys!$C$51,$R749-$Q749))&gt;Keys!$C$51,MIN(Keys!$C$52,MAX(Keys!$C$51,$R749-$Q749)/($P749+$Q749-$R749+MAX(Keys!$C$51,$R749-$Q749))),Keys!$C$51)</f>
        <v>0</v>
      </c>
      <c r="T749">
        <f>IF(AND($I749&gt;$H749,ABS($L749-$G749)&gt;MAX(Keys!$C$62,ABS($G749)*Keys!$C$63)),1,0)</f>
        <v>0</v>
      </c>
      <c r="U749">
        <f>IF(OR($N749&lt;Keys!$C$51,$N749&gt;Keys!$C$52),1,0)</f>
        <v>0</v>
      </c>
      <c r="V749">
        <f>IF(AND($E749=Keys!$C$60,$N749&lt;&gt;Keys!$C$51),1,0)</f>
        <v>0</v>
      </c>
      <c r="W749">
        <f>IF($L749&gt;Keys!$C$51,IF($K749/$L749&gt;Keys!$C$52,1,0),0)</f>
        <v>0</v>
      </c>
      <c r="X749" s="11">
        <f t="shared" si="47"/>
        <v>0</v>
      </c>
    </row>
    <row r="750" spans="1:24" x14ac:dyDescent="0.25">
      <c r="A750" t="s">
        <v>153</v>
      </c>
      <c r="B750" t="s">
        <v>94</v>
      </c>
      <c r="C750" t="str">
        <f>VLOOKUP($B750,Keys!$F$2:$I$22,2,FALSE)</f>
        <v>biofuel diesel</v>
      </c>
      <c r="D750">
        <f>VLOOKUP($B750,Keys!$F$2:$I$22,3,FALSE)</f>
        <v>5.8642381E-2</v>
      </c>
      <c r="E750" t="str">
        <f>VLOOKUP($B750,Keys!$F$2:$I$22,4,FALSE)</f>
        <v>rule</v>
      </c>
      <c r="F750" t="str">
        <f>$A750&amp;Keys!$C$54&amp;$B750</f>
        <v>PA|biofuel diesel</v>
      </c>
      <c r="G750" s="10">
        <f>IF($E750=Keys!$C$60,Keys!$C$51,INDEX(Balanced_2025!$D$9:$D$3032,MATCH($A750&amp;Keys!$C$54&amp;Keys!$C$55&amp;Keys!$C$54&amp;$C750,Balanced_2025!$E$9:$E$3032,0)))</f>
        <v>19530300000000</v>
      </c>
      <c r="H750" s="10">
        <f>IF($E750=Keys!$C$60,Keys!$C$51,INDEX(Balanced_2025!$D$9:$D$3032,MATCH($A750&amp;Keys!$C$54&amp;Keys!$C$56&amp;Keys!$C$54&amp;$C750,Balanced_2025!$E$9:$E$3032,0)))</f>
        <v>199323000000</v>
      </c>
      <c r="I750" s="10">
        <f>IF($E750=Keys!$C$60,Keys!$C$51,INDEX(Balanced_2025!$D$9:$D$3032,MATCH($A750&amp;Keys!$C$54&amp;Keys!$C$57&amp;Keys!$C$54&amp;$C750,Balanced_2025!$E$9:$E$3032,0)))</f>
        <v>14036500000000</v>
      </c>
      <c r="J750" s="10">
        <f t="shared" si="44"/>
        <v>5693123000000</v>
      </c>
      <c r="K750" s="10">
        <f>MAX(Keys!$C$51,$I750-$H750)</f>
        <v>13837177000000</v>
      </c>
      <c r="L750" s="10">
        <f t="shared" si="45"/>
        <v>19530300000000</v>
      </c>
      <c r="M750" s="11">
        <f>IF($L750&gt;Keys!$C$51,MIN(Keys!$C$52,$K750/$L750),Keys!$C$51)</f>
        <v>0.70849792373901066</v>
      </c>
      <c r="N750" s="11">
        <f>IF($E750=Keys!$C$60,Keys!$C$51,IF($E750=Keys!$C$59,$D750,$M750))</f>
        <v>0.70849792373901066</v>
      </c>
      <c r="O750">
        <f t="shared" si="46"/>
        <v>1</v>
      </c>
      <c r="P750" s="10">
        <f>IF($E750=Keys!$C$60,Keys!$C$51,INDEX(Raw_BFPIaE!$G$9:$G$3032,MATCH($A750&amp;Keys!$C$54&amp;Keys!$C$55&amp;Keys!$C$54&amp;$B750,Raw_BFPIaE!$H$9:$H$3032,0)))</f>
        <v>20753300000000</v>
      </c>
      <c r="Q750" s="10">
        <f>IF($E750=Keys!$C$60,Keys!$C$51,INDEX(Raw_BFPIaE!$G$9:$G$3032,MATCH($A750&amp;Keys!$C$54&amp;Keys!$C$56&amp;Keys!$C$54&amp;$B750,Raw_BFPIaE!$H$9:$H$3032,0)))</f>
        <v>0</v>
      </c>
      <c r="R750" s="10">
        <f>IF($E750=Keys!$C$60,Keys!$C$51,INDEX(Raw_BFPIaE!$G$9:$G$3032,MATCH($A750&amp;Keys!$C$54&amp;Keys!$C$57&amp;Keys!$C$54&amp;$B750,Raw_BFPIaE!$H$9:$H$3032,0)))</f>
        <v>10545766666666.666</v>
      </c>
      <c r="S750" s="11">
        <f>IF(($P750+$Q750-$R750+MAX(Keys!$C$51,$R750-$Q750))&gt;Keys!$C$51,MIN(Keys!$C$52,MAX(Keys!$C$51,$R750-$Q750)/($P750+$Q750-$R750+MAX(Keys!$C$51,$R750-$Q750))),Keys!$C$51)</f>
        <v>0.50814890483280573</v>
      </c>
      <c r="T750">
        <f>IF(AND($I750&gt;$H750,ABS($L750-$G750)&gt;MAX(Keys!$C$62,ABS($G750)*Keys!$C$63)),1,0)</f>
        <v>0</v>
      </c>
      <c r="U750">
        <f>IF(OR($N750&lt;Keys!$C$51,$N750&gt;Keys!$C$52),1,0)</f>
        <v>0</v>
      </c>
      <c r="V750">
        <f>IF(AND($E750=Keys!$C$60,$N750&lt;&gt;Keys!$C$51),1,0)</f>
        <v>0</v>
      </c>
      <c r="W750">
        <f>IF($L750&gt;Keys!$C$51,IF($K750/$L750&gt;Keys!$C$52,1,0),0)</f>
        <v>0</v>
      </c>
      <c r="X750" s="11">
        <f t="shared" si="47"/>
        <v>0.20034901890620493</v>
      </c>
    </row>
    <row r="751" spans="1:24" x14ac:dyDescent="0.25">
      <c r="A751" t="s">
        <v>153</v>
      </c>
      <c r="B751" t="s">
        <v>97</v>
      </c>
      <c r="C751" t="str">
        <f>VLOOKUP($B751,Keys!$F$2:$I$22,2,FALSE)</f>
        <v>jet fuel or kerosene</v>
      </c>
      <c r="D751">
        <f>VLOOKUP($B751,Keys!$F$2:$I$22,3,FALSE)</f>
        <v>0.10155994</v>
      </c>
      <c r="E751" t="str">
        <f>VLOOKUP($B751,Keys!$F$2:$I$22,4,FALSE)</f>
        <v>rule</v>
      </c>
      <c r="F751" t="str">
        <f>$A751&amp;Keys!$C$54&amp;$B751</f>
        <v>PA|jet fuel or kerosene</v>
      </c>
      <c r="G751" s="10">
        <f>IF($E751=Keys!$C$60,Keys!$C$51,INDEX(Balanced_2025!$D$9:$D$3032,MATCH($A751&amp;Keys!$C$54&amp;Keys!$C$55&amp;Keys!$C$54&amp;$C751,Balanced_2025!$E$9:$E$3032,0)))</f>
        <v>54767300000000</v>
      </c>
      <c r="H751" s="10">
        <f>IF($E751=Keys!$C$60,Keys!$C$51,INDEX(Balanced_2025!$D$9:$D$3032,MATCH($A751&amp;Keys!$C$54&amp;Keys!$C$56&amp;Keys!$C$54&amp;$C751,Balanced_2025!$E$9:$E$3032,0)))</f>
        <v>11207400000000</v>
      </c>
      <c r="I751" s="10">
        <f>IF($E751=Keys!$C$60,Keys!$C$51,INDEX(Balanced_2025!$D$9:$D$3032,MATCH($A751&amp;Keys!$C$54&amp;Keys!$C$57&amp;Keys!$C$54&amp;$C751,Balanced_2025!$E$9:$E$3032,0)))</f>
        <v>0</v>
      </c>
      <c r="J751" s="10">
        <f t="shared" si="44"/>
        <v>65974700000000</v>
      </c>
      <c r="K751" s="10">
        <f>MAX(Keys!$C$51,$I751-$H751)</f>
        <v>0</v>
      </c>
      <c r="L751" s="10">
        <f t="shared" si="45"/>
        <v>65974700000000</v>
      </c>
      <c r="M751" s="11">
        <f>IF($L751&gt;Keys!$C$51,MIN(Keys!$C$52,$K751/$L751),Keys!$C$51)</f>
        <v>0</v>
      </c>
      <c r="N751" s="11">
        <f>IF($E751=Keys!$C$60,Keys!$C$51,IF($E751=Keys!$C$59,$D751,$M751))</f>
        <v>0</v>
      </c>
      <c r="O751">
        <f t="shared" si="46"/>
        <v>1</v>
      </c>
      <c r="P751" s="10">
        <f>IF($E751=Keys!$C$60,Keys!$C$51,INDEX(Raw_BFPIaE!$G$9:$G$3032,MATCH($A751&amp;Keys!$C$54&amp;Keys!$C$55&amp;Keys!$C$54&amp;$B751,Raw_BFPIaE!$H$9:$H$3032,0)))</f>
        <v>54324833333333.336</v>
      </c>
      <c r="Q751" s="10">
        <f>IF($E751=Keys!$C$60,Keys!$C$51,INDEX(Raw_BFPIaE!$G$9:$G$3032,MATCH($A751&amp;Keys!$C$54&amp;Keys!$C$56&amp;Keys!$C$54&amp;$B751,Raw_BFPIaE!$H$9:$H$3032,0)))</f>
        <v>8555933333333.333</v>
      </c>
      <c r="R751" s="10">
        <f>IF($E751=Keys!$C$60,Keys!$C$51,INDEX(Raw_BFPIaE!$G$9:$G$3032,MATCH($A751&amp;Keys!$C$54&amp;Keys!$C$57&amp;Keys!$C$54&amp;$B751,Raw_BFPIaE!$H$9:$H$3032,0)))</f>
        <v>0</v>
      </c>
      <c r="S751" s="11">
        <f>IF(($P751+$Q751-$R751+MAX(Keys!$C$51,$R751-$Q751))&gt;Keys!$C$51,MIN(Keys!$C$52,MAX(Keys!$C$51,$R751-$Q751)/($P751+$Q751-$R751+MAX(Keys!$C$51,$R751-$Q751))),Keys!$C$51)</f>
        <v>0</v>
      </c>
      <c r="T751">
        <f>IF(AND($I751&gt;$H751,ABS($L751-$G751)&gt;MAX(Keys!$C$62,ABS($G751)*Keys!$C$63)),1,0)</f>
        <v>0</v>
      </c>
      <c r="U751">
        <f>IF(OR($N751&lt;Keys!$C$51,$N751&gt;Keys!$C$52),1,0)</f>
        <v>0</v>
      </c>
      <c r="V751">
        <f>IF(AND($E751=Keys!$C$60,$N751&lt;&gt;Keys!$C$51),1,0)</f>
        <v>0</v>
      </c>
      <c r="W751">
        <f>IF($L751&gt;Keys!$C$51,IF($K751/$L751&gt;Keys!$C$52,1,0),0)</f>
        <v>0</v>
      </c>
      <c r="X751" s="11">
        <f t="shared" si="47"/>
        <v>0</v>
      </c>
    </row>
    <row r="752" spans="1:24" x14ac:dyDescent="0.25">
      <c r="A752" t="s">
        <v>153</v>
      </c>
      <c r="B752" t="s">
        <v>100</v>
      </c>
      <c r="C752">
        <f>VLOOKUP($B752,Keys!$F$2:$I$22,2,FALSE)</f>
        <v>0</v>
      </c>
      <c r="D752">
        <f>VLOOKUP($B752,Keys!$F$2:$I$22,3,FALSE)</f>
        <v>0</v>
      </c>
      <c r="E752" t="str">
        <f>VLOOKUP($B752,Keys!$F$2:$I$22,4,FALSE)</f>
        <v>zero</v>
      </c>
      <c r="F752" t="str">
        <f>$A752&amp;Keys!$C$54&amp;$B752</f>
        <v>PA|heat (not used in this variable)</v>
      </c>
      <c r="G752" s="10">
        <f>IF($E752=Keys!$C$60,Keys!$C$51,INDEX(Balanced_2025!$D$9:$D$3032,MATCH($A752&amp;Keys!$C$54&amp;Keys!$C$55&amp;Keys!$C$54&amp;$C752,Balanced_2025!$E$9:$E$3032,0)))</f>
        <v>0</v>
      </c>
      <c r="H752" s="10">
        <f>IF($E752=Keys!$C$60,Keys!$C$51,INDEX(Balanced_2025!$D$9:$D$3032,MATCH($A752&amp;Keys!$C$54&amp;Keys!$C$56&amp;Keys!$C$54&amp;$C752,Balanced_2025!$E$9:$E$3032,0)))</f>
        <v>0</v>
      </c>
      <c r="I752" s="10">
        <f>IF($E752=Keys!$C$60,Keys!$C$51,INDEX(Balanced_2025!$D$9:$D$3032,MATCH($A752&amp;Keys!$C$54&amp;Keys!$C$57&amp;Keys!$C$54&amp;$C752,Balanced_2025!$E$9:$E$3032,0)))</f>
        <v>0</v>
      </c>
      <c r="J752" s="10">
        <f t="shared" si="44"/>
        <v>0</v>
      </c>
      <c r="K752" s="10">
        <f>MAX(Keys!$C$51,$I752-$H752)</f>
        <v>0</v>
      </c>
      <c r="L752" s="10">
        <f t="shared" si="45"/>
        <v>0</v>
      </c>
      <c r="M752" s="11">
        <f>IF($L752&gt;Keys!$C$51,MIN(Keys!$C$52,$K752/$L752),Keys!$C$51)</f>
        <v>0</v>
      </c>
      <c r="N752" s="11">
        <f>IF($E752=Keys!$C$60,Keys!$C$51,IF($E752=Keys!$C$59,$D752,$M752))</f>
        <v>0</v>
      </c>
      <c r="O752">
        <f t="shared" si="46"/>
        <v>0</v>
      </c>
      <c r="P752" s="10">
        <f>IF($E752=Keys!$C$60,Keys!$C$51,INDEX(Raw_BFPIaE!$G$9:$G$3032,MATCH($A752&amp;Keys!$C$54&amp;Keys!$C$55&amp;Keys!$C$54&amp;$B752,Raw_BFPIaE!$H$9:$H$3032,0)))</f>
        <v>0</v>
      </c>
      <c r="Q752" s="10">
        <f>IF($E752=Keys!$C$60,Keys!$C$51,INDEX(Raw_BFPIaE!$G$9:$G$3032,MATCH($A752&amp;Keys!$C$54&amp;Keys!$C$56&amp;Keys!$C$54&amp;$B752,Raw_BFPIaE!$H$9:$H$3032,0)))</f>
        <v>0</v>
      </c>
      <c r="R752" s="10">
        <f>IF($E752=Keys!$C$60,Keys!$C$51,INDEX(Raw_BFPIaE!$G$9:$G$3032,MATCH($A752&amp;Keys!$C$54&amp;Keys!$C$57&amp;Keys!$C$54&amp;$B752,Raw_BFPIaE!$H$9:$H$3032,0)))</f>
        <v>0</v>
      </c>
      <c r="S752" s="11">
        <f>IF(($P752+$Q752-$R752+MAX(Keys!$C$51,$R752-$Q752))&gt;Keys!$C$51,MIN(Keys!$C$52,MAX(Keys!$C$51,$R752-$Q752)/($P752+$Q752-$R752+MAX(Keys!$C$51,$R752-$Q752))),Keys!$C$51)</f>
        <v>0</v>
      </c>
      <c r="T752">
        <f>IF(AND($I752&gt;$H752,ABS($L752-$G752)&gt;MAX(Keys!$C$62,ABS($G752)*Keys!$C$63)),1,0)</f>
        <v>0</v>
      </c>
      <c r="U752">
        <f>IF(OR($N752&lt;Keys!$C$51,$N752&gt;Keys!$C$52),1,0)</f>
        <v>0</v>
      </c>
      <c r="V752">
        <f>IF(AND($E752=Keys!$C$60,$N752&lt;&gt;Keys!$C$51),1,0)</f>
        <v>0</v>
      </c>
      <c r="W752">
        <f>IF($L752&gt;Keys!$C$51,IF($K752/$L752&gt;Keys!$C$52,1,0),0)</f>
        <v>0</v>
      </c>
      <c r="X752" s="11">
        <f t="shared" si="47"/>
        <v>0</v>
      </c>
    </row>
    <row r="753" spans="1:24" x14ac:dyDescent="0.25">
      <c r="A753" t="s">
        <v>153</v>
      </c>
      <c r="B753" t="s">
        <v>103</v>
      </c>
      <c r="C753">
        <f>VLOOKUP($B753,Keys!$F$2:$I$22,2,FALSE)</f>
        <v>0</v>
      </c>
      <c r="D753">
        <f>VLOOKUP($B753,Keys!$F$2:$I$22,3,FALSE)</f>
        <v>0</v>
      </c>
      <c r="E753" t="str">
        <f>VLOOKUP($B753,Keys!$F$2:$I$22,4,FALSE)</f>
        <v>zero</v>
      </c>
      <c r="F753" t="str">
        <f>$A753&amp;Keys!$C$54&amp;$B753</f>
        <v>PA|geothermal (is not a fuel)</v>
      </c>
      <c r="G753" s="10">
        <f>IF($E753=Keys!$C$60,Keys!$C$51,INDEX(Balanced_2025!$D$9:$D$3032,MATCH($A753&amp;Keys!$C$54&amp;Keys!$C$55&amp;Keys!$C$54&amp;$C753,Balanced_2025!$E$9:$E$3032,0)))</f>
        <v>0</v>
      </c>
      <c r="H753" s="10">
        <f>IF($E753=Keys!$C$60,Keys!$C$51,INDEX(Balanced_2025!$D$9:$D$3032,MATCH($A753&amp;Keys!$C$54&amp;Keys!$C$56&amp;Keys!$C$54&amp;$C753,Balanced_2025!$E$9:$E$3032,0)))</f>
        <v>0</v>
      </c>
      <c r="I753" s="10">
        <f>IF($E753=Keys!$C$60,Keys!$C$51,INDEX(Balanced_2025!$D$9:$D$3032,MATCH($A753&amp;Keys!$C$54&amp;Keys!$C$57&amp;Keys!$C$54&amp;$C753,Balanced_2025!$E$9:$E$3032,0)))</f>
        <v>0</v>
      </c>
      <c r="J753" s="10">
        <f t="shared" si="44"/>
        <v>0</v>
      </c>
      <c r="K753" s="10">
        <f>MAX(Keys!$C$51,$I753-$H753)</f>
        <v>0</v>
      </c>
      <c r="L753" s="10">
        <f t="shared" si="45"/>
        <v>0</v>
      </c>
      <c r="M753" s="11">
        <f>IF($L753&gt;Keys!$C$51,MIN(Keys!$C$52,$K753/$L753),Keys!$C$51)</f>
        <v>0</v>
      </c>
      <c r="N753" s="11">
        <f>IF($E753=Keys!$C$60,Keys!$C$51,IF($E753=Keys!$C$59,$D753,$M753))</f>
        <v>0</v>
      </c>
      <c r="O753">
        <f t="shared" si="46"/>
        <v>0</v>
      </c>
      <c r="P753" s="10">
        <f>IF($E753=Keys!$C$60,Keys!$C$51,INDEX(Raw_BFPIaE!$G$9:$G$3032,MATCH($A753&amp;Keys!$C$54&amp;Keys!$C$55&amp;Keys!$C$54&amp;$B753,Raw_BFPIaE!$H$9:$H$3032,0)))</f>
        <v>0</v>
      </c>
      <c r="Q753" s="10">
        <f>IF($E753=Keys!$C$60,Keys!$C$51,INDEX(Raw_BFPIaE!$G$9:$G$3032,MATCH($A753&amp;Keys!$C$54&amp;Keys!$C$56&amp;Keys!$C$54&amp;$B753,Raw_BFPIaE!$H$9:$H$3032,0)))</f>
        <v>0</v>
      </c>
      <c r="R753" s="10">
        <f>IF($E753=Keys!$C$60,Keys!$C$51,INDEX(Raw_BFPIaE!$G$9:$G$3032,MATCH($A753&amp;Keys!$C$54&amp;Keys!$C$57&amp;Keys!$C$54&amp;$B753,Raw_BFPIaE!$H$9:$H$3032,0)))</f>
        <v>0</v>
      </c>
      <c r="S753" s="11">
        <f>IF(($P753+$Q753-$R753+MAX(Keys!$C$51,$R753-$Q753))&gt;Keys!$C$51,MIN(Keys!$C$52,MAX(Keys!$C$51,$R753-$Q753)/($P753+$Q753-$R753+MAX(Keys!$C$51,$R753-$Q753))),Keys!$C$51)</f>
        <v>0</v>
      </c>
      <c r="T753">
        <f>IF(AND($I753&gt;$H753,ABS($L753-$G753)&gt;MAX(Keys!$C$62,ABS($G753)*Keys!$C$63)),1,0)</f>
        <v>0</v>
      </c>
      <c r="U753">
        <f>IF(OR($N753&lt;Keys!$C$51,$N753&gt;Keys!$C$52),1,0)</f>
        <v>0</v>
      </c>
      <c r="V753">
        <f>IF(AND($E753=Keys!$C$60,$N753&lt;&gt;Keys!$C$51),1,0)</f>
        <v>0</v>
      </c>
      <c r="W753">
        <f>IF($L753&gt;Keys!$C$51,IF($K753/$L753&gt;Keys!$C$52,1,0),0)</f>
        <v>0</v>
      </c>
      <c r="X753" s="11">
        <f t="shared" si="47"/>
        <v>0</v>
      </c>
    </row>
    <row r="754" spans="1:24" x14ac:dyDescent="0.25">
      <c r="A754" t="s">
        <v>153</v>
      </c>
      <c r="B754" t="s">
        <v>106</v>
      </c>
      <c r="C754" t="str">
        <f>VLOOKUP($B754,Keys!$F$2:$I$22,2,FALSE)</f>
        <v>lignite</v>
      </c>
      <c r="D754">
        <f>VLOOKUP($B754,Keys!$F$2:$I$22,3,FALSE)</f>
        <v>0</v>
      </c>
      <c r="E754" t="str">
        <f>VLOOKUP($B754,Keys!$F$2:$I$22,4,FALSE)</f>
        <v>rule</v>
      </c>
      <c r="F754" t="str">
        <f>$A754&amp;Keys!$C$54&amp;$B754</f>
        <v>PA|lignite</v>
      </c>
      <c r="G754" s="10">
        <f>IF($E754=Keys!$C$60,Keys!$C$51,INDEX(Balanced_2025!$D$9:$D$3032,MATCH($A754&amp;Keys!$C$54&amp;Keys!$C$55&amp;Keys!$C$54&amp;$C754,Balanced_2025!$E$9:$E$3032,0)))</f>
        <v>0</v>
      </c>
      <c r="H754" s="10">
        <f>IF($E754=Keys!$C$60,Keys!$C$51,INDEX(Balanced_2025!$D$9:$D$3032,MATCH($A754&amp;Keys!$C$54&amp;Keys!$C$56&amp;Keys!$C$54&amp;$C754,Balanced_2025!$E$9:$E$3032,0)))</f>
        <v>0</v>
      </c>
      <c r="I754" s="10">
        <f>IF($E754=Keys!$C$60,Keys!$C$51,INDEX(Balanced_2025!$D$9:$D$3032,MATCH($A754&amp;Keys!$C$54&amp;Keys!$C$57&amp;Keys!$C$54&amp;$C754,Balanced_2025!$E$9:$E$3032,0)))</f>
        <v>0</v>
      </c>
      <c r="J754" s="10">
        <f t="shared" si="44"/>
        <v>0</v>
      </c>
      <c r="K754" s="10">
        <f>MAX(Keys!$C$51,$I754-$H754)</f>
        <v>0</v>
      </c>
      <c r="L754" s="10">
        <f t="shared" si="45"/>
        <v>0</v>
      </c>
      <c r="M754" s="11">
        <f>IF($L754&gt;Keys!$C$51,MIN(Keys!$C$52,$K754/$L754),Keys!$C$51)</f>
        <v>0</v>
      </c>
      <c r="N754" s="11">
        <f>IF($E754=Keys!$C$60,Keys!$C$51,IF($E754=Keys!$C$59,$D754,$M754))</f>
        <v>0</v>
      </c>
      <c r="O754">
        <f t="shared" si="46"/>
        <v>0</v>
      </c>
      <c r="P754" s="10">
        <f>IF($E754=Keys!$C$60,Keys!$C$51,INDEX(Raw_BFPIaE!$G$9:$G$3032,MATCH($A754&amp;Keys!$C$54&amp;Keys!$C$55&amp;Keys!$C$54&amp;$B754,Raw_BFPIaE!$H$9:$H$3032,0)))</f>
        <v>0</v>
      </c>
      <c r="Q754" s="10">
        <f>IF($E754=Keys!$C$60,Keys!$C$51,INDEX(Raw_BFPIaE!$G$9:$G$3032,MATCH($A754&amp;Keys!$C$54&amp;Keys!$C$56&amp;Keys!$C$54&amp;$B754,Raw_BFPIaE!$H$9:$H$3032,0)))</f>
        <v>0</v>
      </c>
      <c r="R754" s="10">
        <f>IF($E754=Keys!$C$60,Keys!$C$51,INDEX(Raw_BFPIaE!$G$9:$G$3032,MATCH($A754&amp;Keys!$C$54&amp;Keys!$C$57&amp;Keys!$C$54&amp;$B754,Raw_BFPIaE!$H$9:$H$3032,0)))</f>
        <v>0</v>
      </c>
      <c r="S754" s="11">
        <f>IF(($P754+$Q754-$R754+MAX(Keys!$C$51,$R754-$Q754))&gt;Keys!$C$51,MIN(Keys!$C$52,MAX(Keys!$C$51,$R754-$Q754)/($P754+$Q754-$R754+MAX(Keys!$C$51,$R754-$Q754))),Keys!$C$51)</f>
        <v>0</v>
      </c>
      <c r="T754">
        <f>IF(AND($I754&gt;$H754,ABS($L754-$G754)&gt;MAX(Keys!$C$62,ABS($G754)*Keys!$C$63)),1,0)</f>
        <v>0</v>
      </c>
      <c r="U754">
        <f>IF(OR($N754&lt;Keys!$C$51,$N754&gt;Keys!$C$52),1,0)</f>
        <v>0</v>
      </c>
      <c r="V754">
        <f>IF(AND($E754=Keys!$C$60,$N754&lt;&gt;Keys!$C$51),1,0)</f>
        <v>0</v>
      </c>
      <c r="W754">
        <f>IF($L754&gt;Keys!$C$51,IF($K754/$L754&gt;Keys!$C$52,1,0),0)</f>
        <v>0</v>
      </c>
      <c r="X754" s="11">
        <f t="shared" si="47"/>
        <v>0</v>
      </c>
    </row>
    <row r="755" spans="1:24" x14ac:dyDescent="0.25">
      <c r="A755" t="s">
        <v>153</v>
      </c>
      <c r="B755" t="s">
        <v>109</v>
      </c>
      <c r="C755" t="str">
        <f>VLOOKUP($B755,Keys!$F$2:$I$22,2,FALSE)</f>
        <v>crude oil</v>
      </c>
      <c r="D755">
        <f>VLOOKUP($B755,Keys!$F$2:$I$22,3,FALSE)</f>
        <v>1</v>
      </c>
      <c r="E755" t="str">
        <f>VLOOKUP($B755,Keys!$F$2:$I$22,4,FALSE)</f>
        <v>hold</v>
      </c>
      <c r="F755" t="str">
        <f>$A755&amp;Keys!$C$54&amp;$B755</f>
        <v>PA|crude oil</v>
      </c>
      <c r="G755" s="10">
        <f>IF($E755=Keys!$C$60,Keys!$C$51,INDEX(Balanced_2025!$D$9:$D$3032,MATCH($A755&amp;Keys!$C$54&amp;Keys!$C$55&amp;Keys!$C$54&amp;$C755,Balanced_2025!$E$9:$E$3032,0)))</f>
        <v>25810000000000</v>
      </c>
      <c r="H755" s="10">
        <f>IF($E755=Keys!$C$60,Keys!$C$51,INDEX(Balanced_2025!$D$9:$D$3032,MATCH($A755&amp;Keys!$C$54&amp;Keys!$C$56&amp;Keys!$C$54&amp;$C755,Balanced_2025!$E$9:$E$3032,0)))</f>
        <v>533665000000000</v>
      </c>
      <c r="I755" s="10">
        <f>IF($E755=Keys!$C$60,Keys!$C$51,INDEX(Balanced_2025!$D$9:$D$3032,MATCH($A755&amp;Keys!$C$54&amp;Keys!$C$57&amp;Keys!$C$54&amp;$C755,Balanced_2025!$E$9:$E$3032,0)))</f>
        <v>0</v>
      </c>
      <c r="J755" s="10">
        <f t="shared" si="44"/>
        <v>559475000000000</v>
      </c>
      <c r="K755" s="10">
        <f>MAX(Keys!$C$51,$I755-$H755)</f>
        <v>0</v>
      </c>
      <c r="L755" s="10">
        <f t="shared" si="45"/>
        <v>559475000000000</v>
      </c>
      <c r="M755" s="11">
        <f>IF($L755&gt;Keys!$C$51,MIN(Keys!$C$52,$K755/$L755),Keys!$C$51)</f>
        <v>0</v>
      </c>
      <c r="N755" s="11">
        <f>IF($E755=Keys!$C$60,Keys!$C$51,IF($E755=Keys!$C$59,$D755,$M755))</f>
        <v>1</v>
      </c>
      <c r="O755">
        <f t="shared" si="46"/>
        <v>0</v>
      </c>
      <c r="P755" s="10">
        <f>IF($E755=Keys!$C$60,Keys!$C$51,INDEX(Raw_BFPIaE!$G$9:$G$3032,MATCH($A755&amp;Keys!$C$54&amp;Keys!$C$55&amp;Keys!$C$54&amp;$B755,Raw_BFPIaE!$H$9:$H$3032,0)))</f>
        <v>25024566666666.668</v>
      </c>
      <c r="Q755" s="10">
        <f>IF($E755=Keys!$C$60,Keys!$C$51,INDEX(Raw_BFPIaE!$G$9:$G$3032,MATCH($A755&amp;Keys!$C$54&amp;Keys!$C$56&amp;Keys!$C$54&amp;$B755,Raw_BFPIaE!$H$9:$H$3032,0)))</f>
        <v>356562000000000</v>
      </c>
      <c r="R755" s="10">
        <f>IF($E755=Keys!$C$60,Keys!$C$51,INDEX(Raw_BFPIaE!$G$9:$G$3032,MATCH($A755&amp;Keys!$C$54&amp;Keys!$C$57&amp;Keys!$C$54&amp;$B755,Raw_BFPIaE!$H$9:$H$3032,0)))</f>
        <v>0</v>
      </c>
      <c r="S755" s="11">
        <f>IF(($P755+$Q755-$R755+MAX(Keys!$C$51,$R755-$Q755))&gt;Keys!$C$51,MIN(Keys!$C$52,MAX(Keys!$C$51,$R755-$Q755)/($P755+$Q755-$R755+MAX(Keys!$C$51,$R755-$Q755))),Keys!$C$51)</f>
        <v>0</v>
      </c>
      <c r="T755">
        <f>IF(AND($I755&gt;$H755,ABS($L755-$G755)&gt;MAX(Keys!$C$62,ABS($G755)*Keys!$C$63)),1,0)</f>
        <v>0</v>
      </c>
      <c r="U755">
        <f>IF(OR($N755&lt;Keys!$C$51,$N755&gt;Keys!$C$52),1,0)</f>
        <v>0</v>
      </c>
      <c r="V755">
        <f>IF(AND($E755=Keys!$C$60,$N755&lt;&gt;Keys!$C$51),1,0)</f>
        <v>0</v>
      </c>
      <c r="W755">
        <f>IF($L755&gt;Keys!$C$51,IF($K755/$L755&gt;Keys!$C$52,1,0),0)</f>
        <v>0</v>
      </c>
      <c r="X755" s="11">
        <f t="shared" si="47"/>
        <v>0</v>
      </c>
    </row>
    <row r="756" spans="1:24" x14ac:dyDescent="0.25">
      <c r="A756" t="s">
        <v>153</v>
      </c>
      <c r="B756" t="s">
        <v>113</v>
      </c>
      <c r="C756" t="str">
        <f>VLOOKUP($B756,Keys!$F$2:$I$22,2,FALSE)</f>
        <v>heavy or residual fuel oil</v>
      </c>
      <c r="D756">
        <f>VLOOKUP($B756,Keys!$F$2:$I$22,3,FALSE)</f>
        <v>0.49914171099999999</v>
      </c>
      <c r="E756" t="str">
        <f>VLOOKUP($B756,Keys!$F$2:$I$22,4,FALSE)</f>
        <v>rule</v>
      </c>
      <c r="F756" t="str">
        <f>$A756&amp;Keys!$C$54&amp;$B756</f>
        <v>PA|heavy fuel oil</v>
      </c>
      <c r="G756" s="10">
        <f>IF($E756=Keys!$C$60,Keys!$C$51,INDEX(Balanced_2025!$D$9:$D$3032,MATCH($A756&amp;Keys!$C$54&amp;Keys!$C$55&amp;Keys!$C$54&amp;$C756,Balanced_2025!$E$9:$E$3032,0)))</f>
        <v>10638700000000</v>
      </c>
      <c r="H756" s="10">
        <f>IF($E756=Keys!$C$60,Keys!$C$51,INDEX(Balanced_2025!$D$9:$D$3032,MATCH($A756&amp;Keys!$C$54&amp;Keys!$C$56&amp;Keys!$C$54&amp;$C756,Balanced_2025!$E$9:$E$3032,0)))</f>
        <v>30468200000000</v>
      </c>
      <c r="I756" s="10">
        <f>IF($E756=Keys!$C$60,Keys!$C$51,INDEX(Balanced_2025!$D$9:$D$3032,MATCH($A756&amp;Keys!$C$54&amp;Keys!$C$57&amp;Keys!$C$54&amp;$C756,Balanced_2025!$E$9:$E$3032,0)))</f>
        <v>0</v>
      </c>
      <c r="J756" s="10">
        <f t="shared" si="44"/>
        <v>41106900000000</v>
      </c>
      <c r="K756" s="10">
        <f>MAX(Keys!$C$51,$I756-$H756)</f>
        <v>0</v>
      </c>
      <c r="L756" s="10">
        <f t="shared" si="45"/>
        <v>41106900000000</v>
      </c>
      <c r="M756" s="11">
        <f>IF($L756&gt;Keys!$C$51,MIN(Keys!$C$52,$K756/$L756),Keys!$C$51)</f>
        <v>0</v>
      </c>
      <c r="N756" s="11">
        <f>IF($E756=Keys!$C$60,Keys!$C$51,IF($E756=Keys!$C$59,$D756,$M756))</f>
        <v>0</v>
      </c>
      <c r="O756">
        <f t="shared" si="46"/>
        <v>1</v>
      </c>
      <c r="P756" s="10">
        <f>IF($E756=Keys!$C$60,Keys!$C$51,INDEX(Raw_BFPIaE!$G$9:$G$3032,MATCH($A756&amp;Keys!$C$54&amp;Keys!$C$55&amp;Keys!$C$54&amp;$B756,Raw_BFPIaE!$H$9:$H$3032,0)))</f>
        <v>10552766666666.666</v>
      </c>
      <c r="Q756" s="10">
        <f>IF($E756=Keys!$C$60,Keys!$C$51,INDEX(Raw_BFPIaE!$G$9:$G$3032,MATCH($A756&amp;Keys!$C$54&amp;Keys!$C$56&amp;Keys!$C$54&amp;$B756,Raw_BFPIaE!$H$9:$H$3032,0)))</f>
        <v>20696233333333.332</v>
      </c>
      <c r="R756" s="10">
        <f>IF($E756=Keys!$C$60,Keys!$C$51,INDEX(Raw_BFPIaE!$G$9:$G$3032,MATCH($A756&amp;Keys!$C$54&amp;Keys!$C$57&amp;Keys!$C$54&amp;$B756,Raw_BFPIaE!$H$9:$H$3032,0)))</f>
        <v>0</v>
      </c>
      <c r="S756" s="11">
        <f>IF(($P756+$Q756-$R756+MAX(Keys!$C$51,$R756-$Q756))&gt;Keys!$C$51,MIN(Keys!$C$52,MAX(Keys!$C$51,$R756-$Q756)/($P756+$Q756-$R756+MAX(Keys!$C$51,$R756-$Q756))),Keys!$C$51)</f>
        <v>0</v>
      </c>
      <c r="T756">
        <f>IF(AND($I756&gt;$H756,ABS($L756-$G756)&gt;MAX(Keys!$C$62,ABS($G756)*Keys!$C$63)),1,0)</f>
        <v>0</v>
      </c>
      <c r="U756">
        <f>IF(OR($N756&lt;Keys!$C$51,$N756&gt;Keys!$C$52),1,0)</f>
        <v>0</v>
      </c>
      <c r="V756">
        <f>IF(AND($E756=Keys!$C$60,$N756&lt;&gt;Keys!$C$51),1,0)</f>
        <v>0</v>
      </c>
      <c r="W756">
        <f>IF($L756&gt;Keys!$C$51,IF($K756/$L756&gt;Keys!$C$52,1,0),0)</f>
        <v>0</v>
      </c>
      <c r="X756" s="11">
        <f t="shared" si="47"/>
        <v>0</v>
      </c>
    </row>
    <row r="757" spans="1:24" x14ac:dyDescent="0.25">
      <c r="A757" t="s">
        <v>153</v>
      </c>
      <c r="B757" t="s">
        <v>117</v>
      </c>
      <c r="C757" t="str">
        <f>VLOOKUP($B757,Keys!$F$2:$I$22,2,FALSE)</f>
        <v>LPG propane or butane</v>
      </c>
      <c r="D757">
        <f>VLOOKUP($B757,Keys!$F$2:$I$22,3,FALSE)</f>
        <v>0.54955999499999997</v>
      </c>
      <c r="E757" t="str">
        <f>VLOOKUP($B757,Keys!$F$2:$I$22,4,FALSE)</f>
        <v>rule</v>
      </c>
      <c r="F757" t="str">
        <f>$A757&amp;Keys!$C$54&amp;$B757</f>
        <v>PA|LPG propane or butane</v>
      </c>
      <c r="G757" s="10">
        <f>IF($E757=Keys!$C$60,Keys!$C$51,INDEX(Balanced_2025!$D$9:$D$3032,MATCH($A757&amp;Keys!$C$54&amp;Keys!$C$55&amp;Keys!$C$54&amp;$C757,Balanced_2025!$E$9:$E$3032,0)))</f>
        <v>925328000000000</v>
      </c>
      <c r="H757" s="10">
        <f>IF($E757=Keys!$C$60,Keys!$C$51,INDEX(Balanced_2025!$D$9:$D$3032,MATCH($A757&amp;Keys!$C$54&amp;Keys!$C$56&amp;Keys!$C$54&amp;$C757,Balanced_2025!$E$9:$E$3032,0)))</f>
        <v>14803000000</v>
      </c>
      <c r="I757" s="10">
        <f>IF($E757=Keys!$C$60,Keys!$C$51,INDEX(Balanced_2025!$D$9:$D$3032,MATCH($A757&amp;Keys!$C$54&amp;Keys!$C$57&amp;Keys!$C$54&amp;$C757,Balanced_2025!$E$9:$E$3032,0)))</f>
        <v>782902000000000</v>
      </c>
      <c r="J757" s="10">
        <f t="shared" si="44"/>
        <v>142440803000000</v>
      </c>
      <c r="K757" s="10">
        <f>MAX(Keys!$C$51,$I757-$H757)</f>
        <v>782887197000000</v>
      </c>
      <c r="L757" s="10">
        <f t="shared" si="45"/>
        <v>925328000000000</v>
      </c>
      <c r="M757" s="11">
        <f>IF($L757&gt;Keys!$C$51,MIN(Keys!$C$52,$K757/$L757),Keys!$C$51)</f>
        <v>0.8460645273892069</v>
      </c>
      <c r="N757" s="11">
        <f>IF($E757=Keys!$C$60,Keys!$C$51,IF($E757=Keys!$C$59,$D757,$M757))</f>
        <v>0.8460645273892069</v>
      </c>
      <c r="O757">
        <f t="shared" si="46"/>
        <v>1</v>
      </c>
      <c r="P757" s="10">
        <f>IF($E757=Keys!$C$60,Keys!$C$51,INDEX(Raw_BFPIaE!$G$9:$G$3032,MATCH($A757&amp;Keys!$C$54&amp;Keys!$C$55&amp;Keys!$C$54&amp;$B757,Raw_BFPIaE!$H$9:$H$3032,0)))</f>
        <v>931877666666666.63</v>
      </c>
      <c r="Q757" s="10">
        <f>IF($E757=Keys!$C$60,Keys!$C$51,INDEX(Raw_BFPIaE!$G$9:$G$3032,MATCH($A757&amp;Keys!$C$54&amp;Keys!$C$56&amp;Keys!$C$54&amp;$B757,Raw_BFPIaE!$H$9:$H$3032,0)))</f>
        <v>0</v>
      </c>
      <c r="R757" s="10">
        <f>IF($E757=Keys!$C$60,Keys!$C$51,INDEX(Raw_BFPIaE!$G$9:$G$3032,MATCH($A757&amp;Keys!$C$54&amp;Keys!$C$57&amp;Keys!$C$54&amp;$B757,Raw_BFPIaE!$H$9:$H$3032,0)))</f>
        <v>528613333333333.31</v>
      </c>
      <c r="S757" s="11">
        <f>IF(($P757+$Q757-$R757+MAX(Keys!$C$51,$R757-$Q757))&gt;Keys!$C$51,MIN(Keys!$C$52,MAX(Keys!$C$51,$R757-$Q757)/($P757+$Q757-$R757+MAX(Keys!$C$51,$R757-$Q757))),Keys!$C$51)</f>
        <v>0.56725614556703263</v>
      </c>
      <c r="T757">
        <f>IF(AND($I757&gt;$H757,ABS($L757-$G757)&gt;MAX(Keys!$C$62,ABS($G757)*Keys!$C$63)),1,0)</f>
        <v>0</v>
      </c>
      <c r="U757">
        <f>IF(OR($N757&lt;Keys!$C$51,$N757&gt;Keys!$C$52),1,0)</f>
        <v>0</v>
      </c>
      <c r="V757">
        <f>IF(AND($E757=Keys!$C$60,$N757&lt;&gt;Keys!$C$51),1,0)</f>
        <v>0</v>
      </c>
      <c r="W757">
        <f>IF($L757&gt;Keys!$C$51,IF($K757/$L757&gt;Keys!$C$52,1,0),0)</f>
        <v>0</v>
      </c>
      <c r="X757" s="11">
        <f t="shared" si="47"/>
        <v>0.27880838182217427</v>
      </c>
    </row>
    <row r="758" spans="1:24" x14ac:dyDescent="0.25">
      <c r="A758" t="s">
        <v>153</v>
      </c>
      <c r="B758" t="s">
        <v>120</v>
      </c>
      <c r="C758">
        <f>VLOOKUP($B758,Keys!$F$2:$I$22,2,FALSE)</f>
        <v>0</v>
      </c>
      <c r="D758">
        <f>VLOOKUP($B758,Keys!$F$2:$I$22,3,FALSE)</f>
        <v>0</v>
      </c>
      <c r="E758" t="str">
        <f>VLOOKUP($B758,Keys!$F$2:$I$22,4,FALSE)</f>
        <v>zero</v>
      </c>
      <c r="F758" t="str">
        <f>$A758&amp;Keys!$C$54&amp;$B758</f>
        <v>PA|municipal solid waste</v>
      </c>
      <c r="G758" s="10">
        <f>IF($E758=Keys!$C$60,Keys!$C$51,INDEX(Balanced_2025!$D$9:$D$3032,MATCH($A758&amp;Keys!$C$54&amp;Keys!$C$55&amp;Keys!$C$54&amp;$C758,Balanced_2025!$E$9:$E$3032,0)))</f>
        <v>0</v>
      </c>
      <c r="H758" s="10">
        <f>IF($E758=Keys!$C$60,Keys!$C$51,INDEX(Balanced_2025!$D$9:$D$3032,MATCH($A758&amp;Keys!$C$54&amp;Keys!$C$56&amp;Keys!$C$54&amp;$C758,Balanced_2025!$E$9:$E$3032,0)))</f>
        <v>0</v>
      </c>
      <c r="I758" s="10">
        <f>IF($E758=Keys!$C$60,Keys!$C$51,INDEX(Balanced_2025!$D$9:$D$3032,MATCH($A758&amp;Keys!$C$54&amp;Keys!$C$57&amp;Keys!$C$54&amp;$C758,Balanced_2025!$E$9:$E$3032,0)))</f>
        <v>0</v>
      </c>
      <c r="J758" s="10">
        <f t="shared" si="44"/>
        <v>0</v>
      </c>
      <c r="K758" s="10">
        <f>MAX(Keys!$C$51,$I758-$H758)</f>
        <v>0</v>
      </c>
      <c r="L758" s="10">
        <f t="shared" si="45"/>
        <v>0</v>
      </c>
      <c r="M758" s="11">
        <f>IF($L758&gt;Keys!$C$51,MIN(Keys!$C$52,$K758/$L758),Keys!$C$51)</f>
        <v>0</v>
      </c>
      <c r="N758" s="11">
        <f>IF($E758=Keys!$C$60,Keys!$C$51,IF($E758=Keys!$C$59,$D758,$M758))</f>
        <v>0</v>
      </c>
      <c r="O758">
        <f t="shared" si="46"/>
        <v>0</v>
      </c>
      <c r="P758" s="10">
        <f>IF($E758=Keys!$C$60,Keys!$C$51,INDEX(Raw_BFPIaE!$G$9:$G$3032,MATCH($A758&amp;Keys!$C$54&amp;Keys!$C$55&amp;Keys!$C$54&amp;$B758,Raw_BFPIaE!$H$9:$H$3032,0)))</f>
        <v>0</v>
      </c>
      <c r="Q758" s="10">
        <f>IF($E758=Keys!$C$60,Keys!$C$51,INDEX(Raw_BFPIaE!$G$9:$G$3032,MATCH($A758&amp;Keys!$C$54&amp;Keys!$C$56&amp;Keys!$C$54&amp;$B758,Raw_BFPIaE!$H$9:$H$3032,0)))</f>
        <v>0</v>
      </c>
      <c r="R758" s="10">
        <f>IF($E758=Keys!$C$60,Keys!$C$51,INDEX(Raw_BFPIaE!$G$9:$G$3032,MATCH($A758&amp;Keys!$C$54&amp;Keys!$C$57&amp;Keys!$C$54&amp;$B758,Raw_BFPIaE!$H$9:$H$3032,0)))</f>
        <v>0</v>
      </c>
      <c r="S758" s="11">
        <f>IF(($P758+$Q758-$R758+MAX(Keys!$C$51,$R758-$Q758))&gt;Keys!$C$51,MIN(Keys!$C$52,MAX(Keys!$C$51,$R758-$Q758)/($P758+$Q758-$R758+MAX(Keys!$C$51,$R758-$Q758))),Keys!$C$51)</f>
        <v>0</v>
      </c>
      <c r="T758">
        <f>IF(AND($I758&gt;$H758,ABS($L758-$G758)&gt;MAX(Keys!$C$62,ABS($G758)*Keys!$C$63)),1,0)</f>
        <v>0</v>
      </c>
      <c r="U758">
        <f>IF(OR($N758&lt;Keys!$C$51,$N758&gt;Keys!$C$52),1,0)</f>
        <v>0</v>
      </c>
      <c r="V758">
        <f>IF(AND($E758=Keys!$C$60,$N758&lt;&gt;Keys!$C$51),1,0)</f>
        <v>0</v>
      </c>
      <c r="W758">
        <f>IF($L758&gt;Keys!$C$51,IF($K758/$L758&gt;Keys!$C$52,1,0),0)</f>
        <v>0</v>
      </c>
      <c r="X758" s="11">
        <f t="shared" si="47"/>
        <v>0</v>
      </c>
    </row>
    <row r="759" spans="1:24" x14ac:dyDescent="0.25">
      <c r="A759" t="s">
        <v>153</v>
      </c>
      <c r="B759" t="s">
        <v>123</v>
      </c>
      <c r="C759">
        <f>VLOOKUP($B759,Keys!$F$2:$I$22,2,FALSE)</f>
        <v>0</v>
      </c>
      <c r="D759">
        <f>VLOOKUP($B759,Keys!$F$2:$I$22,3,FALSE)</f>
        <v>0</v>
      </c>
      <c r="E759" t="str">
        <f>VLOOKUP($B759,Keys!$F$2:$I$22,4,FALSE)</f>
        <v>zero</v>
      </c>
      <c r="F759" t="str">
        <f>$A759&amp;Keys!$C$54&amp;$B759</f>
        <v>PA|hydrogen</v>
      </c>
      <c r="G759" s="10">
        <f>IF($E759=Keys!$C$60,Keys!$C$51,INDEX(Balanced_2025!$D$9:$D$3032,MATCH($A759&amp;Keys!$C$54&amp;Keys!$C$55&amp;Keys!$C$54&amp;$C759,Balanced_2025!$E$9:$E$3032,0)))</f>
        <v>0</v>
      </c>
      <c r="H759" s="10">
        <f>IF($E759=Keys!$C$60,Keys!$C$51,INDEX(Balanced_2025!$D$9:$D$3032,MATCH($A759&amp;Keys!$C$54&amp;Keys!$C$56&amp;Keys!$C$54&amp;$C759,Balanced_2025!$E$9:$E$3032,0)))</f>
        <v>0</v>
      </c>
      <c r="I759" s="10">
        <f>IF($E759=Keys!$C$60,Keys!$C$51,INDEX(Balanced_2025!$D$9:$D$3032,MATCH($A759&amp;Keys!$C$54&amp;Keys!$C$57&amp;Keys!$C$54&amp;$C759,Balanced_2025!$E$9:$E$3032,0)))</f>
        <v>0</v>
      </c>
      <c r="J759" s="10">
        <f t="shared" si="44"/>
        <v>0</v>
      </c>
      <c r="K759" s="10">
        <f>MAX(Keys!$C$51,$I759-$H759)</f>
        <v>0</v>
      </c>
      <c r="L759" s="10">
        <f t="shared" si="45"/>
        <v>0</v>
      </c>
      <c r="M759" s="11">
        <f>IF($L759&gt;Keys!$C$51,MIN(Keys!$C$52,$K759/$L759),Keys!$C$51)</f>
        <v>0</v>
      </c>
      <c r="N759" s="11">
        <f>IF($E759=Keys!$C$60,Keys!$C$51,IF($E759=Keys!$C$59,$D759,$M759))</f>
        <v>0</v>
      </c>
      <c r="O759">
        <f t="shared" si="46"/>
        <v>0</v>
      </c>
      <c r="P759" s="10">
        <f>IF($E759=Keys!$C$60,Keys!$C$51,INDEX(Raw_BFPIaE!$G$9:$G$3032,MATCH($A759&amp;Keys!$C$54&amp;Keys!$C$55&amp;Keys!$C$54&amp;$B759,Raw_BFPIaE!$H$9:$H$3032,0)))</f>
        <v>0</v>
      </c>
      <c r="Q759" s="10">
        <f>IF($E759=Keys!$C$60,Keys!$C$51,INDEX(Raw_BFPIaE!$G$9:$G$3032,MATCH($A759&amp;Keys!$C$54&amp;Keys!$C$56&amp;Keys!$C$54&amp;$B759,Raw_BFPIaE!$H$9:$H$3032,0)))</f>
        <v>0</v>
      </c>
      <c r="R759" s="10">
        <f>IF($E759=Keys!$C$60,Keys!$C$51,INDEX(Raw_BFPIaE!$G$9:$G$3032,MATCH($A759&amp;Keys!$C$54&amp;Keys!$C$57&amp;Keys!$C$54&amp;$B759,Raw_BFPIaE!$H$9:$H$3032,0)))</f>
        <v>0</v>
      </c>
      <c r="S759" s="11">
        <f>IF(($P759+$Q759-$R759+MAX(Keys!$C$51,$R759-$Q759))&gt;Keys!$C$51,MIN(Keys!$C$52,MAX(Keys!$C$51,$R759-$Q759)/($P759+$Q759-$R759+MAX(Keys!$C$51,$R759-$Q759))),Keys!$C$51)</f>
        <v>0</v>
      </c>
      <c r="T759">
        <f>IF(AND($I759&gt;$H759,ABS($L759-$G759)&gt;MAX(Keys!$C$62,ABS($G759)*Keys!$C$63)),1,0)</f>
        <v>0</v>
      </c>
      <c r="U759">
        <f>IF(OR($N759&lt;Keys!$C$51,$N759&gt;Keys!$C$52),1,0)</f>
        <v>0</v>
      </c>
      <c r="V759">
        <f>IF(AND($E759=Keys!$C$60,$N759&lt;&gt;Keys!$C$51),1,0)</f>
        <v>0</v>
      </c>
      <c r="W759">
        <f>IF($L759&gt;Keys!$C$51,IF($K759/$L759&gt;Keys!$C$52,1,0),0)</f>
        <v>0</v>
      </c>
      <c r="X759" s="11">
        <f t="shared" si="47"/>
        <v>0</v>
      </c>
    </row>
    <row r="760" spans="1:24" x14ac:dyDescent="0.25">
      <c r="A760" t="s">
        <v>155</v>
      </c>
      <c r="B760" t="s">
        <v>60</v>
      </c>
      <c r="C760">
        <f>VLOOKUP($B760,Keys!$F$2:$I$22,2,FALSE)</f>
        <v>0</v>
      </c>
      <c r="D760">
        <f>VLOOKUP($B760,Keys!$F$2:$I$22,3,FALSE)</f>
        <v>0</v>
      </c>
      <c r="E760" t="str">
        <f>VLOOKUP($B760,Keys!$F$2:$I$22,4,FALSE)</f>
        <v>zero</v>
      </c>
      <c r="F760" t="str">
        <f>$A760&amp;Keys!$C$54&amp;$B760</f>
        <v>RI|electricity (not used in this variable)</v>
      </c>
      <c r="G760" s="10">
        <f>IF($E760=Keys!$C$60,Keys!$C$51,INDEX(Balanced_2025!$D$9:$D$3032,MATCH($A760&amp;Keys!$C$54&amp;Keys!$C$55&amp;Keys!$C$54&amp;$C760,Balanced_2025!$E$9:$E$3032,0)))</f>
        <v>0</v>
      </c>
      <c r="H760" s="10">
        <f>IF($E760=Keys!$C$60,Keys!$C$51,INDEX(Balanced_2025!$D$9:$D$3032,MATCH($A760&amp;Keys!$C$54&amp;Keys!$C$56&amp;Keys!$C$54&amp;$C760,Balanced_2025!$E$9:$E$3032,0)))</f>
        <v>0</v>
      </c>
      <c r="I760" s="10">
        <f>IF($E760=Keys!$C$60,Keys!$C$51,INDEX(Balanced_2025!$D$9:$D$3032,MATCH($A760&amp;Keys!$C$54&amp;Keys!$C$57&amp;Keys!$C$54&amp;$C760,Balanced_2025!$E$9:$E$3032,0)))</f>
        <v>0</v>
      </c>
      <c r="J760" s="10">
        <f t="shared" si="44"/>
        <v>0</v>
      </c>
      <c r="K760" s="10">
        <f>MAX(Keys!$C$51,$I760-$H760)</f>
        <v>0</v>
      </c>
      <c r="L760" s="10">
        <f t="shared" si="45"/>
        <v>0</v>
      </c>
      <c r="M760" s="11">
        <f>IF($L760&gt;Keys!$C$51,MIN(Keys!$C$52,$K760/$L760),Keys!$C$51)</f>
        <v>0</v>
      </c>
      <c r="N760" s="11">
        <f>IF($E760=Keys!$C$60,Keys!$C$51,IF($E760=Keys!$C$59,$D760,$M760))</f>
        <v>0</v>
      </c>
      <c r="O760">
        <f t="shared" si="46"/>
        <v>0</v>
      </c>
      <c r="P760" s="10">
        <f>IF($E760=Keys!$C$60,Keys!$C$51,INDEX(Raw_BFPIaE!$G$9:$G$3032,MATCH($A760&amp;Keys!$C$54&amp;Keys!$C$55&amp;Keys!$C$54&amp;$B760,Raw_BFPIaE!$H$9:$H$3032,0)))</f>
        <v>0</v>
      </c>
      <c r="Q760" s="10">
        <f>IF($E760=Keys!$C$60,Keys!$C$51,INDEX(Raw_BFPIaE!$G$9:$G$3032,MATCH($A760&amp;Keys!$C$54&amp;Keys!$C$56&amp;Keys!$C$54&amp;$B760,Raw_BFPIaE!$H$9:$H$3032,0)))</f>
        <v>0</v>
      </c>
      <c r="R760" s="10">
        <f>IF($E760=Keys!$C$60,Keys!$C$51,INDEX(Raw_BFPIaE!$G$9:$G$3032,MATCH($A760&amp;Keys!$C$54&amp;Keys!$C$57&amp;Keys!$C$54&amp;$B760,Raw_BFPIaE!$H$9:$H$3032,0)))</f>
        <v>0</v>
      </c>
      <c r="S760" s="11">
        <f>IF(($P760+$Q760-$R760+MAX(Keys!$C$51,$R760-$Q760))&gt;Keys!$C$51,MIN(Keys!$C$52,MAX(Keys!$C$51,$R760-$Q760)/($P760+$Q760-$R760+MAX(Keys!$C$51,$R760-$Q760))),Keys!$C$51)</f>
        <v>0</v>
      </c>
      <c r="T760">
        <f>IF(AND($I760&gt;$H760,ABS($L760-$G760)&gt;MAX(Keys!$C$62,ABS($G760)*Keys!$C$63)),1,0)</f>
        <v>0</v>
      </c>
      <c r="U760">
        <f>IF(OR($N760&lt;Keys!$C$51,$N760&gt;Keys!$C$52),1,0)</f>
        <v>0</v>
      </c>
      <c r="V760">
        <f>IF(AND($E760=Keys!$C$60,$N760&lt;&gt;Keys!$C$51),1,0)</f>
        <v>0</v>
      </c>
      <c r="W760">
        <f>IF($L760&gt;Keys!$C$51,IF($K760/$L760&gt;Keys!$C$52,1,0),0)</f>
        <v>0</v>
      </c>
      <c r="X760" s="11">
        <f t="shared" si="47"/>
        <v>0</v>
      </c>
    </row>
    <row r="761" spans="1:24" x14ac:dyDescent="0.25">
      <c r="A761" t="s">
        <v>155</v>
      </c>
      <c r="B761" t="s">
        <v>64</v>
      </c>
      <c r="C761" t="str">
        <f>VLOOKUP($B761,Keys!$F$2:$I$22,2,FALSE)</f>
        <v>hard coal</v>
      </c>
      <c r="D761">
        <f>VLOOKUP($B761,Keys!$F$2:$I$22,3,FALSE)</f>
        <v>0.137539879</v>
      </c>
      <c r="E761" t="str">
        <f>VLOOKUP($B761,Keys!$F$2:$I$22,4,FALSE)</f>
        <v>rule</v>
      </c>
      <c r="F761" t="str">
        <f>$A761&amp;Keys!$C$54&amp;$B761</f>
        <v>RI|hard coal</v>
      </c>
      <c r="G761" s="10">
        <f>IF($E761=Keys!$C$60,Keys!$C$51,INDEX(Balanced_2025!$D$9:$D$3032,MATCH($A761&amp;Keys!$C$54&amp;Keys!$C$55&amp;Keys!$C$54&amp;$C761,Balanced_2025!$E$9:$E$3032,0)))</f>
        <v>0</v>
      </c>
      <c r="H761" s="10">
        <f>IF($E761=Keys!$C$60,Keys!$C$51,INDEX(Balanced_2025!$D$9:$D$3032,MATCH($A761&amp;Keys!$C$54&amp;Keys!$C$56&amp;Keys!$C$54&amp;$C761,Balanced_2025!$E$9:$E$3032,0)))</f>
        <v>0</v>
      </c>
      <c r="I761" s="10">
        <f>IF($E761=Keys!$C$60,Keys!$C$51,INDEX(Balanced_2025!$D$9:$D$3032,MATCH($A761&amp;Keys!$C$54&amp;Keys!$C$57&amp;Keys!$C$54&amp;$C761,Balanced_2025!$E$9:$E$3032,0)))</f>
        <v>0</v>
      </c>
      <c r="J761" s="10">
        <f t="shared" si="44"/>
        <v>0</v>
      </c>
      <c r="K761" s="10">
        <f>MAX(Keys!$C$51,$I761-$H761)</f>
        <v>0</v>
      </c>
      <c r="L761" s="10">
        <f t="shared" si="45"/>
        <v>0</v>
      </c>
      <c r="M761" s="11">
        <f>IF($L761&gt;Keys!$C$51,MIN(Keys!$C$52,$K761/$L761),Keys!$C$51)</f>
        <v>0</v>
      </c>
      <c r="N761" s="11">
        <f>IF($E761=Keys!$C$60,Keys!$C$51,IF($E761=Keys!$C$59,$D761,$M761))</f>
        <v>0</v>
      </c>
      <c r="O761">
        <f t="shared" si="46"/>
        <v>1</v>
      </c>
      <c r="P761" s="10">
        <f>IF($E761=Keys!$C$60,Keys!$C$51,INDEX(Raw_BFPIaE!$G$9:$G$3032,MATCH($A761&amp;Keys!$C$54&amp;Keys!$C$55&amp;Keys!$C$54&amp;$B761,Raw_BFPIaE!$H$9:$H$3032,0)))</f>
        <v>0</v>
      </c>
      <c r="Q761" s="10">
        <f>IF($E761=Keys!$C$60,Keys!$C$51,INDEX(Raw_BFPIaE!$G$9:$G$3032,MATCH($A761&amp;Keys!$C$54&amp;Keys!$C$56&amp;Keys!$C$54&amp;$B761,Raw_BFPIaE!$H$9:$H$3032,0)))</f>
        <v>0</v>
      </c>
      <c r="R761" s="10">
        <f>IF($E761=Keys!$C$60,Keys!$C$51,INDEX(Raw_BFPIaE!$G$9:$G$3032,MATCH($A761&amp;Keys!$C$54&amp;Keys!$C$57&amp;Keys!$C$54&amp;$B761,Raw_BFPIaE!$H$9:$H$3032,0)))</f>
        <v>0</v>
      </c>
      <c r="S761" s="11">
        <f>IF(($P761+$Q761-$R761+MAX(Keys!$C$51,$R761-$Q761))&gt;Keys!$C$51,MIN(Keys!$C$52,MAX(Keys!$C$51,$R761-$Q761)/($P761+$Q761-$R761+MAX(Keys!$C$51,$R761-$Q761))),Keys!$C$51)</f>
        <v>0</v>
      </c>
      <c r="T761">
        <f>IF(AND($I761&gt;$H761,ABS($L761-$G761)&gt;MAX(Keys!$C$62,ABS($G761)*Keys!$C$63)),1,0)</f>
        <v>0</v>
      </c>
      <c r="U761">
        <f>IF(OR($N761&lt;Keys!$C$51,$N761&gt;Keys!$C$52),1,0)</f>
        <v>0</v>
      </c>
      <c r="V761">
        <f>IF(AND($E761=Keys!$C$60,$N761&lt;&gt;Keys!$C$51),1,0)</f>
        <v>0</v>
      </c>
      <c r="W761">
        <f>IF($L761&gt;Keys!$C$51,IF($K761/$L761&gt;Keys!$C$52,1,0),0)</f>
        <v>0</v>
      </c>
      <c r="X761" s="11">
        <f t="shared" si="47"/>
        <v>0</v>
      </c>
    </row>
    <row r="762" spans="1:24" x14ac:dyDescent="0.25">
      <c r="A762" t="s">
        <v>155</v>
      </c>
      <c r="B762" t="s">
        <v>68</v>
      </c>
      <c r="C762" t="str">
        <f>VLOOKUP($B762,Keys!$F$2:$I$22,2,FALSE)</f>
        <v>natural gas</v>
      </c>
      <c r="D762">
        <f>VLOOKUP($B762,Keys!$F$2:$I$22,3,FALSE)</f>
        <v>0.190839183</v>
      </c>
      <c r="E762" t="str">
        <f>VLOOKUP($B762,Keys!$F$2:$I$22,4,FALSE)</f>
        <v>rule</v>
      </c>
      <c r="F762" t="str">
        <f>$A762&amp;Keys!$C$54&amp;$B762</f>
        <v>RI|natural gas</v>
      </c>
      <c r="G762" s="10">
        <f>IF($E762=Keys!$C$60,Keys!$C$51,INDEX(Balanced_2025!$D$9:$D$3032,MATCH($A762&amp;Keys!$C$54&amp;Keys!$C$55&amp;Keys!$C$54&amp;$C762,Balanced_2025!$E$9:$E$3032,0)))</f>
        <v>0</v>
      </c>
      <c r="H762" s="10">
        <f>IF($E762=Keys!$C$60,Keys!$C$51,INDEX(Balanced_2025!$D$9:$D$3032,MATCH($A762&amp;Keys!$C$54&amp;Keys!$C$56&amp;Keys!$C$54&amp;$C762,Balanced_2025!$E$9:$E$3032,0)))</f>
        <v>300329000000000</v>
      </c>
      <c r="I762" s="10">
        <f>IF($E762=Keys!$C$60,Keys!$C$51,INDEX(Balanced_2025!$D$9:$D$3032,MATCH($A762&amp;Keys!$C$54&amp;Keys!$C$57&amp;Keys!$C$54&amp;$C762,Balanced_2025!$E$9:$E$3032,0)))</f>
        <v>194575000000000</v>
      </c>
      <c r="J762" s="10">
        <f t="shared" si="44"/>
        <v>105754000000000</v>
      </c>
      <c r="K762" s="10">
        <f>MAX(Keys!$C$51,$I762-$H762)</f>
        <v>0</v>
      </c>
      <c r="L762" s="10">
        <f t="shared" si="45"/>
        <v>105754000000000</v>
      </c>
      <c r="M762" s="11">
        <f>IF($L762&gt;Keys!$C$51,MIN(Keys!$C$52,$K762/$L762),Keys!$C$51)</f>
        <v>0</v>
      </c>
      <c r="N762" s="11">
        <f>IF($E762=Keys!$C$60,Keys!$C$51,IF($E762=Keys!$C$59,$D762,$M762))</f>
        <v>0</v>
      </c>
      <c r="O762">
        <f t="shared" si="46"/>
        <v>1</v>
      </c>
      <c r="P762" s="10">
        <f>IF($E762=Keys!$C$60,Keys!$C$51,INDEX(Raw_BFPIaE!$G$9:$G$3032,MATCH($A762&amp;Keys!$C$54&amp;Keys!$C$55&amp;Keys!$C$54&amp;$B762,Raw_BFPIaE!$H$9:$H$3032,0)))</f>
        <v>0</v>
      </c>
      <c r="Q762" s="10">
        <f>IF($E762=Keys!$C$60,Keys!$C$51,INDEX(Raw_BFPIaE!$G$9:$G$3032,MATCH($A762&amp;Keys!$C$54&amp;Keys!$C$56&amp;Keys!$C$54&amp;$B762,Raw_BFPIaE!$H$9:$H$3032,0)))</f>
        <v>289768333333333.31</v>
      </c>
      <c r="R762" s="10">
        <f>IF($E762=Keys!$C$60,Keys!$C$51,INDEX(Raw_BFPIaE!$G$9:$G$3032,MATCH($A762&amp;Keys!$C$54&amp;Keys!$C$57&amp;Keys!$C$54&amp;$B762,Raw_BFPIaE!$H$9:$H$3032,0)))</f>
        <v>194776666666666.66</v>
      </c>
      <c r="S762" s="11">
        <f>IF(($P762+$Q762-$R762+MAX(Keys!$C$51,$R762-$Q762))&gt;Keys!$C$51,MIN(Keys!$C$52,MAX(Keys!$C$51,$R762-$Q762)/($P762+$Q762-$R762+MAX(Keys!$C$51,$R762-$Q762))),Keys!$C$51)</f>
        <v>0</v>
      </c>
      <c r="T762">
        <f>IF(AND($I762&gt;$H762,ABS($L762-$G762)&gt;MAX(Keys!$C$62,ABS($G762)*Keys!$C$63)),1,0)</f>
        <v>0</v>
      </c>
      <c r="U762">
        <f>IF(OR($N762&lt;Keys!$C$51,$N762&gt;Keys!$C$52),1,0)</f>
        <v>0</v>
      </c>
      <c r="V762">
        <f>IF(AND($E762=Keys!$C$60,$N762&lt;&gt;Keys!$C$51),1,0)</f>
        <v>0</v>
      </c>
      <c r="W762">
        <f>IF($L762&gt;Keys!$C$51,IF($K762/$L762&gt;Keys!$C$52,1,0),0)</f>
        <v>0</v>
      </c>
      <c r="X762" s="11">
        <f t="shared" si="47"/>
        <v>0</v>
      </c>
    </row>
    <row r="763" spans="1:24" x14ac:dyDescent="0.25">
      <c r="A763" t="s">
        <v>155</v>
      </c>
      <c r="B763" t="s">
        <v>71</v>
      </c>
      <c r="C763">
        <f>VLOOKUP($B763,Keys!$F$2:$I$22,2,FALSE)</f>
        <v>0</v>
      </c>
      <c r="D763">
        <f>VLOOKUP($B763,Keys!$F$2:$I$22,3,FALSE)</f>
        <v>0</v>
      </c>
      <c r="E763" t="str">
        <f>VLOOKUP($B763,Keys!$F$2:$I$22,4,FALSE)</f>
        <v>zero</v>
      </c>
      <c r="F763" t="str">
        <f>$A763&amp;Keys!$C$54&amp;$B763</f>
        <v>RI|nuclear</v>
      </c>
      <c r="G763" s="10">
        <f>IF($E763=Keys!$C$60,Keys!$C$51,INDEX(Balanced_2025!$D$9:$D$3032,MATCH($A763&amp;Keys!$C$54&amp;Keys!$C$55&amp;Keys!$C$54&amp;$C763,Balanced_2025!$E$9:$E$3032,0)))</f>
        <v>0</v>
      </c>
      <c r="H763" s="10">
        <f>IF($E763=Keys!$C$60,Keys!$C$51,INDEX(Balanced_2025!$D$9:$D$3032,MATCH($A763&amp;Keys!$C$54&amp;Keys!$C$56&amp;Keys!$C$54&amp;$C763,Balanced_2025!$E$9:$E$3032,0)))</f>
        <v>0</v>
      </c>
      <c r="I763" s="10">
        <f>IF($E763=Keys!$C$60,Keys!$C$51,INDEX(Balanced_2025!$D$9:$D$3032,MATCH($A763&amp;Keys!$C$54&amp;Keys!$C$57&amp;Keys!$C$54&amp;$C763,Balanced_2025!$E$9:$E$3032,0)))</f>
        <v>0</v>
      </c>
      <c r="J763" s="10">
        <f t="shared" si="44"/>
        <v>0</v>
      </c>
      <c r="K763" s="10">
        <f>MAX(Keys!$C$51,$I763-$H763)</f>
        <v>0</v>
      </c>
      <c r="L763" s="10">
        <f t="shared" si="45"/>
        <v>0</v>
      </c>
      <c r="M763" s="11">
        <f>IF($L763&gt;Keys!$C$51,MIN(Keys!$C$52,$K763/$L763),Keys!$C$51)</f>
        <v>0</v>
      </c>
      <c r="N763" s="11">
        <f>IF($E763=Keys!$C$60,Keys!$C$51,IF($E763=Keys!$C$59,$D763,$M763))</f>
        <v>0</v>
      </c>
      <c r="O763">
        <f t="shared" si="46"/>
        <v>0</v>
      </c>
      <c r="P763" s="10">
        <f>IF($E763=Keys!$C$60,Keys!$C$51,INDEX(Raw_BFPIaE!$G$9:$G$3032,MATCH($A763&amp;Keys!$C$54&amp;Keys!$C$55&amp;Keys!$C$54&amp;$B763,Raw_BFPIaE!$H$9:$H$3032,0)))</f>
        <v>0</v>
      </c>
      <c r="Q763" s="10">
        <f>IF($E763=Keys!$C$60,Keys!$C$51,INDEX(Raw_BFPIaE!$G$9:$G$3032,MATCH($A763&amp;Keys!$C$54&amp;Keys!$C$56&amp;Keys!$C$54&amp;$B763,Raw_BFPIaE!$H$9:$H$3032,0)))</f>
        <v>0</v>
      </c>
      <c r="R763" s="10">
        <f>IF($E763=Keys!$C$60,Keys!$C$51,INDEX(Raw_BFPIaE!$G$9:$G$3032,MATCH($A763&amp;Keys!$C$54&amp;Keys!$C$57&amp;Keys!$C$54&amp;$B763,Raw_BFPIaE!$H$9:$H$3032,0)))</f>
        <v>0</v>
      </c>
      <c r="S763" s="11">
        <f>IF(($P763+$Q763-$R763+MAX(Keys!$C$51,$R763-$Q763))&gt;Keys!$C$51,MIN(Keys!$C$52,MAX(Keys!$C$51,$R763-$Q763)/($P763+$Q763-$R763+MAX(Keys!$C$51,$R763-$Q763))),Keys!$C$51)</f>
        <v>0</v>
      </c>
      <c r="T763">
        <f>IF(AND($I763&gt;$H763,ABS($L763-$G763)&gt;MAX(Keys!$C$62,ABS($G763)*Keys!$C$63)),1,0)</f>
        <v>0</v>
      </c>
      <c r="U763">
        <f>IF(OR($N763&lt;Keys!$C$51,$N763&gt;Keys!$C$52),1,0)</f>
        <v>0</v>
      </c>
      <c r="V763">
        <f>IF(AND($E763=Keys!$C$60,$N763&lt;&gt;Keys!$C$51),1,0)</f>
        <v>0</v>
      </c>
      <c r="W763">
        <f>IF($L763&gt;Keys!$C$51,IF($K763/$L763&gt;Keys!$C$52,1,0),0)</f>
        <v>0</v>
      </c>
      <c r="X763" s="11">
        <f t="shared" si="47"/>
        <v>0</v>
      </c>
    </row>
    <row r="764" spans="1:24" x14ac:dyDescent="0.25">
      <c r="A764" t="s">
        <v>155</v>
      </c>
      <c r="B764" t="s">
        <v>74</v>
      </c>
      <c r="C764">
        <f>VLOOKUP($B764,Keys!$F$2:$I$22,2,FALSE)</f>
        <v>0</v>
      </c>
      <c r="D764">
        <f>VLOOKUP($B764,Keys!$F$2:$I$22,3,FALSE)</f>
        <v>0</v>
      </c>
      <c r="E764" t="str">
        <f>VLOOKUP($B764,Keys!$F$2:$I$22,4,FALSE)</f>
        <v>zero</v>
      </c>
      <c r="F764" t="str">
        <f>$A764&amp;Keys!$C$54&amp;$B764</f>
        <v>RI|hydro (is not a fuel)</v>
      </c>
      <c r="G764" s="10">
        <f>IF($E764=Keys!$C$60,Keys!$C$51,INDEX(Balanced_2025!$D$9:$D$3032,MATCH($A764&amp;Keys!$C$54&amp;Keys!$C$55&amp;Keys!$C$54&amp;$C764,Balanced_2025!$E$9:$E$3032,0)))</f>
        <v>0</v>
      </c>
      <c r="H764" s="10">
        <f>IF($E764=Keys!$C$60,Keys!$C$51,INDEX(Balanced_2025!$D$9:$D$3032,MATCH($A764&amp;Keys!$C$54&amp;Keys!$C$56&amp;Keys!$C$54&amp;$C764,Balanced_2025!$E$9:$E$3032,0)))</f>
        <v>0</v>
      </c>
      <c r="I764" s="10">
        <f>IF($E764=Keys!$C$60,Keys!$C$51,INDEX(Balanced_2025!$D$9:$D$3032,MATCH($A764&amp;Keys!$C$54&amp;Keys!$C$57&amp;Keys!$C$54&amp;$C764,Balanced_2025!$E$9:$E$3032,0)))</f>
        <v>0</v>
      </c>
      <c r="J764" s="10">
        <f t="shared" si="44"/>
        <v>0</v>
      </c>
      <c r="K764" s="10">
        <f>MAX(Keys!$C$51,$I764-$H764)</f>
        <v>0</v>
      </c>
      <c r="L764" s="10">
        <f t="shared" si="45"/>
        <v>0</v>
      </c>
      <c r="M764" s="11">
        <f>IF($L764&gt;Keys!$C$51,MIN(Keys!$C$52,$K764/$L764),Keys!$C$51)</f>
        <v>0</v>
      </c>
      <c r="N764" s="11">
        <f>IF($E764=Keys!$C$60,Keys!$C$51,IF($E764=Keys!$C$59,$D764,$M764))</f>
        <v>0</v>
      </c>
      <c r="O764">
        <f t="shared" si="46"/>
        <v>0</v>
      </c>
      <c r="P764" s="10">
        <f>IF($E764=Keys!$C$60,Keys!$C$51,INDEX(Raw_BFPIaE!$G$9:$G$3032,MATCH($A764&amp;Keys!$C$54&amp;Keys!$C$55&amp;Keys!$C$54&amp;$B764,Raw_BFPIaE!$H$9:$H$3032,0)))</f>
        <v>0</v>
      </c>
      <c r="Q764" s="10">
        <f>IF($E764=Keys!$C$60,Keys!$C$51,INDEX(Raw_BFPIaE!$G$9:$G$3032,MATCH($A764&amp;Keys!$C$54&amp;Keys!$C$56&amp;Keys!$C$54&amp;$B764,Raw_BFPIaE!$H$9:$H$3032,0)))</f>
        <v>0</v>
      </c>
      <c r="R764" s="10">
        <f>IF($E764=Keys!$C$60,Keys!$C$51,INDEX(Raw_BFPIaE!$G$9:$G$3032,MATCH($A764&amp;Keys!$C$54&amp;Keys!$C$57&amp;Keys!$C$54&amp;$B764,Raw_BFPIaE!$H$9:$H$3032,0)))</f>
        <v>0</v>
      </c>
      <c r="S764" s="11">
        <f>IF(($P764+$Q764-$R764+MAX(Keys!$C$51,$R764-$Q764))&gt;Keys!$C$51,MIN(Keys!$C$52,MAX(Keys!$C$51,$R764-$Q764)/($P764+$Q764-$R764+MAX(Keys!$C$51,$R764-$Q764))),Keys!$C$51)</f>
        <v>0</v>
      </c>
      <c r="T764">
        <f>IF(AND($I764&gt;$H764,ABS($L764-$G764)&gt;MAX(Keys!$C$62,ABS($G764)*Keys!$C$63)),1,0)</f>
        <v>0</v>
      </c>
      <c r="U764">
        <f>IF(OR($N764&lt;Keys!$C$51,$N764&gt;Keys!$C$52),1,0)</f>
        <v>0</v>
      </c>
      <c r="V764">
        <f>IF(AND($E764=Keys!$C$60,$N764&lt;&gt;Keys!$C$51),1,0)</f>
        <v>0</v>
      </c>
      <c r="W764">
        <f>IF($L764&gt;Keys!$C$51,IF($K764/$L764&gt;Keys!$C$52,1,0),0)</f>
        <v>0</v>
      </c>
      <c r="X764" s="11">
        <f t="shared" si="47"/>
        <v>0</v>
      </c>
    </row>
    <row r="765" spans="1:24" x14ac:dyDescent="0.25">
      <c r="A765" t="s">
        <v>155</v>
      </c>
      <c r="B765" t="s">
        <v>77</v>
      </c>
      <c r="C765">
        <f>VLOOKUP($B765,Keys!$F$2:$I$22,2,FALSE)</f>
        <v>0</v>
      </c>
      <c r="D765">
        <f>VLOOKUP($B765,Keys!$F$2:$I$22,3,FALSE)</f>
        <v>0</v>
      </c>
      <c r="E765" t="str">
        <f>VLOOKUP($B765,Keys!$F$2:$I$22,4,FALSE)</f>
        <v>zero</v>
      </c>
      <c r="F765" t="str">
        <f>$A765&amp;Keys!$C$54&amp;$B765</f>
        <v>RI|wind (is not a fuel)</v>
      </c>
      <c r="G765" s="10">
        <f>IF($E765=Keys!$C$60,Keys!$C$51,INDEX(Balanced_2025!$D$9:$D$3032,MATCH($A765&amp;Keys!$C$54&amp;Keys!$C$55&amp;Keys!$C$54&amp;$C765,Balanced_2025!$E$9:$E$3032,0)))</f>
        <v>0</v>
      </c>
      <c r="H765" s="10">
        <f>IF($E765=Keys!$C$60,Keys!$C$51,INDEX(Balanced_2025!$D$9:$D$3032,MATCH($A765&amp;Keys!$C$54&amp;Keys!$C$56&amp;Keys!$C$54&amp;$C765,Balanced_2025!$E$9:$E$3032,0)))</f>
        <v>0</v>
      </c>
      <c r="I765" s="10">
        <f>IF($E765=Keys!$C$60,Keys!$C$51,INDEX(Balanced_2025!$D$9:$D$3032,MATCH($A765&amp;Keys!$C$54&amp;Keys!$C$57&amp;Keys!$C$54&amp;$C765,Balanced_2025!$E$9:$E$3032,0)))</f>
        <v>0</v>
      </c>
      <c r="J765" s="10">
        <f t="shared" si="44"/>
        <v>0</v>
      </c>
      <c r="K765" s="10">
        <f>MAX(Keys!$C$51,$I765-$H765)</f>
        <v>0</v>
      </c>
      <c r="L765" s="10">
        <f t="shared" si="45"/>
        <v>0</v>
      </c>
      <c r="M765" s="11">
        <f>IF($L765&gt;Keys!$C$51,MIN(Keys!$C$52,$K765/$L765),Keys!$C$51)</f>
        <v>0</v>
      </c>
      <c r="N765" s="11">
        <f>IF($E765=Keys!$C$60,Keys!$C$51,IF($E765=Keys!$C$59,$D765,$M765))</f>
        <v>0</v>
      </c>
      <c r="O765">
        <f t="shared" si="46"/>
        <v>0</v>
      </c>
      <c r="P765" s="10">
        <f>IF($E765=Keys!$C$60,Keys!$C$51,INDEX(Raw_BFPIaE!$G$9:$G$3032,MATCH($A765&amp;Keys!$C$54&amp;Keys!$C$55&amp;Keys!$C$54&amp;$B765,Raw_BFPIaE!$H$9:$H$3032,0)))</f>
        <v>0</v>
      </c>
      <c r="Q765" s="10">
        <f>IF($E765=Keys!$C$60,Keys!$C$51,INDEX(Raw_BFPIaE!$G$9:$G$3032,MATCH($A765&amp;Keys!$C$54&amp;Keys!$C$56&amp;Keys!$C$54&amp;$B765,Raw_BFPIaE!$H$9:$H$3032,0)))</f>
        <v>0</v>
      </c>
      <c r="R765" s="10">
        <f>IF($E765=Keys!$C$60,Keys!$C$51,INDEX(Raw_BFPIaE!$G$9:$G$3032,MATCH($A765&amp;Keys!$C$54&amp;Keys!$C$57&amp;Keys!$C$54&amp;$B765,Raw_BFPIaE!$H$9:$H$3032,0)))</f>
        <v>0</v>
      </c>
      <c r="S765" s="11">
        <f>IF(($P765+$Q765-$R765+MAX(Keys!$C$51,$R765-$Q765))&gt;Keys!$C$51,MIN(Keys!$C$52,MAX(Keys!$C$51,$R765-$Q765)/($P765+$Q765-$R765+MAX(Keys!$C$51,$R765-$Q765))),Keys!$C$51)</f>
        <v>0</v>
      </c>
      <c r="T765">
        <f>IF(AND($I765&gt;$H765,ABS($L765-$G765)&gt;MAX(Keys!$C$62,ABS($G765)*Keys!$C$63)),1,0)</f>
        <v>0</v>
      </c>
      <c r="U765">
        <f>IF(OR($N765&lt;Keys!$C$51,$N765&gt;Keys!$C$52),1,0)</f>
        <v>0</v>
      </c>
      <c r="V765">
        <f>IF(AND($E765=Keys!$C$60,$N765&lt;&gt;Keys!$C$51),1,0)</f>
        <v>0</v>
      </c>
      <c r="W765">
        <f>IF($L765&gt;Keys!$C$51,IF($K765/$L765&gt;Keys!$C$52,1,0),0)</f>
        <v>0</v>
      </c>
      <c r="X765" s="11">
        <f t="shared" si="47"/>
        <v>0</v>
      </c>
    </row>
    <row r="766" spans="1:24" x14ac:dyDescent="0.25">
      <c r="A766" t="s">
        <v>155</v>
      </c>
      <c r="B766" t="s">
        <v>80</v>
      </c>
      <c r="C766">
        <f>VLOOKUP($B766,Keys!$F$2:$I$22,2,FALSE)</f>
        <v>0</v>
      </c>
      <c r="D766">
        <f>VLOOKUP($B766,Keys!$F$2:$I$22,3,FALSE)</f>
        <v>0</v>
      </c>
      <c r="E766" t="str">
        <f>VLOOKUP($B766,Keys!$F$2:$I$22,4,FALSE)</f>
        <v>zero</v>
      </c>
      <c r="F766" t="str">
        <f>$A766&amp;Keys!$C$54&amp;$B766</f>
        <v>RI|solar (is not a fuel)</v>
      </c>
      <c r="G766" s="10">
        <f>IF($E766=Keys!$C$60,Keys!$C$51,INDEX(Balanced_2025!$D$9:$D$3032,MATCH($A766&amp;Keys!$C$54&amp;Keys!$C$55&amp;Keys!$C$54&amp;$C766,Balanced_2025!$E$9:$E$3032,0)))</f>
        <v>0</v>
      </c>
      <c r="H766" s="10">
        <f>IF($E766=Keys!$C$60,Keys!$C$51,INDEX(Balanced_2025!$D$9:$D$3032,MATCH($A766&amp;Keys!$C$54&amp;Keys!$C$56&amp;Keys!$C$54&amp;$C766,Balanced_2025!$E$9:$E$3032,0)))</f>
        <v>0</v>
      </c>
      <c r="I766" s="10">
        <f>IF($E766=Keys!$C$60,Keys!$C$51,INDEX(Balanced_2025!$D$9:$D$3032,MATCH($A766&amp;Keys!$C$54&amp;Keys!$C$57&amp;Keys!$C$54&amp;$C766,Balanced_2025!$E$9:$E$3032,0)))</f>
        <v>0</v>
      </c>
      <c r="J766" s="10">
        <f t="shared" si="44"/>
        <v>0</v>
      </c>
      <c r="K766" s="10">
        <f>MAX(Keys!$C$51,$I766-$H766)</f>
        <v>0</v>
      </c>
      <c r="L766" s="10">
        <f t="shared" si="45"/>
        <v>0</v>
      </c>
      <c r="M766" s="11">
        <f>IF($L766&gt;Keys!$C$51,MIN(Keys!$C$52,$K766/$L766),Keys!$C$51)</f>
        <v>0</v>
      </c>
      <c r="N766" s="11">
        <f>IF($E766=Keys!$C$60,Keys!$C$51,IF($E766=Keys!$C$59,$D766,$M766))</f>
        <v>0</v>
      </c>
      <c r="O766">
        <f t="shared" si="46"/>
        <v>0</v>
      </c>
      <c r="P766" s="10">
        <f>IF($E766=Keys!$C$60,Keys!$C$51,INDEX(Raw_BFPIaE!$G$9:$G$3032,MATCH($A766&amp;Keys!$C$54&amp;Keys!$C$55&amp;Keys!$C$54&amp;$B766,Raw_BFPIaE!$H$9:$H$3032,0)))</f>
        <v>0</v>
      </c>
      <c r="Q766" s="10">
        <f>IF($E766=Keys!$C$60,Keys!$C$51,INDEX(Raw_BFPIaE!$G$9:$G$3032,MATCH($A766&amp;Keys!$C$54&amp;Keys!$C$56&amp;Keys!$C$54&amp;$B766,Raw_BFPIaE!$H$9:$H$3032,0)))</f>
        <v>0</v>
      </c>
      <c r="R766" s="10">
        <f>IF($E766=Keys!$C$60,Keys!$C$51,INDEX(Raw_BFPIaE!$G$9:$G$3032,MATCH($A766&amp;Keys!$C$54&amp;Keys!$C$57&amp;Keys!$C$54&amp;$B766,Raw_BFPIaE!$H$9:$H$3032,0)))</f>
        <v>0</v>
      </c>
      <c r="S766" s="11">
        <f>IF(($P766+$Q766-$R766+MAX(Keys!$C$51,$R766-$Q766))&gt;Keys!$C$51,MIN(Keys!$C$52,MAX(Keys!$C$51,$R766-$Q766)/($P766+$Q766-$R766+MAX(Keys!$C$51,$R766-$Q766))),Keys!$C$51)</f>
        <v>0</v>
      </c>
      <c r="T766">
        <f>IF(AND($I766&gt;$H766,ABS($L766-$G766)&gt;MAX(Keys!$C$62,ABS($G766)*Keys!$C$63)),1,0)</f>
        <v>0</v>
      </c>
      <c r="U766">
        <f>IF(OR($N766&lt;Keys!$C$51,$N766&gt;Keys!$C$52),1,0)</f>
        <v>0</v>
      </c>
      <c r="V766">
        <f>IF(AND($E766=Keys!$C$60,$N766&lt;&gt;Keys!$C$51),1,0)</f>
        <v>0</v>
      </c>
      <c r="W766">
        <f>IF($L766&gt;Keys!$C$51,IF($K766/$L766&gt;Keys!$C$52,1,0),0)</f>
        <v>0</v>
      </c>
      <c r="X766" s="11">
        <f t="shared" si="47"/>
        <v>0</v>
      </c>
    </row>
    <row r="767" spans="1:24" x14ac:dyDescent="0.25">
      <c r="A767" t="s">
        <v>155</v>
      </c>
      <c r="B767" t="s">
        <v>82</v>
      </c>
      <c r="C767" t="str">
        <f>VLOOKUP($B767,Keys!$F$2:$I$22,2,FALSE)</f>
        <v>biomass</v>
      </c>
      <c r="D767">
        <f>VLOOKUP($B767,Keys!$F$2:$I$22,3,FALSE)</f>
        <v>0.74947425499999998</v>
      </c>
      <c r="E767" t="str">
        <f>VLOOKUP($B767,Keys!$F$2:$I$22,4,FALSE)</f>
        <v>rule</v>
      </c>
      <c r="F767" t="str">
        <f>$A767&amp;Keys!$C$54&amp;$B767</f>
        <v>RI|biomass</v>
      </c>
      <c r="G767" s="10">
        <f>IF($E767=Keys!$C$60,Keys!$C$51,INDEX(Balanced_2025!$D$9:$D$3032,MATCH($A767&amp;Keys!$C$54&amp;Keys!$C$55&amp;Keys!$C$54&amp;$C767,Balanced_2025!$E$9:$E$3032,0)))</f>
        <v>0</v>
      </c>
      <c r="H767" s="10">
        <f>IF($E767=Keys!$C$60,Keys!$C$51,INDEX(Balanced_2025!$D$9:$D$3032,MATCH($A767&amp;Keys!$C$54&amp;Keys!$C$56&amp;Keys!$C$54&amp;$C767,Balanced_2025!$E$9:$E$3032,0)))</f>
        <v>4133970000000</v>
      </c>
      <c r="I767" s="10">
        <f>IF($E767=Keys!$C$60,Keys!$C$51,INDEX(Balanced_2025!$D$9:$D$3032,MATCH($A767&amp;Keys!$C$54&amp;Keys!$C$57&amp;Keys!$C$54&amp;$C767,Balanced_2025!$E$9:$E$3032,0)))</f>
        <v>0</v>
      </c>
      <c r="J767" s="10">
        <f t="shared" si="44"/>
        <v>4133970000000</v>
      </c>
      <c r="K767" s="10">
        <f>MAX(Keys!$C$51,$I767-$H767)</f>
        <v>0</v>
      </c>
      <c r="L767" s="10">
        <f t="shared" si="45"/>
        <v>4133970000000</v>
      </c>
      <c r="M767" s="11">
        <f>IF($L767&gt;Keys!$C$51,MIN(Keys!$C$52,$K767/$L767),Keys!$C$51)</f>
        <v>0</v>
      </c>
      <c r="N767" s="11">
        <f>IF($E767=Keys!$C$60,Keys!$C$51,IF($E767=Keys!$C$59,$D767,$M767))</f>
        <v>0</v>
      </c>
      <c r="O767">
        <f t="shared" si="46"/>
        <v>1</v>
      </c>
      <c r="P767" s="10">
        <f>IF($E767=Keys!$C$60,Keys!$C$51,INDEX(Raw_BFPIaE!$G$9:$G$3032,MATCH($A767&amp;Keys!$C$54&amp;Keys!$C$55&amp;Keys!$C$54&amp;$B767,Raw_BFPIaE!$H$9:$H$3032,0)))</f>
        <v>0</v>
      </c>
      <c r="Q767" s="10">
        <f>IF($E767=Keys!$C$60,Keys!$C$51,INDEX(Raw_BFPIaE!$G$9:$G$3032,MATCH($A767&amp;Keys!$C$54&amp;Keys!$C$56&amp;Keys!$C$54&amp;$B767,Raw_BFPIaE!$H$9:$H$3032,0)))</f>
        <v>2689960000000</v>
      </c>
      <c r="R767" s="10">
        <f>IF($E767=Keys!$C$60,Keys!$C$51,INDEX(Raw_BFPIaE!$G$9:$G$3032,MATCH($A767&amp;Keys!$C$54&amp;Keys!$C$57&amp;Keys!$C$54&amp;$B767,Raw_BFPIaE!$H$9:$H$3032,0)))</f>
        <v>0</v>
      </c>
      <c r="S767" s="11">
        <f>IF(($P767+$Q767-$R767+MAX(Keys!$C$51,$R767-$Q767))&gt;Keys!$C$51,MIN(Keys!$C$52,MAX(Keys!$C$51,$R767-$Q767)/($P767+$Q767-$R767+MAX(Keys!$C$51,$R767-$Q767))),Keys!$C$51)</f>
        <v>0</v>
      </c>
      <c r="T767">
        <f>IF(AND($I767&gt;$H767,ABS($L767-$G767)&gt;MAX(Keys!$C$62,ABS($G767)*Keys!$C$63)),1,0)</f>
        <v>0</v>
      </c>
      <c r="U767">
        <f>IF(OR($N767&lt;Keys!$C$51,$N767&gt;Keys!$C$52),1,0)</f>
        <v>0</v>
      </c>
      <c r="V767">
        <f>IF(AND($E767=Keys!$C$60,$N767&lt;&gt;Keys!$C$51),1,0)</f>
        <v>0</v>
      </c>
      <c r="W767">
        <f>IF($L767&gt;Keys!$C$51,IF($K767/$L767&gt;Keys!$C$52,1,0),0)</f>
        <v>0</v>
      </c>
      <c r="X767" s="11">
        <f t="shared" si="47"/>
        <v>0</v>
      </c>
    </row>
    <row r="768" spans="1:24" x14ac:dyDescent="0.25">
      <c r="A768" t="s">
        <v>155</v>
      </c>
      <c r="B768" t="s">
        <v>85</v>
      </c>
      <c r="C768" t="str">
        <f>VLOOKUP($B768,Keys!$F$2:$I$22,2,FALSE)</f>
        <v>petroleum gasoline</v>
      </c>
      <c r="D768">
        <f>VLOOKUP($B768,Keys!$F$2:$I$22,3,FALSE)</f>
        <v>7.5004052000000002E-2</v>
      </c>
      <c r="E768" t="str">
        <f>VLOOKUP($B768,Keys!$F$2:$I$22,4,FALSE)</f>
        <v>rule</v>
      </c>
      <c r="F768" t="str">
        <f>$A768&amp;Keys!$C$54&amp;$B768</f>
        <v>RI|petroleum gasoline</v>
      </c>
      <c r="G768" s="10">
        <f>IF($E768=Keys!$C$60,Keys!$C$51,INDEX(Balanced_2025!$D$9:$D$3032,MATCH($A768&amp;Keys!$C$54&amp;Keys!$C$55&amp;Keys!$C$54&amp;$C768,Balanced_2025!$E$9:$E$3032,0)))</f>
        <v>0</v>
      </c>
      <c r="H768" s="10">
        <f>IF($E768=Keys!$C$60,Keys!$C$51,INDEX(Balanced_2025!$D$9:$D$3032,MATCH($A768&amp;Keys!$C$54&amp;Keys!$C$56&amp;Keys!$C$54&amp;$C768,Balanced_2025!$E$9:$E$3032,0)))</f>
        <v>39344000000000</v>
      </c>
      <c r="I768" s="10">
        <f>IF($E768=Keys!$C$60,Keys!$C$51,INDEX(Balanced_2025!$D$9:$D$3032,MATCH($A768&amp;Keys!$C$54&amp;Keys!$C$57&amp;Keys!$C$54&amp;$C768,Balanced_2025!$E$9:$E$3032,0)))</f>
        <v>0</v>
      </c>
      <c r="J768" s="10">
        <f t="shared" si="44"/>
        <v>39344000000000</v>
      </c>
      <c r="K768" s="10">
        <f>MAX(Keys!$C$51,$I768-$H768)</f>
        <v>0</v>
      </c>
      <c r="L768" s="10">
        <f t="shared" si="45"/>
        <v>39344000000000</v>
      </c>
      <c r="M768" s="11">
        <f>IF($L768&gt;Keys!$C$51,MIN(Keys!$C$52,$K768/$L768),Keys!$C$51)</f>
        <v>0</v>
      </c>
      <c r="N768" s="11">
        <f>IF($E768=Keys!$C$60,Keys!$C$51,IF($E768=Keys!$C$59,$D768,$M768))</f>
        <v>0</v>
      </c>
      <c r="O768">
        <f t="shared" si="46"/>
        <v>1</v>
      </c>
      <c r="P768" s="10">
        <f>IF($E768=Keys!$C$60,Keys!$C$51,INDEX(Raw_BFPIaE!$G$9:$G$3032,MATCH($A768&amp;Keys!$C$54&amp;Keys!$C$55&amp;Keys!$C$54&amp;$B768,Raw_BFPIaE!$H$9:$H$3032,0)))</f>
        <v>0</v>
      </c>
      <c r="Q768" s="10">
        <f>IF($E768=Keys!$C$60,Keys!$C$51,INDEX(Raw_BFPIaE!$G$9:$G$3032,MATCH($A768&amp;Keys!$C$54&amp;Keys!$C$56&amp;Keys!$C$54&amp;$B768,Raw_BFPIaE!$H$9:$H$3032,0)))</f>
        <v>24630566666666.668</v>
      </c>
      <c r="R768" s="10">
        <f>IF($E768=Keys!$C$60,Keys!$C$51,INDEX(Raw_BFPIaE!$G$9:$G$3032,MATCH($A768&amp;Keys!$C$54&amp;Keys!$C$57&amp;Keys!$C$54&amp;$B768,Raw_BFPIaE!$H$9:$H$3032,0)))</f>
        <v>0</v>
      </c>
      <c r="S768" s="11">
        <f>IF(($P768+$Q768-$R768+MAX(Keys!$C$51,$R768-$Q768))&gt;Keys!$C$51,MIN(Keys!$C$52,MAX(Keys!$C$51,$R768-$Q768)/($P768+$Q768-$R768+MAX(Keys!$C$51,$R768-$Q768))),Keys!$C$51)</f>
        <v>0</v>
      </c>
      <c r="T768">
        <f>IF(AND($I768&gt;$H768,ABS($L768-$G768)&gt;MAX(Keys!$C$62,ABS($G768)*Keys!$C$63)),1,0)</f>
        <v>0</v>
      </c>
      <c r="U768">
        <f>IF(OR($N768&lt;Keys!$C$51,$N768&gt;Keys!$C$52),1,0)</f>
        <v>0</v>
      </c>
      <c r="V768">
        <f>IF(AND($E768=Keys!$C$60,$N768&lt;&gt;Keys!$C$51),1,0)</f>
        <v>0</v>
      </c>
      <c r="W768">
        <f>IF($L768&gt;Keys!$C$51,IF($K768/$L768&gt;Keys!$C$52,1,0),0)</f>
        <v>0</v>
      </c>
      <c r="X768" s="11">
        <f t="shared" si="47"/>
        <v>0</v>
      </c>
    </row>
    <row r="769" spans="1:24" x14ac:dyDescent="0.25">
      <c r="A769" t="s">
        <v>155</v>
      </c>
      <c r="B769" t="s">
        <v>88</v>
      </c>
      <c r="C769" t="str">
        <f>VLOOKUP($B769,Keys!$F$2:$I$22,2,FALSE)</f>
        <v>petroleum diesel</v>
      </c>
      <c r="D769">
        <f>VLOOKUP($B769,Keys!$F$2:$I$22,3,FALSE)</f>
        <v>0.26691051799999999</v>
      </c>
      <c r="E769" t="str">
        <f>VLOOKUP($B769,Keys!$F$2:$I$22,4,FALSE)</f>
        <v>rule</v>
      </c>
      <c r="F769" t="str">
        <f>$A769&amp;Keys!$C$54&amp;$B769</f>
        <v>RI|petroleum diesel</v>
      </c>
      <c r="G769" s="10">
        <f>IF($E769=Keys!$C$60,Keys!$C$51,INDEX(Balanced_2025!$D$9:$D$3032,MATCH($A769&amp;Keys!$C$54&amp;Keys!$C$55&amp;Keys!$C$54&amp;$C769,Balanced_2025!$E$9:$E$3032,0)))</f>
        <v>0</v>
      </c>
      <c r="H769" s="10">
        <f>IF($E769=Keys!$C$60,Keys!$C$51,INDEX(Balanced_2025!$D$9:$D$3032,MATCH($A769&amp;Keys!$C$54&amp;Keys!$C$56&amp;Keys!$C$54&amp;$C769,Balanced_2025!$E$9:$E$3032,0)))</f>
        <v>31621600000000</v>
      </c>
      <c r="I769" s="10">
        <f>IF($E769=Keys!$C$60,Keys!$C$51,INDEX(Balanced_2025!$D$9:$D$3032,MATCH($A769&amp;Keys!$C$54&amp;Keys!$C$57&amp;Keys!$C$54&amp;$C769,Balanced_2025!$E$9:$E$3032,0)))</f>
        <v>0</v>
      </c>
      <c r="J769" s="10">
        <f t="shared" si="44"/>
        <v>31621600000000</v>
      </c>
      <c r="K769" s="10">
        <f>MAX(Keys!$C$51,$I769-$H769)</f>
        <v>0</v>
      </c>
      <c r="L769" s="10">
        <f t="shared" si="45"/>
        <v>31621600000000</v>
      </c>
      <c r="M769" s="11">
        <f>IF($L769&gt;Keys!$C$51,MIN(Keys!$C$52,$K769/$L769),Keys!$C$51)</f>
        <v>0</v>
      </c>
      <c r="N769" s="11">
        <f>IF($E769=Keys!$C$60,Keys!$C$51,IF($E769=Keys!$C$59,$D769,$M769))</f>
        <v>0</v>
      </c>
      <c r="O769">
        <f t="shared" si="46"/>
        <v>1</v>
      </c>
      <c r="P769" s="10">
        <f>IF($E769=Keys!$C$60,Keys!$C$51,INDEX(Raw_BFPIaE!$G$9:$G$3032,MATCH($A769&amp;Keys!$C$54&amp;Keys!$C$55&amp;Keys!$C$54&amp;$B769,Raw_BFPIaE!$H$9:$H$3032,0)))</f>
        <v>0</v>
      </c>
      <c r="Q769" s="10">
        <f>IF($E769=Keys!$C$60,Keys!$C$51,INDEX(Raw_BFPIaE!$G$9:$G$3032,MATCH($A769&amp;Keys!$C$54&amp;Keys!$C$56&amp;Keys!$C$54&amp;$B769,Raw_BFPIaE!$H$9:$H$3032,0)))</f>
        <v>20503566666666.668</v>
      </c>
      <c r="R769" s="10">
        <f>IF($E769=Keys!$C$60,Keys!$C$51,INDEX(Raw_BFPIaE!$G$9:$G$3032,MATCH($A769&amp;Keys!$C$54&amp;Keys!$C$57&amp;Keys!$C$54&amp;$B769,Raw_BFPIaE!$H$9:$H$3032,0)))</f>
        <v>0</v>
      </c>
      <c r="S769" s="11">
        <f>IF(($P769+$Q769-$R769+MAX(Keys!$C$51,$R769-$Q769))&gt;Keys!$C$51,MIN(Keys!$C$52,MAX(Keys!$C$51,$R769-$Q769)/($P769+$Q769-$R769+MAX(Keys!$C$51,$R769-$Q769))),Keys!$C$51)</f>
        <v>0</v>
      </c>
      <c r="T769">
        <f>IF(AND($I769&gt;$H769,ABS($L769-$G769)&gt;MAX(Keys!$C$62,ABS($G769)*Keys!$C$63)),1,0)</f>
        <v>0</v>
      </c>
      <c r="U769">
        <f>IF(OR($N769&lt;Keys!$C$51,$N769&gt;Keys!$C$52),1,0)</f>
        <v>0</v>
      </c>
      <c r="V769">
        <f>IF(AND($E769=Keys!$C$60,$N769&lt;&gt;Keys!$C$51),1,0)</f>
        <v>0</v>
      </c>
      <c r="W769">
        <f>IF($L769&gt;Keys!$C$51,IF($K769/$L769&gt;Keys!$C$52,1,0),0)</f>
        <v>0</v>
      </c>
      <c r="X769" s="11">
        <f t="shared" si="47"/>
        <v>0</v>
      </c>
    </row>
    <row r="770" spans="1:24" x14ac:dyDescent="0.25">
      <c r="A770" t="s">
        <v>155</v>
      </c>
      <c r="B770" t="s">
        <v>91</v>
      </c>
      <c r="C770" t="str">
        <f>VLOOKUP($B770,Keys!$F$2:$I$22,2,FALSE)</f>
        <v>biofuel gasoline</v>
      </c>
      <c r="D770">
        <f>VLOOKUP($B770,Keys!$F$2:$I$22,3,FALSE)</f>
        <v>8.7213884000000005E-2</v>
      </c>
      <c r="E770" t="str">
        <f>VLOOKUP($B770,Keys!$F$2:$I$22,4,FALSE)</f>
        <v>rule</v>
      </c>
      <c r="F770" t="str">
        <f>$A770&amp;Keys!$C$54&amp;$B770</f>
        <v>RI|biofuel gasoline</v>
      </c>
      <c r="G770" s="10">
        <f>IF($E770=Keys!$C$60,Keys!$C$51,INDEX(Balanced_2025!$D$9:$D$3032,MATCH($A770&amp;Keys!$C$54&amp;Keys!$C$55&amp;Keys!$C$54&amp;$C770,Balanced_2025!$E$9:$E$3032,0)))</f>
        <v>0</v>
      </c>
      <c r="H770" s="10">
        <f>IF($E770=Keys!$C$60,Keys!$C$51,INDEX(Balanced_2025!$D$9:$D$3032,MATCH($A770&amp;Keys!$C$54&amp;Keys!$C$56&amp;Keys!$C$54&amp;$C770,Balanced_2025!$E$9:$E$3032,0)))</f>
        <v>2871960000000</v>
      </c>
      <c r="I770" s="10">
        <f>IF($E770=Keys!$C$60,Keys!$C$51,INDEX(Balanced_2025!$D$9:$D$3032,MATCH($A770&amp;Keys!$C$54&amp;Keys!$C$57&amp;Keys!$C$54&amp;$C770,Balanced_2025!$E$9:$E$3032,0)))</f>
        <v>0</v>
      </c>
      <c r="J770" s="10">
        <f t="shared" si="44"/>
        <v>2871960000000</v>
      </c>
      <c r="K770" s="10">
        <f>MAX(Keys!$C$51,$I770-$H770)</f>
        <v>0</v>
      </c>
      <c r="L770" s="10">
        <f t="shared" si="45"/>
        <v>2871960000000</v>
      </c>
      <c r="M770" s="11">
        <f>IF($L770&gt;Keys!$C$51,MIN(Keys!$C$52,$K770/$L770),Keys!$C$51)</f>
        <v>0</v>
      </c>
      <c r="N770" s="11">
        <f>IF($E770=Keys!$C$60,Keys!$C$51,IF($E770=Keys!$C$59,$D770,$M770))</f>
        <v>0</v>
      </c>
      <c r="O770">
        <f t="shared" si="46"/>
        <v>1</v>
      </c>
      <c r="P770" s="10">
        <f>IF($E770=Keys!$C$60,Keys!$C$51,INDEX(Raw_BFPIaE!$G$9:$G$3032,MATCH($A770&amp;Keys!$C$54&amp;Keys!$C$55&amp;Keys!$C$54&amp;$B770,Raw_BFPIaE!$H$9:$H$3032,0)))</f>
        <v>0</v>
      </c>
      <c r="Q770" s="10">
        <f>IF($E770=Keys!$C$60,Keys!$C$51,INDEX(Raw_BFPIaE!$G$9:$G$3032,MATCH($A770&amp;Keys!$C$54&amp;Keys!$C$56&amp;Keys!$C$54&amp;$B770,Raw_BFPIaE!$H$9:$H$3032,0)))</f>
        <v>1796973333333.3333</v>
      </c>
      <c r="R770" s="10">
        <f>IF($E770=Keys!$C$60,Keys!$C$51,INDEX(Raw_BFPIaE!$G$9:$G$3032,MATCH($A770&amp;Keys!$C$54&amp;Keys!$C$57&amp;Keys!$C$54&amp;$B770,Raw_BFPIaE!$H$9:$H$3032,0)))</f>
        <v>0</v>
      </c>
      <c r="S770" s="11">
        <f>IF(($P770+$Q770-$R770+MAX(Keys!$C$51,$R770-$Q770))&gt;Keys!$C$51,MIN(Keys!$C$52,MAX(Keys!$C$51,$R770-$Q770)/($P770+$Q770-$R770+MAX(Keys!$C$51,$R770-$Q770))),Keys!$C$51)</f>
        <v>0</v>
      </c>
      <c r="T770">
        <f>IF(AND($I770&gt;$H770,ABS($L770-$G770)&gt;MAX(Keys!$C$62,ABS($G770)*Keys!$C$63)),1,0)</f>
        <v>0</v>
      </c>
      <c r="U770">
        <f>IF(OR($N770&lt;Keys!$C$51,$N770&gt;Keys!$C$52),1,0)</f>
        <v>0</v>
      </c>
      <c r="V770">
        <f>IF(AND($E770=Keys!$C$60,$N770&lt;&gt;Keys!$C$51),1,0)</f>
        <v>0</v>
      </c>
      <c r="W770">
        <f>IF($L770&gt;Keys!$C$51,IF($K770/$L770&gt;Keys!$C$52,1,0),0)</f>
        <v>0</v>
      </c>
      <c r="X770" s="11">
        <f t="shared" si="47"/>
        <v>0</v>
      </c>
    </row>
    <row r="771" spans="1:24" x14ac:dyDescent="0.25">
      <c r="A771" t="s">
        <v>155</v>
      </c>
      <c r="B771" t="s">
        <v>94</v>
      </c>
      <c r="C771" t="str">
        <f>VLOOKUP($B771,Keys!$F$2:$I$22,2,FALSE)</f>
        <v>biofuel diesel</v>
      </c>
      <c r="D771">
        <f>VLOOKUP($B771,Keys!$F$2:$I$22,3,FALSE)</f>
        <v>5.8642381E-2</v>
      </c>
      <c r="E771" t="str">
        <f>VLOOKUP($B771,Keys!$F$2:$I$22,4,FALSE)</f>
        <v>rule</v>
      </c>
      <c r="F771" t="str">
        <f>$A771&amp;Keys!$C$54&amp;$B771</f>
        <v>RI|biofuel diesel</v>
      </c>
      <c r="G771" s="10">
        <f>IF($E771=Keys!$C$60,Keys!$C$51,INDEX(Balanced_2025!$D$9:$D$3032,MATCH($A771&amp;Keys!$C$54&amp;Keys!$C$55&amp;Keys!$C$54&amp;$C771,Balanced_2025!$E$9:$E$3032,0)))</f>
        <v>0</v>
      </c>
      <c r="H771" s="10">
        <f>IF($E771=Keys!$C$60,Keys!$C$51,INDEX(Balanced_2025!$D$9:$D$3032,MATCH($A771&amp;Keys!$C$54&amp;Keys!$C$56&amp;Keys!$C$54&amp;$C771,Balanced_2025!$E$9:$E$3032,0)))</f>
        <v>246988000000</v>
      </c>
      <c r="I771" s="10">
        <f>IF($E771=Keys!$C$60,Keys!$C$51,INDEX(Balanced_2025!$D$9:$D$3032,MATCH($A771&amp;Keys!$C$54&amp;Keys!$C$57&amp;Keys!$C$54&amp;$C771,Balanced_2025!$E$9:$E$3032,0)))</f>
        <v>0</v>
      </c>
      <c r="J771" s="10">
        <f t="shared" si="44"/>
        <v>246988000000</v>
      </c>
      <c r="K771" s="10">
        <f>MAX(Keys!$C$51,$I771-$H771)</f>
        <v>0</v>
      </c>
      <c r="L771" s="10">
        <f t="shared" si="45"/>
        <v>246988000000</v>
      </c>
      <c r="M771" s="11">
        <f>IF($L771&gt;Keys!$C$51,MIN(Keys!$C$52,$K771/$L771),Keys!$C$51)</f>
        <v>0</v>
      </c>
      <c r="N771" s="11">
        <f>IF($E771=Keys!$C$60,Keys!$C$51,IF($E771=Keys!$C$59,$D771,$M771))</f>
        <v>0</v>
      </c>
      <c r="O771">
        <f t="shared" si="46"/>
        <v>1</v>
      </c>
      <c r="P771" s="10">
        <f>IF($E771=Keys!$C$60,Keys!$C$51,INDEX(Raw_BFPIaE!$G$9:$G$3032,MATCH($A771&amp;Keys!$C$54&amp;Keys!$C$55&amp;Keys!$C$54&amp;$B771,Raw_BFPIaE!$H$9:$H$3032,0)))</f>
        <v>0</v>
      </c>
      <c r="Q771" s="10">
        <f>IF($E771=Keys!$C$60,Keys!$C$51,INDEX(Raw_BFPIaE!$G$9:$G$3032,MATCH($A771&amp;Keys!$C$54&amp;Keys!$C$56&amp;Keys!$C$54&amp;$B771,Raw_BFPIaE!$H$9:$H$3032,0)))</f>
        <v>160454333333.33334</v>
      </c>
      <c r="R771" s="10">
        <f>IF($E771=Keys!$C$60,Keys!$C$51,INDEX(Raw_BFPIaE!$G$9:$G$3032,MATCH($A771&amp;Keys!$C$54&amp;Keys!$C$57&amp;Keys!$C$54&amp;$B771,Raw_BFPIaE!$H$9:$H$3032,0)))</f>
        <v>0</v>
      </c>
      <c r="S771" s="11">
        <f>IF(($P771+$Q771-$R771+MAX(Keys!$C$51,$R771-$Q771))&gt;Keys!$C$51,MIN(Keys!$C$52,MAX(Keys!$C$51,$R771-$Q771)/($P771+$Q771-$R771+MAX(Keys!$C$51,$R771-$Q771))),Keys!$C$51)</f>
        <v>0</v>
      </c>
      <c r="T771">
        <f>IF(AND($I771&gt;$H771,ABS($L771-$G771)&gt;MAX(Keys!$C$62,ABS($G771)*Keys!$C$63)),1,0)</f>
        <v>0</v>
      </c>
      <c r="U771">
        <f>IF(OR($N771&lt;Keys!$C$51,$N771&gt;Keys!$C$52),1,0)</f>
        <v>0</v>
      </c>
      <c r="V771">
        <f>IF(AND($E771=Keys!$C$60,$N771&lt;&gt;Keys!$C$51),1,0)</f>
        <v>0</v>
      </c>
      <c r="W771">
        <f>IF($L771&gt;Keys!$C$51,IF($K771/$L771&gt;Keys!$C$52,1,0),0)</f>
        <v>0</v>
      </c>
      <c r="X771" s="11">
        <f t="shared" si="47"/>
        <v>0</v>
      </c>
    </row>
    <row r="772" spans="1:24" x14ac:dyDescent="0.25">
      <c r="A772" t="s">
        <v>155</v>
      </c>
      <c r="B772" t="s">
        <v>97</v>
      </c>
      <c r="C772" t="str">
        <f>VLOOKUP($B772,Keys!$F$2:$I$22,2,FALSE)</f>
        <v>jet fuel or kerosene</v>
      </c>
      <c r="D772">
        <f>VLOOKUP($B772,Keys!$F$2:$I$22,3,FALSE)</f>
        <v>0.10155994</v>
      </c>
      <c r="E772" t="str">
        <f>VLOOKUP($B772,Keys!$F$2:$I$22,4,FALSE)</f>
        <v>rule</v>
      </c>
      <c r="F772" t="str">
        <f>$A772&amp;Keys!$C$54&amp;$B772</f>
        <v>RI|jet fuel or kerosene</v>
      </c>
      <c r="G772" s="10">
        <f>IF($E772=Keys!$C$60,Keys!$C$51,INDEX(Balanced_2025!$D$9:$D$3032,MATCH($A772&amp;Keys!$C$54&amp;Keys!$C$55&amp;Keys!$C$54&amp;$C772,Balanced_2025!$E$9:$E$3032,0)))</f>
        <v>0</v>
      </c>
      <c r="H772" s="10">
        <f>IF($E772=Keys!$C$60,Keys!$C$51,INDEX(Balanced_2025!$D$9:$D$3032,MATCH($A772&amp;Keys!$C$54&amp;Keys!$C$56&amp;Keys!$C$54&amp;$C772,Balanced_2025!$E$9:$E$3032,0)))</f>
        <v>2408650000000</v>
      </c>
      <c r="I772" s="10">
        <f>IF($E772=Keys!$C$60,Keys!$C$51,INDEX(Balanced_2025!$D$9:$D$3032,MATCH($A772&amp;Keys!$C$54&amp;Keys!$C$57&amp;Keys!$C$54&amp;$C772,Balanced_2025!$E$9:$E$3032,0)))</f>
        <v>0</v>
      </c>
      <c r="J772" s="10">
        <f t="shared" ref="J772:J835" si="48">$G772+$H772-$I772</f>
        <v>2408650000000</v>
      </c>
      <c r="K772" s="10">
        <f>MAX(Keys!$C$51,$I772-$H772)</f>
        <v>0</v>
      </c>
      <c r="L772" s="10">
        <f t="shared" ref="L772:L835" si="49">$K772+$J772</f>
        <v>2408650000000</v>
      </c>
      <c r="M772" s="11">
        <f>IF($L772&gt;Keys!$C$51,MIN(Keys!$C$52,$K772/$L772),Keys!$C$51)</f>
        <v>0</v>
      </c>
      <c r="N772" s="11">
        <f>IF($E772=Keys!$C$60,Keys!$C$51,IF($E772=Keys!$C$59,$D772,$M772))</f>
        <v>0</v>
      </c>
      <c r="O772">
        <f t="shared" ref="O772:O835" si="50">IF($N772&lt;&gt;$D772,1,0)</f>
        <v>1</v>
      </c>
      <c r="P772" s="10">
        <f>IF($E772=Keys!$C$60,Keys!$C$51,INDEX(Raw_BFPIaE!$G$9:$G$3032,MATCH($A772&amp;Keys!$C$54&amp;Keys!$C$55&amp;Keys!$C$54&amp;$B772,Raw_BFPIaE!$H$9:$H$3032,0)))</f>
        <v>0</v>
      </c>
      <c r="Q772" s="10">
        <f>IF($E772=Keys!$C$60,Keys!$C$51,INDEX(Raw_BFPIaE!$G$9:$G$3032,MATCH($A772&amp;Keys!$C$54&amp;Keys!$C$56&amp;Keys!$C$54&amp;$B772,Raw_BFPIaE!$H$9:$H$3032,0)))</f>
        <v>1628486666666.6667</v>
      </c>
      <c r="R772" s="10">
        <f>IF($E772=Keys!$C$60,Keys!$C$51,INDEX(Raw_BFPIaE!$G$9:$G$3032,MATCH($A772&amp;Keys!$C$54&amp;Keys!$C$57&amp;Keys!$C$54&amp;$B772,Raw_BFPIaE!$H$9:$H$3032,0)))</f>
        <v>0</v>
      </c>
      <c r="S772" s="11">
        <f>IF(($P772+$Q772-$R772+MAX(Keys!$C$51,$R772-$Q772))&gt;Keys!$C$51,MIN(Keys!$C$52,MAX(Keys!$C$51,$R772-$Q772)/($P772+$Q772-$R772+MAX(Keys!$C$51,$R772-$Q772))),Keys!$C$51)</f>
        <v>0</v>
      </c>
      <c r="T772">
        <f>IF(AND($I772&gt;$H772,ABS($L772-$G772)&gt;MAX(Keys!$C$62,ABS($G772)*Keys!$C$63)),1,0)</f>
        <v>0</v>
      </c>
      <c r="U772">
        <f>IF(OR($N772&lt;Keys!$C$51,$N772&gt;Keys!$C$52),1,0)</f>
        <v>0</v>
      </c>
      <c r="V772">
        <f>IF(AND($E772=Keys!$C$60,$N772&lt;&gt;Keys!$C$51),1,0)</f>
        <v>0</v>
      </c>
      <c r="W772">
        <f>IF($L772&gt;Keys!$C$51,IF($K772/$L772&gt;Keys!$C$52,1,0),0)</f>
        <v>0</v>
      </c>
      <c r="X772" s="11">
        <f t="shared" ref="X772:X835" si="51">ABS($M772-$S772)</f>
        <v>0</v>
      </c>
    </row>
    <row r="773" spans="1:24" x14ac:dyDescent="0.25">
      <c r="A773" t="s">
        <v>155</v>
      </c>
      <c r="B773" t="s">
        <v>100</v>
      </c>
      <c r="C773">
        <f>VLOOKUP($B773,Keys!$F$2:$I$22,2,FALSE)</f>
        <v>0</v>
      </c>
      <c r="D773">
        <f>VLOOKUP($B773,Keys!$F$2:$I$22,3,FALSE)</f>
        <v>0</v>
      </c>
      <c r="E773" t="str">
        <f>VLOOKUP($B773,Keys!$F$2:$I$22,4,FALSE)</f>
        <v>zero</v>
      </c>
      <c r="F773" t="str">
        <f>$A773&amp;Keys!$C$54&amp;$B773</f>
        <v>RI|heat (not used in this variable)</v>
      </c>
      <c r="G773" s="10">
        <f>IF($E773=Keys!$C$60,Keys!$C$51,INDEX(Balanced_2025!$D$9:$D$3032,MATCH($A773&amp;Keys!$C$54&amp;Keys!$C$55&amp;Keys!$C$54&amp;$C773,Balanced_2025!$E$9:$E$3032,0)))</f>
        <v>0</v>
      </c>
      <c r="H773" s="10">
        <f>IF($E773=Keys!$C$60,Keys!$C$51,INDEX(Balanced_2025!$D$9:$D$3032,MATCH($A773&amp;Keys!$C$54&amp;Keys!$C$56&amp;Keys!$C$54&amp;$C773,Balanced_2025!$E$9:$E$3032,0)))</f>
        <v>0</v>
      </c>
      <c r="I773" s="10">
        <f>IF($E773=Keys!$C$60,Keys!$C$51,INDEX(Balanced_2025!$D$9:$D$3032,MATCH($A773&amp;Keys!$C$54&amp;Keys!$C$57&amp;Keys!$C$54&amp;$C773,Balanced_2025!$E$9:$E$3032,0)))</f>
        <v>0</v>
      </c>
      <c r="J773" s="10">
        <f t="shared" si="48"/>
        <v>0</v>
      </c>
      <c r="K773" s="10">
        <f>MAX(Keys!$C$51,$I773-$H773)</f>
        <v>0</v>
      </c>
      <c r="L773" s="10">
        <f t="shared" si="49"/>
        <v>0</v>
      </c>
      <c r="M773" s="11">
        <f>IF($L773&gt;Keys!$C$51,MIN(Keys!$C$52,$K773/$L773),Keys!$C$51)</f>
        <v>0</v>
      </c>
      <c r="N773" s="11">
        <f>IF($E773=Keys!$C$60,Keys!$C$51,IF($E773=Keys!$C$59,$D773,$M773))</f>
        <v>0</v>
      </c>
      <c r="O773">
        <f t="shared" si="50"/>
        <v>0</v>
      </c>
      <c r="P773" s="10">
        <f>IF($E773=Keys!$C$60,Keys!$C$51,INDEX(Raw_BFPIaE!$G$9:$G$3032,MATCH($A773&amp;Keys!$C$54&amp;Keys!$C$55&amp;Keys!$C$54&amp;$B773,Raw_BFPIaE!$H$9:$H$3032,0)))</f>
        <v>0</v>
      </c>
      <c r="Q773" s="10">
        <f>IF($E773=Keys!$C$60,Keys!$C$51,INDEX(Raw_BFPIaE!$G$9:$G$3032,MATCH($A773&amp;Keys!$C$54&amp;Keys!$C$56&amp;Keys!$C$54&amp;$B773,Raw_BFPIaE!$H$9:$H$3032,0)))</f>
        <v>0</v>
      </c>
      <c r="R773" s="10">
        <f>IF($E773=Keys!$C$60,Keys!$C$51,INDEX(Raw_BFPIaE!$G$9:$G$3032,MATCH($A773&amp;Keys!$C$54&amp;Keys!$C$57&amp;Keys!$C$54&amp;$B773,Raw_BFPIaE!$H$9:$H$3032,0)))</f>
        <v>0</v>
      </c>
      <c r="S773" s="11">
        <f>IF(($P773+$Q773-$R773+MAX(Keys!$C$51,$R773-$Q773))&gt;Keys!$C$51,MIN(Keys!$C$52,MAX(Keys!$C$51,$R773-$Q773)/($P773+$Q773-$R773+MAX(Keys!$C$51,$R773-$Q773))),Keys!$C$51)</f>
        <v>0</v>
      </c>
      <c r="T773">
        <f>IF(AND($I773&gt;$H773,ABS($L773-$G773)&gt;MAX(Keys!$C$62,ABS($G773)*Keys!$C$63)),1,0)</f>
        <v>0</v>
      </c>
      <c r="U773">
        <f>IF(OR($N773&lt;Keys!$C$51,$N773&gt;Keys!$C$52),1,0)</f>
        <v>0</v>
      </c>
      <c r="V773">
        <f>IF(AND($E773=Keys!$C$60,$N773&lt;&gt;Keys!$C$51),1,0)</f>
        <v>0</v>
      </c>
      <c r="W773">
        <f>IF($L773&gt;Keys!$C$51,IF($K773/$L773&gt;Keys!$C$52,1,0),0)</f>
        <v>0</v>
      </c>
      <c r="X773" s="11">
        <f t="shared" si="51"/>
        <v>0</v>
      </c>
    </row>
    <row r="774" spans="1:24" x14ac:dyDescent="0.25">
      <c r="A774" t="s">
        <v>155</v>
      </c>
      <c r="B774" t="s">
        <v>103</v>
      </c>
      <c r="C774">
        <f>VLOOKUP($B774,Keys!$F$2:$I$22,2,FALSE)</f>
        <v>0</v>
      </c>
      <c r="D774">
        <f>VLOOKUP($B774,Keys!$F$2:$I$22,3,FALSE)</f>
        <v>0</v>
      </c>
      <c r="E774" t="str">
        <f>VLOOKUP($B774,Keys!$F$2:$I$22,4,FALSE)</f>
        <v>zero</v>
      </c>
      <c r="F774" t="str">
        <f>$A774&amp;Keys!$C$54&amp;$B774</f>
        <v>RI|geothermal (is not a fuel)</v>
      </c>
      <c r="G774" s="10">
        <f>IF($E774=Keys!$C$60,Keys!$C$51,INDEX(Balanced_2025!$D$9:$D$3032,MATCH($A774&amp;Keys!$C$54&amp;Keys!$C$55&amp;Keys!$C$54&amp;$C774,Balanced_2025!$E$9:$E$3032,0)))</f>
        <v>0</v>
      </c>
      <c r="H774" s="10">
        <f>IF($E774=Keys!$C$60,Keys!$C$51,INDEX(Balanced_2025!$D$9:$D$3032,MATCH($A774&amp;Keys!$C$54&amp;Keys!$C$56&amp;Keys!$C$54&amp;$C774,Balanced_2025!$E$9:$E$3032,0)))</f>
        <v>0</v>
      </c>
      <c r="I774" s="10">
        <f>IF($E774=Keys!$C$60,Keys!$C$51,INDEX(Balanced_2025!$D$9:$D$3032,MATCH($A774&amp;Keys!$C$54&amp;Keys!$C$57&amp;Keys!$C$54&amp;$C774,Balanced_2025!$E$9:$E$3032,0)))</f>
        <v>0</v>
      </c>
      <c r="J774" s="10">
        <f t="shared" si="48"/>
        <v>0</v>
      </c>
      <c r="K774" s="10">
        <f>MAX(Keys!$C$51,$I774-$H774)</f>
        <v>0</v>
      </c>
      <c r="L774" s="10">
        <f t="shared" si="49"/>
        <v>0</v>
      </c>
      <c r="M774" s="11">
        <f>IF($L774&gt;Keys!$C$51,MIN(Keys!$C$52,$K774/$L774),Keys!$C$51)</f>
        <v>0</v>
      </c>
      <c r="N774" s="11">
        <f>IF($E774=Keys!$C$60,Keys!$C$51,IF($E774=Keys!$C$59,$D774,$M774))</f>
        <v>0</v>
      </c>
      <c r="O774">
        <f t="shared" si="50"/>
        <v>0</v>
      </c>
      <c r="P774" s="10">
        <f>IF($E774=Keys!$C$60,Keys!$C$51,INDEX(Raw_BFPIaE!$G$9:$G$3032,MATCH($A774&amp;Keys!$C$54&amp;Keys!$C$55&amp;Keys!$C$54&amp;$B774,Raw_BFPIaE!$H$9:$H$3032,0)))</f>
        <v>0</v>
      </c>
      <c r="Q774" s="10">
        <f>IF($E774=Keys!$C$60,Keys!$C$51,INDEX(Raw_BFPIaE!$G$9:$G$3032,MATCH($A774&amp;Keys!$C$54&amp;Keys!$C$56&amp;Keys!$C$54&amp;$B774,Raw_BFPIaE!$H$9:$H$3032,0)))</f>
        <v>0</v>
      </c>
      <c r="R774" s="10">
        <f>IF($E774=Keys!$C$60,Keys!$C$51,INDEX(Raw_BFPIaE!$G$9:$G$3032,MATCH($A774&amp;Keys!$C$54&amp;Keys!$C$57&amp;Keys!$C$54&amp;$B774,Raw_BFPIaE!$H$9:$H$3032,0)))</f>
        <v>0</v>
      </c>
      <c r="S774" s="11">
        <f>IF(($P774+$Q774-$R774+MAX(Keys!$C$51,$R774-$Q774))&gt;Keys!$C$51,MIN(Keys!$C$52,MAX(Keys!$C$51,$R774-$Q774)/($P774+$Q774-$R774+MAX(Keys!$C$51,$R774-$Q774))),Keys!$C$51)</f>
        <v>0</v>
      </c>
      <c r="T774">
        <f>IF(AND($I774&gt;$H774,ABS($L774-$G774)&gt;MAX(Keys!$C$62,ABS($G774)*Keys!$C$63)),1,0)</f>
        <v>0</v>
      </c>
      <c r="U774">
        <f>IF(OR($N774&lt;Keys!$C$51,$N774&gt;Keys!$C$52),1,0)</f>
        <v>0</v>
      </c>
      <c r="V774">
        <f>IF(AND($E774=Keys!$C$60,$N774&lt;&gt;Keys!$C$51),1,0)</f>
        <v>0</v>
      </c>
      <c r="W774">
        <f>IF($L774&gt;Keys!$C$51,IF($K774/$L774&gt;Keys!$C$52,1,0),0)</f>
        <v>0</v>
      </c>
      <c r="X774" s="11">
        <f t="shared" si="51"/>
        <v>0</v>
      </c>
    </row>
    <row r="775" spans="1:24" x14ac:dyDescent="0.25">
      <c r="A775" t="s">
        <v>155</v>
      </c>
      <c r="B775" t="s">
        <v>106</v>
      </c>
      <c r="C775" t="str">
        <f>VLOOKUP($B775,Keys!$F$2:$I$22,2,FALSE)</f>
        <v>lignite</v>
      </c>
      <c r="D775">
        <f>VLOOKUP($B775,Keys!$F$2:$I$22,3,FALSE)</f>
        <v>0</v>
      </c>
      <c r="E775" t="str">
        <f>VLOOKUP($B775,Keys!$F$2:$I$22,4,FALSE)</f>
        <v>rule</v>
      </c>
      <c r="F775" t="str">
        <f>$A775&amp;Keys!$C$54&amp;$B775</f>
        <v>RI|lignite</v>
      </c>
      <c r="G775" s="10">
        <f>IF($E775=Keys!$C$60,Keys!$C$51,INDEX(Balanced_2025!$D$9:$D$3032,MATCH($A775&amp;Keys!$C$54&amp;Keys!$C$55&amp;Keys!$C$54&amp;$C775,Balanced_2025!$E$9:$E$3032,0)))</f>
        <v>0</v>
      </c>
      <c r="H775" s="10">
        <f>IF($E775=Keys!$C$60,Keys!$C$51,INDEX(Balanced_2025!$D$9:$D$3032,MATCH($A775&amp;Keys!$C$54&amp;Keys!$C$56&amp;Keys!$C$54&amp;$C775,Balanced_2025!$E$9:$E$3032,0)))</f>
        <v>0</v>
      </c>
      <c r="I775" s="10">
        <f>IF($E775=Keys!$C$60,Keys!$C$51,INDEX(Balanced_2025!$D$9:$D$3032,MATCH($A775&amp;Keys!$C$54&amp;Keys!$C$57&amp;Keys!$C$54&amp;$C775,Balanced_2025!$E$9:$E$3032,0)))</f>
        <v>0</v>
      </c>
      <c r="J775" s="10">
        <f t="shared" si="48"/>
        <v>0</v>
      </c>
      <c r="K775" s="10">
        <f>MAX(Keys!$C$51,$I775-$H775)</f>
        <v>0</v>
      </c>
      <c r="L775" s="10">
        <f t="shared" si="49"/>
        <v>0</v>
      </c>
      <c r="M775" s="11">
        <f>IF($L775&gt;Keys!$C$51,MIN(Keys!$C$52,$K775/$L775),Keys!$C$51)</f>
        <v>0</v>
      </c>
      <c r="N775" s="11">
        <f>IF($E775=Keys!$C$60,Keys!$C$51,IF($E775=Keys!$C$59,$D775,$M775))</f>
        <v>0</v>
      </c>
      <c r="O775">
        <f t="shared" si="50"/>
        <v>0</v>
      </c>
      <c r="P775" s="10">
        <f>IF($E775=Keys!$C$60,Keys!$C$51,INDEX(Raw_BFPIaE!$G$9:$G$3032,MATCH($A775&amp;Keys!$C$54&amp;Keys!$C$55&amp;Keys!$C$54&amp;$B775,Raw_BFPIaE!$H$9:$H$3032,0)))</f>
        <v>0</v>
      </c>
      <c r="Q775" s="10">
        <f>IF($E775=Keys!$C$60,Keys!$C$51,INDEX(Raw_BFPIaE!$G$9:$G$3032,MATCH($A775&amp;Keys!$C$54&amp;Keys!$C$56&amp;Keys!$C$54&amp;$B775,Raw_BFPIaE!$H$9:$H$3032,0)))</f>
        <v>0</v>
      </c>
      <c r="R775" s="10">
        <f>IF($E775=Keys!$C$60,Keys!$C$51,INDEX(Raw_BFPIaE!$G$9:$G$3032,MATCH($A775&amp;Keys!$C$54&amp;Keys!$C$57&amp;Keys!$C$54&amp;$B775,Raw_BFPIaE!$H$9:$H$3032,0)))</f>
        <v>0</v>
      </c>
      <c r="S775" s="11">
        <f>IF(($P775+$Q775-$R775+MAX(Keys!$C$51,$R775-$Q775))&gt;Keys!$C$51,MIN(Keys!$C$52,MAX(Keys!$C$51,$R775-$Q775)/($P775+$Q775-$R775+MAX(Keys!$C$51,$R775-$Q775))),Keys!$C$51)</f>
        <v>0</v>
      </c>
      <c r="T775">
        <f>IF(AND($I775&gt;$H775,ABS($L775-$G775)&gt;MAX(Keys!$C$62,ABS($G775)*Keys!$C$63)),1,0)</f>
        <v>0</v>
      </c>
      <c r="U775">
        <f>IF(OR($N775&lt;Keys!$C$51,$N775&gt;Keys!$C$52),1,0)</f>
        <v>0</v>
      </c>
      <c r="V775">
        <f>IF(AND($E775=Keys!$C$60,$N775&lt;&gt;Keys!$C$51),1,0)</f>
        <v>0</v>
      </c>
      <c r="W775">
        <f>IF($L775&gt;Keys!$C$51,IF($K775/$L775&gt;Keys!$C$52,1,0),0)</f>
        <v>0</v>
      </c>
      <c r="X775" s="11">
        <f t="shared" si="51"/>
        <v>0</v>
      </c>
    </row>
    <row r="776" spans="1:24" x14ac:dyDescent="0.25">
      <c r="A776" t="s">
        <v>155</v>
      </c>
      <c r="B776" t="s">
        <v>109</v>
      </c>
      <c r="C776" t="str">
        <f>VLOOKUP($B776,Keys!$F$2:$I$22,2,FALSE)</f>
        <v>crude oil</v>
      </c>
      <c r="D776">
        <f>VLOOKUP($B776,Keys!$F$2:$I$22,3,FALSE)</f>
        <v>1</v>
      </c>
      <c r="E776" t="str">
        <f>VLOOKUP($B776,Keys!$F$2:$I$22,4,FALSE)</f>
        <v>hold</v>
      </c>
      <c r="F776" t="str">
        <f>$A776&amp;Keys!$C$54&amp;$B776</f>
        <v>RI|crude oil</v>
      </c>
      <c r="G776" s="10">
        <f>IF($E776=Keys!$C$60,Keys!$C$51,INDEX(Balanced_2025!$D$9:$D$3032,MATCH($A776&amp;Keys!$C$54&amp;Keys!$C$55&amp;Keys!$C$54&amp;$C776,Balanced_2025!$E$9:$E$3032,0)))</f>
        <v>0</v>
      </c>
      <c r="H776" s="10">
        <f>IF($E776=Keys!$C$60,Keys!$C$51,INDEX(Balanced_2025!$D$9:$D$3032,MATCH($A776&amp;Keys!$C$54&amp;Keys!$C$56&amp;Keys!$C$54&amp;$C776,Balanced_2025!$E$9:$E$3032,0)))</f>
        <v>142000000000</v>
      </c>
      <c r="I776" s="10">
        <f>IF($E776=Keys!$C$60,Keys!$C$51,INDEX(Balanced_2025!$D$9:$D$3032,MATCH($A776&amp;Keys!$C$54&amp;Keys!$C$57&amp;Keys!$C$54&amp;$C776,Balanced_2025!$E$9:$E$3032,0)))</f>
        <v>0</v>
      </c>
      <c r="J776" s="10">
        <f t="shared" si="48"/>
        <v>142000000000</v>
      </c>
      <c r="K776" s="10">
        <f>MAX(Keys!$C$51,$I776-$H776)</f>
        <v>0</v>
      </c>
      <c r="L776" s="10">
        <f t="shared" si="49"/>
        <v>142000000000</v>
      </c>
      <c r="M776" s="11">
        <f>IF($L776&gt;Keys!$C$51,MIN(Keys!$C$52,$K776/$L776),Keys!$C$51)</f>
        <v>0</v>
      </c>
      <c r="N776" s="11">
        <f>IF($E776=Keys!$C$60,Keys!$C$51,IF($E776=Keys!$C$59,$D776,$M776))</f>
        <v>1</v>
      </c>
      <c r="O776">
        <f t="shared" si="50"/>
        <v>0</v>
      </c>
      <c r="P776" s="10">
        <f>IF($E776=Keys!$C$60,Keys!$C$51,INDEX(Raw_BFPIaE!$G$9:$G$3032,MATCH($A776&amp;Keys!$C$54&amp;Keys!$C$55&amp;Keys!$C$54&amp;$B776,Raw_BFPIaE!$H$9:$H$3032,0)))</f>
        <v>0</v>
      </c>
      <c r="Q776" s="10">
        <f>IF($E776=Keys!$C$60,Keys!$C$51,INDEX(Raw_BFPIaE!$G$9:$G$3032,MATCH($A776&amp;Keys!$C$54&amp;Keys!$C$56&amp;Keys!$C$54&amp;$B776,Raw_BFPIaE!$H$9:$H$3032,0)))</f>
        <v>47333333333.333336</v>
      </c>
      <c r="R776" s="10">
        <f>IF($E776=Keys!$C$60,Keys!$C$51,INDEX(Raw_BFPIaE!$G$9:$G$3032,MATCH($A776&amp;Keys!$C$54&amp;Keys!$C$57&amp;Keys!$C$54&amp;$B776,Raw_BFPIaE!$H$9:$H$3032,0)))</f>
        <v>0</v>
      </c>
      <c r="S776" s="11">
        <f>IF(($P776+$Q776-$R776+MAX(Keys!$C$51,$R776-$Q776))&gt;Keys!$C$51,MIN(Keys!$C$52,MAX(Keys!$C$51,$R776-$Q776)/($P776+$Q776-$R776+MAX(Keys!$C$51,$R776-$Q776))),Keys!$C$51)</f>
        <v>0</v>
      </c>
      <c r="T776">
        <f>IF(AND($I776&gt;$H776,ABS($L776-$G776)&gt;MAX(Keys!$C$62,ABS($G776)*Keys!$C$63)),1,0)</f>
        <v>0</v>
      </c>
      <c r="U776">
        <f>IF(OR($N776&lt;Keys!$C$51,$N776&gt;Keys!$C$52),1,0)</f>
        <v>0</v>
      </c>
      <c r="V776">
        <f>IF(AND($E776=Keys!$C$60,$N776&lt;&gt;Keys!$C$51),1,0)</f>
        <v>0</v>
      </c>
      <c r="W776">
        <f>IF($L776&gt;Keys!$C$51,IF($K776/$L776&gt;Keys!$C$52,1,0),0)</f>
        <v>0</v>
      </c>
      <c r="X776" s="11">
        <f t="shared" si="51"/>
        <v>0</v>
      </c>
    </row>
    <row r="777" spans="1:24" x14ac:dyDescent="0.25">
      <c r="A777" t="s">
        <v>155</v>
      </c>
      <c r="B777" t="s">
        <v>113</v>
      </c>
      <c r="C777" t="str">
        <f>VLOOKUP($B777,Keys!$F$2:$I$22,2,FALSE)</f>
        <v>heavy or residual fuel oil</v>
      </c>
      <c r="D777">
        <f>VLOOKUP($B777,Keys!$F$2:$I$22,3,FALSE)</f>
        <v>0.49914171099999999</v>
      </c>
      <c r="E777" t="str">
        <f>VLOOKUP($B777,Keys!$F$2:$I$22,4,FALSE)</f>
        <v>rule</v>
      </c>
      <c r="F777" t="str">
        <f>$A777&amp;Keys!$C$54&amp;$B777</f>
        <v>RI|heavy fuel oil</v>
      </c>
      <c r="G777" s="10">
        <f>IF($E777=Keys!$C$60,Keys!$C$51,INDEX(Balanced_2025!$D$9:$D$3032,MATCH($A777&amp;Keys!$C$54&amp;Keys!$C$55&amp;Keys!$C$54&amp;$C777,Balanced_2025!$E$9:$E$3032,0)))</f>
        <v>0</v>
      </c>
      <c r="H777" s="10">
        <f>IF($E777=Keys!$C$60,Keys!$C$51,INDEX(Balanced_2025!$D$9:$D$3032,MATCH($A777&amp;Keys!$C$54&amp;Keys!$C$56&amp;Keys!$C$54&amp;$C777,Balanced_2025!$E$9:$E$3032,0)))</f>
        <v>5274100000000</v>
      </c>
      <c r="I777" s="10">
        <f>IF($E777=Keys!$C$60,Keys!$C$51,INDEX(Balanced_2025!$D$9:$D$3032,MATCH($A777&amp;Keys!$C$54&amp;Keys!$C$57&amp;Keys!$C$54&amp;$C777,Balanced_2025!$E$9:$E$3032,0)))</f>
        <v>0</v>
      </c>
      <c r="J777" s="10">
        <f t="shared" si="48"/>
        <v>5274100000000</v>
      </c>
      <c r="K777" s="10">
        <f>MAX(Keys!$C$51,$I777-$H777)</f>
        <v>0</v>
      </c>
      <c r="L777" s="10">
        <f t="shared" si="49"/>
        <v>5274100000000</v>
      </c>
      <c r="M777" s="11">
        <f>IF($L777&gt;Keys!$C$51,MIN(Keys!$C$52,$K777/$L777),Keys!$C$51)</f>
        <v>0</v>
      </c>
      <c r="N777" s="11">
        <f>IF($E777=Keys!$C$60,Keys!$C$51,IF($E777=Keys!$C$59,$D777,$M777))</f>
        <v>0</v>
      </c>
      <c r="O777">
        <f t="shared" si="50"/>
        <v>1</v>
      </c>
      <c r="P777" s="10">
        <f>IF($E777=Keys!$C$60,Keys!$C$51,INDEX(Raw_BFPIaE!$G$9:$G$3032,MATCH($A777&amp;Keys!$C$54&amp;Keys!$C$55&amp;Keys!$C$54&amp;$B777,Raw_BFPIaE!$H$9:$H$3032,0)))</f>
        <v>0</v>
      </c>
      <c r="Q777" s="10">
        <f>IF($E777=Keys!$C$60,Keys!$C$51,INDEX(Raw_BFPIaE!$G$9:$G$3032,MATCH($A777&amp;Keys!$C$54&amp;Keys!$C$56&amp;Keys!$C$54&amp;$B777,Raw_BFPIaE!$H$9:$H$3032,0)))</f>
        <v>3520186666666.6665</v>
      </c>
      <c r="R777" s="10">
        <f>IF($E777=Keys!$C$60,Keys!$C$51,INDEX(Raw_BFPIaE!$G$9:$G$3032,MATCH($A777&amp;Keys!$C$54&amp;Keys!$C$57&amp;Keys!$C$54&amp;$B777,Raw_BFPIaE!$H$9:$H$3032,0)))</f>
        <v>0</v>
      </c>
      <c r="S777" s="11">
        <f>IF(($P777+$Q777-$R777+MAX(Keys!$C$51,$R777-$Q777))&gt;Keys!$C$51,MIN(Keys!$C$52,MAX(Keys!$C$51,$R777-$Q777)/($P777+$Q777-$R777+MAX(Keys!$C$51,$R777-$Q777))),Keys!$C$51)</f>
        <v>0</v>
      </c>
      <c r="T777">
        <f>IF(AND($I777&gt;$H777,ABS($L777-$G777)&gt;MAX(Keys!$C$62,ABS($G777)*Keys!$C$63)),1,0)</f>
        <v>0</v>
      </c>
      <c r="U777">
        <f>IF(OR($N777&lt;Keys!$C$51,$N777&gt;Keys!$C$52),1,0)</f>
        <v>0</v>
      </c>
      <c r="V777">
        <f>IF(AND($E777=Keys!$C$60,$N777&lt;&gt;Keys!$C$51),1,0)</f>
        <v>0</v>
      </c>
      <c r="W777">
        <f>IF($L777&gt;Keys!$C$51,IF($K777/$L777&gt;Keys!$C$52,1,0),0)</f>
        <v>0</v>
      </c>
      <c r="X777" s="11">
        <f t="shared" si="51"/>
        <v>0</v>
      </c>
    </row>
    <row r="778" spans="1:24" x14ac:dyDescent="0.25">
      <c r="A778" t="s">
        <v>155</v>
      </c>
      <c r="B778" t="s">
        <v>117</v>
      </c>
      <c r="C778" t="str">
        <f>VLOOKUP($B778,Keys!$F$2:$I$22,2,FALSE)</f>
        <v>LPG propane or butane</v>
      </c>
      <c r="D778">
        <f>VLOOKUP($B778,Keys!$F$2:$I$22,3,FALSE)</f>
        <v>0.54955999499999997</v>
      </c>
      <c r="E778" t="str">
        <f>VLOOKUP($B778,Keys!$F$2:$I$22,4,FALSE)</f>
        <v>rule</v>
      </c>
      <c r="F778" t="str">
        <f>$A778&amp;Keys!$C$54&amp;$B778</f>
        <v>RI|LPG propane or butane</v>
      </c>
      <c r="G778" s="10">
        <f>IF($E778=Keys!$C$60,Keys!$C$51,INDEX(Balanced_2025!$D$9:$D$3032,MATCH($A778&amp;Keys!$C$54&amp;Keys!$C$55&amp;Keys!$C$54&amp;$C778,Balanced_2025!$E$9:$E$3032,0)))</f>
        <v>0</v>
      </c>
      <c r="H778" s="10">
        <f>IF($E778=Keys!$C$60,Keys!$C$51,INDEX(Balanced_2025!$D$9:$D$3032,MATCH($A778&amp;Keys!$C$54&amp;Keys!$C$56&amp;Keys!$C$54&amp;$C778,Balanced_2025!$E$9:$E$3032,0)))</f>
        <v>2501960000000</v>
      </c>
      <c r="I778" s="10">
        <f>IF($E778=Keys!$C$60,Keys!$C$51,INDEX(Balanced_2025!$D$9:$D$3032,MATCH($A778&amp;Keys!$C$54&amp;Keys!$C$57&amp;Keys!$C$54&amp;$C778,Balanced_2025!$E$9:$E$3032,0)))</f>
        <v>0</v>
      </c>
      <c r="J778" s="10">
        <f t="shared" si="48"/>
        <v>2501960000000</v>
      </c>
      <c r="K778" s="10">
        <f>MAX(Keys!$C$51,$I778-$H778)</f>
        <v>0</v>
      </c>
      <c r="L778" s="10">
        <f t="shared" si="49"/>
        <v>2501960000000</v>
      </c>
      <c r="M778" s="11">
        <f>IF($L778&gt;Keys!$C$51,MIN(Keys!$C$52,$K778/$L778),Keys!$C$51)</f>
        <v>0</v>
      </c>
      <c r="N778" s="11">
        <f>IF($E778=Keys!$C$60,Keys!$C$51,IF($E778=Keys!$C$59,$D778,$M778))</f>
        <v>0</v>
      </c>
      <c r="O778">
        <f t="shared" si="50"/>
        <v>1</v>
      </c>
      <c r="P778" s="10">
        <f>IF($E778=Keys!$C$60,Keys!$C$51,INDEX(Raw_BFPIaE!$G$9:$G$3032,MATCH($A778&amp;Keys!$C$54&amp;Keys!$C$55&amp;Keys!$C$54&amp;$B778,Raw_BFPIaE!$H$9:$H$3032,0)))</f>
        <v>0</v>
      </c>
      <c r="Q778" s="10">
        <f>IF($E778=Keys!$C$60,Keys!$C$51,INDEX(Raw_BFPIaE!$G$9:$G$3032,MATCH($A778&amp;Keys!$C$54&amp;Keys!$C$56&amp;Keys!$C$54&amp;$B778,Raw_BFPIaE!$H$9:$H$3032,0)))</f>
        <v>1661956666666.6667</v>
      </c>
      <c r="R778" s="10">
        <f>IF($E778=Keys!$C$60,Keys!$C$51,INDEX(Raw_BFPIaE!$G$9:$G$3032,MATCH($A778&amp;Keys!$C$54&amp;Keys!$C$57&amp;Keys!$C$54&amp;$B778,Raw_BFPIaE!$H$9:$H$3032,0)))</f>
        <v>0</v>
      </c>
      <c r="S778" s="11">
        <f>IF(($P778+$Q778-$R778+MAX(Keys!$C$51,$R778-$Q778))&gt;Keys!$C$51,MIN(Keys!$C$52,MAX(Keys!$C$51,$R778-$Q778)/($P778+$Q778-$R778+MAX(Keys!$C$51,$R778-$Q778))),Keys!$C$51)</f>
        <v>0</v>
      </c>
      <c r="T778">
        <f>IF(AND($I778&gt;$H778,ABS($L778-$G778)&gt;MAX(Keys!$C$62,ABS($G778)*Keys!$C$63)),1,0)</f>
        <v>0</v>
      </c>
      <c r="U778">
        <f>IF(OR($N778&lt;Keys!$C$51,$N778&gt;Keys!$C$52),1,0)</f>
        <v>0</v>
      </c>
      <c r="V778">
        <f>IF(AND($E778=Keys!$C$60,$N778&lt;&gt;Keys!$C$51),1,0)</f>
        <v>0</v>
      </c>
      <c r="W778">
        <f>IF($L778&gt;Keys!$C$51,IF($K778/$L778&gt;Keys!$C$52,1,0),0)</f>
        <v>0</v>
      </c>
      <c r="X778" s="11">
        <f t="shared" si="51"/>
        <v>0</v>
      </c>
    </row>
    <row r="779" spans="1:24" x14ac:dyDescent="0.25">
      <c r="A779" t="s">
        <v>155</v>
      </c>
      <c r="B779" t="s">
        <v>120</v>
      </c>
      <c r="C779">
        <f>VLOOKUP($B779,Keys!$F$2:$I$22,2,FALSE)</f>
        <v>0</v>
      </c>
      <c r="D779">
        <f>VLOOKUP($B779,Keys!$F$2:$I$22,3,FALSE)</f>
        <v>0</v>
      </c>
      <c r="E779" t="str">
        <f>VLOOKUP($B779,Keys!$F$2:$I$22,4,FALSE)</f>
        <v>zero</v>
      </c>
      <c r="F779" t="str">
        <f>$A779&amp;Keys!$C$54&amp;$B779</f>
        <v>RI|municipal solid waste</v>
      </c>
      <c r="G779" s="10">
        <f>IF($E779=Keys!$C$60,Keys!$C$51,INDEX(Balanced_2025!$D$9:$D$3032,MATCH($A779&amp;Keys!$C$54&amp;Keys!$C$55&amp;Keys!$C$54&amp;$C779,Balanced_2025!$E$9:$E$3032,0)))</f>
        <v>0</v>
      </c>
      <c r="H779" s="10">
        <f>IF($E779=Keys!$C$60,Keys!$C$51,INDEX(Balanced_2025!$D$9:$D$3032,MATCH($A779&amp;Keys!$C$54&amp;Keys!$C$56&amp;Keys!$C$54&amp;$C779,Balanced_2025!$E$9:$E$3032,0)))</f>
        <v>0</v>
      </c>
      <c r="I779" s="10">
        <f>IF($E779=Keys!$C$60,Keys!$C$51,INDEX(Balanced_2025!$D$9:$D$3032,MATCH($A779&amp;Keys!$C$54&amp;Keys!$C$57&amp;Keys!$C$54&amp;$C779,Balanced_2025!$E$9:$E$3032,0)))</f>
        <v>0</v>
      </c>
      <c r="J779" s="10">
        <f t="shared" si="48"/>
        <v>0</v>
      </c>
      <c r="K779" s="10">
        <f>MAX(Keys!$C$51,$I779-$H779)</f>
        <v>0</v>
      </c>
      <c r="L779" s="10">
        <f t="shared" si="49"/>
        <v>0</v>
      </c>
      <c r="M779" s="11">
        <f>IF($L779&gt;Keys!$C$51,MIN(Keys!$C$52,$K779/$L779),Keys!$C$51)</f>
        <v>0</v>
      </c>
      <c r="N779" s="11">
        <f>IF($E779=Keys!$C$60,Keys!$C$51,IF($E779=Keys!$C$59,$D779,$M779))</f>
        <v>0</v>
      </c>
      <c r="O779">
        <f t="shared" si="50"/>
        <v>0</v>
      </c>
      <c r="P779" s="10">
        <f>IF($E779=Keys!$C$60,Keys!$C$51,INDEX(Raw_BFPIaE!$G$9:$G$3032,MATCH($A779&amp;Keys!$C$54&amp;Keys!$C$55&amp;Keys!$C$54&amp;$B779,Raw_BFPIaE!$H$9:$H$3032,0)))</f>
        <v>0</v>
      </c>
      <c r="Q779" s="10">
        <f>IF($E779=Keys!$C$60,Keys!$C$51,INDEX(Raw_BFPIaE!$G$9:$G$3032,MATCH($A779&amp;Keys!$C$54&amp;Keys!$C$56&amp;Keys!$C$54&amp;$B779,Raw_BFPIaE!$H$9:$H$3032,0)))</f>
        <v>0</v>
      </c>
      <c r="R779" s="10">
        <f>IF($E779=Keys!$C$60,Keys!$C$51,INDEX(Raw_BFPIaE!$G$9:$G$3032,MATCH($A779&amp;Keys!$C$54&amp;Keys!$C$57&amp;Keys!$C$54&amp;$B779,Raw_BFPIaE!$H$9:$H$3032,0)))</f>
        <v>0</v>
      </c>
      <c r="S779" s="11">
        <f>IF(($P779+$Q779-$R779+MAX(Keys!$C$51,$R779-$Q779))&gt;Keys!$C$51,MIN(Keys!$C$52,MAX(Keys!$C$51,$R779-$Q779)/($P779+$Q779-$R779+MAX(Keys!$C$51,$R779-$Q779))),Keys!$C$51)</f>
        <v>0</v>
      </c>
      <c r="T779">
        <f>IF(AND($I779&gt;$H779,ABS($L779-$G779)&gt;MAX(Keys!$C$62,ABS($G779)*Keys!$C$63)),1,0)</f>
        <v>0</v>
      </c>
      <c r="U779">
        <f>IF(OR($N779&lt;Keys!$C$51,$N779&gt;Keys!$C$52),1,0)</f>
        <v>0</v>
      </c>
      <c r="V779">
        <f>IF(AND($E779=Keys!$C$60,$N779&lt;&gt;Keys!$C$51),1,0)</f>
        <v>0</v>
      </c>
      <c r="W779">
        <f>IF($L779&gt;Keys!$C$51,IF($K779/$L779&gt;Keys!$C$52,1,0),0)</f>
        <v>0</v>
      </c>
      <c r="X779" s="11">
        <f t="shared" si="51"/>
        <v>0</v>
      </c>
    </row>
    <row r="780" spans="1:24" x14ac:dyDescent="0.25">
      <c r="A780" t="s">
        <v>155</v>
      </c>
      <c r="B780" t="s">
        <v>123</v>
      </c>
      <c r="C780">
        <f>VLOOKUP($B780,Keys!$F$2:$I$22,2,FALSE)</f>
        <v>0</v>
      </c>
      <c r="D780">
        <f>VLOOKUP($B780,Keys!$F$2:$I$22,3,FALSE)</f>
        <v>0</v>
      </c>
      <c r="E780" t="str">
        <f>VLOOKUP($B780,Keys!$F$2:$I$22,4,FALSE)</f>
        <v>zero</v>
      </c>
      <c r="F780" t="str">
        <f>$A780&amp;Keys!$C$54&amp;$B780</f>
        <v>RI|hydrogen</v>
      </c>
      <c r="G780" s="10">
        <f>IF($E780=Keys!$C$60,Keys!$C$51,INDEX(Balanced_2025!$D$9:$D$3032,MATCH($A780&amp;Keys!$C$54&amp;Keys!$C$55&amp;Keys!$C$54&amp;$C780,Balanced_2025!$E$9:$E$3032,0)))</f>
        <v>0</v>
      </c>
      <c r="H780" s="10">
        <f>IF($E780=Keys!$C$60,Keys!$C$51,INDEX(Balanced_2025!$D$9:$D$3032,MATCH($A780&amp;Keys!$C$54&amp;Keys!$C$56&amp;Keys!$C$54&amp;$C780,Balanced_2025!$E$9:$E$3032,0)))</f>
        <v>0</v>
      </c>
      <c r="I780" s="10">
        <f>IF($E780=Keys!$C$60,Keys!$C$51,INDEX(Balanced_2025!$D$9:$D$3032,MATCH($A780&amp;Keys!$C$54&amp;Keys!$C$57&amp;Keys!$C$54&amp;$C780,Balanced_2025!$E$9:$E$3032,0)))</f>
        <v>0</v>
      </c>
      <c r="J780" s="10">
        <f t="shared" si="48"/>
        <v>0</v>
      </c>
      <c r="K780" s="10">
        <f>MAX(Keys!$C$51,$I780-$H780)</f>
        <v>0</v>
      </c>
      <c r="L780" s="10">
        <f t="shared" si="49"/>
        <v>0</v>
      </c>
      <c r="M780" s="11">
        <f>IF($L780&gt;Keys!$C$51,MIN(Keys!$C$52,$K780/$L780),Keys!$C$51)</f>
        <v>0</v>
      </c>
      <c r="N780" s="11">
        <f>IF($E780=Keys!$C$60,Keys!$C$51,IF($E780=Keys!$C$59,$D780,$M780))</f>
        <v>0</v>
      </c>
      <c r="O780">
        <f t="shared" si="50"/>
        <v>0</v>
      </c>
      <c r="P780" s="10">
        <f>IF($E780=Keys!$C$60,Keys!$C$51,INDEX(Raw_BFPIaE!$G$9:$G$3032,MATCH($A780&amp;Keys!$C$54&amp;Keys!$C$55&amp;Keys!$C$54&amp;$B780,Raw_BFPIaE!$H$9:$H$3032,0)))</f>
        <v>0</v>
      </c>
      <c r="Q780" s="10">
        <f>IF($E780=Keys!$C$60,Keys!$C$51,INDEX(Raw_BFPIaE!$G$9:$G$3032,MATCH($A780&amp;Keys!$C$54&amp;Keys!$C$56&amp;Keys!$C$54&amp;$B780,Raw_BFPIaE!$H$9:$H$3032,0)))</f>
        <v>0</v>
      </c>
      <c r="R780" s="10">
        <f>IF($E780=Keys!$C$60,Keys!$C$51,INDEX(Raw_BFPIaE!$G$9:$G$3032,MATCH($A780&amp;Keys!$C$54&amp;Keys!$C$57&amp;Keys!$C$54&amp;$B780,Raw_BFPIaE!$H$9:$H$3032,0)))</f>
        <v>0</v>
      </c>
      <c r="S780" s="11">
        <f>IF(($P780+$Q780-$R780+MAX(Keys!$C$51,$R780-$Q780))&gt;Keys!$C$51,MIN(Keys!$C$52,MAX(Keys!$C$51,$R780-$Q780)/($P780+$Q780-$R780+MAX(Keys!$C$51,$R780-$Q780))),Keys!$C$51)</f>
        <v>0</v>
      </c>
      <c r="T780">
        <f>IF(AND($I780&gt;$H780,ABS($L780-$G780)&gt;MAX(Keys!$C$62,ABS($G780)*Keys!$C$63)),1,0)</f>
        <v>0</v>
      </c>
      <c r="U780">
        <f>IF(OR($N780&lt;Keys!$C$51,$N780&gt;Keys!$C$52),1,0)</f>
        <v>0</v>
      </c>
      <c r="V780">
        <f>IF(AND($E780=Keys!$C$60,$N780&lt;&gt;Keys!$C$51),1,0)</f>
        <v>0</v>
      </c>
      <c r="W780">
        <f>IF($L780&gt;Keys!$C$51,IF($K780/$L780&gt;Keys!$C$52,1,0),0)</f>
        <v>0</v>
      </c>
      <c r="X780" s="11">
        <f t="shared" si="51"/>
        <v>0</v>
      </c>
    </row>
    <row r="781" spans="1:24" x14ac:dyDescent="0.25">
      <c r="A781" t="s">
        <v>157</v>
      </c>
      <c r="B781" t="s">
        <v>60</v>
      </c>
      <c r="C781">
        <f>VLOOKUP($B781,Keys!$F$2:$I$22,2,FALSE)</f>
        <v>0</v>
      </c>
      <c r="D781">
        <f>VLOOKUP($B781,Keys!$F$2:$I$22,3,FALSE)</f>
        <v>0</v>
      </c>
      <c r="E781" t="str">
        <f>VLOOKUP($B781,Keys!$F$2:$I$22,4,FALSE)</f>
        <v>zero</v>
      </c>
      <c r="F781" t="str">
        <f>$A781&amp;Keys!$C$54&amp;$B781</f>
        <v>SC|electricity (not used in this variable)</v>
      </c>
      <c r="G781" s="10">
        <f>IF($E781=Keys!$C$60,Keys!$C$51,INDEX(Balanced_2025!$D$9:$D$3032,MATCH($A781&amp;Keys!$C$54&amp;Keys!$C$55&amp;Keys!$C$54&amp;$C781,Balanced_2025!$E$9:$E$3032,0)))</f>
        <v>0</v>
      </c>
      <c r="H781" s="10">
        <f>IF($E781=Keys!$C$60,Keys!$C$51,INDEX(Balanced_2025!$D$9:$D$3032,MATCH($A781&amp;Keys!$C$54&amp;Keys!$C$56&amp;Keys!$C$54&amp;$C781,Balanced_2025!$E$9:$E$3032,0)))</f>
        <v>0</v>
      </c>
      <c r="I781" s="10">
        <f>IF($E781=Keys!$C$60,Keys!$C$51,INDEX(Balanced_2025!$D$9:$D$3032,MATCH($A781&amp;Keys!$C$54&amp;Keys!$C$57&amp;Keys!$C$54&amp;$C781,Balanced_2025!$E$9:$E$3032,0)))</f>
        <v>0</v>
      </c>
      <c r="J781" s="10">
        <f t="shared" si="48"/>
        <v>0</v>
      </c>
      <c r="K781" s="10">
        <f>MAX(Keys!$C$51,$I781-$H781)</f>
        <v>0</v>
      </c>
      <c r="L781" s="10">
        <f t="shared" si="49"/>
        <v>0</v>
      </c>
      <c r="M781" s="11">
        <f>IF($L781&gt;Keys!$C$51,MIN(Keys!$C$52,$K781/$L781),Keys!$C$51)</f>
        <v>0</v>
      </c>
      <c r="N781" s="11">
        <f>IF($E781=Keys!$C$60,Keys!$C$51,IF($E781=Keys!$C$59,$D781,$M781))</f>
        <v>0</v>
      </c>
      <c r="O781">
        <f t="shared" si="50"/>
        <v>0</v>
      </c>
      <c r="P781" s="10">
        <f>IF($E781=Keys!$C$60,Keys!$C$51,INDEX(Raw_BFPIaE!$G$9:$G$3032,MATCH($A781&amp;Keys!$C$54&amp;Keys!$C$55&amp;Keys!$C$54&amp;$B781,Raw_BFPIaE!$H$9:$H$3032,0)))</f>
        <v>0</v>
      </c>
      <c r="Q781" s="10">
        <f>IF($E781=Keys!$C$60,Keys!$C$51,INDEX(Raw_BFPIaE!$G$9:$G$3032,MATCH($A781&amp;Keys!$C$54&amp;Keys!$C$56&amp;Keys!$C$54&amp;$B781,Raw_BFPIaE!$H$9:$H$3032,0)))</f>
        <v>0</v>
      </c>
      <c r="R781" s="10">
        <f>IF($E781=Keys!$C$60,Keys!$C$51,INDEX(Raw_BFPIaE!$G$9:$G$3032,MATCH($A781&amp;Keys!$C$54&amp;Keys!$C$57&amp;Keys!$C$54&amp;$B781,Raw_BFPIaE!$H$9:$H$3032,0)))</f>
        <v>0</v>
      </c>
      <c r="S781" s="11">
        <f>IF(($P781+$Q781-$R781+MAX(Keys!$C$51,$R781-$Q781))&gt;Keys!$C$51,MIN(Keys!$C$52,MAX(Keys!$C$51,$R781-$Q781)/($P781+$Q781-$R781+MAX(Keys!$C$51,$R781-$Q781))),Keys!$C$51)</f>
        <v>0</v>
      </c>
      <c r="T781">
        <f>IF(AND($I781&gt;$H781,ABS($L781-$G781)&gt;MAX(Keys!$C$62,ABS($G781)*Keys!$C$63)),1,0)</f>
        <v>0</v>
      </c>
      <c r="U781">
        <f>IF(OR($N781&lt;Keys!$C$51,$N781&gt;Keys!$C$52),1,0)</f>
        <v>0</v>
      </c>
      <c r="V781">
        <f>IF(AND($E781=Keys!$C$60,$N781&lt;&gt;Keys!$C$51),1,0)</f>
        <v>0</v>
      </c>
      <c r="W781">
        <f>IF($L781&gt;Keys!$C$51,IF($K781/$L781&gt;Keys!$C$52,1,0),0)</f>
        <v>0</v>
      </c>
      <c r="X781" s="11">
        <f t="shared" si="51"/>
        <v>0</v>
      </c>
    </row>
    <row r="782" spans="1:24" x14ac:dyDescent="0.25">
      <c r="A782" t="s">
        <v>157</v>
      </c>
      <c r="B782" t="s">
        <v>64</v>
      </c>
      <c r="C782" t="str">
        <f>VLOOKUP($B782,Keys!$F$2:$I$22,2,FALSE)</f>
        <v>hard coal</v>
      </c>
      <c r="D782">
        <f>VLOOKUP($B782,Keys!$F$2:$I$22,3,FALSE)</f>
        <v>0.137539879</v>
      </c>
      <c r="E782" t="str">
        <f>VLOOKUP($B782,Keys!$F$2:$I$22,4,FALSE)</f>
        <v>rule</v>
      </c>
      <c r="F782" t="str">
        <f>$A782&amp;Keys!$C$54&amp;$B782</f>
        <v>SC|hard coal</v>
      </c>
      <c r="G782" s="10">
        <f>IF($E782=Keys!$C$60,Keys!$C$51,INDEX(Balanced_2025!$D$9:$D$3032,MATCH($A782&amp;Keys!$C$54&amp;Keys!$C$55&amp;Keys!$C$54&amp;$C782,Balanced_2025!$E$9:$E$3032,0)))</f>
        <v>0</v>
      </c>
      <c r="H782" s="10">
        <f>IF($E782=Keys!$C$60,Keys!$C$51,INDEX(Balanced_2025!$D$9:$D$3032,MATCH($A782&amp;Keys!$C$54&amp;Keys!$C$56&amp;Keys!$C$54&amp;$C782,Balanced_2025!$E$9:$E$3032,0)))</f>
        <v>262518000000000</v>
      </c>
      <c r="I782" s="10">
        <f>IF($E782=Keys!$C$60,Keys!$C$51,INDEX(Balanced_2025!$D$9:$D$3032,MATCH($A782&amp;Keys!$C$54&amp;Keys!$C$57&amp;Keys!$C$54&amp;$C782,Balanced_2025!$E$9:$E$3032,0)))</f>
        <v>0</v>
      </c>
      <c r="J782" s="10">
        <f t="shared" si="48"/>
        <v>262518000000000</v>
      </c>
      <c r="K782" s="10">
        <f>MAX(Keys!$C$51,$I782-$H782)</f>
        <v>0</v>
      </c>
      <c r="L782" s="10">
        <f t="shared" si="49"/>
        <v>262518000000000</v>
      </c>
      <c r="M782" s="11">
        <f>IF($L782&gt;Keys!$C$51,MIN(Keys!$C$52,$K782/$L782),Keys!$C$51)</f>
        <v>0</v>
      </c>
      <c r="N782" s="11">
        <f>IF($E782=Keys!$C$60,Keys!$C$51,IF($E782=Keys!$C$59,$D782,$M782))</f>
        <v>0</v>
      </c>
      <c r="O782">
        <f t="shared" si="50"/>
        <v>1</v>
      </c>
      <c r="P782" s="10">
        <f>IF($E782=Keys!$C$60,Keys!$C$51,INDEX(Raw_BFPIaE!$G$9:$G$3032,MATCH($A782&amp;Keys!$C$54&amp;Keys!$C$55&amp;Keys!$C$54&amp;$B782,Raw_BFPIaE!$H$9:$H$3032,0)))</f>
        <v>0</v>
      </c>
      <c r="Q782" s="10">
        <f>IF($E782=Keys!$C$60,Keys!$C$51,INDEX(Raw_BFPIaE!$G$9:$G$3032,MATCH($A782&amp;Keys!$C$54&amp;Keys!$C$56&amp;Keys!$C$54&amp;$B782,Raw_BFPIaE!$H$9:$H$3032,0)))</f>
        <v>192904000000000</v>
      </c>
      <c r="R782" s="10">
        <f>IF($E782=Keys!$C$60,Keys!$C$51,INDEX(Raw_BFPIaE!$G$9:$G$3032,MATCH($A782&amp;Keys!$C$54&amp;Keys!$C$57&amp;Keys!$C$54&amp;$B782,Raw_BFPIaE!$H$9:$H$3032,0)))</f>
        <v>0</v>
      </c>
      <c r="S782" s="11">
        <f>IF(($P782+$Q782-$R782+MAX(Keys!$C$51,$R782-$Q782))&gt;Keys!$C$51,MIN(Keys!$C$52,MAX(Keys!$C$51,$R782-$Q782)/($P782+$Q782-$R782+MAX(Keys!$C$51,$R782-$Q782))),Keys!$C$51)</f>
        <v>0</v>
      </c>
      <c r="T782">
        <f>IF(AND($I782&gt;$H782,ABS($L782-$G782)&gt;MAX(Keys!$C$62,ABS($G782)*Keys!$C$63)),1,0)</f>
        <v>0</v>
      </c>
      <c r="U782">
        <f>IF(OR($N782&lt;Keys!$C$51,$N782&gt;Keys!$C$52),1,0)</f>
        <v>0</v>
      </c>
      <c r="V782">
        <f>IF(AND($E782=Keys!$C$60,$N782&lt;&gt;Keys!$C$51),1,0)</f>
        <v>0</v>
      </c>
      <c r="W782">
        <f>IF($L782&gt;Keys!$C$51,IF($K782/$L782&gt;Keys!$C$52,1,0),0)</f>
        <v>0</v>
      </c>
      <c r="X782" s="11">
        <f t="shared" si="51"/>
        <v>0</v>
      </c>
    </row>
    <row r="783" spans="1:24" x14ac:dyDescent="0.25">
      <c r="A783" t="s">
        <v>157</v>
      </c>
      <c r="B783" t="s">
        <v>68</v>
      </c>
      <c r="C783" t="str">
        <f>VLOOKUP($B783,Keys!$F$2:$I$22,2,FALSE)</f>
        <v>natural gas</v>
      </c>
      <c r="D783">
        <f>VLOOKUP($B783,Keys!$F$2:$I$22,3,FALSE)</f>
        <v>0.190839183</v>
      </c>
      <c r="E783" t="str">
        <f>VLOOKUP($B783,Keys!$F$2:$I$22,4,FALSE)</f>
        <v>rule</v>
      </c>
      <c r="F783" t="str">
        <f>$A783&amp;Keys!$C$54&amp;$B783</f>
        <v>SC|natural gas</v>
      </c>
      <c r="G783" s="10">
        <f>IF($E783=Keys!$C$60,Keys!$C$51,INDEX(Balanced_2025!$D$9:$D$3032,MATCH($A783&amp;Keys!$C$54&amp;Keys!$C$55&amp;Keys!$C$54&amp;$C783,Balanced_2025!$E$9:$E$3032,0)))</f>
        <v>0</v>
      </c>
      <c r="H783" s="10">
        <f>IF($E783=Keys!$C$60,Keys!$C$51,INDEX(Balanced_2025!$D$9:$D$3032,MATCH($A783&amp;Keys!$C$54&amp;Keys!$C$56&amp;Keys!$C$54&amp;$C783,Balanced_2025!$E$9:$E$3032,0)))</f>
        <v>620126000000000</v>
      </c>
      <c r="I783" s="10">
        <f>IF($E783=Keys!$C$60,Keys!$C$51,INDEX(Balanced_2025!$D$9:$D$3032,MATCH($A783&amp;Keys!$C$54&amp;Keys!$C$57&amp;Keys!$C$54&amp;$C783,Balanced_2025!$E$9:$E$3032,0)))</f>
        <v>339254000000000</v>
      </c>
      <c r="J783" s="10">
        <f t="shared" si="48"/>
        <v>280872000000000</v>
      </c>
      <c r="K783" s="10">
        <f>MAX(Keys!$C$51,$I783-$H783)</f>
        <v>0</v>
      </c>
      <c r="L783" s="10">
        <f t="shared" si="49"/>
        <v>280872000000000</v>
      </c>
      <c r="M783" s="11">
        <f>IF($L783&gt;Keys!$C$51,MIN(Keys!$C$52,$K783/$L783),Keys!$C$51)</f>
        <v>0</v>
      </c>
      <c r="N783" s="11">
        <f>IF($E783=Keys!$C$60,Keys!$C$51,IF($E783=Keys!$C$59,$D783,$M783))</f>
        <v>0</v>
      </c>
      <c r="O783">
        <f t="shared" si="50"/>
        <v>1</v>
      </c>
      <c r="P783" s="10">
        <f>IF($E783=Keys!$C$60,Keys!$C$51,INDEX(Raw_BFPIaE!$G$9:$G$3032,MATCH($A783&amp;Keys!$C$54&amp;Keys!$C$55&amp;Keys!$C$54&amp;$B783,Raw_BFPIaE!$H$9:$H$3032,0)))</f>
        <v>0</v>
      </c>
      <c r="Q783" s="10">
        <f>IF($E783=Keys!$C$60,Keys!$C$51,INDEX(Raw_BFPIaE!$G$9:$G$3032,MATCH($A783&amp;Keys!$C$54&amp;Keys!$C$56&amp;Keys!$C$54&amp;$B783,Raw_BFPIaE!$H$9:$H$3032,0)))</f>
        <v>640078333333333.38</v>
      </c>
      <c r="R783" s="10">
        <f>IF($E783=Keys!$C$60,Keys!$C$51,INDEX(Raw_BFPIaE!$G$9:$G$3032,MATCH($A783&amp;Keys!$C$54&amp;Keys!$C$57&amp;Keys!$C$54&amp;$B783,Raw_BFPIaE!$H$9:$H$3032,0)))</f>
        <v>339605000000000</v>
      </c>
      <c r="S783" s="11">
        <f>IF(($P783+$Q783-$R783+MAX(Keys!$C$51,$R783-$Q783))&gt;Keys!$C$51,MIN(Keys!$C$52,MAX(Keys!$C$51,$R783-$Q783)/($P783+$Q783-$R783+MAX(Keys!$C$51,$R783-$Q783))),Keys!$C$51)</f>
        <v>0</v>
      </c>
      <c r="T783">
        <f>IF(AND($I783&gt;$H783,ABS($L783-$G783)&gt;MAX(Keys!$C$62,ABS($G783)*Keys!$C$63)),1,0)</f>
        <v>0</v>
      </c>
      <c r="U783">
        <f>IF(OR($N783&lt;Keys!$C$51,$N783&gt;Keys!$C$52),1,0)</f>
        <v>0</v>
      </c>
      <c r="V783">
        <f>IF(AND($E783=Keys!$C$60,$N783&lt;&gt;Keys!$C$51),1,0)</f>
        <v>0</v>
      </c>
      <c r="W783">
        <f>IF($L783&gt;Keys!$C$51,IF($K783/$L783&gt;Keys!$C$52,1,0),0)</f>
        <v>0</v>
      </c>
      <c r="X783" s="11">
        <f t="shared" si="51"/>
        <v>0</v>
      </c>
    </row>
    <row r="784" spans="1:24" x14ac:dyDescent="0.25">
      <c r="A784" t="s">
        <v>157</v>
      </c>
      <c r="B784" t="s">
        <v>71</v>
      </c>
      <c r="C784">
        <f>VLOOKUP($B784,Keys!$F$2:$I$22,2,FALSE)</f>
        <v>0</v>
      </c>
      <c r="D784">
        <f>VLOOKUP($B784,Keys!$F$2:$I$22,3,FALSE)</f>
        <v>0</v>
      </c>
      <c r="E784" t="str">
        <f>VLOOKUP($B784,Keys!$F$2:$I$22,4,FALSE)</f>
        <v>zero</v>
      </c>
      <c r="F784" t="str">
        <f>$A784&amp;Keys!$C$54&amp;$B784</f>
        <v>SC|nuclear</v>
      </c>
      <c r="G784" s="10">
        <f>IF($E784=Keys!$C$60,Keys!$C$51,INDEX(Balanced_2025!$D$9:$D$3032,MATCH($A784&amp;Keys!$C$54&amp;Keys!$C$55&amp;Keys!$C$54&amp;$C784,Balanced_2025!$E$9:$E$3032,0)))</f>
        <v>0</v>
      </c>
      <c r="H784" s="10">
        <f>IF($E784=Keys!$C$60,Keys!$C$51,INDEX(Balanced_2025!$D$9:$D$3032,MATCH($A784&amp;Keys!$C$54&amp;Keys!$C$56&amp;Keys!$C$54&amp;$C784,Balanced_2025!$E$9:$E$3032,0)))</f>
        <v>0</v>
      </c>
      <c r="I784" s="10">
        <f>IF($E784=Keys!$C$60,Keys!$C$51,INDEX(Balanced_2025!$D$9:$D$3032,MATCH($A784&amp;Keys!$C$54&amp;Keys!$C$57&amp;Keys!$C$54&amp;$C784,Balanced_2025!$E$9:$E$3032,0)))</f>
        <v>0</v>
      </c>
      <c r="J784" s="10">
        <f t="shared" si="48"/>
        <v>0</v>
      </c>
      <c r="K784" s="10">
        <f>MAX(Keys!$C$51,$I784-$H784)</f>
        <v>0</v>
      </c>
      <c r="L784" s="10">
        <f t="shared" si="49"/>
        <v>0</v>
      </c>
      <c r="M784" s="11">
        <f>IF($L784&gt;Keys!$C$51,MIN(Keys!$C$52,$K784/$L784),Keys!$C$51)</f>
        <v>0</v>
      </c>
      <c r="N784" s="11">
        <f>IF($E784=Keys!$C$60,Keys!$C$51,IF($E784=Keys!$C$59,$D784,$M784))</f>
        <v>0</v>
      </c>
      <c r="O784">
        <f t="shared" si="50"/>
        <v>0</v>
      </c>
      <c r="P784" s="10">
        <f>IF($E784=Keys!$C$60,Keys!$C$51,INDEX(Raw_BFPIaE!$G$9:$G$3032,MATCH($A784&amp;Keys!$C$54&amp;Keys!$C$55&amp;Keys!$C$54&amp;$B784,Raw_BFPIaE!$H$9:$H$3032,0)))</f>
        <v>0</v>
      </c>
      <c r="Q784" s="10">
        <f>IF($E784=Keys!$C$60,Keys!$C$51,INDEX(Raw_BFPIaE!$G$9:$G$3032,MATCH($A784&amp;Keys!$C$54&amp;Keys!$C$56&amp;Keys!$C$54&amp;$B784,Raw_BFPIaE!$H$9:$H$3032,0)))</f>
        <v>0</v>
      </c>
      <c r="R784" s="10">
        <f>IF($E784=Keys!$C$60,Keys!$C$51,INDEX(Raw_BFPIaE!$G$9:$G$3032,MATCH($A784&amp;Keys!$C$54&amp;Keys!$C$57&amp;Keys!$C$54&amp;$B784,Raw_BFPIaE!$H$9:$H$3032,0)))</f>
        <v>0</v>
      </c>
      <c r="S784" s="11">
        <f>IF(($P784+$Q784-$R784+MAX(Keys!$C$51,$R784-$Q784))&gt;Keys!$C$51,MIN(Keys!$C$52,MAX(Keys!$C$51,$R784-$Q784)/($P784+$Q784-$R784+MAX(Keys!$C$51,$R784-$Q784))),Keys!$C$51)</f>
        <v>0</v>
      </c>
      <c r="T784">
        <f>IF(AND($I784&gt;$H784,ABS($L784-$G784)&gt;MAX(Keys!$C$62,ABS($G784)*Keys!$C$63)),1,0)</f>
        <v>0</v>
      </c>
      <c r="U784">
        <f>IF(OR($N784&lt;Keys!$C$51,$N784&gt;Keys!$C$52),1,0)</f>
        <v>0</v>
      </c>
      <c r="V784">
        <f>IF(AND($E784=Keys!$C$60,$N784&lt;&gt;Keys!$C$51),1,0)</f>
        <v>0</v>
      </c>
      <c r="W784">
        <f>IF($L784&gt;Keys!$C$51,IF($K784/$L784&gt;Keys!$C$52,1,0),0)</f>
        <v>0</v>
      </c>
      <c r="X784" s="11">
        <f t="shared" si="51"/>
        <v>0</v>
      </c>
    </row>
    <row r="785" spans="1:24" x14ac:dyDescent="0.25">
      <c r="A785" t="s">
        <v>157</v>
      </c>
      <c r="B785" t="s">
        <v>74</v>
      </c>
      <c r="C785">
        <f>VLOOKUP($B785,Keys!$F$2:$I$22,2,FALSE)</f>
        <v>0</v>
      </c>
      <c r="D785">
        <f>VLOOKUP($B785,Keys!$F$2:$I$22,3,FALSE)</f>
        <v>0</v>
      </c>
      <c r="E785" t="str">
        <f>VLOOKUP($B785,Keys!$F$2:$I$22,4,FALSE)</f>
        <v>zero</v>
      </c>
      <c r="F785" t="str">
        <f>$A785&amp;Keys!$C$54&amp;$B785</f>
        <v>SC|hydro (is not a fuel)</v>
      </c>
      <c r="G785" s="10">
        <f>IF($E785=Keys!$C$60,Keys!$C$51,INDEX(Balanced_2025!$D$9:$D$3032,MATCH($A785&amp;Keys!$C$54&amp;Keys!$C$55&amp;Keys!$C$54&amp;$C785,Balanced_2025!$E$9:$E$3032,0)))</f>
        <v>0</v>
      </c>
      <c r="H785" s="10">
        <f>IF($E785=Keys!$C$60,Keys!$C$51,INDEX(Balanced_2025!$D$9:$D$3032,MATCH($A785&amp;Keys!$C$54&amp;Keys!$C$56&amp;Keys!$C$54&amp;$C785,Balanced_2025!$E$9:$E$3032,0)))</f>
        <v>0</v>
      </c>
      <c r="I785" s="10">
        <f>IF($E785=Keys!$C$60,Keys!$C$51,INDEX(Balanced_2025!$D$9:$D$3032,MATCH($A785&amp;Keys!$C$54&amp;Keys!$C$57&amp;Keys!$C$54&amp;$C785,Balanced_2025!$E$9:$E$3032,0)))</f>
        <v>0</v>
      </c>
      <c r="J785" s="10">
        <f t="shared" si="48"/>
        <v>0</v>
      </c>
      <c r="K785" s="10">
        <f>MAX(Keys!$C$51,$I785-$H785)</f>
        <v>0</v>
      </c>
      <c r="L785" s="10">
        <f t="shared" si="49"/>
        <v>0</v>
      </c>
      <c r="M785" s="11">
        <f>IF($L785&gt;Keys!$C$51,MIN(Keys!$C$52,$K785/$L785),Keys!$C$51)</f>
        <v>0</v>
      </c>
      <c r="N785" s="11">
        <f>IF($E785=Keys!$C$60,Keys!$C$51,IF($E785=Keys!$C$59,$D785,$M785))</f>
        <v>0</v>
      </c>
      <c r="O785">
        <f t="shared" si="50"/>
        <v>0</v>
      </c>
      <c r="P785" s="10">
        <f>IF($E785=Keys!$C$60,Keys!$C$51,INDEX(Raw_BFPIaE!$G$9:$G$3032,MATCH($A785&amp;Keys!$C$54&amp;Keys!$C$55&amp;Keys!$C$54&amp;$B785,Raw_BFPIaE!$H$9:$H$3032,0)))</f>
        <v>0</v>
      </c>
      <c r="Q785" s="10">
        <f>IF($E785=Keys!$C$60,Keys!$C$51,INDEX(Raw_BFPIaE!$G$9:$G$3032,MATCH($A785&amp;Keys!$C$54&amp;Keys!$C$56&amp;Keys!$C$54&amp;$B785,Raw_BFPIaE!$H$9:$H$3032,0)))</f>
        <v>0</v>
      </c>
      <c r="R785" s="10">
        <f>IF($E785=Keys!$C$60,Keys!$C$51,INDEX(Raw_BFPIaE!$G$9:$G$3032,MATCH($A785&amp;Keys!$C$54&amp;Keys!$C$57&amp;Keys!$C$54&amp;$B785,Raw_BFPIaE!$H$9:$H$3032,0)))</f>
        <v>0</v>
      </c>
      <c r="S785" s="11">
        <f>IF(($P785+$Q785-$R785+MAX(Keys!$C$51,$R785-$Q785))&gt;Keys!$C$51,MIN(Keys!$C$52,MAX(Keys!$C$51,$R785-$Q785)/($P785+$Q785-$R785+MAX(Keys!$C$51,$R785-$Q785))),Keys!$C$51)</f>
        <v>0</v>
      </c>
      <c r="T785">
        <f>IF(AND($I785&gt;$H785,ABS($L785-$G785)&gt;MAX(Keys!$C$62,ABS($G785)*Keys!$C$63)),1,0)</f>
        <v>0</v>
      </c>
      <c r="U785">
        <f>IF(OR($N785&lt;Keys!$C$51,$N785&gt;Keys!$C$52),1,0)</f>
        <v>0</v>
      </c>
      <c r="V785">
        <f>IF(AND($E785=Keys!$C$60,$N785&lt;&gt;Keys!$C$51),1,0)</f>
        <v>0</v>
      </c>
      <c r="W785">
        <f>IF($L785&gt;Keys!$C$51,IF($K785/$L785&gt;Keys!$C$52,1,0),0)</f>
        <v>0</v>
      </c>
      <c r="X785" s="11">
        <f t="shared" si="51"/>
        <v>0</v>
      </c>
    </row>
    <row r="786" spans="1:24" x14ac:dyDescent="0.25">
      <c r="A786" t="s">
        <v>157</v>
      </c>
      <c r="B786" t="s">
        <v>77</v>
      </c>
      <c r="C786">
        <f>VLOOKUP($B786,Keys!$F$2:$I$22,2,FALSE)</f>
        <v>0</v>
      </c>
      <c r="D786">
        <f>VLOOKUP($B786,Keys!$F$2:$I$22,3,FALSE)</f>
        <v>0</v>
      </c>
      <c r="E786" t="str">
        <f>VLOOKUP($B786,Keys!$F$2:$I$22,4,FALSE)</f>
        <v>zero</v>
      </c>
      <c r="F786" t="str">
        <f>$A786&amp;Keys!$C$54&amp;$B786</f>
        <v>SC|wind (is not a fuel)</v>
      </c>
      <c r="G786" s="10">
        <f>IF($E786=Keys!$C$60,Keys!$C$51,INDEX(Balanced_2025!$D$9:$D$3032,MATCH($A786&amp;Keys!$C$54&amp;Keys!$C$55&amp;Keys!$C$54&amp;$C786,Balanced_2025!$E$9:$E$3032,0)))</f>
        <v>0</v>
      </c>
      <c r="H786" s="10">
        <f>IF($E786=Keys!$C$60,Keys!$C$51,INDEX(Balanced_2025!$D$9:$D$3032,MATCH($A786&amp;Keys!$C$54&amp;Keys!$C$56&amp;Keys!$C$54&amp;$C786,Balanced_2025!$E$9:$E$3032,0)))</f>
        <v>0</v>
      </c>
      <c r="I786" s="10">
        <f>IF($E786=Keys!$C$60,Keys!$C$51,INDEX(Balanced_2025!$D$9:$D$3032,MATCH($A786&amp;Keys!$C$54&amp;Keys!$C$57&amp;Keys!$C$54&amp;$C786,Balanced_2025!$E$9:$E$3032,0)))</f>
        <v>0</v>
      </c>
      <c r="J786" s="10">
        <f t="shared" si="48"/>
        <v>0</v>
      </c>
      <c r="K786" s="10">
        <f>MAX(Keys!$C$51,$I786-$H786)</f>
        <v>0</v>
      </c>
      <c r="L786" s="10">
        <f t="shared" si="49"/>
        <v>0</v>
      </c>
      <c r="M786" s="11">
        <f>IF($L786&gt;Keys!$C$51,MIN(Keys!$C$52,$K786/$L786),Keys!$C$51)</f>
        <v>0</v>
      </c>
      <c r="N786" s="11">
        <f>IF($E786=Keys!$C$60,Keys!$C$51,IF($E786=Keys!$C$59,$D786,$M786))</f>
        <v>0</v>
      </c>
      <c r="O786">
        <f t="shared" si="50"/>
        <v>0</v>
      </c>
      <c r="P786" s="10">
        <f>IF($E786=Keys!$C$60,Keys!$C$51,INDEX(Raw_BFPIaE!$G$9:$G$3032,MATCH($A786&amp;Keys!$C$54&amp;Keys!$C$55&amp;Keys!$C$54&amp;$B786,Raw_BFPIaE!$H$9:$H$3032,0)))</f>
        <v>0</v>
      </c>
      <c r="Q786" s="10">
        <f>IF($E786=Keys!$C$60,Keys!$C$51,INDEX(Raw_BFPIaE!$G$9:$G$3032,MATCH($A786&amp;Keys!$C$54&amp;Keys!$C$56&amp;Keys!$C$54&amp;$B786,Raw_BFPIaE!$H$9:$H$3032,0)))</f>
        <v>0</v>
      </c>
      <c r="R786" s="10">
        <f>IF($E786=Keys!$C$60,Keys!$C$51,INDEX(Raw_BFPIaE!$G$9:$G$3032,MATCH($A786&amp;Keys!$C$54&amp;Keys!$C$57&amp;Keys!$C$54&amp;$B786,Raw_BFPIaE!$H$9:$H$3032,0)))</f>
        <v>0</v>
      </c>
      <c r="S786" s="11">
        <f>IF(($P786+$Q786-$R786+MAX(Keys!$C$51,$R786-$Q786))&gt;Keys!$C$51,MIN(Keys!$C$52,MAX(Keys!$C$51,$R786-$Q786)/($P786+$Q786-$R786+MAX(Keys!$C$51,$R786-$Q786))),Keys!$C$51)</f>
        <v>0</v>
      </c>
      <c r="T786">
        <f>IF(AND($I786&gt;$H786,ABS($L786-$G786)&gt;MAX(Keys!$C$62,ABS($G786)*Keys!$C$63)),1,0)</f>
        <v>0</v>
      </c>
      <c r="U786">
        <f>IF(OR($N786&lt;Keys!$C$51,$N786&gt;Keys!$C$52),1,0)</f>
        <v>0</v>
      </c>
      <c r="V786">
        <f>IF(AND($E786=Keys!$C$60,$N786&lt;&gt;Keys!$C$51),1,0)</f>
        <v>0</v>
      </c>
      <c r="W786">
        <f>IF($L786&gt;Keys!$C$51,IF($K786/$L786&gt;Keys!$C$52,1,0),0)</f>
        <v>0</v>
      </c>
      <c r="X786" s="11">
        <f t="shared" si="51"/>
        <v>0</v>
      </c>
    </row>
    <row r="787" spans="1:24" x14ac:dyDescent="0.25">
      <c r="A787" t="s">
        <v>157</v>
      </c>
      <c r="B787" t="s">
        <v>80</v>
      </c>
      <c r="C787">
        <f>VLOOKUP($B787,Keys!$F$2:$I$22,2,FALSE)</f>
        <v>0</v>
      </c>
      <c r="D787">
        <f>VLOOKUP($B787,Keys!$F$2:$I$22,3,FALSE)</f>
        <v>0</v>
      </c>
      <c r="E787" t="str">
        <f>VLOOKUP($B787,Keys!$F$2:$I$22,4,FALSE)</f>
        <v>zero</v>
      </c>
      <c r="F787" t="str">
        <f>$A787&amp;Keys!$C$54&amp;$B787</f>
        <v>SC|solar (is not a fuel)</v>
      </c>
      <c r="G787" s="10">
        <f>IF($E787=Keys!$C$60,Keys!$C$51,INDEX(Balanced_2025!$D$9:$D$3032,MATCH($A787&amp;Keys!$C$54&amp;Keys!$C$55&amp;Keys!$C$54&amp;$C787,Balanced_2025!$E$9:$E$3032,0)))</f>
        <v>0</v>
      </c>
      <c r="H787" s="10">
        <f>IF($E787=Keys!$C$60,Keys!$C$51,INDEX(Balanced_2025!$D$9:$D$3032,MATCH($A787&amp;Keys!$C$54&amp;Keys!$C$56&amp;Keys!$C$54&amp;$C787,Balanced_2025!$E$9:$E$3032,0)))</f>
        <v>0</v>
      </c>
      <c r="I787" s="10">
        <f>IF($E787=Keys!$C$60,Keys!$C$51,INDEX(Balanced_2025!$D$9:$D$3032,MATCH($A787&amp;Keys!$C$54&amp;Keys!$C$57&amp;Keys!$C$54&amp;$C787,Balanced_2025!$E$9:$E$3032,0)))</f>
        <v>0</v>
      </c>
      <c r="J787" s="10">
        <f t="shared" si="48"/>
        <v>0</v>
      </c>
      <c r="K787" s="10">
        <f>MAX(Keys!$C$51,$I787-$H787)</f>
        <v>0</v>
      </c>
      <c r="L787" s="10">
        <f t="shared" si="49"/>
        <v>0</v>
      </c>
      <c r="M787" s="11">
        <f>IF($L787&gt;Keys!$C$51,MIN(Keys!$C$52,$K787/$L787),Keys!$C$51)</f>
        <v>0</v>
      </c>
      <c r="N787" s="11">
        <f>IF($E787=Keys!$C$60,Keys!$C$51,IF($E787=Keys!$C$59,$D787,$M787))</f>
        <v>0</v>
      </c>
      <c r="O787">
        <f t="shared" si="50"/>
        <v>0</v>
      </c>
      <c r="P787" s="10">
        <f>IF($E787=Keys!$C$60,Keys!$C$51,INDEX(Raw_BFPIaE!$G$9:$G$3032,MATCH($A787&amp;Keys!$C$54&amp;Keys!$C$55&amp;Keys!$C$54&amp;$B787,Raw_BFPIaE!$H$9:$H$3032,0)))</f>
        <v>0</v>
      </c>
      <c r="Q787" s="10">
        <f>IF($E787=Keys!$C$60,Keys!$C$51,INDEX(Raw_BFPIaE!$G$9:$G$3032,MATCH($A787&amp;Keys!$C$54&amp;Keys!$C$56&amp;Keys!$C$54&amp;$B787,Raw_BFPIaE!$H$9:$H$3032,0)))</f>
        <v>0</v>
      </c>
      <c r="R787" s="10">
        <f>IF($E787=Keys!$C$60,Keys!$C$51,INDEX(Raw_BFPIaE!$G$9:$G$3032,MATCH($A787&amp;Keys!$C$54&amp;Keys!$C$57&amp;Keys!$C$54&amp;$B787,Raw_BFPIaE!$H$9:$H$3032,0)))</f>
        <v>0</v>
      </c>
      <c r="S787" s="11">
        <f>IF(($P787+$Q787-$R787+MAX(Keys!$C$51,$R787-$Q787))&gt;Keys!$C$51,MIN(Keys!$C$52,MAX(Keys!$C$51,$R787-$Q787)/($P787+$Q787-$R787+MAX(Keys!$C$51,$R787-$Q787))),Keys!$C$51)</f>
        <v>0</v>
      </c>
      <c r="T787">
        <f>IF(AND($I787&gt;$H787,ABS($L787-$G787)&gt;MAX(Keys!$C$62,ABS($G787)*Keys!$C$63)),1,0)</f>
        <v>0</v>
      </c>
      <c r="U787">
        <f>IF(OR($N787&lt;Keys!$C$51,$N787&gt;Keys!$C$52),1,0)</f>
        <v>0</v>
      </c>
      <c r="V787">
        <f>IF(AND($E787=Keys!$C$60,$N787&lt;&gt;Keys!$C$51),1,0)</f>
        <v>0</v>
      </c>
      <c r="W787">
        <f>IF($L787&gt;Keys!$C$51,IF($K787/$L787&gt;Keys!$C$52,1,0),0)</f>
        <v>0</v>
      </c>
      <c r="X787" s="11">
        <f t="shared" si="51"/>
        <v>0</v>
      </c>
    </row>
    <row r="788" spans="1:24" x14ac:dyDescent="0.25">
      <c r="A788" t="s">
        <v>157</v>
      </c>
      <c r="B788" t="s">
        <v>82</v>
      </c>
      <c r="C788" t="str">
        <f>VLOOKUP($B788,Keys!$F$2:$I$22,2,FALSE)</f>
        <v>biomass</v>
      </c>
      <c r="D788">
        <f>VLOOKUP($B788,Keys!$F$2:$I$22,3,FALSE)</f>
        <v>0.74947425499999998</v>
      </c>
      <c r="E788" t="str">
        <f>VLOOKUP($B788,Keys!$F$2:$I$22,4,FALSE)</f>
        <v>rule</v>
      </c>
      <c r="F788" t="str">
        <f>$A788&amp;Keys!$C$54&amp;$B788</f>
        <v>SC|biomass</v>
      </c>
      <c r="G788" s="10">
        <f>IF($E788=Keys!$C$60,Keys!$C$51,INDEX(Balanced_2025!$D$9:$D$3032,MATCH($A788&amp;Keys!$C$54&amp;Keys!$C$55&amp;Keys!$C$54&amp;$C788,Balanced_2025!$E$9:$E$3032,0)))</f>
        <v>9330400000000</v>
      </c>
      <c r="H788" s="10">
        <f>IF($E788=Keys!$C$60,Keys!$C$51,INDEX(Balanced_2025!$D$9:$D$3032,MATCH($A788&amp;Keys!$C$54&amp;Keys!$C$56&amp;Keys!$C$54&amp;$C788,Balanced_2025!$E$9:$E$3032,0)))</f>
        <v>95160900000000</v>
      </c>
      <c r="I788" s="10">
        <f>IF($E788=Keys!$C$60,Keys!$C$51,INDEX(Balanced_2025!$D$9:$D$3032,MATCH($A788&amp;Keys!$C$54&amp;Keys!$C$57&amp;Keys!$C$54&amp;$C788,Balanced_2025!$E$9:$E$3032,0)))</f>
        <v>0</v>
      </c>
      <c r="J788" s="10">
        <f t="shared" si="48"/>
        <v>104491300000000</v>
      </c>
      <c r="K788" s="10">
        <f>MAX(Keys!$C$51,$I788-$H788)</f>
        <v>0</v>
      </c>
      <c r="L788" s="10">
        <f t="shared" si="49"/>
        <v>104491300000000</v>
      </c>
      <c r="M788" s="11">
        <f>IF($L788&gt;Keys!$C$51,MIN(Keys!$C$52,$K788/$L788),Keys!$C$51)</f>
        <v>0</v>
      </c>
      <c r="N788" s="11">
        <f>IF($E788=Keys!$C$60,Keys!$C$51,IF($E788=Keys!$C$59,$D788,$M788))</f>
        <v>0</v>
      </c>
      <c r="O788">
        <f t="shared" si="50"/>
        <v>1</v>
      </c>
      <c r="P788" s="10">
        <f>IF($E788=Keys!$C$60,Keys!$C$51,INDEX(Raw_BFPIaE!$G$9:$G$3032,MATCH($A788&amp;Keys!$C$54&amp;Keys!$C$55&amp;Keys!$C$54&amp;$B788,Raw_BFPIaE!$H$9:$H$3032,0)))</f>
        <v>9330400000000</v>
      </c>
      <c r="Q788" s="10">
        <f>IF($E788=Keys!$C$60,Keys!$C$51,INDEX(Raw_BFPIaE!$G$9:$G$3032,MATCH($A788&amp;Keys!$C$54&amp;Keys!$C$56&amp;Keys!$C$54&amp;$B788,Raw_BFPIaE!$H$9:$H$3032,0)))</f>
        <v>65683566666666.664</v>
      </c>
      <c r="R788" s="10">
        <f>IF($E788=Keys!$C$60,Keys!$C$51,INDEX(Raw_BFPIaE!$G$9:$G$3032,MATCH($A788&amp;Keys!$C$54&amp;Keys!$C$57&amp;Keys!$C$54&amp;$B788,Raw_BFPIaE!$H$9:$H$3032,0)))</f>
        <v>0</v>
      </c>
      <c r="S788" s="11">
        <f>IF(($P788+$Q788-$R788+MAX(Keys!$C$51,$R788-$Q788))&gt;Keys!$C$51,MIN(Keys!$C$52,MAX(Keys!$C$51,$R788-$Q788)/($P788+$Q788-$R788+MAX(Keys!$C$51,$R788-$Q788))),Keys!$C$51)</f>
        <v>0</v>
      </c>
      <c r="T788">
        <f>IF(AND($I788&gt;$H788,ABS($L788-$G788)&gt;MAX(Keys!$C$62,ABS($G788)*Keys!$C$63)),1,0)</f>
        <v>0</v>
      </c>
      <c r="U788">
        <f>IF(OR($N788&lt;Keys!$C$51,$N788&gt;Keys!$C$52),1,0)</f>
        <v>0</v>
      </c>
      <c r="V788">
        <f>IF(AND($E788=Keys!$C$60,$N788&lt;&gt;Keys!$C$51),1,0)</f>
        <v>0</v>
      </c>
      <c r="W788">
        <f>IF($L788&gt;Keys!$C$51,IF($K788/$L788&gt;Keys!$C$52,1,0),0)</f>
        <v>0</v>
      </c>
      <c r="X788" s="11">
        <f t="shared" si="51"/>
        <v>0</v>
      </c>
    </row>
    <row r="789" spans="1:24" x14ac:dyDescent="0.25">
      <c r="A789" t="s">
        <v>157</v>
      </c>
      <c r="B789" t="s">
        <v>85</v>
      </c>
      <c r="C789" t="str">
        <f>VLOOKUP($B789,Keys!$F$2:$I$22,2,FALSE)</f>
        <v>petroleum gasoline</v>
      </c>
      <c r="D789">
        <f>VLOOKUP($B789,Keys!$F$2:$I$22,3,FALSE)</f>
        <v>7.5004052000000002E-2</v>
      </c>
      <c r="E789" t="str">
        <f>VLOOKUP($B789,Keys!$F$2:$I$22,4,FALSE)</f>
        <v>rule</v>
      </c>
      <c r="F789" t="str">
        <f>$A789&amp;Keys!$C$54&amp;$B789</f>
        <v>SC|petroleum gasoline</v>
      </c>
      <c r="G789" s="10">
        <f>IF($E789=Keys!$C$60,Keys!$C$51,INDEX(Balanced_2025!$D$9:$D$3032,MATCH($A789&amp;Keys!$C$54&amp;Keys!$C$55&amp;Keys!$C$54&amp;$C789,Balanced_2025!$E$9:$E$3032,0)))</f>
        <v>0</v>
      </c>
      <c r="H789" s="10">
        <f>IF($E789=Keys!$C$60,Keys!$C$51,INDEX(Balanced_2025!$D$9:$D$3032,MATCH($A789&amp;Keys!$C$54&amp;Keys!$C$56&amp;Keys!$C$54&amp;$C789,Balanced_2025!$E$9:$E$3032,0)))</f>
        <v>302163000000000</v>
      </c>
      <c r="I789" s="10">
        <f>IF($E789=Keys!$C$60,Keys!$C$51,INDEX(Balanced_2025!$D$9:$D$3032,MATCH($A789&amp;Keys!$C$54&amp;Keys!$C$57&amp;Keys!$C$54&amp;$C789,Balanced_2025!$E$9:$E$3032,0)))</f>
        <v>0</v>
      </c>
      <c r="J789" s="10">
        <f t="shared" si="48"/>
        <v>302163000000000</v>
      </c>
      <c r="K789" s="10">
        <f>MAX(Keys!$C$51,$I789-$H789)</f>
        <v>0</v>
      </c>
      <c r="L789" s="10">
        <f t="shared" si="49"/>
        <v>302163000000000</v>
      </c>
      <c r="M789" s="11">
        <f>IF($L789&gt;Keys!$C$51,MIN(Keys!$C$52,$K789/$L789),Keys!$C$51)</f>
        <v>0</v>
      </c>
      <c r="N789" s="11">
        <f>IF($E789=Keys!$C$60,Keys!$C$51,IF($E789=Keys!$C$59,$D789,$M789))</f>
        <v>0</v>
      </c>
      <c r="O789">
        <f t="shared" si="50"/>
        <v>1</v>
      </c>
      <c r="P789" s="10">
        <f>IF($E789=Keys!$C$60,Keys!$C$51,INDEX(Raw_BFPIaE!$G$9:$G$3032,MATCH($A789&amp;Keys!$C$54&amp;Keys!$C$55&amp;Keys!$C$54&amp;$B789,Raw_BFPIaE!$H$9:$H$3032,0)))</f>
        <v>0</v>
      </c>
      <c r="Q789" s="10">
        <f>IF($E789=Keys!$C$60,Keys!$C$51,INDEX(Raw_BFPIaE!$G$9:$G$3032,MATCH($A789&amp;Keys!$C$54&amp;Keys!$C$56&amp;Keys!$C$54&amp;$B789,Raw_BFPIaE!$H$9:$H$3032,0)))</f>
        <v>190692666666666.66</v>
      </c>
      <c r="R789" s="10">
        <f>IF($E789=Keys!$C$60,Keys!$C$51,INDEX(Raw_BFPIaE!$G$9:$G$3032,MATCH($A789&amp;Keys!$C$54&amp;Keys!$C$57&amp;Keys!$C$54&amp;$B789,Raw_BFPIaE!$H$9:$H$3032,0)))</f>
        <v>0</v>
      </c>
      <c r="S789" s="11">
        <f>IF(($P789+$Q789-$R789+MAX(Keys!$C$51,$R789-$Q789))&gt;Keys!$C$51,MIN(Keys!$C$52,MAX(Keys!$C$51,$R789-$Q789)/($P789+$Q789-$R789+MAX(Keys!$C$51,$R789-$Q789))),Keys!$C$51)</f>
        <v>0</v>
      </c>
      <c r="T789">
        <f>IF(AND($I789&gt;$H789,ABS($L789-$G789)&gt;MAX(Keys!$C$62,ABS($G789)*Keys!$C$63)),1,0)</f>
        <v>0</v>
      </c>
      <c r="U789">
        <f>IF(OR($N789&lt;Keys!$C$51,$N789&gt;Keys!$C$52),1,0)</f>
        <v>0</v>
      </c>
      <c r="V789">
        <f>IF(AND($E789=Keys!$C$60,$N789&lt;&gt;Keys!$C$51),1,0)</f>
        <v>0</v>
      </c>
      <c r="W789">
        <f>IF($L789&gt;Keys!$C$51,IF($K789/$L789&gt;Keys!$C$52,1,0),0)</f>
        <v>0</v>
      </c>
      <c r="X789" s="11">
        <f t="shared" si="51"/>
        <v>0</v>
      </c>
    </row>
    <row r="790" spans="1:24" x14ac:dyDescent="0.25">
      <c r="A790" t="s">
        <v>157</v>
      </c>
      <c r="B790" t="s">
        <v>88</v>
      </c>
      <c r="C790" t="str">
        <f>VLOOKUP($B790,Keys!$F$2:$I$22,2,FALSE)</f>
        <v>petroleum diesel</v>
      </c>
      <c r="D790">
        <f>VLOOKUP($B790,Keys!$F$2:$I$22,3,FALSE)</f>
        <v>0.26691051799999999</v>
      </c>
      <c r="E790" t="str">
        <f>VLOOKUP($B790,Keys!$F$2:$I$22,4,FALSE)</f>
        <v>rule</v>
      </c>
      <c r="F790" t="str">
        <f>$A790&amp;Keys!$C$54&amp;$B790</f>
        <v>SC|petroleum diesel</v>
      </c>
      <c r="G790" s="10">
        <f>IF($E790=Keys!$C$60,Keys!$C$51,INDEX(Balanced_2025!$D$9:$D$3032,MATCH($A790&amp;Keys!$C$54&amp;Keys!$C$55&amp;Keys!$C$54&amp;$C790,Balanced_2025!$E$9:$E$3032,0)))</f>
        <v>0</v>
      </c>
      <c r="H790" s="10">
        <f>IF($E790=Keys!$C$60,Keys!$C$51,INDEX(Balanced_2025!$D$9:$D$3032,MATCH($A790&amp;Keys!$C$54&amp;Keys!$C$56&amp;Keys!$C$54&amp;$C790,Balanced_2025!$E$9:$E$3032,0)))</f>
        <v>154273000000000</v>
      </c>
      <c r="I790" s="10">
        <f>IF($E790=Keys!$C$60,Keys!$C$51,INDEX(Balanced_2025!$D$9:$D$3032,MATCH($A790&amp;Keys!$C$54&amp;Keys!$C$57&amp;Keys!$C$54&amp;$C790,Balanced_2025!$E$9:$E$3032,0)))</f>
        <v>0</v>
      </c>
      <c r="J790" s="10">
        <f t="shared" si="48"/>
        <v>154273000000000</v>
      </c>
      <c r="K790" s="10">
        <f>MAX(Keys!$C$51,$I790-$H790)</f>
        <v>0</v>
      </c>
      <c r="L790" s="10">
        <f t="shared" si="49"/>
        <v>154273000000000</v>
      </c>
      <c r="M790" s="11">
        <f>IF($L790&gt;Keys!$C$51,MIN(Keys!$C$52,$K790/$L790),Keys!$C$51)</f>
        <v>0</v>
      </c>
      <c r="N790" s="11">
        <f>IF($E790=Keys!$C$60,Keys!$C$51,IF($E790=Keys!$C$59,$D790,$M790))</f>
        <v>0</v>
      </c>
      <c r="O790">
        <f t="shared" si="50"/>
        <v>1</v>
      </c>
      <c r="P790" s="10">
        <f>IF($E790=Keys!$C$60,Keys!$C$51,INDEX(Raw_BFPIaE!$G$9:$G$3032,MATCH($A790&amp;Keys!$C$54&amp;Keys!$C$55&amp;Keys!$C$54&amp;$B790,Raw_BFPIaE!$H$9:$H$3032,0)))</f>
        <v>0</v>
      </c>
      <c r="Q790" s="10">
        <f>IF($E790=Keys!$C$60,Keys!$C$51,INDEX(Raw_BFPIaE!$G$9:$G$3032,MATCH($A790&amp;Keys!$C$54&amp;Keys!$C$56&amp;Keys!$C$54&amp;$B790,Raw_BFPIaE!$H$9:$H$3032,0)))</f>
        <v>102233666666666.67</v>
      </c>
      <c r="R790" s="10">
        <f>IF($E790=Keys!$C$60,Keys!$C$51,INDEX(Raw_BFPIaE!$G$9:$G$3032,MATCH($A790&amp;Keys!$C$54&amp;Keys!$C$57&amp;Keys!$C$54&amp;$B790,Raw_BFPIaE!$H$9:$H$3032,0)))</f>
        <v>0</v>
      </c>
      <c r="S790" s="11">
        <f>IF(($P790+$Q790-$R790+MAX(Keys!$C$51,$R790-$Q790))&gt;Keys!$C$51,MIN(Keys!$C$52,MAX(Keys!$C$51,$R790-$Q790)/($P790+$Q790-$R790+MAX(Keys!$C$51,$R790-$Q790))),Keys!$C$51)</f>
        <v>0</v>
      </c>
      <c r="T790">
        <f>IF(AND($I790&gt;$H790,ABS($L790-$G790)&gt;MAX(Keys!$C$62,ABS($G790)*Keys!$C$63)),1,0)</f>
        <v>0</v>
      </c>
      <c r="U790">
        <f>IF(OR($N790&lt;Keys!$C$51,$N790&gt;Keys!$C$52),1,0)</f>
        <v>0</v>
      </c>
      <c r="V790">
        <f>IF(AND($E790=Keys!$C$60,$N790&lt;&gt;Keys!$C$51),1,0)</f>
        <v>0</v>
      </c>
      <c r="W790">
        <f>IF($L790&gt;Keys!$C$51,IF($K790/$L790&gt;Keys!$C$52,1,0),0)</f>
        <v>0</v>
      </c>
      <c r="X790" s="11">
        <f t="shared" si="51"/>
        <v>0</v>
      </c>
    </row>
    <row r="791" spans="1:24" x14ac:dyDescent="0.25">
      <c r="A791" t="s">
        <v>157</v>
      </c>
      <c r="B791" t="s">
        <v>91</v>
      </c>
      <c r="C791" t="str">
        <f>VLOOKUP($B791,Keys!$F$2:$I$22,2,FALSE)</f>
        <v>biofuel gasoline</v>
      </c>
      <c r="D791">
        <f>VLOOKUP($B791,Keys!$F$2:$I$22,3,FALSE)</f>
        <v>8.7213884000000005E-2</v>
      </c>
      <c r="E791" t="str">
        <f>VLOOKUP($B791,Keys!$F$2:$I$22,4,FALSE)</f>
        <v>rule</v>
      </c>
      <c r="F791" t="str">
        <f>$A791&amp;Keys!$C$54&amp;$B791</f>
        <v>SC|biofuel gasoline</v>
      </c>
      <c r="G791" s="10">
        <f>IF($E791=Keys!$C$60,Keys!$C$51,INDEX(Balanced_2025!$D$9:$D$3032,MATCH($A791&amp;Keys!$C$54&amp;Keys!$C$55&amp;Keys!$C$54&amp;$C791,Balanced_2025!$E$9:$E$3032,0)))</f>
        <v>0</v>
      </c>
      <c r="H791" s="10">
        <f>IF($E791=Keys!$C$60,Keys!$C$51,INDEX(Balanced_2025!$D$9:$D$3032,MATCH($A791&amp;Keys!$C$54&amp;Keys!$C$56&amp;Keys!$C$54&amp;$C791,Balanced_2025!$E$9:$E$3032,0)))</f>
        <v>20531600000000</v>
      </c>
      <c r="I791" s="10">
        <f>IF($E791=Keys!$C$60,Keys!$C$51,INDEX(Balanced_2025!$D$9:$D$3032,MATCH($A791&amp;Keys!$C$54&amp;Keys!$C$57&amp;Keys!$C$54&amp;$C791,Balanced_2025!$E$9:$E$3032,0)))</f>
        <v>0</v>
      </c>
      <c r="J791" s="10">
        <f t="shared" si="48"/>
        <v>20531600000000</v>
      </c>
      <c r="K791" s="10">
        <f>MAX(Keys!$C$51,$I791-$H791)</f>
        <v>0</v>
      </c>
      <c r="L791" s="10">
        <f t="shared" si="49"/>
        <v>20531600000000</v>
      </c>
      <c r="M791" s="11">
        <f>IF($L791&gt;Keys!$C$51,MIN(Keys!$C$52,$K791/$L791),Keys!$C$51)</f>
        <v>0</v>
      </c>
      <c r="N791" s="11">
        <f>IF($E791=Keys!$C$60,Keys!$C$51,IF($E791=Keys!$C$59,$D791,$M791))</f>
        <v>0</v>
      </c>
      <c r="O791">
        <f t="shared" si="50"/>
        <v>1</v>
      </c>
      <c r="P791" s="10">
        <f>IF($E791=Keys!$C$60,Keys!$C$51,INDEX(Raw_BFPIaE!$G$9:$G$3032,MATCH($A791&amp;Keys!$C$54&amp;Keys!$C$55&amp;Keys!$C$54&amp;$B791,Raw_BFPIaE!$H$9:$H$3032,0)))</f>
        <v>0</v>
      </c>
      <c r="Q791" s="10">
        <f>IF($E791=Keys!$C$60,Keys!$C$51,INDEX(Raw_BFPIaE!$G$9:$G$3032,MATCH($A791&amp;Keys!$C$54&amp;Keys!$C$56&amp;Keys!$C$54&amp;$B791,Raw_BFPIaE!$H$9:$H$3032,0)))</f>
        <v>12942900000000</v>
      </c>
      <c r="R791" s="10">
        <f>IF($E791=Keys!$C$60,Keys!$C$51,INDEX(Raw_BFPIaE!$G$9:$G$3032,MATCH($A791&amp;Keys!$C$54&amp;Keys!$C$57&amp;Keys!$C$54&amp;$B791,Raw_BFPIaE!$H$9:$H$3032,0)))</f>
        <v>0</v>
      </c>
      <c r="S791" s="11">
        <f>IF(($P791+$Q791-$R791+MAX(Keys!$C$51,$R791-$Q791))&gt;Keys!$C$51,MIN(Keys!$C$52,MAX(Keys!$C$51,$R791-$Q791)/($P791+$Q791-$R791+MAX(Keys!$C$51,$R791-$Q791))),Keys!$C$51)</f>
        <v>0</v>
      </c>
      <c r="T791">
        <f>IF(AND($I791&gt;$H791,ABS($L791-$G791)&gt;MAX(Keys!$C$62,ABS($G791)*Keys!$C$63)),1,0)</f>
        <v>0</v>
      </c>
      <c r="U791">
        <f>IF(OR($N791&lt;Keys!$C$51,$N791&gt;Keys!$C$52),1,0)</f>
        <v>0</v>
      </c>
      <c r="V791">
        <f>IF(AND($E791=Keys!$C$60,$N791&lt;&gt;Keys!$C$51),1,0)</f>
        <v>0</v>
      </c>
      <c r="W791">
        <f>IF($L791&gt;Keys!$C$51,IF($K791/$L791&gt;Keys!$C$52,1,0),0)</f>
        <v>0</v>
      </c>
      <c r="X791" s="11">
        <f t="shared" si="51"/>
        <v>0</v>
      </c>
    </row>
    <row r="792" spans="1:24" x14ac:dyDescent="0.25">
      <c r="A792" t="s">
        <v>157</v>
      </c>
      <c r="B792" t="s">
        <v>94</v>
      </c>
      <c r="C792" t="str">
        <f>VLOOKUP($B792,Keys!$F$2:$I$22,2,FALSE)</f>
        <v>biofuel diesel</v>
      </c>
      <c r="D792">
        <f>VLOOKUP($B792,Keys!$F$2:$I$22,3,FALSE)</f>
        <v>5.8642381E-2</v>
      </c>
      <c r="E792" t="str">
        <f>VLOOKUP($B792,Keys!$F$2:$I$22,4,FALSE)</f>
        <v>rule</v>
      </c>
      <c r="F792" t="str">
        <f>$A792&amp;Keys!$C$54&amp;$B792</f>
        <v>SC|biofuel diesel</v>
      </c>
      <c r="G792" s="10">
        <f>IF($E792=Keys!$C$60,Keys!$C$51,INDEX(Balanced_2025!$D$9:$D$3032,MATCH($A792&amp;Keys!$C$54&amp;Keys!$C$55&amp;Keys!$C$54&amp;$C792,Balanced_2025!$E$9:$E$3032,0)))</f>
        <v>0</v>
      </c>
      <c r="H792" s="10">
        <f>IF($E792=Keys!$C$60,Keys!$C$51,INDEX(Balanced_2025!$D$9:$D$3032,MATCH($A792&amp;Keys!$C$54&amp;Keys!$C$56&amp;Keys!$C$54&amp;$C792,Balanced_2025!$E$9:$E$3032,0)))</f>
        <v>905061000000</v>
      </c>
      <c r="I792" s="10">
        <f>IF($E792=Keys!$C$60,Keys!$C$51,INDEX(Balanced_2025!$D$9:$D$3032,MATCH($A792&amp;Keys!$C$54&amp;Keys!$C$57&amp;Keys!$C$54&amp;$C792,Balanced_2025!$E$9:$E$3032,0)))</f>
        <v>0</v>
      </c>
      <c r="J792" s="10">
        <f t="shared" si="48"/>
        <v>905061000000</v>
      </c>
      <c r="K792" s="10">
        <f>MAX(Keys!$C$51,$I792-$H792)</f>
        <v>0</v>
      </c>
      <c r="L792" s="10">
        <f t="shared" si="49"/>
        <v>905061000000</v>
      </c>
      <c r="M792" s="11">
        <f>IF($L792&gt;Keys!$C$51,MIN(Keys!$C$52,$K792/$L792),Keys!$C$51)</f>
        <v>0</v>
      </c>
      <c r="N792" s="11">
        <f>IF($E792=Keys!$C$60,Keys!$C$51,IF($E792=Keys!$C$59,$D792,$M792))</f>
        <v>0</v>
      </c>
      <c r="O792">
        <f t="shared" si="50"/>
        <v>1</v>
      </c>
      <c r="P792" s="10">
        <f>IF($E792=Keys!$C$60,Keys!$C$51,INDEX(Raw_BFPIaE!$G$9:$G$3032,MATCH($A792&amp;Keys!$C$54&amp;Keys!$C$55&amp;Keys!$C$54&amp;$B792,Raw_BFPIaE!$H$9:$H$3032,0)))</f>
        <v>0</v>
      </c>
      <c r="Q792" s="10">
        <f>IF($E792=Keys!$C$60,Keys!$C$51,INDEX(Raw_BFPIaE!$G$9:$G$3032,MATCH($A792&amp;Keys!$C$54&amp;Keys!$C$56&amp;Keys!$C$54&amp;$B792,Raw_BFPIaE!$H$9:$H$3032,0)))</f>
        <v>591830333333.33337</v>
      </c>
      <c r="R792" s="10">
        <f>IF($E792=Keys!$C$60,Keys!$C$51,INDEX(Raw_BFPIaE!$G$9:$G$3032,MATCH($A792&amp;Keys!$C$54&amp;Keys!$C$57&amp;Keys!$C$54&amp;$B792,Raw_BFPIaE!$H$9:$H$3032,0)))</f>
        <v>0</v>
      </c>
      <c r="S792" s="11">
        <f>IF(($P792+$Q792-$R792+MAX(Keys!$C$51,$R792-$Q792))&gt;Keys!$C$51,MIN(Keys!$C$52,MAX(Keys!$C$51,$R792-$Q792)/($P792+$Q792-$R792+MAX(Keys!$C$51,$R792-$Q792))),Keys!$C$51)</f>
        <v>0</v>
      </c>
      <c r="T792">
        <f>IF(AND($I792&gt;$H792,ABS($L792-$G792)&gt;MAX(Keys!$C$62,ABS($G792)*Keys!$C$63)),1,0)</f>
        <v>0</v>
      </c>
      <c r="U792">
        <f>IF(OR($N792&lt;Keys!$C$51,$N792&gt;Keys!$C$52),1,0)</f>
        <v>0</v>
      </c>
      <c r="V792">
        <f>IF(AND($E792=Keys!$C$60,$N792&lt;&gt;Keys!$C$51),1,0)</f>
        <v>0</v>
      </c>
      <c r="W792">
        <f>IF($L792&gt;Keys!$C$51,IF($K792/$L792&gt;Keys!$C$52,1,0),0)</f>
        <v>0</v>
      </c>
      <c r="X792" s="11">
        <f t="shared" si="51"/>
        <v>0</v>
      </c>
    </row>
    <row r="793" spans="1:24" x14ac:dyDescent="0.25">
      <c r="A793" t="s">
        <v>157</v>
      </c>
      <c r="B793" t="s">
        <v>97</v>
      </c>
      <c r="C793" t="str">
        <f>VLOOKUP($B793,Keys!$F$2:$I$22,2,FALSE)</f>
        <v>jet fuel or kerosene</v>
      </c>
      <c r="D793">
        <f>VLOOKUP($B793,Keys!$F$2:$I$22,3,FALSE)</f>
        <v>0.10155994</v>
      </c>
      <c r="E793" t="str">
        <f>VLOOKUP($B793,Keys!$F$2:$I$22,4,FALSE)</f>
        <v>rule</v>
      </c>
      <c r="F793" t="str">
        <f>$A793&amp;Keys!$C$54&amp;$B793</f>
        <v>SC|jet fuel or kerosene</v>
      </c>
      <c r="G793" s="10">
        <f>IF($E793=Keys!$C$60,Keys!$C$51,INDEX(Balanced_2025!$D$9:$D$3032,MATCH($A793&amp;Keys!$C$54&amp;Keys!$C$55&amp;Keys!$C$54&amp;$C793,Balanced_2025!$E$9:$E$3032,0)))</f>
        <v>0</v>
      </c>
      <c r="H793" s="10">
        <f>IF($E793=Keys!$C$60,Keys!$C$51,INDEX(Balanced_2025!$D$9:$D$3032,MATCH($A793&amp;Keys!$C$54&amp;Keys!$C$56&amp;Keys!$C$54&amp;$C793,Balanced_2025!$E$9:$E$3032,0)))</f>
        <v>19503700000000</v>
      </c>
      <c r="I793" s="10">
        <f>IF($E793=Keys!$C$60,Keys!$C$51,INDEX(Balanced_2025!$D$9:$D$3032,MATCH($A793&amp;Keys!$C$54&amp;Keys!$C$57&amp;Keys!$C$54&amp;$C793,Balanced_2025!$E$9:$E$3032,0)))</f>
        <v>0</v>
      </c>
      <c r="J793" s="10">
        <f t="shared" si="48"/>
        <v>19503700000000</v>
      </c>
      <c r="K793" s="10">
        <f>MAX(Keys!$C$51,$I793-$H793)</f>
        <v>0</v>
      </c>
      <c r="L793" s="10">
        <f t="shared" si="49"/>
        <v>19503700000000</v>
      </c>
      <c r="M793" s="11">
        <f>IF($L793&gt;Keys!$C$51,MIN(Keys!$C$52,$K793/$L793),Keys!$C$51)</f>
        <v>0</v>
      </c>
      <c r="N793" s="11">
        <f>IF($E793=Keys!$C$60,Keys!$C$51,IF($E793=Keys!$C$59,$D793,$M793))</f>
        <v>0</v>
      </c>
      <c r="O793">
        <f t="shared" si="50"/>
        <v>1</v>
      </c>
      <c r="P793" s="10">
        <f>IF($E793=Keys!$C$60,Keys!$C$51,INDEX(Raw_BFPIaE!$G$9:$G$3032,MATCH($A793&amp;Keys!$C$54&amp;Keys!$C$55&amp;Keys!$C$54&amp;$B793,Raw_BFPIaE!$H$9:$H$3032,0)))</f>
        <v>0</v>
      </c>
      <c r="Q793" s="10">
        <f>IF($E793=Keys!$C$60,Keys!$C$51,INDEX(Raw_BFPIaE!$G$9:$G$3032,MATCH($A793&amp;Keys!$C$54&amp;Keys!$C$56&amp;Keys!$C$54&amp;$B793,Raw_BFPIaE!$H$9:$H$3032,0)))</f>
        <v>13316433333333.334</v>
      </c>
      <c r="R793" s="10">
        <f>IF($E793=Keys!$C$60,Keys!$C$51,INDEX(Raw_BFPIaE!$G$9:$G$3032,MATCH($A793&amp;Keys!$C$54&amp;Keys!$C$57&amp;Keys!$C$54&amp;$B793,Raw_BFPIaE!$H$9:$H$3032,0)))</f>
        <v>0</v>
      </c>
      <c r="S793" s="11">
        <f>IF(($P793+$Q793-$R793+MAX(Keys!$C$51,$R793-$Q793))&gt;Keys!$C$51,MIN(Keys!$C$52,MAX(Keys!$C$51,$R793-$Q793)/($P793+$Q793-$R793+MAX(Keys!$C$51,$R793-$Q793))),Keys!$C$51)</f>
        <v>0</v>
      </c>
      <c r="T793">
        <f>IF(AND($I793&gt;$H793,ABS($L793-$G793)&gt;MAX(Keys!$C$62,ABS($G793)*Keys!$C$63)),1,0)</f>
        <v>0</v>
      </c>
      <c r="U793">
        <f>IF(OR($N793&lt;Keys!$C$51,$N793&gt;Keys!$C$52),1,0)</f>
        <v>0</v>
      </c>
      <c r="V793">
        <f>IF(AND($E793=Keys!$C$60,$N793&lt;&gt;Keys!$C$51),1,0)</f>
        <v>0</v>
      </c>
      <c r="W793">
        <f>IF($L793&gt;Keys!$C$51,IF($K793/$L793&gt;Keys!$C$52,1,0),0)</f>
        <v>0</v>
      </c>
      <c r="X793" s="11">
        <f t="shared" si="51"/>
        <v>0</v>
      </c>
    </row>
    <row r="794" spans="1:24" x14ac:dyDescent="0.25">
      <c r="A794" t="s">
        <v>157</v>
      </c>
      <c r="B794" t="s">
        <v>100</v>
      </c>
      <c r="C794">
        <f>VLOOKUP($B794,Keys!$F$2:$I$22,2,FALSE)</f>
        <v>0</v>
      </c>
      <c r="D794">
        <f>VLOOKUP($B794,Keys!$F$2:$I$22,3,FALSE)</f>
        <v>0</v>
      </c>
      <c r="E794" t="str">
        <f>VLOOKUP($B794,Keys!$F$2:$I$22,4,FALSE)</f>
        <v>zero</v>
      </c>
      <c r="F794" t="str">
        <f>$A794&amp;Keys!$C$54&amp;$B794</f>
        <v>SC|heat (not used in this variable)</v>
      </c>
      <c r="G794" s="10">
        <f>IF($E794=Keys!$C$60,Keys!$C$51,INDEX(Balanced_2025!$D$9:$D$3032,MATCH($A794&amp;Keys!$C$54&amp;Keys!$C$55&amp;Keys!$C$54&amp;$C794,Balanced_2025!$E$9:$E$3032,0)))</f>
        <v>0</v>
      </c>
      <c r="H794" s="10">
        <f>IF($E794=Keys!$C$60,Keys!$C$51,INDEX(Balanced_2025!$D$9:$D$3032,MATCH($A794&amp;Keys!$C$54&amp;Keys!$C$56&amp;Keys!$C$54&amp;$C794,Balanced_2025!$E$9:$E$3032,0)))</f>
        <v>0</v>
      </c>
      <c r="I794" s="10">
        <f>IF($E794=Keys!$C$60,Keys!$C$51,INDEX(Balanced_2025!$D$9:$D$3032,MATCH($A794&amp;Keys!$C$54&amp;Keys!$C$57&amp;Keys!$C$54&amp;$C794,Balanced_2025!$E$9:$E$3032,0)))</f>
        <v>0</v>
      </c>
      <c r="J794" s="10">
        <f t="shared" si="48"/>
        <v>0</v>
      </c>
      <c r="K794" s="10">
        <f>MAX(Keys!$C$51,$I794-$H794)</f>
        <v>0</v>
      </c>
      <c r="L794" s="10">
        <f t="shared" si="49"/>
        <v>0</v>
      </c>
      <c r="M794" s="11">
        <f>IF($L794&gt;Keys!$C$51,MIN(Keys!$C$52,$K794/$L794),Keys!$C$51)</f>
        <v>0</v>
      </c>
      <c r="N794" s="11">
        <f>IF($E794=Keys!$C$60,Keys!$C$51,IF($E794=Keys!$C$59,$D794,$M794))</f>
        <v>0</v>
      </c>
      <c r="O794">
        <f t="shared" si="50"/>
        <v>0</v>
      </c>
      <c r="P794" s="10">
        <f>IF($E794=Keys!$C$60,Keys!$C$51,INDEX(Raw_BFPIaE!$G$9:$G$3032,MATCH($A794&amp;Keys!$C$54&amp;Keys!$C$55&amp;Keys!$C$54&amp;$B794,Raw_BFPIaE!$H$9:$H$3032,0)))</f>
        <v>0</v>
      </c>
      <c r="Q794" s="10">
        <f>IF($E794=Keys!$C$60,Keys!$C$51,INDEX(Raw_BFPIaE!$G$9:$G$3032,MATCH($A794&amp;Keys!$C$54&amp;Keys!$C$56&amp;Keys!$C$54&amp;$B794,Raw_BFPIaE!$H$9:$H$3032,0)))</f>
        <v>0</v>
      </c>
      <c r="R794" s="10">
        <f>IF($E794=Keys!$C$60,Keys!$C$51,INDEX(Raw_BFPIaE!$G$9:$G$3032,MATCH($A794&amp;Keys!$C$54&amp;Keys!$C$57&amp;Keys!$C$54&amp;$B794,Raw_BFPIaE!$H$9:$H$3032,0)))</f>
        <v>0</v>
      </c>
      <c r="S794" s="11">
        <f>IF(($P794+$Q794-$R794+MAX(Keys!$C$51,$R794-$Q794))&gt;Keys!$C$51,MIN(Keys!$C$52,MAX(Keys!$C$51,$R794-$Q794)/($P794+$Q794-$R794+MAX(Keys!$C$51,$R794-$Q794))),Keys!$C$51)</f>
        <v>0</v>
      </c>
      <c r="T794">
        <f>IF(AND($I794&gt;$H794,ABS($L794-$G794)&gt;MAX(Keys!$C$62,ABS($G794)*Keys!$C$63)),1,0)</f>
        <v>0</v>
      </c>
      <c r="U794">
        <f>IF(OR($N794&lt;Keys!$C$51,$N794&gt;Keys!$C$52),1,0)</f>
        <v>0</v>
      </c>
      <c r="V794">
        <f>IF(AND($E794=Keys!$C$60,$N794&lt;&gt;Keys!$C$51),1,0)</f>
        <v>0</v>
      </c>
      <c r="W794">
        <f>IF($L794&gt;Keys!$C$51,IF($K794/$L794&gt;Keys!$C$52,1,0),0)</f>
        <v>0</v>
      </c>
      <c r="X794" s="11">
        <f t="shared" si="51"/>
        <v>0</v>
      </c>
    </row>
    <row r="795" spans="1:24" x14ac:dyDescent="0.25">
      <c r="A795" t="s">
        <v>157</v>
      </c>
      <c r="B795" t="s">
        <v>103</v>
      </c>
      <c r="C795">
        <f>VLOOKUP($B795,Keys!$F$2:$I$22,2,FALSE)</f>
        <v>0</v>
      </c>
      <c r="D795">
        <f>VLOOKUP($B795,Keys!$F$2:$I$22,3,FALSE)</f>
        <v>0</v>
      </c>
      <c r="E795" t="str">
        <f>VLOOKUP($B795,Keys!$F$2:$I$22,4,FALSE)</f>
        <v>zero</v>
      </c>
      <c r="F795" t="str">
        <f>$A795&amp;Keys!$C$54&amp;$B795</f>
        <v>SC|geothermal (is not a fuel)</v>
      </c>
      <c r="G795" s="10">
        <f>IF($E795=Keys!$C$60,Keys!$C$51,INDEX(Balanced_2025!$D$9:$D$3032,MATCH($A795&amp;Keys!$C$54&amp;Keys!$C$55&amp;Keys!$C$54&amp;$C795,Balanced_2025!$E$9:$E$3032,0)))</f>
        <v>0</v>
      </c>
      <c r="H795" s="10">
        <f>IF($E795=Keys!$C$60,Keys!$C$51,INDEX(Balanced_2025!$D$9:$D$3032,MATCH($A795&amp;Keys!$C$54&amp;Keys!$C$56&amp;Keys!$C$54&amp;$C795,Balanced_2025!$E$9:$E$3032,0)))</f>
        <v>0</v>
      </c>
      <c r="I795" s="10">
        <f>IF($E795=Keys!$C$60,Keys!$C$51,INDEX(Balanced_2025!$D$9:$D$3032,MATCH($A795&amp;Keys!$C$54&amp;Keys!$C$57&amp;Keys!$C$54&amp;$C795,Balanced_2025!$E$9:$E$3032,0)))</f>
        <v>0</v>
      </c>
      <c r="J795" s="10">
        <f t="shared" si="48"/>
        <v>0</v>
      </c>
      <c r="K795" s="10">
        <f>MAX(Keys!$C$51,$I795-$H795)</f>
        <v>0</v>
      </c>
      <c r="L795" s="10">
        <f t="shared" si="49"/>
        <v>0</v>
      </c>
      <c r="M795" s="11">
        <f>IF($L795&gt;Keys!$C$51,MIN(Keys!$C$52,$K795/$L795),Keys!$C$51)</f>
        <v>0</v>
      </c>
      <c r="N795" s="11">
        <f>IF($E795=Keys!$C$60,Keys!$C$51,IF($E795=Keys!$C$59,$D795,$M795))</f>
        <v>0</v>
      </c>
      <c r="O795">
        <f t="shared" si="50"/>
        <v>0</v>
      </c>
      <c r="P795" s="10">
        <f>IF($E795=Keys!$C$60,Keys!$C$51,INDEX(Raw_BFPIaE!$G$9:$G$3032,MATCH($A795&amp;Keys!$C$54&amp;Keys!$C$55&amp;Keys!$C$54&amp;$B795,Raw_BFPIaE!$H$9:$H$3032,0)))</f>
        <v>0</v>
      </c>
      <c r="Q795" s="10">
        <f>IF($E795=Keys!$C$60,Keys!$C$51,INDEX(Raw_BFPIaE!$G$9:$G$3032,MATCH($A795&amp;Keys!$C$54&amp;Keys!$C$56&amp;Keys!$C$54&amp;$B795,Raw_BFPIaE!$H$9:$H$3032,0)))</f>
        <v>0</v>
      </c>
      <c r="R795" s="10">
        <f>IF($E795=Keys!$C$60,Keys!$C$51,INDEX(Raw_BFPIaE!$G$9:$G$3032,MATCH($A795&amp;Keys!$C$54&amp;Keys!$C$57&amp;Keys!$C$54&amp;$B795,Raw_BFPIaE!$H$9:$H$3032,0)))</f>
        <v>0</v>
      </c>
      <c r="S795" s="11">
        <f>IF(($P795+$Q795-$R795+MAX(Keys!$C$51,$R795-$Q795))&gt;Keys!$C$51,MIN(Keys!$C$52,MAX(Keys!$C$51,$R795-$Q795)/($P795+$Q795-$R795+MAX(Keys!$C$51,$R795-$Q795))),Keys!$C$51)</f>
        <v>0</v>
      </c>
      <c r="T795">
        <f>IF(AND($I795&gt;$H795,ABS($L795-$G795)&gt;MAX(Keys!$C$62,ABS($G795)*Keys!$C$63)),1,0)</f>
        <v>0</v>
      </c>
      <c r="U795">
        <f>IF(OR($N795&lt;Keys!$C$51,$N795&gt;Keys!$C$52),1,0)</f>
        <v>0</v>
      </c>
      <c r="V795">
        <f>IF(AND($E795=Keys!$C$60,$N795&lt;&gt;Keys!$C$51),1,0)</f>
        <v>0</v>
      </c>
      <c r="W795">
        <f>IF($L795&gt;Keys!$C$51,IF($K795/$L795&gt;Keys!$C$52,1,0),0)</f>
        <v>0</v>
      </c>
      <c r="X795" s="11">
        <f t="shared" si="51"/>
        <v>0</v>
      </c>
    </row>
    <row r="796" spans="1:24" x14ac:dyDescent="0.25">
      <c r="A796" t="s">
        <v>157</v>
      </c>
      <c r="B796" t="s">
        <v>106</v>
      </c>
      <c r="C796" t="str">
        <f>VLOOKUP($B796,Keys!$F$2:$I$22,2,FALSE)</f>
        <v>lignite</v>
      </c>
      <c r="D796">
        <f>VLOOKUP($B796,Keys!$F$2:$I$22,3,FALSE)</f>
        <v>0</v>
      </c>
      <c r="E796" t="str">
        <f>VLOOKUP($B796,Keys!$F$2:$I$22,4,FALSE)</f>
        <v>rule</v>
      </c>
      <c r="F796" t="str">
        <f>$A796&amp;Keys!$C$54&amp;$B796</f>
        <v>SC|lignite</v>
      </c>
      <c r="G796" s="10">
        <f>IF($E796=Keys!$C$60,Keys!$C$51,INDEX(Balanced_2025!$D$9:$D$3032,MATCH($A796&amp;Keys!$C$54&amp;Keys!$C$55&amp;Keys!$C$54&amp;$C796,Balanced_2025!$E$9:$E$3032,0)))</f>
        <v>0</v>
      </c>
      <c r="H796" s="10">
        <f>IF($E796=Keys!$C$60,Keys!$C$51,INDEX(Balanced_2025!$D$9:$D$3032,MATCH($A796&amp;Keys!$C$54&amp;Keys!$C$56&amp;Keys!$C$54&amp;$C796,Balanced_2025!$E$9:$E$3032,0)))</f>
        <v>0</v>
      </c>
      <c r="I796" s="10">
        <f>IF($E796=Keys!$C$60,Keys!$C$51,INDEX(Balanced_2025!$D$9:$D$3032,MATCH($A796&amp;Keys!$C$54&amp;Keys!$C$57&amp;Keys!$C$54&amp;$C796,Balanced_2025!$E$9:$E$3032,0)))</f>
        <v>0</v>
      </c>
      <c r="J796" s="10">
        <f t="shared" si="48"/>
        <v>0</v>
      </c>
      <c r="K796" s="10">
        <f>MAX(Keys!$C$51,$I796-$H796)</f>
        <v>0</v>
      </c>
      <c r="L796" s="10">
        <f t="shared" si="49"/>
        <v>0</v>
      </c>
      <c r="M796" s="11">
        <f>IF($L796&gt;Keys!$C$51,MIN(Keys!$C$52,$K796/$L796),Keys!$C$51)</f>
        <v>0</v>
      </c>
      <c r="N796" s="11">
        <f>IF($E796=Keys!$C$60,Keys!$C$51,IF($E796=Keys!$C$59,$D796,$M796))</f>
        <v>0</v>
      </c>
      <c r="O796">
        <f t="shared" si="50"/>
        <v>0</v>
      </c>
      <c r="P796" s="10">
        <f>IF($E796=Keys!$C$60,Keys!$C$51,INDEX(Raw_BFPIaE!$G$9:$G$3032,MATCH($A796&amp;Keys!$C$54&amp;Keys!$C$55&amp;Keys!$C$54&amp;$B796,Raw_BFPIaE!$H$9:$H$3032,0)))</f>
        <v>0</v>
      </c>
      <c r="Q796" s="10">
        <f>IF($E796=Keys!$C$60,Keys!$C$51,INDEX(Raw_BFPIaE!$G$9:$G$3032,MATCH($A796&amp;Keys!$C$54&amp;Keys!$C$56&amp;Keys!$C$54&amp;$B796,Raw_BFPIaE!$H$9:$H$3032,0)))</f>
        <v>0</v>
      </c>
      <c r="R796" s="10">
        <f>IF($E796=Keys!$C$60,Keys!$C$51,INDEX(Raw_BFPIaE!$G$9:$G$3032,MATCH($A796&amp;Keys!$C$54&amp;Keys!$C$57&amp;Keys!$C$54&amp;$B796,Raw_BFPIaE!$H$9:$H$3032,0)))</f>
        <v>0</v>
      </c>
      <c r="S796" s="11">
        <f>IF(($P796+$Q796-$R796+MAX(Keys!$C$51,$R796-$Q796))&gt;Keys!$C$51,MIN(Keys!$C$52,MAX(Keys!$C$51,$R796-$Q796)/($P796+$Q796-$R796+MAX(Keys!$C$51,$R796-$Q796))),Keys!$C$51)</f>
        <v>0</v>
      </c>
      <c r="T796">
        <f>IF(AND($I796&gt;$H796,ABS($L796-$G796)&gt;MAX(Keys!$C$62,ABS($G796)*Keys!$C$63)),1,0)</f>
        <v>0</v>
      </c>
      <c r="U796">
        <f>IF(OR($N796&lt;Keys!$C$51,$N796&gt;Keys!$C$52),1,0)</f>
        <v>0</v>
      </c>
      <c r="V796">
        <f>IF(AND($E796=Keys!$C$60,$N796&lt;&gt;Keys!$C$51),1,0)</f>
        <v>0</v>
      </c>
      <c r="W796">
        <f>IF($L796&gt;Keys!$C$51,IF($K796/$L796&gt;Keys!$C$52,1,0),0)</f>
        <v>0</v>
      </c>
      <c r="X796" s="11">
        <f t="shared" si="51"/>
        <v>0</v>
      </c>
    </row>
    <row r="797" spans="1:24" x14ac:dyDescent="0.25">
      <c r="A797" t="s">
        <v>157</v>
      </c>
      <c r="B797" t="s">
        <v>109</v>
      </c>
      <c r="C797" t="str">
        <f>VLOOKUP($B797,Keys!$F$2:$I$22,2,FALSE)</f>
        <v>crude oil</v>
      </c>
      <c r="D797">
        <f>VLOOKUP($B797,Keys!$F$2:$I$22,3,FALSE)</f>
        <v>1</v>
      </c>
      <c r="E797" t="str">
        <f>VLOOKUP($B797,Keys!$F$2:$I$22,4,FALSE)</f>
        <v>hold</v>
      </c>
      <c r="F797" t="str">
        <f>$A797&amp;Keys!$C$54&amp;$B797</f>
        <v>SC|crude oil</v>
      </c>
      <c r="G797" s="10">
        <f>IF($E797=Keys!$C$60,Keys!$C$51,INDEX(Balanced_2025!$D$9:$D$3032,MATCH($A797&amp;Keys!$C$54&amp;Keys!$C$55&amp;Keys!$C$54&amp;$C797,Balanced_2025!$E$9:$E$3032,0)))</f>
        <v>0</v>
      </c>
      <c r="H797" s="10">
        <f>IF($E797=Keys!$C$60,Keys!$C$51,INDEX(Balanced_2025!$D$9:$D$3032,MATCH($A797&amp;Keys!$C$54&amp;Keys!$C$56&amp;Keys!$C$54&amp;$C797,Balanced_2025!$E$9:$E$3032,0)))</f>
        <v>11071000000000</v>
      </c>
      <c r="I797" s="10">
        <f>IF($E797=Keys!$C$60,Keys!$C$51,INDEX(Balanced_2025!$D$9:$D$3032,MATCH($A797&amp;Keys!$C$54&amp;Keys!$C$57&amp;Keys!$C$54&amp;$C797,Balanced_2025!$E$9:$E$3032,0)))</f>
        <v>0</v>
      </c>
      <c r="J797" s="10">
        <f t="shared" si="48"/>
        <v>11071000000000</v>
      </c>
      <c r="K797" s="10">
        <f>MAX(Keys!$C$51,$I797-$H797)</f>
        <v>0</v>
      </c>
      <c r="L797" s="10">
        <f t="shared" si="49"/>
        <v>11071000000000</v>
      </c>
      <c r="M797" s="11">
        <f>IF($L797&gt;Keys!$C$51,MIN(Keys!$C$52,$K797/$L797),Keys!$C$51)</f>
        <v>0</v>
      </c>
      <c r="N797" s="11">
        <f>IF($E797=Keys!$C$60,Keys!$C$51,IF($E797=Keys!$C$59,$D797,$M797))</f>
        <v>1</v>
      </c>
      <c r="O797">
        <f t="shared" si="50"/>
        <v>0</v>
      </c>
      <c r="P797" s="10">
        <f>IF($E797=Keys!$C$60,Keys!$C$51,INDEX(Raw_BFPIaE!$G$9:$G$3032,MATCH($A797&amp;Keys!$C$54&amp;Keys!$C$55&amp;Keys!$C$54&amp;$B797,Raw_BFPIaE!$H$9:$H$3032,0)))</f>
        <v>0</v>
      </c>
      <c r="Q797" s="10">
        <f>IF($E797=Keys!$C$60,Keys!$C$51,INDEX(Raw_BFPIaE!$G$9:$G$3032,MATCH($A797&amp;Keys!$C$54&amp;Keys!$C$56&amp;Keys!$C$54&amp;$B797,Raw_BFPIaE!$H$9:$H$3032,0)))</f>
        <v>3690333333333.3335</v>
      </c>
      <c r="R797" s="10">
        <f>IF($E797=Keys!$C$60,Keys!$C$51,INDEX(Raw_BFPIaE!$G$9:$G$3032,MATCH($A797&amp;Keys!$C$54&amp;Keys!$C$57&amp;Keys!$C$54&amp;$B797,Raw_BFPIaE!$H$9:$H$3032,0)))</f>
        <v>0</v>
      </c>
      <c r="S797" s="11">
        <f>IF(($P797+$Q797-$R797+MAX(Keys!$C$51,$R797-$Q797))&gt;Keys!$C$51,MIN(Keys!$C$52,MAX(Keys!$C$51,$R797-$Q797)/($P797+$Q797-$R797+MAX(Keys!$C$51,$R797-$Q797))),Keys!$C$51)</f>
        <v>0</v>
      </c>
      <c r="T797">
        <f>IF(AND($I797&gt;$H797,ABS($L797-$G797)&gt;MAX(Keys!$C$62,ABS($G797)*Keys!$C$63)),1,0)</f>
        <v>0</v>
      </c>
      <c r="U797">
        <f>IF(OR($N797&lt;Keys!$C$51,$N797&gt;Keys!$C$52),1,0)</f>
        <v>0</v>
      </c>
      <c r="V797">
        <f>IF(AND($E797=Keys!$C$60,$N797&lt;&gt;Keys!$C$51),1,0)</f>
        <v>0</v>
      </c>
      <c r="W797">
        <f>IF($L797&gt;Keys!$C$51,IF($K797/$L797&gt;Keys!$C$52,1,0),0)</f>
        <v>0</v>
      </c>
      <c r="X797" s="11">
        <f t="shared" si="51"/>
        <v>0</v>
      </c>
    </row>
    <row r="798" spans="1:24" x14ac:dyDescent="0.25">
      <c r="A798" t="s">
        <v>157</v>
      </c>
      <c r="B798" t="s">
        <v>113</v>
      </c>
      <c r="C798" t="str">
        <f>VLOOKUP($B798,Keys!$F$2:$I$22,2,FALSE)</f>
        <v>heavy or residual fuel oil</v>
      </c>
      <c r="D798">
        <f>VLOOKUP($B798,Keys!$F$2:$I$22,3,FALSE)</f>
        <v>0.49914171099999999</v>
      </c>
      <c r="E798" t="str">
        <f>VLOOKUP($B798,Keys!$F$2:$I$22,4,FALSE)</f>
        <v>rule</v>
      </c>
      <c r="F798" t="str">
        <f>$A798&amp;Keys!$C$54&amp;$B798</f>
        <v>SC|heavy fuel oil</v>
      </c>
      <c r="G798" s="10">
        <f>IF($E798=Keys!$C$60,Keys!$C$51,INDEX(Balanced_2025!$D$9:$D$3032,MATCH($A798&amp;Keys!$C$54&amp;Keys!$C$55&amp;Keys!$C$54&amp;$C798,Balanced_2025!$E$9:$E$3032,0)))</f>
        <v>0</v>
      </c>
      <c r="H798" s="10">
        <f>IF($E798=Keys!$C$60,Keys!$C$51,INDEX(Balanced_2025!$D$9:$D$3032,MATCH($A798&amp;Keys!$C$54&amp;Keys!$C$56&amp;Keys!$C$54&amp;$C798,Balanced_2025!$E$9:$E$3032,0)))</f>
        <v>25836500000000</v>
      </c>
      <c r="I798" s="10">
        <f>IF($E798=Keys!$C$60,Keys!$C$51,INDEX(Balanced_2025!$D$9:$D$3032,MATCH($A798&amp;Keys!$C$54&amp;Keys!$C$57&amp;Keys!$C$54&amp;$C798,Balanced_2025!$E$9:$E$3032,0)))</f>
        <v>0</v>
      </c>
      <c r="J798" s="10">
        <f t="shared" si="48"/>
        <v>25836500000000</v>
      </c>
      <c r="K798" s="10">
        <f>MAX(Keys!$C$51,$I798-$H798)</f>
        <v>0</v>
      </c>
      <c r="L798" s="10">
        <f t="shared" si="49"/>
        <v>25836500000000</v>
      </c>
      <c r="M798" s="11">
        <f>IF($L798&gt;Keys!$C$51,MIN(Keys!$C$52,$K798/$L798),Keys!$C$51)</f>
        <v>0</v>
      </c>
      <c r="N798" s="11">
        <f>IF($E798=Keys!$C$60,Keys!$C$51,IF($E798=Keys!$C$59,$D798,$M798))</f>
        <v>0</v>
      </c>
      <c r="O798">
        <f t="shared" si="50"/>
        <v>1</v>
      </c>
      <c r="P798" s="10">
        <f>IF($E798=Keys!$C$60,Keys!$C$51,INDEX(Raw_BFPIaE!$G$9:$G$3032,MATCH($A798&amp;Keys!$C$54&amp;Keys!$C$55&amp;Keys!$C$54&amp;$B798,Raw_BFPIaE!$H$9:$H$3032,0)))</f>
        <v>0</v>
      </c>
      <c r="Q798" s="10">
        <f>IF($E798=Keys!$C$60,Keys!$C$51,INDEX(Raw_BFPIaE!$G$9:$G$3032,MATCH($A798&amp;Keys!$C$54&amp;Keys!$C$56&amp;Keys!$C$54&amp;$B798,Raw_BFPIaE!$H$9:$H$3032,0)))</f>
        <v>17435633333333.334</v>
      </c>
      <c r="R798" s="10">
        <f>IF($E798=Keys!$C$60,Keys!$C$51,INDEX(Raw_BFPIaE!$G$9:$G$3032,MATCH($A798&amp;Keys!$C$54&amp;Keys!$C$57&amp;Keys!$C$54&amp;$B798,Raw_BFPIaE!$H$9:$H$3032,0)))</f>
        <v>0</v>
      </c>
      <c r="S798" s="11">
        <f>IF(($P798+$Q798-$R798+MAX(Keys!$C$51,$R798-$Q798))&gt;Keys!$C$51,MIN(Keys!$C$52,MAX(Keys!$C$51,$R798-$Q798)/($P798+$Q798-$R798+MAX(Keys!$C$51,$R798-$Q798))),Keys!$C$51)</f>
        <v>0</v>
      </c>
      <c r="T798">
        <f>IF(AND($I798&gt;$H798,ABS($L798-$G798)&gt;MAX(Keys!$C$62,ABS($G798)*Keys!$C$63)),1,0)</f>
        <v>0</v>
      </c>
      <c r="U798">
        <f>IF(OR($N798&lt;Keys!$C$51,$N798&gt;Keys!$C$52),1,0)</f>
        <v>0</v>
      </c>
      <c r="V798">
        <f>IF(AND($E798=Keys!$C$60,$N798&lt;&gt;Keys!$C$51),1,0)</f>
        <v>0</v>
      </c>
      <c r="W798">
        <f>IF($L798&gt;Keys!$C$51,IF($K798/$L798&gt;Keys!$C$52,1,0),0)</f>
        <v>0</v>
      </c>
      <c r="X798" s="11">
        <f t="shared" si="51"/>
        <v>0</v>
      </c>
    </row>
    <row r="799" spans="1:24" x14ac:dyDescent="0.25">
      <c r="A799" t="s">
        <v>157</v>
      </c>
      <c r="B799" t="s">
        <v>117</v>
      </c>
      <c r="C799" t="str">
        <f>VLOOKUP($B799,Keys!$F$2:$I$22,2,FALSE)</f>
        <v>LPG propane or butane</v>
      </c>
      <c r="D799">
        <f>VLOOKUP($B799,Keys!$F$2:$I$22,3,FALSE)</f>
        <v>0.54955999499999997</v>
      </c>
      <c r="E799" t="str">
        <f>VLOOKUP($B799,Keys!$F$2:$I$22,4,FALSE)</f>
        <v>rule</v>
      </c>
      <c r="F799" t="str">
        <f>$A799&amp;Keys!$C$54&amp;$B799</f>
        <v>SC|LPG propane or butane</v>
      </c>
      <c r="G799" s="10">
        <f>IF($E799=Keys!$C$60,Keys!$C$51,INDEX(Balanced_2025!$D$9:$D$3032,MATCH($A799&amp;Keys!$C$54&amp;Keys!$C$55&amp;Keys!$C$54&amp;$C799,Balanced_2025!$E$9:$E$3032,0)))</f>
        <v>0</v>
      </c>
      <c r="H799" s="10">
        <f>IF($E799=Keys!$C$60,Keys!$C$51,INDEX(Balanced_2025!$D$9:$D$3032,MATCH($A799&amp;Keys!$C$54&amp;Keys!$C$56&amp;Keys!$C$54&amp;$C799,Balanced_2025!$E$9:$E$3032,0)))</f>
        <v>9159320000000</v>
      </c>
      <c r="I799" s="10">
        <f>IF($E799=Keys!$C$60,Keys!$C$51,INDEX(Balanced_2025!$D$9:$D$3032,MATCH($A799&amp;Keys!$C$54&amp;Keys!$C$57&amp;Keys!$C$54&amp;$C799,Balanced_2025!$E$9:$E$3032,0)))</f>
        <v>0</v>
      </c>
      <c r="J799" s="10">
        <f t="shared" si="48"/>
        <v>9159320000000</v>
      </c>
      <c r="K799" s="10">
        <f>MAX(Keys!$C$51,$I799-$H799)</f>
        <v>0</v>
      </c>
      <c r="L799" s="10">
        <f t="shared" si="49"/>
        <v>9159320000000</v>
      </c>
      <c r="M799" s="11">
        <f>IF($L799&gt;Keys!$C$51,MIN(Keys!$C$52,$K799/$L799),Keys!$C$51)</f>
        <v>0</v>
      </c>
      <c r="N799" s="11">
        <f>IF($E799=Keys!$C$60,Keys!$C$51,IF($E799=Keys!$C$59,$D799,$M799))</f>
        <v>0</v>
      </c>
      <c r="O799">
        <f t="shared" si="50"/>
        <v>1</v>
      </c>
      <c r="P799" s="10">
        <f>IF($E799=Keys!$C$60,Keys!$C$51,INDEX(Raw_BFPIaE!$G$9:$G$3032,MATCH($A799&amp;Keys!$C$54&amp;Keys!$C$55&amp;Keys!$C$54&amp;$B799,Raw_BFPIaE!$H$9:$H$3032,0)))</f>
        <v>0</v>
      </c>
      <c r="Q799" s="10">
        <f>IF($E799=Keys!$C$60,Keys!$C$51,INDEX(Raw_BFPIaE!$G$9:$G$3032,MATCH($A799&amp;Keys!$C$54&amp;Keys!$C$56&amp;Keys!$C$54&amp;$B799,Raw_BFPIaE!$H$9:$H$3032,0)))</f>
        <v>6058760000000</v>
      </c>
      <c r="R799" s="10">
        <f>IF($E799=Keys!$C$60,Keys!$C$51,INDEX(Raw_BFPIaE!$G$9:$G$3032,MATCH($A799&amp;Keys!$C$54&amp;Keys!$C$57&amp;Keys!$C$54&amp;$B799,Raw_BFPIaE!$H$9:$H$3032,0)))</f>
        <v>0</v>
      </c>
      <c r="S799" s="11">
        <f>IF(($P799+$Q799-$R799+MAX(Keys!$C$51,$R799-$Q799))&gt;Keys!$C$51,MIN(Keys!$C$52,MAX(Keys!$C$51,$R799-$Q799)/($P799+$Q799-$R799+MAX(Keys!$C$51,$R799-$Q799))),Keys!$C$51)</f>
        <v>0</v>
      </c>
      <c r="T799">
        <f>IF(AND($I799&gt;$H799,ABS($L799-$G799)&gt;MAX(Keys!$C$62,ABS($G799)*Keys!$C$63)),1,0)</f>
        <v>0</v>
      </c>
      <c r="U799">
        <f>IF(OR($N799&lt;Keys!$C$51,$N799&gt;Keys!$C$52),1,0)</f>
        <v>0</v>
      </c>
      <c r="V799">
        <f>IF(AND($E799=Keys!$C$60,$N799&lt;&gt;Keys!$C$51),1,0)</f>
        <v>0</v>
      </c>
      <c r="W799">
        <f>IF($L799&gt;Keys!$C$51,IF($K799/$L799&gt;Keys!$C$52,1,0),0)</f>
        <v>0</v>
      </c>
      <c r="X799" s="11">
        <f t="shared" si="51"/>
        <v>0</v>
      </c>
    </row>
    <row r="800" spans="1:24" x14ac:dyDescent="0.25">
      <c r="A800" t="s">
        <v>157</v>
      </c>
      <c r="B800" t="s">
        <v>120</v>
      </c>
      <c r="C800">
        <f>VLOOKUP($B800,Keys!$F$2:$I$22,2,FALSE)</f>
        <v>0</v>
      </c>
      <c r="D800">
        <f>VLOOKUP($B800,Keys!$F$2:$I$22,3,FALSE)</f>
        <v>0</v>
      </c>
      <c r="E800" t="str">
        <f>VLOOKUP($B800,Keys!$F$2:$I$22,4,FALSE)</f>
        <v>zero</v>
      </c>
      <c r="F800" t="str">
        <f>$A800&amp;Keys!$C$54&amp;$B800</f>
        <v>SC|municipal solid waste</v>
      </c>
      <c r="G800" s="10">
        <f>IF($E800=Keys!$C$60,Keys!$C$51,INDEX(Balanced_2025!$D$9:$D$3032,MATCH($A800&amp;Keys!$C$54&amp;Keys!$C$55&amp;Keys!$C$54&amp;$C800,Balanced_2025!$E$9:$E$3032,0)))</f>
        <v>0</v>
      </c>
      <c r="H800" s="10">
        <f>IF($E800=Keys!$C$60,Keys!$C$51,INDEX(Balanced_2025!$D$9:$D$3032,MATCH($A800&amp;Keys!$C$54&amp;Keys!$C$56&amp;Keys!$C$54&amp;$C800,Balanced_2025!$E$9:$E$3032,0)))</f>
        <v>0</v>
      </c>
      <c r="I800" s="10">
        <f>IF($E800=Keys!$C$60,Keys!$C$51,INDEX(Balanced_2025!$D$9:$D$3032,MATCH($A800&amp;Keys!$C$54&amp;Keys!$C$57&amp;Keys!$C$54&amp;$C800,Balanced_2025!$E$9:$E$3032,0)))</f>
        <v>0</v>
      </c>
      <c r="J800" s="10">
        <f t="shared" si="48"/>
        <v>0</v>
      </c>
      <c r="K800" s="10">
        <f>MAX(Keys!$C$51,$I800-$H800)</f>
        <v>0</v>
      </c>
      <c r="L800" s="10">
        <f t="shared" si="49"/>
        <v>0</v>
      </c>
      <c r="M800" s="11">
        <f>IF($L800&gt;Keys!$C$51,MIN(Keys!$C$52,$K800/$L800),Keys!$C$51)</f>
        <v>0</v>
      </c>
      <c r="N800" s="11">
        <f>IF($E800=Keys!$C$60,Keys!$C$51,IF($E800=Keys!$C$59,$D800,$M800))</f>
        <v>0</v>
      </c>
      <c r="O800">
        <f t="shared" si="50"/>
        <v>0</v>
      </c>
      <c r="P800" s="10">
        <f>IF($E800=Keys!$C$60,Keys!$C$51,INDEX(Raw_BFPIaE!$G$9:$G$3032,MATCH($A800&amp;Keys!$C$54&amp;Keys!$C$55&amp;Keys!$C$54&amp;$B800,Raw_BFPIaE!$H$9:$H$3032,0)))</f>
        <v>0</v>
      </c>
      <c r="Q800" s="10">
        <f>IF($E800=Keys!$C$60,Keys!$C$51,INDEX(Raw_BFPIaE!$G$9:$G$3032,MATCH($A800&amp;Keys!$C$54&amp;Keys!$C$56&amp;Keys!$C$54&amp;$B800,Raw_BFPIaE!$H$9:$H$3032,0)))</f>
        <v>0</v>
      </c>
      <c r="R800" s="10">
        <f>IF($E800=Keys!$C$60,Keys!$C$51,INDEX(Raw_BFPIaE!$G$9:$G$3032,MATCH($A800&amp;Keys!$C$54&amp;Keys!$C$57&amp;Keys!$C$54&amp;$B800,Raw_BFPIaE!$H$9:$H$3032,0)))</f>
        <v>0</v>
      </c>
      <c r="S800" s="11">
        <f>IF(($P800+$Q800-$R800+MAX(Keys!$C$51,$R800-$Q800))&gt;Keys!$C$51,MIN(Keys!$C$52,MAX(Keys!$C$51,$R800-$Q800)/($P800+$Q800-$R800+MAX(Keys!$C$51,$R800-$Q800))),Keys!$C$51)</f>
        <v>0</v>
      </c>
      <c r="T800">
        <f>IF(AND($I800&gt;$H800,ABS($L800-$G800)&gt;MAX(Keys!$C$62,ABS($G800)*Keys!$C$63)),1,0)</f>
        <v>0</v>
      </c>
      <c r="U800">
        <f>IF(OR($N800&lt;Keys!$C$51,$N800&gt;Keys!$C$52),1,0)</f>
        <v>0</v>
      </c>
      <c r="V800">
        <f>IF(AND($E800=Keys!$C$60,$N800&lt;&gt;Keys!$C$51),1,0)</f>
        <v>0</v>
      </c>
      <c r="W800">
        <f>IF($L800&gt;Keys!$C$51,IF($K800/$L800&gt;Keys!$C$52,1,0),0)</f>
        <v>0</v>
      </c>
      <c r="X800" s="11">
        <f t="shared" si="51"/>
        <v>0</v>
      </c>
    </row>
    <row r="801" spans="1:24" x14ac:dyDescent="0.25">
      <c r="A801" t="s">
        <v>157</v>
      </c>
      <c r="B801" t="s">
        <v>123</v>
      </c>
      <c r="C801">
        <f>VLOOKUP($B801,Keys!$F$2:$I$22,2,FALSE)</f>
        <v>0</v>
      </c>
      <c r="D801">
        <f>VLOOKUP($B801,Keys!$F$2:$I$22,3,FALSE)</f>
        <v>0</v>
      </c>
      <c r="E801" t="str">
        <f>VLOOKUP($B801,Keys!$F$2:$I$22,4,FALSE)</f>
        <v>zero</v>
      </c>
      <c r="F801" t="str">
        <f>$A801&amp;Keys!$C$54&amp;$B801</f>
        <v>SC|hydrogen</v>
      </c>
      <c r="G801" s="10">
        <f>IF($E801=Keys!$C$60,Keys!$C$51,INDEX(Balanced_2025!$D$9:$D$3032,MATCH($A801&amp;Keys!$C$54&amp;Keys!$C$55&amp;Keys!$C$54&amp;$C801,Balanced_2025!$E$9:$E$3032,0)))</f>
        <v>0</v>
      </c>
      <c r="H801" s="10">
        <f>IF($E801=Keys!$C$60,Keys!$C$51,INDEX(Balanced_2025!$D$9:$D$3032,MATCH($A801&amp;Keys!$C$54&amp;Keys!$C$56&amp;Keys!$C$54&amp;$C801,Balanced_2025!$E$9:$E$3032,0)))</f>
        <v>0</v>
      </c>
      <c r="I801" s="10">
        <f>IF($E801=Keys!$C$60,Keys!$C$51,INDEX(Balanced_2025!$D$9:$D$3032,MATCH($A801&amp;Keys!$C$54&amp;Keys!$C$57&amp;Keys!$C$54&amp;$C801,Balanced_2025!$E$9:$E$3032,0)))</f>
        <v>0</v>
      </c>
      <c r="J801" s="10">
        <f t="shared" si="48"/>
        <v>0</v>
      </c>
      <c r="K801" s="10">
        <f>MAX(Keys!$C$51,$I801-$H801)</f>
        <v>0</v>
      </c>
      <c r="L801" s="10">
        <f t="shared" si="49"/>
        <v>0</v>
      </c>
      <c r="M801" s="11">
        <f>IF($L801&gt;Keys!$C$51,MIN(Keys!$C$52,$K801/$L801),Keys!$C$51)</f>
        <v>0</v>
      </c>
      <c r="N801" s="11">
        <f>IF($E801=Keys!$C$60,Keys!$C$51,IF($E801=Keys!$C$59,$D801,$M801))</f>
        <v>0</v>
      </c>
      <c r="O801">
        <f t="shared" si="50"/>
        <v>0</v>
      </c>
      <c r="P801" s="10">
        <f>IF($E801=Keys!$C$60,Keys!$C$51,INDEX(Raw_BFPIaE!$G$9:$G$3032,MATCH($A801&amp;Keys!$C$54&amp;Keys!$C$55&amp;Keys!$C$54&amp;$B801,Raw_BFPIaE!$H$9:$H$3032,0)))</f>
        <v>0</v>
      </c>
      <c r="Q801" s="10">
        <f>IF($E801=Keys!$C$60,Keys!$C$51,INDEX(Raw_BFPIaE!$G$9:$G$3032,MATCH($A801&amp;Keys!$C$54&amp;Keys!$C$56&amp;Keys!$C$54&amp;$B801,Raw_BFPIaE!$H$9:$H$3032,0)))</f>
        <v>0</v>
      </c>
      <c r="R801" s="10">
        <f>IF($E801=Keys!$C$60,Keys!$C$51,INDEX(Raw_BFPIaE!$G$9:$G$3032,MATCH($A801&amp;Keys!$C$54&amp;Keys!$C$57&amp;Keys!$C$54&amp;$B801,Raw_BFPIaE!$H$9:$H$3032,0)))</f>
        <v>0</v>
      </c>
      <c r="S801" s="11">
        <f>IF(($P801+$Q801-$R801+MAX(Keys!$C$51,$R801-$Q801))&gt;Keys!$C$51,MIN(Keys!$C$52,MAX(Keys!$C$51,$R801-$Q801)/($P801+$Q801-$R801+MAX(Keys!$C$51,$R801-$Q801))),Keys!$C$51)</f>
        <v>0</v>
      </c>
      <c r="T801">
        <f>IF(AND($I801&gt;$H801,ABS($L801-$G801)&gt;MAX(Keys!$C$62,ABS($G801)*Keys!$C$63)),1,0)</f>
        <v>0</v>
      </c>
      <c r="U801">
        <f>IF(OR($N801&lt;Keys!$C$51,$N801&gt;Keys!$C$52),1,0)</f>
        <v>0</v>
      </c>
      <c r="V801">
        <f>IF(AND($E801=Keys!$C$60,$N801&lt;&gt;Keys!$C$51),1,0)</f>
        <v>0</v>
      </c>
      <c r="W801">
        <f>IF($L801&gt;Keys!$C$51,IF($K801/$L801&gt;Keys!$C$52,1,0),0)</f>
        <v>0</v>
      </c>
      <c r="X801" s="11">
        <f t="shared" si="51"/>
        <v>0</v>
      </c>
    </row>
    <row r="802" spans="1:24" x14ac:dyDescent="0.25">
      <c r="A802" t="s">
        <v>159</v>
      </c>
      <c r="B802" t="s">
        <v>60</v>
      </c>
      <c r="C802">
        <f>VLOOKUP($B802,Keys!$F$2:$I$22,2,FALSE)</f>
        <v>0</v>
      </c>
      <c r="D802">
        <f>VLOOKUP($B802,Keys!$F$2:$I$22,3,FALSE)</f>
        <v>0</v>
      </c>
      <c r="E802" t="str">
        <f>VLOOKUP($B802,Keys!$F$2:$I$22,4,FALSE)</f>
        <v>zero</v>
      </c>
      <c r="F802" t="str">
        <f>$A802&amp;Keys!$C$54&amp;$B802</f>
        <v>SD|electricity (not used in this variable)</v>
      </c>
      <c r="G802" s="10">
        <f>IF($E802=Keys!$C$60,Keys!$C$51,INDEX(Balanced_2025!$D$9:$D$3032,MATCH($A802&amp;Keys!$C$54&amp;Keys!$C$55&amp;Keys!$C$54&amp;$C802,Balanced_2025!$E$9:$E$3032,0)))</f>
        <v>0</v>
      </c>
      <c r="H802" s="10">
        <f>IF($E802=Keys!$C$60,Keys!$C$51,INDEX(Balanced_2025!$D$9:$D$3032,MATCH($A802&amp;Keys!$C$54&amp;Keys!$C$56&amp;Keys!$C$54&amp;$C802,Balanced_2025!$E$9:$E$3032,0)))</f>
        <v>0</v>
      </c>
      <c r="I802" s="10">
        <f>IF($E802=Keys!$C$60,Keys!$C$51,INDEX(Balanced_2025!$D$9:$D$3032,MATCH($A802&amp;Keys!$C$54&amp;Keys!$C$57&amp;Keys!$C$54&amp;$C802,Balanced_2025!$E$9:$E$3032,0)))</f>
        <v>0</v>
      </c>
      <c r="J802" s="10">
        <f t="shared" si="48"/>
        <v>0</v>
      </c>
      <c r="K802" s="10">
        <f>MAX(Keys!$C$51,$I802-$H802)</f>
        <v>0</v>
      </c>
      <c r="L802" s="10">
        <f t="shared" si="49"/>
        <v>0</v>
      </c>
      <c r="M802" s="11">
        <f>IF($L802&gt;Keys!$C$51,MIN(Keys!$C$52,$K802/$L802),Keys!$C$51)</f>
        <v>0</v>
      </c>
      <c r="N802" s="11">
        <f>IF($E802=Keys!$C$60,Keys!$C$51,IF($E802=Keys!$C$59,$D802,$M802))</f>
        <v>0</v>
      </c>
      <c r="O802">
        <f t="shared" si="50"/>
        <v>0</v>
      </c>
      <c r="P802" s="10">
        <f>IF($E802=Keys!$C$60,Keys!$C$51,INDEX(Raw_BFPIaE!$G$9:$G$3032,MATCH($A802&amp;Keys!$C$54&amp;Keys!$C$55&amp;Keys!$C$54&amp;$B802,Raw_BFPIaE!$H$9:$H$3032,0)))</f>
        <v>0</v>
      </c>
      <c r="Q802" s="10">
        <f>IF($E802=Keys!$C$60,Keys!$C$51,INDEX(Raw_BFPIaE!$G$9:$G$3032,MATCH($A802&amp;Keys!$C$54&amp;Keys!$C$56&amp;Keys!$C$54&amp;$B802,Raw_BFPIaE!$H$9:$H$3032,0)))</f>
        <v>0</v>
      </c>
      <c r="R802" s="10">
        <f>IF($E802=Keys!$C$60,Keys!$C$51,INDEX(Raw_BFPIaE!$G$9:$G$3032,MATCH($A802&amp;Keys!$C$54&amp;Keys!$C$57&amp;Keys!$C$54&amp;$B802,Raw_BFPIaE!$H$9:$H$3032,0)))</f>
        <v>0</v>
      </c>
      <c r="S802" s="11">
        <f>IF(($P802+$Q802-$R802+MAX(Keys!$C$51,$R802-$Q802))&gt;Keys!$C$51,MIN(Keys!$C$52,MAX(Keys!$C$51,$R802-$Q802)/($P802+$Q802-$R802+MAX(Keys!$C$51,$R802-$Q802))),Keys!$C$51)</f>
        <v>0</v>
      </c>
      <c r="T802">
        <f>IF(AND($I802&gt;$H802,ABS($L802-$G802)&gt;MAX(Keys!$C$62,ABS($G802)*Keys!$C$63)),1,0)</f>
        <v>0</v>
      </c>
      <c r="U802">
        <f>IF(OR($N802&lt;Keys!$C$51,$N802&gt;Keys!$C$52),1,0)</f>
        <v>0</v>
      </c>
      <c r="V802">
        <f>IF(AND($E802=Keys!$C$60,$N802&lt;&gt;Keys!$C$51),1,0)</f>
        <v>0</v>
      </c>
      <c r="W802">
        <f>IF($L802&gt;Keys!$C$51,IF($K802/$L802&gt;Keys!$C$52,1,0),0)</f>
        <v>0</v>
      </c>
      <c r="X802" s="11">
        <f t="shared" si="51"/>
        <v>0</v>
      </c>
    </row>
    <row r="803" spans="1:24" x14ac:dyDescent="0.25">
      <c r="A803" t="s">
        <v>159</v>
      </c>
      <c r="B803" t="s">
        <v>64</v>
      </c>
      <c r="C803" t="str">
        <f>VLOOKUP($B803,Keys!$F$2:$I$22,2,FALSE)</f>
        <v>hard coal</v>
      </c>
      <c r="D803">
        <f>VLOOKUP($B803,Keys!$F$2:$I$22,3,FALSE)</f>
        <v>0.137539879</v>
      </c>
      <c r="E803" t="str">
        <f>VLOOKUP($B803,Keys!$F$2:$I$22,4,FALSE)</f>
        <v>rule</v>
      </c>
      <c r="F803" t="str">
        <f>$A803&amp;Keys!$C$54&amp;$B803</f>
        <v>SD|hard coal</v>
      </c>
      <c r="G803" s="10">
        <f>IF($E803=Keys!$C$60,Keys!$C$51,INDEX(Balanced_2025!$D$9:$D$3032,MATCH($A803&amp;Keys!$C$54&amp;Keys!$C$55&amp;Keys!$C$54&amp;$C803,Balanced_2025!$E$9:$E$3032,0)))</f>
        <v>0</v>
      </c>
      <c r="H803" s="10">
        <f>IF($E803=Keys!$C$60,Keys!$C$51,INDEX(Balanced_2025!$D$9:$D$3032,MATCH($A803&amp;Keys!$C$54&amp;Keys!$C$56&amp;Keys!$C$54&amp;$C803,Balanced_2025!$E$9:$E$3032,0)))</f>
        <v>23809100000000</v>
      </c>
      <c r="I803" s="10">
        <f>IF($E803=Keys!$C$60,Keys!$C$51,INDEX(Balanced_2025!$D$9:$D$3032,MATCH($A803&amp;Keys!$C$54&amp;Keys!$C$57&amp;Keys!$C$54&amp;$C803,Balanced_2025!$E$9:$E$3032,0)))</f>
        <v>0</v>
      </c>
      <c r="J803" s="10">
        <f t="shared" si="48"/>
        <v>23809100000000</v>
      </c>
      <c r="K803" s="10">
        <f>MAX(Keys!$C$51,$I803-$H803)</f>
        <v>0</v>
      </c>
      <c r="L803" s="10">
        <f t="shared" si="49"/>
        <v>23809100000000</v>
      </c>
      <c r="M803" s="11">
        <f>IF($L803&gt;Keys!$C$51,MIN(Keys!$C$52,$K803/$L803),Keys!$C$51)</f>
        <v>0</v>
      </c>
      <c r="N803" s="11">
        <f>IF($E803=Keys!$C$60,Keys!$C$51,IF($E803=Keys!$C$59,$D803,$M803))</f>
        <v>0</v>
      </c>
      <c r="O803">
        <f t="shared" si="50"/>
        <v>1</v>
      </c>
      <c r="P803" s="10">
        <f>IF($E803=Keys!$C$60,Keys!$C$51,INDEX(Raw_BFPIaE!$G$9:$G$3032,MATCH($A803&amp;Keys!$C$54&amp;Keys!$C$55&amp;Keys!$C$54&amp;$B803,Raw_BFPIaE!$H$9:$H$3032,0)))</f>
        <v>0</v>
      </c>
      <c r="Q803" s="10">
        <f>IF($E803=Keys!$C$60,Keys!$C$51,INDEX(Raw_BFPIaE!$G$9:$G$3032,MATCH($A803&amp;Keys!$C$54&amp;Keys!$C$56&amp;Keys!$C$54&amp;$B803,Raw_BFPIaE!$H$9:$H$3032,0)))</f>
        <v>24224566666666.668</v>
      </c>
      <c r="R803" s="10">
        <f>IF($E803=Keys!$C$60,Keys!$C$51,INDEX(Raw_BFPIaE!$G$9:$G$3032,MATCH($A803&amp;Keys!$C$54&amp;Keys!$C$57&amp;Keys!$C$54&amp;$B803,Raw_BFPIaE!$H$9:$H$3032,0)))</f>
        <v>0</v>
      </c>
      <c r="S803" s="11">
        <f>IF(($P803+$Q803-$R803+MAX(Keys!$C$51,$R803-$Q803))&gt;Keys!$C$51,MIN(Keys!$C$52,MAX(Keys!$C$51,$R803-$Q803)/($P803+$Q803-$R803+MAX(Keys!$C$51,$R803-$Q803))),Keys!$C$51)</f>
        <v>0</v>
      </c>
      <c r="T803">
        <f>IF(AND($I803&gt;$H803,ABS($L803-$G803)&gt;MAX(Keys!$C$62,ABS($G803)*Keys!$C$63)),1,0)</f>
        <v>0</v>
      </c>
      <c r="U803">
        <f>IF(OR($N803&lt;Keys!$C$51,$N803&gt;Keys!$C$52),1,0)</f>
        <v>0</v>
      </c>
      <c r="V803">
        <f>IF(AND($E803=Keys!$C$60,$N803&lt;&gt;Keys!$C$51),1,0)</f>
        <v>0</v>
      </c>
      <c r="W803">
        <f>IF($L803&gt;Keys!$C$51,IF($K803/$L803&gt;Keys!$C$52,1,0),0)</f>
        <v>0</v>
      </c>
      <c r="X803" s="11">
        <f t="shared" si="51"/>
        <v>0</v>
      </c>
    </row>
    <row r="804" spans="1:24" x14ac:dyDescent="0.25">
      <c r="A804" t="s">
        <v>159</v>
      </c>
      <c r="B804" t="s">
        <v>68</v>
      </c>
      <c r="C804" t="str">
        <f>VLOOKUP($B804,Keys!$F$2:$I$22,2,FALSE)</f>
        <v>natural gas</v>
      </c>
      <c r="D804">
        <f>VLOOKUP($B804,Keys!$F$2:$I$22,3,FALSE)</f>
        <v>0.190839183</v>
      </c>
      <c r="E804" t="str">
        <f>VLOOKUP($B804,Keys!$F$2:$I$22,4,FALSE)</f>
        <v>rule</v>
      </c>
      <c r="F804" t="str">
        <f>$A804&amp;Keys!$C$54&amp;$B804</f>
        <v>SD|natural gas</v>
      </c>
      <c r="G804" s="10">
        <f>IF($E804=Keys!$C$60,Keys!$C$51,INDEX(Balanced_2025!$D$9:$D$3032,MATCH($A804&amp;Keys!$C$54&amp;Keys!$C$55&amp;Keys!$C$54&amp;$C804,Balanced_2025!$E$9:$E$3032,0)))</f>
        <v>139995000000</v>
      </c>
      <c r="H804" s="10">
        <f>IF($E804=Keys!$C$60,Keys!$C$51,INDEX(Balanced_2025!$D$9:$D$3032,MATCH($A804&amp;Keys!$C$54&amp;Keys!$C$56&amp;Keys!$C$54&amp;$C804,Balanced_2025!$E$9:$E$3032,0)))</f>
        <v>911526000000000</v>
      </c>
      <c r="I804" s="10">
        <f>IF($E804=Keys!$C$60,Keys!$C$51,INDEX(Balanced_2025!$D$9:$D$3032,MATCH($A804&amp;Keys!$C$54&amp;Keys!$C$57&amp;Keys!$C$54&amp;$C804,Balanced_2025!$E$9:$E$3032,0)))</f>
        <v>803479000000000</v>
      </c>
      <c r="J804" s="10">
        <f t="shared" si="48"/>
        <v>108186995000000</v>
      </c>
      <c r="K804" s="10">
        <f>MAX(Keys!$C$51,$I804-$H804)</f>
        <v>0</v>
      </c>
      <c r="L804" s="10">
        <f t="shared" si="49"/>
        <v>108186995000000</v>
      </c>
      <c r="M804" s="11">
        <f>IF($L804&gt;Keys!$C$51,MIN(Keys!$C$52,$K804/$L804),Keys!$C$51)</f>
        <v>0</v>
      </c>
      <c r="N804" s="11">
        <f>IF($E804=Keys!$C$60,Keys!$C$51,IF($E804=Keys!$C$59,$D804,$M804))</f>
        <v>0</v>
      </c>
      <c r="O804">
        <f t="shared" si="50"/>
        <v>1</v>
      </c>
      <c r="P804" s="10">
        <f>IF($E804=Keys!$C$60,Keys!$C$51,INDEX(Raw_BFPIaE!$G$9:$G$3032,MATCH($A804&amp;Keys!$C$54&amp;Keys!$C$55&amp;Keys!$C$54&amp;$B804,Raw_BFPIaE!$H$9:$H$3032,0)))</f>
        <v>136560000000</v>
      </c>
      <c r="Q804" s="10">
        <f>IF($E804=Keys!$C$60,Keys!$C$51,INDEX(Raw_BFPIaE!$G$9:$G$3032,MATCH($A804&amp;Keys!$C$54&amp;Keys!$C$56&amp;Keys!$C$54&amp;$B804,Raw_BFPIaE!$H$9:$H$3032,0)))</f>
        <v>882480333333333.38</v>
      </c>
      <c r="R804" s="10">
        <f>IF($E804=Keys!$C$60,Keys!$C$51,INDEX(Raw_BFPIaE!$G$9:$G$3032,MATCH($A804&amp;Keys!$C$54&amp;Keys!$C$57&amp;Keys!$C$54&amp;$B804,Raw_BFPIaE!$H$9:$H$3032,0)))</f>
        <v>783765000000000</v>
      </c>
      <c r="S804" s="11">
        <f>IF(($P804+$Q804-$R804+MAX(Keys!$C$51,$R804-$Q804))&gt;Keys!$C$51,MIN(Keys!$C$52,MAX(Keys!$C$51,$R804-$Q804)/($P804+$Q804-$R804+MAX(Keys!$C$51,$R804-$Q804))),Keys!$C$51)</f>
        <v>0</v>
      </c>
      <c r="T804">
        <f>IF(AND($I804&gt;$H804,ABS($L804-$G804)&gt;MAX(Keys!$C$62,ABS($G804)*Keys!$C$63)),1,0)</f>
        <v>0</v>
      </c>
      <c r="U804">
        <f>IF(OR($N804&lt;Keys!$C$51,$N804&gt;Keys!$C$52),1,0)</f>
        <v>0</v>
      </c>
      <c r="V804">
        <f>IF(AND($E804=Keys!$C$60,$N804&lt;&gt;Keys!$C$51),1,0)</f>
        <v>0</v>
      </c>
      <c r="W804">
        <f>IF($L804&gt;Keys!$C$51,IF($K804/$L804&gt;Keys!$C$52,1,0),0)</f>
        <v>0</v>
      </c>
      <c r="X804" s="11">
        <f t="shared" si="51"/>
        <v>0</v>
      </c>
    </row>
    <row r="805" spans="1:24" x14ac:dyDescent="0.25">
      <c r="A805" t="s">
        <v>159</v>
      </c>
      <c r="B805" t="s">
        <v>71</v>
      </c>
      <c r="C805">
        <f>VLOOKUP($B805,Keys!$F$2:$I$22,2,FALSE)</f>
        <v>0</v>
      </c>
      <c r="D805">
        <f>VLOOKUP($B805,Keys!$F$2:$I$22,3,FALSE)</f>
        <v>0</v>
      </c>
      <c r="E805" t="str">
        <f>VLOOKUP($B805,Keys!$F$2:$I$22,4,FALSE)</f>
        <v>zero</v>
      </c>
      <c r="F805" t="str">
        <f>$A805&amp;Keys!$C$54&amp;$B805</f>
        <v>SD|nuclear</v>
      </c>
      <c r="G805" s="10">
        <f>IF($E805=Keys!$C$60,Keys!$C$51,INDEX(Balanced_2025!$D$9:$D$3032,MATCH($A805&amp;Keys!$C$54&amp;Keys!$C$55&amp;Keys!$C$54&amp;$C805,Balanced_2025!$E$9:$E$3032,0)))</f>
        <v>0</v>
      </c>
      <c r="H805" s="10">
        <f>IF($E805=Keys!$C$60,Keys!$C$51,INDEX(Balanced_2025!$D$9:$D$3032,MATCH($A805&amp;Keys!$C$54&amp;Keys!$C$56&amp;Keys!$C$54&amp;$C805,Balanced_2025!$E$9:$E$3032,0)))</f>
        <v>0</v>
      </c>
      <c r="I805" s="10">
        <f>IF($E805=Keys!$C$60,Keys!$C$51,INDEX(Balanced_2025!$D$9:$D$3032,MATCH($A805&amp;Keys!$C$54&amp;Keys!$C$57&amp;Keys!$C$54&amp;$C805,Balanced_2025!$E$9:$E$3032,0)))</f>
        <v>0</v>
      </c>
      <c r="J805" s="10">
        <f t="shared" si="48"/>
        <v>0</v>
      </c>
      <c r="K805" s="10">
        <f>MAX(Keys!$C$51,$I805-$H805)</f>
        <v>0</v>
      </c>
      <c r="L805" s="10">
        <f t="shared" si="49"/>
        <v>0</v>
      </c>
      <c r="M805" s="11">
        <f>IF($L805&gt;Keys!$C$51,MIN(Keys!$C$52,$K805/$L805),Keys!$C$51)</f>
        <v>0</v>
      </c>
      <c r="N805" s="11">
        <f>IF($E805=Keys!$C$60,Keys!$C$51,IF($E805=Keys!$C$59,$D805,$M805))</f>
        <v>0</v>
      </c>
      <c r="O805">
        <f t="shared" si="50"/>
        <v>0</v>
      </c>
      <c r="P805" s="10">
        <f>IF($E805=Keys!$C$60,Keys!$C$51,INDEX(Raw_BFPIaE!$G$9:$G$3032,MATCH($A805&amp;Keys!$C$54&amp;Keys!$C$55&amp;Keys!$C$54&amp;$B805,Raw_BFPIaE!$H$9:$H$3032,0)))</f>
        <v>0</v>
      </c>
      <c r="Q805" s="10">
        <f>IF($E805=Keys!$C$60,Keys!$C$51,INDEX(Raw_BFPIaE!$G$9:$G$3032,MATCH($A805&amp;Keys!$C$54&amp;Keys!$C$56&amp;Keys!$C$54&amp;$B805,Raw_BFPIaE!$H$9:$H$3032,0)))</f>
        <v>0</v>
      </c>
      <c r="R805" s="10">
        <f>IF($E805=Keys!$C$60,Keys!$C$51,INDEX(Raw_BFPIaE!$G$9:$G$3032,MATCH($A805&amp;Keys!$C$54&amp;Keys!$C$57&amp;Keys!$C$54&amp;$B805,Raw_BFPIaE!$H$9:$H$3032,0)))</f>
        <v>0</v>
      </c>
      <c r="S805" s="11">
        <f>IF(($P805+$Q805-$R805+MAX(Keys!$C$51,$R805-$Q805))&gt;Keys!$C$51,MIN(Keys!$C$52,MAX(Keys!$C$51,$R805-$Q805)/($P805+$Q805-$R805+MAX(Keys!$C$51,$R805-$Q805))),Keys!$C$51)</f>
        <v>0</v>
      </c>
      <c r="T805">
        <f>IF(AND($I805&gt;$H805,ABS($L805-$G805)&gt;MAX(Keys!$C$62,ABS($G805)*Keys!$C$63)),1,0)</f>
        <v>0</v>
      </c>
      <c r="U805">
        <f>IF(OR($N805&lt;Keys!$C$51,$N805&gt;Keys!$C$52),1,0)</f>
        <v>0</v>
      </c>
      <c r="V805">
        <f>IF(AND($E805=Keys!$C$60,$N805&lt;&gt;Keys!$C$51),1,0)</f>
        <v>0</v>
      </c>
      <c r="W805">
        <f>IF($L805&gt;Keys!$C$51,IF($K805/$L805&gt;Keys!$C$52,1,0),0)</f>
        <v>0</v>
      </c>
      <c r="X805" s="11">
        <f t="shared" si="51"/>
        <v>0</v>
      </c>
    </row>
    <row r="806" spans="1:24" x14ac:dyDescent="0.25">
      <c r="A806" t="s">
        <v>159</v>
      </c>
      <c r="B806" t="s">
        <v>74</v>
      </c>
      <c r="C806">
        <f>VLOOKUP($B806,Keys!$F$2:$I$22,2,FALSE)</f>
        <v>0</v>
      </c>
      <c r="D806">
        <f>VLOOKUP($B806,Keys!$F$2:$I$22,3,FALSE)</f>
        <v>0</v>
      </c>
      <c r="E806" t="str">
        <f>VLOOKUP($B806,Keys!$F$2:$I$22,4,FALSE)</f>
        <v>zero</v>
      </c>
      <c r="F806" t="str">
        <f>$A806&amp;Keys!$C$54&amp;$B806</f>
        <v>SD|hydro (is not a fuel)</v>
      </c>
      <c r="G806" s="10">
        <f>IF($E806=Keys!$C$60,Keys!$C$51,INDEX(Balanced_2025!$D$9:$D$3032,MATCH($A806&amp;Keys!$C$54&amp;Keys!$C$55&amp;Keys!$C$54&amp;$C806,Balanced_2025!$E$9:$E$3032,0)))</f>
        <v>0</v>
      </c>
      <c r="H806" s="10">
        <f>IF($E806=Keys!$C$60,Keys!$C$51,INDEX(Balanced_2025!$D$9:$D$3032,MATCH($A806&amp;Keys!$C$54&amp;Keys!$C$56&amp;Keys!$C$54&amp;$C806,Balanced_2025!$E$9:$E$3032,0)))</f>
        <v>0</v>
      </c>
      <c r="I806" s="10">
        <f>IF($E806=Keys!$C$60,Keys!$C$51,INDEX(Balanced_2025!$D$9:$D$3032,MATCH($A806&amp;Keys!$C$54&amp;Keys!$C$57&amp;Keys!$C$54&amp;$C806,Balanced_2025!$E$9:$E$3032,0)))</f>
        <v>0</v>
      </c>
      <c r="J806" s="10">
        <f t="shared" si="48"/>
        <v>0</v>
      </c>
      <c r="K806" s="10">
        <f>MAX(Keys!$C$51,$I806-$H806)</f>
        <v>0</v>
      </c>
      <c r="L806" s="10">
        <f t="shared" si="49"/>
        <v>0</v>
      </c>
      <c r="M806" s="11">
        <f>IF($L806&gt;Keys!$C$51,MIN(Keys!$C$52,$K806/$L806),Keys!$C$51)</f>
        <v>0</v>
      </c>
      <c r="N806" s="11">
        <f>IF($E806=Keys!$C$60,Keys!$C$51,IF($E806=Keys!$C$59,$D806,$M806))</f>
        <v>0</v>
      </c>
      <c r="O806">
        <f t="shared" si="50"/>
        <v>0</v>
      </c>
      <c r="P806" s="10">
        <f>IF($E806=Keys!$C$60,Keys!$C$51,INDEX(Raw_BFPIaE!$G$9:$G$3032,MATCH($A806&amp;Keys!$C$54&amp;Keys!$C$55&amp;Keys!$C$54&amp;$B806,Raw_BFPIaE!$H$9:$H$3032,0)))</f>
        <v>0</v>
      </c>
      <c r="Q806" s="10">
        <f>IF($E806=Keys!$C$60,Keys!$C$51,INDEX(Raw_BFPIaE!$G$9:$G$3032,MATCH($A806&amp;Keys!$C$54&amp;Keys!$C$56&amp;Keys!$C$54&amp;$B806,Raw_BFPIaE!$H$9:$H$3032,0)))</f>
        <v>0</v>
      </c>
      <c r="R806" s="10">
        <f>IF($E806=Keys!$C$60,Keys!$C$51,INDEX(Raw_BFPIaE!$G$9:$G$3032,MATCH($A806&amp;Keys!$C$54&amp;Keys!$C$57&amp;Keys!$C$54&amp;$B806,Raw_BFPIaE!$H$9:$H$3032,0)))</f>
        <v>0</v>
      </c>
      <c r="S806" s="11">
        <f>IF(($P806+$Q806-$R806+MAX(Keys!$C$51,$R806-$Q806))&gt;Keys!$C$51,MIN(Keys!$C$52,MAX(Keys!$C$51,$R806-$Q806)/($P806+$Q806-$R806+MAX(Keys!$C$51,$R806-$Q806))),Keys!$C$51)</f>
        <v>0</v>
      </c>
      <c r="T806">
        <f>IF(AND($I806&gt;$H806,ABS($L806-$G806)&gt;MAX(Keys!$C$62,ABS($G806)*Keys!$C$63)),1,0)</f>
        <v>0</v>
      </c>
      <c r="U806">
        <f>IF(OR($N806&lt;Keys!$C$51,$N806&gt;Keys!$C$52),1,0)</f>
        <v>0</v>
      </c>
      <c r="V806">
        <f>IF(AND($E806=Keys!$C$60,$N806&lt;&gt;Keys!$C$51),1,0)</f>
        <v>0</v>
      </c>
      <c r="W806">
        <f>IF($L806&gt;Keys!$C$51,IF($K806/$L806&gt;Keys!$C$52,1,0),0)</f>
        <v>0</v>
      </c>
      <c r="X806" s="11">
        <f t="shared" si="51"/>
        <v>0</v>
      </c>
    </row>
    <row r="807" spans="1:24" x14ac:dyDescent="0.25">
      <c r="A807" t="s">
        <v>159</v>
      </c>
      <c r="B807" t="s">
        <v>77</v>
      </c>
      <c r="C807">
        <f>VLOOKUP($B807,Keys!$F$2:$I$22,2,FALSE)</f>
        <v>0</v>
      </c>
      <c r="D807">
        <f>VLOOKUP($B807,Keys!$F$2:$I$22,3,FALSE)</f>
        <v>0</v>
      </c>
      <c r="E807" t="str">
        <f>VLOOKUP($B807,Keys!$F$2:$I$22,4,FALSE)</f>
        <v>zero</v>
      </c>
      <c r="F807" t="str">
        <f>$A807&amp;Keys!$C$54&amp;$B807</f>
        <v>SD|wind (is not a fuel)</v>
      </c>
      <c r="G807" s="10">
        <f>IF($E807=Keys!$C$60,Keys!$C$51,INDEX(Balanced_2025!$D$9:$D$3032,MATCH($A807&amp;Keys!$C$54&amp;Keys!$C$55&amp;Keys!$C$54&amp;$C807,Balanced_2025!$E$9:$E$3032,0)))</f>
        <v>0</v>
      </c>
      <c r="H807" s="10">
        <f>IF($E807=Keys!$C$60,Keys!$C$51,INDEX(Balanced_2025!$D$9:$D$3032,MATCH($A807&amp;Keys!$C$54&amp;Keys!$C$56&amp;Keys!$C$54&amp;$C807,Balanced_2025!$E$9:$E$3032,0)))</f>
        <v>0</v>
      </c>
      <c r="I807" s="10">
        <f>IF($E807=Keys!$C$60,Keys!$C$51,INDEX(Balanced_2025!$D$9:$D$3032,MATCH($A807&amp;Keys!$C$54&amp;Keys!$C$57&amp;Keys!$C$54&amp;$C807,Balanced_2025!$E$9:$E$3032,0)))</f>
        <v>0</v>
      </c>
      <c r="J807" s="10">
        <f t="shared" si="48"/>
        <v>0</v>
      </c>
      <c r="K807" s="10">
        <f>MAX(Keys!$C$51,$I807-$H807)</f>
        <v>0</v>
      </c>
      <c r="L807" s="10">
        <f t="shared" si="49"/>
        <v>0</v>
      </c>
      <c r="M807" s="11">
        <f>IF($L807&gt;Keys!$C$51,MIN(Keys!$C$52,$K807/$L807),Keys!$C$51)</f>
        <v>0</v>
      </c>
      <c r="N807" s="11">
        <f>IF($E807=Keys!$C$60,Keys!$C$51,IF($E807=Keys!$C$59,$D807,$M807))</f>
        <v>0</v>
      </c>
      <c r="O807">
        <f t="shared" si="50"/>
        <v>0</v>
      </c>
      <c r="P807" s="10">
        <f>IF($E807=Keys!$C$60,Keys!$C$51,INDEX(Raw_BFPIaE!$G$9:$G$3032,MATCH($A807&amp;Keys!$C$54&amp;Keys!$C$55&amp;Keys!$C$54&amp;$B807,Raw_BFPIaE!$H$9:$H$3032,0)))</f>
        <v>0</v>
      </c>
      <c r="Q807" s="10">
        <f>IF($E807=Keys!$C$60,Keys!$C$51,INDEX(Raw_BFPIaE!$G$9:$G$3032,MATCH($A807&amp;Keys!$C$54&amp;Keys!$C$56&amp;Keys!$C$54&amp;$B807,Raw_BFPIaE!$H$9:$H$3032,0)))</f>
        <v>0</v>
      </c>
      <c r="R807" s="10">
        <f>IF($E807=Keys!$C$60,Keys!$C$51,INDEX(Raw_BFPIaE!$G$9:$G$3032,MATCH($A807&amp;Keys!$C$54&amp;Keys!$C$57&amp;Keys!$C$54&amp;$B807,Raw_BFPIaE!$H$9:$H$3032,0)))</f>
        <v>0</v>
      </c>
      <c r="S807" s="11">
        <f>IF(($P807+$Q807-$R807+MAX(Keys!$C$51,$R807-$Q807))&gt;Keys!$C$51,MIN(Keys!$C$52,MAX(Keys!$C$51,$R807-$Q807)/($P807+$Q807-$R807+MAX(Keys!$C$51,$R807-$Q807))),Keys!$C$51)</f>
        <v>0</v>
      </c>
      <c r="T807">
        <f>IF(AND($I807&gt;$H807,ABS($L807-$G807)&gt;MAX(Keys!$C$62,ABS($G807)*Keys!$C$63)),1,0)</f>
        <v>0</v>
      </c>
      <c r="U807">
        <f>IF(OR($N807&lt;Keys!$C$51,$N807&gt;Keys!$C$52),1,0)</f>
        <v>0</v>
      </c>
      <c r="V807">
        <f>IF(AND($E807=Keys!$C$60,$N807&lt;&gt;Keys!$C$51),1,0)</f>
        <v>0</v>
      </c>
      <c r="W807">
        <f>IF($L807&gt;Keys!$C$51,IF($K807/$L807&gt;Keys!$C$52,1,0),0)</f>
        <v>0</v>
      </c>
      <c r="X807" s="11">
        <f t="shared" si="51"/>
        <v>0</v>
      </c>
    </row>
    <row r="808" spans="1:24" x14ac:dyDescent="0.25">
      <c r="A808" t="s">
        <v>159</v>
      </c>
      <c r="B808" t="s">
        <v>80</v>
      </c>
      <c r="C808">
        <f>VLOOKUP($B808,Keys!$F$2:$I$22,2,FALSE)</f>
        <v>0</v>
      </c>
      <c r="D808">
        <f>VLOOKUP($B808,Keys!$F$2:$I$22,3,FALSE)</f>
        <v>0</v>
      </c>
      <c r="E808" t="str">
        <f>VLOOKUP($B808,Keys!$F$2:$I$22,4,FALSE)</f>
        <v>zero</v>
      </c>
      <c r="F808" t="str">
        <f>$A808&amp;Keys!$C$54&amp;$B808</f>
        <v>SD|solar (is not a fuel)</v>
      </c>
      <c r="G808" s="10">
        <f>IF($E808=Keys!$C$60,Keys!$C$51,INDEX(Balanced_2025!$D$9:$D$3032,MATCH($A808&amp;Keys!$C$54&amp;Keys!$C$55&amp;Keys!$C$54&amp;$C808,Balanced_2025!$E$9:$E$3032,0)))</f>
        <v>0</v>
      </c>
      <c r="H808" s="10">
        <f>IF($E808=Keys!$C$60,Keys!$C$51,INDEX(Balanced_2025!$D$9:$D$3032,MATCH($A808&amp;Keys!$C$54&amp;Keys!$C$56&amp;Keys!$C$54&amp;$C808,Balanced_2025!$E$9:$E$3032,0)))</f>
        <v>0</v>
      </c>
      <c r="I808" s="10">
        <f>IF($E808=Keys!$C$60,Keys!$C$51,INDEX(Balanced_2025!$D$9:$D$3032,MATCH($A808&amp;Keys!$C$54&amp;Keys!$C$57&amp;Keys!$C$54&amp;$C808,Balanced_2025!$E$9:$E$3032,0)))</f>
        <v>0</v>
      </c>
      <c r="J808" s="10">
        <f t="shared" si="48"/>
        <v>0</v>
      </c>
      <c r="K808" s="10">
        <f>MAX(Keys!$C$51,$I808-$H808)</f>
        <v>0</v>
      </c>
      <c r="L808" s="10">
        <f t="shared" si="49"/>
        <v>0</v>
      </c>
      <c r="M808" s="11">
        <f>IF($L808&gt;Keys!$C$51,MIN(Keys!$C$52,$K808/$L808),Keys!$C$51)</f>
        <v>0</v>
      </c>
      <c r="N808" s="11">
        <f>IF($E808=Keys!$C$60,Keys!$C$51,IF($E808=Keys!$C$59,$D808,$M808))</f>
        <v>0</v>
      </c>
      <c r="O808">
        <f t="shared" si="50"/>
        <v>0</v>
      </c>
      <c r="P808" s="10">
        <f>IF($E808=Keys!$C$60,Keys!$C$51,INDEX(Raw_BFPIaE!$G$9:$G$3032,MATCH($A808&amp;Keys!$C$54&amp;Keys!$C$55&amp;Keys!$C$54&amp;$B808,Raw_BFPIaE!$H$9:$H$3032,0)))</f>
        <v>0</v>
      </c>
      <c r="Q808" s="10">
        <f>IF($E808=Keys!$C$60,Keys!$C$51,INDEX(Raw_BFPIaE!$G$9:$G$3032,MATCH($A808&amp;Keys!$C$54&amp;Keys!$C$56&amp;Keys!$C$54&amp;$B808,Raw_BFPIaE!$H$9:$H$3032,0)))</f>
        <v>0</v>
      </c>
      <c r="R808" s="10">
        <f>IF($E808=Keys!$C$60,Keys!$C$51,INDEX(Raw_BFPIaE!$G$9:$G$3032,MATCH($A808&amp;Keys!$C$54&amp;Keys!$C$57&amp;Keys!$C$54&amp;$B808,Raw_BFPIaE!$H$9:$H$3032,0)))</f>
        <v>0</v>
      </c>
      <c r="S808" s="11">
        <f>IF(($P808+$Q808-$R808+MAX(Keys!$C$51,$R808-$Q808))&gt;Keys!$C$51,MIN(Keys!$C$52,MAX(Keys!$C$51,$R808-$Q808)/($P808+$Q808-$R808+MAX(Keys!$C$51,$R808-$Q808))),Keys!$C$51)</f>
        <v>0</v>
      </c>
      <c r="T808">
        <f>IF(AND($I808&gt;$H808,ABS($L808-$G808)&gt;MAX(Keys!$C$62,ABS($G808)*Keys!$C$63)),1,0)</f>
        <v>0</v>
      </c>
      <c r="U808">
        <f>IF(OR($N808&lt;Keys!$C$51,$N808&gt;Keys!$C$52),1,0)</f>
        <v>0</v>
      </c>
      <c r="V808">
        <f>IF(AND($E808=Keys!$C$60,$N808&lt;&gt;Keys!$C$51),1,0)</f>
        <v>0</v>
      </c>
      <c r="W808">
        <f>IF($L808&gt;Keys!$C$51,IF($K808/$L808&gt;Keys!$C$52,1,0),0)</f>
        <v>0</v>
      </c>
      <c r="X808" s="11">
        <f t="shared" si="51"/>
        <v>0</v>
      </c>
    </row>
    <row r="809" spans="1:24" x14ac:dyDescent="0.25">
      <c r="A809" t="s">
        <v>159</v>
      </c>
      <c r="B809" t="s">
        <v>82</v>
      </c>
      <c r="C809" t="str">
        <f>VLOOKUP($B809,Keys!$F$2:$I$22,2,FALSE)</f>
        <v>biomass</v>
      </c>
      <c r="D809">
        <f>VLOOKUP($B809,Keys!$F$2:$I$22,3,FALSE)</f>
        <v>0.74947425499999998</v>
      </c>
      <c r="E809" t="str">
        <f>VLOOKUP($B809,Keys!$F$2:$I$22,4,FALSE)</f>
        <v>rule</v>
      </c>
      <c r="F809" t="str">
        <f>$A809&amp;Keys!$C$54&amp;$B809</f>
        <v>SD|biomass</v>
      </c>
      <c r="G809" s="10">
        <f>IF($E809=Keys!$C$60,Keys!$C$51,INDEX(Balanced_2025!$D$9:$D$3032,MATCH($A809&amp;Keys!$C$54&amp;Keys!$C$55&amp;Keys!$C$54&amp;$C809,Balanced_2025!$E$9:$E$3032,0)))</f>
        <v>1119360000000</v>
      </c>
      <c r="H809" s="10">
        <f>IF($E809=Keys!$C$60,Keys!$C$51,INDEX(Balanced_2025!$D$9:$D$3032,MATCH($A809&amp;Keys!$C$54&amp;Keys!$C$56&amp;Keys!$C$54&amp;$C809,Balanced_2025!$E$9:$E$3032,0)))</f>
        <v>2590200000000</v>
      </c>
      <c r="I809" s="10">
        <f>IF($E809=Keys!$C$60,Keys!$C$51,INDEX(Balanced_2025!$D$9:$D$3032,MATCH($A809&amp;Keys!$C$54&amp;Keys!$C$57&amp;Keys!$C$54&amp;$C809,Balanced_2025!$E$9:$E$3032,0)))</f>
        <v>0</v>
      </c>
      <c r="J809" s="10">
        <f t="shared" si="48"/>
        <v>3709560000000</v>
      </c>
      <c r="K809" s="10">
        <f>MAX(Keys!$C$51,$I809-$H809)</f>
        <v>0</v>
      </c>
      <c r="L809" s="10">
        <f t="shared" si="49"/>
        <v>3709560000000</v>
      </c>
      <c r="M809" s="11">
        <f>IF($L809&gt;Keys!$C$51,MIN(Keys!$C$52,$K809/$L809),Keys!$C$51)</f>
        <v>0</v>
      </c>
      <c r="N809" s="11">
        <f>IF($E809=Keys!$C$60,Keys!$C$51,IF($E809=Keys!$C$59,$D809,$M809))</f>
        <v>0</v>
      </c>
      <c r="O809">
        <f t="shared" si="50"/>
        <v>1</v>
      </c>
      <c r="P809" s="10">
        <f>IF($E809=Keys!$C$60,Keys!$C$51,INDEX(Raw_BFPIaE!$G$9:$G$3032,MATCH($A809&amp;Keys!$C$54&amp;Keys!$C$55&amp;Keys!$C$54&amp;$B809,Raw_BFPIaE!$H$9:$H$3032,0)))</f>
        <v>1119360000000</v>
      </c>
      <c r="Q809" s="10">
        <f>IF($E809=Keys!$C$60,Keys!$C$51,INDEX(Raw_BFPIaE!$G$9:$G$3032,MATCH($A809&amp;Keys!$C$54&amp;Keys!$C$56&amp;Keys!$C$54&amp;$B809,Raw_BFPIaE!$H$9:$H$3032,0)))</f>
        <v>1696466666666.6667</v>
      </c>
      <c r="R809" s="10">
        <f>IF($E809=Keys!$C$60,Keys!$C$51,INDEX(Raw_BFPIaE!$G$9:$G$3032,MATCH($A809&amp;Keys!$C$54&amp;Keys!$C$57&amp;Keys!$C$54&amp;$B809,Raw_BFPIaE!$H$9:$H$3032,0)))</f>
        <v>0</v>
      </c>
      <c r="S809" s="11">
        <f>IF(($P809+$Q809-$R809+MAX(Keys!$C$51,$R809-$Q809))&gt;Keys!$C$51,MIN(Keys!$C$52,MAX(Keys!$C$51,$R809-$Q809)/($P809+$Q809-$R809+MAX(Keys!$C$51,$R809-$Q809))),Keys!$C$51)</f>
        <v>0</v>
      </c>
      <c r="T809">
        <f>IF(AND($I809&gt;$H809,ABS($L809-$G809)&gt;MAX(Keys!$C$62,ABS($G809)*Keys!$C$63)),1,0)</f>
        <v>0</v>
      </c>
      <c r="U809">
        <f>IF(OR($N809&lt;Keys!$C$51,$N809&gt;Keys!$C$52),1,0)</f>
        <v>0</v>
      </c>
      <c r="V809">
        <f>IF(AND($E809=Keys!$C$60,$N809&lt;&gt;Keys!$C$51),1,0)</f>
        <v>0</v>
      </c>
      <c r="W809">
        <f>IF($L809&gt;Keys!$C$51,IF($K809/$L809&gt;Keys!$C$52,1,0),0)</f>
        <v>0</v>
      </c>
      <c r="X809" s="11">
        <f t="shared" si="51"/>
        <v>0</v>
      </c>
    </row>
    <row r="810" spans="1:24" x14ac:dyDescent="0.25">
      <c r="A810" t="s">
        <v>159</v>
      </c>
      <c r="B810" t="s">
        <v>85</v>
      </c>
      <c r="C810" t="str">
        <f>VLOOKUP($B810,Keys!$F$2:$I$22,2,FALSE)</f>
        <v>petroleum gasoline</v>
      </c>
      <c r="D810">
        <f>VLOOKUP($B810,Keys!$F$2:$I$22,3,FALSE)</f>
        <v>7.5004052000000002E-2</v>
      </c>
      <c r="E810" t="str">
        <f>VLOOKUP($B810,Keys!$F$2:$I$22,4,FALSE)</f>
        <v>rule</v>
      </c>
      <c r="F810" t="str">
        <f>$A810&amp;Keys!$C$54&amp;$B810</f>
        <v>SD|petroleum gasoline</v>
      </c>
      <c r="G810" s="10">
        <f>IF($E810=Keys!$C$60,Keys!$C$51,INDEX(Balanced_2025!$D$9:$D$3032,MATCH($A810&amp;Keys!$C$54&amp;Keys!$C$55&amp;Keys!$C$54&amp;$C810,Balanced_2025!$E$9:$E$3032,0)))</f>
        <v>0</v>
      </c>
      <c r="H810" s="10">
        <f>IF($E810=Keys!$C$60,Keys!$C$51,INDEX(Balanced_2025!$D$9:$D$3032,MATCH($A810&amp;Keys!$C$54&amp;Keys!$C$56&amp;Keys!$C$54&amp;$C810,Balanced_2025!$E$9:$E$3032,0)))</f>
        <v>51328700000000</v>
      </c>
      <c r="I810" s="10">
        <f>IF($E810=Keys!$C$60,Keys!$C$51,INDEX(Balanced_2025!$D$9:$D$3032,MATCH($A810&amp;Keys!$C$54&amp;Keys!$C$57&amp;Keys!$C$54&amp;$C810,Balanced_2025!$E$9:$E$3032,0)))</f>
        <v>0</v>
      </c>
      <c r="J810" s="10">
        <f t="shared" si="48"/>
        <v>51328700000000</v>
      </c>
      <c r="K810" s="10">
        <f>MAX(Keys!$C$51,$I810-$H810)</f>
        <v>0</v>
      </c>
      <c r="L810" s="10">
        <f t="shared" si="49"/>
        <v>51328700000000</v>
      </c>
      <c r="M810" s="11">
        <f>IF($L810&gt;Keys!$C$51,MIN(Keys!$C$52,$K810/$L810),Keys!$C$51)</f>
        <v>0</v>
      </c>
      <c r="N810" s="11">
        <f>IF($E810=Keys!$C$60,Keys!$C$51,IF($E810=Keys!$C$59,$D810,$M810))</f>
        <v>0</v>
      </c>
      <c r="O810">
        <f t="shared" si="50"/>
        <v>1</v>
      </c>
      <c r="P810" s="10">
        <f>IF($E810=Keys!$C$60,Keys!$C$51,INDEX(Raw_BFPIaE!$G$9:$G$3032,MATCH($A810&amp;Keys!$C$54&amp;Keys!$C$55&amp;Keys!$C$54&amp;$B810,Raw_BFPIaE!$H$9:$H$3032,0)))</f>
        <v>0</v>
      </c>
      <c r="Q810" s="10">
        <f>IF($E810=Keys!$C$60,Keys!$C$51,INDEX(Raw_BFPIaE!$G$9:$G$3032,MATCH($A810&amp;Keys!$C$54&amp;Keys!$C$56&amp;Keys!$C$54&amp;$B810,Raw_BFPIaE!$H$9:$H$3032,0)))</f>
        <v>32283300000000</v>
      </c>
      <c r="R810" s="10">
        <f>IF($E810=Keys!$C$60,Keys!$C$51,INDEX(Raw_BFPIaE!$G$9:$G$3032,MATCH($A810&amp;Keys!$C$54&amp;Keys!$C$57&amp;Keys!$C$54&amp;$B810,Raw_BFPIaE!$H$9:$H$3032,0)))</f>
        <v>0</v>
      </c>
      <c r="S810" s="11">
        <f>IF(($P810+$Q810-$R810+MAX(Keys!$C$51,$R810-$Q810))&gt;Keys!$C$51,MIN(Keys!$C$52,MAX(Keys!$C$51,$R810-$Q810)/($P810+$Q810-$R810+MAX(Keys!$C$51,$R810-$Q810))),Keys!$C$51)</f>
        <v>0</v>
      </c>
      <c r="T810">
        <f>IF(AND($I810&gt;$H810,ABS($L810-$G810)&gt;MAX(Keys!$C$62,ABS($G810)*Keys!$C$63)),1,0)</f>
        <v>0</v>
      </c>
      <c r="U810">
        <f>IF(OR($N810&lt;Keys!$C$51,$N810&gt;Keys!$C$52),1,0)</f>
        <v>0</v>
      </c>
      <c r="V810">
        <f>IF(AND($E810=Keys!$C$60,$N810&lt;&gt;Keys!$C$51),1,0)</f>
        <v>0</v>
      </c>
      <c r="W810">
        <f>IF($L810&gt;Keys!$C$51,IF($K810/$L810&gt;Keys!$C$52,1,0),0)</f>
        <v>0</v>
      </c>
      <c r="X810" s="11">
        <f t="shared" si="51"/>
        <v>0</v>
      </c>
    </row>
    <row r="811" spans="1:24" x14ac:dyDescent="0.25">
      <c r="A811" t="s">
        <v>159</v>
      </c>
      <c r="B811" t="s">
        <v>88</v>
      </c>
      <c r="C811" t="str">
        <f>VLOOKUP($B811,Keys!$F$2:$I$22,2,FALSE)</f>
        <v>petroleum diesel</v>
      </c>
      <c r="D811">
        <f>VLOOKUP($B811,Keys!$F$2:$I$22,3,FALSE)</f>
        <v>0.26691051799999999</v>
      </c>
      <c r="E811" t="str">
        <f>VLOOKUP($B811,Keys!$F$2:$I$22,4,FALSE)</f>
        <v>rule</v>
      </c>
      <c r="F811" t="str">
        <f>$A811&amp;Keys!$C$54&amp;$B811</f>
        <v>SD|petroleum diesel</v>
      </c>
      <c r="G811" s="10">
        <f>IF($E811=Keys!$C$60,Keys!$C$51,INDEX(Balanced_2025!$D$9:$D$3032,MATCH($A811&amp;Keys!$C$54&amp;Keys!$C$55&amp;Keys!$C$54&amp;$C811,Balanced_2025!$E$9:$E$3032,0)))</f>
        <v>0</v>
      </c>
      <c r="H811" s="10">
        <f>IF($E811=Keys!$C$60,Keys!$C$51,INDEX(Balanced_2025!$D$9:$D$3032,MATCH($A811&amp;Keys!$C$54&amp;Keys!$C$56&amp;Keys!$C$54&amp;$C811,Balanced_2025!$E$9:$E$3032,0)))</f>
        <v>45720300000000</v>
      </c>
      <c r="I811" s="10">
        <f>IF($E811=Keys!$C$60,Keys!$C$51,INDEX(Balanced_2025!$D$9:$D$3032,MATCH($A811&amp;Keys!$C$54&amp;Keys!$C$57&amp;Keys!$C$54&amp;$C811,Balanced_2025!$E$9:$E$3032,0)))</f>
        <v>0</v>
      </c>
      <c r="J811" s="10">
        <f t="shared" si="48"/>
        <v>45720300000000</v>
      </c>
      <c r="K811" s="10">
        <f>MAX(Keys!$C$51,$I811-$H811)</f>
        <v>0</v>
      </c>
      <c r="L811" s="10">
        <f t="shared" si="49"/>
        <v>45720300000000</v>
      </c>
      <c r="M811" s="11">
        <f>IF($L811&gt;Keys!$C$51,MIN(Keys!$C$52,$K811/$L811),Keys!$C$51)</f>
        <v>0</v>
      </c>
      <c r="N811" s="11">
        <f>IF($E811=Keys!$C$60,Keys!$C$51,IF($E811=Keys!$C$59,$D811,$M811))</f>
        <v>0</v>
      </c>
      <c r="O811">
        <f t="shared" si="50"/>
        <v>1</v>
      </c>
      <c r="P811" s="10">
        <f>IF($E811=Keys!$C$60,Keys!$C$51,INDEX(Raw_BFPIaE!$G$9:$G$3032,MATCH($A811&amp;Keys!$C$54&amp;Keys!$C$55&amp;Keys!$C$54&amp;$B811,Raw_BFPIaE!$H$9:$H$3032,0)))</f>
        <v>0</v>
      </c>
      <c r="Q811" s="10">
        <f>IF($E811=Keys!$C$60,Keys!$C$51,INDEX(Raw_BFPIaE!$G$9:$G$3032,MATCH($A811&amp;Keys!$C$54&amp;Keys!$C$56&amp;Keys!$C$54&amp;$B811,Raw_BFPIaE!$H$9:$H$3032,0)))</f>
        <v>29811333333333.332</v>
      </c>
      <c r="R811" s="10">
        <f>IF($E811=Keys!$C$60,Keys!$C$51,INDEX(Raw_BFPIaE!$G$9:$G$3032,MATCH($A811&amp;Keys!$C$54&amp;Keys!$C$57&amp;Keys!$C$54&amp;$B811,Raw_BFPIaE!$H$9:$H$3032,0)))</f>
        <v>0</v>
      </c>
      <c r="S811" s="11">
        <f>IF(($P811+$Q811-$R811+MAX(Keys!$C$51,$R811-$Q811))&gt;Keys!$C$51,MIN(Keys!$C$52,MAX(Keys!$C$51,$R811-$Q811)/($P811+$Q811-$R811+MAX(Keys!$C$51,$R811-$Q811))),Keys!$C$51)</f>
        <v>0</v>
      </c>
      <c r="T811">
        <f>IF(AND($I811&gt;$H811,ABS($L811-$G811)&gt;MAX(Keys!$C$62,ABS($G811)*Keys!$C$63)),1,0)</f>
        <v>0</v>
      </c>
      <c r="U811">
        <f>IF(OR($N811&lt;Keys!$C$51,$N811&gt;Keys!$C$52),1,0)</f>
        <v>0</v>
      </c>
      <c r="V811">
        <f>IF(AND($E811=Keys!$C$60,$N811&lt;&gt;Keys!$C$51),1,0)</f>
        <v>0</v>
      </c>
      <c r="W811">
        <f>IF($L811&gt;Keys!$C$51,IF($K811/$L811&gt;Keys!$C$52,1,0),0)</f>
        <v>0</v>
      </c>
      <c r="X811" s="11">
        <f t="shared" si="51"/>
        <v>0</v>
      </c>
    </row>
    <row r="812" spans="1:24" x14ac:dyDescent="0.25">
      <c r="A812" t="s">
        <v>159</v>
      </c>
      <c r="B812" t="s">
        <v>91</v>
      </c>
      <c r="C812" t="str">
        <f>VLOOKUP($B812,Keys!$F$2:$I$22,2,FALSE)</f>
        <v>biofuel gasoline</v>
      </c>
      <c r="D812">
        <f>VLOOKUP($B812,Keys!$F$2:$I$22,3,FALSE)</f>
        <v>8.7213884000000005E-2</v>
      </c>
      <c r="E812" t="str">
        <f>VLOOKUP($B812,Keys!$F$2:$I$22,4,FALSE)</f>
        <v>rule</v>
      </c>
      <c r="F812" t="str">
        <f>$A812&amp;Keys!$C$54&amp;$B812</f>
        <v>SD|biofuel gasoline</v>
      </c>
      <c r="G812" s="10">
        <f>IF($E812=Keys!$C$60,Keys!$C$51,INDEX(Balanced_2025!$D$9:$D$3032,MATCH($A812&amp;Keys!$C$54&amp;Keys!$C$55&amp;Keys!$C$54&amp;$C812,Balanced_2025!$E$9:$E$3032,0)))</f>
        <v>115828000000000</v>
      </c>
      <c r="H812" s="10">
        <f>IF($E812=Keys!$C$60,Keys!$C$51,INDEX(Balanced_2025!$D$9:$D$3032,MATCH($A812&amp;Keys!$C$54&amp;Keys!$C$56&amp;Keys!$C$54&amp;$C812,Balanced_2025!$E$9:$E$3032,0)))</f>
        <v>188677000000</v>
      </c>
      <c r="I812" s="10">
        <f>IF($E812=Keys!$C$60,Keys!$C$51,INDEX(Balanced_2025!$D$9:$D$3032,MATCH($A812&amp;Keys!$C$54&amp;Keys!$C$57&amp;Keys!$C$54&amp;$C812,Balanced_2025!$E$9:$E$3032,0)))</f>
        <v>112283000000000</v>
      </c>
      <c r="J812" s="10">
        <f t="shared" si="48"/>
        <v>3733677000000</v>
      </c>
      <c r="K812" s="10">
        <f>MAX(Keys!$C$51,$I812-$H812)</f>
        <v>112094323000000</v>
      </c>
      <c r="L812" s="10">
        <f t="shared" si="49"/>
        <v>115828000000000</v>
      </c>
      <c r="M812" s="11">
        <f>IF($L812&gt;Keys!$C$51,MIN(Keys!$C$52,$K812/$L812),Keys!$C$51)</f>
        <v>0.96776533308008428</v>
      </c>
      <c r="N812" s="11">
        <f>IF($E812=Keys!$C$60,Keys!$C$51,IF($E812=Keys!$C$59,$D812,$M812))</f>
        <v>0.96776533308008428</v>
      </c>
      <c r="O812">
        <f t="shared" si="50"/>
        <v>1</v>
      </c>
      <c r="P812" s="10">
        <f>IF($E812=Keys!$C$60,Keys!$C$51,INDEX(Raw_BFPIaE!$G$9:$G$3032,MATCH($A812&amp;Keys!$C$54&amp;Keys!$C$55&amp;Keys!$C$54&amp;$B812,Raw_BFPIaE!$H$9:$H$3032,0)))</f>
        <v>115936666666666.67</v>
      </c>
      <c r="Q812" s="10">
        <f>IF($E812=Keys!$C$60,Keys!$C$51,INDEX(Raw_BFPIaE!$G$9:$G$3032,MATCH($A812&amp;Keys!$C$54&amp;Keys!$C$56&amp;Keys!$C$54&amp;$B812,Raw_BFPIaE!$H$9:$H$3032,0)))</f>
        <v>0</v>
      </c>
      <c r="R812" s="10">
        <f>IF($E812=Keys!$C$60,Keys!$C$51,INDEX(Raw_BFPIaE!$G$9:$G$3032,MATCH($A812&amp;Keys!$C$54&amp;Keys!$C$57&amp;Keys!$C$54&amp;$B812,Raw_BFPIaE!$H$9:$H$3032,0)))</f>
        <v>84784133333333.328</v>
      </c>
      <c r="S812" s="11">
        <f>IF(($P812+$Q812-$R812+MAX(Keys!$C$51,$R812-$Q812))&gt;Keys!$C$51,MIN(Keys!$C$52,MAX(Keys!$C$51,$R812-$Q812)/($P812+$Q812-$R812+MAX(Keys!$C$51,$R812-$Q812))),Keys!$C$51)</f>
        <v>0.73129697248497738</v>
      </c>
      <c r="T812">
        <f>IF(AND($I812&gt;$H812,ABS($L812-$G812)&gt;MAX(Keys!$C$62,ABS($G812)*Keys!$C$63)),1,0)</f>
        <v>0</v>
      </c>
      <c r="U812">
        <f>IF(OR($N812&lt;Keys!$C$51,$N812&gt;Keys!$C$52),1,0)</f>
        <v>0</v>
      </c>
      <c r="V812">
        <f>IF(AND($E812=Keys!$C$60,$N812&lt;&gt;Keys!$C$51),1,0)</f>
        <v>0</v>
      </c>
      <c r="W812">
        <f>IF($L812&gt;Keys!$C$51,IF($K812/$L812&gt;Keys!$C$52,1,0),0)</f>
        <v>0</v>
      </c>
      <c r="X812" s="11">
        <f t="shared" si="51"/>
        <v>0.2364683605951069</v>
      </c>
    </row>
    <row r="813" spans="1:24" x14ac:dyDescent="0.25">
      <c r="A813" t="s">
        <v>159</v>
      </c>
      <c r="B813" t="s">
        <v>94</v>
      </c>
      <c r="C813" t="str">
        <f>VLOOKUP($B813,Keys!$F$2:$I$22,2,FALSE)</f>
        <v>biofuel diesel</v>
      </c>
      <c r="D813">
        <f>VLOOKUP($B813,Keys!$F$2:$I$22,3,FALSE)</f>
        <v>5.8642381E-2</v>
      </c>
      <c r="E813" t="str">
        <f>VLOOKUP($B813,Keys!$F$2:$I$22,4,FALSE)</f>
        <v>rule</v>
      </c>
      <c r="F813" t="str">
        <f>$A813&amp;Keys!$C$54&amp;$B813</f>
        <v>SD|biofuel diesel</v>
      </c>
      <c r="G813" s="10">
        <f>IF($E813=Keys!$C$60,Keys!$C$51,INDEX(Balanced_2025!$D$9:$D$3032,MATCH($A813&amp;Keys!$C$54&amp;Keys!$C$55&amp;Keys!$C$54&amp;$C813,Balanced_2025!$E$9:$E$3032,0)))</f>
        <v>0</v>
      </c>
      <c r="H813" s="10">
        <f>IF($E813=Keys!$C$60,Keys!$C$51,INDEX(Balanced_2025!$D$9:$D$3032,MATCH($A813&amp;Keys!$C$54&amp;Keys!$C$56&amp;Keys!$C$54&amp;$C813,Balanced_2025!$E$9:$E$3032,0)))</f>
        <v>926480000000</v>
      </c>
      <c r="I813" s="10">
        <f>IF($E813=Keys!$C$60,Keys!$C$51,INDEX(Balanced_2025!$D$9:$D$3032,MATCH($A813&amp;Keys!$C$54&amp;Keys!$C$57&amp;Keys!$C$54&amp;$C813,Balanced_2025!$E$9:$E$3032,0)))</f>
        <v>0</v>
      </c>
      <c r="J813" s="10">
        <f t="shared" si="48"/>
        <v>926480000000</v>
      </c>
      <c r="K813" s="10">
        <f>MAX(Keys!$C$51,$I813-$H813)</f>
        <v>0</v>
      </c>
      <c r="L813" s="10">
        <f t="shared" si="49"/>
        <v>926480000000</v>
      </c>
      <c r="M813" s="11">
        <f>IF($L813&gt;Keys!$C$51,MIN(Keys!$C$52,$K813/$L813),Keys!$C$51)</f>
        <v>0</v>
      </c>
      <c r="N813" s="11">
        <f>IF($E813=Keys!$C$60,Keys!$C$51,IF($E813=Keys!$C$59,$D813,$M813))</f>
        <v>0</v>
      </c>
      <c r="O813">
        <f t="shared" si="50"/>
        <v>1</v>
      </c>
      <c r="P813" s="10">
        <f>IF($E813=Keys!$C$60,Keys!$C$51,INDEX(Raw_BFPIaE!$G$9:$G$3032,MATCH($A813&amp;Keys!$C$54&amp;Keys!$C$55&amp;Keys!$C$54&amp;$B813,Raw_BFPIaE!$H$9:$H$3032,0)))</f>
        <v>0</v>
      </c>
      <c r="Q813" s="10">
        <f>IF($E813=Keys!$C$60,Keys!$C$51,INDEX(Raw_BFPIaE!$G$9:$G$3032,MATCH($A813&amp;Keys!$C$54&amp;Keys!$C$56&amp;Keys!$C$54&amp;$B813,Raw_BFPIaE!$H$9:$H$3032,0)))</f>
        <v>598454666666.66663</v>
      </c>
      <c r="R813" s="10">
        <f>IF($E813=Keys!$C$60,Keys!$C$51,INDEX(Raw_BFPIaE!$G$9:$G$3032,MATCH($A813&amp;Keys!$C$54&amp;Keys!$C$57&amp;Keys!$C$54&amp;$B813,Raw_BFPIaE!$H$9:$H$3032,0)))</f>
        <v>0</v>
      </c>
      <c r="S813" s="11">
        <f>IF(($P813+$Q813-$R813+MAX(Keys!$C$51,$R813-$Q813))&gt;Keys!$C$51,MIN(Keys!$C$52,MAX(Keys!$C$51,$R813-$Q813)/($P813+$Q813-$R813+MAX(Keys!$C$51,$R813-$Q813))),Keys!$C$51)</f>
        <v>0</v>
      </c>
      <c r="T813">
        <f>IF(AND($I813&gt;$H813,ABS($L813-$G813)&gt;MAX(Keys!$C$62,ABS($G813)*Keys!$C$63)),1,0)</f>
        <v>0</v>
      </c>
      <c r="U813">
        <f>IF(OR($N813&lt;Keys!$C$51,$N813&gt;Keys!$C$52),1,0)</f>
        <v>0</v>
      </c>
      <c r="V813">
        <f>IF(AND($E813=Keys!$C$60,$N813&lt;&gt;Keys!$C$51),1,0)</f>
        <v>0</v>
      </c>
      <c r="W813">
        <f>IF($L813&gt;Keys!$C$51,IF($K813/$L813&gt;Keys!$C$52,1,0),0)</f>
        <v>0</v>
      </c>
      <c r="X813" s="11">
        <f t="shared" si="51"/>
        <v>0</v>
      </c>
    </row>
    <row r="814" spans="1:24" x14ac:dyDescent="0.25">
      <c r="A814" t="s">
        <v>159</v>
      </c>
      <c r="B814" t="s">
        <v>97</v>
      </c>
      <c r="C814" t="str">
        <f>VLOOKUP($B814,Keys!$F$2:$I$22,2,FALSE)</f>
        <v>jet fuel or kerosene</v>
      </c>
      <c r="D814">
        <f>VLOOKUP($B814,Keys!$F$2:$I$22,3,FALSE)</f>
        <v>0.10155994</v>
      </c>
      <c r="E814" t="str">
        <f>VLOOKUP($B814,Keys!$F$2:$I$22,4,FALSE)</f>
        <v>rule</v>
      </c>
      <c r="F814" t="str">
        <f>$A814&amp;Keys!$C$54&amp;$B814</f>
        <v>SD|jet fuel or kerosene</v>
      </c>
      <c r="G814" s="10">
        <f>IF($E814=Keys!$C$60,Keys!$C$51,INDEX(Balanced_2025!$D$9:$D$3032,MATCH($A814&amp;Keys!$C$54&amp;Keys!$C$55&amp;Keys!$C$54&amp;$C814,Balanced_2025!$E$9:$E$3032,0)))</f>
        <v>0</v>
      </c>
      <c r="H814" s="10">
        <f>IF($E814=Keys!$C$60,Keys!$C$51,INDEX(Balanced_2025!$D$9:$D$3032,MATCH($A814&amp;Keys!$C$54&amp;Keys!$C$56&amp;Keys!$C$54&amp;$C814,Balanced_2025!$E$9:$E$3032,0)))</f>
        <v>3877800000000</v>
      </c>
      <c r="I814" s="10">
        <f>IF($E814=Keys!$C$60,Keys!$C$51,INDEX(Balanced_2025!$D$9:$D$3032,MATCH($A814&amp;Keys!$C$54&amp;Keys!$C$57&amp;Keys!$C$54&amp;$C814,Balanced_2025!$E$9:$E$3032,0)))</f>
        <v>0</v>
      </c>
      <c r="J814" s="10">
        <f t="shared" si="48"/>
        <v>3877800000000</v>
      </c>
      <c r="K814" s="10">
        <f>MAX(Keys!$C$51,$I814-$H814)</f>
        <v>0</v>
      </c>
      <c r="L814" s="10">
        <f t="shared" si="49"/>
        <v>3877800000000</v>
      </c>
      <c r="M814" s="11">
        <f>IF($L814&gt;Keys!$C$51,MIN(Keys!$C$52,$K814/$L814),Keys!$C$51)</f>
        <v>0</v>
      </c>
      <c r="N814" s="11">
        <f>IF($E814=Keys!$C$60,Keys!$C$51,IF($E814=Keys!$C$59,$D814,$M814))</f>
        <v>0</v>
      </c>
      <c r="O814">
        <f t="shared" si="50"/>
        <v>1</v>
      </c>
      <c r="P814" s="10">
        <f>IF($E814=Keys!$C$60,Keys!$C$51,INDEX(Raw_BFPIaE!$G$9:$G$3032,MATCH($A814&amp;Keys!$C$54&amp;Keys!$C$55&amp;Keys!$C$54&amp;$B814,Raw_BFPIaE!$H$9:$H$3032,0)))</f>
        <v>0</v>
      </c>
      <c r="Q814" s="10">
        <f>IF($E814=Keys!$C$60,Keys!$C$51,INDEX(Raw_BFPIaE!$G$9:$G$3032,MATCH($A814&amp;Keys!$C$54&amp;Keys!$C$56&amp;Keys!$C$54&amp;$B814,Raw_BFPIaE!$H$9:$H$3032,0)))</f>
        <v>2627590000000</v>
      </c>
      <c r="R814" s="10">
        <f>IF($E814=Keys!$C$60,Keys!$C$51,INDEX(Raw_BFPIaE!$G$9:$G$3032,MATCH($A814&amp;Keys!$C$54&amp;Keys!$C$57&amp;Keys!$C$54&amp;$B814,Raw_BFPIaE!$H$9:$H$3032,0)))</f>
        <v>0</v>
      </c>
      <c r="S814" s="11">
        <f>IF(($P814+$Q814-$R814+MAX(Keys!$C$51,$R814-$Q814))&gt;Keys!$C$51,MIN(Keys!$C$52,MAX(Keys!$C$51,$R814-$Q814)/($P814+$Q814-$R814+MAX(Keys!$C$51,$R814-$Q814))),Keys!$C$51)</f>
        <v>0</v>
      </c>
      <c r="T814">
        <f>IF(AND($I814&gt;$H814,ABS($L814-$G814)&gt;MAX(Keys!$C$62,ABS($G814)*Keys!$C$63)),1,0)</f>
        <v>0</v>
      </c>
      <c r="U814">
        <f>IF(OR($N814&lt;Keys!$C$51,$N814&gt;Keys!$C$52),1,0)</f>
        <v>0</v>
      </c>
      <c r="V814">
        <f>IF(AND($E814=Keys!$C$60,$N814&lt;&gt;Keys!$C$51),1,0)</f>
        <v>0</v>
      </c>
      <c r="W814">
        <f>IF($L814&gt;Keys!$C$51,IF($K814/$L814&gt;Keys!$C$52,1,0),0)</f>
        <v>0</v>
      </c>
      <c r="X814" s="11">
        <f t="shared" si="51"/>
        <v>0</v>
      </c>
    </row>
    <row r="815" spans="1:24" x14ac:dyDescent="0.25">
      <c r="A815" t="s">
        <v>159</v>
      </c>
      <c r="B815" t="s">
        <v>100</v>
      </c>
      <c r="C815">
        <f>VLOOKUP($B815,Keys!$F$2:$I$22,2,FALSE)</f>
        <v>0</v>
      </c>
      <c r="D815">
        <f>VLOOKUP($B815,Keys!$F$2:$I$22,3,FALSE)</f>
        <v>0</v>
      </c>
      <c r="E815" t="str">
        <f>VLOOKUP($B815,Keys!$F$2:$I$22,4,FALSE)</f>
        <v>zero</v>
      </c>
      <c r="F815" t="str">
        <f>$A815&amp;Keys!$C$54&amp;$B815</f>
        <v>SD|heat (not used in this variable)</v>
      </c>
      <c r="G815" s="10">
        <f>IF($E815=Keys!$C$60,Keys!$C$51,INDEX(Balanced_2025!$D$9:$D$3032,MATCH($A815&amp;Keys!$C$54&amp;Keys!$C$55&amp;Keys!$C$54&amp;$C815,Balanced_2025!$E$9:$E$3032,0)))</f>
        <v>0</v>
      </c>
      <c r="H815" s="10">
        <f>IF($E815=Keys!$C$60,Keys!$C$51,INDEX(Balanced_2025!$D$9:$D$3032,MATCH($A815&amp;Keys!$C$54&amp;Keys!$C$56&amp;Keys!$C$54&amp;$C815,Balanced_2025!$E$9:$E$3032,0)))</f>
        <v>0</v>
      </c>
      <c r="I815" s="10">
        <f>IF($E815=Keys!$C$60,Keys!$C$51,INDEX(Balanced_2025!$D$9:$D$3032,MATCH($A815&amp;Keys!$C$54&amp;Keys!$C$57&amp;Keys!$C$54&amp;$C815,Balanced_2025!$E$9:$E$3032,0)))</f>
        <v>0</v>
      </c>
      <c r="J815" s="10">
        <f t="shared" si="48"/>
        <v>0</v>
      </c>
      <c r="K815" s="10">
        <f>MAX(Keys!$C$51,$I815-$H815)</f>
        <v>0</v>
      </c>
      <c r="L815" s="10">
        <f t="shared" si="49"/>
        <v>0</v>
      </c>
      <c r="M815" s="11">
        <f>IF($L815&gt;Keys!$C$51,MIN(Keys!$C$52,$K815/$L815),Keys!$C$51)</f>
        <v>0</v>
      </c>
      <c r="N815" s="11">
        <f>IF($E815=Keys!$C$60,Keys!$C$51,IF($E815=Keys!$C$59,$D815,$M815))</f>
        <v>0</v>
      </c>
      <c r="O815">
        <f t="shared" si="50"/>
        <v>0</v>
      </c>
      <c r="P815" s="10">
        <f>IF($E815=Keys!$C$60,Keys!$C$51,INDEX(Raw_BFPIaE!$G$9:$G$3032,MATCH($A815&amp;Keys!$C$54&amp;Keys!$C$55&amp;Keys!$C$54&amp;$B815,Raw_BFPIaE!$H$9:$H$3032,0)))</f>
        <v>0</v>
      </c>
      <c r="Q815" s="10">
        <f>IF($E815=Keys!$C$60,Keys!$C$51,INDEX(Raw_BFPIaE!$G$9:$G$3032,MATCH($A815&amp;Keys!$C$54&amp;Keys!$C$56&amp;Keys!$C$54&amp;$B815,Raw_BFPIaE!$H$9:$H$3032,0)))</f>
        <v>0</v>
      </c>
      <c r="R815" s="10">
        <f>IF($E815=Keys!$C$60,Keys!$C$51,INDEX(Raw_BFPIaE!$G$9:$G$3032,MATCH($A815&amp;Keys!$C$54&amp;Keys!$C$57&amp;Keys!$C$54&amp;$B815,Raw_BFPIaE!$H$9:$H$3032,0)))</f>
        <v>0</v>
      </c>
      <c r="S815" s="11">
        <f>IF(($P815+$Q815-$R815+MAX(Keys!$C$51,$R815-$Q815))&gt;Keys!$C$51,MIN(Keys!$C$52,MAX(Keys!$C$51,$R815-$Q815)/($P815+$Q815-$R815+MAX(Keys!$C$51,$R815-$Q815))),Keys!$C$51)</f>
        <v>0</v>
      </c>
      <c r="T815">
        <f>IF(AND($I815&gt;$H815,ABS($L815-$G815)&gt;MAX(Keys!$C$62,ABS($G815)*Keys!$C$63)),1,0)</f>
        <v>0</v>
      </c>
      <c r="U815">
        <f>IF(OR($N815&lt;Keys!$C$51,$N815&gt;Keys!$C$52),1,0)</f>
        <v>0</v>
      </c>
      <c r="V815">
        <f>IF(AND($E815=Keys!$C$60,$N815&lt;&gt;Keys!$C$51),1,0)</f>
        <v>0</v>
      </c>
      <c r="W815">
        <f>IF($L815&gt;Keys!$C$51,IF($K815/$L815&gt;Keys!$C$52,1,0),0)</f>
        <v>0</v>
      </c>
      <c r="X815" s="11">
        <f t="shared" si="51"/>
        <v>0</v>
      </c>
    </row>
    <row r="816" spans="1:24" x14ac:dyDescent="0.25">
      <c r="A816" t="s">
        <v>159</v>
      </c>
      <c r="B816" t="s">
        <v>103</v>
      </c>
      <c r="C816">
        <f>VLOOKUP($B816,Keys!$F$2:$I$22,2,FALSE)</f>
        <v>0</v>
      </c>
      <c r="D816">
        <f>VLOOKUP($B816,Keys!$F$2:$I$22,3,FALSE)</f>
        <v>0</v>
      </c>
      <c r="E816" t="str">
        <f>VLOOKUP($B816,Keys!$F$2:$I$22,4,FALSE)</f>
        <v>zero</v>
      </c>
      <c r="F816" t="str">
        <f>$A816&amp;Keys!$C$54&amp;$B816</f>
        <v>SD|geothermal (is not a fuel)</v>
      </c>
      <c r="G816" s="10">
        <f>IF($E816=Keys!$C$60,Keys!$C$51,INDEX(Balanced_2025!$D$9:$D$3032,MATCH($A816&amp;Keys!$C$54&amp;Keys!$C$55&amp;Keys!$C$54&amp;$C816,Balanced_2025!$E$9:$E$3032,0)))</f>
        <v>0</v>
      </c>
      <c r="H816" s="10">
        <f>IF($E816=Keys!$C$60,Keys!$C$51,INDEX(Balanced_2025!$D$9:$D$3032,MATCH($A816&amp;Keys!$C$54&amp;Keys!$C$56&amp;Keys!$C$54&amp;$C816,Balanced_2025!$E$9:$E$3032,0)))</f>
        <v>0</v>
      </c>
      <c r="I816" s="10">
        <f>IF($E816=Keys!$C$60,Keys!$C$51,INDEX(Balanced_2025!$D$9:$D$3032,MATCH($A816&amp;Keys!$C$54&amp;Keys!$C$57&amp;Keys!$C$54&amp;$C816,Balanced_2025!$E$9:$E$3032,0)))</f>
        <v>0</v>
      </c>
      <c r="J816" s="10">
        <f t="shared" si="48"/>
        <v>0</v>
      </c>
      <c r="K816" s="10">
        <f>MAX(Keys!$C$51,$I816-$H816)</f>
        <v>0</v>
      </c>
      <c r="L816" s="10">
        <f t="shared" si="49"/>
        <v>0</v>
      </c>
      <c r="M816" s="11">
        <f>IF($L816&gt;Keys!$C$51,MIN(Keys!$C$52,$K816/$L816),Keys!$C$51)</f>
        <v>0</v>
      </c>
      <c r="N816" s="11">
        <f>IF($E816=Keys!$C$60,Keys!$C$51,IF($E816=Keys!$C$59,$D816,$M816))</f>
        <v>0</v>
      </c>
      <c r="O816">
        <f t="shared" si="50"/>
        <v>0</v>
      </c>
      <c r="P816" s="10">
        <f>IF($E816=Keys!$C$60,Keys!$C$51,INDEX(Raw_BFPIaE!$G$9:$G$3032,MATCH($A816&amp;Keys!$C$54&amp;Keys!$C$55&amp;Keys!$C$54&amp;$B816,Raw_BFPIaE!$H$9:$H$3032,0)))</f>
        <v>0</v>
      </c>
      <c r="Q816" s="10">
        <f>IF($E816=Keys!$C$60,Keys!$C$51,INDEX(Raw_BFPIaE!$G$9:$G$3032,MATCH($A816&amp;Keys!$C$54&amp;Keys!$C$56&amp;Keys!$C$54&amp;$B816,Raw_BFPIaE!$H$9:$H$3032,0)))</f>
        <v>0</v>
      </c>
      <c r="R816" s="10">
        <f>IF($E816=Keys!$C$60,Keys!$C$51,INDEX(Raw_BFPIaE!$G$9:$G$3032,MATCH($A816&amp;Keys!$C$54&amp;Keys!$C$57&amp;Keys!$C$54&amp;$B816,Raw_BFPIaE!$H$9:$H$3032,0)))</f>
        <v>0</v>
      </c>
      <c r="S816" s="11">
        <f>IF(($P816+$Q816-$R816+MAX(Keys!$C$51,$R816-$Q816))&gt;Keys!$C$51,MIN(Keys!$C$52,MAX(Keys!$C$51,$R816-$Q816)/($P816+$Q816-$R816+MAX(Keys!$C$51,$R816-$Q816))),Keys!$C$51)</f>
        <v>0</v>
      </c>
      <c r="T816">
        <f>IF(AND($I816&gt;$H816,ABS($L816-$G816)&gt;MAX(Keys!$C$62,ABS($G816)*Keys!$C$63)),1,0)</f>
        <v>0</v>
      </c>
      <c r="U816">
        <f>IF(OR($N816&lt;Keys!$C$51,$N816&gt;Keys!$C$52),1,0)</f>
        <v>0</v>
      </c>
      <c r="V816">
        <f>IF(AND($E816=Keys!$C$60,$N816&lt;&gt;Keys!$C$51),1,0)</f>
        <v>0</v>
      </c>
      <c r="W816">
        <f>IF($L816&gt;Keys!$C$51,IF($K816/$L816&gt;Keys!$C$52,1,0),0)</f>
        <v>0</v>
      </c>
      <c r="X816" s="11">
        <f t="shared" si="51"/>
        <v>0</v>
      </c>
    </row>
    <row r="817" spans="1:24" x14ac:dyDescent="0.25">
      <c r="A817" t="s">
        <v>159</v>
      </c>
      <c r="B817" t="s">
        <v>106</v>
      </c>
      <c r="C817" t="str">
        <f>VLOOKUP($B817,Keys!$F$2:$I$22,2,FALSE)</f>
        <v>lignite</v>
      </c>
      <c r="D817">
        <f>VLOOKUP($B817,Keys!$F$2:$I$22,3,FALSE)</f>
        <v>0</v>
      </c>
      <c r="E817" t="str">
        <f>VLOOKUP($B817,Keys!$F$2:$I$22,4,FALSE)</f>
        <v>rule</v>
      </c>
      <c r="F817" t="str">
        <f>$A817&amp;Keys!$C$54&amp;$B817</f>
        <v>SD|lignite</v>
      </c>
      <c r="G817" s="10">
        <f>IF($E817=Keys!$C$60,Keys!$C$51,INDEX(Balanced_2025!$D$9:$D$3032,MATCH($A817&amp;Keys!$C$54&amp;Keys!$C$55&amp;Keys!$C$54&amp;$C817,Balanced_2025!$E$9:$E$3032,0)))</f>
        <v>0</v>
      </c>
      <c r="H817" s="10">
        <f>IF($E817=Keys!$C$60,Keys!$C$51,INDEX(Balanced_2025!$D$9:$D$3032,MATCH($A817&amp;Keys!$C$54&amp;Keys!$C$56&amp;Keys!$C$54&amp;$C817,Balanced_2025!$E$9:$E$3032,0)))</f>
        <v>0</v>
      </c>
      <c r="I817" s="10">
        <f>IF($E817=Keys!$C$60,Keys!$C$51,INDEX(Balanced_2025!$D$9:$D$3032,MATCH($A817&amp;Keys!$C$54&amp;Keys!$C$57&amp;Keys!$C$54&amp;$C817,Balanced_2025!$E$9:$E$3032,0)))</f>
        <v>0</v>
      </c>
      <c r="J817" s="10">
        <f t="shared" si="48"/>
        <v>0</v>
      </c>
      <c r="K817" s="10">
        <f>MAX(Keys!$C$51,$I817-$H817)</f>
        <v>0</v>
      </c>
      <c r="L817" s="10">
        <f t="shared" si="49"/>
        <v>0</v>
      </c>
      <c r="M817" s="11">
        <f>IF($L817&gt;Keys!$C$51,MIN(Keys!$C$52,$K817/$L817),Keys!$C$51)</f>
        <v>0</v>
      </c>
      <c r="N817" s="11">
        <f>IF($E817=Keys!$C$60,Keys!$C$51,IF($E817=Keys!$C$59,$D817,$M817))</f>
        <v>0</v>
      </c>
      <c r="O817">
        <f t="shared" si="50"/>
        <v>0</v>
      </c>
      <c r="P817" s="10">
        <f>IF($E817=Keys!$C$60,Keys!$C$51,INDEX(Raw_BFPIaE!$G$9:$G$3032,MATCH($A817&amp;Keys!$C$54&amp;Keys!$C$55&amp;Keys!$C$54&amp;$B817,Raw_BFPIaE!$H$9:$H$3032,0)))</f>
        <v>0</v>
      </c>
      <c r="Q817" s="10">
        <f>IF($E817=Keys!$C$60,Keys!$C$51,INDEX(Raw_BFPIaE!$G$9:$G$3032,MATCH($A817&amp;Keys!$C$54&amp;Keys!$C$56&amp;Keys!$C$54&amp;$B817,Raw_BFPIaE!$H$9:$H$3032,0)))</f>
        <v>0</v>
      </c>
      <c r="R817" s="10">
        <f>IF($E817=Keys!$C$60,Keys!$C$51,INDEX(Raw_BFPIaE!$G$9:$G$3032,MATCH($A817&amp;Keys!$C$54&amp;Keys!$C$57&amp;Keys!$C$54&amp;$B817,Raw_BFPIaE!$H$9:$H$3032,0)))</f>
        <v>0</v>
      </c>
      <c r="S817" s="11">
        <f>IF(($P817+$Q817-$R817+MAX(Keys!$C$51,$R817-$Q817))&gt;Keys!$C$51,MIN(Keys!$C$52,MAX(Keys!$C$51,$R817-$Q817)/($P817+$Q817-$R817+MAX(Keys!$C$51,$R817-$Q817))),Keys!$C$51)</f>
        <v>0</v>
      </c>
      <c r="T817">
        <f>IF(AND($I817&gt;$H817,ABS($L817-$G817)&gt;MAX(Keys!$C$62,ABS($G817)*Keys!$C$63)),1,0)</f>
        <v>0</v>
      </c>
      <c r="U817">
        <f>IF(OR($N817&lt;Keys!$C$51,$N817&gt;Keys!$C$52),1,0)</f>
        <v>0</v>
      </c>
      <c r="V817">
        <f>IF(AND($E817=Keys!$C$60,$N817&lt;&gt;Keys!$C$51),1,0)</f>
        <v>0</v>
      </c>
      <c r="W817">
        <f>IF($L817&gt;Keys!$C$51,IF($K817/$L817&gt;Keys!$C$52,1,0),0)</f>
        <v>0</v>
      </c>
      <c r="X817" s="11">
        <f t="shared" si="51"/>
        <v>0</v>
      </c>
    </row>
    <row r="818" spans="1:24" x14ac:dyDescent="0.25">
      <c r="A818" t="s">
        <v>159</v>
      </c>
      <c r="B818" t="s">
        <v>109</v>
      </c>
      <c r="C818" t="str">
        <f>VLOOKUP($B818,Keys!$F$2:$I$22,2,FALSE)</f>
        <v>crude oil</v>
      </c>
      <c r="D818">
        <f>VLOOKUP($B818,Keys!$F$2:$I$22,3,FALSE)</f>
        <v>1</v>
      </c>
      <c r="E818" t="str">
        <f>VLOOKUP($B818,Keys!$F$2:$I$22,4,FALSE)</f>
        <v>hold</v>
      </c>
      <c r="F818" t="str">
        <f>$A818&amp;Keys!$C$54&amp;$B818</f>
        <v>SD|crude oil</v>
      </c>
      <c r="G818" s="10">
        <f>IF($E818=Keys!$C$60,Keys!$C$51,INDEX(Balanced_2025!$D$9:$D$3032,MATCH($A818&amp;Keys!$C$54&amp;Keys!$C$55&amp;Keys!$C$54&amp;$C818,Balanced_2025!$E$9:$E$3032,0)))</f>
        <v>5034400000000</v>
      </c>
      <c r="H818" s="10">
        <f>IF($E818=Keys!$C$60,Keys!$C$51,INDEX(Balanced_2025!$D$9:$D$3032,MATCH($A818&amp;Keys!$C$54&amp;Keys!$C$56&amp;Keys!$C$54&amp;$C818,Balanced_2025!$E$9:$E$3032,0)))</f>
        <v>0</v>
      </c>
      <c r="I818" s="10">
        <f>IF($E818=Keys!$C$60,Keys!$C$51,INDEX(Balanced_2025!$D$9:$D$3032,MATCH($A818&amp;Keys!$C$54&amp;Keys!$C$57&amp;Keys!$C$54&amp;$C818,Balanced_2025!$E$9:$E$3032,0)))</f>
        <v>4772260000000</v>
      </c>
      <c r="J818" s="10">
        <f t="shared" si="48"/>
        <v>262140000000</v>
      </c>
      <c r="K818" s="10">
        <f>MAX(Keys!$C$51,$I818-$H818)</f>
        <v>4772260000000</v>
      </c>
      <c r="L818" s="10">
        <f t="shared" si="49"/>
        <v>5034400000000</v>
      </c>
      <c r="M818" s="11">
        <f>IF($L818&gt;Keys!$C$51,MIN(Keys!$C$52,$K818/$L818),Keys!$C$51)</f>
        <v>0.94793023994914982</v>
      </c>
      <c r="N818" s="11">
        <f>IF($E818=Keys!$C$60,Keys!$C$51,IF($E818=Keys!$C$59,$D818,$M818))</f>
        <v>1</v>
      </c>
      <c r="O818">
        <f t="shared" si="50"/>
        <v>0</v>
      </c>
      <c r="P818" s="10">
        <f>IF($E818=Keys!$C$60,Keys!$C$51,INDEX(Raw_BFPIaE!$G$9:$G$3032,MATCH($A818&amp;Keys!$C$54&amp;Keys!$C$55&amp;Keys!$C$54&amp;$B818,Raw_BFPIaE!$H$9:$H$3032,0)))</f>
        <v>4977730000000</v>
      </c>
      <c r="Q818" s="10">
        <f>IF($E818=Keys!$C$60,Keys!$C$51,INDEX(Raw_BFPIaE!$G$9:$G$3032,MATCH($A818&amp;Keys!$C$54&amp;Keys!$C$56&amp;Keys!$C$54&amp;$B818,Raw_BFPIaE!$H$9:$H$3032,0)))</f>
        <v>0</v>
      </c>
      <c r="R818" s="10">
        <f>IF($E818=Keys!$C$60,Keys!$C$51,INDEX(Raw_BFPIaE!$G$9:$G$3032,MATCH($A818&amp;Keys!$C$54&amp;Keys!$C$57&amp;Keys!$C$54&amp;$B818,Raw_BFPIaE!$H$9:$H$3032,0)))</f>
        <v>3153883333333.3335</v>
      </c>
      <c r="S818" s="11">
        <f>IF(($P818+$Q818-$R818+MAX(Keys!$C$51,$R818-$Q818))&gt;Keys!$C$51,MIN(Keys!$C$52,MAX(Keys!$C$51,$R818-$Q818)/($P818+$Q818-$R818+MAX(Keys!$C$51,$R818-$Q818))),Keys!$C$51)</f>
        <v>0.63359871534481249</v>
      </c>
      <c r="T818">
        <f>IF(AND($I818&gt;$H818,ABS($L818-$G818)&gt;MAX(Keys!$C$62,ABS($G818)*Keys!$C$63)),1,0)</f>
        <v>0</v>
      </c>
      <c r="U818">
        <f>IF(OR($N818&lt;Keys!$C$51,$N818&gt;Keys!$C$52),1,0)</f>
        <v>0</v>
      </c>
      <c r="V818">
        <f>IF(AND($E818=Keys!$C$60,$N818&lt;&gt;Keys!$C$51),1,0)</f>
        <v>0</v>
      </c>
      <c r="W818">
        <f>IF($L818&gt;Keys!$C$51,IF($K818/$L818&gt;Keys!$C$52,1,0),0)</f>
        <v>0</v>
      </c>
      <c r="X818" s="11">
        <f t="shared" si="51"/>
        <v>0.31433152460433733</v>
      </c>
    </row>
    <row r="819" spans="1:24" x14ac:dyDescent="0.25">
      <c r="A819" t="s">
        <v>159</v>
      </c>
      <c r="B819" t="s">
        <v>113</v>
      </c>
      <c r="C819" t="str">
        <f>VLOOKUP($B819,Keys!$F$2:$I$22,2,FALSE)</f>
        <v>heavy or residual fuel oil</v>
      </c>
      <c r="D819">
        <f>VLOOKUP($B819,Keys!$F$2:$I$22,3,FALSE)</f>
        <v>0.49914171099999999</v>
      </c>
      <c r="E819" t="str">
        <f>VLOOKUP($B819,Keys!$F$2:$I$22,4,FALSE)</f>
        <v>rule</v>
      </c>
      <c r="F819" t="str">
        <f>$A819&amp;Keys!$C$54&amp;$B819</f>
        <v>SD|heavy fuel oil</v>
      </c>
      <c r="G819" s="10">
        <f>IF($E819=Keys!$C$60,Keys!$C$51,INDEX(Balanced_2025!$D$9:$D$3032,MATCH($A819&amp;Keys!$C$54&amp;Keys!$C$55&amp;Keys!$C$54&amp;$C819,Balanced_2025!$E$9:$E$3032,0)))</f>
        <v>0</v>
      </c>
      <c r="H819" s="10">
        <f>IF($E819=Keys!$C$60,Keys!$C$51,INDEX(Balanced_2025!$D$9:$D$3032,MATCH($A819&amp;Keys!$C$54&amp;Keys!$C$56&amp;Keys!$C$54&amp;$C819,Balanced_2025!$E$9:$E$3032,0)))</f>
        <v>3925650000000</v>
      </c>
      <c r="I819" s="10">
        <f>IF($E819=Keys!$C$60,Keys!$C$51,INDEX(Balanced_2025!$D$9:$D$3032,MATCH($A819&amp;Keys!$C$54&amp;Keys!$C$57&amp;Keys!$C$54&amp;$C819,Balanced_2025!$E$9:$E$3032,0)))</f>
        <v>0</v>
      </c>
      <c r="J819" s="10">
        <f t="shared" si="48"/>
        <v>3925650000000</v>
      </c>
      <c r="K819" s="10">
        <f>MAX(Keys!$C$51,$I819-$H819)</f>
        <v>0</v>
      </c>
      <c r="L819" s="10">
        <f t="shared" si="49"/>
        <v>3925650000000</v>
      </c>
      <c r="M819" s="11">
        <f>IF($L819&gt;Keys!$C$51,MIN(Keys!$C$52,$K819/$L819),Keys!$C$51)</f>
        <v>0</v>
      </c>
      <c r="N819" s="11">
        <f>IF($E819=Keys!$C$60,Keys!$C$51,IF($E819=Keys!$C$59,$D819,$M819))</f>
        <v>0</v>
      </c>
      <c r="O819">
        <f t="shared" si="50"/>
        <v>1</v>
      </c>
      <c r="P819" s="10">
        <f>IF($E819=Keys!$C$60,Keys!$C$51,INDEX(Raw_BFPIaE!$G$9:$G$3032,MATCH($A819&amp;Keys!$C$54&amp;Keys!$C$55&amp;Keys!$C$54&amp;$B819,Raw_BFPIaE!$H$9:$H$3032,0)))</f>
        <v>0</v>
      </c>
      <c r="Q819" s="10">
        <f>IF($E819=Keys!$C$60,Keys!$C$51,INDEX(Raw_BFPIaE!$G$9:$G$3032,MATCH($A819&amp;Keys!$C$54&amp;Keys!$C$56&amp;Keys!$C$54&amp;$B819,Raw_BFPIaE!$H$9:$H$3032,0)))</f>
        <v>2645296666666.6665</v>
      </c>
      <c r="R819" s="10">
        <f>IF($E819=Keys!$C$60,Keys!$C$51,INDEX(Raw_BFPIaE!$G$9:$G$3032,MATCH($A819&amp;Keys!$C$54&amp;Keys!$C$57&amp;Keys!$C$54&amp;$B819,Raw_BFPIaE!$H$9:$H$3032,0)))</f>
        <v>0</v>
      </c>
      <c r="S819" s="11">
        <f>IF(($P819+$Q819-$R819+MAX(Keys!$C$51,$R819-$Q819))&gt;Keys!$C$51,MIN(Keys!$C$52,MAX(Keys!$C$51,$R819-$Q819)/($P819+$Q819-$R819+MAX(Keys!$C$51,$R819-$Q819))),Keys!$C$51)</f>
        <v>0</v>
      </c>
      <c r="T819">
        <f>IF(AND($I819&gt;$H819,ABS($L819-$G819)&gt;MAX(Keys!$C$62,ABS($G819)*Keys!$C$63)),1,0)</f>
        <v>0</v>
      </c>
      <c r="U819">
        <f>IF(OR($N819&lt;Keys!$C$51,$N819&gt;Keys!$C$52),1,0)</f>
        <v>0</v>
      </c>
      <c r="V819">
        <f>IF(AND($E819=Keys!$C$60,$N819&lt;&gt;Keys!$C$51),1,0)</f>
        <v>0</v>
      </c>
      <c r="W819">
        <f>IF($L819&gt;Keys!$C$51,IF($K819/$L819&gt;Keys!$C$52,1,0),0)</f>
        <v>0</v>
      </c>
      <c r="X819" s="11">
        <f t="shared" si="51"/>
        <v>0</v>
      </c>
    </row>
    <row r="820" spans="1:24" x14ac:dyDescent="0.25">
      <c r="A820" t="s">
        <v>159</v>
      </c>
      <c r="B820" t="s">
        <v>117</v>
      </c>
      <c r="C820" t="str">
        <f>VLOOKUP($B820,Keys!$F$2:$I$22,2,FALSE)</f>
        <v>LPG propane or butane</v>
      </c>
      <c r="D820">
        <f>VLOOKUP($B820,Keys!$F$2:$I$22,3,FALSE)</f>
        <v>0.54955999499999997</v>
      </c>
      <c r="E820" t="str">
        <f>VLOOKUP($B820,Keys!$F$2:$I$22,4,FALSE)</f>
        <v>rule</v>
      </c>
      <c r="F820" t="str">
        <f>$A820&amp;Keys!$C$54&amp;$B820</f>
        <v>SD|LPG propane or butane</v>
      </c>
      <c r="G820" s="10">
        <f>IF($E820=Keys!$C$60,Keys!$C$51,INDEX(Balanced_2025!$D$9:$D$3032,MATCH($A820&amp;Keys!$C$54&amp;Keys!$C$55&amp;Keys!$C$54&amp;$C820,Balanced_2025!$E$9:$E$3032,0)))</f>
        <v>17114300000</v>
      </c>
      <c r="H820" s="10">
        <f>IF($E820=Keys!$C$60,Keys!$C$51,INDEX(Balanced_2025!$D$9:$D$3032,MATCH($A820&amp;Keys!$C$54&amp;Keys!$C$56&amp;Keys!$C$54&amp;$C820,Balanced_2025!$E$9:$E$3032,0)))</f>
        <v>5503680000000</v>
      </c>
      <c r="I820" s="10">
        <f>IF($E820=Keys!$C$60,Keys!$C$51,INDEX(Balanced_2025!$D$9:$D$3032,MATCH($A820&amp;Keys!$C$54&amp;Keys!$C$57&amp;Keys!$C$54&amp;$C820,Balanced_2025!$E$9:$E$3032,0)))</f>
        <v>0</v>
      </c>
      <c r="J820" s="10">
        <f t="shared" si="48"/>
        <v>5520794300000</v>
      </c>
      <c r="K820" s="10">
        <f>MAX(Keys!$C$51,$I820-$H820)</f>
        <v>0</v>
      </c>
      <c r="L820" s="10">
        <f t="shared" si="49"/>
        <v>5520794300000</v>
      </c>
      <c r="M820" s="11">
        <f>IF($L820&gt;Keys!$C$51,MIN(Keys!$C$52,$K820/$L820),Keys!$C$51)</f>
        <v>0</v>
      </c>
      <c r="N820" s="11">
        <f>IF($E820=Keys!$C$60,Keys!$C$51,IF($E820=Keys!$C$59,$D820,$M820))</f>
        <v>0</v>
      </c>
      <c r="O820">
        <f t="shared" si="50"/>
        <v>1</v>
      </c>
      <c r="P820" s="10">
        <f>IF($E820=Keys!$C$60,Keys!$C$51,INDEX(Raw_BFPIaE!$G$9:$G$3032,MATCH($A820&amp;Keys!$C$54&amp;Keys!$C$55&amp;Keys!$C$54&amp;$B820,Raw_BFPIaE!$H$9:$H$3032,0)))</f>
        <v>17235433333.333332</v>
      </c>
      <c r="Q820" s="10">
        <f>IF($E820=Keys!$C$60,Keys!$C$51,INDEX(Raw_BFPIaE!$G$9:$G$3032,MATCH($A820&amp;Keys!$C$54&amp;Keys!$C$56&amp;Keys!$C$54&amp;$B820,Raw_BFPIaE!$H$9:$H$3032,0)))</f>
        <v>3648313333333.3335</v>
      </c>
      <c r="R820" s="10">
        <f>IF($E820=Keys!$C$60,Keys!$C$51,INDEX(Raw_BFPIaE!$G$9:$G$3032,MATCH($A820&amp;Keys!$C$54&amp;Keys!$C$57&amp;Keys!$C$54&amp;$B820,Raw_BFPIaE!$H$9:$H$3032,0)))</f>
        <v>0</v>
      </c>
      <c r="S820" s="11">
        <f>IF(($P820+$Q820-$R820+MAX(Keys!$C$51,$R820-$Q820))&gt;Keys!$C$51,MIN(Keys!$C$52,MAX(Keys!$C$51,$R820-$Q820)/($P820+$Q820-$R820+MAX(Keys!$C$51,$R820-$Q820))),Keys!$C$51)</f>
        <v>0</v>
      </c>
      <c r="T820">
        <f>IF(AND($I820&gt;$H820,ABS($L820-$G820)&gt;MAX(Keys!$C$62,ABS($G820)*Keys!$C$63)),1,0)</f>
        <v>0</v>
      </c>
      <c r="U820">
        <f>IF(OR($N820&lt;Keys!$C$51,$N820&gt;Keys!$C$52),1,0)</f>
        <v>0</v>
      </c>
      <c r="V820">
        <f>IF(AND($E820=Keys!$C$60,$N820&lt;&gt;Keys!$C$51),1,0)</f>
        <v>0</v>
      </c>
      <c r="W820">
        <f>IF($L820&gt;Keys!$C$51,IF($K820/$L820&gt;Keys!$C$52,1,0),0)</f>
        <v>0</v>
      </c>
      <c r="X820" s="11">
        <f t="shared" si="51"/>
        <v>0</v>
      </c>
    </row>
    <row r="821" spans="1:24" x14ac:dyDescent="0.25">
      <c r="A821" t="s">
        <v>159</v>
      </c>
      <c r="B821" t="s">
        <v>120</v>
      </c>
      <c r="C821">
        <f>VLOOKUP($B821,Keys!$F$2:$I$22,2,FALSE)</f>
        <v>0</v>
      </c>
      <c r="D821">
        <f>VLOOKUP($B821,Keys!$F$2:$I$22,3,FALSE)</f>
        <v>0</v>
      </c>
      <c r="E821" t="str">
        <f>VLOOKUP($B821,Keys!$F$2:$I$22,4,FALSE)</f>
        <v>zero</v>
      </c>
      <c r="F821" t="str">
        <f>$A821&amp;Keys!$C$54&amp;$B821</f>
        <v>SD|municipal solid waste</v>
      </c>
      <c r="G821" s="10">
        <f>IF($E821=Keys!$C$60,Keys!$C$51,INDEX(Balanced_2025!$D$9:$D$3032,MATCH($A821&amp;Keys!$C$54&amp;Keys!$C$55&amp;Keys!$C$54&amp;$C821,Balanced_2025!$E$9:$E$3032,0)))</f>
        <v>0</v>
      </c>
      <c r="H821" s="10">
        <f>IF($E821=Keys!$C$60,Keys!$C$51,INDEX(Balanced_2025!$D$9:$D$3032,MATCH($A821&amp;Keys!$C$54&amp;Keys!$C$56&amp;Keys!$C$54&amp;$C821,Balanced_2025!$E$9:$E$3032,0)))</f>
        <v>0</v>
      </c>
      <c r="I821" s="10">
        <f>IF($E821=Keys!$C$60,Keys!$C$51,INDEX(Balanced_2025!$D$9:$D$3032,MATCH($A821&amp;Keys!$C$54&amp;Keys!$C$57&amp;Keys!$C$54&amp;$C821,Balanced_2025!$E$9:$E$3032,0)))</f>
        <v>0</v>
      </c>
      <c r="J821" s="10">
        <f t="shared" si="48"/>
        <v>0</v>
      </c>
      <c r="K821" s="10">
        <f>MAX(Keys!$C$51,$I821-$H821)</f>
        <v>0</v>
      </c>
      <c r="L821" s="10">
        <f t="shared" si="49"/>
        <v>0</v>
      </c>
      <c r="M821" s="11">
        <f>IF($L821&gt;Keys!$C$51,MIN(Keys!$C$52,$K821/$L821),Keys!$C$51)</f>
        <v>0</v>
      </c>
      <c r="N821" s="11">
        <f>IF($E821=Keys!$C$60,Keys!$C$51,IF($E821=Keys!$C$59,$D821,$M821))</f>
        <v>0</v>
      </c>
      <c r="O821">
        <f t="shared" si="50"/>
        <v>0</v>
      </c>
      <c r="P821" s="10">
        <f>IF($E821=Keys!$C$60,Keys!$C$51,INDEX(Raw_BFPIaE!$G$9:$G$3032,MATCH($A821&amp;Keys!$C$54&amp;Keys!$C$55&amp;Keys!$C$54&amp;$B821,Raw_BFPIaE!$H$9:$H$3032,0)))</f>
        <v>0</v>
      </c>
      <c r="Q821" s="10">
        <f>IF($E821=Keys!$C$60,Keys!$C$51,INDEX(Raw_BFPIaE!$G$9:$G$3032,MATCH($A821&amp;Keys!$C$54&amp;Keys!$C$56&amp;Keys!$C$54&amp;$B821,Raw_BFPIaE!$H$9:$H$3032,0)))</f>
        <v>0</v>
      </c>
      <c r="R821" s="10">
        <f>IF($E821=Keys!$C$60,Keys!$C$51,INDEX(Raw_BFPIaE!$G$9:$G$3032,MATCH($A821&amp;Keys!$C$54&amp;Keys!$C$57&amp;Keys!$C$54&amp;$B821,Raw_BFPIaE!$H$9:$H$3032,0)))</f>
        <v>0</v>
      </c>
      <c r="S821" s="11">
        <f>IF(($P821+$Q821-$R821+MAX(Keys!$C$51,$R821-$Q821))&gt;Keys!$C$51,MIN(Keys!$C$52,MAX(Keys!$C$51,$R821-$Q821)/($P821+$Q821-$R821+MAX(Keys!$C$51,$R821-$Q821))),Keys!$C$51)</f>
        <v>0</v>
      </c>
      <c r="T821">
        <f>IF(AND($I821&gt;$H821,ABS($L821-$G821)&gt;MAX(Keys!$C$62,ABS($G821)*Keys!$C$63)),1,0)</f>
        <v>0</v>
      </c>
      <c r="U821">
        <f>IF(OR($N821&lt;Keys!$C$51,$N821&gt;Keys!$C$52),1,0)</f>
        <v>0</v>
      </c>
      <c r="V821">
        <f>IF(AND($E821=Keys!$C$60,$N821&lt;&gt;Keys!$C$51),1,0)</f>
        <v>0</v>
      </c>
      <c r="W821">
        <f>IF($L821&gt;Keys!$C$51,IF($K821/$L821&gt;Keys!$C$52,1,0),0)</f>
        <v>0</v>
      </c>
      <c r="X821" s="11">
        <f t="shared" si="51"/>
        <v>0</v>
      </c>
    </row>
    <row r="822" spans="1:24" x14ac:dyDescent="0.25">
      <c r="A822" t="s">
        <v>159</v>
      </c>
      <c r="B822" t="s">
        <v>123</v>
      </c>
      <c r="C822">
        <f>VLOOKUP($B822,Keys!$F$2:$I$22,2,FALSE)</f>
        <v>0</v>
      </c>
      <c r="D822">
        <f>VLOOKUP($B822,Keys!$F$2:$I$22,3,FALSE)</f>
        <v>0</v>
      </c>
      <c r="E822" t="str">
        <f>VLOOKUP($B822,Keys!$F$2:$I$22,4,FALSE)</f>
        <v>zero</v>
      </c>
      <c r="F822" t="str">
        <f>$A822&amp;Keys!$C$54&amp;$B822</f>
        <v>SD|hydrogen</v>
      </c>
      <c r="G822" s="10">
        <f>IF($E822=Keys!$C$60,Keys!$C$51,INDEX(Balanced_2025!$D$9:$D$3032,MATCH($A822&amp;Keys!$C$54&amp;Keys!$C$55&amp;Keys!$C$54&amp;$C822,Balanced_2025!$E$9:$E$3032,0)))</f>
        <v>0</v>
      </c>
      <c r="H822" s="10">
        <f>IF($E822=Keys!$C$60,Keys!$C$51,INDEX(Balanced_2025!$D$9:$D$3032,MATCH($A822&amp;Keys!$C$54&amp;Keys!$C$56&amp;Keys!$C$54&amp;$C822,Balanced_2025!$E$9:$E$3032,0)))</f>
        <v>0</v>
      </c>
      <c r="I822" s="10">
        <f>IF($E822=Keys!$C$60,Keys!$C$51,INDEX(Balanced_2025!$D$9:$D$3032,MATCH($A822&amp;Keys!$C$54&amp;Keys!$C$57&amp;Keys!$C$54&amp;$C822,Balanced_2025!$E$9:$E$3032,0)))</f>
        <v>0</v>
      </c>
      <c r="J822" s="10">
        <f t="shared" si="48"/>
        <v>0</v>
      </c>
      <c r="K822" s="10">
        <f>MAX(Keys!$C$51,$I822-$H822)</f>
        <v>0</v>
      </c>
      <c r="L822" s="10">
        <f t="shared" si="49"/>
        <v>0</v>
      </c>
      <c r="M822" s="11">
        <f>IF($L822&gt;Keys!$C$51,MIN(Keys!$C$52,$K822/$L822),Keys!$C$51)</f>
        <v>0</v>
      </c>
      <c r="N822" s="11">
        <f>IF($E822=Keys!$C$60,Keys!$C$51,IF($E822=Keys!$C$59,$D822,$M822))</f>
        <v>0</v>
      </c>
      <c r="O822">
        <f t="shared" si="50"/>
        <v>0</v>
      </c>
      <c r="P822" s="10">
        <f>IF($E822=Keys!$C$60,Keys!$C$51,INDEX(Raw_BFPIaE!$G$9:$G$3032,MATCH($A822&amp;Keys!$C$54&amp;Keys!$C$55&amp;Keys!$C$54&amp;$B822,Raw_BFPIaE!$H$9:$H$3032,0)))</f>
        <v>0</v>
      </c>
      <c r="Q822" s="10">
        <f>IF($E822=Keys!$C$60,Keys!$C$51,INDEX(Raw_BFPIaE!$G$9:$G$3032,MATCH($A822&amp;Keys!$C$54&amp;Keys!$C$56&amp;Keys!$C$54&amp;$B822,Raw_BFPIaE!$H$9:$H$3032,0)))</f>
        <v>0</v>
      </c>
      <c r="R822" s="10">
        <f>IF($E822=Keys!$C$60,Keys!$C$51,INDEX(Raw_BFPIaE!$G$9:$G$3032,MATCH($A822&amp;Keys!$C$54&amp;Keys!$C$57&amp;Keys!$C$54&amp;$B822,Raw_BFPIaE!$H$9:$H$3032,0)))</f>
        <v>0</v>
      </c>
      <c r="S822" s="11">
        <f>IF(($P822+$Q822-$R822+MAX(Keys!$C$51,$R822-$Q822))&gt;Keys!$C$51,MIN(Keys!$C$52,MAX(Keys!$C$51,$R822-$Q822)/($P822+$Q822-$R822+MAX(Keys!$C$51,$R822-$Q822))),Keys!$C$51)</f>
        <v>0</v>
      </c>
      <c r="T822">
        <f>IF(AND($I822&gt;$H822,ABS($L822-$G822)&gt;MAX(Keys!$C$62,ABS($G822)*Keys!$C$63)),1,0)</f>
        <v>0</v>
      </c>
      <c r="U822">
        <f>IF(OR($N822&lt;Keys!$C$51,$N822&gt;Keys!$C$52),1,0)</f>
        <v>0</v>
      </c>
      <c r="V822">
        <f>IF(AND($E822=Keys!$C$60,$N822&lt;&gt;Keys!$C$51),1,0)</f>
        <v>0</v>
      </c>
      <c r="W822">
        <f>IF($L822&gt;Keys!$C$51,IF($K822/$L822&gt;Keys!$C$52,1,0),0)</f>
        <v>0</v>
      </c>
      <c r="X822" s="11">
        <f t="shared" si="51"/>
        <v>0</v>
      </c>
    </row>
    <row r="823" spans="1:24" x14ac:dyDescent="0.25">
      <c r="A823" t="s">
        <v>161</v>
      </c>
      <c r="B823" t="s">
        <v>60</v>
      </c>
      <c r="C823">
        <f>VLOOKUP($B823,Keys!$F$2:$I$22,2,FALSE)</f>
        <v>0</v>
      </c>
      <c r="D823">
        <f>VLOOKUP($B823,Keys!$F$2:$I$22,3,FALSE)</f>
        <v>0</v>
      </c>
      <c r="E823" t="str">
        <f>VLOOKUP($B823,Keys!$F$2:$I$22,4,FALSE)</f>
        <v>zero</v>
      </c>
      <c r="F823" t="str">
        <f>$A823&amp;Keys!$C$54&amp;$B823</f>
        <v>TN|electricity (not used in this variable)</v>
      </c>
      <c r="G823" s="10">
        <f>IF($E823=Keys!$C$60,Keys!$C$51,INDEX(Balanced_2025!$D$9:$D$3032,MATCH($A823&amp;Keys!$C$54&amp;Keys!$C$55&amp;Keys!$C$54&amp;$C823,Balanced_2025!$E$9:$E$3032,0)))</f>
        <v>0</v>
      </c>
      <c r="H823" s="10">
        <f>IF($E823=Keys!$C$60,Keys!$C$51,INDEX(Balanced_2025!$D$9:$D$3032,MATCH($A823&amp;Keys!$C$54&amp;Keys!$C$56&amp;Keys!$C$54&amp;$C823,Balanced_2025!$E$9:$E$3032,0)))</f>
        <v>0</v>
      </c>
      <c r="I823" s="10">
        <f>IF($E823=Keys!$C$60,Keys!$C$51,INDEX(Balanced_2025!$D$9:$D$3032,MATCH($A823&amp;Keys!$C$54&amp;Keys!$C$57&amp;Keys!$C$54&amp;$C823,Balanced_2025!$E$9:$E$3032,0)))</f>
        <v>0</v>
      </c>
      <c r="J823" s="10">
        <f t="shared" si="48"/>
        <v>0</v>
      </c>
      <c r="K823" s="10">
        <f>MAX(Keys!$C$51,$I823-$H823)</f>
        <v>0</v>
      </c>
      <c r="L823" s="10">
        <f t="shared" si="49"/>
        <v>0</v>
      </c>
      <c r="M823" s="11">
        <f>IF($L823&gt;Keys!$C$51,MIN(Keys!$C$52,$K823/$L823),Keys!$C$51)</f>
        <v>0</v>
      </c>
      <c r="N823" s="11">
        <f>IF($E823=Keys!$C$60,Keys!$C$51,IF($E823=Keys!$C$59,$D823,$M823))</f>
        <v>0</v>
      </c>
      <c r="O823">
        <f t="shared" si="50"/>
        <v>0</v>
      </c>
      <c r="P823" s="10">
        <f>IF($E823=Keys!$C$60,Keys!$C$51,INDEX(Raw_BFPIaE!$G$9:$G$3032,MATCH($A823&amp;Keys!$C$54&amp;Keys!$C$55&amp;Keys!$C$54&amp;$B823,Raw_BFPIaE!$H$9:$H$3032,0)))</f>
        <v>0</v>
      </c>
      <c r="Q823" s="10">
        <f>IF($E823=Keys!$C$60,Keys!$C$51,INDEX(Raw_BFPIaE!$G$9:$G$3032,MATCH($A823&amp;Keys!$C$54&amp;Keys!$C$56&amp;Keys!$C$54&amp;$B823,Raw_BFPIaE!$H$9:$H$3032,0)))</f>
        <v>0</v>
      </c>
      <c r="R823" s="10">
        <f>IF($E823=Keys!$C$60,Keys!$C$51,INDEX(Raw_BFPIaE!$G$9:$G$3032,MATCH($A823&amp;Keys!$C$54&amp;Keys!$C$57&amp;Keys!$C$54&amp;$B823,Raw_BFPIaE!$H$9:$H$3032,0)))</f>
        <v>0</v>
      </c>
      <c r="S823" s="11">
        <f>IF(($P823+$Q823-$R823+MAX(Keys!$C$51,$R823-$Q823))&gt;Keys!$C$51,MIN(Keys!$C$52,MAX(Keys!$C$51,$R823-$Q823)/($P823+$Q823-$R823+MAX(Keys!$C$51,$R823-$Q823))),Keys!$C$51)</f>
        <v>0</v>
      </c>
      <c r="T823">
        <f>IF(AND($I823&gt;$H823,ABS($L823-$G823)&gt;MAX(Keys!$C$62,ABS($G823)*Keys!$C$63)),1,0)</f>
        <v>0</v>
      </c>
      <c r="U823">
        <f>IF(OR($N823&lt;Keys!$C$51,$N823&gt;Keys!$C$52),1,0)</f>
        <v>0</v>
      </c>
      <c r="V823">
        <f>IF(AND($E823=Keys!$C$60,$N823&lt;&gt;Keys!$C$51),1,0)</f>
        <v>0</v>
      </c>
      <c r="W823">
        <f>IF($L823&gt;Keys!$C$51,IF($K823/$L823&gt;Keys!$C$52,1,0),0)</f>
        <v>0</v>
      </c>
      <c r="X823" s="11">
        <f t="shared" si="51"/>
        <v>0</v>
      </c>
    </row>
    <row r="824" spans="1:24" x14ac:dyDescent="0.25">
      <c r="A824" t="s">
        <v>161</v>
      </c>
      <c r="B824" t="s">
        <v>64</v>
      </c>
      <c r="C824" t="str">
        <f>VLOOKUP($B824,Keys!$F$2:$I$22,2,FALSE)</f>
        <v>hard coal</v>
      </c>
      <c r="D824">
        <f>VLOOKUP($B824,Keys!$F$2:$I$22,3,FALSE)</f>
        <v>0.137539879</v>
      </c>
      <c r="E824" t="str">
        <f>VLOOKUP($B824,Keys!$F$2:$I$22,4,FALSE)</f>
        <v>rule</v>
      </c>
      <c r="F824" t="str">
        <f>$A824&amp;Keys!$C$54&amp;$B824</f>
        <v>TN|hard coal</v>
      </c>
      <c r="G824" s="10">
        <f>IF($E824=Keys!$C$60,Keys!$C$51,INDEX(Balanced_2025!$D$9:$D$3032,MATCH($A824&amp;Keys!$C$54&amp;Keys!$C$55&amp;Keys!$C$54&amp;$C824,Balanced_2025!$E$9:$E$3032,0)))</f>
        <v>0</v>
      </c>
      <c r="H824" s="10">
        <f>IF($E824=Keys!$C$60,Keys!$C$51,INDEX(Balanced_2025!$D$9:$D$3032,MATCH($A824&amp;Keys!$C$54&amp;Keys!$C$56&amp;Keys!$C$54&amp;$C824,Balanced_2025!$E$9:$E$3032,0)))</f>
        <v>232540000000000</v>
      </c>
      <c r="I824" s="10">
        <f>IF($E824=Keys!$C$60,Keys!$C$51,INDEX(Balanced_2025!$D$9:$D$3032,MATCH($A824&amp;Keys!$C$54&amp;Keys!$C$57&amp;Keys!$C$54&amp;$C824,Balanced_2025!$E$9:$E$3032,0)))</f>
        <v>0</v>
      </c>
      <c r="J824" s="10">
        <f t="shared" si="48"/>
        <v>232540000000000</v>
      </c>
      <c r="K824" s="10">
        <f>MAX(Keys!$C$51,$I824-$H824)</f>
        <v>0</v>
      </c>
      <c r="L824" s="10">
        <f t="shared" si="49"/>
        <v>232540000000000</v>
      </c>
      <c r="M824" s="11">
        <f>IF($L824&gt;Keys!$C$51,MIN(Keys!$C$52,$K824/$L824),Keys!$C$51)</f>
        <v>0</v>
      </c>
      <c r="N824" s="11">
        <f>IF($E824=Keys!$C$60,Keys!$C$51,IF($E824=Keys!$C$59,$D824,$M824))</f>
        <v>0</v>
      </c>
      <c r="O824">
        <f t="shared" si="50"/>
        <v>1</v>
      </c>
      <c r="P824" s="10">
        <f>IF($E824=Keys!$C$60,Keys!$C$51,INDEX(Raw_BFPIaE!$G$9:$G$3032,MATCH($A824&amp;Keys!$C$54&amp;Keys!$C$55&amp;Keys!$C$54&amp;$B824,Raw_BFPIaE!$H$9:$H$3032,0)))</f>
        <v>0</v>
      </c>
      <c r="Q824" s="10">
        <f>IF($E824=Keys!$C$60,Keys!$C$51,INDEX(Raw_BFPIaE!$G$9:$G$3032,MATCH($A824&amp;Keys!$C$54&amp;Keys!$C$56&amp;Keys!$C$54&amp;$B824,Raw_BFPIaE!$H$9:$H$3032,0)))</f>
        <v>163567266666666.66</v>
      </c>
      <c r="R824" s="10">
        <f>IF($E824=Keys!$C$60,Keys!$C$51,INDEX(Raw_BFPIaE!$G$9:$G$3032,MATCH($A824&amp;Keys!$C$54&amp;Keys!$C$57&amp;Keys!$C$54&amp;$B824,Raw_BFPIaE!$H$9:$H$3032,0)))</f>
        <v>0</v>
      </c>
      <c r="S824" s="11">
        <f>IF(($P824+$Q824-$R824+MAX(Keys!$C$51,$R824-$Q824))&gt;Keys!$C$51,MIN(Keys!$C$52,MAX(Keys!$C$51,$R824-$Q824)/($P824+$Q824-$R824+MAX(Keys!$C$51,$R824-$Q824))),Keys!$C$51)</f>
        <v>0</v>
      </c>
      <c r="T824">
        <f>IF(AND($I824&gt;$H824,ABS($L824-$G824)&gt;MAX(Keys!$C$62,ABS($G824)*Keys!$C$63)),1,0)</f>
        <v>0</v>
      </c>
      <c r="U824">
        <f>IF(OR($N824&lt;Keys!$C$51,$N824&gt;Keys!$C$52),1,0)</f>
        <v>0</v>
      </c>
      <c r="V824">
        <f>IF(AND($E824=Keys!$C$60,$N824&lt;&gt;Keys!$C$51),1,0)</f>
        <v>0</v>
      </c>
      <c r="W824">
        <f>IF($L824&gt;Keys!$C$51,IF($K824/$L824&gt;Keys!$C$52,1,0),0)</f>
        <v>0</v>
      </c>
      <c r="X824" s="11">
        <f t="shared" si="51"/>
        <v>0</v>
      </c>
    </row>
    <row r="825" spans="1:24" x14ac:dyDescent="0.25">
      <c r="A825" t="s">
        <v>161</v>
      </c>
      <c r="B825" t="s">
        <v>68</v>
      </c>
      <c r="C825" t="str">
        <f>VLOOKUP($B825,Keys!$F$2:$I$22,2,FALSE)</f>
        <v>natural gas</v>
      </c>
      <c r="D825">
        <f>VLOOKUP($B825,Keys!$F$2:$I$22,3,FALSE)</f>
        <v>0.190839183</v>
      </c>
      <c r="E825" t="str">
        <f>VLOOKUP($B825,Keys!$F$2:$I$22,4,FALSE)</f>
        <v>rule</v>
      </c>
      <c r="F825" t="str">
        <f>$A825&amp;Keys!$C$54&amp;$B825</f>
        <v>TN|natural gas</v>
      </c>
      <c r="G825" s="10">
        <f>IF($E825=Keys!$C$60,Keys!$C$51,INDEX(Balanced_2025!$D$9:$D$3032,MATCH($A825&amp;Keys!$C$54&amp;Keys!$C$55&amp;Keys!$C$54&amp;$C825,Balanced_2025!$E$9:$E$3032,0)))</f>
        <v>2739750000000</v>
      </c>
      <c r="H825" s="10">
        <f>IF($E825=Keys!$C$60,Keys!$C$51,INDEX(Balanced_2025!$D$9:$D$3032,MATCH($A825&amp;Keys!$C$54&amp;Keys!$C$56&amp;Keys!$C$54&amp;$C825,Balanced_2025!$E$9:$E$3032,0)))</f>
        <v>2785100000000000</v>
      </c>
      <c r="I825" s="10">
        <f>IF($E825=Keys!$C$60,Keys!$C$51,INDEX(Balanced_2025!$D$9:$D$3032,MATCH($A825&amp;Keys!$C$54&amp;Keys!$C$57&amp;Keys!$C$54&amp;$C825,Balanced_2025!$E$9:$E$3032,0)))</f>
        <v>2360000000000000</v>
      </c>
      <c r="J825" s="10">
        <f t="shared" si="48"/>
        <v>427839750000000</v>
      </c>
      <c r="K825" s="10">
        <f>MAX(Keys!$C$51,$I825-$H825)</f>
        <v>0</v>
      </c>
      <c r="L825" s="10">
        <f t="shared" si="49"/>
        <v>427839750000000</v>
      </c>
      <c r="M825" s="11">
        <f>IF($L825&gt;Keys!$C$51,MIN(Keys!$C$52,$K825/$L825),Keys!$C$51)</f>
        <v>0</v>
      </c>
      <c r="N825" s="11">
        <f>IF($E825=Keys!$C$60,Keys!$C$51,IF($E825=Keys!$C$59,$D825,$M825))</f>
        <v>0</v>
      </c>
      <c r="O825">
        <f t="shared" si="50"/>
        <v>1</v>
      </c>
      <c r="P825" s="10">
        <f>IF($E825=Keys!$C$60,Keys!$C$51,INDEX(Raw_BFPIaE!$G$9:$G$3032,MATCH($A825&amp;Keys!$C$54&amp;Keys!$C$55&amp;Keys!$C$54&amp;$B825,Raw_BFPIaE!$H$9:$H$3032,0)))</f>
        <v>2742586666666.6665</v>
      </c>
      <c r="Q825" s="10">
        <f>IF($E825=Keys!$C$60,Keys!$C$51,INDEX(Raw_BFPIaE!$G$9:$G$3032,MATCH($A825&amp;Keys!$C$54&amp;Keys!$C$56&amp;Keys!$C$54&amp;$B825,Raw_BFPIaE!$H$9:$H$3032,0)))</f>
        <v>2810260000000000</v>
      </c>
      <c r="R825" s="10">
        <f>IF($E825=Keys!$C$60,Keys!$C$51,INDEX(Raw_BFPIaE!$G$9:$G$3032,MATCH($A825&amp;Keys!$C$54&amp;Keys!$C$57&amp;Keys!$C$54&amp;$B825,Raw_BFPIaE!$H$9:$H$3032,0)))</f>
        <v>2362443333333333.5</v>
      </c>
      <c r="S825" s="11">
        <f>IF(($P825+$Q825-$R825+MAX(Keys!$C$51,$R825-$Q825))&gt;Keys!$C$51,MIN(Keys!$C$52,MAX(Keys!$C$51,$R825-$Q825)/($P825+$Q825-$R825+MAX(Keys!$C$51,$R825-$Q825))),Keys!$C$51)</f>
        <v>0</v>
      </c>
      <c r="T825">
        <f>IF(AND($I825&gt;$H825,ABS($L825-$G825)&gt;MAX(Keys!$C$62,ABS($G825)*Keys!$C$63)),1,0)</f>
        <v>0</v>
      </c>
      <c r="U825">
        <f>IF(OR($N825&lt;Keys!$C$51,$N825&gt;Keys!$C$52),1,0)</f>
        <v>0</v>
      </c>
      <c r="V825">
        <f>IF(AND($E825=Keys!$C$60,$N825&lt;&gt;Keys!$C$51),1,0)</f>
        <v>0</v>
      </c>
      <c r="W825">
        <f>IF($L825&gt;Keys!$C$51,IF($K825/$L825&gt;Keys!$C$52,1,0),0)</f>
        <v>0</v>
      </c>
      <c r="X825" s="11">
        <f t="shared" si="51"/>
        <v>0</v>
      </c>
    </row>
    <row r="826" spans="1:24" x14ac:dyDescent="0.25">
      <c r="A826" t="s">
        <v>161</v>
      </c>
      <c r="B826" t="s">
        <v>71</v>
      </c>
      <c r="C826">
        <f>VLOOKUP($B826,Keys!$F$2:$I$22,2,FALSE)</f>
        <v>0</v>
      </c>
      <c r="D826">
        <f>VLOOKUP($B826,Keys!$F$2:$I$22,3,FALSE)</f>
        <v>0</v>
      </c>
      <c r="E826" t="str">
        <f>VLOOKUP($B826,Keys!$F$2:$I$22,4,FALSE)</f>
        <v>zero</v>
      </c>
      <c r="F826" t="str">
        <f>$A826&amp;Keys!$C$54&amp;$B826</f>
        <v>TN|nuclear</v>
      </c>
      <c r="G826" s="10">
        <f>IF($E826=Keys!$C$60,Keys!$C$51,INDEX(Balanced_2025!$D$9:$D$3032,MATCH($A826&amp;Keys!$C$54&amp;Keys!$C$55&amp;Keys!$C$54&amp;$C826,Balanced_2025!$E$9:$E$3032,0)))</f>
        <v>0</v>
      </c>
      <c r="H826" s="10">
        <f>IF($E826=Keys!$C$60,Keys!$C$51,INDEX(Balanced_2025!$D$9:$D$3032,MATCH($A826&amp;Keys!$C$54&amp;Keys!$C$56&amp;Keys!$C$54&amp;$C826,Balanced_2025!$E$9:$E$3032,0)))</f>
        <v>0</v>
      </c>
      <c r="I826" s="10">
        <f>IF($E826=Keys!$C$60,Keys!$C$51,INDEX(Balanced_2025!$D$9:$D$3032,MATCH($A826&amp;Keys!$C$54&amp;Keys!$C$57&amp;Keys!$C$54&amp;$C826,Balanced_2025!$E$9:$E$3032,0)))</f>
        <v>0</v>
      </c>
      <c r="J826" s="10">
        <f t="shared" si="48"/>
        <v>0</v>
      </c>
      <c r="K826" s="10">
        <f>MAX(Keys!$C$51,$I826-$H826)</f>
        <v>0</v>
      </c>
      <c r="L826" s="10">
        <f t="shared" si="49"/>
        <v>0</v>
      </c>
      <c r="M826" s="11">
        <f>IF($L826&gt;Keys!$C$51,MIN(Keys!$C$52,$K826/$L826),Keys!$C$51)</f>
        <v>0</v>
      </c>
      <c r="N826" s="11">
        <f>IF($E826=Keys!$C$60,Keys!$C$51,IF($E826=Keys!$C$59,$D826,$M826))</f>
        <v>0</v>
      </c>
      <c r="O826">
        <f t="shared" si="50"/>
        <v>0</v>
      </c>
      <c r="P826" s="10">
        <f>IF($E826=Keys!$C$60,Keys!$C$51,INDEX(Raw_BFPIaE!$G$9:$G$3032,MATCH($A826&amp;Keys!$C$54&amp;Keys!$C$55&amp;Keys!$C$54&amp;$B826,Raw_BFPIaE!$H$9:$H$3032,0)))</f>
        <v>0</v>
      </c>
      <c r="Q826" s="10">
        <f>IF($E826=Keys!$C$60,Keys!$C$51,INDEX(Raw_BFPIaE!$G$9:$G$3032,MATCH($A826&amp;Keys!$C$54&amp;Keys!$C$56&amp;Keys!$C$54&amp;$B826,Raw_BFPIaE!$H$9:$H$3032,0)))</f>
        <v>0</v>
      </c>
      <c r="R826" s="10">
        <f>IF($E826=Keys!$C$60,Keys!$C$51,INDEX(Raw_BFPIaE!$G$9:$G$3032,MATCH($A826&amp;Keys!$C$54&amp;Keys!$C$57&amp;Keys!$C$54&amp;$B826,Raw_BFPIaE!$H$9:$H$3032,0)))</f>
        <v>0</v>
      </c>
      <c r="S826" s="11">
        <f>IF(($P826+$Q826-$R826+MAX(Keys!$C$51,$R826-$Q826))&gt;Keys!$C$51,MIN(Keys!$C$52,MAX(Keys!$C$51,$R826-$Q826)/($P826+$Q826-$R826+MAX(Keys!$C$51,$R826-$Q826))),Keys!$C$51)</f>
        <v>0</v>
      </c>
      <c r="T826">
        <f>IF(AND($I826&gt;$H826,ABS($L826-$G826)&gt;MAX(Keys!$C$62,ABS($G826)*Keys!$C$63)),1,0)</f>
        <v>0</v>
      </c>
      <c r="U826">
        <f>IF(OR($N826&lt;Keys!$C$51,$N826&gt;Keys!$C$52),1,0)</f>
        <v>0</v>
      </c>
      <c r="V826">
        <f>IF(AND($E826=Keys!$C$60,$N826&lt;&gt;Keys!$C$51),1,0)</f>
        <v>0</v>
      </c>
      <c r="W826">
        <f>IF($L826&gt;Keys!$C$51,IF($K826/$L826&gt;Keys!$C$52,1,0),0)</f>
        <v>0</v>
      </c>
      <c r="X826" s="11">
        <f t="shared" si="51"/>
        <v>0</v>
      </c>
    </row>
    <row r="827" spans="1:24" x14ac:dyDescent="0.25">
      <c r="A827" t="s">
        <v>161</v>
      </c>
      <c r="B827" t="s">
        <v>74</v>
      </c>
      <c r="C827">
        <f>VLOOKUP($B827,Keys!$F$2:$I$22,2,FALSE)</f>
        <v>0</v>
      </c>
      <c r="D827">
        <f>VLOOKUP($B827,Keys!$F$2:$I$22,3,FALSE)</f>
        <v>0</v>
      </c>
      <c r="E827" t="str">
        <f>VLOOKUP($B827,Keys!$F$2:$I$22,4,FALSE)</f>
        <v>zero</v>
      </c>
      <c r="F827" t="str">
        <f>$A827&amp;Keys!$C$54&amp;$B827</f>
        <v>TN|hydro (is not a fuel)</v>
      </c>
      <c r="G827" s="10">
        <f>IF($E827=Keys!$C$60,Keys!$C$51,INDEX(Balanced_2025!$D$9:$D$3032,MATCH($A827&amp;Keys!$C$54&amp;Keys!$C$55&amp;Keys!$C$54&amp;$C827,Balanced_2025!$E$9:$E$3032,0)))</f>
        <v>0</v>
      </c>
      <c r="H827" s="10">
        <f>IF($E827=Keys!$C$60,Keys!$C$51,INDEX(Balanced_2025!$D$9:$D$3032,MATCH($A827&amp;Keys!$C$54&amp;Keys!$C$56&amp;Keys!$C$54&amp;$C827,Balanced_2025!$E$9:$E$3032,0)))</f>
        <v>0</v>
      </c>
      <c r="I827" s="10">
        <f>IF($E827=Keys!$C$60,Keys!$C$51,INDEX(Balanced_2025!$D$9:$D$3032,MATCH($A827&amp;Keys!$C$54&amp;Keys!$C$57&amp;Keys!$C$54&amp;$C827,Balanced_2025!$E$9:$E$3032,0)))</f>
        <v>0</v>
      </c>
      <c r="J827" s="10">
        <f t="shared" si="48"/>
        <v>0</v>
      </c>
      <c r="K827" s="10">
        <f>MAX(Keys!$C$51,$I827-$H827)</f>
        <v>0</v>
      </c>
      <c r="L827" s="10">
        <f t="shared" si="49"/>
        <v>0</v>
      </c>
      <c r="M827" s="11">
        <f>IF($L827&gt;Keys!$C$51,MIN(Keys!$C$52,$K827/$L827),Keys!$C$51)</f>
        <v>0</v>
      </c>
      <c r="N827" s="11">
        <f>IF($E827=Keys!$C$60,Keys!$C$51,IF($E827=Keys!$C$59,$D827,$M827))</f>
        <v>0</v>
      </c>
      <c r="O827">
        <f t="shared" si="50"/>
        <v>0</v>
      </c>
      <c r="P827" s="10">
        <f>IF($E827=Keys!$C$60,Keys!$C$51,INDEX(Raw_BFPIaE!$G$9:$G$3032,MATCH($A827&amp;Keys!$C$54&amp;Keys!$C$55&amp;Keys!$C$54&amp;$B827,Raw_BFPIaE!$H$9:$H$3032,0)))</f>
        <v>0</v>
      </c>
      <c r="Q827" s="10">
        <f>IF($E827=Keys!$C$60,Keys!$C$51,INDEX(Raw_BFPIaE!$G$9:$G$3032,MATCH($A827&amp;Keys!$C$54&amp;Keys!$C$56&amp;Keys!$C$54&amp;$B827,Raw_BFPIaE!$H$9:$H$3032,0)))</f>
        <v>0</v>
      </c>
      <c r="R827" s="10">
        <f>IF($E827=Keys!$C$60,Keys!$C$51,INDEX(Raw_BFPIaE!$G$9:$G$3032,MATCH($A827&amp;Keys!$C$54&amp;Keys!$C$57&amp;Keys!$C$54&amp;$B827,Raw_BFPIaE!$H$9:$H$3032,0)))</f>
        <v>0</v>
      </c>
      <c r="S827" s="11">
        <f>IF(($P827+$Q827-$R827+MAX(Keys!$C$51,$R827-$Q827))&gt;Keys!$C$51,MIN(Keys!$C$52,MAX(Keys!$C$51,$R827-$Q827)/($P827+$Q827-$R827+MAX(Keys!$C$51,$R827-$Q827))),Keys!$C$51)</f>
        <v>0</v>
      </c>
      <c r="T827">
        <f>IF(AND($I827&gt;$H827,ABS($L827-$G827)&gt;MAX(Keys!$C$62,ABS($G827)*Keys!$C$63)),1,0)</f>
        <v>0</v>
      </c>
      <c r="U827">
        <f>IF(OR($N827&lt;Keys!$C$51,$N827&gt;Keys!$C$52),1,0)</f>
        <v>0</v>
      </c>
      <c r="V827">
        <f>IF(AND($E827=Keys!$C$60,$N827&lt;&gt;Keys!$C$51),1,0)</f>
        <v>0</v>
      </c>
      <c r="W827">
        <f>IF($L827&gt;Keys!$C$51,IF($K827/$L827&gt;Keys!$C$52,1,0),0)</f>
        <v>0</v>
      </c>
      <c r="X827" s="11">
        <f t="shared" si="51"/>
        <v>0</v>
      </c>
    </row>
    <row r="828" spans="1:24" x14ac:dyDescent="0.25">
      <c r="A828" t="s">
        <v>161</v>
      </c>
      <c r="B828" t="s">
        <v>77</v>
      </c>
      <c r="C828">
        <f>VLOOKUP($B828,Keys!$F$2:$I$22,2,FALSE)</f>
        <v>0</v>
      </c>
      <c r="D828">
        <f>VLOOKUP($B828,Keys!$F$2:$I$22,3,FALSE)</f>
        <v>0</v>
      </c>
      <c r="E828" t="str">
        <f>VLOOKUP($B828,Keys!$F$2:$I$22,4,FALSE)</f>
        <v>zero</v>
      </c>
      <c r="F828" t="str">
        <f>$A828&amp;Keys!$C$54&amp;$B828</f>
        <v>TN|wind (is not a fuel)</v>
      </c>
      <c r="G828" s="10">
        <f>IF($E828=Keys!$C$60,Keys!$C$51,INDEX(Balanced_2025!$D$9:$D$3032,MATCH($A828&amp;Keys!$C$54&amp;Keys!$C$55&amp;Keys!$C$54&amp;$C828,Balanced_2025!$E$9:$E$3032,0)))</f>
        <v>0</v>
      </c>
      <c r="H828" s="10">
        <f>IF($E828=Keys!$C$60,Keys!$C$51,INDEX(Balanced_2025!$D$9:$D$3032,MATCH($A828&amp;Keys!$C$54&amp;Keys!$C$56&amp;Keys!$C$54&amp;$C828,Balanced_2025!$E$9:$E$3032,0)))</f>
        <v>0</v>
      </c>
      <c r="I828" s="10">
        <f>IF($E828=Keys!$C$60,Keys!$C$51,INDEX(Balanced_2025!$D$9:$D$3032,MATCH($A828&amp;Keys!$C$54&amp;Keys!$C$57&amp;Keys!$C$54&amp;$C828,Balanced_2025!$E$9:$E$3032,0)))</f>
        <v>0</v>
      </c>
      <c r="J828" s="10">
        <f t="shared" si="48"/>
        <v>0</v>
      </c>
      <c r="K828" s="10">
        <f>MAX(Keys!$C$51,$I828-$H828)</f>
        <v>0</v>
      </c>
      <c r="L828" s="10">
        <f t="shared" si="49"/>
        <v>0</v>
      </c>
      <c r="M828" s="11">
        <f>IF($L828&gt;Keys!$C$51,MIN(Keys!$C$52,$K828/$L828),Keys!$C$51)</f>
        <v>0</v>
      </c>
      <c r="N828" s="11">
        <f>IF($E828=Keys!$C$60,Keys!$C$51,IF($E828=Keys!$C$59,$D828,$M828))</f>
        <v>0</v>
      </c>
      <c r="O828">
        <f t="shared" si="50"/>
        <v>0</v>
      </c>
      <c r="P828" s="10">
        <f>IF($E828=Keys!$C$60,Keys!$C$51,INDEX(Raw_BFPIaE!$G$9:$G$3032,MATCH($A828&amp;Keys!$C$54&amp;Keys!$C$55&amp;Keys!$C$54&amp;$B828,Raw_BFPIaE!$H$9:$H$3032,0)))</f>
        <v>0</v>
      </c>
      <c r="Q828" s="10">
        <f>IF($E828=Keys!$C$60,Keys!$C$51,INDEX(Raw_BFPIaE!$G$9:$G$3032,MATCH($A828&amp;Keys!$C$54&amp;Keys!$C$56&amp;Keys!$C$54&amp;$B828,Raw_BFPIaE!$H$9:$H$3032,0)))</f>
        <v>0</v>
      </c>
      <c r="R828" s="10">
        <f>IF($E828=Keys!$C$60,Keys!$C$51,INDEX(Raw_BFPIaE!$G$9:$G$3032,MATCH($A828&amp;Keys!$C$54&amp;Keys!$C$57&amp;Keys!$C$54&amp;$B828,Raw_BFPIaE!$H$9:$H$3032,0)))</f>
        <v>0</v>
      </c>
      <c r="S828" s="11">
        <f>IF(($P828+$Q828-$R828+MAX(Keys!$C$51,$R828-$Q828))&gt;Keys!$C$51,MIN(Keys!$C$52,MAX(Keys!$C$51,$R828-$Q828)/($P828+$Q828-$R828+MAX(Keys!$C$51,$R828-$Q828))),Keys!$C$51)</f>
        <v>0</v>
      </c>
      <c r="T828">
        <f>IF(AND($I828&gt;$H828,ABS($L828-$G828)&gt;MAX(Keys!$C$62,ABS($G828)*Keys!$C$63)),1,0)</f>
        <v>0</v>
      </c>
      <c r="U828">
        <f>IF(OR($N828&lt;Keys!$C$51,$N828&gt;Keys!$C$52),1,0)</f>
        <v>0</v>
      </c>
      <c r="V828">
        <f>IF(AND($E828=Keys!$C$60,$N828&lt;&gt;Keys!$C$51),1,0)</f>
        <v>0</v>
      </c>
      <c r="W828">
        <f>IF($L828&gt;Keys!$C$51,IF($K828/$L828&gt;Keys!$C$52,1,0),0)</f>
        <v>0</v>
      </c>
      <c r="X828" s="11">
        <f t="shared" si="51"/>
        <v>0</v>
      </c>
    </row>
    <row r="829" spans="1:24" x14ac:dyDescent="0.25">
      <c r="A829" t="s">
        <v>161</v>
      </c>
      <c r="B829" t="s">
        <v>80</v>
      </c>
      <c r="C829">
        <f>VLOOKUP($B829,Keys!$F$2:$I$22,2,FALSE)</f>
        <v>0</v>
      </c>
      <c r="D829">
        <f>VLOOKUP($B829,Keys!$F$2:$I$22,3,FALSE)</f>
        <v>0</v>
      </c>
      <c r="E829" t="str">
        <f>VLOOKUP($B829,Keys!$F$2:$I$22,4,FALSE)</f>
        <v>zero</v>
      </c>
      <c r="F829" t="str">
        <f>$A829&amp;Keys!$C$54&amp;$B829</f>
        <v>TN|solar (is not a fuel)</v>
      </c>
      <c r="G829" s="10">
        <f>IF($E829=Keys!$C$60,Keys!$C$51,INDEX(Balanced_2025!$D$9:$D$3032,MATCH($A829&amp;Keys!$C$54&amp;Keys!$C$55&amp;Keys!$C$54&amp;$C829,Balanced_2025!$E$9:$E$3032,0)))</f>
        <v>0</v>
      </c>
      <c r="H829" s="10">
        <f>IF($E829=Keys!$C$60,Keys!$C$51,INDEX(Balanced_2025!$D$9:$D$3032,MATCH($A829&amp;Keys!$C$54&amp;Keys!$C$56&amp;Keys!$C$54&amp;$C829,Balanced_2025!$E$9:$E$3032,0)))</f>
        <v>0</v>
      </c>
      <c r="I829" s="10">
        <f>IF($E829=Keys!$C$60,Keys!$C$51,INDEX(Balanced_2025!$D$9:$D$3032,MATCH($A829&amp;Keys!$C$54&amp;Keys!$C$57&amp;Keys!$C$54&amp;$C829,Balanced_2025!$E$9:$E$3032,0)))</f>
        <v>0</v>
      </c>
      <c r="J829" s="10">
        <f t="shared" si="48"/>
        <v>0</v>
      </c>
      <c r="K829" s="10">
        <f>MAX(Keys!$C$51,$I829-$H829)</f>
        <v>0</v>
      </c>
      <c r="L829" s="10">
        <f t="shared" si="49"/>
        <v>0</v>
      </c>
      <c r="M829" s="11">
        <f>IF($L829&gt;Keys!$C$51,MIN(Keys!$C$52,$K829/$L829),Keys!$C$51)</f>
        <v>0</v>
      </c>
      <c r="N829" s="11">
        <f>IF($E829=Keys!$C$60,Keys!$C$51,IF($E829=Keys!$C$59,$D829,$M829))</f>
        <v>0</v>
      </c>
      <c r="O829">
        <f t="shared" si="50"/>
        <v>0</v>
      </c>
      <c r="P829" s="10">
        <f>IF($E829=Keys!$C$60,Keys!$C$51,INDEX(Raw_BFPIaE!$G$9:$G$3032,MATCH($A829&amp;Keys!$C$54&amp;Keys!$C$55&amp;Keys!$C$54&amp;$B829,Raw_BFPIaE!$H$9:$H$3032,0)))</f>
        <v>0</v>
      </c>
      <c r="Q829" s="10">
        <f>IF($E829=Keys!$C$60,Keys!$C$51,INDEX(Raw_BFPIaE!$G$9:$G$3032,MATCH($A829&amp;Keys!$C$54&amp;Keys!$C$56&amp;Keys!$C$54&amp;$B829,Raw_BFPIaE!$H$9:$H$3032,0)))</f>
        <v>0</v>
      </c>
      <c r="R829" s="10">
        <f>IF($E829=Keys!$C$60,Keys!$C$51,INDEX(Raw_BFPIaE!$G$9:$G$3032,MATCH($A829&amp;Keys!$C$54&amp;Keys!$C$57&amp;Keys!$C$54&amp;$B829,Raw_BFPIaE!$H$9:$H$3032,0)))</f>
        <v>0</v>
      </c>
      <c r="S829" s="11">
        <f>IF(($P829+$Q829-$R829+MAX(Keys!$C$51,$R829-$Q829))&gt;Keys!$C$51,MIN(Keys!$C$52,MAX(Keys!$C$51,$R829-$Q829)/($P829+$Q829-$R829+MAX(Keys!$C$51,$R829-$Q829))),Keys!$C$51)</f>
        <v>0</v>
      </c>
      <c r="T829">
        <f>IF(AND($I829&gt;$H829,ABS($L829-$G829)&gt;MAX(Keys!$C$62,ABS($G829)*Keys!$C$63)),1,0)</f>
        <v>0</v>
      </c>
      <c r="U829">
        <f>IF(OR($N829&lt;Keys!$C$51,$N829&gt;Keys!$C$52),1,0)</f>
        <v>0</v>
      </c>
      <c r="V829">
        <f>IF(AND($E829=Keys!$C$60,$N829&lt;&gt;Keys!$C$51),1,0)</f>
        <v>0</v>
      </c>
      <c r="W829">
        <f>IF($L829&gt;Keys!$C$51,IF($K829/$L829&gt;Keys!$C$52,1,0),0)</f>
        <v>0</v>
      </c>
      <c r="X829" s="11">
        <f t="shared" si="51"/>
        <v>0</v>
      </c>
    </row>
    <row r="830" spans="1:24" x14ac:dyDescent="0.25">
      <c r="A830" t="s">
        <v>161</v>
      </c>
      <c r="B830" t="s">
        <v>82</v>
      </c>
      <c r="C830" t="str">
        <f>VLOOKUP($B830,Keys!$F$2:$I$22,2,FALSE)</f>
        <v>biomass</v>
      </c>
      <c r="D830">
        <f>VLOOKUP($B830,Keys!$F$2:$I$22,3,FALSE)</f>
        <v>0.74947425499999998</v>
      </c>
      <c r="E830" t="str">
        <f>VLOOKUP($B830,Keys!$F$2:$I$22,4,FALSE)</f>
        <v>rule</v>
      </c>
      <c r="F830" t="str">
        <f>$A830&amp;Keys!$C$54&amp;$B830</f>
        <v>TN|biomass</v>
      </c>
      <c r="G830" s="10">
        <f>IF($E830=Keys!$C$60,Keys!$C$51,INDEX(Balanced_2025!$D$9:$D$3032,MATCH($A830&amp;Keys!$C$54&amp;Keys!$C$55&amp;Keys!$C$54&amp;$C830,Balanced_2025!$E$9:$E$3032,0)))</f>
        <v>2792000000000</v>
      </c>
      <c r="H830" s="10">
        <f>IF($E830=Keys!$C$60,Keys!$C$51,INDEX(Balanced_2025!$D$9:$D$3032,MATCH($A830&amp;Keys!$C$54&amp;Keys!$C$56&amp;Keys!$C$54&amp;$C830,Balanced_2025!$E$9:$E$3032,0)))</f>
        <v>46573200000000</v>
      </c>
      <c r="I830" s="10">
        <f>IF($E830=Keys!$C$60,Keys!$C$51,INDEX(Balanced_2025!$D$9:$D$3032,MATCH($A830&amp;Keys!$C$54&amp;Keys!$C$57&amp;Keys!$C$54&amp;$C830,Balanced_2025!$E$9:$E$3032,0)))</f>
        <v>0</v>
      </c>
      <c r="J830" s="10">
        <f t="shared" si="48"/>
        <v>49365200000000</v>
      </c>
      <c r="K830" s="10">
        <f>MAX(Keys!$C$51,$I830-$H830)</f>
        <v>0</v>
      </c>
      <c r="L830" s="10">
        <f t="shared" si="49"/>
        <v>49365200000000</v>
      </c>
      <c r="M830" s="11">
        <f>IF($L830&gt;Keys!$C$51,MIN(Keys!$C$52,$K830/$L830),Keys!$C$51)</f>
        <v>0</v>
      </c>
      <c r="N830" s="11">
        <f>IF($E830=Keys!$C$60,Keys!$C$51,IF($E830=Keys!$C$59,$D830,$M830))</f>
        <v>0</v>
      </c>
      <c r="O830">
        <f t="shared" si="50"/>
        <v>1</v>
      </c>
      <c r="P830" s="10">
        <f>IF($E830=Keys!$C$60,Keys!$C$51,INDEX(Raw_BFPIaE!$G$9:$G$3032,MATCH($A830&amp;Keys!$C$54&amp;Keys!$C$55&amp;Keys!$C$54&amp;$B830,Raw_BFPIaE!$H$9:$H$3032,0)))</f>
        <v>2792000000000</v>
      </c>
      <c r="Q830" s="10">
        <f>IF($E830=Keys!$C$60,Keys!$C$51,INDEX(Raw_BFPIaE!$G$9:$G$3032,MATCH($A830&amp;Keys!$C$54&amp;Keys!$C$56&amp;Keys!$C$54&amp;$B830,Raw_BFPIaE!$H$9:$H$3032,0)))</f>
        <v>32429066666666.668</v>
      </c>
      <c r="R830" s="10">
        <f>IF($E830=Keys!$C$60,Keys!$C$51,INDEX(Raw_BFPIaE!$G$9:$G$3032,MATCH($A830&amp;Keys!$C$54&amp;Keys!$C$57&amp;Keys!$C$54&amp;$B830,Raw_BFPIaE!$H$9:$H$3032,0)))</f>
        <v>0</v>
      </c>
      <c r="S830" s="11">
        <f>IF(($P830+$Q830-$R830+MAX(Keys!$C$51,$R830-$Q830))&gt;Keys!$C$51,MIN(Keys!$C$52,MAX(Keys!$C$51,$R830-$Q830)/($P830+$Q830-$R830+MAX(Keys!$C$51,$R830-$Q830))),Keys!$C$51)</f>
        <v>0</v>
      </c>
      <c r="T830">
        <f>IF(AND($I830&gt;$H830,ABS($L830-$G830)&gt;MAX(Keys!$C$62,ABS($G830)*Keys!$C$63)),1,0)</f>
        <v>0</v>
      </c>
      <c r="U830">
        <f>IF(OR($N830&lt;Keys!$C$51,$N830&gt;Keys!$C$52),1,0)</f>
        <v>0</v>
      </c>
      <c r="V830">
        <f>IF(AND($E830=Keys!$C$60,$N830&lt;&gt;Keys!$C$51),1,0)</f>
        <v>0</v>
      </c>
      <c r="W830">
        <f>IF($L830&gt;Keys!$C$51,IF($K830/$L830&gt;Keys!$C$52,1,0),0)</f>
        <v>0</v>
      </c>
      <c r="X830" s="11">
        <f t="shared" si="51"/>
        <v>0</v>
      </c>
    </row>
    <row r="831" spans="1:24" x14ac:dyDescent="0.25">
      <c r="A831" t="s">
        <v>161</v>
      </c>
      <c r="B831" t="s">
        <v>85</v>
      </c>
      <c r="C831" t="str">
        <f>VLOOKUP($B831,Keys!$F$2:$I$22,2,FALSE)</f>
        <v>petroleum gasoline</v>
      </c>
      <c r="D831">
        <f>VLOOKUP($B831,Keys!$F$2:$I$22,3,FALSE)</f>
        <v>7.5004052000000002E-2</v>
      </c>
      <c r="E831" t="str">
        <f>VLOOKUP($B831,Keys!$F$2:$I$22,4,FALSE)</f>
        <v>rule</v>
      </c>
      <c r="F831" t="str">
        <f>$A831&amp;Keys!$C$54&amp;$B831</f>
        <v>TN|petroleum gasoline</v>
      </c>
      <c r="G831" s="10">
        <f>IF($E831=Keys!$C$60,Keys!$C$51,INDEX(Balanced_2025!$D$9:$D$3032,MATCH($A831&amp;Keys!$C$54&amp;Keys!$C$55&amp;Keys!$C$54&amp;$C831,Balanced_2025!$E$9:$E$3032,0)))</f>
        <v>174690000000000</v>
      </c>
      <c r="H831" s="10">
        <f>IF($E831=Keys!$C$60,Keys!$C$51,INDEX(Balanced_2025!$D$9:$D$3032,MATCH($A831&amp;Keys!$C$54&amp;Keys!$C$56&amp;Keys!$C$54&amp;$C831,Balanced_2025!$E$9:$E$3032,0)))</f>
        <v>198350000000000</v>
      </c>
      <c r="I831" s="10">
        <f>IF($E831=Keys!$C$60,Keys!$C$51,INDEX(Balanced_2025!$D$9:$D$3032,MATCH($A831&amp;Keys!$C$54&amp;Keys!$C$57&amp;Keys!$C$54&amp;$C831,Balanced_2025!$E$9:$E$3032,0)))</f>
        <v>0</v>
      </c>
      <c r="J831" s="10">
        <f t="shared" si="48"/>
        <v>373040000000000</v>
      </c>
      <c r="K831" s="10">
        <f>MAX(Keys!$C$51,$I831-$H831)</f>
        <v>0</v>
      </c>
      <c r="L831" s="10">
        <f t="shared" si="49"/>
        <v>373040000000000</v>
      </c>
      <c r="M831" s="11">
        <f>IF($L831&gt;Keys!$C$51,MIN(Keys!$C$52,$K831/$L831),Keys!$C$51)</f>
        <v>0</v>
      </c>
      <c r="N831" s="11">
        <f>IF($E831=Keys!$C$60,Keys!$C$51,IF($E831=Keys!$C$59,$D831,$M831))</f>
        <v>0</v>
      </c>
      <c r="O831">
        <f t="shared" si="50"/>
        <v>1</v>
      </c>
      <c r="P831" s="10">
        <f>IF($E831=Keys!$C$60,Keys!$C$51,INDEX(Raw_BFPIaE!$G$9:$G$3032,MATCH($A831&amp;Keys!$C$54&amp;Keys!$C$55&amp;Keys!$C$54&amp;$B831,Raw_BFPIaE!$H$9:$H$3032,0)))</f>
        <v>173278666666666.66</v>
      </c>
      <c r="Q831" s="10">
        <f>IF($E831=Keys!$C$60,Keys!$C$51,INDEX(Raw_BFPIaE!$G$9:$G$3032,MATCH($A831&amp;Keys!$C$54&amp;Keys!$C$56&amp;Keys!$C$54&amp;$B831,Raw_BFPIaE!$H$9:$H$3032,0)))</f>
        <v>119568000000000</v>
      </c>
      <c r="R831" s="10">
        <f>IF($E831=Keys!$C$60,Keys!$C$51,INDEX(Raw_BFPIaE!$G$9:$G$3032,MATCH($A831&amp;Keys!$C$54&amp;Keys!$C$57&amp;Keys!$C$54&amp;$B831,Raw_BFPIaE!$H$9:$H$3032,0)))</f>
        <v>0</v>
      </c>
      <c r="S831" s="11">
        <f>IF(($P831+$Q831-$R831+MAX(Keys!$C$51,$R831-$Q831))&gt;Keys!$C$51,MIN(Keys!$C$52,MAX(Keys!$C$51,$R831-$Q831)/($P831+$Q831-$R831+MAX(Keys!$C$51,$R831-$Q831))),Keys!$C$51)</f>
        <v>0</v>
      </c>
      <c r="T831">
        <f>IF(AND($I831&gt;$H831,ABS($L831-$G831)&gt;MAX(Keys!$C$62,ABS($G831)*Keys!$C$63)),1,0)</f>
        <v>0</v>
      </c>
      <c r="U831">
        <f>IF(OR($N831&lt;Keys!$C$51,$N831&gt;Keys!$C$52),1,0)</f>
        <v>0</v>
      </c>
      <c r="V831">
        <f>IF(AND($E831=Keys!$C$60,$N831&lt;&gt;Keys!$C$51),1,0)</f>
        <v>0</v>
      </c>
      <c r="W831">
        <f>IF($L831&gt;Keys!$C$51,IF($K831/$L831&gt;Keys!$C$52,1,0),0)</f>
        <v>0</v>
      </c>
      <c r="X831" s="11">
        <f t="shared" si="51"/>
        <v>0</v>
      </c>
    </row>
    <row r="832" spans="1:24" x14ac:dyDescent="0.25">
      <c r="A832" t="s">
        <v>161</v>
      </c>
      <c r="B832" t="s">
        <v>88</v>
      </c>
      <c r="C832" t="str">
        <f>VLOOKUP($B832,Keys!$F$2:$I$22,2,FALSE)</f>
        <v>petroleum diesel</v>
      </c>
      <c r="D832">
        <f>VLOOKUP($B832,Keys!$F$2:$I$22,3,FALSE)</f>
        <v>0.26691051799999999</v>
      </c>
      <c r="E832" t="str">
        <f>VLOOKUP($B832,Keys!$F$2:$I$22,4,FALSE)</f>
        <v>rule</v>
      </c>
      <c r="F832" t="str">
        <f>$A832&amp;Keys!$C$54&amp;$B832</f>
        <v>TN|petroleum diesel</v>
      </c>
      <c r="G832" s="10">
        <f>IF($E832=Keys!$C$60,Keys!$C$51,INDEX(Balanced_2025!$D$9:$D$3032,MATCH($A832&amp;Keys!$C$54&amp;Keys!$C$55&amp;Keys!$C$54&amp;$C832,Balanced_2025!$E$9:$E$3032,0)))</f>
        <v>103332000000000</v>
      </c>
      <c r="H832" s="10">
        <f>IF($E832=Keys!$C$60,Keys!$C$51,INDEX(Balanced_2025!$D$9:$D$3032,MATCH($A832&amp;Keys!$C$54&amp;Keys!$C$56&amp;Keys!$C$54&amp;$C832,Balanced_2025!$E$9:$E$3032,0)))</f>
        <v>78904600000000</v>
      </c>
      <c r="I832" s="10">
        <f>IF($E832=Keys!$C$60,Keys!$C$51,INDEX(Balanced_2025!$D$9:$D$3032,MATCH($A832&amp;Keys!$C$54&amp;Keys!$C$57&amp;Keys!$C$54&amp;$C832,Balanced_2025!$E$9:$E$3032,0)))</f>
        <v>0</v>
      </c>
      <c r="J832" s="10">
        <f t="shared" si="48"/>
        <v>182236600000000</v>
      </c>
      <c r="K832" s="10">
        <f>MAX(Keys!$C$51,$I832-$H832)</f>
        <v>0</v>
      </c>
      <c r="L832" s="10">
        <f t="shared" si="49"/>
        <v>182236600000000</v>
      </c>
      <c r="M832" s="11">
        <f>IF($L832&gt;Keys!$C$51,MIN(Keys!$C$52,$K832/$L832),Keys!$C$51)</f>
        <v>0</v>
      </c>
      <c r="N832" s="11">
        <f>IF($E832=Keys!$C$60,Keys!$C$51,IF($E832=Keys!$C$59,$D832,$M832))</f>
        <v>0</v>
      </c>
      <c r="O832">
        <f t="shared" si="50"/>
        <v>1</v>
      </c>
      <c r="P832" s="10">
        <f>IF($E832=Keys!$C$60,Keys!$C$51,INDEX(Raw_BFPIaE!$G$9:$G$3032,MATCH($A832&amp;Keys!$C$54&amp;Keys!$C$55&amp;Keys!$C$54&amp;$B832,Raw_BFPIaE!$H$9:$H$3032,0)))</f>
        <v>102497000000000</v>
      </c>
      <c r="Q832" s="10">
        <f>IF($E832=Keys!$C$60,Keys!$C$51,INDEX(Raw_BFPIaE!$G$9:$G$3032,MATCH($A832&amp;Keys!$C$54&amp;Keys!$C$56&amp;Keys!$C$54&amp;$B832,Raw_BFPIaE!$H$9:$H$3032,0)))</f>
        <v>51477433333333.336</v>
      </c>
      <c r="R832" s="10">
        <f>IF($E832=Keys!$C$60,Keys!$C$51,INDEX(Raw_BFPIaE!$G$9:$G$3032,MATCH($A832&amp;Keys!$C$54&amp;Keys!$C$57&amp;Keys!$C$54&amp;$B832,Raw_BFPIaE!$H$9:$H$3032,0)))</f>
        <v>0</v>
      </c>
      <c r="S832" s="11">
        <f>IF(($P832+$Q832-$R832+MAX(Keys!$C$51,$R832-$Q832))&gt;Keys!$C$51,MIN(Keys!$C$52,MAX(Keys!$C$51,$R832-$Q832)/($P832+$Q832-$R832+MAX(Keys!$C$51,$R832-$Q832))),Keys!$C$51)</f>
        <v>0</v>
      </c>
      <c r="T832">
        <f>IF(AND($I832&gt;$H832,ABS($L832-$G832)&gt;MAX(Keys!$C$62,ABS($G832)*Keys!$C$63)),1,0)</f>
        <v>0</v>
      </c>
      <c r="U832">
        <f>IF(OR($N832&lt;Keys!$C$51,$N832&gt;Keys!$C$52),1,0)</f>
        <v>0</v>
      </c>
      <c r="V832">
        <f>IF(AND($E832=Keys!$C$60,$N832&lt;&gt;Keys!$C$51),1,0)</f>
        <v>0</v>
      </c>
      <c r="W832">
        <f>IF($L832&gt;Keys!$C$51,IF($K832/$L832&gt;Keys!$C$52,1,0),0)</f>
        <v>0</v>
      </c>
      <c r="X832" s="11">
        <f t="shared" si="51"/>
        <v>0</v>
      </c>
    </row>
    <row r="833" spans="1:24" x14ac:dyDescent="0.25">
      <c r="A833" t="s">
        <v>161</v>
      </c>
      <c r="B833" t="s">
        <v>91</v>
      </c>
      <c r="C833" t="str">
        <f>VLOOKUP($B833,Keys!$F$2:$I$22,2,FALSE)</f>
        <v>biofuel gasoline</v>
      </c>
      <c r="D833">
        <f>VLOOKUP($B833,Keys!$F$2:$I$22,3,FALSE)</f>
        <v>8.7213884000000005E-2</v>
      </c>
      <c r="E833" t="str">
        <f>VLOOKUP($B833,Keys!$F$2:$I$22,4,FALSE)</f>
        <v>rule</v>
      </c>
      <c r="F833" t="str">
        <f>$A833&amp;Keys!$C$54&amp;$B833</f>
        <v>TN|biofuel gasoline</v>
      </c>
      <c r="G833" s="10">
        <f>IF($E833=Keys!$C$60,Keys!$C$51,INDEX(Balanced_2025!$D$9:$D$3032,MATCH($A833&amp;Keys!$C$54&amp;Keys!$C$55&amp;Keys!$C$54&amp;$C833,Balanced_2025!$E$9:$E$3032,0)))</f>
        <v>14025700000000</v>
      </c>
      <c r="H833" s="10">
        <f>IF($E833=Keys!$C$60,Keys!$C$51,INDEX(Balanced_2025!$D$9:$D$3032,MATCH($A833&amp;Keys!$C$54&amp;Keys!$C$56&amp;Keys!$C$54&amp;$C833,Balanced_2025!$E$9:$E$3032,0)))</f>
        <v>11639200000000</v>
      </c>
      <c r="I833" s="10">
        <f>IF($E833=Keys!$C$60,Keys!$C$51,INDEX(Balanced_2025!$D$9:$D$3032,MATCH($A833&amp;Keys!$C$54&amp;Keys!$C$57&amp;Keys!$C$54&amp;$C833,Balanced_2025!$E$9:$E$3032,0)))</f>
        <v>0</v>
      </c>
      <c r="J833" s="10">
        <f t="shared" si="48"/>
        <v>25664900000000</v>
      </c>
      <c r="K833" s="10">
        <f>MAX(Keys!$C$51,$I833-$H833)</f>
        <v>0</v>
      </c>
      <c r="L833" s="10">
        <f t="shared" si="49"/>
        <v>25664900000000</v>
      </c>
      <c r="M833" s="11">
        <f>IF($L833&gt;Keys!$C$51,MIN(Keys!$C$52,$K833/$L833),Keys!$C$51)</f>
        <v>0</v>
      </c>
      <c r="N833" s="11">
        <f>IF($E833=Keys!$C$60,Keys!$C$51,IF($E833=Keys!$C$59,$D833,$M833))</f>
        <v>0</v>
      </c>
      <c r="O833">
        <f t="shared" si="50"/>
        <v>1</v>
      </c>
      <c r="P833" s="10">
        <f>IF($E833=Keys!$C$60,Keys!$C$51,INDEX(Raw_BFPIaE!$G$9:$G$3032,MATCH($A833&amp;Keys!$C$54&amp;Keys!$C$55&amp;Keys!$C$54&amp;$B833,Raw_BFPIaE!$H$9:$H$3032,0)))</f>
        <v>14038866666666.666</v>
      </c>
      <c r="Q833" s="10">
        <f>IF($E833=Keys!$C$60,Keys!$C$51,INDEX(Raw_BFPIaE!$G$9:$G$3032,MATCH($A833&amp;Keys!$C$54&amp;Keys!$C$56&amp;Keys!$C$54&amp;$B833,Raw_BFPIaE!$H$9:$H$3032,0)))</f>
        <v>6771686666666.667</v>
      </c>
      <c r="R833" s="10">
        <f>IF($E833=Keys!$C$60,Keys!$C$51,INDEX(Raw_BFPIaE!$G$9:$G$3032,MATCH($A833&amp;Keys!$C$54&amp;Keys!$C$57&amp;Keys!$C$54&amp;$B833,Raw_BFPIaE!$H$9:$H$3032,0)))</f>
        <v>0</v>
      </c>
      <c r="S833" s="11">
        <f>IF(($P833+$Q833-$R833+MAX(Keys!$C$51,$R833-$Q833))&gt;Keys!$C$51,MIN(Keys!$C$52,MAX(Keys!$C$51,$R833-$Q833)/($P833+$Q833-$R833+MAX(Keys!$C$51,$R833-$Q833))),Keys!$C$51)</f>
        <v>0</v>
      </c>
      <c r="T833">
        <f>IF(AND($I833&gt;$H833,ABS($L833-$G833)&gt;MAX(Keys!$C$62,ABS($G833)*Keys!$C$63)),1,0)</f>
        <v>0</v>
      </c>
      <c r="U833">
        <f>IF(OR($N833&lt;Keys!$C$51,$N833&gt;Keys!$C$52),1,0)</f>
        <v>0</v>
      </c>
      <c r="V833">
        <f>IF(AND($E833=Keys!$C$60,$N833&lt;&gt;Keys!$C$51),1,0)</f>
        <v>0</v>
      </c>
      <c r="W833">
        <f>IF($L833&gt;Keys!$C$51,IF($K833/$L833&gt;Keys!$C$52,1,0),0)</f>
        <v>0</v>
      </c>
      <c r="X833" s="11">
        <f t="shared" si="51"/>
        <v>0</v>
      </c>
    </row>
    <row r="834" spans="1:24" x14ac:dyDescent="0.25">
      <c r="A834" t="s">
        <v>161</v>
      </c>
      <c r="B834" t="s">
        <v>94</v>
      </c>
      <c r="C834" t="str">
        <f>VLOOKUP($B834,Keys!$F$2:$I$22,2,FALSE)</f>
        <v>biofuel diesel</v>
      </c>
      <c r="D834">
        <f>VLOOKUP($B834,Keys!$F$2:$I$22,3,FALSE)</f>
        <v>5.8642381E-2</v>
      </c>
      <c r="E834" t="str">
        <f>VLOOKUP($B834,Keys!$F$2:$I$22,4,FALSE)</f>
        <v>rule</v>
      </c>
      <c r="F834" t="str">
        <f>$A834&amp;Keys!$C$54&amp;$B834</f>
        <v>TN|biofuel diesel</v>
      </c>
      <c r="G834" s="10">
        <f>IF($E834=Keys!$C$60,Keys!$C$51,INDEX(Balanced_2025!$D$9:$D$3032,MATCH($A834&amp;Keys!$C$54&amp;Keys!$C$55&amp;Keys!$C$54&amp;$C834,Balanced_2025!$E$9:$E$3032,0)))</f>
        <v>11661600000000</v>
      </c>
      <c r="H834" s="10">
        <f>IF($E834=Keys!$C$60,Keys!$C$51,INDEX(Balanced_2025!$D$9:$D$3032,MATCH($A834&amp;Keys!$C$54&amp;Keys!$C$56&amp;Keys!$C$54&amp;$C834,Balanced_2025!$E$9:$E$3032,0)))</f>
        <v>80702500000</v>
      </c>
      <c r="I834" s="10">
        <f>IF($E834=Keys!$C$60,Keys!$C$51,INDEX(Balanced_2025!$D$9:$D$3032,MATCH($A834&amp;Keys!$C$54&amp;Keys!$C$57&amp;Keys!$C$54&amp;$C834,Balanced_2025!$E$9:$E$3032,0)))</f>
        <v>8213870000000</v>
      </c>
      <c r="J834" s="10">
        <f t="shared" si="48"/>
        <v>3528432500000</v>
      </c>
      <c r="K834" s="10">
        <f>MAX(Keys!$C$51,$I834-$H834)</f>
        <v>8133167500000</v>
      </c>
      <c r="L834" s="10">
        <f t="shared" si="49"/>
        <v>11661600000000</v>
      </c>
      <c r="M834" s="11">
        <f>IF($L834&gt;Keys!$C$51,MIN(Keys!$C$52,$K834/$L834),Keys!$C$51)</f>
        <v>0.69743152740618786</v>
      </c>
      <c r="N834" s="11">
        <f>IF($E834=Keys!$C$60,Keys!$C$51,IF($E834=Keys!$C$59,$D834,$M834))</f>
        <v>0.69743152740618786</v>
      </c>
      <c r="O834">
        <f t="shared" si="50"/>
        <v>1</v>
      </c>
      <c r="P834" s="10">
        <f>IF($E834=Keys!$C$60,Keys!$C$51,INDEX(Raw_BFPIaE!$G$9:$G$3032,MATCH($A834&amp;Keys!$C$54&amp;Keys!$C$55&amp;Keys!$C$54&amp;$B834,Raw_BFPIaE!$H$9:$H$3032,0)))</f>
        <v>12391866666666.666</v>
      </c>
      <c r="Q834" s="10">
        <f>IF($E834=Keys!$C$60,Keys!$C$51,INDEX(Raw_BFPIaE!$G$9:$G$3032,MATCH($A834&amp;Keys!$C$54&amp;Keys!$C$56&amp;Keys!$C$54&amp;$B834,Raw_BFPIaE!$H$9:$H$3032,0)))</f>
        <v>0</v>
      </c>
      <c r="R834" s="10">
        <f>IF($E834=Keys!$C$60,Keys!$C$51,INDEX(Raw_BFPIaE!$G$9:$G$3032,MATCH($A834&amp;Keys!$C$54&amp;Keys!$C$57&amp;Keys!$C$54&amp;$B834,Raw_BFPIaE!$H$9:$H$3032,0)))</f>
        <v>6173190000000</v>
      </c>
      <c r="S834" s="11">
        <f>IF(($P834+$Q834-$R834+MAX(Keys!$C$51,$R834-$Q834))&gt;Keys!$C$51,MIN(Keys!$C$52,MAX(Keys!$C$51,$R834-$Q834)/($P834+$Q834-$R834+MAX(Keys!$C$51,$R834-$Q834))),Keys!$C$51)</f>
        <v>0.49816465638752305</v>
      </c>
      <c r="T834">
        <f>IF(AND($I834&gt;$H834,ABS($L834-$G834)&gt;MAX(Keys!$C$62,ABS($G834)*Keys!$C$63)),1,0)</f>
        <v>0</v>
      </c>
      <c r="U834">
        <f>IF(OR($N834&lt;Keys!$C$51,$N834&gt;Keys!$C$52),1,0)</f>
        <v>0</v>
      </c>
      <c r="V834">
        <f>IF(AND($E834=Keys!$C$60,$N834&lt;&gt;Keys!$C$51),1,0)</f>
        <v>0</v>
      </c>
      <c r="W834">
        <f>IF($L834&gt;Keys!$C$51,IF($K834/$L834&gt;Keys!$C$52,1,0),0)</f>
        <v>0</v>
      </c>
      <c r="X834" s="11">
        <f t="shared" si="51"/>
        <v>0.1992668710186648</v>
      </c>
    </row>
    <row r="835" spans="1:24" x14ac:dyDescent="0.25">
      <c r="A835" t="s">
        <v>161</v>
      </c>
      <c r="B835" t="s">
        <v>97</v>
      </c>
      <c r="C835" t="str">
        <f>VLOOKUP($B835,Keys!$F$2:$I$22,2,FALSE)</f>
        <v>jet fuel or kerosene</v>
      </c>
      <c r="D835">
        <f>VLOOKUP($B835,Keys!$F$2:$I$22,3,FALSE)</f>
        <v>0.10155994</v>
      </c>
      <c r="E835" t="str">
        <f>VLOOKUP($B835,Keys!$F$2:$I$22,4,FALSE)</f>
        <v>rule</v>
      </c>
      <c r="F835" t="str">
        <f>$A835&amp;Keys!$C$54&amp;$B835</f>
        <v>TN|jet fuel or kerosene</v>
      </c>
      <c r="G835" s="10">
        <f>IF($E835=Keys!$C$60,Keys!$C$51,INDEX(Balanced_2025!$D$9:$D$3032,MATCH($A835&amp;Keys!$C$54&amp;Keys!$C$55&amp;Keys!$C$54&amp;$C835,Balanced_2025!$E$9:$E$3032,0)))</f>
        <v>36784000000000</v>
      </c>
      <c r="H835" s="10">
        <f>IF($E835=Keys!$C$60,Keys!$C$51,INDEX(Balanced_2025!$D$9:$D$3032,MATCH($A835&amp;Keys!$C$54&amp;Keys!$C$56&amp;Keys!$C$54&amp;$C835,Balanced_2025!$E$9:$E$3032,0)))</f>
        <v>42392500000000</v>
      </c>
      <c r="I835" s="10">
        <f>IF($E835=Keys!$C$60,Keys!$C$51,INDEX(Balanced_2025!$D$9:$D$3032,MATCH($A835&amp;Keys!$C$54&amp;Keys!$C$57&amp;Keys!$C$54&amp;$C835,Balanced_2025!$E$9:$E$3032,0)))</f>
        <v>0</v>
      </c>
      <c r="J835" s="10">
        <f t="shared" si="48"/>
        <v>79176500000000</v>
      </c>
      <c r="K835" s="10">
        <f>MAX(Keys!$C$51,$I835-$H835)</f>
        <v>0</v>
      </c>
      <c r="L835" s="10">
        <f t="shared" si="49"/>
        <v>79176500000000</v>
      </c>
      <c r="M835" s="11">
        <f>IF($L835&gt;Keys!$C$51,MIN(Keys!$C$52,$K835/$L835),Keys!$C$51)</f>
        <v>0</v>
      </c>
      <c r="N835" s="11">
        <f>IF($E835=Keys!$C$60,Keys!$C$51,IF($E835=Keys!$C$59,$D835,$M835))</f>
        <v>0</v>
      </c>
      <c r="O835">
        <f t="shared" si="50"/>
        <v>1</v>
      </c>
      <c r="P835" s="10">
        <f>IF($E835=Keys!$C$60,Keys!$C$51,INDEX(Raw_BFPIaE!$G$9:$G$3032,MATCH($A835&amp;Keys!$C$54&amp;Keys!$C$55&amp;Keys!$C$54&amp;$B835,Raw_BFPIaE!$H$9:$H$3032,0)))</f>
        <v>36486833333333.336</v>
      </c>
      <c r="Q835" s="10">
        <f>IF($E835=Keys!$C$60,Keys!$C$51,INDEX(Raw_BFPIaE!$G$9:$G$3032,MATCH($A835&amp;Keys!$C$54&amp;Keys!$C$56&amp;Keys!$C$54&amp;$B835,Raw_BFPIaE!$H$9:$H$3032,0)))</f>
        <v>30061300000000</v>
      </c>
      <c r="R835" s="10">
        <f>IF($E835=Keys!$C$60,Keys!$C$51,INDEX(Raw_BFPIaE!$G$9:$G$3032,MATCH($A835&amp;Keys!$C$54&amp;Keys!$C$57&amp;Keys!$C$54&amp;$B835,Raw_BFPIaE!$H$9:$H$3032,0)))</f>
        <v>0</v>
      </c>
      <c r="S835" s="11">
        <f>IF(($P835+$Q835-$R835+MAX(Keys!$C$51,$R835-$Q835))&gt;Keys!$C$51,MIN(Keys!$C$52,MAX(Keys!$C$51,$R835-$Q835)/($P835+$Q835-$R835+MAX(Keys!$C$51,$R835-$Q835))),Keys!$C$51)</f>
        <v>0</v>
      </c>
      <c r="T835">
        <f>IF(AND($I835&gt;$H835,ABS($L835-$G835)&gt;MAX(Keys!$C$62,ABS($G835)*Keys!$C$63)),1,0)</f>
        <v>0</v>
      </c>
      <c r="U835">
        <f>IF(OR($N835&lt;Keys!$C$51,$N835&gt;Keys!$C$52),1,0)</f>
        <v>0</v>
      </c>
      <c r="V835">
        <f>IF(AND($E835=Keys!$C$60,$N835&lt;&gt;Keys!$C$51),1,0)</f>
        <v>0</v>
      </c>
      <c r="W835">
        <f>IF($L835&gt;Keys!$C$51,IF($K835/$L835&gt;Keys!$C$52,1,0),0)</f>
        <v>0</v>
      </c>
      <c r="X835" s="11">
        <f t="shared" si="51"/>
        <v>0</v>
      </c>
    </row>
    <row r="836" spans="1:24" x14ac:dyDescent="0.25">
      <c r="A836" t="s">
        <v>161</v>
      </c>
      <c r="B836" t="s">
        <v>100</v>
      </c>
      <c r="C836">
        <f>VLOOKUP($B836,Keys!$F$2:$I$22,2,FALSE)</f>
        <v>0</v>
      </c>
      <c r="D836">
        <f>VLOOKUP($B836,Keys!$F$2:$I$22,3,FALSE)</f>
        <v>0</v>
      </c>
      <c r="E836" t="str">
        <f>VLOOKUP($B836,Keys!$F$2:$I$22,4,FALSE)</f>
        <v>zero</v>
      </c>
      <c r="F836" t="str">
        <f>$A836&amp;Keys!$C$54&amp;$B836</f>
        <v>TN|heat (not used in this variable)</v>
      </c>
      <c r="G836" s="10">
        <f>IF($E836=Keys!$C$60,Keys!$C$51,INDEX(Balanced_2025!$D$9:$D$3032,MATCH($A836&amp;Keys!$C$54&amp;Keys!$C$55&amp;Keys!$C$54&amp;$C836,Balanced_2025!$E$9:$E$3032,0)))</f>
        <v>0</v>
      </c>
      <c r="H836" s="10">
        <f>IF($E836=Keys!$C$60,Keys!$C$51,INDEX(Balanced_2025!$D$9:$D$3032,MATCH($A836&amp;Keys!$C$54&amp;Keys!$C$56&amp;Keys!$C$54&amp;$C836,Balanced_2025!$E$9:$E$3032,0)))</f>
        <v>0</v>
      </c>
      <c r="I836" s="10">
        <f>IF($E836=Keys!$C$60,Keys!$C$51,INDEX(Balanced_2025!$D$9:$D$3032,MATCH($A836&amp;Keys!$C$54&amp;Keys!$C$57&amp;Keys!$C$54&amp;$C836,Balanced_2025!$E$9:$E$3032,0)))</f>
        <v>0</v>
      </c>
      <c r="J836" s="10">
        <f t="shared" ref="J836:J899" si="52">$G836+$H836-$I836</f>
        <v>0</v>
      </c>
      <c r="K836" s="10">
        <f>MAX(Keys!$C$51,$I836-$H836)</f>
        <v>0</v>
      </c>
      <c r="L836" s="10">
        <f t="shared" ref="L836:L899" si="53">$K836+$J836</f>
        <v>0</v>
      </c>
      <c r="M836" s="11">
        <f>IF($L836&gt;Keys!$C$51,MIN(Keys!$C$52,$K836/$L836),Keys!$C$51)</f>
        <v>0</v>
      </c>
      <c r="N836" s="11">
        <f>IF($E836=Keys!$C$60,Keys!$C$51,IF($E836=Keys!$C$59,$D836,$M836))</f>
        <v>0</v>
      </c>
      <c r="O836">
        <f t="shared" ref="O836:O899" si="54">IF($N836&lt;&gt;$D836,1,0)</f>
        <v>0</v>
      </c>
      <c r="P836" s="10">
        <f>IF($E836=Keys!$C$60,Keys!$C$51,INDEX(Raw_BFPIaE!$G$9:$G$3032,MATCH($A836&amp;Keys!$C$54&amp;Keys!$C$55&amp;Keys!$C$54&amp;$B836,Raw_BFPIaE!$H$9:$H$3032,0)))</f>
        <v>0</v>
      </c>
      <c r="Q836" s="10">
        <f>IF($E836=Keys!$C$60,Keys!$C$51,INDEX(Raw_BFPIaE!$G$9:$G$3032,MATCH($A836&amp;Keys!$C$54&amp;Keys!$C$56&amp;Keys!$C$54&amp;$B836,Raw_BFPIaE!$H$9:$H$3032,0)))</f>
        <v>0</v>
      </c>
      <c r="R836" s="10">
        <f>IF($E836=Keys!$C$60,Keys!$C$51,INDEX(Raw_BFPIaE!$G$9:$G$3032,MATCH($A836&amp;Keys!$C$54&amp;Keys!$C$57&amp;Keys!$C$54&amp;$B836,Raw_BFPIaE!$H$9:$H$3032,0)))</f>
        <v>0</v>
      </c>
      <c r="S836" s="11">
        <f>IF(($P836+$Q836-$R836+MAX(Keys!$C$51,$R836-$Q836))&gt;Keys!$C$51,MIN(Keys!$C$52,MAX(Keys!$C$51,$R836-$Q836)/($P836+$Q836-$R836+MAX(Keys!$C$51,$R836-$Q836))),Keys!$C$51)</f>
        <v>0</v>
      </c>
      <c r="T836">
        <f>IF(AND($I836&gt;$H836,ABS($L836-$G836)&gt;MAX(Keys!$C$62,ABS($G836)*Keys!$C$63)),1,0)</f>
        <v>0</v>
      </c>
      <c r="U836">
        <f>IF(OR($N836&lt;Keys!$C$51,$N836&gt;Keys!$C$52),1,0)</f>
        <v>0</v>
      </c>
      <c r="V836">
        <f>IF(AND($E836=Keys!$C$60,$N836&lt;&gt;Keys!$C$51),1,0)</f>
        <v>0</v>
      </c>
      <c r="W836">
        <f>IF($L836&gt;Keys!$C$51,IF($K836/$L836&gt;Keys!$C$52,1,0),0)</f>
        <v>0</v>
      </c>
      <c r="X836" s="11">
        <f t="shared" ref="X836:X899" si="55">ABS($M836-$S836)</f>
        <v>0</v>
      </c>
    </row>
    <row r="837" spans="1:24" x14ac:dyDescent="0.25">
      <c r="A837" t="s">
        <v>161</v>
      </c>
      <c r="B837" t="s">
        <v>103</v>
      </c>
      <c r="C837">
        <f>VLOOKUP($B837,Keys!$F$2:$I$22,2,FALSE)</f>
        <v>0</v>
      </c>
      <c r="D837">
        <f>VLOOKUP($B837,Keys!$F$2:$I$22,3,FALSE)</f>
        <v>0</v>
      </c>
      <c r="E837" t="str">
        <f>VLOOKUP($B837,Keys!$F$2:$I$22,4,FALSE)</f>
        <v>zero</v>
      </c>
      <c r="F837" t="str">
        <f>$A837&amp;Keys!$C$54&amp;$B837</f>
        <v>TN|geothermal (is not a fuel)</v>
      </c>
      <c r="G837" s="10">
        <f>IF($E837=Keys!$C$60,Keys!$C$51,INDEX(Balanced_2025!$D$9:$D$3032,MATCH($A837&amp;Keys!$C$54&amp;Keys!$C$55&amp;Keys!$C$54&amp;$C837,Balanced_2025!$E$9:$E$3032,0)))</f>
        <v>0</v>
      </c>
      <c r="H837" s="10">
        <f>IF($E837=Keys!$C$60,Keys!$C$51,INDEX(Balanced_2025!$D$9:$D$3032,MATCH($A837&amp;Keys!$C$54&amp;Keys!$C$56&amp;Keys!$C$54&amp;$C837,Balanced_2025!$E$9:$E$3032,0)))</f>
        <v>0</v>
      </c>
      <c r="I837" s="10">
        <f>IF($E837=Keys!$C$60,Keys!$C$51,INDEX(Balanced_2025!$D$9:$D$3032,MATCH($A837&amp;Keys!$C$54&amp;Keys!$C$57&amp;Keys!$C$54&amp;$C837,Balanced_2025!$E$9:$E$3032,0)))</f>
        <v>0</v>
      </c>
      <c r="J837" s="10">
        <f t="shared" si="52"/>
        <v>0</v>
      </c>
      <c r="K837" s="10">
        <f>MAX(Keys!$C$51,$I837-$H837)</f>
        <v>0</v>
      </c>
      <c r="L837" s="10">
        <f t="shared" si="53"/>
        <v>0</v>
      </c>
      <c r="M837" s="11">
        <f>IF($L837&gt;Keys!$C$51,MIN(Keys!$C$52,$K837/$L837),Keys!$C$51)</f>
        <v>0</v>
      </c>
      <c r="N837" s="11">
        <f>IF($E837=Keys!$C$60,Keys!$C$51,IF($E837=Keys!$C$59,$D837,$M837))</f>
        <v>0</v>
      </c>
      <c r="O837">
        <f t="shared" si="54"/>
        <v>0</v>
      </c>
      <c r="P837" s="10">
        <f>IF($E837=Keys!$C$60,Keys!$C$51,INDEX(Raw_BFPIaE!$G$9:$G$3032,MATCH($A837&amp;Keys!$C$54&amp;Keys!$C$55&amp;Keys!$C$54&amp;$B837,Raw_BFPIaE!$H$9:$H$3032,0)))</f>
        <v>0</v>
      </c>
      <c r="Q837" s="10">
        <f>IF($E837=Keys!$C$60,Keys!$C$51,INDEX(Raw_BFPIaE!$G$9:$G$3032,MATCH($A837&amp;Keys!$C$54&amp;Keys!$C$56&amp;Keys!$C$54&amp;$B837,Raw_BFPIaE!$H$9:$H$3032,0)))</f>
        <v>0</v>
      </c>
      <c r="R837" s="10">
        <f>IF($E837=Keys!$C$60,Keys!$C$51,INDEX(Raw_BFPIaE!$G$9:$G$3032,MATCH($A837&amp;Keys!$C$54&amp;Keys!$C$57&amp;Keys!$C$54&amp;$B837,Raw_BFPIaE!$H$9:$H$3032,0)))</f>
        <v>0</v>
      </c>
      <c r="S837" s="11">
        <f>IF(($P837+$Q837-$R837+MAX(Keys!$C$51,$R837-$Q837))&gt;Keys!$C$51,MIN(Keys!$C$52,MAX(Keys!$C$51,$R837-$Q837)/($P837+$Q837-$R837+MAX(Keys!$C$51,$R837-$Q837))),Keys!$C$51)</f>
        <v>0</v>
      </c>
      <c r="T837">
        <f>IF(AND($I837&gt;$H837,ABS($L837-$G837)&gt;MAX(Keys!$C$62,ABS($G837)*Keys!$C$63)),1,0)</f>
        <v>0</v>
      </c>
      <c r="U837">
        <f>IF(OR($N837&lt;Keys!$C$51,$N837&gt;Keys!$C$52),1,0)</f>
        <v>0</v>
      </c>
      <c r="V837">
        <f>IF(AND($E837=Keys!$C$60,$N837&lt;&gt;Keys!$C$51),1,0)</f>
        <v>0</v>
      </c>
      <c r="W837">
        <f>IF($L837&gt;Keys!$C$51,IF($K837/$L837&gt;Keys!$C$52,1,0),0)</f>
        <v>0</v>
      </c>
      <c r="X837" s="11">
        <f t="shared" si="55"/>
        <v>0</v>
      </c>
    </row>
    <row r="838" spans="1:24" x14ac:dyDescent="0.25">
      <c r="A838" t="s">
        <v>161</v>
      </c>
      <c r="B838" t="s">
        <v>106</v>
      </c>
      <c r="C838" t="str">
        <f>VLOOKUP($B838,Keys!$F$2:$I$22,2,FALSE)</f>
        <v>lignite</v>
      </c>
      <c r="D838">
        <f>VLOOKUP($B838,Keys!$F$2:$I$22,3,FALSE)</f>
        <v>0</v>
      </c>
      <c r="E838" t="str">
        <f>VLOOKUP($B838,Keys!$F$2:$I$22,4,FALSE)</f>
        <v>rule</v>
      </c>
      <c r="F838" t="str">
        <f>$A838&amp;Keys!$C$54&amp;$B838</f>
        <v>TN|lignite</v>
      </c>
      <c r="G838" s="10">
        <f>IF($E838=Keys!$C$60,Keys!$C$51,INDEX(Balanced_2025!$D$9:$D$3032,MATCH($A838&amp;Keys!$C$54&amp;Keys!$C$55&amp;Keys!$C$54&amp;$C838,Balanced_2025!$E$9:$E$3032,0)))</f>
        <v>0</v>
      </c>
      <c r="H838" s="10">
        <f>IF($E838=Keys!$C$60,Keys!$C$51,INDEX(Balanced_2025!$D$9:$D$3032,MATCH($A838&amp;Keys!$C$54&amp;Keys!$C$56&amp;Keys!$C$54&amp;$C838,Balanced_2025!$E$9:$E$3032,0)))</f>
        <v>0</v>
      </c>
      <c r="I838" s="10">
        <f>IF($E838=Keys!$C$60,Keys!$C$51,INDEX(Balanced_2025!$D$9:$D$3032,MATCH($A838&amp;Keys!$C$54&amp;Keys!$C$57&amp;Keys!$C$54&amp;$C838,Balanced_2025!$E$9:$E$3032,0)))</f>
        <v>0</v>
      </c>
      <c r="J838" s="10">
        <f t="shared" si="52"/>
        <v>0</v>
      </c>
      <c r="K838" s="10">
        <f>MAX(Keys!$C$51,$I838-$H838)</f>
        <v>0</v>
      </c>
      <c r="L838" s="10">
        <f t="shared" si="53"/>
        <v>0</v>
      </c>
      <c r="M838" s="11">
        <f>IF($L838&gt;Keys!$C$51,MIN(Keys!$C$52,$K838/$L838),Keys!$C$51)</f>
        <v>0</v>
      </c>
      <c r="N838" s="11">
        <f>IF($E838=Keys!$C$60,Keys!$C$51,IF($E838=Keys!$C$59,$D838,$M838))</f>
        <v>0</v>
      </c>
      <c r="O838">
        <f t="shared" si="54"/>
        <v>0</v>
      </c>
      <c r="P838" s="10">
        <f>IF($E838=Keys!$C$60,Keys!$C$51,INDEX(Raw_BFPIaE!$G$9:$G$3032,MATCH($A838&amp;Keys!$C$54&amp;Keys!$C$55&amp;Keys!$C$54&amp;$B838,Raw_BFPIaE!$H$9:$H$3032,0)))</f>
        <v>0</v>
      </c>
      <c r="Q838" s="10">
        <f>IF($E838=Keys!$C$60,Keys!$C$51,INDEX(Raw_BFPIaE!$G$9:$G$3032,MATCH($A838&amp;Keys!$C$54&amp;Keys!$C$56&amp;Keys!$C$54&amp;$B838,Raw_BFPIaE!$H$9:$H$3032,0)))</f>
        <v>0</v>
      </c>
      <c r="R838" s="10">
        <f>IF($E838=Keys!$C$60,Keys!$C$51,INDEX(Raw_BFPIaE!$G$9:$G$3032,MATCH($A838&amp;Keys!$C$54&amp;Keys!$C$57&amp;Keys!$C$54&amp;$B838,Raw_BFPIaE!$H$9:$H$3032,0)))</f>
        <v>0</v>
      </c>
      <c r="S838" s="11">
        <f>IF(($P838+$Q838-$R838+MAX(Keys!$C$51,$R838-$Q838))&gt;Keys!$C$51,MIN(Keys!$C$52,MAX(Keys!$C$51,$R838-$Q838)/($P838+$Q838-$R838+MAX(Keys!$C$51,$R838-$Q838))),Keys!$C$51)</f>
        <v>0</v>
      </c>
      <c r="T838">
        <f>IF(AND($I838&gt;$H838,ABS($L838-$G838)&gt;MAX(Keys!$C$62,ABS($G838)*Keys!$C$63)),1,0)</f>
        <v>0</v>
      </c>
      <c r="U838">
        <f>IF(OR($N838&lt;Keys!$C$51,$N838&gt;Keys!$C$52),1,0)</f>
        <v>0</v>
      </c>
      <c r="V838">
        <f>IF(AND($E838=Keys!$C$60,$N838&lt;&gt;Keys!$C$51),1,0)</f>
        <v>0</v>
      </c>
      <c r="W838">
        <f>IF($L838&gt;Keys!$C$51,IF($K838/$L838&gt;Keys!$C$52,1,0),0)</f>
        <v>0</v>
      </c>
      <c r="X838" s="11">
        <f t="shared" si="55"/>
        <v>0</v>
      </c>
    </row>
    <row r="839" spans="1:24" x14ac:dyDescent="0.25">
      <c r="A839" t="s">
        <v>161</v>
      </c>
      <c r="B839" t="s">
        <v>109</v>
      </c>
      <c r="C839" t="str">
        <f>VLOOKUP($B839,Keys!$F$2:$I$22,2,FALSE)</f>
        <v>crude oil</v>
      </c>
      <c r="D839">
        <f>VLOOKUP($B839,Keys!$F$2:$I$22,3,FALSE)</f>
        <v>1</v>
      </c>
      <c r="E839" t="str">
        <f>VLOOKUP($B839,Keys!$F$2:$I$22,4,FALSE)</f>
        <v>hold</v>
      </c>
      <c r="F839" t="str">
        <f>$A839&amp;Keys!$C$54&amp;$B839</f>
        <v>TN|crude oil</v>
      </c>
      <c r="G839" s="10">
        <f>IF($E839=Keys!$C$60,Keys!$C$51,INDEX(Balanced_2025!$D$9:$D$3032,MATCH($A839&amp;Keys!$C$54&amp;Keys!$C$55&amp;Keys!$C$54&amp;$C839,Balanced_2025!$E$9:$E$3032,0)))</f>
        <v>957000000000</v>
      </c>
      <c r="H839" s="10">
        <f>IF($E839=Keys!$C$60,Keys!$C$51,INDEX(Balanced_2025!$D$9:$D$3032,MATCH($A839&amp;Keys!$C$54&amp;Keys!$C$56&amp;Keys!$C$54&amp;$C839,Balanced_2025!$E$9:$E$3032,0)))</f>
        <v>363773000000000</v>
      </c>
      <c r="I839" s="10">
        <f>IF($E839=Keys!$C$60,Keys!$C$51,INDEX(Balanced_2025!$D$9:$D$3032,MATCH($A839&amp;Keys!$C$54&amp;Keys!$C$57&amp;Keys!$C$54&amp;$C839,Balanced_2025!$E$9:$E$3032,0)))</f>
        <v>0</v>
      </c>
      <c r="J839" s="10">
        <f t="shared" si="52"/>
        <v>364730000000000</v>
      </c>
      <c r="K839" s="10">
        <f>MAX(Keys!$C$51,$I839-$H839)</f>
        <v>0</v>
      </c>
      <c r="L839" s="10">
        <f t="shared" si="53"/>
        <v>364730000000000</v>
      </c>
      <c r="M839" s="11">
        <f>IF($L839&gt;Keys!$C$51,MIN(Keys!$C$52,$K839/$L839),Keys!$C$51)</f>
        <v>0</v>
      </c>
      <c r="N839" s="11">
        <f>IF($E839=Keys!$C$60,Keys!$C$51,IF($E839=Keys!$C$59,$D839,$M839))</f>
        <v>1</v>
      </c>
      <c r="O839">
        <f t="shared" si="54"/>
        <v>0</v>
      </c>
      <c r="P839" s="10">
        <f>IF($E839=Keys!$C$60,Keys!$C$51,INDEX(Raw_BFPIaE!$G$9:$G$3032,MATCH($A839&amp;Keys!$C$54&amp;Keys!$C$55&amp;Keys!$C$54&amp;$B839,Raw_BFPIaE!$H$9:$H$3032,0)))</f>
        <v>927877333333.33337</v>
      </c>
      <c r="Q839" s="10">
        <f>IF($E839=Keys!$C$60,Keys!$C$51,INDEX(Raw_BFPIaE!$G$9:$G$3032,MATCH($A839&amp;Keys!$C$54&amp;Keys!$C$56&amp;Keys!$C$54&amp;$B839,Raw_BFPIaE!$H$9:$H$3032,0)))</f>
        <v>242544333333333.34</v>
      </c>
      <c r="R839" s="10">
        <f>IF($E839=Keys!$C$60,Keys!$C$51,INDEX(Raw_BFPIaE!$G$9:$G$3032,MATCH($A839&amp;Keys!$C$54&amp;Keys!$C$57&amp;Keys!$C$54&amp;$B839,Raw_BFPIaE!$H$9:$H$3032,0)))</f>
        <v>0</v>
      </c>
      <c r="S839" s="11">
        <f>IF(($P839+$Q839-$R839+MAX(Keys!$C$51,$R839-$Q839))&gt;Keys!$C$51,MIN(Keys!$C$52,MAX(Keys!$C$51,$R839-$Q839)/($P839+$Q839-$R839+MAX(Keys!$C$51,$R839-$Q839))),Keys!$C$51)</f>
        <v>0</v>
      </c>
      <c r="T839">
        <f>IF(AND($I839&gt;$H839,ABS($L839-$G839)&gt;MAX(Keys!$C$62,ABS($G839)*Keys!$C$63)),1,0)</f>
        <v>0</v>
      </c>
      <c r="U839">
        <f>IF(OR($N839&lt;Keys!$C$51,$N839&gt;Keys!$C$52),1,0)</f>
        <v>0</v>
      </c>
      <c r="V839">
        <f>IF(AND($E839=Keys!$C$60,$N839&lt;&gt;Keys!$C$51),1,0)</f>
        <v>0</v>
      </c>
      <c r="W839">
        <f>IF($L839&gt;Keys!$C$51,IF($K839/$L839&gt;Keys!$C$52,1,0),0)</f>
        <v>0</v>
      </c>
      <c r="X839" s="11">
        <f t="shared" si="55"/>
        <v>0</v>
      </c>
    </row>
    <row r="840" spans="1:24" x14ac:dyDescent="0.25">
      <c r="A840" t="s">
        <v>161</v>
      </c>
      <c r="B840" t="s">
        <v>113</v>
      </c>
      <c r="C840" t="str">
        <f>VLOOKUP($B840,Keys!$F$2:$I$22,2,FALSE)</f>
        <v>heavy or residual fuel oil</v>
      </c>
      <c r="D840">
        <f>VLOOKUP($B840,Keys!$F$2:$I$22,3,FALSE)</f>
        <v>0.49914171099999999</v>
      </c>
      <c r="E840" t="str">
        <f>VLOOKUP($B840,Keys!$F$2:$I$22,4,FALSE)</f>
        <v>rule</v>
      </c>
      <c r="F840" t="str">
        <f>$A840&amp;Keys!$C$54&amp;$B840</f>
        <v>TN|heavy fuel oil</v>
      </c>
      <c r="G840" s="10">
        <f>IF($E840=Keys!$C$60,Keys!$C$51,INDEX(Balanced_2025!$D$9:$D$3032,MATCH($A840&amp;Keys!$C$54&amp;Keys!$C$55&amp;Keys!$C$54&amp;$C840,Balanced_2025!$E$9:$E$3032,0)))</f>
        <v>7145420000000</v>
      </c>
      <c r="H840" s="10">
        <f>IF($E840=Keys!$C$60,Keys!$C$51,INDEX(Balanced_2025!$D$9:$D$3032,MATCH($A840&amp;Keys!$C$54&amp;Keys!$C$56&amp;Keys!$C$54&amp;$C840,Balanced_2025!$E$9:$E$3032,0)))</f>
        <v>14024600000000</v>
      </c>
      <c r="I840" s="10">
        <f>IF($E840=Keys!$C$60,Keys!$C$51,INDEX(Balanced_2025!$D$9:$D$3032,MATCH($A840&amp;Keys!$C$54&amp;Keys!$C$57&amp;Keys!$C$54&amp;$C840,Balanced_2025!$E$9:$E$3032,0)))</f>
        <v>0</v>
      </c>
      <c r="J840" s="10">
        <f t="shared" si="52"/>
        <v>21170020000000</v>
      </c>
      <c r="K840" s="10">
        <f>MAX(Keys!$C$51,$I840-$H840)</f>
        <v>0</v>
      </c>
      <c r="L840" s="10">
        <f t="shared" si="53"/>
        <v>21170020000000</v>
      </c>
      <c r="M840" s="11">
        <f>IF($L840&gt;Keys!$C$51,MIN(Keys!$C$52,$K840/$L840),Keys!$C$51)</f>
        <v>0</v>
      </c>
      <c r="N840" s="11">
        <f>IF($E840=Keys!$C$60,Keys!$C$51,IF($E840=Keys!$C$59,$D840,$M840))</f>
        <v>0</v>
      </c>
      <c r="O840">
        <f t="shared" si="54"/>
        <v>1</v>
      </c>
      <c r="P840" s="10">
        <f>IF($E840=Keys!$C$60,Keys!$C$51,INDEX(Raw_BFPIaE!$G$9:$G$3032,MATCH($A840&amp;Keys!$C$54&amp;Keys!$C$55&amp;Keys!$C$54&amp;$B840,Raw_BFPIaE!$H$9:$H$3032,0)))</f>
        <v>7087690000000</v>
      </c>
      <c r="Q840" s="10">
        <f>IF($E840=Keys!$C$60,Keys!$C$51,INDEX(Raw_BFPIaE!$G$9:$G$3032,MATCH($A840&amp;Keys!$C$54&amp;Keys!$C$56&amp;Keys!$C$54&amp;$B840,Raw_BFPIaE!$H$9:$H$3032,0)))</f>
        <v>9511000000000</v>
      </c>
      <c r="R840" s="10">
        <f>IF($E840=Keys!$C$60,Keys!$C$51,INDEX(Raw_BFPIaE!$G$9:$G$3032,MATCH($A840&amp;Keys!$C$54&amp;Keys!$C$57&amp;Keys!$C$54&amp;$B840,Raw_BFPIaE!$H$9:$H$3032,0)))</f>
        <v>0</v>
      </c>
      <c r="S840" s="11">
        <f>IF(($P840+$Q840-$R840+MAX(Keys!$C$51,$R840-$Q840))&gt;Keys!$C$51,MIN(Keys!$C$52,MAX(Keys!$C$51,$R840-$Q840)/($P840+$Q840-$R840+MAX(Keys!$C$51,$R840-$Q840))),Keys!$C$51)</f>
        <v>0</v>
      </c>
      <c r="T840">
        <f>IF(AND($I840&gt;$H840,ABS($L840-$G840)&gt;MAX(Keys!$C$62,ABS($G840)*Keys!$C$63)),1,0)</f>
        <v>0</v>
      </c>
      <c r="U840">
        <f>IF(OR($N840&lt;Keys!$C$51,$N840&gt;Keys!$C$52),1,0)</f>
        <v>0</v>
      </c>
      <c r="V840">
        <f>IF(AND($E840=Keys!$C$60,$N840&lt;&gt;Keys!$C$51),1,0)</f>
        <v>0</v>
      </c>
      <c r="W840">
        <f>IF($L840&gt;Keys!$C$51,IF($K840/$L840&gt;Keys!$C$52,1,0),0)</f>
        <v>0</v>
      </c>
      <c r="X840" s="11">
        <f t="shared" si="55"/>
        <v>0</v>
      </c>
    </row>
    <row r="841" spans="1:24" x14ac:dyDescent="0.25">
      <c r="A841" t="s">
        <v>161</v>
      </c>
      <c r="B841" t="s">
        <v>117</v>
      </c>
      <c r="C841" t="str">
        <f>VLOOKUP($B841,Keys!$F$2:$I$22,2,FALSE)</f>
        <v>LPG propane or butane</v>
      </c>
      <c r="D841">
        <f>VLOOKUP($B841,Keys!$F$2:$I$22,3,FALSE)</f>
        <v>0.54955999499999997</v>
      </c>
      <c r="E841" t="str">
        <f>VLOOKUP($B841,Keys!$F$2:$I$22,4,FALSE)</f>
        <v>rule</v>
      </c>
      <c r="F841" t="str">
        <f>$A841&amp;Keys!$C$54&amp;$B841</f>
        <v>TN|LPG propane or butane</v>
      </c>
      <c r="G841" s="10">
        <f>IF($E841=Keys!$C$60,Keys!$C$51,INDEX(Balanced_2025!$D$9:$D$3032,MATCH($A841&amp;Keys!$C$54&amp;Keys!$C$55&amp;Keys!$C$54&amp;$C841,Balanced_2025!$E$9:$E$3032,0)))</f>
        <v>334933000000</v>
      </c>
      <c r="H841" s="10">
        <f>IF($E841=Keys!$C$60,Keys!$C$51,INDEX(Balanced_2025!$D$9:$D$3032,MATCH($A841&amp;Keys!$C$54&amp;Keys!$C$56&amp;Keys!$C$54&amp;$C841,Balanced_2025!$E$9:$E$3032,0)))</f>
        <v>12516900000000</v>
      </c>
      <c r="I841" s="10">
        <f>IF($E841=Keys!$C$60,Keys!$C$51,INDEX(Balanced_2025!$D$9:$D$3032,MATCH($A841&amp;Keys!$C$54&amp;Keys!$C$57&amp;Keys!$C$54&amp;$C841,Balanced_2025!$E$9:$E$3032,0)))</f>
        <v>0</v>
      </c>
      <c r="J841" s="10">
        <f t="shared" si="52"/>
        <v>12851833000000</v>
      </c>
      <c r="K841" s="10">
        <f>MAX(Keys!$C$51,$I841-$H841)</f>
        <v>0</v>
      </c>
      <c r="L841" s="10">
        <f t="shared" si="53"/>
        <v>12851833000000</v>
      </c>
      <c r="M841" s="11">
        <f>IF($L841&gt;Keys!$C$51,MIN(Keys!$C$52,$K841/$L841),Keys!$C$51)</f>
        <v>0</v>
      </c>
      <c r="N841" s="11">
        <f>IF($E841=Keys!$C$60,Keys!$C$51,IF($E841=Keys!$C$59,$D841,$M841))</f>
        <v>0</v>
      </c>
      <c r="O841">
        <f t="shared" si="54"/>
        <v>1</v>
      </c>
      <c r="P841" s="10">
        <f>IF($E841=Keys!$C$60,Keys!$C$51,INDEX(Raw_BFPIaE!$G$9:$G$3032,MATCH($A841&amp;Keys!$C$54&amp;Keys!$C$55&amp;Keys!$C$54&amp;$B841,Raw_BFPIaE!$H$9:$H$3032,0)))</f>
        <v>337303666666.66669</v>
      </c>
      <c r="Q841" s="10">
        <f>IF($E841=Keys!$C$60,Keys!$C$51,INDEX(Raw_BFPIaE!$G$9:$G$3032,MATCH($A841&amp;Keys!$C$54&amp;Keys!$C$56&amp;Keys!$C$54&amp;$B841,Raw_BFPIaE!$H$9:$H$3032,0)))</f>
        <v>8298900000000</v>
      </c>
      <c r="R841" s="10">
        <f>IF($E841=Keys!$C$60,Keys!$C$51,INDEX(Raw_BFPIaE!$G$9:$G$3032,MATCH($A841&amp;Keys!$C$54&amp;Keys!$C$57&amp;Keys!$C$54&amp;$B841,Raw_BFPIaE!$H$9:$H$3032,0)))</f>
        <v>0</v>
      </c>
      <c r="S841" s="11">
        <f>IF(($P841+$Q841-$R841+MAX(Keys!$C$51,$R841-$Q841))&gt;Keys!$C$51,MIN(Keys!$C$52,MAX(Keys!$C$51,$R841-$Q841)/($P841+$Q841-$R841+MAX(Keys!$C$51,$R841-$Q841))),Keys!$C$51)</f>
        <v>0</v>
      </c>
      <c r="T841">
        <f>IF(AND($I841&gt;$H841,ABS($L841-$G841)&gt;MAX(Keys!$C$62,ABS($G841)*Keys!$C$63)),1,0)</f>
        <v>0</v>
      </c>
      <c r="U841">
        <f>IF(OR($N841&lt;Keys!$C$51,$N841&gt;Keys!$C$52),1,0)</f>
        <v>0</v>
      </c>
      <c r="V841">
        <f>IF(AND($E841=Keys!$C$60,$N841&lt;&gt;Keys!$C$51),1,0)</f>
        <v>0</v>
      </c>
      <c r="W841">
        <f>IF($L841&gt;Keys!$C$51,IF($K841/$L841&gt;Keys!$C$52,1,0),0)</f>
        <v>0</v>
      </c>
      <c r="X841" s="11">
        <f t="shared" si="55"/>
        <v>0</v>
      </c>
    </row>
    <row r="842" spans="1:24" x14ac:dyDescent="0.25">
      <c r="A842" t="s">
        <v>161</v>
      </c>
      <c r="B842" t="s">
        <v>120</v>
      </c>
      <c r="C842">
        <f>VLOOKUP($B842,Keys!$F$2:$I$22,2,FALSE)</f>
        <v>0</v>
      </c>
      <c r="D842">
        <f>VLOOKUP($B842,Keys!$F$2:$I$22,3,FALSE)</f>
        <v>0</v>
      </c>
      <c r="E842" t="str">
        <f>VLOOKUP($B842,Keys!$F$2:$I$22,4,FALSE)</f>
        <v>zero</v>
      </c>
      <c r="F842" t="str">
        <f>$A842&amp;Keys!$C$54&amp;$B842</f>
        <v>TN|municipal solid waste</v>
      </c>
      <c r="G842" s="10">
        <f>IF($E842=Keys!$C$60,Keys!$C$51,INDEX(Balanced_2025!$D$9:$D$3032,MATCH($A842&amp;Keys!$C$54&amp;Keys!$C$55&amp;Keys!$C$54&amp;$C842,Balanced_2025!$E$9:$E$3032,0)))</f>
        <v>0</v>
      </c>
      <c r="H842" s="10">
        <f>IF($E842=Keys!$C$60,Keys!$C$51,INDEX(Balanced_2025!$D$9:$D$3032,MATCH($A842&amp;Keys!$C$54&amp;Keys!$C$56&amp;Keys!$C$54&amp;$C842,Balanced_2025!$E$9:$E$3032,0)))</f>
        <v>0</v>
      </c>
      <c r="I842" s="10">
        <f>IF($E842=Keys!$C$60,Keys!$C$51,INDEX(Balanced_2025!$D$9:$D$3032,MATCH($A842&amp;Keys!$C$54&amp;Keys!$C$57&amp;Keys!$C$54&amp;$C842,Balanced_2025!$E$9:$E$3032,0)))</f>
        <v>0</v>
      </c>
      <c r="J842" s="10">
        <f t="shared" si="52"/>
        <v>0</v>
      </c>
      <c r="K842" s="10">
        <f>MAX(Keys!$C$51,$I842-$H842)</f>
        <v>0</v>
      </c>
      <c r="L842" s="10">
        <f t="shared" si="53"/>
        <v>0</v>
      </c>
      <c r="M842" s="11">
        <f>IF($L842&gt;Keys!$C$51,MIN(Keys!$C$52,$K842/$L842),Keys!$C$51)</f>
        <v>0</v>
      </c>
      <c r="N842" s="11">
        <f>IF($E842=Keys!$C$60,Keys!$C$51,IF($E842=Keys!$C$59,$D842,$M842))</f>
        <v>0</v>
      </c>
      <c r="O842">
        <f t="shared" si="54"/>
        <v>0</v>
      </c>
      <c r="P842" s="10">
        <f>IF($E842=Keys!$C$60,Keys!$C$51,INDEX(Raw_BFPIaE!$G$9:$G$3032,MATCH($A842&amp;Keys!$C$54&amp;Keys!$C$55&amp;Keys!$C$54&amp;$B842,Raw_BFPIaE!$H$9:$H$3032,0)))</f>
        <v>0</v>
      </c>
      <c r="Q842" s="10">
        <f>IF($E842=Keys!$C$60,Keys!$C$51,INDEX(Raw_BFPIaE!$G$9:$G$3032,MATCH($A842&amp;Keys!$C$54&amp;Keys!$C$56&amp;Keys!$C$54&amp;$B842,Raw_BFPIaE!$H$9:$H$3032,0)))</f>
        <v>0</v>
      </c>
      <c r="R842" s="10">
        <f>IF($E842=Keys!$C$60,Keys!$C$51,INDEX(Raw_BFPIaE!$G$9:$G$3032,MATCH($A842&amp;Keys!$C$54&amp;Keys!$C$57&amp;Keys!$C$54&amp;$B842,Raw_BFPIaE!$H$9:$H$3032,0)))</f>
        <v>0</v>
      </c>
      <c r="S842" s="11">
        <f>IF(($P842+$Q842-$R842+MAX(Keys!$C$51,$R842-$Q842))&gt;Keys!$C$51,MIN(Keys!$C$52,MAX(Keys!$C$51,$R842-$Q842)/($P842+$Q842-$R842+MAX(Keys!$C$51,$R842-$Q842))),Keys!$C$51)</f>
        <v>0</v>
      </c>
      <c r="T842">
        <f>IF(AND($I842&gt;$H842,ABS($L842-$G842)&gt;MAX(Keys!$C$62,ABS($G842)*Keys!$C$63)),1,0)</f>
        <v>0</v>
      </c>
      <c r="U842">
        <f>IF(OR($N842&lt;Keys!$C$51,$N842&gt;Keys!$C$52),1,0)</f>
        <v>0</v>
      </c>
      <c r="V842">
        <f>IF(AND($E842=Keys!$C$60,$N842&lt;&gt;Keys!$C$51),1,0)</f>
        <v>0</v>
      </c>
      <c r="W842">
        <f>IF($L842&gt;Keys!$C$51,IF($K842/$L842&gt;Keys!$C$52,1,0),0)</f>
        <v>0</v>
      </c>
      <c r="X842" s="11">
        <f t="shared" si="55"/>
        <v>0</v>
      </c>
    </row>
    <row r="843" spans="1:24" x14ac:dyDescent="0.25">
      <c r="A843" t="s">
        <v>161</v>
      </c>
      <c r="B843" t="s">
        <v>123</v>
      </c>
      <c r="C843">
        <f>VLOOKUP($B843,Keys!$F$2:$I$22,2,FALSE)</f>
        <v>0</v>
      </c>
      <c r="D843">
        <f>VLOOKUP($B843,Keys!$F$2:$I$22,3,FALSE)</f>
        <v>0</v>
      </c>
      <c r="E843" t="str">
        <f>VLOOKUP($B843,Keys!$F$2:$I$22,4,FALSE)</f>
        <v>zero</v>
      </c>
      <c r="F843" t="str">
        <f>$A843&amp;Keys!$C$54&amp;$B843</f>
        <v>TN|hydrogen</v>
      </c>
      <c r="G843" s="10">
        <f>IF($E843=Keys!$C$60,Keys!$C$51,INDEX(Balanced_2025!$D$9:$D$3032,MATCH($A843&amp;Keys!$C$54&amp;Keys!$C$55&amp;Keys!$C$54&amp;$C843,Balanced_2025!$E$9:$E$3032,0)))</f>
        <v>0</v>
      </c>
      <c r="H843" s="10">
        <f>IF($E843=Keys!$C$60,Keys!$C$51,INDEX(Balanced_2025!$D$9:$D$3032,MATCH($A843&amp;Keys!$C$54&amp;Keys!$C$56&amp;Keys!$C$54&amp;$C843,Balanced_2025!$E$9:$E$3032,0)))</f>
        <v>0</v>
      </c>
      <c r="I843" s="10">
        <f>IF($E843=Keys!$C$60,Keys!$C$51,INDEX(Balanced_2025!$D$9:$D$3032,MATCH($A843&amp;Keys!$C$54&amp;Keys!$C$57&amp;Keys!$C$54&amp;$C843,Balanced_2025!$E$9:$E$3032,0)))</f>
        <v>0</v>
      </c>
      <c r="J843" s="10">
        <f t="shared" si="52"/>
        <v>0</v>
      </c>
      <c r="K843" s="10">
        <f>MAX(Keys!$C$51,$I843-$H843)</f>
        <v>0</v>
      </c>
      <c r="L843" s="10">
        <f t="shared" si="53"/>
        <v>0</v>
      </c>
      <c r="M843" s="11">
        <f>IF($L843&gt;Keys!$C$51,MIN(Keys!$C$52,$K843/$L843),Keys!$C$51)</f>
        <v>0</v>
      </c>
      <c r="N843" s="11">
        <f>IF($E843=Keys!$C$60,Keys!$C$51,IF($E843=Keys!$C$59,$D843,$M843))</f>
        <v>0</v>
      </c>
      <c r="O843">
        <f t="shared" si="54"/>
        <v>0</v>
      </c>
      <c r="P843" s="10">
        <f>IF($E843=Keys!$C$60,Keys!$C$51,INDEX(Raw_BFPIaE!$G$9:$G$3032,MATCH($A843&amp;Keys!$C$54&amp;Keys!$C$55&amp;Keys!$C$54&amp;$B843,Raw_BFPIaE!$H$9:$H$3032,0)))</f>
        <v>0</v>
      </c>
      <c r="Q843" s="10">
        <f>IF($E843=Keys!$C$60,Keys!$C$51,INDEX(Raw_BFPIaE!$G$9:$G$3032,MATCH($A843&amp;Keys!$C$54&amp;Keys!$C$56&amp;Keys!$C$54&amp;$B843,Raw_BFPIaE!$H$9:$H$3032,0)))</f>
        <v>0</v>
      </c>
      <c r="R843" s="10">
        <f>IF($E843=Keys!$C$60,Keys!$C$51,INDEX(Raw_BFPIaE!$G$9:$G$3032,MATCH($A843&amp;Keys!$C$54&amp;Keys!$C$57&amp;Keys!$C$54&amp;$B843,Raw_BFPIaE!$H$9:$H$3032,0)))</f>
        <v>0</v>
      </c>
      <c r="S843" s="11">
        <f>IF(($P843+$Q843-$R843+MAX(Keys!$C$51,$R843-$Q843))&gt;Keys!$C$51,MIN(Keys!$C$52,MAX(Keys!$C$51,$R843-$Q843)/($P843+$Q843-$R843+MAX(Keys!$C$51,$R843-$Q843))),Keys!$C$51)</f>
        <v>0</v>
      </c>
      <c r="T843">
        <f>IF(AND($I843&gt;$H843,ABS($L843-$G843)&gt;MAX(Keys!$C$62,ABS($G843)*Keys!$C$63)),1,0)</f>
        <v>0</v>
      </c>
      <c r="U843">
        <f>IF(OR($N843&lt;Keys!$C$51,$N843&gt;Keys!$C$52),1,0)</f>
        <v>0</v>
      </c>
      <c r="V843">
        <f>IF(AND($E843=Keys!$C$60,$N843&lt;&gt;Keys!$C$51),1,0)</f>
        <v>0</v>
      </c>
      <c r="W843">
        <f>IF($L843&gt;Keys!$C$51,IF($K843/$L843&gt;Keys!$C$52,1,0),0)</f>
        <v>0</v>
      </c>
      <c r="X843" s="11">
        <f t="shared" si="55"/>
        <v>0</v>
      </c>
    </row>
    <row r="844" spans="1:24" x14ac:dyDescent="0.25">
      <c r="A844" t="s">
        <v>163</v>
      </c>
      <c r="B844" t="s">
        <v>60</v>
      </c>
      <c r="C844">
        <f>VLOOKUP($B844,Keys!$F$2:$I$22,2,FALSE)</f>
        <v>0</v>
      </c>
      <c r="D844">
        <f>VLOOKUP($B844,Keys!$F$2:$I$22,3,FALSE)</f>
        <v>0</v>
      </c>
      <c r="E844" t="str">
        <f>VLOOKUP($B844,Keys!$F$2:$I$22,4,FALSE)</f>
        <v>zero</v>
      </c>
      <c r="F844" t="str">
        <f>$A844&amp;Keys!$C$54&amp;$B844</f>
        <v>TX|electricity (not used in this variable)</v>
      </c>
      <c r="G844" s="10">
        <f>IF($E844=Keys!$C$60,Keys!$C$51,INDEX(Balanced_2025!$D$9:$D$3032,MATCH($A844&amp;Keys!$C$54&amp;Keys!$C$55&amp;Keys!$C$54&amp;$C844,Balanced_2025!$E$9:$E$3032,0)))</f>
        <v>0</v>
      </c>
      <c r="H844" s="10">
        <f>IF($E844=Keys!$C$60,Keys!$C$51,INDEX(Balanced_2025!$D$9:$D$3032,MATCH($A844&amp;Keys!$C$54&amp;Keys!$C$56&amp;Keys!$C$54&amp;$C844,Balanced_2025!$E$9:$E$3032,0)))</f>
        <v>0</v>
      </c>
      <c r="I844" s="10">
        <f>IF($E844=Keys!$C$60,Keys!$C$51,INDEX(Balanced_2025!$D$9:$D$3032,MATCH($A844&amp;Keys!$C$54&amp;Keys!$C$57&amp;Keys!$C$54&amp;$C844,Balanced_2025!$E$9:$E$3032,0)))</f>
        <v>0</v>
      </c>
      <c r="J844" s="10">
        <f t="shared" si="52"/>
        <v>0</v>
      </c>
      <c r="K844" s="10">
        <f>MAX(Keys!$C$51,$I844-$H844)</f>
        <v>0</v>
      </c>
      <c r="L844" s="10">
        <f t="shared" si="53"/>
        <v>0</v>
      </c>
      <c r="M844" s="11">
        <f>IF($L844&gt;Keys!$C$51,MIN(Keys!$C$52,$K844/$L844),Keys!$C$51)</f>
        <v>0</v>
      </c>
      <c r="N844" s="11">
        <f>IF($E844=Keys!$C$60,Keys!$C$51,IF($E844=Keys!$C$59,$D844,$M844))</f>
        <v>0</v>
      </c>
      <c r="O844">
        <f t="shared" si="54"/>
        <v>0</v>
      </c>
      <c r="P844" s="10">
        <f>IF($E844=Keys!$C$60,Keys!$C$51,INDEX(Raw_BFPIaE!$G$9:$G$3032,MATCH($A844&amp;Keys!$C$54&amp;Keys!$C$55&amp;Keys!$C$54&amp;$B844,Raw_BFPIaE!$H$9:$H$3032,0)))</f>
        <v>0</v>
      </c>
      <c r="Q844" s="10">
        <f>IF($E844=Keys!$C$60,Keys!$C$51,INDEX(Raw_BFPIaE!$G$9:$G$3032,MATCH($A844&amp;Keys!$C$54&amp;Keys!$C$56&amp;Keys!$C$54&amp;$B844,Raw_BFPIaE!$H$9:$H$3032,0)))</f>
        <v>0</v>
      </c>
      <c r="R844" s="10">
        <f>IF($E844=Keys!$C$60,Keys!$C$51,INDEX(Raw_BFPIaE!$G$9:$G$3032,MATCH($A844&amp;Keys!$C$54&amp;Keys!$C$57&amp;Keys!$C$54&amp;$B844,Raw_BFPIaE!$H$9:$H$3032,0)))</f>
        <v>0</v>
      </c>
      <c r="S844" s="11">
        <f>IF(($P844+$Q844-$R844+MAX(Keys!$C$51,$R844-$Q844))&gt;Keys!$C$51,MIN(Keys!$C$52,MAX(Keys!$C$51,$R844-$Q844)/($P844+$Q844-$R844+MAX(Keys!$C$51,$R844-$Q844))),Keys!$C$51)</f>
        <v>0</v>
      </c>
      <c r="T844">
        <f>IF(AND($I844&gt;$H844,ABS($L844-$G844)&gt;MAX(Keys!$C$62,ABS($G844)*Keys!$C$63)),1,0)</f>
        <v>0</v>
      </c>
      <c r="U844">
        <f>IF(OR($N844&lt;Keys!$C$51,$N844&gt;Keys!$C$52),1,0)</f>
        <v>0</v>
      </c>
      <c r="V844">
        <f>IF(AND($E844=Keys!$C$60,$N844&lt;&gt;Keys!$C$51),1,0)</f>
        <v>0</v>
      </c>
      <c r="W844">
        <f>IF($L844&gt;Keys!$C$51,IF($K844/$L844&gt;Keys!$C$52,1,0),0)</f>
        <v>0</v>
      </c>
      <c r="X844" s="11">
        <f t="shared" si="55"/>
        <v>0</v>
      </c>
    </row>
    <row r="845" spans="1:24" x14ac:dyDescent="0.25">
      <c r="A845" t="s">
        <v>163</v>
      </c>
      <c r="B845" t="s">
        <v>64</v>
      </c>
      <c r="C845" t="str">
        <f>VLOOKUP($B845,Keys!$F$2:$I$22,2,FALSE)</f>
        <v>hard coal</v>
      </c>
      <c r="D845">
        <f>VLOOKUP($B845,Keys!$F$2:$I$22,3,FALSE)</f>
        <v>0.137539879</v>
      </c>
      <c r="E845" t="str">
        <f>VLOOKUP($B845,Keys!$F$2:$I$22,4,FALSE)</f>
        <v>rule</v>
      </c>
      <c r="F845" t="str">
        <f>$A845&amp;Keys!$C$54&amp;$B845</f>
        <v>TX|hard coal</v>
      </c>
      <c r="G845" s="10">
        <f>IF($E845=Keys!$C$60,Keys!$C$51,INDEX(Balanced_2025!$D$9:$D$3032,MATCH($A845&amp;Keys!$C$54&amp;Keys!$C$55&amp;Keys!$C$54&amp;$C845,Balanced_2025!$E$9:$E$3032,0)))</f>
        <v>0</v>
      </c>
      <c r="H845" s="10">
        <f>IF($E845=Keys!$C$60,Keys!$C$51,INDEX(Balanced_2025!$D$9:$D$3032,MATCH($A845&amp;Keys!$C$54&amp;Keys!$C$56&amp;Keys!$C$54&amp;$C845,Balanced_2025!$E$9:$E$3032,0)))</f>
        <v>861660000000000</v>
      </c>
      <c r="I845" s="10">
        <f>IF($E845=Keys!$C$60,Keys!$C$51,INDEX(Balanced_2025!$D$9:$D$3032,MATCH($A845&amp;Keys!$C$54&amp;Keys!$C$57&amp;Keys!$C$54&amp;$C845,Balanced_2025!$E$9:$E$3032,0)))</f>
        <v>0</v>
      </c>
      <c r="J845" s="10">
        <f t="shared" si="52"/>
        <v>861660000000000</v>
      </c>
      <c r="K845" s="10">
        <f>MAX(Keys!$C$51,$I845-$H845)</f>
        <v>0</v>
      </c>
      <c r="L845" s="10">
        <f t="shared" si="53"/>
        <v>861660000000000</v>
      </c>
      <c r="M845" s="11">
        <f>IF($L845&gt;Keys!$C$51,MIN(Keys!$C$52,$K845/$L845),Keys!$C$51)</f>
        <v>0</v>
      </c>
      <c r="N845" s="11">
        <f>IF($E845=Keys!$C$60,Keys!$C$51,IF($E845=Keys!$C$59,$D845,$M845))</f>
        <v>0</v>
      </c>
      <c r="O845">
        <f t="shared" si="54"/>
        <v>1</v>
      </c>
      <c r="P845" s="10">
        <f>IF($E845=Keys!$C$60,Keys!$C$51,INDEX(Raw_BFPIaE!$G$9:$G$3032,MATCH($A845&amp;Keys!$C$54&amp;Keys!$C$55&amp;Keys!$C$54&amp;$B845,Raw_BFPIaE!$H$9:$H$3032,0)))</f>
        <v>0</v>
      </c>
      <c r="Q845" s="10">
        <f>IF($E845=Keys!$C$60,Keys!$C$51,INDEX(Raw_BFPIaE!$G$9:$G$3032,MATCH($A845&amp;Keys!$C$54&amp;Keys!$C$56&amp;Keys!$C$54&amp;$B845,Raw_BFPIaE!$H$9:$H$3032,0)))</f>
        <v>708234666666666.63</v>
      </c>
      <c r="R845" s="10">
        <f>IF($E845=Keys!$C$60,Keys!$C$51,INDEX(Raw_BFPIaE!$G$9:$G$3032,MATCH($A845&amp;Keys!$C$54&amp;Keys!$C$57&amp;Keys!$C$54&amp;$B845,Raw_BFPIaE!$H$9:$H$3032,0)))</f>
        <v>0</v>
      </c>
      <c r="S845" s="11">
        <f>IF(($P845+$Q845-$R845+MAX(Keys!$C$51,$R845-$Q845))&gt;Keys!$C$51,MIN(Keys!$C$52,MAX(Keys!$C$51,$R845-$Q845)/($P845+$Q845-$R845+MAX(Keys!$C$51,$R845-$Q845))),Keys!$C$51)</f>
        <v>0</v>
      </c>
      <c r="T845">
        <f>IF(AND($I845&gt;$H845,ABS($L845-$G845)&gt;MAX(Keys!$C$62,ABS($G845)*Keys!$C$63)),1,0)</f>
        <v>0</v>
      </c>
      <c r="U845">
        <f>IF(OR($N845&lt;Keys!$C$51,$N845&gt;Keys!$C$52),1,0)</f>
        <v>0</v>
      </c>
      <c r="V845">
        <f>IF(AND($E845=Keys!$C$60,$N845&lt;&gt;Keys!$C$51),1,0)</f>
        <v>0</v>
      </c>
      <c r="W845">
        <f>IF($L845&gt;Keys!$C$51,IF($K845/$L845&gt;Keys!$C$52,1,0),0)</f>
        <v>0</v>
      </c>
      <c r="X845" s="11">
        <f t="shared" si="55"/>
        <v>0</v>
      </c>
    </row>
    <row r="846" spans="1:24" x14ac:dyDescent="0.25">
      <c r="A846" t="s">
        <v>163</v>
      </c>
      <c r="B846" t="s">
        <v>68</v>
      </c>
      <c r="C846" t="str">
        <f>VLOOKUP($B846,Keys!$F$2:$I$22,2,FALSE)</f>
        <v>natural gas</v>
      </c>
      <c r="D846">
        <f>VLOOKUP($B846,Keys!$F$2:$I$22,3,FALSE)</f>
        <v>0.190839183</v>
      </c>
      <c r="E846" t="str">
        <f>VLOOKUP($B846,Keys!$F$2:$I$22,4,FALSE)</f>
        <v>rule</v>
      </c>
      <c r="F846" t="str">
        <f>$A846&amp;Keys!$C$54&amp;$B846</f>
        <v>TX|natural gas</v>
      </c>
      <c r="G846" s="10">
        <f>IF($E846=Keys!$C$60,Keys!$C$51,INDEX(Balanced_2025!$D$9:$D$3032,MATCH($A846&amp;Keys!$C$54&amp;Keys!$C$55&amp;Keys!$C$54&amp;$C846,Balanced_2025!$E$9:$E$3032,0)))</f>
        <v>1.04262E+16</v>
      </c>
      <c r="H846" s="10">
        <f>IF($E846=Keys!$C$60,Keys!$C$51,INDEX(Balanced_2025!$D$9:$D$3032,MATCH($A846&amp;Keys!$C$54&amp;Keys!$C$56&amp;Keys!$C$54&amp;$C846,Balanced_2025!$E$9:$E$3032,0)))</f>
        <v>2357360000000000</v>
      </c>
      <c r="I846" s="10">
        <f>IF($E846=Keys!$C$60,Keys!$C$51,INDEX(Balanced_2025!$D$9:$D$3032,MATCH($A846&amp;Keys!$C$54&amp;Keys!$C$57&amp;Keys!$C$54&amp;$C846,Balanced_2025!$E$9:$E$3032,0)))</f>
        <v>7894640000000000</v>
      </c>
      <c r="J846" s="10">
        <f t="shared" si="52"/>
        <v>4888920000000000</v>
      </c>
      <c r="K846" s="10">
        <f>MAX(Keys!$C$51,$I846-$H846)</f>
        <v>5537280000000000</v>
      </c>
      <c r="L846" s="10">
        <f t="shared" si="53"/>
        <v>1.04262E+16</v>
      </c>
      <c r="M846" s="11">
        <f>IF($L846&gt;Keys!$C$51,MIN(Keys!$C$52,$K846/$L846),Keys!$C$51)</f>
        <v>0.53109282384761469</v>
      </c>
      <c r="N846" s="11">
        <f>IF($E846=Keys!$C$60,Keys!$C$51,IF($E846=Keys!$C$59,$D846,$M846))</f>
        <v>0.53109282384761469</v>
      </c>
      <c r="O846">
        <f t="shared" si="54"/>
        <v>1</v>
      </c>
      <c r="P846" s="10">
        <f>IF($E846=Keys!$C$60,Keys!$C$51,INDEX(Raw_BFPIaE!$G$9:$G$3032,MATCH($A846&amp;Keys!$C$54&amp;Keys!$C$55&amp;Keys!$C$54&amp;$B846,Raw_BFPIaE!$H$9:$H$3032,0)))</f>
        <v>1.0445333333333334E+16</v>
      </c>
      <c r="Q846" s="10">
        <f>IF($E846=Keys!$C$60,Keys!$C$51,INDEX(Raw_BFPIaE!$G$9:$G$3032,MATCH($A846&amp;Keys!$C$54&amp;Keys!$C$56&amp;Keys!$C$54&amp;$B846,Raw_BFPIaE!$H$9:$H$3032,0)))</f>
        <v>1997446666666666.8</v>
      </c>
      <c r="R846" s="10">
        <f>IF($E846=Keys!$C$60,Keys!$C$51,INDEX(Raw_BFPIaE!$G$9:$G$3032,MATCH($A846&amp;Keys!$C$54&amp;Keys!$C$57&amp;Keys!$C$54&amp;$B846,Raw_BFPIaE!$H$9:$H$3032,0)))</f>
        <v>7909126666666667</v>
      </c>
      <c r="S846" s="11">
        <f>IF(($P846+$Q846-$R846+MAX(Keys!$C$51,$R846-$Q846))&gt;Keys!$C$51,MIN(Keys!$C$52,MAX(Keys!$C$51,$R846-$Q846)/($P846+$Q846-$R846+MAX(Keys!$C$51,$R846-$Q846))),Keys!$C$51)</f>
        <v>0.56596374776614766</v>
      </c>
      <c r="T846">
        <f>IF(AND($I846&gt;$H846,ABS($L846-$G846)&gt;MAX(Keys!$C$62,ABS($G846)*Keys!$C$63)),1,0)</f>
        <v>0</v>
      </c>
      <c r="U846">
        <f>IF(OR($N846&lt;Keys!$C$51,$N846&gt;Keys!$C$52),1,0)</f>
        <v>0</v>
      </c>
      <c r="V846">
        <f>IF(AND($E846=Keys!$C$60,$N846&lt;&gt;Keys!$C$51),1,0)</f>
        <v>0</v>
      </c>
      <c r="W846">
        <f>IF($L846&gt;Keys!$C$51,IF($K846/$L846&gt;Keys!$C$52,1,0),0)</f>
        <v>0</v>
      </c>
      <c r="X846" s="11">
        <f t="shared" si="55"/>
        <v>3.487092391853297E-2</v>
      </c>
    </row>
    <row r="847" spans="1:24" x14ac:dyDescent="0.25">
      <c r="A847" t="s">
        <v>163</v>
      </c>
      <c r="B847" t="s">
        <v>71</v>
      </c>
      <c r="C847">
        <f>VLOOKUP($B847,Keys!$F$2:$I$22,2,FALSE)</f>
        <v>0</v>
      </c>
      <c r="D847">
        <f>VLOOKUP($B847,Keys!$F$2:$I$22,3,FALSE)</f>
        <v>0</v>
      </c>
      <c r="E847" t="str">
        <f>VLOOKUP($B847,Keys!$F$2:$I$22,4,FALSE)</f>
        <v>zero</v>
      </c>
      <c r="F847" t="str">
        <f>$A847&amp;Keys!$C$54&amp;$B847</f>
        <v>TX|nuclear</v>
      </c>
      <c r="G847" s="10">
        <f>IF($E847=Keys!$C$60,Keys!$C$51,INDEX(Balanced_2025!$D$9:$D$3032,MATCH($A847&amp;Keys!$C$54&amp;Keys!$C$55&amp;Keys!$C$54&amp;$C847,Balanced_2025!$E$9:$E$3032,0)))</f>
        <v>0</v>
      </c>
      <c r="H847" s="10">
        <f>IF($E847=Keys!$C$60,Keys!$C$51,INDEX(Balanced_2025!$D$9:$D$3032,MATCH($A847&amp;Keys!$C$54&amp;Keys!$C$56&amp;Keys!$C$54&amp;$C847,Balanced_2025!$E$9:$E$3032,0)))</f>
        <v>0</v>
      </c>
      <c r="I847" s="10">
        <f>IF($E847=Keys!$C$60,Keys!$C$51,INDEX(Balanced_2025!$D$9:$D$3032,MATCH($A847&amp;Keys!$C$54&amp;Keys!$C$57&amp;Keys!$C$54&amp;$C847,Balanced_2025!$E$9:$E$3032,0)))</f>
        <v>0</v>
      </c>
      <c r="J847" s="10">
        <f t="shared" si="52"/>
        <v>0</v>
      </c>
      <c r="K847" s="10">
        <f>MAX(Keys!$C$51,$I847-$H847)</f>
        <v>0</v>
      </c>
      <c r="L847" s="10">
        <f t="shared" si="53"/>
        <v>0</v>
      </c>
      <c r="M847" s="11">
        <f>IF($L847&gt;Keys!$C$51,MIN(Keys!$C$52,$K847/$L847),Keys!$C$51)</f>
        <v>0</v>
      </c>
      <c r="N847" s="11">
        <f>IF($E847=Keys!$C$60,Keys!$C$51,IF($E847=Keys!$C$59,$D847,$M847))</f>
        <v>0</v>
      </c>
      <c r="O847">
        <f t="shared" si="54"/>
        <v>0</v>
      </c>
      <c r="P847" s="10">
        <f>IF($E847=Keys!$C$60,Keys!$C$51,INDEX(Raw_BFPIaE!$G$9:$G$3032,MATCH($A847&amp;Keys!$C$54&amp;Keys!$C$55&amp;Keys!$C$54&amp;$B847,Raw_BFPIaE!$H$9:$H$3032,0)))</f>
        <v>0</v>
      </c>
      <c r="Q847" s="10">
        <f>IF($E847=Keys!$C$60,Keys!$C$51,INDEX(Raw_BFPIaE!$G$9:$G$3032,MATCH($A847&amp;Keys!$C$54&amp;Keys!$C$56&amp;Keys!$C$54&amp;$B847,Raw_BFPIaE!$H$9:$H$3032,0)))</f>
        <v>0</v>
      </c>
      <c r="R847" s="10">
        <f>IF($E847=Keys!$C$60,Keys!$C$51,INDEX(Raw_BFPIaE!$G$9:$G$3032,MATCH($A847&amp;Keys!$C$54&amp;Keys!$C$57&amp;Keys!$C$54&amp;$B847,Raw_BFPIaE!$H$9:$H$3032,0)))</f>
        <v>0</v>
      </c>
      <c r="S847" s="11">
        <f>IF(($P847+$Q847-$R847+MAX(Keys!$C$51,$R847-$Q847))&gt;Keys!$C$51,MIN(Keys!$C$52,MAX(Keys!$C$51,$R847-$Q847)/($P847+$Q847-$R847+MAX(Keys!$C$51,$R847-$Q847))),Keys!$C$51)</f>
        <v>0</v>
      </c>
      <c r="T847">
        <f>IF(AND($I847&gt;$H847,ABS($L847-$G847)&gt;MAX(Keys!$C$62,ABS($G847)*Keys!$C$63)),1,0)</f>
        <v>0</v>
      </c>
      <c r="U847">
        <f>IF(OR($N847&lt;Keys!$C$51,$N847&gt;Keys!$C$52),1,0)</f>
        <v>0</v>
      </c>
      <c r="V847">
        <f>IF(AND($E847=Keys!$C$60,$N847&lt;&gt;Keys!$C$51),1,0)</f>
        <v>0</v>
      </c>
      <c r="W847">
        <f>IF($L847&gt;Keys!$C$51,IF($K847/$L847&gt;Keys!$C$52,1,0),0)</f>
        <v>0</v>
      </c>
      <c r="X847" s="11">
        <f t="shared" si="55"/>
        <v>0</v>
      </c>
    </row>
    <row r="848" spans="1:24" x14ac:dyDescent="0.25">
      <c r="A848" t="s">
        <v>163</v>
      </c>
      <c r="B848" t="s">
        <v>74</v>
      </c>
      <c r="C848">
        <f>VLOOKUP($B848,Keys!$F$2:$I$22,2,FALSE)</f>
        <v>0</v>
      </c>
      <c r="D848">
        <f>VLOOKUP($B848,Keys!$F$2:$I$22,3,FALSE)</f>
        <v>0</v>
      </c>
      <c r="E848" t="str">
        <f>VLOOKUP($B848,Keys!$F$2:$I$22,4,FALSE)</f>
        <v>zero</v>
      </c>
      <c r="F848" t="str">
        <f>$A848&amp;Keys!$C$54&amp;$B848</f>
        <v>TX|hydro (is not a fuel)</v>
      </c>
      <c r="G848" s="10">
        <f>IF($E848=Keys!$C$60,Keys!$C$51,INDEX(Balanced_2025!$D$9:$D$3032,MATCH($A848&amp;Keys!$C$54&amp;Keys!$C$55&amp;Keys!$C$54&amp;$C848,Balanced_2025!$E$9:$E$3032,0)))</f>
        <v>0</v>
      </c>
      <c r="H848" s="10">
        <f>IF($E848=Keys!$C$60,Keys!$C$51,INDEX(Balanced_2025!$D$9:$D$3032,MATCH($A848&amp;Keys!$C$54&amp;Keys!$C$56&amp;Keys!$C$54&amp;$C848,Balanced_2025!$E$9:$E$3032,0)))</f>
        <v>0</v>
      </c>
      <c r="I848" s="10">
        <f>IF($E848=Keys!$C$60,Keys!$C$51,INDEX(Balanced_2025!$D$9:$D$3032,MATCH($A848&amp;Keys!$C$54&amp;Keys!$C$57&amp;Keys!$C$54&amp;$C848,Balanced_2025!$E$9:$E$3032,0)))</f>
        <v>0</v>
      </c>
      <c r="J848" s="10">
        <f t="shared" si="52"/>
        <v>0</v>
      </c>
      <c r="K848" s="10">
        <f>MAX(Keys!$C$51,$I848-$H848)</f>
        <v>0</v>
      </c>
      <c r="L848" s="10">
        <f t="shared" si="53"/>
        <v>0</v>
      </c>
      <c r="M848" s="11">
        <f>IF($L848&gt;Keys!$C$51,MIN(Keys!$C$52,$K848/$L848),Keys!$C$51)</f>
        <v>0</v>
      </c>
      <c r="N848" s="11">
        <f>IF($E848=Keys!$C$60,Keys!$C$51,IF($E848=Keys!$C$59,$D848,$M848))</f>
        <v>0</v>
      </c>
      <c r="O848">
        <f t="shared" si="54"/>
        <v>0</v>
      </c>
      <c r="P848" s="10">
        <f>IF($E848=Keys!$C$60,Keys!$C$51,INDEX(Raw_BFPIaE!$G$9:$G$3032,MATCH($A848&amp;Keys!$C$54&amp;Keys!$C$55&amp;Keys!$C$54&amp;$B848,Raw_BFPIaE!$H$9:$H$3032,0)))</f>
        <v>0</v>
      </c>
      <c r="Q848" s="10">
        <f>IF($E848=Keys!$C$60,Keys!$C$51,INDEX(Raw_BFPIaE!$G$9:$G$3032,MATCH($A848&amp;Keys!$C$54&amp;Keys!$C$56&amp;Keys!$C$54&amp;$B848,Raw_BFPIaE!$H$9:$H$3032,0)))</f>
        <v>0</v>
      </c>
      <c r="R848" s="10">
        <f>IF($E848=Keys!$C$60,Keys!$C$51,INDEX(Raw_BFPIaE!$G$9:$G$3032,MATCH($A848&amp;Keys!$C$54&amp;Keys!$C$57&amp;Keys!$C$54&amp;$B848,Raw_BFPIaE!$H$9:$H$3032,0)))</f>
        <v>0</v>
      </c>
      <c r="S848" s="11">
        <f>IF(($P848+$Q848-$R848+MAX(Keys!$C$51,$R848-$Q848))&gt;Keys!$C$51,MIN(Keys!$C$52,MAX(Keys!$C$51,$R848-$Q848)/($P848+$Q848-$R848+MAX(Keys!$C$51,$R848-$Q848))),Keys!$C$51)</f>
        <v>0</v>
      </c>
      <c r="T848">
        <f>IF(AND($I848&gt;$H848,ABS($L848-$G848)&gt;MAX(Keys!$C$62,ABS($G848)*Keys!$C$63)),1,0)</f>
        <v>0</v>
      </c>
      <c r="U848">
        <f>IF(OR($N848&lt;Keys!$C$51,$N848&gt;Keys!$C$52),1,0)</f>
        <v>0</v>
      </c>
      <c r="V848">
        <f>IF(AND($E848=Keys!$C$60,$N848&lt;&gt;Keys!$C$51),1,0)</f>
        <v>0</v>
      </c>
      <c r="W848">
        <f>IF($L848&gt;Keys!$C$51,IF($K848/$L848&gt;Keys!$C$52,1,0),0)</f>
        <v>0</v>
      </c>
      <c r="X848" s="11">
        <f t="shared" si="55"/>
        <v>0</v>
      </c>
    </row>
    <row r="849" spans="1:24" x14ac:dyDescent="0.25">
      <c r="A849" t="s">
        <v>163</v>
      </c>
      <c r="B849" t="s">
        <v>77</v>
      </c>
      <c r="C849">
        <f>VLOOKUP($B849,Keys!$F$2:$I$22,2,FALSE)</f>
        <v>0</v>
      </c>
      <c r="D849">
        <f>VLOOKUP($B849,Keys!$F$2:$I$22,3,FALSE)</f>
        <v>0</v>
      </c>
      <c r="E849" t="str">
        <f>VLOOKUP($B849,Keys!$F$2:$I$22,4,FALSE)</f>
        <v>zero</v>
      </c>
      <c r="F849" t="str">
        <f>$A849&amp;Keys!$C$54&amp;$B849</f>
        <v>TX|wind (is not a fuel)</v>
      </c>
      <c r="G849" s="10">
        <f>IF($E849=Keys!$C$60,Keys!$C$51,INDEX(Balanced_2025!$D$9:$D$3032,MATCH($A849&amp;Keys!$C$54&amp;Keys!$C$55&amp;Keys!$C$54&amp;$C849,Balanced_2025!$E$9:$E$3032,0)))</f>
        <v>0</v>
      </c>
      <c r="H849" s="10">
        <f>IF($E849=Keys!$C$60,Keys!$C$51,INDEX(Balanced_2025!$D$9:$D$3032,MATCH($A849&amp;Keys!$C$54&amp;Keys!$C$56&amp;Keys!$C$54&amp;$C849,Balanced_2025!$E$9:$E$3032,0)))</f>
        <v>0</v>
      </c>
      <c r="I849" s="10">
        <f>IF($E849=Keys!$C$60,Keys!$C$51,INDEX(Balanced_2025!$D$9:$D$3032,MATCH($A849&amp;Keys!$C$54&amp;Keys!$C$57&amp;Keys!$C$54&amp;$C849,Balanced_2025!$E$9:$E$3032,0)))</f>
        <v>0</v>
      </c>
      <c r="J849" s="10">
        <f t="shared" si="52"/>
        <v>0</v>
      </c>
      <c r="K849" s="10">
        <f>MAX(Keys!$C$51,$I849-$H849)</f>
        <v>0</v>
      </c>
      <c r="L849" s="10">
        <f t="shared" si="53"/>
        <v>0</v>
      </c>
      <c r="M849" s="11">
        <f>IF($L849&gt;Keys!$C$51,MIN(Keys!$C$52,$K849/$L849),Keys!$C$51)</f>
        <v>0</v>
      </c>
      <c r="N849" s="11">
        <f>IF($E849=Keys!$C$60,Keys!$C$51,IF($E849=Keys!$C$59,$D849,$M849))</f>
        <v>0</v>
      </c>
      <c r="O849">
        <f t="shared" si="54"/>
        <v>0</v>
      </c>
      <c r="P849" s="10">
        <f>IF($E849=Keys!$C$60,Keys!$C$51,INDEX(Raw_BFPIaE!$G$9:$G$3032,MATCH($A849&amp;Keys!$C$54&amp;Keys!$C$55&amp;Keys!$C$54&amp;$B849,Raw_BFPIaE!$H$9:$H$3032,0)))</f>
        <v>0</v>
      </c>
      <c r="Q849" s="10">
        <f>IF($E849=Keys!$C$60,Keys!$C$51,INDEX(Raw_BFPIaE!$G$9:$G$3032,MATCH($A849&amp;Keys!$C$54&amp;Keys!$C$56&amp;Keys!$C$54&amp;$B849,Raw_BFPIaE!$H$9:$H$3032,0)))</f>
        <v>0</v>
      </c>
      <c r="R849" s="10">
        <f>IF($E849=Keys!$C$60,Keys!$C$51,INDEX(Raw_BFPIaE!$G$9:$G$3032,MATCH($A849&amp;Keys!$C$54&amp;Keys!$C$57&amp;Keys!$C$54&amp;$B849,Raw_BFPIaE!$H$9:$H$3032,0)))</f>
        <v>0</v>
      </c>
      <c r="S849" s="11">
        <f>IF(($P849+$Q849-$R849+MAX(Keys!$C$51,$R849-$Q849))&gt;Keys!$C$51,MIN(Keys!$C$52,MAX(Keys!$C$51,$R849-$Q849)/($P849+$Q849-$R849+MAX(Keys!$C$51,$R849-$Q849))),Keys!$C$51)</f>
        <v>0</v>
      </c>
      <c r="T849">
        <f>IF(AND($I849&gt;$H849,ABS($L849-$G849)&gt;MAX(Keys!$C$62,ABS($G849)*Keys!$C$63)),1,0)</f>
        <v>0</v>
      </c>
      <c r="U849">
        <f>IF(OR($N849&lt;Keys!$C$51,$N849&gt;Keys!$C$52),1,0)</f>
        <v>0</v>
      </c>
      <c r="V849">
        <f>IF(AND($E849=Keys!$C$60,$N849&lt;&gt;Keys!$C$51),1,0)</f>
        <v>0</v>
      </c>
      <c r="W849">
        <f>IF($L849&gt;Keys!$C$51,IF($K849/$L849&gt;Keys!$C$52,1,0),0)</f>
        <v>0</v>
      </c>
      <c r="X849" s="11">
        <f t="shared" si="55"/>
        <v>0</v>
      </c>
    </row>
    <row r="850" spans="1:24" x14ac:dyDescent="0.25">
      <c r="A850" t="s">
        <v>163</v>
      </c>
      <c r="B850" t="s">
        <v>80</v>
      </c>
      <c r="C850">
        <f>VLOOKUP($B850,Keys!$F$2:$I$22,2,FALSE)</f>
        <v>0</v>
      </c>
      <c r="D850">
        <f>VLOOKUP($B850,Keys!$F$2:$I$22,3,FALSE)</f>
        <v>0</v>
      </c>
      <c r="E850" t="str">
        <f>VLOOKUP($B850,Keys!$F$2:$I$22,4,FALSE)</f>
        <v>zero</v>
      </c>
      <c r="F850" t="str">
        <f>$A850&amp;Keys!$C$54&amp;$B850</f>
        <v>TX|solar (is not a fuel)</v>
      </c>
      <c r="G850" s="10">
        <f>IF($E850=Keys!$C$60,Keys!$C$51,INDEX(Balanced_2025!$D$9:$D$3032,MATCH($A850&amp;Keys!$C$54&amp;Keys!$C$55&amp;Keys!$C$54&amp;$C850,Balanced_2025!$E$9:$E$3032,0)))</f>
        <v>0</v>
      </c>
      <c r="H850" s="10">
        <f>IF($E850=Keys!$C$60,Keys!$C$51,INDEX(Balanced_2025!$D$9:$D$3032,MATCH($A850&amp;Keys!$C$54&amp;Keys!$C$56&amp;Keys!$C$54&amp;$C850,Balanced_2025!$E$9:$E$3032,0)))</f>
        <v>0</v>
      </c>
      <c r="I850" s="10">
        <f>IF($E850=Keys!$C$60,Keys!$C$51,INDEX(Balanced_2025!$D$9:$D$3032,MATCH($A850&amp;Keys!$C$54&amp;Keys!$C$57&amp;Keys!$C$54&amp;$C850,Balanced_2025!$E$9:$E$3032,0)))</f>
        <v>0</v>
      </c>
      <c r="J850" s="10">
        <f t="shared" si="52"/>
        <v>0</v>
      </c>
      <c r="K850" s="10">
        <f>MAX(Keys!$C$51,$I850-$H850)</f>
        <v>0</v>
      </c>
      <c r="L850" s="10">
        <f t="shared" si="53"/>
        <v>0</v>
      </c>
      <c r="M850" s="11">
        <f>IF($L850&gt;Keys!$C$51,MIN(Keys!$C$52,$K850/$L850),Keys!$C$51)</f>
        <v>0</v>
      </c>
      <c r="N850" s="11">
        <f>IF($E850=Keys!$C$60,Keys!$C$51,IF($E850=Keys!$C$59,$D850,$M850))</f>
        <v>0</v>
      </c>
      <c r="O850">
        <f t="shared" si="54"/>
        <v>0</v>
      </c>
      <c r="P850" s="10">
        <f>IF($E850=Keys!$C$60,Keys!$C$51,INDEX(Raw_BFPIaE!$G$9:$G$3032,MATCH($A850&amp;Keys!$C$54&amp;Keys!$C$55&amp;Keys!$C$54&amp;$B850,Raw_BFPIaE!$H$9:$H$3032,0)))</f>
        <v>0</v>
      </c>
      <c r="Q850" s="10">
        <f>IF($E850=Keys!$C$60,Keys!$C$51,INDEX(Raw_BFPIaE!$G$9:$G$3032,MATCH($A850&amp;Keys!$C$54&amp;Keys!$C$56&amp;Keys!$C$54&amp;$B850,Raw_BFPIaE!$H$9:$H$3032,0)))</f>
        <v>0</v>
      </c>
      <c r="R850" s="10">
        <f>IF($E850=Keys!$C$60,Keys!$C$51,INDEX(Raw_BFPIaE!$G$9:$G$3032,MATCH($A850&amp;Keys!$C$54&amp;Keys!$C$57&amp;Keys!$C$54&amp;$B850,Raw_BFPIaE!$H$9:$H$3032,0)))</f>
        <v>0</v>
      </c>
      <c r="S850" s="11">
        <f>IF(($P850+$Q850-$R850+MAX(Keys!$C$51,$R850-$Q850))&gt;Keys!$C$51,MIN(Keys!$C$52,MAX(Keys!$C$51,$R850-$Q850)/($P850+$Q850-$R850+MAX(Keys!$C$51,$R850-$Q850))),Keys!$C$51)</f>
        <v>0</v>
      </c>
      <c r="T850">
        <f>IF(AND($I850&gt;$H850,ABS($L850-$G850)&gt;MAX(Keys!$C$62,ABS($G850)*Keys!$C$63)),1,0)</f>
        <v>0</v>
      </c>
      <c r="U850">
        <f>IF(OR($N850&lt;Keys!$C$51,$N850&gt;Keys!$C$52),1,0)</f>
        <v>0</v>
      </c>
      <c r="V850">
        <f>IF(AND($E850=Keys!$C$60,$N850&lt;&gt;Keys!$C$51),1,0)</f>
        <v>0</v>
      </c>
      <c r="W850">
        <f>IF($L850&gt;Keys!$C$51,IF($K850/$L850&gt;Keys!$C$52,1,0),0)</f>
        <v>0</v>
      </c>
      <c r="X850" s="11">
        <f t="shared" si="55"/>
        <v>0</v>
      </c>
    </row>
    <row r="851" spans="1:24" x14ac:dyDescent="0.25">
      <c r="A851" t="s">
        <v>163</v>
      </c>
      <c r="B851" t="s">
        <v>82</v>
      </c>
      <c r="C851" t="str">
        <f>VLOOKUP($B851,Keys!$F$2:$I$22,2,FALSE)</f>
        <v>biomass</v>
      </c>
      <c r="D851">
        <f>VLOOKUP($B851,Keys!$F$2:$I$22,3,FALSE)</f>
        <v>0.74947425499999998</v>
      </c>
      <c r="E851" t="str">
        <f>VLOOKUP($B851,Keys!$F$2:$I$22,4,FALSE)</f>
        <v>rule</v>
      </c>
      <c r="F851" t="str">
        <f>$A851&amp;Keys!$C$54&amp;$B851</f>
        <v>TX|biomass</v>
      </c>
      <c r="G851" s="10">
        <f>IF($E851=Keys!$C$60,Keys!$C$51,INDEX(Balanced_2025!$D$9:$D$3032,MATCH($A851&amp;Keys!$C$54&amp;Keys!$C$55&amp;Keys!$C$54&amp;$C851,Balanced_2025!$E$9:$E$3032,0)))</f>
        <v>8113010000000</v>
      </c>
      <c r="H851" s="10">
        <f>IF($E851=Keys!$C$60,Keys!$C$51,INDEX(Balanced_2025!$D$9:$D$3032,MATCH($A851&amp;Keys!$C$54&amp;Keys!$C$56&amp;Keys!$C$54&amp;$C851,Balanced_2025!$E$9:$E$3032,0)))</f>
        <v>78121000000000</v>
      </c>
      <c r="I851" s="10">
        <f>IF($E851=Keys!$C$60,Keys!$C$51,INDEX(Balanced_2025!$D$9:$D$3032,MATCH($A851&amp;Keys!$C$54&amp;Keys!$C$57&amp;Keys!$C$54&amp;$C851,Balanced_2025!$E$9:$E$3032,0)))</f>
        <v>0</v>
      </c>
      <c r="J851" s="10">
        <f t="shared" si="52"/>
        <v>86234010000000</v>
      </c>
      <c r="K851" s="10">
        <f>MAX(Keys!$C$51,$I851-$H851)</f>
        <v>0</v>
      </c>
      <c r="L851" s="10">
        <f t="shared" si="53"/>
        <v>86234010000000</v>
      </c>
      <c r="M851" s="11">
        <f>IF($L851&gt;Keys!$C$51,MIN(Keys!$C$52,$K851/$L851),Keys!$C$51)</f>
        <v>0</v>
      </c>
      <c r="N851" s="11">
        <f>IF($E851=Keys!$C$60,Keys!$C$51,IF($E851=Keys!$C$59,$D851,$M851))</f>
        <v>0</v>
      </c>
      <c r="O851">
        <f t="shared" si="54"/>
        <v>1</v>
      </c>
      <c r="P851" s="10">
        <f>IF($E851=Keys!$C$60,Keys!$C$51,INDEX(Raw_BFPIaE!$G$9:$G$3032,MATCH($A851&amp;Keys!$C$54&amp;Keys!$C$55&amp;Keys!$C$54&amp;$B851,Raw_BFPIaE!$H$9:$H$3032,0)))</f>
        <v>8113010000000</v>
      </c>
      <c r="Q851" s="10">
        <f>IF($E851=Keys!$C$60,Keys!$C$51,INDEX(Raw_BFPIaE!$G$9:$G$3032,MATCH($A851&amp;Keys!$C$54&amp;Keys!$C$56&amp;Keys!$C$54&amp;$B851,Raw_BFPIaE!$H$9:$H$3032,0)))</f>
        <v>52995433333333.336</v>
      </c>
      <c r="R851" s="10">
        <f>IF($E851=Keys!$C$60,Keys!$C$51,INDEX(Raw_BFPIaE!$G$9:$G$3032,MATCH($A851&amp;Keys!$C$54&amp;Keys!$C$57&amp;Keys!$C$54&amp;$B851,Raw_BFPIaE!$H$9:$H$3032,0)))</f>
        <v>0</v>
      </c>
      <c r="S851" s="11">
        <f>IF(($P851+$Q851-$R851+MAX(Keys!$C$51,$R851-$Q851))&gt;Keys!$C$51,MIN(Keys!$C$52,MAX(Keys!$C$51,$R851-$Q851)/($P851+$Q851-$R851+MAX(Keys!$C$51,$R851-$Q851))),Keys!$C$51)</f>
        <v>0</v>
      </c>
      <c r="T851">
        <f>IF(AND($I851&gt;$H851,ABS($L851-$G851)&gt;MAX(Keys!$C$62,ABS($G851)*Keys!$C$63)),1,0)</f>
        <v>0</v>
      </c>
      <c r="U851">
        <f>IF(OR($N851&lt;Keys!$C$51,$N851&gt;Keys!$C$52),1,0)</f>
        <v>0</v>
      </c>
      <c r="V851">
        <f>IF(AND($E851=Keys!$C$60,$N851&lt;&gt;Keys!$C$51),1,0)</f>
        <v>0</v>
      </c>
      <c r="W851">
        <f>IF($L851&gt;Keys!$C$51,IF($K851/$L851&gt;Keys!$C$52,1,0),0)</f>
        <v>0</v>
      </c>
      <c r="X851" s="11">
        <f t="shared" si="55"/>
        <v>0</v>
      </c>
    </row>
    <row r="852" spans="1:24" x14ac:dyDescent="0.25">
      <c r="A852" t="s">
        <v>163</v>
      </c>
      <c r="B852" t="s">
        <v>85</v>
      </c>
      <c r="C852" t="str">
        <f>VLOOKUP($B852,Keys!$F$2:$I$22,2,FALSE)</f>
        <v>petroleum gasoline</v>
      </c>
      <c r="D852">
        <f>VLOOKUP($B852,Keys!$F$2:$I$22,3,FALSE)</f>
        <v>7.5004052000000002E-2</v>
      </c>
      <c r="E852" t="str">
        <f>VLOOKUP($B852,Keys!$F$2:$I$22,4,FALSE)</f>
        <v>rule</v>
      </c>
      <c r="F852" t="str">
        <f>$A852&amp;Keys!$C$54&amp;$B852</f>
        <v>TX|petroleum gasoline</v>
      </c>
      <c r="G852" s="10">
        <f>IF($E852=Keys!$C$60,Keys!$C$51,INDEX(Balanced_2025!$D$9:$D$3032,MATCH($A852&amp;Keys!$C$54&amp;Keys!$C$55&amp;Keys!$C$54&amp;$C852,Balanced_2025!$E$9:$E$3032,0)))</f>
        <v>6156340000000000</v>
      </c>
      <c r="H852" s="10">
        <f>IF($E852=Keys!$C$60,Keys!$C$51,INDEX(Balanced_2025!$D$9:$D$3032,MATCH($A852&amp;Keys!$C$54&amp;Keys!$C$56&amp;Keys!$C$54&amp;$C852,Balanced_2025!$E$9:$E$3032,0)))</f>
        <v>72714300000000</v>
      </c>
      <c r="I852" s="10">
        <f>IF($E852=Keys!$C$60,Keys!$C$51,INDEX(Balanced_2025!$D$9:$D$3032,MATCH($A852&amp;Keys!$C$54&amp;Keys!$C$57&amp;Keys!$C$54&amp;$C852,Balanced_2025!$E$9:$E$3032,0)))</f>
        <v>4652260000000000</v>
      </c>
      <c r="J852" s="10">
        <f t="shared" si="52"/>
        <v>1576794300000000</v>
      </c>
      <c r="K852" s="10">
        <f>MAX(Keys!$C$51,$I852-$H852)</f>
        <v>4579545700000000</v>
      </c>
      <c r="L852" s="10">
        <f t="shared" si="53"/>
        <v>6156340000000000</v>
      </c>
      <c r="M852" s="11">
        <f>IF($L852&gt;Keys!$C$51,MIN(Keys!$C$52,$K852/$L852),Keys!$C$51)</f>
        <v>0.74387472101930696</v>
      </c>
      <c r="N852" s="11">
        <f>IF($E852=Keys!$C$60,Keys!$C$51,IF($E852=Keys!$C$59,$D852,$M852))</f>
        <v>0.74387472101930696</v>
      </c>
      <c r="O852">
        <f t="shared" si="54"/>
        <v>1</v>
      </c>
      <c r="P852" s="10">
        <f>IF($E852=Keys!$C$60,Keys!$C$51,INDEX(Raw_BFPIaE!$G$9:$G$3032,MATCH($A852&amp;Keys!$C$54&amp;Keys!$C$55&amp;Keys!$C$54&amp;$B852,Raw_BFPIaE!$H$9:$H$3032,0)))</f>
        <v>6106600000000000</v>
      </c>
      <c r="Q852" s="10">
        <f>IF($E852=Keys!$C$60,Keys!$C$51,INDEX(Raw_BFPIaE!$G$9:$G$3032,MATCH($A852&amp;Keys!$C$54&amp;Keys!$C$56&amp;Keys!$C$54&amp;$B852,Raw_BFPIaE!$H$9:$H$3032,0)))</f>
        <v>0</v>
      </c>
      <c r="R852" s="10">
        <f>IF($E852=Keys!$C$60,Keys!$C$51,INDEX(Raw_BFPIaE!$G$9:$G$3032,MATCH($A852&amp;Keys!$C$54&amp;Keys!$C$57&amp;Keys!$C$54&amp;$B852,Raw_BFPIaE!$H$9:$H$3032,0)))</f>
        <v>3399900000000000</v>
      </c>
      <c r="S852" s="11">
        <f>IF(($P852+$Q852-$R852+MAX(Keys!$C$51,$R852-$Q852))&gt;Keys!$C$51,MIN(Keys!$C$52,MAX(Keys!$C$51,$R852-$Q852)/($P852+$Q852-$R852+MAX(Keys!$C$51,$R852-$Q852))),Keys!$C$51)</f>
        <v>0.55675826155307373</v>
      </c>
      <c r="T852">
        <f>IF(AND($I852&gt;$H852,ABS($L852-$G852)&gt;MAX(Keys!$C$62,ABS($G852)*Keys!$C$63)),1,0)</f>
        <v>0</v>
      </c>
      <c r="U852">
        <f>IF(OR($N852&lt;Keys!$C$51,$N852&gt;Keys!$C$52),1,0)</f>
        <v>0</v>
      </c>
      <c r="V852">
        <f>IF(AND($E852=Keys!$C$60,$N852&lt;&gt;Keys!$C$51),1,0)</f>
        <v>0</v>
      </c>
      <c r="W852">
        <f>IF($L852&gt;Keys!$C$51,IF($K852/$L852&gt;Keys!$C$52,1,0),0)</f>
        <v>0</v>
      </c>
      <c r="X852" s="11">
        <f t="shared" si="55"/>
        <v>0.18711645946623323</v>
      </c>
    </row>
    <row r="853" spans="1:24" x14ac:dyDescent="0.25">
      <c r="A853" t="s">
        <v>163</v>
      </c>
      <c r="B853" t="s">
        <v>88</v>
      </c>
      <c r="C853" t="str">
        <f>VLOOKUP($B853,Keys!$F$2:$I$22,2,FALSE)</f>
        <v>petroleum diesel</v>
      </c>
      <c r="D853">
        <f>VLOOKUP($B853,Keys!$F$2:$I$22,3,FALSE)</f>
        <v>0.26691051799999999</v>
      </c>
      <c r="E853" t="str">
        <f>VLOOKUP($B853,Keys!$F$2:$I$22,4,FALSE)</f>
        <v>rule</v>
      </c>
      <c r="F853" t="str">
        <f>$A853&amp;Keys!$C$54&amp;$B853</f>
        <v>TX|petroleum diesel</v>
      </c>
      <c r="G853" s="10">
        <f>IF($E853=Keys!$C$60,Keys!$C$51,INDEX(Balanced_2025!$D$9:$D$3032,MATCH($A853&amp;Keys!$C$54&amp;Keys!$C$55&amp;Keys!$C$54&amp;$C853,Balanced_2025!$E$9:$E$3032,0)))</f>
        <v>3641570000000000</v>
      </c>
      <c r="H853" s="10">
        <f>IF($E853=Keys!$C$60,Keys!$C$51,INDEX(Balanced_2025!$D$9:$D$3032,MATCH($A853&amp;Keys!$C$54&amp;Keys!$C$56&amp;Keys!$C$54&amp;$C853,Balanced_2025!$E$9:$E$3032,0)))</f>
        <v>12660200000000</v>
      </c>
      <c r="I853" s="10">
        <f>IF($E853=Keys!$C$60,Keys!$C$51,INDEX(Balanced_2025!$D$9:$D$3032,MATCH($A853&amp;Keys!$C$54&amp;Keys!$C$57&amp;Keys!$C$54&amp;$C853,Balanced_2025!$E$9:$E$3032,0)))</f>
        <v>2454760000000000</v>
      </c>
      <c r="J853" s="10">
        <f t="shared" si="52"/>
        <v>1199470200000000</v>
      </c>
      <c r="K853" s="10">
        <f>MAX(Keys!$C$51,$I853-$H853)</f>
        <v>2442099800000000</v>
      </c>
      <c r="L853" s="10">
        <f t="shared" si="53"/>
        <v>3641570000000000</v>
      </c>
      <c r="M853" s="11">
        <f>IF($L853&gt;Keys!$C$51,MIN(Keys!$C$52,$K853/$L853),Keys!$C$51)</f>
        <v>0.67061728869690818</v>
      </c>
      <c r="N853" s="11">
        <f>IF($E853=Keys!$C$60,Keys!$C$51,IF($E853=Keys!$C$59,$D853,$M853))</f>
        <v>0.67061728869690818</v>
      </c>
      <c r="O853">
        <f t="shared" si="54"/>
        <v>1</v>
      </c>
      <c r="P853" s="10">
        <f>IF($E853=Keys!$C$60,Keys!$C$51,INDEX(Raw_BFPIaE!$G$9:$G$3032,MATCH($A853&amp;Keys!$C$54&amp;Keys!$C$55&amp;Keys!$C$54&amp;$B853,Raw_BFPIaE!$H$9:$H$3032,0)))</f>
        <v>3612146666666666.5</v>
      </c>
      <c r="Q853" s="10">
        <f>IF($E853=Keys!$C$60,Keys!$C$51,INDEX(Raw_BFPIaE!$G$9:$G$3032,MATCH($A853&amp;Keys!$C$54&amp;Keys!$C$56&amp;Keys!$C$54&amp;$B853,Raw_BFPIaE!$H$9:$H$3032,0)))</f>
        <v>0</v>
      </c>
      <c r="R853" s="10">
        <f>IF($E853=Keys!$C$60,Keys!$C$51,INDEX(Raw_BFPIaE!$G$9:$G$3032,MATCH($A853&amp;Keys!$C$54&amp;Keys!$C$57&amp;Keys!$C$54&amp;$B853,Raw_BFPIaE!$H$9:$H$3032,0)))</f>
        <v>2103570000000000</v>
      </c>
      <c r="S853" s="11">
        <f>IF(($P853+$Q853-$R853+MAX(Keys!$C$51,$R853-$Q853))&gt;Keys!$C$51,MIN(Keys!$C$52,MAX(Keys!$C$51,$R853-$Q853)/($P853+$Q853-$R853+MAX(Keys!$C$51,$R853-$Q853))),Keys!$C$51)</f>
        <v>0.58236007397263312</v>
      </c>
      <c r="T853">
        <f>IF(AND($I853&gt;$H853,ABS($L853-$G853)&gt;MAX(Keys!$C$62,ABS($G853)*Keys!$C$63)),1,0)</f>
        <v>0</v>
      </c>
      <c r="U853">
        <f>IF(OR($N853&lt;Keys!$C$51,$N853&gt;Keys!$C$52),1,0)</f>
        <v>0</v>
      </c>
      <c r="V853">
        <f>IF(AND($E853=Keys!$C$60,$N853&lt;&gt;Keys!$C$51),1,0)</f>
        <v>0</v>
      </c>
      <c r="W853">
        <f>IF($L853&gt;Keys!$C$51,IF($K853/$L853&gt;Keys!$C$52,1,0),0)</f>
        <v>0</v>
      </c>
      <c r="X853" s="11">
        <f t="shared" si="55"/>
        <v>8.8257214724275057E-2</v>
      </c>
    </row>
    <row r="854" spans="1:24" x14ac:dyDescent="0.25">
      <c r="A854" t="s">
        <v>163</v>
      </c>
      <c r="B854" t="s">
        <v>91</v>
      </c>
      <c r="C854" t="str">
        <f>VLOOKUP($B854,Keys!$F$2:$I$22,2,FALSE)</f>
        <v>biofuel gasoline</v>
      </c>
      <c r="D854">
        <f>VLOOKUP($B854,Keys!$F$2:$I$22,3,FALSE)</f>
        <v>8.7213884000000005E-2</v>
      </c>
      <c r="E854" t="str">
        <f>VLOOKUP($B854,Keys!$F$2:$I$22,4,FALSE)</f>
        <v>rule</v>
      </c>
      <c r="F854" t="str">
        <f>$A854&amp;Keys!$C$54&amp;$B854</f>
        <v>TX|biofuel gasoline</v>
      </c>
      <c r="G854" s="10">
        <f>IF($E854=Keys!$C$60,Keys!$C$51,INDEX(Balanced_2025!$D$9:$D$3032,MATCH($A854&amp;Keys!$C$54&amp;Keys!$C$55&amp;Keys!$C$54&amp;$C854,Balanced_2025!$E$9:$E$3032,0)))</f>
        <v>30991300000000</v>
      </c>
      <c r="H854" s="10">
        <f>IF($E854=Keys!$C$60,Keys!$C$51,INDEX(Balanced_2025!$D$9:$D$3032,MATCH($A854&amp;Keys!$C$54&amp;Keys!$C$56&amp;Keys!$C$54&amp;$C854,Balanced_2025!$E$9:$E$3032,0)))</f>
        <v>84702400000000</v>
      </c>
      <c r="I854" s="10">
        <f>IF($E854=Keys!$C$60,Keys!$C$51,INDEX(Balanced_2025!$D$9:$D$3032,MATCH($A854&amp;Keys!$C$54&amp;Keys!$C$57&amp;Keys!$C$54&amp;$C854,Balanced_2025!$E$9:$E$3032,0)))</f>
        <v>0</v>
      </c>
      <c r="J854" s="10">
        <f t="shared" si="52"/>
        <v>115693700000000</v>
      </c>
      <c r="K854" s="10">
        <f>MAX(Keys!$C$51,$I854-$H854)</f>
        <v>0</v>
      </c>
      <c r="L854" s="10">
        <f t="shared" si="53"/>
        <v>115693700000000</v>
      </c>
      <c r="M854" s="11">
        <f>IF($L854&gt;Keys!$C$51,MIN(Keys!$C$52,$K854/$L854),Keys!$C$51)</f>
        <v>0</v>
      </c>
      <c r="N854" s="11">
        <f>IF($E854=Keys!$C$60,Keys!$C$51,IF($E854=Keys!$C$59,$D854,$M854))</f>
        <v>0</v>
      </c>
      <c r="O854">
        <f t="shared" si="54"/>
        <v>1</v>
      </c>
      <c r="P854" s="10">
        <f>IF($E854=Keys!$C$60,Keys!$C$51,INDEX(Raw_BFPIaE!$G$9:$G$3032,MATCH($A854&amp;Keys!$C$54&amp;Keys!$C$55&amp;Keys!$C$54&amp;$B854,Raw_BFPIaE!$H$9:$H$3032,0)))</f>
        <v>31020366666666.668</v>
      </c>
      <c r="Q854" s="10">
        <f>IF($E854=Keys!$C$60,Keys!$C$51,INDEX(Raw_BFPIaE!$G$9:$G$3032,MATCH($A854&amp;Keys!$C$54&amp;Keys!$C$56&amp;Keys!$C$54&amp;$B854,Raw_BFPIaE!$H$9:$H$3032,0)))</f>
        <v>52415233333333.336</v>
      </c>
      <c r="R854" s="10">
        <f>IF($E854=Keys!$C$60,Keys!$C$51,INDEX(Raw_BFPIaE!$G$9:$G$3032,MATCH($A854&amp;Keys!$C$54&amp;Keys!$C$57&amp;Keys!$C$54&amp;$B854,Raw_BFPIaE!$H$9:$H$3032,0)))</f>
        <v>0</v>
      </c>
      <c r="S854" s="11">
        <f>IF(($P854+$Q854-$R854+MAX(Keys!$C$51,$R854-$Q854))&gt;Keys!$C$51,MIN(Keys!$C$52,MAX(Keys!$C$51,$R854-$Q854)/($P854+$Q854-$R854+MAX(Keys!$C$51,$R854-$Q854))),Keys!$C$51)</f>
        <v>0</v>
      </c>
      <c r="T854">
        <f>IF(AND($I854&gt;$H854,ABS($L854-$G854)&gt;MAX(Keys!$C$62,ABS($G854)*Keys!$C$63)),1,0)</f>
        <v>0</v>
      </c>
      <c r="U854">
        <f>IF(OR($N854&lt;Keys!$C$51,$N854&gt;Keys!$C$52),1,0)</f>
        <v>0</v>
      </c>
      <c r="V854">
        <f>IF(AND($E854=Keys!$C$60,$N854&lt;&gt;Keys!$C$51),1,0)</f>
        <v>0</v>
      </c>
      <c r="W854">
        <f>IF($L854&gt;Keys!$C$51,IF($K854/$L854&gt;Keys!$C$52,1,0),0)</f>
        <v>0</v>
      </c>
      <c r="X854" s="11">
        <f t="shared" si="55"/>
        <v>0</v>
      </c>
    </row>
    <row r="855" spans="1:24" x14ac:dyDescent="0.25">
      <c r="A855" t="s">
        <v>163</v>
      </c>
      <c r="B855" t="s">
        <v>94</v>
      </c>
      <c r="C855" t="str">
        <f>VLOOKUP($B855,Keys!$F$2:$I$22,2,FALSE)</f>
        <v>biofuel diesel</v>
      </c>
      <c r="D855">
        <f>VLOOKUP($B855,Keys!$F$2:$I$22,3,FALSE)</f>
        <v>5.8642381E-2</v>
      </c>
      <c r="E855" t="str">
        <f>VLOOKUP($B855,Keys!$F$2:$I$22,4,FALSE)</f>
        <v>rule</v>
      </c>
      <c r="F855" t="str">
        <f>$A855&amp;Keys!$C$54&amp;$B855</f>
        <v>TX|biofuel diesel</v>
      </c>
      <c r="G855" s="10">
        <f>IF($E855=Keys!$C$60,Keys!$C$51,INDEX(Balanced_2025!$D$9:$D$3032,MATCH($A855&amp;Keys!$C$54&amp;Keys!$C$55&amp;Keys!$C$54&amp;$C855,Balanced_2025!$E$9:$E$3032,0)))</f>
        <v>52215700000000</v>
      </c>
      <c r="H855" s="10">
        <f>IF($E855=Keys!$C$60,Keys!$C$51,INDEX(Balanced_2025!$D$9:$D$3032,MATCH($A855&amp;Keys!$C$54&amp;Keys!$C$56&amp;Keys!$C$54&amp;$C855,Balanced_2025!$E$9:$E$3032,0)))</f>
        <v>460494000000</v>
      </c>
      <c r="I855" s="10">
        <f>IF($E855=Keys!$C$60,Keys!$C$51,INDEX(Balanced_2025!$D$9:$D$3032,MATCH($A855&amp;Keys!$C$54&amp;Keys!$C$57&amp;Keys!$C$54&amp;$C855,Balanced_2025!$E$9:$E$3032,0)))</f>
        <v>31585700000000</v>
      </c>
      <c r="J855" s="10">
        <f t="shared" si="52"/>
        <v>21090494000000</v>
      </c>
      <c r="K855" s="10">
        <f>MAX(Keys!$C$51,$I855-$H855)</f>
        <v>31125206000000</v>
      </c>
      <c r="L855" s="10">
        <f t="shared" si="53"/>
        <v>52215700000000</v>
      </c>
      <c r="M855" s="11">
        <f>IF($L855&gt;Keys!$C$51,MIN(Keys!$C$52,$K855/$L855),Keys!$C$51)</f>
        <v>0.59608903069383345</v>
      </c>
      <c r="N855" s="11">
        <f>IF($E855=Keys!$C$60,Keys!$C$51,IF($E855=Keys!$C$59,$D855,$M855))</f>
        <v>0.59608903069383345</v>
      </c>
      <c r="O855">
        <f t="shared" si="54"/>
        <v>1</v>
      </c>
      <c r="P855" s="10">
        <f>IF($E855=Keys!$C$60,Keys!$C$51,INDEX(Raw_BFPIaE!$G$9:$G$3032,MATCH($A855&amp;Keys!$C$54&amp;Keys!$C$55&amp;Keys!$C$54&amp;$B855,Raw_BFPIaE!$H$9:$H$3032,0)))</f>
        <v>55485500000000</v>
      </c>
      <c r="Q855" s="10">
        <f>IF($E855=Keys!$C$60,Keys!$C$51,INDEX(Raw_BFPIaE!$G$9:$G$3032,MATCH($A855&amp;Keys!$C$54&amp;Keys!$C$56&amp;Keys!$C$54&amp;$B855,Raw_BFPIaE!$H$9:$H$3032,0)))</f>
        <v>0</v>
      </c>
      <c r="R855" s="10">
        <f>IF($E855=Keys!$C$60,Keys!$C$51,INDEX(Raw_BFPIaE!$G$9:$G$3032,MATCH($A855&amp;Keys!$C$54&amp;Keys!$C$57&amp;Keys!$C$54&amp;$B855,Raw_BFPIaE!$H$9:$H$3032,0)))</f>
        <v>24261600000000</v>
      </c>
      <c r="S855" s="11">
        <f>IF(($P855+$Q855-$R855+MAX(Keys!$C$51,$R855-$Q855))&gt;Keys!$C$51,MIN(Keys!$C$52,MAX(Keys!$C$51,$R855-$Q855)/($P855+$Q855-$R855+MAX(Keys!$C$51,$R855-$Q855))),Keys!$C$51)</f>
        <v>0.43726018509340275</v>
      </c>
      <c r="T855">
        <f>IF(AND($I855&gt;$H855,ABS($L855-$G855)&gt;MAX(Keys!$C$62,ABS($G855)*Keys!$C$63)),1,0)</f>
        <v>0</v>
      </c>
      <c r="U855">
        <f>IF(OR($N855&lt;Keys!$C$51,$N855&gt;Keys!$C$52),1,0)</f>
        <v>0</v>
      </c>
      <c r="V855">
        <f>IF(AND($E855=Keys!$C$60,$N855&lt;&gt;Keys!$C$51),1,0)</f>
        <v>0</v>
      </c>
      <c r="W855">
        <f>IF($L855&gt;Keys!$C$51,IF($K855/$L855&gt;Keys!$C$52,1,0),0)</f>
        <v>0</v>
      </c>
      <c r="X855" s="11">
        <f t="shared" si="55"/>
        <v>0.1588288456004307</v>
      </c>
    </row>
    <row r="856" spans="1:24" x14ac:dyDescent="0.25">
      <c r="A856" t="s">
        <v>163</v>
      </c>
      <c r="B856" t="s">
        <v>97</v>
      </c>
      <c r="C856" t="str">
        <f>VLOOKUP($B856,Keys!$F$2:$I$22,2,FALSE)</f>
        <v>jet fuel or kerosene</v>
      </c>
      <c r="D856">
        <f>VLOOKUP($B856,Keys!$F$2:$I$22,3,FALSE)</f>
        <v>0.10155994</v>
      </c>
      <c r="E856" t="str">
        <f>VLOOKUP($B856,Keys!$F$2:$I$22,4,FALSE)</f>
        <v>rule</v>
      </c>
      <c r="F856" t="str">
        <f>$A856&amp;Keys!$C$54&amp;$B856</f>
        <v>TX|jet fuel or kerosene</v>
      </c>
      <c r="G856" s="10">
        <f>IF($E856=Keys!$C$60,Keys!$C$51,INDEX(Balanced_2025!$D$9:$D$3032,MATCH($A856&amp;Keys!$C$54&amp;Keys!$C$55&amp;Keys!$C$54&amp;$C856,Balanced_2025!$E$9:$E$3032,0)))</f>
        <v>1296320000000000</v>
      </c>
      <c r="H856" s="10">
        <f>IF($E856=Keys!$C$60,Keys!$C$51,INDEX(Balanced_2025!$D$9:$D$3032,MATCH($A856&amp;Keys!$C$54&amp;Keys!$C$56&amp;Keys!$C$54&amp;$C856,Balanced_2025!$E$9:$E$3032,0)))</f>
        <v>0</v>
      </c>
      <c r="I856" s="10">
        <f>IF($E856=Keys!$C$60,Keys!$C$51,INDEX(Balanced_2025!$D$9:$D$3032,MATCH($A856&amp;Keys!$C$54&amp;Keys!$C$57&amp;Keys!$C$54&amp;$C856,Balanced_2025!$E$9:$E$3032,0)))</f>
        <v>982928000000000</v>
      </c>
      <c r="J856" s="10">
        <f t="shared" si="52"/>
        <v>313392000000000</v>
      </c>
      <c r="K856" s="10">
        <f>MAX(Keys!$C$51,$I856-$H856)</f>
        <v>982928000000000</v>
      </c>
      <c r="L856" s="10">
        <f t="shared" si="53"/>
        <v>1296320000000000</v>
      </c>
      <c r="M856" s="11">
        <f>IF($L856&gt;Keys!$C$51,MIN(Keys!$C$52,$K856/$L856),Keys!$C$51)</f>
        <v>0.75824487780794869</v>
      </c>
      <c r="N856" s="11">
        <f>IF($E856=Keys!$C$60,Keys!$C$51,IF($E856=Keys!$C$59,$D856,$M856))</f>
        <v>0.75824487780794869</v>
      </c>
      <c r="O856">
        <f t="shared" si="54"/>
        <v>1</v>
      </c>
      <c r="P856" s="10">
        <f>IF($E856=Keys!$C$60,Keys!$C$51,INDEX(Raw_BFPIaE!$G$9:$G$3032,MATCH($A856&amp;Keys!$C$54&amp;Keys!$C$55&amp;Keys!$C$54&amp;$B856,Raw_BFPIaE!$H$9:$H$3032,0)))</f>
        <v>1285846666666666.8</v>
      </c>
      <c r="Q856" s="10">
        <f>IF($E856=Keys!$C$60,Keys!$C$51,INDEX(Raw_BFPIaE!$G$9:$G$3032,MATCH($A856&amp;Keys!$C$54&amp;Keys!$C$56&amp;Keys!$C$54&amp;$B856,Raw_BFPIaE!$H$9:$H$3032,0)))</f>
        <v>0</v>
      </c>
      <c r="R856" s="10">
        <f>IF($E856=Keys!$C$60,Keys!$C$51,INDEX(Raw_BFPIaE!$G$9:$G$3032,MATCH($A856&amp;Keys!$C$54&amp;Keys!$C$57&amp;Keys!$C$54&amp;$B856,Raw_BFPIaE!$H$9:$H$3032,0)))</f>
        <v>718793666666666.63</v>
      </c>
      <c r="S856" s="11">
        <f>IF(($P856+$Q856-$R856+MAX(Keys!$C$51,$R856-$Q856))&gt;Keys!$C$51,MIN(Keys!$C$52,MAX(Keys!$C$51,$R856-$Q856)/($P856+$Q856-$R856+MAX(Keys!$C$51,$R856-$Q856))),Keys!$C$51)</f>
        <v>0.55900418401364593</v>
      </c>
      <c r="T856">
        <f>IF(AND($I856&gt;$H856,ABS($L856-$G856)&gt;MAX(Keys!$C$62,ABS($G856)*Keys!$C$63)),1,0)</f>
        <v>0</v>
      </c>
      <c r="U856">
        <f>IF(OR($N856&lt;Keys!$C$51,$N856&gt;Keys!$C$52),1,0)</f>
        <v>0</v>
      </c>
      <c r="V856">
        <f>IF(AND($E856=Keys!$C$60,$N856&lt;&gt;Keys!$C$51),1,0)</f>
        <v>0</v>
      </c>
      <c r="W856">
        <f>IF($L856&gt;Keys!$C$51,IF($K856/$L856&gt;Keys!$C$52,1,0),0)</f>
        <v>0</v>
      </c>
      <c r="X856" s="11">
        <f t="shared" si="55"/>
        <v>0.19924069379430276</v>
      </c>
    </row>
    <row r="857" spans="1:24" x14ac:dyDescent="0.25">
      <c r="A857" t="s">
        <v>163</v>
      </c>
      <c r="B857" t="s">
        <v>100</v>
      </c>
      <c r="C857">
        <f>VLOOKUP($B857,Keys!$F$2:$I$22,2,FALSE)</f>
        <v>0</v>
      </c>
      <c r="D857">
        <f>VLOOKUP($B857,Keys!$F$2:$I$22,3,FALSE)</f>
        <v>0</v>
      </c>
      <c r="E857" t="str">
        <f>VLOOKUP($B857,Keys!$F$2:$I$22,4,FALSE)</f>
        <v>zero</v>
      </c>
      <c r="F857" t="str">
        <f>$A857&amp;Keys!$C$54&amp;$B857</f>
        <v>TX|heat (not used in this variable)</v>
      </c>
      <c r="G857" s="10">
        <f>IF($E857=Keys!$C$60,Keys!$C$51,INDEX(Balanced_2025!$D$9:$D$3032,MATCH($A857&amp;Keys!$C$54&amp;Keys!$C$55&amp;Keys!$C$54&amp;$C857,Balanced_2025!$E$9:$E$3032,0)))</f>
        <v>0</v>
      </c>
      <c r="H857" s="10">
        <f>IF($E857=Keys!$C$60,Keys!$C$51,INDEX(Balanced_2025!$D$9:$D$3032,MATCH($A857&amp;Keys!$C$54&amp;Keys!$C$56&amp;Keys!$C$54&amp;$C857,Balanced_2025!$E$9:$E$3032,0)))</f>
        <v>0</v>
      </c>
      <c r="I857" s="10">
        <f>IF($E857=Keys!$C$60,Keys!$C$51,INDEX(Balanced_2025!$D$9:$D$3032,MATCH($A857&amp;Keys!$C$54&amp;Keys!$C$57&amp;Keys!$C$54&amp;$C857,Balanced_2025!$E$9:$E$3032,0)))</f>
        <v>0</v>
      </c>
      <c r="J857" s="10">
        <f t="shared" si="52"/>
        <v>0</v>
      </c>
      <c r="K857" s="10">
        <f>MAX(Keys!$C$51,$I857-$H857)</f>
        <v>0</v>
      </c>
      <c r="L857" s="10">
        <f t="shared" si="53"/>
        <v>0</v>
      </c>
      <c r="M857" s="11">
        <f>IF($L857&gt;Keys!$C$51,MIN(Keys!$C$52,$K857/$L857),Keys!$C$51)</f>
        <v>0</v>
      </c>
      <c r="N857" s="11">
        <f>IF($E857=Keys!$C$60,Keys!$C$51,IF($E857=Keys!$C$59,$D857,$M857))</f>
        <v>0</v>
      </c>
      <c r="O857">
        <f t="shared" si="54"/>
        <v>0</v>
      </c>
      <c r="P857" s="10">
        <f>IF($E857=Keys!$C$60,Keys!$C$51,INDEX(Raw_BFPIaE!$G$9:$G$3032,MATCH($A857&amp;Keys!$C$54&amp;Keys!$C$55&amp;Keys!$C$54&amp;$B857,Raw_BFPIaE!$H$9:$H$3032,0)))</f>
        <v>0</v>
      </c>
      <c r="Q857" s="10">
        <f>IF($E857=Keys!$C$60,Keys!$C$51,INDEX(Raw_BFPIaE!$G$9:$G$3032,MATCH($A857&amp;Keys!$C$54&amp;Keys!$C$56&amp;Keys!$C$54&amp;$B857,Raw_BFPIaE!$H$9:$H$3032,0)))</f>
        <v>0</v>
      </c>
      <c r="R857" s="10">
        <f>IF($E857=Keys!$C$60,Keys!$C$51,INDEX(Raw_BFPIaE!$G$9:$G$3032,MATCH($A857&amp;Keys!$C$54&amp;Keys!$C$57&amp;Keys!$C$54&amp;$B857,Raw_BFPIaE!$H$9:$H$3032,0)))</f>
        <v>0</v>
      </c>
      <c r="S857" s="11">
        <f>IF(($P857+$Q857-$R857+MAX(Keys!$C$51,$R857-$Q857))&gt;Keys!$C$51,MIN(Keys!$C$52,MAX(Keys!$C$51,$R857-$Q857)/($P857+$Q857-$R857+MAX(Keys!$C$51,$R857-$Q857))),Keys!$C$51)</f>
        <v>0</v>
      </c>
      <c r="T857">
        <f>IF(AND($I857&gt;$H857,ABS($L857-$G857)&gt;MAX(Keys!$C$62,ABS($G857)*Keys!$C$63)),1,0)</f>
        <v>0</v>
      </c>
      <c r="U857">
        <f>IF(OR($N857&lt;Keys!$C$51,$N857&gt;Keys!$C$52),1,0)</f>
        <v>0</v>
      </c>
      <c r="V857">
        <f>IF(AND($E857=Keys!$C$60,$N857&lt;&gt;Keys!$C$51),1,0)</f>
        <v>0</v>
      </c>
      <c r="W857">
        <f>IF($L857&gt;Keys!$C$51,IF($K857/$L857&gt;Keys!$C$52,1,0),0)</f>
        <v>0</v>
      </c>
      <c r="X857" s="11">
        <f t="shared" si="55"/>
        <v>0</v>
      </c>
    </row>
    <row r="858" spans="1:24" x14ac:dyDescent="0.25">
      <c r="A858" t="s">
        <v>163</v>
      </c>
      <c r="B858" t="s">
        <v>103</v>
      </c>
      <c r="C858">
        <f>VLOOKUP($B858,Keys!$F$2:$I$22,2,FALSE)</f>
        <v>0</v>
      </c>
      <c r="D858">
        <f>VLOOKUP($B858,Keys!$F$2:$I$22,3,FALSE)</f>
        <v>0</v>
      </c>
      <c r="E858" t="str">
        <f>VLOOKUP($B858,Keys!$F$2:$I$22,4,FALSE)</f>
        <v>zero</v>
      </c>
      <c r="F858" t="str">
        <f>$A858&amp;Keys!$C$54&amp;$B858</f>
        <v>TX|geothermal (is not a fuel)</v>
      </c>
      <c r="G858" s="10">
        <f>IF($E858=Keys!$C$60,Keys!$C$51,INDEX(Balanced_2025!$D$9:$D$3032,MATCH($A858&amp;Keys!$C$54&amp;Keys!$C$55&amp;Keys!$C$54&amp;$C858,Balanced_2025!$E$9:$E$3032,0)))</f>
        <v>0</v>
      </c>
      <c r="H858" s="10">
        <f>IF($E858=Keys!$C$60,Keys!$C$51,INDEX(Balanced_2025!$D$9:$D$3032,MATCH($A858&amp;Keys!$C$54&amp;Keys!$C$56&amp;Keys!$C$54&amp;$C858,Balanced_2025!$E$9:$E$3032,0)))</f>
        <v>0</v>
      </c>
      <c r="I858" s="10">
        <f>IF($E858=Keys!$C$60,Keys!$C$51,INDEX(Balanced_2025!$D$9:$D$3032,MATCH($A858&amp;Keys!$C$54&amp;Keys!$C$57&amp;Keys!$C$54&amp;$C858,Balanced_2025!$E$9:$E$3032,0)))</f>
        <v>0</v>
      </c>
      <c r="J858" s="10">
        <f t="shared" si="52"/>
        <v>0</v>
      </c>
      <c r="K858" s="10">
        <f>MAX(Keys!$C$51,$I858-$H858)</f>
        <v>0</v>
      </c>
      <c r="L858" s="10">
        <f t="shared" si="53"/>
        <v>0</v>
      </c>
      <c r="M858" s="11">
        <f>IF($L858&gt;Keys!$C$51,MIN(Keys!$C$52,$K858/$L858),Keys!$C$51)</f>
        <v>0</v>
      </c>
      <c r="N858" s="11">
        <f>IF($E858=Keys!$C$60,Keys!$C$51,IF($E858=Keys!$C$59,$D858,$M858))</f>
        <v>0</v>
      </c>
      <c r="O858">
        <f t="shared" si="54"/>
        <v>0</v>
      </c>
      <c r="P858" s="10">
        <f>IF($E858=Keys!$C$60,Keys!$C$51,INDEX(Raw_BFPIaE!$G$9:$G$3032,MATCH($A858&amp;Keys!$C$54&amp;Keys!$C$55&amp;Keys!$C$54&amp;$B858,Raw_BFPIaE!$H$9:$H$3032,0)))</f>
        <v>0</v>
      </c>
      <c r="Q858" s="10">
        <f>IF($E858=Keys!$C$60,Keys!$C$51,INDEX(Raw_BFPIaE!$G$9:$G$3032,MATCH($A858&amp;Keys!$C$54&amp;Keys!$C$56&amp;Keys!$C$54&amp;$B858,Raw_BFPIaE!$H$9:$H$3032,0)))</f>
        <v>0</v>
      </c>
      <c r="R858" s="10">
        <f>IF($E858=Keys!$C$60,Keys!$C$51,INDEX(Raw_BFPIaE!$G$9:$G$3032,MATCH($A858&amp;Keys!$C$54&amp;Keys!$C$57&amp;Keys!$C$54&amp;$B858,Raw_BFPIaE!$H$9:$H$3032,0)))</f>
        <v>0</v>
      </c>
      <c r="S858" s="11">
        <f>IF(($P858+$Q858-$R858+MAX(Keys!$C$51,$R858-$Q858))&gt;Keys!$C$51,MIN(Keys!$C$52,MAX(Keys!$C$51,$R858-$Q858)/($P858+$Q858-$R858+MAX(Keys!$C$51,$R858-$Q858))),Keys!$C$51)</f>
        <v>0</v>
      </c>
      <c r="T858">
        <f>IF(AND($I858&gt;$H858,ABS($L858-$G858)&gt;MAX(Keys!$C$62,ABS($G858)*Keys!$C$63)),1,0)</f>
        <v>0</v>
      </c>
      <c r="U858">
        <f>IF(OR($N858&lt;Keys!$C$51,$N858&gt;Keys!$C$52),1,0)</f>
        <v>0</v>
      </c>
      <c r="V858">
        <f>IF(AND($E858=Keys!$C$60,$N858&lt;&gt;Keys!$C$51),1,0)</f>
        <v>0</v>
      </c>
      <c r="W858">
        <f>IF($L858&gt;Keys!$C$51,IF($K858/$L858&gt;Keys!$C$52,1,0),0)</f>
        <v>0</v>
      </c>
      <c r="X858" s="11">
        <f t="shared" si="55"/>
        <v>0</v>
      </c>
    </row>
    <row r="859" spans="1:24" x14ac:dyDescent="0.25">
      <c r="A859" t="s">
        <v>163</v>
      </c>
      <c r="B859" t="s">
        <v>106</v>
      </c>
      <c r="C859" t="str">
        <f>VLOOKUP($B859,Keys!$F$2:$I$22,2,FALSE)</f>
        <v>lignite</v>
      </c>
      <c r="D859">
        <f>VLOOKUP($B859,Keys!$F$2:$I$22,3,FALSE)</f>
        <v>0</v>
      </c>
      <c r="E859" t="str">
        <f>VLOOKUP($B859,Keys!$F$2:$I$22,4,FALSE)</f>
        <v>rule</v>
      </c>
      <c r="F859" t="str">
        <f>$A859&amp;Keys!$C$54&amp;$B859</f>
        <v>TX|lignite</v>
      </c>
      <c r="G859" s="10">
        <f>IF($E859=Keys!$C$60,Keys!$C$51,INDEX(Balanced_2025!$D$9:$D$3032,MATCH($A859&amp;Keys!$C$54&amp;Keys!$C$55&amp;Keys!$C$54&amp;$C859,Balanced_2025!$E$9:$E$3032,0)))</f>
        <v>172151000000000</v>
      </c>
      <c r="H859" s="10">
        <f>IF($E859=Keys!$C$60,Keys!$C$51,INDEX(Balanced_2025!$D$9:$D$3032,MATCH($A859&amp;Keys!$C$54&amp;Keys!$C$56&amp;Keys!$C$54&amp;$C859,Balanced_2025!$E$9:$E$3032,0)))</f>
        <v>33526800000000</v>
      </c>
      <c r="I859" s="10">
        <f>IF($E859=Keys!$C$60,Keys!$C$51,INDEX(Balanced_2025!$D$9:$D$3032,MATCH($A859&amp;Keys!$C$54&amp;Keys!$C$57&amp;Keys!$C$54&amp;$C859,Balanced_2025!$E$9:$E$3032,0)))</f>
        <v>63783200000000</v>
      </c>
      <c r="J859" s="10">
        <f t="shared" si="52"/>
        <v>141894600000000</v>
      </c>
      <c r="K859" s="10">
        <f>MAX(Keys!$C$51,$I859-$H859)</f>
        <v>30256400000000</v>
      </c>
      <c r="L859" s="10">
        <f t="shared" si="53"/>
        <v>172151000000000</v>
      </c>
      <c r="M859" s="11">
        <f>IF($L859&gt;Keys!$C$51,MIN(Keys!$C$52,$K859/$L859),Keys!$C$51)</f>
        <v>0.1757550057798096</v>
      </c>
      <c r="N859" s="11">
        <f>IF($E859=Keys!$C$60,Keys!$C$51,IF($E859=Keys!$C$59,$D859,$M859))</f>
        <v>0.1757550057798096</v>
      </c>
      <c r="O859">
        <f t="shared" si="54"/>
        <v>1</v>
      </c>
      <c r="P859" s="10">
        <f>IF($E859=Keys!$C$60,Keys!$C$51,INDEX(Raw_BFPIaE!$G$9:$G$3032,MATCH($A859&amp;Keys!$C$54&amp;Keys!$C$55&amp;Keys!$C$54&amp;$B859,Raw_BFPIaE!$H$9:$H$3032,0)))</f>
        <v>171842333333333.34</v>
      </c>
      <c r="Q859" s="10">
        <f>IF($E859=Keys!$C$60,Keys!$C$51,INDEX(Raw_BFPIaE!$G$9:$G$3032,MATCH($A859&amp;Keys!$C$54&amp;Keys!$C$56&amp;Keys!$C$54&amp;$B859,Raw_BFPIaE!$H$9:$H$3032,0)))</f>
        <v>0</v>
      </c>
      <c r="R859" s="10">
        <f>IF($E859=Keys!$C$60,Keys!$C$51,INDEX(Raw_BFPIaE!$G$9:$G$3032,MATCH($A859&amp;Keys!$C$54&amp;Keys!$C$57&amp;Keys!$C$54&amp;$B859,Raw_BFPIaE!$H$9:$H$3032,0)))</f>
        <v>33812000000000</v>
      </c>
      <c r="S859" s="11">
        <f>IF(($P859+$Q859-$R859+MAX(Keys!$C$51,$R859-$Q859))&gt;Keys!$C$51,MIN(Keys!$C$52,MAX(Keys!$C$51,$R859-$Q859)/($P859+$Q859-$R859+MAX(Keys!$C$51,$R859-$Q859))),Keys!$C$51)</f>
        <v>0.196761760295775</v>
      </c>
      <c r="T859">
        <f>IF(AND($I859&gt;$H859,ABS($L859-$G859)&gt;MAX(Keys!$C$62,ABS($G859)*Keys!$C$63)),1,0)</f>
        <v>0</v>
      </c>
      <c r="U859">
        <f>IF(OR($N859&lt;Keys!$C$51,$N859&gt;Keys!$C$52),1,0)</f>
        <v>0</v>
      </c>
      <c r="V859">
        <f>IF(AND($E859=Keys!$C$60,$N859&lt;&gt;Keys!$C$51),1,0)</f>
        <v>0</v>
      </c>
      <c r="W859">
        <f>IF($L859&gt;Keys!$C$51,IF($K859/$L859&gt;Keys!$C$52,1,0),0)</f>
        <v>0</v>
      </c>
      <c r="X859" s="11">
        <f t="shared" si="55"/>
        <v>2.1006754515965398E-2</v>
      </c>
    </row>
    <row r="860" spans="1:24" x14ac:dyDescent="0.25">
      <c r="A860" t="s">
        <v>163</v>
      </c>
      <c r="B860" t="s">
        <v>109</v>
      </c>
      <c r="C860" t="str">
        <f>VLOOKUP($B860,Keys!$F$2:$I$22,2,FALSE)</f>
        <v>crude oil</v>
      </c>
      <c r="D860">
        <f>VLOOKUP($B860,Keys!$F$2:$I$22,3,FALSE)</f>
        <v>1</v>
      </c>
      <c r="E860" t="str">
        <f>VLOOKUP($B860,Keys!$F$2:$I$22,4,FALSE)</f>
        <v>hold</v>
      </c>
      <c r="F860" t="str">
        <f>$A860&amp;Keys!$C$54&amp;$B860</f>
        <v>TX|crude oil</v>
      </c>
      <c r="G860" s="10">
        <f>IF($E860=Keys!$C$60,Keys!$C$51,INDEX(Balanced_2025!$D$9:$D$3032,MATCH($A860&amp;Keys!$C$54&amp;Keys!$C$55&amp;Keys!$C$54&amp;$C860,Balanced_2025!$E$9:$E$3032,0)))</f>
        <v>1.20474E+16</v>
      </c>
      <c r="H860" s="10">
        <f>IF($E860=Keys!$C$60,Keys!$C$51,INDEX(Balanced_2025!$D$9:$D$3032,MATCH($A860&amp;Keys!$C$54&amp;Keys!$C$56&amp;Keys!$C$54&amp;$C860,Balanced_2025!$E$9:$E$3032,0)))</f>
        <v>8001010000000000</v>
      </c>
      <c r="I860" s="10">
        <f>IF($E860=Keys!$C$60,Keys!$C$51,INDEX(Balanced_2025!$D$9:$D$3032,MATCH($A860&amp;Keys!$C$54&amp;Keys!$C$57&amp;Keys!$C$54&amp;$C860,Balanced_2025!$E$9:$E$3032,0)))</f>
        <v>7512910000000000</v>
      </c>
      <c r="J860" s="10">
        <f t="shared" si="52"/>
        <v>1.25355E+16</v>
      </c>
      <c r="K860" s="10">
        <f>MAX(Keys!$C$51,$I860-$H860)</f>
        <v>0</v>
      </c>
      <c r="L860" s="10">
        <f t="shared" si="53"/>
        <v>1.25355E+16</v>
      </c>
      <c r="M860" s="11">
        <f>IF($L860&gt;Keys!$C$51,MIN(Keys!$C$52,$K860/$L860),Keys!$C$51)</f>
        <v>0</v>
      </c>
      <c r="N860" s="11">
        <f>IF($E860=Keys!$C$60,Keys!$C$51,IF($E860=Keys!$C$59,$D860,$M860))</f>
        <v>1</v>
      </c>
      <c r="O860">
        <f t="shared" si="54"/>
        <v>0</v>
      </c>
      <c r="P860" s="10">
        <f>IF($E860=Keys!$C$60,Keys!$C$51,INDEX(Raw_BFPIaE!$G$9:$G$3032,MATCH($A860&amp;Keys!$C$54&amp;Keys!$C$55&amp;Keys!$C$54&amp;$B860,Raw_BFPIaE!$H$9:$H$3032,0)))</f>
        <v>1.2082933333333334E+16</v>
      </c>
      <c r="Q860" s="10">
        <f>IF($E860=Keys!$C$60,Keys!$C$51,INDEX(Raw_BFPIaE!$G$9:$G$3032,MATCH($A860&amp;Keys!$C$54&amp;Keys!$C$56&amp;Keys!$C$54&amp;$B860,Raw_BFPIaE!$H$9:$H$3032,0)))</f>
        <v>5320643333333333</v>
      </c>
      <c r="R860" s="10">
        <f>IF($E860=Keys!$C$60,Keys!$C$51,INDEX(Raw_BFPIaE!$G$9:$G$3032,MATCH($A860&amp;Keys!$C$54&amp;Keys!$C$57&amp;Keys!$C$54&amp;$B860,Raw_BFPIaE!$H$9:$H$3032,0)))</f>
        <v>7535080000000000</v>
      </c>
      <c r="S860" s="11">
        <f>IF(($P860+$Q860-$R860+MAX(Keys!$C$51,$R860-$Q860))&gt;Keys!$C$51,MIN(Keys!$C$52,MAX(Keys!$C$51,$R860-$Q860)/($P860+$Q860-$R860+MAX(Keys!$C$51,$R860-$Q860))),Keys!$C$51)</f>
        <v>0.18326979099997792</v>
      </c>
      <c r="T860">
        <f>IF(AND($I860&gt;$H860,ABS($L860-$G860)&gt;MAX(Keys!$C$62,ABS($G860)*Keys!$C$63)),1,0)</f>
        <v>0</v>
      </c>
      <c r="U860">
        <f>IF(OR($N860&lt;Keys!$C$51,$N860&gt;Keys!$C$52),1,0)</f>
        <v>0</v>
      </c>
      <c r="V860">
        <f>IF(AND($E860=Keys!$C$60,$N860&lt;&gt;Keys!$C$51),1,0)</f>
        <v>0</v>
      </c>
      <c r="W860">
        <f>IF($L860&gt;Keys!$C$51,IF($K860/$L860&gt;Keys!$C$52,1,0),0)</f>
        <v>0</v>
      </c>
      <c r="X860" s="11">
        <f t="shared" si="55"/>
        <v>0.18326979099997792</v>
      </c>
    </row>
    <row r="861" spans="1:24" x14ac:dyDescent="0.25">
      <c r="A861" t="s">
        <v>163</v>
      </c>
      <c r="B861" t="s">
        <v>113</v>
      </c>
      <c r="C861" t="str">
        <f>VLOOKUP($B861,Keys!$F$2:$I$22,2,FALSE)</f>
        <v>heavy or residual fuel oil</v>
      </c>
      <c r="D861">
        <f>VLOOKUP($B861,Keys!$F$2:$I$22,3,FALSE)</f>
        <v>0.49914171099999999</v>
      </c>
      <c r="E861" t="str">
        <f>VLOOKUP($B861,Keys!$F$2:$I$22,4,FALSE)</f>
        <v>rule</v>
      </c>
      <c r="F861" t="str">
        <f>$A861&amp;Keys!$C$54&amp;$B861</f>
        <v>TX|heavy fuel oil</v>
      </c>
      <c r="G861" s="10">
        <f>IF($E861=Keys!$C$60,Keys!$C$51,INDEX(Balanced_2025!$D$9:$D$3032,MATCH($A861&amp;Keys!$C$54&amp;Keys!$C$55&amp;Keys!$C$54&amp;$C861,Balanced_2025!$E$9:$E$3032,0)))</f>
        <v>251815000000000</v>
      </c>
      <c r="H861" s="10">
        <f>IF($E861=Keys!$C$60,Keys!$C$51,INDEX(Balanced_2025!$D$9:$D$3032,MATCH($A861&amp;Keys!$C$54&amp;Keys!$C$56&amp;Keys!$C$54&amp;$C861,Balanced_2025!$E$9:$E$3032,0)))</f>
        <v>185008000000000</v>
      </c>
      <c r="I861" s="10">
        <f>IF($E861=Keys!$C$60,Keys!$C$51,INDEX(Balanced_2025!$D$9:$D$3032,MATCH($A861&amp;Keys!$C$54&amp;Keys!$C$57&amp;Keys!$C$54&amp;$C861,Balanced_2025!$E$9:$E$3032,0)))</f>
        <v>171680000000000</v>
      </c>
      <c r="J861" s="10">
        <f t="shared" si="52"/>
        <v>265143000000000</v>
      </c>
      <c r="K861" s="10">
        <f>MAX(Keys!$C$51,$I861-$H861)</f>
        <v>0</v>
      </c>
      <c r="L861" s="10">
        <f t="shared" si="53"/>
        <v>265143000000000</v>
      </c>
      <c r="M861" s="11">
        <f>IF($L861&gt;Keys!$C$51,MIN(Keys!$C$52,$K861/$L861),Keys!$C$51)</f>
        <v>0</v>
      </c>
      <c r="N861" s="11">
        <f>IF($E861=Keys!$C$60,Keys!$C$51,IF($E861=Keys!$C$59,$D861,$M861))</f>
        <v>0</v>
      </c>
      <c r="O861">
        <f t="shared" si="54"/>
        <v>1</v>
      </c>
      <c r="P861" s="10">
        <f>IF($E861=Keys!$C$60,Keys!$C$51,INDEX(Raw_BFPIaE!$G$9:$G$3032,MATCH($A861&amp;Keys!$C$54&amp;Keys!$C$55&amp;Keys!$C$54&amp;$B861,Raw_BFPIaE!$H$9:$H$3032,0)))</f>
        <v>249780666666666.66</v>
      </c>
      <c r="Q861" s="10">
        <f>IF($E861=Keys!$C$60,Keys!$C$51,INDEX(Raw_BFPIaE!$G$9:$G$3032,MATCH($A861&amp;Keys!$C$54&amp;Keys!$C$56&amp;Keys!$C$54&amp;$B861,Raw_BFPIaE!$H$9:$H$3032,0)))</f>
        <v>129309666666666.67</v>
      </c>
      <c r="R861" s="10">
        <f>IF($E861=Keys!$C$60,Keys!$C$51,INDEX(Raw_BFPIaE!$G$9:$G$3032,MATCH($A861&amp;Keys!$C$54&amp;Keys!$C$57&amp;Keys!$C$54&amp;$B861,Raw_BFPIaE!$H$9:$H$3032,0)))</f>
        <v>170293000000000</v>
      </c>
      <c r="S861" s="11">
        <f>IF(($P861+$Q861-$R861+MAX(Keys!$C$51,$R861-$Q861))&gt;Keys!$C$51,MIN(Keys!$C$52,MAX(Keys!$C$51,$R861-$Q861)/($P861+$Q861-$R861+MAX(Keys!$C$51,$R861-$Q861))),Keys!$C$51)</f>
        <v>0.16407728380365708</v>
      </c>
      <c r="T861">
        <f>IF(AND($I861&gt;$H861,ABS($L861-$G861)&gt;MAX(Keys!$C$62,ABS($G861)*Keys!$C$63)),1,0)</f>
        <v>0</v>
      </c>
      <c r="U861">
        <f>IF(OR($N861&lt;Keys!$C$51,$N861&gt;Keys!$C$52),1,0)</f>
        <v>0</v>
      </c>
      <c r="V861">
        <f>IF(AND($E861=Keys!$C$60,$N861&lt;&gt;Keys!$C$51),1,0)</f>
        <v>0</v>
      </c>
      <c r="W861">
        <f>IF($L861&gt;Keys!$C$51,IF($K861/$L861&gt;Keys!$C$52,1,0),0)</f>
        <v>0</v>
      </c>
      <c r="X861" s="11">
        <f t="shared" si="55"/>
        <v>0.16407728380365708</v>
      </c>
    </row>
    <row r="862" spans="1:24" x14ac:dyDescent="0.25">
      <c r="A862" t="s">
        <v>163</v>
      </c>
      <c r="B862" t="s">
        <v>117</v>
      </c>
      <c r="C862" t="str">
        <f>VLOOKUP($B862,Keys!$F$2:$I$22,2,FALSE)</f>
        <v>LPG propane or butane</v>
      </c>
      <c r="D862">
        <f>VLOOKUP($B862,Keys!$F$2:$I$22,3,FALSE)</f>
        <v>0.54955999499999997</v>
      </c>
      <c r="E862" t="str">
        <f>VLOOKUP($B862,Keys!$F$2:$I$22,4,FALSE)</f>
        <v>rule</v>
      </c>
      <c r="F862" t="str">
        <f>$A862&amp;Keys!$C$54&amp;$B862</f>
        <v>TX|LPG propane or butane</v>
      </c>
      <c r="G862" s="10">
        <f>IF($E862=Keys!$C$60,Keys!$C$51,INDEX(Balanced_2025!$D$9:$D$3032,MATCH($A862&amp;Keys!$C$54&amp;Keys!$C$55&amp;Keys!$C$54&amp;$C862,Balanced_2025!$E$9:$E$3032,0)))</f>
        <v>1274600000000000</v>
      </c>
      <c r="H862" s="10">
        <f>IF($E862=Keys!$C$60,Keys!$C$51,INDEX(Balanced_2025!$D$9:$D$3032,MATCH($A862&amp;Keys!$C$54&amp;Keys!$C$56&amp;Keys!$C$54&amp;$C862,Balanced_2025!$E$9:$E$3032,0)))</f>
        <v>1708760000000000</v>
      </c>
      <c r="I862" s="10">
        <f>IF($E862=Keys!$C$60,Keys!$C$51,INDEX(Balanced_2025!$D$9:$D$3032,MATCH($A862&amp;Keys!$C$54&amp;Keys!$C$57&amp;Keys!$C$54&amp;$C862,Balanced_2025!$E$9:$E$3032,0)))</f>
        <v>0</v>
      </c>
      <c r="J862" s="10">
        <f t="shared" si="52"/>
        <v>2983360000000000</v>
      </c>
      <c r="K862" s="10">
        <f>MAX(Keys!$C$51,$I862-$H862)</f>
        <v>0</v>
      </c>
      <c r="L862" s="10">
        <f t="shared" si="53"/>
        <v>2983360000000000</v>
      </c>
      <c r="M862" s="11">
        <f>IF($L862&gt;Keys!$C$51,MIN(Keys!$C$52,$K862/$L862),Keys!$C$51)</f>
        <v>0</v>
      </c>
      <c r="N862" s="11">
        <f>IF($E862=Keys!$C$60,Keys!$C$51,IF($E862=Keys!$C$59,$D862,$M862))</f>
        <v>0</v>
      </c>
      <c r="O862">
        <f t="shared" si="54"/>
        <v>1</v>
      </c>
      <c r="P862" s="10">
        <f>IF($E862=Keys!$C$60,Keys!$C$51,INDEX(Raw_BFPIaE!$G$9:$G$3032,MATCH($A862&amp;Keys!$C$54&amp;Keys!$C$55&amp;Keys!$C$54&amp;$B862,Raw_BFPIaE!$H$9:$H$3032,0)))</f>
        <v>1283620000000000</v>
      </c>
      <c r="Q862" s="10">
        <f>IF($E862=Keys!$C$60,Keys!$C$51,INDEX(Raw_BFPIaE!$G$9:$G$3032,MATCH($A862&amp;Keys!$C$54&amp;Keys!$C$56&amp;Keys!$C$54&amp;$B862,Raw_BFPIaE!$H$9:$H$3032,0)))</f>
        <v>1130090000000000</v>
      </c>
      <c r="R862" s="10">
        <f>IF($E862=Keys!$C$60,Keys!$C$51,INDEX(Raw_BFPIaE!$G$9:$G$3032,MATCH($A862&amp;Keys!$C$54&amp;Keys!$C$57&amp;Keys!$C$54&amp;$B862,Raw_BFPIaE!$H$9:$H$3032,0)))</f>
        <v>0</v>
      </c>
      <c r="S862" s="11">
        <f>IF(($P862+$Q862-$R862+MAX(Keys!$C$51,$R862-$Q862))&gt;Keys!$C$51,MIN(Keys!$C$52,MAX(Keys!$C$51,$R862-$Q862)/($P862+$Q862-$R862+MAX(Keys!$C$51,$R862-$Q862))),Keys!$C$51)</f>
        <v>0</v>
      </c>
      <c r="T862">
        <f>IF(AND($I862&gt;$H862,ABS($L862-$G862)&gt;MAX(Keys!$C$62,ABS($G862)*Keys!$C$63)),1,0)</f>
        <v>0</v>
      </c>
      <c r="U862">
        <f>IF(OR($N862&lt;Keys!$C$51,$N862&gt;Keys!$C$52),1,0)</f>
        <v>0</v>
      </c>
      <c r="V862">
        <f>IF(AND($E862=Keys!$C$60,$N862&lt;&gt;Keys!$C$51),1,0)</f>
        <v>0</v>
      </c>
      <c r="W862">
        <f>IF($L862&gt;Keys!$C$51,IF($K862/$L862&gt;Keys!$C$52,1,0),0)</f>
        <v>0</v>
      </c>
      <c r="X862" s="11">
        <f t="shared" si="55"/>
        <v>0</v>
      </c>
    </row>
    <row r="863" spans="1:24" x14ac:dyDescent="0.25">
      <c r="A863" t="s">
        <v>163</v>
      </c>
      <c r="B863" t="s">
        <v>120</v>
      </c>
      <c r="C863">
        <f>VLOOKUP($B863,Keys!$F$2:$I$22,2,FALSE)</f>
        <v>0</v>
      </c>
      <c r="D863">
        <f>VLOOKUP($B863,Keys!$F$2:$I$22,3,FALSE)</f>
        <v>0</v>
      </c>
      <c r="E863" t="str">
        <f>VLOOKUP($B863,Keys!$F$2:$I$22,4,FALSE)</f>
        <v>zero</v>
      </c>
      <c r="F863" t="str">
        <f>$A863&amp;Keys!$C$54&amp;$B863</f>
        <v>TX|municipal solid waste</v>
      </c>
      <c r="G863" s="10">
        <f>IF($E863=Keys!$C$60,Keys!$C$51,INDEX(Balanced_2025!$D$9:$D$3032,MATCH($A863&amp;Keys!$C$54&amp;Keys!$C$55&amp;Keys!$C$54&amp;$C863,Balanced_2025!$E$9:$E$3032,0)))</f>
        <v>0</v>
      </c>
      <c r="H863" s="10">
        <f>IF($E863=Keys!$C$60,Keys!$C$51,INDEX(Balanced_2025!$D$9:$D$3032,MATCH($A863&amp;Keys!$C$54&amp;Keys!$C$56&amp;Keys!$C$54&amp;$C863,Balanced_2025!$E$9:$E$3032,0)))</f>
        <v>0</v>
      </c>
      <c r="I863" s="10">
        <f>IF($E863=Keys!$C$60,Keys!$C$51,INDEX(Balanced_2025!$D$9:$D$3032,MATCH($A863&amp;Keys!$C$54&amp;Keys!$C$57&amp;Keys!$C$54&amp;$C863,Balanced_2025!$E$9:$E$3032,0)))</f>
        <v>0</v>
      </c>
      <c r="J863" s="10">
        <f t="shared" si="52"/>
        <v>0</v>
      </c>
      <c r="K863" s="10">
        <f>MAX(Keys!$C$51,$I863-$H863)</f>
        <v>0</v>
      </c>
      <c r="L863" s="10">
        <f t="shared" si="53"/>
        <v>0</v>
      </c>
      <c r="M863" s="11">
        <f>IF($L863&gt;Keys!$C$51,MIN(Keys!$C$52,$K863/$L863),Keys!$C$51)</f>
        <v>0</v>
      </c>
      <c r="N863" s="11">
        <f>IF($E863=Keys!$C$60,Keys!$C$51,IF($E863=Keys!$C$59,$D863,$M863))</f>
        <v>0</v>
      </c>
      <c r="O863">
        <f t="shared" si="54"/>
        <v>0</v>
      </c>
      <c r="P863" s="10">
        <f>IF($E863=Keys!$C$60,Keys!$C$51,INDEX(Raw_BFPIaE!$G$9:$G$3032,MATCH($A863&amp;Keys!$C$54&amp;Keys!$C$55&amp;Keys!$C$54&amp;$B863,Raw_BFPIaE!$H$9:$H$3032,0)))</f>
        <v>0</v>
      </c>
      <c r="Q863" s="10">
        <f>IF($E863=Keys!$C$60,Keys!$C$51,INDEX(Raw_BFPIaE!$G$9:$G$3032,MATCH($A863&amp;Keys!$C$54&amp;Keys!$C$56&amp;Keys!$C$54&amp;$B863,Raw_BFPIaE!$H$9:$H$3032,0)))</f>
        <v>0</v>
      </c>
      <c r="R863" s="10">
        <f>IF($E863=Keys!$C$60,Keys!$C$51,INDEX(Raw_BFPIaE!$G$9:$G$3032,MATCH($A863&amp;Keys!$C$54&amp;Keys!$C$57&amp;Keys!$C$54&amp;$B863,Raw_BFPIaE!$H$9:$H$3032,0)))</f>
        <v>0</v>
      </c>
      <c r="S863" s="11">
        <f>IF(($P863+$Q863-$R863+MAX(Keys!$C$51,$R863-$Q863))&gt;Keys!$C$51,MIN(Keys!$C$52,MAX(Keys!$C$51,$R863-$Q863)/($P863+$Q863-$R863+MAX(Keys!$C$51,$R863-$Q863))),Keys!$C$51)</f>
        <v>0</v>
      </c>
      <c r="T863">
        <f>IF(AND($I863&gt;$H863,ABS($L863-$G863)&gt;MAX(Keys!$C$62,ABS($G863)*Keys!$C$63)),1,0)</f>
        <v>0</v>
      </c>
      <c r="U863">
        <f>IF(OR($N863&lt;Keys!$C$51,$N863&gt;Keys!$C$52),1,0)</f>
        <v>0</v>
      </c>
      <c r="V863">
        <f>IF(AND($E863=Keys!$C$60,$N863&lt;&gt;Keys!$C$51),1,0)</f>
        <v>0</v>
      </c>
      <c r="W863">
        <f>IF($L863&gt;Keys!$C$51,IF($K863/$L863&gt;Keys!$C$52,1,0),0)</f>
        <v>0</v>
      </c>
      <c r="X863" s="11">
        <f t="shared" si="55"/>
        <v>0</v>
      </c>
    </row>
    <row r="864" spans="1:24" x14ac:dyDescent="0.25">
      <c r="A864" t="s">
        <v>163</v>
      </c>
      <c r="B864" t="s">
        <v>123</v>
      </c>
      <c r="C864">
        <f>VLOOKUP($B864,Keys!$F$2:$I$22,2,FALSE)</f>
        <v>0</v>
      </c>
      <c r="D864">
        <f>VLOOKUP($B864,Keys!$F$2:$I$22,3,FALSE)</f>
        <v>0</v>
      </c>
      <c r="E864" t="str">
        <f>VLOOKUP($B864,Keys!$F$2:$I$22,4,FALSE)</f>
        <v>zero</v>
      </c>
      <c r="F864" t="str">
        <f>$A864&amp;Keys!$C$54&amp;$B864</f>
        <v>TX|hydrogen</v>
      </c>
      <c r="G864" s="10">
        <f>IF($E864=Keys!$C$60,Keys!$C$51,INDEX(Balanced_2025!$D$9:$D$3032,MATCH($A864&amp;Keys!$C$54&amp;Keys!$C$55&amp;Keys!$C$54&amp;$C864,Balanced_2025!$E$9:$E$3032,0)))</f>
        <v>0</v>
      </c>
      <c r="H864" s="10">
        <f>IF($E864=Keys!$C$60,Keys!$C$51,INDEX(Balanced_2025!$D$9:$D$3032,MATCH($A864&amp;Keys!$C$54&amp;Keys!$C$56&amp;Keys!$C$54&amp;$C864,Balanced_2025!$E$9:$E$3032,0)))</f>
        <v>0</v>
      </c>
      <c r="I864" s="10">
        <f>IF($E864=Keys!$C$60,Keys!$C$51,INDEX(Balanced_2025!$D$9:$D$3032,MATCH($A864&amp;Keys!$C$54&amp;Keys!$C$57&amp;Keys!$C$54&amp;$C864,Balanced_2025!$E$9:$E$3032,0)))</f>
        <v>0</v>
      </c>
      <c r="J864" s="10">
        <f t="shared" si="52"/>
        <v>0</v>
      </c>
      <c r="K864" s="10">
        <f>MAX(Keys!$C$51,$I864-$H864)</f>
        <v>0</v>
      </c>
      <c r="L864" s="10">
        <f t="shared" si="53"/>
        <v>0</v>
      </c>
      <c r="M864" s="11">
        <f>IF($L864&gt;Keys!$C$51,MIN(Keys!$C$52,$K864/$L864),Keys!$C$51)</f>
        <v>0</v>
      </c>
      <c r="N864" s="11">
        <f>IF($E864=Keys!$C$60,Keys!$C$51,IF($E864=Keys!$C$59,$D864,$M864))</f>
        <v>0</v>
      </c>
      <c r="O864">
        <f t="shared" si="54"/>
        <v>0</v>
      </c>
      <c r="P864" s="10">
        <f>IF($E864=Keys!$C$60,Keys!$C$51,INDEX(Raw_BFPIaE!$G$9:$G$3032,MATCH($A864&amp;Keys!$C$54&amp;Keys!$C$55&amp;Keys!$C$54&amp;$B864,Raw_BFPIaE!$H$9:$H$3032,0)))</f>
        <v>0</v>
      </c>
      <c r="Q864" s="10">
        <f>IF($E864=Keys!$C$60,Keys!$C$51,INDEX(Raw_BFPIaE!$G$9:$G$3032,MATCH($A864&amp;Keys!$C$54&amp;Keys!$C$56&amp;Keys!$C$54&amp;$B864,Raw_BFPIaE!$H$9:$H$3032,0)))</f>
        <v>0</v>
      </c>
      <c r="R864" s="10">
        <f>IF($E864=Keys!$C$60,Keys!$C$51,INDEX(Raw_BFPIaE!$G$9:$G$3032,MATCH($A864&amp;Keys!$C$54&amp;Keys!$C$57&amp;Keys!$C$54&amp;$B864,Raw_BFPIaE!$H$9:$H$3032,0)))</f>
        <v>0</v>
      </c>
      <c r="S864" s="11">
        <f>IF(($P864+$Q864-$R864+MAX(Keys!$C$51,$R864-$Q864))&gt;Keys!$C$51,MIN(Keys!$C$52,MAX(Keys!$C$51,$R864-$Q864)/($P864+$Q864-$R864+MAX(Keys!$C$51,$R864-$Q864))),Keys!$C$51)</f>
        <v>0</v>
      </c>
      <c r="T864">
        <f>IF(AND($I864&gt;$H864,ABS($L864-$G864)&gt;MAX(Keys!$C$62,ABS($G864)*Keys!$C$63)),1,0)</f>
        <v>0</v>
      </c>
      <c r="U864">
        <f>IF(OR($N864&lt;Keys!$C$51,$N864&gt;Keys!$C$52),1,0)</f>
        <v>0</v>
      </c>
      <c r="V864">
        <f>IF(AND($E864=Keys!$C$60,$N864&lt;&gt;Keys!$C$51),1,0)</f>
        <v>0</v>
      </c>
      <c r="W864">
        <f>IF($L864&gt;Keys!$C$51,IF($K864/$L864&gt;Keys!$C$52,1,0),0)</f>
        <v>0</v>
      </c>
      <c r="X864" s="11">
        <f t="shared" si="55"/>
        <v>0</v>
      </c>
    </row>
    <row r="865" spans="1:24" x14ac:dyDescent="0.25">
      <c r="A865" t="s">
        <v>165</v>
      </c>
      <c r="B865" t="s">
        <v>60</v>
      </c>
      <c r="C865">
        <f>VLOOKUP($B865,Keys!$F$2:$I$22,2,FALSE)</f>
        <v>0</v>
      </c>
      <c r="D865">
        <f>VLOOKUP($B865,Keys!$F$2:$I$22,3,FALSE)</f>
        <v>0</v>
      </c>
      <c r="E865" t="str">
        <f>VLOOKUP($B865,Keys!$F$2:$I$22,4,FALSE)</f>
        <v>zero</v>
      </c>
      <c r="F865" t="str">
        <f>$A865&amp;Keys!$C$54&amp;$B865</f>
        <v>UT|electricity (not used in this variable)</v>
      </c>
      <c r="G865" s="10">
        <f>IF($E865=Keys!$C$60,Keys!$C$51,INDEX(Balanced_2025!$D$9:$D$3032,MATCH($A865&amp;Keys!$C$54&amp;Keys!$C$55&amp;Keys!$C$54&amp;$C865,Balanced_2025!$E$9:$E$3032,0)))</f>
        <v>0</v>
      </c>
      <c r="H865" s="10">
        <f>IF($E865=Keys!$C$60,Keys!$C$51,INDEX(Balanced_2025!$D$9:$D$3032,MATCH($A865&amp;Keys!$C$54&amp;Keys!$C$56&amp;Keys!$C$54&amp;$C865,Balanced_2025!$E$9:$E$3032,0)))</f>
        <v>0</v>
      </c>
      <c r="I865" s="10">
        <f>IF($E865=Keys!$C$60,Keys!$C$51,INDEX(Balanced_2025!$D$9:$D$3032,MATCH($A865&amp;Keys!$C$54&amp;Keys!$C$57&amp;Keys!$C$54&amp;$C865,Balanced_2025!$E$9:$E$3032,0)))</f>
        <v>0</v>
      </c>
      <c r="J865" s="10">
        <f t="shared" si="52"/>
        <v>0</v>
      </c>
      <c r="K865" s="10">
        <f>MAX(Keys!$C$51,$I865-$H865)</f>
        <v>0</v>
      </c>
      <c r="L865" s="10">
        <f t="shared" si="53"/>
        <v>0</v>
      </c>
      <c r="M865" s="11">
        <f>IF($L865&gt;Keys!$C$51,MIN(Keys!$C$52,$K865/$L865),Keys!$C$51)</f>
        <v>0</v>
      </c>
      <c r="N865" s="11">
        <f>IF($E865=Keys!$C$60,Keys!$C$51,IF($E865=Keys!$C$59,$D865,$M865))</f>
        <v>0</v>
      </c>
      <c r="O865">
        <f t="shared" si="54"/>
        <v>0</v>
      </c>
      <c r="P865" s="10">
        <f>IF($E865=Keys!$C$60,Keys!$C$51,INDEX(Raw_BFPIaE!$G$9:$G$3032,MATCH($A865&amp;Keys!$C$54&amp;Keys!$C$55&amp;Keys!$C$54&amp;$B865,Raw_BFPIaE!$H$9:$H$3032,0)))</f>
        <v>0</v>
      </c>
      <c r="Q865" s="10">
        <f>IF($E865=Keys!$C$60,Keys!$C$51,INDEX(Raw_BFPIaE!$G$9:$G$3032,MATCH($A865&amp;Keys!$C$54&amp;Keys!$C$56&amp;Keys!$C$54&amp;$B865,Raw_BFPIaE!$H$9:$H$3032,0)))</f>
        <v>0</v>
      </c>
      <c r="R865" s="10">
        <f>IF($E865=Keys!$C$60,Keys!$C$51,INDEX(Raw_BFPIaE!$G$9:$G$3032,MATCH($A865&amp;Keys!$C$54&amp;Keys!$C$57&amp;Keys!$C$54&amp;$B865,Raw_BFPIaE!$H$9:$H$3032,0)))</f>
        <v>0</v>
      </c>
      <c r="S865" s="11">
        <f>IF(($P865+$Q865-$R865+MAX(Keys!$C$51,$R865-$Q865))&gt;Keys!$C$51,MIN(Keys!$C$52,MAX(Keys!$C$51,$R865-$Q865)/($P865+$Q865-$R865+MAX(Keys!$C$51,$R865-$Q865))),Keys!$C$51)</f>
        <v>0</v>
      </c>
      <c r="T865">
        <f>IF(AND($I865&gt;$H865,ABS($L865-$G865)&gt;MAX(Keys!$C$62,ABS($G865)*Keys!$C$63)),1,0)</f>
        <v>0</v>
      </c>
      <c r="U865">
        <f>IF(OR($N865&lt;Keys!$C$51,$N865&gt;Keys!$C$52),1,0)</f>
        <v>0</v>
      </c>
      <c r="V865">
        <f>IF(AND($E865=Keys!$C$60,$N865&lt;&gt;Keys!$C$51),1,0)</f>
        <v>0</v>
      </c>
      <c r="W865">
        <f>IF($L865&gt;Keys!$C$51,IF($K865/$L865&gt;Keys!$C$52,1,0),0)</f>
        <v>0</v>
      </c>
      <c r="X865" s="11">
        <f t="shared" si="55"/>
        <v>0</v>
      </c>
    </row>
    <row r="866" spans="1:24" x14ac:dyDescent="0.25">
      <c r="A866" t="s">
        <v>165</v>
      </c>
      <c r="B866" t="s">
        <v>64</v>
      </c>
      <c r="C866" t="str">
        <f>VLOOKUP($B866,Keys!$F$2:$I$22,2,FALSE)</f>
        <v>hard coal</v>
      </c>
      <c r="D866">
        <f>VLOOKUP($B866,Keys!$F$2:$I$22,3,FALSE)</f>
        <v>0.137539879</v>
      </c>
      <c r="E866" t="str">
        <f>VLOOKUP($B866,Keys!$F$2:$I$22,4,FALSE)</f>
        <v>rule</v>
      </c>
      <c r="F866" t="str">
        <f>$A866&amp;Keys!$C$54&amp;$B866</f>
        <v>UT|hard coal</v>
      </c>
      <c r="G866" s="10">
        <f>IF($E866=Keys!$C$60,Keys!$C$51,INDEX(Balanced_2025!$D$9:$D$3032,MATCH($A866&amp;Keys!$C$54&amp;Keys!$C$55&amp;Keys!$C$54&amp;$C866,Balanced_2025!$E$9:$E$3032,0)))</f>
        <v>152104000000000</v>
      </c>
      <c r="H866" s="10">
        <f>IF($E866=Keys!$C$60,Keys!$C$51,INDEX(Balanced_2025!$D$9:$D$3032,MATCH($A866&amp;Keys!$C$54&amp;Keys!$C$56&amp;Keys!$C$54&amp;$C866,Balanced_2025!$E$9:$E$3032,0)))</f>
        <v>68694200000000</v>
      </c>
      <c r="I866" s="10">
        <f>IF($E866=Keys!$C$60,Keys!$C$51,INDEX(Balanced_2025!$D$9:$D$3032,MATCH($A866&amp;Keys!$C$54&amp;Keys!$C$57&amp;Keys!$C$54&amp;$C866,Balanced_2025!$E$9:$E$3032,0)))</f>
        <v>7729440000000</v>
      </c>
      <c r="J866" s="10">
        <f t="shared" si="52"/>
        <v>213068760000000</v>
      </c>
      <c r="K866" s="10">
        <f>MAX(Keys!$C$51,$I866-$H866)</f>
        <v>0</v>
      </c>
      <c r="L866" s="10">
        <f t="shared" si="53"/>
        <v>213068760000000</v>
      </c>
      <c r="M866" s="11">
        <f>IF($L866&gt;Keys!$C$51,MIN(Keys!$C$52,$K866/$L866),Keys!$C$51)</f>
        <v>0</v>
      </c>
      <c r="N866" s="11">
        <f>IF($E866=Keys!$C$60,Keys!$C$51,IF($E866=Keys!$C$59,$D866,$M866))</f>
        <v>0</v>
      </c>
      <c r="O866">
        <f t="shared" si="54"/>
        <v>1</v>
      </c>
      <c r="P866" s="10">
        <f>IF($E866=Keys!$C$60,Keys!$C$51,INDEX(Raw_BFPIaE!$G$9:$G$3032,MATCH($A866&amp;Keys!$C$54&amp;Keys!$C$55&amp;Keys!$C$54&amp;$B866,Raw_BFPIaE!$H$9:$H$3032,0)))</f>
        <v>148747666666666.66</v>
      </c>
      <c r="Q866" s="10">
        <f>IF($E866=Keys!$C$60,Keys!$C$51,INDEX(Raw_BFPIaE!$G$9:$G$3032,MATCH($A866&amp;Keys!$C$54&amp;Keys!$C$56&amp;Keys!$C$54&amp;$B866,Raw_BFPIaE!$H$9:$H$3032,0)))</f>
        <v>48817700000000</v>
      </c>
      <c r="R866" s="10">
        <f>IF($E866=Keys!$C$60,Keys!$C$51,INDEX(Raw_BFPIaE!$G$9:$G$3032,MATCH($A866&amp;Keys!$C$54&amp;Keys!$C$57&amp;Keys!$C$54&amp;$B866,Raw_BFPIaE!$H$9:$H$3032,0)))</f>
        <v>7558883333333.333</v>
      </c>
      <c r="S866" s="11">
        <f>IF(($P866+$Q866-$R866+MAX(Keys!$C$51,$R866-$Q866))&gt;Keys!$C$51,MIN(Keys!$C$52,MAX(Keys!$C$51,$R866-$Q866)/($P866+$Q866-$R866+MAX(Keys!$C$51,$R866-$Q866))),Keys!$C$51)</f>
        <v>0</v>
      </c>
      <c r="T866">
        <f>IF(AND($I866&gt;$H866,ABS($L866-$G866)&gt;MAX(Keys!$C$62,ABS($G866)*Keys!$C$63)),1,0)</f>
        <v>0</v>
      </c>
      <c r="U866">
        <f>IF(OR($N866&lt;Keys!$C$51,$N866&gt;Keys!$C$52),1,0)</f>
        <v>0</v>
      </c>
      <c r="V866">
        <f>IF(AND($E866=Keys!$C$60,$N866&lt;&gt;Keys!$C$51),1,0)</f>
        <v>0</v>
      </c>
      <c r="W866">
        <f>IF($L866&gt;Keys!$C$51,IF($K866/$L866&gt;Keys!$C$52,1,0),0)</f>
        <v>0</v>
      </c>
      <c r="X866" s="11">
        <f t="shared" si="55"/>
        <v>0</v>
      </c>
    </row>
    <row r="867" spans="1:24" x14ac:dyDescent="0.25">
      <c r="A867" t="s">
        <v>165</v>
      </c>
      <c r="B867" t="s">
        <v>68</v>
      </c>
      <c r="C867" t="str">
        <f>VLOOKUP($B867,Keys!$F$2:$I$22,2,FALSE)</f>
        <v>natural gas</v>
      </c>
      <c r="D867">
        <f>VLOOKUP($B867,Keys!$F$2:$I$22,3,FALSE)</f>
        <v>0.190839183</v>
      </c>
      <c r="E867" t="str">
        <f>VLOOKUP($B867,Keys!$F$2:$I$22,4,FALSE)</f>
        <v>rule</v>
      </c>
      <c r="F867" t="str">
        <f>$A867&amp;Keys!$C$54&amp;$B867</f>
        <v>UT|natural gas</v>
      </c>
      <c r="G867" s="10">
        <f>IF($E867=Keys!$C$60,Keys!$C$51,INDEX(Balanced_2025!$D$9:$D$3032,MATCH($A867&amp;Keys!$C$54&amp;Keys!$C$55&amp;Keys!$C$54&amp;$C867,Balanced_2025!$E$9:$E$3032,0)))</f>
        <v>302729000000000</v>
      </c>
      <c r="H867" s="10">
        <f>IF($E867=Keys!$C$60,Keys!$C$51,INDEX(Balanced_2025!$D$9:$D$3032,MATCH($A867&amp;Keys!$C$54&amp;Keys!$C$56&amp;Keys!$C$54&amp;$C867,Balanced_2025!$E$9:$E$3032,0)))</f>
        <v>1035480000000000</v>
      </c>
      <c r="I867" s="10">
        <f>IF($E867=Keys!$C$60,Keys!$C$51,INDEX(Balanced_2025!$D$9:$D$3032,MATCH($A867&amp;Keys!$C$54&amp;Keys!$C$57&amp;Keys!$C$54&amp;$C867,Balanced_2025!$E$9:$E$3032,0)))</f>
        <v>1058620000000000</v>
      </c>
      <c r="J867" s="10">
        <f t="shared" si="52"/>
        <v>279589000000000</v>
      </c>
      <c r="K867" s="10">
        <f>MAX(Keys!$C$51,$I867-$H867)</f>
        <v>23140000000000</v>
      </c>
      <c r="L867" s="10">
        <f t="shared" si="53"/>
        <v>302729000000000</v>
      </c>
      <c r="M867" s="11">
        <f>IF($L867&gt;Keys!$C$51,MIN(Keys!$C$52,$K867/$L867),Keys!$C$51)</f>
        <v>7.6438002305692546E-2</v>
      </c>
      <c r="N867" s="11">
        <f>IF($E867=Keys!$C$60,Keys!$C$51,IF($E867=Keys!$C$59,$D867,$M867))</f>
        <v>7.6438002305692546E-2</v>
      </c>
      <c r="O867">
        <f t="shared" si="54"/>
        <v>1</v>
      </c>
      <c r="P867" s="10">
        <f>IF($E867=Keys!$C$60,Keys!$C$51,INDEX(Raw_BFPIaE!$G$9:$G$3032,MATCH($A867&amp;Keys!$C$54&amp;Keys!$C$55&amp;Keys!$C$54&amp;$B867,Raw_BFPIaE!$H$9:$H$3032,0)))</f>
        <v>303004333333333.31</v>
      </c>
      <c r="Q867" s="10">
        <f>IF($E867=Keys!$C$60,Keys!$C$51,INDEX(Raw_BFPIaE!$G$9:$G$3032,MATCH($A867&amp;Keys!$C$54&amp;Keys!$C$56&amp;Keys!$C$54&amp;$B867,Raw_BFPIaE!$H$9:$H$3032,0)))</f>
        <v>1056190000000000</v>
      </c>
      <c r="R867" s="10">
        <f>IF($E867=Keys!$C$60,Keys!$C$51,INDEX(Raw_BFPIaE!$G$9:$G$3032,MATCH($A867&amp;Keys!$C$54&amp;Keys!$C$57&amp;Keys!$C$54&amp;$B867,Raw_BFPIaE!$H$9:$H$3032,0)))</f>
        <v>1059583333333333.4</v>
      </c>
      <c r="S867" s="11">
        <f>IF(($P867+$Q867-$R867+MAX(Keys!$C$51,$R867-$Q867))&gt;Keys!$C$51,MIN(Keys!$C$52,MAX(Keys!$C$51,$R867-$Q867)/($P867+$Q867-$R867+MAX(Keys!$C$51,$R867-$Q867))),Keys!$C$51)</f>
        <v>1.1198959750850789E-2</v>
      </c>
      <c r="T867">
        <f>IF(AND($I867&gt;$H867,ABS($L867-$G867)&gt;MAX(Keys!$C$62,ABS($G867)*Keys!$C$63)),1,0)</f>
        <v>0</v>
      </c>
      <c r="U867">
        <f>IF(OR($N867&lt;Keys!$C$51,$N867&gt;Keys!$C$52),1,0)</f>
        <v>0</v>
      </c>
      <c r="V867">
        <f>IF(AND($E867=Keys!$C$60,$N867&lt;&gt;Keys!$C$51),1,0)</f>
        <v>0</v>
      </c>
      <c r="W867">
        <f>IF($L867&gt;Keys!$C$51,IF($K867/$L867&gt;Keys!$C$52,1,0),0)</f>
        <v>0</v>
      </c>
      <c r="X867" s="11">
        <f t="shared" si="55"/>
        <v>6.5239042554841753E-2</v>
      </c>
    </row>
    <row r="868" spans="1:24" x14ac:dyDescent="0.25">
      <c r="A868" t="s">
        <v>165</v>
      </c>
      <c r="B868" t="s">
        <v>71</v>
      </c>
      <c r="C868">
        <f>VLOOKUP($B868,Keys!$F$2:$I$22,2,FALSE)</f>
        <v>0</v>
      </c>
      <c r="D868">
        <f>VLOOKUP($B868,Keys!$F$2:$I$22,3,FALSE)</f>
        <v>0</v>
      </c>
      <c r="E868" t="str">
        <f>VLOOKUP($B868,Keys!$F$2:$I$22,4,FALSE)</f>
        <v>zero</v>
      </c>
      <c r="F868" t="str">
        <f>$A868&amp;Keys!$C$54&amp;$B868</f>
        <v>UT|nuclear</v>
      </c>
      <c r="G868" s="10">
        <f>IF($E868=Keys!$C$60,Keys!$C$51,INDEX(Balanced_2025!$D$9:$D$3032,MATCH($A868&amp;Keys!$C$54&amp;Keys!$C$55&amp;Keys!$C$54&amp;$C868,Balanced_2025!$E$9:$E$3032,0)))</f>
        <v>0</v>
      </c>
      <c r="H868" s="10">
        <f>IF($E868=Keys!$C$60,Keys!$C$51,INDEX(Balanced_2025!$D$9:$D$3032,MATCH($A868&amp;Keys!$C$54&amp;Keys!$C$56&amp;Keys!$C$54&amp;$C868,Balanced_2025!$E$9:$E$3032,0)))</f>
        <v>0</v>
      </c>
      <c r="I868" s="10">
        <f>IF($E868=Keys!$C$60,Keys!$C$51,INDEX(Balanced_2025!$D$9:$D$3032,MATCH($A868&amp;Keys!$C$54&amp;Keys!$C$57&amp;Keys!$C$54&amp;$C868,Balanced_2025!$E$9:$E$3032,0)))</f>
        <v>0</v>
      </c>
      <c r="J868" s="10">
        <f t="shared" si="52"/>
        <v>0</v>
      </c>
      <c r="K868" s="10">
        <f>MAX(Keys!$C$51,$I868-$H868)</f>
        <v>0</v>
      </c>
      <c r="L868" s="10">
        <f t="shared" si="53"/>
        <v>0</v>
      </c>
      <c r="M868" s="11">
        <f>IF($L868&gt;Keys!$C$51,MIN(Keys!$C$52,$K868/$L868),Keys!$C$51)</f>
        <v>0</v>
      </c>
      <c r="N868" s="11">
        <f>IF($E868=Keys!$C$60,Keys!$C$51,IF($E868=Keys!$C$59,$D868,$M868))</f>
        <v>0</v>
      </c>
      <c r="O868">
        <f t="shared" si="54"/>
        <v>0</v>
      </c>
      <c r="P868" s="10">
        <f>IF($E868=Keys!$C$60,Keys!$C$51,INDEX(Raw_BFPIaE!$G$9:$G$3032,MATCH($A868&amp;Keys!$C$54&amp;Keys!$C$55&amp;Keys!$C$54&amp;$B868,Raw_BFPIaE!$H$9:$H$3032,0)))</f>
        <v>0</v>
      </c>
      <c r="Q868" s="10">
        <f>IF($E868=Keys!$C$60,Keys!$C$51,INDEX(Raw_BFPIaE!$G$9:$G$3032,MATCH($A868&amp;Keys!$C$54&amp;Keys!$C$56&amp;Keys!$C$54&amp;$B868,Raw_BFPIaE!$H$9:$H$3032,0)))</f>
        <v>0</v>
      </c>
      <c r="R868" s="10">
        <f>IF($E868=Keys!$C$60,Keys!$C$51,INDEX(Raw_BFPIaE!$G$9:$G$3032,MATCH($A868&amp;Keys!$C$54&amp;Keys!$C$57&amp;Keys!$C$54&amp;$B868,Raw_BFPIaE!$H$9:$H$3032,0)))</f>
        <v>0</v>
      </c>
      <c r="S868" s="11">
        <f>IF(($P868+$Q868-$R868+MAX(Keys!$C$51,$R868-$Q868))&gt;Keys!$C$51,MIN(Keys!$C$52,MAX(Keys!$C$51,$R868-$Q868)/($P868+$Q868-$R868+MAX(Keys!$C$51,$R868-$Q868))),Keys!$C$51)</f>
        <v>0</v>
      </c>
      <c r="T868">
        <f>IF(AND($I868&gt;$H868,ABS($L868-$G868)&gt;MAX(Keys!$C$62,ABS($G868)*Keys!$C$63)),1,0)</f>
        <v>0</v>
      </c>
      <c r="U868">
        <f>IF(OR($N868&lt;Keys!$C$51,$N868&gt;Keys!$C$52),1,0)</f>
        <v>0</v>
      </c>
      <c r="V868">
        <f>IF(AND($E868=Keys!$C$60,$N868&lt;&gt;Keys!$C$51),1,0)</f>
        <v>0</v>
      </c>
      <c r="W868">
        <f>IF($L868&gt;Keys!$C$51,IF($K868/$L868&gt;Keys!$C$52,1,0),0)</f>
        <v>0</v>
      </c>
      <c r="X868" s="11">
        <f t="shared" si="55"/>
        <v>0</v>
      </c>
    </row>
    <row r="869" spans="1:24" x14ac:dyDescent="0.25">
      <c r="A869" t="s">
        <v>165</v>
      </c>
      <c r="B869" t="s">
        <v>74</v>
      </c>
      <c r="C869">
        <f>VLOOKUP($B869,Keys!$F$2:$I$22,2,FALSE)</f>
        <v>0</v>
      </c>
      <c r="D869">
        <f>VLOOKUP($B869,Keys!$F$2:$I$22,3,FALSE)</f>
        <v>0</v>
      </c>
      <c r="E869" t="str">
        <f>VLOOKUP($B869,Keys!$F$2:$I$22,4,FALSE)</f>
        <v>zero</v>
      </c>
      <c r="F869" t="str">
        <f>$A869&amp;Keys!$C$54&amp;$B869</f>
        <v>UT|hydro (is not a fuel)</v>
      </c>
      <c r="G869" s="10">
        <f>IF($E869=Keys!$C$60,Keys!$C$51,INDEX(Balanced_2025!$D$9:$D$3032,MATCH($A869&amp;Keys!$C$54&amp;Keys!$C$55&amp;Keys!$C$54&amp;$C869,Balanced_2025!$E$9:$E$3032,0)))</f>
        <v>0</v>
      </c>
      <c r="H869" s="10">
        <f>IF($E869=Keys!$C$60,Keys!$C$51,INDEX(Balanced_2025!$D$9:$D$3032,MATCH($A869&amp;Keys!$C$54&amp;Keys!$C$56&amp;Keys!$C$54&amp;$C869,Balanced_2025!$E$9:$E$3032,0)))</f>
        <v>0</v>
      </c>
      <c r="I869" s="10">
        <f>IF($E869=Keys!$C$60,Keys!$C$51,INDEX(Balanced_2025!$D$9:$D$3032,MATCH($A869&amp;Keys!$C$54&amp;Keys!$C$57&amp;Keys!$C$54&amp;$C869,Balanced_2025!$E$9:$E$3032,0)))</f>
        <v>0</v>
      </c>
      <c r="J869" s="10">
        <f t="shared" si="52"/>
        <v>0</v>
      </c>
      <c r="K869" s="10">
        <f>MAX(Keys!$C$51,$I869-$H869)</f>
        <v>0</v>
      </c>
      <c r="L869" s="10">
        <f t="shared" si="53"/>
        <v>0</v>
      </c>
      <c r="M869" s="11">
        <f>IF($L869&gt;Keys!$C$51,MIN(Keys!$C$52,$K869/$L869),Keys!$C$51)</f>
        <v>0</v>
      </c>
      <c r="N869" s="11">
        <f>IF($E869=Keys!$C$60,Keys!$C$51,IF($E869=Keys!$C$59,$D869,$M869))</f>
        <v>0</v>
      </c>
      <c r="O869">
        <f t="shared" si="54"/>
        <v>0</v>
      </c>
      <c r="P869" s="10">
        <f>IF($E869=Keys!$C$60,Keys!$C$51,INDEX(Raw_BFPIaE!$G$9:$G$3032,MATCH($A869&amp;Keys!$C$54&amp;Keys!$C$55&amp;Keys!$C$54&amp;$B869,Raw_BFPIaE!$H$9:$H$3032,0)))</f>
        <v>0</v>
      </c>
      <c r="Q869" s="10">
        <f>IF($E869=Keys!$C$60,Keys!$C$51,INDEX(Raw_BFPIaE!$G$9:$G$3032,MATCH($A869&amp;Keys!$C$54&amp;Keys!$C$56&amp;Keys!$C$54&amp;$B869,Raw_BFPIaE!$H$9:$H$3032,0)))</f>
        <v>0</v>
      </c>
      <c r="R869" s="10">
        <f>IF($E869=Keys!$C$60,Keys!$C$51,INDEX(Raw_BFPIaE!$G$9:$G$3032,MATCH($A869&amp;Keys!$C$54&amp;Keys!$C$57&amp;Keys!$C$54&amp;$B869,Raw_BFPIaE!$H$9:$H$3032,0)))</f>
        <v>0</v>
      </c>
      <c r="S869" s="11">
        <f>IF(($P869+$Q869-$R869+MAX(Keys!$C$51,$R869-$Q869))&gt;Keys!$C$51,MIN(Keys!$C$52,MAX(Keys!$C$51,$R869-$Q869)/($P869+$Q869-$R869+MAX(Keys!$C$51,$R869-$Q869))),Keys!$C$51)</f>
        <v>0</v>
      </c>
      <c r="T869">
        <f>IF(AND($I869&gt;$H869,ABS($L869-$G869)&gt;MAX(Keys!$C$62,ABS($G869)*Keys!$C$63)),1,0)</f>
        <v>0</v>
      </c>
      <c r="U869">
        <f>IF(OR($N869&lt;Keys!$C$51,$N869&gt;Keys!$C$52),1,0)</f>
        <v>0</v>
      </c>
      <c r="V869">
        <f>IF(AND($E869=Keys!$C$60,$N869&lt;&gt;Keys!$C$51),1,0)</f>
        <v>0</v>
      </c>
      <c r="W869">
        <f>IF($L869&gt;Keys!$C$51,IF($K869/$L869&gt;Keys!$C$52,1,0),0)</f>
        <v>0</v>
      </c>
      <c r="X869" s="11">
        <f t="shared" si="55"/>
        <v>0</v>
      </c>
    </row>
    <row r="870" spans="1:24" x14ac:dyDescent="0.25">
      <c r="A870" t="s">
        <v>165</v>
      </c>
      <c r="B870" t="s">
        <v>77</v>
      </c>
      <c r="C870">
        <f>VLOOKUP($B870,Keys!$F$2:$I$22,2,FALSE)</f>
        <v>0</v>
      </c>
      <c r="D870">
        <f>VLOOKUP($B870,Keys!$F$2:$I$22,3,FALSE)</f>
        <v>0</v>
      </c>
      <c r="E870" t="str">
        <f>VLOOKUP($B870,Keys!$F$2:$I$22,4,FALSE)</f>
        <v>zero</v>
      </c>
      <c r="F870" t="str">
        <f>$A870&amp;Keys!$C$54&amp;$B870</f>
        <v>UT|wind (is not a fuel)</v>
      </c>
      <c r="G870" s="10">
        <f>IF($E870=Keys!$C$60,Keys!$C$51,INDEX(Balanced_2025!$D$9:$D$3032,MATCH($A870&amp;Keys!$C$54&amp;Keys!$C$55&amp;Keys!$C$54&amp;$C870,Balanced_2025!$E$9:$E$3032,0)))</f>
        <v>0</v>
      </c>
      <c r="H870" s="10">
        <f>IF($E870=Keys!$C$60,Keys!$C$51,INDEX(Balanced_2025!$D$9:$D$3032,MATCH($A870&amp;Keys!$C$54&amp;Keys!$C$56&amp;Keys!$C$54&amp;$C870,Balanced_2025!$E$9:$E$3032,0)))</f>
        <v>0</v>
      </c>
      <c r="I870" s="10">
        <f>IF($E870=Keys!$C$60,Keys!$C$51,INDEX(Balanced_2025!$D$9:$D$3032,MATCH($A870&amp;Keys!$C$54&amp;Keys!$C$57&amp;Keys!$C$54&amp;$C870,Balanced_2025!$E$9:$E$3032,0)))</f>
        <v>0</v>
      </c>
      <c r="J870" s="10">
        <f t="shared" si="52"/>
        <v>0</v>
      </c>
      <c r="K870" s="10">
        <f>MAX(Keys!$C$51,$I870-$H870)</f>
        <v>0</v>
      </c>
      <c r="L870" s="10">
        <f t="shared" si="53"/>
        <v>0</v>
      </c>
      <c r="M870" s="11">
        <f>IF($L870&gt;Keys!$C$51,MIN(Keys!$C$52,$K870/$L870),Keys!$C$51)</f>
        <v>0</v>
      </c>
      <c r="N870" s="11">
        <f>IF($E870=Keys!$C$60,Keys!$C$51,IF($E870=Keys!$C$59,$D870,$M870))</f>
        <v>0</v>
      </c>
      <c r="O870">
        <f t="shared" si="54"/>
        <v>0</v>
      </c>
      <c r="P870" s="10">
        <f>IF($E870=Keys!$C$60,Keys!$C$51,INDEX(Raw_BFPIaE!$G$9:$G$3032,MATCH($A870&amp;Keys!$C$54&amp;Keys!$C$55&amp;Keys!$C$54&amp;$B870,Raw_BFPIaE!$H$9:$H$3032,0)))</f>
        <v>0</v>
      </c>
      <c r="Q870" s="10">
        <f>IF($E870=Keys!$C$60,Keys!$C$51,INDEX(Raw_BFPIaE!$G$9:$G$3032,MATCH($A870&amp;Keys!$C$54&amp;Keys!$C$56&amp;Keys!$C$54&amp;$B870,Raw_BFPIaE!$H$9:$H$3032,0)))</f>
        <v>0</v>
      </c>
      <c r="R870" s="10">
        <f>IF($E870=Keys!$C$60,Keys!$C$51,INDEX(Raw_BFPIaE!$G$9:$G$3032,MATCH($A870&amp;Keys!$C$54&amp;Keys!$C$57&amp;Keys!$C$54&amp;$B870,Raw_BFPIaE!$H$9:$H$3032,0)))</f>
        <v>0</v>
      </c>
      <c r="S870" s="11">
        <f>IF(($P870+$Q870-$R870+MAX(Keys!$C$51,$R870-$Q870))&gt;Keys!$C$51,MIN(Keys!$C$52,MAX(Keys!$C$51,$R870-$Q870)/($P870+$Q870-$R870+MAX(Keys!$C$51,$R870-$Q870))),Keys!$C$51)</f>
        <v>0</v>
      </c>
      <c r="T870">
        <f>IF(AND($I870&gt;$H870,ABS($L870-$G870)&gt;MAX(Keys!$C$62,ABS($G870)*Keys!$C$63)),1,0)</f>
        <v>0</v>
      </c>
      <c r="U870">
        <f>IF(OR($N870&lt;Keys!$C$51,$N870&gt;Keys!$C$52),1,0)</f>
        <v>0</v>
      </c>
      <c r="V870">
        <f>IF(AND($E870=Keys!$C$60,$N870&lt;&gt;Keys!$C$51),1,0)</f>
        <v>0</v>
      </c>
      <c r="W870">
        <f>IF($L870&gt;Keys!$C$51,IF($K870/$L870&gt;Keys!$C$52,1,0),0)</f>
        <v>0</v>
      </c>
      <c r="X870" s="11">
        <f t="shared" si="55"/>
        <v>0</v>
      </c>
    </row>
    <row r="871" spans="1:24" x14ac:dyDescent="0.25">
      <c r="A871" t="s">
        <v>165</v>
      </c>
      <c r="B871" t="s">
        <v>80</v>
      </c>
      <c r="C871">
        <f>VLOOKUP($B871,Keys!$F$2:$I$22,2,FALSE)</f>
        <v>0</v>
      </c>
      <c r="D871">
        <f>VLOOKUP($B871,Keys!$F$2:$I$22,3,FALSE)</f>
        <v>0</v>
      </c>
      <c r="E871" t="str">
        <f>VLOOKUP($B871,Keys!$F$2:$I$22,4,FALSE)</f>
        <v>zero</v>
      </c>
      <c r="F871" t="str">
        <f>$A871&amp;Keys!$C$54&amp;$B871</f>
        <v>UT|solar (is not a fuel)</v>
      </c>
      <c r="G871" s="10">
        <f>IF($E871=Keys!$C$60,Keys!$C$51,INDEX(Balanced_2025!$D$9:$D$3032,MATCH($A871&amp;Keys!$C$54&amp;Keys!$C$55&amp;Keys!$C$54&amp;$C871,Balanced_2025!$E$9:$E$3032,0)))</f>
        <v>0</v>
      </c>
      <c r="H871" s="10">
        <f>IF($E871=Keys!$C$60,Keys!$C$51,INDEX(Balanced_2025!$D$9:$D$3032,MATCH($A871&amp;Keys!$C$54&amp;Keys!$C$56&amp;Keys!$C$54&amp;$C871,Balanced_2025!$E$9:$E$3032,0)))</f>
        <v>0</v>
      </c>
      <c r="I871" s="10">
        <f>IF($E871=Keys!$C$60,Keys!$C$51,INDEX(Balanced_2025!$D$9:$D$3032,MATCH($A871&amp;Keys!$C$54&amp;Keys!$C$57&amp;Keys!$C$54&amp;$C871,Balanced_2025!$E$9:$E$3032,0)))</f>
        <v>0</v>
      </c>
      <c r="J871" s="10">
        <f t="shared" si="52"/>
        <v>0</v>
      </c>
      <c r="K871" s="10">
        <f>MAX(Keys!$C$51,$I871-$H871)</f>
        <v>0</v>
      </c>
      <c r="L871" s="10">
        <f t="shared" si="53"/>
        <v>0</v>
      </c>
      <c r="M871" s="11">
        <f>IF($L871&gt;Keys!$C$51,MIN(Keys!$C$52,$K871/$L871),Keys!$C$51)</f>
        <v>0</v>
      </c>
      <c r="N871" s="11">
        <f>IF($E871=Keys!$C$60,Keys!$C$51,IF($E871=Keys!$C$59,$D871,$M871))</f>
        <v>0</v>
      </c>
      <c r="O871">
        <f t="shared" si="54"/>
        <v>0</v>
      </c>
      <c r="P871" s="10">
        <f>IF($E871=Keys!$C$60,Keys!$C$51,INDEX(Raw_BFPIaE!$G$9:$G$3032,MATCH($A871&amp;Keys!$C$54&amp;Keys!$C$55&amp;Keys!$C$54&amp;$B871,Raw_BFPIaE!$H$9:$H$3032,0)))</f>
        <v>0</v>
      </c>
      <c r="Q871" s="10">
        <f>IF($E871=Keys!$C$60,Keys!$C$51,INDEX(Raw_BFPIaE!$G$9:$G$3032,MATCH($A871&amp;Keys!$C$54&amp;Keys!$C$56&amp;Keys!$C$54&amp;$B871,Raw_BFPIaE!$H$9:$H$3032,0)))</f>
        <v>0</v>
      </c>
      <c r="R871" s="10">
        <f>IF($E871=Keys!$C$60,Keys!$C$51,INDEX(Raw_BFPIaE!$G$9:$G$3032,MATCH($A871&amp;Keys!$C$54&amp;Keys!$C$57&amp;Keys!$C$54&amp;$B871,Raw_BFPIaE!$H$9:$H$3032,0)))</f>
        <v>0</v>
      </c>
      <c r="S871" s="11">
        <f>IF(($P871+$Q871-$R871+MAX(Keys!$C$51,$R871-$Q871))&gt;Keys!$C$51,MIN(Keys!$C$52,MAX(Keys!$C$51,$R871-$Q871)/($P871+$Q871-$R871+MAX(Keys!$C$51,$R871-$Q871))),Keys!$C$51)</f>
        <v>0</v>
      </c>
      <c r="T871">
        <f>IF(AND($I871&gt;$H871,ABS($L871-$G871)&gt;MAX(Keys!$C$62,ABS($G871)*Keys!$C$63)),1,0)</f>
        <v>0</v>
      </c>
      <c r="U871">
        <f>IF(OR($N871&lt;Keys!$C$51,$N871&gt;Keys!$C$52),1,0)</f>
        <v>0</v>
      </c>
      <c r="V871">
        <f>IF(AND($E871=Keys!$C$60,$N871&lt;&gt;Keys!$C$51),1,0)</f>
        <v>0</v>
      </c>
      <c r="W871">
        <f>IF($L871&gt;Keys!$C$51,IF($K871/$L871&gt;Keys!$C$52,1,0),0)</f>
        <v>0</v>
      </c>
      <c r="X871" s="11">
        <f t="shared" si="55"/>
        <v>0</v>
      </c>
    </row>
    <row r="872" spans="1:24" x14ac:dyDescent="0.25">
      <c r="A872" t="s">
        <v>165</v>
      </c>
      <c r="B872" t="s">
        <v>82</v>
      </c>
      <c r="C872" t="str">
        <f>VLOOKUP($B872,Keys!$F$2:$I$22,2,FALSE)</f>
        <v>biomass</v>
      </c>
      <c r="D872">
        <f>VLOOKUP($B872,Keys!$F$2:$I$22,3,FALSE)</f>
        <v>0.74947425499999998</v>
      </c>
      <c r="E872" t="str">
        <f>VLOOKUP($B872,Keys!$F$2:$I$22,4,FALSE)</f>
        <v>rule</v>
      </c>
      <c r="F872" t="str">
        <f>$A872&amp;Keys!$C$54&amp;$B872</f>
        <v>UT|biomass</v>
      </c>
      <c r="G872" s="10">
        <f>IF($E872=Keys!$C$60,Keys!$C$51,INDEX(Balanced_2025!$D$9:$D$3032,MATCH($A872&amp;Keys!$C$54&amp;Keys!$C$55&amp;Keys!$C$54&amp;$C872,Balanced_2025!$E$9:$E$3032,0)))</f>
        <v>152000000000</v>
      </c>
      <c r="H872" s="10">
        <f>IF($E872=Keys!$C$60,Keys!$C$51,INDEX(Balanced_2025!$D$9:$D$3032,MATCH($A872&amp;Keys!$C$54&amp;Keys!$C$56&amp;Keys!$C$54&amp;$C872,Balanced_2025!$E$9:$E$3032,0)))</f>
        <v>5211760000000</v>
      </c>
      <c r="I872" s="10">
        <f>IF($E872=Keys!$C$60,Keys!$C$51,INDEX(Balanced_2025!$D$9:$D$3032,MATCH($A872&amp;Keys!$C$54&amp;Keys!$C$57&amp;Keys!$C$54&amp;$C872,Balanced_2025!$E$9:$E$3032,0)))</f>
        <v>0</v>
      </c>
      <c r="J872" s="10">
        <f t="shared" si="52"/>
        <v>5363760000000</v>
      </c>
      <c r="K872" s="10">
        <f>MAX(Keys!$C$51,$I872-$H872)</f>
        <v>0</v>
      </c>
      <c r="L872" s="10">
        <f t="shared" si="53"/>
        <v>5363760000000</v>
      </c>
      <c r="M872" s="11">
        <f>IF($L872&gt;Keys!$C$51,MIN(Keys!$C$52,$K872/$L872),Keys!$C$51)</f>
        <v>0</v>
      </c>
      <c r="N872" s="11">
        <f>IF($E872=Keys!$C$60,Keys!$C$51,IF($E872=Keys!$C$59,$D872,$M872))</f>
        <v>0</v>
      </c>
      <c r="O872">
        <f t="shared" si="54"/>
        <v>1</v>
      </c>
      <c r="P872" s="10">
        <f>IF($E872=Keys!$C$60,Keys!$C$51,INDEX(Raw_BFPIaE!$G$9:$G$3032,MATCH($A872&amp;Keys!$C$54&amp;Keys!$C$55&amp;Keys!$C$54&amp;$B872,Raw_BFPIaE!$H$9:$H$3032,0)))</f>
        <v>152000000000</v>
      </c>
      <c r="Q872" s="10">
        <f>IF($E872=Keys!$C$60,Keys!$C$51,INDEX(Raw_BFPIaE!$G$9:$G$3032,MATCH($A872&amp;Keys!$C$54&amp;Keys!$C$56&amp;Keys!$C$54&amp;$B872,Raw_BFPIaE!$H$9:$H$3032,0)))</f>
        <v>3393350000000</v>
      </c>
      <c r="R872" s="10">
        <f>IF($E872=Keys!$C$60,Keys!$C$51,INDEX(Raw_BFPIaE!$G$9:$G$3032,MATCH($A872&amp;Keys!$C$54&amp;Keys!$C$57&amp;Keys!$C$54&amp;$B872,Raw_BFPIaE!$H$9:$H$3032,0)))</f>
        <v>0</v>
      </c>
      <c r="S872" s="11">
        <f>IF(($P872+$Q872-$R872+MAX(Keys!$C$51,$R872-$Q872))&gt;Keys!$C$51,MIN(Keys!$C$52,MAX(Keys!$C$51,$R872-$Q872)/($P872+$Q872-$R872+MAX(Keys!$C$51,$R872-$Q872))),Keys!$C$51)</f>
        <v>0</v>
      </c>
      <c r="T872">
        <f>IF(AND($I872&gt;$H872,ABS($L872-$G872)&gt;MAX(Keys!$C$62,ABS($G872)*Keys!$C$63)),1,0)</f>
        <v>0</v>
      </c>
      <c r="U872">
        <f>IF(OR($N872&lt;Keys!$C$51,$N872&gt;Keys!$C$52),1,0)</f>
        <v>0</v>
      </c>
      <c r="V872">
        <f>IF(AND($E872=Keys!$C$60,$N872&lt;&gt;Keys!$C$51),1,0)</f>
        <v>0</v>
      </c>
      <c r="W872">
        <f>IF($L872&gt;Keys!$C$51,IF($K872/$L872&gt;Keys!$C$52,1,0),0)</f>
        <v>0</v>
      </c>
      <c r="X872" s="11">
        <f t="shared" si="55"/>
        <v>0</v>
      </c>
    </row>
    <row r="873" spans="1:24" x14ac:dyDescent="0.25">
      <c r="A873" t="s">
        <v>165</v>
      </c>
      <c r="B873" t="s">
        <v>85</v>
      </c>
      <c r="C873" t="str">
        <f>VLOOKUP($B873,Keys!$F$2:$I$22,2,FALSE)</f>
        <v>petroleum gasoline</v>
      </c>
      <c r="D873">
        <f>VLOOKUP($B873,Keys!$F$2:$I$22,3,FALSE)</f>
        <v>7.5004052000000002E-2</v>
      </c>
      <c r="E873" t="str">
        <f>VLOOKUP($B873,Keys!$F$2:$I$22,4,FALSE)</f>
        <v>rule</v>
      </c>
      <c r="F873" t="str">
        <f>$A873&amp;Keys!$C$54&amp;$B873</f>
        <v>UT|petroleum gasoline</v>
      </c>
      <c r="G873" s="10">
        <f>IF($E873=Keys!$C$60,Keys!$C$51,INDEX(Balanced_2025!$D$9:$D$3032,MATCH($A873&amp;Keys!$C$54&amp;Keys!$C$55&amp;Keys!$C$54&amp;$C873,Balanced_2025!$E$9:$E$3032,0)))</f>
        <v>202557000000000</v>
      </c>
      <c r="H873" s="10">
        <f>IF($E873=Keys!$C$60,Keys!$C$51,INDEX(Balanced_2025!$D$9:$D$3032,MATCH($A873&amp;Keys!$C$54&amp;Keys!$C$56&amp;Keys!$C$54&amp;$C873,Balanced_2025!$E$9:$E$3032,0)))</f>
        <v>6913790000000</v>
      </c>
      <c r="I873" s="10">
        <f>IF($E873=Keys!$C$60,Keys!$C$51,INDEX(Balanced_2025!$D$9:$D$3032,MATCH($A873&amp;Keys!$C$54&amp;Keys!$C$57&amp;Keys!$C$54&amp;$C873,Balanced_2025!$E$9:$E$3032,0)))</f>
        <v>68245600000000</v>
      </c>
      <c r="J873" s="10">
        <f t="shared" si="52"/>
        <v>141225190000000</v>
      </c>
      <c r="K873" s="10">
        <f>MAX(Keys!$C$51,$I873-$H873)</f>
        <v>61331810000000</v>
      </c>
      <c r="L873" s="10">
        <f t="shared" si="53"/>
        <v>202557000000000</v>
      </c>
      <c r="M873" s="11">
        <f>IF($L873&gt;Keys!$C$51,MIN(Keys!$C$52,$K873/$L873),Keys!$C$51)</f>
        <v>0.30278790661394078</v>
      </c>
      <c r="N873" s="11">
        <f>IF($E873=Keys!$C$60,Keys!$C$51,IF($E873=Keys!$C$59,$D873,$M873))</f>
        <v>0.30278790661394078</v>
      </c>
      <c r="O873">
        <f t="shared" si="54"/>
        <v>1</v>
      </c>
      <c r="P873" s="10">
        <f>IF($E873=Keys!$C$60,Keys!$C$51,INDEX(Raw_BFPIaE!$G$9:$G$3032,MATCH($A873&amp;Keys!$C$54&amp;Keys!$C$55&amp;Keys!$C$54&amp;$B873,Raw_BFPIaE!$H$9:$H$3032,0)))</f>
        <v>200920333333333.34</v>
      </c>
      <c r="Q873" s="10">
        <f>IF($E873=Keys!$C$60,Keys!$C$51,INDEX(Raw_BFPIaE!$G$9:$G$3032,MATCH($A873&amp;Keys!$C$54&amp;Keys!$C$56&amp;Keys!$C$54&amp;$B873,Raw_BFPIaE!$H$9:$H$3032,0)))</f>
        <v>0</v>
      </c>
      <c r="R873" s="10">
        <f>IF($E873=Keys!$C$60,Keys!$C$51,INDEX(Raw_BFPIaE!$G$9:$G$3032,MATCH($A873&amp;Keys!$C$54&amp;Keys!$C$57&amp;Keys!$C$54&amp;$B873,Raw_BFPIaE!$H$9:$H$3032,0)))</f>
        <v>44203166666666.664</v>
      </c>
      <c r="S873" s="11">
        <f>IF(($P873+$Q873-$R873+MAX(Keys!$C$51,$R873-$Q873))&gt;Keys!$C$51,MIN(Keys!$C$52,MAX(Keys!$C$51,$R873-$Q873)/($P873+$Q873-$R873+MAX(Keys!$C$51,$R873-$Q873))),Keys!$C$51)</f>
        <v>0.22000345078729378</v>
      </c>
      <c r="T873">
        <f>IF(AND($I873&gt;$H873,ABS($L873-$G873)&gt;MAX(Keys!$C$62,ABS($G873)*Keys!$C$63)),1,0)</f>
        <v>0</v>
      </c>
      <c r="U873">
        <f>IF(OR($N873&lt;Keys!$C$51,$N873&gt;Keys!$C$52),1,0)</f>
        <v>0</v>
      </c>
      <c r="V873">
        <f>IF(AND($E873=Keys!$C$60,$N873&lt;&gt;Keys!$C$51),1,0)</f>
        <v>0</v>
      </c>
      <c r="W873">
        <f>IF($L873&gt;Keys!$C$51,IF($K873/$L873&gt;Keys!$C$52,1,0),0)</f>
        <v>0</v>
      </c>
      <c r="X873" s="11">
        <f t="shared" si="55"/>
        <v>8.2784455826647008E-2</v>
      </c>
    </row>
    <row r="874" spans="1:24" x14ac:dyDescent="0.25">
      <c r="A874" t="s">
        <v>165</v>
      </c>
      <c r="B874" t="s">
        <v>88</v>
      </c>
      <c r="C874" t="str">
        <f>VLOOKUP($B874,Keys!$F$2:$I$22,2,FALSE)</f>
        <v>petroleum diesel</v>
      </c>
      <c r="D874">
        <f>VLOOKUP($B874,Keys!$F$2:$I$22,3,FALSE)</f>
        <v>0.26691051799999999</v>
      </c>
      <c r="E874" t="str">
        <f>VLOOKUP($B874,Keys!$F$2:$I$22,4,FALSE)</f>
        <v>rule</v>
      </c>
      <c r="F874" t="str">
        <f>$A874&amp;Keys!$C$54&amp;$B874</f>
        <v>UT|petroleum diesel</v>
      </c>
      <c r="G874" s="10">
        <f>IF($E874=Keys!$C$60,Keys!$C$51,INDEX(Balanced_2025!$D$9:$D$3032,MATCH($A874&amp;Keys!$C$54&amp;Keys!$C$55&amp;Keys!$C$54&amp;$C874,Balanced_2025!$E$9:$E$3032,0)))</f>
        <v>119816000000000</v>
      </c>
      <c r="H874" s="10">
        <f>IF($E874=Keys!$C$60,Keys!$C$51,INDEX(Balanced_2025!$D$9:$D$3032,MATCH($A874&amp;Keys!$C$54&amp;Keys!$C$56&amp;Keys!$C$54&amp;$C874,Balanced_2025!$E$9:$E$3032,0)))</f>
        <v>1209190000000</v>
      </c>
      <c r="I874" s="10">
        <f>IF($E874=Keys!$C$60,Keys!$C$51,INDEX(Balanced_2025!$D$9:$D$3032,MATCH($A874&amp;Keys!$C$54&amp;Keys!$C$57&amp;Keys!$C$54&amp;$C874,Balanced_2025!$E$9:$E$3032,0)))</f>
        <v>28008300000000</v>
      </c>
      <c r="J874" s="10">
        <f t="shared" si="52"/>
        <v>93016890000000</v>
      </c>
      <c r="K874" s="10">
        <f>MAX(Keys!$C$51,$I874-$H874)</f>
        <v>26799110000000</v>
      </c>
      <c r="L874" s="10">
        <f t="shared" si="53"/>
        <v>119816000000000</v>
      </c>
      <c r="M874" s="11">
        <f>IF($L874&gt;Keys!$C$51,MIN(Keys!$C$52,$K874/$L874),Keys!$C$51)</f>
        <v>0.22366887560926754</v>
      </c>
      <c r="N874" s="11">
        <f>IF($E874=Keys!$C$60,Keys!$C$51,IF($E874=Keys!$C$59,$D874,$M874))</f>
        <v>0.22366887560926754</v>
      </c>
      <c r="O874">
        <f t="shared" si="54"/>
        <v>1</v>
      </c>
      <c r="P874" s="10">
        <f>IF($E874=Keys!$C$60,Keys!$C$51,INDEX(Raw_BFPIaE!$G$9:$G$3032,MATCH($A874&amp;Keys!$C$54&amp;Keys!$C$55&amp;Keys!$C$54&amp;$B874,Raw_BFPIaE!$H$9:$H$3032,0)))</f>
        <v>118847666666666.67</v>
      </c>
      <c r="Q874" s="10">
        <f>IF($E874=Keys!$C$60,Keys!$C$51,INDEX(Raw_BFPIaE!$G$9:$G$3032,MATCH($A874&amp;Keys!$C$54&amp;Keys!$C$56&amp;Keys!$C$54&amp;$B874,Raw_BFPIaE!$H$9:$H$3032,0)))</f>
        <v>0</v>
      </c>
      <c r="R874" s="10">
        <f>IF($E874=Keys!$C$60,Keys!$C$51,INDEX(Raw_BFPIaE!$G$9:$G$3032,MATCH($A874&amp;Keys!$C$54&amp;Keys!$C$57&amp;Keys!$C$54&amp;$B874,Raw_BFPIaE!$H$9:$H$3032,0)))</f>
        <v>17544800000000</v>
      </c>
      <c r="S874" s="11">
        <f>IF(($P874+$Q874-$R874+MAX(Keys!$C$51,$R874-$Q874))&gt;Keys!$C$51,MIN(Keys!$C$52,MAX(Keys!$C$51,$R874-$Q874)/($P874+$Q874-$R874+MAX(Keys!$C$51,$R874-$Q874))),Keys!$C$51)</f>
        <v>0.14762426972342746</v>
      </c>
      <c r="T874">
        <f>IF(AND($I874&gt;$H874,ABS($L874-$G874)&gt;MAX(Keys!$C$62,ABS($G874)*Keys!$C$63)),1,0)</f>
        <v>0</v>
      </c>
      <c r="U874">
        <f>IF(OR($N874&lt;Keys!$C$51,$N874&gt;Keys!$C$52),1,0)</f>
        <v>0</v>
      </c>
      <c r="V874">
        <f>IF(AND($E874=Keys!$C$60,$N874&lt;&gt;Keys!$C$51),1,0)</f>
        <v>0</v>
      </c>
      <c r="W874">
        <f>IF($L874&gt;Keys!$C$51,IF($K874/$L874&gt;Keys!$C$52,1,0),0)</f>
        <v>0</v>
      </c>
      <c r="X874" s="11">
        <f t="shared" si="55"/>
        <v>7.6044605885840083E-2</v>
      </c>
    </row>
    <row r="875" spans="1:24" x14ac:dyDescent="0.25">
      <c r="A875" t="s">
        <v>165</v>
      </c>
      <c r="B875" t="s">
        <v>91</v>
      </c>
      <c r="C875" t="str">
        <f>VLOOKUP($B875,Keys!$F$2:$I$22,2,FALSE)</f>
        <v>biofuel gasoline</v>
      </c>
      <c r="D875">
        <f>VLOOKUP($B875,Keys!$F$2:$I$22,3,FALSE)</f>
        <v>8.7213884000000005E-2</v>
      </c>
      <c r="E875" t="str">
        <f>VLOOKUP($B875,Keys!$F$2:$I$22,4,FALSE)</f>
        <v>rule</v>
      </c>
      <c r="F875" t="str">
        <f>$A875&amp;Keys!$C$54&amp;$B875</f>
        <v>UT|biofuel gasoline</v>
      </c>
      <c r="G875" s="10">
        <f>IF($E875=Keys!$C$60,Keys!$C$51,INDEX(Balanced_2025!$D$9:$D$3032,MATCH($A875&amp;Keys!$C$54&amp;Keys!$C$55&amp;Keys!$C$54&amp;$C875,Balanced_2025!$E$9:$E$3032,0)))</f>
        <v>0</v>
      </c>
      <c r="H875" s="10">
        <f>IF($E875=Keys!$C$60,Keys!$C$51,INDEX(Balanced_2025!$D$9:$D$3032,MATCH($A875&amp;Keys!$C$54&amp;Keys!$C$56&amp;Keys!$C$54&amp;$C875,Balanced_2025!$E$9:$E$3032,0)))</f>
        <v>9095820000000</v>
      </c>
      <c r="I875" s="10">
        <f>IF($E875=Keys!$C$60,Keys!$C$51,INDEX(Balanced_2025!$D$9:$D$3032,MATCH($A875&amp;Keys!$C$54&amp;Keys!$C$57&amp;Keys!$C$54&amp;$C875,Balanced_2025!$E$9:$E$3032,0)))</f>
        <v>0</v>
      </c>
      <c r="J875" s="10">
        <f t="shared" si="52"/>
        <v>9095820000000</v>
      </c>
      <c r="K875" s="10">
        <f>MAX(Keys!$C$51,$I875-$H875)</f>
        <v>0</v>
      </c>
      <c r="L875" s="10">
        <f t="shared" si="53"/>
        <v>9095820000000</v>
      </c>
      <c r="M875" s="11">
        <f>IF($L875&gt;Keys!$C$51,MIN(Keys!$C$52,$K875/$L875),Keys!$C$51)</f>
        <v>0</v>
      </c>
      <c r="N875" s="11">
        <f>IF($E875=Keys!$C$60,Keys!$C$51,IF($E875=Keys!$C$59,$D875,$M875))</f>
        <v>0</v>
      </c>
      <c r="O875">
        <f t="shared" si="54"/>
        <v>1</v>
      </c>
      <c r="P875" s="10">
        <f>IF($E875=Keys!$C$60,Keys!$C$51,INDEX(Raw_BFPIaE!$G$9:$G$3032,MATCH($A875&amp;Keys!$C$54&amp;Keys!$C$55&amp;Keys!$C$54&amp;$B875,Raw_BFPIaE!$H$9:$H$3032,0)))</f>
        <v>0</v>
      </c>
      <c r="Q875" s="10">
        <f>IF($E875=Keys!$C$60,Keys!$C$51,INDEX(Raw_BFPIaE!$G$9:$G$3032,MATCH($A875&amp;Keys!$C$54&amp;Keys!$C$56&amp;Keys!$C$54&amp;$B875,Raw_BFPIaE!$H$9:$H$3032,0)))</f>
        <v>5743106666666.667</v>
      </c>
      <c r="R875" s="10">
        <f>IF($E875=Keys!$C$60,Keys!$C$51,INDEX(Raw_BFPIaE!$G$9:$G$3032,MATCH($A875&amp;Keys!$C$54&amp;Keys!$C$57&amp;Keys!$C$54&amp;$B875,Raw_BFPIaE!$H$9:$H$3032,0)))</f>
        <v>0</v>
      </c>
      <c r="S875" s="11">
        <f>IF(($P875+$Q875-$R875+MAX(Keys!$C$51,$R875-$Q875))&gt;Keys!$C$51,MIN(Keys!$C$52,MAX(Keys!$C$51,$R875-$Q875)/($P875+$Q875-$R875+MAX(Keys!$C$51,$R875-$Q875))),Keys!$C$51)</f>
        <v>0</v>
      </c>
      <c r="T875">
        <f>IF(AND($I875&gt;$H875,ABS($L875-$G875)&gt;MAX(Keys!$C$62,ABS($G875)*Keys!$C$63)),1,0)</f>
        <v>0</v>
      </c>
      <c r="U875">
        <f>IF(OR($N875&lt;Keys!$C$51,$N875&gt;Keys!$C$52),1,0)</f>
        <v>0</v>
      </c>
      <c r="V875">
        <f>IF(AND($E875=Keys!$C$60,$N875&lt;&gt;Keys!$C$51),1,0)</f>
        <v>0</v>
      </c>
      <c r="W875">
        <f>IF($L875&gt;Keys!$C$51,IF($K875/$L875&gt;Keys!$C$52,1,0),0)</f>
        <v>0</v>
      </c>
      <c r="X875" s="11">
        <f t="shared" si="55"/>
        <v>0</v>
      </c>
    </row>
    <row r="876" spans="1:24" x14ac:dyDescent="0.25">
      <c r="A876" t="s">
        <v>165</v>
      </c>
      <c r="B876" t="s">
        <v>94</v>
      </c>
      <c r="C876" t="str">
        <f>VLOOKUP($B876,Keys!$F$2:$I$22,2,FALSE)</f>
        <v>biofuel diesel</v>
      </c>
      <c r="D876">
        <f>VLOOKUP($B876,Keys!$F$2:$I$22,3,FALSE)</f>
        <v>5.8642381E-2</v>
      </c>
      <c r="E876" t="str">
        <f>VLOOKUP($B876,Keys!$F$2:$I$22,4,FALSE)</f>
        <v>rule</v>
      </c>
      <c r="F876" t="str">
        <f>$A876&amp;Keys!$C$54&amp;$B876</f>
        <v>UT|biofuel diesel</v>
      </c>
      <c r="G876" s="10">
        <f>IF($E876=Keys!$C$60,Keys!$C$51,INDEX(Balanced_2025!$D$9:$D$3032,MATCH($A876&amp;Keys!$C$54&amp;Keys!$C$55&amp;Keys!$C$54&amp;$C876,Balanced_2025!$E$9:$E$3032,0)))</f>
        <v>0</v>
      </c>
      <c r="H876" s="10">
        <f>IF($E876=Keys!$C$60,Keys!$C$51,INDEX(Balanced_2025!$D$9:$D$3032,MATCH($A876&amp;Keys!$C$54&amp;Keys!$C$56&amp;Keys!$C$54&amp;$C876,Balanced_2025!$E$9:$E$3032,0)))</f>
        <v>323914000000</v>
      </c>
      <c r="I876" s="10">
        <f>IF($E876=Keys!$C$60,Keys!$C$51,INDEX(Balanced_2025!$D$9:$D$3032,MATCH($A876&amp;Keys!$C$54&amp;Keys!$C$57&amp;Keys!$C$54&amp;$C876,Balanced_2025!$E$9:$E$3032,0)))</f>
        <v>0</v>
      </c>
      <c r="J876" s="10">
        <f t="shared" si="52"/>
        <v>323914000000</v>
      </c>
      <c r="K876" s="10">
        <f>MAX(Keys!$C$51,$I876-$H876)</f>
        <v>0</v>
      </c>
      <c r="L876" s="10">
        <f t="shared" si="53"/>
        <v>323914000000</v>
      </c>
      <c r="M876" s="11">
        <f>IF($L876&gt;Keys!$C$51,MIN(Keys!$C$52,$K876/$L876),Keys!$C$51)</f>
        <v>0</v>
      </c>
      <c r="N876" s="11">
        <f>IF($E876=Keys!$C$60,Keys!$C$51,IF($E876=Keys!$C$59,$D876,$M876))</f>
        <v>0</v>
      </c>
      <c r="O876">
        <f t="shared" si="54"/>
        <v>1</v>
      </c>
      <c r="P876" s="10">
        <f>IF($E876=Keys!$C$60,Keys!$C$51,INDEX(Raw_BFPIaE!$G$9:$G$3032,MATCH($A876&amp;Keys!$C$54&amp;Keys!$C$55&amp;Keys!$C$54&amp;$B876,Raw_BFPIaE!$H$9:$H$3032,0)))</f>
        <v>0</v>
      </c>
      <c r="Q876" s="10">
        <f>IF($E876=Keys!$C$60,Keys!$C$51,INDEX(Raw_BFPIaE!$G$9:$G$3032,MATCH($A876&amp;Keys!$C$54&amp;Keys!$C$56&amp;Keys!$C$54&amp;$B876,Raw_BFPIaE!$H$9:$H$3032,0)))</f>
        <v>211657666666.66666</v>
      </c>
      <c r="R876" s="10">
        <f>IF($E876=Keys!$C$60,Keys!$C$51,INDEX(Raw_BFPIaE!$G$9:$G$3032,MATCH($A876&amp;Keys!$C$54&amp;Keys!$C$57&amp;Keys!$C$54&amp;$B876,Raw_BFPIaE!$H$9:$H$3032,0)))</f>
        <v>0</v>
      </c>
      <c r="S876" s="11">
        <f>IF(($P876+$Q876-$R876+MAX(Keys!$C$51,$R876-$Q876))&gt;Keys!$C$51,MIN(Keys!$C$52,MAX(Keys!$C$51,$R876-$Q876)/($P876+$Q876-$R876+MAX(Keys!$C$51,$R876-$Q876))),Keys!$C$51)</f>
        <v>0</v>
      </c>
      <c r="T876">
        <f>IF(AND($I876&gt;$H876,ABS($L876-$G876)&gt;MAX(Keys!$C$62,ABS($G876)*Keys!$C$63)),1,0)</f>
        <v>0</v>
      </c>
      <c r="U876">
        <f>IF(OR($N876&lt;Keys!$C$51,$N876&gt;Keys!$C$52),1,0)</f>
        <v>0</v>
      </c>
      <c r="V876">
        <f>IF(AND($E876=Keys!$C$60,$N876&lt;&gt;Keys!$C$51),1,0)</f>
        <v>0</v>
      </c>
      <c r="W876">
        <f>IF($L876&gt;Keys!$C$51,IF($K876/$L876&gt;Keys!$C$52,1,0),0)</f>
        <v>0</v>
      </c>
      <c r="X876" s="11">
        <f t="shared" si="55"/>
        <v>0</v>
      </c>
    </row>
    <row r="877" spans="1:24" x14ac:dyDescent="0.25">
      <c r="A877" t="s">
        <v>165</v>
      </c>
      <c r="B877" t="s">
        <v>97</v>
      </c>
      <c r="C877" t="str">
        <f>VLOOKUP($B877,Keys!$F$2:$I$22,2,FALSE)</f>
        <v>jet fuel or kerosene</v>
      </c>
      <c r="D877">
        <f>VLOOKUP($B877,Keys!$F$2:$I$22,3,FALSE)</f>
        <v>0.10155994</v>
      </c>
      <c r="E877" t="str">
        <f>VLOOKUP($B877,Keys!$F$2:$I$22,4,FALSE)</f>
        <v>rule</v>
      </c>
      <c r="F877" t="str">
        <f>$A877&amp;Keys!$C$54&amp;$B877</f>
        <v>UT|jet fuel or kerosene</v>
      </c>
      <c r="G877" s="10">
        <f>IF($E877=Keys!$C$60,Keys!$C$51,INDEX(Balanced_2025!$D$9:$D$3032,MATCH($A877&amp;Keys!$C$54&amp;Keys!$C$55&amp;Keys!$C$54&amp;$C877,Balanced_2025!$E$9:$E$3032,0)))</f>
        <v>42651900000000</v>
      </c>
      <c r="H877" s="10">
        <f>IF($E877=Keys!$C$60,Keys!$C$51,INDEX(Balanced_2025!$D$9:$D$3032,MATCH($A877&amp;Keys!$C$54&amp;Keys!$C$56&amp;Keys!$C$54&amp;$C877,Balanced_2025!$E$9:$E$3032,0)))</f>
        <v>7580230000000</v>
      </c>
      <c r="I877" s="10">
        <f>IF($E877=Keys!$C$60,Keys!$C$51,INDEX(Balanced_2025!$D$9:$D$3032,MATCH($A877&amp;Keys!$C$54&amp;Keys!$C$57&amp;Keys!$C$54&amp;$C877,Balanced_2025!$E$9:$E$3032,0)))</f>
        <v>0</v>
      </c>
      <c r="J877" s="10">
        <f t="shared" si="52"/>
        <v>50232130000000</v>
      </c>
      <c r="K877" s="10">
        <f>MAX(Keys!$C$51,$I877-$H877)</f>
        <v>0</v>
      </c>
      <c r="L877" s="10">
        <f t="shared" si="53"/>
        <v>50232130000000</v>
      </c>
      <c r="M877" s="11">
        <f>IF($L877&gt;Keys!$C$51,MIN(Keys!$C$52,$K877/$L877),Keys!$C$51)</f>
        <v>0</v>
      </c>
      <c r="N877" s="11">
        <f>IF($E877=Keys!$C$60,Keys!$C$51,IF($E877=Keys!$C$59,$D877,$M877))</f>
        <v>0</v>
      </c>
      <c r="O877">
        <f t="shared" si="54"/>
        <v>1</v>
      </c>
      <c r="P877" s="10">
        <f>IF($E877=Keys!$C$60,Keys!$C$51,INDEX(Raw_BFPIaE!$G$9:$G$3032,MATCH($A877&amp;Keys!$C$54&amp;Keys!$C$55&amp;Keys!$C$54&amp;$B877,Raw_BFPIaE!$H$9:$H$3032,0)))</f>
        <v>42307300000000</v>
      </c>
      <c r="Q877" s="10">
        <f>IF($E877=Keys!$C$60,Keys!$C$51,INDEX(Raw_BFPIaE!$G$9:$G$3032,MATCH($A877&amp;Keys!$C$54&amp;Keys!$C$56&amp;Keys!$C$54&amp;$B877,Raw_BFPIaE!$H$9:$H$3032,0)))</f>
        <v>6187226666666.667</v>
      </c>
      <c r="R877" s="10">
        <f>IF($E877=Keys!$C$60,Keys!$C$51,INDEX(Raw_BFPIaE!$G$9:$G$3032,MATCH($A877&amp;Keys!$C$54&amp;Keys!$C$57&amp;Keys!$C$54&amp;$B877,Raw_BFPIaE!$H$9:$H$3032,0)))</f>
        <v>0</v>
      </c>
      <c r="S877" s="11">
        <f>IF(($P877+$Q877-$R877+MAX(Keys!$C$51,$R877-$Q877))&gt;Keys!$C$51,MIN(Keys!$C$52,MAX(Keys!$C$51,$R877-$Q877)/($P877+$Q877-$R877+MAX(Keys!$C$51,$R877-$Q877))),Keys!$C$51)</f>
        <v>0</v>
      </c>
      <c r="T877">
        <f>IF(AND($I877&gt;$H877,ABS($L877-$G877)&gt;MAX(Keys!$C$62,ABS($G877)*Keys!$C$63)),1,0)</f>
        <v>0</v>
      </c>
      <c r="U877">
        <f>IF(OR($N877&lt;Keys!$C$51,$N877&gt;Keys!$C$52),1,0)</f>
        <v>0</v>
      </c>
      <c r="V877">
        <f>IF(AND($E877=Keys!$C$60,$N877&lt;&gt;Keys!$C$51),1,0)</f>
        <v>0</v>
      </c>
      <c r="W877">
        <f>IF($L877&gt;Keys!$C$51,IF($K877/$L877&gt;Keys!$C$52,1,0),0)</f>
        <v>0</v>
      </c>
      <c r="X877" s="11">
        <f t="shared" si="55"/>
        <v>0</v>
      </c>
    </row>
    <row r="878" spans="1:24" x14ac:dyDescent="0.25">
      <c r="A878" t="s">
        <v>165</v>
      </c>
      <c r="B878" t="s">
        <v>100</v>
      </c>
      <c r="C878">
        <f>VLOOKUP($B878,Keys!$F$2:$I$22,2,FALSE)</f>
        <v>0</v>
      </c>
      <c r="D878">
        <f>VLOOKUP($B878,Keys!$F$2:$I$22,3,FALSE)</f>
        <v>0</v>
      </c>
      <c r="E878" t="str">
        <f>VLOOKUP($B878,Keys!$F$2:$I$22,4,FALSE)</f>
        <v>zero</v>
      </c>
      <c r="F878" t="str">
        <f>$A878&amp;Keys!$C$54&amp;$B878</f>
        <v>UT|heat (not used in this variable)</v>
      </c>
      <c r="G878" s="10">
        <f>IF($E878=Keys!$C$60,Keys!$C$51,INDEX(Balanced_2025!$D$9:$D$3032,MATCH($A878&amp;Keys!$C$54&amp;Keys!$C$55&amp;Keys!$C$54&amp;$C878,Balanced_2025!$E$9:$E$3032,0)))</f>
        <v>0</v>
      </c>
      <c r="H878" s="10">
        <f>IF($E878=Keys!$C$60,Keys!$C$51,INDEX(Balanced_2025!$D$9:$D$3032,MATCH($A878&amp;Keys!$C$54&amp;Keys!$C$56&amp;Keys!$C$54&amp;$C878,Balanced_2025!$E$9:$E$3032,0)))</f>
        <v>0</v>
      </c>
      <c r="I878" s="10">
        <f>IF($E878=Keys!$C$60,Keys!$C$51,INDEX(Balanced_2025!$D$9:$D$3032,MATCH($A878&amp;Keys!$C$54&amp;Keys!$C$57&amp;Keys!$C$54&amp;$C878,Balanced_2025!$E$9:$E$3032,0)))</f>
        <v>0</v>
      </c>
      <c r="J878" s="10">
        <f t="shared" si="52"/>
        <v>0</v>
      </c>
      <c r="K878" s="10">
        <f>MAX(Keys!$C$51,$I878-$H878)</f>
        <v>0</v>
      </c>
      <c r="L878" s="10">
        <f t="shared" si="53"/>
        <v>0</v>
      </c>
      <c r="M878" s="11">
        <f>IF($L878&gt;Keys!$C$51,MIN(Keys!$C$52,$K878/$L878),Keys!$C$51)</f>
        <v>0</v>
      </c>
      <c r="N878" s="11">
        <f>IF($E878=Keys!$C$60,Keys!$C$51,IF($E878=Keys!$C$59,$D878,$M878))</f>
        <v>0</v>
      </c>
      <c r="O878">
        <f t="shared" si="54"/>
        <v>0</v>
      </c>
      <c r="P878" s="10">
        <f>IF($E878=Keys!$C$60,Keys!$C$51,INDEX(Raw_BFPIaE!$G$9:$G$3032,MATCH($A878&amp;Keys!$C$54&amp;Keys!$C$55&amp;Keys!$C$54&amp;$B878,Raw_BFPIaE!$H$9:$H$3032,0)))</f>
        <v>0</v>
      </c>
      <c r="Q878" s="10">
        <f>IF($E878=Keys!$C$60,Keys!$C$51,INDEX(Raw_BFPIaE!$G$9:$G$3032,MATCH($A878&amp;Keys!$C$54&amp;Keys!$C$56&amp;Keys!$C$54&amp;$B878,Raw_BFPIaE!$H$9:$H$3032,0)))</f>
        <v>0</v>
      </c>
      <c r="R878" s="10">
        <f>IF($E878=Keys!$C$60,Keys!$C$51,INDEX(Raw_BFPIaE!$G$9:$G$3032,MATCH($A878&amp;Keys!$C$54&amp;Keys!$C$57&amp;Keys!$C$54&amp;$B878,Raw_BFPIaE!$H$9:$H$3032,0)))</f>
        <v>0</v>
      </c>
      <c r="S878" s="11">
        <f>IF(($P878+$Q878-$R878+MAX(Keys!$C$51,$R878-$Q878))&gt;Keys!$C$51,MIN(Keys!$C$52,MAX(Keys!$C$51,$R878-$Q878)/($P878+$Q878-$R878+MAX(Keys!$C$51,$R878-$Q878))),Keys!$C$51)</f>
        <v>0</v>
      </c>
      <c r="T878">
        <f>IF(AND($I878&gt;$H878,ABS($L878-$G878)&gt;MAX(Keys!$C$62,ABS($G878)*Keys!$C$63)),1,0)</f>
        <v>0</v>
      </c>
      <c r="U878">
        <f>IF(OR($N878&lt;Keys!$C$51,$N878&gt;Keys!$C$52),1,0)</f>
        <v>0</v>
      </c>
      <c r="V878">
        <f>IF(AND($E878=Keys!$C$60,$N878&lt;&gt;Keys!$C$51),1,0)</f>
        <v>0</v>
      </c>
      <c r="W878">
        <f>IF($L878&gt;Keys!$C$51,IF($K878/$L878&gt;Keys!$C$52,1,0),0)</f>
        <v>0</v>
      </c>
      <c r="X878" s="11">
        <f t="shared" si="55"/>
        <v>0</v>
      </c>
    </row>
    <row r="879" spans="1:24" x14ac:dyDescent="0.25">
      <c r="A879" t="s">
        <v>165</v>
      </c>
      <c r="B879" t="s">
        <v>103</v>
      </c>
      <c r="C879">
        <f>VLOOKUP($B879,Keys!$F$2:$I$22,2,FALSE)</f>
        <v>0</v>
      </c>
      <c r="D879">
        <f>VLOOKUP($B879,Keys!$F$2:$I$22,3,FALSE)</f>
        <v>0</v>
      </c>
      <c r="E879" t="str">
        <f>VLOOKUP($B879,Keys!$F$2:$I$22,4,FALSE)</f>
        <v>zero</v>
      </c>
      <c r="F879" t="str">
        <f>$A879&amp;Keys!$C$54&amp;$B879</f>
        <v>UT|geothermal (is not a fuel)</v>
      </c>
      <c r="G879" s="10">
        <f>IF($E879=Keys!$C$60,Keys!$C$51,INDEX(Balanced_2025!$D$9:$D$3032,MATCH($A879&amp;Keys!$C$54&amp;Keys!$C$55&amp;Keys!$C$54&amp;$C879,Balanced_2025!$E$9:$E$3032,0)))</f>
        <v>0</v>
      </c>
      <c r="H879" s="10">
        <f>IF($E879=Keys!$C$60,Keys!$C$51,INDEX(Balanced_2025!$D$9:$D$3032,MATCH($A879&amp;Keys!$C$54&amp;Keys!$C$56&amp;Keys!$C$54&amp;$C879,Balanced_2025!$E$9:$E$3032,0)))</f>
        <v>0</v>
      </c>
      <c r="I879" s="10">
        <f>IF($E879=Keys!$C$60,Keys!$C$51,INDEX(Balanced_2025!$D$9:$D$3032,MATCH($A879&amp;Keys!$C$54&amp;Keys!$C$57&amp;Keys!$C$54&amp;$C879,Balanced_2025!$E$9:$E$3032,0)))</f>
        <v>0</v>
      </c>
      <c r="J879" s="10">
        <f t="shared" si="52"/>
        <v>0</v>
      </c>
      <c r="K879" s="10">
        <f>MAX(Keys!$C$51,$I879-$H879)</f>
        <v>0</v>
      </c>
      <c r="L879" s="10">
        <f t="shared" si="53"/>
        <v>0</v>
      </c>
      <c r="M879" s="11">
        <f>IF($L879&gt;Keys!$C$51,MIN(Keys!$C$52,$K879/$L879),Keys!$C$51)</f>
        <v>0</v>
      </c>
      <c r="N879" s="11">
        <f>IF($E879=Keys!$C$60,Keys!$C$51,IF($E879=Keys!$C$59,$D879,$M879))</f>
        <v>0</v>
      </c>
      <c r="O879">
        <f t="shared" si="54"/>
        <v>0</v>
      </c>
      <c r="P879" s="10">
        <f>IF($E879=Keys!$C$60,Keys!$C$51,INDEX(Raw_BFPIaE!$G$9:$G$3032,MATCH($A879&amp;Keys!$C$54&amp;Keys!$C$55&amp;Keys!$C$54&amp;$B879,Raw_BFPIaE!$H$9:$H$3032,0)))</f>
        <v>0</v>
      </c>
      <c r="Q879" s="10">
        <f>IF($E879=Keys!$C$60,Keys!$C$51,INDEX(Raw_BFPIaE!$G$9:$G$3032,MATCH($A879&amp;Keys!$C$54&amp;Keys!$C$56&amp;Keys!$C$54&amp;$B879,Raw_BFPIaE!$H$9:$H$3032,0)))</f>
        <v>0</v>
      </c>
      <c r="R879" s="10">
        <f>IF($E879=Keys!$C$60,Keys!$C$51,INDEX(Raw_BFPIaE!$G$9:$G$3032,MATCH($A879&amp;Keys!$C$54&amp;Keys!$C$57&amp;Keys!$C$54&amp;$B879,Raw_BFPIaE!$H$9:$H$3032,0)))</f>
        <v>0</v>
      </c>
      <c r="S879" s="11">
        <f>IF(($P879+$Q879-$R879+MAX(Keys!$C$51,$R879-$Q879))&gt;Keys!$C$51,MIN(Keys!$C$52,MAX(Keys!$C$51,$R879-$Q879)/($P879+$Q879-$R879+MAX(Keys!$C$51,$R879-$Q879))),Keys!$C$51)</f>
        <v>0</v>
      </c>
      <c r="T879">
        <f>IF(AND($I879&gt;$H879,ABS($L879-$G879)&gt;MAX(Keys!$C$62,ABS($G879)*Keys!$C$63)),1,0)</f>
        <v>0</v>
      </c>
      <c r="U879">
        <f>IF(OR($N879&lt;Keys!$C$51,$N879&gt;Keys!$C$52),1,0)</f>
        <v>0</v>
      </c>
      <c r="V879">
        <f>IF(AND($E879=Keys!$C$60,$N879&lt;&gt;Keys!$C$51),1,0)</f>
        <v>0</v>
      </c>
      <c r="W879">
        <f>IF($L879&gt;Keys!$C$51,IF($K879/$L879&gt;Keys!$C$52,1,0),0)</f>
        <v>0</v>
      </c>
      <c r="X879" s="11">
        <f t="shared" si="55"/>
        <v>0</v>
      </c>
    </row>
    <row r="880" spans="1:24" x14ac:dyDescent="0.25">
      <c r="A880" t="s">
        <v>165</v>
      </c>
      <c r="B880" t="s">
        <v>106</v>
      </c>
      <c r="C880" t="str">
        <f>VLOOKUP($B880,Keys!$F$2:$I$22,2,FALSE)</f>
        <v>lignite</v>
      </c>
      <c r="D880">
        <f>VLOOKUP($B880,Keys!$F$2:$I$22,3,FALSE)</f>
        <v>0</v>
      </c>
      <c r="E880" t="str">
        <f>VLOOKUP($B880,Keys!$F$2:$I$22,4,FALSE)</f>
        <v>rule</v>
      </c>
      <c r="F880" t="str">
        <f>$A880&amp;Keys!$C$54&amp;$B880</f>
        <v>UT|lignite</v>
      </c>
      <c r="G880" s="10">
        <f>IF($E880=Keys!$C$60,Keys!$C$51,INDEX(Balanced_2025!$D$9:$D$3032,MATCH($A880&amp;Keys!$C$54&amp;Keys!$C$55&amp;Keys!$C$54&amp;$C880,Balanced_2025!$E$9:$E$3032,0)))</f>
        <v>0</v>
      </c>
      <c r="H880" s="10">
        <f>IF($E880=Keys!$C$60,Keys!$C$51,INDEX(Balanced_2025!$D$9:$D$3032,MATCH($A880&amp;Keys!$C$54&amp;Keys!$C$56&amp;Keys!$C$54&amp;$C880,Balanced_2025!$E$9:$E$3032,0)))</f>
        <v>0</v>
      </c>
      <c r="I880" s="10">
        <f>IF($E880=Keys!$C$60,Keys!$C$51,INDEX(Balanced_2025!$D$9:$D$3032,MATCH($A880&amp;Keys!$C$54&amp;Keys!$C$57&amp;Keys!$C$54&amp;$C880,Balanced_2025!$E$9:$E$3032,0)))</f>
        <v>0</v>
      </c>
      <c r="J880" s="10">
        <f t="shared" si="52"/>
        <v>0</v>
      </c>
      <c r="K880" s="10">
        <f>MAX(Keys!$C$51,$I880-$H880)</f>
        <v>0</v>
      </c>
      <c r="L880" s="10">
        <f t="shared" si="53"/>
        <v>0</v>
      </c>
      <c r="M880" s="11">
        <f>IF($L880&gt;Keys!$C$51,MIN(Keys!$C$52,$K880/$L880),Keys!$C$51)</f>
        <v>0</v>
      </c>
      <c r="N880" s="11">
        <f>IF($E880=Keys!$C$60,Keys!$C$51,IF($E880=Keys!$C$59,$D880,$M880))</f>
        <v>0</v>
      </c>
      <c r="O880">
        <f t="shared" si="54"/>
        <v>0</v>
      </c>
      <c r="P880" s="10">
        <f>IF($E880=Keys!$C$60,Keys!$C$51,INDEX(Raw_BFPIaE!$G$9:$G$3032,MATCH($A880&amp;Keys!$C$54&amp;Keys!$C$55&amp;Keys!$C$54&amp;$B880,Raw_BFPIaE!$H$9:$H$3032,0)))</f>
        <v>0</v>
      </c>
      <c r="Q880" s="10">
        <f>IF($E880=Keys!$C$60,Keys!$C$51,INDEX(Raw_BFPIaE!$G$9:$G$3032,MATCH($A880&amp;Keys!$C$54&amp;Keys!$C$56&amp;Keys!$C$54&amp;$B880,Raw_BFPIaE!$H$9:$H$3032,0)))</f>
        <v>0</v>
      </c>
      <c r="R880" s="10">
        <f>IF($E880=Keys!$C$60,Keys!$C$51,INDEX(Raw_BFPIaE!$G$9:$G$3032,MATCH($A880&amp;Keys!$C$54&amp;Keys!$C$57&amp;Keys!$C$54&amp;$B880,Raw_BFPIaE!$H$9:$H$3032,0)))</f>
        <v>0</v>
      </c>
      <c r="S880" s="11">
        <f>IF(($P880+$Q880-$R880+MAX(Keys!$C$51,$R880-$Q880))&gt;Keys!$C$51,MIN(Keys!$C$52,MAX(Keys!$C$51,$R880-$Q880)/($P880+$Q880-$R880+MAX(Keys!$C$51,$R880-$Q880))),Keys!$C$51)</f>
        <v>0</v>
      </c>
      <c r="T880">
        <f>IF(AND($I880&gt;$H880,ABS($L880-$G880)&gt;MAX(Keys!$C$62,ABS($G880)*Keys!$C$63)),1,0)</f>
        <v>0</v>
      </c>
      <c r="U880">
        <f>IF(OR($N880&lt;Keys!$C$51,$N880&gt;Keys!$C$52),1,0)</f>
        <v>0</v>
      </c>
      <c r="V880">
        <f>IF(AND($E880=Keys!$C$60,$N880&lt;&gt;Keys!$C$51),1,0)</f>
        <v>0</v>
      </c>
      <c r="W880">
        <f>IF($L880&gt;Keys!$C$51,IF($K880/$L880&gt;Keys!$C$52,1,0),0)</f>
        <v>0</v>
      </c>
      <c r="X880" s="11">
        <f t="shared" si="55"/>
        <v>0</v>
      </c>
    </row>
    <row r="881" spans="1:24" x14ac:dyDescent="0.25">
      <c r="A881" t="s">
        <v>165</v>
      </c>
      <c r="B881" t="s">
        <v>109</v>
      </c>
      <c r="C881" t="str">
        <f>VLOOKUP($B881,Keys!$F$2:$I$22,2,FALSE)</f>
        <v>crude oil</v>
      </c>
      <c r="D881">
        <f>VLOOKUP($B881,Keys!$F$2:$I$22,3,FALSE)</f>
        <v>1</v>
      </c>
      <c r="E881" t="str">
        <f>VLOOKUP($B881,Keys!$F$2:$I$22,4,FALSE)</f>
        <v>hold</v>
      </c>
      <c r="F881" t="str">
        <f>$A881&amp;Keys!$C$54&amp;$B881</f>
        <v>UT|crude oil</v>
      </c>
      <c r="G881" s="10">
        <f>IF($E881=Keys!$C$60,Keys!$C$51,INDEX(Balanced_2025!$D$9:$D$3032,MATCH($A881&amp;Keys!$C$54&amp;Keys!$C$55&amp;Keys!$C$54&amp;$C881,Balanced_2025!$E$9:$E$3032,0)))</f>
        <v>389215000000000</v>
      </c>
      <c r="H881" s="10">
        <f>IF($E881=Keys!$C$60,Keys!$C$51,INDEX(Balanced_2025!$D$9:$D$3032,MATCH($A881&amp;Keys!$C$54&amp;Keys!$C$56&amp;Keys!$C$54&amp;$C881,Balanced_2025!$E$9:$E$3032,0)))</f>
        <v>42975000000000</v>
      </c>
      <c r="I881" s="10">
        <f>IF($E881=Keys!$C$60,Keys!$C$51,INDEX(Balanced_2025!$D$9:$D$3032,MATCH($A881&amp;Keys!$C$54&amp;Keys!$C$57&amp;Keys!$C$54&amp;$C881,Balanced_2025!$E$9:$E$3032,0)))</f>
        <v>0</v>
      </c>
      <c r="J881" s="10">
        <f t="shared" si="52"/>
        <v>432190000000000</v>
      </c>
      <c r="K881" s="10">
        <f>MAX(Keys!$C$51,$I881-$H881)</f>
        <v>0</v>
      </c>
      <c r="L881" s="10">
        <f t="shared" si="53"/>
        <v>432190000000000</v>
      </c>
      <c r="M881" s="11">
        <f>IF($L881&gt;Keys!$C$51,MIN(Keys!$C$52,$K881/$L881),Keys!$C$51)</f>
        <v>0</v>
      </c>
      <c r="N881" s="11">
        <f>IF($E881=Keys!$C$60,Keys!$C$51,IF($E881=Keys!$C$59,$D881,$M881))</f>
        <v>1</v>
      </c>
      <c r="O881">
        <f t="shared" si="54"/>
        <v>0</v>
      </c>
      <c r="P881" s="10">
        <f>IF($E881=Keys!$C$60,Keys!$C$51,INDEX(Raw_BFPIaE!$G$9:$G$3032,MATCH($A881&amp;Keys!$C$54&amp;Keys!$C$55&amp;Keys!$C$54&amp;$B881,Raw_BFPIaE!$H$9:$H$3032,0)))</f>
        <v>386852666666666.69</v>
      </c>
      <c r="Q881" s="10">
        <f>IF($E881=Keys!$C$60,Keys!$C$51,INDEX(Raw_BFPIaE!$G$9:$G$3032,MATCH($A881&amp;Keys!$C$54&amp;Keys!$C$56&amp;Keys!$C$54&amp;$B881,Raw_BFPIaE!$H$9:$H$3032,0)))</f>
        <v>31012266666666.668</v>
      </c>
      <c r="R881" s="10">
        <f>IF($E881=Keys!$C$60,Keys!$C$51,INDEX(Raw_BFPIaE!$G$9:$G$3032,MATCH($A881&amp;Keys!$C$54&amp;Keys!$C$57&amp;Keys!$C$54&amp;$B881,Raw_BFPIaE!$H$9:$H$3032,0)))</f>
        <v>0</v>
      </c>
      <c r="S881" s="11">
        <f>IF(($P881+$Q881-$R881+MAX(Keys!$C$51,$R881-$Q881))&gt;Keys!$C$51,MIN(Keys!$C$52,MAX(Keys!$C$51,$R881-$Q881)/($P881+$Q881-$R881+MAX(Keys!$C$51,$R881-$Q881))),Keys!$C$51)</f>
        <v>0</v>
      </c>
      <c r="T881">
        <f>IF(AND($I881&gt;$H881,ABS($L881-$G881)&gt;MAX(Keys!$C$62,ABS($G881)*Keys!$C$63)),1,0)</f>
        <v>0</v>
      </c>
      <c r="U881">
        <f>IF(OR($N881&lt;Keys!$C$51,$N881&gt;Keys!$C$52),1,0)</f>
        <v>0</v>
      </c>
      <c r="V881">
        <f>IF(AND($E881=Keys!$C$60,$N881&lt;&gt;Keys!$C$51),1,0)</f>
        <v>0</v>
      </c>
      <c r="W881">
        <f>IF($L881&gt;Keys!$C$51,IF($K881/$L881&gt;Keys!$C$52,1,0),0)</f>
        <v>0</v>
      </c>
      <c r="X881" s="11">
        <f t="shared" si="55"/>
        <v>0</v>
      </c>
    </row>
    <row r="882" spans="1:24" x14ac:dyDescent="0.25">
      <c r="A882" t="s">
        <v>165</v>
      </c>
      <c r="B882" t="s">
        <v>113</v>
      </c>
      <c r="C882" t="str">
        <f>VLOOKUP($B882,Keys!$F$2:$I$22,2,FALSE)</f>
        <v>heavy or residual fuel oil</v>
      </c>
      <c r="D882">
        <f>VLOOKUP($B882,Keys!$F$2:$I$22,3,FALSE)</f>
        <v>0.49914171099999999</v>
      </c>
      <c r="E882" t="str">
        <f>VLOOKUP($B882,Keys!$F$2:$I$22,4,FALSE)</f>
        <v>rule</v>
      </c>
      <c r="F882" t="str">
        <f>$A882&amp;Keys!$C$54&amp;$B882</f>
        <v>UT|heavy fuel oil</v>
      </c>
      <c r="G882" s="10">
        <f>IF($E882=Keys!$C$60,Keys!$C$51,INDEX(Balanced_2025!$D$9:$D$3032,MATCH($A882&amp;Keys!$C$54&amp;Keys!$C$55&amp;Keys!$C$54&amp;$C882,Balanced_2025!$E$9:$E$3032,0)))</f>
        <v>8285280000000</v>
      </c>
      <c r="H882" s="10">
        <f>IF($E882=Keys!$C$60,Keys!$C$51,INDEX(Balanced_2025!$D$9:$D$3032,MATCH($A882&amp;Keys!$C$54&amp;Keys!$C$56&amp;Keys!$C$54&amp;$C882,Balanced_2025!$E$9:$E$3032,0)))</f>
        <v>0</v>
      </c>
      <c r="I882" s="10">
        <f>IF($E882=Keys!$C$60,Keys!$C$51,INDEX(Balanced_2025!$D$9:$D$3032,MATCH($A882&amp;Keys!$C$54&amp;Keys!$C$57&amp;Keys!$C$54&amp;$C882,Balanced_2025!$E$9:$E$3032,0)))</f>
        <v>649470000000</v>
      </c>
      <c r="J882" s="10">
        <f t="shared" si="52"/>
        <v>7635810000000</v>
      </c>
      <c r="K882" s="10">
        <f>MAX(Keys!$C$51,$I882-$H882)</f>
        <v>649470000000</v>
      </c>
      <c r="L882" s="10">
        <f t="shared" si="53"/>
        <v>8285280000000</v>
      </c>
      <c r="M882" s="11">
        <f>IF($L882&gt;Keys!$C$51,MIN(Keys!$C$52,$K882/$L882),Keys!$C$51)</f>
        <v>7.8388418979201666E-2</v>
      </c>
      <c r="N882" s="11">
        <f>IF($E882=Keys!$C$60,Keys!$C$51,IF($E882=Keys!$C$59,$D882,$M882))</f>
        <v>7.8388418979201666E-2</v>
      </c>
      <c r="O882">
        <f t="shared" si="54"/>
        <v>1</v>
      </c>
      <c r="P882" s="10">
        <f>IF($E882=Keys!$C$60,Keys!$C$51,INDEX(Raw_BFPIaE!$G$9:$G$3032,MATCH($A882&amp;Keys!$C$54&amp;Keys!$C$55&amp;Keys!$C$54&amp;$B882,Raw_BFPIaE!$H$9:$H$3032,0)))</f>
        <v>8218340000000</v>
      </c>
      <c r="Q882" s="10">
        <f>IF($E882=Keys!$C$60,Keys!$C$51,INDEX(Raw_BFPIaE!$G$9:$G$3032,MATCH($A882&amp;Keys!$C$54&amp;Keys!$C$56&amp;Keys!$C$54&amp;$B882,Raw_BFPIaE!$H$9:$H$3032,0)))</f>
        <v>0</v>
      </c>
      <c r="R882" s="10">
        <f>IF($E882=Keys!$C$60,Keys!$C$51,INDEX(Raw_BFPIaE!$G$9:$G$3032,MATCH($A882&amp;Keys!$C$54&amp;Keys!$C$57&amp;Keys!$C$54&amp;$B882,Raw_BFPIaE!$H$9:$H$3032,0)))</f>
        <v>333174000000</v>
      </c>
      <c r="S882" s="11">
        <f>IF(($P882+$Q882-$R882+MAX(Keys!$C$51,$R882-$Q882))&gt;Keys!$C$51,MIN(Keys!$C$52,MAX(Keys!$C$51,$R882-$Q882)/($P882+$Q882-$R882+MAX(Keys!$C$51,$R882-$Q882))),Keys!$C$51)</f>
        <v>4.0540303759640024E-2</v>
      </c>
      <c r="T882">
        <f>IF(AND($I882&gt;$H882,ABS($L882-$G882)&gt;MAX(Keys!$C$62,ABS($G882)*Keys!$C$63)),1,0)</f>
        <v>0</v>
      </c>
      <c r="U882">
        <f>IF(OR($N882&lt;Keys!$C$51,$N882&gt;Keys!$C$52),1,0)</f>
        <v>0</v>
      </c>
      <c r="V882">
        <f>IF(AND($E882=Keys!$C$60,$N882&lt;&gt;Keys!$C$51),1,0)</f>
        <v>0</v>
      </c>
      <c r="W882">
        <f>IF($L882&gt;Keys!$C$51,IF($K882/$L882&gt;Keys!$C$52,1,0),0)</f>
        <v>0</v>
      </c>
      <c r="X882" s="11">
        <f t="shared" si="55"/>
        <v>3.7848115219561641E-2</v>
      </c>
    </row>
    <row r="883" spans="1:24" x14ac:dyDescent="0.25">
      <c r="A883" t="s">
        <v>165</v>
      </c>
      <c r="B883" t="s">
        <v>117</v>
      </c>
      <c r="C883" t="str">
        <f>VLOOKUP($B883,Keys!$F$2:$I$22,2,FALSE)</f>
        <v>LPG propane or butane</v>
      </c>
      <c r="D883">
        <f>VLOOKUP($B883,Keys!$F$2:$I$22,3,FALSE)</f>
        <v>0.54955999499999997</v>
      </c>
      <c r="E883" t="str">
        <f>VLOOKUP($B883,Keys!$F$2:$I$22,4,FALSE)</f>
        <v>rule</v>
      </c>
      <c r="F883" t="str">
        <f>$A883&amp;Keys!$C$54&amp;$B883</f>
        <v>UT|LPG propane or butane</v>
      </c>
      <c r="G883" s="10">
        <f>IF($E883=Keys!$C$60,Keys!$C$51,INDEX(Balanced_2025!$D$9:$D$3032,MATCH($A883&amp;Keys!$C$54&amp;Keys!$C$55&amp;Keys!$C$54&amp;$C883,Balanced_2025!$E$9:$E$3032,0)))</f>
        <v>37008500000000</v>
      </c>
      <c r="H883" s="10">
        <f>IF($E883=Keys!$C$60,Keys!$C$51,INDEX(Balanced_2025!$D$9:$D$3032,MATCH($A883&amp;Keys!$C$54&amp;Keys!$C$56&amp;Keys!$C$54&amp;$C883,Balanced_2025!$E$9:$E$3032,0)))</f>
        <v>0</v>
      </c>
      <c r="I883" s="10">
        <f>IF($E883=Keys!$C$60,Keys!$C$51,INDEX(Balanced_2025!$D$9:$D$3032,MATCH($A883&amp;Keys!$C$54&amp;Keys!$C$57&amp;Keys!$C$54&amp;$C883,Balanced_2025!$E$9:$E$3032,0)))</f>
        <v>28763500000000</v>
      </c>
      <c r="J883" s="10">
        <f t="shared" si="52"/>
        <v>8245000000000</v>
      </c>
      <c r="K883" s="10">
        <f>MAX(Keys!$C$51,$I883-$H883)</f>
        <v>28763500000000</v>
      </c>
      <c r="L883" s="10">
        <f t="shared" si="53"/>
        <v>37008500000000</v>
      </c>
      <c r="M883" s="11">
        <f>IF($L883&gt;Keys!$C$51,MIN(Keys!$C$52,$K883/$L883),Keys!$C$51)</f>
        <v>0.77721334288068955</v>
      </c>
      <c r="N883" s="11">
        <f>IF($E883=Keys!$C$60,Keys!$C$51,IF($E883=Keys!$C$59,$D883,$M883))</f>
        <v>0.77721334288068955</v>
      </c>
      <c r="O883">
        <f t="shared" si="54"/>
        <v>1</v>
      </c>
      <c r="P883" s="10">
        <f>IF($E883=Keys!$C$60,Keys!$C$51,INDEX(Raw_BFPIaE!$G$9:$G$3032,MATCH($A883&amp;Keys!$C$54&amp;Keys!$C$55&amp;Keys!$C$54&amp;$B883,Raw_BFPIaE!$H$9:$H$3032,0)))</f>
        <v>37270433333333.336</v>
      </c>
      <c r="Q883" s="10">
        <f>IF($E883=Keys!$C$60,Keys!$C$51,INDEX(Raw_BFPIaE!$G$9:$G$3032,MATCH($A883&amp;Keys!$C$54&amp;Keys!$C$56&amp;Keys!$C$54&amp;$B883,Raw_BFPIaE!$H$9:$H$3032,0)))</f>
        <v>0</v>
      </c>
      <c r="R883" s="10">
        <f>IF($E883=Keys!$C$60,Keys!$C$51,INDEX(Raw_BFPIaE!$G$9:$G$3032,MATCH($A883&amp;Keys!$C$54&amp;Keys!$C$57&amp;Keys!$C$54&amp;$B883,Raw_BFPIaE!$H$9:$H$3032,0)))</f>
        <v>19452600000000</v>
      </c>
      <c r="S883" s="11">
        <f>IF(($P883+$Q883-$R883+MAX(Keys!$C$51,$R883-$Q883))&gt;Keys!$C$51,MIN(Keys!$C$52,MAX(Keys!$C$51,$R883-$Q883)/($P883+$Q883-$R883+MAX(Keys!$C$51,$R883-$Q883))),Keys!$C$51)</f>
        <v>0.52193114649413785</v>
      </c>
      <c r="T883">
        <f>IF(AND($I883&gt;$H883,ABS($L883-$G883)&gt;MAX(Keys!$C$62,ABS($G883)*Keys!$C$63)),1,0)</f>
        <v>0</v>
      </c>
      <c r="U883">
        <f>IF(OR($N883&lt;Keys!$C$51,$N883&gt;Keys!$C$52),1,0)</f>
        <v>0</v>
      </c>
      <c r="V883">
        <f>IF(AND($E883=Keys!$C$60,$N883&lt;&gt;Keys!$C$51),1,0)</f>
        <v>0</v>
      </c>
      <c r="W883">
        <f>IF($L883&gt;Keys!$C$51,IF($K883/$L883&gt;Keys!$C$52,1,0),0)</f>
        <v>0</v>
      </c>
      <c r="X883" s="11">
        <f t="shared" si="55"/>
        <v>0.2552821963865517</v>
      </c>
    </row>
    <row r="884" spans="1:24" x14ac:dyDescent="0.25">
      <c r="A884" t="s">
        <v>165</v>
      </c>
      <c r="B884" t="s">
        <v>120</v>
      </c>
      <c r="C884">
        <f>VLOOKUP($B884,Keys!$F$2:$I$22,2,FALSE)</f>
        <v>0</v>
      </c>
      <c r="D884">
        <f>VLOOKUP($B884,Keys!$F$2:$I$22,3,FALSE)</f>
        <v>0</v>
      </c>
      <c r="E884" t="str">
        <f>VLOOKUP($B884,Keys!$F$2:$I$22,4,FALSE)</f>
        <v>zero</v>
      </c>
      <c r="F884" t="str">
        <f>$A884&amp;Keys!$C$54&amp;$B884</f>
        <v>UT|municipal solid waste</v>
      </c>
      <c r="G884" s="10">
        <f>IF($E884=Keys!$C$60,Keys!$C$51,INDEX(Balanced_2025!$D$9:$D$3032,MATCH($A884&amp;Keys!$C$54&amp;Keys!$C$55&amp;Keys!$C$54&amp;$C884,Balanced_2025!$E$9:$E$3032,0)))</f>
        <v>0</v>
      </c>
      <c r="H884" s="10">
        <f>IF($E884=Keys!$C$60,Keys!$C$51,INDEX(Balanced_2025!$D$9:$D$3032,MATCH($A884&amp;Keys!$C$54&amp;Keys!$C$56&amp;Keys!$C$54&amp;$C884,Balanced_2025!$E$9:$E$3032,0)))</f>
        <v>0</v>
      </c>
      <c r="I884" s="10">
        <f>IF($E884=Keys!$C$60,Keys!$C$51,INDEX(Balanced_2025!$D$9:$D$3032,MATCH($A884&amp;Keys!$C$54&amp;Keys!$C$57&amp;Keys!$C$54&amp;$C884,Balanced_2025!$E$9:$E$3032,0)))</f>
        <v>0</v>
      </c>
      <c r="J884" s="10">
        <f t="shared" si="52"/>
        <v>0</v>
      </c>
      <c r="K884" s="10">
        <f>MAX(Keys!$C$51,$I884-$H884)</f>
        <v>0</v>
      </c>
      <c r="L884" s="10">
        <f t="shared" si="53"/>
        <v>0</v>
      </c>
      <c r="M884" s="11">
        <f>IF($L884&gt;Keys!$C$51,MIN(Keys!$C$52,$K884/$L884),Keys!$C$51)</f>
        <v>0</v>
      </c>
      <c r="N884" s="11">
        <f>IF($E884=Keys!$C$60,Keys!$C$51,IF($E884=Keys!$C$59,$D884,$M884))</f>
        <v>0</v>
      </c>
      <c r="O884">
        <f t="shared" si="54"/>
        <v>0</v>
      </c>
      <c r="P884" s="10">
        <f>IF($E884=Keys!$C$60,Keys!$C$51,INDEX(Raw_BFPIaE!$G$9:$G$3032,MATCH($A884&amp;Keys!$C$54&amp;Keys!$C$55&amp;Keys!$C$54&amp;$B884,Raw_BFPIaE!$H$9:$H$3032,0)))</f>
        <v>0</v>
      </c>
      <c r="Q884" s="10">
        <f>IF($E884=Keys!$C$60,Keys!$C$51,INDEX(Raw_BFPIaE!$G$9:$G$3032,MATCH($A884&amp;Keys!$C$54&amp;Keys!$C$56&amp;Keys!$C$54&amp;$B884,Raw_BFPIaE!$H$9:$H$3032,0)))</f>
        <v>0</v>
      </c>
      <c r="R884" s="10">
        <f>IF($E884=Keys!$C$60,Keys!$C$51,INDEX(Raw_BFPIaE!$G$9:$G$3032,MATCH($A884&amp;Keys!$C$54&amp;Keys!$C$57&amp;Keys!$C$54&amp;$B884,Raw_BFPIaE!$H$9:$H$3032,0)))</f>
        <v>0</v>
      </c>
      <c r="S884" s="11">
        <f>IF(($P884+$Q884-$R884+MAX(Keys!$C$51,$R884-$Q884))&gt;Keys!$C$51,MIN(Keys!$C$52,MAX(Keys!$C$51,$R884-$Q884)/($P884+$Q884-$R884+MAX(Keys!$C$51,$R884-$Q884))),Keys!$C$51)</f>
        <v>0</v>
      </c>
      <c r="T884">
        <f>IF(AND($I884&gt;$H884,ABS($L884-$G884)&gt;MAX(Keys!$C$62,ABS($G884)*Keys!$C$63)),1,0)</f>
        <v>0</v>
      </c>
      <c r="U884">
        <f>IF(OR($N884&lt;Keys!$C$51,$N884&gt;Keys!$C$52),1,0)</f>
        <v>0</v>
      </c>
      <c r="V884">
        <f>IF(AND($E884=Keys!$C$60,$N884&lt;&gt;Keys!$C$51),1,0)</f>
        <v>0</v>
      </c>
      <c r="W884">
        <f>IF($L884&gt;Keys!$C$51,IF($K884/$L884&gt;Keys!$C$52,1,0),0)</f>
        <v>0</v>
      </c>
      <c r="X884" s="11">
        <f t="shared" si="55"/>
        <v>0</v>
      </c>
    </row>
    <row r="885" spans="1:24" x14ac:dyDescent="0.25">
      <c r="A885" t="s">
        <v>165</v>
      </c>
      <c r="B885" t="s">
        <v>123</v>
      </c>
      <c r="C885">
        <f>VLOOKUP($B885,Keys!$F$2:$I$22,2,FALSE)</f>
        <v>0</v>
      </c>
      <c r="D885">
        <f>VLOOKUP($B885,Keys!$F$2:$I$22,3,FALSE)</f>
        <v>0</v>
      </c>
      <c r="E885" t="str">
        <f>VLOOKUP($B885,Keys!$F$2:$I$22,4,FALSE)</f>
        <v>zero</v>
      </c>
      <c r="F885" t="str">
        <f>$A885&amp;Keys!$C$54&amp;$B885</f>
        <v>UT|hydrogen</v>
      </c>
      <c r="G885" s="10">
        <f>IF($E885=Keys!$C$60,Keys!$C$51,INDEX(Balanced_2025!$D$9:$D$3032,MATCH($A885&amp;Keys!$C$54&amp;Keys!$C$55&amp;Keys!$C$54&amp;$C885,Balanced_2025!$E$9:$E$3032,0)))</f>
        <v>0</v>
      </c>
      <c r="H885" s="10">
        <f>IF($E885=Keys!$C$60,Keys!$C$51,INDEX(Balanced_2025!$D$9:$D$3032,MATCH($A885&amp;Keys!$C$54&amp;Keys!$C$56&amp;Keys!$C$54&amp;$C885,Balanced_2025!$E$9:$E$3032,0)))</f>
        <v>0</v>
      </c>
      <c r="I885" s="10">
        <f>IF($E885=Keys!$C$60,Keys!$C$51,INDEX(Balanced_2025!$D$9:$D$3032,MATCH($A885&amp;Keys!$C$54&amp;Keys!$C$57&amp;Keys!$C$54&amp;$C885,Balanced_2025!$E$9:$E$3032,0)))</f>
        <v>0</v>
      </c>
      <c r="J885" s="10">
        <f t="shared" si="52"/>
        <v>0</v>
      </c>
      <c r="K885" s="10">
        <f>MAX(Keys!$C$51,$I885-$H885)</f>
        <v>0</v>
      </c>
      <c r="L885" s="10">
        <f t="shared" si="53"/>
        <v>0</v>
      </c>
      <c r="M885" s="11">
        <f>IF($L885&gt;Keys!$C$51,MIN(Keys!$C$52,$K885/$L885),Keys!$C$51)</f>
        <v>0</v>
      </c>
      <c r="N885" s="11">
        <f>IF($E885=Keys!$C$60,Keys!$C$51,IF($E885=Keys!$C$59,$D885,$M885))</f>
        <v>0</v>
      </c>
      <c r="O885">
        <f t="shared" si="54"/>
        <v>0</v>
      </c>
      <c r="P885" s="10">
        <f>IF($E885=Keys!$C$60,Keys!$C$51,INDEX(Raw_BFPIaE!$G$9:$G$3032,MATCH($A885&amp;Keys!$C$54&amp;Keys!$C$55&amp;Keys!$C$54&amp;$B885,Raw_BFPIaE!$H$9:$H$3032,0)))</f>
        <v>0</v>
      </c>
      <c r="Q885" s="10">
        <f>IF($E885=Keys!$C$60,Keys!$C$51,INDEX(Raw_BFPIaE!$G$9:$G$3032,MATCH($A885&amp;Keys!$C$54&amp;Keys!$C$56&amp;Keys!$C$54&amp;$B885,Raw_BFPIaE!$H$9:$H$3032,0)))</f>
        <v>0</v>
      </c>
      <c r="R885" s="10">
        <f>IF($E885=Keys!$C$60,Keys!$C$51,INDEX(Raw_BFPIaE!$G$9:$G$3032,MATCH($A885&amp;Keys!$C$54&amp;Keys!$C$57&amp;Keys!$C$54&amp;$B885,Raw_BFPIaE!$H$9:$H$3032,0)))</f>
        <v>0</v>
      </c>
      <c r="S885" s="11">
        <f>IF(($P885+$Q885-$R885+MAX(Keys!$C$51,$R885-$Q885))&gt;Keys!$C$51,MIN(Keys!$C$52,MAX(Keys!$C$51,$R885-$Q885)/($P885+$Q885-$R885+MAX(Keys!$C$51,$R885-$Q885))),Keys!$C$51)</f>
        <v>0</v>
      </c>
      <c r="T885">
        <f>IF(AND($I885&gt;$H885,ABS($L885-$G885)&gt;MAX(Keys!$C$62,ABS($G885)*Keys!$C$63)),1,0)</f>
        <v>0</v>
      </c>
      <c r="U885">
        <f>IF(OR($N885&lt;Keys!$C$51,$N885&gt;Keys!$C$52),1,0)</f>
        <v>0</v>
      </c>
      <c r="V885">
        <f>IF(AND($E885=Keys!$C$60,$N885&lt;&gt;Keys!$C$51),1,0)</f>
        <v>0</v>
      </c>
      <c r="W885">
        <f>IF($L885&gt;Keys!$C$51,IF($K885/$L885&gt;Keys!$C$52,1,0),0)</f>
        <v>0</v>
      </c>
      <c r="X885" s="11">
        <f t="shared" si="55"/>
        <v>0</v>
      </c>
    </row>
    <row r="886" spans="1:24" x14ac:dyDescent="0.25">
      <c r="A886" t="s">
        <v>167</v>
      </c>
      <c r="B886" t="s">
        <v>60</v>
      </c>
      <c r="C886">
        <f>VLOOKUP($B886,Keys!$F$2:$I$22,2,FALSE)</f>
        <v>0</v>
      </c>
      <c r="D886">
        <f>VLOOKUP($B886,Keys!$F$2:$I$22,3,FALSE)</f>
        <v>0</v>
      </c>
      <c r="E886" t="str">
        <f>VLOOKUP($B886,Keys!$F$2:$I$22,4,FALSE)</f>
        <v>zero</v>
      </c>
      <c r="F886" t="str">
        <f>$A886&amp;Keys!$C$54&amp;$B886</f>
        <v>VA|electricity (not used in this variable)</v>
      </c>
      <c r="G886" s="10">
        <f>IF($E886=Keys!$C$60,Keys!$C$51,INDEX(Balanced_2025!$D$9:$D$3032,MATCH($A886&amp;Keys!$C$54&amp;Keys!$C$55&amp;Keys!$C$54&amp;$C886,Balanced_2025!$E$9:$E$3032,0)))</f>
        <v>0</v>
      </c>
      <c r="H886" s="10">
        <f>IF($E886=Keys!$C$60,Keys!$C$51,INDEX(Balanced_2025!$D$9:$D$3032,MATCH($A886&amp;Keys!$C$54&amp;Keys!$C$56&amp;Keys!$C$54&amp;$C886,Balanced_2025!$E$9:$E$3032,0)))</f>
        <v>0</v>
      </c>
      <c r="I886" s="10">
        <f>IF($E886=Keys!$C$60,Keys!$C$51,INDEX(Balanced_2025!$D$9:$D$3032,MATCH($A886&amp;Keys!$C$54&amp;Keys!$C$57&amp;Keys!$C$54&amp;$C886,Balanced_2025!$E$9:$E$3032,0)))</f>
        <v>0</v>
      </c>
      <c r="J886" s="10">
        <f t="shared" si="52"/>
        <v>0</v>
      </c>
      <c r="K886" s="10">
        <f>MAX(Keys!$C$51,$I886-$H886)</f>
        <v>0</v>
      </c>
      <c r="L886" s="10">
        <f t="shared" si="53"/>
        <v>0</v>
      </c>
      <c r="M886" s="11">
        <f>IF($L886&gt;Keys!$C$51,MIN(Keys!$C$52,$K886/$L886),Keys!$C$51)</f>
        <v>0</v>
      </c>
      <c r="N886" s="11">
        <f>IF($E886=Keys!$C$60,Keys!$C$51,IF($E886=Keys!$C$59,$D886,$M886))</f>
        <v>0</v>
      </c>
      <c r="O886">
        <f t="shared" si="54"/>
        <v>0</v>
      </c>
      <c r="P886" s="10">
        <f>IF($E886=Keys!$C$60,Keys!$C$51,INDEX(Raw_BFPIaE!$G$9:$G$3032,MATCH($A886&amp;Keys!$C$54&amp;Keys!$C$55&amp;Keys!$C$54&amp;$B886,Raw_BFPIaE!$H$9:$H$3032,0)))</f>
        <v>0</v>
      </c>
      <c r="Q886" s="10">
        <f>IF($E886=Keys!$C$60,Keys!$C$51,INDEX(Raw_BFPIaE!$G$9:$G$3032,MATCH($A886&amp;Keys!$C$54&amp;Keys!$C$56&amp;Keys!$C$54&amp;$B886,Raw_BFPIaE!$H$9:$H$3032,0)))</f>
        <v>0</v>
      </c>
      <c r="R886" s="10">
        <f>IF($E886=Keys!$C$60,Keys!$C$51,INDEX(Raw_BFPIaE!$G$9:$G$3032,MATCH($A886&amp;Keys!$C$54&amp;Keys!$C$57&amp;Keys!$C$54&amp;$B886,Raw_BFPIaE!$H$9:$H$3032,0)))</f>
        <v>0</v>
      </c>
      <c r="S886" s="11">
        <f>IF(($P886+$Q886-$R886+MAX(Keys!$C$51,$R886-$Q886))&gt;Keys!$C$51,MIN(Keys!$C$52,MAX(Keys!$C$51,$R886-$Q886)/($P886+$Q886-$R886+MAX(Keys!$C$51,$R886-$Q886))),Keys!$C$51)</f>
        <v>0</v>
      </c>
      <c r="T886">
        <f>IF(AND($I886&gt;$H886,ABS($L886-$G886)&gt;MAX(Keys!$C$62,ABS($G886)*Keys!$C$63)),1,0)</f>
        <v>0</v>
      </c>
      <c r="U886">
        <f>IF(OR($N886&lt;Keys!$C$51,$N886&gt;Keys!$C$52),1,0)</f>
        <v>0</v>
      </c>
      <c r="V886">
        <f>IF(AND($E886=Keys!$C$60,$N886&lt;&gt;Keys!$C$51),1,0)</f>
        <v>0</v>
      </c>
      <c r="W886">
        <f>IF($L886&gt;Keys!$C$51,IF($K886/$L886&gt;Keys!$C$52,1,0),0)</f>
        <v>0</v>
      </c>
      <c r="X886" s="11">
        <f t="shared" si="55"/>
        <v>0</v>
      </c>
    </row>
    <row r="887" spans="1:24" x14ac:dyDescent="0.25">
      <c r="A887" t="s">
        <v>167</v>
      </c>
      <c r="B887" t="s">
        <v>64</v>
      </c>
      <c r="C887" t="str">
        <f>VLOOKUP($B887,Keys!$F$2:$I$22,2,FALSE)</f>
        <v>hard coal</v>
      </c>
      <c r="D887">
        <f>VLOOKUP($B887,Keys!$F$2:$I$22,3,FALSE)</f>
        <v>0.137539879</v>
      </c>
      <c r="E887" t="str">
        <f>VLOOKUP($B887,Keys!$F$2:$I$22,4,FALSE)</f>
        <v>rule</v>
      </c>
      <c r="F887" t="str">
        <f>$A887&amp;Keys!$C$54&amp;$B887</f>
        <v>VA|hard coal</v>
      </c>
      <c r="G887" s="10">
        <f>IF($E887=Keys!$C$60,Keys!$C$51,INDEX(Balanced_2025!$D$9:$D$3032,MATCH($A887&amp;Keys!$C$54&amp;Keys!$C$55&amp;Keys!$C$54&amp;$C887,Balanced_2025!$E$9:$E$3032,0)))</f>
        <v>199872000000000</v>
      </c>
      <c r="H887" s="10">
        <f>IF($E887=Keys!$C$60,Keys!$C$51,INDEX(Balanced_2025!$D$9:$D$3032,MATCH($A887&amp;Keys!$C$54&amp;Keys!$C$56&amp;Keys!$C$54&amp;$C887,Balanced_2025!$E$9:$E$3032,0)))</f>
        <v>7779330000000</v>
      </c>
      <c r="I887" s="10">
        <f>IF($E887=Keys!$C$60,Keys!$C$51,INDEX(Balanced_2025!$D$9:$D$3032,MATCH($A887&amp;Keys!$C$54&amp;Keys!$C$57&amp;Keys!$C$54&amp;$C887,Balanced_2025!$E$9:$E$3032,0)))</f>
        <v>128267000000000</v>
      </c>
      <c r="J887" s="10">
        <f t="shared" si="52"/>
        <v>79384330000000</v>
      </c>
      <c r="K887" s="10">
        <f>MAX(Keys!$C$51,$I887-$H887)</f>
        <v>120487670000000</v>
      </c>
      <c r="L887" s="10">
        <f t="shared" si="53"/>
        <v>199872000000000</v>
      </c>
      <c r="M887" s="11">
        <f>IF($L887&gt;Keys!$C$51,MIN(Keys!$C$52,$K887/$L887),Keys!$C$51)</f>
        <v>0.60282415746077489</v>
      </c>
      <c r="N887" s="11">
        <f>IF($E887=Keys!$C$60,Keys!$C$51,IF($E887=Keys!$C$59,$D887,$M887))</f>
        <v>0.60282415746077489</v>
      </c>
      <c r="O887">
        <f t="shared" si="54"/>
        <v>1</v>
      </c>
      <c r="P887" s="10">
        <f>IF($E887=Keys!$C$60,Keys!$C$51,INDEX(Raw_BFPIaE!$G$9:$G$3032,MATCH($A887&amp;Keys!$C$54&amp;Keys!$C$55&amp;Keys!$C$54&amp;$B887,Raw_BFPIaE!$H$9:$H$3032,0)))</f>
        <v>199873666666666.66</v>
      </c>
      <c r="Q887" s="10">
        <f>IF($E887=Keys!$C$60,Keys!$C$51,INDEX(Raw_BFPIaE!$G$9:$G$3032,MATCH($A887&amp;Keys!$C$54&amp;Keys!$C$56&amp;Keys!$C$54&amp;$B887,Raw_BFPIaE!$H$9:$H$3032,0)))</f>
        <v>4923833333333.333</v>
      </c>
      <c r="R887" s="10">
        <f>IF($E887=Keys!$C$60,Keys!$C$51,INDEX(Raw_BFPIaE!$G$9:$G$3032,MATCH($A887&amp;Keys!$C$54&amp;Keys!$C$57&amp;Keys!$C$54&amp;$B887,Raw_BFPIaE!$H$9:$H$3032,0)))</f>
        <v>95803366666666.672</v>
      </c>
      <c r="S887" s="11">
        <f>IF(($P887+$Q887-$R887+MAX(Keys!$C$51,$R887-$Q887))&gt;Keys!$C$51,MIN(Keys!$C$52,MAX(Keys!$C$51,$R887-$Q887)/($P887+$Q887-$R887+MAX(Keys!$C$51,$R887-$Q887))),Keys!$C$51)</f>
        <v>0.45468487594663964</v>
      </c>
      <c r="T887">
        <f>IF(AND($I887&gt;$H887,ABS($L887-$G887)&gt;MAX(Keys!$C$62,ABS($G887)*Keys!$C$63)),1,0)</f>
        <v>0</v>
      </c>
      <c r="U887">
        <f>IF(OR($N887&lt;Keys!$C$51,$N887&gt;Keys!$C$52),1,0)</f>
        <v>0</v>
      </c>
      <c r="V887">
        <f>IF(AND($E887=Keys!$C$60,$N887&lt;&gt;Keys!$C$51),1,0)</f>
        <v>0</v>
      </c>
      <c r="W887">
        <f>IF($L887&gt;Keys!$C$51,IF($K887/$L887&gt;Keys!$C$52,1,0),0)</f>
        <v>0</v>
      </c>
      <c r="X887" s="11">
        <f t="shared" si="55"/>
        <v>0.14813928151413525</v>
      </c>
    </row>
    <row r="888" spans="1:24" x14ac:dyDescent="0.25">
      <c r="A888" t="s">
        <v>167</v>
      </c>
      <c r="B888" t="s">
        <v>68</v>
      </c>
      <c r="C888" t="str">
        <f>VLOOKUP($B888,Keys!$F$2:$I$22,2,FALSE)</f>
        <v>natural gas</v>
      </c>
      <c r="D888">
        <f>VLOOKUP($B888,Keys!$F$2:$I$22,3,FALSE)</f>
        <v>0.190839183</v>
      </c>
      <c r="E888" t="str">
        <f>VLOOKUP($B888,Keys!$F$2:$I$22,4,FALSE)</f>
        <v>rule</v>
      </c>
      <c r="F888" t="str">
        <f>$A888&amp;Keys!$C$54&amp;$B888</f>
        <v>VA|natural gas</v>
      </c>
      <c r="G888" s="10">
        <f>IF($E888=Keys!$C$60,Keys!$C$51,INDEX(Balanced_2025!$D$9:$D$3032,MATCH($A888&amp;Keys!$C$54&amp;Keys!$C$55&amp;Keys!$C$54&amp;$C888,Balanced_2025!$E$9:$E$3032,0)))</f>
        <v>83865300000000</v>
      </c>
      <c r="H888" s="10">
        <f>IF($E888=Keys!$C$60,Keys!$C$51,INDEX(Balanced_2025!$D$9:$D$3032,MATCH($A888&amp;Keys!$C$54&amp;Keys!$C$56&amp;Keys!$C$54&amp;$C888,Balanced_2025!$E$9:$E$3032,0)))</f>
        <v>1751770000000000</v>
      </c>
      <c r="I888" s="10">
        <f>IF($E888=Keys!$C$60,Keys!$C$51,INDEX(Balanced_2025!$D$9:$D$3032,MATCH($A888&amp;Keys!$C$54&amp;Keys!$C$57&amp;Keys!$C$54&amp;$C888,Balanced_2025!$E$9:$E$3032,0)))</f>
        <v>1090240000000000</v>
      </c>
      <c r="J888" s="10">
        <f t="shared" si="52"/>
        <v>745395300000000</v>
      </c>
      <c r="K888" s="10">
        <f>MAX(Keys!$C$51,$I888-$H888)</f>
        <v>0</v>
      </c>
      <c r="L888" s="10">
        <f t="shared" si="53"/>
        <v>745395300000000</v>
      </c>
      <c r="M888" s="11">
        <f>IF($L888&gt;Keys!$C$51,MIN(Keys!$C$52,$K888/$L888),Keys!$C$51)</f>
        <v>0</v>
      </c>
      <c r="N888" s="11">
        <f>IF($E888=Keys!$C$60,Keys!$C$51,IF($E888=Keys!$C$59,$D888,$M888))</f>
        <v>0</v>
      </c>
      <c r="O888">
        <f t="shared" si="54"/>
        <v>1</v>
      </c>
      <c r="P888" s="10">
        <f>IF($E888=Keys!$C$60,Keys!$C$51,INDEX(Raw_BFPIaE!$G$9:$G$3032,MATCH($A888&amp;Keys!$C$54&amp;Keys!$C$55&amp;Keys!$C$54&amp;$B888,Raw_BFPIaE!$H$9:$H$3032,0)))</f>
        <v>83952133333333.328</v>
      </c>
      <c r="Q888" s="10">
        <f>IF($E888=Keys!$C$60,Keys!$C$51,INDEX(Raw_BFPIaE!$G$9:$G$3032,MATCH($A888&amp;Keys!$C$54&amp;Keys!$C$56&amp;Keys!$C$54&amp;$B888,Raw_BFPIaE!$H$9:$H$3032,0)))</f>
        <v>1710740000000000</v>
      </c>
      <c r="R888" s="10">
        <f>IF($E888=Keys!$C$60,Keys!$C$51,INDEX(Raw_BFPIaE!$G$9:$G$3032,MATCH($A888&amp;Keys!$C$54&amp;Keys!$C$57&amp;Keys!$C$54&amp;$B888,Raw_BFPIaE!$H$9:$H$3032,0)))</f>
        <v>1091370000000000</v>
      </c>
      <c r="S888" s="11">
        <f>IF(($P888+$Q888-$R888+MAX(Keys!$C$51,$R888-$Q888))&gt;Keys!$C$51,MIN(Keys!$C$52,MAX(Keys!$C$51,$R888-$Q888)/($P888+$Q888-$R888+MAX(Keys!$C$51,$R888-$Q888))),Keys!$C$51)</f>
        <v>0</v>
      </c>
      <c r="T888">
        <f>IF(AND($I888&gt;$H888,ABS($L888-$G888)&gt;MAX(Keys!$C$62,ABS($G888)*Keys!$C$63)),1,0)</f>
        <v>0</v>
      </c>
      <c r="U888">
        <f>IF(OR($N888&lt;Keys!$C$51,$N888&gt;Keys!$C$52),1,0)</f>
        <v>0</v>
      </c>
      <c r="V888">
        <f>IF(AND($E888=Keys!$C$60,$N888&lt;&gt;Keys!$C$51),1,0)</f>
        <v>0</v>
      </c>
      <c r="W888">
        <f>IF($L888&gt;Keys!$C$51,IF($K888/$L888&gt;Keys!$C$52,1,0),0)</f>
        <v>0</v>
      </c>
      <c r="X888" s="11">
        <f t="shared" si="55"/>
        <v>0</v>
      </c>
    </row>
    <row r="889" spans="1:24" x14ac:dyDescent="0.25">
      <c r="A889" t="s">
        <v>167</v>
      </c>
      <c r="B889" t="s">
        <v>71</v>
      </c>
      <c r="C889">
        <f>VLOOKUP($B889,Keys!$F$2:$I$22,2,FALSE)</f>
        <v>0</v>
      </c>
      <c r="D889">
        <f>VLOOKUP($B889,Keys!$F$2:$I$22,3,FALSE)</f>
        <v>0</v>
      </c>
      <c r="E889" t="str">
        <f>VLOOKUP($B889,Keys!$F$2:$I$22,4,FALSE)</f>
        <v>zero</v>
      </c>
      <c r="F889" t="str">
        <f>$A889&amp;Keys!$C$54&amp;$B889</f>
        <v>VA|nuclear</v>
      </c>
      <c r="G889" s="10">
        <f>IF($E889=Keys!$C$60,Keys!$C$51,INDEX(Balanced_2025!$D$9:$D$3032,MATCH($A889&amp;Keys!$C$54&amp;Keys!$C$55&amp;Keys!$C$54&amp;$C889,Balanced_2025!$E$9:$E$3032,0)))</f>
        <v>0</v>
      </c>
      <c r="H889" s="10">
        <f>IF($E889=Keys!$C$60,Keys!$C$51,INDEX(Balanced_2025!$D$9:$D$3032,MATCH($A889&amp;Keys!$C$54&amp;Keys!$C$56&amp;Keys!$C$54&amp;$C889,Balanced_2025!$E$9:$E$3032,0)))</f>
        <v>0</v>
      </c>
      <c r="I889" s="10">
        <f>IF($E889=Keys!$C$60,Keys!$C$51,INDEX(Balanced_2025!$D$9:$D$3032,MATCH($A889&amp;Keys!$C$54&amp;Keys!$C$57&amp;Keys!$C$54&amp;$C889,Balanced_2025!$E$9:$E$3032,0)))</f>
        <v>0</v>
      </c>
      <c r="J889" s="10">
        <f t="shared" si="52"/>
        <v>0</v>
      </c>
      <c r="K889" s="10">
        <f>MAX(Keys!$C$51,$I889-$H889)</f>
        <v>0</v>
      </c>
      <c r="L889" s="10">
        <f t="shared" si="53"/>
        <v>0</v>
      </c>
      <c r="M889" s="11">
        <f>IF($L889&gt;Keys!$C$51,MIN(Keys!$C$52,$K889/$L889),Keys!$C$51)</f>
        <v>0</v>
      </c>
      <c r="N889" s="11">
        <f>IF($E889=Keys!$C$60,Keys!$C$51,IF($E889=Keys!$C$59,$D889,$M889))</f>
        <v>0</v>
      </c>
      <c r="O889">
        <f t="shared" si="54"/>
        <v>0</v>
      </c>
      <c r="P889" s="10">
        <f>IF($E889=Keys!$C$60,Keys!$C$51,INDEX(Raw_BFPIaE!$G$9:$G$3032,MATCH($A889&amp;Keys!$C$54&amp;Keys!$C$55&amp;Keys!$C$54&amp;$B889,Raw_BFPIaE!$H$9:$H$3032,0)))</f>
        <v>0</v>
      </c>
      <c r="Q889" s="10">
        <f>IF($E889=Keys!$C$60,Keys!$C$51,INDEX(Raw_BFPIaE!$G$9:$G$3032,MATCH($A889&amp;Keys!$C$54&amp;Keys!$C$56&amp;Keys!$C$54&amp;$B889,Raw_BFPIaE!$H$9:$H$3032,0)))</f>
        <v>0</v>
      </c>
      <c r="R889" s="10">
        <f>IF($E889=Keys!$C$60,Keys!$C$51,INDEX(Raw_BFPIaE!$G$9:$G$3032,MATCH($A889&amp;Keys!$C$54&amp;Keys!$C$57&amp;Keys!$C$54&amp;$B889,Raw_BFPIaE!$H$9:$H$3032,0)))</f>
        <v>0</v>
      </c>
      <c r="S889" s="11">
        <f>IF(($P889+$Q889-$R889+MAX(Keys!$C$51,$R889-$Q889))&gt;Keys!$C$51,MIN(Keys!$C$52,MAX(Keys!$C$51,$R889-$Q889)/($P889+$Q889-$R889+MAX(Keys!$C$51,$R889-$Q889))),Keys!$C$51)</f>
        <v>0</v>
      </c>
      <c r="T889">
        <f>IF(AND($I889&gt;$H889,ABS($L889-$G889)&gt;MAX(Keys!$C$62,ABS($G889)*Keys!$C$63)),1,0)</f>
        <v>0</v>
      </c>
      <c r="U889">
        <f>IF(OR($N889&lt;Keys!$C$51,$N889&gt;Keys!$C$52),1,0)</f>
        <v>0</v>
      </c>
      <c r="V889">
        <f>IF(AND($E889=Keys!$C$60,$N889&lt;&gt;Keys!$C$51),1,0)</f>
        <v>0</v>
      </c>
      <c r="W889">
        <f>IF($L889&gt;Keys!$C$51,IF($K889/$L889&gt;Keys!$C$52,1,0),0)</f>
        <v>0</v>
      </c>
      <c r="X889" s="11">
        <f t="shared" si="55"/>
        <v>0</v>
      </c>
    </row>
    <row r="890" spans="1:24" x14ac:dyDescent="0.25">
      <c r="A890" t="s">
        <v>167</v>
      </c>
      <c r="B890" t="s">
        <v>74</v>
      </c>
      <c r="C890">
        <f>VLOOKUP($B890,Keys!$F$2:$I$22,2,FALSE)</f>
        <v>0</v>
      </c>
      <c r="D890">
        <f>VLOOKUP($B890,Keys!$F$2:$I$22,3,FALSE)</f>
        <v>0</v>
      </c>
      <c r="E890" t="str">
        <f>VLOOKUP($B890,Keys!$F$2:$I$22,4,FALSE)</f>
        <v>zero</v>
      </c>
      <c r="F890" t="str">
        <f>$A890&amp;Keys!$C$54&amp;$B890</f>
        <v>VA|hydro (is not a fuel)</v>
      </c>
      <c r="G890" s="10">
        <f>IF($E890=Keys!$C$60,Keys!$C$51,INDEX(Balanced_2025!$D$9:$D$3032,MATCH($A890&amp;Keys!$C$54&amp;Keys!$C$55&amp;Keys!$C$54&amp;$C890,Balanced_2025!$E$9:$E$3032,0)))</f>
        <v>0</v>
      </c>
      <c r="H890" s="10">
        <f>IF($E890=Keys!$C$60,Keys!$C$51,INDEX(Balanced_2025!$D$9:$D$3032,MATCH($A890&amp;Keys!$C$54&amp;Keys!$C$56&amp;Keys!$C$54&amp;$C890,Balanced_2025!$E$9:$E$3032,0)))</f>
        <v>0</v>
      </c>
      <c r="I890" s="10">
        <f>IF($E890=Keys!$C$60,Keys!$C$51,INDEX(Balanced_2025!$D$9:$D$3032,MATCH($A890&amp;Keys!$C$54&amp;Keys!$C$57&amp;Keys!$C$54&amp;$C890,Balanced_2025!$E$9:$E$3032,0)))</f>
        <v>0</v>
      </c>
      <c r="J890" s="10">
        <f t="shared" si="52"/>
        <v>0</v>
      </c>
      <c r="K890" s="10">
        <f>MAX(Keys!$C$51,$I890-$H890)</f>
        <v>0</v>
      </c>
      <c r="L890" s="10">
        <f t="shared" si="53"/>
        <v>0</v>
      </c>
      <c r="M890" s="11">
        <f>IF($L890&gt;Keys!$C$51,MIN(Keys!$C$52,$K890/$L890),Keys!$C$51)</f>
        <v>0</v>
      </c>
      <c r="N890" s="11">
        <f>IF($E890=Keys!$C$60,Keys!$C$51,IF($E890=Keys!$C$59,$D890,$M890))</f>
        <v>0</v>
      </c>
      <c r="O890">
        <f t="shared" si="54"/>
        <v>0</v>
      </c>
      <c r="P890" s="10">
        <f>IF($E890=Keys!$C$60,Keys!$C$51,INDEX(Raw_BFPIaE!$G$9:$G$3032,MATCH($A890&amp;Keys!$C$54&amp;Keys!$C$55&amp;Keys!$C$54&amp;$B890,Raw_BFPIaE!$H$9:$H$3032,0)))</f>
        <v>0</v>
      </c>
      <c r="Q890" s="10">
        <f>IF($E890=Keys!$C$60,Keys!$C$51,INDEX(Raw_BFPIaE!$G$9:$G$3032,MATCH($A890&amp;Keys!$C$54&amp;Keys!$C$56&amp;Keys!$C$54&amp;$B890,Raw_BFPIaE!$H$9:$H$3032,0)))</f>
        <v>0</v>
      </c>
      <c r="R890" s="10">
        <f>IF($E890=Keys!$C$60,Keys!$C$51,INDEX(Raw_BFPIaE!$G$9:$G$3032,MATCH($A890&amp;Keys!$C$54&amp;Keys!$C$57&amp;Keys!$C$54&amp;$B890,Raw_BFPIaE!$H$9:$H$3032,0)))</f>
        <v>0</v>
      </c>
      <c r="S890" s="11">
        <f>IF(($P890+$Q890-$R890+MAX(Keys!$C$51,$R890-$Q890))&gt;Keys!$C$51,MIN(Keys!$C$52,MAX(Keys!$C$51,$R890-$Q890)/($P890+$Q890-$R890+MAX(Keys!$C$51,$R890-$Q890))),Keys!$C$51)</f>
        <v>0</v>
      </c>
      <c r="T890">
        <f>IF(AND($I890&gt;$H890,ABS($L890-$G890)&gt;MAX(Keys!$C$62,ABS($G890)*Keys!$C$63)),1,0)</f>
        <v>0</v>
      </c>
      <c r="U890">
        <f>IF(OR($N890&lt;Keys!$C$51,$N890&gt;Keys!$C$52),1,0)</f>
        <v>0</v>
      </c>
      <c r="V890">
        <f>IF(AND($E890=Keys!$C$60,$N890&lt;&gt;Keys!$C$51),1,0)</f>
        <v>0</v>
      </c>
      <c r="W890">
        <f>IF($L890&gt;Keys!$C$51,IF($K890/$L890&gt;Keys!$C$52,1,0),0)</f>
        <v>0</v>
      </c>
      <c r="X890" s="11">
        <f t="shared" si="55"/>
        <v>0</v>
      </c>
    </row>
    <row r="891" spans="1:24" x14ac:dyDescent="0.25">
      <c r="A891" t="s">
        <v>167</v>
      </c>
      <c r="B891" t="s">
        <v>77</v>
      </c>
      <c r="C891">
        <f>VLOOKUP($B891,Keys!$F$2:$I$22,2,FALSE)</f>
        <v>0</v>
      </c>
      <c r="D891">
        <f>VLOOKUP($B891,Keys!$F$2:$I$22,3,FALSE)</f>
        <v>0</v>
      </c>
      <c r="E891" t="str">
        <f>VLOOKUP($B891,Keys!$F$2:$I$22,4,FALSE)</f>
        <v>zero</v>
      </c>
      <c r="F891" t="str">
        <f>$A891&amp;Keys!$C$54&amp;$B891</f>
        <v>VA|wind (is not a fuel)</v>
      </c>
      <c r="G891" s="10">
        <f>IF($E891=Keys!$C$60,Keys!$C$51,INDEX(Balanced_2025!$D$9:$D$3032,MATCH($A891&amp;Keys!$C$54&amp;Keys!$C$55&amp;Keys!$C$54&amp;$C891,Balanced_2025!$E$9:$E$3032,0)))</f>
        <v>0</v>
      </c>
      <c r="H891" s="10">
        <f>IF($E891=Keys!$C$60,Keys!$C$51,INDEX(Balanced_2025!$D$9:$D$3032,MATCH($A891&amp;Keys!$C$54&amp;Keys!$C$56&amp;Keys!$C$54&amp;$C891,Balanced_2025!$E$9:$E$3032,0)))</f>
        <v>0</v>
      </c>
      <c r="I891" s="10">
        <f>IF($E891=Keys!$C$60,Keys!$C$51,INDEX(Balanced_2025!$D$9:$D$3032,MATCH($A891&amp;Keys!$C$54&amp;Keys!$C$57&amp;Keys!$C$54&amp;$C891,Balanced_2025!$E$9:$E$3032,0)))</f>
        <v>0</v>
      </c>
      <c r="J891" s="10">
        <f t="shared" si="52"/>
        <v>0</v>
      </c>
      <c r="K891" s="10">
        <f>MAX(Keys!$C$51,$I891-$H891)</f>
        <v>0</v>
      </c>
      <c r="L891" s="10">
        <f t="shared" si="53"/>
        <v>0</v>
      </c>
      <c r="M891" s="11">
        <f>IF($L891&gt;Keys!$C$51,MIN(Keys!$C$52,$K891/$L891),Keys!$C$51)</f>
        <v>0</v>
      </c>
      <c r="N891" s="11">
        <f>IF($E891=Keys!$C$60,Keys!$C$51,IF($E891=Keys!$C$59,$D891,$M891))</f>
        <v>0</v>
      </c>
      <c r="O891">
        <f t="shared" si="54"/>
        <v>0</v>
      </c>
      <c r="P891" s="10">
        <f>IF($E891=Keys!$C$60,Keys!$C$51,INDEX(Raw_BFPIaE!$G$9:$G$3032,MATCH($A891&amp;Keys!$C$54&amp;Keys!$C$55&amp;Keys!$C$54&amp;$B891,Raw_BFPIaE!$H$9:$H$3032,0)))</f>
        <v>0</v>
      </c>
      <c r="Q891" s="10">
        <f>IF($E891=Keys!$C$60,Keys!$C$51,INDEX(Raw_BFPIaE!$G$9:$G$3032,MATCH($A891&amp;Keys!$C$54&amp;Keys!$C$56&amp;Keys!$C$54&amp;$B891,Raw_BFPIaE!$H$9:$H$3032,0)))</f>
        <v>0</v>
      </c>
      <c r="R891" s="10">
        <f>IF($E891=Keys!$C$60,Keys!$C$51,INDEX(Raw_BFPIaE!$G$9:$G$3032,MATCH($A891&amp;Keys!$C$54&amp;Keys!$C$57&amp;Keys!$C$54&amp;$B891,Raw_BFPIaE!$H$9:$H$3032,0)))</f>
        <v>0</v>
      </c>
      <c r="S891" s="11">
        <f>IF(($P891+$Q891-$R891+MAX(Keys!$C$51,$R891-$Q891))&gt;Keys!$C$51,MIN(Keys!$C$52,MAX(Keys!$C$51,$R891-$Q891)/($P891+$Q891-$R891+MAX(Keys!$C$51,$R891-$Q891))),Keys!$C$51)</f>
        <v>0</v>
      </c>
      <c r="T891">
        <f>IF(AND($I891&gt;$H891,ABS($L891-$G891)&gt;MAX(Keys!$C$62,ABS($G891)*Keys!$C$63)),1,0)</f>
        <v>0</v>
      </c>
      <c r="U891">
        <f>IF(OR($N891&lt;Keys!$C$51,$N891&gt;Keys!$C$52),1,0)</f>
        <v>0</v>
      </c>
      <c r="V891">
        <f>IF(AND($E891=Keys!$C$60,$N891&lt;&gt;Keys!$C$51),1,0)</f>
        <v>0</v>
      </c>
      <c r="W891">
        <f>IF($L891&gt;Keys!$C$51,IF($K891/$L891&gt;Keys!$C$52,1,0),0)</f>
        <v>0</v>
      </c>
      <c r="X891" s="11">
        <f t="shared" si="55"/>
        <v>0</v>
      </c>
    </row>
    <row r="892" spans="1:24" x14ac:dyDescent="0.25">
      <c r="A892" t="s">
        <v>167</v>
      </c>
      <c r="B892" t="s">
        <v>80</v>
      </c>
      <c r="C892">
        <f>VLOOKUP($B892,Keys!$F$2:$I$22,2,FALSE)</f>
        <v>0</v>
      </c>
      <c r="D892">
        <f>VLOOKUP($B892,Keys!$F$2:$I$22,3,FALSE)</f>
        <v>0</v>
      </c>
      <c r="E892" t="str">
        <f>VLOOKUP($B892,Keys!$F$2:$I$22,4,FALSE)</f>
        <v>zero</v>
      </c>
      <c r="F892" t="str">
        <f>$A892&amp;Keys!$C$54&amp;$B892</f>
        <v>VA|solar (is not a fuel)</v>
      </c>
      <c r="G892" s="10">
        <f>IF($E892=Keys!$C$60,Keys!$C$51,INDEX(Balanced_2025!$D$9:$D$3032,MATCH($A892&amp;Keys!$C$54&amp;Keys!$C$55&amp;Keys!$C$54&amp;$C892,Balanced_2025!$E$9:$E$3032,0)))</f>
        <v>0</v>
      </c>
      <c r="H892" s="10">
        <f>IF($E892=Keys!$C$60,Keys!$C$51,INDEX(Balanced_2025!$D$9:$D$3032,MATCH($A892&amp;Keys!$C$54&amp;Keys!$C$56&amp;Keys!$C$54&amp;$C892,Balanced_2025!$E$9:$E$3032,0)))</f>
        <v>0</v>
      </c>
      <c r="I892" s="10">
        <f>IF($E892=Keys!$C$60,Keys!$C$51,INDEX(Balanced_2025!$D$9:$D$3032,MATCH($A892&amp;Keys!$C$54&amp;Keys!$C$57&amp;Keys!$C$54&amp;$C892,Balanced_2025!$E$9:$E$3032,0)))</f>
        <v>0</v>
      </c>
      <c r="J892" s="10">
        <f t="shared" si="52"/>
        <v>0</v>
      </c>
      <c r="K892" s="10">
        <f>MAX(Keys!$C$51,$I892-$H892)</f>
        <v>0</v>
      </c>
      <c r="L892" s="10">
        <f t="shared" si="53"/>
        <v>0</v>
      </c>
      <c r="M892" s="11">
        <f>IF($L892&gt;Keys!$C$51,MIN(Keys!$C$52,$K892/$L892),Keys!$C$51)</f>
        <v>0</v>
      </c>
      <c r="N892" s="11">
        <f>IF($E892=Keys!$C$60,Keys!$C$51,IF($E892=Keys!$C$59,$D892,$M892))</f>
        <v>0</v>
      </c>
      <c r="O892">
        <f t="shared" si="54"/>
        <v>0</v>
      </c>
      <c r="P892" s="10">
        <f>IF($E892=Keys!$C$60,Keys!$C$51,INDEX(Raw_BFPIaE!$G$9:$G$3032,MATCH($A892&amp;Keys!$C$54&amp;Keys!$C$55&amp;Keys!$C$54&amp;$B892,Raw_BFPIaE!$H$9:$H$3032,0)))</f>
        <v>0</v>
      </c>
      <c r="Q892" s="10">
        <f>IF($E892=Keys!$C$60,Keys!$C$51,INDEX(Raw_BFPIaE!$G$9:$G$3032,MATCH($A892&amp;Keys!$C$54&amp;Keys!$C$56&amp;Keys!$C$54&amp;$B892,Raw_BFPIaE!$H$9:$H$3032,0)))</f>
        <v>0</v>
      </c>
      <c r="R892" s="10">
        <f>IF($E892=Keys!$C$60,Keys!$C$51,INDEX(Raw_BFPIaE!$G$9:$G$3032,MATCH($A892&amp;Keys!$C$54&amp;Keys!$C$57&amp;Keys!$C$54&amp;$B892,Raw_BFPIaE!$H$9:$H$3032,0)))</f>
        <v>0</v>
      </c>
      <c r="S892" s="11">
        <f>IF(($P892+$Q892-$R892+MAX(Keys!$C$51,$R892-$Q892))&gt;Keys!$C$51,MIN(Keys!$C$52,MAX(Keys!$C$51,$R892-$Q892)/($P892+$Q892-$R892+MAX(Keys!$C$51,$R892-$Q892))),Keys!$C$51)</f>
        <v>0</v>
      </c>
      <c r="T892">
        <f>IF(AND($I892&gt;$H892,ABS($L892-$G892)&gt;MAX(Keys!$C$62,ABS($G892)*Keys!$C$63)),1,0)</f>
        <v>0</v>
      </c>
      <c r="U892">
        <f>IF(OR($N892&lt;Keys!$C$51,$N892&gt;Keys!$C$52),1,0)</f>
        <v>0</v>
      </c>
      <c r="V892">
        <f>IF(AND($E892=Keys!$C$60,$N892&lt;&gt;Keys!$C$51),1,0)</f>
        <v>0</v>
      </c>
      <c r="W892">
        <f>IF($L892&gt;Keys!$C$51,IF($K892/$L892&gt;Keys!$C$52,1,0),0)</f>
        <v>0</v>
      </c>
      <c r="X892" s="11">
        <f t="shared" si="55"/>
        <v>0</v>
      </c>
    </row>
    <row r="893" spans="1:24" x14ac:dyDescent="0.25">
      <c r="A893" t="s">
        <v>167</v>
      </c>
      <c r="B893" t="s">
        <v>82</v>
      </c>
      <c r="C893" t="str">
        <f>VLOOKUP($B893,Keys!$F$2:$I$22,2,FALSE)</f>
        <v>biomass</v>
      </c>
      <c r="D893">
        <f>VLOOKUP($B893,Keys!$F$2:$I$22,3,FALSE)</f>
        <v>0.74947425499999998</v>
      </c>
      <c r="E893" t="str">
        <f>VLOOKUP($B893,Keys!$F$2:$I$22,4,FALSE)</f>
        <v>rule</v>
      </c>
      <c r="F893" t="str">
        <f>$A893&amp;Keys!$C$54&amp;$B893</f>
        <v>VA|biomass</v>
      </c>
      <c r="G893" s="10">
        <f>IF($E893=Keys!$C$60,Keys!$C$51,INDEX(Balanced_2025!$D$9:$D$3032,MATCH($A893&amp;Keys!$C$54&amp;Keys!$C$55&amp;Keys!$C$54&amp;$C893,Balanced_2025!$E$9:$E$3032,0)))</f>
        <v>13794500000000</v>
      </c>
      <c r="H893" s="10">
        <f>IF($E893=Keys!$C$60,Keys!$C$51,INDEX(Balanced_2025!$D$9:$D$3032,MATCH($A893&amp;Keys!$C$54&amp;Keys!$C$56&amp;Keys!$C$54&amp;$C893,Balanced_2025!$E$9:$E$3032,0)))</f>
        <v>106755000000000</v>
      </c>
      <c r="I893" s="10">
        <f>IF($E893=Keys!$C$60,Keys!$C$51,INDEX(Balanced_2025!$D$9:$D$3032,MATCH($A893&amp;Keys!$C$54&amp;Keys!$C$57&amp;Keys!$C$54&amp;$C893,Balanced_2025!$E$9:$E$3032,0)))</f>
        <v>0</v>
      </c>
      <c r="J893" s="10">
        <f t="shared" si="52"/>
        <v>120549500000000</v>
      </c>
      <c r="K893" s="10">
        <f>MAX(Keys!$C$51,$I893-$H893)</f>
        <v>0</v>
      </c>
      <c r="L893" s="10">
        <f t="shared" si="53"/>
        <v>120549500000000</v>
      </c>
      <c r="M893" s="11">
        <f>IF($L893&gt;Keys!$C$51,MIN(Keys!$C$52,$K893/$L893),Keys!$C$51)</f>
        <v>0</v>
      </c>
      <c r="N893" s="11">
        <f>IF($E893=Keys!$C$60,Keys!$C$51,IF($E893=Keys!$C$59,$D893,$M893))</f>
        <v>0</v>
      </c>
      <c r="O893">
        <f t="shared" si="54"/>
        <v>1</v>
      </c>
      <c r="P893" s="10">
        <f>IF($E893=Keys!$C$60,Keys!$C$51,INDEX(Raw_BFPIaE!$G$9:$G$3032,MATCH($A893&amp;Keys!$C$54&amp;Keys!$C$55&amp;Keys!$C$54&amp;$B893,Raw_BFPIaE!$H$9:$H$3032,0)))</f>
        <v>13794500000000</v>
      </c>
      <c r="Q893" s="10">
        <f>IF($E893=Keys!$C$60,Keys!$C$51,INDEX(Raw_BFPIaE!$G$9:$G$3032,MATCH($A893&amp;Keys!$C$54&amp;Keys!$C$56&amp;Keys!$C$54&amp;$B893,Raw_BFPIaE!$H$9:$H$3032,0)))</f>
        <v>72217333333333.328</v>
      </c>
      <c r="R893" s="10">
        <f>IF($E893=Keys!$C$60,Keys!$C$51,INDEX(Raw_BFPIaE!$G$9:$G$3032,MATCH($A893&amp;Keys!$C$54&amp;Keys!$C$57&amp;Keys!$C$54&amp;$B893,Raw_BFPIaE!$H$9:$H$3032,0)))</f>
        <v>0</v>
      </c>
      <c r="S893" s="11">
        <f>IF(($P893+$Q893-$R893+MAX(Keys!$C$51,$R893-$Q893))&gt;Keys!$C$51,MIN(Keys!$C$52,MAX(Keys!$C$51,$R893-$Q893)/($P893+$Q893-$R893+MAX(Keys!$C$51,$R893-$Q893))),Keys!$C$51)</f>
        <v>0</v>
      </c>
      <c r="T893">
        <f>IF(AND($I893&gt;$H893,ABS($L893-$G893)&gt;MAX(Keys!$C$62,ABS($G893)*Keys!$C$63)),1,0)</f>
        <v>0</v>
      </c>
      <c r="U893">
        <f>IF(OR($N893&lt;Keys!$C$51,$N893&gt;Keys!$C$52),1,0)</f>
        <v>0</v>
      </c>
      <c r="V893">
        <f>IF(AND($E893=Keys!$C$60,$N893&lt;&gt;Keys!$C$51),1,0)</f>
        <v>0</v>
      </c>
      <c r="W893">
        <f>IF($L893&gt;Keys!$C$51,IF($K893/$L893&gt;Keys!$C$52,1,0),0)</f>
        <v>0</v>
      </c>
      <c r="X893" s="11">
        <f t="shared" si="55"/>
        <v>0</v>
      </c>
    </row>
    <row r="894" spans="1:24" x14ac:dyDescent="0.25">
      <c r="A894" t="s">
        <v>167</v>
      </c>
      <c r="B894" t="s">
        <v>85</v>
      </c>
      <c r="C894" t="str">
        <f>VLOOKUP($B894,Keys!$F$2:$I$22,2,FALSE)</f>
        <v>petroleum gasoline</v>
      </c>
      <c r="D894">
        <f>VLOOKUP($B894,Keys!$F$2:$I$22,3,FALSE)</f>
        <v>7.5004052000000002E-2</v>
      </c>
      <c r="E894" t="str">
        <f>VLOOKUP($B894,Keys!$F$2:$I$22,4,FALSE)</f>
        <v>rule</v>
      </c>
      <c r="F894" t="str">
        <f>$A894&amp;Keys!$C$54&amp;$B894</f>
        <v>VA|petroleum gasoline</v>
      </c>
      <c r="G894" s="10">
        <f>IF($E894=Keys!$C$60,Keys!$C$51,INDEX(Balanced_2025!$D$9:$D$3032,MATCH($A894&amp;Keys!$C$54&amp;Keys!$C$55&amp;Keys!$C$54&amp;$C894,Balanced_2025!$E$9:$E$3032,0)))</f>
        <v>0</v>
      </c>
      <c r="H894" s="10">
        <f>IF($E894=Keys!$C$60,Keys!$C$51,INDEX(Balanced_2025!$D$9:$D$3032,MATCH($A894&amp;Keys!$C$54&amp;Keys!$C$56&amp;Keys!$C$54&amp;$C894,Balanced_2025!$E$9:$E$3032,0)))</f>
        <v>431792000000000</v>
      </c>
      <c r="I894" s="10">
        <f>IF($E894=Keys!$C$60,Keys!$C$51,INDEX(Balanced_2025!$D$9:$D$3032,MATCH($A894&amp;Keys!$C$54&amp;Keys!$C$57&amp;Keys!$C$54&amp;$C894,Balanced_2025!$E$9:$E$3032,0)))</f>
        <v>0</v>
      </c>
      <c r="J894" s="10">
        <f t="shared" si="52"/>
        <v>431792000000000</v>
      </c>
      <c r="K894" s="10">
        <f>MAX(Keys!$C$51,$I894-$H894)</f>
        <v>0</v>
      </c>
      <c r="L894" s="10">
        <f t="shared" si="53"/>
        <v>431792000000000</v>
      </c>
      <c r="M894" s="11">
        <f>IF($L894&gt;Keys!$C$51,MIN(Keys!$C$52,$K894/$L894),Keys!$C$51)</f>
        <v>0</v>
      </c>
      <c r="N894" s="11">
        <f>IF($E894=Keys!$C$60,Keys!$C$51,IF($E894=Keys!$C$59,$D894,$M894))</f>
        <v>0</v>
      </c>
      <c r="O894">
        <f t="shared" si="54"/>
        <v>1</v>
      </c>
      <c r="P894" s="10">
        <f>IF($E894=Keys!$C$60,Keys!$C$51,INDEX(Raw_BFPIaE!$G$9:$G$3032,MATCH($A894&amp;Keys!$C$54&amp;Keys!$C$55&amp;Keys!$C$54&amp;$B894,Raw_BFPIaE!$H$9:$H$3032,0)))</f>
        <v>0</v>
      </c>
      <c r="Q894" s="10">
        <f>IF($E894=Keys!$C$60,Keys!$C$51,INDEX(Raw_BFPIaE!$G$9:$G$3032,MATCH($A894&amp;Keys!$C$54&amp;Keys!$C$56&amp;Keys!$C$54&amp;$B894,Raw_BFPIaE!$H$9:$H$3032,0)))</f>
        <v>271223333333333.34</v>
      </c>
      <c r="R894" s="10">
        <f>IF($E894=Keys!$C$60,Keys!$C$51,INDEX(Raw_BFPIaE!$G$9:$G$3032,MATCH($A894&amp;Keys!$C$54&amp;Keys!$C$57&amp;Keys!$C$54&amp;$B894,Raw_BFPIaE!$H$9:$H$3032,0)))</f>
        <v>0</v>
      </c>
      <c r="S894" s="11">
        <f>IF(($P894+$Q894-$R894+MAX(Keys!$C$51,$R894-$Q894))&gt;Keys!$C$51,MIN(Keys!$C$52,MAX(Keys!$C$51,$R894-$Q894)/($P894+$Q894-$R894+MAX(Keys!$C$51,$R894-$Q894))),Keys!$C$51)</f>
        <v>0</v>
      </c>
      <c r="T894">
        <f>IF(AND($I894&gt;$H894,ABS($L894-$G894)&gt;MAX(Keys!$C$62,ABS($G894)*Keys!$C$63)),1,0)</f>
        <v>0</v>
      </c>
      <c r="U894">
        <f>IF(OR($N894&lt;Keys!$C$51,$N894&gt;Keys!$C$52),1,0)</f>
        <v>0</v>
      </c>
      <c r="V894">
        <f>IF(AND($E894=Keys!$C$60,$N894&lt;&gt;Keys!$C$51),1,0)</f>
        <v>0</v>
      </c>
      <c r="W894">
        <f>IF($L894&gt;Keys!$C$51,IF($K894/$L894&gt;Keys!$C$52,1,0),0)</f>
        <v>0</v>
      </c>
      <c r="X894" s="11">
        <f t="shared" si="55"/>
        <v>0</v>
      </c>
    </row>
    <row r="895" spans="1:24" x14ac:dyDescent="0.25">
      <c r="A895" t="s">
        <v>167</v>
      </c>
      <c r="B895" t="s">
        <v>88</v>
      </c>
      <c r="C895" t="str">
        <f>VLOOKUP($B895,Keys!$F$2:$I$22,2,FALSE)</f>
        <v>petroleum diesel</v>
      </c>
      <c r="D895">
        <f>VLOOKUP($B895,Keys!$F$2:$I$22,3,FALSE)</f>
        <v>0.26691051799999999</v>
      </c>
      <c r="E895" t="str">
        <f>VLOOKUP($B895,Keys!$F$2:$I$22,4,FALSE)</f>
        <v>rule</v>
      </c>
      <c r="F895" t="str">
        <f>$A895&amp;Keys!$C$54&amp;$B895</f>
        <v>VA|petroleum diesel</v>
      </c>
      <c r="G895" s="10">
        <f>IF($E895=Keys!$C$60,Keys!$C$51,INDEX(Balanced_2025!$D$9:$D$3032,MATCH($A895&amp;Keys!$C$54&amp;Keys!$C$55&amp;Keys!$C$54&amp;$C895,Balanced_2025!$E$9:$E$3032,0)))</f>
        <v>0</v>
      </c>
      <c r="H895" s="10">
        <f>IF($E895=Keys!$C$60,Keys!$C$51,INDEX(Balanced_2025!$D$9:$D$3032,MATCH($A895&amp;Keys!$C$54&amp;Keys!$C$56&amp;Keys!$C$54&amp;$C895,Balanced_2025!$E$9:$E$3032,0)))</f>
        <v>209936000000000</v>
      </c>
      <c r="I895" s="10">
        <f>IF($E895=Keys!$C$60,Keys!$C$51,INDEX(Balanced_2025!$D$9:$D$3032,MATCH($A895&amp;Keys!$C$54&amp;Keys!$C$57&amp;Keys!$C$54&amp;$C895,Balanced_2025!$E$9:$E$3032,0)))</f>
        <v>0</v>
      </c>
      <c r="J895" s="10">
        <f t="shared" si="52"/>
        <v>209936000000000</v>
      </c>
      <c r="K895" s="10">
        <f>MAX(Keys!$C$51,$I895-$H895)</f>
        <v>0</v>
      </c>
      <c r="L895" s="10">
        <f t="shared" si="53"/>
        <v>209936000000000</v>
      </c>
      <c r="M895" s="11">
        <f>IF($L895&gt;Keys!$C$51,MIN(Keys!$C$52,$K895/$L895),Keys!$C$51)</f>
        <v>0</v>
      </c>
      <c r="N895" s="11">
        <f>IF($E895=Keys!$C$60,Keys!$C$51,IF($E895=Keys!$C$59,$D895,$M895))</f>
        <v>0</v>
      </c>
      <c r="O895">
        <f t="shared" si="54"/>
        <v>1</v>
      </c>
      <c r="P895" s="10">
        <f>IF($E895=Keys!$C$60,Keys!$C$51,INDEX(Raw_BFPIaE!$G$9:$G$3032,MATCH($A895&amp;Keys!$C$54&amp;Keys!$C$55&amp;Keys!$C$54&amp;$B895,Raw_BFPIaE!$H$9:$H$3032,0)))</f>
        <v>0</v>
      </c>
      <c r="Q895" s="10">
        <f>IF($E895=Keys!$C$60,Keys!$C$51,INDEX(Raw_BFPIaE!$G$9:$G$3032,MATCH($A895&amp;Keys!$C$54&amp;Keys!$C$56&amp;Keys!$C$54&amp;$B895,Raw_BFPIaE!$H$9:$H$3032,0)))</f>
        <v>137164333333333.33</v>
      </c>
      <c r="R895" s="10">
        <f>IF($E895=Keys!$C$60,Keys!$C$51,INDEX(Raw_BFPIaE!$G$9:$G$3032,MATCH($A895&amp;Keys!$C$54&amp;Keys!$C$57&amp;Keys!$C$54&amp;$B895,Raw_BFPIaE!$H$9:$H$3032,0)))</f>
        <v>0</v>
      </c>
      <c r="S895" s="11">
        <f>IF(($P895+$Q895-$R895+MAX(Keys!$C$51,$R895-$Q895))&gt;Keys!$C$51,MIN(Keys!$C$52,MAX(Keys!$C$51,$R895-$Q895)/($P895+$Q895-$R895+MAX(Keys!$C$51,$R895-$Q895))),Keys!$C$51)</f>
        <v>0</v>
      </c>
      <c r="T895">
        <f>IF(AND($I895&gt;$H895,ABS($L895-$G895)&gt;MAX(Keys!$C$62,ABS($G895)*Keys!$C$63)),1,0)</f>
        <v>0</v>
      </c>
      <c r="U895">
        <f>IF(OR($N895&lt;Keys!$C$51,$N895&gt;Keys!$C$52),1,0)</f>
        <v>0</v>
      </c>
      <c r="V895">
        <f>IF(AND($E895=Keys!$C$60,$N895&lt;&gt;Keys!$C$51),1,0)</f>
        <v>0</v>
      </c>
      <c r="W895">
        <f>IF($L895&gt;Keys!$C$51,IF($K895/$L895&gt;Keys!$C$52,1,0),0)</f>
        <v>0</v>
      </c>
      <c r="X895" s="11">
        <f t="shared" si="55"/>
        <v>0</v>
      </c>
    </row>
    <row r="896" spans="1:24" x14ac:dyDescent="0.25">
      <c r="A896" t="s">
        <v>167</v>
      </c>
      <c r="B896" t="s">
        <v>91</v>
      </c>
      <c r="C896" t="str">
        <f>VLOOKUP($B896,Keys!$F$2:$I$22,2,FALSE)</f>
        <v>biofuel gasoline</v>
      </c>
      <c r="D896">
        <f>VLOOKUP($B896,Keys!$F$2:$I$22,3,FALSE)</f>
        <v>8.7213884000000005E-2</v>
      </c>
      <c r="E896" t="str">
        <f>VLOOKUP($B896,Keys!$F$2:$I$22,4,FALSE)</f>
        <v>rule</v>
      </c>
      <c r="F896" t="str">
        <f>$A896&amp;Keys!$C$54&amp;$B896</f>
        <v>VA|biofuel gasoline</v>
      </c>
      <c r="G896" s="10">
        <f>IF($E896=Keys!$C$60,Keys!$C$51,INDEX(Balanced_2025!$D$9:$D$3032,MATCH($A896&amp;Keys!$C$54&amp;Keys!$C$55&amp;Keys!$C$54&amp;$C896,Balanced_2025!$E$9:$E$3032,0)))</f>
        <v>0</v>
      </c>
      <c r="H896" s="10">
        <f>IF($E896=Keys!$C$60,Keys!$C$51,INDEX(Balanced_2025!$D$9:$D$3032,MATCH($A896&amp;Keys!$C$54&amp;Keys!$C$56&amp;Keys!$C$54&amp;$C896,Balanced_2025!$E$9:$E$3032,0)))</f>
        <v>30928600000000</v>
      </c>
      <c r="I896" s="10">
        <f>IF($E896=Keys!$C$60,Keys!$C$51,INDEX(Balanced_2025!$D$9:$D$3032,MATCH($A896&amp;Keys!$C$54&amp;Keys!$C$57&amp;Keys!$C$54&amp;$C896,Balanced_2025!$E$9:$E$3032,0)))</f>
        <v>0</v>
      </c>
      <c r="J896" s="10">
        <f t="shared" si="52"/>
        <v>30928600000000</v>
      </c>
      <c r="K896" s="10">
        <f>MAX(Keys!$C$51,$I896-$H896)</f>
        <v>0</v>
      </c>
      <c r="L896" s="10">
        <f t="shared" si="53"/>
        <v>30928600000000</v>
      </c>
      <c r="M896" s="11">
        <f>IF($L896&gt;Keys!$C$51,MIN(Keys!$C$52,$K896/$L896),Keys!$C$51)</f>
        <v>0</v>
      </c>
      <c r="N896" s="11">
        <f>IF($E896=Keys!$C$60,Keys!$C$51,IF($E896=Keys!$C$59,$D896,$M896))</f>
        <v>0</v>
      </c>
      <c r="O896">
        <f t="shared" si="54"/>
        <v>1</v>
      </c>
      <c r="P896" s="10">
        <f>IF($E896=Keys!$C$60,Keys!$C$51,INDEX(Raw_BFPIaE!$G$9:$G$3032,MATCH($A896&amp;Keys!$C$54&amp;Keys!$C$55&amp;Keys!$C$54&amp;$B896,Raw_BFPIaE!$H$9:$H$3032,0)))</f>
        <v>0</v>
      </c>
      <c r="Q896" s="10">
        <f>IF($E896=Keys!$C$60,Keys!$C$51,INDEX(Raw_BFPIaE!$G$9:$G$3032,MATCH($A896&amp;Keys!$C$54&amp;Keys!$C$56&amp;Keys!$C$54&amp;$B896,Raw_BFPIaE!$H$9:$H$3032,0)))</f>
        <v>19420800000000</v>
      </c>
      <c r="R896" s="10">
        <f>IF($E896=Keys!$C$60,Keys!$C$51,INDEX(Raw_BFPIaE!$G$9:$G$3032,MATCH($A896&amp;Keys!$C$54&amp;Keys!$C$57&amp;Keys!$C$54&amp;$B896,Raw_BFPIaE!$H$9:$H$3032,0)))</f>
        <v>0</v>
      </c>
      <c r="S896" s="11">
        <f>IF(($P896+$Q896-$R896+MAX(Keys!$C$51,$R896-$Q896))&gt;Keys!$C$51,MIN(Keys!$C$52,MAX(Keys!$C$51,$R896-$Q896)/($P896+$Q896-$R896+MAX(Keys!$C$51,$R896-$Q896))),Keys!$C$51)</f>
        <v>0</v>
      </c>
      <c r="T896">
        <f>IF(AND($I896&gt;$H896,ABS($L896-$G896)&gt;MAX(Keys!$C$62,ABS($G896)*Keys!$C$63)),1,0)</f>
        <v>0</v>
      </c>
      <c r="U896">
        <f>IF(OR($N896&lt;Keys!$C$51,$N896&gt;Keys!$C$52),1,0)</f>
        <v>0</v>
      </c>
      <c r="V896">
        <f>IF(AND($E896=Keys!$C$60,$N896&lt;&gt;Keys!$C$51),1,0)</f>
        <v>0</v>
      </c>
      <c r="W896">
        <f>IF($L896&gt;Keys!$C$51,IF($K896/$L896&gt;Keys!$C$52,1,0),0)</f>
        <v>0</v>
      </c>
      <c r="X896" s="11">
        <f t="shared" si="55"/>
        <v>0</v>
      </c>
    </row>
    <row r="897" spans="1:24" x14ac:dyDescent="0.25">
      <c r="A897" t="s">
        <v>167</v>
      </c>
      <c r="B897" t="s">
        <v>94</v>
      </c>
      <c r="C897" t="str">
        <f>VLOOKUP($B897,Keys!$F$2:$I$22,2,FALSE)</f>
        <v>biofuel diesel</v>
      </c>
      <c r="D897">
        <f>VLOOKUP($B897,Keys!$F$2:$I$22,3,FALSE)</f>
        <v>5.8642381E-2</v>
      </c>
      <c r="E897" t="str">
        <f>VLOOKUP($B897,Keys!$F$2:$I$22,4,FALSE)</f>
        <v>rule</v>
      </c>
      <c r="F897" t="str">
        <f>$A897&amp;Keys!$C$54&amp;$B897</f>
        <v>VA|biofuel diesel</v>
      </c>
      <c r="G897" s="10">
        <f>IF($E897=Keys!$C$60,Keys!$C$51,INDEX(Balanced_2025!$D$9:$D$3032,MATCH($A897&amp;Keys!$C$54&amp;Keys!$C$55&amp;Keys!$C$54&amp;$C897,Balanced_2025!$E$9:$E$3032,0)))</f>
        <v>339412000000</v>
      </c>
      <c r="H897" s="10">
        <f>IF($E897=Keys!$C$60,Keys!$C$51,INDEX(Balanced_2025!$D$9:$D$3032,MATCH($A897&amp;Keys!$C$54&amp;Keys!$C$56&amp;Keys!$C$54&amp;$C897,Balanced_2025!$E$9:$E$3032,0)))</f>
        <v>1002320000000</v>
      </c>
      <c r="I897" s="10">
        <f>IF($E897=Keys!$C$60,Keys!$C$51,INDEX(Balanced_2025!$D$9:$D$3032,MATCH($A897&amp;Keys!$C$54&amp;Keys!$C$57&amp;Keys!$C$54&amp;$C897,Balanced_2025!$E$9:$E$3032,0)))</f>
        <v>0</v>
      </c>
      <c r="J897" s="10">
        <f t="shared" si="52"/>
        <v>1341732000000</v>
      </c>
      <c r="K897" s="10">
        <f>MAX(Keys!$C$51,$I897-$H897)</f>
        <v>0</v>
      </c>
      <c r="L897" s="10">
        <f t="shared" si="53"/>
        <v>1341732000000</v>
      </c>
      <c r="M897" s="11">
        <f>IF($L897&gt;Keys!$C$51,MIN(Keys!$C$52,$K897/$L897),Keys!$C$51)</f>
        <v>0</v>
      </c>
      <c r="N897" s="11">
        <f>IF($E897=Keys!$C$60,Keys!$C$51,IF($E897=Keys!$C$59,$D897,$M897))</f>
        <v>0</v>
      </c>
      <c r="O897">
        <f t="shared" si="54"/>
        <v>1</v>
      </c>
      <c r="P897" s="10">
        <f>IF($E897=Keys!$C$60,Keys!$C$51,INDEX(Raw_BFPIaE!$G$9:$G$3032,MATCH($A897&amp;Keys!$C$54&amp;Keys!$C$55&amp;Keys!$C$54&amp;$B897,Raw_BFPIaE!$H$9:$H$3032,0)))</f>
        <v>360666333333.33331</v>
      </c>
      <c r="Q897" s="10">
        <f>IF($E897=Keys!$C$60,Keys!$C$51,INDEX(Raw_BFPIaE!$G$9:$G$3032,MATCH($A897&amp;Keys!$C$54&amp;Keys!$C$56&amp;Keys!$C$54&amp;$B897,Raw_BFPIaE!$H$9:$H$3032,0)))</f>
        <v>625938333333.33337</v>
      </c>
      <c r="R897" s="10">
        <f>IF($E897=Keys!$C$60,Keys!$C$51,INDEX(Raw_BFPIaE!$G$9:$G$3032,MATCH($A897&amp;Keys!$C$54&amp;Keys!$C$57&amp;Keys!$C$54&amp;$B897,Raw_BFPIaE!$H$9:$H$3032,0)))</f>
        <v>0</v>
      </c>
      <c r="S897" s="11">
        <f>IF(($P897+$Q897-$R897+MAX(Keys!$C$51,$R897-$Q897))&gt;Keys!$C$51,MIN(Keys!$C$52,MAX(Keys!$C$51,$R897-$Q897)/($P897+$Q897-$R897+MAX(Keys!$C$51,$R897-$Q897))),Keys!$C$51)</f>
        <v>0</v>
      </c>
      <c r="T897">
        <f>IF(AND($I897&gt;$H897,ABS($L897-$G897)&gt;MAX(Keys!$C$62,ABS($G897)*Keys!$C$63)),1,0)</f>
        <v>0</v>
      </c>
      <c r="U897">
        <f>IF(OR($N897&lt;Keys!$C$51,$N897&gt;Keys!$C$52),1,0)</f>
        <v>0</v>
      </c>
      <c r="V897">
        <f>IF(AND($E897=Keys!$C$60,$N897&lt;&gt;Keys!$C$51),1,0)</f>
        <v>0</v>
      </c>
      <c r="W897">
        <f>IF($L897&gt;Keys!$C$51,IF($K897/$L897&gt;Keys!$C$52,1,0),0)</f>
        <v>0</v>
      </c>
      <c r="X897" s="11">
        <f t="shared" si="55"/>
        <v>0</v>
      </c>
    </row>
    <row r="898" spans="1:24" x14ac:dyDescent="0.25">
      <c r="A898" t="s">
        <v>167</v>
      </c>
      <c r="B898" t="s">
        <v>97</v>
      </c>
      <c r="C898" t="str">
        <f>VLOOKUP($B898,Keys!$F$2:$I$22,2,FALSE)</f>
        <v>jet fuel or kerosene</v>
      </c>
      <c r="D898">
        <f>VLOOKUP($B898,Keys!$F$2:$I$22,3,FALSE)</f>
        <v>0.10155994</v>
      </c>
      <c r="E898" t="str">
        <f>VLOOKUP($B898,Keys!$F$2:$I$22,4,FALSE)</f>
        <v>rule</v>
      </c>
      <c r="F898" t="str">
        <f>$A898&amp;Keys!$C$54&amp;$B898</f>
        <v>VA|jet fuel or kerosene</v>
      </c>
      <c r="G898" s="10">
        <f>IF($E898=Keys!$C$60,Keys!$C$51,INDEX(Balanced_2025!$D$9:$D$3032,MATCH($A898&amp;Keys!$C$54&amp;Keys!$C$55&amp;Keys!$C$54&amp;$C898,Balanced_2025!$E$9:$E$3032,0)))</f>
        <v>0</v>
      </c>
      <c r="H898" s="10">
        <f>IF($E898=Keys!$C$60,Keys!$C$51,INDEX(Balanced_2025!$D$9:$D$3032,MATCH($A898&amp;Keys!$C$54&amp;Keys!$C$56&amp;Keys!$C$54&amp;$C898,Balanced_2025!$E$9:$E$3032,0)))</f>
        <v>114495000000000</v>
      </c>
      <c r="I898" s="10">
        <f>IF($E898=Keys!$C$60,Keys!$C$51,INDEX(Balanced_2025!$D$9:$D$3032,MATCH($A898&amp;Keys!$C$54&amp;Keys!$C$57&amp;Keys!$C$54&amp;$C898,Balanced_2025!$E$9:$E$3032,0)))</f>
        <v>0</v>
      </c>
      <c r="J898" s="10">
        <f t="shared" si="52"/>
        <v>114495000000000</v>
      </c>
      <c r="K898" s="10">
        <f>MAX(Keys!$C$51,$I898-$H898)</f>
        <v>0</v>
      </c>
      <c r="L898" s="10">
        <f t="shared" si="53"/>
        <v>114495000000000</v>
      </c>
      <c r="M898" s="11">
        <f>IF($L898&gt;Keys!$C$51,MIN(Keys!$C$52,$K898/$L898),Keys!$C$51)</f>
        <v>0</v>
      </c>
      <c r="N898" s="11">
        <f>IF($E898=Keys!$C$60,Keys!$C$51,IF($E898=Keys!$C$59,$D898,$M898))</f>
        <v>0</v>
      </c>
      <c r="O898">
        <f t="shared" si="54"/>
        <v>1</v>
      </c>
      <c r="P898" s="10">
        <f>IF($E898=Keys!$C$60,Keys!$C$51,INDEX(Raw_BFPIaE!$G$9:$G$3032,MATCH($A898&amp;Keys!$C$54&amp;Keys!$C$55&amp;Keys!$C$54&amp;$B898,Raw_BFPIaE!$H$9:$H$3032,0)))</f>
        <v>0</v>
      </c>
      <c r="Q898" s="10">
        <f>IF($E898=Keys!$C$60,Keys!$C$51,INDEX(Raw_BFPIaE!$G$9:$G$3032,MATCH($A898&amp;Keys!$C$54&amp;Keys!$C$56&amp;Keys!$C$54&amp;$B898,Raw_BFPIaE!$H$9:$H$3032,0)))</f>
        <v>77794333333333.328</v>
      </c>
      <c r="R898" s="10">
        <f>IF($E898=Keys!$C$60,Keys!$C$51,INDEX(Raw_BFPIaE!$G$9:$G$3032,MATCH($A898&amp;Keys!$C$54&amp;Keys!$C$57&amp;Keys!$C$54&amp;$B898,Raw_BFPIaE!$H$9:$H$3032,0)))</f>
        <v>0</v>
      </c>
      <c r="S898" s="11">
        <f>IF(($P898+$Q898-$R898+MAX(Keys!$C$51,$R898-$Q898))&gt;Keys!$C$51,MIN(Keys!$C$52,MAX(Keys!$C$51,$R898-$Q898)/($P898+$Q898-$R898+MAX(Keys!$C$51,$R898-$Q898))),Keys!$C$51)</f>
        <v>0</v>
      </c>
      <c r="T898">
        <f>IF(AND($I898&gt;$H898,ABS($L898-$G898)&gt;MAX(Keys!$C$62,ABS($G898)*Keys!$C$63)),1,0)</f>
        <v>0</v>
      </c>
      <c r="U898">
        <f>IF(OR($N898&lt;Keys!$C$51,$N898&gt;Keys!$C$52),1,0)</f>
        <v>0</v>
      </c>
      <c r="V898">
        <f>IF(AND($E898=Keys!$C$60,$N898&lt;&gt;Keys!$C$51),1,0)</f>
        <v>0</v>
      </c>
      <c r="W898">
        <f>IF($L898&gt;Keys!$C$51,IF($K898/$L898&gt;Keys!$C$52,1,0),0)</f>
        <v>0</v>
      </c>
      <c r="X898" s="11">
        <f t="shared" si="55"/>
        <v>0</v>
      </c>
    </row>
    <row r="899" spans="1:24" x14ac:dyDescent="0.25">
      <c r="A899" t="s">
        <v>167</v>
      </c>
      <c r="B899" t="s">
        <v>100</v>
      </c>
      <c r="C899">
        <f>VLOOKUP($B899,Keys!$F$2:$I$22,2,FALSE)</f>
        <v>0</v>
      </c>
      <c r="D899">
        <f>VLOOKUP($B899,Keys!$F$2:$I$22,3,FALSE)</f>
        <v>0</v>
      </c>
      <c r="E899" t="str">
        <f>VLOOKUP($B899,Keys!$F$2:$I$22,4,FALSE)</f>
        <v>zero</v>
      </c>
      <c r="F899" t="str">
        <f>$A899&amp;Keys!$C$54&amp;$B899</f>
        <v>VA|heat (not used in this variable)</v>
      </c>
      <c r="G899" s="10">
        <f>IF($E899=Keys!$C$60,Keys!$C$51,INDEX(Balanced_2025!$D$9:$D$3032,MATCH($A899&amp;Keys!$C$54&amp;Keys!$C$55&amp;Keys!$C$54&amp;$C899,Balanced_2025!$E$9:$E$3032,0)))</f>
        <v>0</v>
      </c>
      <c r="H899" s="10">
        <f>IF($E899=Keys!$C$60,Keys!$C$51,INDEX(Balanced_2025!$D$9:$D$3032,MATCH($A899&amp;Keys!$C$54&amp;Keys!$C$56&amp;Keys!$C$54&amp;$C899,Balanced_2025!$E$9:$E$3032,0)))</f>
        <v>0</v>
      </c>
      <c r="I899" s="10">
        <f>IF($E899=Keys!$C$60,Keys!$C$51,INDEX(Balanced_2025!$D$9:$D$3032,MATCH($A899&amp;Keys!$C$54&amp;Keys!$C$57&amp;Keys!$C$54&amp;$C899,Balanced_2025!$E$9:$E$3032,0)))</f>
        <v>0</v>
      </c>
      <c r="J899" s="10">
        <f t="shared" si="52"/>
        <v>0</v>
      </c>
      <c r="K899" s="10">
        <f>MAX(Keys!$C$51,$I899-$H899)</f>
        <v>0</v>
      </c>
      <c r="L899" s="10">
        <f t="shared" si="53"/>
        <v>0</v>
      </c>
      <c r="M899" s="11">
        <f>IF($L899&gt;Keys!$C$51,MIN(Keys!$C$52,$K899/$L899),Keys!$C$51)</f>
        <v>0</v>
      </c>
      <c r="N899" s="11">
        <f>IF($E899=Keys!$C$60,Keys!$C$51,IF($E899=Keys!$C$59,$D899,$M899))</f>
        <v>0</v>
      </c>
      <c r="O899">
        <f t="shared" si="54"/>
        <v>0</v>
      </c>
      <c r="P899" s="10">
        <f>IF($E899=Keys!$C$60,Keys!$C$51,INDEX(Raw_BFPIaE!$G$9:$G$3032,MATCH($A899&amp;Keys!$C$54&amp;Keys!$C$55&amp;Keys!$C$54&amp;$B899,Raw_BFPIaE!$H$9:$H$3032,0)))</f>
        <v>0</v>
      </c>
      <c r="Q899" s="10">
        <f>IF($E899=Keys!$C$60,Keys!$C$51,INDEX(Raw_BFPIaE!$G$9:$G$3032,MATCH($A899&amp;Keys!$C$54&amp;Keys!$C$56&amp;Keys!$C$54&amp;$B899,Raw_BFPIaE!$H$9:$H$3032,0)))</f>
        <v>0</v>
      </c>
      <c r="R899" s="10">
        <f>IF($E899=Keys!$C$60,Keys!$C$51,INDEX(Raw_BFPIaE!$G$9:$G$3032,MATCH($A899&amp;Keys!$C$54&amp;Keys!$C$57&amp;Keys!$C$54&amp;$B899,Raw_BFPIaE!$H$9:$H$3032,0)))</f>
        <v>0</v>
      </c>
      <c r="S899" s="11">
        <f>IF(($P899+$Q899-$R899+MAX(Keys!$C$51,$R899-$Q899))&gt;Keys!$C$51,MIN(Keys!$C$52,MAX(Keys!$C$51,$R899-$Q899)/($P899+$Q899-$R899+MAX(Keys!$C$51,$R899-$Q899))),Keys!$C$51)</f>
        <v>0</v>
      </c>
      <c r="T899">
        <f>IF(AND($I899&gt;$H899,ABS($L899-$G899)&gt;MAX(Keys!$C$62,ABS($G899)*Keys!$C$63)),1,0)</f>
        <v>0</v>
      </c>
      <c r="U899">
        <f>IF(OR($N899&lt;Keys!$C$51,$N899&gt;Keys!$C$52),1,0)</f>
        <v>0</v>
      </c>
      <c r="V899">
        <f>IF(AND($E899=Keys!$C$60,$N899&lt;&gt;Keys!$C$51),1,0)</f>
        <v>0</v>
      </c>
      <c r="W899">
        <f>IF($L899&gt;Keys!$C$51,IF($K899/$L899&gt;Keys!$C$52,1,0),0)</f>
        <v>0</v>
      </c>
      <c r="X899" s="11">
        <f t="shared" si="55"/>
        <v>0</v>
      </c>
    </row>
    <row r="900" spans="1:24" x14ac:dyDescent="0.25">
      <c r="A900" t="s">
        <v>167</v>
      </c>
      <c r="B900" t="s">
        <v>103</v>
      </c>
      <c r="C900">
        <f>VLOOKUP($B900,Keys!$F$2:$I$22,2,FALSE)</f>
        <v>0</v>
      </c>
      <c r="D900">
        <f>VLOOKUP($B900,Keys!$F$2:$I$22,3,FALSE)</f>
        <v>0</v>
      </c>
      <c r="E900" t="str">
        <f>VLOOKUP($B900,Keys!$F$2:$I$22,4,FALSE)</f>
        <v>zero</v>
      </c>
      <c r="F900" t="str">
        <f>$A900&amp;Keys!$C$54&amp;$B900</f>
        <v>VA|geothermal (is not a fuel)</v>
      </c>
      <c r="G900" s="10">
        <f>IF($E900=Keys!$C$60,Keys!$C$51,INDEX(Balanced_2025!$D$9:$D$3032,MATCH($A900&amp;Keys!$C$54&amp;Keys!$C$55&amp;Keys!$C$54&amp;$C900,Balanced_2025!$E$9:$E$3032,0)))</f>
        <v>0</v>
      </c>
      <c r="H900" s="10">
        <f>IF($E900=Keys!$C$60,Keys!$C$51,INDEX(Balanced_2025!$D$9:$D$3032,MATCH($A900&amp;Keys!$C$54&amp;Keys!$C$56&amp;Keys!$C$54&amp;$C900,Balanced_2025!$E$9:$E$3032,0)))</f>
        <v>0</v>
      </c>
      <c r="I900" s="10">
        <f>IF($E900=Keys!$C$60,Keys!$C$51,INDEX(Balanced_2025!$D$9:$D$3032,MATCH($A900&amp;Keys!$C$54&amp;Keys!$C$57&amp;Keys!$C$54&amp;$C900,Balanced_2025!$E$9:$E$3032,0)))</f>
        <v>0</v>
      </c>
      <c r="J900" s="10">
        <f t="shared" ref="J900:J963" si="56">$G900+$H900-$I900</f>
        <v>0</v>
      </c>
      <c r="K900" s="10">
        <f>MAX(Keys!$C$51,$I900-$H900)</f>
        <v>0</v>
      </c>
      <c r="L900" s="10">
        <f t="shared" ref="L900:L963" si="57">$K900+$J900</f>
        <v>0</v>
      </c>
      <c r="M900" s="11">
        <f>IF($L900&gt;Keys!$C$51,MIN(Keys!$C$52,$K900/$L900),Keys!$C$51)</f>
        <v>0</v>
      </c>
      <c r="N900" s="11">
        <f>IF($E900=Keys!$C$60,Keys!$C$51,IF($E900=Keys!$C$59,$D900,$M900))</f>
        <v>0</v>
      </c>
      <c r="O900">
        <f t="shared" ref="O900:O963" si="58">IF($N900&lt;&gt;$D900,1,0)</f>
        <v>0</v>
      </c>
      <c r="P900" s="10">
        <f>IF($E900=Keys!$C$60,Keys!$C$51,INDEX(Raw_BFPIaE!$G$9:$G$3032,MATCH($A900&amp;Keys!$C$54&amp;Keys!$C$55&amp;Keys!$C$54&amp;$B900,Raw_BFPIaE!$H$9:$H$3032,0)))</f>
        <v>0</v>
      </c>
      <c r="Q900" s="10">
        <f>IF($E900=Keys!$C$60,Keys!$C$51,INDEX(Raw_BFPIaE!$G$9:$G$3032,MATCH($A900&amp;Keys!$C$54&amp;Keys!$C$56&amp;Keys!$C$54&amp;$B900,Raw_BFPIaE!$H$9:$H$3032,0)))</f>
        <v>0</v>
      </c>
      <c r="R900" s="10">
        <f>IF($E900=Keys!$C$60,Keys!$C$51,INDEX(Raw_BFPIaE!$G$9:$G$3032,MATCH($A900&amp;Keys!$C$54&amp;Keys!$C$57&amp;Keys!$C$54&amp;$B900,Raw_BFPIaE!$H$9:$H$3032,0)))</f>
        <v>0</v>
      </c>
      <c r="S900" s="11">
        <f>IF(($P900+$Q900-$R900+MAX(Keys!$C$51,$R900-$Q900))&gt;Keys!$C$51,MIN(Keys!$C$52,MAX(Keys!$C$51,$R900-$Q900)/($P900+$Q900-$R900+MAX(Keys!$C$51,$R900-$Q900))),Keys!$C$51)</f>
        <v>0</v>
      </c>
      <c r="T900">
        <f>IF(AND($I900&gt;$H900,ABS($L900-$G900)&gt;MAX(Keys!$C$62,ABS($G900)*Keys!$C$63)),1,0)</f>
        <v>0</v>
      </c>
      <c r="U900">
        <f>IF(OR($N900&lt;Keys!$C$51,$N900&gt;Keys!$C$52),1,0)</f>
        <v>0</v>
      </c>
      <c r="V900">
        <f>IF(AND($E900=Keys!$C$60,$N900&lt;&gt;Keys!$C$51),1,0)</f>
        <v>0</v>
      </c>
      <c r="W900">
        <f>IF($L900&gt;Keys!$C$51,IF($K900/$L900&gt;Keys!$C$52,1,0),0)</f>
        <v>0</v>
      </c>
      <c r="X900" s="11">
        <f t="shared" ref="X900:X963" si="59">ABS($M900-$S900)</f>
        <v>0</v>
      </c>
    </row>
    <row r="901" spans="1:24" x14ac:dyDescent="0.25">
      <c r="A901" t="s">
        <v>167</v>
      </c>
      <c r="B901" t="s">
        <v>106</v>
      </c>
      <c r="C901" t="str">
        <f>VLOOKUP($B901,Keys!$F$2:$I$22,2,FALSE)</f>
        <v>lignite</v>
      </c>
      <c r="D901">
        <f>VLOOKUP($B901,Keys!$F$2:$I$22,3,FALSE)</f>
        <v>0</v>
      </c>
      <c r="E901" t="str">
        <f>VLOOKUP($B901,Keys!$F$2:$I$22,4,FALSE)</f>
        <v>rule</v>
      </c>
      <c r="F901" t="str">
        <f>$A901&amp;Keys!$C$54&amp;$B901</f>
        <v>VA|lignite</v>
      </c>
      <c r="G901" s="10">
        <f>IF($E901=Keys!$C$60,Keys!$C$51,INDEX(Balanced_2025!$D$9:$D$3032,MATCH($A901&amp;Keys!$C$54&amp;Keys!$C$55&amp;Keys!$C$54&amp;$C901,Balanced_2025!$E$9:$E$3032,0)))</f>
        <v>0</v>
      </c>
      <c r="H901" s="10">
        <f>IF($E901=Keys!$C$60,Keys!$C$51,INDEX(Balanced_2025!$D$9:$D$3032,MATCH($A901&amp;Keys!$C$54&amp;Keys!$C$56&amp;Keys!$C$54&amp;$C901,Balanced_2025!$E$9:$E$3032,0)))</f>
        <v>0</v>
      </c>
      <c r="I901" s="10">
        <f>IF($E901=Keys!$C$60,Keys!$C$51,INDEX(Balanced_2025!$D$9:$D$3032,MATCH($A901&amp;Keys!$C$54&amp;Keys!$C$57&amp;Keys!$C$54&amp;$C901,Balanced_2025!$E$9:$E$3032,0)))</f>
        <v>0</v>
      </c>
      <c r="J901" s="10">
        <f t="shared" si="56"/>
        <v>0</v>
      </c>
      <c r="K901" s="10">
        <f>MAX(Keys!$C$51,$I901-$H901)</f>
        <v>0</v>
      </c>
      <c r="L901" s="10">
        <f t="shared" si="57"/>
        <v>0</v>
      </c>
      <c r="M901" s="11">
        <f>IF($L901&gt;Keys!$C$51,MIN(Keys!$C$52,$K901/$L901),Keys!$C$51)</f>
        <v>0</v>
      </c>
      <c r="N901" s="11">
        <f>IF($E901=Keys!$C$60,Keys!$C$51,IF($E901=Keys!$C$59,$D901,$M901))</f>
        <v>0</v>
      </c>
      <c r="O901">
        <f t="shared" si="58"/>
        <v>0</v>
      </c>
      <c r="P901" s="10">
        <f>IF($E901=Keys!$C$60,Keys!$C$51,INDEX(Raw_BFPIaE!$G$9:$G$3032,MATCH($A901&amp;Keys!$C$54&amp;Keys!$C$55&amp;Keys!$C$54&amp;$B901,Raw_BFPIaE!$H$9:$H$3032,0)))</f>
        <v>0</v>
      </c>
      <c r="Q901" s="10">
        <f>IF($E901=Keys!$C$60,Keys!$C$51,INDEX(Raw_BFPIaE!$G$9:$G$3032,MATCH($A901&amp;Keys!$C$54&amp;Keys!$C$56&amp;Keys!$C$54&amp;$B901,Raw_BFPIaE!$H$9:$H$3032,0)))</f>
        <v>0</v>
      </c>
      <c r="R901" s="10">
        <f>IF($E901=Keys!$C$60,Keys!$C$51,INDEX(Raw_BFPIaE!$G$9:$G$3032,MATCH($A901&amp;Keys!$C$54&amp;Keys!$C$57&amp;Keys!$C$54&amp;$B901,Raw_BFPIaE!$H$9:$H$3032,0)))</f>
        <v>0</v>
      </c>
      <c r="S901" s="11">
        <f>IF(($P901+$Q901-$R901+MAX(Keys!$C$51,$R901-$Q901))&gt;Keys!$C$51,MIN(Keys!$C$52,MAX(Keys!$C$51,$R901-$Q901)/($P901+$Q901-$R901+MAX(Keys!$C$51,$R901-$Q901))),Keys!$C$51)</f>
        <v>0</v>
      </c>
      <c r="T901">
        <f>IF(AND($I901&gt;$H901,ABS($L901-$G901)&gt;MAX(Keys!$C$62,ABS($G901)*Keys!$C$63)),1,0)</f>
        <v>0</v>
      </c>
      <c r="U901">
        <f>IF(OR($N901&lt;Keys!$C$51,$N901&gt;Keys!$C$52),1,0)</f>
        <v>0</v>
      </c>
      <c r="V901">
        <f>IF(AND($E901=Keys!$C$60,$N901&lt;&gt;Keys!$C$51),1,0)</f>
        <v>0</v>
      </c>
      <c r="W901">
        <f>IF($L901&gt;Keys!$C$51,IF($K901/$L901&gt;Keys!$C$52,1,0),0)</f>
        <v>0</v>
      </c>
      <c r="X901" s="11">
        <f t="shared" si="59"/>
        <v>0</v>
      </c>
    </row>
    <row r="902" spans="1:24" x14ac:dyDescent="0.25">
      <c r="A902" t="s">
        <v>167</v>
      </c>
      <c r="B902" t="s">
        <v>109</v>
      </c>
      <c r="C902" t="str">
        <f>VLOOKUP($B902,Keys!$F$2:$I$22,2,FALSE)</f>
        <v>crude oil</v>
      </c>
      <c r="D902">
        <f>VLOOKUP($B902,Keys!$F$2:$I$22,3,FALSE)</f>
        <v>1</v>
      </c>
      <c r="E902" t="str">
        <f>VLOOKUP($B902,Keys!$F$2:$I$22,4,FALSE)</f>
        <v>hold</v>
      </c>
      <c r="F902" t="str">
        <f>$A902&amp;Keys!$C$54&amp;$B902</f>
        <v>VA|crude oil</v>
      </c>
      <c r="G902" s="10">
        <f>IF($E902=Keys!$C$60,Keys!$C$51,INDEX(Balanced_2025!$D$9:$D$3032,MATCH($A902&amp;Keys!$C$54&amp;Keys!$C$55&amp;Keys!$C$54&amp;$C902,Balanced_2025!$E$9:$E$3032,0)))</f>
        <v>29000000000</v>
      </c>
      <c r="H902" s="10">
        <f>IF($E902=Keys!$C$60,Keys!$C$51,INDEX(Balanced_2025!$D$9:$D$3032,MATCH($A902&amp;Keys!$C$54&amp;Keys!$C$56&amp;Keys!$C$54&amp;$C902,Balanced_2025!$E$9:$E$3032,0)))</f>
        <v>1320000000000</v>
      </c>
      <c r="I902" s="10">
        <f>IF($E902=Keys!$C$60,Keys!$C$51,INDEX(Balanced_2025!$D$9:$D$3032,MATCH($A902&amp;Keys!$C$54&amp;Keys!$C$57&amp;Keys!$C$54&amp;$C902,Balanced_2025!$E$9:$E$3032,0)))</f>
        <v>0</v>
      </c>
      <c r="J902" s="10">
        <f t="shared" si="56"/>
        <v>1349000000000</v>
      </c>
      <c r="K902" s="10">
        <f>MAX(Keys!$C$51,$I902-$H902)</f>
        <v>0</v>
      </c>
      <c r="L902" s="10">
        <f t="shared" si="57"/>
        <v>1349000000000</v>
      </c>
      <c r="M902" s="11">
        <f>IF($L902&gt;Keys!$C$51,MIN(Keys!$C$52,$K902/$L902),Keys!$C$51)</f>
        <v>0</v>
      </c>
      <c r="N902" s="11">
        <f>IF($E902=Keys!$C$60,Keys!$C$51,IF($E902=Keys!$C$59,$D902,$M902))</f>
        <v>1</v>
      </c>
      <c r="O902">
        <f t="shared" si="58"/>
        <v>0</v>
      </c>
      <c r="P902" s="10">
        <f>IF($E902=Keys!$C$60,Keys!$C$51,INDEX(Raw_BFPIaE!$G$9:$G$3032,MATCH($A902&amp;Keys!$C$54&amp;Keys!$C$55&amp;Keys!$C$54&amp;$B902,Raw_BFPIaE!$H$9:$H$3032,0)))</f>
        <v>28117500000</v>
      </c>
      <c r="Q902" s="10">
        <f>IF($E902=Keys!$C$60,Keys!$C$51,INDEX(Raw_BFPIaE!$G$9:$G$3032,MATCH($A902&amp;Keys!$C$54&amp;Keys!$C$56&amp;Keys!$C$54&amp;$B902,Raw_BFPIaE!$H$9:$H$3032,0)))</f>
        <v>880883333333.33337</v>
      </c>
      <c r="R902" s="10">
        <f>IF($E902=Keys!$C$60,Keys!$C$51,INDEX(Raw_BFPIaE!$G$9:$G$3032,MATCH($A902&amp;Keys!$C$54&amp;Keys!$C$57&amp;Keys!$C$54&amp;$B902,Raw_BFPIaE!$H$9:$H$3032,0)))</f>
        <v>0</v>
      </c>
      <c r="S902" s="11">
        <f>IF(($P902+$Q902-$R902+MAX(Keys!$C$51,$R902-$Q902))&gt;Keys!$C$51,MIN(Keys!$C$52,MAX(Keys!$C$51,$R902-$Q902)/($P902+$Q902-$R902+MAX(Keys!$C$51,$R902-$Q902))),Keys!$C$51)</f>
        <v>0</v>
      </c>
      <c r="T902">
        <f>IF(AND($I902&gt;$H902,ABS($L902-$G902)&gt;MAX(Keys!$C$62,ABS($G902)*Keys!$C$63)),1,0)</f>
        <v>0</v>
      </c>
      <c r="U902">
        <f>IF(OR($N902&lt;Keys!$C$51,$N902&gt;Keys!$C$52),1,0)</f>
        <v>0</v>
      </c>
      <c r="V902">
        <f>IF(AND($E902=Keys!$C$60,$N902&lt;&gt;Keys!$C$51),1,0)</f>
        <v>0</v>
      </c>
      <c r="W902">
        <f>IF($L902&gt;Keys!$C$51,IF($K902/$L902&gt;Keys!$C$52,1,0),0)</f>
        <v>0</v>
      </c>
      <c r="X902" s="11">
        <f t="shared" si="59"/>
        <v>0</v>
      </c>
    </row>
    <row r="903" spans="1:24" x14ac:dyDescent="0.25">
      <c r="A903" t="s">
        <v>167</v>
      </c>
      <c r="B903" t="s">
        <v>113</v>
      </c>
      <c r="C903" t="str">
        <f>VLOOKUP($B903,Keys!$F$2:$I$22,2,FALSE)</f>
        <v>heavy or residual fuel oil</v>
      </c>
      <c r="D903">
        <f>VLOOKUP($B903,Keys!$F$2:$I$22,3,FALSE)</f>
        <v>0.49914171099999999</v>
      </c>
      <c r="E903" t="str">
        <f>VLOOKUP($B903,Keys!$F$2:$I$22,4,FALSE)</f>
        <v>rule</v>
      </c>
      <c r="F903" t="str">
        <f>$A903&amp;Keys!$C$54&amp;$B903</f>
        <v>VA|heavy fuel oil</v>
      </c>
      <c r="G903" s="10">
        <f>IF($E903=Keys!$C$60,Keys!$C$51,INDEX(Balanced_2025!$D$9:$D$3032,MATCH($A903&amp;Keys!$C$54&amp;Keys!$C$55&amp;Keys!$C$54&amp;$C903,Balanced_2025!$E$9:$E$3032,0)))</f>
        <v>0</v>
      </c>
      <c r="H903" s="10">
        <f>IF($E903=Keys!$C$60,Keys!$C$51,INDEX(Balanced_2025!$D$9:$D$3032,MATCH($A903&amp;Keys!$C$54&amp;Keys!$C$56&amp;Keys!$C$54&amp;$C903,Balanced_2025!$E$9:$E$3032,0)))</f>
        <v>23061100000000</v>
      </c>
      <c r="I903" s="10">
        <f>IF($E903=Keys!$C$60,Keys!$C$51,INDEX(Balanced_2025!$D$9:$D$3032,MATCH($A903&amp;Keys!$C$54&amp;Keys!$C$57&amp;Keys!$C$54&amp;$C903,Balanced_2025!$E$9:$E$3032,0)))</f>
        <v>0</v>
      </c>
      <c r="J903" s="10">
        <f t="shared" si="56"/>
        <v>23061100000000</v>
      </c>
      <c r="K903" s="10">
        <f>MAX(Keys!$C$51,$I903-$H903)</f>
        <v>0</v>
      </c>
      <c r="L903" s="10">
        <f t="shared" si="57"/>
        <v>23061100000000</v>
      </c>
      <c r="M903" s="11">
        <f>IF($L903&gt;Keys!$C$51,MIN(Keys!$C$52,$K903/$L903),Keys!$C$51)</f>
        <v>0</v>
      </c>
      <c r="N903" s="11">
        <f>IF($E903=Keys!$C$60,Keys!$C$51,IF($E903=Keys!$C$59,$D903,$M903))</f>
        <v>0</v>
      </c>
      <c r="O903">
        <f t="shared" si="58"/>
        <v>1</v>
      </c>
      <c r="P903" s="10">
        <f>IF($E903=Keys!$C$60,Keys!$C$51,INDEX(Raw_BFPIaE!$G$9:$G$3032,MATCH($A903&amp;Keys!$C$54&amp;Keys!$C$55&amp;Keys!$C$54&amp;$B903,Raw_BFPIaE!$H$9:$H$3032,0)))</f>
        <v>0</v>
      </c>
      <c r="Q903" s="10">
        <f>IF($E903=Keys!$C$60,Keys!$C$51,INDEX(Raw_BFPIaE!$G$9:$G$3032,MATCH($A903&amp;Keys!$C$54&amp;Keys!$C$56&amp;Keys!$C$54&amp;$B903,Raw_BFPIaE!$H$9:$H$3032,0)))</f>
        <v>15558766666666.666</v>
      </c>
      <c r="R903" s="10">
        <f>IF($E903=Keys!$C$60,Keys!$C$51,INDEX(Raw_BFPIaE!$G$9:$G$3032,MATCH($A903&amp;Keys!$C$54&amp;Keys!$C$57&amp;Keys!$C$54&amp;$B903,Raw_BFPIaE!$H$9:$H$3032,0)))</f>
        <v>0</v>
      </c>
      <c r="S903" s="11">
        <f>IF(($P903+$Q903-$R903+MAX(Keys!$C$51,$R903-$Q903))&gt;Keys!$C$51,MIN(Keys!$C$52,MAX(Keys!$C$51,$R903-$Q903)/($P903+$Q903-$R903+MAX(Keys!$C$51,$R903-$Q903))),Keys!$C$51)</f>
        <v>0</v>
      </c>
      <c r="T903">
        <f>IF(AND($I903&gt;$H903,ABS($L903-$G903)&gt;MAX(Keys!$C$62,ABS($G903)*Keys!$C$63)),1,0)</f>
        <v>0</v>
      </c>
      <c r="U903">
        <f>IF(OR($N903&lt;Keys!$C$51,$N903&gt;Keys!$C$52),1,0)</f>
        <v>0</v>
      </c>
      <c r="V903">
        <f>IF(AND($E903=Keys!$C$60,$N903&lt;&gt;Keys!$C$51),1,0)</f>
        <v>0</v>
      </c>
      <c r="W903">
        <f>IF($L903&gt;Keys!$C$51,IF($K903/$L903&gt;Keys!$C$52,1,0),0)</f>
        <v>0</v>
      </c>
      <c r="X903" s="11">
        <f t="shared" si="59"/>
        <v>0</v>
      </c>
    </row>
    <row r="904" spans="1:24" x14ac:dyDescent="0.25">
      <c r="A904" t="s">
        <v>167</v>
      </c>
      <c r="B904" t="s">
        <v>117</v>
      </c>
      <c r="C904" t="str">
        <f>VLOOKUP($B904,Keys!$F$2:$I$22,2,FALSE)</f>
        <v>LPG propane or butane</v>
      </c>
      <c r="D904">
        <f>VLOOKUP($B904,Keys!$F$2:$I$22,3,FALSE)</f>
        <v>0.54955999499999997</v>
      </c>
      <c r="E904" t="str">
        <f>VLOOKUP($B904,Keys!$F$2:$I$22,4,FALSE)</f>
        <v>rule</v>
      </c>
      <c r="F904" t="str">
        <f>$A904&amp;Keys!$C$54&amp;$B904</f>
        <v>VA|LPG propane or butane</v>
      </c>
      <c r="G904" s="10">
        <f>IF($E904=Keys!$C$60,Keys!$C$51,INDEX(Balanced_2025!$D$9:$D$3032,MATCH($A904&amp;Keys!$C$54&amp;Keys!$C$55&amp;Keys!$C$54&amp;$C904,Balanced_2025!$E$9:$E$3032,0)))</f>
        <v>10252500000000</v>
      </c>
      <c r="H904" s="10">
        <f>IF($E904=Keys!$C$60,Keys!$C$51,INDEX(Balanced_2025!$D$9:$D$3032,MATCH($A904&amp;Keys!$C$54&amp;Keys!$C$56&amp;Keys!$C$54&amp;$C904,Balanced_2025!$E$9:$E$3032,0)))</f>
        <v>14927000000000</v>
      </c>
      <c r="I904" s="10">
        <f>IF($E904=Keys!$C$60,Keys!$C$51,INDEX(Balanced_2025!$D$9:$D$3032,MATCH($A904&amp;Keys!$C$54&amp;Keys!$C$57&amp;Keys!$C$54&amp;$C904,Balanced_2025!$E$9:$E$3032,0)))</f>
        <v>0</v>
      </c>
      <c r="J904" s="10">
        <f t="shared" si="56"/>
        <v>25179500000000</v>
      </c>
      <c r="K904" s="10">
        <f>MAX(Keys!$C$51,$I904-$H904)</f>
        <v>0</v>
      </c>
      <c r="L904" s="10">
        <f t="shared" si="57"/>
        <v>25179500000000</v>
      </c>
      <c r="M904" s="11">
        <f>IF($L904&gt;Keys!$C$51,MIN(Keys!$C$52,$K904/$L904),Keys!$C$51)</f>
        <v>0</v>
      </c>
      <c r="N904" s="11">
        <f>IF($E904=Keys!$C$60,Keys!$C$51,IF($E904=Keys!$C$59,$D904,$M904))</f>
        <v>0</v>
      </c>
      <c r="O904">
        <f t="shared" si="58"/>
        <v>1</v>
      </c>
      <c r="P904" s="10">
        <f>IF($E904=Keys!$C$60,Keys!$C$51,INDEX(Raw_BFPIaE!$G$9:$G$3032,MATCH($A904&amp;Keys!$C$54&amp;Keys!$C$55&amp;Keys!$C$54&amp;$B904,Raw_BFPIaE!$H$9:$H$3032,0)))</f>
        <v>10325066666666.666</v>
      </c>
      <c r="Q904" s="10">
        <f>IF($E904=Keys!$C$60,Keys!$C$51,INDEX(Raw_BFPIaE!$G$9:$G$3032,MATCH($A904&amp;Keys!$C$54&amp;Keys!$C$56&amp;Keys!$C$54&amp;$B904,Raw_BFPIaE!$H$9:$H$3032,0)))</f>
        <v>9782933333333.334</v>
      </c>
      <c r="R904" s="10">
        <f>IF($E904=Keys!$C$60,Keys!$C$51,INDEX(Raw_BFPIaE!$G$9:$G$3032,MATCH($A904&amp;Keys!$C$54&amp;Keys!$C$57&amp;Keys!$C$54&amp;$B904,Raw_BFPIaE!$H$9:$H$3032,0)))</f>
        <v>0</v>
      </c>
      <c r="S904" s="11">
        <f>IF(($P904+$Q904-$R904+MAX(Keys!$C$51,$R904-$Q904))&gt;Keys!$C$51,MIN(Keys!$C$52,MAX(Keys!$C$51,$R904-$Q904)/($P904+$Q904-$R904+MAX(Keys!$C$51,$R904-$Q904))),Keys!$C$51)</f>
        <v>0</v>
      </c>
      <c r="T904">
        <f>IF(AND($I904&gt;$H904,ABS($L904-$G904)&gt;MAX(Keys!$C$62,ABS($G904)*Keys!$C$63)),1,0)</f>
        <v>0</v>
      </c>
      <c r="U904">
        <f>IF(OR($N904&lt;Keys!$C$51,$N904&gt;Keys!$C$52),1,0)</f>
        <v>0</v>
      </c>
      <c r="V904">
        <f>IF(AND($E904=Keys!$C$60,$N904&lt;&gt;Keys!$C$51),1,0)</f>
        <v>0</v>
      </c>
      <c r="W904">
        <f>IF($L904&gt;Keys!$C$51,IF($K904/$L904&gt;Keys!$C$52,1,0),0)</f>
        <v>0</v>
      </c>
      <c r="X904" s="11">
        <f t="shared" si="59"/>
        <v>0</v>
      </c>
    </row>
    <row r="905" spans="1:24" x14ac:dyDescent="0.25">
      <c r="A905" t="s">
        <v>167</v>
      </c>
      <c r="B905" t="s">
        <v>120</v>
      </c>
      <c r="C905">
        <f>VLOOKUP($B905,Keys!$F$2:$I$22,2,FALSE)</f>
        <v>0</v>
      </c>
      <c r="D905">
        <f>VLOOKUP($B905,Keys!$F$2:$I$22,3,FALSE)</f>
        <v>0</v>
      </c>
      <c r="E905" t="str">
        <f>VLOOKUP($B905,Keys!$F$2:$I$22,4,FALSE)</f>
        <v>zero</v>
      </c>
      <c r="F905" t="str">
        <f>$A905&amp;Keys!$C$54&amp;$B905</f>
        <v>VA|municipal solid waste</v>
      </c>
      <c r="G905" s="10">
        <f>IF($E905=Keys!$C$60,Keys!$C$51,INDEX(Balanced_2025!$D$9:$D$3032,MATCH($A905&amp;Keys!$C$54&amp;Keys!$C$55&amp;Keys!$C$54&amp;$C905,Balanced_2025!$E$9:$E$3032,0)))</f>
        <v>0</v>
      </c>
      <c r="H905" s="10">
        <f>IF($E905=Keys!$C$60,Keys!$C$51,INDEX(Balanced_2025!$D$9:$D$3032,MATCH($A905&amp;Keys!$C$54&amp;Keys!$C$56&amp;Keys!$C$54&amp;$C905,Balanced_2025!$E$9:$E$3032,0)))</f>
        <v>0</v>
      </c>
      <c r="I905" s="10">
        <f>IF($E905=Keys!$C$60,Keys!$C$51,INDEX(Balanced_2025!$D$9:$D$3032,MATCH($A905&amp;Keys!$C$54&amp;Keys!$C$57&amp;Keys!$C$54&amp;$C905,Balanced_2025!$E$9:$E$3032,0)))</f>
        <v>0</v>
      </c>
      <c r="J905" s="10">
        <f t="shared" si="56"/>
        <v>0</v>
      </c>
      <c r="K905" s="10">
        <f>MAX(Keys!$C$51,$I905-$H905)</f>
        <v>0</v>
      </c>
      <c r="L905" s="10">
        <f t="shared" si="57"/>
        <v>0</v>
      </c>
      <c r="M905" s="11">
        <f>IF($L905&gt;Keys!$C$51,MIN(Keys!$C$52,$K905/$L905),Keys!$C$51)</f>
        <v>0</v>
      </c>
      <c r="N905" s="11">
        <f>IF($E905=Keys!$C$60,Keys!$C$51,IF($E905=Keys!$C$59,$D905,$M905))</f>
        <v>0</v>
      </c>
      <c r="O905">
        <f t="shared" si="58"/>
        <v>0</v>
      </c>
      <c r="P905" s="10">
        <f>IF($E905=Keys!$C$60,Keys!$C$51,INDEX(Raw_BFPIaE!$G$9:$G$3032,MATCH($A905&amp;Keys!$C$54&amp;Keys!$C$55&amp;Keys!$C$54&amp;$B905,Raw_BFPIaE!$H$9:$H$3032,0)))</f>
        <v>0</v>
      </c>
      <c r="Q905" s="10">
        <f>IF($E905=Keys!$C$60,Keys!$C$51,INDEX(Raw_BFPIaE!$G$9:$G$3032,MATCH($A905&amp;Keys!$C$54&amp;Keys!$C$56&amp;Keys!$C$54&amp;$B905,Raw_BFPIaE!$H$9:$H$3032,0)))</f>
        <v>0</v>
      </c>
      <c r="R905" s="10">
        <f>IF($E905=Keys!$C$60,Keys!$C$51,INDEX(Raw_BFPIaE!$G$9:$G$3032,MATCH($A905&amp;Keys!$C$54&amp;Keys!$C$57&amp;Keys!$C$54&amp;$B905,Raw_BFPIaE!$H$9:$H$3032,0)))</f>
        <v>0</v>
      </c>
      <c r="S905" s="11">
        <f>IF(($P905+$Q905-$R905+MAX(Keys!$C$51,$R905-$Q905))&gt;Keys!$C$51,MIN(Keys!$C$52,MAX(Keys!$C$51,$R905-$Q905)/($P905+$Q905-$R905+MAX(Keys!$C$51,$R905-$Q905))),Keys!$C$51)</f>
        <v>0</v>
      </c>
      <c r="T905">
        <f>IF(AND($I905&gt;$H905,ABS($L905-$G905)&gt;MAX(Keys!$C$62,ABS($G905)*Keys!$C$63)),1,0)</f>
        <v>0</v>
      </c>
      <c r="U905">
        <f>IF(OR($N905&lt;Keys!$C$51,$N905&gt;Keys!$C$52),1,0)</f>
        <v>0</v>
      </c>
      <c r="V905">
        <f>IF(AND($E905=Keys!$C$60,$N905&lt;&gt;Keys!$C$51),1,0)</f>
        <v>0</v>
      </c>
      <c r="W905">
        <f>IF($L905&gt;Keys!$C$51,IF($K905/$L905&gt;Keys!$C$52,1,0),0)</f>
        <v>0</v>
      </c>
      <c r="X905" s="11">
        <f t="shared" si="59"/>
        <v>0</v>
      </c>
    </row>
    <row r="906" spans="1:24" x14ac:dyDescent="0.25">
      <c r="A906" t="s">
        <v>167</v>
      </c>
      <c r="B906" t="s">
        <v>123</v>
      </c>
      <c r="C906">
        <f>VLOOKUP($B906,Keys!$F$2:$I$22,2,FALSE)</f>
        <v>0</v>
      </c>
      <c r="D906">
        <f>VLOOKUP($B906,Keys!$F$2:$I$22,3,FALSE)</f>
        <v>0</v>
      </c>
      <c r="E906" t="str">
        <f>VLOOKUP($B906,Keys!$F$2:$I$22,4,FALSE)</f>
        <v>zero</v>
      </c>
      <c r="F906" t="str">
        <f>$A906&amp;Keys!$C$54&amp;$B906</f>
        <v>VA|hydrogen</v>
      </c>
      <c r="G906" s="10">
        <f>IF($E906=Keys!$C$60,Keys!$C$51,INDEX(Balanced_2025!$D$9:$D$3032,MATCH($A906&amp;Keys!$C$54&amp;Keys!$C$55&amp;Keys!$C$54&amp;$C906,Balanced_2025!$E$9:$E$3032,0)))</f>
        <v>0</v>
      </c>
      <c r="H906" s="10">
        <f>IF($E906=Keys!$C$60,Keys!$C$51,INDEX(Balanced_2025!$D$9:$D$3032,MATCH($A906&amp;Keys!$C$54&amp;Keys!$C$56&amp;Keys!$C$54&amp;$C906,Balanced_2025!$E$9:$E$3032,0)))</f>
        <v>0</v>
      </c>
      <c r="I906" s="10">
        <f>IF($E906=Keys!$C$60,Keys!$C$51,INDEX(Balanced_2025!$D$9:$D$3032,MATCH($A906&amp;Keys!$C$54&amp;Keys!$C$57&amp;Keys!$C$54&amp;$C906,Balanced_2025!$E$9:$E$3032,0)))</f>
        <v>0</v>
      </c>
      <c r="J906" s="10">
        <f t="shared" si="56"/>
        <v>0</v>
      </c>
      <c r="K906" s="10">
        <f>MAX(Keys!$C$51,$I906-$H906)</f>
        <v>0</v>
      </c>
      <c r="L906" s="10">
        <f t="shared" si="57"/>
        <v>0</v>
      </c>
      <c r="M906" s="11">
        <f>IF($L906&gt;Keys!$C$51,MIN(Keys!$C$52,$K906/$L906),Keys!$C$51)</f>
        <v>0</v>
      </c>
      <c r="N906" s="11">
        <f>IF($E906=Keys!$C$60,Keys!$C$51,IF($E906=Keys!$C$59,$D906,$M906))</f>
        <v>0</v>
      </c>
      <c r="O906">
        <f t="shared" si="58"/>
        <v>0</v>
      </c>
      <c r="P906" s="10">
        <f>IF($E906=Keys!$C$60,Keys!$C$51,INDEX(Raw_BFPIaE!$G$9:$G$3032,MATCH($A906&amp;Keys!$C$54&amp;Keys!$C$55&amp;Keys!$C$54&amp;$B906,Raw_BFPIaE!$H$9:$H$3032,0)))</f>
        <v>0</v>
      </c>
      <c r="Q906" s="10">
        <f>IF($E906=Keys!$C$60,Keys!$C$51,INDEX(Raw_BFPIaE!$G$9:$G$3032,MATCH($A906&amp;Keys!$C$54&amp;Keys!$C$56&amp;Keys!$C$54&amp;$B906,Raw_BFPIaE!$H$9:$H$3032,0)))</f>
        <v>0</v>
      </c>
      <c r="R906" s="10">
        <f>IF($E906=Keys!$C$60,Keys!$C$51,INDEX(Raw_BFPIaE!$G$9:$G$3032,MATCH($A906&amp;Keys!$C$54&amp;Keys!$C$57&amp;Keys!$C$54&amp;$B906,Raw_BFPIaE!$H$9:$H$3032,0)))</f>
        <v>0</v>
      </c>
      <c r="S906" s="11">
        <f>IF(($P906+$Q906-$R906+MAX(Keys!$C$51,$R906-$Q906))&gt;Keys!$C$51,MIN(Keys!$C$52,MAX(Keys!$C$51,$R906-$Q906)/($P906+$Q906-$R906+MAX(Keys!$C$51,$R906-$Q906))),Keys!$C$51)</f>
        <v>0</v>
      </c>
      <c r="T906">
        <f>IF(AND($I906&gt;$H906,ABS($L906-$G906)&gt;MAX(Keys!$C$62,ABS($G906)*Keys!$C$63)),1,0)</f>
        <v>0</v>
      </c>
      <c r="U906">
        <f>IF(OR($N906&lt;Keys!$C$51,$N906&gt;Keys!$C$52),1,0)</f>
        <v>0</v>
      </c>
      <c r="V906">
        <f>IF(AND($E906=Keys!$C$60,$N906&lt;&gt;Keys!$C$51),1,0)</f>
        <v>0</v>
      </c>
      <c r="W906">
        <f>IF($L906&gt;Keys!$C$51,IF($K906/$L906&gt;Keys!$C$52,1,0),0)</f>
        <v>0</v>
      </c>
      <c r="X906" s="11">
        <f t="shared" si="59"/>
        <v>0</v>
      </c>
    </row>
    <row r="907" spans="1:24" x14ac:dyDescent="0.25">
      <c r="A907" t="s">
        <v>169</v>
      </c>
      <c r="B907" t="s">
        <v>60</v>
      </c>
      <c r="C907">
        <f>VLOOKUP($B907,Keys!$F$2:$I$22,2,FALSE)</f>
        <v>0</v>
      </c>
      <c r="D907">
        <f>VLOOKUP($B907,Keys!$F$2:$I$22,3,FALSE)</f>
        <v>0</v>
      </c>
      <c r="E907" t="str">
        <f>VLOOKUP($B907,Keys!$F$2:$I$22,4,FALSE)</f>
        <v>zero</v>
      </c>
      <c r="F907" t="str">
        <f>$A907&amp;Keys!$C$54&amp;$B907</f>
        <v>VT|electricity (not used in this variable)</v>
      </c>
      <c r="G907" s="10">
        <f>IF($E907=Keys!$C$60,Keys!$C$51,INDEX(Balanced_2025!$D$9:$D$3032,MATCH($A907&amp;Keys!$C$54&amp;Keys!$C$55&amp;Keys!$C$54&amp;$C907,Balanced_2025!$E$9:$E$3032,0)))</f>
        <v>0</v>
      </c>
      <c r="H907" s="10">
        <f>IF($E907=Keys!$C$60,Keys!$C$51,INDEX(Balanced_2025!$D$9:$D$3032,MATCH($A907&amp;Keys!$C$54&amp;Keys!$C$56&amp;Keys!$C$54&amp;$C907,Balanced_2025!$E$9:$E$3032,0)))</f>
        <v>0</v>
      </c>
      <c r="I907" s="10">
        <f>IF($E907=Keys!$C$60,Keys!$C$51,INDEX(Balanced_2025!$D$9:$D$3032,MATCH($A907&amp;Keys!$C$54&amp;Keys!$C$57&amp;Keys!$C$54&amp;$C907,Balanced_2025!$E$9:$E$3032,0)))</f>
        <v>0</v>
      </c>
      <c r="J907" s="10">
        <f t="shared" si="56"/>
        <v>0</v>
      </c>
      <c r="K907" s="10">
        <f>MAX(Keys!$C$51,$I907-$H907)</f>
        <v>0</v>
      </c>
      <c r="L907" s="10">
        <f t="shared" si="57"/>
        <v>0</v>
      </c>
      <c r="M907" s="11">
        <f>IF($L907&gt;Keys!$C$51,MIN(Keys!$C$52,$K907/$L907),Keys!$C$51)</f>
        <v>0</v>
      </c>
      <c r="N907" s="11">
        <f>IF($E907=Keys!$C$60,Keys!$C$51,IF($E907=Keys!$C$59,$D907,$M907))</f>
        <v>0</v>
      </c>
      <c r="O907">
        <f t="shared" si="58"/>
        <v>0</v>
      </c>
      <c r="P907" s="10">
        <f>IF($E907=Keys!$C$60,Keys!$C$51,INDEX(Raw_BFPIaE!$G$9:$G$3032,MATCH($A907&amp;Keys!$C$54&amp;Keys!$C$55&amp;Keys!$C$54&amp;$B907,Raw_BFPIaE!$H$9:$H$3032,0)))</f>
        <v>0</v>
      </c>
      <c r="Q907" s="10">
        <f>IF($E907=Keys!$C$60,Keys!$C$51,INDEX(Raw_BFPIaE!$G$9:$G$3032,MATCH($A907&amp;Keys!$C$54&amp;Keys!$C$56&amp;Keys!$C$54&amp;$B907,Raw_BFPIaE!$H$9:$H$3032,0)))</f>
        <v>0</v>
      </c>
      <c r="R907" s="10">
        <f>IF($E907=Keys!$C$60,Keys!$C$51,INDEX(Raw_BFPIaE!$G$9:$G$3032,MATCH($A907&amp;Keys!$C$54&amp;Keys!$C$57&amp;Keys!$C$54&amp;$B907,Raw_BFPIaE!$H$9:$H$3032,0)))</f>
        <v>0</v>
      </c>
      <c r="S907" s="11">
        <f>IF(($P907+$Q907-$R907+MAX(Keys!$C$51,$R907-$Q907))&gt;Keys!$C$51,MIN(Keys!$C$52,MAX(Keys!$C$51,$R907-$Q907)/($P907+$Q907-$R907+MAX(Keys!$C$51,$R907-$Q907))),Keys!$C$51)</f>
        <v>0</v>
      </c>
      <c r="T907">
        <f>IF(AND($I907&gt;$H907,ABS($L907-$G907)&gt;MAX(Keys!$C$62,ABS($G907)*Keys!$C$63)),1,0)</f>
        <v>0</v>
      </c>
      <c r="U907">
        <f>IF(OR($N907&lt;Keys!$C$51,$N907&gt;Keys!$C$52),1,0)</f>
        <v>0</v>
      </c>
      <c r="V907">
        <f>IF(AND($E907=Keys!$C$60,$N907&lt;&gt;Keys!$C$51),1,0)</f>
        <v>0</v>
      </c>
      <c r="W907">
        <f>IF($L907&gt;Keys!$C$51,IF($K907/$L907&gt;Keys!$C$52,1,0),0)</f>
        <v>0</v>
      </c>
      <c r="X907" s="11">
        <f t="shared" si="59"/>
        <v>0</v>
      </c>
    </row>
    <row r="908" spans="1:24" x14ac:dyDescent="0.25">
      <c r="A908" t="s">
        <v>169</v>
      </c>
      <c r="B908" t="s">
        <v>64</v>
      </c>
      <c r="C908" t="str">
        <f>VLOOKUP($B908,Keys!$F$2:$I$22,2,FALSE)</f>
        <v>hard coal</v>
      </c>
      <c r="D908">
        <f>VLOOKUP($B908,Keys!$F$2:$I$22,3,FALSE)</f>
        <v>0.137539879</v>
      </c>
      <c r="E908" t="str">
        <f>VLOOKUP($B908,Keys!$F$2:$I$22,4,FALSE)</f>
        <v>rule</v>
      </c>
      <c r="F908" t="str">
        <f>$A908&amp;Keys!$C$54&amp;$B908</f>
        <v>VT|hard coal</v>
      </c>
      <c r="G908" s="10">
        <f>IF($E908=Keys!$C$60,Keys!$C$51,INDEX(Balanced_2025!$D$9:$D$3032,MATCH($A908&amp;Keys!$C$54&amp;Keys!$C$55&amp;Keys!$C$54&amp;$C908,Balanced_2025!$E$9:$E$3032,0)))</f>
        <v>0</v>
      </c>
      <c r="H908" s="10">
        <f>IF($E908=Keys!$C$60,Keys!$C$51,INDEX(Balanced_2025!$D$9:$D$3032,MATCH($A908&amp;Keys!$C$54&amp;Keys!$C$56&amp;Keys!$C$54&amp;$C908,Balanced_2025!$E$9:$E$3032,0)))</f>
        <v>0</v>
      </c>
      <c r="I908" s="10">
        <f>IF($E908=Keys!$C$60,Keys!$C$51,INDEX(Balanced_2025!$D$9:$D$3032,MATCH($A908&amp;Keys!$C$54&amp;Keys!$C$57&amp;Keys!$C$54&amp;$C908,Balanced_2025!$E$9:$E$3032,0)))</f>
        <v>0</v>
      </c>
      <c r="J908" s="10">
        <f t="shared" si="56"/>
        <v>0</v>
      </c>
      <c r="K908" s="10">
        <f>MAX(Keys!$C$51,$I908-$H908)</f>
        <v>0</v>
      </c>
      <c r="L908" s="10">
        <f t="shared" si="57"/>
        <v>0</v>
      </c>
      <c r="M908" s="11">
        <f>IF($L908&gt;Keys!$C$51,MIN(Keys!$C$52,$K908/$L908),Keys!$C$51)</f>
        <v>0</v>
      </c>
      <c r="N908" s="11">
        <f>IF($E908=Keys!$C$60,Keys!$C$51,IF($E908=Keys!$C$59,$D908,$M908))</f>
        <v>0</v>
      </c>
      <c r="O908">
        <f t="shared" si="58"/>
        <v>1</v>
      </c>
      <c r="P908" s="10">
        <f>IF($E908=Keys!$C$60,Keys!$C$51,INDEX(Raw_BFPIaE!$G$9:$G$3032,MATCH($A908&amp;Keys!$C$54&amp;Keys!$C$55&amp;Keys!$C$54&amp;$B908,Raw_BFPIaE!$H$9:$H$3032,0)))</f>
        <v>0</v>
      </c>
      <c r="Q908" s="10">
        <f>IF($E908=Keys!$C$60,Keys!$C$51,INDEX(Raw_BFPIaE!$G$9:$G$3032,MATCH($A908&amp;Keys!$C$54&amp;Keys!$C$56&amp;Keys!$C$54&amp;$B908,Raw_BFPIaE!$H$9:$H$3032,0)))</f>
        <v>0</v>
      </c>
      <c r="R908" s="10">
        <f>IF($E908=Keys!$C$60,Keys!$C$51,INDEX(Raw_BFPIaE!$G$9:$G$3032,MATCH($A908&amp;Keys!$C$54&amp;Keys!$C$57&amp;Keys!$C$54&amp;$B908,Raw_BFPIaE!$H$9:$H$3032,0)))</f>
        <v>0</v>
      </c>
      <c r="S908" s="11">
        <f>IF(($P908+$Q908-$R908+MAX(Keys!$C$51,$R908-$Q908))&gt;Keys!$C$51,MIN(Keys!$C$52,MAX(Keys!$C$51,$R908-$Q908)/($P908+$Q908-$R908+MAX(Keys!$C$51,$R908-$Q908))),Keys!$C$51)</f>
        <v>0</v>
      </c>
      <c r="T908">
        <f>IF(AND($I908&gt;$H908,ABS($L908-$G908)&gt;MAX(Keys!$C$62,ABS($G908)*Keys!$C$63)),1,0)</f>
        <v>0</v>
      </c>
      <c r="U908">
        <f>IF(OR($N908&lt;Keys!$C$51,$N908&gt;Keys!$C$52),1,0)</f>
        <v>0</v>
      </c>
      <c r="V908">
        <f>IF(AND($E908=Keys!$C$60,$N908&lt;&gt;Keys!$C$51),1,0)</f>
        <v>0</v>
      </c>
      <c r="W908">
        <f>IF($L908&gt;Keys!$C$51,IF($K908/$L908&gt;Keys!$C$52,1,0),0)</f>
        <v>0</v>
      </c>
      <c r="X908" s="11">
        <f t="shared" si="59"/>
        <v>0</v>
      </c>
    </row>
    <row r="909" spans="1:24" x14ac:dyDescent="0.25">
      <c r="A909" t="s">
        <v>169</v>
      </c>
      <c r="B909" t="s">
        <v>68</v>
      </c>
      <c r="C909" t="str">
        <f>VLOOKUP($B909,Keys!$F$2:$I$22,2,FALSE)</f>
        <v>natural gas</v>
      </c>
      <c r="D909">
        <f>VLOOKUP($B909,Keys!$F$2:$I$22,3,FALSE)</f>
        <v>0.190839183</v>
      </c>
      <c r="E909" t="str">
        <f>VLOOKUP($B909,Keys!$F$2:$I$22,4,FALSE)</f>
        <v>rule</v>
      </c>
      <c r="F909" t="str">
        <f>$A909&amp;Keys!$C$54&amp;$B909</f>
        <v>VT|natural gas</v>
      </c>
      <c r="G909" s="10">
        <f>IF($E909=Keys!$C$60,Keys!$C$51,INDEX(Balanced_2025!$D$9:$D$3032,MATCH($A909&amp;Keys!$C$54&amp;Keys!$C$55&amp;Keys!$C$54&amp;$C909,Balanced_2025!$E$9:$E$3032,0)))</f>
        <v>0</v>
      </c>
      <c r="H909" s="10">
        <f>IF($E909=Keys!$C$60,Keys!$C$51,INDEX(Balanced_2025!$D$9:$D$3032,MATCH($A909&amp;Keys!$C$54&amp;Keys!$C$56&amp;Keys!$C$54&amp;$C909,Balanced_2025!$E$9:$E$3032,0)))</f>
        <v>170115000000000</v>
      </c>
      <c r="I909" s="10">
        <f>IF($E909=Keys!$C$60,Keys!$C$51,INDEX(Balanced_2025!$D$9:$D$3032,MATCH($A909&amp;Keys!$C$54&amp;Keys!$C$57&amp;Keys!$C$54&amp;$C909,Balanced_2025!$E$9:$E$3032,0)))</f>
        <v>157126000000000</v>
      </c>
      <c r="J909" s="10">
        <f t="shared" si="56"/>
        <v>12989000000000</v>
      </c>
      <c r="K909" s="10">
        <f>MAX(Keys!$C$51,$I909-$H909)</f>
        <v>0</v>
      </c>
      <c r="L909" s="10">
        <f t="shared" si="57"/>
        <v>12989000000000</v>
      </c>
      <c r="M909" s="11">
        <f>IF($L909&gt;Keys!$C$51,MIN(Keys!$C$52,$K909/$L909),Keys!$C$51)</f>
        <v>0</v>
      </c>
      <c r="N909" s="11">
        <f>IF($E909=Keys!$C$60,Keys!$C$51,IF($E909=Keys!$C$59,$D909,$M909))</f>
        <v>0</v>
      </c>
      <c r="O909">
        <f t="shared" si="58"/>
        <v>1</v>
      </c>
      <c r="P909" s="10">
        <f>IF($E909=Keys!$C$60,Keys!$C$51,INDEX(Raw_BFPIaE!$G$9:$G$3032,MATCH($A909&amp;Keys!$C$54&amp;Keys!$C$55&amp;Keys!$C$54&amp;$B909,Raw_BFPIaE!$H$9:$H$3032,0)))</f>
        <v>0</v>
      </c>
      <c r="Q909" s="10">
        <f>IF($E909=Keys!$C$60,Keys!$C$51,INDEX(Raw_BFPIaE!$G$9:$G$3032,MATCH($A909&amp;Keys!$C$54&amp;Keys!$C$56&amp;Keys!$C$54&amp;$B909,Raw_BFPIaE!$H$9:$H$3032,0)))</f>
        <v>170275666666666.66</v>
      </c>
      <c r="R909" s="10">
        <f>IF($E909=Keys!$C$60,Keys!$C$51,INDEX(Raw_BFPIaE!$G$9:$G$3032,MATCH($A909&amp;Keys!$C$54&amp;Keys!$C$57&amp;Keys!$C$54&amp;$B909,Raw_BFPIaE!$H$9:$H$3032,0)))</f>
        <v>157288666666666.66</v>
      </c>
      <c r="S909" s="11">
        <f>IF(($P909+$Q909-$R909+MAX(Keys!$C$51,$R909-$Q909))&gt;Keys!$C$51,MIN(Keys!$C$52,MAX(Keys!$C$51,$R909-$Q909)/($P909+$Q909-$R909+MAX(Keys!$C$51,$R909-$Q909))),Keys!$C$51)</f>
        <v>0</v>
      </c>
      <c r="T909">
        <f>IF(AND($I909&gt;$H909,ABS($L909-$G909)&gt;MAX(Keys!$C$62,ABS($G909)*Keys!$C$63)),1,0)</f>
        <v>0</v>
      </c>
      <c r="U909">
        <f>IF(OR($N909&lt;Keys!$C$51,$N909&gt;Keys!$C$52),1,0)</f>
        <v>0</v>
      </c>
      <c r="V909">
        <f>IF(AND($E909=Keys!$C$60,$N909&lt;&gt;Keys!$C$51),1,0)</f>
        <v>0</v>
      </c>
      <c r="W909">
        <f>IF($L909&gt;Keys!$C$51,IF($K909/$L909&gt;Keys!$C$52,1,0),0)</f>
        <v>0</v>
      </c>
      <c r="X909" s="11">
        <f t="shared" si="59"/>
        <v>0</v>
      </c>
    </row>
    <row r="910" spans="1:24" x14ac:dyDescent="0.25">
      <c r="A910" t="s">
        <v>169</v>
      </c>
      <c r="B910" t="s">
        <v>71</v>
      </c>
      <c r="C910">
        <f>VLOOKUP($B910,Keys!$F$2:$I$22,2,FALSE)</f>
        <v>0</v>
      </c>
      <c r="D910">
        <f>VLOOKUP($B910,Keys!$F$2:$I$22,3,FALSE)</f>
        <v>0</v>
      </c>
      <c r="E910" t="str">
        <f>VLOOKUP($B910,Keys!$F$2:$I$22,4,FALSE)</f>
        <v>zero</v>
      </c>
      <c r="F910" t="str">
        <f>$A910&amp;Keys!$C$54&amp;$B910</f>
        <v>VT|nuclear</v>
      </c>
      <c r="G910" s="10">
        <f>IF($E910=Keys!$C$60,Keys!$C$51,INDEX(Balanced_2025!$D$9:$D$3032,MATCH($A910&amp;Keys!$C$54&amp;Keys!$C$55&amp;Keys!$C$54&amp;$C910,Balanced_2025!$E$9:$E$3032,0)))</f>
        <v>0</v>
      </c>
      <c r="H910" s="10">
        <f>IF($E910=Keys!$C$60,Keys!$C$51,INDEX(Balanced_2025!$D$9:$D$3032,MATCH($A910&amp;Keys!$C$54&amp;Keys!$C$56&amp;Keys!$C$54&amp;$C910,Balanced_2025!$E$9:$E$3032,0)))</f>
        <v>0</v>
      </c>
      <c r="I910" s="10">
        <f>IF($E910=Keys!$C$60,Keys!$C$51,INDEX(Balanced_2025!$D$9:$D$3032,MATCH($A910&amp;Keys!$C$54&amp;Keys!$C$57&amp;Keys!$C$54&amp;$C910,Balanced_2025!$E$9:$E$3032,0)))</f>
        <v>0</v>
      </c>
      <c r="J910" s="10">
        <f t="shared" si="56"/>
        <v>0</v>
      </c>
      <c r="K910" s="10">
        <f>MAX(Keys!$C$51,$I910-$H910)</f>
        <v>0</v>
      </c>
      <c r="L910" s="10">
        <f t="shared" si="57"/>
        <v>0</v>
      </c>
      <c r="M910" s="11">
        <f>IF($L910&gt;Keys!$C$51,MIN(Keys!$C$52,$K910/$L910),Keys!$C$51)</f>
        <v>0</v>
      </c>
      <c r="N910" s="11">
        <f>IF($E910=Keys!$C$60,Keys!$C$51,IF($E910=Keys!$C$59,$D910,$M910))</f>
        <v>0</v>
      </c>
      <c r="O910">
        <f t="shared" si="58"/>
        <v>0</v>
      </c>
      <c r="P910" s="10">
        <f>IF($E910=Keys!$C$60,Keys!$C$51,INDEX(Raw_BFPIaE!$G$9:$G$3032,MATCH($A910&amp;Keys!$C$54&amp;Keys!$C$55&amp;Keys!$C$54&amp;$B910,Raw_BFPIaE!$H$9:$H$3032,0)))</f>
        <v>0</v>
      </c>
      <c r="Q910" s="10">
        <f>IF($E910=Keys!$C$60,Keys!$C$51,INDEX(Raw_BFPIaE!$G$9:$G$3032,MATCH($A910&amp;Keys!$C$54&amp;Keys!$C$56&amp;Keys!$C$54&amp;$B910,Raw_BFPIaE!$H$9:$H$3032,0)))</f>
        <v>0</v>
      </c>
      <c r="R910" s="10">
        <f>IF($E910=Keys!$C$60,Keys!$C$51,INDEX(Raw_BFPIaE!$G$9:$G$3032,MATCH($A910&amp;Keys!$C$54&amp;Keys!$C$57&amp;Keys!$C$54&amp;$B910,Raw_BFPIaE!$H$9:$H$3032,0)))</f>
        <v>0</v>
      </c>
      <c r="S910" s="11">
        <f>IF(($P910+$Q910-$R910+MAX(Keys!$C$51,$R910-$Q910))&gt;Keys!$C$51,MIN(Keys!$C$52,MAX(Keys!$C$51,$R910-$Q910)/($P910+$Q910-$R910+MAX(Keys!$C$51,$R910-$Q910))),Keys!$C$51)</f>
        <v>0</v>
      </c>
      <c r="T910">
        <f>IF(AND($I910&gt;$H910,ABS($L910-$G910)&gt;MAX(Keys!$C$62,ABS($G910)*Keys!$C$63)),1,0)</f>
        <v>0</v>
      </c>
      <c r="U910">
        <f>IF(OR($N910&lt;Keys!$C$51,$N910&gt;Keys!$C$52),1,0)</f>
        <v>0</v>
      </c>
      <c r="V910">
        <f>IF(AND($E910=Keys!$C$60,$N910&lt;&gt;Keys!$C$51),1,0)</f>
        <v>0</v>
      </c>
      <c r="W910">
        <f>IF($L910&gt;Keys!$C$51,IF($K910/$L910&gt;Keys!$C$52,1,0),0)</f>
        <v>0</v>
      </c>
      <c r="X910" s="11">
        <f t="shared" si="59"/>
        <v>0</v>
      </c>
    </row>
    <row r="911" spans="1:24" x14ac:dyDescent="0.25">
      <c r="A911" t="s">
        <v>169</v>
      </c>
      <c r="B911" t="s">
        <v>74</v>
      </c>
      <c r="C911">
        <f>VLOOKUP($B911,Keys!$F$2:$I$22,2,FALSE)</f>
        <v>0</v>
      </c>
      <c r="D911">
        <f>VLOOKUP($B911,Keys!$F$2:$I$22,3,FALSE)</f>
        <v>0</v>
      </c>
      <c r="E911" t="str">
        <f>VLOOKUP($B911,Keys!$F$2:$I$22,4,FALSE)</f>
        <v>zero</v>
      </c>
      <c r="F911" t="str">
        <f>$A911&amp;Keys!$C$54&amp;$B911</f>
        <v>VT|hydro (is not a fuel)</v>
      </c>
      <c r="G911" s="10">
        <f>IF($E911=Keys!$C$60,Keys!$C$51,INDEX(Balanced_2025!$D$9:$D$3032,MATCH($A911&amp;Keys!$C$54&amp;Keys!$C$55&amp;Keys!$C$54&amp;$C911,Balanced_2025!$E$9:$E$3032,0)))</f>
        <v>0</v>
      </c>
      <c r="H911" s="10">
        <f>IF($E911=Keys!$C$60,Keys!$C$51,INDEX(Balanced_2025!$D$9:$D$3032,MATCH($A911&amp;Keys!$C$54&amp;Keys!$C$56&amp;Keys!$C$54&amp;$C911,Balanced_2025!$E$9:$E$3032,0)))</f>
        <v>0</v>
      </c>
      <c r="I911" s="10">
        <f>IF($E911=Keys!$C$60,Keys!$C$51,INDEX(Balanced_2025!$D$9:$D$3032,MATCH($A911&amp;Keys!$C$54&amp;Keys!$C$57&amp;Keys!$C$54&amp;$C911,Balanced_2025!$E$9:$E$3032,0)))</f>
        <v>0</v>
      </c>
      <c r="J911" s="10">
        <f t="shared" si="56"/>
        <v>0</v>
      </c>
      <c r="K911" s="10">
        <f>MAX(Keys!$C$51,$I911-$H911)</f>
        <v>0</v>
      </c>
      <c r="L911" s="10">
        <f t="shared" si="57"/>
        <v>0</v>
      </c>
      <c r="M911" s="11">
        <f>IF($L911&gt;Keys!$C$51,MIN(Keys!$C$52,$K911/$L911),Keys!$C$51)</f>
        <v>0</v>
      </c>
      <c r="N911" s="11">
        <f>IF($E911=Keys!$C$60,Keys!$C$51,IF($E911=Keys!$C$59,$D911,$M911))</f>
        <v>0</v>
      </c>
      <c r="O911">
        <f t="shared" si="58"/>
        <v>0</v>
      </c>
      <c r="P911" s="10">
        <f>IF($E911=Keys!$C$60,Keys!$C$51,INDEX(Raw_BFPIaE!$G$9:$G$3032,MATCH($A911&amp;Keys!$C$54&amp;Keys!$C$55&amp;Keys!$C$54&amp;$B911,Raw_BFPIaE!$H$9:$H$3032,0)))</f>
        <v>0</v>
      </c>
      <c r="Q911" s="10">
        <f>IF($E911=Keys!$C$60,Keys!$C$51,INDEX(Raw_BFPIaE!$G$9:$G$3032,MATCH($A911&amp;Keys!$C$54&amp;Keys!$C$56&amp;Keys!$C$54&amp;$B911,Raw_BFPIaE!$H$9:$H$3032,0)))</f>
        <v>0</v>
      </c>
      <c r="R911" s="10">
        <f>IF($E911=Keys!$C$60,Keys!$C$51,INDEX(Raw_BFPIaE!$G$9:$G$3032,MATCH($A911&amp;Keys!$C$54&amp;Keys!$C$57&amp;Keys!$C$54&amp;$B911,Raw_BFPIaE!$H$9:$H$3032,0)))</f>
        <v>0</v>
      </c>
      <c r="S911" s="11">
        <f>IF(($P911+$Q911-$R911+MAX(Keys!$C$51,$R911-$Q911))&gt;Keys!$C$51,MIN(Keys!$C$52,MAX(Keys!$C$51,$R911-$Q911)/($P911+$Q911-$R911+MAX(Keys!$C$51,$R911-$Q911))),Keys!$C$51)</f>
        <v>0</v>
      </c>
      <c r="T911">
        <f>IF(AND($I911&gt;$H911,ABS($L911-$G911)&gt;MAX(Keys!$C$62,ABS($G911)*Keys!$C$63)),1,0)</f>
        <v>0</v>
      </c>
      <c r="U911">
        <f>IF(OR($N911&lt;Keys!$C$51,$N911&gt;Keys!$C$52),1,0)</f>
        <v>0</v>
      </c>
      <c r="V911">
        <f>IF(AND($E911=Keys!$C$60,$N911&lt;&gt;Keys!$C$51),1,0)</f>
        <v>0</v>
      </c>
      <c r="W911">
        <f>IF($L911&gt;Keys!$C$51,IF($K911/$L911&gt;Keys!$C$52,1,0),0)</f>
        <v>0</v>
      </c>
      <c r="X911" s="11">
        <f t="shared" si="59"/>
        <v>0</v>
      </c>
    </row>
    <row r="912" spans="1:24" x14ac:dyDescent="0.25">
      <c r="A912" t="s">
        <v>169</v>
      </c>
      <c r="B912" t="s">
        <v>77</v>
      </c>
      <c r="C912">
        <f>VLOOKUP($B912,Keys!$F$2:$I$22,2,FALSE)</f>
        <v>0</v>
      </c>
      <c r="D912">
        <f>VLOOKUP($B912,Keys!$F$2:$I$22,3,FALSE)</f>
        <v>0</v>
      </c>
      <c r="E912" t="str">
        <f>VLOOKUP($B912,Keys!$F$2:$I$22,4,FALSE)</f>
        <v>zero</v>
      </c>
      <c r="F912" t="str">
        <f>$A912&amp;Keys!$C$54&amp;$B912</f>
        <v>VT|wind (is not a fuel)</v>
      </c>
      <c r="G912" s="10">
        <f>IF($E912=Keys!$C$60,Keys!$C$51,INDEX(Balanced_2025!$D$9:$D$3032,MATCH($A912&amp;Keys!$C$54&amp;Keys!$C$55&amp;Keys!$C$54&amp;$C912,Balanced_2025!$E$9:$E$3032,0)))</f>
        <v>0</v>
      </c>
      <c r="H912" s="10">
        <f>IF($E912=Keys!$C$60,Keys!$C$51,INDEX(Balanced_2025!$D$9:$D$3032,MATCH($A912&amp;Keys!$C$54&amp;Keys!$C$56&amp;Keys!$C$54&amp;$C912,Balanced_2025!$E$9:$E$3032,0)))</f>
        <v>0</v>
      </c>
      <c r="I912" s="10">
        <f>IF($E912=Keys!$C$60,Keys!$C$51,INDEX(Balanced_2025!$D$9:$D$3032,MATCH($A912&amp;Keys!$C$54&amp;Keys!$C$57&amp;Keys!$C$54&amp;$C912,Balanced_2025!$E$9:$E$3032,0)))</f>
        <v>0</v>
      </c>
      <c r="J912" s="10">
        <f t="shared" si="56"/>
        <v>0</v>
      </c>
      <c r="K912" s="10">
        <f>MAX(Keys!$C$51,$I912-$H912)</f>
        <v>0</v>
      </c>
      <c r="L912" s="10">
        <f t="shared" si="57"/>
        <v>0</v>
      </c>
      <c r="M912" s="11">
        <f>IF($L912&gt;Keys!$C$51,MIN(Keys!$C$52,$K912/$L912),Keys!$C$51)</f>
        <v>0</v>
      </c>
      <c r="N912" s="11">
        <f>IF($E912=Keys!$C$60,Keys!$C$51,IF($E912=Keys!$C$59,$D912,$M912))</f>
        <v>0</v>
      </c>
      <c r="O912">
        <f t="shared" si="58"/>
        <v>0</v>
      </c>
      <c r="P912" s="10">
        <f>IF($E912=Keys!$C$60,Keys!$C$51,INDEX(Raw_BFPIaE!$G$9:$G$3032,MATCH($A912&amp;Keys!$C$54&amp;Keys!$C$55&amp;Keys!$C$54&amp;$B912,Raw_BFPIaE!$H$9:$H$3032,0)))</f>
        <v>0</v>
      </c>
      <c r="Q912" s="10">
        <f>IF($E912=Keys!$C$60,Keys!$C$51,INDEX(Raw_BFPIaE!$G$9:$G$3032,MATCH($A912&amp;Keys!$C$54&amp;Keys!$C$56&amp;Keys!$C$54&amp;$B912,Raw_BFPIaE!$H$9:$H$3032,0)))</f>
        <v>0</v>
      </c>
      <c r="R912" s="10">
        <f>IF($E912=Keys!$C$60,Keys!$C$51,INDEX(Raw_BFPIaE!$G$9:$G$3032,MATCH($A912&amp;Keys!$C$54&amp;Keys!$C$57&amp;Keys!$C$54&amp;$B912,Raw_BFPIaE!$H$9:$H$3032,0)))</f>
        <v>0</v>
      </c>
      <c r="S912" s="11">
        <f>IF(($P912+$Q912-$R912+MAX(Keys!$C$51,$R912-$Q912))&gt;Keys!$C$51,MIN(Keys!$C$52,MAX(Keys!$C$51,$R912-$Q912)/($P912+$Q912-$R912+MAX(Keys!$C$51,$R912-$Q912))),Keys!$C$51)</f>
        <v>0</v>
      </c>
      <c r="T912">
        <f>IF(AND($I912&gt;$H912,ABS($L912-$G912)&gt;MAX(Keys!$C$62,ABS($G912)*Keys!$C$63)),1,0)</f>
        <v>0</v>
      </c>
      <c r="U912">
        <f>IF(OR($N912&lt;Keys!$C$51,$N912&gt;Keys!$C$52),1,0)</f>
        <v>0</v>
      </c>
      <c r="V912">
        <f>IF(AND($E912=Keys!$C$60,$N912&lt;&gt;Keys!$C$51),1,0)</f>
        <v>0</v>
      </c>
      <c r="W912">
        <f>IF($L912&gt;Keys!$C$51,IF($K912/$L912&gt;Keys!$C$52,1,0),0)</f>
        <v>0</v>
      </c>
      <c r="X912" s="11">
        <f t="shared" si="59"/>
        <v>0</v>
      </c>
    </row>
    <row r="913" spans="1:24" x14ac:dyDescent="0.25">
      <c r="A913" t="s">
        <v>169</v>
      </c>
      <c r="B913" t="s">
        <v>80</v>
      </c>
      <c r="C913">
        <f>VLOOKUP($B913,Keys!$F$2:$I$22,2,FALSE)</f>
        <v>0</v>
      </c>
      <c r="D913">
        <f>VLOOKUP($B913,Keys!$F$2:$I$22,3,FALSE)</f>
        <v>0</v>
      </c>
      <c r="E913" t="str">
        <f>VLOOKUP($B913,Keys!$F$2:$I$22,4,FALSE)</f>
        <v>zero</v>
      </c>
      <c r="F913" t="str">
        <f>$A913&amp;Keys!$C$54&amp;$B913</f>
        <v>VT|solar (is not a fuel)</v>
      </c>
      <c r="G913" s="10">
        <f>IF($E913=Keys!$C$60,Keys!$C$51,INDEX(Balanced_2025!$D$9:$D$3032,MATCH($A913&amp;Keys!$C$54&amp;Keys!$C$55&amp;Keys!$C$54&amp;$C913,Balanced_2025!$E$9:$E$3032,0)))</f>
        <v>0</v>
      </c>
      <c r="H913" s="10">
        <f>IF($E913=Keys!$C$60,Keys!$C$51,INDEX(Balanced_2025!$D$9:$D$3032,MATCH($A913&amp;Keys!$C$54&amp;Keys!$C$56&amp;Keys!$C$54&amp;$C913,Balanced_2025!$E$9:$E$3032,0)))</f>
        <v>0</v>
      </c>
      <c r="I913" s="10">
        <f>IF($E913=Keys!$C$60,Keys!$C$51,INDEX(Balanced_2025!$D$9:$D$3032,MATCH($A913&amp;Keys!$C$54&amp;Keys!$C$57&amp;Keys!$C$54&amp;$C913,Balanced_2025!$E$9:$E$3032,0)))</f>
        <v>0</v>
      </c>
      <c r="J913" s="10">
        <f t="shared" si="56"/>
        <v>0</v>
      </c>
      <c r="K913" s="10">
        <f>MAX(Keys!$C$51,$I913-$H913)</f>
        <v>0</v>
      </c>
      <c r="L913" s="10">
        <f t="shared" si="57"/>
        <v>0</v>
      </c>
      <c r="M913" s="11">
        <f>IF($L913&gt;Keys!$C$51,MIN(Keys!$C$52,$K913/$L913),Keys!$C$51)</f>
        <v>0</v>
      </c>
      <c r="N913" s="11">
        <f>IF($E913=Keys!$C$60,Keys!$C$51,IF($E913=Keys!$C$59,$D913,$M913))</f>
        <v>0</v>
      </c>
      <c r="O913">
        <f t="shared" si="58"/>
        <v>0</v>
      </c>
      <c r="P913" s="10">
        <f>IF($E913=Keys!$C$60,Keys!$C$51,INDEX(Raw_BFPIaE!$G$9:$G$3032,MATCH($A913&amp;Keys!$C$54&amp;Keys!$C$55&amp;Keys!$C$54&amp;$B913,Raw_BFPIaE!$H$9:$H$3032,0)))</f>
        <v>0</v>
      </c>
      <c r="Q913" s="10">
        <f>IF($E913=Keys!$C$60,Keys!$C$51,INDEX(Raw_BFPIaE!$G$9:$G$3032,MATCH($A913&amp;Keys!$C$54&amp;Keys!$C$56&amp;Keys!$C$54&amp;$B913,Raw_BFPIaE!$H$9:$H$3032,0)))</f>
        <v>0</v>
      </c>
      <c r="R913" s="10">
        <f>IF($E913=Keys!$C$60,Keys!$C$51,INDEX(Raw_BFPIaE!$G$9:$G$3032,MATCH($A913&amp;Keys!$C$54&amp;Keys!$C$57&amp;Keys!$C$54&amp;$B913,Raw_BFPIaE!$H$9:$H$3032,0)))</f>
        <v>0</v>
      </c>
      <c r="S913" s="11">
        <f>IF(($P913+$Q913-$R913+MAX(Keys!$C$51,$R913-$Q913))&gt;Keys!$C$51,MIN(Keys!$C$52,MAX(Keys!$C$51,$R913-$Q913)/($P913+$Q913-$R913+MAX(Keys!$C$51,$R913-$Q913))),Keys!$C$51)</f>
        <v>0</v>
      </c>
      <c r="T913">
        <f>IF(AND($I913&gt;$H913,ABS($L913-$G913)&gt;MAX(Keys!$C$62,ABS($G913)*Keys!$C$63)),1,0)</f>
        <v>0</v>
      </c>
      <c r="U913">
        <f>IF(OR($N913&lt;Keys!$C$51,$N913&gt;Keys!$C$52),1,0)</f>
        <v>0</v>
      </c>
      <c r="V913">
        <f>IF(AND($E913=Keys!$C$60,$N913&lt;&gt;Keys!$C$51),1,0)</f>
        <v>0</v>
      </c>
      <c r="W913">
        <f>IF($L913&gt;Keys!$C$51,IF($K913/$L913&gt;Keys!$C$52,1,0),0)</f>
        <v>0</v>
      </c>
      <c r="X913" s="11">
        <f t="shared" si="59"/>
        <v>0</v>
      </c>
    </row>
    <row r="914" spans="1:24" x14ac:dyDescent="0.25">
      <c r="A914" t="s">
        <v>169</v>
      </c>
      <c r="B914" t="s">
        <v>82</v>
      </c>
      <c r="C914" t="str">
        <f>VLOOKUP($B914,Keys!$F$2:$I$22,2,FALSE)</f>
        <v>biomass</v>
      </c>
      <c r="D914">
        <f>VLOOKUP($B914,Keys!$F$2:$I$22,3,FALSE)</f>
        <v>0.74947425499999998</v>
      </c>
      <c r="E914" t="str">
        <f>VLOOKUP($B914,Keys!$F$2:$I$22,4,FALSE)</f>
        <v>rule</v>
      </c>
      <c r="F914" t="str">
        <f>$A914&amp;Keys!$C$54&amp;$B914</f>
        <v>VT|biomass</v>
      </c>
      <c r="G914" s="10">
        <f>IF($E914=Keys!$C$60,Keys!$C$51,INDEX(Balanced_2025!$D$9:$D$3032,MATCH($A914&amp;Keys!$C$54&amp;Keys!$C$55&amp;Keys!$C$54&amp;$C914,Balanced_2025!$E$9:$E$3032,0)))</f>
        <v>224000000000</v>
      </c>
      <c r="H914" s="10">
        <f>IF($E914=Keys!$C$60,Keys!$C$51,INDEX(Balanced_2025!$D$9:$D$3032,MATCH($A914&amp;Keys!$C$54&amp;Keys!$C$56&amp;Keys!$C$54&amp;$C914,Balanced_2025!$E$9:$E$3032,0)))</f>
        <v>11585500000000</v>
      </c>
      <c r="I914" s="10">
        <f>IF($E914=Keys!$C$60,Keys!$C$51,INDEX(Balanced_2025!$D$9:$D$3032,MATCH($A914&amp;Keys!$C$54&amp;Keys!$C$57&amp;Keys!$C$54&amp;$C914,Balanced_2025!$E$9:$E$3032,0)))</f>
        <v>0</v>
      </c>
      <c r="J914" s="10">
        <f t="shared" si="56"/>
        <v>11809500000000</v>
      </c>
      <c r="K914" s="10">
        <f>MAX(Keys!$C$51,$I914-$H914)</f>
        <v>0</v>
      </c>
      <c r="L914" s="10">
        <f t="shared" si="57"/>
        <v>11809500000000</v>
      </c>
      <c r="M914" s="11">
        <f>IF($L914&gt;Keys!$C$51,MIN(Keys!$C$52,$K914/$L914),Keys!$C$51)</f>
        <v>0</v>
      </c>
      <c r="N914" s="11">
        <f>IF($E914=Keys!$C$60,Keys!$C$51,IF($E914=Keys!$C$59,$D914,$M914))</f>
        <v>0</v>
      </c>
      <c r="O914">
        <f t="shared" si="58"/>
        <v>1</v>
      </c>
      <c r="P914" s="10">
        <f>IF($E914=Keys!$C$60,Keys!$C$51,INDEX(Raw_BFPIaE!$G$9:$G$3032,MATCH($A914&amp;Keys!$C$54&amp;Keys!$C$55&amp;Keys!$C$54&amp;$B914,Raw_BFPIaE!$H$9:$H$3032,0)))</f>
        <v>224000000000</v>
      </c>
      <c r="Q914" s="10">
        <f>IF($E914=Keys!$C$60,Keys!$C$51,INDEX(Raw_BFPIaE!$G$9:$G$3032,MATCH($A914&amp;Keys!$C$54&amp;Keys!$C$56&amp;Keys!$C$54&amp;$B914,Raw_BFPIaE!$H$9:$H$3032,0)))</f>
        <v>7890966666666.667</v>
      </c>
      <c r="R914" s="10">
        <f>IF($E914=Keys!$C$60,Keys!$C$51,INDEX(Raw_BFPIaE!$G$9:$G$3032,MATCH($A914&amp;Keys!$C$54&amp;Keys!$C$57&amp;Keys!$C$54&amp;$B914,Raw_BFPIaE!$H$9:$H$3032,0)))</f>
        <v>0</v>
      </c>
      <c r="S914" s="11">
        <f>IF(($P914+$Q914-$R914+MAX(Keys!$C$51,$R914-$Q914))&gt;Keys!$C$51,MIN(Keys!$C$52,MAX(Keys!$C$51,$R914-$Q914)/($P914+$Q914-$R914+MAX(Keys!$C$51,$R914-$Q914))),Keys!$C$51)</f>
        <v>0</v>
      </c>
      <c r="T914">
        <f>IF(AND($I914&gt;$H914,ABS($L914-$G914)&gt;MAX(Keys!$C$62,ABS($G914)*Keys!$C$63)),1,0)</f>
        <v>0</v>
      </c>
      <c r="U914">
        <f>IF(OR($N914&lt;Keys!$C$51,$N914&gt;Keys!$C$52),1,0)</f>
        <v>0</v>
      </c>
      <c r="V914">
        <f>IF(AND($E914=Keys!$C$60,$N914&lt;&gt;Keys!$C$51),1,0)</f>
        <v>0</v>
      </c>
      <c r="W914">
        <f>IF($L914&gt;Keys!$C$51,IF($K914/$L914&gt;Keys!$C$52,1,0),0)</f>
        <v>0</v>
      </c>
      <c r="X914" s="11">
        <f t="shared" si="59"/>
        <v>0</v>
      </c>
    </row>
    <row r="915" spans="1:24" x14ac:dyDescent="0.25">
      <c r="A915" t="s">
        <v>169</v>
      </c>
      <c r="B915" t="s">
        <v>85</v>
      </c>
      <c r="C915" t="str">
        <f>VLOOKUP($B915,Keys!$F$2:$I$22,2,FALSE)</f>
        <v>petroleum gasoline</v>
      </c>
      <c r="D915">
        <f>VLOOKUP($B915,Keys!$F$2:$I$22,3,FALSE)</f>
        <v>7.5004052000000002E-2</v>
      </c>
      <c r="E915" t="str">
        <f>VLOOKUP($B915,Keys!$F$2:$I$22,4,FALSE)</f>
        <v>rule</v>
      </c>
      <c r="F915" t="str">
        <f>$A915&amp;Keys!$C$54&amp;$B915</f>
        <v>VT|petroleum gasoline</v>
      </c>
      <c r="G915" s="10">
        <f>IF($E915=Keys!$C$60,Keys!$C$51,INDEX(Balanced_2025!$D$9:$D$3032,MATCH($A915&amp;Keys!$C$54&amp;Keys!$C$55&amp;Keys!$C$54&amp;$C915,Balanced_2025!$E$9:$E$3032,0)))</f>
        <v>0</v>
      </c>
      <c r="H915" s="10">
        <f>IF($E915=Keys!$C$60,Keys!$C$51,INDEX(Balanced_2025!$D$9:$D$3032,MATCH($A915&amp;Keys!$C$54&amp;Keys!$C$56&amp;Keys!$C$54&amp;$C915,Balanced_2025!$E$9:$E$3032,0)))</f>
        <v>30055800000000</v>
      </c>
      <c r="I915" s="10">
        <f>IF($E915=Keys!$C$60,Keys!$C$51,INDEX(Balanced_2025!$D$9:$D$3032,MATCH($A915&amp;Keys!$C$54&amp;Keys!$C$57&amp;Keys!$C$54&amp;$C915,Balanced_2025!$E$9:$E$3032,0)))</f>
        <v>0</v>
      </c>
      <c r="J915" s="10">
        <f t="shared" si="56"/>
        <v>30055800000000</v>
      </c>
      <c r="K915" s="10">
        <f>MAX(Keys!$C$51,$I915-$H915)</f>
        <v>0</v>
      </c>
      <c r="L915" s="10">
        <f t="shared" si="57"/>
        <v>30055800000000</v>
      </c>
      <c r="M915" s="11">
        <f>IF($L915&gt;Keys!$C$51,MIN(Keys!$C$52,$K915/$L915),Keys!$C$51)</f>
        <v>0</v>
      </c>
      <c r="N915" s="11">
        <f>IF($E915=Keys!$C$60,Keys!$C$51,IF($E915=Keys!$C$59,$D915,$M915))</f>
        <v>0</v>
      </c>
      <c r="O915">
        <f t="shared" si="58"/>
        <v>1</v>
      </c>
      <c r="P915" s="10">
        <f>IF($E915=Keys!$C$60,Keys!$C$51,INDEX(Raw_BFPIaE!$G$9:$G$3032,MATCH($A915&amp;Keys!$C$54&amp;Keys!$C$55&amp;Keys!$C$54&amp;$B915,Raw_BFPIaE!$H$9:$H$3032,0)))</f>
        <v>0</v>
      </c>
      <c r="Q915" s="10">
        <f>IF($E915=Keys!$C$60,Keys!$C$51,INDEX(Raw_BFPIaE!$G$9:$G$3032,MATCH($A915&amp;Keys!$C$54&amp;Keys!$C$56&amp;Keys!$C$54&amp;$B915,Raw_BFPIaE!$H$9:$H$3032,0)))</f>
        <v>18698433333333.332</v>
      </c>
      <c r="R915" s="10">
        <f>IF($E915=Keys!$C$60,Keys!$C$51,INDEX(Raw_BFPIaE!$G$9:$G$3032,MATCH($A915&amp;Keys!$C$54&amp;Keys!$C$57&amp;Keys!$C$54&amp;$B915,Raw_BFPIaE!$H$9:$H$3032,0)))</f>
        <v>0</v>
      </c>
      <c r="S915" s="11">
        <f>IF(($P915+$Q915-$R915+MAX(Keys!$C$51,$R915-$Q915))&gt;Keys!$C$51,MIN(Keys!$C$52,MAX(Keys!$C$51,$R915-$Q915)/($P915+$Q915-$R915+MAX(Keys!$C$51,$R915-$Q915))),Keys!$C$51)</f>
        <v>0</v>
      </c>
      <c r="T915">
        <f>IF(AND($I915&gt;$H915,ABS($L915-$G915)&gt;MAX(Keys!$C$62,ABS($G915)*Keys!$C$63)),1,0)</f>
        <v>0</v>
      </c>
      <c r="U915">
        <f>IF(OR($N915&lt;Keys!$C$51,$N915&gt;Keys!$C$52),1,0)</f>
        <v>0</v>
      </c>
      <c r="V915">
        <f>IF(AND($E915=Keys!$C$60,$N915&lt;&gt;Keys!$C$51),1,0)</f>
        <v>0</v>
      </c>
      <c r="W915">
        <f>IF($L915&gt;Keys!$C$51,IF($K915/$L915&gt;Keys!$C$52,1,0),0)</f>
        <v>0</v>
      </c>
      <c r="X915" s="11">
        <f t="shared" si="59"/>
        <v>0</v>
      </c>
    </row>
    <row r="916" spans="1:24" x14ac:dyDescent="0.25">
      <c r="A916" t="s">
        <v>169</v>
      </c>
      <c r="B916" t="s">
        <v>88</v>
      </c>
      <c r="C916" t="str">
        <f>VLOOKUP($B916,Keys!$F$2:$I$22,2,FALSE)</f>
        <v>petroleum diesel</v>
      </c>
      <c r="D916">
        <f>VLOOKUP($B916,Keys!$F$2:$I$22,3,FALSE)</f>
        <v>0.26691051799999999</v>
      </c>
      <c r="E916" t="str">
        <f>VLOOKUP($B916,Keys!$F$2:$I$22,4,FALSE)</f>
        <v>rule</v>
      </c>
      <c r="F916" t="str">
        <f>$A916&amp;Keys!$C$54&amp;$B916</f>
        <v>VT|petroleum diesel</v>
      </c>
      <c r="G916" s="10">
        <f>IF($E916=Keys!$C$60,Keys!$C$51,INDEX(Balanced_2025!$D$9:$D$3032,MATCH($A916&amp;Keys!$C$54&amp;Keys!$C$55&amp;Keys!$C$54&amp;$C916,Balanced_2025!$E$9:$E$3032,0)))</f>
        <v>0</v>
      </c>
      <c r="H916" s="10">
        <f>IF($E916=Keys!$C$60,Keys!$C$51,INDEX(Balanced_2025!$D$9:$D$3032,MATCH($A916&amp;Keys!$C$54&amp;Keys!$C$56&amp;Keys!$C$54&amp;$C916,Balanced_2025!$E$9:$E$3032,0)))</f>
        <v>25938900000000</v>
      </c>
      <c r="I916" s="10">
        <f>IF($E916=Keys!$C$60,Keys!$C$51,INDEX(Balanced_2025!$D$9:$D$3032,MATCH($A916&amp;Keys!$C$54&amp;Keys!$C$57&amp;Keys!$C$54&amp;$C916,Balanced_2025!$E$9:$E$3032,0)))</f>
        <v>0</v>
      </c>
      <c r="J916" s="10">
        <f t="shared" si="56"/>
        <v>25938900000000</v>
      </c>
      <c r="K916" s="10">
        <f>MAX(Keys!$C$51,$I916-$H916)</f>
        <v>0</v>
      </c>
      <c r="L916" s="10">
        <f t="shared" si="57"/>
        <v>25938900000000</v>
      </c>
      <c r="M916" s="11">
        <f>IF($L916&gt;Keys!$C$51,MIN(Keys!$C$52,$K916/$L916),Keys!$C$51)</f>
        <v>0</v>
      </c>
      <c r="N916" s="11">
        <f>IF($E916=Keys!$C$60,Keys!$C$51,IF($E916=Keys!$C$59,$D916,$M916))</f>
        <v>0</v>
      </c>
      <c r="O916">
        <f t="shared" si="58"/>
        <v>1</v>
      </c>
      <c r="P916" s="10">
        <f>IF($E916=Keys!$C$60,Keys!$C$51,INDEX(Raw_BFPIaE!$G$9:$G$3032,MATCH($A916&amp;Keys!$C$54&amp;Keys!$C$55&amp;Keys!$C$54&amp;$B916,Raw_BFPIaE!$H$9:$H$3032,0)))</f>
        <v>0</v>
      </c>
      <c r="Q916" s="10">
        <f>IF($E916=Keys!$C$60,Keys!$C$51,INDEX(Raw_BFPIaE!$G$9:$G$3032,MATCH($A916&amp;Keys!$C$54&amp;Keys!$C$56&amp;Keys!$C$54&amp;$B916,Raw_BFPIaE!$H$9:$H$3032,0)))</f>
        <v>18116133333333.332</v>
      </c>
      <c r="R916" s="10">
        <f>IF($E916=Keys!$C$60,Keys!$C$51,INDEX(Raw_BFPIaE!$G$9:$G$3032,MATCH($A916&amp;Keys!$C$54&amp;Keys!$C$57&amp;Keys!$C$54&amp;$B916,Raw_BFPIaE!$H$9:$H$3032,0)))</f>
        <v>0</v>
      </c>
      <c r="S916" s="11">
        <f>IF(($P916+$Q916-$R916+MAX(Keys!$C$51,$R916-$Q916))&gt;Keys!$C$51,MIN(Keys!$C$52,MAX(Keys!$C$51,$R916-$Q916)/($P916+$Q916-$R916+MAX(Keys!$C$51,$R916-$Q916))),Keys!$C$51)</f>
        <v>0</v>
      </c>
      <c r="T916">
        <f>IF(AND($I916&gt;$H916,ABS($L916-$G916)&gt;MAX(Keys!$C$62,ABS($G916)*Keys!$C$63)),1,0)</f>
        <v>0</v>
      </c>
      <c r="U916">
        <f>IF(OR($N916&lt;Keys!$C$51,$N916&gt;Keys!$C$52),1,0)</f>
        <v>0</v>
      </c>
      <c r="V916">
        <f>IF(AND($E916=Keys!$C$60,$N916&lt;&gt;Keys!$C$51),1,0)</f>
        <v>0</v>
      </c>
      <c r="W916">
        <f>IF($L916&gt;Keys!$C$51,IF($K916/$L916&gt;Keys!$C$52,1,0),0)</f>
        <v>0</v>
      </c>
      <c r="X916" s="11">
        <f t="shared" si="59"/>
        <v>0</v>
      </c>
    </row>
    <row r="917" spans="1:24" x14ac:dyDescent="0.25">
      <c r="A917" t="s">
        <v>169</v>
      </c>
      <c r="B917" t="s">
        <v>91</v>
      </c>
      <c r="C917" t="str">
        <f>VLOOKUP($B917,Keys!$F$2:$I$22,2,FALSE)</f>
        <v>biofuel gasoline</v>
      </c>
      <c r="D917">
        <f>VLOOKUP($B917,Keys!$F$2:$I$22,3,FALSE)</f>
        <v>8.7213884000000005E-2</v>
      </c>
      <c r="E917" t="str">
        <f>VLOOKUP($B917,Keys!$F$2:$I$22,4,FALSE)</f>
        <v>rule</v>
      </c>
      <c r="F917" t="str">
        <f>$A917&amp;Keys!$C$54&amp;$B917</f>
        <v>VT|biofuel gasoline</v>
      </c>
      <c r="G917" s="10">
        <f>IF($E917=Keys!$C$60,Keys!$C$51,INDEX(Balanced_2025!$D$9:$D$3032,MATCH($A917&amp;Keys!$C$54&amp;Keys!$C$55&amp;Keys!$C$54&amp;$C917,Balanced_2025!$E$9:$E$3032,0)))</f>
        <v>0</v>
      </c>
      <c r="H917" s="10">
        <f>IF($E917=Keys!$C$60,Keys!$C$51,INDEX(Balanced_2025!$D$9:$D$3032,MATCH($A917&amp;Keys!$C$54&amp;Keys!$C$56&amp;Keys!$C$54&amp;$C917,Balanced_2025!$E$9:$E$3032,0)))</f>
        <v>2067980000000</v>
      </c>
      <c r="I917" s="10">
        <f>IF($E917=Keys!$C$60,Keys!$C$51,INDEX(Balanced_2025!$D$9:$D$3032,MATCH($A917&amp;Keys!$C$54&amp;Keys!$C$57&amp;Keys!$C$54&amp;$C917,Balanced_2025!$E$9:$E$3032,0)))</f>
        <v>0</v>
      </c>
      <c r="J917" s="10">
        <f t="shared" si="56"/>
        <v>2067980000000</v>
      </c>
      <c r="K917" s="10">
        <f>MAX(Keys!$C$51,$I917-$H917)</f>
        <v>0</v>
      </c>
      <c r="L917" s="10">
        <f t="shared" si="57"/>
        <v>2067980000000</v>
      </c>
      <c r="M917" s="11">
        <f>IF($L917&gt;Keys!$C$51,MIN(Keys!$C$52,$K917/$L917),Keys!$C$51)</f>
        <v>0</v>
      </c>
      <c r="N917" s="11">
        <f>IF($E917=Keys!$C$60,Keys!$C$51,IF($E917=Keys!$C$59,$D917,$M917))</f>
        <v>0</v>
      </c>
      <c r="O917">
        <f t="shared" si="58"/>
        <v>1</v>
      </c>
      <c r="P917" s="10">
        <f>IF($E917=Keys!$C$60,Keys!$C$51,INDEX(Raw_BFPIaE!$G$9:$G$3032,MATCH($A917&amp;Keys!$C$54&amp;Keys!$C$55&amp;Keys!$C$54&amp;$B917,Raw_BFPIaE!$H$9:$H$3032,0)))</f>
        <v>0</v>
      </c>
      <c r="Q917" s="10">
        <f>IF($E917=Keys!$C$60,Keys!$C$51,INDEX(Raw_BFPIaE!$G$9:$G$3032,MATCH($A917&amp;Keys!$C$54&amp;Keys!$C$56&amp;Keys!$C$54&amp;$B917,Raw_BFPIaE!$H$9:$H$3032,0)))</f>
        <v>1285930000000</v>
      </c>
      <c r="R917" s="10">
        <f>IF($E917=Keys!$C$60,Keys!$C$51,INDEX(Raw_BFPIaE!$G$9:$G$3032,MATCH($A917&amp;Keys!$C$54&amp;Keys!$C$57&amp;Keys!$C$54&amp;$B917,Raw_BFPIaE!$H$9:$H$3032,0)))</f>
        <v>0</v>
      </c>
      <c r="S917" s="11">
        <f>IF(($P917+$Q917-$R917+MAX(Keys!$C$51,$R917-$Q917))&gt;Keys!$C$51,MIN(Keys!$C$52,MAX(Keys!$C$51,$R917-$Q917)/($P917+$Q917-$R917+MAX(Keys!$C$51,$R917-$Q917))),Keys!$C$51)</f>
        <v>0</v>
      </c>
      <c r="T917">
        <f>IF(AND($I917&gt;$H917,ABS($L917-$G917)&gt;MAX(Keys!$C$62,ABS($G917)*Keys!$C$63)),1,0)</f>
        <v>0</v>
      </c>
      <c r="U917">
        <f>IF(OR($N917&lt;Keys!$C$51,$N917&gt;Keys!$C$52),1,0)</f>
        <v>0</v>
      </c>
      <c r="V917">
        <f>IF(AND($E917=Keys!$C$60,$N917&lt;&gt;Keys!$C$51),1,0)</f>
        <v>0</v>
      </c>
      <c r="W917">
        <f>IF($L917&gt;Keys!$C$51,IF($K917/$L917&gt;Keys!$C$52,1,0),0)</f>
        <v>0</v>
      </c>
      <c r="X917" s="11">
        <f t="shared" si="59"/>
        <v>0</v>
      </c>
    </row>
    <row r="918" spans="1:24" x14ac:dyDescent="0.25">
      <c r="A918" t="s">
        <v>169</v>
      </c>
      <c r="B918" t="s">
        <v>94</v>
      </c>
      <c r="C918" t="str">
        <f>VLOOKUP($B918,Keys!$F$2:$I$22,2,FALSE)</f>
        <v>biofuel diesel</v>
      </c>
      <c r="D918">
        <f>VLOOKUP($B918,Keys!$F$2:$I$22,3,FALSE)</f>
        <v>5.8642381E-2</v>
      </c>
      <c r="E918" t="str">
        <f>VLOOKUP($B918,Keys!$F$2:$I$22,4,FALSE)</f>
        <v>rule</v>
      </c>
      <c r="F918" t="str">
        <f>$A918&amp;Keys!$C$54&amp;$B918</f>
        <v>VT|biofuel diesel</v>
      </c>
      <c r="G918" s="10">
        <f>IF($E918=Keys!$C$60,Keys!$C$51,INDEX(Balanced_2025!$D$9:$D$3032,MATCH($A918&amp;Keys!$C$54&amp;Keys!$C$55&amp;Keys!$C$54&amp;$C918,Balanced_2025!$E$9:$E$3032,0)))</f>
        <v>0</v>
      </c>
      <c r="H918" s="10">
        <f>IF($E918=Keys!$C$60,Keys!$C$51,INDEX(Balanced_2025!$D$9:$D$3032,MATCH($A918&amp;Keys!$C$54&amp;Keys!$C$56&amp;Keys!$C$54&amp;$C918,Balanced_2025!$E$9:$E$3032,0)))</f>
        <v>182629000000</v>
      </c>
      <c r="I918" s="10">
        <f>IF($E918=Keys!$C$60,Keys!$C$51,INDEX(Balanced_2025!$D$9:$D$3032,MATCH($A918&amp;Keys!$C$54&amp;Keys!$C$57&amp;Keys!$C$54&amp;$C918,Balanced_2025!$E$9:$E$3032,0)))</f>
        <v>0</v>
      </c>
      <c r="J918" s="10">
        <f t="shared" si="56"/>
        <v>182629000000</v>
      </c>
      <c r="K918" s="10">
        <f>MAX(Keys!$C$51,$I918-$H918)</f>
        <v>0</v>
      </c>
      <c r="L918" s="10">
        <f t="shared" si="57"/>
        <v>182629000000</v>
      </c>
      <c r="M918" s="11">
        <f>IF($L918&gt;Keys!$C$51,MIN(Keys!$C$52,$K918/$L918),Keys!$C$51)</f>
        <v>0</v>
      </c>
      <c r="N918" s="11">
        <f>IF($E918=Keys!$C$60,Keys!$C$51,IF($E918=Keys!$C$59,$D918,$M918))</f>
        <v>0</v>
      </c>
      <c r="O918">
        <f t="shared" si="58"/>
        <v>1</v>
      </c>
      <c r="P918" s="10">
        <f>IF($E918=Keys!$C$60,Keys!$C$51,INDEX(Raw_BFPIaE!$G$9:$G$3032,MATCH($A918&amp;Keys!$C$54&amp;Keys!$C$55&amp;Keys!$C$54&amp;$B918,Raw_BFPIaE!$H$9:$H$3032,0)))</f>
        <v>0</v>
      </c>
      <c r="Q918" s="10">
        <f>IF($E918=Keys!$C$60,Keys!$C$51,INDEX(Raw_BFPIaE!$G$9:$G$3032,MATCH($A918&amp;Keys!$C$54&amp;Keys!$C$56&amp;Keys!$C$54&amp;$B918,Raw_BFPIaE!$H$9:$H$3032,0)))</f>
        <v>117930000000</v>
      </c>
      <c r="R918" s="10">
        <f>IF($E918=Keys!$C$60,Keys!$C$51,INDEX(Raw_BFPIaE!$G$9:$G$3032,MATCH($A918&amp;Keys!$C$54&amp;Keys!$C$57&amp;Keys!$C$54&amp;$B918,Raw_BFPIaE!$H$9:$H$3032,0)))</f>
        <v>0</v>
      </c>
      <c r="S918" s="11">
        <f>IF(($P918+$Q918-$R918+MAX(Keys!$C$51,$R918-$Q918))&gt;Keys!$C$51,MIN(Keys!$C$52,MAX(Keys!$C$51,$R918-$Q918)/($P918+$Q918-$R918+MAX(Keys!$C$51,$R918-$Q918))),Keys!$C$51)</f>
        <v>0</v>
      </c>
      <c r="T918">
        <f>IF(AND($I918&gt;$H918,ABS($L918-$G918)&gt;MAX(Keys!$C$62,ABS($G918)*Keys!$C$63)),1,0)</f>
        <v>0</v>
      </c>
      <c r="U918">
        <f>IF(OR($N918&lt;Keys!$C$51,$N918&gt;Keys!$C$52),1,0)</f>
        <v>0</v>
      </c>
      <c r="V918">
        <f>IF(AND($E918=Keys!$C$60,$N918&lt;&gt;Keys!$C$51),1,0)</f>
        <v>0</v>
      </c>
      <c r="W918">
        <f>IF($L918&gt;Keys!$C$51,IF($K918/$L918&gt;Keys!$C$52,1,0),0)</f>
        <v>0</v>
      </c>
      <c r="X918" s="11">
        <f t="shared" si="59"/>
        <v>0</v>
      </c>
    </row>
    <row r="919" spans="1:24" x14ac:dyDescent="0.25">
      <c r="A919" t="s">
        <v>169</v>
      </c>
      <c r="B919" t="s">
        <v>97</v>
      </c>
      <c r="C919" t="str">
        <f>VLOOKUP($B919,Keys!$F$2:$I$22,2,FALSE)</f>
        <v>jet fuel or kerosene</v>
      </c>
      <c r="D919">
        <f>VLOOKUP($B919,Keys!$F$2:$I$22,3,FALSE)</f>
        <v>0.10155994</v>
      </c>
      <c r="E919" t="str">
        <f>VLOOKUP($B919,Keys!$F$2:$I$22,4,FALSE)</f>
        <v>rule</v>
      </c>
      <c r="F919" t="str">
        <f>$A919&amp;Keys!$C$54&amp;$B919</f>
        <v>VT|jet fuel or kerosene</v>
      </c>
      <c r="G919" s="10">
        <f>IF($E919=Keys!$C$60,Keys!$C$51,INDEX(Balanced_2025!$D$9:$D$3032,MATCH($A919&amp;Keys!$C$54&amp;Keys!$C$55&amp;Keys!$C$54&amp;$C919,Balanced_2025!$E$9:$E$3032,0)))</f>
        <v>0</v>
      </c>
      <c r="H919" s="10">
        <f>IF($E919=Keys!$C$60,Keys!$C$51,INDEX(Balanced_2025!$D$9:$D$3032,MATCH($A919&amp;Keys!$C$54&amp;Keys!$C$56&amp;Keys!$C$54&amp;$C919,Balanced_2025!$E$9:$E$3032,0)))</f>
        <v>1476690000000</v>
      </c>
      <c r="I919" s="10">
        <f>IF($E919=Keys!$C$60,Keys!$C$51,INDEX(Balanced_2025!$D$9:$D$3032,MATCH($A919&amp;Keys!$C$54&amp;Keys!$C$57&amp;Keys!$C$54&amp;$C919,Balanced_2025!$E$9:$E$3032,0)))</f>
        <v>0</v>
      </c>
      <c r="J919" s="10">
        <f t="shared" si="56"/>
        <v>1476690000000</v>
      </c>
      <c r="K919" s="10">
        <f>MAX(Keys!$C$51,$I919-$H919)</f>
        <v>0</v>
      </c>
      <c r="L919" s="10">
        <f t="shared" si="57"/>
        <v>1476690000000</v>
      </c>
      <c r="M919" s="11">
        <f>IF($L919&gt;Keys!$C$51,MIN(Keys!$C$52,$K919/$L919),Keys!$C$51)</f>
        <v>0</v>
      </c>
      <c r="N919" s="11">
        <f>IF($E919=Keys!$C$60,Keys!$C$51,IF($E919=Keys!$C$59,$D919,$M919))</f>
        <v>0</v>
      </c>
      <c r="O919">
        <f t="shared" si="58"/>
        <v>1</v>
      </c>
      <c r="P919" s="10">
        <f>IF($E919=Keys!$C$60,Keys!$C$51,INDEX(Raw_BFPIaE!$G$9:$G$3032,MATCH($A919&amp;Keys!$C$54&amp;Keys!$C$55&amp;Keys!$C$54&amp;$B919,Raw_BFPIaE!$H$9:$H$3032,0)))</f>
        <v>0</v>
      </c>
      <c r="Q919" s="10">
        <f>IF($E919=Keys!$C$60,Keys!$C$51,INDEX(Raw_BFPIaE!$G$9:$G$3032,MATCH($A919&amp;Keys!$C$54&amp;Keys!$C$56&amp;Keys!$C$54&amp;$B919,Raw_BFPIaE!$H$9:$H$3032,0)))</f>
        <v>997626666666.66663</v>
      </c>
      <c r="R919" s="10">
        <f>IF($E919=Keys!$C$60,Keys!$C$51,INDEX(Raw_BFPIaE!$G$9:$G$3032,MATCH($A919&amp;Keys!$C$54&amp;Keys!$C$57&amp;Keys!$C$54&amp;$B919,Raw_BFPIaE!$H$9:$H$3032,0)))</f>
        <v>0</v>
      </c>
      <c r="S919" s="11">
        <f>IF(($P919+$Q919-$R919+MAX(Keys!$C$51,$R919-$Q919))&gt;Keys!$C$51,MIN(Keys!$C$52,MAX(Keys!$C$51,$R919-$Q919)/($P919+$Q919-$R919+MAX(Keys!$C$51,$R919-$Q919))),Keys!$C$51)</f>
        <v>0</v>
      </c>
      <c r="T919">
        <f>IF(AND($I919&gt;$H919,ABS($L919-$G919)&gt;MAX(Keys!$C$62,ABS($G919)*Keys!$C$63)),1,0)</f>
        <v>0</v>
      </c>
      <c r="U919">
        <f>IF(OR($N919&lt;Keys!$C$51,$N919&gt;Keys!$C$52),1,0)</f>
        <v>0</v>
      </c>
      <c r="V919">
        <f>IF(AND($E919=Keys!$C$60,$N919&lt;&gt;Keys!$C$51),1,0)</f>
        <v>0</v>
      </c>
      <c r="W919">
        <f>IF($L919&gt;Keys!$C$51,IF($K919/$L919&gt;Keys!$C$52,1,0),0)</f>
        <v>0</v>
      </c>
      <c r="X919" s="11">
        <f t="shared" si="59"/>
        <v>0</v>
      </c>
    </row>
    <row r="920" spans="1:24" x14ac:dyDescent="0.25">
      <c r="A920" t="s">
        <v>169</v>
      </c>
      <c r="B920" t="s">
        <v>100</v>
      </c>
      <c r="C920">
        <f>VLOOKUP($B920,Keys!$F$2:$I$22,2,FALSE)</f>
        <v>0</v>
      </c>
      <c r="D920">
        <f>VLOOKUP($B920,Keys!$F$2:$I$22,3,FALSE)</f>
        <v>0</v>
      </c>
      <c r="E920" t="str">
        <f>VLOOKUP($B920,Keys!$F$2:$I$22,4,FALSE)</f>
        <v>zero</v>
      </c>
      <c r="F920" t="str">
        <f>$A920&amp;Keys!$C$54&amp;$B920</f>
        <v>VT|heat (not used in this variable)</v>
      </c>
      <c r="G920" s="10">
        <f>IF($E920=Keys!$C$60,Keys!$C$51,INDEX(Balanced_2025!$D$9:$D$3032,MATCH($A920&amp;Keys!$C$54&amp;Keys!$C$55&amp;Keys!$C$54&amp;$C920,Balanced_2025!$E$9:$E$3032,0)))</f>
        <v>0</v>
      </c>
      <c r="H920" s="10">
        <f>IF($E920=Keys!$C$60,Keys!$C$51,INDEX(Balanced_2025!$D$9:$D$3032,MATCH($A920&amp;Keys!$C$54&amp;Keys!$C$56&amp;Keys!$C$54&amp;$C920,Balanced_2025!$E$9:$E$3032,0)))</f>
        <v>0</v>
      </c>
      <c r="I920" s="10">
        <f>IF($E920=Keys!$C$60,Keys!$C$51,INDEX(Balanced_2025!$D$9:$D$3032,MATCH($A920&amp;Keys!$C$54&amp;Keys!$C$57&amp;Keys!$C$54&amp;$C920,Balanced_2025!$E$9:$E$3032,0)))</f>
        <v>0</v>
      </c>
      <c r="J920" s="10">
        <f t="shared" si="56"/>
        <v>0</v>
      </c>
      <c r="K920" s="10">
        <f>MAX(Keys!$C$51,$I920-$H920)</f>
        <v>0</v>
      </c>
      <c r="L920" s="10">
        <f t="shared" si="57"/>
        <v>0</v>
      </c>
      <c r="M920" s="11">
        <f>IF($L920&gt;Keys!$C$51,MIN(Keys!$C$52,$K920/$L920),Keys!$C$51)</f>
        <v>0</v>
      </c>
      <c r="N920" s="11">
        <f>IF($E920=Keys!$C$60,Keys!$C$51,IF($E920=Keys!$C$59,$D920,$M920))</f>
        <v>0</v>
      </c>
      <c r="O920">
        <f t="shared" si="58"/>
        <v>0</v>
      </c>
      <c r="P920" s="10">
        <f>IF($E920=Keys!$C$60,Keys!$C$51,INDEX(Raw_BFPIaE!$G$9:$G$3032,MATCH($A920&amp;Keys!$C$54&amp;Keys!$C$55&amp;Keys!$C$54&amp;$B920,Raw_BFPIaE!$H$9:$H$3032,0)))</f>
        <v>0</v>
      </c>
      <c r="Q920" s="10">
        <f>IF($E920=Keys!$C$60,Keys!$C$51,INDEX(Raw_BFPIaE!$G$9:$G$3032,MATCH($A920&amp;Keys!$C$54&amp;Keys!$C$56&amp;Keys!$C$54&amp;$B920,Raw_BFPIaE!$H$9:$H$3032,0)))</f>
        <v>0</v>
      </c>
      <c r="R920" s="10">
        <f>IF($E920=Keys!$C$60,Keys!$C$51,INDEX(Raw_BFPIaE!$G$9:$G$3032,MATCH($A920&amp;Keys!$C$54&amp;Keys!$C$57&amp;Keys!$C$54&amp;$B920,Raw_BFPIaE!$H$9:$H$3032,0)))</f>
        <v>0</v>
      </c>
      <c r="S920" s="11">
        <f>IF(($P920+$Q920-$R920+MAX(Keys!$C$51,$R920-$Q920))&gt;Keys!$C$51,MIN(Keys!$C$52,MAX(Keys!$C$51,$R920-$Q920)/($P920+$Q920-$R920+MAX(Keys!$C$51,$R920-$Q920))),Keys!$C$51)</f>
        <v>0</v>
      </c>
      <c r="T920">
        <f>IF(AND($I920&gt;$H920,ABS($L920-$G920)&gt;MAX(Keys!$C$62,ABS($G920)*Keys!$C$63)),1,0)</f>
        <v>0</v>
      </c>
      <c r="U920">
        <f>IF(OR($N920&lt;Keys!$C$51,$N920&gt;Keys!$C$52),1,0)</f>
        <v>0</v>
      </c>
      <c r="V920">
        <f>IF(AND($E920=Keys!$C$60,$N920&lt;&gt;Keys!$C$51),1,0)</f>
        <v>0</v>
      </c>
      <c r="W920">
        <f>IF($L920&gt;Keys!$C$51,IF($K920/$L920&gt;Keys!$C$52,1,0),0)</f>
        <v>0</v>
      </c>
      <c r="X920" s="11">
        <f t="shared" si="59"/>
        <v>0</v>
      </c>
    </row>
    <row r="921" spans="1:24" x14ac:dyDescent="0.25">
      <c r="A921" t="s">
        <v>169</v>
      </c>
      <c r="B921" t="s">
        <v>103</v>
      </c>
      <c r="C921">
        <f>VLOOKUP($B921,Keys!$F$2:$I$22,2,FALSE)</f>
        <v>0</v>
      </c>
      <c r="D921">
        <f>VLOOKUP($B921,Keys!$F$2:$I$22,3,FALSE)</f>
        <v>0</v>
      </c>
      <c r="E921" t="str">
        <f>VLOOKUP($B921,Keys!$F$2:$I$22,4,FALSE)</f>
        <v>zero</v>
      </c>
      <c r="F921" t="str">
        <f>$A921&amp;Keys!$C$54&amp;$B921</f>
        <v>VT|geothermal (is not a fuel)</v>
      </c>
      <c r="G921" s="10">
        <f>IF($E921=Keys!$C$60,Keys!$C$51,INDEX(Balanced_2025!$D$9:$D$3032,MATCH($A921&amp;Keys!$C$54&amp;Keys!$C$55&amp;Keys!$C$54&amp;$C921,Balanced_2025!$E$9:$E$3032,0)))</f>
        <v>0</v>
      </c>
      <c r="H921" s="10">
        <f>IF($E921=Keys!$C$60,Keys!$C$51,INDEX(Balanced_2025!$D$9:$D$3032,MATCH($A921&amp;Keys!$C$54&amp;Keys!$C$56&amp;Keys!$C$54&amp;$C921,Balanced_2025!$E$9:$E$3032,0)))</f>
        <v>0</v>
      </c>
      <c r="I921" s="10">
        <f>IF($E921=Keys!$C$60,Keys!$C$51,INDEX(Balanced_2025!$D$9:$D$3032,MATCH($A921&amp;Keys!$C$54&amp;Keys!$C$57&amp;Keys!$C$54&amp;$C921,Balanced_2025!$E$9:$E$3032,0)))</f>
        <v>0</v>
      </c>
      <c r="J921" s="10">
        <f t="shared" si="56"/>
        <v>0</v>
      </c>
      <c r="K921" s="10">
        <f>MAX(Keys!$C$51,$I921-$H921)</f>
        <v>0</v>
      </c>
      <c r="L921" s="10">
        <f t="shared" si="57"/>
        <v>0</v>
      </c>
      <c r="M921" s="11">
        <f>IF($L921&gt;Keys!$C$51,MIN(Keys!$C$52,$K921/$L921),Keys!$C$51)</f>
        <v>0</v>
      </c>
      <c r="N921" s="11">
        <f>IF($E921=Keys!$C$60,Keys!$C$51,IF($E921=Keys!$C$59,$D921,$M921))</f>
        <v>0</v>
      </c>
      <c r="O921">
        <f t="shared" si="58"/>
        <v>0</v>
      </c>
      <c r="P921" s="10">
        <f>IF($E921=Keys!$C$60,Keys!$C$51,INDEX(Raw_BFPIaE!$G$9:$G$3032,MATCH($A921&amp;Keys!$C$54&amp;Keys!$C$55&amp;Keys!$C$54&amp;$B921,Raw_BFPIaE!$H$9:$H$3032,0)))</f>
        <v>0</v>
      </c>
      <c r="Q921" s="10">
        <f>IF($E921=Keys!$C$60,Keys!$C$51,INDEX(Raw_BFPIaE!$G$9:$G$3032,MATCH($A921&amp;Keys!$C$54&amp;Keys!$C$56&amp;Keys!$C$54&amp;$B921,Raw_BFPIaE!$H$9:$H$3032,0)))</f>
        <v>0</v>
      </c>
      <c r="R921" s="10">
        <f>IF($E921=Keys!$C$60,Keys!$C$51,INDEX(Raw_BFPIaE!$G$9:$G$3032,MATCH($A921&amp;Keys!$C$54&amp;Keys!$C$57&amp;Keys!$C$54&amp;$B921,Raw_BFPIaE!$H$9:$H$3032,0)))</f>
        <v>0</v>
      </c>
      <c r="S921" s="11">
        <f>IF(($P921+$Q921-$R921+MAX(Keys!$C$51,$R921-$Q921))&gt;Keys!$C$51,MIN(Keys!$C$52,MAX(Keys!$C$51,$R921-$Q921)/($P921+$Q921-$R921+MAX(Keys!$C$51,$R921-$Q921))),Keys!$C$51)</f>
        <v>0</v>
      </c>
      <c r="T921">
        <f>IF(AND($I921&gt;$H921,ABS($L921-$G921)&gt;MAX(Keys!$C$62,ABS($G921)*Keys!$C$63)),1,0)</f>
        <v>0</v>
      </c>
      <c r="U921">
        <f>IF(OR($N921&lt;Keys!$C$51,$N921&gt;Keys!$C$52),1,0)</f>
        <v>0</v>
      </c>
      <c r="V921">
        <f>IF(AND($E921=Keys!$C$60,$N921&lt;&gt;Keys!$C$51),1,0)</f>
        <v>0</v>
      </c>
      <c r="W921">
        <f>IF($L921&gt;Keys!$C$51,IF($K921/$L921&gt;Keys!$C$52,1,0),0)</f>
        <v>0</v>
      </c>
      <c r="X921" s="11">
        <f t="shared" si="59"/>
        <v>0</v>
      </c>
    </row>
    <row r="922" spans="1:24" x14ac:dyDescent="0.25">
      <c r="A922" t="s">
        <v>169</v>
      </c>
      <c r="B922" t="s">
        <v>106</v>
      </c>
      <c r="C922" t="str">
        <f>VLOOKUP($B922,Keys!$F$2:$I$22,2,FALSE)</f>
        <v>lignite</v>
      </c>
      <c r="D922">
        <f>VLOOKUP($B922,Keys!$F$2:$I$22,3,FALSE)</f>
        <v>0</v>
      </c>
      <c r="E922" t="str">
        <f>VLOOKUP($B922,Keys!$F$2:$I$22,4,FALSE)</f>
        <v>rule</v>
      </c>
      <c r="F922" t="str">
        <f>$A922&amp;Keys!$C$54&amp;$B922</f>
        <v>VT|lignite</v>
      </c>
      <c r="G922" s="10">
        <f>IF($E922=Keys!$C$60,Keys!$C$51,INDEX(Balanced_2025!$D$9:$D$3032,MATCH($A922&amp;Keys!$C$54&amp;Keys!$C$55&amp;Keys!$C$54&amp;$C922,Balanced_2025!$E$9:$E$3032,0)))</f>
        <v>0</v>
      </c>
      <c r="H922" s="10">
        <f>IF($E922=Keys!$C$60,Keys!$C$51,INDEX(Balanced_2025!$D$9:$D$3032,MATCH($A922&amp;Keys!$C$54&amp;Keys!$C$56&amp;Keys!$C$54&amp;$C922,Balanced_2025!$E$9:$E$3032,0)))</f>
        <v>0</v>
      </c>
      <c r="I922" s="10">
        <f>IF($E922=Keys!$C$60,Keys!$C$51,INDEX(Balanced_2025!$D$9:$D$3032,MATCH($A922&amp;Keys!$C$54&amp;Keys!$C$57&amp;Keys!$C$54&amp;$C922,Balanced_2025!$E$9:$E$3032,0)))</f>
        <v>0</v>
      </c>
      <c r="J922" s="10">
        <f t="shared" si="56"/>
        <v>0</v>
      </c>
      <c r="K922" s="10">
        <f>MAX(Keys!$C$51,$I922-$H922)</f>
        <v>0</v>
      </c>
      <c r="L922" s="10">
        <f t="shared" si="57"/>
        <v>0</v>
      </c>
      <c r="M922" s="11">
        <f>IF($L922&gt;Keys!$C$51,MIN(Keys!$C$52,$K922/$L922),Keys!$C$51)</f>
        <v>0</v>
      </c>
      <c r="N922" s="11">
        <f>IF($E922=Keys!$C$60,Keys!$C$51,IF($E922=Keys!$C$59,$D922,$M922))</f>
        <v>0</v>
      </c>
      <c r="O922">
        <f t="shared" si="58"/>
        <v>0</v>
      </c>
      <c r="P922" s="10">
        <f>IF($E922=Keys!$C$60,Keys!$C$51,INDEX(Raw_BFPIaE!$G$9:$G$3032,MATCH($A922&amp;Keys!$C$54&amp;Keys!$C$55&amp;Keys!$C$54&amp;$B922,Raw_BFPIaE!$H$9:$H$3032,0)))</f>
        <v>0</v>
      </c>
      <c r="Q922" s="10">
        <f>IF($E922=Keys!$C$60,Keys!$C$51,INDEX(Raw_BFPIaE!$G$9:$G$3032,MATCH($A922&amp;Keys!$C$54&amp;Keys!$C$56&amp;Keys!$C$54&amp;$B922,Raw_BFPIaE!$H$9:$H$3032,0)))</f>
        <v>0</v>
      </c>
      <c r="R922" s="10">
        <f>IF($E922=Keys!$C$60,Keys!$C$51,INDEX(Raw_BFPIaE!$G$9:$G$3032,MATCH($A922&amp;Keys!$C$54&amp;Keys!$C$57&amp;Keys!$C$54&amp;$B922,Raw_BFPIaE!$H$9:$H$3032,0)))</f>
        <v>0</v>
      </c>
      <c r="S922" s="11">
        <f>IF(($P922+$Q922-$R922+MAX(Keys!$C$51,$R922-$Q922))&gt;Keys!$C$51,MIN(Keys!$C$52,MAX(Keys!$C$51,$R922-$Q922)/($P922+$Q922-$R922+MAX(Keys!$C$51,$R922-$Q922))),Keys!$C$51)</f>
        <v>0</v>
      </c>
      <c r="T922">
        <f>IF(AND($I922&gt;$H922,ABS($L922-$G922)&gt;MAX(Keys!$C$62,ABS($G922)*Keys!$C$63)),1,0)</f>
        <v>0</v>
      </c>
      <c r="U922">
        <f>IF(OR($N922&lt;Keys!$C$51,$N922&gt;Keys!$C$52),1,0)</f>
        <v>0</v>
      </c>
      <c r="V922">
        <f>IF(AND($E922=Keys!$C$60,$N922&lt;&gt;Keys!$C$51),1,0)</f>
        <v>0</v>
      </c>
      <c r="W922">
        <f>IF($L922&gt;Keys!$C$51,IF($K922/$L922&gt;Keys!$C$52,1,0),0)</f>
        <v>0</v>
      </c>
      <c r="X922" s="11">
        <f t="shared" si="59"/>
        <v>0</v>
      </c>
    </row>
    <row r="923" spans="1:24" x14ac:dyDescent="0.25">
      <c r="A923" t="s">
        <v>169</v>
      </c>
      <c r="B923" t="s">
        <v>109</v>
      </c>
      <c r="C923" t="str">
        <f>VLOOKUP($B923,Keys!$F$2:$I$22,2,FALSE)</f>
        <v>crude oil</v>
      </c>
      <c r="D923">
        <f>VLOOKUP($B923,Keys!$F$2:$I$22,3,FALSE)</f>
        <v>1</v>
      </c>
      <c r="E923" t="str">
        <f>VLOOKUP($B923,Keys!$F$2:$I$22,4,FALSE)</f>
        <v>hold</v>
      </c>
      <c r="F923" t="str">
        <f>$A923&amp;Keys!$C$54&amp;$B923</f>
        <v>VT|crude oil</v>
      </c>
      <c r="G923" s="10">
        <f>IF($E923=Keys!$C$60,Keys!$C$51,INDEX(Balanced_2025!$D$9:$D$3032,MATCH($A923&amp;Keys!$C$54&amp;Keys!$C$55&amp;Keys!$C$54&amp;$C923,Balanced_2025!$E$9:$E$3032,0)))</f>
        <v>0</v>
      </c>
      <c r="H923" s="10">
        <f>IF($E923=Keys!$C$60,Keys!$C$51,INDEX(Balanced_2025!$D$9:$D$3032,MATCH($A923&amp;Keys!$C$54&amp;Keys!$C$56&amp;Keys!$C$54&amp;$C923,Balanced_2025!$E$9:$E$3032,0)))</f>
        <v>81000000000</v>
      </c>
      <c r="I923" s="10">
        <f>IF($E923=Keys!$C$60,Keys!$C$51,INDEX(Balanced_2025!$D$9:$D$3032,MATCH($A923&amp;Keys!$C$54&amp;Keys!$C$57&amp;Keys!$C$54&amp;$C923,Balanced_2025!$E$9:$E$3032,0)))</f>
        <v>0</v>
      </c>
      <c r="J923" s="10">
        <f t="shared" si="56"/>
        <v>81000000000</v>
      </c>
      <c r="K923" s="10">
        <f>MAX(Keys!$C$51,$I923-$H923)</f>
        <v>0</v>
      </c>
      <c r="L923" s="10">
        <f t="shared" si="57"/>
        <v>81000000000</v>
      </c>
      <c r="M923" s="11">
        <f>IF($L923&gt;Keys!$C$51,MIN(Keys!$C$52,$K923/$L923),Keys!$C$51)</f>
        <v>0</v>
      </c>
      <c r="N923" s="11">
        <f>IF($E923=Keys!$C$60,Keys!$C$51,IF($E923=Keys!$C$59,$D923,$M923))</f>
        <v>1</v>
      </c>
      <c r="O923">
        <f t="shared" si="58"/>
        <v>0</v>
      </c>
      <c r="P923" s="10">
        <f>IF($E923=Keys!$C$60,Keys!$C$51,INDEX(Raw_BFPIaE!$G$9:$G$3032,MATCH($A923&amp;Keys!$C$54&amp;Keys!$C$55&amp;Keys!$C$54&amp;$B923,Raw_BFPIaE!$H$9:$H$3032,0)))</f>
        <v>0</v>
      </c>
      <c r="Q923" s="10">
        <f>IF($E923=Keys!$C$60,Keys!$C$51,INDEX(Raw_BFPIaE!$G$9:$G$3032,MATCH($A923&amp;Keys!$C$54&amp;Keys!$C$56&amp;Keys!$C$54&amp;$B923,Raw_BFPIaE!$H$9:$H$3032,0)))</f>
        <v>27000000000</v>
      </c>
      <c r="R923" s="10">
        <f>IF($E923=Keys!$C$60,Keys!$C$51,INDEX(Raw_BFPIaE!$G$9:$G$3032,MATCH($A923&amp;Keys!$C$54&amp;Keys!$C$57&amp;Keys!$C$54&amp;$B923,Raw_BFPIaE!$H$9:$H$3032,0)))</f>
        <v>0</v>
      </c>
      <c r="S923" s="11">
        <f>IF(($P923+$Q923-$R923+MAX(Keys!$C$51,$R923-$Q923))&gt;Keys!$C$51,MIN(Keys!$C$52,MAX(Keys!$C$51,$R923-$Q923)/($P923+$Q923-$R923+MAX(Keys!$C$51,$R923-$Q923))),Keys!$C$51)</f>
        <v>0</v>
      </c>
      <c r="T923">
        <f>IF(AND($I923&gt;$H923,ABS($L923-$G923)&gt;MAX(Keys!$C$62,ABS($G923)*Keys!$C$63)),1,0)</f>
        <v>0</v>
      </c>
      <c r="U923">
        <f>IF(OR($N923&lt;Keys!$C$51,$N923&gt;Keys!$C$52),1,0)</f>
        <v>0</v>
      </c>
      <c r="V923">
        <f>IF(AND($E923=Keys!$C$60,$N923&lt;&gt;Keys!$C$51),1,0)</f>
        <v>0</v>
      </c>
      <c r="W923">
        <f>IF($L923&gt;Keys!$C$51,IF($K923/$L923&gt;Keys!$C$52,1,0),0)</f>
        <v>0</v>
      </c>
      <c r="X923" s="11">
        <f t="shared" si="59"/>
        <v>0</v>
      </c>
    </row>
    <row r="924" spans="1:24" x14ac:dyDescent="0.25">
      <c r="A924" t="s">
        <v>169</v>
      </c>
      <c r="B924" t="s">
        <v>113</v>
      </c>
      <c r="C924" t="str">
        <f>VLOOKUP($B924,Keys!$F$2:$I$22,2,FALSE)</f>
        <v>heavy or residual fuel oil</v>
      </c>
      <c r="D924">
        <f>VLOOKUP($B924,Keys!$F$2:$I$22,3,FALSE)</f>
        <v>0.49914171099999999</v>
      </c>
      <c r="E924" t="str">
        <f>VLOOKUP($B924,Keys!$F$2:$I$22,4,FALSE)</f>
        <v>rule</v>
      </c>
      <c r="F924" t="str">
        <f>$A924&amp;Keys!$C$54&amp;$B924</f>
        <v>VT|heavy fuel oil</v>
      </c>
      <c r="G924" s="10">
        <f>IF($E924=Keys!$C$60,Keys!$C$51,INDEX(Balanced_2025!$D$9:$D$3032,MATCH($A924&amp;Keys!$C$54&amp;Keys!$C$55&amp;Keys!$C$54&amp;$C924,Balanced_2025!$E$9:$E$3032,0)))</f>
        <v>0</v>
      </c>
      <c r="H924" s="10">
        <f>IF($E924=Keys!$C$60,Keys!$C$51,INDEX(Balanced_2025!$D$9:$D$3032,MATCH($A924&amp;Keys!$C$54&amp;Keys!$C$56&amp;Keys!$C$54&amp;$C924,Balanced_2025!$E$9:$E$3032,0)))</f>
        <v>3714580000000</v>
      </c>
      <c r="I924" s="10">
        <f>IF($E924=Keys!$C$60,Keys!$C$51,INDEX(Balanced_2025!$D$9:$D$3032,MATCH($A924&amp;Keys!$C$54&amp;Keys!$C$57&amp;Keys!$C$54&amp;$C924,Balanced_2025!$E$9:$E$3032,0)))</f>
        <v>0</v>
      </c>
      <c r="J924" s="10">
        <f t="shared" si="56"/>
        <v>3714580000000</v>
      </c>
      <c r="K924" s="10">
        <f>MAX(Keys!$C$51,$I924-$H924)</f>
        <v>0</v>
      </c>
      <c r="L924" s="10">
        <f t="shared" si="57"/>
        <v>3714580000000</v>
      </c>
      <c r="M924" s="11">
        <f>IF($L924&gt;Keys!$C$51,MIN(Keys!$C$52,$K924/$L924),Keys!$C$51)</f>
        <v>0</v>
      </c>
      <c r="N924" s="11">
        <f>IF($E924=Keys!$C$60,Keys!$C$51,IF($E924=Keys!$C$59,$D924,$M924))</f>
        <v>0</v>
      </c>
      <c r="O924">
        <f t="shared" si="58"/>
        <v>1</v>
      </c>
      <c r="P924" s="10">
        <f>IF($E924=Keys!$C$60,Keys!$C$51,INDEX(Raw_BFPIaE!$G$9:$G$3032,MATCH($A924&amp;Keys!$C$54&amp;Keys!$C$55&amp;Keys!$C$54&amp;$B924,Raw_BFPIaE!$H$9:$H$3032,0)))</f>
        <v>0</v>
      </c>
      <c r="Q924" s="10">
        <f>IF($E924=Keys!$C$60,Keys!$C$51,INDEX(Raw_BFPIaE!$G$9:$G$3032,MATCH($A924&amp;Keys!$C$54&amp;Keys!$C$56&amp;Keys!$C$54&amp;$B924,Raw_BFPIaE!$H$9:$H$3032,0)))</f>
        <v>2485146666666.6665</v>
      </c>
      <c r="R924" s="10">
        <f>IF($E924=Keys!$C$60,Keys!$C$51,INDEX(Raw_BFPIaE!$G$9:$G$3032,MATCH($A924&amp;Keys!$C$54&amp;Keys!$C$57&amp;Keys!$C$54&amp;$B924,Raw_BFPIaE!$H$9:$H$3032,0)))</f>
        <v>0</v>
      </c>
      <c r="S924" s="11">
        <f>IF(($P924+$Q924-$R924+MAX(Keys!$C$51,$R924-$Q924))&gt;Keys!$C$51,MIN(Keys!$C$52,MAX(Keys!$C$51,$R924-$Q924)/($P924+$Q924-$R924+MAX(Keys!$C$51,$R924-$Q924))),Keys!$C$51)</f>
        <v>0</v>
      </c>
      <c r="T924">
        <f>IF(AND($I924&gt;$H924,ABS($L924-$G924)&gt;MAX(Keys!$C$62,ABS($G924)*Keys!$C$63)),1,0)</f>
        <v>0</v>
      </c>
      <c r="U924">
        <f>IF(OR($N924&lt;Keys!$C$51,$N924&gt;Keys!$C$52),1,0)</f>
        <v>0</v>
      </c>
      <c r="V924">
        <f>IF(AND($E924=Keys!$C$60,$N924&lt;&gt;Keys!$C$51),1,0)</f>
        <v>0</v>
      </c>
      <c r="W924">
        <f>IF($L924&gt;Keys!$C$51,IF($K924/$L924&gt;Keys!$C$52,1,0),0)</f>
        <v>0</v>
      </c>
      <c r="X924" s="11">
        <f t="shared" si="59"/>
        <v>0</v>
      </c>
    </row>
    <row r="925" spans="1:24" x14ac:dyDescent="0.25">
      <c r="A925" t="s">
        <v>169</v>
      </c>
      <c r="B925" t="s">
        <v>117</v>
      </c>
      <c r="C925" t="str">
        <f>VLOOKUP($B925,Keys!$F$2:$I$22,2,FALSE)</f>
        <v>LPG propane or butane</v>
      </c>
      <c r="D925">
        <f>VLOOKUP($B925,Keys!$F$2:$I$22,3,FALSE)</f>
        <v>0.54955999499999997</v>
      </c>
      <c r="E925" t="str">
        <f>VLOOKUP($B925,Keys!$F$2:$I$22,4,FALSE)</f>
        <v>rule</v>
      </c>
      <c r="F925" t="str">
        <f>$A925&amp;Keys!$C$54&amp;$B925</f>
        <v>VT|LPG propane or butane</v>
      </c>
      <c r="G925" s="10">
        <f>IF($E925=Keys!$C$60,Keys!$C$51,INDEX(Balanced_2025!$D$9:$D$3032,MATCH($A925&amp;Keys!$C$54&amp;Keys!$C$55&amp;Keys!$C$54&amp;$C925,Balanced_2025!$E$9:$E$3032,0)))</f>
        <v>0</v>
      </c>
      <c r="H925" s="10">
        <f>IF($E925=Keys!$C$60,Keys!$C$51,INDEX(Balanced_2025!$D$9:$D$3032,MATCH($A925&amp;Keys!$C$54&amp;Keys!$C$56&amp;Keys!$C$54&amp;$C925,Balanced_2025!$E$9:$E$3032,0)))</f>
        <v>8241600000000</v>
      </c>
      <c r="I925" s="10">
        <f>IF($E925=Keys!$C$60,Keys!$C$51,INDEX(Balanced_2025!$D$9:$D$3032,MATCH($A925&amp;Keys!$C$54&amp;Keys!$C$57&amp;Keys!$C$54&amp;$C925,Balanced_2025!$E$9:$E$3032,0)))</f>
        <v>0</v>
      </c>
      <c r="J925" s="10">
        <f t="shared" si="56"/>
        <v>8241600000000</v>
      </c>
      <c r="K925" s="10">
        <f>MAX(Keys!$C$51,$I925-$H925)</f>
        <v>0</v>
      </c>
      <c r="L925" s="10">
        <f t="shared" si="57"/>
        <v>8241600000000</v>
      </c>
      <c r="M925" s="11">
        <f>IF($L925&gt;Keys!$C$51,MIN(Keys!$C$52,$K925/$L925),Keys!$C$51)</f>
        <v>0</v>
      </c>
      <c r="N925" s="11">
        <f>IF($E925=Keys!$C$60,Keys!$C$51,IF($E925=Keys!$C$59,$D925,$M925))</f>
        <v>0</v>
      </c>
      <c r="O925">
        <f t="shared" si="58"/>
        <v>1</v>
      </c>
      <c r="P925" s="10">
        <f>IF($E925=Keys!$C$60,Keys!$C$51,INDEX(Raw_BFPIaE!$G$9:$G$3032,MATCH($A925&amp;Keys!$C$54&amp;Keys!$C$55&amp;Keys!$C$54&amp;$B925,Raw_BFPIaE!$H$9:$H$3032,0)))</f>
        <v>0</v>
      </c>
      <c r="Q925" s="10">
        <f>IF($E925=Keys!$C$60,Keys!$C$51,INDEX(Raw_BFPIaE!$G$9:$G$3032,MATCH($A925&amp;Keys!$C$54&amp;Keys!$C$56&amp;Keys!$C$54&amp;$B925,Raw_BFPIaE!$H$9:$H$3032,0)))</f>
        <v>5473543333333.333</v>
      </c>
      <c r="R925" s="10">
        <f>IF($E925=Keys!$C$60,Keys!$C$51,INDEX(Raw_BFPIaE!$G$9:$G$3032,MATCH($A925&amp;Keys!$C$54&amp;Keys!$C$57&amp;Keys!$C$54&amp;$B925,Raw_BFPIaE!$H$9:$H$3032,0)))</f>
        <v>0</v>
      </c>
      <c r="S925" s="11">
        <f>IF(($P925+$Q925-$R925+MAX(Keys!$C$51,$R925-$Q925))&gt;Keys!$C$51,MIN(Keys!$C$52,MAX(Keys!$C$51,$R925-$Q925)/($P925+$Q925-$R925+MAX(Keys!$C$51,$R925-$Q925))),Keys!$C$51)</f>
        <v>0</v>
      </c>
      <c r="T925">
        <f>IF(AND($I925&gt;$H925,ABS($L925-$G925)&gt;MAX(Keys!$C$62,ABS($G925)*Keys!$C$63)),1,0)</f>
        <v>0</v>
      </c>
      <c r="U925">
        <f>IF(OR($N925&lt;Keys!$C$51,$N925&gt;Keys!$C$52),1,0)</f>
        <v>0</v>
      </c>
      <c r="V925">
        <f>IF(AND($E925=Keys!$C$60,$N925&lt;&gt;Keys!$C$51),1,0)</f>
        <v>0</v>
      </c>
      <c r="W925">
        <f>IF($L925&gt;Keys!$C$51,IF($K925/$L925&gt;Keys!$C$52,1,0),0)</f>
        <v>0</v>
      </c>
      <c r="X925" s="11">
        <f t="shared" si="59"/>
        <v>0</v>
      </c>
    </row>
    <row r="926" spans="1:24" x14ac:dyDescent="0.25">
      <c r="A926" t="s">
        <v>169</v>
      </c>
      <c r="B926" t="s">
        <v>120</v>
      </c>
      <c r="C926">
        <f>VLOOKUP($B926,Keys!$F$2:$I$22,2,FALSE)</f>
        <v>0</v>
      </c>
      <c r="D926">
        <f>VLOOKUP($B926,Keys!$F$2:$I$22,3,FALSE)</f>
        <v>0</v>
      </c>
      <c r="E926" t="str">
        <f>VLOOKUP($B926,Keys!$F$2:$I$22,4,FALSE)</f>
        <v>zero</v>
      </c>
      <c r="F926" t="str">
        <f>$A926&amp;Keys!$C$54&amp;$B926</f>
        <v>VT|municipal solid waste</v>
      </c>
      <c r="G926" s="10">
        <f>IF($E926=Keys!$C$60,Keys!$C$51,INDEX(Balanced_2025!$D$9:$D$3032,MATCH($A926&amp;Keys!$C$54&amp;Keys!$C$55&amp;Keys!$C$54&amp;$C926,Balanced_2025!$E$9:$E$3032,0)))</f>
        <v>0</v>
      </c>
      <c r="H926" s="10">
        <f>IF($E926=Keys!$C$60,Keys!$C$51,INDEX(Balanced_2025!$D$9:$D$3032,MATCH($A926&amp;Keys!$C$54&amp;Keys!$C$56&amp;Keys!$C$54&amp;$C926,Balanced_2025!$E$9:$E$3032,0)))</f>
        <v>0</v>
      </c>
      <c r="I926" s="10">
        <f>IF($E926=Keys!$C$60,Keys!$C$51,INDEX(Balanced_2025!$D$9:$D$3032,MATCH($A926&amp;Keys!$C$54&amp;Keys!$C$57&amp;Keys!$C$54&amp;$C926,Balanced_2025!$E$9:$E$3032,0)))</f>
        <v>0</v>
      </c>
      <c r="J926" s="10">
        <f t="shared" si="56"/>
        <v>0</v>
      </c>
      <c r="K926" s="10">
        <f>MAX(Keys!$C$51,$I926-$H926)</f>
        <v>0</v>
      </c>
      <c r="L926" s="10">
        <f t="shared" si="57"/>
        <v>0</v>
      </c>
      <c r="M926" s="11">
        <f>IF($L926&gt;Keys!$C$51,MIN(Keys!$C$52,$K926/$L926),Keys!$C$51)</f>
        <v>0</v>
      </c>
      <c r="N926" s="11">
        <f>IF($E926=Keys!$C$60,Keys!$C$51,IF($E926=Keys!$C$59,$D926,$M926))</f>
        <v>0</v>
      </c>
      <c r="O926">
        <f t="shared" si="58"/>
        <v>0</v>
      </c>
      <c r="P926" s="10">
        <f>IF($E926=Keys!$C$60,Keys!$C$51,INDEX(Raw_BFPIaE!$G$9:$G$3032,MATCH($A926&amp;Keys!$C$54&amp;Keys!$C$55&amp;Keys!$C$54&amp;$B926,Raw_BFPIaE!$H$9:$H$3032,0)))</f>
        <v>0</v>
      </c>
      <c r="Q926" s="10">
        <f>IF($E926=Keys!$C$60,Keys!$C$51,INDEX(Raw_BFPIaE!$G$9:$G$3032,MATCH($A926&amp;Keys!$C$54&amp;Keys!$C$56&amp;Keys!$C$54&amp;$B926,Raw_BFPIaE!$H$9:$H$3032,0)))</f>
        <v>0</v>
      </c>
      <c r="R926" s="10">
        <f>IF($E926=Keys!$C$60,Keys!$C$51,INDEX(Raw_BFPIaE!$G$9:$G$3032,MATCH($A926&amp;Keys!$C$54&amp;Keys!$C$57&amp;Keys!$C$54&amp;$B926,Raw_BFPIaE!$H$9:$H$3032,0)))</f>
        <v>0</v>
      </c>
      <c r="S926" s="11">
        <f>IF(($P926+$Q926-$R926+MAX(Keys!$C$51,$R926-$Q926))&gt;Keys!$C$51,MIN(Keys!$C$52,MAX(Keys!$C$51,$R926-$Q926)/($P926+$Q926-$R926+MAX(Keys!$C$51,$R926-$Q926))),Keys!$C$51)</f>
        <v>0</v>
      </c>
      <c r="T926">
        <f>IF(AND($I926&gt;$H926,ABS($L926-$G926)&gt;MAX(Keys!$C$62,ABS($G926)*Keys!$C$63)),1,0)</f>
        <v>0</v>
      </c>
      <c r="U926">
        <f>IF(OR($N926&lt;Keys!$C$51,$N926&gt;Keys!$C$52),1,0)</f>
        <v>0</v>
      </c>
      <c r="V926">
        <f>IF(AND($E926=Keys!$C$60,$N926&lt;&gt;Keys!$C$51),1,0)</f>
        <v>0</v>
      </c>
      <c r="W926">
        <f>IF($L926&gt;Keys!$C$51,IF($K926/$L926&gt;Keys!$C$52,1,0),0)</f>
        <v>0</v>
      </c>
      <c r="X926" s="11">
        <f t="shared" si="59"/>
        <v>0</v>
      </c>
    </row>
    <row r="927" spans="1:24" x14ac:dyDescent="0.25">
      <c r="A927" t="s">
        <v>169</v>
      </c>
      <c r="B927" t="s">
        <v>123</v>
      </c>
      <c r="C927">
        <f>VLOOKUP($B927,Keys!$F$2:$I$22,2,FALSE)</f>
        <v>0</v>
      </c>
      <c r="D927">
        <f>VLOOKUP($B927,Keys!$F$2:$I$22,3,FALSE)</f>
        <v>0</v>
      </c>
      <c r="E927" t="str">
        <f>VLOOKUP($B927,Keys!$F$2:$I$22,4,FALSE)</f>
        <v>zero</v>
      </c>
      <c r="F927" t="str">
        <f>$A927&amp;Keys!$C$54&amp;$B927</f>
        <v>VT|hydrogen</v>
      </c>
      <c r="G927" s="10">
        <f>IF($E927=Keys!$C$60,Keys!$C$51,INDEX(Balanced_2025!$D$9:$D$3032,MATCH($A927&amp;Keys!$C$54&amp;Keys!$C$55&amp;Keys!$C$54&amp;$C927,Balanced_2025!$E$9:$E$3032,0)))</f>
        <v>0</v>
      </c>
      <c r="H927" s="10">
        <f>IF($E927=Keys!$C$60,Keys!$C$51,INDEX(Balanced_2025!$D$9:$D$3032,MATCH($A927&amp;Keys!$C$54&amp;Keys!$C$56&amp;Keys!$C$54&amp;$C927,Balanced_2025!$E$9:$E$3032,0)))</f>
        <v>0</v>
      </c>
      <c r="I927" s="10">
        <f>IF($E927=Keys!$C$60,Keys!$C$51,INDEX(Balanced_2025!$D$9:$D$3032,MATCH($A927&amp;Keys!$C$54&amp;Keys!$C$57&amp;Keys!$C$54&amp;$C927,Balanced_2025!$E$9:$E$3032,0)))</f>
        <v>0</v>
      </c>
      <c r="J927" s="10">
        <f t="shared" si="56"/>
        <v>0</v>
      </c>
      <c r="K927" s="10">
        <f>MAX(Keys!$C$51,$I927-$H927)</f>
        <v>0</v>
      </c>
      <c r="L927" s="10">
        <f t="shared" si="57"/>
        <v>0</v>
      </c>
      <c r="M927" s="11">
        <f>IF($L927&gt;Keys!$C$51,MIN(Keys!$C$52,$K927/$L927),Keys!$C$51)</f>
        <v>0</v>
      </c>
      <c r="N927" s="11">
        <f>IF($E927=Keys!$C$60,Keys!$C$51,IF($E927=Keys!$C$59,$D927,$M927))</f>
        <v>0</v>
      </c>
      <c r="O927">
        <f t="shared" si="58"/>
        <v>0</v>
      </c>
      <c r="P927" s="10">
        <f>IF($E927=Keys!$C$60,Keys!$C$51,INDEX(Raw_BFPIaE!$G$9:$G$3032,MATCH($A927&amp;Keys!$C$54&amp;Keys!$C$55&amp;Keys!$C$54&amp;$B927,Raw_BFPIaE!$H$9:$H$3032,0)))</f>
        <v>0</v>
      </c>
      <c r="Q927" s="10">
        <f>IF($E927=Keys!$C$60,Keys!$C$51,INDEX(Raw_BFPIaE!$G$9:$G$3032,MATCH($A927&amp;Keys!$C$54&amp;Keys!$C$56&amp;Keys!$C$54&amp;$B927,Raw_BFPIaE!$H$9:$H$3032,0)))</f>
        <v>0</v>
      </c>
      <c r="R927" s="10">
        <f>IF($E927=Keys!$C$60,Keys!$C$51,INDEX(Raw_BFPIaE!$G$9:$G$3032,MATCH($A927&amp;Keys!$C$54&amp;Keys!$C$57&amp;Keys!$C$54&amp;$B927,Raw_BFPIaE!$H$9:$H$3032,0)))</f>
        <v>0</v>
      </c>
      <c r="S927" s="11">
        <f>IF(($P927+$Q927-$R927+MAX(Keys!$C$51,$R927-$Q927))&gt;Keys!$C$51,MIN(Keys!$C$52,MAX(Keys!$C$51,$R927-$Q927)/($P927+$Q927-$R927+MAX(Keys!$C$51,$R927-$Q927))),Keys!$C$51)</f>
        <v>0</v>
      </c>
      <c r="T927">
        <f>IF(AND($I927&gt;$H927,ABS($L927-$G927)&gt;MAX(Keys!$C$62,ABS($G927)*Keys!$C$63)),1,0)</f>
        <v>0</v>
      </c>
      <c r="U927">
        <f>IF(OR($N927&lt;Keys!$C$51,$N927&gt;Keys!$C$52),1,0)</f>
        <v>0</v>
      </c>
      <c r="V927">
        <f>IF(AND($E927=Keys!$C$60,$N927&lt;&gt;Keys!$C$51),1,0)</f>
        <v>0</v>
      </c>
      <c r="W927">
        <f>IF($L927&gt;Keys!$C$51,IF($K927/$L927&gt;Keys!$C$52,1,0),0)</f>
        <v>0</v>
      </c>
      <c r="X927" s="11">
        <f t="shared" si="59"/>
        <v>0</v>
      </c>
    </row>
    <row r="928" spans="1:24" x14ac:dyDescent="0.25">
      <c r="A928" t="s">
        <v>171</v>
      </c>
      <c r="B928" t="s">
        <v>60</v>
      </c>
      <c r="C928">
        <f>VLOOKUP($B928,Keys!$F$2:$I$22,2,FALSE)</f>
        <v>0</v>
      </c>
      <c r="D928">
        <f>VLOOKUP($B928,Keys!$F$2:$I$22,3,FALSE)</f>
        <v>0</v>
      </c>
      <c r="E928" t="str">
        <f>VLOOKUP($B928,Keys!$F$2:$I$22,4,FALSE)</f>
        <v>zero</v>
      </c>
      <c r="F928" t="str">
        <f>$A928&amp;Keys!$C$54&amp;$B928</f>
        <v>WA|electricity (not used in this variable)</v>
      </c>
      <c r="G928" s="10">
        <f>IF($E928=Keys!$C$60,Keys!$C$51,INDEX(Balanced_2025!$D$9:$D$3032,MATCH($A928&amp;Keys!$C$54&amp;Keys!$C$55&amp;Keys!$C$54&amp;$C928,Balanced_2025!$E$9:$E$3032,0)))</f>
        <v>0</v>
      </c>
      <c r="H928" s="10">
        <f>IF($E928=Keys!$C$60,Keys!$C$51,INDEX(Balanced_2025!$D$9:$D$3032,MATCH($A928&amp;Keys!$C$54&amp;Keys!$C$56&amp;Keys!$C$54&amp;$C928,Balanced_2025!$E$9:$E$3032,0)))</f>
        <v>0</v>
      </c>
      <c r="I928" s="10">
        <f>IF($E928=Keys!$C$60,Keys!$C$51,INDEX(Balanced_2025!$D$9:$D$3032,MATCH($A928&amp;Keys!$C$54&amp;Keys!$C$57&amp;Keys!$C$54&amp;$C928,Balanced_2025!$E$9:$E$3032,0)))</f>
        <v>0</v>
      </c>
      <c r="J928" s="10">
        <f t="shared" si="56"/>
        <v>0</v>
      </c>
      <c r="K928" s="10">
        <f>MAX(Keys!$C$51,$I928-$H928)</f>
        <v>0</v>
      </c>
      <c r="L928" s="10">
        <f t="shared" si="57"/>
        <v>0</v>
      </c>
      <c r="M928" s="11">
        <f>IF($L928&gt;Keys!$C$51,MIN(Keys!$C$52,$K928/$L928),Keys!$C$51)</f>
        <v>0</v>
      </c>
      <c r="N928" s="11">
        <f>IF($E928=Keys!$C$60,Keys!$C$51,IF($E928=Keys!$C$59,$D928,$M928))</f>
        <v>0</v>
      </c>
      <c r="O928">
        <f t="shared" si="58"/>
        <v>0</v>
      </c>
      <c r="P928" s="10">
        <f>IF($E928=Keys!$C$60,Keys!$C$51,INDEX(Raw_BFPIaE!$G$9:$G$3032,MATCH($A928&amp;Keys!$C$54&amp;Keys!$C$55&amp;Keys!$C$54&amp;$B928,Raw_BFPIaE!$H$9:$H$3032,0)))</f>
        <v>0</v>
      </c>
      <c r="Q928" s="10">
        <f>IF($E928=Keys!$C$60,Keys!$C$51,INDEX(Raw_BFPIaE!$G$9:$G$3032,MATCH($A928&amp;Keys!$C$54&amp;Keys!$C$56&amp;Keys!$C$54&amp;$B928,Raw_BFPIaE!$H$9:$H$3032,0)))</f>
        <v>0</v>
      </c>
      <c r="R928" s="10">
        <f>IF($E928=Keys!$C$60,Keys!$C$51,INDEX(Raw_BFPIaE!$G$9:$G$3032,MATCH($A928&amp;Keys!$C$54&amp;Keys!$C$57&amp;Keys!$C$54&amp;$B928,Raw_BFPIaE!$H$9:$H$3032,0)))</f>
        <v>0</v>
      </c>
      <c r="S928" s="11">
        <f>IF(($P928+$Q928-$R928+MAX(Keys!$C$51,$R928-$Q928))&gt;Keys!$C$51,MIN(Keys!$C$52,MAX(Keys!$C$51,$R928-$Q928)/($P928+$Q928-$R928+MAX(Keys!$C$51,$R928-$Q928))),Keys!$C$51)</f>
        <v>0</v>
      </c>
      <c r="T928">
        <f>IF(AND($I928&gt;$H928,ABS($L928-$G928)&gt;MAX(Keys!$C$62,ABS($G928)*Keys!$C$63)),1,0)</f>
        <v>0</v>
      </c>
      <c r="U928">
        <f>IF(OR($N928&lt;Keys!$C$51,$N928&gt;Keys!$C$52),1,0)</f>
        <v>0</v>
      </c>
      <c r="V928">
        <f>IF(AND($E928=Keys!$C$60,$N928&lt;&gt;Keys!$C$51),1,0)</f>
        <v>0</v>
      </c>
      <c r="W928">
        <f>IF($L928&gt;Keys!$C$51,IF($K928/$L928&gt;Keys!$C$52,1,0),0)</f>
        <v>0</v>
      </c>
      <c r="X928" s="11">
        <f t="shared" si="59"/>
        <v>0</v>
      </c>
    </row>
    <row r="929" spans="1:24" x14ac:dyDescent="0.25">
      <c r="A929" t="s">
        <v>171</v>
      </c>
      <c r="B929" t="s">
        <v>64</v>
      </c>
      <c r="C929" t="str">
        <f>VLOOKUP($B929,Keys!$F$2:$I$22,2,FALSE)</f>
        <v>hard coal</v>
      </c>
      <c r="D929">
        <f>VLOOKUP($B929,Keys!$F$2:$I$22,3,FALSE)</f>
        <v>0.137539879</v>
      </c>
      <c r="E929" t="str">
        <f>VLOOKUP($B929,Keys!$F$2:$I$22,4,FALSE)</f>
        <v>rule</v>
      </c>
      <c r="F929" t="str">
        <f>$A929&amp;Keys!$C$54&amp;$B929</f>
        <v>WA|hard coal</v>
      </c>
      <c r="G929" s="10">
        <f>IF($E929=Keys!$C$60,Keys!$C$51,INDEX(Balanced_2025!$D$9:$D$3032,MATCH($A929&amp;Keys!$C$54&amp;Keys!$C$55&amp;Keys!$C$54&amp;$C929,Balanced_2025!$E$9:$E$3032,0)))</f>
        <v>0</v>
      </c>
      <c r="H929" s="10">
        <f>IF($E929=Keys!$C$60,Keys!$C$51,INDEX(Balanced_2025!$D$9:$D$3032,MATCH($A929&amp;Keys!$C$54&amp;Keys!$C$56&amp;Keys!$C$54&amp;$C929,Balanced_2025!$E$9:$E$3032,0)))</f>
        <v>40023700000000</v>
      </c>
      <c r="I929" s="10">
        <f>IF($E929=Keys!$C$60,Keys!$C$51,INDEX(Balanced_2025!$D$9:$D$3032,MATCH($A929&amp;Keys!$C$54&amp;Keys!$C$57&amp;Keys!$C$54&amp;$C929,Balanced_2025!$E$9:$E$3032,0)))</f>
        <v>0</v>
      </c>
      <c r="J929" s="10">
        <f t="shared" si="56"/>
        <v>40023700000000</v>
      </c>
      <c r="K929" s="10">
        <f>MAX(Keys!$C$51,$I929-$H929)</f>
        <v>0</v>
      </c>
      <c r="L929" s="10">
        <f t="shared" si="57"/>
        <v>40023700000000</v>
      </c>
      <c r="M929" s="11">
        <f>IF($L929&gt;Keys!$C$51,MIN(Keys!$C$52,$K929/$L929),Keys!$C$51)</f>
        <v>0</v>
      </c>
      <c r="N929" s="11">
        <f>IF($E929=Keys!$C$60,Keys!$C$51,IF($E929=Keys!$C$59,$D929,$M929))</f>
        <v>0</v>
      </c>
      <c r="O929">
        <f t="shared" si="58"/>
        <v>1</v>
      </c>
      <c r="P929" s="10">
        <f>IF($E929=Keys!$C$60,Keys!$C$51,INDEX(Raw_BFPIaE!$G$9:$G$3032,MATCH($A929&amp;Keys!$C$54&amp;Keys!$C$55&amp;Keys!$C$54&amp;$B929,Raw_BFPIaE!$H$9:$H$3032,0)))</f>
        <v>0</v>
      </c>
      <c r="Q929" s="10">
        <f>IF($E929=Keys!$C$60,Keys!$C$51,INDEX(Raw_BFPIaE!$G$9:$G$3032,MATCH($A929&amp;Keys!$C$54&amp;Keys!$C$56&amp;Keys!$C$54&amp;$B929,Raw_BFPIaE!$H$9:$H$3032,0)))</f>
        <v>35493533333333.336</v>
      </c>
      <c r="R929" s="10">
        <f>IF($E929=Keys!$C$60,Keys!$C$51,INDEX(Raw_BFPIaE!$G$9:$G$3032,MATCH($A929&amp;Keys!$C$54&amp;Keys!$C$57&amp;Keys!$C$54&amp;$B929,Raw_BFPIaE!$H$9:$H$3032,0)))</f>
        <v>0</v>
      </c>
      <c r="S929" s="11">
        <f>IF(($P929+$Q929-$R929+MAX(Keys!$C$51,$R929-$Q929))&gt;Keys!$C$51,MIN(Keys!$C$52,MAX(Keys!$C$51,$R929-$Q929)/($P929+$Q929-$R929+MAX(Keys!$C$51,$R929-$Q929))),Keys!$C$51)</f>
        <v>0</v>
      </c>
      <c r="T929">
        <f>IF(AND($I929&gt;$H929,ABS($L929-$G929)&gt;MAX(Keys!$C$62,ABS($G929)*Keys!$C$63)),1,0)</f>
        <v>0</v>
      </c>
      <c r="U929">
        <f>IF(OR($N929&lt;Keys!$C$51,$N929&gt;Keys!$C$52),1,0)</f>
        <v>0</v>
      </c>
      <c r="V929">
        <f>IF(AND($E929=Keys!$C$60,$N929&lt;&gt;Keys!$C$51),1,0)</f>
        <v>0</v>
      </c>
      <c r="W929">
        <f>IF($L929&gt;Keys!$C$51,IF($K929/$L929&gt;Keys!$C$52,1,0),0)</f>
        <v>0</v>
      </c>
      <c r="X929" s="11">
        <f t="shared" si="59"/>
        <v>0</v>
      </c>
    </row>
    <row r="930" spans="1:24" x14ac:dyDescent="0.25">
      <c r="A930" t="s">
        <v>171</v>
      </c>
      <c r="B930" t="s">
        <v>68</v>
      </c>
      <c r="C930" t="str">
        <f>VLOOKUP($B930,Keys!$F$2:$I$22,2,FALSE)</f>
        <v>natural gas</v>
      </c>
      <c r="D930">
        <f>VLOOKUP($B930,Keys!$F$2:$I$22,3,FALSE)</f>
        <v>0.190839183</v>
      </c>
      <c r="E930" t="str">
        <f>VLOOKUP($B930,Keys!$F$2:$I$22,4,FALSE)</f>
        <v>rule</v>
      </c>
      <c r="F930" t="str">
        <f>$A930&amp;Keys!$C$54&amp;$B930</f>
        <v>WA|natural gas</v>
      </c>
      <c r="G930" s="10">
        <f>IF($E930=Keys!$C$60,Keys!$C$51,INDEX(Balanced_2025!$D$9:$D$3032,MATCH($A930&amp;Keys!$C$54&amp;Keys!$C$55&amp;Keys!$C$54&amp;$C930,Balanced_2025!$E$9:$E$3032,0)))</f>
        <v>0</v>
      </c>
      <c r="H930" s="10">
        <f>IF($E930=Keys!$C$60,Keys!$C$51,INDEX(Balanced_2025!$D$9:$D$3032,MATCH($A930&amp;Keys!$C$54&amp;Keys!$C$56&amp;Keys!$C$54&amp;$C930,Balanced_2025!$E$9:$E$3032,0)))</f>
        <v>1368310000000000</v>
      </c>
      <c r="I930" s="10">
        <f>IF($E930=Keys!$C$60,Keys!$C$51,INDEX(Balanced_2025!$D$9:$D$3032,MATCH($A930&amp;Keys!$C$54&amp;Keys!$C$57&amp;Keys!$C$54&amp;$C930,Balanced_2025!$E$9:$E$3032,0)))</f>
        <v>974742000000000</v>
      </c>
      <c r="J930" s="10">
        <f t="shared" si="56"/>
        <v>393568000000000</v>
      </c>
      <c r="K930" s="10">
        <f>MAX(Keys!$C$51,$I930-$H930)</f>
        <v>0</v>
      </c>
      <c r="L930" s="10">
        <f t="shared" si="57"/>
        <v>393568000000000</v>
      </c>
      <c r="M930" s="11">
        <f>IF($L930&gt;Keys!$C$51,MIN(Keys!$C$52,$K930/$L930),Keys!$C$51)</f>
        <v>0</v>
      </c>
      <c r="N930" s="11">
        <f>IF($E930=Keys!$C$60,Keys!$C$51,IF($E930=Keys!$C$59,$D930,$M930))</f>
        <v>0</v>
      </c>
      <c r="O930">
        <f t="shared" si="58"/>
        <v>1</v>
      </c>
      <c r="P930" s="10">
        <f>IF($E930=Keys!$C$60,Keys!$C$51,INDEX(Raw_BFPIaE!$G$9:$G$3032,MATCH($A930&amp;Keys!$C$54&amp;Keys!$C$55&amp;Keys!$C$54&amp;$B930,Raw_BFPIaE!$H$9:$H$3032,0)))</f>
        <v>0</v>
      </c>
      <c r="Q930" s="10">
        <f>IF($E930=Keys!$C$60,Keys!$C$51,INDEX(Raw_BFPIaE!$G$9:$G$3032,MATCH($A930&amp;Keys!$C$54&amp;Keys!$C$56&amp;Keys!$C$54&amp;$B930,Raw_BFPIaE!$H$9:$H$3032,0)))</f>
        <v>1385250000000000</v>
      </c>
      <c r="R930" s="10">
        <f>IF($E930=Keys!$C$60,Keys!$C$51,INDEX(Raw_BFPIaE!$G$9:$G$3032,MATCH($A930&amp;Keys!$C$54&amp;Keys!$C$57&amp;Keys!$C$54&amp;$B930,Raw_BFPIaE!$H$9:$H$3032,0)))</f>
        <v>951830000000000</v>
      </c>
      <c r="S930" s="11">
        <f>IF(($P930+$Q930-$R930+MAX(Keys!$C$51,$R930-$Q930))&gt;Keys!$C$51,MIN(Keys!$C$52,MAX(Keys!$C$51,$R930-$Q930)/($P930+$Q930-$R930+MAX(Keys!$C$51,$R930-$Q930))),Keys!$C$51)</f>
        <v>0</v>
      </c>
      <c r="T930">
        <f>IF(AND($I930&gt;$H930,ABS($L930-$G930)&gt;MAX(Keys!$C$62,ABS($G930)*Keys!$C$63)),1,0)</f>
        <v>0</v>
      </c>
      <c r="U930">
        <f>IF(OR($N930&lt;Keys!$C$51,$N930&gt;Keys!$C$52),1,0)</f>
        <v>0</v>
      </c>
      <c r="V930">
        <f>IF(AND($E930=Keys!$C$60,$N930&lt;&gt;Keys!$C$51),1,0)</f>
        <v>0</v>
      </c>
      <c r="W930">
        <f>IF($L930&gt;Keys!$C$51,IF($K930/$L930&gt;Keys!$C$52,1,0),0)</f>
        <v>0</v>
      </c>
      <c r="X930" s="11">
        <f t="shared" si="59"/>
        <v>0</v>
      </c>
    </row>
    <row r="931" spans="1:24" x14ac:dyDescent="0.25">
      <c r="A931" t="s">
        <v>171</v>
      </c>
      <c r="B931" t="s">
        <v>71</v>
      </c>
      <c r="C931">
        <f>VLOOKUP($B931,Keys!$F$2:$I$22,2,FALSE)</f>
        <v>0</v>
      </c>
      <c r="D931">
        <f>VLOOKUP($B931,Keys!$F$2:$I$22,3,FALSE)</f>
        <v>0</v>
      </c>
      <c r="E931" t="str">
        <f>VLOOKUP($B931,Keys!$F$2:$I$22,4,FALSE)</f>
        <v>zero</v>
      </c>
      <c r="F931" t="str">
        <f>$A931&amp;Keys!$C$54&amp;$B931</f>
        <v>WA|nuclear</v>
      </c>
      <c r="G931" s="10">
        <f>IF($E931=Keys!$C$60,Keys!$C$51,INDEX(Balanced_2025!$D$9:$D$3032,MATCH($A931&amp;Keys!$C$54&amp;Keys!$C$55&amp;Keys!$C$54&amp;$C931,Balanced_2025!$E$9:$E$3032,0)))</f>
        <v>0</v>
      </c>
      <c r="H931" s="10">
        <f>IF($E931=Keys!$C$60,Keys!$C$51,INDEX(Balanced_2025!$D$9:$D$3032,MATCH($A931&amp;Keys!$C$54&amp;Keys!$C$56&amp;Keys!$C$54&amp;$C931,Balanced_2025!$E$9:$E$3032,0)))</f>
        <v>0</v>
      </c>
      <c r="I931" s="10">
        <f>IF($E931=Keys!$C$60,Keys!$C$51,INDEX(Balanced_2025!$D$9:$D$3032,MATCH($A931&amp;Keys!$C$54&amp;Keys!$C$57&amp;Keys!$C$54&amp;$C931,Balanced_2025!$E$9:$E$3032,0)))</f>
        <v>0</v>
      </c>
      <c r="J931" s="10">
        <f t="shared" si="56"/>
        <v>0</v>
      </c>
      <c r="K931" s="10">
        <f>MAX(Keys!$C$51,$I931-$H931)</f>
        <v>0</v>
      </c>
      <c r="L931" s="10">
        <f t="shared" si="57"/>
        <v>0</v>
      </c>
      <c r="M931" s="11">
        <f>IF($L931&gt;Keys!$C$51,MIN(Keys!$C$52,$K931/$L931),Keys!$C$51)</f>
        <v>0</v>
      </c>
      <c r="N931" s="11">
        <f>IF($E931=Keys!$C$60,Keys!$C$51,IF($E931=Keys!$C$59,$D931,$M931))</f>
        <v>0</v>
      </c>
      <c r="O931">
        <f t="shared" si="58"/>
        <v>0</v>
      </c>
      <c r="P931" s="10">
        <f>IF($E931=Keys!$C$60,Keys!$C$51,INDEX(Raw_BFPIaE!$G$9:$G$3032,MATCH($A931&amp;Keys!$C$54&amp;Keys!$C$55&amp;Keys!$C$54&amp;$B931,Raw_BFPIaE!$H$9:$H$3032,0)))</f>
        <v>0</v>
      </c>
      <c r="Q931" s="10">
        <f>IF($E931=Keys!$C$60,Keys!$C$51,INDEX(Raw_BFPIaE!$G$9:$G$3032,MATCH($A931&amp;Keys!$C$54&amp;Keys!$C$56&amp;Keys!$C$54&amp;$B931,Raw_BFPIaE!$H$9:$H$3032,0)))</f>
        <v>0</v>
      </c>
      <c r="R931" s="10">
        <f>IF($E931=Keys!$C$60,Keys!$C$51,INDEX(Raw_BFPIaE!$G$9:$G$3032,MATCH($A931&amp;Keys!$C$54&amp;Keys!$C$57&amp;Keys!$C$54&amp;$B931,Raw_BFPIaE!$H$9:$H$3032,0)))</f>
        <v>0</v>
      </c>
      <c r="S931" s="11">
        <f>IF(($P931+$Q931-$R931+MAX(Keys!$C$51,$R931-$Q931))&gt;Keys!$C$51,MIN(Keys!$C$52,MAX(Keys!$C$51,$R931-$Q931)/($P931+$Q931-$R931+MAX(Keys!$C$51,$R931-$Q931))),Keys!$C$51)</f>
        <v>0</v>
      </c>
      <c r="T931">
        <f>IF(AND($I931&gt;$H931,ABS($L931-$G931)&gt;MAX(Keys!$C$62,ABS($G931)*Keys!$C$63)),1,0)</f>
        <v>0</v>
      </c>
      <c r="U931">
        <f>IF(OR($N931&lt;Keys!$C$51,$N931&gt;Keys!$C$52),1,0)</f>
        <v>0</v>
      </c>
      <c r="V931">
        <f>IF(AND($E931=Keys!$C$60,$N931&lt;&gt;Keys!$C$51),1,0)</f>
        <v>0</v>
      </c>
      <c r="W931">
        <f>IF($L931&gt;Keys!$C$51,IF($K931/$L931&gt;Keys!$C$52,1,0),0)</f>
        <v>0</v>
      </c>
      <c r="X931" s="11">
        <f t="shared" si="59"/>
        <v>0</v>
      </c>
    </row>
    <row r="932" spans="1:24" x14ac:dyDescent="0.25">
      <c r="A932" t="s">
        <v>171</v>
      </c>
      <c r="B932" t="s">
        <v>74</v>
      </c>
      <c r="C932">
        <f>VLOOKUP($B932,Keys!$F$2:$I$22,2,FALSE)</f>
        <v>0</v>
      </c>
      <c r="D932">
        <f>VLOOKUP($B932,Keys!$F$2:$I$22,3,FALSE)</f>
        <v>0</v>
      </c>
      <c r="E932" t="str">
        <f>VLOOKUP($B932,Keys!$F$2:$I$22,4,FALSE)</f>
        <v>zero</v>
      </c>
      <c r="F932" t="str">
        <f>$A932&amp;Keys!$C$54&amp;$B932</f>
        <v>WA|hydro (is not a fuel)</v>
      </c>
      <c r="G932" s="10">
        <f>IF($E932=Keys!$C$60,Keys!$C$51,INDEX(Balanced_2025!$D$9:$D$3032,MATCH($A932&amp;Keys!$C$54&amp;Keys!$C$55&amp;Keys!$C$54&amp;$C932,Balanced_2025!$E$9:$E$3032,0)))</f>
        <v>0</v>
      </c>
      <c r="H932" s="10">
        <f>IF($E932=Keys!$C$60,Keys!$C$51,INDEX(Balanced_2025!$D$9:$D$3032,MATCH($A932&amp;Keys!$C$54&amp;Keys!$C$56&amp;Keys!$C$54&amp;$C932,Balanced_2025!$E$9:$E$3032,0)))</f>
        <v>0</v>
      </c>
      <c r="I932" s="10">
        <f>IF($E932=Keys!$C$60,Keys!$C$51,INDEX(Balanced_2025!$D$9:$D$3032,MATCH($A932&amp;Keys!$C$54&amp;Keys!$C$57&amp;Keys!$C$54&amp;$C932,Balanced_2025!$E$9:$E$3032,0)))</f>
        <v>0</v>
      </c>
      <c r="J932" s="10">
        <f t="shared" si="56"/>
        <v>0</v>
      </c>
      <c r="K932" s="10">
        <f>MAX(Keys!$C$51,$I932-$H932)</f>
        <v>0</v>
      </c>
      <c r="L932" s="10">
        <f t="shared" si="57"/>
        <v>0</v>
      </c>
      <c r="M932" s="11">
        <f>IF($L932&gt;Keys!$C$51,MIN(Keys!$C$52,$K932/$L932),Keys!$C$51)</f>
        <v>0</v>
      </c>
      <c r="N932" s="11">
        <f>IF($E932=Keys!$C$60,Keys!$C$51,IF($E932=Keys!$C$59,$D932,$M932))</f>
        <v>0</v>
      </c>
      <c r="O932">
        <f t="shared" si="58"/>
        <v>0</v>
      </c>
      <c r="P932" s="10">
        <f>IF($E932=Keys!$C$60,Keys!$C$51,INDEX(Raw_BFPIaE!$G$9:$G$3032,MATCH($A932&amp;Keys!$C$54&amp;Keys!$C$55&amp;Keys!$C$54&amp;$B932,Raw_BFPIaE!$H$9:$H$3032,0)))</f>
        <v>0</v>
      </c>
      <c r="Q932" s="10">
        <f>IF($E932=Keys!$C$60,Keys!$C$51,INDEX(Raw_BFPIaE!$G$9:$G$3032,MATCH($A932&amp;Keys!$C$54&amp;Keys!$C$56&amp;Keys!$C$54&amp;$B932,Raw_BFPIaE!$H$9:$H$3032,0)))</f>
        <v>0</v>
      </c>
      <c r="R932" s="10">
        <f>IF($E932=Keys!$C$60,Keys!$C$51,INDEX(Raw_BFPIaE!$G$9:$G$3032,MATCH($A932&amp;Keys!$C$54&amp;Keys!$C$57&amp;Keys!$C$54&amp;$B932,Raw_BFPIaE!$H$9:$H$3032,0)))</f>
        <v>0</v>
      </c>
      <c r="S932" s="11">
        <f>IF(($P932+$Q932-$R932+MAX(Keys!$C$51,$R932-$Q932))&gt;Keys!$C$51,MIN(Keys!$C$52,MAX(Keys!$C$51,$R932-$Q932)/($P932+$Q932-$R932+MAX(Keys!$C$51,$R932-$Q932))),Keys!$C$51)</f>
        <v>0</v>
      </c>
      <c r="T932">
        <f>IF(AND($I932&gt;$H932,ABS($L932-$G932)&gt;MAX(Keys!$C$62,ABS($G932)*Keys!$C$63)),1,0)</f>
        <v>0</v>
      </c>
      <c r="U932">
        <f>IF(OR($N932&lt;Keys!$C$51,$N932&gt;Keys!$C$52),1,0)</f>
        <v>0</v>
      </c>
      <c r="V932">
        <f>IF(AND($E932=Keys!$C$60,$N932&lt;&gt;Keys!$C$51),1,0)</f>
        <v>0</v>
      </c>
      <c r="W932">
        <f>IF($L932&gt;Keys!$C$51,IF($K932/$L932&gt;Keys!$C$52,1,0),0)</f>
        <v>0</v>
      </c>
      <c r="X932" s="11">
        <f t="shared" si="59"/>
        <v>0</v>
      </c>
    </row>
    <row r="933" spans="1:24" x14ac:dyDescent="0.25">
      <c r="A933" t="s">
        <v>171</v>
      </c>
      <c r="B933" t="s">
        <v>77</v>
      </c>
      <c r="C933">
        <f>VLOOKUP($B933,Keys!$F$2:$I$22,2,FALSE)</f>
        <v>0</v>
      </c>
      <c r="D933">
        <f>VLOOKUP($B933,Keys!$F$2:$I$22,3,FALSE)</f>
        <v>0</v>
      </c>
      <c r="E933" t="str">
        <f>VLOOKUP($B933,Keys!$F$2:$I$22,4,FALSE)</f>
        <v>zero</v>
      </c>
      <c r="F933" t="str">
        <f>$A933&amp;Keys!$C$54&amp;$B933</f>
        <v>WA|wind (is not a fuel)</v>
      </c>
      <c r="G933" s="10">
        <f>IF($E933=Keys!$C$60,Keys!$C$51,INDEX(Balanced_2025!$D$9:$D$3032,MATCH($A933&amp;Keys!$C$54&amp;Keys!$C$55&amp;Keys!$C$54&amp;$C933,Balanced_2025!$E$9:$E$3032,0)))</f>
        <v>0</v>
      </c>
      <c r="H933" s="10">
        <f>IF($E933=Keys!$C$60,Keys!$C$51,INDEX(Balanced_2025!$D$9:$D$3032,MATCH($A933&amp;Keys!$C$54&amp;Keys!$C$56&amp;Keys!$C$54&amp;$C933,Balanced_2025!$E$9:$E$3032,0)))</f>
        <v>0</v>
      </c>
      <c r="I933" s="10">
        <f>IF($E933=Keys!$C$60,Keys!$C$51,INDEX(Balanced_2025!$D$9:$D$3032,MATCH($A933&amp;Keys!$C$54&amp;Keys!$C$57&amp;Keys!$C$54&amp;$C933,Balanced_2025!$E$9:$E$3032,0)))</f>
        <v>0</v>
      </c>
      <c r="J933" s="10">
        <f t="shared" si="56"/>
        <v>0</v>
      </c>
      <c r="K933" s="10">
        <f>MAX(Keys!$C$51,$I933-$H933)</f>
        <v>0</v>
      </c>
      <c r="L933" s="10">
        <f t="shared" si="57"/>
        <v>0</v>
      </c>
      <c r="M933" s="11">
        <f>IF($L933&gt;Keys!$C$51,MIN(Keys!$C$52,$K933/$L933),Keys!$C$51)</f>
        <v>0</v>
      </c>
      <c r="N933" s="11">
        <f>IF($E933=Keys!$C$60,Keys!$C$51,IF($E933=Keys!$C$59,$D933,$M933))</f>
        <v>0</v>
      </c>
      <c r="O933">
        <f t="shared" si="58"/>
        <v>0</v>
      </c>
      <c r="P933" s="10">
        <f>IF($E933=Keys!$C$60,Keys!$C$51,INDEX(Raw_BFPIaE!$G$9:$G$3032,MATCH($A933&amp;Keys!$C$54&amp;Keys!$C$55&amp;Keys!$C$54&amp;$B933,Raw_BFPIaE!$H$9:$H$3032,0)))</f>
        <v>0</v>
      </c>
      <c r="Q933" s="10">
        <f>IF($E933=Keys!$C$60,Keys!$C$51,INDEX(Raw_BFPIaE!$G$9:$G$3032,MATCH($A933&amp;Keys!$C$54&amp;Keys!$C$56&amp;Keys!$C$54&amp;$B933,Raw_BFPIaE!$H$9:$H$3032,0)))</f>
        <v>0</v>
      </c>
      <c r="R933" s="10">
        <f>IF($E933=Keys!$C$60,Keys!$C$51,INDEX(Raw_BFPIaE!$G$9:$G$3032,MATCH($A933&amp;Keys!$C$54&amp;Keys!$C$57&amp;Keys!$C$54&amp;$B933,Raw_BFPIaE!$H$9:$H$3032,0)))</f>
        <v>0</v>
      </c>
      <c r="S933" s="11">
        <f>IF(($P933+$Q933-$R933+MAX(Keys!$C$51,$R933-$Q933))&gt;Keys!$C$51,MIN(Keys!$C$52,MAX(Keys!$C$51,$R933-$Q933)/($P933+$Q933-$R933+MAX(Keys!$C$51,$R933-$Q933))),Keys!$C$51)</f>
        <v>0</v>
      </c>
      <c r="T933">
        <f>IF(AND($I933&gt;$H933,ABS($L933-$G933)&gt;MAX(Keys!$C$62,ABS($G933)*Keys!$C$63)),1,0)</f>
        <v>0</v>
      </c>
      <c r="U933">
        <f>IF(OR($N933&lt;Keys!$C$51,$N933&gt;Keys!$C$52),1,0)</f>
        <v>0</v>
      </c>
      <c r="V933">
        <f>IF(AND($E933=Keys!$C$60,$N933&lt;&gt;Keys!$C$51),1,0)</f>
        <v>0</v>
      </c>
      <c r="W933">
        <f>IF($L933&gt;Keys!$C$51,IF($K933/$L933&gt;Keys!$C$52,1,0),0)</f>
        <v>0</v>
      </c>
      <c r="X933" s="11">
        <f t="shared" si="59"/>
        <v>0</v>
      </c>
    </row>
    <row r="934" spans="1:24" x14ac:dyDescent="0.25">
      <c r="A934" t="s">
        <v>171</v>
      </c>
      <c r="B934" t="s">
        <v>80</v>
      </c>
      <c r="C934">
        <f>VLOOKUP($B934,Keys!$F$2:$I$22,2,FALSE)</f>
        <v>0</v>
      </c>
      <c r="D934">
        <f>VLOOKUP($B934,Keys!$F$2:$I$22,3,FALSE)</f>
        <v>0</v>
      </c>
      <c r="E934" t="str">
        <f>VLOOKUP($B934,Keys!$F$2:$I$22,4,FALSE)</f>
        <v>zero</v>
      </c>
      <c r="F934" t="str">
        <f>$A934&amp;Keys!$C$54&amp;$B934</f>
        <v>WA|solar (is not a fuel)</v>
      </c>
      <c r="G934" s="10">
        <f>IF($E934=Keys!$C$60,Keys!$C$51,INDEX(Balanced_2025!$D$9:$D$3032,MATCH($A934&amp;Keys!$C$54&amp;Keys!$C$55&amp;Keys!$C$54&amp;$C934,Balanced_2025!$E$9:$E$3032,0)))</f>
        <v>0</v>
      </c>
      <c r="H934" s="10">
        <f>IF($E934=Keys!$C$60,Keys!$C$51,INDEX(Balanced_2025!$D$9:$D$3032,MATCH($A934&amp;Keys!$C$54&amp;Keys!$C$56&amp;Keys!$C$54&amp;$C934,Balanced_2025!$E$9:$E$3032,0)))</f>
        <v>0</v>
      </c>
      <c r="I934" s="10">
        <f>IF($E934=Keys!$C$60,Keys!$C$51,INDEX(Balanced_2025!$D$9:$D$3032,MATCH($A934&amp;Keys!$C$54&amp;Keys!$C$57&amp;Keys!$C$54&amp;$C934,Balanced_2025!$E$9:$E$3032,0)))</f>
        <v>0</v>
      </c>
      <c r="J934" s="10">
        <f t="shared" si="56"/>
        <v>0</v>
      </c>
      <c r="K934" s="10">
        <f>MAX(Keys!$C$51,$I934-$H934)</f>
        <v>0</v>
      </c>
      <c r="L934" s="10">
        <f t="shared" si="57"/>
        <v>0</v>
      </c>
      <c r="M934" s="11">
        <f>IF($L934&gt;Keys!$C$51,MIN(Keys!$C$52,$K934/$L934),Keys!$C$51)</f>
        <v>0</v>
      </c>
      <c r="N934" s="11">
        <f>IF($E934=Keys!$C$60,Keys!$C$51,IF($E934=Keys!$C$59,$D934,$M934))</f>
        <v>0</v>
      </c>
      <c r="O934">
        <f t="shared" si="58"/>
        <v>0</v>
      </c>
      <c r="P934" s="10">
        <f>IF($E934=Keys!$C$60,Keys!$C$51,INDEX(Raw_BFPIaE!$G$9:$G$3032,MATCH($A934&amp;Keys!$C$54&amp;Keys!$C$55&amp;Keys!$C$54&amp;$B934,Raw_BFPIaE!$H$9:$H$3032,0)))</f>
        <v>0</v>
      </c>
      <c r="Q934" s="10">
        <f>IF($E934=Keys!$C$60,Keys!$C$51,INDEX(Raw_BFPIaE!$G$9:$G$3032,MATCH($A934&amp;Keys!$C$54&amp;Keys!$C$56&amp;Keys!$C$54&amp;$B934,Raw_BFPIaE!$H$9:$H$3032,0)))</f>
        <v>0</v>
      </c>
      <c r="R934" s="10">
        <f>IF($E934=Keys!$C$60,Keys!$C$51,INDEX(Raw_BFPIaE!$G$9:$G$3032,MATCH($A934&amp;Keys!$C$54&amp;Keys!$C$57&amp;Keys!$C$54&amp;$B934,Raw_BFPIaE!$H$9:$H$3032,0)))</f>
        <v>0</v>
      </c>
      <c r="S934" s="11">
        <f>IF(($P934+$Q934-$R934+MAX(Keys!$C$51,$R934-$Q934))&gt;Keys!$C$51,MIN(Keys!$C$52,MAX(Keys!$C$51,$R934-$Q934)/($P934+$Q934-$R934+MAX(Keys!$C$51,$R934-$Q934))),Keys!$C$51)</f>
        <v>0</v>
      </c>
      <c r="T934">
        <f>IF(AND($I934&gt;$H934,ABS($L934-$G934)&gt;MAX(Keys!$C$62,ABS($G934)*Keys!$C$63)),1,0)</f>
        <v>0</v>
      </c>
      <c r="U934">
        <f>IF(OR($N934&lt;Keys!$C$51,$N934&gt;Keys!$C$52),1,0)</f>
        <v>0</v>
      </c>
      <c r="V934">
        <f>IF(AND($E934=Keys!$C$60,$N934&lt;&gt;Keys!$C$51),1,0)</f>
        <v>0</v>
      </c>
      <c r="W934">
        <f>IF($L934&gt;Keys!$C$51,IF($K934/$L934&gt;Keys!$C$52,1,0),0)</f>
        <v>0</v>
      </c>
      <c r="X934" s="11">
        <f t="shared" si="59"/>
        <v>0</v>
      </c>
    </row>
    <row r="935" spans="1:24" x14ac:dyDescent="0.25">
      <c r="A935" t="s">
        <v>171</v>
      </c>
      <c r="B935" t="s">
        <v>82</v>
      </c>
      <c r="C935" t="str">
        <f>VLOOKUP($B935,Keys!$F$2:$I$22,2,FALSE)</f>
        <v>biomass</v>
      </c>
      <c r="D935">
        <f>VLOOKUP($B935,Keys!$F$2:$I$22,3,FALSE)</f>
        <v>0.74947425499999998</v>
      </c>
      <c r="E935" t="str">
        <f>VLOOKUP($B935,Keys!$F$2:$I$22,4,FALSE)</f>
        <v>rule</v>
      </c>
      <c r="F935" t="str">
        <f>$A935&amp;Keys!$C$54&amp;$B935</f>
        <v>WA|biomass</v>
      </c>
      <c r="G935" s="10">
        <f>IF($E935=Keys!$C$60,Keys!$C$51,INDEX(Balanced_2025!$D$9:$D$3032,MATCH($A935&amp;Keys!$C$54&amp;Keys!$C$55&amp;Keys!$C$54&amp;$C935,Balanced_2025!$E$9:$E$3032,0)))</f>
        <v>1600000000000</v>
      </c>
      <c r="H935" s="10">
        <f>IF($E935=Keys!$C$60,Keys!$C$51,INDEX(Balanced_2025!$D$9:$D$3032,MATCH($A935&amp;Keys!$C$54&amp;Keys!$C$56&amp;Keys!$C$54&amp;$C935,Balanced_2025!$E$9:$E$3032,0)))</f>
        <v>88971200000000</v>
      </c>
      <c r="I935" s="10">
        <f>IF($E935=Keys!$C$60,Keys!$C$51,INDEX(Balanced_2025!$D$9:$D$3032,MATCH($A935&amp;Keys!$C$54&amp;Keys!$C$57&amp;Keys!$C$54&amp;$C935,Balanced_2025!$E$9:$E$3032,0)))</f>
        <v>0</v>
      </c>
      <c r="J935" s="10">
        <f t="shared" si="56"/>
        <v>90571200000000</v>
      </c>
      <c r="K935" s="10">
        <f>MAX(Keys!$C$51,$I935-$H935)</f>
        <v>0</v>
      </c>
      <c r="L935" s="10">
        <f t="shared" si="57"/>
        <v>90571200000000</v>
      </c>
      <c r="M935" s="11">
        <f>IF($L935&gt;Keys!$C$51,MIN(Keys!$C$52,$K935/$L935),Keys!$C$51)</f>
        <v>0</v>
      </c>
      <c r="N935" s="11">
        <f>IF($E935=Keys!$C$60,Keys!$C$51,IF($E935=Keys!$C$59,$D935,$M935))</f>
        <v>0</v>
      </c>
      <c r="O935">
        <f t="shared" si="58"/>
        <v>1</v>
      </c>
      <c r="P935" s="10">
        <f>IF($E935=Keys!$C$60,Keys!$C$51,INDEX(Raw_BFPIaE!$G$9:$G$3032,MATCH($A935&amp;Keys!$C$54&amp;Keys!$C$55&amp;Keys!$C$54&amp;$B935,Raw_BFPIaE!$H$9:$H$3032,0)))</f>
        <v>1600000000000</v>
      </c>
      <c r="Q935" s="10">
        <f>IF($E935=Keys!$C$60,Keys!$C$51,INDEX(Raw_BFPIaE!$G$9:$G$3032,MATCH($A935&amp;Keys!$C$54&amp;Keys!$C$56&amp;Keys!$C$54&amp;$B935,Raw_BFPIaE!$H$9:$H$3032,0)))</f>
        <v>59017566666666.664</v>
      </c>
      <c r="R935" s="10">
        <f>IF($E935=Keys!$C$60,Keys!$C$51,INDEX(Raw_BFPIaE!$G$9:$G$3032,MATCH($A935&amp;Keys!$C$54&amp;Keys!$C$57&amp;Keys!$C$54&amp;$B935,Raw_BFPIaE!$H$9:$H$3032,0)))</f>
        <v>0</v>
      </c>
      <c r="S935" s="11">
        <f>IF(($P935+$Q935-$R935+MAX(Keys!$C$51,$R935-$Q935))&gt;Keys!$C$51,MIN(Keys!$C$52,MAX(Keys!$C$51,$R935-$Q935)/($P935+$Q935-$R935+MAX(Keys!$C$51,$R935-$Q935))),Keys!$C$51)</f>
        <v>0</v>
      </c>
      <c r="T935">
        <f>IF(AND($I935&gt;$H935,ABS($L935-$G935)&gt;MAX(Keys!$C$62,ABS($G935)*Keys!$C$63)),1,0)</f>
        <v>0</v>
      </c>
      <c r="U935">
        <f>IF(OR($N935&lt;Keys!$C$51,$N935&gt;Keys!$C$52),1,0)</f>
        <v>0</v>
      </c>
      <c r="V935">
        <f>IF(AND($E935=Keys!$C$60,$N935&lt;&gt;Keys!$C$51),1,0)</f>
        <v>0</v>
      </c>
      <c r="W935">
        <f>IF($L935&gt;Keys!$C$51,IF($K935/$L935&gt;Keys!$C$52,1,0),0)</f>
        <v>0</v>
      </c>
      <c r="X935" s="11">
        <f t="shared" si="59"/>
        <v>0</v>
      </c>
    </row>
    <row r="936" spans="1:24" x14ac:dyDescent="0.25">
      <c r="A936" t="s">
        <v>171</v>
      </c>
      <c r="B936" t="s">
        <v>85</v>
      </c>
      <c r="C936" t="str">
        <f>VLOOKUP($B936,Keys!$F$2:$I$22,2,FALSE)</f>
        <v>petroleum gasoline</v>
      </c>
      <c r="D936">
        <f>VLOOKUP($B936,Keys!$F$2:$I$22,3,FALSE)</f>
        <v>7.5004052000000002E-2</v>
      </c>
      <c r="E936" t="str">
        <f>VLOOKUP($B936,Keys!$F$2:$I$22,4,FALSE)</f>
        <v>rule</v>
      </c>
      <c r="F936" t="str">
        <f>$A936&amp;Keys!$C$54&amp;$B936</f>
        <v>WA|petroleum gasoline</v>
      </c>
      <c r="G936" s="10">
        <f>IF($E936=Keys!$C$60,Keys!$C$51,INDEX(Balanced_2025!$D$9:$D$3032,MATCH($A936&amp;Keys!$C$54&amp;Keys!$C$55&amp;Keys!$C$54&amp;$C936,Balanced_2025!$E$9:$E$3032,0)))</f>
        <v>629078000000000</v>
      </c>
      <c r="H936" s="10">
        <f>IF($E936=Keys!$C$60,Keys!$C$51,INDEX(Balanced_2025!$D$9:$D$3032,MATCH($A936&amp;Keys!$C$54&amp;Keys!$C$56&amp;Keys!$C$54&amp;$C936,Balanced_2025!$E$9:$E$3032,0)))</f>
        <v>12127200000000</v>
      </c>
      <c r="I936" s="10">
        <f>IF($E936=Keys!$C$60,Keys!$C$51,INDEX(Balanced_2025!$D$9:$D$3032,MATCH($A936&amp;Keys!$C$54&amp;Keys!$C$57&amp;Keys!$C$54&amp;$C936,Balanced_2025!$E$9:$E$3032,0)))</f>
        <v>368101000000000</v>
      </c>
      <c r="J936" s="10">
        <f t="shared" si="56"/>
        <v>273104200000000</v>
      </c>
      <c r="K936" s="10">
        <f>MAX(Keys!$C$51,$I936-$H936)</f>
        <v>355973800000000</v>
      </c>
      <c r="L936" s="10">
        <f t="shared" si="57"/>
        <v>629078000000000</v>
      </c>
      <c r="M936" s="11">
        <f>IF($L936&gt;Keys!$C$51,MIN(Keys!$C$52,$K936/$L936),Keys!$C$51)</f>
        <v>0.56586591805785613</v>
      </c>
      <c r="N936" s="11">
        <f>IF($E936=Keys!$C$60,Keys!$C$51,IF($E936=Keys!$C$59,$D936,$M936))</f>
        <v>0.56586591805785613</v>
      </c>
      <c r="O936">
        <f t="shared" si="58"/>
        <v>1</v>
      </c>
      <c r="P936" s="10">
        <f>IF($E936=Keys!$C$60,Keys!$C$51,INDEX(Raw_BFPIaE!$G$9:$G$3032,MATCH($A936&amp;Keys!$C$54&amp;Keys!$C$55&amp;Keys!$C$54&amp;$B936,Raw_BFPIaE!$H$9:$H$3032,0)))</f>
        <v>623995666666666.63</v>
      </c>
      <c r="Q936" s="10">
        <f>IF($E936=Keys!$C$60,Keys!$C$51,INDEX(Raw_BFPIaE!$G$9:$G$3032,MATCH($A936&amp;Keys!$C$54&amp;Keys!$C$56&amp;Keys!$C$54&amp;$B936,Raw_BFPIaE!$H$9:$H$3032,0)))</f>
        <v>0</v>
      </c>
      <c r="R936" s="10">
        <f>IF($E936=Keys!$C$60,Keys!$C$51,INDEX(Raw_BFPIaE!$G$9:$G$3032,MATCH($A936&amp;Keys!$C$54&amp;Keys!$C$57&amp;Keys!$C$54&amp;$B936,Raw_BFPIaE!$H$9:$H$3032,0)))</f>
        <v>246794466666666.66</v>
      </c>
      <c r="S936" s="11">
        <f>IF(($P936+$Q936-$R936+MAX(Keys!$C$51,$R936-$Q936))&gt;Keys!$C$51,MIN(Keys!$C$52,MAX(Keys!$C$51,$R936-$Q936)/($P936+$Q936-$R936+MAX(Keys!$C$51,$R936-$Q936))),Keys!$C$51)</f>
        <v>0.39550669956575552</v>
      </c>
      <c r="T936">
        <f>IF(AND($I936&gt;$H936,ABS($L936-$G936)&gt;MAX(Keys!$C$62,ABS($G936)*Keys!$C$63)),1,0)</f>
        <v>0</v>
      </c>
      <c r="U936">
        <f>IF(OR($N936&lt;Keys!$C$51,$N936&gt;Keys!$C$52),1,0)</f>
        <v>0</v>
      </c>
      <c r="V936">
        <f>IF(AND($E936=Keys!$C$60,$N936&lt;&gt;Keys!$C$51),1,0)</f>
        <v>0</v>
      </c>
      <c r="W936">
        <f>IF($L936&gt;Keys!$C$51,IF($K936/$L936&gt;Keys!$C$52,1,0),0)</f>
        <v>0</v>
      </c>
      <c r="X936" s="11">
        <f t="shared" si="59"/>
        <v>0.17035921849210062</v>
      </c>
    </row>
    <row r="937" spans="1:24" x14ac:dyDescent="0.25">
      <c r="A937" t="s">
        <v>171</v>
      </c>
      <c r="B937" t="s">
        <v>88</v>
      </c>
      <c r="C937" t="str">
        <f>VLOOKUP($B937,Keys!$F$2:$I$22,2,FALSE)</f>
        <v>petroleum diesel</v>
      </c>
      <c r="D937">
        <f>VLOOKUP($B937,Keys!$F$2:$I$22,3,FALSE)</f>
        <v>0.26691051799999999</v>
      </c>
      <c r="E937" t="str">
        <f>VLOOKUP($B937,Keys!$F$2:$I$22,4,FALSE)</f>
        <v>rule</v>
      </c>
      <c r="F937" t="str">
        <f>$A937&amp;Keys!$C$54&amp;$B937</f>
        <v>WA|petroleum diesel</v>
      </c>
      <c r="G937" s="10">
        <f>IF($E937=Keys!$C$60,Keys!$C$51,INDEX(Balanced_2025!$D$9:$D$3032,MATCH($A937&amp;Keys!$C$54&amp;Keys!$C$55&amp;Keys!$C$54&amp;$C937,Balanced_2025!$E$9:$E$3032,0)))</f>
        <v>372109000000000</v>
      </c>
      <c r="H937" s="10">
        <f>IF($E937=Keys!$C$60,Keys!$C$51,INDEX(Balanced_2025!$D$9:$D$3032,MATCH($A937&amp;Keys!$C$54&amp;Keys!$C$56&amp;Keys!$C$54&amp;$C937,Balanced_2025!$E$9:$E$3032,0)))</f>
        <v>1625670000000</v>
      </c>
      <c r="I937" s="10">
        <f>IF($E937=Keys!$C$60,Keys!$C$51,INDEX(Balanced_2025!$D$9:$D$3032,MATCH($A937&amp;Keys!$C$54&amp;Keys!$C$57&amp;Keys!$C$54&amp;$C937,Balanced_2025!$E$9:$E$3032,0)))</f>
        <v>221658000000000</v>
      </c>
      <c r="J937" s="10">
        <f t="shared" si="56"/>
        <v>152076670000000</v>
      </c>
      <c r="K937" s="10">
        <f>MAX(Keys!$C$51,$I937-$H937)</f>
        <v>220032330000000</v>
      </c>
      <c r="L937" s="10">
        <f t="shared" si="57"/>
        <v>372109000000000</v>
      </c>
      <c r="M937" s="11">
        <f>IF($L937&gt;Keys!$C$51,MIN(Keys!$C$52,$K937/$L937),Keys!$C$51)</f>
        <v>0.59131149743757883</v>
      </c>
      <c r="N937" s="11">
        <f>IF($E937=Keys!$C$60,Keys!$C$51,IF($E937=Keys!$C$59,$D937,$M937))</f>
        <v>0.59131149743757883</v>
      </c>
      <c r="O937">
        <f t="shared" si="58"/>
        <v>1</v>
      </c>
      <c r="P937" s="10">
        <f>IF($E937=Keys!$C$60,Keys!$C$51,INDEX(Raw_BFPIaE!$G$9:$G$3032,MATCH($A937&amp;Keys!$C$54&amp;Keys!$C$55&amp;Keys!$C$54&amp;$B937,Raw_BFPIaE!$H$9:$H$3032,0)))</f>
        <v>369102666666666.69</v>
      </c>
      <c r="Q937" s="10">
        <f>IF($E937=Keys!$C$60,Keys!$C$51,INDEX(Raw_BFPIaE!$G$9:$G$3032,MATCH($A937&amp;Keys!$C$54&amp;Keys!$C$56&amp;Keys!$C$54&amp;$B937,Raw_BFPIaE!$H$9:$H$3032,0)))</f>
        <v>0</v>
      </c>
      <c r="R937" s="10">
        <f>IF($E937=Keys!$C$60,Keys!$C$51,INDEX(Raw_BFPIaE!$G$9:$G$3032,MATCH($A937&amp;Keys!$C$54&amp;Keys!$C$57&amp;Keys!$C$54&amp;$B937,Raw_BFPIaE!$H$9:$H$3032,0)))</f>
        <v>169439533333333.34</v>
      </c>
      <c r="S937" s="11">
        <f>IF(($P937+$Q937-$R937+MAX(Keys!$C$51,$R937-$Q937))&gt;Keys!$C$51,MIN(Keys!$C$52,MAX(Keys!$C$51,$R937-$Q937)/($P937+$Q937-$R937+MAX(Keys!$C$51,$R937-$Q937))),Keys!$C$51)</f>
        <v>0.45905800373518479</v>
      </c>
      <c r="T937">
        <f>IF(AND($I937&gt;$H937,ABS($L937-$G937)&gt;MAX(Keys!$C$62,ABS($G937)*Keys!$C$63)),1,0)</f>
        <v>0</v>
      </c>
      <c r="U937">
        <f>IF(OR($N937&lt;Keys!$C$51,$N937&gt;Keys!$C$52),1,0)</f>
        <v>0</v>
      </c>
      <c r="V937">
        <f>IF(AND($E937=Keys!$C$60,$N937&lt;&gt;Keys!$C$51),1,0)</f>
        <v>0</v>
      </c>
      <c r="W937">
        <f>IF($L937&gt;Keys!$C$51,IF($K937/$L937&gt;Keys!$C$52,1,0),0)</f>
        <v>0</v>
      </c>
      <c r="X937" s="11">
        <f t="shared" si="59"/>
        <v>0.13225349370239403</v>
      </c>
    </row>
    <row r="938" spans="1:24" x14ac:dyDescent="0.25">
      <c r="A938" t="s">
        <v>171</v>
      </c>
      <c r="B938" t="s">
        <v>91</v>
      </c>
      <c r="C938" t="str">
        <f>VLOOKUP($B938,Keys!$F$2:$I$22,2,FALSE)</f>
        <v>biofuel gasoline</v>
      </c>
      <c r="D938">
        <f>VLOOKUP($B938,Keys!$F$2:$I$22,3,FALSE)</f>
        <v>8.7213884000000005E-2</v>
      </c>
      <c r="E938" t="str">
        <f>VLOOKUP($B938,Keys!$F$2:$I$22,4,FALSE)</f>
        <v>rule</v>
      </c>
      <c r="F938" t="str">
        <f>$A938&amp;Keys!$C$54&amp;$B938</f>
        <v>WA|biofuel gasoline</v>
      </c>
      <c r="G938" s="10">
        <f>IF($E938=Keys!$C$60,Keys!$C$51,INDEX(Balanced_2025!$D$9:$D$3032,MATCH($A938&amp;Keys!$C$54&amp;Keys!$C$55&amp;Keys!$C$54&amp;$C938,Balanced_2025!$E$9:$E$3032,0)))</f>
        <v>0</v>
      </c>
      <c r="H938" s="10">
        <f>IF($E938=Keys!$C$60,Keys!$C$51,INDEX(Balanced_2025!$D$9:$D$3032,MATCH($A938&amp;Keys!$C$54&amp;Keys!$C$56&amp;Keys!$C$54&amp;$C938,Balanced_2025!$E$9:$E$3032,0)))</f>
        <v>20012800000000</v>
      </c>
      <c r="I938" s="10">
        <f>IF($E938=Keys!$C$60,Keys!$C$51,INDEX(Balanced_2025!$D$9:$D$3032,MATCH($A938&amp;Keys!$C$54&amp;Keys!$C$57&amp;Keys!$C$54&amp;$C938,Balanced_2025!$E$9:$E$3032,0)))</f>
        <v>0</v>
      </c>
      <c r="J938" s="10">
        <f t="shared" si="56"/>
        <v>20012800000000</v>
      </c>
      <c r="K938" s="10">
        <f>MAX(Keys!$C$51,$I938-$H938)</f>
        <v>0</v>
      </c>
      <c r="L938" s="10">
        <f t="shared" si="57"/>
        <v>20012800000000</v>
      </c>
      <c r="M938" s="11">
        <f>IF($L938&gt;Keys!$C$51,MIN(Keys!$C$52,$K938/$L938),Keys!$C$51)</f>
        <v>0</v>
      </c>
      <c r="N938" s="11">
        <f>IF($E938=Keys!$C$60,Keys!$C$51,IF($E938=Keys!$C$59,$D938,$M938))</f>
        <v>0</v>
      </c>
      <c r="O938">
        <f t="shared" si="58"/>
        <v>1</v>
      </c>
      <c r="P938" s="10">
        <f>IF($E938=Keys!$C$60,Keys!$C$51,INDEX(Raw_BFPIaE!$G$9:$G$3032,MATCH($A938&amp;Keys!$C$54&amp;Keys!$C$55&amp;Keys!$C$54&amp;$B938,Raw_BFPIaE!$H$9:$H$3032,0)))</f>
        <v>0</v>
      </c>
      <c r="Q938" s="10">
        <f>IF($E938=Keys!$C$60,Keys!$C$51,INDEX(Raw_BFPIaE!$G$9:$G$3032,MATCH($A938&amp;Keys!$C$54&amp;Keys!$C$56&amp;Keys!$C$54&amp;$B938,Raw_BFPIaE!$H$9:$H$3032,0)))</f>
        <v>12734566666666.666</v>
      </c>
      <c r="R938" s="10">
        <f>IF($E938=Keys!$C$60,Keys!$C$51,INDEX(Raw_BFPIaE!$G$9:$G$3032,MATCH($A938&amp;Keys!$C$54&amp;Keys!$C$57&amp;Keys!$C$54&amp;$B938,Raw_BFPIaE!$H$9:$H$3032,0)))</f>
        <v>0</v>
      </c>
      <c r="S938" s="11">
        <f>IF(($P938+$Q938-$R938+MAX(Keys!$C$51,$R938-$Q938))&gt;Keys!$C$51,MIN(Keys!$C$52,MAX(Keys!$C$51,$R938-$Q938)/($P938+$Q938-$R938+MAX(Keys!$C$51,$R938-$Q938))),Keys!$C$51)</f>
        <v>0</v>
      </c>
      <c r="T938">
        <f>IF(AND($I938&gt;$H938,ABS($L938-$G938)&gt;MAX(Keys!$C$62,ABS($G938)*Keys!$C$63)),1,0)</f>
        <v>0</v>
      </c>
      <c r="U938">
        <f>IF(OR($N938&lt;Keys!$C$51,$N938&gt;Keys!$C$52),1,0)</f>
        <v>0</v>
      </c>
      <c r="V938">
        <f>IF(AND($E938=Keys!$C$60,$N938&lt;&gt;Keys!$C$51),1,0)</f>
        <v>0</v>
      </c>
      <c r="W938">
        <f>IF($L938&gt;Keys!$C$51,IF($K938/$L938&gt;Keys!$C$52,1,0),0)</f>
        <v>0</v>
      </c>
      <c r="X938" s="11">
        <f t="shared" si="59"/>
        <v>0</v>
      </c>
    </row>
    <row r="939" spans="1:24" x14ac:dyDescent="0.25">
      <c r="A939" t="s">
        <v>171</v>
      </c>
      <c r="B939" t="s">
        <v>94</v>
      </c>
      <c r="C939" t="str">
        <f>VLOOKUP($B939,Keys!$F$2:$I$22,2,FALSE)</f>
        <v>biofuel diesel</v>
      </c>
      <c r="D939">
        <f>VLOOKUP($B939,Keys!$F$2:$I$22,3,FALSE)</f>
        <v>5.8642381E-2</v>
      </c>
      <c r="E939" t="str">
        <f>VLOOKUP($B939,Keys!$F$2:$I$22,4,FALSE)</f>
        <v>rule</v>
      </c>
      <c r="F939" t="str">
        <f>$A939&amp;Keys!$C$54&amp;$B939</f>
        <v>WA|biofuel diesel</v>
      </c>
      <c r="G939" s="10">
        <f>IF($E939=Keys!$C$60,Keys!$C$51,INDEX(Balanced_2025!$D$9:$D$3032,MATCH($A939&amp;Keys!$C$54&amp;Keys!$C$55&amp;Keys!$C$54&amp;$C939,Balanced_2025!$E$9:$E$3032,0)))</f>
        <v>31076000000000</v>
      </c>
      <c r="H939" s="10">
        <f>IF($E939=Keys!$C$60,Keys!$C$51,INDEX(Balanced_2025!$D$9:$D$3032,MATCH($A939&amp;Keys!$C$54&amp;Keys!$C$56&amp;Keys!$C$54&amp;$C939,Balanced_2025!$E$9:$E$3032,0)))</f>
        <v>2242000000</v>
      </c>
      <c r="I939" s="10">
        <f>IF($E939=Keys!$C$60,Keys!$C$51,INDEX(Balanced_2025!$D$9:$D$3032,MATCH($A939&amp;Keys!$C$54&amp;Keys!$C$57&amp;Keys!$C$54&amp;$C939,Balanced_2025!$E$9:$E$3032,0)))</f>
        <v>28793500000000</v>
      </c>
      <c r="J939" s="10">
        <f t="shared" si="56"/>
        <v>2284742000000</v>
      </c>
      <c r="K939" s="10">
        <f>MAX(Keys!$C$51,$I939-$H939)</f>
        <v>28791258000000</v>
      </c>
      <c r="L939" s="10">
        <f t="shared" si="57"/>
        <v>31076000000000</v>
      </c>
      <c r="M939" s="11">
        <f>IF($L939&gt;Keys!$C$51,MIN(Keys!$C$52,$K939/$L939),Keys!$C$51)</f>
        <v>0.92647889046209297</v>
      </c>
      <c r="N939" s="11">
        <f>IF($E939=Keys!$C$60,Keys!$C$51,IF($E939=Keys!$C$59,$D939,$M939))</f>
        <v>0.92647889046209297</v>
      </c>
      <c r="O939">
        <f t="shared" si="58"/>
        <v>1</v>
      </c>
      <c r="P939" s="10">
        <f>IF($E939=Keys!$C$60,Keys!$C$51,INDEX(Raw_BFPIaE!$G$9:$G$3032,MATCH($A939&amp;Keys!$C$54&amp;Keys!$C$55&amp;Keys!$C$54&amp;$B939,Raw_BFPIaE!$H$9:$H$3032,0)))</f>
        <v>33022000000000</v>
      </c>
      <c r="Q939" s="10">
        <f>IF($E939=Keys!$C$60,Keys!$C$51,INDEX(Raw_BFPIaE!$G$9:$G$3032,MATCH($A939&amp;Keys!$C$54&amp;Keys!$C$56&amp;Keys!$C$54&amp;$B939,Raw_BFPIaE!$H$9:$H$3032,0)))</f>
        <v>0</v>
      </c>
      <c r="R939" s="10">
        <f>IF($E939=Keys!$C$60,Keys!$C$51,INDEX(Raw_BFPIaE!$G$9:$G$3032,MATCH($A939&amp;Keys!$C$54&amp;Keys!$C$57&amp;Keys!$C$54&amp;$B939,Raw_BFPIaE!$H$9:$H$3032,0)))</f>
        <v>21141866666666.668</v>
      </c>
      <c r="S939" s="11">
        <f>IF(($P939+$Q939-$R939+MAX(Keys!$C$51,$R939-$Q939))&gt;Keys!$C$51,MIN(Keys!$C$52,MAX(Keys!$C$51,$R939-$Q939)/($P939+$Q939-$R939+MAX(Keys!$C$51,$R939-$Q939))),Keys!$C$51)</f>
        <v>0.6402358023943634</v>
      </c>
      <c r="T939">
        <f>IF(AND($I939&gt;$H939,ABS($L939-$G939)&gt;MAX(Keys!$C$62,ABS($G939)*Keys!$C$63)),1,0)</f>
        <v>0</v>
      </c>
      <c r="U939">
        <f>IF(OR($N939&lt;Keys!$C$51,$N939&gt;Keys!$C$52),1,0)</f>
        <v>0</v>
      </c>
      <c r="V939">
        <f>IF(AND($E939=Keys!$C$60,$N939&lt;&gt;Keys!$C$51),1,0)</f>
        <v>0</v>
      </c>
      <c r="W939">
        <f>IF($L939&gt;Keys!$C$51,IF($K939/$L939&gt;Keys!$C$52,1,0),0)</f>
        <v>0</v>
      </c>
      <c r="X939" s="11">
        <f t="shared" si="59"/>
        <v>0.28624308806772958</v>
      </c>
    </row>
    <row r="940" spans="1:24" x14ac:dyDescent="0.25">
      <c r="A940" t="s">
        <v>171</v>
      </c>
      <c r="B940" t="s">
        <v>97</v>
      </c>
      <c r="C940" t="str">
        <f>VLOOKUP($B940,Keys!$F$2:$I$22,2,FALSE)</f>
        <v>jet fuel or kerosene</v>
      </c>
      <c r="D940">
        <f>VLOOKUP($B940,Keys!$F$2:$I$22,3,FALSE)</f>
        <v>0.10155994</v>
      </c>
      <c r="E940" t="str">
        <f>VLOOKUP($B940,Keys!$F$2:$I$22,4,FALSE)</f>
        <v>rule</v>
      </c>
      <c r="F940" t="str">
        <f>$A940&amp;Keys!$C$54&amp;$B940</f>
        <v>WA|jet fuel or kerosene</v>
      </c>
      <c r="G940" s="10">
        <f>IF($E940=Keys!$C$60,Keys!$C$51,INDEX(Balanced_2025!$D$9:$D$3032,MATCH($A940&amp;Keys!$C$54&amp;Keys!$C$55&amp;Keys!$C$54&amp;$C940,Balanced_2025!$E$9:$E$3032,0)))</f>
        <v>132463000000000</v>
      </c>
      <c r="H940" s="10">
        <f>IF($E940=Keys!$C$60,Keys!$C$51,INDEX(Balanced_2025!$D$9:$D$3032,MATCH($A940&amp;Keys!$C$54&amp;Keys!$C$56&amp;Keys!$C$54&amp;$C940,Balanced_2025!$E$9:$E$3032,0)))</f>
        <v>0</v>
      </c>
      <c r="I940" s="10">
        <f>IF($E940=Keys!$C$60,Keys!$C$51,INDEX(Balanced_2025!$D$9:$D$3032,MATCH($A940&amp;Keys!$C$54&amp;Keys!$C$57&amp;Keys!$C$54&amp;$C940,Balanced_2025!$E$9:$E$3032,0)))</f>
        <v>19249300000000</v>
      </c>
      <c r="J940" s="10">
        <f t="shared" si="56"/>
        <v>113213700000000</v>
      </c>
      <c r="K940" s="10">
        <f>MAX(Keys!$C$51,$I940-$H940)</f>
        <v>19249300000000</v>
      </c>
      <c r="L940" s="10">
        <f t="shared" si="57"/>
        <v>132463000000000</v>
      </c>
      <c r="M940" s="11">
        <f>IF($L940&gt;Keys!$C$51,MIN(Keys!$C$52,$K940/$L940),Keys!$C$51)</f>
        <v>0.14531831530314127</v>
      </c>
      <c r="N940" s="11">
        <f>IF($E940=Keys!$C$60,Keys!$C$51,IF($E940=Keys!$C$59,$D940,$M940))</f>
        <v>0.14531831530314127</v>
      </c>
      <c r="O940">
        <f t="shared" si="58"/>
        <v>1</v>
      </c>
      <c r="P940" s="10">
        <f>IF($E940=Keys!$C$60,Keys!$C$51,INDEX(Raw_BFPIaE!$G$9:$G$3032,MATCH($A940&amp;Keys!$C$54&amp;Keys!$C$55&amp;Keys!$C$54&amp;$B940,Raw_BFPIaE!$H$9:$H$3032,0)))</f>
        <v>131393000000000</v>
      </c>
      <c r="Q940" s="10">
        <f>IF($E940=Keys!$C$60,Keys!$C$51,INDEX(Raw_BFPIaE!$G$9:$G$3032,MATCH($A940&amp;Keys!$C$54&amp;Keys!$C$56&amp;Keys!$C$54&amp;$B940,Raw_BFPIaE!$H$9:$H$3032,0)))</f>
        <v>19364833333.333332</v>
      </c>
      <c r="R940" s="10">
        <f>IF($E940=Keys!$C$60,Keys!$C$51,INDEX(Raw_BFPIaE!$G$9:$G$3032,MATCH($A940&amp;Keys!$C$54&amp;Keys!$C$57&amp;Keys!$C$54&amp;$B940,Raw_BFPIaE!$H$9:$H$3032,0)))</f>
        <v>13753333333333.334</v>
      </c>
      <c r="S940" s="11">
        <f>IF(($P940+$Q940-$R940+MAX(Keys!$C$51,$R940-$Q940))&gt;Keys!$C$51,MIN(Keys!$C$52,MAX(Keys!$C$51,$R940-$Q940)/($P940+$Q940-$R940+MAX(Keys!$C$51,$R940-$Q940))),Keys!$C$51)</f>
        <v>0.10452587656876698</v>
      </c>
      <c r="T940">
        <f>IF(AND($I940&gt;$H940,ABS($L940-$G940)&gt;MAX(Keys!$C$62,ABS($G940)*Keys!$C$63)),1,0)</f>
        <v>0</v>
      </c>
      <c r="U940">
        <f>IF(OR($N940&lt;Keys!$C$51,$N940&gt;Keys!$C$52),1,0)</f>
        <v>0</v>
      </c>
      <c r="V940">
        <f>IF(AND($E940=Keys!$C$60,$N940&lt;&gt;Keys!$C$51),1,0)</f>
        <v>0</v>
      </c>
      <c r="W940">
        <f>IF($L940&gt;Keys!$C$51,IF($K940/$L940&gt;Keys!$C$52,1,0),0)</f>
        <v>0</v>
      </c>
      <c r="X940" s="11">
        <f t="shared" si="59"/>
        <v>4.0792438734374284E-2</v>
      </c>
    </row>
    <row r="941" spans="1:24" x14ac:dyDescent="0.25">
      <c r="A941" t="s">
        <v>171</v>
      </c>
      <c r="B941" t="s">
        <v>100</v>
      </c>
      <c r="C941">
        <f>VLOOKUP($B941,Keys!$F$2:$I$22,2,FALSE)</f>
        <v>0</v>
      </c>
      <c r="D941">
        <f>VLOOKUP($B941,Keys!$F$2:$I$22,3,FALSE)</f>
        <v>0</v>
      </c>
      <c r="E941" t="str">
        <f>VLOOKUP($B941,Keys!$F$2:$I$22,4,FALSE)</f>
        <v>zero</v>
      </c>
      <c r="F941" t="str">
        <f>$A941&amp;Keys!$C$54&amp;$B941</f>
        <v>WA|heat (not used in this variable)</v>
      </c>
      <c r="G941" s="10">
        <f>IF($E941=Keys!$C$60,Keys!$C$51,INDEX(Balanced_2025!$D$9:$D$3032,MATCH($A941&amp;Keys!$C$54&amp;Keys!$C$55&amp;Keys!$C$54&amp;$C941,Balanced_2025!$E$9:$E$3032,0)))</f>
        <v>0</v>
      </c>
      <c r="H941" s="10">
        <f>IF($E941=Keys!$C$60,Keys!$C$51,INDEX(Balanced_2025!$D$9:$D$3032,MATCH($A941&amp;Keys!$C$54&amp;Keys!$C$56&amp;Keys!$C$54&amp;$C941,Balanced_2025!$E$9:$E$3032,0)))</f>
        <v>0</v>
      </c>
      <c r="I941" s="10">
        <f>IF($E941=Keys!$C$60,Keys!$C$51,INDEX(Balanced_2025!$D$9:$D$3032,MATCH($A941&amp;Keys!$C$54&amp;Keys!$C$57&amp;Keys!$C$54&amp;$C941,Balanced_2025!$E$9:$E$3032,0)))</f>
        <v>0</v>
      </c>
      <c r="J941" s="10">
        <f t="shared" si="56"/>
        <v>0</v>
      </c>
      <c r="K941" s="10">
        <f>MAX(Keys!$C$51,$I941-$H941)</f>
        <v>0</v>
      </c>
      <c r="L941" s="10">
        <f t="shared" si="57"/>
        <v>0</v>
      </c>
      <c r="M941" s="11">
        <f>IF($L941&gt;Keys!$C$51,MIN(Keys!$C$52,$K941/$L941),Keys!$C$51)</f>
        <v>0</v>
      </c>
      <c r="N941" s="11">
        <f>IF($E941=Keys!$C$60,Keys!$C$51,IF($E941=Keys!$C$59,$D941,$M941))</f>
        <v>0</v>
      </c>
      <c r="O941">
        <f t="shared" si="58"/>
        <v>0</v>
      </c>
      <c r="P941" s="10">
        <f>IF($E941=Keys!$C$60,Keys!$C$51,INDEX(Raw_BFPIaE!$G$9:$G$3032,MATCH($A941&amp;Keys!$C$54&amp;Keys!$C$55&amp;Keys!$C$54&amp;$B941,Raw_BFPIaE!$H$9:$H$3032,0)))</f>
        <v>0</v>
      </c>
      <c r="Q941" s="10">
        <f>IF($E941=Keys!$C$60,Keys!$C$51,INDEX(Raw_BFPIaE!$G$9:$G$3032,MATCH($A941&amp;Keys!$C$54&amp;Keys!$C$56&amp;Keys!$C$54&amp;$B941,Raw_BFPIaE!$H$9:$H$3032,0)))</f>
        <v>0</v>
      </c>
      <c r="R941" s="10">
        <f>IF($E941=Keys!$C$60,Keys!$C$51,INDEX(Raw_BFPIaE!$G$9:$G$3032,MATCH($A941&amp;Keys!$C$54&amp;Keys!$C$57&amp;Keys!$C$54&amp;$B941,Raw_BFPIaE!$H$9:$H$3032,0)))</f>
        <v>0</v>
      </c>
      <c r="S941" s="11">
        <f>IF(($P941+$Q941-$R941+MAX(Keys!$C$51,$R941-$Q941))&gt;Keys!$C$51,MIN(Keys!$C$52,MAX(Keys!$C$51,$R941-$Q941)/($P941+$Q941-$R941+MAX(Keys!$C$51,$R941-$Q941))),Keys!$C$51)</f>
        <v>0</v>
      </c>
      <c r="T941">
        <f>IF(AND($I941&gt;$H941,ABS($L941-$G941)&gt;MAX(Keys!$C$62,ABS($G941)*Keys!$C$63)),1,0)</f>
        <v>0</v>
      </c>
      <c r="U941">
        <f>IF(OR($N941&lt;Keys!$C$51,$N941&gt;Keys!$C$52),1,0)</f>
        <v>0</v>
      </c>
      <c r="V941">
        <f>IF(AND($E941=Keys!$C$60,$N941&lt;&gt;Keys!$C$51),1,0)</f>
        <v>0</v>
      </c>
      <c r="W941">
        <f>IF($L941&gt;Keys!$C$51,IF($K941/$L941&gt;Keys!$C$52,1,0),0)</f>
        <v>0</v>
      </c>
      <c r="X941" s="11">
        <f t="shared" si="59"/>
        <v>0</v>
      </c>
    </row>
    <row r="942" spans="1:24" x14ac:dyDescent="0.25">
      <c r="A942" t="s">
        <v>171</v>
      </c>
      <c r="B942" t="s">
        <v>103</v>
      </c>
      <c r="C942">
        <f>VLOOKUP($B942,Keys!$F$2:$I$22,2,FALSE)</f>
        <v>0</v>
      </c>
      <c r="D942">
        <f>VLOOKUP($B942,Keys!$F$2:$I$22,3,FALSE)</f>
        <v>0</v>
      </c>
      <c r="E942" t="str">
        <f>VLOOKUP($B942,Keys!$F$2:$I$22,4,FALSE)</f>
        <v>zero</v>
      </c>
      <c r="F942" t="str">
        <f>$A942&amp;Keys!$C$54&amp;$B942</f>
        <v>WA|geothermal (is not a fuel)</v>
      </c>
      <c r="G942" s="10">
        <f>IF($E942=Keys!$C$60,Keys!$C$51,INDEX(Balanced_2025!$D$9:$D$3032,MATCH($A942&amp;Keys!$C$54&amp;Keys!$C$55&amp;Keys!$C$54&amp;$C942,Balanced_2025!$E$9:$E$3032,0)))</f>
        <v>0</v>
      </c>
      <c r="H942" s="10">
        <f>IF($E942=Keys!$C$60,Keys!$C$51,INDEX(Balanced_2025!$D$9:$D$3032,MATCH($A942&amp;Keys!$C$54&amp;Keys!$C$56&amp;Keys!$C$54&amp;$C942,Balanced_2025!$E$9:$E$3032,0)))</f>
        <v>0</v>
      </c>
      <c r="I942" s="10">
        <f>IF($E942=Keys!$C$60,Keys!$C$51,INDEX(Balanced_2025!$D$9:$D$3032,MATCH($A942&amp;Keys!$C$54&amp;Keys!$C$57&amp;Keys!$C$54&amp;$C942,Balanced_2025!$E$9:$E$3032,0)))</f>
        <v>0</v>
      </c>
      <c r="J942" s="10">
        <f t="shared" si="56"/>
        <v>0</v>
      </c>
      <c r="K942" s="10">
        <f>MAX(Keys!$C$51,$I942-$H942)</f>
        <v>0</v>
      </c>
      <c r="L942" s="10">
        <f t="shared" si="57"/>
        <v>0</v>
      </c>
      <c r="M942" s="11">
        <f>IF($L942&gt;Keys!$C$51,MIN(Keys!$C$52,$K942/$L942),Keys!$C$51)</f>
        <v>0</v>
      </c>
      <c r="N942" s="11">
        <f>IF($E942=Keys!$C$60,Keys!$C$51,IF($E942=Keys!$C$59,$D942,$M942))</f>
        <v>0</v>
      </c>
      <c r="O942">
        <f t="shared" si="58"/>
        <v>0</v>
      </c>
      <c r="P942" s="10">
        <f>IF($E942=Keys!$C$60,Keys!$C$51,INDEX(Raw_BFPIaE!$G$9:$G$3032,MATCH($A942&amp;Keys!$C$54&amp;Keys!$C$55&amp;Keys!$C$54&amp;$B942,Raw_BFPIaE!$H$9:$H$3032,0)))</f>
        <v>0</v>
      </c>
      <c r="Q942" s="10">
        <f>IF($E942=Keys!$C$60,Keys!$C$51,INDEX(Raw_BFPIaE!$G$9:$G$3032,MATCH($A942&amp;Keys!$C$54&amp;Keys!$C$56&amp;Keys!$C$54&amp;$B942,Raw_BFPIaE!$H$9:$H$3032,0)))</f>
        <v>0</v>
      </c>
      <c r="R942" s="10">
        <f>IF($E942=Keys!$C$60,Keys!$C$51,INDEX(Raw_BFPIaE!$G$9:$G$3032,MATCH($A942&amp;Keys!$C$54&amp;Keys!$C$57&amp;Keys!$C$54&amp;$B942,Raw_BFPIaE!$H$9:$H$3032,0)))</f>
        <v>0</v>
      </c>
      <c r="S942" s="11">
        <f>IF(($P942+$Q942-$R942+MAX(Keys!$C$51,$R942-$Q942))&gt;Keys!$C$51,MIN(Keys!$C$52,MAX(Keys!$C$51,$R942-$Q942)/($P942+$Q942-$R942+MAX(Keys!$C$51,$R942-$Q942))),Keys!$C$51)</f>
        <v>0</v>
      </c>
      <c r="T942">
        <f>IF(AND($I942&gt;$H942,ABS($L942-$G942)&gt;MAX(Keys!$C$62,ABS($G942)*Keys!$C$63)),1,0)</f>
        <v>0</v>
      </c>
      <c r="U942">
        <f>IF(OR($N942&lt;Keys!$C$51,$N942&gt;Keys!$C$52),1,0)</f>
        <v>0</v>
      </c>
      <c r="V942">
        <f>IF(AND($E942=Keys!$C$60,$N942&lt;&gt;Keys!$C$51),1,0)</f>
        <v>0</v>
      </c>
      <c r="W942">
        <f>IF($L942&gt;Keys!$C$51,IF($K942/$L942&gt;Keys!$C$52,1,0),0)</f>
        <v>0</v>
      </c>
      <c r="X942" s="11">
        <f t="shared" si="59"/>
        <v>0</v>
      </c>
    </row>
    <row r="943" spans="1:24" x14ac:dyDescent="0.25">
      <c r="A943" t="s">
        <v>171</v>
      </c>
      <c r="B943" t="s">
        <v>106</v>
      </c>
      <c r="C943" t="str">
        <f>VLOOKUP($B943,Keys!$F$2:$I$22,2,FALSE)</f>
        <v>lignite</v>
      </c>
      <c r="D943">
        <f>VLOOKUP($B943,Keys!$F$2:$I$22,3,FALSE)</f>
        <v>0</v>
      </c>
      <c r="E943" t="str">
        <f>VLOOKUP($B943,Keys!$F$2:$I$22,4,FALSE)</f>
        <v>rule</v>
      </c>
      <c r="F943" t="str">
        <f>$A943&amp;Keys!$C$54&amp;$B943</f>
        <v>WA|lignite</v>
      </c>
      <c r="G943" s="10">
        <f>IF($E943=Keys!$C$60,Keys!$C$51,INDEX(Balanced_2025!$D$9:$D$3032,MATCH($A943&amp;Keys!$C$54&amp;Keys!$C$55&amp;Keys!$C$54&amp;$C943,Balanced_2025!$E$9:$E$3032,0)))</f>
        <v>0</v>
      </c>
      <c r="H943" s="10">
        <f>IF($E943=Keys!$C$60,Keys!$C$51,INDEX(Balanced_2025!$D$9:$D$3032,MATCH($A943&amp;Keys!$C$54&amp;Keys!$C$56&amp;Keys!$C$54&amp;$C943,Balanced_2025!$E$9:$E$3032,0)))</f>
        <v>0</v>
      </c>
      <c r="I943" s="10">
        <f>IF($E943=Keys!$C$60,Keys!$C$51,INDEX(Balanced_2025!$D$9:$D$3032,MATCH($A943&amp;Keys!$C$54&amp;Keys!$C$57&amp;Keys!$C$54&amp;$C943,Balanced_2025!$E$9:$E$3032,0)))</f>
        <v>0</v>
      </c>
      <c r="J943" s="10">
        <f t="shared" si="56"/>
        <v>0</v>
      </c>
      <c r="K943" s="10">
        <f>MAX(Keys!$C$51,$I943-$H943)</f>
        <v>0</v>
      </c>
      <c r="L943" s="10">
        <f t="shared" si="57"/>
        <v>0</v>
      </c>
      <c r="M943" s="11">
        <f>IF($L943&gt;Keys!$C$51,MIN(Keys!$C$52,$K943/$L943),Keys!$C$51)</f>
        <v>0</v>
      </c>
      <c r="N943" s="11">
        <f>IF($E943=Keys!$C$60,Keys!$C$51,IF($E943=Keys!$C$59,$D943,$M943))</f>
        <v>0</v>
      </c>
      <c r="O943">
        <f t="shared" si="58"/>
        <v>0</v>
      </c>
      <c r="P943" s="10">
        <f>IF($E943=Keys!$C$60,Keys!$C$51,INDEX(Raw_BFPIaE!$G$9:$G$3032,MATCH($A943&amp;Keys!$C$54&amp;Keys!$C$55&amp;Keys!$C$54&amp;$B943,Raw_BFPIaE!$H$9:$H$3032,0)))</f>
        <v>0</v>
      </c>
      <c r="Q943" s="10">
        <f>IF($E943=Keys!$C$60,Keys!$C$51,INDEX(Raw_BFPIaE!$G$9:$G$3032,MATCH($A943&amp;Keys!$C$54&amp;Keys!$C$56&amp;Keys!$C$54&amp;$B943,Raw_BFPIaE!$H$9:$H$3032,0)))</f>
        <v>0</v>
      </c>
      <c r="R943" s="10">
        <f>IF($E943=Keys!$C$60,Keys!$C$51,INDEX(Raw_BFPIaE!$G$9:$G$3032,MATCH($A943&amp;Keys!$C$54&amp;Keys!$C$57&amp;Keys!$C$54&amp;$B943,Raw_BFPIaE!$H$9:$H$3032,0)))</f>
        <v>0</v>
      </c>
      <c r="S943" s="11">
        <f>IF(($P943+$Q943-$R943+MAX(Keys!$C$51,$R943-$Q943))&gt;Keys!$C$51,MIN(Keys!$C$52,MAX(Keys!$C$51,$R943-$Q943)/($P943+$Q943-$R943+MAX(Keys!$C$51,$R943-$Q943))),Keys!$C$51)</f>
        <v>0</v>
      </c>
      <c r="T943">
        <f>IF(AND($I943&gt;$H943,ABS($L943-$G943)&gt;MAX(Keys!$C$62,ABS($G943)*Keys!$C$63)),1,0)</f>
        <v>0</v>
      </c>
      <c r="U943">
        <f>IF(OR($N943&lt;Keys!$C$51,$N943&gt;Keys!$C$52),1,0)</f>
        <v>0</v>
      </c>
      <c r="V943">
        <f>IF(AND($E943=Keys!$C$60,$N943&lt;&gt;Keys!$C$51),1,0)</f>
        <v>0</v>
      </c>
      <c r="W943">
        <f>IF($L943&gt;Keys!$C$51,IF($K943/$L943&gt;Keys!$C$52,1,0),0)</f>
        <v>0</v>
      </c>
      <c r="X943" s="11">
        <f t="shared" si="59"/>
        <v>0</v>
      </c>
    </row>
    <row r="944" spans="1:24" x14ac:dyDescent="0.25">
      <c r="A944" t="s">
        <v>171</v>
      </c>
      <c r="B944" t="s">
        <v>109</v>
      </c>
      <c r="C944" t="str">
        <f>VLOOKUP($B944,Keys!$F$2:$I$22,2,FALSE)</f>
        <v>crude oil</v>
      </c>
      <c r="D944">
        <f>VLOOKUP($B944,Keys!$F$2:$I$22,3,FALSE)</f>
        <v>1</v>
      </c>
      <c r="E944" t="str">
        <f>VLOOKUP($B944,Keys!$F$2:$I$22,4,FALSE)</f>
        <v>hold</v>
      </c>
      <c r="F944" t="str">
        <f>$A944&amp;Keys!$C$54&amp;$B944</f>
        <v>WA|crude oil</v>
      </c>
      <c r="G944" s="10">
        <f>IF($E944=Keys!$C$60,Keys!$C$51,INDEX(Balanced_2025!$D$9:$D$3032,MATCH($A944&amp;Keys!$C$54&amp;Keys!$C$55&amp;Keys!$C$54&amp;$C944,Balanced_2025!$E$9:$E$3032,0)))</f>
        <v>0</v>
      </c>
      <c r="H944" s="10">
        <f>IF($E944=Keys!$C$60,Keys!$C$51,INDEX(Balanced_2025!$D$9:$D$3032,MATCH($A944&amp;Keys!$C$54&amp;Keys!$C$56&amp;Keys!$C$54&amp;$C944,Balanced_2025!$E$9:$E$3032,0)))</f>
        <v>1228270000000000</v>
      </c>
      <c r="I944" s="10">
        <f>IF($E944=Keys!$C$60,Keys!$C$51,INDEX(Balanced_2025!$D$9:$D$3032,MATCH($A944&amp;Keys!$C$54&amp;Keys!$C$57&amp;Keys!$C$54&amp;$C944,Balanced_2025!$E$9:$E$3032,0)))</f>
        <v>0</v>
      </c>
      <c r="J944" s="10">
        <f t="shared" si="56"/>
        <v>1228270000000000</v>
      </c>
      <c r="K944" s="10">
        <f>MAX(Keys!$C$51,$I944-$H944)</f>
        <v>0</v>
      </c>
      <c r="L944" s="10">
        <f t="shared" si="57"/>
        <v>1228270000000000</v>
      </c>
      <c r="M944" s="11">
        <f>IF($L944&gt;Keys!$C$51,MIN(Keys!$C$52,$K944/$L944),Keys!$C$51)</f>
        <v>0</v>
      </c>
      <c r="N944" s="11">
        <f>IF($E944=Keys!$C$60,Keys!$C$51,IF($E944=Keys!$C$59,$D944,$M944))</f>
        <v>1</v>
      </c>
      <c r="O944">
        <f t="shared" si="58"/>
        <v>0</v>
      </c>
      <c r="P944" s="10">
        <f>IF($E944=Keys!$C$60,Keys!$C$51,INDEX(Raw_BFPIaE!$G$9:$G$3032,MATCH($A944&amp;Keys!$C$54&amp;Keys!$C$55&amp;Keys!$C$54&amp;$B944,Raw_BFPIaE!$H$9:$H$3032,0)))</f>
        <v>0</v>
      </c>
      <c r="Q944" s="10">
        <f>IF($E944=Keys!$C$60,Keys!$C$51,INDEX(Raw_BFPIaE!$G$9:$G$3032,MATCH($A944&amp;Keys!$C$54&amp;Keys!$C$56&amp;Keys!$C$54&amp;$B944,Raw_BFPIaE!$H$9:$H$3032,0)))</f>
        <v>818846666666666.63</v>
      </c>
      <c r="R944" s="10">
        <f>IF($E944=Keys!$C$60,Keys!$C$51,INDEX(Raw_BFPIaE!$G$9:$G$3032,MATCH($A944&amp;Keys!$C$54&amp;Keys!$C$57&amp;Keys!$C$54&amp;$B944,Raw_BFPIaE!$H$9:$H$3032,0)))</f>
        <v>0</v>
      </c>
      <c r="S944" s="11">
        <f>IF(($P944+$Q944-$R944+MAX(Keys!$C$51,$R944-$Q944))&gt;Keys!$C$51,MIN(Keys!$C$52,MAX(Keys!$C$51,$R944-$Q944)/($P944+$Q944-$R944+MAX(Keys!$C$51,$R944-$Q944))),Keys!$C$51)</f>
        <v>0</v>
      </c>
      <c r="T944">
        <f>IF(AND($I944&gt;$H944,ABS($L944-$G944)&gt;MAX(Keys!$C$62,ABS($G944)*Keys!$C$63)),1,0)</f>
        <v>0</v>
      </c>
      <c r="U944">
        <f>IF(OR($N944&lt;Keys!$C$51,$N944&gt;Keys!$C$52),1,0)</f>
        <v>0</v>
      </c>
      <c r="V944">
        <f>IF(AND($E944=Keys!$C$60,$N944&lt;&gt;Keys!$C$51),1,0)</f>
        <v>0</v>
      </c>
      <c r="W944">
        <f>IF($L944&gt;Keys!$C$51,IF($K944/$L944&gt;Keys!$C$52,1,0),0)</f>
        <v>0</v>
      </c>
      <c r="X944" s="11">
        <f t="shared" si="59"/>
        <v>0</v>
      </c>
    </row>
    <row r="945" spans="1:24" x14ac:dyDescent="0.25">
      <c r="A945" t="s">
        <v>171</v>
      </c>
      <c r="B945" t="s">
        <v>113</v>
      </c>
      <c r="C945" t="str">
        <f>VLOOKUP($B945,Keys!$F$2:$I$22,2,FALSE)</f>
        <v>heavy or residual fuel oil</v>
      </c>
      <c r="D945">
        <f>VLOOKUP($B945,Keys!$F$2:$I$22,3,FALSE)</f>
        <v>0.49914171099999999</v>
      </c>
      <c r="E945" t="str">
        <f>VLOOKUP($B945,Keys!$F$2:$I$22,4,FALSE)</f>
        <v>rule</v>
      </c>
      <c r="F945" t="str">
        <f>$A945&amp;Keys!$C$54&amp;$B945</f>
        <v>WA|heavy fuel oil</v>
      </c>
      <c r="G945" s="10">
        <f>IF($E945=Keys!$C$60,Keys!$C$51,INDEX(Balanced_2025!$D$9:$D$3032,MATCH($A945&amp;Keys!$C$54&amp;Keys!$C$55&amp;Keys!$C$54&amp;$C945,Balanced_2025!$E$9:$E$3032,0)))</f>
        <v>25731500000000</v>
      </c>
      <c r="H945" s="10">
        <f>IF($E945=Keys!$C$60,Keys!$C$51,INDEX(Balanced_2025!$D$9:$D$3032,MATCH($A945&amp;Keys!$C$54&amp;Keys!$C$56&amp;Keys!$C$54&amp;$C945,Balanced_2025!$E$9:$E$3032,0)))</f>
        <v>66681200000000</v>
      </c>
      <c r="I945" s="10">
        <f>IF($E945=Keys!$C$60,Keys!$C$51,INDEX(Balanced_2025!$D$9:$D$3032,MATCH($A945&amp;Keys!$C$54&amp;Keys!$C$57&amp;Keys!$C$54&amp;$C945,Balanced_2025!$E$9:$E$3032,0)))</f>
        <v>8505730000000</v>
      </c>
      <c r="J945" s="10">
        <f t="shared" si="56"/>
        <v>83906970000000</v>
      </c>
      <c r="K945" s="10">
        <f>MAX(Keys!$C$51,$I945-$H945)</f>
        <v>0</v>
      </c>
      <c r="L945" s="10">
        <f t="shared" si="57"/>
        <v>83906970000000</v>
      </c>
      <c r="M945" s="11">
        <f>IF($L945&gt;Keys!$C$51,MIN(Keys!$C$52,$K945/$L945),Keys!$C$51)</f>
        <v>0</v>
      </c>
      <c r="N945" s="11">
        <f>IF($E945=Keys!$C$60,Keys!$C$51,IF($E945=Keys!$C$59,$D945,$M945))</f>
        <v>0</v>
      </c>
      <c r="O945">
        <f t="shared" si="58"/>
        <v>1</v>
      </c>
      <c r="P945" s="10">
        <f>IF($E945=Keys!$C$60,Keys!$C$51,INDEX(Raw_BFPIaE!$G$9:$G$3032,MATCH($A945&amp;Keys!$C$54&amp;Keys!$C$55&amp;Keys!$C$54&amp;$B945,Raw_BFPIaE!$H$9:$H$3032,0)))</f>
        <v>25523600000000</v>
      </c>
      <c r="Q945" s="10">
        <f>IF($E945=Keys!$C$60,Keys!$C$51,INDEX(Raw_BFPIaE!$G$9:$G$3032,MATCH($A945&amp;Keys!$C$54&amp;Keys!$C$56&amp;Keys!$C$54&amp;$B945,Raw_BFPIaE!$H$9:$H$3032,0)))</f>
        <v>46440933333333.336</v>
      </c>
      <c r="R945" s="10">
        <f>IF($E945=Keys!$C$60,Keys!$C$51,INDEX(Raw_BFPIaE!$G$9:$G$3032,MATCH($A945&amp;Keys!$C$54&amp;Keys!$C$57&amp;Keys!$C$54&amp;$B945,Raw_BFPIaE!$H$9:$H$3032,0)))</f>
        <v>8437006666666.667</v>
      </c>
      <c r="S945" s="11">
        <f>IF(($P945+$Q945-$R945+MAX(Keys!$C$51,$R945-$Q945))&gt;Keys!$C$51,MIN(Keys!$C$52,MAX(Keys!$C$51,$R945-$Q945)/($P945+$Q945-$R945+MAX(Keys!$C$51,$R945-$Q945))),Keys!$C$51)</f>
        <v>0</v>
      </c>
      <c r="T945">
        <f>IF(AND($I945&gt;$H945,ABS($L945-$G945)&gt;MAX(Keys!$C$62,ABS($G945)*Keys!$C$63)),1,0)</f>
        <v>0</v>
      </c>
      <c r="U945">
        <f>IF(OR($N945&lt;Keys!$C$51,$N945&gt;Keys!$C$52),1,0)</f>
        <v>0</v>
      </c>
      <c r="V945">
        <f>IF(AND($E945=Keys!$C$60,$N945&lt;&gt;Keys!$C$51),1,0)</f>
        <v>0</v>
      </c>
      <c r="W945">
        <f>IF($L945&gt;Keys!$C$51,IF($K945/$L945&gt;Keys!$C$52,1,0),0)</f>
        <v>0</v>
      </c>
      <c r="X945" s="11">
        <f t="shared" si="59"/>
        <v>0</v>
      </c>
    </row>
    <row r="946" spans="1:24" x14ac:dyDescent="0.25">
      <c r="A946" t="s">
        <v>171</v>
      </c>
      <c r="B946" t="s">
        <v>117</v>
      </c>
      <c r="C946" t="str">
        <f>VLOOKUP($B946,Keys!$F$2:$I$22,2,FALSE)</f>
        <v>LPG propane or butane</v>
      </c>
      <c r="D946">
        <f>VLOOKUP($B946,Keys!$F$2:$I$22,3,FALSE)</f>
        <v>0.54955999499999997</v>
      </c>
      <c r="E946" t="str">
        <f>VLOOKUP($B946,Keys!$F$2:$I$22,4,FALSE)</f>
        <v>rule</v>
      </c>
      <c r="F946" t="str">
        <f>$A946&amp;Keys!$C$54&amp;$B946</f>
        <v>WA|LPG propane or butane</v>
      </c>
      <c r="G946" s="10">
        <f>IF($E946=Keys!$C$60,Keys!$C$51,INDEX(Balanced_2025!$D$9:$D$3032,MATCH($A946&amp;Keys!$C$54&amp;Keys!$C$55&amp;Keys!$C$54&amp;$C946,Balanced_2025!$E$9:$E$3032,0)))</f>
        <v>0</v>
      </c>
      <c r="H946" s="10">
        <f>IF($E946=Keys!$C$60,Keys!$C$51,INDEX(Balanced_2025!$D$9:$D$3032,MATCH($A946&amp;Keys!$C$54&amp;Keys!$C$56&amp;Keys!$C$54&amp;$C946,Balanced_2025!$E$9:$E$3032,0)))</f>
        <v>16566300000000</v>
      </c>
      <c r="I946" s="10">
        <f>IF($E946=Keys!$C$60,Keys!$C$51,INDEX(Balanced_2025!$D$9:$D$3032,MATCH($A946&amp;Keys!$C$54&amp;Keys!$C$57&amp;Keys!$C$54&amp;$C946,Balanced_2025!$E$9:$E$3032,0)))</f>
        <v>0</v>
      </c>
      <c r="J946" s="10">
        <f t="shared" si="56"/>
        <v>16566300000000</v>
      </c>
      <c r="K946" s="10">
        <f>MAX(Keys!$C$51,$I946-$H946)</f>
        <v>0</v>
      </c>
      <c r="L946" s="10">
        <f t="shared" si="57"/>
        <v>16566300000000</v>
      </c>
      <c r="M946" s="11">
        <f>IF($L946&gt;Keys!$C$51,MIN(Keys!$C$52,$K946/$L946),Keys!$C$51)</f>
        <v>0</v>
      </c>
      <c r="N946" s="11">
        <f>IF($E946=Keys!$C$60,Keys!$C$51,IF($E946=Keys!$C$59,$D946,$M946))</f>
        <v>0</v>
      </c>
      <c r="O946">
        <f t="shared" si="58"/>
        <v>1</v>
      </c>
      <c r="P946" s="10">
        <f>IF($E946=Keys!$C$60,Keys!$C$51,INDEX(Raw_BFPIaE!$G$9:$G$3032,MATCH($A946&amp;Keys!$C$54&amp;Keys!$C$55&amp;Keys!$C$54&amp;$B946,Raw_BFPIaE!$H$9:$H$3032,0)))</f>
        <v>0</v>
      </c>
      <c r="Q946" s="10">
        <f>IF($E946=Keys!$C$60,Keys!$C$51,INDEX(Raw_BFPIaE!$G$9:$G$3032,MATCH($A946&amp;Keys!$C$54&amp;Keys!$C$56&amp;Keys!$C$54&amp;$B946,Raw_BFPIaE!$H$9:$H$3032,0)))</f>
        <v>11006700000000</v>
      </c>
      <c r="R946" s="10">
        <f>IF($E946=Keys!$C$60,Keys!$C$51,INDEX(Raw_BFPIaE!$G$9:$G$3032,MATCH($A946&amp;Keys!$C$54&amp;Keys!$C$57&amp;Keys!$C$54&amp;$B946,Raw_BFPIaE!$H$9:$H$3032,0)))</f>
        <v>0</v>
      </c>
      <c r="S946" s="11">
        <f>IF(($P946+$Q946-$R946+MAX(Keys!$C$51,$R946-$Q946))&gt;Keys!$C$51,MIN(Keys!$C$52,MAX(Keys!$C$51,$R946-$Q946)/($P946+$Q946-$R946+MAX(Keys!$C$51,$R946-$Q946))),Keys!$C$51)</f>
        <v>0</v>
      </c>
      <c r="T946">
        <f>IF(AND($I946&gt;$H946,ABS($L946-$G946)&gt;MAX(Keys!$C$62,ABS($G946)*Keys!$C$63)),1,0)</f>
        <v>0</v>
      </c>
      <c r="U946">
        <f>IF(OR($N946&lt;Keys!$C$51,$N946&gt;Keys!$C$52),1,0)</f>
        <v>0</v>
      </c>
      <c r="V946">
        <f>IF(AND($E946=Keys!$C$60,$N946&lt;&gt;Keys!$C$51),1,0)</f>
        <v>0</v>
      </c>
      <c r="W946">
        <f>IF($L946&gt;Keys!$C$51,IF($K946/$L946&gt;Keys!$C$52,1,0),0)</f>
        <v>0</v>
      </c>
      <c r="X946" s="11">
        <f t="shared" si="59"/>
        <v>0</v>
      </c>
    </row>
    <row r="947" spans="1:24" x14ac:dyDescent="0.25">
      <c r="A947" t="s">
        <v>171</v>
      </c>
      <c r="B947" t="s">
        <v>120</v>
      </c>
      <c r="C947">
        <f>VLOOKUP($B947,Keys!$F$2:$I$22,2,FALSE)</f>
        <v>0</v>
      </c>
      <c r="D947">
        <f>VLOOKUP($B947,Keys!$F$2:$I$22,3,FALSE)</f>
        <v>0</v>
      </c>
      <c r="E947" t="str">
        <f>VLOOKUP($B947,Keys!$F$2:$I$22,4,FALSE)</f>
        <v>zero</v>
      </c>
      <c r="F947" t="str">
        <f>$A947&amp;Keys!$C$54&amp;$B947</f>
        <v>WA|municipal solid waste</v>
      </c>
      <c r="G947" s="10">
        <f>IF($E947=Keys!$C$60,Keys!$C$51,INDEX(Balanced_2025!$D$9:$D$3032,MATCH($A947&amp;Keys!$C$54&amp;Keys!$C$55&amp;Keys!$C$54&amp;$C947,Balanced_2025!$E$9:$E$3032,0)))</f>
        <v>0</v>
      </c>
      <c r="H947" s="10">
        <f>IF($E947=Keys!$C$60,Keys!$C$51,INDEX(Balanced_2025!$D$9:$D$3032,MATCH($A947&amp;Keys!$C$54&amp;Keys!$C$56&amp;Keys!$C$54&amp;$C947,Balanced_2025!$E$9:$E$3032,0)))</f>
        <v>0</v>
      </c>
      <c r="I947" s="10">
        <f>IF($E947=Keys!$C$60,Keys!$C$51,INDEX(Balanced_2025!$D$9:$D$3032,MATCH($A947&amp;Keys!$C$54&amp;Keys!$C$57&amp;Keys!$C$54&amp;$C947,Balanced_2025!$E$9:$E$3032,0)))</f>
        <v>0</v>
      </c>
      <c r="J947" s="10">
        <f t="shared" si="56"/>
        <v>0</v>
      </c>
      <c r="K947" s="10">
        <f>MAX(Keys!$C$51,$I947-$H947)</f>
        <v>0</v>
      </c>
      <c r="L947" s="10">
        <f t="shared" si="57"/>
        <v>0</v>
      </c>
      <c r="M947" s="11">
        <f>IF($L947&gt;Keys!$C$51,MIN(Keys!$C$52,$K947/$L947),Keys!$C$51)</f>
        <v>0</v>
      </c>
      <c r="N947" s="11">
        <f>IF($E947=Keys!$C$60,Keys!$C$51,IF($E947=Keys!$C$59,$D947,$M947))</f>
        <v>0</v>
      </c>
      <c r="O947">
        <f t="shared" si="58"/>
        <v>0</v>
      </c>
      <c r="P947" s="10">
        <f>IF($E947=Keys!$C$60,Keys!$C$51,INDEX(Raw_BFPIaE!$G$9:$G$3032,MATCH($A947&amp;Keys!$C$54&amp;Keys!$C$55&amp;Keys!$C$54&amp;$B947,Raw_BFPIaE!$H$9:$H$3032,0)))</f>
        <v>0</v>
      </c>
      <c r="Q947" s="10">
        <f>IF($E947=Keys!$C$60,Keys!$C$51,INDEX(Raw_BFPIaE!$G$9:$G$3032,MATCH($A947&amp;Keys!$C$54&amp;Keys!$C$56&amp;Keys!$C$54&amp;$B947,Raw_BFPIaE!$H$9:$H$3032,0)))</f>
        <v>0</v>
      </c>
      <c r="R947" s="10">
        <f>IF($E947=Keys!$C$60,Keys!$C$51,INDEX(Raw_BFPIaE!$G$9:$G$3032,MATCH($A947&amp;Keys!$C$54&amp;Keys!$C$57&amp;Keys!$C$54&amp;$B947,Raw_BFPIaE!$H$9:$H$3032,0)))</f>
        <v>0</v>
      </c>
      <c r="S947" s="11">
        <f>IF(($P947+$Q947-$R947+MAX(Keys!$C$51,$R947-$Q947))&gt;Keys!$C$51,MIN(Keys!$C$52,MAX(Keys!$C$51,$R947-$Q947)/($P947+$Q947-$R947+MAX(Keys!$C$51,$R947-$Q947))),Keys!$C$51)</f>
        <v>0</v>
      </c>
      <c r="T947">
        <f>IF(AND($I947&gt;$H947,ABS($L947-$G947)&gt;MAX(Keys!$C$62,ABS($G947)*Keys!$C$63)),1,0)</f>
        <v>0</v>
      </c>
      <c r="U947">
        <f>IF(OR($N947&lt;Keys!$C$51,$N947&gt;Keys!$C$52),1,0)</f>
        <v>0</v>
      </c>
      <c r="V947">
        <f>IF(AND($E947=Keys!$C$60,$N947&lt;&gt;Keys!$C$51),1,0)</f>
        <v>0</v>
      </c>
      <c r="W947">
        <f>IF($L947&gt;Keys!$C$51,IF($K947/$L947&gt;Keys!$C$52,1,0),0)</f>
        <v>0</v>
      </c>
      <c r="X947" s="11">
        <f t="shared" si="59"/>
        <v>0</v>
      </c>
    </row>
    <row r="948" spans="1:24" x14ac:dyDescent="0.25">
      <c r="A948" t="s">
        <v>171</v>
      </c>
      <c r="B948" t="s">
        <v>123</v>
      </c>
      <c r="C948">
        <f>VLOOKUP($B948,Keys!$F$2:$I$22,2,FALSE)</f>
        <v>0</v>
      </c>
      <c r="D948">
        <f>VLOOKUP($B948,Keys!$F$2:$I$22,3,FALSE)</f>
        <v>0</v>
      </c>
      <c r="E948" t="str">
        <f>VLOOKUP($B948,Keys!$F$2:$I$22,4,FALSE)</f>
        <v>zero</v>
      </c>
      <c r="F948" t="str">
        <f>$A948&amp;Keys!$C$54&amp;$B948</f>
        <v>WA|hydrogen</v>
      </c>
      <c r="G948" s="10">
        <f>IF($E948=Keys!$C$60,Keys!$C$51,INDEX(Balanced_2025!$D$9:$D$3032,MATCH($A948&amp;Keys!$C$54&amp;Keys!$C$55&amp;Keys!$C$54&amp;$C948,Balanced_2025!$E$9:$E$3032,0)))</f>
        <v>0</v>
      </c>
      <c r="H948" s="10">
        <f>IF($E948=Keys!$C$60,Keys!$C$51,INDEX(Balanced_2025!$D$9:$D$3032,MATCH($A948&amp;Keys!$C$54&amp;Keys!$C$56&amp;Keys!$C$54&amp;$C948,Balanced_2025!$E$9:$E$3032,0)))</f>
        <v>0</v>
      </c>
      <c r="I948" s="10">
        <f>IF($E948=Keys!$C$60,Keys!$C$51,INDEX(Balanced_2025!$D$9:$D$3032,MATCH($A948&amp;Keys!$C$54&amp;Keys!$C$57&amp;Keys!$C$54&amp;$C948,Balanced_2025!$E$9:$E$3032,0)))</f>
        <v>0</v>
      </c>
      <c r="J948" s="10">
        <f t="shared" si="56"/>
        <v>0</v>
      </c>
      <c r="K948" s="10">
        <f>MAX(Keys!$C$51,$I948-$H948)</f>
        <v>0</v>
      </c>
      <c r="L948" s="10">
        <f t="shared" si="57"/>
        <v>0</v>
      </c>
      <c r="M948" s="11">
        <f>IF($L948&gt;Keys!$C$51,MIN(Keys!$C$52,$K948/$L948),Keys!$C$51)</f>
        <v>0</v>
      </c>
      <c r="N948" s="11">
        <f>IF($E948=Keys!$C$60,Keys!$C$51,IF($E948=Keys!$C$59,$D948,$M948))</f>
        <v>0</v>
      </c>
      <c r="O948">
        <f t="shared" si="58"/>
        <v>0</v>
      </c>
      <c r="P948" s="10">
        <f>IF($E948=Keys!$C$60,Keys!$C$51,INDEX(Raw_BFPIaE!$G$9:$G$3032,MATCH($A948&amp;Keys!$C$54&amp;Keys!$C$55&amp;Keys!$C$54&amp;$B948,Raw_BFPIaE!$H$9:$H$3032,0)))</f>
        <v>0</v>
      </c>
      <c r="Q948" s="10">
        <f>IF($E948=Keys!$C$60,Keys!$C$51,INDEX(Raw_BFPIaE!$G$9:$G$3032,MATCH($A948&amp;Keys!$C$54&amp;Keys!$C$56&amp;Keys!$C$54&amp;$B948,Raw_BFPIaE!$H$9:$H$3032,0)))</f>
        <v>0</v>
      </c>
      <c r="R948" s="10">
        <f>IF($E948=Keys!$C$60,Keys!$C$51,INDEX(Raw_BFPIaE!$G$9:$G$3032,MATCH($A948&amp;Keys!$C$54&amp;Keys!$C$57&amp;Keys!$C$54&amp;$B948,Raw_BFPIaE!$H$9:$H$3032,0)))</f>
        <v>0</v>
      </c>
      <c r="S948" s="11">
        <f>IF(($P948+$Q948-$R948+MAX(Keys!$C$51,$R948-$Q948))&gt;Keys!$C$51,MIN(Keys!$C$52,MAX(Keys!$C$51,$R948-$Q948)/($P948+$Q948-$R948+MAX(Keys!$C$51,$R948-$Q948))),Keys!$C$51)</f>
        <v>0</v>
      </c>
      <c r="T948">
        <f>IF(AND($I948&gt;$H948,ABS($L948-$G948)&gt;MAX(Keys!$C$62,ABS($G948)*Keys!$C$63)),1,0)</f>
        <v>0</v>
      </c>
      <c r="U948">
        <f>IF(OR($N948&lt;Keys!$C$51,$N948&gt;Keys!$C$52),1,0)</f>
        <v>0</v>
      </c>
      <c r="V948">
        <f>IF(AND($E948=Keys!$C$60,$N948&lt;&gt;Keys!$C$51),1,0)</f>
        <v>0</v>
      </c>
      <c r="W948">
        <f>IF($L948&gt;Keys!$C$51,IF($K948/$L948&gt;Keys!$C$52,1,0),0)</f>
        <v>0</v>
      </c>
      <c r="X948" s="11">
        <f t="shared" si="59"/>
        <v>0</v>
      </c>
    </row>
    <row r="949" spans="1:24" x14ac:dyDescent="0.25">
      <c r="A949" t="s">
        <v>173</v>
      </c>
      <c r="B949" t="s">
        <v>60</v>
      </c>
      <c r="C949">
        <f>VLOOKUP($B949,Keys!$F$2:$I$22,2,FALSE)</f>
        <v>0</v>
      </c>
      <c r="D949">
        <f>VLOOKUP($B949,Keys!$F$2:$I$22,3,FALSE)</f>
        <v>0</v>
      </c>
      <c r="E949" t="str">
        <f>VLOOKUP($B949,Keys!$F$2:$I$22,4,FALSE)</f>
        <v>zero</v>
      </c>
      <c r="F949" t="str">
        <f>$A949&amp;Keys!$C$54&amp;$B949</f>
        <v>WI|electricity (not used in this variable)</v>
      </c>
      <c r="G949" s="10">
        <f>IF($E949=Keys!$C$60,Keys!$C$51,INDEX(Balanced_2025!$D$9:$D$3032,MATCH($A949&amp;Keys!$C$54&amp;Keys!$C$55&amp;Keys!$C$54&amp;$C949,Balanced_2025!$E$9:$E$3032,0)))</f>
        <v>0</v>
      </c>
      <c r="H949" s="10">
        <f>IF($E949=Keys!$C$60,Keys!$C$51,INDEX(Balanced_2025!$D$9:$D$3032,MATCH($A949&amp;Keys!$C$54&amp;Keys!$C$56&amp;Keys!$C$54&amp;$C949,Balanced_2025!$E$9:$E$3032,0)))</f>
        <v>0</v>
      </c>
      <c r="I949" s="10">
        <f>IF($E949=Keys!$C$60,Keys!$C$51,INDEX(Balanced_2025!$D$9:$D$3032,MATCH($A949&amp;Keys!$C$54&amp;Keys!$C$57&amp;Keys!$C$54&amp;$C949,Balanced_2025!$E$9:$E$3032,0)))</f>
        <v>0</v>
      </c>
      <c r="J949" s="10">
        <f t="shared" si="56"/>
        <v>0</v>
      </c>
      <c r="K949" s="10">
        <f>MAX(Keys!$C$51,$I949-$H949)</f>
        <v>0</v>
      </c>
      <c r="L949" s="10">
        <f t="shared" si="57"/>
        <v>0</v>
      </c>
      <c r="M949" s="11">
        <f>IF($L949&gt;Keys!$C$51,MIN(Keys!$C$52,$K949/$L949),Keys!$C$51)</f>
        <v>0</v>
      </c>
      <c r="N949" s="11">
        <f>IF($E949=Keys!$C$60,Keys!$C$51,IF($E949=Keys!$C$59,$D949,$M949))</f>
        <v>0</v>
      </c>
      <c r="O949">
        <f t="shared" si="58"/>
        <v>0</v>
      </c>
      <c r="P949" s="10">
        <f>IF($E949=Keys!$C$60,Keys!$C$51,INDEX(Raw_BFPIaE!$G$9:$G$3032,MATCH($A949&amp;Keys!$C$54&amp;Keys!$C$55&amp;Keys!$C$54&amp;$B949,Raw_BFPIaE!$H$9:$H$3032,0)))</f>
        <v>0</v>
      </c>
      <c r="Q949" s="10">
        <f>IF($E949=Keys!$C$60,Keys!$C$51,INDEX(Raw_BFPIaE!$G$9:$G$3032,MATCH($A949&amp;Keys!$C$54&amp;Keys!$C$56&amp;Keys!$C$54&amp;$B949,Raw_BFPIaE!$H$9:$H$3032,0)))</f>
        <v>0</v>
      </c>
      <c r="R949" s="10">
        <f>IF($E949=Keys!$C$60,Keys!$C$51,INDEX(Raw_BFPIaE!$G$9:$G$3032,MATCH($A949&amp;Keys!$C$54&amp;Keys!$C$57&amp;Keys!$C$54&amp;$B949,Raw_BFPIaE!$H$9:$H$3032,0)))</f>
        <v>0</v>
      </c>
      <c r="S949" s="11">
        <f>IF(($P949+$Q949-$R949+MAX(Keys!$C$51,$R949-$Q949))&gt;Keys!$C$51,MIN(Keys!$C$52,MAX(Keys!$C$51,$R949-$Q949)/($P949+$Q949-$R949+MAX(Keys!$C$51,$R949-$Q949))),Keys!$C$51)</f>
        <v>0</v>
      </c>
      <c r="T949">
        <f>IF(AND($I949&gt;$H949,ABS($L949-$G949)&gt;MAX(Keys!$C$62,ABS($G949)*Keys!$C$63)),1,0)</f>
        <v>0</v>
      </c>
      <c r="U949">
        <f>IF(OR($N949&lt;Keys!$C$51,$N949&gt;Keys!$C$52),1,0)</f>
        <v>0</v>
      </c>
      <c r="V949">
        <f>IF(AND($E949=Keys!$C$60,$N949&lt;&gt;Keys!$C$51),1,0)</f>
        <v>0</v>
      </c>
      <c r="W949">
        <f>IF($L949&gt;Keys!$C$51,IF($K949/$L949&gt;Keys!$C$52,1,0),0)</f>
        <v>0</v>
      </c>
      <c r="X949" s="11">
        <f t="shared" si="59"/>
        <v>0</v>
      </c>
    </row>
    <row r="950" spans="1:24" x14ac:dyDescent="0.25">
      <c r="A950" t="s">
        <v>173</v>
      </c>
      <c r="B950" t="s">
        <v>64</v>
      </c>
      <c r="C950" t="str">
        <f>VLOOKUP($B950,Keys!$F$2:$I$22,2,FALSE)</f>
        <v>hard coal</v>
      </c>
      <c r="D950">
        <f>VLOOKUP($B950,Keys!$F$2:$I$22,3,FALSE)</f>
        <v>0.137539879</v>
      </c>
      <c r="E950" t="str">
        <f>VLOOKUP($B950,Keys!$F$2:$I$22,4,FALSE)</f>
        <v>rule</v>
      </c>
      <c r="F950" t="str">
        <f>$A950&amp;Keys!$C$54&amp;$B950</f>
        <v>WI|hard coal</v>
      </c>
      <c r="G950" s="10">
        <f>IF($E950=Keys!$C$60,Keys!$C$51,INDEX(Balanced_2025!$D$9:$D$3032,MATCH($A950&amp;Keys!$C$54&amp;Keys!$C$55&amp;Keys!$C$54&amp;$C950,Balanced_2025!$E$9:$E$3032,0)))</f>
        <v>0</v>
      </c>
      <c r="H950" s="10">
        <f>IF($E950=Keys!$C$60,Keys!$C$51,INDEX(Balanced_2025!$D$9:$D$3032,MATCH($A950&amp;Keys!$C$54&amp;Keys!$C$56&amp;Keys!$C$54&amp;$C950,Balanced_2025!$E$9:$E$3032,0)))</f>
        <v>300458000000000</v>
      </c>
      <c r="I950" s="10">
        <f>IF($E950=Keys!$C$60,Keys!$C$51,INDEX(Balanced_2025!$D$9:$D$3032,MATCH($A950&amp;Keys!$C$54&amp;Keys!$C$57&amp;Keys!$C$54&amp;$C950,Balanced_2025!$E$9:$E$3032,0)))</f>
        <v>0</v>
      </c>
      <c r="J950" s="10">
        <f t="shared" si="56"/>
        <v>300458000000000</v>
      </c>
      <c r="K950" s="10">
        <f>MAX(Keys!$C$51,$I950-$H950)</f>
        <v>0</v>
      </c>
      <c r="L950" s="10">
        <f t="shared" si="57"/>
        <v>300458000000000</v>
      </c>
      <c r="M950" s="11">
        <f>IF($L950&gt;Keys!$C$51,MIN(Keys!$C$52,$K950/$L950),Keys!$C$51)</f>
        <v>0</v>
      </c>
      <c r="N950" s="11">
        <f>IF($E950=Keys!$C$60,Keys!$C$51,IF($E950=Keys!$C$59,$D950,$M950))</f>
        <v>0</v>
      </c>
      <c r="O950">
        <f t="shared" si="58"/>
        <v>1</v>
      </c>
      <c r="P950" s="10">
        <f>IF($E950=Keys!$C$60,Keys!$C$51,INDEX(Raw_BFPIaE!$G$9:$G$3032,MATCH($A950&amp;Keys!$C$54&amp;Keys!$C$55&amp;Keys!$C$54&amp;$B950,Raw_BFPIaE!$H$9:$H$3032,0)))</f>
        <v>0</v>
      </c>
      <c r="Q950" s="10">
        <f>IF($E950=Keys!$C$60,Keys!$C$51,INDEX(Raw_BFPIaE!$G$9:$G$3032,MATCH($A950&amp;Keys!$C$54&amp;Keys!$C$56&amp;Keys!$C$54&amp;$B950,Raw_BFPIaE!$H$9:$H$3032,0)))</f>
        <v>245849333333333.34</v>
      </c>
      <c r="R950" s="10">
        <f>IF($E950=Keys!$C$60,Keys!$C$51,INDEX(Raw_BFPIaE!$G$9:$G$3032,MATCH($A950&amp;Keys!$C$54&amp;Keys!$C$57&amp;Keys!$C$54&amp;$B950,Raw_BFPIaE!$H$9:$H$3032,0)))</f>
        <v>0</v>
      </c>
      <c r="S950" s="11">
        <f>IF(($P950+$Q950-$R950+MAX(Keys!$C$51,$R950-$Q950))&gt;Keys!$C$51,MIN(Keys!$C$52,MAX(Keys!$C$51,$R950-$Q950)/($P950+$Q950-$R950+MAX(Keys!$C$51,$R950-$Q950))),Keys!$C$51)</f>
        <v>0</v>
      </c>
      <c r="T950">
        <f>IF(AND($I950&gt;$H950,ABS($L950-$G950)&gt;MAX(Keys!$C$62,ABS($G950)*Keys!$C$63)),1,0)</f>
        <v>0</v>
      </c>
      <c r="U950">
        <f>IF(OR($N950&lt;Keys!$C$51,$N950&gt;Keys!$C$52),1,0)</f>
        <v>0</v>
      </c>
      <c r="V950">
        <f>IF(AND($E950=Keys!$C$60,$N950&lt;&gt;Keys!$C$51),1,0)</f>
        <v>0</v>
      </c>
      <c r="W950">
        <f>IF($L950&gt;Keys!$C$51,IF($K950/$L950&gt;Keys!$C$52,1,0),0)</f>
        <v>0</v>
      </c>
      <c r="X950" s="11">
        <f t="shared" si="59"/>
        <v>0</v>
      </c>
    </row>
    <row r="951" spans="1:24" x14ac:dyDescent="0.25">
      <c r="A951" t="s">
        <v>173</v>
      </c>
      <c r="B951" t="s">
        <v>68</v>
      </c>
      <c r="C951" t="str">
        <f>VLOOKUP($B951,Keys!$F$2:$I$22,2,FALSE)</f>
        <v>natural gas</v>
      </c>
      <c r="D951">
        <f>VLOOKUP($B951,Keys!$F$2:$I$22,3,FALSE)</f>
        <v>0.190839183</v>
      </c>
      <c r="E951" t="str">
        <f>VLOOKUP($B951,Keys!$F$2:$I$22,4,FALSE)</f>
        <v>rule</v>
      </c>
      <c r="F951" t="str">
        <f>$A951&amp;Keys!$C$54&amp;$B951</f>
        <v>WI|natural gas</v>
      </c>
      <c r="G951" s="10">
        <f>IF($E951=Keys!$C$60,Keys!$C$51,INDEX(Balanced_2025!$D$9:$D$3032,MATCH($A951&amp;Keys!$C$54&amp;Keys!$C$55&amp;Keys!$C$54&amp;$C951,Balanced_2025!$E$9:$E$3032,0)))</f>
        <v>0</v>
      </c>
      <c r="H951" s="10">
        <f>IF($E951=Keys!$C$60,Keys!$C$51,INDEX(Balanced_2025!$D$9:$D$3032,MATCH($A951&amp;Keys!$C$54&amp;Keys!$C$56&amp;Keys!$C$54&amp;$C951,Balanced_2025!$E$9:$E$3032,0)))</f>
        <v>1011900000000000</v>
      </c>
      <c r="I951" s="10">
        <f>IF($E951=Keys!$C$60,Keys!$C$51,INDEX(Balanced_2025!$D$9:$D$3032,MATCH($A951&amp;Keys!$C$54&amp;Keys!$C$57&amp;Keys!$C$54&amp;$C951,Balanced_2025!$E$9:$E$3032,0)))</f>
        <v>504531000000000</v>
      </c>
      <c r="J951" s="10">
        <f t="shared" si="56"/>
        <v>507369000000000</v>
      </c>
      <c r="K951" s="10">
        <f>MAX(Keys!$C$51,$I951-$H951)</f>
        <v>0</v>
      </c>
      <c r="L951" s="10">
        <f t="shared" si="57"/>
        <v>507369000000000</v>
      </c>
      <c r="M951" s="11">
        <f>IF($L951&gt;Keys!$C$51,MIN(Keys!$C$52,$K951/$L951),Keys!$C$51)</f>
        <v>0</v>
      </c>
      <c r="N951" s="11">
        <f>IF($E951=Keys!$C$60,Keys!$C$51,IF($E951=Keys!$C$59,$D951,$M951))</f>
        <v>0</v>
      </c>
      <c r="O951">
        <f t="shared" si="58"/>
        <v>1</v>
      </c>
      <c r="P951" s="10">
        <f>IF($E951=Keys!$C$60,Keys!$C$51,INDEX(Raw_BFPIaE!$G$9:$G$3032,MATCH($A951&amp;Keys!$C$54&amp;Keys!$C$55&amp;Keys!$C$54&amp;$B951,Raw_BFPIaE!$H$9:$H$3032,0)))</f>
        <v>0</v>
      </c>
      <c r="Q951" s="10">
        <f>IF($E951=Keys!$C$60,Keys!$C$51,INDEX(Raw_BFPIaE!$G$9:$G$3032,MATCH($A951&amp;Keys!$C$54&amp;Keys!$C$56&amp;Keys!$C$54&amp;$B951,Raw_BFPIaE!$H$9:$H$3032,0)))</f>
        <v>1072410000000000</v>
      </c>
      <c r="R951" s="10">
        <f>IF($E951=Keys!$C$60,Keys!$C$51,INDEX(Raw_BFPIaE!$G$9:$G$3032,MATCH($A951&amp;Keys!$C$54&amp;Keys!$C$57&amp;Keys!$C$54&amp;$B951,Raw_BFPIaE!$H$9:$H$3032,0)))</f>
        <v>505053333333333.31</v>
      </c>
      <c r="S951" s="11">
        <f>IF(($P951+$Q951-$R951+MAX(Keys!$C$51,$R951-$Q951))&gt;Keys!$C$51,MIN(Keys!$C$52,MAX(Keys!$C$51,$R951-$Q951)/($P951+$Q951-$R951+MAX(Keys!$C$51,$R951-$Q951))),Keys!$C$51)</f>
        <v>0</v>
      </c>
      <c r="T951">
        <f>IF(AND($I951&gt;$H951,ABS($L951-$G951)&gt;MAX(Keys!$C$62,ABS($G951)*Keys!$C$63)),1,0)</f>
        <v>0</v>
      </c>
      <c r="U951">
        <f>IF(OR($N951&lt;Keys!$C$51,$N951&gt;Keys!$C$52),1,0)</f>
        <v>0</v>
      </c>
      <c r="V951">
        <f>IF(AND($E951=Keys!$C$60,$N951&lt;&gt;Keys!$C$51),1,0)</f>
        <v>0</v>
      </c>
      <c r="W951">
        <f>IF($L951&gt;Keys!$C$51,IF($K951/$L951&gt;Keys!$C$52,1,0),0)</f>
        <v>0</v>
      </c>
      <c r="X951" s="11">
        <f t="shared" si="59"/>
        <v>0</v>
      </c>
    </row>
    <row r="952" spans="1:24" x14ac:dyDescent="0.25">
      <c r="A952" t="s">
        <v>173</v>
      </c>
      <c r="B952" t="s">
        <v>71</v>
      </c>
      <c r="C952">
        <f>VLOOKUP($B952,Keys!$F$2:$I$22,2,FALSE)</f>
        <v>0</v>
      </c>
      <c r="D952">
        <f>VLOOKUP($B952,Keys!$F$2:$I$22,3,FALSE)</f>
        <v>0</v>
      </c>
      <c r="E952" t="str">
        <f>VLOOKUP($B952,Keys!$F$2:$I$22,4,FALSE)</f>
        <v>zero</v>
      </c>
      <c r="F952" t="str">
        <f>$A952&amp;Keys!$C$54&amp;$B952</f>
        <v>WI|nuclear</v>
      </c>
      <c r="G952" s="10">
        <f>IF($E952=Keys!$C$60,Keys!$C$51,INDEX(Balanced_2025!$D$9:$D$3032,MATCH($A952&amp;Keys!$C$54&amp;Keys!$C$55&amp;Keys!$C$54&amp;$C952,Balanced_2025!$E$9:$E$3032,0)))</f>
        <v>0</v>
      </c>
      <c r="H952" s="10">
        <f>IF($E952=Keys!$C$60,Keys!$C$51,INDEX(Balanced_2025!$D$9:$D$3032,MATCH($A952&amp;Keys!$C$54&amp;Keys!$C$56&amp;Keys!$C$54&amp;$C952,Balanced_2025!$E$9:$E$3032,0)))</f>
        <v>0</v>
      </c>
      <c r="I952" s="10">
        <f>IF($E952=Keys!$C$60,Keys!$C$51,INDEX(Balanced_2025!$D$9:$D$3032,MATCH($A952&amp;Keys!$C$54&amp;Keys!$C$57&amp;Keys!$C$54&amp;$C952,Balanced_2025!$E$9:$E$3032,0)))</f>
        <v>0</v>
      </c>
      <c r="J952" s="10">
        <f t="shared" si="56"/>
        <v>0</v>
      </c>
      <c r="K952" s="10">
        <f>MAX(Keys!$C$51,$I952-$H952)</f>
        <v>0</v>
      </c>
      <c r="L952" s="10">
        <f t="shared" si="57"/>
        <v>0</v>
      </c>
      <c r="M952" s="11">
        <f>IF($L952&gt;Keys!$C$51,MIN(Keys!$C$52,$K952/$L952),Keys!$C$51)</f>
        <v>0</v>
      </c>
      <c r="N952" s="11">
        <f>IF($E952=Keys!$C$60,Keys!$C$51,IF($E952=Keys!$C$59,$D952,$M952))</f>
        <v>0</v>
      </c>
      <c r="O952">
        <f t="shared" si="58"/>
        <v>0</v>
      </c>
      <c r="P952" s="10">
        <f>IF($E952=Keys!$C$60,Keys!$C$51,INDEX(Raw_BFPIaE!$G$9:$G$3032,MATCH($A952&amp;Keys!$C$54&amp;Keys!$C$55&amp;Keys!$C$54&amp;$B952,Raw_BFPIaE!$H$9:$H$3032,0)))</f>
        <v>0</v>
      </c>
      <c r="Q952" s="10">
        <f>IF($E952=Keys!$C$60,Keys!$C$51,INDEX(Raw_BFPIaE!$G$9:$G$3032,MATCH($A952&amp;Keys!$C$54&amp;Keys!$C$56&amp;Keys!$C$54&amp;$B952,Raw_BFPIaE!$H$9:$H$3032,0)))</f>
        <v>0</v>
      </c>
      <c r="R952" s="10">
        <f>IF($E952=Keys!$C$60,Keys!$C$51,INDEX(Raw_BFPIaE!$G$9:$G$3032,MATCH($A952&amp;Keys!$C$54&amp;Keys!$C$57&amp;Keys!$C$54&amp;$B952,Raw_BFPIaE!$H$9:$H$3032,0)))</f>
        <v>0</v>
      </c>
      <c r="S952" s="11">
        <f>IF(($P952+$Q952-$R952+MAX(Keys!$C$51,$R952-$Q952))&gt;Keys!$C$51,MIN(Keys!$C$52,MAX(Keys!$C$51,$R952-$Q952)/($P952+$Q952-$R952+MAX(Keys!$C$51,$R952-$Q952))),Keys!$C$51)</f>
        <v>0</v>
      </c>
      <c r="T952">
        <f>IF(AND($I952&gt;$H952,ABS($L952-$G952)&gt;MAX(Keys!$C$62,ABS($G952)*Keys!$C$63)),1,0)</f>
        <v>0</v>
      </c>
      <c r="U952">
        <f>IF(OR($N952&lt;Keys!$C$51,$N952&gt;Keys!$C$52),1,0)</f>
        <v>0</v>
      </c>
      <c r="V952">
        <f>IF(AND($E952=Keys!$C$60,$N952&lt;&gt;Keys!$C$51),1,0)</f>
        <v>0</v>
      </c>
      <c r="W952">
        <f>IF($L952&gt;Keys!$C$51,IF($K952/$L952&gt;Keys!$C$52,1,0),0)</f>
        <v>0</v>
      </c>
      <c r="X952" s="11">
        <f t="shared" si="59"/>
        <v>0</v>
      </c>
    </row>
    <row r="953" spans="1:24" x14ac:dyDescent="0.25">
      <c r="A953" t="s">
        <v>173</v>
      </c>
      <c r="B953" t="s">
        <v>74</v>
      </c>
      <c r="C953">
        <f>VLOOKUP($B953,Keys!$F$2:$I$22,2,FALSE)</f>
        <v>0</v>
      </c>
      <c r="D953">
        <f>VLOOKUP($B953,Keys!$F$2:$I$22,3,FALSE)</f>
        <v>0</v>
      </c>
      <c r="E953" t="str">
        <f>VLOOKUP($B953,Keys!$F$2:$I$22,4,FALSE)</f>
        <v>zero</v>
      </c>
      <c r="F953" t="str">
        <f>$A953&amp;Keys!$C$54&amp;$B953</f>
        <v>WI|hydro (is not a fuel)</v>
      </c>
      <c r="G953" s="10">
        <f>IF($E953=Keys!$C$60,Keys!$C$51,INDEX(Balanced_2025!$D$9:$D$3032,MATCH($A953&amp;Keys!$C$54&amp;Keys!$C$55&amp;Keys!$C$54&amp;$C953,Balanced_2025!$E$9:$E$3032,0)))</f>
        <v>0</v>
      </c>
      <c r="H953" s="10">
        <f>IF($E953=Keys!$C$60,Keys!$C$51,INDEX(Balanced_2025!$D$9:$D$3032,MATCH($A953&amp;Keys!$C$54&amp;Keys!$C$56&amp;Keys!$C$54&amp;$C953,Balanced_2025!$E$9:$E$3032,0)))</f>
        <v>0</v>
      </c>
      <c r="I953" s="10">
        <f>IF($E953=Keys!$C$60,Keys!$C$51,INDEX(Balanced_2025!$D$9:$D$3032,MATCH($A953&amp;Keys!$C$54&amp;Keys!$C$57&amp;Keys!$C$54&amp;$C953,Balanced_2025!$E$9:$E$3032,0)))</f>
        <v>0</v>
      </c>
      <c r="J953" s="10">
        <f t="shared" si="56"/>
        <v>0</v>
      </c>
      <c r="K953" s="10">
        <f>MAX(Keys!$C$51,$I953-$H953)</f>
        <v>0</v>
      </c>
      <c r="L953" s="10">
        <f t="shared" si="57"/>
        <v>0</v>
      </c>
      <c r="M953" s="11">
        <f>IF($L953&gt;Keys!$C$51,MIN(Keys!$C$52,$K953/$L953),Keys!$C$51)</f>
        <v>0</v>
      </c>
      <c r="N953" s="11">
        <f>IF($E953=Keys!$C$60,Keys!$C$51,IF($E953=Keys!$C$59,$D953,$M953))</f>
        <v>0</v>
      </c>
      <c r="O953">
        <f t="shared" si="58"/>
        <v>0</v>
      </c>
      <c r="P953" s="10">
        <f>IF($E953=Keys!$C$60,Keys!$C$51,INDEX(Raw_BFPIaE!$G$9:$G$3032,MATCH($A953&amp;Keys!$C$54&amp;Keys!$C$55&amp;Keys!$C$54&amp;$B953,Raw_BFPIaE!$H$9:$H$3032,0)))</f>
        <v>0</v>
      </c>
      <c r="Q953" s="10">
        <f>IF($E953=Keys!$C$60,Keys!$C$51,INDEX(Raw_BFPIaE!$G$9:$G$3032,MATCH($A953&amp;Keys!$C$54&amp;Keys!$C$56&amp;Keys!$C$54&amp;$B953,Raw_BFPIaE!$H$9:$H$3032,0)))</f>
        <v>0</v>
      </c>
      <c r="R953" s="10">
        <f>IF($E953=Keys!$C$60,Keys!$C$51,INDEX(Raw_BFPIaE!$G$9:$G$3032,MATCH($A953&amp;Keys!$C$54&amp;Keys!$C$57&amp;Keys!$C$54&amp;$B953,Raw_BFPIaE!$H$9:$H$3032,0)))</f>
        <v>0</v>
      </c>
      <c r="S953" s="11">
        <f>IF(($P953+$Q953-$R953+MAX(Keys!$C$51,$R953-$Q953))&gt;Keys!$C$51,MIN(Keys!$C$52,MAX(Keys!$C$51,$R953-$Q953)/($P953+$Q953-$R953+MAX(Keys!$C$51,$R953-$Q953))),Keys!$C$51)</f>
        <v>0</v>
      </c>
      <c r="T953">
        <f>IF(AND($I953&gt;$H953,ABS($L953-$G953)&gt;MAX(Keys!$C$62,ABS($G953)*Keys!$C$63)),1,0)</f>
        <v>0</v>
      </c>
      <c r="U953">
        <f>IF(OR($N953&lt;Keys!$C$51,$N953&gt;Keys!$C$52),1,0)</f>
        <v>0</v>
      </c>
      <c r="V953">
        <f>IF(AND($E953=Keys!$C$60,$N953&lt;&gt;Keys!$C$51),1,0)</f>
        <v>0</v>
      </c>
      <c r="W953">
        <f>IF($L953&gt;Keys!$C$51,IF($K953/$L953&gt;Keys!$C$52,1,0),0)</f>
        <v>0</v>
      </c>
      <c r="X953" s="11">
        <f t="shared" si="59"/>
        <v>0</v>
      </c>
    </row>
    <row r="954" spans="1:24" x14ac:dyDescent="0.25">
      <c r="A954" t="s">
        <v>173</v>
      </c>
      <c r="B954" t="s">
        <v>77</v>
      </c>
      <c r="C954">
        <f>VLOOKUP($B954,Keys!$F$2:$I$22,2,FALSE)</f>
        <v>0</v>
      </c>
      <c r="D954">
        <f>VLOOKUP($B954,Keys!$F$2:$I$22,3,FALSE)</f>
        <v>0</v>
      </c>
      <c r="E954" t="str">
        <f>VLOOKUP($B954,Keys!$F$2:$I$22,4,FALSE)</f>
        <v>zero</v>
      </c>
      <c r="F954" t="str">
        <f>$A954&amp;Keys!$C$54&amp;$B954</f>
        <v>WI|wind (is not a fuel)</v>
      </c>
      <c r="G954" s="10">
        <f>IF($E954=Keys!$C$60,Keys!$C$51,INDEX(Balanced_2025!$D$9:$D$3032,MATCH($A954&amp;Keys!$C$54&amp;Keys!$C$55&amp;Keys!$C$54&amp;$C954,Balanced_2025!$E$9:$E$3032,0)))</f>
        <v>0</v>
      </c>
      <c r="H954" s="10">
        <f>IF($E954=Keys!$C$60,Keys!$C$51,INDEX(Balanced_2025!$D$9:$D$3032,MATCH($A954&amp;Keys!$C$54&amp;Keys!$C$56&amp;Keys!$C$54&amp;$C954,Balanced_2025!$E$9:$E$3032,0)))</f>
        <v>0</v>
      </c>
      <c r="I954" s="10">
        <f>IF($E954=Keys!$C$60,Keys!$C$51,INDEX(Balanced_2025!$D$9:$D$3032,MATCH($A954&amp;Keys!$C$54&amp;Keys!$C$57&amp;Keys!$C$54&amp;$C954,Balanced_2025!$E$9:$E$3032,0)))</f>
        <v>0</v>
      </c>
      <c r="J954" s="10">
        <f t="shared" si="56"/>
        <v>0</v>
      </c>
      <c r="K954" s="10">
        <f>MAX(Keys!$C$51,$I954-$H954)</f>
        <v>0</v>
      </c>
      <c r="L954" s="10">
        <f t="shared" si="57"/>
        <v>0</v>
      </c>
      <c r="M954" s="11">
        <f>IF($L954&gt;Keys!$C$51,MIN(Keys!$C$52,$K954/$L954),Keys!$C$51)</f>
        <v>0</v>
      </c>
      <c r="N954" s="11">
        <f>IF($E954=Keys!$C$60,Keys!$C$51,IF($E954=Keys!$C$59,$D954,$M954))</f>
        <v>0</v>
      </c>
      <c r="O954">
        <f t="shared" si="58"/>
        <v>0</v>
      </c>
      <c r="P954" s="10">
        <f>IF($E954=Keys!$C$60,Keys!$C$51,INDEX(Raw_BFPIaE!$G$9:$G$3032,MATCH($A954&amp;Keys!$C$54&amp;Keys!$C$55&amp;Keys!$C$54&amp;$B954,Raw_BFPIaE!$H$9:$H$3032,0)))</f>
        <v>0</v>
      </c>
      <c r="Q954" s="10">
        <f>IF($E954=Keys!$C$60,Keys!$C$51,INDEX(Raw_BFPIaE!$G$9:$G$3032,MATCH($A954&amp;Keys!$C$54&amp;Keys!$C$56&amp;Keys!$C$54&amp;$B954,Raw_BFPIaE!$H$9:$H$3032,0)))</f>
        <v>0</v>
      </c>
      <c r="R954" s="10">
        <f>IF($E954=Keys!$C$60,Keys!$C$51,INDEX(Raw_BFPIaE!$G$9:$G$3032,MATCH($A954&amp;Keys!$C$54&amp;Keys!$C$57&amp;Keys!$C$54&amp;$B954,Raw_BFPIaE!$H$9:$H$3032,0)))</f>
        <v>0</v>
      </c>
      <c r="S954" s="11">
        <f>IF(($P954+$Q954-$R954+MAX(Keys!$C$51,$R954-$Q954))&gt;Keys!$C$51,MIN(Keys!$C$52,MAX(Keys!$C$51,$R954-$Q954)/($P954+$Q954-$R954+MAX(Keys!$C$51,$R954-$Q954))),Keys!$C$51)</f>
        <v>0</v>
      </c>
      <c r="T954">
        <f>IF(AND($I954&gt;$H954,ABS($L954-$G954)&gt;MAX(Keys!$C$62,ABS($G954)*Keys!$C$63)),1,0)</f>
        <v>0</v>
      </c>
      <c r="U954">
        <f>IF(OR($N954&lt;Keys!$C$51,$N954&gt;Keys!$C$52),1,0)</f>
        <v>0</v>
      </c>
      <c r="V954">
        <f>IF(AND($E954=Keys!$C$60,$N954&lt;&gt;Keys!$C$51),1,0)</f>
        <v>0</v>
      </c>
      <c r="W954">
        <f>IF($L954&gt;Keys!$C$51,IF($K954/$L954&gt;Keys!$C$52,1,0),0)</f>
        <v>0</v>
      </c>
      <c r="X954" s="11">
        <f t="shared" si="59"/>
        <v>0</v>
      </c>
    </row>
    <row r="955" spans="1:24" x14ac:dyDescent="0.25">
      <c r="A955" t="s">
        <v>173</v>
      </c>
      <c r="B955" t="s">
        <v>80</v>
      </c>
      <c r="C955">
        <f>VLOOKUP($B955,Keys!$F$2:$I$22,2,FALSE)</f>
        <v>0</v>
      </c>
      <c r="D955">
        <f>VLOOKUP($B955,Keys!$F$2:$I$22,3,FALSE)</f>
        <v>0</v>
      </c>
      <c r="E955" t="str">
        <f>VLOOKUP($B955,Keys!$F$2:$I$22,4,FALSE)</f>
        <v>zero</v>
      </c>
      <c r="F955" t="str">
        <f>$A955&amp;Keys!$C$54&amp;$B955</f>
        <v>WI|solar (is not a fuel)</v>
      </c>
      <c r="G955" s="10">
        <f>IF($E955=Keys!$C$60,Keys!$C$51,INDEX(Balanced_2025!$D$9:$D$3032,MATCH($A955&amp;Keys!$C$54&amp;Keys!$C$55&amp;Keys!$C$54&amp;$C955,Balanced_2025!$E$9:$E$3032,0)))</f>
        <v>0</v>
      </c>
      <c r="H955" s="10">
        <f>IF($E955=Keys!$C$60,Keys!$C$51,INDEX(Balanced_2025!$D$9:$D$3032,MATCH($A955&amp;Keys!$C$54&amp;Keys!$C$56&amp;Keys!$C$54&amp;$C955,Balanced_2025!$E$9:$E$3032,0)))</f>
        <v>0</v>
      </c>
      <c r="I955" s="10">
        <f>IF($E955=Keys!$C$60,Keys!$C$51,INDEX(Balanced_2025!$D$9:$D$3032,MATCH($A955&amp;Keys!$C$54&amp;Keys!$C$57&amp;Keys!$C$54&amp;$C955,Balanced_2025!$E$9:$E$3032,0)))</f>
        <v>0</v>
      </c>
      <c r="J955" s="10">
        <f t="shared" si="56"/>
        <v>0</v>
      </c>
      <c r="K955" s="10">
        <f>MAX(Keys!$C$51,$I955-$H955)</f>
        <v>0</v>
      </c>
      <c r="L955" s="10">
        <f t="shared" si="57"/>
        <v>0</v>
      </c>
      <c r="M955" s="11">
        <f>IF($L955&gt;Keys!$C$51,MIN(Keys!$C$52,$K955/$L955),Keys!$C$51)</f>
        <v>0</v>
      </c>
      <c r="N955" s="11">
        <f>IF($E955=Keys!$C$60,Keys!$C$51,IF($E955=Keys!$C$59,$D955,$M955))</f>
        <v>0</v>
      </c>
      <c r="O955">
        <f t="shared" si="58"/>
        <v>0</v>
      </c>
      <c r="P955" s="10">
        <f>IF($E955=Keys!$C$60,Keys!$C$51,INDEX(Raw_BFPIaE!$G$9:$G$3032,MATCH($A955&amp;Keys!$C$54&amp;Keys!$C$55&amp;Keys!$C$54&amp;$B955,Raw_BFPIaE!$H$9:$H$3032,0)))</f>
        <v>0</v>
      </c>
      <c r="Q955" s="10">
        <f>IF($E955=Keys!$C$60,Keys!$C$51,INDEX(Raw_BFPIaE!$G$9:$G$3032,MATCH($A955&amp;Keys!$C$54&amp;Keys!$C$56&amp;Keys!$C$54&amp;$B955,Raw_BFPIaE!$H$9:$H$3032,0)))</f>
        <v>0</v>
      </c>
      <c r="R955" s="10">
        <f>IF($E955=Keys!$C$60,Keys!$C$51,INDEX(Raw_BFPIaE!$G$9:$G$3032,MATCH($A955&amp;Keys!$C$54&amp;Keys!$C$57&amp;Keys!$C$54&amp;$B955,Raw_BFPIaE!$H$9:$H$3032,0)))</f>
        <v>0</v>
      </c>
      <c r="S955" s="11">
        <f>IF(($P955+$Q955-$R955+MAX(Keys!$C$51,$R955-$Q955))&gt;Keys!$C$51,MIN(Keys!$C$52,MAX(Keys!$C$51,$R955-$Q955)/($P955+$Q955-$R955+MAX(Keys!$C$51,$R955-$Q955))),Keys!$C$51)</f>
        <v>0</v>
      </c>
      <c r="T955">
        <f>IF(AND($I955&gt;$H955,ABS($L955-$G955)&gt;MAX(Keys!$C$62,ABS($G955)*Keys!$C$63)),1,0)</f>
        <v>0</v>
      </c>
      <c r="U955">
        <f>IF(OR($N955&lt;Keys!$C$51,$N955&gt;Keys!$C$52),1,0)</f>
        <v>0</v>
      </c>
      <c r="V955">
        <f>IF(AND($E955=Keys!$C$60,$N955&lt;&gt;Keys!$C$51),1,0)</f>
        <v>0</v>
      </c>
      <c r="W955">
        <f>IF($L955&gt;Keys!$C$51,IF($K955/$L955&gt;Keys!$C$52,1,0),0)</f>
        <v>0</v>
      </c>
      <c r="X955" s="11">
        <f t="shared" si="59"/>
        <v>0</v>
      </c>
    </row>
    <row r="956" spans="1:24" x14ac:dyDescent="0.25">
      <c r="A956" t="s">
        <v>173</v>
      </c>
      <c r="B956" t="s">
        <v>82</v>
      </c>
      <c r="C956" t="str">
        <f>VLOOKUP($B956,Keys!$F$2:$I$22,2,FALSE)</f>
        <v>biomass</v>
      </c>
      <c r="D956">
        <f>VLOOKUP($B956,Keys!$F$2:$I$22,3,FALSE)</f>
        <v>0.74947425499999998</v>
      </c>
      <c r="E956" t="str">
        <f>VLOOKUP($B956,Keys!$F$2:$I$22,4,FALSE)</f>
        <v>rule</v>
      </c>
      <c r="F956" t="str">
        <f>$A956&amp;Keys!$C$54&amp;$B956</f>
        <v>WI|biomass</v>
      </c>
      <c r="G956" s="10">
        <f>IF($E956=Keys!$C$60,Keys!$C$51,INDEX(Balanced_2025!$D$9:$D$3032,MATCH($A956&amp;Keys!$C$54&amp;Keys!$C$55&amp;Keys!$C$54&amp;$C956,Balanced_2025!$E$9:$E$3032,0)))</f>
        <v>3680000000000</v>
      </c>
      <c r="H956" s="10">
        <f>IF($E956=Keys!$C$60,Keys!$C$51,INDEX(Balanced_2025!$D$9:$D$3032,MATCH($A956&amp;Keys!$C$54&amp;Keys!$C$56&amp;Keys!$C$54&amp;$C956,Balanced_2025!$E$9:$E$3032,0)))</f>
        <v>76806400000000</v>
      </c>
      <c r="I956" s="10">
        <f>IF($E956=Keys!$C$60,Keys!$C$51,INDEX(Balanced_2025!$D$9:$D$3032,MATCH($A956&amp;Keys!$C$54&amp;Keys!$C$57&amp;Keys!$C$54&amp;$C956,Balanced_2025!$E$9:$E$3032,0)))</f>
        <v>0</v>
      </c>
      <c r="J956" s="10">
        <f t="shared" si="56"/>
        <v>80486400000000</v>
      </c>
      <c r="K956" s="10">
        <f>MAX(Keys!$C$51,$I956-$H956)</f>
        <v>0</v>
      </c>
      <c r="L956" s="10">
        <f t="shared" si="57"/>
        <v>80486400000000</v>
      </c>
      <c r="M956" s="11">
        <f>IF($L956&gt;Keys!$C$51,MIN(Keys!$C$52,$K956/$L956),Keys!$C$51)</f>
        <v>0</v>
      </c>
      <c r="N956" s="11">
        <f>IF($E956=Keys!$C$60,Keys!$C$51,IF($E956=Keys!$C$59,$D956,$M956))</f>
        <v>0</v>
      </c>
      <c r="O956">
        <f t="shared" si="58"/>
        <v>1</v>
      </c>
      <c r="P956" s="10">
        <f>IF($E956=Keys!$C$60,Keys!$C$51,INDEX(Raw_BFPIaE!$G$9:$G$3032,MATCH($A956&amp;Keys!$C$54&amp;Keys!$C$55&amp;Keys!$C$54&amp;$B956,Raw_BFPIaE!$H$9:$H$3032,0)))</f>
        <v>3680000000000</v>
      </c>
      <c r="Q956" s="10">
        <f>IF($E956=Keys!$C$60,Keys!$C$51,INDEX(Raw_BFPIaE!$G$9:$G$3032,MATCH($A956&amp;Keys!$C$54&amp;Keys!$C$56&amp;Keys!$C$54&amp;$B956,Raw_BFPIaE!$H$9:$H$3032,0)))</f>
        <v>52318433333333.336</v>
      </c>
      <c r="R956" s="10">
        <f>IF($E956=Keys!$C$60,Keys!$C$51,INDEX(Raw_BFPIaE!$G$9:$G$3032,MATCH($A956&amp;Keys!$C$54&amp;Keys!$C$57&amp;Keys!$C$54&amp;$B956,Raw_BFPIaE!$H$9:$H$3032,0)))</f>
        <v>0</v>
      </c>
      <c r="S956" s="11">
        <f>IF(($P956+$Q956-$R956+MAX(Keys!$C$51,$R956-$Q956))&gt;Keys!$C$51,MIN(Keys!$C$52,MAX(Keys!$C$51,$R956-$Q956)/($P956+$Q956-$R956+MAX(Keys!$C$51,$R956-$Q956))),Keys!$C$51)</f>
        <v>0</v>
      </c>
      <c r="T956">
        <f>IF(AND($I956&gt;$H956,ABS($L956-$G956)&gt;MAX(Keys!$C$62,ABS($G956)*Keys!$C$63)),1,0)</f>
        <v>0</v>
      </c>
      <c r="U956">
        <f>IF(OR($N956&lt;Keys!$C$51,$N956&gt;Keys!$C$52),1,0)</f>
        <v>0</v>
      </c>
      <c r="V956">
        <f>IF(AND($E956=Keys!$C$60,$N956&lt;&gt;Keys!$C$51),1,0)</f>
        <v>0</v>
      </c>
      <c r="W956">
        <f>IF($L956&gt;Keys!$C$51,IF($K956/$L956&gt;Keys!$C$52,1,0),0)</f>
        <v>0</v>
      </c>
      <c r="X956" s="11">
        <f t="shared" si="59"/>
        <v>0</v>
      </c>
    </row>
    <row r="957" spans="1:24" x14ac:dyDescent="0.25">
      <c r="A957" t="s">
        <v>173</v>
      </c>
      <c r="B957" t="s">
        <v>85</v>
      </c>
      <c r="C957" t="str">
        <f>VLOOKUP($B957,Keys!$F$2:$I$22,2,FALSE)</f>
        <v>petroleum gasoline</v>
      </c>
      <c r="D957">
        <f>VLOOKUP($B957,Keys!$F$2:$I$22,3,FALSE)</f>
        <v>7.5004052000000002E-2</v>
      </c>
      <c r="E957" t="str">
        <f>VLOOKUP($B957,Keys!$F$2:$I$22,4,FALSE)</f>
        <v>rule</v>
      </c>
      <c r="F957" t="str">
        <f>$A957&amp;Keys!$C$54&amp;$B957</f>
        <v>WI|petroleum gasoline</v>
      </c>
      <c r="G957" s="10">
        <f>IF($E957=Keys!$C$60,Keys!$C$51,INDEX(Balanced_2025!$D$9:$D$3032,MATCH($A957&amp;Keys!$C$54&amp;Keys!$C$55&amp;Keys!$C$54&amp;$C957,Balanced_2025!$E$9:$E$3032,0)))</f>
        <v>44577000000000</v>
      </c>
      <c r="H957" s="10">
        <f>IF($E957=Keys!$C$60,Keys!$C$51,INDEX(Balanced_2025!$D$9:$D$3032,MATCH($A957&amp;Keys!$C$54&amp;Keys!$C$56&amp;Keys!$C$54&amp;$C957,Balanced_2025!$E$9:$E$3032,0)))</f>
        <v>221877000000000</v>
      </c>
      <c r="I957" s="10">
        <f>IF($E957=Keys!$C$60,Keys!$C$51,INDEX(Balanced_2025!$D$9:$D$3032,MATCH($A957&amp;Keys!$C$54&amp;Keys!$C$57&amp;Keys!$C$54&amp;$C957,Balanced_2025!$E$9:$E$3032,0)))</f>
        <v>0</v>
      </c>
      <c r="J957" s="10">
        <f t="shared" si="56"/>
        <v>266454000000000</v>
      </c>
      <c r="K957" s="10">
        <f>MAX(Keys!$C$51,$I957-$H957)</f>
        <v>0</v>
      </c>
      <c r="L957" s="10">
        <f t="shared" si="57"/>
        <v>266454000000000</v>
      </c>
      <c r="M957" s="11">
        <f>IF($L957&gt;Keys!$C$51,MIN(Keys!$C$52,$K957/$L957),Keys!$C$51)</f>
        <v>0</v>
      </c>
      <c r="N957" s="11">
        <f>IF($E957=Keys!$C$60,Keys!$C$51,IF($E957=Keys!$C$59,$D957,$M957))</f>
        <v>0</v>
      </c>
      <c r="O957">
        <f t="shared" si="58"/>
        <v>1</v>
      </c>
      <c r="P957" s="10">
        <f>IF($E957=Keys!$C$60,Keys!$C$51,INDEX(Raw_BFPIaE!$G$9:$G$3032,MATCH($A957&amp;Keys!$C$54&amp;Keys!$C$55&amp;Keys!$C$54&amp;$B957,Raw_BFPIaE!$H$9:$H$3032,0)))</f>
        <v>44216866666666.664</v>
      </c>
      <c r="Q957" s="10">
        <f>IF($E957=Keys!$C$60,Keys!$C$51,INDEX(Raw_BFPIaE!$G$9:$G$3032,MATCH($A957&amp;Keys!$C$54&amp;Keys!$C$56&amp;Keys!$C$54&amp;$B957,Raw_BFPIaE!$H$9:$H$3032,0)))</f>
        <v>137575333333333.33</v>
      </c>
      <c r="R957" s="10">
        <f>IF($E957=Keys!$C$60,Keys!$C$51,INDEX(Raw_BFPIaE!$G$9:$G$3032,MATCH($A957&amp;Keys!$C$54&amp;Keys!$C$57&amp;Keys!$C$54&amp;$B957,Raw_BFPIaE!$H$9:$H$3032,0)))</f>
        <v>0</v>
      </c>
      <c r="S957" s="11">
        <f>IF(($P957+$Q957-$R957+MAX(Keys!$C$51,$R957-$Q957))&gt;Keys!$C$51,MIN(Keys!$C$52,MAX(Keys!$C$51,$R957-$Q957)/($P957+$Q957-$R957+MAX(Keys!$C$51,$R957-$Q957))),Keys!$C$51)</f>
        <v>0</v>
      </c>
      <c r="T957">
        <f>IF(AND($I957&gt;$H957,ABS($L957-$G957)&gt;MAX(Keys!$C$62,ABS($G957)*Keys!$C$63)),1,0)</f>
        <v>0</v>
      </c>
      <c r="U957">
        <f>IF(OR($N957&lt;Keys!$C$51,$N957&gt;Keys!$C$52),1,0)</f>
        <v>0</v>
      </c>
      <c r="V957">
        <f>IF(AND($E957=Keys!$C$60,$N957&lt;&gt;Keys!$C$51),1,0)</f>
        <v>0</v>
      </c>
      <c r="W957">
        <f>IF($L957&gt;Keys!$C$51,IF($K957/$L957&gt;Keys!$C$52,1,0),0)</f>
        <v>0</v>
      </c>
      <c r="X957" s="11">
        <f t="shared" si="59"/>
        <v>0</v>
      </c>
    </row>
    <row r="958" spans="1:24" x14ac:dyDescent="0.25">
      <c r="A958" t="s">
        <v>173</v>
      </c>
      <c r="B958" t="s">
        <v>88</v>
      </c>
      <c r="C958" t="str">
        <f>VLOOKUP($B958,Keys!$F$2:$I$22,2,FALSE)</f>
        <v>petroleum diesel</v>
      </c>
      <c r="D958">
        <f>VLOOKUP($B958,Keys!$F$2:$I$22,3,FALSE)</f>
        <v>0.26691051799999999</v>
      </c>
      <c r="E958" t="str">
        <f>VLOOKUP($B958,Keys!$F$2:$I$22,4,FALSE)</f>
        <v>rule</v>
      </c>
      <c r="F958" t="str">
        <f>$A958&amp;Keys!$C$54&amp;$B958</f>
        <v>WI|petroleum diesel</v>
      </c>
      <c r="G958" s="10">
        <f>IF($E958=Keys!$C$60,Keys!$C$51,INDEX(Balanced_2025!$D$9:$D$3032,MATCH($A958&amp;Keys!$C$54&amp;Keys!$C$55&amp;Keys!$C$54&amp;$C958,Balanced_2025!$E$9:$E$3032,0)))</f>
        <v>26368000000000</v>
      </c>
      <c r="H958" s="10">
        <f>IF($E958=Keys!$C$60,Keys!$C$51,INDEX(Balanced_2025!$D$9:$D$3032,MATCH($A958&amp;Keys!$C$54&amp;Keys!$C$56&amp;Keys!$C$54&amp;$C958,Balanced_2025!$E$9:$E$3032,0)))</f>
        <v>123336000000000</v>
      </c>
      <c r="I958" s="10">
        <f>IF($E958=Keys!$C$60,Keys!$C$51,INDEX(Balanced_2025!$D$9:$D$3032,MATCH($A958&amp;Keys!$C$54&amp;Keys!$C$57&amp;Keys!$C$54&amp;$C958,Balanced_2025!$E$9:$E$3032,0)))</f>
        <v>0</v>
      </c>
      <c r="J958" s="10">
        <f t="shared" si="56"/>
        <v>149704000000000</v>
      </c>
      <c r="K958" s="10">
        <f>MAX(Keys!$C$51,$I958-$H958)</f>
        <v>0</v>
      </c>
      <c r="L958" s="10">
        <f t="shared" si="57"/>
        <v>149704000000000</v>
      </c>
      <c r="M958" s="11">
        <f>IF($L958&gt;Keys!$C$51,MIN(Keys!$C$52,$K958/$L958),Keys!$C$51)</f>
        <v>0</v>
      </c>
      <c r="N958" s="11">
        <f>IF($E958=Keys!$C$60,Keys!$C$51,IF($E958=Keys!$C$59,$D958,$M958))</f>
        <v>0</v>
      </c>
      <c r="O958">
        <f t="shared" si="58"/>
        <v>1</v>
      </c>
      <c r="P958" s="10">
        <f>IF($E958=Keys!$C$60,Keys!$C$51,INDEX(Raw_BFPIaE!$G$9:$G$3032,MATCH($A958&amp;Keys!$C$54&amp;Keys!$C$55&amp;Keys!$C$54&amp;$B958,Raw_BFPIaE!$H$9:$H$3032,0)))</f>
        <v>26154966666666.668</v>
      </c>
      <c r="Q958" s="10">
        <f>IF($E958=Keys!$C$60,Keys!$C$51,INDEX(Raw_BFPIaE!$G$9:$G$3032,MATCH($A958&amp;Keys!$C$54&amp;Keys!$C$56&amp;Keys!$C$54&amp;$B958,Raw_BFPIaE!$H$9:$H$3032,0)))</f>
        <v>80364666666666.672</v>
      </c>
      <c r="R958" s="10">
        <f>IF($E958=Keys!$C$60,Keys!$C$51,INDEX(Raw_BFPIaE!$G$9:$G$3032,MATCH($A958&amp;Keys!$C$54&amp;Keys!$C$57&amp;Keys!$C$54&amp;$B958,Raw_BFPIaE!$H$9:$H$3032,0)))</f>
        <v>0</v>
      </c>
      <c r="S958" s="11">
        <f>IF(($P958+$Q958-$R958+MAX(Keys!$C$51,$R958-$Q958))&gt;Keys!$C$51,MIN(Keys!$C$52,MAX(Keys!$C$51,$R958-$Q958)/($P958+$Q958-$R958+MAX(Keys!$C$51,$R958-$Q958))),Keys!$C$51)</f>
        <v>0</v>
      </c>
      <c r="T958">
        <f>IF(AND($I958&gt;$H958,ABS($L958-$G958)&gt;MAX(Keys!$C$62,ABS($G958)*Keys!$C$63)),1,0)</f>
        <v>0</v>
      </c>
      <c r="U958">
        <f>IF(OR($N958&lt;Keys!$C$51,$N958&gt;Keys!$C$52),1,0)</f>
        <v>0</v>
      </c>
      <c r="V958">
        <f>IF(AND($E958=Keys!$C$60,$N958&lt;&gt;Keys!$C$51),1,0)</f>
        <v>0</v>
      </c>
      <c r="W958">
        <f>IF($L958&gt;Keys!$C$51,IF($K958/$L958&gt;Keys!$C$52,1,0),0)</f>
        <v>0</v>
      </c>
      <c r="X958" s="11">
        <f t="shared" si="59"/>
        <v>0</v>
      </c>
    </row>
    <row r="959" spans="1:24" x14ac:dyDescent="0.25">
      <c r="A959" t="s">
        <v>173</v>
      </c>
      <c r="B959" t="s">
        <v>91</v>
      </c>
      <c r="C959" t="str">
        <f>VLOOKUP($B959,Keys!$F$2:$I$22,2,FALSE)</f>
        <v>biofuel gasoline</v>
      </c>
      <c r="D959">
        <f>VLOOKUP($B959,Keys!$F$2:$I$22,3,FALSE)</f>
        <v>8.7213884000000005E-2</v>
      </c>
      <c r="E959" t="str">
        <f>VLOOKUP($B959,Keys!$F$2:$I$22,4,FALSE)</f>
        <v>rule</v>
      </c>
      <c r="F959" t="str">
        <f>$A959&amp;Keys!$C$54&amp;$B959</f>
        <v>WI|biofuel gasoline</v>
      </c>
      <c r="G959" s="10">
        <f>IF($E959=Keys!$C$60,Keys!$C$51,INDEX(Balanced_2025!$D$9:$D$3032,MATCH($A959&amp;Keys!$C$54&amp;Keys!$C$55&amp;Keys!$C$54&amp;$C959,Balanced_2025!$E$9:$E$3032,0)))</f>
        <v>49157900000000</v>
      </c>
      <c r="H959" s="10">
        <f>IF($E959=Keys!$C$60,Keys!$C$51,INDEX(Balanced_2025!$D$9:$D$3032,MATCH($A959&amp;Keys!$C$54&amp;Keys!$C$56&amp;Keys!$C$54&amp;$C959,Balanced_2025!$E$9:$E$3032,0)))</f>
        <v>1053530000000</v>
      </c>
      <c r="I959" s="10">
        <f>IF($E959=Keys!$C$60,Keys!$C$51,INDEX(Balanced_2025!$D$9:$D$3032,MATCH($A959&amp;Keys!$C$54&amp;Keys!$C$57&amp;Keys!$C$54&amp;$C959,Balanced_2025!$E$9:$E$3032,0)))</f>
        <v>31175600000000</v>
      </c>
      <c r="J959" s="10">
        <f t="shared" si="56"/>
        <v>19035830000000</v>
      </c>
      <c r="K959" s="10">
        <f>MAX(Keys!$C$51,$I959-$H959)</f>
        <v>30122070000000</v>
      </c>
      <c r="L959" s="10">
        <f t="shared" si="57"/>
        <v>49157900000000</v>
      </c>
      <c r="M959" s="11">
        <f>IF($L959&gt;Keys!$C$51,MIN(Keys!$C$52,$K959/$L959),Keys!$C$51)</f>
        <v>0.61276152968291975</v>
      </c>
      <c r="N959" s="11">
        <f>IF($E959=Keys!$C$60,Keys!$C$51,IF($E959=Keys!$C$59,$D959,$M959))</f>
        <v>0.61276152968291975</v>
      </c>
      <c r="O959">
        <f t="shared" si="58"/>
        <v>1</v>
      </c>
      <c r="P959" s="10">
        <f>IF($E959=Keys!$C$60,Keys!$C$51,INDEX(Raw_BFPIaE!$G$9:$G$3032,MATCH($A959&amp;Keys!$C$54&amp;Keys!$C$55&amp;Keys!$C$54&amp;$B959,Raw_BFPIaE!$H$9:$H$3032,0)))</f>
        <v>49204000000000</v>
      </c>
      <c r="Q959" s="10">
        <f>IF($E959=Keys!$C$60,Keys!$C$51,INDEX(Raw_BFPIaE!$G$9:$G$3032,MATCH($A959&amp;Keys!$C$54&amp;Keys!$C$56&amp;Keys!$C$54&amp;$B959,Raw_BFPIaE!$H$9:$H$3032,0)))</f>
        <v>0</v>
      </c>
      <c r="R959" s="10">
        <f>IF($E959=Keys!$C$60,Keys!$C$51,INDEX(Raw_BFPIaE!$G$9:$G$3032,MATCH($A959&amp;Keys!$C$54&amp;Keys!$C$57&amp;Keys!$C$54&amp;$B959,Raw_BFPIaE!$H$9:$H$3032,0)))</f>
        <v>20905533333333.332</v>
      </c>
      <c r="S959" s="11">
        <f>IF(($P959+$Q959-$R959+MAX(Keys!$C$51,$R959-$Q959))&gt;Keys!$C$51,MIN(Keys!$C$52,MAX(Keys!$C$51,$R959-$Q959)/($P959+$Q959-$R959+MAX(Keys!$C$51,$R959-$Q959))),Keys!$C$51)</f>
        <v>0.42487467143592661</v>
      </c>
      <c r="T959">
        <f>IF(AND($I959&gt;$H959,ABS($L959-$G959)&gt;MAX(Keys!$C$62,ABS($G959)*Keys!$C$63)),1,0)</f>
        <v>0</v>
      </c>
      <c r="U959">
        <f>IF(OR($N959&lt;Keys!$C$51,$N959&gt;Keys!$C$52),1,0)</f>
        <v>0</v>
      </c>
      <c r="V959">
        <f>IF(AND($E959=Keys!$C$60,$N959&lt;&gt;Keys!$C$51),1,0)</f>
        <v>0</v>
      </c>
      <c r="W959">
        <f>IF($L959&gt;Keys!$C$51,IF($K959/$L959&gt;Keys!$C$52,1,0),0)</f>
        <v>0</v>
      </c>
      <c r="X959" s="11">
        <f t="shared" si="59"/>
        <v>0.18788685824699314</v>
      </c>
    </row>
    <row r="960" spans="1:24" x14ac:dyDescent="0.25">
      <c r="A960" t="s">
        <v>173</v>
      </c>
      <c r="B960" t="s">
        <v>94</v>
      </c>
      <c r="C960" t="str">
        <f>VLOOKUP($B960,Keys!$F$2:$I$22,2,FALSE)</f>
        <v>biofuel diesel</v>
      </c>
      <c r="D960">
        <f>VLOOKUP($B960,Keys!$F$2:$I$22,3,FALSE)</f>
        <v>5.8642381E-2</v>
      </c>
      <c r="E960" t="str">
        <f>VLOOKUP($B960,Keys!$F$2:$I$22,4,FALSE)</f>
        <v>rule</v>
      </c>
      <c r="F960" t="str">
        <f>$A960&amp;Keys!$C$54&amp;$B960</f>
        <v>WI|biofuel diesel</v>
      </c>
      <c r="G960" s="10">
        <f>IF($E960=Keys!$C$60,Keys!$C$51,INDEX(Balanced_2025!$D$9:$D$3032,MATCH($A960&amp;Keys!$C$54&amp;Keys!$C$55&amp;Keys!$C$54&amp;$C960,Balanced_2025!$E$9:$E$3032,0)))</f>
        <v>9130170000000</v>
      </c>
      <c r="H960" s="10">
        <f>IF($E960=Keys!$C$60,Keys!$C$51,INDEX(Balanced_2025!$D$9:$D$3032,MATCH($A960&amp;Keys!$C$54&amp;Keys!$C$56&amp;Keys!$C$54&amp;$C960,Balanced_2025!$E$9:$E$3032,0)))</f>
        <v>87952000000</v>
      </c>
      <c r="I960" s="10">
        <f>IF($E960=Keys!$C$60,Keys!$C$51,INDEX(Balanced_2025!$D$9:$D$3032,MATCH($A960&amp;Keys!$C$54&amp;Keys!$C$57&amp;Keys!$C$54&amp;$C960,Balanced_2025!$E$9:$E$3032,0)))</f>
        <v>6395240000000</v>
      </c>
      <c r="J960" s="10">
        <f t="shared" si="56"/>
        <v>2822882000000</v>
      </c>
      <c r="K960" s="10">
        <f>MAX(Keys!$C$51,$I960-$H960)</f>
        <v>6307288000000</v>
      </c>
      <c r="L960" s="10">
        <f t="shared" si="57"/>
        <v>9130170000000</v>
      </c>
      <c r="M960" s="11">
        <f>IF($L960&gt;Keys!$C$51,MIN(Keys!$C$52,$K960/$L960),Keys!$C$51)</f>
        <v>0.69081824325286389</v>
      </c>
      <c r="N960" s="11">
        <f>IF($E960=Keys!$C$60,Keys!$C$51,IF($E960=Keys!$C$59,$D960,$M960))</f>
        <v>0.69081824325286389</v>
      </c>
      <c r="O960">
        <f t="shared" si="58"/>
        <v>1</v>
      </c>
      <c r="P960" s="10">
        <f>IF($E960=Keys!$C$60,Keys!$C$51,INDEX(Raw_BFPIaE!$G$9:$G$3032,MATCH($A960&amp;Keys!$C$54&amp;Keys!$C$55&amp;Keys!$C$54&amp;$B960,Raw_BFPIaE!$H$9:$H$3032,0)))</f>
        <v>9701913333333.334</v>
      </c>
      <c r="Q960" s="10">
        <f>IF($E960=Keys!$C$60,Keys!$C$51,INDEX(Raw_BFPIaE!$G$9:$G$3032,MATCH($A960&amp;Keys!$C$54&amp;Keys!$C$56&amp;Keys!$C$54&amp;$B960,Raw_BFPIaE!$H$9:$H$3032,0)))</f>
        <v>0</v>
      </c>
      <c r="R960" s="10">
        <f>IF($E960=Keys!$C$60,Keys!$C$51,INDEX(Raw_BFPIaE!$G$9:$G$3032,MATCH($A960&amp;Keys!$C$54&amp;Keys!$C$57&amp;Keys!$C$54&amp;$B960,Raw_BFPIaE!$H$9:$H$3032,0)))</f>
        <v>4829756666666.667</v>
      </c>
      <c r="S960" s="11">
        <f>IF(($P960+$Q960-$R960+MAX(Keys!$C$51,$R960-$Q960))&gt;Keys!$C$51,MIN(Keys!$C$52,MAX(Keys!$C$51,$R960-$Q960)/($P960+$Q960-$R960+MAX(Keys!$C$51,$R960-$Q960))),Keys!$C$51)</f>
        <v>0.49781486400964209</v>
      </c>
      <c r="T960">
        <f>IF(AND($I960&gt;$H960,ABS($L960-$G960)&gt;MAX(Keys!$C$62,ABS($G960)*Keys!$C$63)),1,0)</f>
        <v>0</v>
      </c>
      <c r="U960">
        <f>IF(OR($N960&lt;Keys!$C$51,$N960&gt;Keys!$C$52),1,0)</f>
        <v>0</v>
      </c>
      <c r="V960">
        <f>IF(AND($E960=Keys!$C$60,$N960&lt;&gt;Keys!$C$51),1,0)</f>
        <v>0</v>
      </c>
      <c r="W960">
        <f>IF($L960&gt;Keys!$C$51,IF($K960/$L960&gt;Keys!$C$52,1,0),0)</f>
        <v>0</v>
      </c>
      <c r="X960" s="11">
        <f t="shared" si="59"/>
        <v>0.19300337924322181</v>
      </c>
    </row>
    <row r="961" spans="1:24" x14ac:dyDescent="0.25">
      <c r="A961" t="s">
        <v>173</v>
      </c>
      <c r="B961" t="s">
        <v>97</v>
      </c>
      <c r="C961" t="str">
        <f>VLOOKUP($B961,Keys!$F$2:$I$22,2,FALSE)</f>
        <v>jet fuel or kerosene</v>
      </c>
      <c r="D961">
        <f>VLOOKUP($B961,Keys!$F$2:$I$22,3,FALSE)</f>
        <v>0.10155994</v>
      </c>
      <c r="E961" t="str">
        <f>VLOOKUP($B961,Keys!$F$2:$I$22,4,FALSE)</f>
        <v>rule</v>
      </c>
      <c r="F961" t="str">
        <f>$A961&amp;Keys!$C$54&amp;$B961</f>
        <v>WI|jet fuel or kerosene</v>
      </c>
      <c r="G961" s="10">
        <f>IF($E961=Keys!$C$60,Keys!$C$51,INDEX(Balanced_2025!$D$9:$D$3032,MATCH($A961&amp;Keys!$C$54&amp;Keys!$C$55&amp;Keys!$C$54&amp;$C961,Balanced_2025!$E$9:$E$3032,0)))</f>
        <v>9386470000000</v>
      </c>
      <c r="H961" s="10">
        <f>IF($E961=Keys!$C$60,Keys!$C$51,INDEX(Balanced_2025!$D$9:$D$3032,MATCH($A961&amp;Keys!$C$54&amp;Keys!$C$56&amp;Keys!$C$54&amp;$C961,Balanced_2025!$E$9:$E$3032,0)))</f>
        <v>4158290000000</v>
      </c>
      <c r="I961" s="10">
        <f>IF($E961=Keys!$C$60,Keys!$C$51,INDEX(Balanced_2025!$D$9:$D$3032,MATCH($A961&amp;Keys!$C$54&amp;Keys!$C$57&amp;Keys!$C$54&amp;$C961,Balanced_2025!$E$9:$E$3032,0)))</f>
        <v>0</v>
      </c>
      <c r="J961" s="10">
        <f t="shared" si="56"/>
        <v>13544760000000</v>
      </c>
      <c r="K961" s="10">
        <f>MAX(Keys!$C$51,$I961-$H961)</f>
        <v>0</v>
      </c>
      <c r="L961" s="10">
        <f t="shared" si="57"/>
        <v>13544760000000</v>
      </c>
      <c r="M961" s="11">
        <f>IF($L961&gt;Keys!$C$51,MIN(Keys!$C$52,$K961/$L961),Keys!$C$51)</f>
        <v>0</v>
      </c>
      <c r="N961" s="11">
        <f>IF($E961=Keys!$C$60,Keys!$C$51,IF($E961=Keys!$C$59,$D961,$M961))</f>
        <v>0</v>
      </c>
      <c r="O961">
        <f t="shared" si="58"/>
        <v>1</v>
      </c>
      <c r="P961" s="10">
        <f>IF($E961=Keys!$C$60,Keys!$C$51,INDEX(Raw_BFPIaE!$G$9:$G$3032,MATCH($A961&amp;Keys!$C$54&amp;Keys!$C$55&amp;Keys!$C$54&amp;$B961,Raw_BFPIaE!$H$9:$H$3032,0)))</f>
        <v>9310633333333.334</v>
      </c>
      <c r="Q961" s="10">
        <f>IF($E961=Keys!$C$60,Keys!$C$51,INDEX(Raw_BFPIaE!$G$9:$G$3032,MATCH($A961&amp;Keys!$C$54&amp;Keys!$C$56&amp;Keys!$C$54&amp;$B961,Raw_BFPIaE!$H$9:$H$3032,0)))</f>
        <v>2967613333333.3335</v>
      </c>
      <c r="R961" s="10">
        <f>IF($E961=Keys!$C$60,Keys!$C$51,INDEX(Raw_BFPIaE!$G$9:$G$3032,MATCH($A961&amp;Keys!$C$54&amp;Keys!$C$57&amp;Keys!$C$54&amp;$B961,Raw_BFPIaE!$H$9:$H$3032,0)))</f>
        <v>0</v>
      </c>
      <c r="S961" s="11">
        <f>IF(($P961+$Q961-$R961+MAX(Keys!$C$51,$R961-$Q961))&gt;Keys!$C$51,MIN(Keys!$C$52,MAX(Keys!$C$51,$R961-$Q961)/($P961+$Q961-$R961+MAX(Keys!$C$51,$R961-$Q961))),Keys!$C$51)</f>
        <v>0</v>
      </c>
      <c r="T961">
        <f>IF(AND($I961&gt;$H961,ABS($L961-$G961)&gt;MAX(Keys!$C$62,ABS($G961)*Keys!$C$63)),1,0)</f>
        <v>0</v>
      </c>
      <c r="U961">
        <f>IF(OR($N961&lt;Keys!$C$51,$N961&gt;Keys!$C$52),1,0)</f>
        <v>0</v>
      </c>
      <c r="V961">
        <f>IF(AND($E961=Keys!$C$60,$N961&lt;&gt;Keys!$C$51),1,0)</f>
        <v>0</v>
      </c>
      <c r="W961">
        <f>IF($L961&gt;Keys!$C$51,IF($K961/$L961&gt;Keys!$C$52,1,0),0)</f>
        <v>0</v>
      </c>
      <c r="X961" s="11">
        <f t="shared" si="59"/>
        <v>0</v>
      </c>
    </row>
    <row r="962" spans="1:24" x14ac:dyDescent="0.25">
      <c r="A962" t="s">
        <v>173</v>
      </c>
      <c r="B962" t="s">
        <v>100</v>
      </c>
      <c r="C962">
        <f>VLOOKUP($B962,Keys!$F$2:$I$22,2,FALSE)</f>
        <v>0</v>
      </c>
      <c r="D962">
        <f>VLOOKUP($B962,Keys!$F$2:$I$22,3,FALSE)</f>
        <v>0</v>
      </c>
      <c r="E962" t="str">
        <f>VLOOKUP($B962,Keys!$F$2:$I$22,4,FALSE)</f>
        <v>zero</v>
      </c>
      <c r="F962" t="str">
        <f>$A962&amp;Keys!$C$54&amp;$B962</f>
        <v>WI|heat (not used in this variable)</v>
      </c>
      <c r="G962" s="10">
        <f>IF($E962=Keys!$C$60,Keys!$C$51,INDEX(Balanced_2025!$D$9:$D$3032,MATCH($A962&amp;Keys!$C$54&amp;Keys!$C$55&amp;Keys!$C$54&amp;$C962,Balanced_2025!$E$9:$E$3032,0)))</f>
        <v>0</v>
      </c>
      <c r="H962" s="10">
        <f>IF($E962=Keys!$C$60,Keys!$C$51,INDEX(Balanced_2025!$D$9:$D$3032,MATCH($A962&amp;Keys!$C$54&amp;Keys!$C$56&amp;Keys!$C$54&amp;$C962,Balanced_2025!$E$9:$E$3032,0)))</f>
        <v>0</v>
      </c>
      <c r="I962" s="10">
        <f>IF($E962=Keys!$C$60,Keys!$C$51,INDEX(Balanced_2025!$D$9:$D$3032,MATCH($A962&amp;Keys!$C$54&amp;Keys!$C$57&amp;Keys!$C$54&amp;$C962,Balanced_2025!$E$9:$E$3032,0)))</f>
        <v>0</v>
      </c>
      <c r="J962" s="10">
        <f t="shared" si="56"/>
        <v>0</v>
      </c>
      <c r="K962" s="10">
        <f>MAX(Keys!$C$51,$I962-$H962)</f>
        <v>0</v>
      </c>
      <c r="L962" s="10">
        <f t="shared" si="57"/>
        <v>0</v>
      </c>
      <c r="M962" s="11">
        <f>IF($L962&gt;Keys!$C$51,MIN(Keys!$C$52,$K962/$L962),Keys!$C$51)</f>
        <v>0</v>
      </c>
      <c r="N962" s="11">
        <f>IF($E962=Keys!$C$60,Keys!$C$51,IF($E962=Keys!$C$59,$D962,$M962))</f>
        <v>0</v>
      </c>
      <c r="O962">
        <f t="shared" si="58"/>
        <v>0</v>
      </c>
      <c r="P962" s="10">
        <f>IF($E962=Keys!$C$60,Keys!$C$51,INDEX(Raw_BFPIaE!$G$9:$G$3032,MATCH($A962&amp;Keys!$C$54&amp;Keys!$C$55&amp;Keys!$C$54&amp;$B962,Raw_BFPIaE!$H$9:$H$3032,0)))</f>
        <v>0</v>
      </c>
      <c r="Q962" s="10">
        <f>IF($E962=Keys!$C$60,Keys!$C$51,INDEX(Raw_BFPIaE!$G$9:$G$3032,MATCH($A962&amp;Keys!$C$54&amp;Keys!$C$56&amp;Keys!$C$54&amp;$B962,Raw_BFPIaE!$H$9:$H$3032,0)))</f>
        <v>0</v>
      </c>
      <c r="R962" s="10">
        <f>IF($E962=Keys!$C$60,Keys!$C$51,INDEX(Raw_BFPIaE!$G$9:$G$3032,MATCH($A962&amp;Keys!$C$54&amp;Keys!$C$57&amp;Keys!$C$54&amp;$B962,Raw_BFPIaE!$H$9:$H$3032,0)))</f>
        <v>0</v>
      </c>
      <c r="S962" s="11">
        <f>IF(($P962+$Q962-$R962+MAX(Keys!$C$51,$R962-$Q962))&gt;Keys!$C$51,MIN(Keys!$C$52,MAX(Keys!$C$51,$R962-$Q962)/($P962+$Q962-$R962+MAX(Keys!$C$51,$R962-$Q962))),Keys!$C$51)</f>
        <v>0</v>
      </c>
      <c r="T962">
        <f>IF(AND($I962&gt;$H962,ABS($L962-$G962)&gt;MAX(Keys!$C$62,ABS($G962)*Keys!$C$63)),1,0)</f>
        <v>0</v>
      </c>
      <c r="U962">
        <f>IF(OR($N962&lt;Keys!$C$51,$N962&gt;Keys!$C$52),1,0)</f>
        <v>0</v>
      </c>
      <c r="V962">
        <f>IF(AND($E962=Keys!$C$60,$N962&lt;&gt;Keys!$C$51),1,0)</f>
        <v>0</v>
      </c>
      <c r="W962">
        <f>IF($L962&gt;Keys!$C$51,IF($K962/$L962&gt;Keys!$C$52,1,0),0)</f>
        <v>0</v>
      </c>
      <c r="X962" s="11">
        <f t="shared" si="59"/>
        <v>0</v>
      </c>
    </row>
    <row r="963" spans="1:24" x14ac:dyDescent="0.25">
      <c r="A963" t="s">
        <v>173</v>
      </c>
      <c r="B963" t="s">
        <v>103</v>
      </c>
      <c r="C963">
        <f>VLOOKUP($B963,Keys!$F$2:$I$22,2,FALSE)</f>
        <v>0</v>
      </c>
      <c r="D963">
        <f>VLOOKUP($B963,Keys!$F$2:$I$22,3,FALSE)</f>
        <v>0</v>
      </c>
      <c r="E963" t="str">
        <f>VLOOKUP($B963,Keys!$F$2:$I$22,4,FALSE)</f>
        <v>zero</v>
      </c>
      <c r="F963" t="str">
        <f>$A963&amp;Keys!$C$54&amp;$B963</f>
        <v>WI|geothermal (is not a fuel)</v>
      </c>
      <c r="G963" s="10">
        <f>IF($E963=Keys!$C$60,Keys!$C$51,INDEX(Balanced_2025!$D$9:$D$3032,MATCH($A963&amp;Keys!$C$54&amp;Keys!$C$55&amp;Keys!$C$54&amp;$C963,Balanced_2025!$E$9:$E$3032,0)))</f>
        <v>0</v>
      </c>
      <c r="H963" s="10">
        <f>IF($E963=Keys!$C$60,Keys!$C$51,INDEX(Balanced_2025!$D$9:$D$3032,MATCH($A963&amp;Keys!$C$54&amp;Keys!$C$56&amp;Keys!$C$54&amp;$C963,Balanced_2025!$E$9:$E$3032,0)))</f>
        <v>0</v>
      </c>
      <c r="I963" s="10">
        <f>IF($E963=Keys!$C$60,Keys!$C$51,INDEX(Balanced_2025!$D$9:$D$3032,MATCH($A963&amp;Keys!$C$54&amp;Keys!$C$57&amp;Keys!$C$54&amp;$C963,Balanced_2025!$E$9:$E$3032,0)))</f>
        <v>0</v>
      </c>
      <c r="J963" s="10">
        <f t="shared" si="56"/>
        <v>0</v>
      </c>
      <c r="K963" s="10">
        <f>MAX(Keys!$C$51,$I963-$H963)</f>
        <v>0</v>
      </c>
      <c r="L963" s="10">
        <f t="shared" si="57"/>
        <v>0</v>
      </c>
      <c r="M963" s="11">
        <f>IF($L963&gt;Keys!$C$51,MIN(Keys!$C$52,$K963/$L963),Keys!$C$51)</f>
        <v>0</v>
      </c>
      <c r="N963" s="11">
        <f>IF($E963=Keys!$C$60,Keys!$C$51,IF($E963=Keys!$C$59,$D963,$M963))</f>
        <v>0</v>
      </c>
      <c r="O963">
        <f t="shared" si="58"/>
        <v>0</v>
      </c>
      <c r="P963" s="10">
        <f>IF($E963=Keys!$C$60,Keys!$C$51,INDEX(Raw_BFPIaE!$G$9:$G$3032,MATCH($A963&amp;Keys!$C$54&amp;Keys!$C$55&amp;Keys!$C$54&amp;$B963,Raw_BFPIaE!$H$9:$H$3032,0)))</f>
        <v>0</v>
      </c>
      <c r="Q963" s="10">
        <f>IF($E963=Keys!$C$60,Keys!$C$51,INDEX(Raw_BFPIaE!$G$9:$G$3032,MATCH($A963&amp;Keys!$C$54&amp;Keys!$C$56&amp;Keys!$C$54&amp;$B963,Raw_BFPIaE!$H$9:$H$3032,0)))</f>
        <v>0</v>
      </c>
      <c r="R963" s="10">
        <f>IF($E963=Keys!$C$60,Keys!$C$51,INDEX(Raw_BFPIaE!$G$9:$G$3032,MATCH($A963&amp;Keys!$C$54&amp;Keys!$C$57&amp;Keys!$C$54&amp;$B963,Raw_BFPIaE!$H$9:$H$3032,0)))</f>
        <v>0</v>
      </c>
      <c r="S963" s="11">
        <f>IF(($P963+$Q963-$R963+MAX(Keys!$C$51,$R963-$Q963))&gt;Keys!$C$51,MIN(Keys!$C$52,MAX(Keys!$C$51,$R963-$Q963)/($P963+$Q963-$R963+MAX(Keys!$C$51,$R963-$Q963))),Keys!$C$51)</f>
        <v>0</v>
      </c>
      <c r="T963">
        <f>IF(AND($I963&gt;$H963,ABS($L963-$G963)&gt;MAX(Keys!$C$62,ABS($G963)*Keys!$C$63)),1,0)</f>
        <v>0</v>
      </c>
      <c r="U963">
        <f>IF(OR($N963&lt;Keys!$C$51,$N963&gt;Keys!$C$52),1,0)</f>
        <v>0</v>
      </c>
      <c r="V963">
        <f>IF(AND($E963=Keys!$C$60,$N963&lt;&gt;Keys!$C$51),1,0)</f>
        <v>0</v>
      </c>
      <c r="W963">
        <f>IF($L963&gt;Keys!$C$51,IF($K963/$L963&gt;Keys!$C$52,1,0),0)</f>
        <v>0</v>
      </c>
      <c r="X963" s="11">
        <f t="shared" si="59"/>
        <v>0</v>
      </c>
    </row>
    <row r="964" spans="1:24" x14ac:dyDescent="0.25">
      <c r="A964" t="s">
        <v>173</v>
      </c>
      <c r="B964" t="s">
        <v>106</v>
      </c>
      <c r="C964" t="str">
        <f>VLOOKUP($B964,Keys!$F$2:$I$22,2,FALSE)</f>
        <v>lignite</v>
      </c>
      <c r="D964">
        <f>VLOOKUP($B964,Keys!$F$2:$I$22,3,FALSE)</f>
        <v>0</v>
      </c>
      <c r="E964" t="str">
        <f>VLOOKUP($B964,Keys!$F$2:$I$22,4,FALSE)</f>
        <v>rule</v>
      </c>
      <c r="F964" t="str">
        <f>$A964&amp;Keys!$C$54&amp;$B964</f>
        <v>WI|lignite</v>
      </c>
      <c r="G964" s="10">
        <f>IF($E964=Keys!$C$60,Keys!$C$51,INDEX(Balanced_2025!$D$9:$D$3032,MATCH($A964&amp;Keys!$C$54&amp;Keys!$C$55&amp;Keys!$C$54&amp;$C964,Balanced_2025!$E$9:$E$3032,0)))</f>
        <v>0</v>
      </c>
      <c r="H964" s="10">
        <f>IF($E964=Keys!$C$60,Keys!$C$51,INDEX(Balanced_2025!$D$9:$D$3032,MATCH($A964&amp;Keys!$C$54&amp;Keys!$C$56&amp;Keys!$C$54&amp;$C964,Balanced_2025!$E$9:$E$3032,0)))</f>
        <v>0</v>
      </c>
      <c r="I964" s="10">
        <f>IF($E964=Keys!$C$60,Keys!$C$51,INDEX(Balanced_2025!$D$9:$D$3032,MATCH($A964&amp;Keys!$C$54&amp;Keys!$C$57&amp;Keys!$C$54&amp;$C964,Balanced_2025!$E$9:$E$3032,0)))</f>
        <v>0</v>
      </c>
      <c r="J964" s="10">
        <f t="shared" ref="J964:J1011" si="60">$G964+$H964-$I964</f>
        <v>0</v>
      </c>
      <c r="K964" s="10">
        <f>MAX(Keys!$C$51,$I964-$H964)</f>
        <v>0</v>
      </c>
      <c r="L964" s="10">
        <f t="shared" ref="L964:L1011" si="61">$K964+$J964</f>
        <v>0</v>
      </c>
      <c r="M964" s="11">
        <f>IF($L964&gt;Keys!$C$51,MIN(Keys!$C$52,$K964/$L964),Keys!$C$51)</f>
        <v>0</v>
      </c>
      <c r="N964" s="11">
        <f>IF($E964=Keys!$C$60,Keys!$C$51,IF($E964=Keys!$C$59,$D964,$M964))</f>
        <v>0</v>
      </c>
      <c r="O964">
        <f t="shared" ref="O964:O1011" si="62">IF($N964&lt;&gt;$D964,1,0)</f>
        <v>0</v>
      </c>
      <c r="P964" s="10">
        <f>IF($E964=Keys!$C$60,Keys!$C$51,INDEX(Raw_BFPIaE!$G$9:$G$3032,MATCH($A964&amp;Keys!$C$54&amp;Keys!$C$55&amp;Keys!$C$54&amp;$B964,Raw_BFPIaE!$H$9:$H$3032,0)))</f>
        <v>0</v>
      </c>
      <c r="Q964" s="10">
        <f>IF($E964=Keys!$C$60,Keys!$C$51,INDEX(Raw_BFPIaE!$G$9:$G$3032,MATCH($A964&amp;Keys!$C$54&amp;Keys!$C$56&amp;Keys!$C$54&amp;$B964,Raw_BFPIaE!$H$9:$H$3032,0)))</f>
        <v>0</v>
      </c>
      <c r="R964" s="10">
        <f>IF($E964=Keys!$C$60,Keys!$C$51,INDEX(Raw_BFPIaE!$G$9:$G$3032,MATCH($A964&amp;Keys!$C$54&amp;Keys!$C$57&amp;Keys!$C$54&amp;$B964,Raw_BFPIaE!$H$9:$H$3032,0)))</f>
        <v>0</v>
      </c>
      <c r="S964" s="11">
        <f>IF(($P964+$Q964-$R964+MAX(Keys!$C$51,$R964-$Q964))&gt;Keys!$C$51,MIN(Keys!$C$52,MAX(Keys!$C$51,$R964-$Q964)/($P964+$Q964-$R964+MAX(Keys!$C$51,$R964-$Q964))),Keys!$C$51)</f>
        <v>0</v>
      </c>
      <c r="T964">
        <f>IF(AND($I964&gt;$H964,ABS($L964-$G964)&gt;MAX(Keys!$C$62,ABS($G964)*Keys!$C$63)),1,0)</f>
        <v>0</v>
      </c>
      <c r="U964">
        <f>IF(OR($N964&lt;Keys!$C$51,$N964&gt;Keys!$C$52),1,0)</f>
        <v>0</v>
      </c>
      <c r="V964">
        <f>IF(AND($E964=Keys!$C$60,$N964&lt;&gt;Keys!$C$51),1,0)</f>
        <v>0</v>
      </c>
      <c r="W964">
        <f>IF($L964&gt;Keys!$C$51,IF($K964/$L964&gt;Keys!$C$52,1,0),0)</f>
        <v>0</v>
      </c>
      <c r="X964" s="11">
        <f t="shared" ref="X964:X1011" si="63">ABS($M964-$S964)</f>
        <v>0</v>
      </c>
    </row>
    <row r="965" spans="1:24" x14ac:dyDescent="0.25">
      <c r="A965" t="s">
        <v>173</v>
      </c>
      <c r="B965" t="s">
        <v>109</v>
      </c>
      <c r="C965" t="str">
        <f>VLOOKUP($B965,Keys!$F$2:$I$22,2,FALSE)</f>
        <v>crude oil</v>
      </c>
      <c r="D965">
        <f>VLOOKUP($B965,Keys!$F$2:$I$22,3,FALSE)</f>
        <v>1</v>
      </c>
      <c r="E965" t="str">
        <f>VLOOKUP($B965,Keys!$F$2:$I$22,4,FALSE)</f>
        <v>hold</v>
      </c>
      <c r="F965" t="str">
        <f>$A965&amp;Keys!$C$54&amp;$B965</f>
        <v>WI|crude oil</v>
      </c>
      <c r="G965" s="10">
        <f>IF($E965=Keys!$C$60,Keys!$C$51,INDEX(Balanced_2025!$D$9:$D$3032,MATCH($A965&amp;Keys!$C$54&amp;Keys!$C$55&amp;Keys!$C$54&amp;$C965,Balanced_2025!$E$9:$E$3032,0)))</f>
        <v>0</v>
      </c>
      <c r="H965" s="10">
        <f>IF($E965=Keys!$C$60,Keys!$C$51,INDEX(Balanced_2025!$D$9:$D$3032,MATCH($A965&amp;Keys!$C$54&amp;Keys!$C$56&amp;Keys!$C$54&amp;$C965,Balanced_2025!$E$9:$E$3032,0)))</f>
        <v>93390200000000</v>
      </c>
      <c r="I965" s="10">
        <f>IF($E965=Keys!$C$60,Keys!$C$51,INDEX(Balanced_2025!$D$9:$D$3032,MATCH($A965&amp;Keys!$C$54&amp;Keys!$C$57&amp;Keys!$C$54&amp;$C965,Balanced_2025!$E$9:$E$3032,0)))</f>
        <v>0</v>
      </c>
      <c r="J965" s="10">
        <f t="shared" si="60"/>
        <v>93390200000000</v>
      </c>
      <c r="K965" s="10">
        <f>MAX(Keys!$C$51,$I965-$H965)</f>
        <v>0</v>
      </c>
      <c r="L965" s="10">
        <f t="shared" si="61"/>
        <v>93390200000000</v>
      </c>
      <c r="M965" s="11">
        <f>IF($L965&gt;Keys!$C$51,MIN(Keys!$C$52,$K965/$L965),Keys!$C$51)</f>
        <v>0</v>
      </c>
      <c r="N965" s="11">
        <f>IF($E965=Keys!$C$60,Keys!$C$51,IF($E965=Keys!$C$59,$D965,$M965))</f>
        <v>1</v>
      </c>
      <c r="O965">
        <f t="shared" si="62"/>
        <v>0</v>
      </c>
      <c r="P965" s="10">
        <f>IF($E965=Keys!$C$60,Keys!$C$51,INDEX(Raw_BFPIaE!$G$9:$G$3032,MATCH($A965&amp;Keys!$C$54&amp;Keys!$C$55&amp;Keys!$C$54&amp;$B965,Raw_BFPIaE!$H$9:$H$3032,0)))</f>
        <v>0</v>
      </c>
      <c r="Q965" s="10">
        <f>IF($E965=Keys!$C$60,Keys!$C$51,INDEX(Raw_BFPIaE!$G$9:$G$3032,MATCH($A965&amp;Keys!$C$54&amp;Keys!$C$56&amp;Keys!$C$54&amp;$B965,Raw_BFPIaE!$H$9:$H$3032,0)))</f>
        <v>62260133333333.336</v>
      </c>
      <c r="R965" s="10">
        <f>IF($E965=Keys!$C$60,Keys!$C$51,INDEX(Raw_BFPIaE!$G$9:$G$3032,MATCH($A965&amp;Keys!$C$54&amp;Keys!$C$57&amp;Keys!$C$54&amp;$B965,Raw_BFPIaE!$H$9:$H$3032,0)))</f>
        <v>0</v>
      </c>
      <c r="S965" s="11">
        <f>IF(($P965+$Q965-$R965+MAX(Keys!$C$51,$R965-$Q965))&gt;Keys!$C$51,MIN(Keys!$C$52,MAX(Keys!$C$51,$R965-$Q965)/($P965+$Q965-$R965+MAX(Keys!$C$51,$R965-$Q965))),Keys!$C$51)</f>
        <v>0</v>
      </c>
      <c r="T965">
        <f>IF(AND($I965&gt;$H965,ABS($L965-$G965)&gt;MAX(Keys!$C$62,ABS($G965)*Keys!$C$63)),1,0)</f>
        <v>0</v>
      </c>
      <c r="U965">
        <f>IF(OR($N965&lt;Keys!$C$51,$N965&gt;Keys!$C$52),1,0)</f>
        <v>0</v>
      </c>
      <c r="V965">
        <f>IF(AND($E965=Keys!$C$60,$N965&lt;&gt;Keys!$C$51),1,0)</f>
        <v>0</v>
      </c>
      <c r="W965">
        <f>IF($L965&gt;Keys!$C$51,IF($K965/$L965&gt;Keys!$C$52,1,0),0)</f>
        <v>0</v>
      </c>
      <c r="X965" s="11">
        <f t="shared" si="63"/>
        <v>0</v>
      </c>
    </row>
    <row r="966" spans="1:24" x14ac:dyDescent="0.25">
      <c r="A966" t="s">
        <v>173</v>
      </c>
      <c r="B966" t="s">
        <v>113</v>
      </c>
      <c r="C966" t="str">
        <f>VLOOKUP($B966,Keys!$F$2:$I$22,2,FALSE)</f>
        <v>heavy or residual fuel oil</v>
      </c>
      <c r="D966">
        <f>VLOOKUP($B966,Keys!$F$2:$I$22,3,FALSE)</f>
        <v>0.49914171099999999</v>
      </c>
      <c r="E966" t="str">
        <f>VLOOKUP($B966,Keys!$F$2:$I$22,4,FALSE)</f>
        <v>rule</v>
      </c>
      <c r="F966" t="str">
        <f>$A966&amp;Keys!$C$54&amp;$B966</f>
        <v>WI|heavy fuel oil</v>
      </c>
      <c r="G966" s="10">
        <f>IF($E966=Keys!$C$60,Keys!$C$51,INDEX(Balanced_2025!$D$9:$D$3032,MATCH($A966&amp;Keys!$C$54&amp;Keys!$C$55&amp;Keys!$C$54&amp;$C966,Balanced_2025!$E$9:$E$3032,0)))</f>
        <v>1823350000000</v>
      </c>
      <c r="H966" s="10">
        <f>IF($E966=Keys!$C$60,Keys!$C$51,INDEX(Balanced_2025!$D$9:$D$3032,MATCH($A966&amp;Keys!$C$54&amp;Keys!$C$56&amp;Keys!$C$54&amp;$C966,Balanced_2025!$E$9:$E$3032,0)))</f>
        <v>18507300000000</v>
      </c>
      <c r="I966" s="10">
        <f>IF($E966=Keys!$C$60,Keys!$C$51,INDEX(Balanced_2025!$D$9:$D$3032,MATCH($A966&amp;Keys!$C$54&amp;Keys!$C$57&amp;Keys!$C$54&amp;$C966,Balanced_2025!$E$9:$E$3032,0)))</f>
        <v>0</v>
      </c>
      <c r="J966" s="10">
        <f t="shared" si="60"/>
        <v>20330650000000</v>
      </c>
      <c r="K966" s="10">
        <f>MAX(Keys!$C$51,$I966-$H966)</f>
        <v>0</v>
      </c>
      <c r="L966" s="10">
        <f t="shared" si="61"/>
        <v>20330650000000</v>
      </c>
      <c r="M966" s="11">
        <f>IF($L966&gt;Keys!$C$51,MIN(Keys!$C$52,$K966/$L966),Keys!$C$51)</f>
        <v>0</v>
      </c>
      <c r="N966" s="11">
        <f>IF($E966=Keys!$C$60,Keys!$C$51,IF($E966=Keys!$C$59,$D966,$M966))</f>
        <v>0</v>
      </c>
      <c r="O966">
        <f t="shared" si="62"/>
        <v>1</v>
      </c>
      <c r="P966" s="10">
        <f>IF($E966=Keys!$C$60,Keys!$C$51,INDEX(Raw_BFPIaE!$G$9:$G$3032,MATCH($A966&amp;Keys!$C$54&amp;Keys!$C$55&amp;Keys!$C$54&amp;$B966,Raw_BFPIaE!$H$9:$H$3032,0)))</f>
        <v>1808620000000</v>
      </c>
      <c r="Q966" s="10">
        <f>IF($E966=Keys!$C$60,Keys!$C$51,INDEX(Raw_BFPIaE!$G$9:$G$3032,MATCH($A966&amp;Keys!$C$54&amp;Keys!$C$56&amp;Keys!$C$54&amp;$B966,Raw_BFPIaE!$H$9:$H$3032,0)))</f>
        <v>12492666666666.666</v>
      </c>
      <c r="R966" s="10">
        <f>IF($E966=Keys!$C$60,Keys!$C$51,INDEX(Raw_BFPIaE!$G$9:$G$3032,MATCH($A966&amp;Keys!$C$54&amp;Keys!$C$57&amp;Keys!$C$54&amp;$B966,Raw_BFPIaE!$H$9:$H$3032,0)))</f>
        <v>0</v>
      </c>
      <c r="S966" s="11">
        <f>IF(($P966+$Q966-$R966+MAX(Keys!$C$51,$R966-$Q966))&gt;Keys!$C$51,MIN(Keys!$C$52,MAX(Keys!$C$51,$R966-$Q966)/($P966+$Q966-$R966+MAX(Keys!$C$51,$R966-$Q966))),Keys!$C$51)</f>
        <v>0</v>
      </c>
      <c r="T966">
        <f>IF(AND($I966&gt;$H966,ABS($L966-$G966)&gt;MAX(Keys!$C$62,ABS($G966)*Keys!$C$63)),1,0)</f>
        <v>0</v>
      </c>
      <c r="U966">
        <f>IF(OR($N966&lt;Keys!$C$51,$N966&gt;Keys!$C$52),1,0)</f>
        <v>0</v>
      </c>
      <c r="V966">
        <f>IF(AND($E966=Keys!$C$60,$N966&lt;&gt;Keys!$C$51),1,0)</f>
        <v>0</v>
      </c>
      <c r="W966">
        <f>IF($L966&gt;Keys!$C$51,IF($K966/$L966&gt;Keys!$C$52,1,0),0)</f>
        <v>0</v>
      </c>
      <c r="X966" s="11">
        <f t="shared" si="63"/>
        <v>0</v>
      </c>
    </row>
    <row r="967" spans="1:24" x14ac:dyDescent="0.25">
      <c r="A967" t="s">
        <v>173</v>
      </c>
      <c r="B967" t="s">
        <v>117</v>
      </c>
      <c r="C967" t="str">
        <f>VLOOKUP($B967,Keys!$F$2:$I$22,2,FALSE)</f>
        <v>LPG propane or butane</v>
      </c>
      <c r="D967">
        <f>VLOOKUP($B967,Keys!$F$2:$I$22,3,FALSE)</f>
        <v>0.54955999499999997</v>
      </c>
      <c r="E967" t="str">
        <f>VLOOKUP($B967,Keys!$F$2:$I$22,4,FALSE)</f>
        <v>rule</v>
      </c>
      <c r="F967" t="str">
        <f>$A967&amp;Keys!$C$54&amp;$B967</f>
        <v>WI|LPG propane or butane</v>
      </c>
      <c r="G967" s="10">
        <f>IF($E967=Keys!$C$60,Keys!$C$51,INDEX(Balanced_2025!$D$9:$D$3032,MATCH($A967&amp;Keys!$C$54&amp;Keys!$C$55&amp;Keys!$C$54&amp;$C967,Balanced_2025!$E$9:$E$3032,0)))</f>
        <v>0</v>
      </c>
      <c r="H967" s="10">
        <f>IF($E967=Keys!$C$60,Keys!$C$51,INDEX(Balanced_2025!$D$9:$D$3032,MATCH($A967&amp;Keys!$C$54&amp;Keys!$C$56&amp;Keys!$C$54&amp;$C967,Balanced_2025!$E$9:$E$3032,0)))</f>
        <v>38549300000000</v>
      </c>
      <c r="I967" s="10">
        <f>IF($E967=Keys!$C$60,Keys!$C$51,INDEX(Balanced_2025!$D$9:$D$3032,MATCH($A967&amp;Keys!$C$54&amp;Keys!$C$57&amp;Keys!$C$54&amp;$C967,Balanced_2025!$E$9:$E$3032,0)))</f>
        <v>0</v>
      </c>
      <c r="J967" s="10">
        <f t="shared" si="60"/>
        <v>38549300000000</v>
      </c>
      <c r="K967" s="10">
        <f>MAX(Keys!$C$51,$I967-$H967)</f>
        <v>0</v>
      </c>
      <c r="L967" s="10">
        <f t="shared" si="61"/>
        <v>38549300000000</v>
      </c>
      <c r="M967" s="11">
        <f>IF($L967&gt;Keys!$C$51,MIN(Keys!$C$52,$K967/$L967),Keys!$C$51)</f>
        <v>0</v>
      </c>
      <c r="N967" s="11">
        <f>IF($E967=Keys!$C$60,Keys!$C$51,IF($E967=Keys!$C$59,$D967,$M967))</f>
        <v>0</v>
      </c>
      <c r="O967">
        <f t="shared" si="62"/>
        <v>1</v>
      </c>
      <c r="P967" s="10">
        <f>IF($E967=Keys!$C$60,Keys!$C$51,INDEX(Raw_BFPIaE!$G$9:$G$3032,MATCH($A967&amp;Keys!$C$54&amp;Keys!$C$55&amp;Keys!$C$54&amp;$B967,Raw_BFPIaE!$H$9:$H$3032,0)))</f>
        <v>0</v>
      </c>
      <c r="Q967" s="10">
        <f>IF($E967=Keys!$C$60,Keys!$C$51,INDEX(Raw_BFPIaE!$G$9:$G$3032,MATCH($A967&amp;Keys!$C$54&amp;Keys!$C$56&amp;Keys!$C$54&amp;$B967,Raw_BFPIaE!$H$9:$H$3032,0)))</f>
        <v>25677266666666.668</v>
      </c>
      <c r="R967" s="10">
        <f>IF($E967=Keys!$C$60,Keys!$C$51,INDEX(Raw_BFPIaE!$G$9:$G$3032,MATCH($A967&amp;Keys!$C$54&amp;Keys!$C$57&amp;Keys!$C$54&amp;$B967,Raw_BFPIaE!$H$9:$H$3032,0)))</f>
        <v>0</v>
      </c>
      <c r="S967" s="11">
        <f>IF(($P967+$Q967-$R967+MAX(Keys!$C$51,$R967-$Q967))&gt;Keys!$C$51,MIN(Keys!$C$52,MAX(Keys!$C$51,$R967-$Q967)/($P967+$Q967-$R967+MAX(Keys!$C$51,$R967-$Q967))),Keys!$C$51)</f>
        <v>0</v>
      </c>
      <c r="T967">
        <f>IF(AND($I967&gt;$H967,ABS($L967-$G967)&gt;MAX(Keys!$C$62,ABS($G967)*Keys!$C$63)),1,0)</f>
        <v>0</v>
      </c>
      <c r="U967">
        <f>IF(OR($N967&lt;Keys!$C$51,$N967&gt;Keys!$C$52),1,0)</f>
        <v>0</v>
      </c>
      <c r="V967">
        <f>IF(AND($E967=Keys!$C$60,$N967&lt;&gt;Keys!$C$51),1,0)</f>
        <v>0</v>
      </c>
      <c r="W967">
        <f>IF($L967&gt;Keys!$C$51,IF($K967/$L967&gt;Keys!$C$52,1,0),0)</f>
        <v>0</v>
      </c>
      <c r="X967" s="11">
        <f t="shared" si="63"/>
        <v>0</v>
      </c>
    </row>
    <row r="968" spans="1:24" x14ac:dyDescent="0.25">
      <c r="A968" t="s">
        <v>173</v>
      </c>
      <c r="B968" t="s">
        <v>120</v>
      </c>
      <c r="C968">
        <f>VLOOKUP($B968,Keys!$F$2:$I$22,2,FALSE)</f>
        <v>0</v>
      </c>
      <c r="D968">
        <f>VLOOKUP($B968,Keys!$F$2:$I$22,3,FALSE)</f>
        <v>0</v>
      </c>
      <c r="E968" t="str">
        <f>VLOOKUP($B968,Keys!$F$2:$I$22,4,FALSE)</f>
        <v>zero</v>
      </c>
      <c r="F968" t="str">
        <f>$A968&amp;Keys!$C$54&amp;$B968</f>
        <v>WI|municipal solid waste</v>
      </c>
      <c r="G968" s="10">
        <f>IF($E968=Keys!$C$60,Keys!$C$51,INDEX(Balanced_2025!$D$9:$D$3032,MATCH($A968&amp;Keys!$C$54&amp;Keys!$C$55&amp;Keys!$C$54&amp;$C968,Balanced_2025!$E$9:$E$3032,0)))</f>
        <v>0</v>
      </c>
      <c r="H968" s="10">
        <f>IF($E968=Keys!$C$60,Keys!$C$51,INDEX(Balanced_2025!$D$9:$D$3032,MATCH($A968&amp;Keys!$C$54&amp;Keys!$C$56&amp;Keys!$C$54&amp;$C968,Balanced_2025!$E$9:$E$3032,0)))</f>
        <v>0</v>
      </c>
      <c r="I968" s="10">
        <f>IF($E968=Keys!$C$60,Keys!$C$51,INDEX(Balanced_2025!$D$9:$D$3032,MATCH($A968&amp;Keys!$C$54&amp;Keys!$C$57&amp;Keys!$C$54&amp;$C968,Balanced_2025!$E$9:$E$3032,0)))</f>
        <v>0</v>
      </c>
      <c r="J968" s="10">
        <f t="shared" si="60"/>
        <v>0</v>
      </c>
      <c r="K968" s="10">
        <f>MAX(Keys!$C$51,$I968-$H968)</f>
        <v>0</v>
      </c>
      <c r="L968" s="10">
        <f t="shared" si="61"/>
        <v>0</v>
      </c>
      <c r="M968" s="11">
        <f>IF($L968&gt;Keys!$C$51,MIN(Keys!$C$52,$K968/$L968),Keys!$C$51)</f>
        <v>0</v>
      </c>
      <c r="N968" s="11">
        <f>IF($E968=Keys!$C$60,Keys!$C$51,IF($E968=Keys!$C$59,$D968,$M968))</f>
        <v>0</v>
      </c>
      <c r="O968">
        <f t="shared" si="62"/>
        <v>0</v>
      </c>
      <c r="P968" s="10">
        <f>IF($E968=Keys!$C$60,Keys!$C$51,INDEX(Raw_BFPIaE!$G$9:$G$3032,MATCH($A968&amp;Keys!$C$54&amp;Keys!$C$55&amp;Keys!$C$54&amp;$B968,Raw_BFPIaE!$H$9:$H$3032,0)))</f>
        <v>0</v>
      </c>
      <c r="Q968" s="10">
        <f>IF($E968=Keys!$C$60,Keys!$C$51,INDEX(Raw_BFPIaE!$G$9:$G$3032,MATCH($A968&amp;Keys!$C$54&amp;Keys!$C$56&amp;Keys!$C$54&amp;$B968,Raw_BFPIaE!$H$9:$H$3032,0)))</f>
        <v>0</v>
      </c>
      <c r="R968" s="10">
        <f>IF($E968=Keys!$C$60,Keys!$C$51,INDEX(Raw_BFPIaE!$G$9:$G$3032,MATCH($A968&amp;Keys!$C$54&amp;Keys!$C$57&amp;Keys!$C$54&amp;$B968,Raw_BFPIaE!$H$9:$H$3032,0)))</f>
        <v>0</v>
      </c>
      <c r="S968" s="11">
        <f>IF(($P968+$Q968-$R968+MAX(Keys!$C$51,$R968-$Q968))&gt;Keys!$C$51,MIN(Keys!$C$52,MAX(Keys!$C$51,$R968-$Q968)/($P968+$Q968-$R968+MAX(Keys!$C$51,$R968-$Q968))),Keys!$C$51)</f>
        <v>0</v>
      </c>
      <c r="T968">
        <f>IF(AND($I968&gt;$H968,ABS($L968-$G968)&gt;MAX(Keys!$C$62,ABS($G968)*Keys!$C$63)),1,0)</f>
        <v>0</v>
      </c>
      <c r="U968">
        <f>IF(OR($N968&lt;Keys!$C$51,$N968&gt;Keys!$C$52),1,0)</f>
        <v>0</v>
      </c>
      <c r="V968">
        <f>IF(AND($E968=Keys!$C$60,$N968&lt;&gt;Keys!$C$51),1,0)</f>
        <v>0</v>
      </c>
      <c r="W968">
        <f>IF($L968&gt;Keys!$C$51,IF($K968/$L968&gt;Keys!$C$52,1,0),0)</f>
        <v>0</v>
      </c>
      <c r="X968" s="11">
        <f t="shared" si="63"/>
        <v>0</v>
      </c>
    </row>
    <row r="969" spans="1:24" x14ac:dyDescent="0.25">
      <c r="A969" t="s">
        <v>173</v>
      </c>
      <c r="B969" t="s">
        <v>123</v>
      </c>
      <c r="C969">
        <f>VLOOKUP($B969,Keys!$F$2:$I$22,2,FALSE)</f>
        <v>0</v>
      </c>
      <c r="D969">
        <f>VLOOKUP($B969,Keys!$F$2:$I$22,3,FALSE)</f>
        <v>0</v>
      </c>
      <c r="E969" t="str">
        <f>VLOOKUP($B969,Keys!$F$2:$I$22,4,FALSE)</f>
        <v>zero</v>
      </c>
      <c r="F969" t="str">
        <f>$A969&amp;Keys!$C$54&amp;$B969</f>
        <v>WI|hydrogen</v>
      </c>
      <c r="G969" s="10">
        <f>IF($E969=Keys!$C$60,Keys!$C$51,INDEX(Balanced_2025!$D$9:$D$3032,MATCH($A969&amp;Keys!$C$54&amp;Keys!$C$55&amp;Keys!$C$54&amp;$C969,Balanced_2025!$E$9:$E$3032,0)))</f>
        <v>0</v>
      </c>
      <c r="H969" s="10">
        <f>IF($E969=Keys!$C$60,Keys!$C$51,INDEX(Balanced_2025!$D$9:$D$3032,MATCH($A969&amp;Keys!$C$54&amp;Keys!$C$56&amp;Keys!$C$54&amp;$C969,Balanced_2025!$E$9:$E$3032,0)))</f>
        <v>0</v>
      </c>
      <c r="I969" s="10">
        <f>IF($E969=Keys!$C$60,Keys!$C$51,INDEX(Balanced_2025!$D$9:$D$3032,MATCH($A969&amp;Keys!$C$54&amp;Keys!$C$57&amp;Keys!$C$54&amp;$C969,Balanced_2025!$E$9:$E$3032,0)))</f>
        <v>0</v>
      </c>
      <c r="J969" s="10">
        <f t="shared" si="60"/>
        <v>0</v>
      </c>
      <c r="K969" s="10">
        <f>MAX(Keys!$C$51,$I969-$H969)</f>
        <v>0</v>
      </c>
      <c r="L969" s="10">
        <f t="shared" si="61"/>
        <v>0</v>
      </c>
      <c r="M969" s="11">
        <f>IF($L969&gt;Keys!$C$51,MIN(Keys!$C$52,$K969/$L969),Keys!$C$51)</f>
        <v>0</v>
      </c>
      <c r="N969" s="11">
        <f>IF($E969=Keys!$C$60,Keys!$C$51,IF($E969=Keys!$C$59,$D969,$M969))</f>
        <v>0</v>
      </c>
      <c r="O969">
        <f t="shared" si="62"/>
        <v>0</v>
      </c>
      <c r="P969" s="10">
        <f>IF($E969=Keys!$C$60,Keys!$C$51,INDEX(Raw_BFPIaE!$G$9:$G$3032,MATCH($A969&amp;Keys!$C$54&amp;Keys!$C$55&amp;Keys!$C$54&amp;$B969,Raw_BFPIaE!$H$9:$H$3032,0)))</f>
        <v>0</v>
      </c>
      <c r="Q969" s="10">
        <f>IF($E969=Keys!$C$60,Keys!$C$51,INDEX(Raw_BFPIaE!$G$9:$G$3032,MATCH($A969&amp;Keys!$C$54&amp;Keys!$C$56&amp;Keys!$C$54&amp;$B969,Raw_BFPIaE!$H$9:$H$3032,0)))</f>
        <v>0</v>
      </c>
      <c r="R969" s="10">
        <f>IF($E969=Keys!$C$60,Keys!$C$51,INDEX(Raw_BFPIaE!$G$9:$G$3032,MATCH($A969&amp;Keys!$C$54&amp;Keys!$C$57&amp;Keys!$C$54&amp;$B969,Raw_BFPIaE!$H$9:$H$3032,0)))</f>
        <v>0</v>
      </c>
      <c r="S969" s="11">
        <f>IF(($P969+$Q969-$R969+MAX(Keys!$C$51,$R969-$Q969))&gt;Keys!$C$51,MIN(Keys!$C$52,MAX(Keys!$C$51,$R969-$Q969)/($P969+$Q969-$R969+MAX(Keys!$C$51,$R969-$Q969))),Keys!$C$51)</f>
        <v>0</v>
      </c>
      <c r="T969">
        <f>IF(AND($I969&gt;$H969,ABS($L969-$G969)&gt;MAX(Keys!$C$62,ABS($G969)*Keys!$C$63)),1,0)</f>
        <v>0</v>
      </c>
      <c r="U969">
        <f>IF(OR($N969&lt;Keys!$C$51,$N969&gt;Keys!$C$52),1,0)</f>
        <v>0</v>
      </c>
      <c r="V969">
        <f>IF(AND($E969=Keys!$C$60,$N969&lt;&gt;Keys!$C$51),1,0)</f>
        <v>0</v>
      </c>
      <c r="W969">
        <f>IF($L969&gt;Keys!$C$51,IF($K969/$L969&gt;Keys!$C$52,1,0),0)</f>
        <v>0</v>
      </c>
      <c r="X969" s="11">
        <f t="shared" si="63"/>
        <v>0</v>
      </c>
    </row>
    <row r="970" spans="1:24" x14ac:dyDescent="0.25">
      <c r="A970" t="s">
        <v>175</v>
      </c>
      <c r="B970" t="s">
        <v>60</v>
      </c>
      <c r="C970">
        <f>VLOOKUP($B970,Keys!$F$2:$I$22,2,FALSE)</f>
        <v>0</v>
      </c>
      <c r="D970">
        <f>VLOOKUP($B970,Keys!$F$2:$I$22,3,FALSE)</f>
        <v>0</v>
      </c>
      <c r="E970" t="str">
        <f>VLOOKUP($B970,Keys!$F$2:$I$22,4,FALSE)</f>
        <v>zero</v>
      </c>
      <c r="F970" t="str">
        <f>$A970&amp;Keys!$C$54&amp;$B970</f>
        <v>WV|electricity (not used in this variable)</v>
      </c>
      <c r="G970" s="10">
        <f>IF($E970=Keys!$C$60,Keys!$C$51,INDEX(Balanced_2025!$D$9:$D$3032,MATCH($A970&amp;Keys!$C$54&amp;Keys!$C$55&amp;Keys!$C$54&amp;$C970,Balanced_2025!$E$9:$E$3032,0)))</f>
        <v>0</v>
      </c>
      <c r="H970" s="10">
        <f>IF($E970=Keys!$C$60,Keys!$C$51,INDEX(Balanced_2025!$D$9:$D$3032,MATCH($A970&amp;Keys!$C$54&amp;Keys!$C$56&amp;Keys!$C$54&amp;$C970,Balanced_2025!$E$9:$E$3032,0)))</f>
        <v>0</v>
      </c>
      <c r="I970" s="10">
        <f>IF($E970=Keys!$C$60,Keys!$C$51,INDEX(Balanced_2025!$D$9:$D$3032,MATCH($A970&amp;Keys!$C$54&amp;Keys!$C$57&amp;Keys!$C$54&amp;$C970,Balanced_2025!$E$9:$E$3032,0)))</f>
        <v>0</v>
      </c>
      <c r="J970" s="10">
        <f t="shared" si="60"/>
        <v>0</v>
      </c>
      <c r="K970" s="10">
        <f>MAX(Keys!$C$51,$I970-$H970)</f>
        <v>0</v>
      </c>
      <c r="L970" s="10">
        <f t="shared" si="61"/>
        <v>0</v>
      </c>
      <c r="M970" s="11">
        <f>IF($L970&gt;Keys!$C$51,MIN(Keys!$C$52,$K970/$L970),Keys!$C$51)</f>
        <v>0</v>
      </c>
      <c r="N970" s="11">
        <f>IF($E970=Keys!$C$60,Keys!$C$51,IF($E970=Keys!$C$59,$D970,$M970))</f>
        <v>0</v>
      </c>
      <c r="O970">
        <f t="shared" si="62"/>
        <v>0</v>
      </c>
      <c r="P970" s="10">
        <f>IF($E970=Keys!$C$60,Keys!$C$51,INDEX(Raw_BFPIaE!$G$9:$G$3032,MATCH($A970&amp;Keys!$C$54&amp;Keys!$C$55&amp;Keys!$C$54&amp;$B970,Raw_BFPIaE!$H$9:$H$3032,0)))</f>
        <v>0</v>
      </c>
      <c r="Q970" s="10">
        <f>IF($E970=Keys!$C$60,Keys!$C$51,INDEX(Raw_BFPIaE!$G$9:$G$3032,MATCH($A970&amp;Keys!$C$54&amp;Keys!$C$56&amp;Keys!$C$54&amp;$B970,Raw_BFPIaE!$H$9:$H$3032,0)))</f>
        <v>0</v>
      </c>
      <c r="R970" s="10">
        <f>IF($E970=Keys!$C$60,Keys!$C$51,INDEX(Raw_BFPIaE!$G$9:$G$3032,MATCH($A970&amp;Keys!$C$54&amp;Keys!$C$57&amp;Keys!$C$54&amp;$B970,Raw_BFPIaE!$H$9:$H$3032,0)))</f>
        <v>0</v>
      </c>
      <c r="S970" s="11">
        <f>IF(($P970+$Q970-$R970+MAX(Keys!$C$51,$R970-$Q970))&gt;Keys!$C$51,MIN(Keys!$C$52,MAX(Keys!$C$51,$R970-$Q970)/($P970+$Q970-$R970+MAX(Keys!$C$51,$R970-$Q970))),Keys!$C$51)</f>
        <v>0</v>
      </c>
      <c r="T970">
        <f>IF(AND($I970&gt;$H970,ABS($L970-$G970)&gt;MAX(Keys!$C$62,ABS($G970)*Keys!$C$63)),1,0)</f>
        <v>0</v>
      </c>
      <c r="U970">
        <f>IF(OR($N970&lt;Keys!$C$51,$N970&gt;Keys!$C$52),1,0)</f>
        <v>0</v>
      </c>
      <c r="V970">
        <f>IF(AND($E970=Keys!$C$60,$N970&lt;&gt;Keys!$C$51),1,0)</f>
        <v>0</v>
      </c>
      <c r="W970">
        <f>IF($L970&gt;Keys!$C$51,IF($K970/$L970&gt;Keys!$C$52,1,0),0)</f>
        <v>0</v>
      </c>
      <c r="X970" s="11">
        <f t="shared" si="63"/>
        <v>0</v>
      </c>
    </row>
    <row r="971" spans="1:24" x14ac:dyDescent="0.25">
      <c r="A971" t="s">
        <v>175</v>
      </c>
      <c r="B971" t="s">
        <v>64</v>
      </c>
      <c r="C971" t="str">
        <f>VLOOKUP($B971,Keys!$F$2:$I$22,2,FALSE)</f>
        <v>hard coal</v>
      </c>
      <c r="D971">
        <f>VLOOKUP($B971,Keys!$F$2:$I$22,3,FALSE)</f>
        <v>0.137539879</v>
      </c>
      <c r="E971" t="str">
        <f>VLOOKUP($B971,Keys!$F$2:$I$22,4,FALSE)</f>
        <v>rule</v>
      </c>
      <c r="F971" t="str">
        <f>$A971&amp;Keys!$C$54&amp;$B971</f>
        <v>WV|hard coal</v>
      </c>
      <c r="G971" s="10">
        <f>IF($E971=Keys!$C$60,Keys!$C$51,INDEX(Balanced_2025!$D$9:$D$3032,MATCH($A971&amp;Keys!$C$54&amp;Keys!$C$55&amp;Keys!$C$54&amp;$C971,Balanced_2025!$E$9:$E$3032,0)))</f>
        <v>1630430000000000</v>
      </c>
      <c r="H971" s="10">
        <f>IF($E971=Keys!$C$60,Keys!$C$51,INDEX(Balanced_2025!$D$9:$D$3032,MATCH($A971&amp;Keys!$C$54&amp;Keys!$C$56&amp;Keys!$C$54&amp;$C971,Balanced_2025!$E$9:$E$3032,0)))</f>
        <v>31631200000000</v>
      </c>
      <c r="I971" s="10">
        <f>IF($E971=Keys!$C$60,Keys!$C$51,INDEX(Balanced_2025!$D$9:$D$3032,MATCH($A971&amp;Keys!$C$54&amp;Keys!$C$57&amp;Keys!$C$54&amp;$C971,Balanced_2025!$E$9:$E$3032,0)))</f>
        <v>1169280000000000</v>
      </c>
      <c r="J971" s="10">
        <f t="shared" si="60"/>
        <v>492781200000000</v>
      </c>
      <c r="K971" s="10">
        <f>MAX(Keys!$C$51,$I971-$H971)</f>
        <v>1137648800000000</v>
      </c>
      <c r="L971" s="10">
        <f t="shared" si="61"/>
        <v>1630430000000000</v>
      </c>
      <c r="M971" s="11">
        <f>IF($L971&gt;Keys!$C$51,MIN(Keys!$C$52,$K971/$L971),Keys!$C$51)</f>
        <v>0.6977599774292671</v>
      </c>
      <c r="N971" s="11">
        <f>IF($E971=Keys!$C$60,Keys!$C$51,IF($E971=Keys!$C$59,$D971,$M971))</f>
        <v>0.6977599774292671</v>
      </c>
      <c r="O971">
        <f t="shared" si="62"/>
        <v>1</v>
      </c>
      <c r="P971" s="10">
        <f>IF($E971=Keys!$C$60,Keys!$C$51,INDEX(Raw_BFPIaE!$G$9:$G$3032,MATCH($A971&amp;Keys!$C$54&amp;Keys!$C$55&amp;Keys!$C$54&amp;$B971,Raw_BFPIaE!$H$9:$H$3032,0)))</f>
        <v>1630443333333333.3</v>
      </c>
      <c r="Q971" s="10">
        <f>IF($E971=Keys!$C$60,Keys!$C$51,INDEX(Raw_BFPIaE!$G$9:$G$3032,MATCH($A971&amp;Keys!$C$54&amp;Keys!$C$56&amp;Keys!$C$54&amp;$B971,Raw_BFPIaE!$H$9:$H$3032,0)))</f>
        <v>118695333333333.33</v>
      </c>
      <c r="R971" s="10">
        <f>IF($E971=Keys!$C$60,Keys!$C$51,INDEX(Raw_BFPIaE!$G$9:$G$3032,MATCH($A971&amp;Keys!$C$54&amp;Keys!$C$57&amp;Keys!$C$54&amp;$B971,Raw_BFPIaE!$H$9:$H$3032,0)))</f>
        <v>772356666666666.63</v>
      </c>
      <c r="S971" s="11">
        <f>IF(($P971+$Q971-$R971+MAX(Keys!$C$51,$R971-$Q971))&gt;Keys!$C$51,MIN(Keys!$C$52,MAX(Keys!$C$51,$R971-$Q971)/($P971+$Q971-$R971+MAX(Keys!$C$51,$R971-$Q971))),Keys!$C$51)</f>
        <v>0.40091018189326832</v>
      </c>
      <c r="T971">
        <f>IF(AND($I971&gt;$H971,ABS($L971-$G971)&gt;MAX(Keys!$C$62,ABS($G971)*Keys!$C$63)),1,0)</f>
        <v>0</v>
      </c>
      <c r="U971">
        <f>IF(OR($N971&lt;Keys!$C$51,$N971&gt;Keys!$C$52),1,0)</f>
        <v>0</v>
      </c>
      <c r="V971">
        <f>IF(AND($E971=Keys!$C$60,$N971&lt;&gt;Keys!$C$51),1,0)</f>
        <v>0</v>
      </c>
      <c r="W971">
        <f>IF($L971&gt;Keys!$C$51,IF($K971/$L971&gt;Keys!$C$52,1,0),0)</f>
        <v>0</v>
      </c>
      <c r="X971" s="11">
        <f t="shared" si="63"/>
        <v>0.29684979553599877</v>
      </c>
    </row>
    <row r="972" spans="1:24" x14ac:dyDescent="0.25">
      <c r="A972" t="s">
        <v>175</v>
      </c>
      <c r="B972" t="s">
        <v>68</v>
      </c>
      <c r="C972" t="str">
        <f>VLOOKUP($B972,Keys!$F$2:$I$22,2,FALSE)</f>
        <v>natural gas</v>
      </c>
      <c r="D972">
        <f>VLOOKUP($B972,Keys!$F$2:$I$22,3,FALSE)</f>
        <v>0.190839183</v>
      </c>
      <c r="E972" t="str">
        <f>VLOOKUP($B972,Keys!$F$2:$I$22,4,FALSE)</f>
        <v>rule</v>
      </c>
      <c r="F972" t="str">
        <f>$A972&amp;Keys!$C$54&amp;$B972</f>
        <v>WV|natural gas</v>
      </c>
      <c r="G972" s="10">
        <f>IF($E972=Keys!$C$60,Keys!$C$51,INDEX(Balanced_2025!$D$9:$D$3032,MATCH($A972&amp;Keys!$C$54&amp;Keys!$C$55&amp;Keys!$C$54&amp;$C972,Balanced_2025!$E$9:$E$3032,0)))</f>
        <v>3227660000000000</v>
      </c>
      <c r="H972" s="10">
        <f>IF($E972=Keys!$C$60,Keys!$C$51,INDEX(Balanced_2025!$D$9:$D$3032,MATCH($A972&amp;Keys!$C$54&amp;Keys!$C$56&amp;Keys!$C$54&amp;$C972,Balanced_2025!$E$9:$E$3032,0)))</f>
        <v>236687000000000</v>
      </c>
      <c r="I972" s="10">
        <f>IF($E972=Keys!$C$60,Keys!$C$51,INDEX(Balanced_2025!$D$9:$D$3032,MATCH($A972&amp;Keys!$C$54&amp;Keys!$C$57&amp;Keys!$C$54&amp;$C972,Balanced_2025!$E$9:$E$3032,0)))</f>
        <v>3159370000000000</v>
      </c>
      <c r="J972" s="10">
        <f t="shared" si="60"/>
        <v>304977000000000</v>
      </c>
      <c r="K972" s="10">
        <f>MAX(Keys!$C$51,$I972-$H972)</f>
        <v>2922683000000000</v>
      </c>
      <c r="L972" s="10">
        <f t="shared" si="61"/>
        <v>3227660000000000</v>
      </c>
      <c r="M972" s="11">
        <f>IF($L972&gt;Keys!$C$51,MIN(Keys!$C$52,$K972/$L972),Keys!$C$51)</f>
        <v>0.90551142313626587</v>
      </c>
      <c r="N972" s="11">
        <f>IF($E972=Keys!$C$60,Keys!$C$51,IF($E972=Keys!$C$59,$D972,$M972))</f>
        <v>0.90551142313626587</v>
      </c>
      <c r="O972">
        <f t="shared" si="62"/>
        <v>1</v>
      </c>
      <c r="P972" s="10">
        <f>IF($E972=Keys!$C$60,Keys!$C$51,INDEX(Raw_BFPIaE!$G$9:$G$3032,MATCH($A972&amp;Keys!$C$54&amp;Keys!$C$55&amp;Keys!$C$54&amp;$B972,Raw_BFPIaE!$H$9:$H$3032,0)))</f>
        <v>3231003333333333.5</v>
      </c>
      <c r="Q972" s="10">
        <f>IF($E972=Keys!$C$60,Keys!$C$51,INDEX(Raw_BFPIaE!$G$9:$G$3032,MATCH($A972&amp;Keys!$C$54&amp;Keys!$C$56&amp;Keys!$C$54&amp;$B972,Raw_BFPIaE!$H$9:$H$3032,0)))</f>
        <v>326157333333333.31</v>
      </c>
      <c r="R972" s="10">
        <f>IF($E972=Keys!$C$60,Keys!$C$51,INDEX(Raw_BFPIaE!$G$9:$G$3032,MATCH($A972&amp;Keys!$C$54&amp;Keys!$C$57&amp;Keys!$C$54&amp;$B972,Raw_BFPIaE!$H$9:$H$3032,0)))</f>
        <v>3162643333333333.5</v>
      </c>
      <c r="S972" s="11">
        <f>IF(($P972+$Q972-$R972+MAX(Keys!$C$51,$R972-$Q972))&gt;Keys!$C$51,MIN(Keys!$C$52,MAX(Keys!$C$51,$R972-$Q972)/($P972+$Q972-$R972+MAX(Keys!$C$51,$R972-$Q972))),Keys!$C$51)</f>
        <v>0.87789633973347803</v>
      </c>
      <c r="T972">
        <f>IF(AND($I972&gt;$H972,ABS($L972-$G972)&gt;MAX(Keys!$C$62,ABS($G972)*Keys!$C$63)),1,0)</f>
        <v>0</v>
      </c>
      <c r="U972">
        <f>IF(OR($N972&lt;Keys!$C$51,$N972&gt;Keys!$C$52),1,0)</f>
        <v>0</v>
      </c>
      <c r="V972">
        <f>IF(AND($E972=Keys!$C$60,$N972&lt;&gt;Keys!$C$51),1,0)</f>
        <v>0</v>
      </c>
      <c r="W972">
        <f>IF($L972&gt;Keys!$C$51,IF($K972/$L972&gt;Keys!$C$52,1,0),0)</f>
        <v>0</v>
      </c>
      <c r="X972" s="11">
        <f t="shared" si="63"/>
        <v>2.7615083402787843E-2</v>
      </c>
    </row>
    <row r="973" spans="1:24" x14ac:dyDescent="0.25">
      <c r="A973" t="s">
        <v>175</v>
      </c>
      <c r="B973" t="s">
        <v>71</v>
      </c>
      <c r="C973">
        <f>VLOOKUP($B973,Keys!$F$2:$I$22,2,FALSE)</f>
        <v>0</v>
      </c>
      <c r="D973">
        <f>VLOOKUP($B973,Keys!$F$2:$I$22,3,FALSE)</f>
        <v>0</v>
      </c>
      <c r="E973" t="str">
        <f>VLOOKUP($B973,Keys!$F$2:$I$22,4,FALSE)</f>
        <v>zero</v>
      </c>
      <c r="F973" t="str">
        <f>$A973&amp;Keys!$C$54&amp;$B973</f>
        <v>WV|nuclear</v>
      </c>
      <c r="G973" s="10">
        <f>IF($E973=Keys!$C$60,Keys!$C$51,INDEX(Balanced_2025!$D$9:$D$3032,MATCH($A973&amp;Keys!$C$54&amp;Keys!$C$55&amp;Keys!$C$54&amp;$C973,Balanced_2025!$E$9:$E$3032,0)))</f>
        <v>0</v>
      </c>
      <c r="H973" s="10">
        <f>IF($E973=Keys!$C$60,Keys!$C$51,INDEX(Balanced_2025!$D$9:$D$3032,MATCH($A973&amp;Keys!$C$54&amp;Keys!$C$56&amp;Keys!$C$54&amp;$C973,Balanced_2025!$E$9:$E$3032,0)))</f>
        <v>0</v>
      </c>
      <c r="I973" s="10">
        <f>IF($E973=Keys!$C$60,Keys!$C$51,INDEX(Balanced_2025!$D$9:$D$3032,MATCH($A973&amp;Keys!$C$54&amp;Keys!$C$57&amp;Keys!$C$54&amp;$C973,Balanced_2025!$E$9:$E$3032,0)))</f>
        <v>0</v>
      </c>
      <c r="J973" s="10">
        <f t="shared" si="60"/>
        <v>0</v>
      </c>
      <c r="K973" s="10">
        <f>MAX(Keys!$C$51,$I973-$H973)</f>
        <v>0</v>
      </c>
      <c r="L973" s="10">
        <f t="shared" si="61"/>
        <v>0</v>
      </c>
      <c r="M973" s="11">
        <f>IF($L973&gt;Keys!$C$51,MIN(Keys!$C$52,$K973/$L973),Keys!$C$51)</f>
        <v>0</v>
      </c>
      <c r="N973" s="11">
        <f>IF($E973=Keys!$C$60,Keys!$C$51,IF($E973=Keys!$C$59,$D973,$M973))</f>
        <v>0</v>
      </c>
      <c r="O973">
        <f t="shared" si="62"/>
        <v>0</v>
      </c>
      <c r="P973" s="10">
        <f>IF($E973=Keys!$C$60,Keys!$C$51,INDEX(Raw_BFPIaE!$G$9:$G$3032,MATCH($A973&amp;Keys!$C$54&amp;Keys!$C$55&amp;Keys!$C$54&amp;$B973,Raw_BFPIaE!$H$9:$H$3032,0)))</f>
        <v>0</v>
      </c>
      <c r="Q973" s="10">
        <f>IF($E973=Keys!$C$60,Keys!$C$51,INDEX(Raw_BFPIaE!$G$9:$G$3032,MATCH($A973&amp;Keys!$C$54&amp;Keys!$C$56&amp;Keys!$C$54&amp;$B973,Raw_BFPIaE!$H$9:$H$3032,0)))</f>
        <v>0</v>
      </c>
      <c r="R973" s="10">
        <f>IF($E973=Keys!$C$60,Keys!$C$51,INDEX(Raw_BFPIaE!$G$9:$G$3032,MATCH($A973&amp;Keys!$C$54&amp;Keys!$C$57&amp;Keys!$C$54&amp;$B973,Raw_BFPIaE!$H$9:$H$3032,0)))</f>
        <v>0</v>
      </c>
      <c r="S973" s="11">
        <f>IF(($P973+$Q973-$R973+MAX(Keys!$C$51,$R973-$Q973))&gt;Keys!$C$51,MIN(Keys!$C$52,MAX(Keys!$C$51,$R973-$Q973)/($P973+$Q973-$R973+MAX(Keys!$C$51,$R973-$Q973))),Keys!$C$51)</f>
        <v>0</v>
      </c>
      <c r="T973">
        <f>IF(AND($I973&gt;$H973,ABS($L973-$G973)&gt;MAX(Keys!$C$62,ABS($G973)*Keys!$C$63)),1,0)</f>
        <v>0</v>
      </c>
      <c r="U973">
        <f>IF(OR($N973&lt;Keys!$C$51,$N973&gt;Keys!$C$52),1,0)</f>
        <v>0</v>
      </c>
      <c r="V973">
        <f>IF(AND($E973=Keys!$C$60,$N973&lt;&gt;Keys!$C$51),1,0)</f>
        <v>0</v>
      </c>
      <c r="W973">
        <f>IF($L973&gt;Keys!$C$51,IF($K973/$L973&gt;Keys!$C$52,1,0),0)</f>
        <v>0</v>
      </c>
      <c r="X973" s="11">
        <f t="shared" si="63"/>
        <v>0</v>
      </c>
    </row>
    <row r="974" spans="1:24" x14ac:dyDescent="0.25">
      <c r="A974" t="s">
        <v>175</v>
      </c>
      <c r="B974" t="s">
        <v>74</v>
      </c>
      <c r="C974">
        <f>VLOOKUP($B974,Keys!$F$2:$I$22,2,FALSE)</f>
        <v>0</v>
      </c>
      <c r="D974">
        <f>VLOOKUP($B974,Keys!$F$2:$I$22,3,FALSE)</f>
        <v>0</v>
      </c>
      <c r="E974" t="str">
        <f>VLOOKUP($B974,Keys!$F$2:$I$22,4,FALSE)</f>
        <v>zero</v>
      </c>
      <c r="F974" t="str">
        <f>$A974&amp;Keys!$C$54&amp;$B974</f>
        <v>WV|hydro (is not a fuel)</v>
      </c>
      <c r="G974" s="10">
        <f>IF($E974=Keys!$C$60,Keys!$C$51,INDEX(Balanced_2025!$D$9:$D$3032,MATCH($A974&amp;Keys!$C$54&amp;Keys!$C$55&amp;Keys!$C$54&amp;$C974,Balanced_2025!$E$9:$E$3032,0)))</f>
        <v>0</v>
      </c>
      <c r="H974" s="10">
        <f>IF($E974=Keys!$C$60,Keys!$C$51,INDEX(Balanced_2025!$D$9:$D$3032,MATCH($A974&amp;Keys!$C$54&amp;Keys!$C$56&amp;Keys!$C$54&amp;$C974,Balanced_2025!$E$9:$E$3032,0)))</f>
        <v>0</v>
      </c>
      <c r="I974" s="10">
        <f>IF($E974=Keys!$C$60,Keys!$C$51,INDEX(Balanced_2025!$D$9:$D$3032,MATCH($A974&amp;Keys!$C$54&amp;Keys!$C$57&amp;Keys!$C$54&amp;$C974,Balanced_2025!$E$9:$E$3032,0)))</f>
        <v>0</v>
      </c>
      <c r="J974" s="10">
        <f t="shared" si="60"/>
        <v>0</v>
      </c>
      <c r="K974" s="10">
        <f>MAX(Keys!$C$51,$I974-$H974)</f>
        <v>0</v>
      </c>
      <c r="L974" s="10">
        <f t="shared" si="61"/>
        <v>0</v>
      </c>
      <c r="M974" s="11">
        <f>IF($L974&gt;Keys!$C$51,MIN(Keys!$C$52,$K974/$L974),Keys!$C$51)</f>
        <v>0</v>
      </c>
      <c r="N974" s="11">
        <f>IF($E974=Keys!$C$60,Keys!$C$51,IF($E974=Keys!$C$59,$D974,$M974))</f>
        <v>0</v>
      </c>
      <c r="O974">
        <f t="shared" si="62"/>
        <v>0</v>
      </c>
      <c r="P974" s="10">
        <f>IF($E974=Keys!$C$60,Keys!$C$51,INDEX(Raw_BFPIaE!$G$9:$G$3032,MATCH($A974&amp;Keys!$C$54&amp;Keys!$C$55&amp;Keys!$C$54&amp;$B974,Raw_BFPIaE!$H$9:$H$3032,0)))</f>
        <v>0</v>
      </c>
      <c r="Q974" s="10">
        <f>IF($E974=Keys!$C$60,Keys!$C$51,INDEX(Raw_BFPIaE!$G$9:$G$3032,MATCH($A974&amp;Keys!$C$54&amp;Keys!$C$56&amp;Keys!$C$54&amp;$B974,Raw_BFPIaE!$H$9:$H$3032,0)))</f>
        <v>0</v>
      </c>
      <c r="R974" s="10">
        <f>IF($E974=Keys!$C$60,Keys!$C$51,INDEX(Raw_BFPIaE!$G$9:$G$3032,MATCH($A974&amp;Keys!$C$54&amp;Keys!$C$57&amp;Keys!$C$54&amp;$B974,Raw_BFPIaE!$H$9:$H$3032,0)))</f>
        <v>0</v>
      </c>
      <c r="S974" s="11">
        <f>IF(($P974+$Q974-$R974+MAX(Keys!$C$51,$R974-$Q974))&gt;Keys!$C$51,MIN(Keys!$C$52,MAX(Keys!$C$51,$R974-$Q974)/($P974+$Q974-$R974+MAX(Keys!$C$51,$R974-$Q974))),Keys!$C$51)</f>
        <v>0</v>
      </c>
      <c r="T974">
        <f>IF(AND($I974&gt;$H974,ABS($L974-$G974)&gt;MAX(Keys!$C$62,ABS($G974)*Keys!$C$63)),1,0)</f>
        <v>0</v>
      </c>
      <c r="U974">
        <f>IF(OR($N974&lt;Keys!$C$51,$N974&gt;Keys!$C$52),1,0)</f>
        <v>0</v>
      </c>
      <c r="V974">
        <f>IF(AND($E974=Keys!$C$60,$N974&lt;&gt;Keys!$C$51),1,0)</f>
        <v>0</v>
      </c>
      <c r="W974">
        <f>IF($L974&gt;Keys!$C$51,IF($K974/$L974&gt;Keys!$C$52,1,0),0)</f>
        <v>0</v>
      </c>
      <c r="X974" s="11">
        <f t="shared" si="63"/>
        <v>0</v>
      </c>
    </row>
    <row r="975" spans="1:24" x14ac:dyDescent="0.25">
      <c r="A975" t="s">
        <v>175</v>
      </c>
      <c r="B975" t="s">
        <v>77</v>
      </c>
      <c r="C975">
        <f>VLOOKUP($B975,Keys!$F$2:$I$22,2,FALSE)</f>
        <v>0</v>
      </c>
      <c r="D975">
        <f>VLOOKUP($B975,Keys!$F$2:$I$22,3,FALSE)</f>
        <v>0</v>
      </c>
      <c r="E975" t="str">
        <f>VLOOKUP($B975,Keys!$F$2:$I$22,4,FALSE)</f>
        <v>zero</v>
      </c>
      <c r="F975" t="str">
        <f>$A975&amp;Keys!$C$54&amp;$B975</f>
        <v>WV|wind (is not a fuel)</v>
      </c>
      <c r="G975" s="10">
        <f>IF($E975=Keys!$C$60,Keys!$C$51,INDEX(Balanced_2025!$D$9:$D$3032,MATCH($A975&amp;Keys!$C$54&amp;Keys!$C$55&amp;Keys!$C$54&amp;$C975,Balanced_2025!$E$9:$E$3032,0)))</f>
        <v>0</v>
      </c>
      <c r="H975" s="10">
        <f>IF($E975=Keys!$C$60,Keys!$C$51,INDEX(Balanced_2025!$D$9:$D$3032,MATCH($A975&amp;Keys!$C$54&amp;Keys!$C$56&amp;Keys!$C$54&amp;$C975,Balanced_2025!$E$9:$E$3032,0)))</f>
        <v>0</v>
      </c>
      <c r="I975" s="10">
        <f>IF($E975=Keys!$C$60,Keys!$C$51,INDEX(Balanced_2025!$D$9:$D$3032,MATCH($A975&amp;Keys!$C$54&amp;Keys!$C$57&amp;Keys!$C$54&amp;$C975,Balanced_2025!$E$9:$E$3032,0)))</f>
        <v>0</v>
      </c>
      <c r="J975" s="10">
        <f t="shared" si="60"/>
        <v>0</v>
      </c>
      <c r="K975" s="10">
        <f>MAX(Keys!$C$51,$I975-$H975)</f>
        <v>0</v>
      </c>
      <c r="L975" s="10">
        <f t="shared" si="61"/>
        <v>0</v>
      </c>
      <c r="M975" s="11">
        <f>IF($L975&gt;Keys!$C$51,MIN(Keys!$C$52,$K975/$L975),Keys!$C$51)</f>
        <v>0</v>
      </c>
      <c r="N975" s="11">
        <f>IF($E975=Keys!$C$60,Keys!$C$51,IF($E975=Keys!$C$59,$D975,$M975))</f>
        <v>0</v>
      </c>
      <c r="O975">
        <f t="shared" si="62"/>
        <v>0</v>
      </c>
      <c r="P975" s="10">
        <f>IF($E975=Keys!$C$60,Keys!$C$51,INDEX(Raw_BFPIaE!$G$9:$G$3032,MATCH($A975&amp;Keys!$C$54&amp;Keys!$C$55&amp;Keys!$C$54&amp;$B975,Raw_BFPIaE!$H$9:$H$3032,0)))</f>
        <v>0</v>
      </c>
      <c r="Q975" s="10">
        <f>IF($E975=Keys!$C$60,Keys!$C$51,INDEX(Raw_BFPIaE!$G$9:$G$3032,MATCH($A975&amp;Keys!$C$54&amp;Keys!$C$56&amp;Keys!$C$54&amp;$B975,Raw_BFPIaE!$H$9:$H$3032,0)))</f>
        <v>0</v>
      </c>
      <c r="R975" s="10">
        <f>IF($E975=Keys!$C$60,Keys!$C$51,INDEX(Raw_BFPIaE!$G$9:$G$3032,MATCH($A975&amp;Keys!$C$54&amp;Keys!$C$57&amp;Keys!$C$54&amp;$B975,Raw_BFPIaE!$H$9:$H$3032,0)))</f>
        <v>0</v>
      </c>
      <c r="S975" s="11">
        <f>IF(($P975+$Q975-$R975+MAX(Keys!$C$51,$R975-$Q975))&gt;Keys!$C$51,MIN(Keys!$C$52,MAX(Keys!$C$51,$R975-$Q975)/($P975+$Q975-$R975+MAX(Keys!$C$51,$R975-$Q975))),Keys!$C$51)</f>
        <v>0</v>
      </c>
      <c r="T975">
        <f>IF(AND($I975&gt;$H975,ABS($L975-$G975)&gt;MAX(Keys!$C$62,ABS($G975)*Keys!$C$63)),1,0)</f>
        <v>0</v>
      </c>
      <c r="U975">
        <f>IF(OR($N975&lt;Keys!$C$51,$N975&gt;Keys!$C$52),1,0)</f>
        <v>0</v>
      </c>
      <c r="V975">
        <f>IF(AND($E975=Keys!$C$60,$N975&lt;&gt;Keys!$C$51),1,0)</f>
        <v>0</v>
      </c>
      <c r="W975">
        <f>IF($L975&gt;Keys!$C$51,IF($K975/$L975&gt;Keys!$C$52,1,0),0)</f>
        <v>0</v>
      </c>
      <c r="X975" s="11">
        <f t="shared" si="63"/>
        <v>0</v>
      </c>
    </row>
    <row r="976" spans="1:24" x14ac:dyDescent="0.25">
      <c r="A976" t="s">
        <v>175</v>
      </c>
      <c r="B976" t="s">
        <v>80</v>
      </c>
      <c r="C976">
        <f>VLOOKUP($B976,Keys!$F$2:$I$22,2,FALSE)</f>
        <v>0</v>
      </c>
      <c r="D976">
        <f>VLOOKUP($B976,Keys!$F$2:$I$22,3,FALSE)</f>
        <v>0</v>
      </c>
      <c r="E976" t="str">
        <f>VLOOKUP($B976,Keys!$F$2:$I$22,4,FALSE)</f>
        <v>zero</v>
      </c>
      <c r="F976" t="str">
        <f>$A976&amp;Keys!$C$54&amp;$B976</f>
        <v>WV|solar (is not a fuel)</v>
      </c>
      <c r="G976" s="10">
        <f>IF($E976=Keys!$C$60,Keys!$C$51,INDEX(Balanced_2025!$D$9:$D$3032,MATCH($A976&amp;Keys!$C$54&amp;Keys!$C$55&amp;Keys!$C$54&amp;$C976,Balanced_2025!$E$9:$E$3032,0)))</f>
        <v>0</v>
      </c>
      <c r="H976" s="10">
        <f>IF($E976=Keys!$C$60,Keys!$C$51,INDEX(Balanced_2025!$D$9:$D$3032,MATCH($A976&amp;Keys!$C$54&amp;Keys!$C$56&amp;Keys!$C$54&amp;$C976,Balanced_2025!$E$9:$E$3032,0)))</f>
        <v>0</v>
      </c>
      <c r="I976" s="10">
        <f>IF($E976=Keys!$C$60,Keys!$C$51,INDEX(Balanced_2025!$D$9:$D$3032,MATCH($A976&amp;Keys!$C$54&amp;Keys!$C$57&amp;Keys!$C$54&amp;$C976,Balanced_2025!$E$9:$E$3032,0)))</f>
        <v>0</v>
      </c>
      <c r="J976" s="10">
        <f t="shared" si="60"/>
        <v>0</v>
      </c>
      <c r="K976" s="10">
        <f>MAX(Keys!$C$51,$I976-$H976)</f>
        <v>0</v>
      </c>
      <c r="L976" s="10">
        <f t="shared" si="61"/>
        <v>0</v>
      </c>
      <c r="M976" s="11">
        <f>IF($L976&gt;Keys!$C$51,MIN(Keys!$C$52,$K976/$L976),Keys!$C$51)</f>
        <v>0</v>
      </c>
      <c r="N976" s="11">
        <f>IF($E976=Keys!$C$60,Keys!$C$51,IF($E976=Keys!$C$59,$D976,$M976))</f>
        <v>0</v>
      </c>
      <c r="O976">
        <f t="shared" si="62"/>
        <v>0</v>
      </c>
      <c r="P976" s="10">
        <f>IF($E976=Keys!$C$60,Keys!$C$51,INDEX(Raw_BFPIaE!$G$9:$G$3032,MATCH($A976&amp;Keys!$C$54&amp;Keys!$C$55&amp;Keys!$C$54&amp;$B976,Raw_BFPIaE!$H$9:$H$3032,0)))</f>
        <v>0</v>
      </c>
      <c r="Q976" s="10">
        <f>IF($E976=Keys!$C$60,Keys!$C$51,INDEX(Raw_BFPIaE!$G$9:$G$3032,MATCH($A976&amp;Keys!$C$54&amp;Keys!$C$56&amp;Keys!$C$54&amp;$B976,Raw_BFPIaE!$H$9:$H$3032,0)))</f>
        <v>0</v>
      </c>
      <c r="R976" s="10">
        <f>IF($E976=Keys!$C$60,Keys!$C$51,INDEX(Raw_BFPIaE!$G$9:$G$3032,MATCH($A976&amp;Keys!$C$54&amp;Keys!$C$57&amp;Keys!$C$54&amp;$B976,Raw_BFPIaE!$H$9:$H$3032,0)))</f>
        <v>0</v>
      </c>
      <c r="S976" s="11">
        <f>IF(($P976+$Q976-$R976+MAX(Keys!$C$51,$R976-$Q976))&gt;Keys!$C$51,MIN(Keys!$C$52,MAX(Keys!$C$51,$R976-$Q976)/($P976+$Q976-$R976+MAX(Keys!$C$51,$R976-$Q976))),Keys!$C$51)</f>
        <v>0</v>
      </c>
      <c r="T976">
        <f>IF(AND($I976&gt;$H976,ABS($L976-$G976)&gt;MAX(Keys!$C$62,ABS($G976)*Keys!$C$63)),1,0)</f>
        <v>0</v>
      </c>
      <c r="U976">
        <f>IF(OR($N976&lt;Keys!$C$51,$N976&gt;Keys!$C$52),1,0)</f>
        <v>0</v>
      </c>
      <c r="V976">
        <f>IF(AND($E976=Keys!$C$60,$N976&lt;&gt;Keys!$C$51),1,0)</f>
        <v>0</v>
      </c>
      <c r="W976">
        <f>IF($L976&gt;Keys!$C$51,IF($K976/$L976&gt;Keys!$C$52,1,0),0)</f>
        <v>0</v>
      </c>
      <c r="X976" s="11">
        <f t="shared" si="63"/>
        <v>0</v>
      </c>
    </row>
    <row r="977" spans="1:24" x14ac:dyDescent="0.25">
      <c r="A977" t="s">
        <v>175</v>
      </c>
      <c r="B977" t="s">
        <v>82</v>
      </c>
      <c r="C977" t="str">
        <f>VLOOKUP($B977,Keys!$F$2:$I$22,2,FALSE)</f>
        <v>biomass</v>
      </c>
      <c r="D977">
        <f>VLOOKUP($B977,Keys!$F$2:$I$22,3,FALSE)</f>
        <v>0.74947425499999998</v>
      </c>
      <c r="E977" t="str">
        <f>VLOOKUP($B977,Keys!$F$2:$I$22,4,FALSE)</f>
        <v>rule</v>
      </c>
      <c r="F977" t="str">
        <f>$A977&amp;Keys!$C$54&amp;$B977</f>
        <v>WV|biomass</v>
      </c>
      <c r="G977" s="10">
        <f>IF($E977=Keys!$C$60,Keys!$C$51,INDEX(Balanced_2025!$D$9:$D$3032,MATCH($A977&amp;Keys!$C$54&amp;Keys!$C$55&amp;Keys!$C$54&amp;$C977,Balanced_2025!$E$9:$E$3032,0)))</f>
        <v>3930880000000</v>
      </c>
      <c r="H977" s="10">
        <f>IF($E977=Keys!$C$60,Keys!$C$51,INDEX(Balanced_2025!$D$9:$D$3032,MATCH($A977&amp;Keys!$C$54&amp;Keys!$C$56&amp;Keys!$C$54&amp;$C977,Balanced_2025!$E$9:$E$3032,0)))</f>
        <v>3187720000000</v>
      </c>
      <c r="I977" s="10">
        <f>IF($E977=Keys!$C$60,Keys!$C$51,INDEX(Balanced_2025!$D$9:$D$3032,MATCH($A977&amp;Keys!$C$54&amp;Keys!$C$57&amp;Keys!$C$54&amp;$C977,Balanced_2025!$E$9:$E$3032,0)))</f>
        <v>0</v>
      </c>
      <c r="J977" s="10">
        <f t="shared" si="60"/>
        <v>7118600000000</v>
      </c>
      <c r="K977" s="10">
        <f>MAX(Keys!$C$51,$I977-$H977)</f>
        <v>0</v>
      </c>
      <c r="L977" s="10">
        <f t="shared" si="61"/>
        <v>7118600000000</v>
      </c>
      <c r="M977" s="11">
        <f>IF($L977&gt;Keys!$C$51,MIN(Keys!$C$52,$K977/$L977),Keys!$C$51)</f>
        <v>0</v>
      </c>
      <c r="N977" s="11">
        <f>IF($E977=Keys!$C$60,Keys!$C$51,IF($E977=Keys!$C$59,$D977,$M977))</f>
        <v>0</v>
      </c>
      <c r="O977">
        <f t="shared" si="62"/>
        <v>1</v>
      </c>
      <c r="P977" s="10">
        <f>IF($E977=Keys!$C$60,Keys!$C$51,INDEX(Raw_BFPIaE!$G$9:$G$3032,MATCH($A977&amp;Keys!$C$54&amp;Keys!$C$55&amp;Keys!$C$54&amp;$B977,Raw_BFPIaE!$H$9:$H$3032,0)))</f>
        <v>3930880000000</v>
      </c>
      <c r="Q977" s="10">
        <f>IF($E977=Keys!$C$60,Keys!$C$51,INDEX(Raw_BFPIaE!$G$9:$G$3032,MATCH($A977&amp;Keys!$C$54&amp;Keys!$C$56&amp;Keys!$C$54&amp;$B977,Raw_BFPIaE!$H$9:$H$3032,0)))</f>
        <v>1939943333333.3333</v>
      </c>
      <c r="R977" s="10">
        <f>IF($E977=Keys!$C$60,Keys!$C$51,INDEX(Raw_BFPIaE!$G$9:$G$3032,MATCH($A977&amp;Keys!$C$54&amp;Keys!$C$57&amp;Keys!$C$54&amp;$B977,Raw_BFPIaE!$H$9:$H$3032,0)))</f>
        <v>0</v>
      </c>
      <c r="S977" s="11">
        <f>IF(($P977+$Q977-$R977+MAX(Keys!$C$51,$R977-$Q977))&gt;Keys!$C$51,MIN(Keys!$C$52,MAX(Keys!$C$51,$R977-$Q977)/($P977+$Q977-$R977+MAX(Keys!$C$51,$R977-$Q977))),Keys!$C$51)</f>
        <v>0</v>
      </c>
      <c r="T977">
        <f>IF(AND($I977&gt;$H977,ABS($L977-$G977)&gt;MAX(Keys!$C$62,ABS($G977)*Keys!$C$63)),1,0)</f>
        <v>0</v>
      </c>
      <c r="U977">
        <f>IF(OR($N977&lt;Keys!$C$51,$N977&gt;Keys!$C$52),1,0)</f>
        <v>0</v>
      </c>
      <c r="V977">
        <f>IF(AND($E977=Keys!$C$60,$N977&lt;&gt;Keys!$C$51),1,0)</f>
        <v>0</v>
      </c>
      <c r="W977">
        <f>IF($L977&gt;Keys!$C$51,IF($K977/$L977&gt;Keys!$C$52,1,0),0)</f>
        <v>0</v>
      </c>
      <c r="X977" s="11">
        <f t="shared" si="63"/>
        <v>0</v>
      </c>
    </row>
    <row r="978" spans="1:24" x14ac:dyDescent="0.25">
      <c r="A978" t="s">
        <v>175</v>
      </c>
      <c r="B978" t="s">
        <v>85</v>
      </c>
      <c r="C978" t="str">
        <f>VLOOKUP($B978,Keys!$F$2:$I$22,2,FALSE)</f>
        <v>petroleum gasoline</v>
      </c>
      <c r="D978">
        <f>VLOOKUP($B978,Keys!$F$2:$I$22,3,FALSE)</f>
        <v>7.5004052000000002E-2</v>
      </c>
      <c r="E978" t="str">
        <f>VLOOKUP($B978,Keys!$F$2:$I$22,4,FALSE)</f>
        <v>rule</v>
      </c>
      <c r="F978" t="str">
        <f>$A978&amp;Keys!$C$54&amp;$B978</f>
        <v>WV|petroleum gasoline</v>
      </c>
      <c r="G978" s="10">
        <f>IF($E978=Keys!$C$60,Keys!$C$51,INDEX(Balanced_2025!$D$9:$D$3032,MATCH($A978&amp;Keys!$C$54&amp;Keys!$C$55&amp;Keys!$C$54&amp;$C978,Balanced_2025!$E$9:$E$3032,0)))</f>
        <v>21642200000000</v>
      </c>
      <c r="H978" s="10">
        <f>IF($E978=Keys!$C$60,Keys!$C$51,INDEX(Balanced_2025!$D$9:$D$3032,MATCH($A978&amp;Keys!$C$54&amp;Keys!$C$56&amp;Keys!$C$54&amp;$C978,Balanced_2025!$E$9:$E$3032,0)))</f>
        <v>58161400000000</v>
      </c>
      <c r="I978" s="10">
        <f>IF($E978=Keys!$C$60,Keys!$C$51,INDEX(Balanced_2025!$D$9:$D$3032,MATCH($A978&amp;Keys!$C$54&amp;Keys!$C$57&amp;Keys!$C$54&amp;$C978,Balanced_2025!$E$9:$E$3032,0)))</f>
        <v>0</v>
      </c>
      <c r="J978" s="10">
        <f t="shared" si="60"/>
        <v>79803600000000</v>
      </c>
      <c r="K978" s="10">
        <f>MAX(Keys!$C$51,$I978-$H978)</f>
        <v>0</v>
      </c>
      <c r="L978" s="10">
        <f t="shared" si="61"/>
        <v>79803600000000</v>
      </c>
      <c r="M978" s="11">
        <f>IF($L978&gt;Keys!$C$51,MIN(Keys!$C$52,$K978/$L978),Keys!$C$51)</f>
        <v>0</v>
      </c>
      <c r="N978" s="11">
        <f>IF($E978=Keys!$C$60,Keys!$C$51,IF($E978=Keys!$C$59,$D978,$M978))</f>
        <v>0</v>
      </c>
      <c r="O978">
        <f t="shared" si="62"/>
        <v>1</v>
      </c>
      <c r="P978" s="10">
        <f>IF($E978=Keys!$C$60,Keys!$C$51,INDEX(Raw_BFPIaE!$G$9:$G$3032,MATCH($A978&amp;Keys!$C$54&amp;Keys!$C$55&amp;Keys!$C$54&amp;$B978,Raw_BFPIaE!$H$9:$H$3032,0)))</f>
        <v>21467333333333.332</v>
      </c>
      <c r="Q978" s="10">
        <f>IF($E978=Keys!$C$60,Keys!$C$51,INDEX(Raw_BFPIaE!$G$9:$G$3032,MATCH($A978&amp;Keys!$C$54&amp;Keys!$C$56&amp;Keys!$C$54&amp;$B978,Raw_BFPIaE!$H$9:$H$3032,0)))</f>
        <v>35429766666666.664</v>
      </c>
      <c r="R978" s="10">
        <f>IF($E978=Keys!$C$60,Keys!$C$51,INDEX(Raw_BFPIaE!$G$9:$G$3032,MATCH($A978&amp;Keys!$C$54&amp;Keys!$C$57&amp;Keys!$C$54&amp;$B978,Raw_BFPIaE!$H$9:$H$3032,0)))</f>
        <v>0</v>
      </c>
      <c r="S978" s="11">
        <f>IF(($P978+$Q978-$R978+MAX(Keys!$C$51,$R978-$Q978))&gt;Keys!$C$51,MIN(Keys!$C$52,MAX(Keys!$C$51,$R978-$Q978)/($P978+$Q978-$R978+MAX(Keys!$C$51,$R978-$Q978))),Keys!$C$51)</f>
        <v>0</v>
      </c>
      <c r="T978">
        <f>IF(AND($I978&gt;$H978,ABS($L978-$G978)&gt;MAX(Keys!$C$62,ABS($G978)*Keys!$C$63)),1,0)</f>
        <v>0</v>
      </c>
      <c r="U978">
        <f>IF(OR($N978&lt;Keys!$C$51,$N978&gt;Keys!$C$52),1,0)</f>
        <v>0</v>
      </c>
      <c r="V978">
        <f>IF(AND($E978=Keys!$C$60,$N978&lt;&gt;Keys!$C$51),1,0)</f>
        <v>0</v>
      </c>
      <c r="W978">
        <f>IF($L978&gt;Keys!$C$51,IF($K978/$L978&gt;Keys!$C$52,1,0),0)</f>
        <v>0</v>
      </c>
      <c r="X978" s="11">
        <f t="shared" si="63"/>
        <v>0</v>
      </c>
    </row>
    <row r="979" spans="1:24" x14ac:dyDescent="0.25">
      <c r="A979" t="s">
        <v>175</v>
      </c>
      <c r="B979" t="s">
        <v>88</v>
      </c>
      <c r="C979" t="str">
        <f>VLOOKUP($B979,Keys!$F$2:$I$22,2,FALSE)</f>
        <v>petroleum diesel</v>
      </c>
      <c r="D979">
        <f>VLOOKUP($B979,Keys!$F$2:$I$22,3,FALSE)</f>
        <v>0.26691051799999999</v>
      </c>
      <c r="E979" t="str">
        <f>VLOOKUP($B979,Keys!$F$2:$I$22,4,FALSE)</f>
        <v>rule</v>
      </c>
      <c r="F979" t="str">
        <f>$A979&amp;Keys!$C$54&amp;$B979</f>
        <v>WV|petroleum diesel</v>
      </c>
      <c r="G979" s="10">
        <f>IF($E979=Keys!$C$60,Keys!$C$51,INDEX(Balanced_2025!$D$9:$D$3032,MATCH($A979&amp;Keys!$C$54&amp;Keys!$C$55&amp;Keys!$C$54&amp;$C979,Balanced_2025!$E$9:$E$3032,0)))</f>
        <v>12801700000000</v>
      </c>
      <c r="H979" s="10">
        <f>IF($E979=Keys!$C$60,Keys!$C$51,INDEX(Balanced_2025!$D$9:$D$3032,MATCH($A979&amp;Keys!$C$54&amp;Keys!$C$56&amp;Keys!$C$54&amp;$C979,Balanced_2025!$E$9:$E$3032,0)))</f>
        <v>66964100000000</v>
      </c>
      <c r="I979" s="10">
        <f>IF($E979=Keys!$C$60,Keys!$C$51,INDEX(Balanced_2025!$D$9:$D$3032,MATCH($A979&amp;Keys!$C$54&amp;Keys!$C$57&amp;Keys!$C$54&amp;$C979,Balanced_2025!$E$9:$E$3032,0)))</f>
        <v>0</v>
      </c>
      <c r="J979" s="10">
        <f t="shared" si="60"/>
        <v>79765800000000</v>
      </c>
      <c r="K979" s="10">
        <f>MAX(Keys!$C$51,$I979-$H979)</f>
        <v>0</v>
      </c>
      <c r="L979" s="10">
        <f t="shared" si="61"/>
        <v>79765800000000</v>
      </c>
      <c r="M979" s="11">
        <f>IF($L979&gt;Keys!$C$51,MIN(Keys!$C$52,$K979/$L979),Keys!$C$51)</f>
        <v>0</v>
      </c>
      <c r="N979" s="11">
        <f>IF($E979=Keys!$C$60,Keys!$C$51,IF($E979=Keys!$C$59,$D979,$M979))</f>
        <v>0</v>
      </c>
      <c r="O979">
        <f t="shared" si="62"/>
        <v>1</v>
      </c>
      <c r="P979" s="10">
        <f>IF($E979=Keys!$C$60,Keys!$C$51,INDEX(Raw_BFPIaE!$G$9:$G$3032,MATCH($A979&amp;Keys!$C$54&amp;Keys!$C$55&amp;Keys!$C$54&amp;$B979,Raw_BFPIaE!$H$9:$H$3032,0)))</f>
        <v>12698266666666.666</v>
      </c>
      <c r="Q979" s="10">
        <f>IF($E979=Keys!$C$60,Keys!$C$51,INDEX(Raw_BFPIaE!$G$9:$G$3032,MATCH($A979&amp;Keys!$C$54&amp;Keys!$C$56&amp;Keys!$C$54&amp;$B979,Raw_BFPIaE!$H$9:$H$3032,0)))</f>
        <v>43679933333333.336</v>
      </c>
      <c r="R979" s="10">
        <f>IF($E979=Keys!$C$60,Keys!$C$51,INDEX(Raw_BFPIaE!$G$9:$G$3032,MATCH($A979&amp;Keys!$C$54&amp;Keys!$C$57&amp;Keys!$C$54&amp;$B979,Raw_BFPIaE!$H$9:$H$3032,0)))</f>
        <v>0</v>
      </c>
      <c r="S979" s="11">
        <f>IF(($P979+$Q979-$R979+MAX(Keys!$C$51,$R979-$Q979))&gt;Keys!$C$51,MIN(Keys!$C$52,MAX(Keys!$C$51,$R979-$Q979)/($P979+$Q979-$R979+MAX(Keys!$C$51,$R979-$Q979))),Keys!$C$51)</f>
        <v>0</v>
      </c>
      <c r="T979">
        <f>IF(AND($I979&gt;$H979,ABS($L979-$G979)&gt;MAX(Keys!$C$62,ABS($G979)*Keys!$C$63)),1,0)</f>
        <v>0</v>
      </c>
      <c r="U979">
        <f>IF(OR($N979&lt;Keys!$C$51,$N979&gt;Keys!$C$52),1,0)</f>
        <v>0</v>
      </c>
      <c r="V979">
        <f>IF(AND($E979=Keys!$C$60,$N979&lt;&gt;Keys!$C$51),1,0)</f>
        <v>0</v>
      </c>
      <c r="W979">
        <f>IF($L979&gt;Keys!$C$51,IF($K979/$L979&gt;Keys!$C$52,1,0),0)</f>
        <v>0</v>
      </c>
      <c r="X979" s="11">
        <f t="shared" si="63"/>
        <v>0</v>
      </c>
    </row>
    <row r="980" spans="1:24" x14ac:dyDescent="0.25">
      <c r="A980" t="s">
        <v>175</v>
      </c>
      <c r="B980" t="s">
        <v>91</v>
      </c>
      <c r="C980" t="str">
        <f>VLOOKUP($B980,Keys!$F$2:$I$22,2,FALSE)</f>
        <v>biofuel gasoline</v>
      </c>
      <c r="D980">
        <f>VLOOKUP($B980,Keys!$F$2:$I$22,3,FALSE)</f>
        <v>8.7213884000000005E-2</v>
      </c>
      <c r="E980" t="str">
        <f>VLOOKUP($B980,Keys!$F$2:$I$22,4,FALSE)</f>
        <v>rule</v>
      </c>
      <c r="F980" t="str">
        <f>$A980&amp;Keys!$C$54&amp;$B980</f>
        <v>WV|biofuel gasoline</v>
      </c>
      <c r="G980" s="10">
        <f>IF($E980=Keys!$C$60,Keys!$C$51,INDEX(Balanced_2025!$D$9:$D$3032,MATCH($A980&amp;Keys!$C$54&amp;Keys!$C$55&amp;Keys!$C$54&amp;$C980,Balanced_2025!$E$9:$E$3032,0)))</f>
        <v>0</v>
      </c>
      <c r="H980" s="10">
        <f>IF($E980=Keys!$C$60,Keys!$C$51,INDEX(Balanced_2025!$D$9:$D$3032,MATCH($A980&amp;Keys!$C$54&amp;Keys!$C$56&amp;Keys!$C$54&amp;$C980,Balanced_2025!$E$9:$E$3032,0)))</f>
        <v>5492010000000</v>
      </c>
      <c r="I980" s="10">
        <f>IF($E980=Keys!$C$60,Keys!$C$51,INDEX(Balanced_2025!$D$9:$D$3032,MATCH($A980&amp;Keys!$C$54&amp;Keys!$C$57&amp;Keys!$C$54&amp;$C980,Balanced_2025!$E$9:$E$3032,0)))</f>
        <v>0</v>
      </c>
      <c r="J980" s="10">
        <f t="shared" si="60"/>
        <v>5492010000000</v>
      </c>
      <c r="K980" s="10">
        <f>MAX(Keys!$C$51,$I980-$H980)</f>
        <v>0</v>
      </c>
      <c r="L980" s="10">
        <f t="shared" si="61"/>
        <v>5492010000000</v>
      </c>
      <c r="M980" s="11">
        <f>IF($L980&gt;Keys!$C$51,MIN(Keys!$C$52,$K980/$L980),Keys!$C$51)</f>
        <v>0</v>
      </c>
      <c r="N980" s="11">
        <f>IF($E980=Keys!$C$60,Keys!$C$51,IF($E980=Keys!$C$59,$D980,$M980))</f>
        <v>0</v>
      </c>
      <c r="O980">
        <f t="shared" si="62"/>
        <v>1</v>
      </c>
      <c r="P980" s="10">
        <f>IF($E980=Keys!$C$60,Keys!$C$51,INDEX(Raw_BFPIaE!$G$9:$G$3032,MATCH($A980&amp;Keys!$C$54&amp;Keys!$C$55&amp;Keys!$C$54&amp;$B980,Raw_BFPIaE!$H$9:$H$3032,0)))</f>
        <v>0</v>
      </c>
      <c r="Q980" s="10">
        <f>IF($E980=Keys!$C$60,Keys!$C$51,INDEX(Raw_BFPIaE!$G$9:$G$3032,MATCH($A980&amp;Keys!$C$54&amp;Keys!$C$56&amp;Keys!$C$54&amp;$B980,Raw_BFPIaE!$H$9:$H$3032,0)))</f>
        <v>3417626666666.6665</v>
      </c>
      <c r="R980" s="10">
        <f>IF($E980=Keys!$C$60,Keys!$C$51,INDEX(Raw_BFPIaE!$G$9:$G$3032,MATCH($A980&amp;Keys!$C$54&amp;Keys!$C$57&amp;Keys!$C$54&amp;$B980,Raw_BFPIaE!$H$9:$H$3032,0)))</f>
        <v>0</v>
      </c>
      <c r="S980" s="11">
        <f>IF(($P980+$Q980-$R980+MAX(Keys!$C$51,$R980-$Q980))&gt;Keys!$C$51,MIN(Keys!$C$52,MAX(Keys!$C$51,$R980-$Q980)/($P980+$Q980-$R980+MAX(Keys!$C$51,$R980-$Q980))),Keys!$C$51)</f>
        <v>0</v>
      </c>
      <c r="T980">
        <f>IF(AND($I980&gt;$H980,ABS($L980-$G980)&gt;MAX(Keys!$C$62,ABS($G980)*Keys!$C$63)),1,0)</f>
        <v>0</v>
      </c>
      <c r="U980">
        <f>IF(OR($N980&lt;Keys!$C$51,$N980&gt;Keys!$C$52),1,0)</f>
        <v>0</v>
      </c>
      <c r="V980">
        <f>IF(AND($E980=Keys!$C$60,$N980&lt;&gt;Keys!$C$51),1,0)</f>
        <v>0</v>
      </c>
      <c r="W980">
        <f>IF($L980&gt;Keys!$C$51,IF($K980/$L980&gt;Keys!$C$52,1,0),0)</f>
        <v>0</v>
      </c>
      <c r="X980" s="11">
        <f t="shared" si="63"/>
        <v>0</v>
      </c>
    </row>
    <row r="981" spans="1:24" x14ac:dyDescent="0.25">
      <c r="A981" t="s">
        <v>175</v>
      </c>
      <c r="B981" t="s">
        <v>94</v>
      </c>
      <c r="C981" t="str">
        <f>VLOOKUP($B981,Keys!$F$2:$I$22,2,FALSE)</f>
        <v>biofuel diesel</v>
      </c>
      <c r="D981">
        <f>VLOOKUP($B981,Keys!$F$2:$I$22,3,FALSE)</f>
        <v>5.8642381E-2</v>
      </c>
      <c r="E981" t="str">
        <f>VLOOKUP($B981,Keys!$F$2:$I$22,4,FALSE)</f>
        <v>rule</v>
      </c>
      <c r="F981" t="str">
        <f>$A981&amp;Keys!$C$54&amp;$B981</f>
        <v>WV|biofuel diesel</v>
      </c>
      <c r="G981" s="10">
        <f>IF($E981=Keys!$C$60,Keys!$C$51,INDEX(Balanced_2025!$D$9:$D$3032,MATCH($A981&amp;Keys!$C$54&amp;Keys!$C$55&amp;Keys!$C$54&amp;$C981,Balanced_2025!$E$9:$E$3032,0)))</f>
        <v>0</v>
      </c>
      <c r="H981" s="10">
        <f>IF($E981=Keys!$C$60,Keys!$C$51,INDEX(Balanced_2025!$D$9:$D$3032,MATCH($A981&amp;Keys!$C$54&amp;Keys!$C$56&amp;Keys!$C$54&amp;$C981,Balanced_2025!$E$9:$E$3032,0)))</f>
        <v>476249000000</v>
      </c>
      <c r="I981" s="10">
        <f>IF($E981=Keys!$C$60,Keys!$C$51,INDEX(Balanced_2025!$D$9:$D$3032,MATCH($A981&amp;Keys!$C$54&amp;Keys!$C$57&amp;Keys!$C$54&amp;$C981,Balanced_2025!$E$9:$E$3032,0)))</f>
        <v>0</v>
      </c>
      <c r="J981" s="10">
        <f t="shared" si="60"/>
        <v>476249000000</v>
      </c>
      <c r="K981" s="10">
        <f>MAX(Keys!$C$51,$I981-$H981)</f>
        <v>0</v>
      </c>
      <c r="L981" s="10">
        <f t="shared" si="61"/>
        <v>476249000000</v>
      </c>
      <c r="M981" s="11">
        <f>IF($L981&gt;Keys!$C$51,MIN(Keys!$C$52,$K981/$L981),Keys!$C$51)</f>
        <v>0</v>
      </c>
      <c r="N981" s="11">
        <f>IF($E981=Keys!$C$60,Keys!$C$51,IF($E981=Keys!$C$59,$D981,$M981))</f>
        <v>0</v>
      </c>
      <c r="O981">
        <f t="shared" si="62"/>
        <v>1</v>
      </c>
      <c r="P981" s="10">
        <f>IF($E981=Keys!$C$60,Keys!$C$51,INDEX(Raw_BFPIaE!$G$9:$G$3032,MATCH($A981&amp;Keys!$C$54&amp;Keys!$C$55&amp;Keys!$C$54&amp;$B981,Raw_BFPIaE!$H$9:$H$3032,0)))</f>
        <v>0</v>
      </c>
      <c r="Q981" s="10">
        <f>IF($E981=Keys!$C$60,Keys!$C$51,INDEX(Raw_BFPIaE!$G$9:$G$3032,MATCH($A981&amp;Keys!$C$54&amp;Keys!$C$56&amp;Keys!$C$54&amp;$B981,Raw_BFPIaE!$H$9:$H$3032,0)))</f>
        <v>306794000000</v>
      </c>
      <c r="R981" s="10">
        <f>IF($E981=Keys!$C$60,Keys!$C$51,INDEX(Raw_BFPIaE!$G$9:$G$3032,MATCH($A981&amp;Keys!$C$54&amp;Keys!$C$57&amp;Keys!$C$54&amp;$B981,Raw_BFPIaE!$H$9:$H$3032,0)))</f>
        <v>0</v>
      </c>
      <c r="S981" s="11">
        <f>IF(($P981+$Q981-$R981+MAX(Keys!$C$51,$R981-$Q981))&gt;Keys!$C$51,MIN(Keys!$C$52,MAX(Keys!$C$51,$R981-$Q981)/($P981+$Q981-$R981+MAX(Keys!$C$51,$R981-$Q981))),Keys!$C$51)</f>
        <v>0</v>
      </c>
      <c r="T981">
        <f>IF(AND($I981&gt;$H981,ABS($L981-$G981)&gt;MAX(Keys!$C$62,ABS($G981)*Keys!$C$63)),1,0)</f>
        <v>0</v>
      </c>
      <c r="U981">
        <f>IF(OR($N981&lt;Keys!$C$51,$N981&gt;Keys!$C$52),1,0)</f>
        <v>0</v>
      </c>
      <c r="V981">
        <f>IF(AND($E981=Keys!$C$60,$N981&lt;&gt;Keys!$C$51),1,0)</f>
        <v>0</v>
      </c>
      <c r="W981">
        <f>IF($L981&gt;Keys!$C$51,IF($K981/$L981&gt;Keys!$C$52,1,0),0)</f>
        <v>0</v>
      </c>
      <c r="X981" s="11">
        <f t="shared" si="63"/>
        <v>0</v>
      </c>
    </row>
    <row r="982" spans="1:24" x14ac:dyDescent="0.25">
      <c r="A982" t="s">
        <v>175</v>
      </c>
      <c r="B982" t="s">
        <v>97</v>
      </c>
      <c r="C982" t="str">
        <f>VLOOKUP($B982,Keys!$F$2:$I$22,2,FALSE)</f>
        <v>jet fuel or kerosene</v>
      </c>
      <c r="D982">
        <f>VLOOKUP($B982,Keys!$F$2:$I$22,3,FALSE)</f>
        <v>0.10155994</v>
      </c>
      <c r="E982" t="str">
        <f>VLOOKUP($B982,Keys!$F$2:$I$22,4,FALSE)</f>
        <v>rule</v>
      </c>
      <c r="F982" t="str">
        <f>$A982&amp;Keys!$C$54&amp;$B982</f>
        <v>WV|jet fuel or kerosene</v>
      </c>
      <c r="G982" s="10">
        <f>IF($E982=Keys!$C$60,Keys!$C$51,INDEX(Balanced_2025!$D$9:$D$3032,MATCH($A982&amp;Keys!$C$54&amp;Keys!$C$55&amp;Keys!$C$54&amp;$C982,Balanced_2025!$E$9:$E$3032,0)))</f>
        <v>4557130000000</v>
      </c>
      <c r="H982" s="10">
        <f>IF($E982=Keys!$C$60,Keys!$C$51,INDEX(Balanced_2025!$D$9:$D$3032,MATCH($A982&amp;Keys!$C$54&amp;Keys!$C$56&amp;Keys!$C$54&amp;$C982,Balanced_2025!$E$9:$E$3032,0)))</f>
        <v>0</v>
      </c>
      <c r="I982" s="10">
        <f>IF($E982=Keys!$C$60,Keys!$C$51,INDEX(Balanced_2025!$D$9:$D$3032,MATCH($A982&amp;Keys!$C$54&amp;Keys!$C$57&amp;Keys!$C$54&amp;$C982,Balanced_2025!$E$9:$E$3032,0)))</f>
        <v>3194160000000</v>
      </c>
      <c r="J982" s="10">
        <f t="shared" si="60"/>
        <v>1362970000000</v>
      </c>
      <c r="K982" s="10">
        <f>MAX(Keys!$C$51,$I982-$H982)</f>
        <v>3194160000000</v>
      </c>
      <c r="L982" s="10">
        <f t="shared" si="61"/>
        <v>4557130000000</v>
      </c>
      <c r="M982" s="11">
        <f>IF($L982&gt;Keys!$C$51,MIN(Keys!$C$52,$K982/$L982),Keys!$C$51)</f>
        <v>0.70091483016723244</v>
      </c>
      <c r="N982" s="11">
        <f>IF($E982=Keys!$C$60,Keys!$C$51,IF($E982=Keys!$C$59,$D982,$M982))</f>
        <v>0.70091483016723244</v>
      </c>
      <c r="O982">
        <f t="shared" si="62"/>
        <v>1</v>
      </c>
      <c r="P982" s="10">
        <f>IF($E982=Keys!$C$60,Keys!$C$51,INDEX(Raw_BFPIaE!$G$9:$G$3032,MATCH($A982&amp;Keys!$C$54&amp;Keys!$C$55&amp;Keys!$C$54&amp;$B982,Raw_BFPIaE!$H$9:$H$3032,0)))</f>
        <v>4520313333333.333</v>
      </c>
      <c r="Q982" s="10">
        <f>IF($E982=Keys!$C$60,Keys!$C$51,INDEX(Raw_BFPIaE!$G$9:$G$3032,MATCH($A982&amp;Keys!$C$54&amp;Keys!$C$56&amp;Keys!$C$54&amp;$B982,Raw_BFPIaE!$H$9:$H$3032,0)))</f>
        <v>0</v>
      </c>
      <c r="R982" s="10">
        <f>IF($E982=Keys!$C$60,Keys!$C$51,INDEX(Raw_BFPIaE!$G$9:$G$3032,MATCH($A982&amp;Keys!$C$54&amp;Keys!$C$57&amp;Keys!$C$54&amp;$B982,Raw_BFPIaE!$H$9:$H$3032,0)))</f>
        <v>2092830000000</v>
      </c>
      <c r="S982" s="11">
        <f>IF(($P982+$Q982-$R982+MAX(Keys!$C$51,$R982-$Q982))&gt;Keys!$C$51,MIN(Keys!$C$52,MAX(Keys!$C$51,$R982-$Q982)/($P982+$Q982-$R982+MAX(Keys!$C$51,$R982-$Q982))),Keys!$C$51)</f>
        <v>0.46298339200674882</v>
      </c>
      <c r="T982">
        <f>IF(AND($I982&gt;$H982,ABS($L982-$G982)&gt;MAX(Keys!$C$62,ABS($G982)*Keys!$C$63)),1,0)</f>
        <v>0</v>
      </c>
      <c r="U982">
        <f>IF(OR($N982&lt;Keys!$C$51,$N982&gt;Keys!$C$52),1,0)</f>
        <v>0</v>
      </c>
      <c r="V982">
        <f>IF(AND($E982=Keys!$C$60,$N982&lt;&gt;Keys!$C$51),1,0)</f>
        <v>0</v>
      </c>
      <c r="W982">
        <f>IF($L982&gt;Keys!$C$51,IF($K982/$L982&gt;Keys!$C$52,1,0),0)</f>
        <v>0</v>
      </c>
      <c r="X982" s="11">
        <f t="shared" si="63"/>
        <v>0.23793143816048362</v>
      </c>
    </row>
    <row r="983" spans="1:24" x14ac:dyDescent="0.25">
      <c r="A983" t="s">
        <v>175</v>
      </c>
      <c r="B983" t="s">
        <v>100</v>
      </c>
      <c r="C983">
        <f>VLOOKUP($B983,Keys!$F$2:$I$22,2,FALSE)</f>
        <v>0</v>
      </c>
      <c r="D983">
        <f>VLOOKUP($B983,Keys!$F$2:$I$22,3,FALSE)</f>
        <v>0</v>
      </c>
      <c r="E983" t="str">
        <f>VLOOKUP($B983,Keys!$F$2:$I$22,4,FALSE)</f>
        <v>zero</v>
      </c>
      <c r="F983" t="str">
        <f>$A983&amp;Keys!$C$54&amp;$B983</f>
        <v>WV|heat (not used in this variable)</v>
      </c>
      <c r="G983" s="10">
        <f>IF($E983=Keys!$C$60,Keys!$C$51,INDEX(Balanced_2025!$D$9:$D$3032,MATCH($A983&amp;Keys!$C$54&amp;Keys!$C$55&amp;Keys!$C$54&amp;$C983,Balanced_2025!$E$9:$E$3032,0)))</f>
        <v>0</v>
      </c>
      <c r="H983" s="10">
        <f>IF($E983=Keys!$C$60,Keys!$C$51,INDEX(Balanced_2025!$D$9:$D$3032,MATCH($A983&amp;Keys!$C$54&amp;Keys!$C$56&amp;Keys!$C$54&amp;$C983,Balanced_2025!$E$9:$E$3032,0)))</f>
        <v>0</v>
      </c>
      <c r="I983" s="10">
        <f>IF($E983=Keys!$C$60,Keys!$C$51,INDEX(Balanced_2025!$D$9:$D$3032,MATCH($A983&amp;Keys!$C$54&amp;Keys!$C$57&amp;Keys!$C$54&amp;$C983,Balanced_2025!$E$9:$E$3032,0)))</f>
        <v>0</v>
      </c>
      <c r="J983" s="10">
        <f t="shared" si="60"/>
        <v>0</v>
      </c>
      <c r="K983" s="10">
        <f>MAX(Keys!$C$51,$I983-$H983)</f>
        <v>0</v>
      </c>
      <c r="L983" s="10">
        <f t="shared" si="61"/>
        <v>0</v>
      </c>
      <c r="M983" s="11">
        <f>IF($L983&gt;Keys!$C$51,MIN(Keys!$C$52,$K983/$L983),Keys!$C$51)</f>
        <v>0</v>
      </c>
      <c r="N983" s="11">
        <f>IF($E983=Keys!$C$60,Keys!$C$51,IF($E983=Keys!$C$59,$D983,$M983))</f>
        <v>0</v>
      </c>
      <c r="O983">
        <f t="shared" si="62"/>
        <v>0</v>
      </c>
      <c r="P983" s="10">
        <f>IF($E983=Keys!$C$60,Keys!$C$51,INDEX(Raw_BFPIaE!$G$9:$G$3032,MATCH($A983&amp;Keys!$C$54&amp;Keys!$C$55&amp;Keys!$C$54&amp;$B983,Raw_BFPIaE!$H$9:$H$3032,0)))</f>
        <v>0</v>
      </c>
      <c r="Q983" s="10">
        <f>IF($E983=Keys!$C$60,Keys!$C$51,INDEX(Raw_BFPIaE!$G$9:$G$3032,MATCH($A983&amp;Keys!$C$54&amp;Keys!$C$56&amp;Keys!$C$54&amp;$B983,Raw_BFPIaE!$H$9:$H$3032,0)))</f>
        <v>0</v>
      </c>
      <c r="R983" s="10">
        <f>IF($E983=Keys!$C$60,Keys!$C$51,INDEX(Raw_BFPIaE!$G$9:$G$3032,MATCH($A983&amp;Keys!$C$54&amp;Keys!$C$57&amp;Keys!$C$54&amp;$B983,Raw_BFPIaE!$H$9:$H$3032,0)))</f>
        <v>0</v>
      </c>
      <c r="S983" s="11">
        <f>IF(($P983+$Q983-$R983+MAX(Keys!$C$51,$R983-$Q983))&gt;Keys!$C$51,MIN(Keys!$C$52,MAX(Keys!$C$51,$R983-$Q983)/($P983+$Q983-$R983+MAX(Keys!$C$51,$R983-$Q983))),Keys!$C$51)</f>
        <v>0</v>
      </c>
      <c r="T983">
        <f>IF(AND($I983&gt;$H983,ABS($L983-$G983)&gt;MAX(Keys!$C$62,ABS($G983)*Keys!$C$63)),1,0)</f>
        <v>0</v>
      </c>
      <c r="U983">
        <f>IF(OR($N983&lt;Keys!$C$51,$N983&gt;Keys!$C$52),1,0)</f>
        <v>0</v>
      </c>
      <c r="V983">
        <f>IF(AND($E983=Keys!$C$60,$N983&lt;&gt;Keys!$C$51),1,0)</f>
        <v>0</v>
      </c>
      <c r="W983">
        <f>IF($L983&gt;Keys!$C$51,IF($K983/$L983&gt;Keys!$C$52,1,0),0)</f>
        <v>0</v>
      </c>
      <c r="X983" s="11">
        <f t="shared" si="63"/>
        <v>0</v>
      </c>
    </row>
    <row r="984" spans="1:24" x14ac:dyDescent="0.25">
      <c r="A984" t="s">
        <v>175</v>
      </c>
      <c r="B984" t="s">
        <v>103</v>
      </c>
      <c r="C984">
        <f>VLOOKUP($B984,Keys!$F$2:$I$22,2,FALSE)</f>
        <v>0</v>
      </c>
      <c r="D984">
        <f>VLOOKUP($B984,Keys!$F$2:$I$22,3,FALSE)</f>
        <v>0</v>
      </c>
      <c r="E984" t="str">
        <f>VLOOKUP($B984,Keys!$F$2:$I$22,4,FALSE)</f>
        <v>zero</v>
      </c>
      <c r="F984" t="str">
        <f>$A984&amp;Keys!$C$54&amp;$B984</f>
        <v>WV|geothermal (is not a fuel)</v>
      </c>
      <c r="G984" s="10">
        <f>IF($E984=Keys!$C$60,Keys!$C$51,INDEX(Balanced_2025!$D$9:$D$3032,MATCH($A984&amp;Keys!$C$54&amp;Keys!$C$55&amp;Keys!$C$54&amp;$C984,Balanced_2025!$E$9:$E$3032,0)))</f>
        <v>0</v>
      </c>
      <c r="H984" s="10">
        <f>IF($E984=Keys!$C$60,Keys!$C$51,INDEX(Balanced_2025!$D$9:$D$3032,MATCH($A984&amp;Keys!$C$54&amp;Keys!$C$56&amp;Keys!$C$54&amp;$C984,Balanced_2025!$E$9:$E$3032,0)))</f>
        <v>0</v>
      </c>
      <c r="I984" s="10">
        <f>IF($E984=Keys!$C$60,Keys!$C$51,INDEX(Balanced_2025!$D$9:$D$3032,MATCH($A984&amp;Keys!$C$54&amp;Keys!$C$57&amp;Keys!$C$54&amp;$C984,Balanced_2025!$E$9:$E$3032,0)))</f>
        <v>0</v>
      </c>
      <c r="J984" s="10">
        <f t="shared" si="60"/>
        <v>0</v>
      </c>
      <c r="K984" s="10">
        <f>MAX(Keys!$C$51,$I984-$H984)</f>
        <v>0</v>
      </c>
      <c r="L984" s="10">
        <f t="shared" si="61"/>
        <v>0</v>
      </c>
      <c r="M984" s="11">
        <f>IF($L984&gt;Keys!$C$51,MIN(Keys!$C$52,$K984/$L984),Keys!$C$51)</f>
        <v>0</v>
      </c>
      <c r="N984" s="11">
        <f>IF($E984=Keys!$C$60,Keys!$C$51,IF($E984=Keys!$C$59,$D984,$M984))</f>
        <v>0</v>
      </c>
      <c r="O984">
        <f t="shared" si="62"/>
        <v>0</v>
      </c>
      <c r="P984" s="10">
        <f>IF($E984=Keys!$C$60,Keys!$C$51,INDEX(Raw_BFPIaE!$G$9:$G$3032,MATCH($A984&amp;Keys!$C$54&amp;Keys!$C$55&amp;Keys!$C$54&amp;$B984,Raw_BFPIaE!$H$9:$H$3032,0)))</f>
        <v>0</v>
      </c>
      <c r="Q984" s="10">
        <f>IF($E984=Keys!$C$60,Keys!$C$51,INDEX(Raw_BFPIaE!$G$9:$G$3032,MATCH($A984&amp;Keys!$C$54&amp;Keys!$C$56&amp;Keys!$C$54&amp;$B984,Raw_BFPIaE!$H$9:$H$3032,0)))</f>
        <v>0</v>
      </c>
      <c r="R984" s="10">
        <f>IF($E984=Keys!$C$60,Keys!$C$51,INDEX(Raw_BFPIaE!$G$9:$G$3032,MATCH($A984&amp;Keys!$C$54&amp;Keys!$C$57&amp;Keys!$C$54&amp;$B984,Raw_BFPIaE!$H$9:$H$3032,0)))</f>
        <v>0</v>
      </c>
      <c r="S984" s="11">
        <f>IF(($P984+$Q984-$R984+MAX(Keys!$C$51,$R984-$Q984))&gt;Keys!$C$51,MIN(Keys!$C$52,MAX(Keys!$C$51,$R984-$Q984)/($P984+$Q984-$R984+MAX(Keys!$C$51,$R984-$Q984))),Keys!$C$51)</f>
        <v>0</v>
      </c>
      <c r="T984">
        <f>IF(AND($I984&gt;$H984,ABS($L984-$G984)&gt;MAX(Keys!$C$62,ABS($G984)*Keys!$C$63)),1,0)</f>
        <v>0</v>
      </c>
      <c r="U984">
        <f>IF(OR($N984&lt;Keys!$C$51,$N984&gt;Keys!$C$52),1,0)</f>
        <v>0</v>
      </c>
      <c r="V984">
        <f>IF(AND($E984=Keys!$C$60,$N984&lt;&gt;Keys!$C$51),1,0)</f>
        <v>0</v>
      </c>
      <c r="W984">
        <f>IF($L984&gt;Keys!$C$51,IF($K984/$L984&gt;Keys!$C$52,1,0),0)</f>
        <v>0</v>
      </c>
      <c r="X984" s="11">
        <f t="shared" si="63"/>
        <v>0</v>
      </c>
    </row>
    <row r="985" spans="1:24" x14ac:dyDescent="0.25">
      <c r="A985" t="s">
        <v>175</v>
      </c>
      <c r="B985" t="s">
        <v>106</v>
      </c>
      <c r="C985" t="str">
        <f>VLOOKUP($B985,Keys!$F$2:$I$22,2,FALSE)</f>
        <v>lignite</v>
      </c>
      <c r="D985">
        <f>VLOOKUP($B985,Keys!$F$2:$I$22,3,FALSE)</f>
        <v>0</v>
      </c>
      <c r="E985" t="str">
        <f>VLOOKUP($B985,Keys!$F$2:$I$22,4,FALSE)</f>
        <v>rule</v>
      </c>
      <c r="F985" t="str">
        <f>$A985&amp;Keys!$C$54&amp;$B985</f>
        <v>WV|lignite</v>
      </c>
      <c r="G985" s="10">
        <f>IF($E985=Keys!$C$60,Keys!$C$51,INDEX(Balanced_2025!$D$9:$D$3032,MATCH($A985&amp;Keys!$C$54&amp;Keys!$C$55&amp;Keys!$C$54&amp;$C985,Balanced_2025!$E$9:$E$3032,0)))</f>
        <v>0</v>
      </c>
      <c r="H985" s="10">
        <f>IF($E985=Keys!$C$60,Keys!$C$51,INDEX(Balanced_2025!$D$9:$D$3032,MATCH($A985&amp;Keys!$C$54&amp;Keys!$C$56&amp;Keys!$C$54&amp;$C985,Balanced_2025!$E$9:$E$3032,0)))</f>
        <v>0</v>
      </c>
      <c r="I985" s="10">
        <f>IF($E985=Keys!$C$60,Keys!$C$51,INDEX(Balanced_2025!$D$9:$D$3032,MATCH($A985&amp;Keys!$C$54&amp;Keys!$C$57&amp;Keys!$C$54&amp;$C985,Balanced_2025!$E$9:$E$3032,0)))</f>
        <v>0</v>
      </c>
      <c r="J985" s="10">
        <f t="shared" si="60"/>
        <v>0</v>
      </c>
      <c r="K985" s="10">
        <f>MAX(Keys!$C$51,$I985-$H985)</f>
        <v>0</v>
      </c>
      <c r="L985" s="10">
        <f t="shared" si="61"/>
        <v>0</v>
      </c>
      <c r="M985" s="11">
        <f>IF($L985&gt;Keys!$C$51,MIN(Keys!$C$52,$K985/$L985),Keys!$C$51)</f>
        <v>0</v>
      </c>
      <c r="N985" s="11">
        <f>IF($E985=Keys!$C$60,Keys!$C$51,IF($E985=Keys!$C$59,$D985,$M985))</f>
        <v>0</v>
      </c>
      <c r="O985">
        <f t="shared" si="62"/>
        <v>0</v>
      </c>
      <c r="P985" s="10">
        <f>IF($E985=Keys!$C$60,Keys!$C$51,INDEX(Raw_BFPIaE!$G$9:$G$3032,MATCH($A985&amp;Keys!$C$54&amp;Keys!$C$55&amp;Keys!$C$54&amp;$B985,Raw_BFPIaE!$H$9:$H$3032,0)))</f>
        <v>0</v>
      </c>
      <c r="Q985" s="10">
        <f>IF($E985=Keys!$C$60,Keys!$C$51,INDEX(Raw_BFPIaE!$G$9:$G$3032,MATCH($A985&amp;Keys!$C$54&amp;Keys!$C$56&amp;Keys!$C$54&amp;$B985,Raw_BFPIaE!$H$9:$H$3032,0)))</f>
        <v>0</v>
      </c>
      <c r="R985" s="10">
        <f>IF($E985=Keys!$C$60,Keys!$C$51,INDEX(Raw_BFPIaE!$G$9:$G$3032,MATCH($A985&amp;Keys!$C$54&amp;Keys!$C$57&amp;Keys!$C$54&amp;$B985,Raw_BFPIaE!$H$9:$H$3032,0)))</f>
        <v>0</v>
      </c>
      <c r="S985" s="11">
        <f>IF(($P985+$Q985-$R985+MAX(Keys!$C$51,$R985-$Q985))&gt;Keys!$C$51,MIN(Keys!$C$52,MAX(Keys!$C$51,$R985-$Q985)/($P985+$Q985-$R985+MAX(Keys!$C$51,$R985-$Q985))),Keys!$C$51)</f>
        <v>0</v>
      </c>
      <c r="T985">
        <f>IF(AND($I985&gt;$H985,ABS($L985-$G985)&gt;MAX(Keys!$C$62,ABS($G985)*Keys!$C$63)),1,0)</f>
        <v>0</v>
      </c>
      <c r="U985">
        <f>IF(OR($N985&lt;Keys!$C$51,$N985&gt;Keys!$C$52),1,0)</f>
        <v>0</v>
      </c>
      <c r="V985">
        <f>IF(AND($E985=Keys!$C$60,$N985&lt;&gt;Keys!$C$51),1,0)</f>
        <v>0</v>
      </c>
      <c r="W985">
        <f>IF($L985&gt;Keys!$C$51,IF($K985/$L985&gt;Keys!$C$52,1,0),0)</f>
        <v>0</v>
      </c>
      <c r="X985" s="11">
        <f t="shared" si="63"/>
        <v>0</v>
      </c>
    </row>
    <row r="986" spans="1:24" x14ac:dyDescent="0.25">
      <c r="A986" t="s">
        <v>175</v>
      </c>
      <c r="B986" t="s">
        <v>109</v>
      </c>
      <c r="C986" t="str">
        <f>VLOOKUP($B986,Keys!$F$2:$I$22,2,FALSE)</f>
        <v>crude oil</v>
      </c>
      <c r="D986">
        <f>VLOOKUP($B986,Keys!$F$2:$I$22,3,FALSE)</f>
        <v>1</v>
      </c>
      <c r="E986" t="str">
        <f>VLOOKUP($B986,Keys!$F$2:$I$22,4,FALSE)</f>
        <v>hold</v>
      </c>
      <c r="F986" t="str">
        <f>$A986&amp;Keys!$C$54&amp;$B986</f>
        <v>WV|crude oil</v>
      </c>
      <c r="G986" s="10">
        <f>IF($E986=Keys!$C$60,Keys!$C$51,INDEX(Balanced_2025!$D$9:$D$3032,MATCH($A986&amp;Keys!$C$54&amp;Keys!$C$55&amp;Keys!$C$54&amp;$C986,Balanced_2025!$E$9:$E$3032,0)))</f>
        <v>79175800000000</v>
      </c>
      <c r="H986" s="10">
        <f>IF($E986=Keys!$C$60,Keys!$C$51,INDEX(Balanced_2025!$D$9:$D$3032,MATCH($A986&amp;Keys!$C$54&amp;Keys!$C$56&amp;Keys!$C$54&amp;$C986,Balanced_2025!$E$9:$E$3032,0)))</f>
        <v>0</v>
      </c>
      <c r="I986" s="10">
        <f>IF($E986=Keys!$C$60,Keys!$C$51,INDEX(Balanced_2025!$D$9:$D$3032,MATCH($A986&amp;Keys!$C$54&amp;Keys!$C$57&amp;Keys!$C$54&amp;$C986,Balanced_2025!$E$9:$E$3032,0)))</f>
        <v>32375400000000</v>
      </c>
      <c r="J986" s="10">
        <f t="shared" si="60"/>
        <v>46800400000000</v>
      </c>
      <c r="K986" s="10">
        <f>MAX(Keys!$C$51,$I986-$H986)</f>
        <v>32375400000000</v>
      </c>
      <c r="L986" s="10">
        <f t="shared" si="61"/>
        <v>79175800000000</v>
      </c>
      <c r="M986" s="11">
        <f>IF($L986&gt;Keys!$C$51,MIN(Keys!$C$52,$K986/$L986),Keys!$C$51)</f>
        <v>0.4089052463000058</v>
      </c>
      <c r="N986" s="11">
        <f>IF($E986=Keys!$C$60,Keys!$C$51,IF($E986=Keys!$C$59,$D986,$M986))</f>
        <v>1</v>
      </c>
      <c r="O986">
        <f t="shared" si="62"/>
        <v>0</v>
      </c>
      <c r="P986" s="10">
        <f>IF($E986=Keys!$C$60,Keys!$C$51,INDEX(Raw_BFPIaE!$G$9:$G$3032,MATCH($A986&amp;Keys!$C$54&amp;Keys!$C$55&amp;Keys!$C$54&amp;$B986,Raw_BFPIaE!$H$9:$H$3032,0)))</f>
        <v>76766400000000</v>
      </c>
      <c r="Q986" s="10">
        <f>IF($E986=Keys!$C$60,Keys!$C$51,INDEX(Raw_BFPIaE!$G$9:$G$3032,MATCH($A986&amp;Keys!$C$54&amp;Keys!$C$56&amp;Keys!$C$54&amp;$B986,Raw_BFPIaE!$H$9:$H$3032,0)))</f>
        <v>0</v>
      </c>
      <c r="R986" s="10">
        <f>IF($E986=Keys!$C$60,Keys!$C$51,INDEX(Raw_BFPIaE!$G$9:$G$3032,MATCH($A986&amp;Keys!$C$54&amp;Keys!$C$57&amp;Keys!$C$54&amp;$B986,Raw_BFPIaE!$H$9:$H$3032,0)))</f>
        <v>19174200000000</v>
      </c>
      <c r="S986" s="11">
        <f>IF(($P986+$Q986-$R986+MAX(Keys!$C$51,$R986-$Q986))&gt;Keys!$C$51,MIN(Keys!$C$52,MAX(Keys!$C$51,$R986-$Q986)/($P986+$Q986-$R986+MAX(Keys!$C$51,$R986-$Q986))),Keys!$C$51)</f>
        <v>0.24977333833552179</v>
      </c>
      <c r="T986">
        <f>IF(AND($I986&gt;$H986,ABS($L986-$G986)&gt;MAX(Keys!$C$62,ABS($G986)*Keys!$C$63)),1,0)</f>
        <v>0</v>
      </c>
      <c r="U986">
        <f>IF(OR($N986&lt;Keys!$C$51,$N986&gt;Keys!$C$52),1,0)</f>
        <v>0</v>
      </c>
      <c r="V986">
        <f>IF(AND($E986=Keys!$C$60,$N986&lt;&gt;Keys!$C$51),1,0)</f>
        <v>0</v>
      </c>
      <c r="W986">
        <f>IF($L986&gt;Keys!$C$51,IF($K986/$L986&gt;Keys!$C$52,1,0),0)</f>
        <v>0</v>
      </c>
      <c r="X986" s="11">
        <f t="shared" si="63"/>
        <v>0.15913190796448401</v>
      </c>
    </row>
    <row r="987" spans="1:24" x14ac:dyDescent="0.25">
      <c r="A987" t="s">
        <v>175</v>
      </c>
      <c r="B987" t="s">
        <v>113</v>
      </c>
      <c r="C987" t="str">
        <f>VLOOKUP($B987,Keys!$F$2:$I$22,2,FALSE)</f>
        <v>heavy or residual fuel oil</v>
      </c>
      <c r="D987">
        <f>VLOOKUP($B987,Keys!$F$2:$I$22,3,FALSE)</f>
        <v>0.49914171099999999</v>
      </c>
      <c r="E987" t="str">
        <f>VLOOKUP($B987,Keys!$F$2:$I$22,4,FALSE)</f>
        <v>rule</v>
      </c>
      <c r="F987" t="str">
        <f>$A987&amp;Keys!$C$54&amp;$B987</f>
        <v>WV|heavy fuel oil</v>
      </c>
      <c r="G987" s="10">
        <f>IF($E987=Keys!$C$60,Keys!$C$51,INDEX(Balanced_2025!$D$9:$D$3032,MATCH($A987&amp;Keys!$C$54&amp;Keys!$C$55&amp;Keys!$C$54&amp;$C987,Balanced_2025!$E$9:$E$3032,0)))</f>
        <v>885238000000</v>
      </c>
      <c r="H987" s="10">
        <f>IF($E987=Keys!$C$60,Keys!$C$51,INDEX(Balanced_2025!$D$9:$D$3032,MATCH($A987&amp;Keys!$C$54&amp;Keys!$C$56&amp;Keys!$C$54&amp;$C987,Balanced_2025!$E$9:$E$3032,0)))</f>
        <v>7609330000000</v>
      </c>
      <c r="I987" s="10">
        <f>IF($E987=Keys!$C$60,Keys!$C$51,INDEX(Balanced_2025!$D$9:$D$3032,MATCH($A987&amp;Keys!$C$54&amp;Keys!$C$57&amp;Keys!$C$54&amp;$C987,Balanced_2025!$E$9:$E$3032,0)))</f>
        <v>0</v>
      </c>
      <c r="J987" s="10">
        <f t="shared" si="60"/>
        <v>8494568000000</v>
      </c>
      <c r="K987" s="10">
        <f>MAX(Keys!$C$51,$I987-$H987)</f>
        <v>0</v>
      </c>
      <c r="L987" s="10">
        <f t="shared" si="61"/>
        <v>8494568000000</v>
      </c>
      <c r="M987" s="11">
        <f>IF($L987&gt;Keys!$C$51,MIN(Keys!$C$52,$K987/$L987),Keys!$C$51)</f>
        <v>0</v>
      </c>
      <c r="N987" s="11">
        <f>IF($E987=Keys!$C$60,Keys!$C$51,IF($E987=Keys!$C$59,$D987,$M987))</f>
        <v>0</v>
      </c>
      <c r="O987">
        <f t="shared" si="62"/>
        <v>1</v>
      </c>
      <c r="P987" s="10">
        <f>IF($E987=Keys!$C$60,Keys!$C$51,INDEX(Raw_BFPIaE!$G$9:$G$3032,MATCH($A987&amp;Keys!$C$54&amp;Keys!$C$55&amp;Keys!$C$54&amp;$B987,Raw_BFPIaE!$H$9:$H$3032,0)))</f>
        <v>878086000000</v>
      </c>
      <c r="Q987" s="10">
        <f>IF($E987=Keys!$C$60,Keys!$C$51,INDEX(Raw_BFPIaE!$G$9:$G$3032,MATCH($A987&amp;Keys!$C$54&amp;Keys!$C$56&amp;Keys!$C$54&amp;$B987,Raw_BFPIaE!$H$9:$H$3032,0)))</f>
        <v>5153293333333.333</v>
      </c>
      <c r="R987" s="10">
        <f>IF($E987=Keys!$C$60,Keys!$C$51,INDEX(Raw_BFPIaE!$G$9:$G$3032,MATCH($A987&amp;Keys!$C$54&amp;Keys!$C$57&amp;Keys!$C$54&amp;$B987,Raw_BFPIaE!$H$9:$H$3032,0)))</f>
        <v>0</v>
      </c>
      <c r="S987" s="11">
        <f>IF(($P987+$Q987-$R987+MAX(Keys!$C$51,$R987-$Q987))&gt;Keys!$C$51,MIN(Keys!$C$52,MAX(Keys!$C$51,$R987-$Q987)/($P987+$Q987-$R987+MAX(Keys!$C$51,$R987-$Q987))),Keys!$C$51)</f>
        <v>0</v>
      </c>
      <c r="T987">
        <f>IF(AND($I987&gt;$H987,ABS($L987-$G987)&gt;MAX(Keys!$C$62,ABS($G987)*Keys!$C$63)),1,0)</f>
        <v>0</v>
      </c>
      <c r="U987">
        <f>IF(OR($N987&lt;Keys!$C$51,$N987&gt;Keys!$C$52),1,0)</f>
        <v>0</v>
      </c>
      <c r="V987">
        <f>IF(AND($E987=Keys!$C$60,$N987&lt;&gt;Keys!$C$51),1,0)</f>
        <v>0</v>
      </c>
      <c r="W987">
        <f>IF($L987&gt;Keys!$C$51,IF($K987/$L987&gt;Keys!$C$52,1,0),0)</f>
        <v>0</v>
      </c>
      <c r="X987" s="11">
        <f t="shared" si="63"/>
        <v>0</v>
      </c>
    </row>
    <row r="988" spans="1:24" x14ac:dyDescent="0.25">
      <c r="A988" t="s">
        <v>175</v>
      </c>
      <c r="B988" t="s">
        <v>117</v>
      </c>
      <c r="C988" t="str">
        <f>VLOOKUP($B988,Keys!$F$2:$I$22,2,FALSE)</f>
        <v>LPG propane or butane</v>
      </c>
      <c r="D988">
        <f>VLOOKUP($B988,Keys!$F$2:$I$22,3,FALSE)</f>
        <v>0.54955999499999997</v>
      </c>
      <c r="E988" t="str">
        <f>VLOOKUP($B988,Keys!$F$2:$I$22,4,FALSE)</f>
        <v>rule</v>
      </c>
      <c r="F988" t="str">
        <f>$A988&amp;Keys!$C$54&amp;$B988</f>
        <v>WV|LPG propane or butane</v>
      </c>
      <c r="G988" s="10">
        <f>IF($E988=Keys!$C$60,Keys!$C$51,INDEX(Balanced_2025!$D$9:$D$3032,MATCH($A988&amp;Keys!$C$54&amp;Keys!$C$55&amp;Keys!$C$54&amp;$C988,Balanced_2025!$E$9:$E$3032,0)))</f>
        <v>394580000000000</v>
      </c>
      <c r="H988" s="10">
        <f>IF($E988=Keys!$C$60,Keys!$C$51,INDEX(Balanced_2025!$D$9:$D$3032,MATCH($A988&amp;Keys!$C$54&amp;Keys!$C$56&amp;Keys!$C$54&amp;$C988,Balanced_2025!$E$9:$E$3032,0)))</f>
        <v>10291800000</v>
      </c>
      <c r="I988" s="10">
        <f>IF($E988=Keys!$C$60,Keys!$C$51,INDEX(Balanced_2025!$D$9:$D$3032,MATCH($A988&amp;Keys!$C$54&amp;Keys!$C$57&amp;Keys!$C$54&amp;$C988,Balanced_2025!$E$9:$E$3032,0)))</f>
        <v>380582000000000</v>
      </c>
      <c r="J988" s="10">
        <f t="shared" si="60"/>
        <v>14008291800000</v>
      </c>
      <c r="K988" s="10">
        <f>MAX(Keys!$C$51,$I988-$H988)</f>
        <v>380571708200000</v>
      </c>
      <c r="L988" s="10">
        <f t="shared" si="61"/>
        <v>394580000000000</v>
      </c>
      <c r="M988" s="11">
        <f>IF($L988&gt;Keys!$C$51,MIN(Keys!$C$52,$K988/$L988),Keys!$C$51)</f>
        <v>0.96449822139996955</v>
      </c>
      <c r="N988" s="11">
        <f>IF($E988=Keys!$C$60,Keys!$C$51,IF($E988=Keys!$C$59,$D988,$M988))</f>
        <v>0.96449822139996955</v>
      </c>
      <c r="O988">
        <f t="shared" si="62"/>
        <v>1</v>
      </c>
      <c r="P988" s="10">
        <f>IF($E988=Keys!$C$60,Keys!$C$51,INDEX(Raw_BFPIaE!$G$9:$G$3032,MATCH($A988&amp;Keys!$C$54&amp;Keys!$C$55&amp;Keys!$C$54&amp;$B988,Raw_BFPIaE!$H$9:$H$3032,0)))</f>
        <v>397373000000000</v>
      </c>
      <c r="Q988" s="10">
        <f>IF($E988=Keys!$C$60,Keys!$C$51,INDEX(Raw_BFPIaE!$G$9:$G$3032,MATCH($A988&amp;Keys!$C$54&amp;Keys!$C$56&amp;Keys!$C$54&amp;$B988,Raw_BFPIaE!$H$9:$H$3032,0)))</f>
        <v>0</v>
      </c>
      <c r="R988" s="10">
        <f>IF($E988=Keys!$C$60,Keys!$C$51,INDEX(Raw_BFPIaE!$G$9:$G$3032,MATCH($A988&amp;Keys!$C$54&amp;Keys!$C$57&amp;Keys!$C$54&amp;$B988,Raw_BFPIaE!$H$9:$H$3032,0)))</f>
        <v>256539333333333.34</v>
      </c>
      <c r="S988" s="11">
        <f>IF(($P988+$Q988-$R988+MAX(Keys!$C$51,$R988-$Q988))&gt;Keys!$C$51,MIN(Keys!$C$52,MAX(Keys!$C$51,$R988-$Q988)/($P988+$Q988-$R988+MAX(Keys!$C$51,$R988-$Q988))),Keys!$C$51)</f>
        <v>0.6455882340605259</v>
      </c>
      <c r="T988">
        <f>IF(AND($I988&gt;$H988,ABS($L988-$G988)&gt;MAX(Keys!$C$62,ABS($G988)*Keys!$C$63)),1,0)</f>
        <v>0</v>
      </c>
      <c r="U988">
        <f>IF(OR($N988&lt;Keys!$C$51,$N988&gt;Keys!$C$52),1,0)</f>
        <v>0</v>
      </c>
      <c r="V988">
        <f>IF(AND($E988=Keys!$C$60,$N988&lt;&gt;Keys!$C$51),1,0)</f>
        <v>0</v>
      </c>
      <c r="W988">
        <f>IF($L988&gt;Keys!$C$51,IF($K988/$L988&gt;Keys!$C$52,1,0),0)</f>
        <v>0</v>
      </c>
      <c r="X988" s="11">
        <f t="shared" si="63"/>
        <v>0.31890998733944365</v>
      </c>
    </row>
    <row r="989" spans="1:24" x14ac:dyDescent="0.25">
      <c r="A989" t="s">
        <v>175</v>
      </c>
      <c r="B989" t="s">
        <v>120</v>
      </c>
      <c r="C989">
        <f>VLOOKUP($B989,Keys!$F$2:$I$22,2,FALSE)</f>
        <v>0</v>
      </c>
      <c r="D989">
        <f>VLOOKUP($B989,Keys!$F$2:$I$22,3,FALSE)</f>
        <v>0</v>
      </c>
      <c r="E989" t="str">
        <f>VLOOKUP($B989,Keys!$F$2:$I$22,4,FALSE)</f>
        <v>zero</v>
      </c>
      <c r="F989" t="str">
        <f>$A989&amp;Keys!$C$54&amp;$B989</f>
        <v>WV|municipal solid waste</v>
      </c>
      <c r="G989" s="10">
        <f>IF($E989=Keys!$C$60,Keys!$C$51,INDEX(Balanced_2025!$D$9:$D$3032,MATCH($A989&amp;Keys!$C$54&amp;Keys!$C$55&amp;Keys!$C$54&amp;$C989,Balanced_2025!$E$9:$E$3032,0)))</f>
        <v>0</v>
      </c>
      <c r="H989" s="10">
        <f>IF($E989=Keys!$C$60,Keys!$C$51,INDEX(Balanced_2025!$D$9:$D$3032,MATCH($A989&amp;Keys!$C$54&amp;Keys!$C$56&amp;Keys!$C$54&amp;$C989,Balanced_2025!$E$9:$E$3032,0)))</f>
        <v>0</v>
      </c>
      <c r="I989" s="10">
        <f>IF($E989=Keys!$C$60,Keys!$C$51,INDEX(Balanced_2025!$D$9:$D$3032,MATCH($A989&amp;Keys!$C$54&amp;Keys!$C$57&amp;Keys!$C$54&amp;$C989,Balanced_2025!$E$9:$E$3032,0)))</f>
        <v>0</v>
      </c>
      <c r="J989" s="10">
        <f t="shared" si="60"/>
        <v>0</v>
      </c>
      <c r="K989" s="10">
        <f>MAX(Keys!$C$51,$I989-$H989)</f>
        <v>0</v>
      </c>
      <c r="L989" s="10">
        <f t="shared" si="61"/>
        <v>0</v>
      </c>
      <c r="M989" s="11">
        <f>IF($L989&gt;Keys!$C$51,MIN(Keys!$C$52,$K989/$L989),Keys!$C$51)</f>
        <v>0</v>
      </c>
      <c r="N989" s="11">
        <f>IF($E989=Keys!$C$60,Keys!$C$51,IF($E989=Keys!$C$59,$D989,$M989))</f>
        <v>0</v>
      </c>
      <c r="O989">
        <f t="shared" si="62"/>
        <v>0</v>
      </c>
      <c r="P989" s="10">
        <f>IF($E989=Keys!$C$60,Keys!$C$51,INDEX(Raw_BFPIaE!$G$9:$G$3032,MATCH($A989&amp;Keys!$C$54&amp;Keys!$C$55&amp;Keys!$C$54&amp;$B989,Raw_BFPIaE!$H$9:$H$3032,0)))</f>
        <v>0</v>
      </c>
      <c r="Q989" s="10">
        <f>IF($E989=Keys!$C$60,Keys!$C$51,INDEX(Raw_BFPIaE!$G$9:$G$3032,MATCH($A989&amp;Keys!$C$54&amp;Keys!$C$56&amp;Keys!$C$54&amp;$B989,Raw_BFPIaE!$H$9:$H$3032,0)))</f>
        <v>0</v>
      </c>
      <c r="R989" s="10">
        <f>IF($E989=Keys!$C$60,Keys!$C$51,INDEX(Raw_BFPIaE!$G$9:$G$3032,MATCH($A989&amp;Keys!$C$54&amp;Keys!$C$57&amp;Keys!$C$54&amp;$B989,Raw_BFPIaE!$H$9:$H$3032,0)))</f>
        <v>0</v>
      </c>
      <c r="S989" s="11">
        <f>IF(($P989+$Q989-$R989+MAX(Keys!$C$51,$R989-$Q989))&gt;Keys!$C$51,MIN(Keys!$C$52,MAX(Keys!$C$51,$R989-$Q989)/($P989+$Q989-$R989+MAX(Keys!$C$51,$R989-$Q989))),Keys!$C$51)</f>
        <v>0</v>
      </c>
      <c r="T989">
        <f>IF(AND($I989&gt;$H989,ABS($L989-$G989)&gt;MAX(Keys!$C$62,ABS($G989)*Keys!$C$63)),1,0)</f>
        <v>0</v>
      </c>
      <c r="U989">
        <f>IF(OR($N989&lt;Keys!$C$51,$N989&gt;Keys!$C$52),1,0)</f>
        <v>0</v>
      </c>
      <c r="V989">
        <f>IF(AND($E989=Keys!$C$60,$N989&lt;&gt;Keys!$C$51),1,0)</f>
        <v>0</v>
      </c>
      <c r="W989">
        <f>IF($L989&gt;Keys!$C$51,IF($K989/$L989&gt;Keys!$C$52,1,0),0)</f>
        <v>0</v>
      </c>
      <c r="X989" s="11">
        <f t="shared" si="63"/>
        <v>0</v>
      </c>
    </row>
    <row r="990" spans="1:24" x14ac:dyDescent="0.25">
      <c r="A990" t="s">
        <v>175</v>
      </c>
      <c r="B990" t="s">
        <v>123</v>
      </c>
      <c r="C990">
        <f>VLOOKUP($B990,Keys!$F$2:$I$22,2,FALSE)</f>
        <v>0</v>
      </c>
      <c r="D990">
        <f>VLOOKUP($B990,Keys!$F$2:$I$22,3,FALSE)</f>
        <v>0</v>
      </c>
      <c r="E990" t="str">
        <f>VLOOKUP($B990,Keys!$F$2:$I$22,4,FALSE)</f>
        <v>zero</v>
      </c>
      <c r="F990" t="str">
        <f>$A990&amp;Keys!$C$54&amp;$B990</f>
        <v>WV|hydrogen</v>
      </c>
      <c r="G990" s="10">
        <f>IF($E990=Keys!$C$60,Keys!$C$51,INDEX(Balanced_2025!$D$9:$D$3032,MATCH($A990&amp;Keys!$C$54&amp;Keys!$C$55&amp;Keys!$C$54&amp;$C990,Balanced_2025!$E$9:$E$3032,0)))</f>
        <v>0</v>
      </c>
      <c r="H990" s="10">
        <f>IF($E990=Keys!$C$60,Keys!$C$51,INDEX(Balanced_2025!$D$9:$D$3032,MATCH($A990&amp;Keys!$C$54&amp;Keys!$C$56&amp;Keys!$C$54&amp;$C990,Balanced_2025!$E$9:$E$3032,0)))</f>
        <v>0</v>
      </c>
      <c r="I990" s="10">
        <f>IF($E990=Keys!$C$60,Keys!$C$51,INDEX(Balanced_2025!$D$9:$D$3032,MATCH($A990&amp;Keys!$C$54&amp;Keys!$C$57&amp;Keys!$C$54&amp;$C990,Balanced_2025!$E$9:$E$3032,0)))</f>
        <v>0</v>
      </c>
      <c r="J990" s="10">
        <f t="shared" si="60"/>
        <v>0</v>
      </c>
      <c r="K990" s="10">
        <f>MAX(Keys!$C$51,$I990-$H990)</f>
        <v>0</v>
      </c>
      <c r="L990" s="10">
        <f t="shared" si="61"/>
        <v>0</v>
      </c>
      <c r="M990" s="11">
        <f>IF($L990&gt;Keys!$C$51,MIN(Keys!$C$52,$K990/$L990),Keys!$C$51)</f>
        <v>0</v>
      </c>
      <c r="N990" s="11">
        <f>IF($E990=Keys!$C$60,Keys!$C$51,IF($E990=Keys!$C$59,$D990,$M990))</f>
        <v>0</v>
      </c>
      <c r="O990">
        <f t="shared" si="62"/>
        <v>0</v>
      </c>
      <c r="P990" s="10">
        <f>IF($E990=Keys!$C$60,Keys!$C$51,INDEX(Raw_BFPIaE!$G$9:$G$3032,MATCH($A990&amp;Keys!$C$54&amp;Keys!$C$55&amp;Keys!$C$54&amp;$B990,Raw_BFPIaE!$H$9:$H$3032,0)))</f>
        <v>0</v>
      </c>
      <c r="Q990" s="10">
        <f>IF($E990=Keys!$C$60,Keys!$C$51,INDEX(Raw_BFPIaE!$G$9:$G$3032,MATCH($A990&amp;Keys!$C$54&amp;Keys!$C$56&amp;Keys!$C$54&amp;$B990,Raw_BFPIaE!$H$9:$H$3032,0)))</f>
        <v>0</v>
      </c>
      <c r="R990" s="10">
        <f>IF($E990=Keys!$C$60,Keys!$C$51,INDEX(Raw_BFPIaE!$G$9:$G$3032,MATCH($A990&amp;Keys!$C$54&amp;Keys!$C$57&amp;Keys!$C$54&amp;$B990,Raw_BFPIaE!$H$9:$H$3032,0)))</f>
        <v>0</v>
      </c>
      <c r="S990" s="11">
        <f>IF(($P990+$Q990-$R990+MAX(Keys!$C$51,$R990-$Q990))&gt;Keys!$C$51,MIN(Keys!$C$52,MAX(Keys!$C$51,$R990-$Q990)/($P990+$Q990-$R990+MAX(Keys!$C$51,$R990-$Q990))),Keys!$C$51)</f>
        <v>0</v>
      </c>
      <c r="T990">
        <f>IF(AND($I990&gt;$H990,ABS($L990-$G990)&gt;MAX(Keys!$C$62,ABS($G990)*Keys!$C$63)),1,0)</f>
        <v>0</v>
      </c>
      <c r="U990">
        <f>IF(OR($N990&lt;Keys!$C$51,$N990&gt;Keys!$C$52),1,0)</f>
        <v>0</v>
      </c>
      <c r="V990">
        <f>IF(AND($E990=Keys!$C$60,$N990&lt;&gt;Keys!$C$51),1,0)</f>
        <v>0</v>
      </c>
      <c r="W990">
        <f>IF($L990&gt;Keys!$C$51,IF($K990/$L990&gt;Keys!$C$52,1,0),0)</f>
        <v>0</v>
      </c>
      <c r="X990" s="11">
        <f t="shared" si="63"/>
        <v>0</v>
      </c>
    </row>
    <row r="991" spans="1:24" x14ac:dyDescent="0.25">
      <c r="A991" t="s">
        <v>177</v>
      </c>
      <c r="B991" t="s">
        <v>60</v>
      </c>
      <c r="C991">
        <f>VLOOKUP($B991,Keys!$F$2:$I$22,2,FALSE)</f>
        <v>0</v>
      </c>
      <c r="D991">
        <f>VLOOKUP($B991,Keys!$F$2:$I$22,3,FALSE)</f>
        <v>0</v>
      </c>
      <c r="E991" t="str">
        <f>VLOOKUP($B991,Keys!$F$2:$I$22,4,FALSE)</f>
        <v>zero</v>
      </c>
      <c r="F991" t="str">
        <f>$A991&amp;Keys!$C$54&amp;$B991</f>
        <v>WY|electricity (not used in this variable)</v>
      </c>
      <c r="G991" s="10">
        <f>IF($E991=Keys!$C$60,Keys!$C$51,INDEX(Balanced_2025!$D$9:$D$3032,MATCH($A991&amp;Keys!$C$54&amp;Keys!$C$55&amp;Keys!$C$54&amp;$C991,Balanced_2025!$E$9:$E$3032,0)))</f>
        <v>0</v>
      </c>
      <c r="H991" s="10">
        <f>IF($E991=Keys!$C$60,Keys!$C$51,INDEX(Balanced_2025!$D$9:$D$3032,MATCH($A991&amp;Keys!$C$54&amp;Keys!$C$56&amp;Keys!$C$54&amp;$C991,Balanced_2025!$E$9:$E$3032,0)))</f>
        <v>0</v>
      </c>
      <c r="I991" s="10">
        <f>IF($E991=Keys!$C$60,Keys!$C$51,INDEX(Balanced_2025!$D$9:$D$3032,MATCH($A991&amp;Keys!$C$54&amp;Keys!$C$57&amp;Keys!$C$54&amp;$C991,Balanced_2025!$E$9:$E$3032,0)))</f>
        <v>0</v>
      </c>
      <c r="J991" s="10">
        <f t="shared" si="60"/>
        <v>0</v>
      </c>
      <c r="K991" s="10">
        <f>MAX(Keys!$C$51,$I991-$H991)</f>
        <v>0</v>
      </c>
      <c r="L991" s="10">
        <f t="shared" si="61"/>
        <v>0</v>
      </c>
      <c r="M991" s="11">
        <f>IF($L991&gt;Keys!$C$51,MIN(Keys!$C$52,$K991/$L991),Keys!$C$51)</f>
        <v>0</v>
      </c>
      <c r="N991" s="11">
        <f>IF($E991=Keys!$C$60,Keys!$C$51,IF($E991=Keys!$C$59,$D991,$M991))</f>
        <v>0</v>
      </c>
      <c r="O991">
        <f t="shared" si="62"/>
        <v>0</v>
      </c>
      <c r="P991" s="10">
        <f>IF($E991=Keys!$C$60,Keys!$C$51,INDEX(Raw_BFPIaE!$G$9:$G$3032,MATCH($A991&amp;Keys!$C$54&amp;Keys!$C$55&amp;Keys!$C$54&amp;$B991,Raw_BFPIaE!$H$9:$H$3032,0)))</f>
        <v>0</v>
      </c>
      <c r="Q991" s="10">
        <f>IF($E991=Keys!$C$60,Keys!$C$51,INDEX(Raw_BFPIaE!$G$9:$G$3032,MATCH($A991&amp;Keys!$C$54&amp;Keys!$C$56&amp;Keys!$C$54&amp;$B991,Raw_BFPIaE!$H$9:$H$3032,0)))</f>
        <v>0</v>
      </c>
      <c r="R991" s="10">
        <f>IF($E991=Keys!$C$60,Keys!$C$51,INDEX(Raw_BFPIaE!$G$9:$G$3032,MATCH($A991&amp;Keys!$C$54&amp;Keys!$C$57&amp;Keys!$C$54&amp;$B991,Raw_BFPIaE!$H$9:$H$3032,0)))</f>
        <v>0</v>
      </c>
      <c r="S991" s="11">
        <f>IF(($P991+$Q991-$R991+MAX(Keys!$C$51,$R991-$Q991))&gt;Keys!$C$51,MIN(Keys!$C$52,MAX(Keys!$C$51,$R991-$Q991)/($P991+$Q991-$R991+MAX(Keys!$C$51,$R991-$Q991))),Keys!$C$51)</f>
        <v>0</v>
      </c>
      <c r="T991">
        <f>IF(AND($I991&gt;$H991,ABS($L991-$G991)&gt;MAX(Keys!$C$62,ABS($G991)*Keys!$C$63)),1,0)</f>
        <v>0</v>
      </c>
      <c r="U991">
        <f>IF(OR($N991&lt;Keys!$C$51,$N991&gt;Keys!$C$52),1,0)</f>
        <v>0</v>
      </c>
      <c r="V991">
        <f>IF(AND($E991=Keys!$C$60,$N991&lt;&gt;Keys!$C$51),1,0)</f>
        <v>0</v>
      </c>
      <c r="W991">
        <f>IF($L991&gt;Keys!$C$51,IF($K991/$L991&gt;Keys!$C$52,1,0),0)</f>
        <v>0</v>
      </c>
      <c r="X991" s="11">
        <f t="shared" si="63"/>
        <v>0</v>
      </c>
    </row>
    <row r="992" spans="1:24" x14ac:dyDescent="0.25">
      <c r="A992" t="s">
        <v>177</v>
      </c>
      <c r="B992" t="s">
        <v>64</v>
      </c>
      <c r="C992" t="str">
        <f>VLOOKUP($B992,Keys!$F$2:$I$22,2,FALSE)</f>
        <v>hard coal</v>
      </c>
      <c r="D992">
        <f>VLOOKUP($B992,Keys!$F$2:$I$22,3,FALSE)</f>
        <v>0.137539879</v>
      </c>
      <c r="E992" t="str">
        <f>VLOOKUP($B992,Keys!$F$2:$I$22,4,FALSE)</f>
        <v>rule</v>
      </c>
      <c r="F992" t="str">
        <f>$A992&amp;Keys!$C$54&amp;$B992</f>
        <v>WY|hard coal</v>
      </c>
      <c r="G992" s="10">
        <f>IF($E992=Keys!$C$60,Keys!$C$51,INDEX(Balanced_2025!$D$9:$D$3032,MATCH($A992&amp;Keys!$C$54&amp;Keys!$C$55&amp;Keys!$C$54&amp;$C992,Balanced_2025!$E$9:$E$3032,0)))</f>
        <v>3909980000000000</v>
      </c>
      <c r="H992" s="10">
        <f>IF($E992=Keys!$C$60,Keys!$C$51,INDEX(Balanced_2025!$D$9:$D$3032,MATCH($A992&amp;Keys!$C$54&amp;Keys!$C$56&amp;Keys!$C$54&amp;$C992,Balanced_2025!$E$9:$E$3032,0)))</f>
        <v>50447200000000</v>
      </c>
      <c r="I992" s="10">
        <f>IF($E992=Keys!$C$60,Keys!$C$51,INDEX(Balanced_2025!$D$9:$D$3032,MATCH($A992&amp;Keys!$C$54&amp;Keys!$C$57&amp;Keys!$C$54&amp;$C992,Balanced_2025!$E$9:$E$3032,0)))</f>
        <v>3632640000000000</v>
      </c>
      <c r="J992" s="10">
        <f t="shared" si="60"/>
        <v>327787200000000</v>
      </c>
      <c r="K992" s="10">
        <f>MAX(Keys!$C$51,$I992-$H992)</f>
        <v>3582192800000000</v>
      </c>
      <c r="L992" s="10">
        <f t="shared" si="61"/>
        <v>3909980000000000</v>
      </c>
      <c r="M992" s="11">
        <f>IF($L992&gt;Keys!$C$51,MIN(Keys!$C$52,$K992/$L992),Keys!$C$51)</f>
        <v>0.91616652770602403</v>
      </c>
      <c r="N992" s="11">
        <f>IF($E992=Keys!$C$60,Keys!$C$51,IF($E992=Keys!$C$59,$D992,$M992))</f>
        <v>0.91616652770602403</v>
      </c>
      <c r="O992">
        <f t="shared" si="62"/>
        <v>1</v>
      </c>
      <c r="P992" s="10">
        <f>IF($E992=Keys!$C$60,Keys!$C$51,INDEX(Raw_BFPIaE!$G$9:$G$3032,MATCH($A992&amp;Keys!$C$54&amp;Keys!$C$55&amp;Keys!$C$54&amp;$B992,Raw_BFPIaE!$H$9:$H$3032,0)))</f>
        <v>3823703333333333.5</v>
      </c>
      <c r="Q992" s="10">
        <f>IF($E992=Keys!$C$60,Keys!$C$51,INDEX(Raw_BFPIaE!$G$9:$G$3032,MATCH($A992&amp;Keys!$C$54&amp;Keys!$C$56&amp;Keys!$C$54&amp;$B992,Raw_BFPIaE!$H$9:$H$3032,0)))</f>
        <v>521156666666.66669</v>
      </c>
      <c r="R992" s="10">
        <f>IF($E992=Keys!$C$60,Keys!$C$51,INDEX(Raw_BFPIaE!$G$9:$G$3032,MATCH($A992&amp;Keys!$C$54&amp;Keys!$C$57&amp;Keys!$C$54&amp;$B992,Raw_BFPIaE!$H$9:$H$3032,0)))</f>
        <v>3506896666666666.5</v>
      </c>
      <c r="S992" s="11">
        <f>IF(($P992+$Q992-$R992+MAX(Keys!$C$51,$R992-$Q992))&gt;Keys!$C$51,MIN(Keys!$C$52,MAX(Keys!$C$51,$R992-$Q992)/($P992+$Q992-$R992+MAX(Keys!$C$51,$R992-$Q992))),Keys!$C$51)</f>
        <v>0.91701034424741801</v>
      </c>
      <c r="T992">
        <f>IF(AND($I992&gt;$H992,ABS($L992-$G992)&gt;MAX(Keys!$C$62,ABS($G992)*Keys!$C$63)),1,0)</f>
        <v>0</v>
      </c>
      <c r="U992">
        <f>IF(OR($N992&lt;Keys!$C$51,$N992&gt;Keys!$C$52),1,0)</f>
        <v>0</v>
      </c>
      <c r="V992">
        <f>IF(AND($E992=Keys!$C$60,$N992&lt;&gt;Keys!$C$51),1,0)</f>
        <v>0</v>
      </c>
      <c r="W992">
        <f>IF($L992&gt;Keys!$C$51,IF($K992/$L992&gt;Keys!$C$52,1,0),0)</f>
        <v>0</v>
      </c>
      <c r="X992" s="11">
        <f t="shared" si="63"/>
        <v>8.4381654139398243E-4</v>
      </c>
    </row>
    <row r="993" spans="1:24" x14ac:dyDescent="0.25">
      <c r="A993" t="s">
        <v>177</v>
      </c>
      <c r="B993" t="s">
        <v>68</v>
      </c>
      <c r="C993" t="str">
        <f>VLOOKUP($B993,Keys!$F$2:$I$22,2,FALSE)</f>
        <v>natural gas</v>
      </c>
      <c r="D993">
        <f>VLOOKUP($B993,Keys!$F$2:$I$22,3,FALSE)</f>
        <v>0.190839183</v>
      </c>
      <c r="E993" t="str">
        <f>VLOOKUP($B993,Keys!$F$2:$I$22,4,FALSE)</f>
        <v>rule</v>
      </c>
      <c r="F993" t="str">
        <f>$A993&amp;Keys!$C$54&amp;$B993</f>
        <v>WY|natural gas</v>
      </c>
      <c r="G993" s="10">
        <f>IF($E993=Keys!$C$60,Keys!$C$51,INDEX(Balanced_2025!$D$9:$D$3032,MATCH($A993&amp;Keys!$C$54&amp;Keys!$C$55&amp;Keys!$C$54&amp;$C993,Balanced_2025!$E$9:$E$3032,0)))</f>
        <v>1035050000000000</v>
      </c>
      <c r="H993" s="10">
        <f>IF($E993=Keys!$C$60,Keys!$C$51,INDEX(Balanced_2025!$D$9:$D$3032,MATCH($A993&amp;Keys!$C$54&amp;Keys!$C$56&amp;Keys!$C$54&amp;$C993,Balanced_2025!$E$9:$E$3032,0)))</f>
        <v>901807000000000</v>
      </c>
      <c r="I993" s="10">
        <f>IF($E993=Keys!$C$60,Keys!$C$51,INDEX(Balanced_2025!$D$9:$D$3032,MATCH($A993&amp;Keys!$C$54&amp;Keys!$C$57&amp;Keys!$C$54&amp;$C993,Balanced_2025!$E$9:$E$3032,0)))</f>
        <v>1735570000000000</v>
      </c>
      <c r="J993" s="10">
        <f t="shared" si="60"/>
        <v>201287000000000</v>
      </c>
      <c r="K993" s="10">
        <f>MAX(Keys!$C$51,$I993-$H993)</f>
        <v>833763000000000</v>
      </c>
      <c r="L993" s="10">
        <f t="shared" si="61"/>
        <v>1035050000000000</v>
      </c>
      <c r="M993" s="11">
        <f>IF($L993&gt;Keys!$C$51,MIN(Keys!$C$52,$K993/$L993),Keys!$C$51)</f>
        <v>0.80552920148785079</v>
      </c>
      <c r="N993" s="11">
        <f>IF($E993=Keys!$C$60,Keys!$C$51,IF($E993=Keys!$C$59,$D993,$M993))</f>
        <v>0.80552920148785079</v>
      </c>
      <c r="O993">
        <f t="shared" si="62"/>
        <v>1</v>
      </c>
      <c r="P993" s="10">
        <f>IF($E993=Keys!$C$60,Keys!$C$51,INDEX(Raw_BFPIaE!$G$9:$G$3032,MATCH($A993&amp;Keys!$C$54&amp;Keys!$C$55&amp;Keys!$C$54&amp;$B993,Raw_BFPIaE!$H$9:$H$3032,0)))</f>
        <v>1035990000000000</v>
      </c>
      <c r="Q993" s="10">
        <f>IF($E993=Keys!$C$60,Keys!$C$51,INDEX(Raw_BFPIaE!$G$9:$G$3032,MATCH($A993&amp;Keys!$C$54&amp;Keys!$C$56&amp;Keys!$C$54&amp;$B993,Raw_BFPIaE!$H$9:$H$3032,0)))</f>
        <v>962052666666666.63</v>
      </c>
      <c r="R993" s="10">
        <f>IF($E993=Keys!$C$60,Keys!$C$51,INDEX(Raw_BFPIaE!$G$9:$G$3032,MATCH($A993&amp;Keys!$C$54&amp;Keys!$C$57&amp;Keys!$C$54&amp;$B993,Raw_BFPIaE!$H$9:$H$3032,0)))</f>
        <v>1737146666666666.8</v>
      </c>
      <c r="S993" s="11">
        <f>IF(($P993+$Q993-$R993+MAX(Keys!$C$51,$R993-$Q993))&gt;Keys!$C$51,MIN(Keys!$C$52,MAX(Keys!$C$51,$R993-$Q993)/($P993+$Q993-$R993+MAX(Keys!$C$51,$R993-$Q993))),Keys!$C$51)</f>
        <v>0.74816745335379709</v>
      </c>
      <c r="T993">
        <f>IF(AND($I993&gt;$H993,ABS($L993-$G993)&gt;MAX(Keys!$C$62,ABS($G993)*Keys!$C$63)),1,0)</f>
        <v>0</v>
      </c>
      <c r="U993">
        <f>IF(OR($N993&lt;Keys!$C$51,$N993&gt;Keys!$C$52),1,0)</f>
        <v>0</v>
      </c>
      <c r="V993">
        <f>IF(AND($E993=Keys!$C$60,$N993&lt;&gt;Keys!$C$51),1,0)</f>
        <v>0</v>
      </c>
      <c r="W993">
        <f>IF($L993&gt;Keys!$C$51,IF($K993/$L993&gt;Keys!$C$52,1,0),0)</f>
        <v>0</v>
      </c>
      <c r="X993" s="11">
        <f t="shared" si="63"/>
        <v>5.7361748134053703E-2</v>
      </c>
    </row>
    <row r="994" spans="1:24" x14ac:dyDescent="0.25">
      <c r="A994" t="s">
        <v>177</v>
      </c>
      <c r="B994" t="s">
        <v>71</v>
      </c>
      <c r="C994">
        <f>VLOOKUP($B994,Keys!$F$2:$I$22,2,FALSE)</f>
        <v>0</v>
      </c>
      <c r="D994">
        <f>VLOOKUP($B994,Keys!$F$2:$I$22,3,FALSE)</f>
        <v>0</v>
      </c>
      <c r="E994" t="str">
        <f>VLOOKUP($B994,Keys!$F$2:$I$22,4,FALSE)</f>
        <v>zero</v>
      </c>
      <c r="F994" t="str">
        <f>$A994&amp;Keys!$C$54&amp;$B994</f>
        <v>WY|nuclear</v>
      </c>
      <c r="G994" s="10">
        <f>IF($E994=Keys!$C$60,Keys!$C$51,INDEX(Balanced_2025!$D$9:$D$3032,MATCH($A994&amp;Keys!$C$54&amp;Keys!$C$55&amp;Keys!$C$54&amp;$C994,Balanced_2025!$E$9:$E$3032,0)))</f>
        <v>0</v>
      </c>
      <c r="H994" s="10">
        <f>IF($E994=Keys!$C$60,Keys!$C$51,INDEX(Balanced_2025!$D$9:$D$3032,MATCH($A994&amp;Keys!$C$54&amp;Keys!$C$56&amp;Keys!$C$54&amp;$C994,Balanced_2025!$E$9:$E$3032,0)))</f>
        <v>0</v>
      </c>
      <c r="I994" s="10">
        <f>IF($E994=Keys!$C$60,Keys!$C$51,INDEX(Balanced_2025!$D$9:$D$3032,MATCH($A994&amp;Keys!$C$54&amp;Keys!$C$57&amp;Keys!$C$54&amp;$C994,Balanced_2025!$E$9:$E$3032,0)))</f>
        <v>0</v>
      </c>
      <c r="J994" s="10">
        <f t="shared" si="60"/>
        <v>0</v>
      </c>
      <c r="K994" s="10">
        <f>MAX(Keys!$C$51,$I994-$H994)</f>
        <v>0</v>
      </c>
      <c r="L994" s="10">
        <f t="shared" si="61"/>
        <v>0</v>
      </c>
      <c r="M994" s="11">
        <f>IF($L994&gt;Keys!$C$51,MIN(Keys!$C$52,$K994/$L994),Keys!$C$51)</f>
        <v>0</v>
      </c>
      <c r="N994" s="11">
        <f>IF($E994=Keys!$C$60,Keys!$C$51,IF($E994=Keys!$C$59,$D994,$M994))</f>
        <v>0</v>
      </c>
      <c r="O994">
        <f t="shared" si="62"/>
        <v>0</v>
      </c>
      <c r="P994" s="10">
        <f>IF($E994=Keys!$C$60,Keys!$C$51,INDEX(Raw_BFPIaE!$G$9:$G$3032,MATCH($A994&amp;Keys!$C$54&amp;Keys!$C$55&amp;Keys!$C$54&amp;$B994,Raw_BFPIaE!$H$9:$H$3032,0)))</f>
        <v>0</v>
      </c>
      <c r="Q994" s="10">
        <f>IF($E994=Keys!$C$60,Keys!$C$51,INDEX(Raw_BFPIaE!$G$9:$G$3032,MATCH($A994&amp;Keys!$C$54&amp;Keys!$C$56&amp;Keys!$C$54&amp;$B994,Raw_BFPIaE!$H$9:$H$3032,0)))</f>
        <v>0</v>
      </c>
      <c r="R994" s="10">
        <f>IF($E994=Keys!$C$60,Keys!$C$51,INDEX(Raw_BFPIaE!$G$9:$G$3032,MATCH($A994&amp;Keys!$C$54&amp;Keys!$C$57&amp;Keys!$C$54&amp;$B994,Raw_BFPIaE!$H$9:$H$3032,0)))</f>
        <v>0</v>
      </c>
      <c r="S994" s="11">
        <f>IF(($P994+$Q994-$R994+MAX(Keys!$C$51,$R994-$Q994))&gt;Keys!$C$51,MIN(Keys!$C$52,MAX(Keys!$C$51,$R994-$Q994)/($P994+$Q994-$R994+MAX(Keys!$C$51,$R994-$Q994))),Keys!$C$51)</f>
        <v>0</v>
      </c>
      <c r="T994">
        <f>IF(AND($I994&gt;$H994,ABS($L994-$G994)&gt;MAX(Keys!$C$62,ABS($G994)*Keys!$C$63)),1,0)</f>
        <v>0</v>
      </c>
      <c r="U994">
        <f>IF(OR($N994&lt;Keys!$C$51,$N994&gt;Keys!$C$52),1,0)</f>
        <v>0</v>
      </c>
      <c r="V994">
        <f>IF(AND($E994=Keys!$C$60,$N994&lt;&gt;Keys!$C$51),1,0)</f>
        <v>0</v>
      </c>
      <c r="W994">
        <f>IF($L994&gt;Keys!$C$51,IF($K994/$L994&gt;Keys!$C$52,1,0),0)</f>
        <v>0</v>
      </c>
      <c r="X994" s="11">
        <f t="shared" si="63"/>
        <v>0</v>
      </c>
    </row>
    <row r="995" spans="1:24" x14ac:dyDescent="0.25">
      <c r="A995" t="s">
        <v>177</v>
      </c>
      <c r="B995" t="s">
        <v>74</v>
      </c>
      <c r="C995">
        <f>VLOOKUP($B995,Keys!$F$2:$I$22,2,FALSE)</f>
        <v>0</v>
      </c>
      <c r="D995">
        <f>VLOOKUP($B995,Keys!$F$2:$I$22,3,FALSE)</f>
        <v>0</v>
      </c>
      <c r="E995" t="str">
        <f>VLOOKUP($B995,Keys!$F$2:$I$22,4,FALSE)</f>
        <v>zero</v>
      </c>
      <c r="F995" t="str">
        <f>$A995&amp;Keys!$C$54&amp;$B995</f>
        <v>WY|hydro (is not a fuel)</v>
      </c>
      <c r="G995" s="10">
        <f>IF($E995=Keys!$C$60,Keys!$C$51,INDEX(Balanced_2025!$D$9:$D$3032,MATCH($A995&amp;Keys!$C$54&amp;Keys!$C$55&amp;Keys!$C$54&amp;$C995,Balanced_2025!$E$9:$E$3032,0)))</f>
        <v>0</v>
      </c>
      <c r="H995" s="10">
        <f>IF($E995=Keys!$C$60,Keys!$C$51,INDEX(Balanced_2025!$D$9:$D$3032,MATCH($A995&amp;Keys!$C$54&amp;Keys!$C$56&amp;Keys!$C$54&amp;$C995,Balanced_2025!$E$9:$E$3032,0)))</f>
        <v>0</v>
      </c>
      <c r="I995" s="10">
        <f>IF($E995=Keys!$C$60,Keys!$C$51,INDEX(Balanced_2025!$D$9:$D$3032,MATCH($A995&amp;Keys!$C$54&amp;Keys!$C$57&amp;Keys!$C$54&amp;$C995,Balanced_2025!$E$9:$E$3032,0)))</f>
        <v>0</v>
      </c>
      <c r="J995" s="10">
        <f t="shared" si="60"/>
        <v>0</v>
      </c>
      <c r="K995" s="10">
        <f>MAX(Keys!$C$51,$I995-$H995)</f>
        <v>0</v>
      </c>
      <c r="L995" s="10">
        <f t="shared" si="61"/>
        <v>0</v>
      </c>
      <c r="M995" s="11">
        <f>IF($L995&gt;Keys!$C$51,MIN(Keys!$C$52,$K995/$L995),Keys!$C$51)</f>
        <v>0</v>
      </c>
      <c r="N995" s="11">
        <f>IF($E995=Keys!$C$60,Keys!$C$51,IF($E995=Keys!$C$59,$D995,$M995))</f>
        <v>0</v>
      </c>
      <c r="O995">
        <f t="shared" si="62"/>
        <v>0</v>
      </c>
      <c r="P995" s="10">
        <f>IF($E995=Keys!$C$60,Keys!$C$51,INDEX(Raw_BFPIaE!$G$9:$G$3032,MATCH($A995&amp;Keys!$C$54&amp;Keys!$C$55&amp;Keys!$C$54&amp;$B995,Raw_BFPIaE!$H$9:$H$3032,0)))</f>
        <v>0</v>
      </c>
      <c r="Q995" s="10">
        <f>IF($E995=Keys!$C$60,Keys!$C$51,INDEX(Raw_BFPIaE!$G$9:$G$3032,MATCH($A995&amp;Keys!$C$54&amp;Keys!$C$56&amp;Keys!$C$54&amp;$B995,Raw_BFPIaE!$H$9:$H$3032,0)))</f>
        <v>0</v>
      </c>
      <c r="R995" s="10">
        <f>IF($E995=Keys!$C$60,Keys!$C$51,INDEX(Raw_BFPIaE!$G$9:$G$3032,MATCH($A995&amp;Keys!$C$54&amp;Keys!$C$57&amp;Keys!$C$54&amp;$B995,Raw_BFPIaE!$H$9:$H$3032,0)))</f>
        <v>0</v>
      </c>
      <c r="S995" s="11">
        <f>IF(($P995+$Q995-$R995+MAX(Keys!$C$51,$R995-$Q995))&gt;Keys!$C$51,MIN(Keys!$C$52,MAX(Keys!$C$51,$R995-$Q995)/($P995+$Q995-$R995+MAX(Keys!$C$51,$R995-$Q995))),Keys!$C$51)</f>
        <v>0</v>
      </c>
      <c r="T995">
        <f>IF(AND($I995&gt;$H995,ABS($L995-$G995)&gt;MAX(Keys!$C$62,ABS($G995)*Keys!$C$63)),1,0)</f>
        <v>0</v>
      </c>
      <c r="U995">
        <f>IF(OR($N995&lt;Keys!$C$51,$N995&gt;Keys!$C$52),1,0)</f>
        <v>0</v>
      </c>
      <c r="V995">
        <f>IF(AND($E995=Keys!$C$60,$N995&lt;&gt;Keys!$C$51),1,0)</f>
        <v>0</v>
      </c>
      <c r="W995">
        <f>IF($L995&gt;Keys!$C$51,IF($K995/$L995&gt;Keys!$C$52,1,0),0)</f>
        <v>0</v>
      </c>
      <c r="X995" s="11">
        <f t="shared" si="63"/>
        <v>0</v>
      </c>
    </row>
    <row r="996" spans="1:24" x14ac:dyDescent="0.25">
      <c r="A996" t="s">
        <v>177</v>
      </c>
      <c r="B996" t="s">
        <v>77</v>
      </c>
      <c r="C996">
        <f>VLOOKUP($B996,Keys!$F$2:$I$22,2,FALSE)</f>
        <v>0</v>
      </c>
      <c r="D996">
        <f>VLOOKUP($B996,Keys!$F$2:$I$22,3,FALSE)</f>
        <v>0</v>
      </c>
      <c r="E996" t="str">
        <f>VLOOKUP($B996,Keys!$F$2:$I$22,4,FALSE)</f>
        <v>zero</v>
      </c>
      <c r="F996" t="str">
        <f>$A996&amp;Keys!$C$54&amp;$B996</f>
        <v>WY|wind (is not a fuel)</v>
      </c>
      <c r="G996" s="10">
        <f>IF($E996=Keys!$C$60,Keys!$C$51,INDEX(Balanced_2025!$D$9:$D$3032,MATCH($A996&amp;Keys!$C$54&amp;Keys!$C$55&amp;Keys!$C$54&amp;$C996,Balanced_2025!$E$9:$E$3032,0)))</f>
        <v>0</v>
      </c>
      <c r="H996" s="10">
        <f>IF($E996=Keys!$C$60,Keys!$C$51,INDEX(Balanced_2025!$D$9:$D$3032,MATCH($A996&amp;Keys!$C$54&amp;Keys!$C$56&amp;Keys!$C$54&amp;$C996,Balanced_2025!$E$9:$E$3032,0)))</f>
        <v>0</v>
      </c>
      <c r="I996" s="10">
        <f>IF($E996=Keys!$C$60,Keys!$C$51,INDEX(Balanced_2025!$D$9:$D$3032,MATCH($A996&amp;Keys!$C$54&amp;Keys!$C$57&amp;Keys!$C$54&amp;$C996,Balanced_2025!$E$9:$E$3032,0)))</f>
        <v>0</v>
      </c>
      <c r="J996" s="10">
        <f t="shared" si="60"/>
        <v>0</v>
      </c>
      <c r="K996" s="10">
        <f>MAX(Keys!$C$51,$I996-$H996)</f>
        <v>0</v>
      </c>
      <c r="L996" s="10">
        <f t="shared" si="61"/>
        <v>0</v>
      </c>
      <c r="M996" s="11">
        <f>IF($L996&gt;Keys!$C$51,MIN(Keys!$C$52,$K996/$L996),Keys!$C$51)</f>
        <v>0</v>
      </c>
      <c r="N996" s="11">
        <f>IF($E996=Keys!$C$60,Keys!$C$51,IF($E996=Keys!$C$59,$D996,$M996))</f>
        <v>0</v>
      </c>
      <c r="O996">
        <f t="shared" si="62"/>
        <v>0</v>
      </c>
      <c r="P996" s="10">
        <f>IF($E996=Keys!$C$60,Keys!$C$51,INDEX(Raw_BFPIaE!$G$9:$G$3032,MATCH($A996&amp;Keys!$C$54&amp;Keys!$C$55&amp;Keys!$C$54&amp;$B996,Raw_BFPIaE!$H$9:$H$3032,0)))</f>
        <v>0</v>
      </c>
      <c r="Q996" s="10">
        <f>IF($E996=Keys!$C$60,Keys!$C$51,INDEX(Raw_BFPIaE!$G$9:$G$3032,MATCH($A996&amp;Keys!$C$54&amp;Keys!$C$56&amp;Keys!$C$54&amp;$B996,Raw_BFPIaE!$H$9:$H$3032,0)))</f>
        <v>0</v>
      </c>
      <c r="R996" s="10">
        <f>IF($E996=Keys!$C$60,Keys!$C$51,INDEX(Raw_BFPIaE!$G$9:$G$3032,MATCH($A996&amp;Keys!$C$54&amp;Keys!$C$57&amp;Keys!$C$54&amp;$B996,Raw_BFPIaE!$H$9:$H$3032,0)))</f>
        <v>0</v>
      </c>
      <c r="S996" s="11">
        <f>IF(($P996+$Q996-$R996+MAX(Keys!$C$51,$R996-$Q996))&gt;Keys!$C$51,MIN(Keys!$C$52,MAX(Keys!$C$51,$R996-$Q996)/($P996+$Q996-$R996+MAX(Keys!$C$51,$R996-$Q996))),Keys!$C$51)</f>
        <v>0</v>
      </c>
      <c r="T996">
        <f>IF(AND($I996&gt;$H996,ABS($L996-$G996)&gt;MAX(Keys!$C$62,ABS($G996)*Keys!$C$63)),1,0)</f>
        <v>0</v>
      </c>
      <c r="U996">
        <f>IF(OR($N996&lt;Keys!$C$51,$N996&gt;Keys!$C$52),1,0)</f>
        <v>0</v>
      </c>
      <c r="V996">
        <f>IF(AND($E996=Keys!$C$60,$N996&lt;&gt;Keys!$C$51),1,0)</f>
        <v>0</v>
      </c>
      <c r="W996">
        <f>IF($L996&gt;Keys!$C$51,IF($K996/$L996&gt;Keys!$C$52,1,0),0)</f>
        <v>0</v>
      </c>
      <c r="X996" s="11">
        <f t="shared" si="63"/>
        <v>0</v>
      </c>
    </row>
    <row r="997" spans="1:24" x14ac:dyDescent="0.25">
      <c r="A997" t="s">
        <v>177</v>
      </c>
      <c r="B997" t="s">
        <v>80</v>
      </c>
      <c r="C997">
        <f>VLOOKUP($B997,Keys!$F$2:$I$22,2,FALSE)</f>
        <v>0</v>
      </c>
      <c r="D997">
        <f>VLOOKUP($B997,Keys!$F$2:$I$22,3,FALSE)</f>
        <v>0</v>
      </c>
      <c r="E997" t="str">
        <f>VLOOKUP($B997,Keys!$F$2:$I$22,4,FALSE)</f>
        <v>zero</v>
      </c>
      <c r="F997" t="str">
        <f>$A997&amp;Keys!$C$54&amp;$B997</f>
        <v>WY|solar (is not a fuel)</v>
      </c>
      <c r="G997" s="10">
        <f>IF($E997=Keys!$C$60,Keys!$C$51,INDEX(Balanced_2025!$D$9:$D$3032,MATCH($A997&amp;Keys!$C$54&amp;Keys!$C$55&amp;Keys!$C$54&amp;$C997,Balanced_2025!$E$9:$E$3032,0)))</f>
        <v>0</v>
      </c>
      <c r="H997" s="10">
        <f>IF($E997=Keys!$C$60,Keys!$C$51,INDEX(Balanced_2025!$D$9:$D$3032,MATCH($A997&amp;Keys!$C$54&amp;Keys!$C$56&amp;Keys!$C$54&amp;$C997,Balanced_2025!$E$9:$E$3032,0)))</f>
        <v>0</v>
      </c>
      <c r="I997" s="10">
        <f>IF($E997=Keys!$C$60,Keys!$C$51,INDEX(Balanced_2025!$D$9:$D$3032,MATCH($A997&amp;Keys!$C$54&amp;Keys!$C$57&amp;Keys!$C$54&amp;$C997,Balanced_2025!$E$9:$E$3032,0)))</f>
        <v>0</v>
      </c>
      <c r="J997" s="10">
        <f t="shared" si="60"/>
        <v>0</v>
      </c>
      <c r="K997" s="10">
        <f>MAX(Keys!$C$51,$I997-$H997)</f>
        <v>0</v>
      </c>
      <c r="L997" s="10">
        <f t="shared" si="61"/>
        <v>0</v>
      </c>
      <c r="M997" s="11">
        <f>IF($L997&gt;Keys!$C$51,MIN(Keys!$C$52,$K997/$L997),Keys!$C$51)</f>
        <v>0</v>
      </c>
      <c r="N997" s="11">
        <f>IF($E997=Keys!$C$60,Keys!$C$51,IF($E997=Keys!$C$59,$D997,$M997))</f>
        <v>0</v>
      </c>
      <c r="O997">
        <f t="shared" si="62"/>
        <v>0</v>
      </c>
      <c r="P997" s="10">
        <f>IF($E997=Keys!$C$60,Keys!$C$51,INDEX(Raw_BFPIaE!$G$9:$G$3032,MATCH($A997&amp;Keys!$C$54&amp;Keys!$C$55&amp;Keys!$C$54&amp;$B997,Raw_BFPIaE!$H$9:$H$3032,0)))</f>
        <v>0</v>
      </c>
      <c r="Q997" s="10">
        <f>IF($E997=Keys!$C$60,Keys!$C$51,INDEX(Raw_BFPIaE!$G$9:$G$3032,MATCH($A997&amp;Keys!$C$54&amp;Keys!$C$56&amp;Keys!$C$54&amp;$B997,Raw_BFPIaE!$H$9:$H$3032,0)))</f>
        <v>0</v>
      </c>
      <c r="R997" s="10">
        <f>IF($E997=Keys!$C$60,Keys!$C$51,INDEX(Raw_BFPIaE!$G$9:$G$3032,MATCH($A997&amp;Keys!$C$54&amp;Keys!$C$57&amp;Keys!$C$54&amp;$B997,Raw_BFPIaE!$H$9:$H$3032,0)))</f>
        <v>0</v>
      </c>
      <c r="S997" s="11">
        <f>IF(($P997+$Q997-$R997+MAX(Keys!$C$51,$R997-$Q997))&gt;Keys!$C$51,MIN(Keys!$C$52,MAX(Keys!$C$51,$R997-$Q997)/($P997+$Q997-$R997+MAX(Keys!$C$51,$R997-$Q997))),Keys!$C$51)</f>
        <v>0</v>
      </c>
      <c r="T997">
        <f>IF(AND($I997&gt;$H997,ABS($L997-$G997)&gt;MAX(Keys!$C$62,ABS($G997)*Keys!$C$63)),1,0)</f>
        <v>0</v>
      </c>
      <c r="U997">
        <f>IF(OR($N997&lt;Keys!$C$51,$N997&gt;Keys!$C$52),1,0)</f>
        <v>0</v>
      </c>
      <c r="V997">
        <f>IF(AND($E997=Keys!$C$60,$N997&lt;&gt;Keys!$C$51),1,0)</f>
        <v>0</v>
      </c>
      <c r="W997">
        <f>IF($L997&gt;Keys!$C$51,IF($K997/$L997&gt;Keys!$C$52,1,0),0)</f>
        <v>0</v>
      </c>
      <c r="X997" s="11">
        <f t="shared" si="63"/>
        <v>0</v>
      </c>
    </row>
    <row r="998" spans="1:24" x14ac:dyDescent="0.25">
      <c r="A998" t="s">
        <v>177</v>
      </c>
      <c r="B998" t="s">
        <v>82</v>
      </c>
      <c r="C998" t="str">
        <f>VLOOKUP($B998,Keys!$F$2:$I$22,2,FALSE)</f>
        <v>biomass</v>
      </c>
      <c r="D998">
        <f>VLOOKUP($B998,Keys!$F$2:$I$22,3,FALSE)</f>
        <v>0.74947425499999998</v>
      </c>
      <c r="E998" t="str">
        <f>VLOOKUP($B998,Keys!$F$2:$I$22,4,FALSE)</f>
        <v>rule</v>
      </c>
      <c r="F998" t="str">
        <f>$A998&amp;Keys!$C$54&amp;$B998</f>
        <v>WY|biomass</v>
      </c>
      <c r="G998" s="10">
        <f>IF($E998=Keys!$C$60,Keys!$C$51,INDEX(Balanced_2025!$D$9:$D$3032,MATCH($A998&amp;Keys!$C$54&amp;Keys!$C$55&amp;Keys!$C$54&amp;$C998,Balanced_2025!$E$9:$E$3032,0)))</f>
        <v>0</v>
      </c>
      <c r="H998" s="10">
        <f>IF($E998=Keys!$C$60,Keys!$C$51,INDEX(Balanced_2025!$D$9:$D$3032,MATCH($A998&amp;Keys!$C$54&amp;Keys!$C$56&amp;Keys!$C$54&amp;$C998,Balanced_2025!$E$9:$E$3032,0)))</f>
        <v>1759330000000</v>
      </c>
      <c r="I998" s="10">
        <f>IF($E998=Keys!$C$60,Keys!$C$51,INDEX(Balanced_2025!$D$9:$D$3032,MATCH($A998&amp;Keys!$C$54&amp;Keys!$C$57&amp;Keys!$C$54&amp;$C998,Balanced_2025!$E$9:$E$3032,0)))</f>
        <v>0</v>
      </c>
      <c r="J998" s="10">
        <f t="shared" si="60"/>
        <v>1759330000000</v>
      </c>
      <c r="K998" s="10">
        <f>MAX(Keys!$C$51,$I998-$H998)</f>
        <v>0</v>
      </c>
      <c r="L998" s="10">
        <f t="shared" si="61"/>
        <v>1759330000000</v>
      </c>
      <c r="M998" s="11">
        <f>IF($L998&gt;Keys!$C$51,MIN(Keys!$C$52,$K998/$L998),Keys!$C$51)</f>
        <v>0</v>
      </c>
      <c r="N998" s="11">
        <f>IF($E998=Keys!$C$60,Keys!$C$51,IF($E998=Keys!$C$59,$D998,$M998))</f>
        <v>0</v>
      </c>
      <c r="O998">
        <f t="shared" si="62"/>
        <v>1</v>
      </c>
      <c r="P998" s="10">
        <f>IF($E998=Keys!$C$60,Keys!$C$51,INDEX(Raw_BFPIaE!$G$9:$G$3032,MATCH($A998&amp;Keys!$C$54&amp;Keys!$C$55&amp;Keys!$C$54&amp;$B998,Raw_BFPIaE!$H$9:$H$3032,0)))</f>
        <v>0</v>
      </c>
      <c r="Q998" s="10">
        <f>IF($E998=Keys!$C$60,Keys!$C$51,INDEX(Raw_BFPIaE!$G$9:$G$3032,MATCH($A998&amp;Keys!$C$54&amp;Keys!$C$56&amp;Keys!$C$54&amp;$B998,Raw_BFPIaE!$H$9:$H$3032,0)))</f>
        <v>1160500000000</v>
      </c>
      <c r="R998" s="10">
        <f>IF($E998=Keys!$C$60,Keys!$C$51,INDEX(Raw_BFPIaE!$G$9:$G$3032,MATCH($A998&amp;Keys!$C$54&amp;Keys!$C$57&amp;Keys!$C$54&amp;$B998,Raw_BFPIaE!$H$9:$H$3032,0)))</f>
        <v>0</v>
      </c>
      <c r="S998" s="11">
        <f>IF(($P998+$Q998-$R998+MAX(Keys!$C$51,$R998-$Q998))&gt;Keys!$C$51,MIN(Keys!$C$52,MAX(Keys!$C$51,$R998-$Q998)/($P998+$Q998-$R998+MAX(Keys!$C$51,$R998-$Q998))),Keys!$C$51)</f>
        <v>0</v>
      </c>
      <c r="T998">
        <f>IF(AND($I998&gt;$H998,ABS($L998-$G998)&gt;MAX(Keys!$C$62,ABS($G998)*Keys!$C$63)),1,0)</f>
        <v>0</v>
      </c>
      <c r="U998">
        <f>IF(OR($N998&lt;Keys!$C$51,$N998&gt;Keys!$C$52),1,0)</f>
        <v>0</v>
      </c>
      <c r="V998">
        <f>IF(AND($E998=Keys!$C$60,$N998&lt;&gt;Keys!$C$51),1,0)</f>
        <v>0</v>
      </c>
      <c r="W998">
        <f>IF($L998&gt;Keys!$C$51,IF($K998/$L998&gt;Keys!$C$52,1,0),0)</f>
        <v>0</v>
      </c>
      <c r="X998" s="11">
        <f t="shared" si="63"/>
        <v>0</v>
      </c>
    </row>
    <row r="999" spans="1:24" x14ac:dyDescent="0.25">
      <c r="A999" t="s">
        <v>177</v>
      </c>
      <c r="B999" t="s">
        <v>85</v>
      </c>
      <c r="C999" t="str">
        <f>VLOOKUP($B999,Keys!$F$2:$I$22,2,FALSE)</f>
        <v>petroleum gasoline</v>
      </c>
      <c r="D999">
        <f>VLOOKUP($B999,Keys!$F$2:$I$22,3,FALSE)</f>
        <v>7.5004052000000002E-2</v>
      </c>
      <c r="E999" t="str">
        <f>VLOOKUP($B999,Keys!$F$2:$I$22,4,FALSE)</f>
        <v>rule</v>
      </c>
      <c r="F999" t="str">
        <f>$A999&amp;Keys!$C$54&amp;$B999</f>
        <v>WY|petroleum gasoline</v>
      </c>
      <c r="G999" s="10">
        <f>IF($E999=Keys!$C$60,Keys!$C$51,INDEX(Balanced_2025!$D$9:$D$3032,MATCH($A999&amp;Keys!$C$54&amp;Keys!$C$55&amp;Keys!$C$54&amp;$C999,Balanced_2025!$E$9:$E$3032,0)))</f>
        <v>123254000000000</v>
      </c>
      <c r="H999" s="10">
        <f>IF($E999=Keys!$C$60,Keys!$C$51,INDEX(Balanced_2025!$D$9:$D$3032,MATCH($A999&amp;Keys!$C$54&amp;Keys!$C$56&amp;Keys!$C$54&amp;$C999,Balanced_2025!$E$9:$E$3032,0)))</f>
        <v>2023170000000</v>
      </c>
      <c r="I999" s="10">
        <f>IF($E999=Keys!$C$60,Keys!$C$51,INDEX(Balanced_2025!$D$9:$D$3032,MATCH($A999&amp;Keys!$C$54&amp;Keys!$C$57&amp;Keys!$C$54&amp;$C999,Balanced_2025!$E$9:$E$3032,0)))</f>
        <v>87220000000000</v>
      </c>
      <c r="J999" s="10">
        <f t="shared" si="60"/>
        <v>38057170000000</v>
      </c>
      <c r="K999" s="10">
        <f>MAX(Keys!$C$51,$I999-$H999)</f>
        <v>85196830000000</v>
      </c>
      <c r="L999" s="10">
        <f t="shared" si="61"/>
        <v>123254000000000</v>
      </c>
      <c r="M999" s="11">
        <f>IF($L999&gt;Keys!$C$51,MIN(Keys!$C$52,$K999/$L999),Keys!$C$51)</f>
        <v>0.69122973696594026</v>
      </c>
      <c r="N999" s="11">
        <f>IF($E999=Keys!$C$60,Keys!$C$51,IF($E999=Keys!$C$59,$D999,$M999))</f>
        <v>0.69122973696594026</v>
      </c>
      <c r="O999">
        <f t="shared" si="62"/>
        <v>1</v>
      </c>
      <c r="P999" s="10">
        <f>IF($E999=Keys!$C$60,Keys!$C$51,INDEX(Raw_BFPIaE!$G$9:$G$3032,MATCH($A999&amp;Keys!$C$54&amp;Keys!$C$55&amp;Keys!$C$54&amp;$B999,Raw_BFPIaE!$H$9:$H$3032,0)))</f>
        <v>122258000000000</v>
      </c>
      <c r="Q999" s="10">
        <f>IF($E999=Keys!$C$60,Keys!$C$51,INDEX(Raw_BFPIaE!$G$9:$G$3032,MATCH($A999&amp;Keys!$C$54&amp;Keys!$C$56&amp;Keys!$C$54&amp;$B999,Raw_BFPIaE!$H$9:$H$3032,0)))</f>
        <v>0</v>
      </c>
      <c r="R999" s="10">
        <f>IF($E999=Keys!$C$60,Keys!$C$51,INDEX(Raw_BFPIaE!$G$9:$G$3032,MATCH($A999&amp;Keys!$C$54&amp;Keys!$C$57&amp;Keys!$C$54&amp;$B999,Raw_BFPIaE!$H$9:$H$3032,0)))</f>
        <v>57347233333333.336</v>
      </c>
      <c r="S999" s="11">
        <f>IF(($P999+$Q999-$R999+MAX(Keys!$C$51,$R999-$Q999))&gt;Keys!$C$51,MIN(Keys!$C$52,MAX(Keys!$C$51,$R999-$Q999)/($P999+$Q999-$R999+MAX(Keys!$C$51,$R999-$Q999))),Keys!$C$51)</f>
        <v>0.46906732756411307</v>
      </c>
      <c r="T999">
        <f>IF(AND($I999&gt;$H999,ABS($L999-$G999)&gt;MAX(Keys!$C$62,ABS($G999)*Keys!$C$63)),1,0)</f>
        <v>0</v>
      </c>
      <c r="U999">
        <f>IF(OR($N999&lt;Keys!$C$51,$N999&gt;Keys!$C$52),1,0)</f>
        <v>0</v>
      </c>
      <c r="V999">
        <f>IF(AND($E999=Keys!$C$60,$N999&lt;&gt;Keys!$C$51),1,0)</f>
        <v>0</v>
      </c>
      <c r="W999">
        <f>IF($L999&gt;Keys!$C$51,IF($K999/$L999&gt;Keys!$C$52,1,0),0)</f>
        <v>0</v>
      </c>
      <c r="X999" s="11">
        <f t="shared" si="63"/>
        <v>0.22216240940182719</v>
      </c>
    </row>
    <row r="1000" spans="1:24" x14ac:dyDescent="0.25">
      <c r="A1000" t="s">
        <v>177</v>
      </c>
      <c r="B1000" t="s">
        <v>88</v>
      </c>
      <c r="C1000" t="str">
        <f>VLOOKUP($B1000,Keys!$F$2:$I$22,2,FALSE)</f>
        <v>petroleum diesel</v>
      </c>
      <c r="D1000">
        <f>VLOOKUP($B1000,Keys!$F$2:$I$22,3,FALSE)</f>
        <v>0.26691051799999999</v>
      </c>
      <c r="E1000" t="str">
        <f>VLOOKUP($B1000,Keys!$F$2:$I$22,4,FALSE)</f>
        <v>rule</v>
      </c>
      <c r="F1000" t="str">
        <f>$A1000&amp;Keys!$C$54&amp;$B1000</f>
        <v>WY|petroleum diesel</v>
      </c>
      <c r="G1000" s="10">
        <f>IF($E1000=Keys!$C$60,Keys!$C$51,INDEX(Balanced_2025!$D$9:$D$3032,MATCH($A1000&amp;Keys!$C$54&amp;Keys!$C$55&amp;Keys!$C$54&amp;$C1000,Balanced_2025!$E$9:$E$3032,0)))</f>
        <v>72906300000000</v>
      </c>
      <c r="H1000" s="10">
        <f>IF($E1000=Keys!$C$60,Keys!$C$51,INDEX(Balanced_2025!$D$9:$D$3032,MATCH($A1000&amp;Keys!$C$54&amp;Keys!$C$56&amp;Keys!$C$54&amp;$C1000,Balanced_2025!$E$9:$E$3032,0)))</f>
        <v>7793610000000</v>
      </c>
      <c r="I1000" s="10">
        <f>IF($E1000=Keys!$C$60,Keys!$C$51,INDEX(Balanced_2025!$D$9:$D$3032,MATCH($A1000&amp;Keys!$C$54&amp;Keys!$C$57&amp;Keys!$C$54&amp;$C1000,Balanced_2025!$E$9:$E$3032,0)))</f>
        <v>799771000000</v>
      </c>
      <c r="J1000" s="10">
        <f t="shared" si="60"/>
        <v>79900139000000</v>
      </c>
      <c r="K1000" s="10">
        <f>MAX(Keys!$C$51,$I1000-$H1000)</f>
        <v>0</v>
      </c>
      <c r="L1000" s="10">
        <f t="shared" si="61"/>
        <v>79900139000000</v>
      </c>
      <c r="M1000" s="11">
        <f>IF($L1000&gt;Keys!$C$51,MIN(Keys!$C$52,$K1000/$L1000),Keys!$C$51)</f>
        <v>0</v>
      </c>
      <c r="N1000" s="11">
        <f>IF($E1000=Keys!$C$60,Keys!$C$51,IF($E1000=Keys!$C$59,$D1000,$M1000))</f>
        <v>0</v>
      </c>
      <c r="O1000">
        <f t="shared" si="62"/>
        <v>1</v>
      </c>
      <c r="P1000" s="10">
        <f>IF($E1000=Keys!$C$60,Keys!$C$51,INDEX(Raw_BFPIaE!$G$9:$G$3032,MATCH($A1000&amp;Keys!$C$54&amp;Keys!$C$55&amp;Keys!$C$54&amp;$B1000,Raw_BFPIaE!$H$9:$H$3032,0)))</f>
        <v>72317266666666.672</v>
      </c>
      <c r="Q1000" s="10">
        <f>IF($E1000=Keys!$C$60,Keys!$C$51,INDEX(Raw_BFPIaE!$G$9:$G$3032,MATCH($A1000&amp;Keys!$C$54&amp;Keys!$C$56&amp;Keys!$C$54&amp;$B1000,Raw_BFPIaE!$H$9:$H$3032,0)))</f>
        <v>6192103333333.333</v>
      </c>
      <c r="R1000" s="10">
        <f>IF($E1000=Keys!$C$60,Keys!$C$51,INDEX(Raw_BFPIaE!$G$9:$G$3032,MATCH($A1000&amp;Keys!$C$54&amp;Keys!$C$57&amp;Keys!$C$54&amp;$B1000,Raw_BFPIaE!$H$9:$H$3032,0)))</f>
        <v>793309333333.33337</v>
      </c>
      <c r="S1000" s="11">
        <f>IF(($P1000+$Q1000-$R1000+MAX(Keys!$C$51,$R1000-$Q1000))&gt;Keys!$C$51,MIN(Keys!$C$52,MAX(Keys!$C$51,$R1000-$Q1000)/($P1000+$Q1000-$R1000+MAX(Keys!$C$51,$R1000-$Q1000))),Keys!$C$51)</f>
        <v>0</v>
      </c>
      <c r="T1000">
        <f>IF(AND($I1000&gt;$H1000,ABS($L1000-$G1000)&gt;MAX(Keys!$C$62,ABS($G1000)*Keys!$C$63)),1,0)</f>
        <v>0</v>
      </c>
      <c r="U1000">
        <f>IF(OR($N1000&lt;Keys!$C$51,$N1000&gt;Keys!$C$52),1,0)</f>
        <v>0</v>
      </c>
      <c r="V1000">
        <f>IF(AND($E1000=Keys!$C$60,$N1000&lt;&gt;Keys!$C$51),1,0)</f>
        <v>0</v>
      </c>
      <c r="W1000">
        <f>IF($L1000&gt;Keys!$C$51,IF($K1000/$L1000&gt;Keys!$C$52,1,0),0)</f>
        <v>0</v>
      </c>
      <c r="X1000" s="11">
        <f t="shared" si="63"/>
        <v>0</v>
      </c>
    </row>
    <row r="1001" spans="1:24" x14ac:dyDescent="0.25">
      <c r="A1001" t="s">
        <v>177</v>
      </c>
      <c r="B1001" t="s">
        <v>91</v>
      </c>
      <c r="C1001" t="str">
        <f>VLOOKUP($B1001,Keys!$F$2:$I$22,2,FALSE)</f>
        <v>biofuel gasoline</v>
      </c>
      <c r="D1001">
        <f>VLOOKUP($B1001,Keys!$F$2:$I$22,3,FALSE)</f>
        <v>8.7213884000000005E-2</v>
      </c>
      <c r="E1001" t="str">
        <f>VLOOKUP($B1001,Keys!$F$2:$I$22,4,FALSE)</f>
        <v>rule</v>
      </c>
      <c r="F1001" t="str">
        <f>$A1001&amp;Keys!$C$54&amp;$B1001</f>
        <v>WY|biofuel gasoline</v>
      </c>
      <c r="G1001" s="10">
        <f>IF($E1001=Keys!$C$60,Keys!$C$51,INDEX(Balanced_2025!$D$9:$D$3032,MATCH($A1001&amp;Keys!$C$54&amp;Keys!$C$55&amp;Keys!$C$54&amp;$C1001,Balanced_2025!$E$9:$E$3032,0)))</f>
        <v>0</v>
      </c>
      <c r="H1001" s="10">
        <f>IF($E1001=Keys!$C$60,Keys!$C$51,INDEX(Balanced_2025!$D$9:$D$3032,MATCH($A1001&amp;Keys!$C$54&amp;Keys!$C$56&amp;Keys!$C$54&amp;$C1001,Balanced_2025!$E$9:$E$3032,0)))</f>
        <v>2451300000000</v>
      </c>
      <c r="I1001" s="10">
        <f>IF($E1001=Keys!$C$60,Keys!$C$51,INDEX(Balanced_2025!$D$9:$D$3032,MATCH($A1001&amp;Keys!$C$54&amp;Keys!$C$57&amp;Keys!$C$54&amp;$C1001,Balanced_2025!$E$9:$E$3032,0)))</f>
        <v>0</v>
      </c>
      <c r="J1001" s="10">
        <f t="shared" si="60"/>
        <v>2451300000000</v>
      </c>
      <c r="K1001" s="10">
        <f>MAX(Keys!$C$51,$I1001-$H1001)</f>
        <v>0</v>
      </c>
      <c r="L1001" s="10">
        <f t="shared" si="61"/>
        <v>2451300000000</v>
      </c>
      <c r="M1001" s="11">
        <f>IF($L1001&gt;Keys!$C$51,MIN(Keys!$C$52,$K1001/$L1001),Keys!$C$51)</f>
        <v>0</v>
      </c>
      <c r="N1001" s="11">
        <f>IF($E1001=Keys!$C$60,Keys!$C$51,IF($E1001=Keys!$C$59,$D1001,$M1001))</f>
        <v>0</v>
      </c>
      <c r="O1001">
        <f t="shared" si="62"/>
        <v>1</v>
      </c>
      <c r="P1001" s="10">
        <f>IF($E1001=Keys!$C$60,Keys!$C$51,INDEX(Raw_BFPIaE!$G$9:$G$3032,MATCH($A1001&amp;Keys!$C$54&amp;Keys!$C$55&amp;Keys!$C$54&amp;$B1001,Raw_BFPIaE!$H$9:$H$3032,0)))</f>
        <v>0</v>
      </c>
      <c r="Q1001" s="10">
        <f>IF($E1001=Keys!$C$60,Keys!$C$51,INDEX(Raw_BFPIaE!$G$9:$G$3032,MATCH($A1001&amp;Keys!$C$54&amp;Keys!$C$56&amp;Keys!$C$54&amp;$B1001,Raw_BFPIaE!$H$9:$H$3032,0)))</f>
        <v>1533000000000</v>
      </c>
      <c r="R1001" s="10">
        <f>IF($E1001=Keys!$C$60,Keys!$C$51,INDEX(Raw_BFPIaE!$G$9:$G$3032,MATCH($A1001&amp;Keys!$C$54&amp;Keys!$C$57&amp;Keys!$C$54&amp;$B1001,Raw_BFPIaE!$H$9:$H$3032,0)))</f>
        <v>0</v>
      </c>
      <c r="S1001" s="11">
        <f>IF(($P1001+$Q1001-$R1001+MAX(Keys!$C$51,$R1001-$Q1001))&gt;Keys!$C$51,MIN(Keys!$C$52,MAX(Keys!$C$51,$R1001-$Q1001)/($P1001+$Q1001-$R1001+MAX(Keys!$C$51,$R1001-$Q1001))),Keys!$C$51)</f>
        <v>0</v>
      </c>
      <c r="T1001">
        <f>IF(AND($I1001&gt;$H1001,ABS($L1001-$G1001)&gt;MAX(Keys!$C$62,ABS($G1001)*Keys!$C$63)),1,0)</f>
        <v>0</v>
      </c>
      <c r="U1001">
        <f>IF(OR($N1001&lt;Keys!$C$51,$N1001&gt;Keys!$C$52),1,0)</f>
        <v>0</v>
      </c>
      <c r="V1001">
        <f>IF(AND($E1001=Keys!$C$60,$N1001&lt;&gt;Keys!$C$51),1,0)</f>
        <v>0</v>
      </c>
      <c r="W1001">
        <f>IF($L1001&gt;Keys!$C$51,IF($K1001/$L1001&gt;Keys!$C$52,1,0),0)</f>
        <v>0</v>
      </c>
      <c r="X1001" s="11">
        <f t="shared" si="63"/>
        <v>0</v>
      </c>
    </row>
    <row r="1002" spans="1:24" x14ac:dyDescent="0.25">
      <c r="A1002" t="s">
        <v>177</v>
      </c>
      <c r="B1002" t="s">
        <v>94</v>
      </c>
      <c r="C1002" t="str">
        <f>VLOOKUP($B1002,Keys!$F$2:$I$22,2,FALSE)</f>
        <v>biofuel diesel</v>
      </c>
      <c r="D1002">
        <f>VLOOKUP($B1002,Keys!$F$2:$I$22,3,FALSE)</f>
        <v>5.8642381E-2</v>
      </c>
      <c r="E1002" t="str">
        <f>VLOOKUP($B1002,Keys!$F$2:$I$22,4,FALSE)</f>
        <v>rule</v>
      </c>
      <c r="F1002" t="str">
        <f>$A1002&amp;Keys!$C$54&amp;$B1002</f>
        <v>WY|biofuel diesel</v>
      </c>
      <c r="G1002" s="10">
        <f>IF($E1002=Keys!$C$60,Keys!$C$51,INDEX(Balanced_2025!$D$9:$D$3032,MATCH($A1002&amp;Keys!$C$54&amp;Keys!$C$55&amp;Keys!$C$54&amp;$C1002,Balanced_2025!$E$9:$E$3032,0)))</f>
        <v>0</v>
      </c>
      <c r="H1002" s="10">
        <f>IF($E1002=Keys!$C$60,Keys!$C$51,INDEX(Balanced_2025!$D$9:$D$3032,MATCH($A1002&amp;Keys!$C$54&amp;Keys!$C$56&amp;Keys!$C$54&amp;$C1002,Balanced_2025!$E$9:$E$3032,0)))</f>
        <v>2844710000000</v>
      </c>
      <c r="I1002" s="10">
        <f>IF($E1002=Keys!$C$60,Keys!$C$51,INDEX(Balanced_2025!$D$9:$D$3032,MATCH($A1002&amp;Keys!$C$54&amp;Keys!$C$57&amp;Keys!$C$54&amp;$C1002,Balanced_2025!$E$9:$E$3032,0)))</f>
        <v>2671110000000</v>
      </c>
      <c r="J1002" s="10">
        <f t="shared" si="60"/>
        <v>173600000000</v>
      </c>
      <c r="K1002" s="10">
        <f>MAX(Keys!$C$51,$I1002-$H1002)</f>
        <v>0</v>
      </c>
      <c r="L1002" s="10">
        <f t="shared" si="61"/>
        <v>173600000000</v>
      </c>
      <c r="M1002" s="11">
        <f>IF($L1002&gt;Keys!$C$51,MIN(Keys!$C$52,$K1002/$L1002),Keys!$C$51)</f>
        <v>0</v>
      </c>
      <c r="N1002" s="11">
        <f>IF($E1002=Keys!$C$60,Keys!$C$51,IF($E1002=Keys!$C$59,$D1002,$M1002))</f>
        <v>0</v>
      </c>
      <c r="O1002">
        <f t="shared" si="62"/>
        <v>1</v>
      </c>
      <c r="P1002" s="10">
        <f>IF($E1002=Keys!$C$60,Keys!$C$51,INDEX(Raw_BFPIaE!$G$9:$G$3032,MATCH($A1002&amp;Keys!$C$54&amp;Keys!$C$55&amp;Keys!$C$54&amp;$B1002,Raw_BFPIaE!$H$9:$H$3032,0)))</f>
        <v>0</v>
      </c>
      <c r="Q1002" s="10">
        <f>IF($E1002=Keys!$C$60,Keys!$C$51,INDEX(Raw_BFPIaE!$G$9:$G$3032,MATCH($A1002&amp;Keys!$C$54&amp;Keys!$C$56&amp;Keys!$C$54&amp;$B1002,Raw_BFPIaE!$H$9:$H$3032,0)))</f>
        <v>2060123333333.3333</v>
      </c>
      <c r="R1002" s="10">
        <f>IF($E1002=Keys!$C$60,Keys!$C$51,INDEX(Raw_BFPIaE!$G$9:$G$3032,MATCH($A1002&amp;Keys!$C$54&amp;Keys!$C$57&amp;Keys!$C$54&amp;$B1002,Raw_BFPIaE!$H$9:$H$3032,0)))</f>
        <v>2838376666666.6665</v>
      </c>
      <c r="S1002" s="11">
        <f>IF(($P1002+$Q1002-$R1002+MAX(Keys!$C$51,$R1002-$Q1002))&gt;Keys!$C$51,MIN(Keys!$C$52,MAX(Keys!$C$51,$R1002-$Q1002)/($P1002+$Q1002-$R1002+MAX(Keys!$C$51,$R1002-$Q1002))),Keys!$C$51)</f>
        <v>0</v>
      </c>
      <c r="T1002">
        <f>IF(AND($I1002&gt;$H1002,ABS($L1002-$G1002)&gt;MAX(Keys!$C$62,ABS($G1002)*Keys!$C$63)),1,0)</f>
        <v>0</v>
      </c>
      <c r="U1002">
        <f>IF(OR($N1002&lt;Keys!$C$51,$N1002&gt;Keys!$C$52),1,0)</f>
        <v>0</v>
      </c>
      <c r="V1002">
        <f>IF(AND($E1002=Keys!$C$60,$N1002&lt;&gt;Keys!$C$51),1,0)</f>
        <v>0</v>
      </c>
      <c r="W1002">
        <f>IF($L1002&gt;Keys!$C$51,IF($K1002/$L1002&gt;Keys!$C$52,1,0),0)</f>
        <v>0</v>
      </c>
      <c r="X1002" s="11">
        <f t="shared" si="63"/>
        <v>0</v>
      </c>
    </row>
    <row r="1003" spans="1:24" x14ac:dyDescent="0.25">
      <c r="A1003" t="s">
        <v>177</v>
      </c>
      <c r="B1003" t="s">
        <v>97</v>
      </c>
      <c r="C1003" t="str">
        <f>VLOOKUP($B1003,Keys!$F$2:$I$22,2,FALSE)</f>
        <v>jet fuel or kerosene</v>
      </c>
      <c r="D1003">
        <f>VLOOKUP($B1003,Keys!$F$2:$I$22,3,FALSE)</f>
        <v>0.10155994</v>
      </c>
      <c r="E1003" t="str">
        <f>VLOOKUP($B1003,Keys!$F$2:$I$22,4,FALSE)</f>
        <v>rule</v>
      </c>
      <c r="F1003" t="str">
        <f>$A1003&amp;Keys!$C$54&amp;$B1003</f>
        <v>WY|jet fuel or kerosene</v>
      </c>
      <c r="G1003" s="10">
        <f>IF($E1003=Keys!$C$60,Keys!$C$51,INDEX(Balanced_2025!$D$9:$D$3032,MATCH($A1003&amp;Keys!$C$54&amp;Keys!$C$55&amp;Keys!$C$54&amp;$C1003,Balanced_2025!$E$9:$E$3032,0)))</f>
        <v>25953200000000</v>
      </c>
      <c r="H1003" s="10">
        <f>IF($E1003=Keys!$C$60,Keys!$C$51,INDEX(Balanced_2025!$D$9:$D$3032,MATCH($A1003&amp;Keys!$C$54&amp;Keys!$C$56&amp;Keys!$C$54&amp;$C1003,Balanced_2025!$E$9:$E$3032,0)))</f>
        <v>0</v>
      </c>
      <c r="I1003" s="10">
        <f>IF($E1003=Keys!$C$60,Keys!$C$51,INDEX(Balanced_2025!$D$9:$D$3032,MATCH($A1003&amp;Keys!$C$54&amp;Keys!$C$57&amp;Keys!$C$54&amp;$C1003,Balanced_2025!$E$9:$E$3032,0)))</f>
        <v>23042500000000</v>
      </c>
      <c r="J1003" s="10">
        <f t="shared" si="60"/>
        <v>2910700000000</v>
      </c>
      <c r="K1003" s="10">
        <f>MAX(Keys!$C$51,$I1003-$H1003)</f>
        <v>23042500000000</v>
      </c>
      <c r="L1003" s="10">
        <f t="shared" si="61"/>
        <v>25953200000000</v>
      </c>
      <c r="M1003" s="11">
        <f>IF($L1003&gt;Keys!$C$51,MIN(Keys!$C$52,$K1003/$L1003),Keys!$C$51)</f>
        <v>0.88784812662793022</v>
      </c>
      <c r="N1003" s="11">
        <f>IF($E1003=Keys!$C$60,Keys!$C$51,IF($E1003=Keys!$C$59,$D1003,$M1003))</f>
        <v>0.88784812662793022</v>
      </c>
      <c r="O1003">
        <f t="shared" si="62"/>
        <v>1</v>
      </c>
      <c r="P1003" s="10">
        <f>IF($E1003=Keys!$C$60,Keys!$C$51,INDEX(Raw_BFPIaE!$G$9:$G$3032,MATCH($A1003&amp;Keys!$C$54&amp;Keys!$C$55&amp;Keys!$C$54&amp;$B1003,Raw_BFPIaE!$H$9:$H$3032,0)))</f>
        <v>25743500000000</v>
      </c>
      <c r="Q1003" s="10">
        <f>IF($E1003=Keys!$C$60,Keys!$C$51,INDEX(Raw_BFPIaE!$G$9:$G$3032,MATCH($A1003&amp;Keys!$C$54&amp;Keys!$C$56&amp;Keys!$C$54&amp;$B1003,Raw_BFPIaE!$H$9:$H$3032,0)))</f>
        <v>0</v>
      </c>
      <c r="R1003" s="10">
        <f>IF($E1003=Keys!$C$60,Keys!$C$51,INDEX(Raw_BFPIaE!$G$9:$G$3032,MATCH($A1003&amp;Keys!$C$54&amp;Keys!$C$57&amp;Keys!$C$54&amp;$B1003,Raw_BFPIaE!$H$9:$H$3032,0)))</f>
        <v>15128525666666.666</v>
      </c>
      <c r="S1003" s="11">
        <f>IF(($P1003+$Q1003-$R1003+MAX(Keys!$C$51,$R1003-$Q1003))&gt;Keys!$C$51,MIN(Keys!$C$52,MAX(Keys!$C$51,$R1003-$Q1003)/($P1003+$Q1003-$R1003+MAX(Keys!$C$51,$R1003-$Q1003))),Keys!$C$51)</f>
        <v>0.58766390221479858</v>
      </c>
      <c r="T1003">
        <f>IF(AND($I1003&gt;$H1003,ABS($L1003-$G1003)&gt;MAX(Keys!$C$62,ABS($G1003)*Keys!$C$63)),1,0)</f>
        <v>0</v>
      </c>
      <c r="U1003">
        <f>IF(OR($N1003&lt;Keys!$C$51,$N1003&gt;Keys!$C$52),1,0)</f>
        <v>0</v>
      </c>
      <c r="V1003">
        <f>IF(AND($E1003=Keys!$C$60,$N1003&lt;&gt;Keys!$C$51),1,0)</f>
        <v>0</v>
      </c>
      <c r="W1003">
        <f>IF($L1003&gt;Keys!$C$51,IF($K1003/$L1003&gt;Keys!$C$52,1,0),0)</f>
        <v>0</v>
      </c>
      <c r="X1003" s="11">
        <f t="shared" si="63"/>
        <v>0.30018422441313164</v>
      </c>
    </row>
    <row r="1004" spans="1:24" x14ac:dyDescent="0.25">
      <c r="A1004" t="s">
        <v>177</v>
      </c>
      <c r="B1004" t="s">
        <v>100</v>
      </c>
      <c r="C1004">
        <f>VLOOKUP($B1004,Keys!$F$2:$I$22,2,FALSE)</f>
        <v>0</v>
      </c>
      <c r="D1004">
        <f>VLOOKUP($B1004,Keys!$F$2:$I$22,3,FALSE)</f>
        <v>0</v>
      </c>
      <c r="E1004" t="str">
        <f>VLOOKUP($B1004,Keys!$F$2:$I$22,4,FALSE)</f>
        <v>zero</v>
      </c>
      <c r="F1004" t="str">
        <f>$A1004&amp;Keys!$C$54&amp;$B1004</f>
        <v>WY|heat (not used in this variable)</v>
      </c>
      <c r="G1004" s="10">
        <f>IF($E1004=Keys!$C$60,Keys!$C$51,INDEX(Balanced_2025!$D$9:$D$3032,MATCH($A1004&amp;Keys!$C$54&amp;Keys!$C$55&amp;Keys!$C$54&amp;$C1004,Balanced_2025!$E$9:$E$3032,0)))</f>
        <v>0</v>
      </c>
      <c r="H1004" s="10">
        <f>IF($E1004=Keys!$C$60,Keys!$C$51,INDEX(Balanced_2025!$D$9:$D$3032,MATCH($A1004&amp;Keys!$C$54&amp;Keys!$C$56&amp;Keys!$C$54&amp;$C1004,Balanced_2025!$E$9:$E$3032,0)))</f>
        <v>0</v>
      </c>
      <c r="I1004" s="10">
        <f>IF($E1004=Keys!$C$60,Keys!$C$51,INDEX(Balanced_2025!$D$9:$D$3032,MATCH($A1004&amp;Keys!$C$54&amp;Keys!$C$57&amp;Keys!$C$54&amp;$C1004,Balanced_2025!$E$9:$E$3032,0)))</f>
        <v>0</v>
      </c>
      <c r="J1004" s="10">
        <f t="shared" si="60"/>
        <v>0</v>
      </c>
      <c r="K1004" s="10">
        <f>MAX(Keys!$C$51,$I1004-$H1004)</f>
        <v>0</v>
      </c>
      <c r="L1004" s="10">
        <f t="shared" si="61"/>
        <v>0</v>
      </c>
      <c r="M1004" s="11">
        <f>IF($L1004&gt;Keys!$C$51,MIN(Keys!$C$52,$K1004/$L1004),Keys!$C$51)</f>
        <v>0</v>
      </c>
      <c r="N1004" s="11">
        <f>IF($E1004=Keys!$C$60,Keys!$C$51,IF($E1004=Keys!$C$59,$D1004,$M1004))</f>
        <v>0</v>
      </c>
      <c r="O1004">
        <f t="shared" si="62"/>
        <v>0</v>
      </c>
      <c r="P1004" s="10">
        <f>IF($E1004=Keys!$C$60,Keys!$C$51,INDEX(Raw_BFPIaE!$G$9:$G$3032,MATCH($A1004&amp;Keys!$C$54&amp;Keys!$C$55&amp;Keys!$C$54&amp;$B1004,Raw_BFPIaE!$H$9:$H$3032,0)))</f>
        <v>0</v>
      </c>
      <c r="Q1004" s="10">
        <f>IF($E1004=Keys!$C$60,Keys!$C$51,INDEX(Raw_BFPIaE!$G$9:$G$3032,MATCH($A1004&amp;Keys!$C$54&amp;Keys!$C$56&amp;Keys!$C$54&amp;$B1004,Raw_BFPIaE!$H$9:$H$3032,0)))</f>
        <v>0</v>
      </c>
      <c r="R1004" s="10">
        <f>IF($E1004=Keys!$C$60,Keys!$C$51,INDEX(Raw_BFPIaE!$G$9:$G$3032,MATCH($A1004&amp;Keys!$C$54&amp;Keys!$C$57&amp;Keys!$C$54&amp;$B1004,Raw_BFPIaE!$H$9:$H$3032,0)))</f>
        <v>0</v>
      </c>
      <c r="S1004" s="11">
        <f>IF(($P1004+$Q1004-$R1004+MAX(Keys!$C$51,$R1004-$Q1004))&gt;Keys!$C$51,MIN(Keys!$C$52,MAX(Keys!$C$51,$R1004-$Q1004)/($P1004+$Q1004-$R1004+MAX(Keys!$C$51,$R1004-$Q1004))),Keys!$C$51)</f>
        <v>0</v>
      </c>
      <c r="T1004">
        <f>IF(AND($I1004&gt;$H1004,ABS($L1004-$G1004)&gt;MAX(Keys!$C$62,ABS($G1004)*Keys!$C$63)),1,0)</f>
        <v>0</v>
      </c>
      <c r="U1004">
        <f>IF(OR($N1004&lt;Keys!$C$51,$N1004&gt;Keys!$C$52),1,0)</f>
        <v>0</v>
      </c>
      <c r="V1004">
        <f>IF(AND($E1004=Keys!$C$60,$N1004&lt;&gt;Keys!$C$51),1,0)</f>
        <v>0</v>
      </c>
      <c r="W1004">
        <f>IF($L1004&gt;Keys!$C$51,IF($K1004/$L1004&gt;Keys!$C$52,1,0),0)</f>
        <v>0</v>
      </c>
      <c r="X1004" s="11">
        <f t="shared" si="63"/>
        <v>0</v>
      </c>
    </row>
    <row r="1005" spans="1:24" x14ac:dyDescent="0.25">
      <c r="A1005" t="s">
        <v>177</v>
      </c>
      <c r="B1005" t="s">
        <v>103</v>
      </c>
      <c r="C1005">
        <f>VLOOKUP($B1005,Keys!$F$2:$I$22,2,FALSE)</f>
        <v>0</v>
      </c>
      <c r="D1005">
        <f>VLOOKUP($B1005,Keys!$F$2:$I$22,3,FALSE)</f>
        <v>0</v>
      </c>
      <c r="E1005" t="str">
        <f>VLOOKUP($B1005,Keys!$F$2:$I$22,4,FALSE)</f>
        <v>zero</v>
      </c>
      <c r="F1005" t="str">
        <f>$A1005&amp;Keys!$C$54&amp;$B1005</f>
        <v>WY|geothermal (is not a fuel)</v>
      </c>
      <c r="G1005" s="10">
        <f>IF($E1005=Keys!$C$60,Keys!$C$51,INDEX(Balanced_2025!$D$9:$D$3032,MATCH($A1005&amp;Keys!$C$54&amp;Keys!$C$55&amp;Keys!$C$54&amp;$C1005,Balanced_2025!$E$9:$E$3032,0)))</f>
        <v>0</v>
      </c>
      <c r="H1005" s="10">
        <f>IF($E1005=Keys!$C$60,Keys!$C$51,INDEX(Balanced_2025!$D$9:$D$3032,MATCH($A1005&amp;Keys!$C$54&amp;Keys!$C$56&amp;Keys!$C$54&amp;$C1005,Balanced_2025!$E$9:$E$3032,0)))</f>
        <v>0</v>
      </c>
      <c r="I1005" s="10">
        <f>IF($E1005=Keys!$C$60,Keys!$C$51,INDEX(Balanced_2025!$D$9:$D$3032,MATCH($A1005&amp;Keys!$C$54&amp;Keys!$C$57&amp;Keys!$C$54&amp;$C1005,Balanced_2025!$E$9:$E$3032,0)))</f>
        <v>0</v>
      </c>
      <c r="J1005" s="10">
        <f t="shared" si="60"/>
        <v>0</v>
      </c>
      <c r="K1005" s="10">
        <f>MAX(Keys!$C$51,$I1005-$H1005)</f>
        <v>0</v>
      </c>
      <c r="L1005" s="10">
        <f t="shared" si="61"/>
        <v>0</v>
      </c>
      <c r="M1005" s="11">
        <f>IF($L1005&gt;Keys!$C$51,MIN(Keys!$C$52,$K1005/$L1005),Keys!$C$51)</f>
        <v>0</v>
      </c>
      <c r="N1005" s="11">
        <f>IF($E1005=Keys!$C$60,Keys!$C$51,IF($E1005=Keys!$C$59,$D1005,$M1005))</f>
        <v>0</v>
      </c>
      <c r="O1005">
        <f t="shared" si="62"/>
        <v>0</v>
      </c>
      <c r="P1005" s="10">
        <f>IF($E1005=Keys!$C$60,Keys!$C$51,INDEX(Raw_BFPIaE!$G$9:$G$3032,MATCH($A1005&amp;Keys!$C$54&amp;Keys!$C$55&amp;Keys!$C$54&amp;$B1005,Raw_BFPIaE!$H$9:$H$3032,0)))</f>
        <v>0</v>
      </c>
      <c r="Q1005" s="10">
        <f>IF($E1005=Keys!$C$60,Keys!$C$51,INDEX(Raw_BFPIaE!$G$9:$G$3032,MATCH($A1005&amp;Keys!$C$54&amp;Keys!$C$56&amp;Keys!$C$54&amp;$B1005,Raw_BFPIaE!$H$9:$H$3032,0)))</f>
        <v>0</v>
      </c>
      <c r="R1005" s="10">
        <f>IF($E1005=Keys!$C$60,Keys!$C$51,INDEX(Raw_BFPIaE!$G$9:$G$3032,MATCH($A1005&amp;Keys!$C$54&amp;Keys!$C$57&amp;Keys!$C$54&amp;$B1005,Raw_BFPIaE!$H$9:$H$3032,0)))</f>
        <v>0</v>
      </c>
      <c r="S1005" s="11">
        <f>IF(($P1005+$Q1005-$R1005+MAX(Keys!$C$51,$R1005-$Q1005))&gt;Keys!$C$51,MIN(Keys!$C$52,MAX(Keys!$C$51,$R1005-$Q1005)/($P1005+$Q1005-$R1005+MAX(Keys!$C$51,$R1005-$Q1005))),Keys!$C$51)</f>
        <v>0</v>
      </c>
      <c r="T1005">
        <f>IF(AND($I1005&gt;$H1005,ABS($L1005-$G1005)&gt;MAX(Keys!$C$62,ABS($G1005)*Keys!$C$63)),1,0)</f>
        <v>0</v>
      </c>
      <c r="U1005">
        <f>IF(OR($N1005&lt;Keys!$C$51,$N1005&gt;Keys!$C$52),1,0)</f>
        <v>0</v>
      </c>
      <c r="V1005">
        <f>IF(AND($E1005=Keys!$C$60,$N1005&lt;&gt;Keys!$C$51),1,0)</f>
        <v>0</v>
      </c>
      <c r="W1005">
        <f>IF($L1005&gt;Keys!$C$51,IF($K1005/$L1005&gt;Keys!$C$52,1,0),0)</f>
        <v>0</v>
      </c>
      <c r="X1005" s="11">
        <f t="shared" si="63"/>
        <v>0</v>
      </c>
    </row>
    <row r="1006" spans="1:24" x14ac:dyDescent="0.25">
      <c r="A1006" t="s">
        <v>177</v>
      </c>
      <c r="B1006" t="s">
        <v>106</v>
      </c>
      <c r="C1006" t="str">
        <f>VLOOKUP($B1006,Keys!$F$2:$I$22,2,FALSE)</f>
        <v>lignite</v>
      </c>
      <c r="D1006">
        <f>VLOOKUP($B1006,Keys!$F$2:$I$22,3,FALSE)</f>
        <v>0</v>
      </c>
      <c r="E1006" t="str">
        <f>VLOOKUP($B1006,Keys!$F$2:$I$22,4,FALSE)</f>
        <v>rule</v>
      </c>
      <c r="F1006" t="str">
        <f>$A1006&amp;Keys!$C$54&amp;$B1006</f>
        <v>WY|lignite</v>
      </c>
      <c r="G1006" s="10">
        <f>IF($E1006=Keys!$C$60,Keys!$C$51,INDEX(Balanced_2025!$D$9:$D$3032,MATCH($A1006&amp;Keys!$C$54&amp;Keys!$C$55&amp;Keys!$C$54&amp;$C1006,Balanced_2025!$E$9:$E$3032,0)))</f>
        <v>0</v>
      </c>
      <c r="H1006" s="10">
        <f>IF($E1006=Keys!$C$60,Keys!$C$51,INDEX(Balanced_2025!$D$9:$D$3032,MATCH($A1006&amp;Keys!$C$54&amp;Keys!$C$56&amp;Keys!$C$54&amp;$C1006,Balanced_2025!$E$9:$E$3032,0)))</f>
        <v>0</v>
      </c>
      <c r="I1006" s="10">
        <f>IF($E1006=Keys!$C$60,Keys!$C$51,INDEX(Balanced_2025!$D$9:$D$3032,MATCH($A1006&amp;Keys!$C$54&amp;Keys!$C$57&amp;Keys!$C$54&amp;$C1006,Balanced_2025!$E$9:$E$3032,0)))</f>
        <v>0</v>
      </c>
      <c r="J1006" s="10">
        <f t="shared" si="60"/>
        <v>0</v>
      </c>
      <c r="K1006" s="10">
        <f>MAX(Keys!$C$51,$I1006-$H1006)</f>
        <v>0</v>
      </c>
      <c r="L1006" s="10">
        <f t="shared" si="61"/>
        <v>0</v>
      </c>
      <c r="M1006" s="11">
        <f>IF($L1006&gt;Keys!$C$51,MIN(Keys!$C$52,$K1006/$L1006),Keys!$C$51)</f>
        <v>0</v>
      </c>
      <c r="N1006" s="11">
        <f>IF($E1006=Keys!$C$60,Keys!$C$51,IF($E1006=Keys!$C$59,$D1006,$M1006))</f>
        <v>0</v>
      </c>
      <c r="O1006">
        <f t="shared" si="62"/>
        <v>0</v>
      </c>
      <c r="P1006" s="10">
        <f>IF($E1006=Keys!$C$60,Keys!$C$51,INDEX(Raw_BFPIaE!$G$9:$G$3032,MATCH($A1006&amp;Keys!$C$54&amp;Keys!$C$55&amp;Keys!$C$54&amp;$B1006,Raw_BFPIaE!$H$9:$H$3032,0)))</f>
        <v>0</v>
      </c>
      <c r="Q1006" s="10">
        <f>IF($E1006=Keys!$C$60,Keys!$C$51,INDEX(Raw_BFPIaE!$G$9:$G$3032,MATCH($A1006&amp;Keys!$C$54&amp;Keys!$C$56&amp;Keys!$C$54&amp;$B1006,Raw_BFPIaE!$H$9:$H$3032,0)))</f>
        <v>0</v>
      </c>
      <c r="R1006" s="10">
        <f>IF($E1006=Keys!$C$60,Keys!$C$51,INDEX(Raw_BFPIaE!$G$9:$G$3032,MATCH($A1006&amp;Keys!$C$54&amp;Keys!$C$57&amp;Keys!$C$54&amp;$B1006,Raw_BFPIaE!$H$9:$H$3032,0)))</f>
        <v>0</v>
      </c>
      <c r="S1006" s="11">
        <f>IF(($P1006+$Q1006-$R1006+MAX(Keys!$C$51,$R1006-$Q1006))&gt;Keys!$C$51,MIN(Keys!$C$52,MAX(Keys!$C$51,$R1006-$Q1006)/($P1006+$Q1006-$R1006+MAX(Keys!$C$51,$R1006-$Q1006))),Keys!$C$51)</f>
        <v>0</v>
      </c>
      <c r="T1006">
        <f>IF(AND($I1006&gt;$H1006,ABS($L1006-$G1006)&gt;MAX(Keys!$C$62,ABS($G1006)*Keys!$C$63)),1,0)</f>
        <v>0</v>
      </c>
      <c r="U1006">
        <f>IF(OR($N1006&lt;Keys!$C$51,$N1006&gt;Keys!$C$52),1,0)</f>
        <v>0</v>
      </c>
      <c r="V1006">
        <f>IF(AND($E1006=Keys!$C$60,$N1006&lt;&gt;Keys!$C$51),1,0)</f>
        <v>0</v>
      </c>
      <c r="W1006">
        <f>IF($L1006&gt;Keys!$C$51,IF($K1006/$L1006&gt;Keys!$C$52,1,0),0)</f>
        <v>0</v>
      </c>
      <c r="X1006" s="11">
        <f t="shared" si="63"/>
        <v>0</v>
      </c>
    </row>
    <row r="1007" spans="1:24" x14ac:dyDescent="0.25">
      <c r="A1007" t="s">
        <v>177</v>
      </c>
      <c r="B1007" t="s">
        <v>109</v>
      </c>
      <c r="C1007" t="str">
        <f>VLOOKUP($B1007,Keys!$F$2:$I$22,2,FALSE)</f>
        <v>crude oil</v>
      </c>
      <c r="D1007">
        <f>VLOOKUP($B1007,Keys!$F$2:$I$22,3,FALSE)</f>
        <v>1</v>
      </c>
      <c r="E1007" t="str">
        <f>VLOOKUP($B1007,Keys!$F$2:$I$22,4,FALSE)</f>
        <v>hold</v>
      </c>
      <c r="F1007" t="str">
        <f>$A1007&amp;Keys!$C$54&amp;$B1007</f>
        <v>WY|crude oil</v>
      </c>
      <c r="G1007" s="10">
        <f>IF($E1007=Keys!$C$60,Keys!$C$51,INDEX(Balanced_2025!$D$9:$D$3032,MATCH($A1007&amp;Keys!$C$54&amp;Keys!$C$55&amp;Keys!$C$54&amp;$C1007,Balanced_2025!$E$9:$E$3032,0)))</f>
        <v>619191000000000</v>
      </c>
      <c r="H1007" s="10">
        <f>IF($E1007=Keys!$C$60,Keys!$C$51,INDEX(Balanced_2025!$D$9:$D$3032,MATCH($A1007&amp;Keys!$C$54&amp;Keys!$C$56&amp;Keys!$C$54&amp;$C1007,Balanced_2025!$E$9:$E$3032,0)))</f>
        <v>0</v>
      </c>
      <c r="I1007" s="10">
        <f>IF($E1007=Keys!$C$60,Keys!$C$51,INDEX(Balanced_2025!$D$9:$D$3032,MATCH($A1007&amp;Keys!$C$54&amp;Keys!$C$57&amp;Keys!$C$54&amp;$C1007,Balanced_2025!$E$9:$E$3032,0)))</f>
        <v>358440000000000</v>
      </c>
      <c r="J1007" s="10">
        <f t="shared" si="60"/>
        <v>260751000000000</v>
      </c>
      <c r="K1007" s="10">
        <f>MAX(Keys!$C$51,$I1007-$H1007)</f>
        <v>358440000000000</v>
      </c>
      <c r="L1007" s="10">
        <f t="shared" si="61"/>
        <v>619191000000000</v>
      </c>
      <c r="M1007" s="11">
        <f>IF($L1007&gt;Keys!$C$51,MIN(Keys!$C$52,$K1007/$L1007),Keys!$C$51)</f>
        <v>0.578884383009443</v>
      </c>
      <c r="N1007" s="11">
        <f>IF($E1007=Keys!$C$60,Keys!$C$51,IF($E1007=Keys!$C$59,$D1007,$M1007))</f>
        <v>1</v>
      </c>
      <c r="O1007">
        <f t="shared" si="62"/>
        <v>0</v>
      </c>
      <c r="P1007" s="10">
        <f>IF($E1007=Keys!$C$60,Keys!$C$51,INDEX(Raw_BFPIaE!$G$9:$G$3032,MATCH($A1007&amp;Keys!$C$54&amp;Keys!$C$55&amp;Keys!$C$54&amp;$B1007,Raw_BFPIaE!$H$9:$H$3032,0)))</f>
        <v>615433000000000</v>
      </c>
      <c r="Q1007" s="10">
        <f>IF($E1007=Keys!$C$60,Keys!$C$51,INDEX(Raw_BFPIaE!$G$9:$G$3032,MATCH($A1007&amp;Keys!$C$54&amp;Keys!$C$56&amp;Keys!$C$54&amp;$B1007,Raw_BFPIaE!$H$9:$H$3032,0)))</f>
        <v>0</v>
      </c>
      <c r="R1007" s="10">
        <f>IF($E1007=Keys!$C$60,Keys!$C$51,INDEX(Raw_BFPIaE!$G$9:$G$3032,MATCH($A1007&amp;Keys!$C$54&amp;Keys!$C$57&amp;Keys!$C$54&amp;$B1007,Raw_BFPIaE!$H$9:$H$3032,0)))</f>
        <v>235202000000000</v>
      </c>
      <c r="S1007" s="11">
        <f>IF(($P1007+$Q1007-$R1007+MAX(Keys!$C$51,$R1007-$Q1007))&gt;Keys!$C$51,MIN(Keys!$C$52,MAX(Keys!$C$51,$R1007-$Q1007)/($P1007+$Q1007-$R1007+MAX(Keys!$C$51,$R1007-$Q1007))),Keys!$C$51)</f>
        <v>0.38217320163202168</v>
      </c>
      <c r="T1007">
        <f>IF(AND($I1007&gt;$H1007,ABS($L1007-$G1007)&gt;MAX(Keys!$C$62,ABS($G1007)*Keys!$C$63)),1,0)</f>
        <v>0</v>
      </c>
      <c r="U1007">
        <f>IF(OR($N1007&lt;Keys!$C$51,$N1007&gt;Keys!$C$52),1,0)</f>
        <v>0</v>
      </c>
      <c r="V1007">
        <f>IF(AND($E1007=Keys!$C$60,$N1007&lt;&gt;Keys!$C$51),1,0)</f>
        <v>0</v>
      </c>
      <c r="W1007">
        <f>IF($L1007&gt;Keys!$C$51,IF($K1007/$L1007&gt;Keys!$C$52,1,0),0)</f>
        <v>0</v>
      </c>
      <c r="X1007" s="11">
        <f t="shared" si="63"/>
        <v>0.19671118137742133</v>
      </c>
    </row>
    <row r="1008" spans="1:24" x14ac:dyDescent="0.25">
      <c r="A1008" t="s">
        <v>177</v>
      </c>
      <c r="B1008" t="s">
        <v>113</v>
      </c>
      <c r="C1008" t="str">
        <f>VLOOKUP($B1008,Keys!$F$2:$I$22,2,FALSE)</f>
        <v>heavy or residual fuel oil</v>
      </c>
      <c r="D1008">
        <f>VLOOKUP($B1008,Keys!$F$2:$I$22,3,FALSE)</f>
        <v>0.49914171099999999</v>
      </c>
      <c r="E1008" t="str">
        <f>VLOOKUP($B1008,Keys!$F$2:$I$22,4,FALSE)</f>
        <v>rule</v>
      </c>
      <c r="F1008" t="str">
        <f>$A1008&amp;Keys!$C$54&amp;$B1008</f>
        <v>WY|heavy fuel oil</v>
      </c>
      <c r="G1008" s="10">
        <f>IF($E1008=Keys!$C$60,Keys!$C$51,INDEX(Balanced_2025!$D$9:$D$3032,MATCH($A1008&amp;Keys!$C$54&amp;Keys!$C$55&amp;Keys!$C$54&amp;$C1008,Balanced_2025!$E$9:$E$3032,0)))</f>
        <v>5041490000000</v>
      </c>
      <c r="H1008" s="10">
        <f>IF($E1008=Keys!$C$60,Keys!$C$51,INDEX(Balanced_2025!$D$9:$D$3032,MATCH($A1008&amp;Keys!$C$54&amp;Keys!$C$56&amp;Keys!$C$54&amp;$C1008,Balanced_2025!$E$9:$E$3032,0)))</f>
        <v>341484000000</v>
      </c>
      <c r="I1008" s="10">
        <f>IF($E1008=Keys!$C$60,Keys!$C$51,INDEX(Balanced_2025!$D$9:$D$3032,MATCH($A1008&amp;Keys!$C$54&amp;Keys!$C$57&amp;Keys!$C$54&amp;$C1008,Balanced_2025!$E$9:$E$3032,0)))</f>
        <v>91324500000</v>
      </c>
      <c r="J1008" s="10">
        <f t="shared" si="60"/>
        <v>5291649500000</v>
      </c>
      <c r="K1008" s="10">
        <f>MAX(Keys!$C$51,$I1008-$H1008)</f>
        <v>0</v>
      </c>
      <c r="L1008" s="10">
        <f t="shared" si="61"/>
        <v>5291649500000</v>
      </c>
      <c r="M1008" s="11">
        <f>IF($L1008&gt;Keys!$C$51,MIN(Keys!$C$52,$K1008/$L1008),Keys!$C$51)</f>
        <v>0</v>
      </c>
      <c r="N1008" s="11">
        <f>IF($E1008=Keys!$C$60,Keys!$C$51,IF($E1008=Keys!$C$59,$D1008,$M1008))</f>
        <v>0</v>
      </c>
      <c r="O1008">
        <f t="shared" si="62"/>
        <v>1</v>
      </c>
      <c r="P1008" s="10">
        <f>IF($E1008=Keys!$C$60,Keys!$C$51,INDEX(Raw_BFPIaE!$G$9:$G$3032,MATCH($A1008&amp;Keys!$C$54&amp;Keys!$C$55&amp;Keys!$C$54&amp;$B1008,Raw_BFPIaE!$H$9:$H$3032,0)))</f>
        <v>5000760000000</v>
      </c>
      <c r="Q1008" s="10">
        <f>IF($E1008=Keys!$C$60,Keys!$C$51,INDEX(Raw_BFPIaE!$G$9:$G$3032,MATCH($A1008&amp;Keys!$C$54&amp;Keys!$C$56&amp;Keys!$C$54&amp;$B1008,Raw_BFPIaE!$H$9:$H$3032,0)))</f>
        <v>304362333333.33331</v>
      </c>
      <c r="R1008" s="10">
        <f>IF($E1008=Keys!$C$60,Keys!$C$51,INDEX(Raw_BFPIaE!$G$9:$G$3032,MATCH($A1008&amp;Keys!$C$54&amp;Keys!$C$57&amp;Keys!$C$54&amp;$B1008,Raw_BFPIaE!$H$9:$H$3032,0)))</f>
        <v>90586633333.333328</v>
      </c>
      <c r="S1008" s="11">
        <f>IF(($P1008+$Q1008-$R1008+MAX(Keys!$C$51,$R1008-$Q1008))&gt;Keys!$C$51,MIN(Keys!$C$52,MAX(Keys!$C$51,$R1008-$Q1008)/($P1008+$Q1008-$R1008+MAX(Keys!$C$51,$R1008-$Q1008))),Keys!$C$51)</f>
        <v>0</v>
      </c>
      <c r="T1008">
        <f>IF(AND($I1008&gt;$H1008,ABS($L1008-$G1008)&gt;MAX(Keys!$C$62,ABS($G1008)*Keys!$C$63)),1,0)</f>
        <v>0</v>
      </c>
      <c r="U1008">
        <f>IF(OR($N1008&lt;Keys!$C$51,$N1008&gt;Keys!$C$52),1,0)</f>
        <v>0</v>
      </c>
      <c r="V1008">
        <f>IF(AND($E1008=Keys!$C$60,$N1008&lt;&gt;Keys!$C$51),1,0)</f>
        <v>0</v>
      </c>
      <c r="W1008">
        <f>IF($L1008&gt;Keys!$C$51,IF($K1008/$L1008&gt;Keys!$C$52,1,0),0)</f>
        <v>0</v>
      </c>
      <c r="X1008" s="11">
        <f t="shared" si="63"/>
        <v>0</v>
      </c>
    </row>
    <row r="1009" spans="1:24" x14ac:dyDescent="0.25">
      <c r="A1009" t="s">
        <v>177</v>
      </c>
      <c r="B1009" t="s">
        <v>117</v>
      </c>
      <c r="C1009" t="str">
        <f>VLOOKUP($B1009,Keys!$F$2:$I$22,2,FALSE)</f>
        <v>LPG propane or butane</v>
      </c>
      <c r="D1009">
        <f>VLOOKUP($B1009,Keys!$F$2:$I$22,3,FALSE)</f>
        <v>0.54955999499999997</v>
      </c>
      <c r="E1009" t="str">
        <f>VLOOKUP($B1009,Keys!$F$2:$I$22,4,FALSE)</f>
        <v>rule</v>
      </c>
      <c r="F1009" t="str">
        <f>$A1009&amp;Keys!$C$54&amp;$B1009</f>
        <v>WY|LPG propane or butane</v>
      </c>
      <c r="G1009" s="10">
        <f>IF($E1009=Keys!$C$60,Keys!$C$51,INDEX(Balanced_2025!$D$9:$D$3032,MATCH($A1009&amp;Keys!$C$54&amp;Keys!$C$55&amp;Keys!$C$54&amp;$C1009,Balanced_2025!$E$9:$E$3032,0)))</f>
        <v>126534000000000</v>
      </c>
      <c r="H1009" s="10">
        <f>IF($E1009=Keys!$C$60,Keys!$C$51,INDEX(Balanced_2025!$D$9:$D$3032,MATCH($A1009&amp;Keys!$C$54&amp;Keys!$C$56&amp;Keys!$C$54&amp;$C1009,Balanced_2025!$E$9:$E$3032,0)))</f>
        <v>0</v>
      </c>
      <c r="I1009" s="10">
        <f>IF($E1009=Keys!$C$60,Keys!$C$51,INDEX(Balanced_2025!$D$9:$D$3032,MATCH($A1009&amp;Keys!$C$54&amp;Keys!$C$57&amp;Keys!$C$54&amp;$C1009,Balanced_2025!$E$9:$E$3032,0)))</f>
        <v>120826000000000</v>
      </c>
      <c r="J1009" s="10">
        <f t="shared" si="60"/>
        <v>5708000000000</v>
      </c>
      <c r="K1009" s="10">
        <f>MAX(Keys!$C$51,$I1009-$H1009)</f>
        <v>120826000000000</v>
      </c>
      <c r="L1009" s="10">
        <f t="shared" si="61"/>
        <v>126534000000000</v>
      </c>
      <c r="M1009" s="11">
        <f>IF($L1009&gt;Keys!$C$51,MIN(Keys!$C$52,$K1009/$L1009),Keys!$C$51)</f>
        <v>0.95488959489149161</v>
      </c>
      <c r="N1009" s="11">
        <f>IF($E1009=Keys!$C$60,Keys!$C$51,IF($E1009=Keys!$C$59,$D1009,$M1009))</f>
        <v>0.95488959489149161</v>
      </c>
      <c r="O1009">
        <f t="shared" si="62"/>
        <v>1</v>
      </c>
      <c r="P1009" s="10">
        <f>IF($E1009=Keys!$C$60,Keys!$C$51,INDEX(Raw_BFPIaE!$G$9:$G$3032,MATCH($A1009&amp;Keys!$C$54&amp;Keys!$C$55&amp;Keys!$C$54&amp;$B1009,Raw_BFPIaE!$H$9:$H$3032,0)))</f>
        <v>127429666666666.67</v>
      </c>
      <c r="Q1009" s="10">
        <f>IF($E1009=Keys!$C$60,Keys!$C$51,INDEX(Raw_BFPIaE!$G$9:$G$3032,MATCH($A1009&amp;Keys!$C$54&amp;Keys!$C$56&amp;Keys!$C$54&amp;$B1009,Raw_BFPIaE!$H$9:$H$3032,0)))</f>
        <v>0</v>
      </c>
      <c r="R1009" s="10">
        <f>IF($E1009=Keys!$C$60,Keys!$C$51,INDEX(Raw_BFPIaE!$G$9:$G$3032,MATCH($A1009&amp;Keys!$C$54&amp;Keys!$C$57&amp;Keys!$C$54&amp;$B1009,Raw_BFPIaE!$H$9:$H$3032,0)))</f>
        <v>81460000000000</v>
      </c>
      <c r="S1009" s="11">
        <f>IF(($P1009+$Q1009-$R1009+MAX(Keys!$C$51,$R1009-$Q1009))&gt;Keys!$C$51,MIN(Keys!$C$52,MAX(Keys!$C$51,$R1009-$Q1009)/($P1009+$Q1009-$R1009+MAX(Keys!$C$51,$R1009-$Q1009))),Keys!$C$51)</f>
        <v>0.63925459534540618</v>
      </c>
      <c r="T1009">
        <f>IF(AND($I1009&gt;$H1009,ABS($L1009-$G1009)&gt;MAX(Keys!$C$62,ABS($G1009)*Keys!$C$63)),1,0)</f>
        <v>0</v>
      </c>
      <c r="U1009">
        <f>IF(OR($N1009&lt;Keys!$C$51,$N1009&gt;Keys!$C$52),1,0)</f>
        <v>0</v>
      </c>
      <c r="V1009">
        <f>IF(AND($E1009=Keys!$C$60,$N1009&lt;&gt;Keys!$C$51),1,0)</f>
        <v>0</v>
      </c>
      <c r="W1009">
        <f>IF($L1009&gt;Keys!$C$51,IF($K1009/$L1009&gt;Keys!$C$52,1,0),0)</f>
        <v>0</v>
      </c>
      <c r="X1009" s="11">
        <f t="shared" si="63"/>
        <v>0.31563499954608543</v>
      </c>
    </row>
    <row r="1010" spans="1:24" x14ac:dyDescent="0.25">
      <c r="A1010" t="s">
        <v>177</v>
      </c>
      <c r="B1010" t="s">
        <v>120</v>
      </c>
      <c r="C1010">
        <f>VLOOKUP($B1010,Keys!$F$2:$I$22,2,FALSE)</f>
        <v>0</v>
      </c>
      <c r="D1010">
        <f>VLOOKUP($B1010,Keys!$F$2:$I$22,3,FALSE)</f>
        <v>0</v>
      </c>
      <c r="E1010" t="str">
        <f>VLOOKUP($B1010,Keys!$F$2:$I$22,4,FALSE)</f>
        <v>zero</v>
      </c>
      <c r="F1010" t="str">
        <f>$A1010&amp;Keys!$C$54&amp;$B1010</f>
        <v>WY|municipal solid waste</v>
      </c>
      <c r="G1010" s="10">
        <f>IF($E1010=Keys!$C$60,Keys!$C$51,INDEX(Balanced_2025!$D$9:$D$3032,MATCH($A1010&amp;Keys!$C$54&amp;Keys!$C$55&amp;Keys!$C$54&amp;$C1010,Balanced_2025!$E$9:$E$3032,0)))</f>
        <v>0</v>
      </c>
      <c r="H1010" s="10">
        <f>IF($E1010=Keys!$C$60,Keys!$C$51,INDEX(Balanced_2025!$D$9:$D$3032,MATCH($A1010&amp;Keys!$C$54&amp;Keys!$C$56&amp;Keys!$C$54&amp;$C1010,Balanced_2025!$E$9:$E$3032,0)))</f>
        <v>0</v>
      </c>
      <c r="I1010" s="10">
        <f>IF($E1010=Keys!$C$60,Keys!$C$51,INDEX(Balanced_2025!$D$9:$D$3032,MATCH($A1010&amp;Keys!$C$54&amp;Keys!$C$57&amp;Keys!$C$54&amp;$C1010,Balanced_2025!$E$9:$E$3032,0)))</f>
        <v>0</v>
      </c>
      <c r="J1010" s="10">
        <f t="shared" si="60"/>
        <v>0</v>
      </c>
      <c r="K1010" s="10">
        <f>MAX(Keys!$C$51,$I1010-$H1010)</f>
        <v>0</v>
      </c>
      <c r="L1010" s="10">
        <f t="shared" si="61"/>
        <v>0</v>
      </c>
      <c r="M1010" s="11">
        <f>IF($L1010&gt;Keys!$C$51,MIN(Keys!$C$52,$K1010/$L1010),Keys!$C$51)</f>
        <v>0</v>
      </c>
      <c r="N1010" s="11">
        <f>IF($E1010=Keys!$C$60,Keys!$C$51,IF($E1010=Keys!$C$59,$D1010,$M1010))</f>
        <v>0</v>
      </c>
      <c r="O1010">
        <f t="shared" si="62"/>
        <v>0</v>
      </c>
      <c r="P1010" s="10">
        <f>IF($E1010=Keys!$C$60,Keys!$C$51,INDEX(Raw_BFPIaE!$G$9:$G$3032,MATCH($A1010&amp;Keys!$C$54&amp;Keys!$C$55&amp;Keys!$C$54&amp;$B1010,Raw_BFPIaE!$H$9:$H$3032,0)))</f>
        <v>0</v>
      </c>
      <c r="Q1010" s="10">
        <f>IF($E1010=Keys!$C$60,Keys!$C$51,INDEX(Raw_BFPIaE!$G$9:$G$3032,MATCH($A1010&amp;Keys!$C$54&amp;Keys!$C$56&amp;Keys!$C$54&amp;$B1010,Raw_BFPIaE!$H$9:$H$3032,0)))</f>
        <v>0</v>
      </c>
      <c r="R1010" s="10">
        <f>IF($E1010=Keys!$C$60,Keys!$C$51,INDEX(Raw_BFPIaE!$G$9:$G$3032,MATCH($A1010&amp;Keys!$C$54&amp;Keys!$C$57&amp;Keys!$C$54&amp;$B1010,Raw_BFPIaE!$H$9:$H$3032,0)))</f>
        <v>0</v>
      </c>
      <c r="S1010" s="11">
        <f>IF(($P1010+$Q1010-$R1010+MAX(Keys!$C$51,$R1010-$Q1010))&gt;Keys!$C$51,MIN(Keys!$C$52,MAX(Keys!$C$51,$R1010-$Q1010)/($P1010+$Q1010-$R1010+MAX(Keys!$C$51,$R1010-$Q1010))),Keys!$C$51)</f>
        <v>0</v>
      </c>
      <c r="T1010">
        <f>IF(AND($I1010&gt;$H1010,ABS($L1010-$G1010)&gt;MAX(Keys!$C$62,ABS($G1010)*Keys!$C$63)),1,0)</f>
        <v>0</v>
      </c>
      <c r="U1010">
        <f>IF(OR($N1010&lt;Keys!$C$51,$N1010&gt;Keys!$C$52),1,0)</f>
        <v>0</v>
      </c>
      <c r="V1010">
        <f>IF(AND($E1010=Keys!$C$60,$N1010&lt;&gt;Keys!$C$51),1,0)</f>
        <v>0</v>
      </c>
      <c r="W1010">
        <f>IF($L1010&gt;Keys!$C$51,IF($K1010/$L1010&gt;Keys!$C$52,1,0),0)</f>
        <v>0</v>
      </c>
      <c r="X1010" s="11">
        <f t="shared" si="63"/>
        <v>0</v>
      </c>
    </row>
    <row r="1011" spans="1:24" x14ac:dyDescent="0.25">
      <c r="A1011" t="s">
        <v>177</v>
      </c>
      <c r="B1011" t="s">
        <v>123</v>
      </c>
      <c r="C1011">
        <f>VLOOKUP($B1011,Keys!$F$2:$I$22,2,FALSE)</f>
        <v>0</v>
      </c>
      <c r="D1011">
        <f>VLOOKUP($B1011,Keys!$F$2:$I$22,3,FALSE)</f>
        <v>0</v>
      </c>
      <c r="E1011" t="str">
        <f>VLOOKUP($B1011,Keys!$F$2:$I$22,4,FALSE)</f>
        <v>zero</v>
      </c>
      <c r="F1011" t="str">
        <f>$A1011&amp;Keys!$C$54&amp;$B1011</f>
        <v>WY|hydrogen</v>
      </c>
      <c r="G1011" s="10">
        <f>IF($E1011=Keys!$C$60,Keys!$C$51,INDEX(Balanced_2025!$D$9:$D$3032,MATCH($A1011&amp;Keys!$C$54&amp;Keys!$C$55&amp;Keys!$C$54&amp;$C1011,Balanced_2025!$E$9:$E$3032,0)))</f>
        <v>0</v>
      </c>
      <c r="H1011" s="10">
        <f>IF($E1011=Keys!$C$60,Keys!$C$51,INDEX(Balanced_2025!$D$9:$D$3032,MATCH($A1011&amp;Keys!$C$54&amp;Keys!$C$56&amp;Keys!$C$54&amp;$C1011,Balanced_2025!$E$9:$E$3032,0)))</f>
        <v>0</v>
      </c>
      <c r="I1011" s="10">
        <f>IF($E1011=Keys!$C$60,Keys!$C$51,INDEX(Balanced_2025!$D$9:$D$3032,MATCH($A1011&amp;Keys!$C$54&amp;Keys!$C$57&amp;Keys!$C$54&amp;$C1011,Balanced_2025!$E$9:$E$3032,0)))</f>
        <v>0</v>
      </c>
      <c r="J1011" s="10">
        <f t="shared" si="60"/>
        <v>0</v>
      </c>
      <c r="K1011" s="10">
        <f>MAX(Keys!$C$51,$I1011-$H1011)</f>
        <v>0</v>
      </c>
      <c r="L1011" s="10">
        <f t="shared" si="61"/>
        <v>0</v>
      </c>
      <c r="M1011" s="11">
        <f>IF($L1011&gt;Keys!$C$51,MIN(Keys!$C$52,$K1011/$L1011),Keys!$C$51)</f>
        <v>0</v>
      </c>
      <c r="N1011" s="11">
        <f>IF($E1011=Keys!$C$60,Keys!$C$51,IF($E1011=Keys!$C$59,$D1011,$M1011))</f>
        <v>0</v>
      </c>
      <c r="O1011">
        <f t="shared" si="62"/>
        <v>0</v>
      </c>
      <c r="P1011" s="10">
        <f>IF($E1011=Keys!$C$60,Keys!$C$51,INDEX(Raw_BFPIaE!$G$9:$G$3032,MATCH($A1011&amp;Keys!$C$54&amp;Keys!$C$55&amp;Keys!$C$54&amp;$B1011,Raw_BFPIaE!$H$9:$H$3032,0)))</f>
        <v>0</v>
      </c>
      <c r="Q1011" s="10">
        <f>IF($E1011=Keys!$C$60,Keys!$C$51,INDEX(Raw_BFPIaE!$G$9:$G$3032,MATCH($A1011&amp;Keys!$C$54&amp;Keys!$C$56&amp;Keys!$C$54&amp;$B1011,Raw_BFPIaE!$H$9:$H$3032,0)))</f>
        <v>0</v>
      </c>
      <c r="R1011" s="10">
        <f>IF($E1011=Keys!$C$60,Keys!$C$51,INDEX(Raw_BFPIaE!$G$9:$G$3032,MATCH($A1011&amp;Keys!$C$54&amp;Keys!$C$57&amp;Keys!$C$54&amp;$B1011,Raw_BFPIaE!$H$9:$H$3032,0)))</f>
        <v>0</v>
      </c>
      <c r="S1011" s="11">
        <f>IF(($P1011+$Q1011-$R1011+MAX(Keys!$C$51,$R1011-$Q1011))&gt;Keys!$C$51,MIN(Keys!$C$52,MAX(Keys!$C$51,$R1011-$Q1011)/($P1011+$Q1011-$R1011+MAX(Keys!$C$51,$R1011-$Q1011))),Keys!$C$51)</f>
        <v>0</v>
      </c>
      <c r="T1011">
        <f>IF(AND($I1011&gt;$H1011,ABS($L1011-$G1011)&gt;MAX(Keys!$C$62,ABS($G1011)*Keys!$C$63)),1,0)</f>
        <v>0</v>
      </c>
      <c r="U1011">
        <f>IF(OR($N1011&lt;Keys!$C$51,$N1011&gt;Keys!$C$52),1,0)</f>
        <v>0</v>
      </c>
      <c r="V1011">
        <f>IF(AND($E1011=Keys!$C$60,$N1011&lt;&gt;Keys!$C$51),1,0)</f>
        <v>0</v>
      </c>
      <c r="W1011">
        <f>IF($L1011&gt;Keys!$C$51,IF($K1011/$L1011&gt;Keys!$C$52,1,0),0)</f>
        <v>0</v>
      </c>
      <c r="X1011" s="11">
        <f t="shared" si="63"/>
        <v>0</v>
      </c>
    </row>
    <row r="1014" spans="1:24" x14ac:dyDescent="0.25">
      <c r="A1014" s="7" t="s">
        <v>303</v>
      </c>
    </row>
    <row r="1015" spans="1:24" ht="360" x14ac:dyDescent="0.25">
      <c r="A1015" s="3" t="s">
        <v>304</v>
      </c>
    </row>
    <row r="1016" spans="1:24" ht="30" x14ac:dyDescent="0.25">
      <c r="A1016" s="5" t="s">
        <v>259</v>
      </c>
      <c r="B1016" s="5" t="s">
        <v>305</v>
      </c>
      <c r="C1016" s="5" t="s">
        <v>306</v>
      </c>
    </row>
    <row r="1017" spans="1:24" x14ac:dyDescent="0.25">
      <c r="A1017" t="str">
        <f>Keys!$F$2</f>
        <v>electricity (not used in this variable)</v>
      </c>
      <c r="B1017" s="11">
        <f>INDEX($N$4:$N$1011,MATCH(About!$B$2&amp;Keys!$C$54&amp;$A1017,$F$4:$F$1011,0))</f>
        <v>0</v>
      </c>
      <c r="C1017" s="11">
        <f>Keys!$H$2</f>
        <v>0</v>
      </c>
    </row>
    <row r="1018" spans="1:24" x14ac:dyDescent="0.25">
      <c r="A1018" t="str">
        <f>Keys!$F$3</f>
        <v>hard coal</v>
      </c>
      <c r="B1018" s="11">
        <f>INDEX($N$4:$N$1011,MATCH(About!$B$2&amp;Keys!$C$54&amp;$A1018,$F$4:$F$1011,0))</f>
        <v>0</v>
      </c>
      <c r="C1018" s="11">
        <f>Keys!$H$3</f>
        <v>0.137539879</v>
      </c>
    </row>
    <row r="1019" spans="1:24" x14ac:dyDescent="0.25">
      <c r="A1019" t="str">
        <f>Keys!$F$4</f>
        <v>natural gas</v>
      </c>
      <c r="B1019" s="11">
        <f>INDEX($N$4:$N$1011,MATCH(About!$B$2&amp;Keys!$C$54&amp;$A1019,$F$4:$F$1011,0))</f>
        <v>0</v>
      </c>
      <c r="C1019" s="11">
        <f>Keys!$H$4</f>
        <v>0.190839183</v>
      </c>
    </row>
    <row r="1020" spans="1:24" x14ac:dyDescent="0.25">
      <c r="A1020" t="str">
        <f>Keys!$F$5</f>
        <v>nuclear</v>
      </c>
      <c r="B1020" s="11">
        <f>INDEX($N$4:$N$1011,MATCH(About!$B$2&amp;Keys!$C$54&amp;$A1020,$F$4:$F$1011,0))</f>
        <v>0</v>
      </c>
      <c r="C1020" s="11">
        <f>Keys!$H$5</f>
        <v>0</v>
      </c>
    </row>
    <row r="1021" spans="1:24" x14ac:dyDescent="0.25">
      <c r="A1021" t="str">
        <f>Keys!$F$6</f>
        <v>hydro (is not a fuel)</v>
      </c>
      <c r="B1021" s="11">
        <f>INDEX($N$4:$N$1011,MATCH(About!$B$2&amp;Keys!$C$54&amp;$A1021,$F$4:$F$1011,0))</f>
        <v>0</v>
      </c>
      <c r="C1021" s="11">
        <f>Keys!$H$6</f>
        <v>0</v>
      </c>
    </row>
    <row r="1022" spans="1:24" x14ac:dyDescent="0.25">
      <c r="A1022" t="str">
        <f>Keys!$F$7</f>
        <v>wind (is not a fuel)</v>
      </c>
      <c r="B1022" s="11">
        <f>INDEX($N$4:$N$1011,MATCH(About!$B$2&amp;Keys!$C$54&amp;$A1022,$F$4:$F$1011,0))</f>
        <v>0</v>
      </c>
      <c r="C1022" s="11">
        <f>Keys!$H$7</f>
        <v>0</v>
      </c>
    </row>
    <row r="1023" spans="1:24" x14ac:dyDescent="0.25">
      <c r="A1023" t="str">
        <f>Keys!$F$8</f>
        <v>solar (is not a fuel)</v>
      </c>
      <c r="B1023" s="11">
        <f>INDEX($N$4:$N$1011,MATCH(About!$B$2&amp;Keys!$C$54&amp;$A1023,$F$4:$F$1011,0))</f>
        <v>0</v>
      </c>
      <c r="C1023" s="11">
        <f>Keys!$H$8</f>
        <v>0</v>
      </c>
    </row>
    <row r="1024" spans="1:24" x14ac:dyDescent="0.25">
      <c r="A1024" t="str">
        <f>Keys!$F$9</f>
        <v>biomass</v>
      </c>
      <c r="B1024" s="11">
        <f>INDEX($N$4:$N$1011,MATCH(About!$B$2&amp;Keys!$C$54&amp;$A1024,$F$4:$F$1011,0))</f>
        <v>0</v>
      </c>
      <c r="C1024" s="11">
        <f>Keys!$H$9</f>
        <v>0.74947425499999998</v>
      </c>
    </row>
    <row r="1025" spans="1:3" x14ac:dyDescent="0.25">
      <c r="A1025" t="str">
        <f>Keys!$F$10</f>
        <v>petroleum gasoline</v>
      </c>
      <c r="B1025" s="11">
        <f>INDEX($N$4:$N$1011,MATCH(About!$B$2&amp;Keys!$C$54&amp;$A1025,$F$4:$F$1011,0))</f>
        <v>0</v>
      </c>
      <c r="C1025" s="11">
        <f>Keys!$H$10</f>
        <v>7.5004052000000002E-2</v>
      </c>
    </row>
    <row r="1026" spans="1:3" x14ac:dyDescent="0.25">
      <c r="A1026" t="str">
        <f>Keys!$F$11</f>
        <v>petroleum diesel</v>
      </c>
      <c r="B1026" s="11">
        <f>INDEX($N$4:$N$1011,MATCH(About!$B$2&amp;Keys!$C$54&amp;$A1026,$F$4:$F$1011,0))</f>
        <v>0</v>
      </c>
      <c r="C1026" s="11">
        <f>Keys!$H$11</f>
        <v>0.26691051799999999</v>
      </c>
    </row>
    <row r="1027" spans="1:3" x14ac:dyDescent="0.25">
      <c r="A1027" t="str">
        <f>Keys!$F$12</f>
        <v>biofuel gasoline</v>
      </c>
      <c r="B1027" s="11">
        <f>INDEX($N$4:$N$1011,MATCH(About!$B$2&amp;Keys!$C$54&amp;$A1027,$F$4:$F$1011,0))</f>
        <v>0</v>
      </c>
      <c r="C1027" s="11">
        <f>Keys!$H$12</f>
        <v>8.7213884000000005E-2</v>
      </c>
    </row>
    <row r="1028" spans="1:3" x14ac:dyDescent="0.25">
      <c r="A1028" t="str">
        <f>Keys!$F$13</f>
        <v>biofuel diesel</v>
      </c>
      <c r="B1028" s="11">
        <f>INDEX($N$4:$N$1011,MATCH(About!$B$2&amp;Keys!$C$54&amp;$A1028,$F$4:$F$1011,0))</f>
        <v>0</v>
      </c>
      <c r="C1028" s="11">
        <f>Keys!$H$13</f>
        <v>5.8642381E-2</v>
      </c>
    </row>
    <row r="1029" spans="1:3" x14ac:dyDescent="0.25">
      <c r="A1029" t="str">
        <f>Keys!$F$14</f>
        <v>jet fuel or kerosene</v>
      </c>
      <c r="B1029" s="11">
        <f>INDEX($N$4:$N$1011,MATCH(About!$B$2&amp;Keys!$C$54&amp;$A1029,$F$4:$F$1011,0))</f>
        <v>0</v>
      </c>
      <c r="C1029" s="11">
        <f>Keys!$H$14</f>
        <v>0.10155994</v>
      </c>
    </row>
    <row r="1030" spans="1:3" x14ac:dyDescent="0.25">
      <c r="A1030" t="str">
        <f>Keys!$F$15</f>
        <v>heat (not used in this variable)</v>
      </c>
      <c r="B1030" s="11">
        <f>INDEX($N$4:$N$1011,MATCH(About!$B$2&amp;Keys!$C$54&amp;$A1030,$F$4:$F$1011,0))</f>
        <v>0</v>
      </c>
      <c r="C1030" s="11">
        <f>Keys!$H$15</f>
        <v>0</v>
      </c>
    </row>
    <row r="1031" spans="1:3" x14ac:dyDescent="0.25">
      <c r="A1031" t="str">
        <f>Keys!$F$16</f>
        <v>geothermal (is not a fuel)</v>
      </c>
      <c r="B1031" s="11">
        <f>INDEX($N$4:$N$1011,MATCH(About!$B$2&amp;Keys!$C$54&amp;$A1031,$F$4:$F$1011,0))</f>
        <v>0</v>
      </c>
      <c r="C1031" s="11">
        <f>Keys!$H$16</f>
        <v>0</v>
      </c>
    </row>
    <row r="1032" spans="1:3" x14ac:dyDescent="0.25">
      <c r="A1032" t="str">
        <f>Keys!$F$17</f>
        <v>lignite</v>
      </c>
      <c r="B1032" s="11">
        <f>INDEX($N$4:$N$1011,MATCH(About!$B$2&amp;Keys!$C$54&amp;$A1032,$F$4:$F$1011,0))</f>
        <v>0</v>
      </c>
      <c r="C1032" s="11">
        <f>Keys!$H$17</f>
        <v>0</v>
      </c>
    </row>
    <row r="1033" spans="1:3" x14ac:dyDescent="0.25">
      <c r="A1033" t="str">
        <f>Keys!$F$18</f>
        <v>crude oil</v>
      </c>
      <c r="B1033" s="11">
        <f>INDEX($N$4:$N$1011,MATCH(About!$B$2&amp;Keys!$C$54&amp;$A1033,$F$4:$F$1011,0))</f>
        <v>1</v>
      </c>
      <c r="C1033" s="11">
        <f>Keys!$H$18</f>
        <v>1</v>
      </c>
    </row>
    <row r="1034" spans="1:3" x14ac:dyDescent="0.25">
      <c r="A1034" t="str">
        <f>Keys!$F$19</f>
        <v>heavy fuel oil</v>
      </c>
      <c r="B1034" s="11">
        <f>INDEX($N$4:$N$1011,MATCH(About!$B$2&amp;Keys!$C$54&amp;$A1034,$F$4:$F$1011,0))</f>
        <v>0</v>
      </c>
      <c r="C1034" s="11">
        <f>Keys!$H$19</f>
        <v>0.49914171099999999</v>
      </c>
    </row>
    <row r="1035" spans="1:3" x14ac:dyDescent="0.25">
      <c r="A1035" t="str">
        <f>Keys!$F$20</f>
        <v>LPG propane or butane</v>
      </c>
      <c r="B1035" s="11">
        <f>INDEX($N$4:$N$1011,MATCH(About!$B$2&amp;Keys!$C$54&amp;$A1035,$F$4:$F$1011,0))</f>
        <v>0</v>
      </c>
      <c r="C1035" s="11">
        <f>Keys!$H$20</f>
        <v>0.54955999499999997</v>
      </c>
    </row>
    <row r="1036" spans="1:3" x14ac:dyDescent="0.25">
      <c r="A1036" t="str">
        <f>Keys!$F$21</f>
        <v>municipal solid waste</v>
      </c>
      <c r="B1036" s="11">
        <f>INDEX($N$4:$N$1011,MATCH(About!$B$2&amp;Keys!$C$54&amp;$A1036,$F$4:$F$1011,0))</f>
        <v>0</v>
      </c>
      <c r="C1036" s="11">
        <f>Keys!$H$21</f>
        <v>0</v>
      </c>
    </row>
    <row r="1037" spans="1:3" x14ac:dyDescent="0.25">
      <c r="A1037" t="str">
        <f>Keys!$F$22</f>
        <v>hydrogen</v>
      </c>
      <c r="B1037" s="11">
        <f>INDEX($N$4:$N$1011,MATCH(About!$B$2&amp;Keys!$C$54&amp;$A1037,$F$4:$F$1011,0))</f>
        <v>0</v>
      </c>
      <c r="C1037" s="11">
        <f>Keys!$H$22</f>
        <v>0</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24"/>
  <sheetViews>
    <sheetView workbookViewId="0"/>
  </sheetViews>
  <sheetFormatPr defaultRowHeight="15" x14ac:dyDescent="0.25"/>
  <cols>
    <col min="1" max="1" width="74" customWidth="1"/>
    <col min="2" max="2" width="18" customWidth="1"/>
    <col min="3" max="3" width="14" customWidth="1"/>
    <col min="4" max="4" width="10" customWidth="1"/>
    <col min="6" max="6" width="38" customWidth="1"/>
    <col min="7" max="7" width="22" customWidth="1"/>
    <col min="8" max="8" width="24" customWidth="1"/>
  </cols>
  <sheetData>
    <row r="1" spans="1:8" x14ac:dyDescent="0.25">
      <c r="A1" s="7" t="s">
        <v>307</v>
      </c>
    </row>
    <row r="2" spans="1:8" ht="75" x14ac:dyDescent="0.25">
      <c r="A2" s="3" t="s">
        <v>308</v>
      </c>
      <c r="F2" s="3" t="s">
        <v>309</v>
      </c>
    </row>
    <row r="3" spans="1:8" ht="45" x14ac:dyDescent="0.25">
      <c r="A3" s="5" t="s">
        <v>310</v>
      </c>
      <c r="B3" s="5" t="s">
        <v>311</v>
      </c>
      <c r="C3" s="5" t="s">
        <v>312</v>
      </c>
      <c r="D3" s="5" t="s">
        <v>313</v>
      </c>
      <c r="F3" s="5" t="s">
        <v>314</v>
      </c>
      <c r="G3" s="5" t="s">
        <v>315</v>
      </c>
      <c r="H3" s="5" t="s">
        <v>316</v>
      </c>
    </row>
    <row r="4" spans="1:8" x14ac:dyDescent="0.25">
      <c r="A4" s="3" t="s">
        <v>317</v>
      </c>
      <c r="B4" s="11">
        <f>COUNT(Calcs!$N$4:$N$1011)</f>
        <v>1008</v>
      </c>
      <c r="C4">
        <f>Keys!$C$64</f>
        <v>1008</v>
      </c>
      <c r="D4" t="str">
        <f>IF($B4=$C4,Keys!$C$71,Keys!$C$72)</f>
        <v>PASS</v>
      </c>
      <c r="F4" t="str">
        <f>Keys!$F$2</f>
        <v>electricity (not used in this variable)</v>
      </c>
      <c r="G4">
        <f>IF(PoFDCtAE!$A$2&lt;&gt;$F4,1,0)</f>
        <v>0</v>
      </c>
      <c r="H4">
        <f>IF(PoFDCtAE!B$1&lt;&gt;$F4,1,0)</f>
        <v>0</v>
      </c>
    </row>
    <row r="5" spans="1:8" x14ac:dyDescent="0.25">
      <c r="A5" s="3" t="s">
        <v>318</v>
      </c>
      <c r="B5" s="11">
        <f>SUM(Calcs!$T$4:$T$1011)</f>
        <v>0</v>
      </c>
      <c r="C5">
        <f>Keys!$C$51</f>
        <v>0</v>
      </c>
      <c r="D5" t="str">
        <f>IF($B5=$C5,Keys!$C$71,Keys!$C$72)</f>
        <v>PASS</v>
      </c>
      <c r="F5" t="str">
        <f>Keys!$F$3</f>
        <v>hard coal</v>
      </c>
      <c r="G5">
        <f>IF(PoFDCtAE!$A$3&lt;&gt;$F5,1,0)</f>
        <v>0</v>
      </c>
      <c r="H5">
        <f>IF(PoFDCtAE!C$1&lt;&gt;$F5,1,0)</f>
        <v>0</v>
      </c>
    </row>
    <row r="6" spans="1:8" x14ac:dyDescent="0.25">
      <c r="A6" s="3" t="s">
        <v>319</v>
      </c>
      <c r="B6" s="11">
        <f>SUM(Calcs!$V$4:$V$1011)</f>
        <v>0</v>
      </c>
      <c r="C6">
        <f>Keys!$C$51</f>
        <v>0</v>
      </c>
      <c r="D6" t="str">
        <f>IF($B6=$C6,Keys!$C$71,Keys!$C$72)</f>
        <v>PASS</v>
      </c>
      <c r="F6" t="str">
        <f>Keys!$F$4</f>
        <v>natural gas</v>
      </c>
      <c r="G6">
        <f>IF(PoFDCtAE!$A$4&lt;&gt;$F6,1,0)</f>
        <v>0</v>
      </c>
      <c r="H6">
        <f>IF(PoFDCtAE!D$1&lt;&gt;$F6,1,0)</f>
        <v>0</v>
      </c>
    </row>
    <row r="7" spans="1:8" x14ac:dyDescent="0.25">
      <c r="A7" s="3" t="s">
        <v>320</v>
      </c>
      <c r="B7" s="11">
        <f>SUM(Calcs!$U$4:$U$1011)</f>
        <v>0</v>
      </c>
      <c r="C7">
        <f>Keys!$C$51</f>
        <v>0</v>
      </c>
      <c r="D7" t="str">
        <f>IF($B7=$C7,Keys!$C$71,Keys!$C$72)</f>
        <v>PASS</v>
      </c>
      <c r="F7" t="str">
        <f>Keys!$F$5</f>
        <v>nuclear</v>
      </c>
      <c r="G7">
        <f>IF(PoFDCtAE!$A$5&lt;&gt;$F7,1,0)</f>
        <v>0</v>
      </c>
      <c r="H7">
        <f>IF(PoFDCtAE!E$1&lt;&gt;$F7,1,0)</f>
        <v>0</v>
      </c>
    </row>
    <row r="8" spans="1:8" x14ac:dyDescent="0.25">
      <c r="A8" s="3" t="s">
        <v>321</v>
      </c>
      <c r="B8" s="11">
        <f>SUM(Calcs!$W$4:$W$1011)</f>
        <v>0</v>
      </c>
      <c r="C8">
        <f>Keys!$C$51</f>
        <v>0</v>
      </c>
      <c r="D8" t="str">
        <f>IF($B8=$C8,Keys!$C$71,Keys!$C$72)</f>
        <v>PASS</v>
      </c>
      <c r="F8" t="str">
        <f>Keys!$F$6</f>
        <v>hydro (is not a fuel)</v>
      </c>
      <c r="G8">
        <f>IF(PoFDCtAE!$A$6&lt;&gt;$F8,1,0)</f>
        <v>0</v>
      </c>
      <c r="H8">
        <f>IF(PoFDCtAE!F$1&lt;&gt;$F8,1,0)</f>
        <v>0</v>
      </c>
    </row>
    <row r="9" spans="1:8" x14ac:dyDescent="0.25">
      <c r="A9" s="3" t="s">
        <v>322</v>
      </c>
      <c r="B9" s="11">
        <f>COUNTIF(Keys!$I$2:$I$22,Keys!$C$58)</f>
        <v>11</v>
      </c>
      <c r="C9">
        <f>Keys!$C$65</f>
        <v>11</v>
      </c>
      <c r="D9" t="str">
        <f>IF($B9=$C9,Keys!$C$71,Keys!$C$72)</f>
        <v>PASS</v>
      </c>
      <c r="F9" t="str">
        <f>Keys!$F$7</f>
        <v>wind (is not a fuel)</v>
      </c>
      <c r="G9">
        <f>IF(PoFDCtAE!$A$7&lt;&gt;$F9,1,0)</f>
        <v>0</v>
      </c>
      <c r="H9">
        <f>IF(PoFDCtAE!G$1&lt;&gt;$F9,1,0)</f>
        <v>0</v>
      </c>
    </row>
    <row r="10" spans="1:8" x14ac:dyDescent="0.25">
      <c r="A10" s="3" t="s">
        <v>323</v>
      </c>
      <c r="B10" s="11">
        <f>COUNTIF(Keys!$I$2:$I$22,Keys!$C$60)</f>
        <v>9</v>
      </c>
      <c r="C10">
        <f>Keys!$C$66</f>
        <v>9</v>
      </c>
      <c r="D10" t="str">
        <f>IF($B10=$C10,Keys!$C$71,Keys!$C$72)</f>
        <v>PASS</v>
      </c>
      <c r="F10" t="str">
        <f>Keys!$F$8</f>
        <v>solar (is not a fuel)</v>
      </c>
      <c r="G10">
        <f>IF(PoFDCtAE!$A$8&lt;&gt;$F10,1,0)</f>
        <v>0</v>
      </c>
      <c r="H10">
        <f>IF(PoFDCtAE!H$1&lt;&gt;$F10,1,0)</f>
        <v>0</v>
      </c>
    </row>
    <row r="11" spans="1:8" x14ac:dyDescent="0.25">
      <c r="A11" s="3" t="s">
        <v>324</v>
      </c>
      <c r="B11" s="11">
        <f>COUNTIF(Keys!$I$2:$I$22,Keys!$C$59)</f>
        <v>1</v>
      </c>
      <c r="C11">
        <f>Keys!$C$67</f>
        <v>1</v>
      </c>
      <c r="D11" t="str">
        <f>IF($B11=$C11,Keys!$C$71,Keys!$C$72)</f>
        <v>PASS</v>
      </c>
      <c r="F11" t="str">
        <f>Keys!$F$9</f>
        <v>biomass</v>
      </c>
      <c r="G11">
        <f>IF(PoFDCtAE!$A$9&lt;&gt;$F11,1,0)</f>
        <v>0</v>
      </c>
      <c r="H11">
        <f>IF(PoFDCtAE!I$1&lt;&gt;$F11,1,0)</f>
        <v>0</v>
      </c>
    </row>
    <row r="12" spans="1:8" x14ac:dyDescent="0.25">
      <c r="A12" s="3" t="s">
        <v>325</v>
      </c>
      <c r="B12" s="11">
        <f>INDEX(Calcs!$B$1017:$B$1037,MATCH(Keys!$F$18,Calcs!$A$1017:$A$1037,0))</f>
        <v>1</v>
      </c>
      <c r="C12">
        <f>Keys!$C$52</f>
        <v>1</v>
      </c>
      <c r="D12" t="str">
        <f>IF($B12=$C12,Keys!$C$71,Keys!$C$72)</f>
        <v>PASS</v>
      </c>
      <c r="F12" t="str">
        <f>Keys!$F$10</f>
        <v>petroleum gasoline</v>
      </c>
      <c r="G12">
        <f>IF(PoFDCtAE!$A$10&lt;&gt;$F12,1,0)</f>
        <v>0</v>
      </c>
      <c r="H12">
        <f>IF(PoFDCtAE!J$1&lt;&gt;$F12,1,0)</f>
        <v>0</v>
      </c>
    </row>
    <row r="13" spans="1:8" x14ac:dyDescent="0.25">
      <c r="A13" s="3" t="s">
        <v>326</v>
      </c>
      <c r="B13" s="11">
        <f>COUNT(Calcs!$B$1017:$B$1037)</f>
        <v>21</v>
      </c>
      <c r="C13">
        <f>Keys!$C$68</f>
        <v>21</v>
      </c>
      <c r="D13" t="str">
        <f>IF($B13=$C13,Keys!$C$71,Keys!$C$72)</f>
        <v>PASS</v>
      </c>
      <c r="F13" t="str">
        <f>Keys!$F$11</f>
        <v>petroleum diesel</v>
      </c>
      <c r="G13">
        <f>IF(PoFDCtAE!$A$11&lt;&gt;$F13,1,0)</f>
        <v>0</v>
      </c>
      <c r="H13">
        <f>IF(PoFDCtAE!K$1&lt;&gt;$F13,1,0)</f>
        <v>0</v>
      </c>
    </row>
    <row r="14" spans="1:8" x14ac:dyDescent="0.25">
      <c r="A14" s="3" t="s">
        <v>327</v>
      </c>
      <c r="B14" s="11">
        <f>SUM($G$4:$G$24)</f>
        <v>0</v>
      </c>
      <c r="C14">
        <f>Keys!$C$51</f>
        <v>0</v>
      </c>
      <c r="D14" t="str">
        <f>IF($B14=$C14,Keys!$C$71,Keys!$C$72)</f>
        <v>PASS</v>
      </c>
      <c r="F14" t="str">
        <f>Keys!$F$12</f>
        <v>biofuel gasoline</v>
      </c>
      <c r="G14">
        <f>IF(PoFDCtAE!$A$12&lt;&gt;$F14,1,0)</f>
        <v>0</v>
      </c>
      <c r="H14">
        <f>IF(PoFDCtAE!L$1&lt;&gt;$F14,1,0)</f>
        <v>0</v>
      </c>
    </row>
    <row r="15" spans="1:8" x14ac:dyDescent="0.25">
      <c r="A15" s="3" t="s">
        <v>328</v>
      </c>
      <c r="B15" s="11">
        <f>SUM($H$4:$H$24)</f>
        <v>0</v>
      </c>
      <c r="C15">
        <f>Keys!$C$51</f>
        <v>0</v>
      </c>
      <c r="D15" t="str">
        <f>IF($B15=$C15,Keys!$C$71,Keys!$C$72)</f>
        <v>PASS</v>
      </c>
      <c r="F15" t="str">
        <f>Keys!$F$13</f>
        <v>biofuel diesel</v>
      </c>
      <c r="G15">
        <f>IF(PoFDCtAE!$A$13&lt;&gt;$F15,1,0)</f>
        <v>0</v>
      </c>
      <c r="H15">
        <f>IF(PoFDCtAE!M$1&lt;&gt;$F15,1,0)</f>
        <v>0</v>
      </c>
    </row>
    <row r="16" spans="1:8" x14ac:dyDescent="0.25">
      <c r="A16" s="3" t="s">
        <v>329</v>
      </c>
      <c r="B16" s="11">
        <f>ROUND(SUM(PoFDCtAE!$B$2:$V$22)-SUM(Calcs!$B$1017:$B$1037),9)</f>
        <v>0</v>
      </c>
      <c r="C16">
        <f>Keys!$C$51</f>
        <v>0</v>
      </c>
      <c r="D16" t="str">
        <f>IF($B16=$C16,Keys!$C$71,Keys!$C$72)</f>
        <v>PASS</v>
      </c>
      <c r="F16" t="str">
        <f>Keys!$F$14</f>
        <v>jet fuel or kerosene</v>
      </c>
      <c r="G16">
        <f>IF(PoFDCtAE!$A$14&lt;&gt;$F16,1,0)</f>
        <v>0</v>
      </c>
      <c r="H16">
        <f>IF(PoFDCtAE!N$1&lt;&gt;$F16,1,0)</f>
        <v>0</v>
      </c>
    </row>
    <row r="17" spans="1:8" x14ac:dyDescent="0.25">
      <c r="F17" t="str">
        <f>Keys!$F$15</f>
        <v>heat (not used in this variable)</v>
      </c>
      <c r="G17">
        <f>IF(PoFDCtAE!$A$15&lt;&gt;$F17,1,0)</f>
        <v>0</v>
      </c>
      <c r="H17">
        <f>IF(PoFDCtAE!O$1&lt;&gt;$F17,1,0)</f>
        <v>0</v>
      </c>
    </row>
    <row r="18" spans="1:8" x14ac:dyDescent="0.25">
      <c r="A18" s="3" t="s">
        <v>330</v>
      </c>
      <c r="B18">
        <f>SUM(Calcs!$O$4:$O$1011)</f>
        <v>484</v>
      </c>
      <c r="F18" t="str">
        <f>Keys!$F$16</f>
        <v>geothermal (is not a fuel)</v>
      </c>
      <c r="G18">
        <f>IF(PoFDCtAE!$A$16&lt;&gt;$F18,1,0)</f>
        <v>0</v>
      </c>
      <c r="H18">
        <f>IF(PoFDCtAE!P$1&lt;&gt;$F18,1,0)</f>
        <v>0</v>
      </c>
    </row>
    <row r="19" spans="1:8" x14ac:dyDescent="0.25">
      <c r="A19" s="3" t="s">
        <v>331</v>
      </c>
      <c r="B19">
        <f>COUNTIFS(Calcs!$E$4:$E$1011,Keys!$C$58,Calcs!$N$4:$N$1011,Keys!$C$70)</f>
        <v>125</v>
      </c>
      <c r="F19" t="str">
        <f>Keys!$F$17</f>
        <v>lignite</v>
      </c>
      <c r="G19">
        <f>IF(PoFDCtAE!$A$17&lt;&gt;$F19,1,0)</f>
        <v>0</v>
      </c>
      <c r="H19">
        <f>IF(PoFDCtAE!Q$1&lt;&gt;$F19,1,0)</f>
        <v>0</v>
      </c>
    </row>
    <row r="20" spans="1:8" x14ac:dyDescent="0.25">
      <c r="A20" s="3" t="s">
        <v>332</v>
      </c>
      <c r="B20" s="11">
        <f>AVERAGEIF(Calcs!$E$4:$E$1011,Keys!$C$58,Calcs!$X$4:$X$1011)</f>
        <v>3.9786164261395821E-2</v>
      </c>
      <c r="F20" t="str">
        <f>Keys!$F$18</f>
        <v>crude oil</v>
      </c>
      <c r="G20">
        <f>IF(PoFDCtAE!$A$18&lt;&gt;$F20,1,0)</f>
        <v>0</v>
      </c>
      <c r="H20">
        <f>IF(PoFDCtAE!R$1&lt;&gt;$F20,1,0)</f>
        <v>0</v>
      </c>
    </row>
    <row r="21" spans="1:8" x14ac:dyDescent="0.25">
      <c r="A21" s="3" t="s">
        <v>333</v>
      </c>
      <c r="B21" s="11">
        <f>MAX(Calcs!$X$4:$X$1011)</f>
        <v>0.41313361699295276</v>
      </c>
      <c r="F21" t="str">
        <f>Keys!$F$19</f>
        <v>heavy fuel oil</v>
      </c>
      <c r="G21">
        <f>IF(PoFDCtAE!$A$19&lt;&gt;$F21,1,0)</f>
        <v>0</v>
      </c>
      <c r="H21">
        <f>IF(PoFDCtAE!S$1&lt;&gt;$F21,1,0)</f>
        <v>0</v>
      </c>
    </row>
    <row r="22" spans="1:8" x14ac:dyDescent="0.25">
      <c r="F22" t="str">
        <f>Keys!$F$20</f>
        <v>LPG propane or butane</v>
      </c>
      <c r="G22">
        <f>IF(PoFDCtAE!$A$20&lt;&gt;$F22,1,0)</f>
        <v>0</v>
      </c>
      <c r="H22">
        <f>IF(PoFDCtAE!T$1&lt;&gt;$F22,1,0)</f>
        <v>0</v>
      </c>
    </row>
    <row r="23" spans="1:8" x14ac:dyDescent="0.25">
      <c r="F23" t="str">
        <f>Keys!$F$21</f>
        <v>municipal solid waste</v>
      </c>
      <c r="G23">
        <f>IF(PoFDCtAE!$A$21&lt;&gt;$F23,1,0)</f>
        <v>0</v>
      </c>
      <c r="H23">
        <f>IF(PoFDCtAE!U$1&lt;&gt;$F23,1,0)</f>
        <v>0</v>
      </c>
    </row>
    <row r="24" spans="1:8" x14ac:dyDescent="0.25">
      <c r="F24" t="str">
        <f>Keys!$F$22</f>
        <v>hydrogen</v>
      </c>
      <c r="G24">
        <f>IF(PoFDCtAE!$A$22&lt;&gt;$F24,1,0)</f>
        <v>0</v>
      </c>
      <c r="H24">
        <f>IF(PoFDCtAE!V$1&lt;&gt;$F24,1,0)</f>
        <v>0</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1F3864"/>
  </sheetPr>
  <dimension ref="A1:V22"/>
  <sheetViews>
    <sheetView workbookViewId="0"/>
  </sheetViews>
  <sheetFormatPr defaultRowHeight="15" x14ac:dyDescent="0.25"/>
  <cols>
    <col min="1" max="1" width="44" customWidth="1"/>
    <col min="2" max="22" width="13" customWidth="1"/>
  </cols>
  <sheetData>
    <row r="1" spans="1:22" x14ac:dyDescent="0.25">
      <c r="A1" t="str">
        <f>Keys!$C$61</f>
        <v>Percentage Change in Demand that Alters Exports (dimensionless) - From type (below)  / To type (right)</v>
      </c>
      <c r="B1" t="str">
        <f>Keys!$F$2</f>
        <v>electricity (not used in this variable)</v>
      </c>
      <c r="C1" t="str">
        <f>Keys!$F$3</f>
        <v>hard coal</v>
      </c>
      <c r="D1" t="str">
        <f>Keys!$F$4</f>
        <v>natural gas</v>
      </c>
      <c r="E1" t="str">
        <f>Keys!$F$5</f>
        <v>nuclear</v>
      </c>
      <c r="F1" t="str">
        <f>Keys!$F$6</f>
        <v>hydro (is not a fuel)</v>
      </c>
      <c r="G1" t="str">
        <f>Keys!$F$7</f>
        <v>wind (is not a fuel)</v>
      </c>
      <c r="H1" t="str">
        <f>Keys!$F$8</f>
        <v>solar (is not a fuel)</v>
      </c>
      <c r="I1" t="str">
        <f>Keys!$F$9</f>
        <v>biomass</v>
      </c>
      <c r="J1" t="str">
        <f>Keys!$F$10</f>
        <v>petroleum gasoline</v>
      </c>
      <c r="K1" t="str">
        <f>Keys!$F$11</f>
        <v>petroleum diesel</v>
      </c>
      <c r="L1" t="str">
        <f>Keys!$F$12</f>
        <v>biofuel gasoline</v>
      </c>
      <c r="M1" t="str">
        <f>Keys!$F$13</f>
        <v>biofuel diesel</v>
      </c>
      <c r="N1" t="str">
        <f>Keys!$F$14</f>
        <v>jet fuel or kerosene</v>
      </c>
      <c r="O1" t="str">
        <f>Keys!$F$15</f>
        <v>heat (not used in this variable)</v>
      </c>
      <c r="P1" t="str">
        <f>Keys!$F$16</f>
        <v>geothermal (is not a fuel)</v>
      </c>
      <c r="Q1" t="str">
        <f>Keys!$F$17</f>
        <v>lignite</v>
      </c>
      <c r="R1" t="str">
        <f>Keys!$F$18</f>
        <v>crude oil</v>
      </c>
      <c r="S1" t="str">
        <f>Keys!$F$19</f>
        <v>heavy fuel oil</v>
      </c>
      <c r="T1" t="str">
        <f>Keys!$F$20</f>
        <v>LPG propane or butane</v>
      </c>
      <c r="U1" t="str">
        <f>Keys!$F$21</f>
        <v>municipal solid waste</v>
      </c>
      <c r="V1" t="str">
        <f>Keys!$F$22</f>
        <v>hydrogen</v>
      </c>
    </row>
    <row r="2" spans="1:22" x14ac:dyDescent="0.25">
      <c r="A2" t="str">
        <f>Keys!$F$2</f>
        <v>electricity (not used in this variable)</v>
      </c>
      <c r="B2" s="11">
        <f>Calcs!$B$1017</f>
        <v>0</v>
      </c>
      <c r="C2" s="11">
        <f>Keys!$C$51</f>
        <v>0</v>
      </c>
      <c r="D2" s="11">
        <f>Keys!$C$51</f>
        <v>0</v>
      </c>
      <c r="E2" s="11">
        <f>Keys!$C$51</f>
        <v>0</v>
      </c>
      <c r="F2" s="11">
        <f>Keys!$C$51</f>
        <v>0</v>
      </c>
      <c r="G2" s="11">
        <f>Keys!$C$51</f>
        <v>0</v>
      </c>
      <c r="H2" s="11">
        <f>Keys!$C$51</f>
        <v>0</v>
      </c>
      <c r="I2" s="11">
        <f>Keys!$C$51</f>
        <v>0</v>
      </c>
      <c r="J2" s="11">
        <f>Keys!$C$51</f>
        <v>0</v>
      </c>
      <c r="K2" s="11">
        <f>Keys!$C$51</f>
        <v>0</v>
      </c>
      <c r="L2" s="11">
        <f>Keys!$C$51</f>
        <v>0</v>
      </c>
      <c r="M2" s="11">
        <f>Keys!$C$51</f>
        <v>0</v>
      </c>
      <c r="N2" s="11">
        <f>Keys!$C$51</f>
        <v>0</v>
      </c>
      <c r="O2" s="11">
        <f>Keys!$C$51</f>
        <v>0</v>
      </c>
      <c r="P2" s="11">
        <f>Keys!$C$51</f>
        <v>0</v>
      </c>
      <c r="Q2" s="11">
        <f>Keys!$C$51</f>
        <v>0</v>
      </c>
      <c r="R2" s="11">
        <f>Keys!$C$51</f>
        <v>0</v>
      </c>
      <c r="S2" s="11">
        <f>Keys!$C$51</f>
        <v>0</v>
      </c>
      <c r="T2" s="11">
        <f>Keys!$C$51</f>
        <v>0</v>
      </c>
      <c r="U2" s="11">
        <f>Keys!$C$51</f>
        <v>0</v>
      </c>
      <c r="V2" s="11">
        <f>Keys!$C$51</f>
        <v>0</v>
      </c>
    </row>
    <row r="3" spans="1:22" x14ac:dyDescent="0.25">
      <c r="A3" t="str">
        <f>Keys!$F$3</f>
        <v>hard coal</v>
      </c>
      <c r="B3" s="11">
        <f>Keys!$C$51</f>
        <v>0</v>
      </c>
      <c r="C3" s="11">
        <f>Calcs!$B$1018</f>
        <v>0</v>
      </c>
      <c r="D3" s="11">
        <f>Keys!$C$51</f>
        <v>0</v>
      </c>
      <c r="E3" s="11">
        <f>Keys!$C$51</f>
        <v>0</v>
      </c>
      <c r="F3" s="11">
        <f>Keys!$C$51</f>
        <v>0</v>
      </c>
      <c r="G3" s="11">
        <f>Keys!$C$51</f>
        <v>0</v>
      </c>
      <c r="H3" s="11">
        <f>Keys!$C$51</f>
        <v>0</v>
      </c>
      <c r="I3" s="11">
        <f>Keys!$C$51</f>
        <v>0</v>
      </c>
      <c r="J3" s="11">
        <f>Keys!$C$51</f>
        <v>0</v>
      </c>
      <c r="K3" s="11">
        <f>Keys!$C$51</f>
        <v>0</v>
      </c>
      <c r="L3" s="11">
        <f>Keys!$C$51</f>
        <v>0</v>
      </c>
      <c r="M3" s="11">
        <f>Keys!$C$51</f>
        <v>0</v>
      </c>
      <c r="N3" s="11">
        <f>Keys!$C$51</f>
        <v>0</v>
      </c>
      <c r="O3" s="11">
        <f>Keys!$C$51</f>
        <v>0</v>
      </c>
      <c r="P3" s="11">
        <f>Keys!$C$51</f>
        <v>0</v>
      </c>
      <c r="Q3" s="11">
        <f>Keys!$C$51</f>
        <v>0</v>
      </c>
      <c r="R3" s="11">
        <f>Keys!$C$51</f>
        <v>0</v>
      </c>
      <c r="S3" s="11">
        <f>Keys!$C$51</f>
        <v>0</v>
      </c>
      <c r="T3" s="11">
        <f>Keys!$C$51</f>
        <v>0</v>
      </c>
      <c r="U3" s="11">
        <f>Keys!$C$51</f>
        <v>0</v>
      </c>
      <c r="V3" s="11">
        <f>Keys!$C$51</f>
        <v>0</v>
      </c>
    </row>
    <row r="4" spans="1:22" x14ac:dyDescent="0.25">
      <c r="A4" t="str">
        <f>Keys!$F$4</f>
        <v>natural gas</v>
      </c>
      <c r="B4" s="11">
        <f>Keys!$C$51</f>
        <v>0</v>
      </c>
      <c r="C4" s="11">
        <f>Keys!$C$51</f>
        <v>0</v>
      </c>
      <c r="D4" s="11">
        <f>Calcs!$B$1019</f>
        <v>0</v>
      </c>
      <c r="E4" s="11">
        <f>Keys!$C$51</f>
        <v>0</v>
      </c>
      <c r="F4" s="11">
        <f>Keys!$C$51</f>
        <v>0</v>
      </c>
      <c r="G4" s="11">
        <f>Keys!$C$51</f>
        <v>0</v>
      </c>
      <c r="H4" s="11">
        <f>Keys!$C$51</f>
        <v>0</v>
      </c>
      <c r="I4" s="11">
        <f>Keys!$C$51</f>
        <v>0</v>
      </c>
      <c r="J4" s="11">
        <f>Keys!$C$51</f>
        <v>0</v>
      </c>
      <c r="K4" s="11">
        <f>Keys!$C$51</f>
        <v>0</v>
      </c>
      <c r="L4" s="11">
        <f>Keys!$C$51</f>
        <v>0</v>
      </c>
      <c r="M4" s="11">
        <f>Keys!$C$51</f>
        <v>0</v>
      </c>
      <c r="N4" s="11">
        <f>Keys!$C$51</f>
        <v>0</v>
      </c>
      <c r="O4" s="11">
        <f>Keys!$C$51</f>
        <v>0</v>
      </c>
      <c r="P4" s="11">
        <f>Keys!$C$51</f>
        <v>0</v>
      </c>
      <c r="Q4" s="11">
        <f>Keys!$C$51</f>
        <v>0</v>
      </c>
      <c r="R4" s="11">
        <f>Keys!$C$51</f>
        <v>0</v>
      </c>
      <c r="S4" s="11">
        <f>Keys!$C$51</f>
        <v>0</v>
      </c>
      <c r="T4" s="11">
        <f>Keys!$C$51</f>
        <v>0</v>
      </c>
      <c r="U4" s="11">
        <f>Keys!$C$51</f>
        <v>0</v>
      </c>
      <c r="V4" s="11">
        <f>Keys!$C$51</f>
        <v>0</v>
      </c>
    </row>
    <row r="5" spans="1:22" x14ac:dyDescent="0.25">
      <c r="A5" t="str">
        <f>Keys!$F$5</f>
        <v>nuclear</v>
      </c>
      <c r="B5" s="11">
        <f>Keys!$C$51</f>
        <v>0</v>
      </c>
      <c r="C5" s="11">
        <f>Keys!$C$51</f>
        <v>0</v>
      </c>
      <c r="D5" s="11">
        <f>Keys!$C$51</f>
        <v>0</v>
      </c>
      <c r="E5" s="11">
        <f>Calcs!$B$1020</f>
        <v>0</v>
      </c>
      <c r="F5" s="11">
        <f>Keys!$C$51</f>
        <v>0</v>
      </c>
      <c r="G5" s="11">
        <f>Keys!$C$51</f>
        <v>0</v>
      </c>
      <c r="H5" s="11">
        <f>Keys!$C$51</f>
        <v>0</v>
      </c>
      <c r="I5" s="11">
        <f>Keys!$C$51</f>
        <v>0</v>
      </c>
      <c r="J5" s="11">
        <f>Keys!$C$51</f>
        <v>0</v>
      </c>
      <c r="K5" s="11">
        <f>Keys!$C$51</f>
        <v>0</v>
      </c>
      <c r="L5" s="11">
        <f>Keys!$C$51</f>
        <v>0</v>
      </c>
      <c r="M5" s="11">
        <f>Keys!$C$51</f>
        <v>0</v>
      </c>
      <c r="N5" s="11">
        <f>Keys!$C$51</f>
        <v>0</v>
      </c>
      <c r="O5" s="11">
        <f>Keys!$C$51</f>
        <v>0</v>
      </c>
      <c r="P5" s="11">
        <f>Keys!$C$51</f>
        <v>0</v>
      </c>
      <c r="Q5" s="11">
        <f>Keys!$C$51</f>
        <v>0</v>
      </c>
      <c r="R5" s="11">
        <f>Keys!$C$51</f>
        <v>0</v>
      </c>
      <c r="S5" s="11">
        <f>Keys!$C$51</f>
        <v>0</v>
      </c>
      <c r="T5" s="11">
        <f>Keys!$C$51</f>
        <v>0</v>
      </c>
      <c r="U5" s="11">
        <f>Keys!$C$51</f>
        <v>0</v>
      </c>
      <c r="V5" s="11">
        <f>Keys!$C$51</f>
        <v>0</v>
      </c>
    </row>
    <row r="6" spans="1:22" x14ac:dyDescent="0.25">
      <c r="A6" t="str">
        <f>Keys!$F$6</f>
        <v>hydro (is not a fuel)</v>
      </c>
      <c r="B6" s="11">
        <f>Keys!$C$51</f>
        <v>0</v>
      </c>
      <c r="C6" s="11">
        <f>Keys!$C$51</f>
        <v>0</v>
      </c>
      <c r="D6" s="11">
        <f>Keys!$C$51</f>
        <v>0</v>
      </c>
      <c r="E6" s="11">
        <f>Keys!$C$51</f>
        <v>0</v>
      </c>
      <c r="F6" s="11">
        <f>Calcs!$B$1021</f>
        <v>0</v>
      </c>
      <c r="G6" s="11">
        <f>Keys!$C$51</f>
        <v>0</v>
      </c>
      <c r="H6" s="11">
        <f>Keys!$C$51</f>
        <v>0</v>
      </c>
      <c r="I6" s="11">
        <f>Keys!$C$51</f>
        <v>0</v>
      </c>
      <c r="J6" s="11">
        <f>Keys!$C$51</f>
        <v>0</v>
      </c>
      <c r="K6" s="11">
        <f>Keys!$C$51</f>
        <v>0</v>
      </c>
      <c r="L6" s="11">
        <f>Keys!$C$51</f>
        <v>0</v>
      </c>
      <c r="M6" s="11">
        <f>Keys!$C$51</f>
        <v>0</v>
      </c>
      <c r="N6" s="11">
        <f>Keys!$C$51</f>
        <v>0</v>
      </c>
      <c r="O6" s="11">
        <f>Keys!$C$51</f>
        <v>0</v>
      </c>
      <c r="P6" s="11">
        <f>Keys!$C$51</f>
        <v>0</v>
      </c>
      <c r="Q6" s="11">
        <f>Keys!$C$51</f>
        <v>0</v>
      </c>
      <c r="R6" s="11">
        <f>Keys!$C$51</f>
        <v>0</v>
      </c>
      <c r="S6" s="11">
        <f>Keys!$C$51</f>
        <v>0</v>
      </c>
      <c r="T6" s="11">
        <f>Keys!$C$51</f>
        <v>0</v>
      </c>
      <c r="U6" s="11">
        <f>Keys!$C$51</f>
        <v>0</v>
      </c>
      <c r="V6" s="11">
        <f>Keys!$C$51</f>
        <v>0</v>
      </c>
    </row>
    <row r="7" spans="1:22" x14ac:dyDescent="0.25">
      <c r="A7" t="str">
        <f>Keys!$F$7</f>
        <v>wind (is not a fuel)</v>
      </c>
      <c r="B7" s="11">
        <f>Keys!$C$51</f>
        <v>0</v>
      </c>
      <c r="C7" s="11">
        <f>Keys!$C$51</f>
        <v>0</v>
      </c>
      <c r="D7" s="11">
        <f>Keys!$C$51</f>
        <v>0</v>
      </c>
      <c r="E7" s="11">
        <f>Keys!$C$51</f>
        <v>0</v>
      </c>
      <c r="F7" s="11">
        <f>Keys!$C$51</f>
        <v>0</v>
      </c>
      <c r="G7" s="11">
        <f>Calcs!$B$1022</f>
        <v>0</v>
      </c>
      <c r="H7" s="11">
        <f>Keys!$C$51</f>
        <v>0</v>
      </c>
      <c r="I7" s="11">
        <f>Keys!$C$51</f>
        <v>0</v>
      </c>
      <c r="J7" s="11">
        <f>Keys!$C$51</f>
        <v>0</v>
      </c>
      <c r="K7" s="11">
        <f>Keys!$C$51</f>
        <v>0</v>
      </c>
      <c r="L7" s="11">
        <f>Keys!$C$51</f>
        <v>0</v>
      </c>
      <c r="M7" s="11">
        <f>Keys!$C$51</f>
        <v>0</v>
      </c>
      <c r="N7" s="11">
        <f>Keys!$C$51</f>
        <v>0</v>
      </c>
      <c r="O7" s="11">
        <f>Keys!$C$51</f>
        <v>0</v>
      </c>
      <c r="P7" s="11">
        <f>Keys!$C$51</f>
        <v>0</v>
      </c>
      <c r="Q7" s="11">
        <f>Keys!$C$51</f>
        <v>0</v>
      </c>
      <c r="R7" s="11">
        <f>Keys!$C$51</f>
        <v>0</v>
      </c>
      <c r="S7" s="11">
        <f>Keys!$C$51</f>
        <v>0</v>
      </c>
      <c r="T7" s="11">
        <f>Keys!$C$51</f>
        <v>0</v>
      </c>
      <c r="U7" s="11">
        <f>Keys!$C$51</f>
        <v>0</v>
      </c>
      <c r="V7" s="11">
        <f>Keys!$C$51</f>
        <v>0</v>
      </c>
    </row>
    <row r="8" spans="1:22" x14ac:dyDescent="0.25">
      <c r="A8" t="str">
        <f>Keys!$F$8</f>
        <v>solar (is not a fuel)</v>
      </c>
      <c r="B8" s="11">
        <f>Keys!$C$51</f>
        <v>0</v>
      </c>
      <c r="C8" s="11">
        <f>Keys!$C$51</f>
        <v>0</v>
      </c>
      <c r="D8" s="11">
        <f>Keys!$C$51</f>
        <v>0</v>
      </c>
      <c r="E8" s="11">
        <f>Keys!$C$51</f>
        <v>0</v>
      </c>
      <c r="F8" s="11">
        <f>Keys!$C$51</f>
        <v>0</v>
      </c>
      <c r="G8" s="11">
        <f>Keys!$C$51</f>
        <v>0</v>
      </c>
      <c r="H8" s="11">
        <f>Calcs!$B$1023</f>
        <v>0</v>
      </c>
      <c r="I8" s="11">
        <f>Keys!$C$51</f>
        <v>0</v>
      </c>
      <c r="J8" s="11">
        <f>Keys!$C$51</f>
        <v>0</v>
      </c>
      <c r="K8" s="11">
        <f>Keys!$C$51</f>
        <v>0</v>
      </c>
      <c r="L8" s="11">
        <f>Keys!$C$51</f>
        <v>0</v>
      </c>
      <c r="M8" s="11">
        <f>Keys!$C$51</f>
        <v>0</v>
      </c>
      <c r="N8" s="11">
        <f>Keys!$C$51</f>
        <v>0</v>
      </c>
      <c r="O8" s="11">
        <f>Keys!$C$51</f>
        <v>0</v>
      </c>
      <c r="P8" s="11">
        <f>Keys!$C$51</f>
        <v>0</v>
      </c>
      <c r="Q8" s="11">
        <f>Keys!$C$51</f>
        <v>0</v>
      </c>
      <c r="R8" s="11">
        <f>Keys!$C$51</f>
        <v>0</v>
      </c>
      <c r="S8" s="11">
        <f>Keys!$C$51</f>
        <v>0</v>
      </c>
      <c r="T8" s="11">
        <f>Keys!$C$51</f>
        <v>0</v>
      </c>
      <c r="U8" s="11">
        <f>Keys!$C$51</f>
        <v>0</v>
      </c>
      <c r="V8" s="11">
        <f>Keys!$C$51</f>
        <v>0</v>
      </c>
    </row>
    <row r="9" spans="1:22" x14ac:dyDescent="0.25">
      <c r="A9" t="str">
        <f>Keys!$F$9</f>
        <v>biomass</v>
      </c>
      <c r="B9" s="11">
        <f>Keys!$C$51</f>
        <v>0</v>
      </c>
      <c r="C9" s="11">
        <f>Keys!$C$51</f>
        <v>0</v>
      </c>
      <c r="D9" s="11">
        <f>Keys!$C$51</f>
        <v>0</v>
      </c>
      <c r="E9" s="11">
        <f>Keys!$C$51</f>
        <v>0</v>
      </c>
      <c r="F9" s="11">
        <f>Keys!$C$51</f>
        <v>0</v>
      </c>
      <c r="G9" s="11">
        <f>Keys!$C$51</f>
        <v>0</v>
      </c>
      <c r="H9" s="11">
        <f>Keys!$C$51</f>
        <v>0</v>
      </c>
      <c r="I9" s="11">
        <f>Calcs!$B$1024</f>
        <v>0</v>
      </c>
      <c r="J9" s="11">
        <f>Keys!$C$51</f>
        <v>0</v>
      </c>
      <c r="K9" s="11">
        <f>Keys!$C$51</f>
        <v>0</v>
      </c>
      <c r="L9" s="11">
        <f>Keys!$C$51</f>
        <v>0</v>
      </c>
      <c r="M9" s="11">
        <f>Keys!$C$51</f>
        <v>0</v>
      </c>
      <c r="N9" s="11">
        <f>Keys!$C$51</f>
        <v>0</v>
      </c>
      <c r="O9" s="11">
        <f>Keys!$C$51</f>
        <v>0</v>
      </c>
      <c r="P9" s="11">
        <f>Keys!$C$51</f>
        <v>0</v>
      </c>
      <c r="Q9" s="11">
        <f>Keys!$C$51</f>
        <v>0</v>
      </c>
      <c r="R9" s="11">
        <f>Keys!$C$51</f>
        <v>0</v>
      </c>
      <c r="S9" s="11">
        <f>Keys!$C$51</f>
        <v>0</v>
      </c>
      <c r="T9" s="11">
        <f>Keys!$C$51</f>
        <v>0</v>
      </c>
      <c r="U9" s="11">
        <f>Keys!$C$51</f>
        <v>0</v>
      </c>
      <c r="V9" s="11">
        <f>Keys!$C$51</f>
        <v>0</v>
      </c>
    </row>
    <row r="10" spans="1:22" x14ac:dyDescent="0.25">
      <c r="A10" t="str">
        <f>Keys!$F$10</f>
        <v>petroleum gasoline</v>
      </c>
      <c r="B10" s="11">
        <f>Keys!$C$51</f>
        <v>0</v>
      </c>
      <c r="C10" s="11">
        <f>Keys!$C$51</f>
        <v>0</v>
      </c>
      <c r="D10" s="11">
        <f>Keys!$C$51</f>
        <v>0</v>
      </c>
      <c r="E10" s="11">
        <f>Keys!$C$51</f>
        <v>0</v>
      </c>
      <c r="F10" s="11">
        <f>Keys!$C$51</f>
        <v>0</v>
      </c>
      <c r="G10" s="11">
        <f>Keys!$C$51</f>
        <v>0</v>
      </c>
      <c r="H10" s="11">
        <f>Keys!$C$51</f>
        <v>0</v>
      </c>
      <c r="I10" s="11">
        <f>Keys!$C$51</f>
        <v>0</v>
      </c>
      <c r="J10" s="11">
        <f>Calcs!$B$1025</f>
        <v>0</v>
      </c>
      <c r="K10" s="11">
        <f>Keys!$C$51</f>
        <v>0</v>
      </c>
      <c r="L10" s="11">
        <f>Keys!$C$51</f>
        <v>0</v>
      </c>
      <c r="M10" s="11">
        <f>Keys!$C$51</f>
        <v>0</v>
      </c>
      <c r="N10" s="11">
        <f>Keys!$C$51</f>
        <v>0</v>
      </c>
      <c r="O10" s="11">
        <f>Keys!$C$51</f>
        <v>0</v>
      </c>
      <c r="P10" s="11">
        <f>Keys!$C$51</f>
        <v>0</v>
      </c>
      <c r="Q10" s="11">
        <f>Keys!$C$51</f>
        <v>0</v>
      </c>
      <c r="R10" s="11">
        <f>Keys!$C$51</f>
        <v>0</v>
      </c>
      <c r="S10" s="11">
        <f>Keys!$C$51</f>
        <v>0</v>
      </c>
      <c r="T10" s="11">
        <f>Keys!$C$51</f>
        <v>0</v>
      </c>
      <c r="U10" s="11">
        <f>Keys!$C$51</f>
        <v>0</v>
      </c>
      <c r="V10" s="11">
        <f>Keys!$C$51</f>
        <v>0</v>
      </c>
    </row>
    <row r="11" spans="1:22" x14ac:dyDescent="0.25">
      <c r="A11" t="str">
        <f>Keys!$F$11</f>
        <v>petroleum diesel</v>
      </c>
      <c r="B11" s="11">
        <f>Keys!$C$51</f>
        <v>0</v>
      </c>
      <c r="C11" s="11">
        <f>Keys!$C$51</f>
        <v>0</v>
      </c>
      <c r="D11" s="11">
        <f>Keys!$C$51</f>
        <v>0</v>
      </c>
      <c r="E11" s="11">
        <f>Keys!$C$51</f>
        <v>0</v>
      </c>
      <c r="F11" s="11">
        <f>Keys!$C$51</f>
        <v>0</v>
      </c>
      <c r="G11" s="11">
        <f>Keys!$C$51</f>
        <v>0</v>
      </c>
      <c r="H11" s="11">
        <f>Keys!$C$51</f>
        <v>0</v>
      </c>
      <c r="I11" s="11">
        <f>Keys!$C$51</f>
        <v>0</v>
      </c>
      <c r="J11" s="11">
        <f>Keys!$C$51</f>
        <v>0</v>
      </c>
      <c r="K11" s="11">
        <f>Calcs!$B$1026</f>
        <v>0</v>
      </c>
      <c r="L11" s="11">
        <f>Keys!$C$51</f>
        <v>0</v>
      </c>
      <c r="M11" s="11">
        <f>Keys!$C$51</f>
        <v>0</v>
      </c>
      <c r="N11" s="11">
        <f>Keys!$C$51</f>
        <v>0</v>
      </c>
      <c r="O11" s="11">
        <f>Keys!$C$51</f>
        <v>0</v>
      </c>
      <c r="P11" s="11">
        <f>Keys!$C$51</f>
        <v>0</v>
      </c>
      <c r="Q11" s="11">
        <f>Keys!$C$51</f>
        <v>0</v>
      </c>
      <c r="R11" s="11">
        <f>Keys!$C$51</f>
        <v>0</v>
      </c>
      <c r="S11" s="11">
        <f>Keys!$C$51</f>
        <v>0</v>
      </c>
      <c r="T11" s="11">
        <f>Keys!$C$51</f>
        <v>0</v>
      </c>
      <c r="U11" s="11">
        <f>Keys!$C$51</f>
        <v>0</v>
      </c>
      <c r="V11" s="11">
        <f>Keys!$C$51</f>
        <v>0</v>
      </c>
    </row>
    <row r="12" spans="1:22" x14ac:dyDescent="0.25">
      <c r="A12" t="str">
        <f>Keys!$F$12</f>
        <v>biofuel gasoline</v>
      </c>
      <c r="B12" s="11">
        <f>Keys!$C$51</f>
        <v>0</v>
      </c>
      <c r="C12" s="11">
        <f>Keys!$C$51</f>
        <v>0</v>
      </c>
      <c r="D12" s="11">
        <f>Keys!$C$51</f>
        <v>0</v>
      </c>
      <c r="E12" s="11">
        <f>Keys!$C$51</f>
        <v>0</v>
      </c>
      <c r="F12" s="11">
        <f>Keys!$C$51</f>
        <v>0</v>
      </c>
      <c r="G12" s="11">
        <f>Keys!$C$51</f>
        <v>0</v>
      </c>
      <c r="H12" s="11">
        <f>Keys!$C$51</f>
        <v>0</v>
      </c>
      <c r="I12" s="11">
        <f>Keys!$C$51</f>
        <v>0</v>
      </c>
      <c r="J12" s="11">
        <f>Keys!$C$51</f>
        <v>0</v>
      </c>
      <c r="K12" s="11">
        <f>Keys!$C$51</f>
        <v>0</v>
      </c>
      <c r="L12" s="11">
        <f>Calcs!$B$1027</f>
        <v>0</v>
      </c>
      <c r="M12" s="11">
        <f>Keys!$C$51</f>
        <v>0</v>
      </c>
      <c r="N12" s="11">
        <f>Keys!$C$51</f>
        <v>0</v>
      </c>
      <c r="O12" s="11">
        <f>Keys!$C$51</f>
        <v>0</v>
      </c>
      <c r="P12" s="11">
        <f>Keys!$C$51</f>
        <v>0</v>
      </c>
      <c r="Q12" s="11">
        <f>Keys!$C$51</f>
        <v>0</v>
      </c>
      <c r="R12" s="11">
        <f>Keys!$C$51</f>
        <v>0</v>
      </c>
      <c r="S12" s="11">
        <f>Keys!$C$51</f>
        <v>0</v>
      </c>
      <c r="T12" s="11">
        <f>Keys!$C$51</f>
        <v>0</v>
      </c>
      <c r="U12" s="11">
        <f>Keys!$C$51</f>
        <v>0</v>
      </c>
      <c r="V12" s="11">
        <f>Keys!$C$51</f>
        <v>0</v>
      </c>
    </row>
    <row r="13" spans="1:22" x14ac:dyDescent="0.25">
      <c r="A13" t="str">
        <f>Keys!$F$13</f>
        <v>biofuel diesel</v>
      </c>
      <c r="B13" s="11">
        <f>Keys!$C$51</f>
        <v>0</v>
      </c>
      <c r="C13" s="11">
        <f>Keys!$C$51</f>
        <v>0</v>
      </c>
      <c r="D13" s="11">
        <f>Keys!$C$51</f>
        <v>0</v>
      </c>
      <c r="E13" s="11">
        <f>Keys!$C$51</f>
        <v>0</v>
      </c>
      <c r="F13" s="11">
        <f>Keys!$C$51</f>
        <v>0</v>
      </c>
      <c r="G13" s="11">
        <f>Keys!$C$51</f>
        <v>0</v>
      </c>
      <c r="H13" s="11">
        <f>Keys!$C$51</f>
        <v>0</v>
      </c>
      <c r="I13" s="11">
        <f>Keys!$C$51</f>
        <v>0</v>
      </c>
      <c r="J13" s="11">
        <f>Keys!$C$51</f>
        <v>0</v>
      </c>
      <c r="K13" s="11">
        <f>Keys!$C$51</f>
        <v>0</v>
      </c>
      <c r="L13" s="11">
        <f>Keys!$C$51</f>
        <v>0</v>
      </c>
      <c r="M13" s="11">
        <f>Calcs!$B$1028</f>
        <v>0</v>
      </c>
      <c r="N13" s="11">
        <f>Keys!$C$51</f>
        <v>0</v>
      </c>
      <c r="O13" s="11">
        <f>Keys!$C$51</f>
        <v>0</v>
      </c>
      <c r="P13" s="11">
        <f>Keys!$C$51</f>
        <v>0</v>
      </c>
      <c r="Q13" s="11">
        <f>Keys!$C$51</f>
        <v>0</v>
      </c>
      <c r="R13" s="11">
        <f>Keys!$C$51</f>
        <v>0</v>
      </c>
      <c r="S13" s="11">
        <f>Keys!$C$51</f>
        <v>0</v>
      </c>
      <c r="T13" s="11">
        <f>Keys!$C$51</f>
        <v>0</v>
      </c>
      <c r="U13" s="11">
        <f>Keys!$C$51</f>
        <v>0</v>
      </c>
      <c r="V13" s="11">
        <f>Keys!$C$51</f>
        <v>0</v>
      </c>
    </row>
    <row r="14" spans="1:22" x14ac:dyDescent="0.25">
      <c r="A14" t="str">
        <f>Keys!$F$14</f>
        <v>jet fuel or kerosene</v>
      </c>
      <c r="B14" s="11">
        <f>Keys!$C$51</f>
        <v>0</v>
      </c>
      <c r="C14" s="11">
        <f>Keys!$C$51</f>
        <v>0</v>
      </c>
      <c r="D14" s="11">
        <f>Keys!$C$51</f>
        <v>0</v>
      </c>
      <c r="E14" s="11">
        <f>Keys!$C$51</f>
        <v>0</v>
      </c>
      <c r="F14" s="11">
        <f>Keys!$C$51</f>
        <v>0</v>
      </c>
      <c r="G14" s="11">
        <f>Keys!$C$51</f>
        <v>0</v>
      </c>
      <c r="H14" s="11">
        <f>Keys!$C$51</f>
        <v>0</v>
      </c>
      <c r="I14" s="11">
        <f>Keys!$C$51</f>
        <v>0</v>
      </c>
      <c r="J14" s="11">
        <f>Keys!$C$51</f>
        <v>0</v>
      </c>
      <c r="K14" s="11">
        <f>Keys!$C$51</f>
        <v>0</v>
      </c>
      <c r="L14" s="11">
        <f>Keys!$C$51</f>
        <v>0</v>
      </c>
      <c r="M14" s="11">
        <f>Keys!$C$51</f>
        <v>0</v>
      </c>
      <c r="N14" s="11">
        <f>Calcs!$B$1029</f>
        <v>0</v>
      </c>
      <c r="O14" s="11">
        <f>Keys!$C$51</f>
        <v>0</v>
      </c>
      <c r="P14" s="11">
        <f>Keys!$C$51</f>
        <v>0</v>
      </c>
      <c r="Q14" s="11">
        <f>Keys!$C$51</f>
        <v>0</v>
      </c>
      <c r="R14" s="11">
        <f>Keys!$C$51</f>
        <v>0</v>
      </c>
      <c r="S14" s="11">
        <f>Keys!$C$51</f>
        <v>0</v>
      </c>
      <c r="T14" s="11">
        <f>Keys!$C$51</f>
        <v>0</v>
      </c>
      <c r="U14" s="11">
        <f>Keys!$C$51</f>
        <v>0</v>
      </c>
      <c r="V14" s="11">
        <f>Keys!$C$51</f>
        <v>0</v>
      </c>
    </row>
    <row r="15" spans="1:22" x14ac:dyDescent="0.25">
      <c r="A15" t="str">
        <f>Keys!$F$15</f>
        <v>heat (not used in this variable)</v>
      </c>
      <c r="B15" s="11">
        <f>Keys!$C$51</f>
        <v>0</v>
      </c>
      <c r="C15" s="11">
        <f>Keys!$C$51</f>
        <v>0</v>
      </c>
      <c r="D15" s="11">
        <f>Keys!$C$51</f>
        <v>0</v>
      </c>
      <c r="E15" s="11">
        <f>Keys!$C$51</f>
        <v>0</v>
      </c>
      <c r="F15" s="11">
        <f>Keys!$C$51</f>
        <v>0</v>
      </c>
      <c r="G15" s="11">
        <f>Keys!$C$51</f>
        <v>0</v>
      </c>
      <c r="H15" s="11">
        <f>Keys!$C$51</f>
        <v>0</v>
      </c>
      <c r="I15" s="11">
        <f>Keys!$C$51</f>
        <v>0</v>
      </c>
      <c r="J15" s="11">
        <f>Keys!$C$51</f>
        <v>0</v>
      </c>
      <c r="K15" s="11">
        <f>Keys!$C$51</f>
        <v>0</v>
      </c>
      <c r="L15" s="11">
        <f>Keys!$C$51</f>
        <v>0</v>
      </c>
      <c r="M15" s="11">
        <f>Keys!$C$51</f>
        <v>0</v>
      </c>
      <c r="N15" s="11">
        <f>Keys!$C$51</f>
        <v>0</v>
      </c>
      <c r="O15" s="11">
        <f>Calcs!$B$1030</f>
        <v>0</v>
      </c>
      <c r="P15" s="11">
        <f>Keys!$C$51</f>
        <v>0</v>
      </c>
      <c r="Q15" s="11">
        <f>Keys!$C$51</f>
        <v>0</v>
      </c>
      <c r="R15" s="11">
        <f>Keys!$C$51</f>
        <v>0</v>
      </c>
      <c r="S15" s="11">
        <f>Keys!$C$51</f>
        <v>0</v>
      </c>
      <c r="T15" s="11">
        <f>Keys!$C$51</f>
        <v>0</v>
      </c>
      <c r="U15" s="11">
        <f>Keys!$C$51</f>
        <v>0</v>
      </c>
      <c r="V15" s="11">
        <f>Keys!$C$51</f>
        <v>0</v>
      </c>
    </row>
    <row r="16" spans="1:22" x14ac:dyDescent="0.25">
      <c r="A16" t="str">
        <f>Keys!$F$16</f>
        <v>geothermal (is not a fuel)</v>
      </c>
      <c r="B16" s="11">
        <f>Keys!$C$51</f>
        <v>0</v>
      </c>
      <c r="C16" s="11">
        <f>Keys!$C$51</f>
        <v>0</v>
      </c>
      <c r="D16" s="11">
        <f>Keys!$C$51</f>
        <v>0</v>
      </c>
      <c r="E16" s="11">
        <f>Keys!$C$51</f>
        <v>0</v>
      </c>
      <c r="F16" s="11">
        <f>Keys!$C$51</f>
        <v>0</v>
      </c>
      <c r="G16" s="11">
        <f>Keys!$C$51</f>
        <v>0</v>
      </c>
      <c r="H16" s="11">
        <f>Keys!$C$51</f>
        <v>0</v>
      </c>
      <c r="I16" s="11">
        <f>Keys!$C$51</f>
        <v>0</v>
      </c>
      <c r="J16" s="11">
        <f>Keys!$C$51</f>
        <v>0</v>
      </c>
      <c r="K16" s="11">
        <f>Keys!$C$51</f>
        <v>0</v>
      </c>
      <c r="L16" s="11">
        <f>Keys!$C$51</f>
        <v>0</v>
      </c>
      <c r="M16" s="11">
        <f>Keys!$C$51</f>
        <v>0</v>
      </c>
      <c r="N16" s="11">
        <f>Keys!$C$51</f>
        <v>0</v>
      </c>
      <c r="O16" s="11">
        <f>Keys!$C$51</f>
        <v>0</v>
      </c>
      <c r="P16" s="11">
        <f>Calcs!$B$1031</f>
        <v>0</v>
      </c>
      <c r="Q16" s="11">
        <f>Keys!$C$51</f>
        <v>0</v>
      </c>
      <c r="R16" s="11">
        <f>Keys!$C$51</f>
        <v>0</v>
      </c>
      <c r="S16" s="11">
        <f>Keys!$C$51</f>
        <v>0</v>
      </c>
      <c r="T16" s="11">
        <f>Keys!$C$51</f>
        <v>0</v>
      </c>
      <c r="U16" s="11">
        <f>Keys!$C$51</f>
        <v>0</v>
      </c>
      <c r="V16" s="11">
        <f>Keys!$C$51</f>
        <v>0</v>
      </c>
    </row>
    <row r="17" spans="1:22" x14ac:dyDescent="0.25">
      <c r="A17" t="str">
        <f>Keys!$F$17</f>
        <v>lignite</v>
      </c>
      <c r="B17" s="11">
        <f>Keys!$C$51</f>
        <v>0</v>
      </c>
      <c r="C17" s="11">
        <f>Keys!$C$51</f>
        <v>0</v>
      </c>
      <c r="D17" s="11">
        <f>Keys!$C$51</f>
        <v>0</v>
      </c>
      <c r="E17" s="11">
        <f>Keys!$C$51</f>
        <v>0</v>
      </c>
      <c r="F17" s="11">
        <f>Keys!$C$51</f>
        <v>0</v>
      </c>
      <c r="G17" s="11">
        <f>Keys!$C$51</f>
        <v>0</v>
      </c>
      <c r="H17" s="11">
        <f>Keys!$C$51</f>
        <v>0</v>
      </c>
      <c r="I17" s="11">
        <f>Keys!$C$51</f>
        <v>0</v>
      </c>
      <c r="J17" s="11">
        <f>Keys!$C$51</f>
        <v>0</v>
      </c>
      <c r="K17" s="11">
        <f>Keys!$C$51</f>
        <v>0</v>
      </c>
      <c r="L17" s="11">
        <f>Keys!$C$51</f>
        <v>0</v>
      </c>
      <c r="M17" s="11">
        <f>Keys!$C$51</f>
        <v>0</v>
      </c>
      <c r="N17" s="11">
        <f>Keys!$C$51</f>
        <v>0</v>
      </c>
      <c r="O17" s="11">
        <f>Keys!$C$51</f>
        <v>0</v>
      </c>
      <c r="P17" s="11">
        <f>Keys!$C$51</f>
        <v>0</v>
      </c>
      <c r="Q17" s="11">
        <f>Calcs!$B$1032</f>
        <v>0</v>
      </c>
      <c r="R17" s="11">
        <f>Keys!$C$51</f>
        <v>0</v>
      </c>
      <c r="S17" s="11">
        <f>Keys!$C$51</f>
        <v>0</v>
      </c>
      <c r="T17" s="11">
        <f>Keys!$C$51</f>
        <v>0</v>
      </c>
      <c r="U17" s="11">
        <f>Keys!$C$51</f>
        <v>0</v>
      </c>
      <c r="V17" s="11">
        <f>Keys!$C$51</f>
        <v>0</v>
      </c>
    </row>
    <row r="18" spans="1:22" x14ac:dyDescent="0.25">
      <c r="A18" t="str">
        <f>Keys!$F$18</f>
        <v>crude oil</v>
      </c>
      <c r="B18" s="11">
        <f>Keys!$C$51</f>
        <v>0</v>
      </c>
      <c r="C18" s="11">
        <f>Keys!$C$51</f>
        <v>0</v>
      </c>
      <c r="D18" s="11">
        <f>Keys!$C$51</f>
        <v>0</v>
      </c>
      <c r="E18" s="11">
        <f>Keys!$C$51</f>
        <v>0</v>
      </c>
      <c r="F18" s="11">
        <f>Keys!$C$51</f>
        <v>0</v>
      </c>
      <c r="G18" s="11">
        <f>Keys!$C$51</f>
        <v>0</v>
      </c>
      <c r="H18" s="11">
        <f>Keys!$C$51</f>
        <v>0</v>
      </c>
      <c r="I18" s="11">
        <f>Keys!$C$51</f>
        <v>0</v>
      </c>
      <c r="J18" s="11">
        <f>Keys!$C$51</f>
        <v>0</v>
      </c>
      <c r="K18" s="11">
        <f>Keys!$C$51</f>
        <v>0</v>
      </c>
      <c r="L18" s="11">
        <f>Keys!$C$51</f>
        <v>0</v>
      </c>
      <c r="M18" s="11">
        <f>Keys!$C$51</f>
        <v>0</v>
      </c>
      <c r="N18" s="11">
        <f>Keys!$C$51</f>
        <v>0</v>
      </c>
      <c r="O18" s="11">
        <f>Keys!$C$51</f>
        <v>0</v>
      </c>
      <c r="P18" s="11">
        <f>Keys!$C$51</f>
        <v>0</v>
      </c>
      <c r="Q18" s="11">
        <f>Keys!$C$51</f>
        <v>0</v>
      </c>
      <c r="R18" s="11">
        <f>Calcs!$B$1033</f>
        <v>1</v>
      </c>
      <c r="S18" s="11">
        <f>Keys!$C$51</f>
        <v>0</v>
      </c>
      <c r="T18" s="11">
        <f>Keys!$C$51</f>
        <v>0</v>
      </c>
      <c r="U18" s="11">
        <f>Keys!$C$51</f>
        <v>0</v>
      </c>
      <c r="V18" s="11">
        <f>Keys!$C$51</f>
        <v>0</v>
      </c>
    </row>
    <row r="19" spans="1:22" x14ac:dyDescent="0.25">
      <c r="A19" t="str">
        <f>Keys!$F$19</f>
        <v>heavy fuel oil</v>
      </c>
      <c r="B19" s="11">
        <f>Keys!$C$51</f>
        <v>0</v>
      </c>
      <c r="C19" s="11">
        <f>Keys!$C$51</f>
        <v>0</v>
      </c>
      <c r="D19" s="11">
        <f>Keys!$C$51</f>
        <v>0</v>
      </c>
      <c r="E19" s="11">
        <f>Keys!$C$51</f>
        <v>0</v>
      </c>
      <c r="F19" s="11">
        <f>Keys!$C$51</f>
        <v>0</v>
      </c>
      <c r="G19" s="11">
        <f>Keys!$C$51</f>
        <v>0</v>
      </c>
      <c r="H19" s="11">
        <f>Keys!$C$51</f>
        <v>0</v>
      </c>
      <c r="I19" s="11">
        <f>Keys!$C$51</f>
        <v>0</v>
      </c>
      <c r="J19" s="11">
        <f>Keys!$C$51</f>
        <v>0</v>
      </c>
      <c r="K19" s="11">
        <f>Keys!$C$51</f>
        <v>0</v>
      </c>
      <c r="L19" s="11">
        <f>Keys!$C$51</f>
        <v>0</v>
      </c>
      <c r="M19" s="11">
        <f>Keys!$C$51</f>
        <v>0</v>
      </c>
      <c r="N19" s="11">
        <f>Keys!$C$51</f>
        <v>0</v>
      </c>
      <c r="O19" s="11">
        <f>Keys!$C$51</f>
        <v>0</v>
      </c>
      <c r="P19" s="11">
        <f>Keys!$C$51</f>
        <v>0</v>
      </c>
      <c r="Q19" s="11">
        <f>Keys!$C$51</f>
        <v>0</v>
      </c>
      <c r="R19" s="11">
        <f>Keys!$C$51</f>
        <v>0</v>
      </c>
      <c r="S19" s="11">
        <f>Calcs!$B$1034</f>
        <v>0</v>
      </c>
      <c r="T19" s="11">
        <f>Keys!$C$51</f>
        <v>0</v>
      </c>
      <c r="U19" s="11">
        <f>Keys!$C$51</f>
        <v>0</v>
      </c>
      <c r="V19" s="11">
        <f>Keys!$C$51</f>
        <v>0</v>
      </c>
    </row>
    <row r="20" spans="1:22" x14ac:dyDescent="0.25">
      <c r="A20" t="str">
        <f>Keys!$F$20</f>
        <v>LPG propane or butane</v>
      </c>
      <c r="B20" s="11">
        <f>Keys!$C$51</f>
        <v>0</v>
      </c>
      <c r="C20" s="11">
        <f>Keys!$C$51</f>
        <v>0</v>
      </c>
      <c r="D20" s="11">
        <f>Keys!$C$51</f>
        <v>0</v>
      </c>
      <c r="E20" s="11">
        <f>Keys!$C$51</f>
        <v>0</v>
      </c>
      <c r="F20" s="11">
        <f>Keys!$C$51</f>
        <v>0</v>
      </c>
      <c r="G20" s="11">
        <f>Keys!$C$51</f>
        <v>0</v>
      </c>
      <c r="H20" s="11">
        <f>Keys!$C$51</f>
        <v>0</v>
      </c>
      <c r="I20" s="11">
        <f>Keys!$C$51</f>
        <v>0</v>
      </c>
      <c r="J20" s="11">
        <f>Keys!$C$51</f>
        <v>0</v>
      </c>
      <c r="K20" s="11">
        <f>Keys!$C$51</f>
        <v>0</v>
      </c>
      <c r="L20" s="11">
        <f>Keys!$C$51</f>
        <v>0</v>
      </c>
      <c r="M20" s="11">
        <f>Keys!$C$51</f>
        <v>0</v>
      </c>
      <c r="N20" s="11">
        <f>Keys!$C$51</f>
        <v>0</v>
      </c>
      <c r="O20" s="11">
        <f>Keys!$C$51</f>
        <v>0</v>
      </c>
      <c r="P20" s="11">
        <f>Keys!$C$51</f>
        <v>0</v>
      </c>
      <c r="Q20" s="11">
        <f>Keys!$C$51</f>
        <v>0</v>
      </c>
      <c r="R20" s="11">
        <f>Keys!$C$51</f>
        <v>0</v>
      </c>
      <c r="S20" s="11">
        <f>Keys!$C$51</f>
        <v>0</v>
      </c>
      <c r="T20" s="11">
        <f>Calcs!$B$1035</f>
        <v>0</v>
      </c>
      <c r="U20" s="11">
        <f>Keys!$C$51</f>
        <v>0</v>
      </c>
      <c r="V20" s="11">
        <f>Keys!$C$51</f>
        <v>0</v>
      </c>
    </row>
    <row r="21" spans="1:22" x14ac:dyDescent="0.25">
      <c r="A21" t="str">
        <f>Keys!$F$21</f>
        <v>municipal solid waste</v>
      </c>
      <c r="B21" s="11">
        <f>Keys!$C$51</f>
        <v>0</v>
      </c>
      <c r="C21" s="11">
        <f>Keys!$C$51</f>
        <v>0</v>
      </c>
      <c r="D21" s="11">
        <f>Keys!$C$51</f>
        <v>0</v>
      </c>
      <c r="E21" s="11">
        <f>Keys!$C$51</f>
        <v>0</v>
      </c>
      <c r="F21" s="11">
        <f>Keys!$C$51</f>
        <v>0</v>
      </c>
      <c r="G21" s="11">
        <f>Keys!$C$51</f>
        <v>0</v>
      </c>
      <c r="H21" s="11">
        <f>Keys!$C$51</f>
        <v>0</v>
      </c>
      <c r="I21" s="11">
        <f>Keys!$C$51</f>
        <v>0</v>
      </c>
      <c r="J21" s="11">
        <f>Keys!$C$51</f>
        <v>0</v>
      </c>
      <c r="K21" s="11">
        <f>Keys!$C$51</f>
        <v>0</v>
      </c>
      <c r="L21" s="11">
        <f>Keys!$C$51</f>
        <v>0</v>
      </c>
      <c r="M21" s="11">
        <f>Keys!$C$51</f>
        <v>0</v>
      </c>
      <c r="N21" s="11">
        <f>Keys!$C$51</f>
        <v>0</v>
      </c>
      <c r="O21" s="11">
        <f>Keys!$C$51</f>
        <v>0</v>
      </c>
      <c r="P21" s="11">
        <f>Keys!$C$51</f>
        <v>0</v>
      </c>
      <c r="Q21" s="11">
        <f>Keys!$C$51</f>
        <v>0</v>
      </c>
      <c r="R21" s="11">
        <f>Keys!$C$51</f>
        <v>0</v>
      </c>
      <c r="S21" s="11">
        <f>Keys!$C$51</f>
        <v>0</v>
      </c>
      <c r="T21" s="11">
        <f>Keys!$C$51</f>
        <v>0</v>
      </c>
      <c r="U21" s="11">
        <f>Calcs!$B$1036</f>
        <v>0</v>
      </c>
      <c r="V21" s="11">
        <f>Keys!$C$51</f>
        <v>0</v>
      </c>
    </row>
    <row r="22" spans="1:22" x14ac:dyDescent="0.25">
      <c r="A22" t="str">
        <f>Keys!$F$22</f>
        <v>hydrogen</v>
      </c>
      <c r="B22" s="11">
        <f>Keys!$C$51</f>
        <v>0</v>
      </c>
      <c r="C22" s="11">
        <f>Keys!$C$51</f>
        <v>0</v>
      </c>
      <c r="D22" s="11">
        <f>Keys!$C$51</f>
        <v>0</v>
      </c>
      <c r="E22" s="11">
        <f>Keys!$C$51</f>
        <v>0</v>
      </c>
      <c r="F22" s="11">
        <f>Keys!$C$51</f>
        <v>0</v>
      </c>
      <c r="G22" s="11">
        <f>Keys!$C$51</f>
        <v>0</v>
      </c>
      <c r="H22" s="11">
        <f>Keys!$C$51</f>
        <v>0</v>
      </c>
      <c r="I22" s="11">
        <f>Keys!$C$51</f>
        <v>0</v>
      </c>
      <c r="J22" s="11">
        <f>Keys!$C$51</f>
        <v>0</v>
      </c>
      <c r="K22" s="11">
        <f>Keys!$C$51</f>
        <v>0</v>
      </c>
      <c r="L22" s="11">
        <f>Keys!$C$51</f>
        <v>0</v>
      </c>
      <c r="M22" s="11">
        <f>Keys!$C$51</f>
        <v>0</v>
      </c>
      <c r="N22" s="11">
        <f>Keys!$C$51</f>
        <v>0</v>
      </c>
      <c r="O22" s="11">
        <f>Keys!$C$51</f>
        <v>0</v>
      </c>
      <c r="P22" s="11">
        <f>Keys!$C$51</f>
        <v>0</v>
      </c>
      <c r="Q22" s="11">
        <f>Keys!$C$51</f>
        <v>0</v>
      </c>
      <c r="R22" s="11">
        <f>Keys!$C$51</f>
        <v>0</v>
      </c>
      <c r="S22" s="11">
        <f>Keys!$C$51</f>
        <v>0</v>
      </c>
      <c r="T22" s="11">
        <f>Keys!$C$51</f>
        <v>0</v>
      </c>
      <c r="U22" s="11">
        <f>Keys!$C$51</f>
        <v>0</v>
      </c>
      <c r="V22" s="11">
        <f>Calcs!$B$1037</f>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About</vt:lpstr>
      <vt:lpstr>Keys</vt:lpstr>
      <vt:lpstr>Methodology</vt:lpstr>
      <vt:lpstr>Raw_BFPIaE</vt:lpstr>
      <vt:lpstr>Balanced_2025</vt:lpstr>
      <vt:lpstr>Calcs</vt:lpstr>
      <vt:lpstr>Checks</vt:lpstr>
      <vt:lpstr>PoFDCtAE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2026-08-26T19:58:34Z</dcterms:created>
  <dcterms:modified xsi:type="dcterms:W3CDTF">2026-08-26T20:33:19Z</dcterms:modified>
</cp:coreProperties>
</file>