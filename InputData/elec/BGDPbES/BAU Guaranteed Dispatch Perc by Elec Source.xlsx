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01995E24-DB8B-48DE-B382-0AD3DC85C2DD}"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<sst xmlns="http://schemas.openxmlformats.org/spreadsheetml/2006/main" count="859" uniqueCount="430">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</sst>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101</v>
      </c>
      <c r="C1" t="s">
        <v>2</v>
      </c>
      <c r="K1" t="s">
        <v>3</v>
      </c>
      <c r="L1" t="s">
        <v>4</v>
      </c>
    </row>
    <row r="2" spans="1:12" x14ac:dyDescent="0.45">
      <c r="A2" s="3" t="s">
        <v>5</v>
      </c>
      <c r="B2" s="4" t="str">
        <f>INDEX(L1:L48,MATCH(B1,K1:K48,0))</f>
        <v>RI</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0</v>
      </c>
      <c r="C118" s="10">
        <f t="shared" ref="C118:C141" si="1">IF(B118&gt;0,1,0)</f>
        <v>0</v>
      </c>
    </row>
    <row r="119" spans="1:25" x14ac:dyDescent="0.45">
      <c r="A119" t="s">
        <v>165</v>
      </c>
      <c r="B119" s="8">
        <f>INDEX($C$64:$C$111,MATCH(About!$B$2,$A$64:$A$111,0))</f>
        <v>0</v>
      </c>
      <c r="C119" s="10">
        <f t="shared" si="1"/>
        <v>0</v>
      </c>
    </row>
    <row r="120" spans="1:25" x14ac:dyDescent="0.45">
      <c r="A120" t="s">
        <v>167</v>
      </c>
      <c r="B120" s="8">
        <f>INDEX($D$64:$D$111,MATCH(About!$B$2,$A$64:$A$111,0))</f>
        <v>1735.2</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2.7</v>
      </c>
      <c r="C122" s="10">
        <f t="shared" si="1"/>
        <v>1</v>
      </c>
    </row>
    <row r="123" spans="1:25" x14ac:dyDescent="0.45">
      <c r="A123" t="s">
        <v>173</v>
      </c>
      <c r="B123" s="8">
        <f>INDEX($G$64:$G$111,MATCH(About!$B$2,$A$64:$A$111,0))</f>
        <v>43.5</v>
      </c>
      <c r="C123" s="10">
        <f t="shared" si="1"/>
        <v>1</v>
      </c>
    </row>
    <row r="124" spans="1:25" x14ac:dyDescent="0.45">
      <c r="A124" t="s">
        <v>175</v>
      </c>
      <c r="B124" s="8">
        <f>INDEX($H$64:$H$111,MATCH(About!$B$2,$A$64:$A$111,0))</f>
        <v>418.5</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40.1</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7.1</v>
      </c>
      <c r="C128" s="10">
        <f t="shared" si="1"/>
        <v>1</v>
      </c>
    </row>
    <row r="129" spans="1:3" x14ac:dyDescent="0.45">
      <c r="A129" t="s">
        <v>182</v>
      </c>
      <c r="B129" s="8">
        <f>INDEX($M$64:$M$111,MATCH(About!$B$2,$A$64:$A$111,0))</f>
        <v>0</v>
      </c>
      <c r="C129" s="10">
        <f t="shared" si="1"/>
        <v>0</v>
      </c>
    </row>
    <row r="130" spans="1:3" x14ac:dyDescent="0.45">
      <c r="A130" t="s">
        <v>184</v>
      </c>
      <c r="B130" s="8">
        <f>INDEX($N$64:$N$111,MATCH(About!$B$2,$A$64:$A$111,0))</f>
        <v>0</v>
      </c>
      <c r="C130" s="10">
        <f t="shared" si="1"/>
        <v>0</v>
      </c>
    </row>
    <row r="131" spans="1:3" x14ac:dyDescent="0.45">
      <c r="A131" t="s">
        <v>186</v>
      </c>
      <c r="B131" s="8">
        <f>INDEX($O$64:$O$111,MATCH(About!$B$2,$A$64:$A$111,0))</f>
        <v>29.3</v>
      </c>
      <c r="C131" s="10">
        <f t="shared" si="1"/>
        <v>1</v>
      </c>
    </row>
    <row r="132" spans="1:3" x14ac:dyDescent="0.45">
      <c r="A132" t="s">
        <v>187</v>
      </c>
      <c r="B132" s="8">
        <f>INDEX($P$64:$P$111,MATCH(About!$B$2,$A$64:$A$111,0))</f>
        <v>42.3</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